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86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2594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18261</v>
      </c>
      <c r="D4" s="12" t="n">
        <v>19416</v>
      </c>
      <c r="E4" s="12" t="n">
        <v>16904</v>
      </c>
      <c r="F4" s="12" t="n">
        <v>19073</v>
      </c>
      <c r="G4" s="12" t="n">
        <v>19662</v>
      </c>
      <c r="H4" s="12" t="n">
        <v>21660</v>
      </c>
      <c r="I4" s="12" t="n">
        <v>17388</v>
      </c>
      <c r="J4" s="12" t="n">
        <v>20669</v>
      </c>
      <c r="K4" s="12" t="n">
        <v>23186</v>
      </c>
      <c r="L4" s="12" t="n">
        <v>26473</v>
      </c>
      <c r="M4" s="12" t="n">
        <v>22739</v>
      </c>
      <c r="N4" s="12" t="n">
        <v>24118</v>
      </c>
      <c r="O4" s="11" t="n">
        <v>62996</v>
      </c>
      <c r="P4" s="12" t="n">
        <v>63027</v>
      </c>
      <c r="Q4" s="12" t="n">
        <v>63605</v>
      </c>
      <c r="R4" s="12" t="n">
        <v>62664</v>
      </c>
      <c r="S4" s="12" t="n">
        <v>52602</v>
      </c>
      <c r="T4" s="12" t="n">
        <v>55680</v>
      </c>
      <c r="U4" s="12" t="n">
        <v>63298</v>
      </c>
      <c r="V4" s="12" t="n">
        <v>73800</v>
      </c>
      <c r="W4" s="12" t="n">
        <v>77783</v>
      </c>
      <c r="X4" s="12" t="n">
        <v>93067</v>
      </c>
      <c r="Y4" s="11">
        <f>IF(COUNT(Y7,Y10,Y13,Y16)=0,"",SUM(Y7,Y10,Y13,Y16))</f>
        <v/>
      </c>
      <c r="Z4" s="12">
        <f>IF(COUNT(Z7,Z10,Z13,Z16)=0,"",SUM(Z7,Z10,Z13,Z16))</f>
        <v/>
      </c>
      <c r="AA4" s="12">
        <f>IF(COUNT(AA7,AA10,AA13,AA16)=0,"",SUM(AA7,AA10,AA13,AA16))</f>
        <v/>
      </c>
      <c r="AB4" s="12">
        <f>IF(COUNT(AB7,AB10,AB13,AB16)=0,"",SUM(AB7,AB10,AB13,AB16))</f>
        <v/>
      </c>
      <c r="AC4" s="12">
        <f>IF(COUNT(AC7,AC10,AC13,AC16)=0,"",SUM(AC7,AC10,AC13,AC16))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CoffeeRelatedReportableSegmentsMember</t>
        </is>
      </c>
      <c r="B7" s="10" t="n"/>
      <c r="C7" s="19" t="n"/>
      <c r="D7" s="20" t="n"/>
      <c r="E7" s="20" t="n">
        <v>14922</v>
      </c>
      <c r="F7" s="20" t="n">
        <v>16948</v>
      </c>
      <c r="G7" s="20" t="n">
        <v>17683</v>
      </c>
      <c r="H7" s="20" t="n">
        <v>19853</v>
      </c>
      <c r="I7" s="20" t="n">
        <v>15399</v>
      </c>
      <c r="J7" s="20" t="n">
        <v>18490</v>
      </c>
      <c r="K7" s="20" t="n">
        <v>20850</v>
      </c>
      <c r="L7" s="20" t="n">
        <v>24193</v>
      </c>
      <c r="M7" s="20" t="n">
        <v>20069</v>
      </c>
      <c r="N7" s="20" t="n">
        <v>21180</v>
      </c>
      <c r="O7" s="19" t="n"/>
      <c r="P7" s="20" t="n"/>
      <c r="Q7" s="20" t="n"/>
      <c r="R7" s="20" t="n"/>
      <c r="S7" s="20" t="n"/>
      <c r="T7" s="20" t="n"/>
      <c r="U7" s="20" t="n"/>
      <c r="V7" s="20" t="n">
        <v>65690</v>
      </c>
      <c r="W7" s="20" t="n">
        <v>69883</v>
      </c>
      <c r="X7" s="20" t="n">
        <v>83602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FoodAndBeverageRelatedReportableSegmentsMember</t>
        </is>
      </c>
      <c r="B10" s="10" t="n"/>
      <c r="C10" s="19" t="n"/>
      <c r="D10" s="20" t="n"/>
      <c r="E10" s="20" t="n">
        <v>1113</v>
      </c>
      <c r="F10" s="20" t="n">
        <v>1046</v>
      </c>
      <c r="G10" s="20" t="n">
        <v>1017</v>
      </c>
      <c r="H10" s="20" t="n">
        <v>995</v>
      </c>
      <c r="I10" s="20" t="n">
        <v>1113</v>
      </c>
      <c r="J10" s="20" t="n">
        <v>1045</v>
      </c>
      <c r="K10" s="20" t="n">
        <v>1398</v>
      </c>
      <c r="L10" s="20" t="n">
        <v>1394</v>
      </c>
      <c r="M10" s="20" t="n">
        <v>1757</v>
      </c>
      <c r="N10" s="20" t="n">
        <v>1686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4232</v>
      </c>
      <c r="W10" s="20" t="n">
        <v>4171</v>
      </c>
      <c r="X10" s="20" t="n">
        <v>5594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기타</t>
        </is>
      </c>
      <c r="B13" s="10" t="n"/>
      <c r="C13" s="19" t="n"/>
      <c r="D13" s="20" t="n"/>
      <c r="E13" s="20" t="n">
        <v>868</v>
      </c>
      <c r="F13" s="20" t="n">
        <v>1077</v>
      </c>
      <c r="G13" s="20" t="n">
        <v>963</v>
      </c>
      <c r="H13" s="20" t="n">
        <v>812</v>
      </c>
      <c r="I13" s="20" t="n">
        <v>877</v>
      </c>
      <c r="J13" s="20" t="n">
        <v>1132</v>
      </c>
      <c r="K13" s="20" t="n">
        <v>940</v>
      </c>
      <c r="L13" s="20" t="n">
        <v>885</v>
      </c>
      <c r="M13" s="20" t="n">
        <v>913</v>
      </c>
      <c r="N13" s="20" t="n">
        <v>1251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3876</v>
      </c>
      <c r="W13" s="20" t="n">
        <v>3729</v>
      </c>
      <c r="X13" s="20" t="n">
        <v>3870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EntityTotalMember</t>
        </is>
      </c>
      <c r="B16" s="10" t="n"/>
      <c r="C16" s="19" t="n"/>
      <c r="D16" s="20" t="n"/>
      <c r="E16" s="20" t="n"/>
      <c r="F16" s="20" t="n">
        <v>19073</v>
      </c>
      <c r="G16" s="20" t="n"/>
      <c r="H16" s="20" t="n"/>
      <c r="I16" s="20" t="n"/>
      <c r="J16" s="20" t="n">
        <v>20669</v>
      </c>
      <c r="K16" s="20" t="n"/>
      <c r="L16" s="20" t="n"/>
      <c r="M16" s="20" t="n"/>
      <c r="N16" s="20" t="n">
        <v>24118</v>
      </c>
      <c r="O16" s="19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6" t="inlineStr">
        <is>
          <t>매출원가</t>
        </is>
      </c>
      <c r="B19" s="16" t="n"/>
      <c r="C19" s="17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7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7" t="n"/>
      <c r="Z19" s="16" t="n"/>
      <c r="AA19" s="16" t="n"/>
      <c r="AB19" s="16" t="n"/>
      <c r="AC19" s="16" t="n"/>
    </row>
    <row r="20">
      <c r="A20" s="18" t="inlineStr">
        <is>
          <t>전체 매출원가</t>
        </is>
      </c>
      <c r="B20" s="10" t="n"/>
      <c r="C20" s="19" t="n">
        <v>14293</v>
      </c>
      <c r="D20" s="20" t="n">
        <v>15488</v>
      </c>
      <c r="E20" s="20" t="n">
        <v>13904</v>
      </c>
      <c r="F20" s="20" t="n">
        <v>14933</v>
      </c>
      <c r="G20" s="20" t="n">
        <v>16196</v>
      </c>
      <c r="H20" s="20" t="n">
        <v>17122</v>
      </c>
      <c r="I20" s="20" t="n">
        <v>15004</v>
      </c>
      <c r="J20" s="20" t="n">
        <v>16681</v>
      </c>
      <c r="K20" s="20" t="n">
        <v>18819</v>
      </c>
      <c r="L20" s="20" t="n">
        <v>22000</v>
      </c>
      <c r="M20" s="20" t="n">
        <v>18948</v>
      </c>
      <c r="N20" s="20" t="n">
        <v>19236</v>
      </c>
      <c r="O20" s="19" t="n">
        <v>45710</v>
      </c>
      <c r="P20" s="20" t="n">
        <v>46873</v>
      </c>
      <c r="Q20" s="20" t="n">
        <v>47051</v>
      </c>
      <c r="R20" s="20" t="n">
        <v>46028</v>
      </c>
      <c r="S20" s="20" t="n">
        <v>39699</v>
      </c>
      <c r="T20" s="20" t="n">
        <v>41395</v>
      </c>
      <c r="U20" s="20" t="n">
        <v>49077</v>
      </c>
      <c r="V20" s="20" t="n">
        <v>58575</v>
      </c>
      <c r="W20" s="20" t="n">
        <v>63255</v>
      </c>
      <c r="X20" s="20" t="n">
        <v>76448</v>
      </c>
      <c r="Y20" s="19" t="n"/>
      <c r="Z20" s="20" t="n"/>
      <c r="AA20" s="20" t="n"/>
      <c r="AB20" s="20" t="n"/>
      <c r="AC20" s="20" t="n"/>
    </row>
    <row r="21">
      <c r="A21" s="18" t="inlineStr">
        <is>
          <t>매출총이익</t>
        </is>
      </c>
      <c r="B21" s="10" t="n"/>
      <c r="C21" s="19">
        <f>IF(OR(C4="",C20=""),"",IFERROR(C4-C20,""))</f>
        <v/>
      </c>
      <c r="D21" s="20">
        <f>IF(OR(D4="",D20=""),"",IFERROR(D4-D20,""))</f>
        <v/>
      </c>
      <c r="E21" s="20">
        <f>IF(OR(E4="",E20=""),"",IFERROR(E4-E20,""))</f>
        <v/>
      </c>
      <c r="F21" s="20">
        <f>IF(OR(F4="",F20=""),"",IFERROR(F4-F20,""))</f>
        <v/>
      </c>
      <c r="G21" s="20">
        <f>IF(OR(G4="",G20=""),"",IFERROR(G4-G20,""))</f>
        <v/>
      </c>
      <c r="H21" s="20">
        <f>IF(OR(H4="",H20=""),"",IFERROR(H4-H20,""))</f>
        <v/>
      </c>
      <c r="I21" s="20">
        <f>IF(OR(I4="",I20=""),"",IFERROR(I4-I20,""))</f>
        <v/>
      </c>
      <c r="J21" s="20">
        <f>IF(OR(J4="",J20=""),"",IFERROR(J4-J20,""))</f>
        <v/>
      </c>
      <c r="K21" s="20">
        <f>IF(OR(K4="",K20=""),"",IFERROR(K4-K20,""))</f>
        <v/>
      </c>
      <c r="L21" s="20">
        <f>IF(OR(L4="",L20=""),"",IFERROR(L4-L20,""))</f>
        <v/>
      </c>
      <c r="M21" s="20">
        <f>IF(OR(M4="",M20=""),"",IFERROR(M4-M20,""))</f>
        <v/>
      </c>
      <c r="N21" s="20">
        <f>IF(OR(N4="",N20=""),"",IFERROR(N4-N20,""))</f>
        <v/>
      </c>
      <c r="O21" s="19">
        <f>IF(OR(O4="",O20=""),"",IFERROR(O4-O20,""))</f>
        <v/>
      </c>
      <c r="P21" s="20">
        <f>IF(OR(P4="",P20=""),"",IFERROR(P4-P20,""))</f>
        <v/>
      </c>
      <c r="Q21" s="20">
        <f>IF(OR(Q4="",Q20=""),"",IFERROR(Q4-Q20,""))</f>
        <v/>
      </c>
      <c r="R21" s="20">
        <f>IF(OR(R4="",R20=""),"",IFERROR(R4-R20,""))</f>
        <v/>
      </c>
      <c r="S21" s="20">
        <f>IF(OR(S4="",S20=""),"",IFERROR(S4-S20,""))</f>
        <v/>
      </c>
      <c r="T21" s="20">
        <f>IF(OR(T4="",T20=""),"",IFERROR(T4-T20,""))</f>
        <v/>
      </c>
      <c r="U21" s="20">
        <f>IF(OR(U4="",U20=""),"",IFERROR(U4-U20,""))</f>
        <v/>
      </c>
      <c r="V21" s="20">
        <f>IF(OR(V4="",V20=""),"",IFERROR(V4-V20,""))</f>
        <v/>
      </c>
      <c r="W21" s="20">
        <f>IF(OR(W4="",W20=""),"",IFERROR(W4-W20,""))</f>
        <v/>
      </c>
      <c r="X21" s="20">
        <f>IF(OR(X4="",X20=""),"",IFERROR(X4-X20,""))</f>
        <v/>
      </c>
      <c r="Y21" s="19" t="n"/>
      <c r="Z21" s="20" t="n"/>
      <c r="AA21" s="20" t="n"/>
      <c r="AB21" s="20" t="n"/>
      <c r="AC21" s="20" t="n"/>
    </row>
    <row r="22">
      <c r="A22" s="13" t="inlineStr">
        <is>
          <t>GPM</t>
        </is>
      </c>
      <c r="B22" s="10" t="n"/>
      <c r="C22" s="14">
        <f>IF(OR(C21="",C4=""),"",IFERROR(C21/C4,""))</f>
        <v/>
      </c>
      <c r="D22" s="15">
        <f>IF(OR(D21="",D4=""),"",IFERROR(D21/D4,""))</f>
        <v/>
      </c>
      <c r="E22" s="15">
        <f>IF(OR(E21="",E4=""),"",IFERROR(E21/E4,""))</f>
        <v/>
      </c>
      <c r="F22" s="15">
        <f>IF(OR(F21="",F4=""),"",IFERROR(F21/F4,""))</f>
        <v/>
      </c>
      <c r="G22" s="15">
        <f>IF(OR(G21="",G4=""),"",IFERROR(G21/G4,""))</f>
        <v/>
      </c>
      <c r="H22" s="15">
        <f>IF(OR(H21="",H4=""),"",IFERROR(H21/H4,""))</f>
        <v/>
      </c>
      <c r="I22" s="15">
        <f>IF(OR(I21="",I4=""),"",IFERROR(I21/I4,""))</f>
        <v/>
      </c>
      <c r="J22" s="15">
        <f>IF(OR(J21="",J4=""),"",IFERROR(J21/J4,""))</f>
        <v/>
      </c>
      <c r="K22" s="15">
        <f>IF(OR(K21="",K4=""),"",IFERROR(K21/K4,""))</f>
        <v/>
      </c>
      <c r="L22" s="15">
        <f>IF(OR(L21="",L4=""),"",IFERROR(L21/L4,""))</f>
        <v/>
      </c>
      <c r="M22" s="15">
        <f>IF(OR(M21="",M4=""),"",IFERROR(M21/M4,""))</f>
        <v/>
      </c>
      <c r="N22" s="15">
        <f>IF(OR(N21="",N4=""),"",IFERROR(N21/N4,""))</f>
        <v/>
      </c>
      <c r="O22" s="14">
        <f>IF(OR(O21="",O4=""),"",IFERROR(O21/O4,""))</f>
        <v/>
      </c>
      <c r="P22" s="15">
        <f>IF(OR(P21="",P4=""),"",IFERROR(P21/P4,""))</f>
        <v/>
      </c>
      <c r="Q22" s="15">
        <f>IF(OR(Q21="",Q4=""),"",IFERROR(Q21/Q4,""))</f>
        <v/>
      </c>
      <c r="R22" s="15">
        <f>IF(OR(R21="",R4=""),"",IFERROR(R21/R4,""))</f>
        <v/>
      </c>
      <c r="S22" s="15">
        <f>IF(OR(S21="",S4=""),"",IFERROR(S21/S4,""))</f>
        <v/>
      </c>
      <c r="T22" s="15">
        <f>IF(OR(T21="",T4=""),"",IFERROR(T21/T4,""))</f>
        <v/>
      </c>
      <c r="U22" s="15">
        <f>IF(OR(U21="",U4=""),"",IFERROR(U21/U4,""))</f>
        <v/>
      </c>
      <c r="V22" s="15">
        <f>IF(OR(V21="",V4=""),"",IFERROR(V21/V4,""))</f>
        <v/>
      </c>
      <c r="W22" s="15">
        <f>IF(OR(W21="",W4=""),"",IFERROR(W21/W4,""))</f>
        <v/>
      </c>
      <c r="X22" s="15">
        <f>IF(OR(X21="",X4=""),"",IFERROR(X21/X4,""))</f>
        <v/>
      </c>
      <c r="Y22" s="14">
        <f>IF(OR(Y21="",Y4=""),"",IFERROR(Y21/Y4,""))</f>
        <v/>
      </c>
      <c r="Z22" s="15">
        <f>IF(OR(Z21="",Z4=""),"",IFERROR(Z21/Z4,""))</f>
        <v/>
      </c>
      <c r="AA22" s="15">
        <f>IF(OR(AA21="",AA4=""),"",IFERROR(AA21/AA4,""))</f>
        <v/>
      </c>
      <c r="AB22" s="15">
        <f>IF(OR(AB21="",AB4=""),"",IFERROR(AB21/AB4,""))</f>
        <v/>
      </c>
      <c r="AC22" s="15">
        <f>IF(OR(AC21="",AC4=""),"",IFERROR(AC21/AC4,""))</f>
        <v/>
      </c>
    </row>
    <row r="23">
      <c r="A23" s="23" t="inlineStr">
        <is>
          <t>판매관리비</t>
        </is>
      </c>
      <c r="B23" s="23" t="n"/>
      <c r="C23" s="24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4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4" t="n"/>
      <c r="Z23" s="23" t="n"/>
      <c r="AA23" s="23" t="n"/>
      <c r="AB23" s="23" t="n"/>
      <c r="AC23" s="23" t="n"/>
    </row>
    <row r="24">
      <c r="A24" s="18" t="inlineStr">
        <is>
          <t>전체 판관비</t>
        </is>
      </c>
      <c r="B24" s="10" t="n"/>
      <c r="C24" s="19" t="n">
        <v>3679</v>
      </c>
      <c r="D24" s="20" t="n">
        <v>3627</v>
      </c>
      <c r="E24" s="20" t="n">
        <v>3579</v>
      </c>
      <c r="F24" s="20" t="n">
        <v>3475</v>
      </c>
      <c r="G24" s="20" t="n">
        <v>3579</v>
      </c>
      <c r="H24" s="20" t="n">
        <v>3618</v>
      </c>
      <c r="I24" s="20" t="n">
        <v>3369</v>
      </c>
      <c r="J24" s="20" t="n">
        <v>3587</v>
      </c>
      <c r="K24" s="20" t="n">
        <v>4055</v>
      </c>
      <c r="L24" s="20" t="n">
        <v>3902</v>
      </c>
      <c r="M24" s="20" t="n">
        <v>3997</v>
      </c>
      <c r="N24" s="20" t="n">
        <v>4099</v>
      </c>
      <c r="O24" s="19" t="n">
        <v>15908</v>
      </c>
      <c r="P24" s="20" t="n">
        <v>15833</v>
      </c>
      <c r="Q24" s="20" t="n">
        <v>16057</v>
      </c>
      <c r="R24" s="20" t="n">
        <v>16104</v>
      </c>
      <c r="S24" s="20" t="n">
        <v>15373</v>
      </c>
      <c r="T24" s="20" t="n">
        <v>13879</v>
      </c>
      <c r="U24" s="20" t="n">
        <v>13975</v>
      </c>
      <c r="V24" s="20" t="n">
        <v>14460</v>
      </c>
      <c r="W24" s="20" t="n">
        <v>14041</v>
      </c>
      <c r="X24" s="20" t="n">
        <v>15541</v>
      </c>
      <c r="Y24" s="19" t="n"/>
      <c r="Z24" s="20" t="n"/>
      <c r="AA24" s="20" t="n"/>
      <c r="AB24" s="20" t="n"/>
      <c r="AC24" s="20" t="n"/>
    </row>
    <row r="25">
      <c r="A25" s="9" t="inlineStr">
        <is>
          <t>영업이익</t>
        </is>
      </c>
      <c r="B25" s="10" t="inlineStr">
        <is>
          <t>MW = 매출 × OPM</t>
        </is>
      </c>
      <c r="C25" s="11" t="n">
        <v>287</v>
      </c>
      <c r="D25" s="12" t="n">
        <v>302</v>
      </c>
      <c r="E25" s="12" t="n">
        <v>-579</v>
      </c>
      <c r="F25" s="12" t="n">
        <v>665</v>
      </c>
      <c r="G25" s="12" t="n">
        <v>-115</v>
      </c>
      <c r="H25" s="12" t="n">
        <v>921</v>
      </c>
      <c r="I25" s="12" t="n">
        <v>-985</v>
      </c>
      <c r="J25" s="12" t="n">
        <v>400</v>
      </c>
      <c r="K25" s="12" t="n">
        <v>312</v>
      </c>
      <c r="L25" s="12" t="n">
        <v>571</v>
      </c>
      <c r="M25" s="12" t="n">
        <v>-206</v>
      </c>
      <c r="N25" s="12" t="n">
        <v>781</v>
      </c>
      <c r="O25" s="11" t="n">
        <v>1377</v>
      </c>
      <c r="P25" s="12" t="n">
        <v>319</v>
      </c>
      <c r="Q25" s="12" t="n">
        <v>495</v>
      </c>
      <c r="R25" s="12" t="n">
        <v>531</v>
      </c>
      <c r="S25" s="12" t="n">
        <v>-2470</v>
      </c>
      <c r="T25" s="12" t="n">
        <v>405</v>
      </c>
      <c r="U25" s="12" t="n">
        <v>244</v>
      </c>
      <c r="V25" s="12" t="n">
        <v>764</v>
      </c>
      <c r="W25" s="12" t="n">
        <v>486</v>
      </c>
      <c r="X25" s="12" t="n">
        <v>1077</v>
      </c>
      <c r="Y25" s="11">
        <f>IF(OR(Y4="",Y26=""),"",IFERROR(Y4*Y26,""))</f>
        <v/>
      </c>
      <c r="Z25" s="12">
        <f>IF(OR(Z4="",Z26=""),"",IFERROR(Z4*Z26,""))</f>
        <v/>
      </c>
      <c r="AA25" s="12">
        <f>IF(OR(AA4="",AA26=""),"",IFERROR(AA4*AA26,""))</f>
        <v/>
      </c>
      <c r="AB25" s="12">
        <f>IF(OR(AB4="",AB26=""),"",IFERROR(AB4*AB26,""))</f>
        <v/>
      </c>
      <c r="AC25" s="12">
        <f>IF(OR(AC4="",AC26=""),"",IFERROR(AC4*AC26,""))</f>
        <v/>
      </c>
    </row>
    <row r="26">
      <c r="A26" s="13" t="inlineStr">
        <is>
          <t>OPM</t>
        </is>
      </c>
      <c r="B26" s="10" t="inlineStr">
        <is>
          <t>MW 입력</t>
        </is>
      </c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25" t="n"/>
      <c r="Z26" s="26" t="n"/>
      <c r="AA26" s="26" t="n"/>
      <c r="AB26" s="26" t="n"/>
      <c r="AC26" s="26" t="n"/>
    </row>
    <row r="27">
      <c r="A27" s="13" t="inlineStr">
        <is>
          <t>증가율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6" t="inlineStr">
        <is>
          <t>비용의 성격별 분류</t>
        </is>
      </c>
      <c r="B28" s="16" t="inlineStr">
        <is>
          <t>참고 데이터</t>
        </is>
      </c>
      <c r="C28" s="17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7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7" t="n"/>
      <c r="Z28" s="16" t="n"/>
      <c r="AA28" s="16" t="n"/>
      <c r="AB28" s="16" t="n"/>
      <c r="AC28" s="16" t="n"/>
    </row>
    <row r="29">
      <c r="A29" s="9" t="inlineStr">
        <is>
          <t>총 판관비</t>
        </is>
      </c>
      <c r="B29" s="10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1">
        <f>IF(O24="","",O24)</f>
        <v/>
      </c>
      <c r="P29" s="12">
        <f>IF(P24="","",P24)</f>
        <v/>
      </c>
      <c r="Q29" s="12">
        <f>IF(Q24="","",Q24)</f>
        <v/>
      </c>
      <c r="R29" s="12">
        <f>IF(R24="","",R24)</f>
        <v/>
      </c>
      <c r="S29" s="12">
        <f>IF(S24="","",S24)</f>
        <v/>
      </c>
      <c r="T29" s="12">
        <f>IF(T24="","",T24)</f>
        <v/>
      </c>
      <c r="U29" s="12">
        <f>IF(U24="","",U24)</f>
        <v/>
      </c>
      <c r="V29" s="12">
        <f>IF(V24="","",V24)</f>
        <v/>
      </c>
      <c r="W29" s="12">
        <f>IF(W24="","",W24)</f>
        <v/>
      </c>
      <c r="X29" s="12">
        <f>IF(X24="","",X24)</f>
        <v/>
      </c>
      <c r="Y29" s="11" t="n"/>
      <c r="Z29" s="12" t="n"/>
      <c r="AA29" s="12" t="n"/>
      <c r="AB29" s="12" t="n"/>
      <c r="AC29" s="12" t="n"/>
    </row>
    <row r="30">
      <c r="A30" s="18" t="inlineStr">
        <is>
          <t>급여</t>
        </is>
      </c>
      <c r="B30" s="10" t="inlineStr">
        <is>
          <t>고정비</t>
        </is>
      </c>
      <c r="C30" s="19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19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19" t="n"/>
      <c r="Z30" s="20" t="n"/>
      <c r="AA30" s="20" t="n"/>
      <c r="AB30" s="20" t="n"/>
      <c r="AC30" s="20" t="n"/>
    </row>
    <row r="31">
      <c r="A31" s="13" t="inlineStr">
        <is>
          <t>% of Sales</t>
        </is>
      </c>
      <c r="B31" s="10" t="n"/>
      <c r="C31" s="14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4">
        <f>IF(OR(O30="",O4=""),"",IFERROR(O30/O4,""))</f>
        <v/>
      </c>
      <c r="P31" s="15">
        <f>IF(OR(P30="",P4=""),"",IFERROR(P30/P4,""))</f>
        <v/>
      </c>
      <c r="Q31" s="15">
        <f>IF(OR(Q30="",Q4=""),"",IFERROR(Q30/Q4,""))</f>
        <v/>
      </c>
      <c r="R31" s="15">
        <f>IF(OR(R30="",R4=""),"",IFERROR(R30/R4,""))</f>
        <v/>
      </c>
      <c r="S31" s="15">
        <f>IF(OR(S30="",S4=""),"",IFERROR(S30/S4,""))</f>
        <v/>
      </c>
      <c r="T31" s="15">
        <f>IF(OR(T30="",T4=""),"",IFERROR(T30/T4,""))</f>
        <v/>
      </c>
      <c r="U31" s="15">
        <f>IF(OR(U30="",U4=""),"",IFERROR(U30/U4,""))</f>
        <v/>
      </c>
      <c r="V31" s="15">
        <f>IF(OR(V30="",V4=""),"",IFERROR(V30/V4,""))</f>
        <v/>
      </c>
      <c r="W31" s="15">
        <f>IF(OR(W30="",W4=""),"",IFERROR(W30/W4,""))</f>
        <v/>
      </c>
      <c r="X31" s="15">
        <f>IF(OR(X30="",X4=""),"",IFERROR(X30/X4,""))</f>
        <v/>
      </c>
      <c r="Y31" s="14" t="n"/>
      <c r="Z31" s="15" t="n"/>
      <c r="AA31" s="15" t="n"/>
      <c r="AB31" s="15" t="n"/>
      <c r="AC31" s="15" t="n"/>
    </row>
    <row r="32">
      <c r="A32" s="18" t="inlineStr">
        <is>
          <t>감가상각비</t>
        </is>
      </c>
      <c r="B32" s="10" t="inlineStr">
        <is>
          <t>고정비</t>
        </is>
      </c>
      <c r="C32" s="19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19" t="n">
        <v>365</v>
      </c>
      <c r="P32" s="20" t="n">
        <v>344</v>
      </c>
      <c r="Q32" s="20" t="n">
        <v>342</v>
      </c>
      <c r="R32" s="20" t="n">
        <v>350</v>
      </c>
      <c r="S32" s="20" t="n">
        <v>443</v>
      </c>
      <c r="T32" s="20" t="n">
        <v>320</v>
      </c>
      <c r="U32" s="20" t="n">
        <v>296</v>
      </c>
      <c r="V32" s="20" t="n">
        <v>297</v>
      </c>
      <c r="W32" s="20" t="n">
        <v>334</v>
      </c>
      <c r="X32" s="20" t="n">
        <v>395</v>
      </c>
      <c r="Y32" s="19" t="n"/>
      <c r="Z32" s="20" t="n"/>
      <c r="AA32" s="20" t="n"/>
      <c r="AB32" s="20" t="n"/>
      <c r="AC32" s="20" t="n"/>
    </row>
    <row r="33">
      <c r="A33" s="13" t="inlineStr">
        <is>
          <t>% of Sales</t>
        </is>
      </c>
      <c r="B33" s="10" t="n"/>
      <c r="C33" s="14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4">
        <f>IF(OR(O32="",O4=""),"",IFERROR(O32/O4,""))</f>
        <v/>
      </c>
      <c r="P33" s="15">
        <f>IF(OR(P32="",P4=""),"",IFERROR(P32/P4,""))</f>
        <v/>
      </c>
      <c r="Q33" s="15">
        <f>IF(OR(Q32="",Q4=""),"",IFERROR(Q32/Q4,""))</f>
        <v/>
      </c>
      <c r="R33" s="15">
        <f>IF(OR(R32="",R4=""),"",IFERROR(R32/R4,""))</f>
        <v/>
      </c>
      <c r="S33" s="15">
        <f>IF(OR(S32="",S4=""),"",IFERROR(S32/S4,""))</f>
        <v/>
      </c>
      <c r="T33" s="15">
        <f>IF(OR(T32="",T4=""),"",IFERROR(T32/T4,""))</f>
        <v/>
      </c>
      <c r="U33" s="15">
        <f>IF(OR(U32="",U4=""),"",IFERROR(U32/U4,""))</f>
        <v/>
      </c>
      <c r="V33" s="15">
        <f>IF(OR(V32="",V4=""),"",IFERROR(V32/V4,""))</f>
        <v/>
      </c>
      <c r="W33" s="15">
        <f>IF(OR(W32="",W4=""),"",IFERROR(W32/W4,""))</f>
        <v/>
      </c>
      <c r="X33" s="15">
        <f>IF(OR(X32="",X4=""),"",IFERROR(X32/X4,""))</f>
        <v/>
      </c>
      <c r="Y33" s="14" t="n"/>
      <c r="Z33" s="15" t="n"/>
      <c r="AA33" s="15" t="n"/>
      <c r="AB33" s="15" t="n"/>
      <c r="AC33" s="15" t="n"/>
    </row>
    <row r="34">
      <c r="A34" s="18" t="inlineStr">
        <is>
          <t>지급수수료</t>
        </is>
      </c>
      <c r="B34" s="10" t="inlineStr">
        <is>
          <t>고정비</t>
        </is>
      </c>
      <c r="C34" s="19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19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19" t="n"/>
      <c r="Z34" s="20" t="n"/>
      <c r="AA34" s="20" t="n"/>
      <c r="AB34" s="20" t="n"/>
      <c r="AC34" s="20" t="n"/>
    </row>
    <row r="35">
      <c r="A35" s="13" t="inlineStr">
        <is>
          <t>% of Sales</t>
        </is>
      </c>
      <c r="B35" s="10" t="n"/>
      <c r="C35" s="14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14" t="n"/>
      <c r="Z35" s="15" t="n"/>
      <c r="AA35" s="15" t="n"/>
      <c r="AB35" s="15" t="n"/>
      <c r="AC35" s="15" t="n"/>
    </row>
    <row r="36">
      <c r="A36" s="18" t="inlineStr">
        <is>
          <t>연구개발비</t>
        </is>
      </c>
      <c r="B36" s="10" t="inlineStr">
        <is>
          <t>변동비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>
        <v>268</v>
      </c>
      <c r="P36" s="20" t="n">
        <v>259</v>
      </c>
      <c r="Q36" s="20" t="n">
        <v>234</v>
      </c>
      <c r="R36" s="20" t="n">
        <v>233</v>
      </c>
      <c r="S36" s="20" t="n">
        <v>188</v>
      </c>
      <c r="T36" s="20" t="n">
        <v>177</v>
      </c>
      <c r="U36" s="20" t="n">
        <v>199</v>
      </c>
      <c r="V36" s="20" t="n">
        <v>225</v>
      </c>
      <c r="W36" s="20" t="n">
        <v>190</v>
      </c>
      <c r="X36" s="20" t="n">
        <v>213</v>
      </c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기타비용</t>
        </is>
      </c>
      <c r="B38" s="10" t="inlineStr">
        <is>
          <t>변동비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>
        <f>IF(OR(O29="",O30="",O32="",O34="",O36=""),"",IFERROR(O29-O30-O32-O34-O36,""))</f>
        <v/>
      </c>
      <c r="P38" s="20">
        <f>IF(OR(P29="",P30="",P32="",P34="",P36=""),"",IFERROR(P29-P30-P32-P34-P36,""))</f>
        <v/>
      </c>
      <c r="Q38" s="20">
        <f>IF(OR(Q29="",Q30="",Q32="",Q34="",Q36=""),"",IFERROR(Q29-Q30-Q32-Q34-Q36,""))</f>
        <v/>
      </c>
      <c r="R38" s="20">
        <f>IF(OR(R29="",R30="",R32="",R34="",R36=""),"",IFERROR(R29-R30-R32-R34-R36,""))</f>
        <v/>
      </c>
      <c r="S38" s="20">
        <f>IF(OR(S29="",S30="",S32="",S34="",S36=""),"",IFERROR(S29-S30-S32-S34-S36,""))</f>
        <v/>
      </c>
      <c r="T38" s="20">
        <f>IF(OR(T29="",T30="",T32="",T34="",T36=""),"",IFERROR(T29-T30-T32-T34-T36,""))</f>
        <v/>
      </c>
      <c r="U38" s="20">
        <f>IF(OR(U29="",U30="",U32="",U34="",U36=""),"",IFERROR(U29-U30-U32-U34-U36,""))</f>
        <v/>
      </c>
      <c r="V38" s="20">
        <f>IF(OR(V29="",V30="",V32="",V34="",V36=""),"",IFERROR(V29-V30-V32-V34-V36,""))</f>
        <v/>
      </c>
      <c r="W38" s="20">
        <f>IF(OR(W29="",W30="",W32="",W34="",W36=""),"",IFERROR(W29-W30-W32-W34-W36,""))</f>
        <v/>
      </c>
      <c r="X38" s="20">
        <f>IF(OR(X29="",X30="",X32="",X34="",X36=""),"",IFERROR(X29-X30-X32-X34-X36,""))</f>
        <v/>
      </c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6" t="inlineStr">
        <is>
          <t>당기순이익 추정</t>
        </is>
      </c>
      <c r="B40" s="16" t="n"/>
      <c r="C40" s="17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7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7" t="n"/>
      <c r="Z40" s="16" t="n"/>
      <c r="AA40" s="16" t="n"/>
      <c r="AB40" s="16" t="n"/>
      <c r="AC40" s="16" t="n"/>
    </row>
    <row r="41">
      <c r="A41" s="18" t="inlineStr">
        <is>
          <t>특별이익</t>
        </is>
      </c>
      <c r="B41" s="10" t="n"/>
      <c r="C41" s="19" t="n"/>
      <c r="D41" s="20" t="n"/>
      <c r="E41" s="20" t="n">
        <v>0</v>
      </c>
      <c r="F41" s="20" t="n"/>
      <c r="G41" s="20" t="n"/>
      <c r="H41" s="20" t="n"/>
      <c r="I41" s="20" t="n">
        <v>0</v>
      </c>
      <c r="J41" s="20" t="n"/>
      <c r="K41" s="20" t="n"/>
      <c r="L41" s="20" t="n"/>
      <c r="M41" s="20" t="n">
        <v>0</v>
      </c>
      <c r="N41" s="20" t="n"/>
      <c r="O41" s="19" t="n">
        <v>420</v>
      </c>
      <c r="P41" s="20" t="n">
        <v>585</v>
      </c>
      <c r="Q41" s="20" t="n">
        <v>5</v>
      </c>
      <c r="R41" s="20" t="n">
        <v>843</v>
      </c>
      <c r="S41" s="20" t="n">
        <v>88</v>
      </c>
      <c r="T41" s="20" t="n">
        <v>58</v>
      </c>
      <c r="U41" s="20" t="n">
        <v>0</v>
      </c>
      <c r="V41" s="20" t="n">
        <v>5</v>
      </c>
      <c r="W41" s="20" t="n">
        <v>3</v>
      </c>
      <c r="X41" s="20" t="n">
        <v>0</v>
      </c>
      <c r="Y41" s="19">
        <f>IF(OR(Y4="",Y42=""),"",IFERROR(Y4*Y42,""))</f>
        <v/>
      </c>
      <c r="Z41" s="20">
        <f>IF(OR(Z4="",Z42=""),"",IFERROR(Z4*Z42,""))</f>
        <v/>
      </c>
      <c r="AA41" s="20">
        <f>IF(OR(AA4="",AA42=""),"",IFERROR(AA4*AA42,""))</f>
        <v/>
      </c>
      <c r="AB41" s="20">
        <f>IF(OR(AB4="",AB42=""),"",IFERROR(AB4*AB42,""))</f>
        <v/>
      </c>
      <c r="AC41" s="20">
        <f>IF(OR(AC4="",AC42=""),"",IFERROR(AC4*AC42,""))</f>
        <v/>
      </c>
    </row>
    <row r="42">
      <c r="A42" s="13" t="inlineStr">
        <is>
          <t>% of Sales</t>
        </is>
      </c>
      <c r="B42" s="10" t="inlineStr">
        <is>
          <t>MW = 최근 3년 평균</t>
        </is>
      </c>
      <c r="C42" s="14">
        <f>IF(OR(C41="",C4=""),"",IFERROR(C41/C4,""))</f>
        <v/>
      </c>
      <c r="D42" s="15">
        <f>IF(OR(D41="",D4=""),"",IFERROR(D41/D4,""))</f>
        <v/>
      </c>
      <c r="E42" s="15">
        <f>IF(OR(E41="",E4=""),"",IFERROR(E41/E4,""))</f>
        <v/>
      </c>
      <c r="F42" s="15">
        <f>IF(OR(F41="",F4=""),"",IFERROR(F41/F4,""))</f>
        <v/>
      </c>
      <c r="G42" s="15">
        <f>IF(OR(G41="",G4=""),"",IFERROR(G41/G4,""))</f>
        <v/>
      </c>
      <c r="H42" s="15">
        <f>IF(OR(H41="",H4=""),"",IFERROR(H41/H4,""))</f>
        <v/>
      </c>
      <c r="I42" s="15">
        <f>IF(OR(I41="",I4=""),"",IFERROR(I41/I4,""))</f>
        <v/>
      </c>
      <c r="J42" s="15">
        <f>IF(OR(J41="",J4=""),"",IFERROR(J41/J4,""))</f>
        <v/>
      </c>
      <c r="K42" s="15">
        <f>IF(OR(K41="",K4=""),"",IFERROR(K41/K4,""))</f>
        <v/>
      </c>
      <c r="L42" s="15">
        <f>IF(OR(L41="",L4=""),"",IFERROR(L41/L4,""))</f>
        <v/>
      </c>
      <c r="M42" s="15">
        <f>IF(OR(M41="",M4=""),"",IFERROR(M41/M4,""))</f>
        <v/>
      </c>
      <c r="N42" s="15">
        <f>IF(OR(N41="",N4=""),"",IFERROR(N41/N4,""))</f>
        <v/>
      </c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25">
        <f>IFERROR(AVERAGE(V42,W42,X42),"")</f>
        <v/>
      </c>
      <c r="Z42" s="26">
        <f>Y42</f>
        <v/>
      </c>
      <c r="AA42" s="26">
        <f>Z42</f>
        <v/>
      </c>
      <c r="AB42" s="26">
        <f>AA42</f>
        <v/>
      </c>
      <c r="AC42" s="26">
        <f>AB42</f>
        <v/>
      </c>
    </row>
    <row r="43">
      <c r="A43" s="18" t="inlineStr">
        <is>
          <t>특별손실</t>
        </is>
      </c>
      <c r="B43" s="10" t="n"/>
      <c r="C43" s="19" t="n"/>
      <c r="D43" s="20" t="n">
        <v>0</v>
      </c>
      <c r="E43" s="20" t="n">
        <v>367</v>
      </c>
      <c r="F43" s="20" t="n"/>
      <c r="G43" s="20" t="n"/>
      <c r="H43" s="20" t="n">
        <v>1</v>
      </c>
      <c r="I43" s="20" t="n">
        <v>92</v>
      </c>
      <c r="J43" s="20" t="n"/>
      <c r="K43" s="20" t="n"/>
      <c r="L43" s="20" t="n"/>
      <c r="M43" s="20" t="n">
        <v>9</v>
      </c>
      <c r="N43" s="20" t="n"/>
      <c r="O43" s="19" t="n">
        <v>344</v>
      </c>
      <c r="P43" s="20" t="n">
        <v>544</v>
      </c>
      <c r="Q43" s="20" t="n">
        <v>180</v>
      </c>
      <c r="R43" s="20" t="n">
        <v>287</v>
      </c>
      <c r="S43" s="20" t="n">
        <v>824</v>
      </c>
      <c r="T43" s="20" t="n">
        <v>46</v>
      </c>
      <c r="U43" s="20" t="n">
        <v>40</v>
      </c>
      <c r="V43" s="20" t="n">
        <v>384</v>
      </c>
      <c r="W43" s="20" t="n">
        <v>93</v>
      </c>
      <c r="X43" s="20" t="n">
        <v>9</v>
      </c>
      <c r="Y43" s="19">
        <f>IF(OR(Y4="",Y44=""),"",IFERROR(Y4*Y44,""))</f>
        <v/>
      </c>
      <c r="Z43" s="20">
        <f>IF(OR(Z4="",Z44=""),"",IFERROR(Z4*Z44,""))</f>
        <v/>
      </c>
      <c r="AA43" s="20">
        <f>IF(OR(AA4="",AA44=""),"",IFERROR(AA4*AA44,""))</f>
        <v/>
      </c>
      <c r="AB43" s="20">
        <f>IF(OR(AB4="",AB44=""),"",IFERROR(AB4*AB44,""))</f>
        <v/>
      </c>
      <c r="AC43" s="20">
        <f>IF(OR(AC4="",AC44=""),"",IFERROR(AC4*AC44,""))</f>
        <v/>
      </c>
    </row>
    <row r="44">
      <c r="A44" s="13" t="inlineStr">
        <is>
          <t>% of Sales</t>
        </is>
      </c>
      <c r="B44" s="10" t="n"/>
      <c r="C44" s="14">
        <f>IF(OR(C43="",C4=""),"",IFERROR(C43/C4,""))</f>
        <v/>
      </c>
      <c r="D44" s="15">
        <f>IF(OR(D43="",D4=""),"",IFERROR(D43/D4,""))</f>
        <v/>
      </c>
      <c r="E44" s="15">
        <f>IF(OR(E43="",E4=""),"",IFERROR(E43/E4,""))</f>
        <v/>
      </c>
      <c r="F44" s="15">
        <f>IF(OR(F43="",F4=""),"",IFERROR(F43/F4,""))</f>
        <v/>
      </c>
      <c r="G44" s="15">
        <f>IF(OR(G43="",G4=""),"",IFERROR(G43/G4,""))</f>
        <v/>
      </c>
      <c r="H44" s="15">
        <f>IF(OR(H43="",H4=""),"",IFERROR(H43/H4,""))</f>
        <v/>
      </c>
      <c r="I44" s="15">
        <f>IF(OR(I43="",I4=""),"",IFERROR(I43/I4,""))</f>
        <v/>
      </c>
      <c r="J44" s="15">
        <f>IF(OR(J43="",J4=""),"",IFERROR(J43/J4,""))</f>
        <v/>
      </c>
      <c r="K44" s="15">
        <f>IF(OR(K43="",K4=""),"",IFERROR(K43/K4,""))</f>
        <v/>
      </c>
      <c r="L44" s="15">
        <f>IF(OR(L43="",L4=""),"",IFERROR(L43/L4,""))</f>
        <v/>
      </c>
      <c r="M44" s="15">
        <f>IF(OR(M43="",M4=""),"",IFERROR(M43/M4,""))</f>
        <v/>
      </c>
      <c r="N44" s="15">
        <f>IF(OR(N43="",N4=""),"",IFERROR(N43/N4,""))</f>
        <v/>
      </c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25">
        <f>IFERROR(AVERAGE(V44,W44,X44),"")</f>
        <v/>
      </c>
      <c r="Z44" s="26">
        <f>Y44</f>
        <v/>
      </c>
      <c r="AA44" s="26">
        <f>Z44</f>
        <v/>
      </c>
      <c r="AB44" s="26">
        <f>AA44</f>
        <v/>
      </c>
      <c r="AC44" s="26">
        <f>AB44</f>
        <v/>
      </c>
    </row>
    <row r="45">
      <c r="A45" s="18" t="inlineStr">
        <is>
          <t>영업외수익</t>
        </is>
      </c>
      <c r="B45" s="10" t="n"/>
      <c r="C45" s="19" t="n">
        <v>69</v>
      </c>
      <c r="D45" s="20" t="n">
        <v>58</v>
      </c>
      <c r="E45" s="20" t="n">
        <v>6</v>
      </c>
      <c r="F45" s="20" t="n">
        <v>65</v>
      </c>
      <c r="G45" s="20" t="n">
        <v>39</v>
      </c>
      <c r="H45" s="20" t="n">
        <v>83</v>
      </c>
      <c r="I45" s="20" t="n">
        <v>50</v>
      </c>
      <c r="J45" s="20" t="n">
        <v>132</v>
      </c>
      <c r="K45" s="20" t="n">
        <v>109</v>
      </c>
      <c r="L45" s="20" t="n">
        <v>107</v>
      </c>
      <c r="M45" s="20" t="n">
        <v>68</v>
      </c>
      <c r="N45" s="20" t="n">
        <v>215</v>
      </c>
      <c r="O45" s="19" t="n">
        <v>240</v>
      </c>
      <c r="P45" s="20" t="n">
        <v>194</v>
      </c>
      <c r="Q45" s="20" t="n">
        <v>173</v>
      </c>
      <c r="R45" s="20" t="n">
        <v>238</v>
      </c>
      <c r="S45" s="20" t="n">
        <v>211</v>
      </c>
      <c r="T45" s="20" t="n">
        <v>649</v>
      </c>
      <c r="U45" s="20" t="n">
        <v>221</v>
      </c>
      <c r="V45" s="20" t="n">
        <v>175</v>
      </c>
      <c r="W45" s="20" t="n">
        <v>237</v>
      </c>
      <c r="X45" s="20" t="n">
        <v>416</v>
      </c>
      <c r="Y45" s="19">
        <f>IF(OR(Y4="",Y46=""),"",IFERROR(Y4*Y46,""))</f>
        <v/>
      </c>
      <c r="Z45" s="20">
        <f>IF(OR(Z4="",Z46=""),"",IFERROR(Z4*Z46,""))</f>
        <v/>
      </c>
      <c r="AA45" s="20">
        <f>IF(OR(AA4="",AA46=""),"",IFERROR(AA4*AA46,""))</f>
        <v/>
      </c>
      <c r="AB45" s="20">
        <f>IF(OR(AB4="",AB46=""),"",IFERROR(AB4*AB46,""))</f>
        <v/>
      </c>
      <c r="AC45" s="20">
        <f>IF(OR(AC4="",AC46=""),"",IFERROR(AC4*AC46,""))</f>
        <v/>
      </c>
    </row>
    <row r="46">
      <c r="A46" s="13" t="inlineStr">
        <is>
          <t>% of Sales</t>
        </is>
      </c>
      <c r="B46" s="10" t="n"/>
      <c r="C46" s="14">
        <f>IF(OR(C45="",C4=""),"",IFERROR(C45/C4,""))</f>
        <v/>
      </c>
      <c r="D46" s="15">
        <f>IF(OR(D45="",D4=""),"",IFERROR(D45/D4,""))</f>
        <v/>
      </c>
      <c r="E46" s="15">
        <f>IF(OR(E45="",E4=""),"",IFERROR(E45/E4,""))</f>
        <v/>
      </c>
      <c r="F46" s="15">
        <f>IF(OR(F45="",F4=""),"",IFERROR(F45/F4,""))</f>
        <v/>
      </c>
      <c r="G46" s="15">
        <f>IF(OR(G45="",G4=""),"",IFERROR(G45/G4,""))</f>
        <v/>
      </c>
      <c r="H46" s="15">
        <f>IF(OR(H45="",H4=""),"",IFERROR(H45/H4,""))</f>
        <v/>
      </c>
      <c r="I46" s="15">
        <f>IF(OR(I45="",I4=""),"",IFERROR(I45/I4,""))</f>
        <v/>
      </c>
      <c r="J46" s="15">
        <f>IF(OR(J45="",J4=""),"",IFERROR(J45/J4,""))</f>
        <v/>
      </c>
      <c r="K46" s="15">
        <f>IF(OR(K45="",K4=""),"",IFERROR(K45/K4,""))</f>
        <v/>
      </c>
      <c r="L46" s="15">
        <f>IF(OR(L45="",L4=""),"",IFERROR(L45/L4,""))</f>
        <v/>
      </c>
      <c r="M46" s="15">
        <f>IF(OR(M45="",M4=""),"",IFERROR(M45/M4,""))</f>
        <v/>
      </c>
      <c r="N46" s="15">
        <f>IF(OR(N45="",N4=""),"",IFERROR(N45/N4,""))</f>
        <v/>
      </c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25">
        <f>IFERROR(AVERAGE(V46,W46,X46),"")</f>
        <v/>
      </c>
      <c r="Z46" s="26">
        <f>Y46</f>
        <v/>
      </c>
      <c r="AA46" s="26">
        <f>Z46</f>
        <v/>
      </c>
      <c r="AB46" s="26">
        <f>AA46</f>
        <v/>
      </c>
      <c r="AC46" s="26">
        <f>AB46</f>
        <v/>
      </c>
    </row>
    <row r="47">
      <c r="A47" s="18" t="inlineStr">
        <is>
          <t>영업외비용</t>
        </is>
      </c>
      <c r="B47" s="10" t="n"/>
      <c r="C47" s="19" t="n">
        <v>18</v>
      </c>
      <c r="D47" s="20" t="n">
        <v>21</v>
      </c>
      <c r="E47" s="20" t="n">
        <v>19</v>
      </c>
      <c r="F47" s="20" t="n">
        <v>13</v>
      </c>
      <c r="G47" s="20" t="n">
        <v>23</v>
      </c>
      <c r="H47" s="20" t="n">
        <v>26</v>
      </c>
      <c r="I47" s="20" t="n">
        <v>26</v>
      </c>
      <c r="J47" s="20" t="n">
        <v>25</v>
      </c>
      <c r="K47" s="20" t="n">
        <v>43</v>
      </c>
      <c r="L47" s="20" t="n">
        <v>51</v>
      </c>
      <c r="M47" s="20" t="n">
        <v>55</v>
      </c>
      <c r="N47" s="20" t="n">
        <v>68</v>
      </c>
      <c r="O47" s="19" t="n">
        <v>58</v>
      </c>
      <c r="P47" s="20" t="n">
        <v>39</v>
      </c>
      <c r="Q47" s="20" t="n">
        <v>26</v>
      </c>
      <c r="R47" s="20" t="n">
        <v>34</v>
      </c>
      <c r="S47" s="20" t="n">
        <v>900</v>
      </c>
      <c r="T47" s="20" t="n">
        <v>32</v>
      </c>
      <c r="U47" s="20" t="n">
        <v>116</v>
      </c>
      <c r="V47" s="20" t="n">
        <v>72</v>
      </c>
      <c r="W47" s="20" t="n">
        <v>88</v>
      </c>
      <c r="X47" s="20" t="n">
        <v>174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n"/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9" t="inlineStr">
        <is>
          <t>법인세비용차감전순이익(손실)</t>
        </is>
      </c>
      <c r="B49" s="10" t="n"/>
      <c r="C49" s="11" t="n">
        <v>321</v>
      </c>
      <c r="D49" s="12" t="n">
        <v>344</v>
      </c>
      <c r="E49" s="12" t="n">
        <v>-959</v>
      </c>
      <c r="F49" s="12" t="n">
        <v>716</v>
      </c>
      <c r="G49" s="12" t="n">
        <v>-99</v>
      </c>
      <c r="H49" s="12" t="n">
        <v>982</v>
      </c>
      <c r="I49" s="12" t="n">
        <v>-1053</v>
      </c>
      <c r="J49" s="12" t="n">
        <v>506</v>
      </c>
      <c r="K49" s="12" t="n">
        <v>379</v>
      </c>
      <c r="L49" s="12" t="n">
        <v>626</v>
      </c>
      <c r="M49" s="12" t="n">
        <v>-203</v>
      </c>
      <c r="N49" s="12" t="n">
        <v>928</v>
      </c>
      <c r="O49" s="11" t="n">
        <v>1636</v>
      </c>
      <c r="P49" s="12" t="n">
        <v>515</v>
      </c>
      <c r="Q49" s="12" t="n">
        <v>468</v>
      </c>
      <c r="R49" s="12" t="n">
        <v>1290</v>
      </c>
      <c r="S49" s="12" t="n">
        <v>-3895</v>
      </c>
      <c r="T49" s="12" t="n">
        <v>1033</v>
      </c>
      <c r="U49" s="12" t="n">
        <v>308</v>
      </c>
      <c r="V49" s="12" t="n">
        <v>488</v>
      </c>
      <c r="W49" s="12" t="n">
        <v>546</v>
      </c>
      <c r="X49" s="12" t="n">
        <v>1308</v>
      </c>
      <c r="Y49" s="11">
        <f>IF(OR(Y25=""),"",IFERROR(Y25+N(Y41)-N(Y43)+N(Y45)-N(Y47),""))</f>
        <v/>
      </c>
      <c r="Z49" s="12">
        <f>IF(OR(Z25=""),"",IFERROR(Z25+N(Z41)-N(Z43)+N(Z45)-N(Z47),""))</f>
        <v/>
      </c>
      <c r="AA49" s="12">
        <f>IF(OR(AA25=""),"",IFERROR(AA25+N(AA41)-N(AA43)+N(AA45)-N(AA47),""))</f>
        <v/>
      </c>
      <c r="AB49" s="12">
        <f>IF(OR(AB25=""),"",IFERROR(AB25+N(AB41)-N(AB43)+N(AB45)-N(AB47),""))</f>
        <v/>
      </c>
      <c r="AC49" s="12">
        <f>IF(OR(AC25=""),"",IFERROR(AC25+N(AC41)-N(AC43)+N(AC45)-N(AC47),""))</f>
        <v/>
      </c>
    </row>
    <row r="50">
      <c r="A50" s="18" t="inlineStr">
        <is>
          <t>법인세비용(수익)</t>
        </is>
      </c>
      <c r="B50" s="10" t="n"/>
      <c r="C50" s="19" t="n">
        <v>125</v>
      </c>
      <c r="D50" s="20" t="n">
        <v>107</v>
      </c>
      <c r="E50" s="20" t="n">
        <v>-109</v>
      </c>
      <c r="F50" s="20" t="n">
        <v>239</v>
      </c>
      <c r="G50" s="20" t="n">
        <v>-8</v>
      </c>
      <c r="H50" s="20" t="n">
        <v>191</v>
      </c>
      <c r="I50" s="20" t="n">
        <v>-105</v>
      </c>
      <c r="J50" s="20" t="n">
        <v>169</v>
      </c>
      <c r="K50" s="20" t="n">
        <v>93</v>
      </c>
      <c r="L50" s="20" t="n">
        <v>88</v>
      </c>
      <c r="M50" s="20" t="n">
        <v>-50</v>
      </c>
      <c r="N50" s="20" t="n">
        <v>283</v>
      </c>
      <c r="O50" s="19" t="n">
        <v>693</v>
      </c>
      <c r="P50" s="20" t="n">
        <v>396</v>
      </c>
      <c r="Q50" s="20" t="n">
        <v>378</v>
      </c>
      <c r="R50" s="20" t="n">
        <v>600</v>
      </c>
      <c r="S50" s="20" t="n">
        <v>213</v>
      </c>
      <c r="T50" s="20" t="n">
        <v>279</v>
      </c>
      <c r="U50" s="20" t="n">
        <v>134</v>
      </c>
      <c r="V50" s="20" t="n">
        <v>288</v>
      </c>
      <c r="W50" s="20" t="n">
        <v>317</v>
      </c>
      <c r="X50" s="20" t="n">
        <v>300</v>
      </c>
      <c r="Y50" s="19">
        <f>IF(OR(Y49="",Y51=""),"",IFERROR(MAX(Y49,0)*Y51,""))</f>
        <v/>
      </c>
      <c r="Z50" s="20">
        <f>IF(OR(Z49="",Z51=""),"",IFERROR(MAX(Z49,0)*Z51,""))</f>
        <v/>
      </c>
      <c r="AA50" s="20">
        <f>IF(OR(AA49="",AA51=""),"",IFERROR(MAX(AA49,0)*AA51,""))</f>
        <v/>
      </c>
      <c r="AB50" s="20">
        <f>IF(OR(AB49="",AB51=""),"",IFERROR(MAX(AB49,0)*AB51,""))</f>
        <v/>
      </c>
      <c r="AC50" s="20">
        <f>IF(OR(AC49="",AC51=""),"",IFERROR(MAX(AC49,0)*AC51,""))</f>
        <v/>
      </c>
    </row>
    <row r="51">
      <c r="A51" s="13" t="inlineStr">
        <is>
          <t>법인세율</t>
        </is>
      </c>
      <c r="B51" s="10" t="inlineStr">
        <is>
          <t>MW 기본 30%</t>
        </is>
      </c>
      <c r="C51" s="14">
        <f>IF(OR(C50="",C49=""),"",IFERROR(C50/C49,""))</f>
        <v/>
      </c>
      <c r="D51" s="15">
        <f>IF(OR(D50="",D49=""),"",IFERROR(D50/D49,""))</f>
        <v/>
      </c>
      <c r="E51" s="15">
        <f>IF(OR(E50="",E49=""),"",IFERROR(E50/E49,""))</f>
        <v/>
      </c>
      <c r="F51" s="15">
        <f>IF(OR(F50="",F49=""),"",IFERROR(F50/F49,""))</f>
        <v/>
      </c>
      <c r="G51" s="15">
        <f>IF(OR(G50="",G49=""),"",IFERROR(G50/G49,""))</f>
        <v/>
      </c>
      <c r="H51" s="15">
        <f>IF(OR(H50="",H49=""),"",IFERROR(H50/H49,""))</f>
        <v/>
      </c>
      <c r="I51" s="15">
        <f>IF(OR(I50="",I49=""),"",IFERROR(I50/I49,""))</f>
        <v/>
      </c>
      <c r="J51" s="15">
        <f>IF(OR(J50="",J49=""),"",IFERROR(J50/J49,""))</f>
        <v/>
      </c>
      <c r="K51" s="15">
        <f>IF(OR(K50="",K49=""),"",IFERROR(K50/K49,""))</f>
        <v/>
      </c>
      <c r="L51" s="15">
        <f>IF(OR(L50="",L49=""),"",IFERROR(L50/L49,""))</f>
        <v/>
      </c>
      <c r="M51" s="15">
        <f>IF(OR(M50="",M49=""),"",IFERROR(M50/M49,""))</f>
        <v/>
      </c>
      <c r="N51" s="15">
        <f>IF(OR(N50="",N49=""),"",IFERROR(N50/N49,""))</f>
        <v/>
      </c>
      <c r="O51" s="14">
        <f>IF(OR(O50="",O49=""),"",IFERROR(O50/O49,""))</f>
        <v/>
      </c>
      <c r="P51" s="15">
        <f>IF(OR(P50="",P49=""),"",IFERROR(P50/P49,""))</f>
        <v/>
      </c>
      <c r="Q51" s="15">
        <f>IF(OR(Q50="",Q49=""),"",IFERROR(Q50/Q49,""))</f>
        <v/>
      </c>
      <c r="R51" s="15">
        <f>IF(OR(R50="",R49=""),"",IFERROR(R50/R49,""))</f>
        <v/>
      </c>
      <c r="S51" s="15">
        <f>IF(OR(S50="",S49=""),"",IFERROR(S50/S49,""))</f>
        <v/>
      </c>
      <c r="T51" s="15">
        <f>IF(OR(T50="",T49=""),"",IFERROR(T50/T49,""))</f>
        <v/>
      </c>
      <c r="U51" s="15">
        <f>IF(OR(U50="",U49=""),"",IFERROR(U50/U49,""))</f>
        <v/>
      </c>
      <c r="V51" s="15">
        <f>IF(OR(V50="",V49=""),"",IFERROR(V50/V49,""))</f>
        <v/>
      </c>
      <c r="W51" s="15">
        <f>IF(OR(W50="",W49=""),"",IFERROR(W50/W49,""))</f>
        <v/>
      </c>
      <c r="X51" s="15">
        <f>IF(OR(X50="",X49=""),"",IFERROR(X50/X49,""))</f>
        <v/>
      </c>
      <c r="Y51" s="25" t="n">
        <v>0.3</v>
      </c>
      <c r="Z51" s="26" t="n">
        <v>0.3</v>
      </c>
      <c r="AA51" s="26" t="n">
        <v>0.3</v>
      </c>
      <c r="AB51" s="26" t="n">
        <v>0.3</v>
      </c>
      <c r="AC51" s="26" t="n">
        <v>0.3</v>
      </c>
    </row>
    <row r="52">
      <c r="A52" s="9" t="inlineStr">
        <is>
          <t>당기순이익(손실)</t>
        </is>
      </c>
      <c r="B52" s="10" t="n"/>
      <c r="C52" s="11" t="n">
        <v>197</v>
      </c>
      <c r="D52" s="12" t="n">
        <v>236</v>
      </c>
      <c r="E52" s="12" t="n">
        <v>-850</v>
      </c>
      <c r="F52" s="12" t="n">
        <v>477</v>
      </c>
      <c r="G52" s="12" t="n">
        <v>-91</v>
      </c>
      <c r="H52" s="12" t="n">
        <v>791</v>
      </c>
      <c r="I52" s="12" t="n">
        <v>-948</v>
      </c>
      <c r="J52" s="12" t="n">
        <v>336</v>
      </c>
      <c r="K52" s="12" t="n">
        <v>287</v>
      </c>
      <c r="L52" s="12" t="n">
        <v>538</v>
      </c>
      <c r="M52" s="12" t="n">
        <v>-153</v>
      </c>
      <c r="N52" s="12" t="n">
        <v>644</v>
      </c>
      <c r="O52" s="11" t="n">
        <v>943</v>
      </c>
      <c r="P52" s="12" t="n">
        <v>119</v>
      </c>
      <c r="Q52" s="12" t="n">
        <v>90</v>
      </c>
      <c r="R52" s="12" t="n">
        <v>690</v>
      </c>
      <c r="S52" s="12" t="n">
        <v>-4109</v>
      </c>
      <c r="T52" s="12" t="n">
        <v>753</v>
      </c>
      <c r="U52" s="12" t="n">
        <v>174</v>
      </c>
      <c r="V52" s="12" t="n">
        <v>199</v>
      </c>
      <c r="W52" s="12" t="n">
        <v>229</v>
      </c>
      <c r="X52" s="12" t="n">
        <v>1008</v>
      </c>
      <c r="Y52" s="11">
        <f>IF(OR(Y49=""),"",IFERROR(Y49-Y50,""))</f>
        <v/>
      </c>
      <c r="Z52" s="12">
        <f>IF(OR(Z49=""),"",IFERROR(Z49-Z50,""))</f>
        <v/>
      </c>
      <c r="AA52" s="12">
        <f>IF(OR(AA49=""),"",IFERROR(AA49-AA50,""))</f>
        <v/>
      </c>
      <c r="AB52" s="12">
        <f>IF(OR(AB49=""),"",IFERROR(AB49-AB50,""))</f>
        <v/>
      </c>
      <c r="AC52" s="12">
        <f>IF(OR(AC49=""),"",IFERROR(AC49-AC50,""))</f>
        <v/>
      </c>
    </row>
    <row r="53">
      <c r="A53" s="9" t="inlineStr">
        <is>
          <t>지배주주 순이익</t>
        </is>
      </c>
      <c r="B53" s="10" t="n"/>
      <c r="C53" s="11" t="n">
        <v>195</v>
      </c>
      <c r="D53" s="12" t="n">
        <v>242</v>
      </c>
      <c r="E53" s="12" t="n">
        <v>-848</v>
      </c>
      <c r="F53" s="12" t="n">
        <v>462</v>
      </c>
      <c r="G53" s="12" t="n">
        <v>-99</v>
      </c>
      <c r="H53" s="12" t="n">
        <v>793</v>
      </c>
      <c r="I53" s="12" t="n">
        <v>-942</v>
      </c>
      <c r="J53" s="12" t="n">
        <v>321</v>
      </c>
      <c r="K53" s="12" t="n">
        <v>281</v>
      </c>
      <c r="L53" s="12" t="n">
        <v>536</v>
      </c>
      <c r="M53" s="12" t="n">
        <v>-150</v>
      </c>
      <c r="N53" s="12" t="n">
        <v>627</v>
      </c>
      <c r="O53" s="11" t="n">
        <v>1134</v>
      </c>
      <c r="P53" s="12" t="n">
        <v>319</v>
      </c>
      <c r="Q53" s="12" t="n">
        <v>234</v>
      </c>
      <c r="R53" s="12" t="n">
        <v>725</v>
      </c>
      <c r="S53" s="12" t="n">
        <v>-4084</v>
      </c>
      <c r="T53" s="12" t="n">
        <v>742</v>
      </c>
      <c r="U53" s="12" t="n">
        <v>173</v>
      </c>
      <c r="V53" s="12" t="n">
        <v>180</v>
      </c>
      <c r="W53" s="12" t="n">
        <v>214</v>
      </c>
      <c r="X53" s="12" t="n">
        <v>988</v>
      </c>
      <c r="Y53" s="11">
        <f>IF(OR(Y52="",Y54=""),"",IFERROR(Y52*Y54,""))</f>
        <v/>
      </c>
      <c r="Z53" s="12">
        <f>IF(OR(Z52="",Z54=""),"",IFERROR(Z52*Z54,""))</f>
        <v/>
      </c>
      <c r="AA53" s="12">
        <f>IF(OR(AA52="",AA54=""),"",IFERROR(AA52*AA54,""))</f>
        <v/>
      </c>
      <c r="AB53" s="12">
        <f>IF(OR(AB52="",AB54=""),"",IFERROR(AB52*AB54,""))</f>
        <v/>
      </c>
      <c r="AC53" s="12">
        <f>IF(OR(AC52="",AC54=""),"",IFERROR(AC52*AC54,""))</f>
        <v/>
      </c>
    </row>
    <row r="54">
      <c r="A54" s="13" t="inlineStr">
        <is>
          <t>지배주주 순이익률</t>
        </is>
      </c>
      <c r="B54" s="10" t="inlineStr">
        <is>
          <t>MW 기본 100%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1</v>
      </c>
      <c r="Z54" s="26" t="n">
        <v>1</v>
      </c>
      <c r="AA54" s="26" t="n">
        <v>1</v>
      </c>
      <c r="AB54" s="26" t="n">
        <v>1</v>
      </c>
      <c r="AC54" s="26" t="n">
        <v>1</v>
      </c>
    </row>
    <row r="55">
      <c r="A55" s="16" t="inlineStr">
        <is>
          <t>목표주가 산출</t>
        </is>
      </c>
      <c r="B55" s="16" t="n"/>
      <c r="C55" s="17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7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7" t="n"/>
      <c r="Z55" s="16" t="n"/>
      <c r="AA55" s="16" t="n"/>
      <c r="AB55" s="16" t="n"/>
      <c r="AC55" s="16" t="n"/>
    </row>
    <row r="56">
      <c r="A56" s="18" t="inlineStr">
        <is>
          <t>현재 주가 (2026.10.26)</t>
        </is>
      </c>
      <c r="B56" s="27" t="n">
        <v>2016</v>
      </c>
      <c r="C56" s="28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8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8" t="n"/>
      <c r="Z56" s="29" t="n"/>
      <c r="AA56" s="29" t="n"/>
      <c r="AB56" s="29" t="n"/>
      <c r="AC56" s="29" t="n"/>
    </row>
    <row r="57">
      <c r="A57" s="18" t="inlineStr">
        <is>
          <t>발행주식수 (보통주)</t>
        </is>
      </c>
      <c r="B57" s="27" t="n">
        <v>22689000</v>
      </c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8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8" t="n"/>
      <c r="Z57" s="29" t="n"/>
      <c r="AA57" s="29" t="n"/>
      <c r="AB57" s="29" t="n"/>
      <c r="AC57" s="29" t="n"/>
    </row>
    <row r="58">
      <c r="A58" s="18" t="inlineStr">
        <is>
          <t>시가총액 (백만엔)</t>
        </is>
      </c>
      <c r="B58" s="12">
        <f>IF(OR(B56="",B57=""),"",B56*B57/1000000.0)</f>
        <v/>
      </c>
      <c r="C58" s="19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19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19" t="n"/>
      <c r="Z58" s="20" t="n"/>
      <c r="AA58" s="20" t="n"/>
      <c r="AB58" s="20" t="n"/>
      <c r="AC58" s="20" t="n"/>
    </row>
    <row r="59">
      <c r="A59" s="13" t="inlineStr">
        <is>
          <t>OPM</t>
        </is>
      </c>
      <c r="B59" s="10" t="n"/>
      <c r="C59" s="14" t="n"/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4">
        <f>IF(O26="","",O26)</f>
        <v/>
      </c>
      <c r="P59" s="15">
        <f>IF(P26="","",P26)</f>
        <v/>
      </c>
      <c r="Q59" s="15">
        <f>IF(Q26="","",Q26)</f>
        <v/>
      </c>
      <c r="R59" s="15">
        <f>IF(R26="","",R26)</f>
        <v/>
      </c>
      <c r="S59" s="15">
        <f>IF(S26="","",S26)</f>
        <v/>
      </c>
      <c r="T59" s="15">
        <f>IF(T26="","",T26)</f>
        <v/>
      </c>
      <c r="U59" s="15">
        <f>IF(U26="","",U26)</f>
        <v/>
      </c>
      <c r="V59" s="15">
        <f>IF(V26="","",V26)</f>
        <v/>
      </c>
      <c r="W59" s="15">
        <f>IF(W26="","",W26)</f>
        <v/>
      </c>
      <c r="X59" s="15">
        <f>IF(X26="","",X26)</f>
        <v/>
      </c>
      <c r="Y59" s="14">
        <f>IF(Y26="","",Y26)</f>
        <v/>
      </c>
      <c r="Z59" s="15">
        <f>IF(Z26="","",Z26)</f>
        <v/>
      </c>
      <c r="AA59" s="15">
        <f>IF(AA26="","",AA26)</f>
        <v/>
      </c>
      <c r="AB59" s="15">
        <f>IF(AB26="","",AB26)</f>
        <v/>
      </c>
      <c r="AC59" s="15">
        <f>IF(AC26="","",AC26)</f>
        <v/>
      </c>
    </row>
    <row r="60">
      <c r="A60" s="13" t="inlineStr">
        <is>
          <t>지배주주 순이익 증가율</t>
        </is>
      </c>
      <c r="B60" s="10" t="n"/>
      <c r="C60" s="14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4" t="n"/>
      <c r="P60" s="15">
        <f>IF(OR(P53="",O53=""),"",IFERROR(P53/O53-1,""))</f>
        <v/>
      </c>
      <c r="Q60" s="15">
        <f>IF(OR(Q53="",P53=""),"",IFERROR(Q53/P53-1,""))</f>
        <v/>
      </c>
      <c r="R60" s="15">
        <f>IF(OR(R53="",Q53=""),"",IFERROR(R53/Q53-1,""))</f>
        <v/>
      </c>
      <c r="S60" s="15">
        <f>IF(OR(S53="",R53=""),"",IFERROR(S53/R53-1,""))</f>
        <v/>
      </c>
      <c r="T60" s="15">
        <f>IF(OR(T53="",S53=""),"",IFERROR(T53/S53-1,""))</f>
        <v/>
      </c>
      <c r="U60" s="15">
        <f>IF(OR(U53="",T53=""),"",IFERROR(U53/T53-1,""))</f>
        <v/>
      </c>
      <c r="V60" s="15">
        <f>IF(OR(V53="",U53=""),"",IFERROR(V53/U53-1,""))</f>
        <v/>
      </c>
      <c r="W60" s="15">
        <f>IF(OR(W53="",V53=""),"",IFERROR(W53/V53-1,""))</f>
        <v/>
      </c>
      <c r="X60" s="15">
        <f>IF(OR(X53="",W53=""),"",IFERROR(X53/W53-1,""))</f>
        <v/>
      </c>
      <c r="Y60" s="14">
        <f>IF(OR(Y53="",X53=""),"",IFERROR(Y53/X53-1,""))</f>
        <v/>
      </c>
      <c r="Z60" s="15">
        <f>IF(OR(Z53="",Y53=""),"",IFERROR(Z53/Y53-1,""))</f>
        <v/>
      </c>
      <c r="AA60" s="15">
        <f>IF(OR(AA53="",Z53=""),"",IFERROR(AA53/Z53-1,""))</f>
        <v/>
      </c>
      <c r="AB60" s="15">
        <f>IF(OR(AB53="",AA53=""),"",IFERROR(AB53/AA53-1,""))</f>
        <v/>
      </c>
      <c r="AC60" s="15">
        <f>IF(OR(AC53="",AB53=""),"",IFERROR(AC53/AB53-1,""))</f>
        <v/>
      </c>
    </row>
    <row r="61">
      <c r="A61" s="18" t="inlineStr">
        <is>
          <t>P/E (현재 주가)</t>
        </is>
      </c>
      <c r="B61" s="10" t="inlineStr">
        <is>
          <t>시총 ÷ 지배순이익</t>
        </is>
      </c>
      <c r="C61" s="30" t="n"/>
      <c r="D61" s="31" t="n"/>
      <c r="E61" s="31" t="n"/>
      <c r="F61" s="31" t="n"/>
      <c r="G61" s="31" t="n"/>
      <c r="H61" s="31" t="n"/>
      <c r="I61" s="31" t="n"/>
      <c r="J61" s="31" t="n"/>
      <c r="K61" s="31" t="n"/>
      <c r="L61" s="31" t="n"/>
      <c r="M61" s="31" t="n"/>
      <c r="N61" s="31" t="n"/>
      <c r="O61" s="30" t="n"/>
      <c r="P61" s="31" t="n"/>
      <c r="Q61" s="31" t="n"/>
      <c r="R61" s="31" t="n"/>
      <c r="S61" s="31" t="n"/>
      <c r="T61" s="31" t="n"/>
      <c r="U61" s="31" t="n"/>
      <c r="V61" s="31" t="n"/>
      <c r="W61" s="31" t="n"/>
      <c r="X61" s="31">
        <f>IF(OR($B$58="",X53=""),"",IFERROR($B$58/X53,""))</f>
        <v/>
      </c>
      <c r="Y61" s="30">
        <f>IF(OR($B$58="",Y53=""),"",IFERROR($B$58/Y53,""))</f>
        <v/>
      </c>
      <c r="Z61" s="31">
        <f>IF(OR($B$58="",Z53=""),"",IFERROR($B$58/Z53,""))</f>
        <v/>
      </c>
      <c r="AA61" s="31">
        <f>IF(OR($B$58="",AA53=""),"",IFERROR($B$58/AA53,""))</f>
        <v/>
      </c>
      <c r="AB61" s="31">
        <f>IF(OR($B$58="",AB53=""),"",IFERROR($B$58/AB53,""))</f>
        <v/>
      </c>
      <c r="AC61" s="31">
        <f>IF(OR($B$58="",AC53=""),"",IFERROR($B$58/AC53,""))</f>
        <v/>
      </c>
    </row>
    <row r="62">
      <c r="A62" s="18" t="inlineStr">
        <is>
          <t>Target P/E</t>
        </is>
      </c>
      <c r="B62" s="10" t="inlineStr">
        <is>
          <t>직접 입력</t>
        </is>
      </c>
      <c r="C62" s="30" t="n"/>
      <c r="D62" s="31" t="n"/>
      <c r="E62" s="31" t="n"/>
      <c r="F62" s="31" t="n"/>
      <c r="G62" s="31" t="n"/>
      <c r="H62" s="31" t="n"/>
      <c r="I62" s="31" t="n"/>
      <c r="J62" s="31" t="n"/>
      <c r="K62" s="31" t="n"/>
      <c r="L62" s="31" t="n"/>
      <c r="M62" s="31" t="n"/>
      <c r="N62" s="31" t="n"/>
      <c r="O62" s="30" t="n"/>
      <c r="P62" s="31" t="n"/>
      <c r="Q62" s="31" t="n"/>
      <c r="R62" s="31" t="n"/>
      <c r="S62" s="31" t="n"/>
      <c r="T62" s="31" t="n"/>
      <c r="U62" s="31" t="n"/>
      <c r="V62" s="31" t="n"/>
      <c r="W62" s="31" t="n"/>
      <c r="X62" s="31" t="n"/>
      <c r="Y62" s="32" t="n"/>
      <c r="Z62" s="33" t="n"/>
      <c r="AA62" s="33" t="n"/>
      <c r="AB62" s="33" t="n"/>
      <c r="AC62" s="33" t="n"/>
    </row>
    <row r="63">
      <c r="A63" s="18" t="inlineStr">
        <is>
          <t>EPS</t>
        </is>
      </c>
      <c r="B63" s="10" t="inlineStr">
        <is>
          <t>지배순이익 ÷ 주식수</t>
        </is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>
        <f>IF(OR(O53="",$B$57=""),"",IFERROR(O53*1000000.0/$B$57,""))</f>
        <v/>
      </c>
      <c r="P63" s="29">
        <f>IF(OR(P53="",$B$57=""),"",IFERROR(P53*1000000.0/$B$57,""))</f>
        <v/>
      </c>
      <c r="Q63" s="29">
        <f>IF(OR(Q53="",$B$57=""),"",IFERROR(Q53*1000000.0/$B$57,""))</f>
        <v/>
      </c>
      <c r="R63" s="29">
        <f>IF(OR(R53="",$B$57=""),"",IFERROR(R53*1000000.0/$B$57,""))</f>
        <v/>
      </c>
      <c r="S63" s="29">
        <f>IF(OR(S53="",$B$57=""),"",IFERROR(S53*1000000.0/$B$57,""))</f>
        <v/>
      </c>
      <c r="T63" s="29">
        <f>IF(OR(T53="",$B$57=""),"",IFERROR(T53*1000000.0/$B$57,""))</f>
        <v/>
      </c>
      <c r="U63" s="29">
        <f>IF(OR(U53="",$B$57=""),"",IFERROR(U53*1000000.0/$B$57,""))</f>
        <v/>
      </c>
      <c r="V63" s="29">
        <f>IF(OR(V53="",$B$57=""),"",IFERROR(V53*1000000.0/$B$57,""))</f>
        <v/>
      </c>
      <c r="W63" s="29">
        <f>IF(OR(W53="",$B$57=""),"",IFERROR(W53*1000000.0/$B$57,""))</f>
        <v/>
      </c>
      <c r="X63" s="29">
        <f>IF(OR(X53="",$B$57=""),"",IFERROR(X53*1000000.0/$B$57,""))</f>
        <v/>
      </c>
      <c r="Y63" s="28">
        <f>IF(OR(Y53="",$B$57=""),"",IFERROR(Y53*1000000.0/$B$57,""))</f>
        <v/>
      </c>
      <c r="Z63" s="29">
        <f>IF(OR(Z53="",$B$57=""),"",IFERROR(Z53*1000000.0/$B$57,""))</f>
        <v/>
      </c>
      <c r="AA63" s="29">
        <f>IF(OR(AA53="",$B$57=""),"",IFERROR(AA53*1000000.0/$B$57,""))</f>
        <v/>
      </c>
      <c r="AB63" s="29">
        <f>IF(OR(AB53="",$B$57=""),"",IFERROR(AB53*1000000.0/$B$57,""))</f>
        <v/>
      </c>
      <c r="AC63" s="29">
        <f>IF(OR(AC53="",$B$57=""),"",IFERROR(AC53*1000000.0/$B$57,""))</f>
        <v/>
      </c>
    </row>
    <row r="64">
      <c r="A64" s="9" t="inlineStr">
        <is>
          <t>목표주가</t>
        </is>
      </c>
      <c r="B64" s="10" t="n"/>
      <c r="C64" s="34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34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34">
        <f>IF(OR(Y63="",Y62=""),"",IFERROR(Y63*Y62,""))</f>
        <v/>
      </c>
      <c r="Z64" s="27">
        <f>IF(OR(Z63="",Z62=""),"",IFERROR(Z63*Z62,""))</f>
        <v/>
      </c>
      <c r="AA64" s="27">
        <f>IF(OR(AA63="",AA62=""),"",IFERROR(AA63*AA62,""))</f>
        <v/>
      </c>
      <c r="AB64" s="27">
        <f>IF(OR(AB63="",AB62=""),"",IFERROR(AB63*AB62,""))</f>
        <v/>
      </c>
      <c r="AC64" s="27">
        <f>IF(OR(AC63="",AC62=""),"",IFERROR(AC63*AC62,""))</f>
        <v/>
      </c>
    </row>
    <row r="65">
      <c r="A65" s="18" t="inlineStr">
        <is>
          <t>상승여력</t>
        </is>
      </c>
      <c r="B65" s="10" t="n"/>
      <c r="C65" s="35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5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7">
        <f>IF(OR(Y64="",$B$56=""),"",IFERROR(Y64/$B$56-1,""))</f>
        <v/>
      </c>
      <c r="Z65" s="38">
        <f>IF(OR(Z64="",$B$56=""),"",IFERROR(Z64/$B$56-1,""))</f>
        <v/>
      </c>
      <c r="AA65" s="38">
        <f>IF(OR(AA64="",$B$56=""),"",IFERROR(AA64/$B$56-1,""))</f>
        <v/>
      </c>
      <c r="AB65" s="38">
        <f>IF(OR(AB64="",$B$56=""),"",IFERROR(AB64/$B$56-1,""))</f>
        <v/>
      </c>
      <c r="AC65" s="38">
        <f>IF(OR(AC64="",$B$56=""),"",IFERROR(AC64/$B$56-1,""))</f>
        <v/>
      </c>
    </row>
    <row r="66">
      <c r="A66" s="16" t="inlineStr">
        <is>
          <t>자산가치 산출</t>
        </is>
      </c>
      <c r="B66" s="16" t="inlineStr">
        <is>
          <t>최신 분기 BS</t>
        </is>
      </c>
      <c r="C66" s="17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7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7" t="n"/>
      <c r="Z66" s="16" t="n"/>
      <c r="AA66" s="16" t="n"/>
      <c r="AB66" s="16" t="n"/>
      <c r="AC66" s="16" t="n"/>
    </row>
    <row r="67">
      <c r="A67" s="18" t="inlineStr">
        <is>
          <t>현금및현금성자산</t>
        </is>
      </c>
      <c r="B67" s="10" t="n"/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>
        <f>'재무상태표'!G6</f>
        <v/>
      </c>
      <c r="Y67" s="19">
        <f>'재무상태표'!G6</f>
        <v/>
      </c>
      <c r="Z67" s="20">
        <f>'재무상태표'!G6</f>
        <v/>
      </c>
      <c r="AA67" s="20">
        <f>'재무상태표'!G6</f>
        <v/>
      </c>
      <c r="AB67" s="20">
        <f>'재무상태표'!G6</f>
        <v/>
      </c>
      <c r="AC67" s="20">
        <f>'재무상태표'!G6</f>
        <v/>
      </c>
    </row>
    <row r="68">
      <c r="A68" s="18" t="inlineStr">
        <is>
          <t>단기금융상품</t>
        </is>
      </c>
      <c r="B68" s="10" t="n"/>
      <c r="C68" s="19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19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>
        <f>'재무상태표'!G7</f>
        <v/>
      </c>
      <c r="Y68" s="19">
        <f>'재무상태표'!G7</f>
        <v/>
      </c>
      <c r="Z68" s="20">
        <f>'재무상태표'!G7</f>
        <v/>
      </c>
      <c r="AA68" s="20">
        <f>'재무상태표'!G7</f>
        <v/>
      </c>
      <c r="AB68" s="20">
        <f>'재무상태표'!G7</f>
        <v/>
      </c>
      <c r="AC68" s="20">
        <f>'재무상태표'!G7</f>
        <v/>
      </c>
    </row>
    <row r="69">
      <c r="A69" s="18" t="inlineStr">
        <is>
          <t>투자부동산</t>
        </is>
      </c>
      <c r="B69" s="10" t="n"/>
      <c r="C69" s="19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19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>
        <f>'재무상태표'!G14</f>
        <v/>
      </c>
      <c r="Y69" s="19">
        <f>'재무상태표'!G14</f>
        <v/>
      </c>
      <c r="Z69" s="20">
        <f>'재무상태표'!G14</f>
        <v/>
      </c>
      <c r="AA69" s="20">
        <f>'재무상태표'!G14</f>
        <v/>
      </c>
      <c r="AB69" s="20">
        <f>'재무상태표'!G14</f>
        <v/>
      </c>
      <c r="AC69" s="20">
        <f>'재무상태표'!G14</f>
        <v/>
      </c>
    </row>
    <row r="70">
      <c r="A70" s="18" t="inlineStr">
        <is>
          <t>지배자본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'재무상태표'!G31</f>
        <v/>
      </c>
      <c r="Y70" s="19">
        <f>'재무상태표'!G31</f>
        <v/>
      </c>
      <c r="Z70" s="20">
        <f>'재무상태표'!G31</f>
        <v/>
      </c>
      <c r="AA70" s="20">
        <f>'재무상태표'!G31</f>
        <v/>
      </c>
      <c r="AB70" s="20">
        <f>'재무상태표'!G31</f>
        <v/>
      </c>
      <c r="AC70" s="20">
        <f>'재무상태표'!G31</f>
        <v/>
      </c>
    </row>
    <row r="71">
      <c r="A71" s="18" t="inlineStr">
        <is>
          <t>부채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'재무상태표'!G27</f>
        <v/>
      </c>
      <c r="Y71" s="19">
        <f>'재무상태표'!G27</f>
        <v/>
      </c>
      <c r="Z71" s="20">
        <f>'재무상태표'!G27</f>
        <v/>
      </c>
      <c r="AA71" s="20">
        <f>'재무상태표'!G27</f>
        <v/>
      </c>
      <c r="AB71" s="20">
        <f>'재무상태표'!G27</f>
        <v/>
      </c>
      <c r="AC71" s="20">
        <f>'재무상태표'!G27</f>
        <v/>
      </c>
    </row>
    <row r="72">
      <c r="A72" s="13" t="inlineStr">
        <is>
          <t>부채비율</t>
        </is>
      </c>
      <c r="B72" s="10" t="n"/>
      <c r="C72" s="14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4" t="n"/>
      <c r="P72" s="15" t="n"/>
      <c r="Q72" s="15" t="n"/>
      <c r="R72" s="15" t="n"/>
      <c r="S72" s="15" t="n"/>
      <c r="T72" s="15" t="n"/>
      <c r="U72" s="15" t="n"/>
      <c r="V72" s="15" t="n"/>
      <c r="W72" s="15" t="n"/>
      <c r="X72" s="15">
        <f>IF(OR(X71="",X70=""),"",IFERROR(X71/X70,""))</f>
        <v/>
      </c>
      <c r="Y72" s="14">
        <f>IF(OR(Y71="",Y70=""),"",IFERROR(Y71/Y70,""))</f>
        <v/>
      </c>
      <c r="Z72" s="15">
        <f>IF(OR(Z71="",Z70=""),"",IFERROR(Z71/Z70,""))</f>
        <v/>
      </c>
      <c r="AA72" s="15">
        <f>IF(OR(AA71="",AA70=""),"",IFERROR(AA71/AA70,""))</f>
        <v/>
      </c>
      <c r="AB72" s="15">
        <f>IF(OR(AB71="",AB70=""),"",IFERROR(AB71/AB70,""))</f>
        <v/>
      </c>
      <c r="AC72" s="15">
        <f>IF(OR(AC71="",AC70=""),"",IFERROR(AC71/AC70,""))</f>
        <v/>
      </c>
    </row>
    <row r="73">
      <c r="A73" s="9" t="inlineStr">
        <is>
          <t>자산가치</t>
        </is>
      </c>
      <c r="B73" s="10" t="inlineStr">
        <is>
          <t>현금+단기금융+투자부동산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>
        <f>SUM(X67,X68,X69)</f>
        <v/>
      </c>
      <c r="Y73" s="11">
        <f>SUM(Y67,Y68,Y69)</f>
        <v/>
      </c>
      <c r="Z73" s="12">
        <f>SUM(Z67,Z68,Z69)</f>
        <v/>
      </c>
      <c r="AA73" s="12">
        <f>SUM(AA67,AA68,AA69)</f>
        <v/>
      </c>
      <c r="AB73" s="12">
        <f>SUM(AB67,AB68,AB69)</f>
        <v/>
      </c>
      <c r="AC73" s="12">
        <f>SUM(AC67,AC68,AC69)</f>
        <v/>
      </c>
    </row>
    <row r="74">
      <c r="A74" s="16" t="inlineStr">
        <is>
          <t>기업가치 산출</t>
        </is>
      </c>
      <c r="B74" s="16" t="n"/>
      <c r="C74" s="17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7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7" t="n"/>
      <c r="Z74" s="16" t="n"/>
      <c r="AA74" s="16" t="n"/>
      <c r="AB74" s="16" t="n"/>
      <c r="AC74" s="16" t="n"/>
    </row>
    <row r="75">
      <c r="A75" s="18" t="inlineStr">
        <is>
          <t>목표 시가총액 (P/E)</t>
        </is>
      </c>
      <c r="B75" s="10" t="inlineStr">
        <is>
          <t>지배순이익 × Target P/E</t>
        </is>
      </c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19">
        <f>IF(OR(Y53="",Y62=""),"",IFERROR(Y53*Y62,""))</f>
        <v/>
      </c>
      <c r="Z75" s="20">
        <f>IF(OR(Z53="",Z62=""),"",IFERROR(Z53*Z62,""))</f>
        <v/>
      </c>
      <c r="AA75" s="20">
        <f>IF(OR(AA53="",AA62=""),"",IFERROR(AA53*AA62,""))</f>
        <v/>
      </c>
      <c r="AB75" s="20">
        <f>IF(OR(AB53="",AB62=""),"",IFERROR(AB53*AB62,""))</f>
        <v/>
      </c>
      <c r="AC75" s="20">
        <f>IF(OR(AC53="",AC62=""),"",IFERROR(AC53*AC62,""))</f>
        <v/>
      </c>
    </row>
    <row r="76">
      <c r="A76" s="9" t="inlineStr">
        <is>
          <t>기업가치</t>
        </is>
      </c>
      <c r="B76" s="10" t="inlineStr">
        <is>
          <t>목표시총 + 자산가치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1">
        <f>IF(OR(Y75=""),"",IFERROR(Y75+Y73,""))</f>
        <v/>
      </c>
      <c r="Z76" s="12">
        <f>IF(OR(Z75=""),"",IFERROR(Z75+Z73,""))</f>
        <v/>
      </c>
      <c r="AA76" s="12">
        <f>IF(OR(AA75=""),"",IFERROR(AA75+AA73,""))</f>
        <v/>
      </c>
      <c r="AB76" s="12">
        <f>IF(OR(AB75=""),"",IFERROR(AB75+AB73,""))</f>
        <v/>
      </c>
      <c r="AC76" s="12">
        <f>IF(OR(AC75=""),"",IFERROR(AC75+AC73,""))</f>
        <v/>
      </c>
    </row>
    <row r="77">
      <c r="A77" s="18" t="inlineStr">
        <is>
          <t>현재 시가총액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19">
        <f>$B$58</f>
        <v/>
      </c>
      <c r="Z77" s="20">
        <f>$B$58</f>
        <v/>
      </c>
      <c r="AA77" s="20">
        <f>$B$58</f>
        <v/>
      </c>
      <c r="AB77" s="20">
        <f>$B$58</f>
        <v/>
      </c>
      <c r="AC77" s="20">
        <f>$B$58</f>
        <v/>
      </c>
    </row>
    <row r="78">
      <c r="A78" s="18" t="inlineStr">
        <is>
          <t>상승여력</t>
        </is>
      </c>
      <c r="B78" s="10" t="n"/>
      <c r="C78" s="35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5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7">
        <f>IF(OR(Y76="",Y77=""),"",IFERROR(Y76/Y77-1,""))</f>
        <v/>
      </c>
      <c r="Z78" s="38">
        <f>IF(OR(Z76="",Z77=""),"",IFERROR(Z76/Z77-1,""))</f>
        <v/>
      </c>
      <c r="AA78" s="38">
        <f>IF(OR(AA76="",AA77=""),"",IFERROR(AA76/AA77-1,""))</f>
        <v/>
      </c>
      <c r="AB78" s="38">
        <f>IF(OR(AB76="",AB77=""),"",IFERROR(AB76/AB77-1,""))</f>
        <v/>
      </c>
      <c r="AC78" s="38">
        <f>IF(OR(AC76="",AC77=""),"",IFERROR(AC76/AC77-1,""))</f>
        <v/>
      </c>
    </row>
    <row r="79">
      <c r="C79" s="39" t="n"/>
      <c r="O79" s="39" t="n"/>
      <c r="Y79" s="39" t="n"/>
    </row>
    <row r="80">
      <c r="A80" s="40" t="inlineStr">
        <is>
          <t>출처</t>
        </is>
      </c>
      <c r="C80" s="39" t="n"/>
      <c r="O80" s="39" t="n"/>
      <c r="Y80" s="39" t="n"/>
    </row>
    <row r="81">
      <c r="A81" s="41" t="inlineStr">
        <is>
          <t>결산단신 XBRL(TDnet·JPX 보관소) — 쓴 문서는 '출처' 시트</t>
        </is>
      </c>
      <c r="C81" s="39" t="n"/>
      <c r="O81" s="39" t="n"/>
      <c r="Y81" s="39" t="n"/>
    </row>
    <row r="82">
      <c r="A82" s="41" t="inlineStr">
        <is>
          <t>분기 = 누계에서 앞 분기를 뺀 3개월 값</t>
        </is>
      </c>
      <c r="C82" s="39" t="n"/>
      <c r="O82" s="39" t="n"/>
      <c r="Y82" s="39" t="n"/>
    </row>
    <row r="83">
      <c r="A83" s="41" t="inlineStr">
        <is>
          <t>주가: 야후 파이낸스 일봉 2026.10.26</t>
        </is>
      </c>
      <c r="C83" s="39" t="n"/>
      <c r="O83" s="39" t="n"/>
      <c r="Y83" s="39" t="n"/>
    </row>
    <row r="85">
      <c r="A85" s="16" t="inlineStr">
        <is>
          <t>손익계산서 · 전 항목</t>
        </is>
      </c>
      <c r="B85" s="42" t="inlineStr">
        <is>
          <t>분기 = 3개월 단독</t>
        </is>
      </c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  <c r="AA85" s="16" t="n"/>
      <c r="AB85" s="16" t="n"/>
      <c r="AC85" s="16" t="n"/>
    </row>
    <row r="86">
      <c r="A86" s="5" t="inlineStr">
        <is>
          <t>항목</t>
        </is>
      </c>
      <c r="B86" s="5" t="inlineStr">
        <is>
          <t>참고</t>
        </is>
      </c>
      <c r="C86" s="5" t="inlineStr">
        <is>
          <t>2024.2Q</t>
        </is>
      </c>
      <c r="D86" s="5" t="inlineStr">
        <is>
          <t>2024.3Q</t>
        </is>
      </c>
      <c r="E86" s="5" t="inlineStr">
        <is>
          <t>2024.4Q</t>
        </is>
      </c>
      <c r="F86" s="5" t="inlineStr">
        <is>
          <t>2025.1Q</t>
        </is>
      </c>
      <c r="G86" s="5" t="inlineStr">
        <is>
          <t>2025.2Q</t>
        </is>
      </c>
      <c r="H86" s="5" t="inlineStr">
        <is>
          <t>2025.3Q</t>
        </is>
      </c>
      <c r="I86" s="5" t="inlineStr">
        <is>
          <t>2025.4Q</t>
        </is>
      </c>
      <c r="J86" s="5" t="inlineStr">
        <is>
          <t>2026.1Q</t>
        </is>
      </c>
      <c r="K86" s="5" t="inlineStr">
        <is>
          <t>2026.2Q</t>
        </is>
      </c>
      <c r="L86" s="5" t="inlineStr">
        <is>
          <t>2026.3Q</t>
        </is>
      </c>
      <c r="M86" s="5" t="inlineStr">
        <is>
          <t>2026.4Q</t>
        </is>
      </c>
      <c r="N86" s="5" t="inlineStr">
        <is>
          <t>2027.1Q</t>
        </is>
      </c>
      <c r="O86" s="5" t="inlineStr">
        <is>
          <t>2017</t>
        </is>
      </c>
      <c r="P86" s="5" t="inlineStr">
        <is>
          <t>2018</t>
        </is>
      </c>
      <c r="Q86" s="5" t="inlineStr">
        <is>
          <t>2019</t>
        </is>
      </c>
      <c r="R86" s="5" t="inlineStr">
        <is>
          <t>2020</t>
        </is>
      </c>
      <c r="S86" s="5" t="inlineStr">
        <is>
          <t>2021</t>
        </is>
      </c>
      <c r="T86" s="5" t="inlineStr">
        <is>
          <t>2022</t>
        </is>
      </c>
      <c r="U86" s="5" t="inlineStr">
        <is>
          <t>2023</t>
        </is>
      </c>
      <c r="V86" s="5" t="inlineStr">
        <is>
          <t>2024</t>
        </is>
      </c>
      <c r="W86" s="5" t="inlineStr">
        <is>
          <t>2025</t>
        </is>
      </c>
      <c r="X86" s="5" t="inlineStr">
        <is>
          <t>2026</t>
        </is>
      </c>
      <c r="Y86" s="5" t="inlineStr">
        <is>
          <t>2027(MW)</t>
        </is>
      </c>
      <c r="Z86" s="5" t="inlineStr">
        <is>
          <t>2028(MW)</t>
        </is>
      </c>
      <c r="AA86" s="5" t="inlineStr">
        <is>
          <t>2029(MW)</t>
        </is>
      </c>
      <c r="AB86" s="5" t="inlineStr">
        <is>
          <t>2030(MW)</t>
        </is>
      </c>
      <c r="AC86" s="5" t="inlineStr">
        <is>
          <t>2031(MW)</t>
        </is>
      </c>
    </row>
    <row r="87">
      <c r="A87" s="9" t="inlineStr">
        <is>
          <t>매출액</t>
        </is>
      </c>
      <c r="C87" s="12" t="n">
        <v>18261</v>
      </c>
      <c r="D87" s="12" t="n">
        <v>19416</v>
      </c>
      <c r="E87" s="12" t="n">
        <v>16904</v>
      </c>
      <c r="F87" s="12" t="n">
        <v>19073</v>
      </c>
      <c r="G87" s="12" t="n">
        <v>19662</v>
      </c>
      <c r="H87" s="12" t="n">
        <v>21660</v>
      </c>
      <c r="I87" s="12" t="n">
        <v>17388</v>
      </c>
      <c r="J87" s="12" t="n">
        <v>20669</v>
      </c>
      <c r="K87" s="12" t="n">
        <v>23186</v>
      </c>
      <c r="L87" s="12" t="n">
        <v>26473</v>
      </c>
      <c r="M87" s="12" t="n">
        <v>22739</v>
      </c>
      <c r="N87" s="12" t="n">
        <v>24118</v>
      </c>
      <c r="T87" s="12" t="n">
        <v>13059</v>
      </c>
      <c r="U87" s="12" t="n">
        <v>15936</v>
      </c>
      <c r="V87" s="12" t="n">
        <v>16904</v>
      </c>
      <c r="W87" s="12" t="n">
        <v>17388</v>
      </c>
      <c r="X87" s="12" t="n">
        <v>22739</v>
      </c>
    </row>
    <row r="88">
      <c r="A88" s="43" t="inlineStr">
        <is>
          <t>YoY</t>
        </is>
      </c>
      <c r="B88" s="3" t="inlineStr">
        <is>
          <t>전년 같은 분기·전년 대비</t>
        </is>
      </c>
      <c r="G88" s="15">
        <f>IF(OR(G87="",C87=""),"",IF(C87&lt;=0,"",IFERROR(G87/C87-1,"")))</f>
        <v/>
      </c>
      <c r="H88" s="15">
        <f>IF(OR(H87="",D87=""),"",IF(D87&lt;=0,"",IFERROR(H87/D87-1,"")))</f>
        <v/>
      </c>
      <c r="I88" s="15">
        <f>IF(OR(I87="",E87=""),"",IF(E87&lt;=0,"",IFERROR(I87/E87-1,"")))</f>
        <v/>
      </c>
      <c r="J88" s="15">
        <f>IF(OR(J87="",F87=""),"",IF(F87&lt;=0,"",IFERROR(J87/F87-1,"")))</f>
        <v/>
      </c>
      <c r="K88" s="15">
        <f>IF(OR(K87="",G87=""),"",IF(G87&lt;=0,"",IFERROR(K87/G87-1,"")))</f>
        <v/>
      </c>
      <c r="L88" s="15">
        <f>IF(OR(L87="",H87=""),"",IF(H87&lt;=0,"",IFERROR(L87/H87-1,"")))</f>
        <v/>
      </c>
      <c r="M88" s="15">
        <f>IF(OR(M87="",I87=""),"",IF(I87&lt;=0,"",IFERROR(M87/I87-1,"")))</f>
        <v/>
      </c>
      <c r="N88" s="15">
        <f>IF(OR(N87="",J87=""),"",IF(J87&lt;=0,"",IFERROR(N87/J87-1,"")))</f>
        <v/>
      </c>
      <c r="T88" s="15">
        <f>IF(OR(T87="",S87=""),"",IF(S87&lt;=0,"",IFERROR(T87/S87-1,"")))</f>
        <v/>
      </c>
      <c r="U88" s="15">
        <f>IF(OR(U87="",T87=""),"",IF(T87&lt;=0,"",IFERROR(U87/T87-1,"")))</f>
        <v/>
      </c>
      <c r="V88" s="15">
        <f>IF(OR(V87="",U87=""),"",IF(U87&lt;=0,"",IFERROR(V87/U87-1,"")))</f>
        <v/>
      </c>
      <c r="W88" s="15">
        <f>IF(OR(W87="",V87=""),"",IF(V87&lt;=0,"",IFERROR(W87/V87-1,"")))</f>
        <v/>
      </c>
      <c r="X88" s="15">
        <f>IF(OR(X87="",W87=""),"",IF(W87&lt;=0,"",IFERROR(X87/W87-1,"")))</f>
        <v/>
      </c>
    </row>
    <row r="89">
      <c r="A89" s="18" t="inlineStr">
        <is>
          <t>매출원가</t>
        </is>
      </c>
      <c r="C89" s="20" t="n">
        <v>14293</v>
      </c>
      <c r="D89" s="20" t="n">
        <v>15488</v>
      </c>
      <c r="E89" s="20" t="n">
        <v>13904</v>
      </c>
      <c r="F89" s="20" t="n">
        <v>14933</v>
      </c>
      <c r="G89" s="20" t="n">
        <v>16196</v>
      </c>
      <c r="H89" s="20" t="n">
        <v>17122</v>
      </c>
      <c r="I89" s="20" t="n">
        <v>15004</v>
      </c>
      <c r="J89" s="20" t="n">
        <v>16681</v>
      </c>
      <c r="K89" s="20" t="n">
        <v>18819</v>
      </c>
      <c r="L89" s="20" t="n">
        <v>22000</v>
      </c>
      <c r="M89" s="20" t="n">
        <v>18948</v>
      </c>
      <c r="N89" s="20" t="n">
        <v>19236</v>
      </c>
      <c r="T89" s="20" t="n">
        <v>10215</v>
      </c>
      <c r="U89" s="20" t="n">
        <v>13163</v>
      </c>
      <c r="V89" s="20" t="n">
        <v>13904</v>
      </c>
      <c r="W89" s="20" t="n">
        <v>15004</v>
      </c>
      <c r="X89" s="20" t="n">
        <v>18948</v>
      </c>
    </row>
    <row r="90">
      <c r="A90" s="9" t="inlineStr">
        <is>
          <t>매출총이익</t>
        </is>
      </c>
      <c r="C90" s="12" t="n">
        <v>3967</v>
      </c>
      <c r="D90" s="12" t="n">
        <v>3928</v>
      </c>
      <c r="E90" s="12" t="n">
        <v>3000</v>
      </c>
      <c r="F90" s="12" t="n">
        <v>4140</v>
      </c>
      <c r="G90" s="12" t="n">
        <v>3465</v>
      </c>
      <c r="H90" s="12" t="n">
        <v>4539</v>
      </c>
      <c r="I90" s="12" t="n">
        <v>2384</v>
      </c>
      <c r="J90" s="12" t="n">
        <v>3987</v>
      </c>
      <c r="K90" s="12" t="n">
        <v>4368</v>
      </c>
      <c r="L90" s="12" t="n">
        <v>4473</v>
      </c>
      <c r="M90" s="12" t="n">
        <v>3790</v>
      </c>
      <c r="N90" s="12" t="n">
        <v>4881</v>
      </c>
      <c r="T90" s="12" t="n">
        <v>2844</v>
      </c>
      <c r="U90" s="12" t="n">
        <v>2773</v>
      </c>
      <c r="V90" s="12" t="n">
        <v>3000</v>
      </c>
      <c r="W90" s="12" t="n">
        <v>2384</v>
      </c>
      <c r="X90" s="12" t="n">
        <v>3790</v>
      </c>
    </row>
    <row r="91">
      <c r="A91" s="43" t="inlineStr">
        <is>
          <t>YoY</t>
        </is>
      </c>
      <c r="B91" s="3" t="inlineStr">
        <is>
          <t>전년 같은 분기·전년 대비</t>
        </is>
      </c>
      <c r="G91" s="15">
        <f>IF(OR(G90="",C90=""),"",IF(C90&lt;=0,"",IFERROR(G90/C90-1,"")))</f>
        <v/>
      </c>
      <c r="H91" s="15">
        <f>IF(OR(H90="",D90=""),"",IF(D90&lt;=0,"",IFERROR(H90/D90-1,"")))</f>
        <v/>
      </c>
      <c r="I91" s="15">
        <f>IF(OR(I90="",E90=""),"",IF(E90&lt;=0,"",IFERROR(I90/E90-1,"")))</f>
        <v/>
      </c>
      <c r="J91" s="15">
        <f>IF(OR(J90="",F90=""),"",IF(F90&lt;=0,"",IFERROR(J90/F90-1,"")))</f>
        <v/>
      </c>
      <c r="K91" s="15">
        <f>IF(OR(K90="",G90=""),"",IF(G90&lt;=0,"",IFERROR(K90/G90-1,"")))</f>
        <v/>
      </c>
      <c r="L91" s="15">
        <f>IF(OR(L90="",H90=""),"",IF(H90&lt;=0,"",IFERROR(L90/H90-1,"")))</f>
        <v/>
      </c>
      <c r="M91" s="15">
        <f>IF(OR(M90="",I90=""),"",IF(I90&lt;=0,"",IFERROR(M90/I90-1,"")))</f>
        <v/>
      </c>
      <c r="N91" s="15">
        <f>IF(OR(N90="",J90=""),"",IF(J90&lt;=0,"",IFERROR(N90/J90-1,"")))</f>
        <v/>
      </c>
      <c r="T91" s="15">
        <f>IF(OR(T90="",S90=""),"",IF(S90&lt;=0,"",IFERROR(T90/S90-1,"")))</f>
        <v/>
      </c>
      <c r="U91" s="15">
        <f>IF(OR(U90="",T90=""),"",IF(T90&lt;=0,"",IFERROR(U90/T90-1,"")))</f>
        <v/>
      </c>
      <c r="V91" s="15">
        <f>IF(OR(V90="",U90=""),"",IF(U90&lt;=0,"",IFERROR(V90/U90-1,"")))</f>
        <v/>
      </c>
      <c r="W91" s="15">
        <f>IF(OR(W90="",V90=""),"",IF(V90&lt;=0,"",IFERROR(W90/V90-1,"")))</f>
        <v/>
      </c>
      <c r="X91" s="15">
        <f>IF(OR(X90="",W90=""),"",IF(W90&lt;=0,"",IFERROR(X90/W90-1,"")))</f>
        <v/>
      </c>
    </row>
    <row r="92">
      <c r="A92" s="18" t="inlineStr">
        <is>
          <t>Advertising And Sample Expense SGA</t>
        </is>
      </c>
      <c r="C92" s="20" t="n">
        <v>408</v>
      </c>
      <c r="D92" s="20" t="n">
        <v>403</v>
      </c>
      <c r="E92" s="20" t="n">
        <v>371</v>
      </c>
      <c r="F92" s="20" t="n">
        <v>319</v>
      </c>
      <c r="G92" s="20" t="n">
        <v>331</v>
      </c>
      <c r="H92" s="20" t="n">
        <v>429</v>
      </c>
      <c r="I92" s="20" t="n">
        <v>282</v>
      </c>
      <c r="J92" s="20" t="n">
        <v>307</v>
      </c>
      <c r="K92" s="20" t="n">
        <v>395</v>
      </c>
      <c r="L92" s="20" t="n">
        <v>368</v>
      </c>
      <c r="M92" s="20" t="n">
        <v>316</v>
      </c>
      <c r="N92" s="20" t="n">
        <v>243</v>
      </c>
      <c r="T92" s="20" t="n">
        <v>369</v>
      </c>
      <c r="U92" s="20" t="n">
        <v>353</v>
      </c>
      <c r="V92" s="20" t="n">
        <v>371</v>
      </c>
      <c r="W92" s="20" t="n">
        <v>282</v>
      </c>
      <c r="X92" s="20" t="n">
        <v>316</v>
      </c>
    </row>
    <row r="93">
      <c r="A93" s="18" t="inlineStr">
        <is>
          <t>포장·운반비</t>
        </is>
      </c>
      <c r="C93" s="20" t="n">
        <v>596</v>
      </c>
      <c r="D93" s="20" t="n">
        <v>543</v>
      </c>
      <c r="E93" s="20" t="n">
        <v>451</v>
      </c>
      <c r="F93" s="20" t="n">
        <v>626</v>
      </c>
      <c r="G93" s="20" t="n">
        <v>595</v>
      </c>
      <c r="H93" s="20" t="n">
        <v>512</v>
      </c>
      <c r="I93" s="20" t="n">
        <v>415</v>
      </c>
      <c r="J93" s="20" t="n">
        <v>551</v>
      </c>
      <c r="K93" s="20" t="n">
        <v>585</v>
      </c>
      <c r="L93" s="20" t="n">
        <v>598</v>
      </c>
      <c r="M93" s="20" t="n">
        <v>491</v>
      </c>
      <c r="N93" s="20" t="n">
        <v>633</v>
      </c>
      <c r="T93" s="20" t="n">
        <v>470</v>
      </c>
      <c r="U93" s="20" t="n">
        <v>444</v>
      </c>
      <c r="V93" s="20" t="n">
        <v>451</v>
      </c>
      <c r="W93" s="20" t="n">
        <v>415</v>
      </c>
      <c r="X93" s="20" t="n">
        <v>491</v>
      </c>
    </row>
    <row r="94">
      <c r="A94" s="18" t="inlineStr">
        <is>
          <t>Vehicle Expenses SGA</t>
        </is>
      </c>
      <c r="C94" s="20" t="n">
        <v>107</v>
      </c>
      <c r="D94" s="20" t="n">
        <v>103</v>
      </c>
      <c r="E94" s="20" t="n">
        <v>93</v>
      </c>
      <c r="F94" s="20" t="n">
        <v>97</v>
      </c>
      <c r="G94" s="20" t="n">
        <v>99</v>
      </c>
      <c r="H94" s="20" t="n">
        <v>98</v>
      </c>
      <c r="I94" s="20" t="n">
        <v>106</v>
      </c>
      <c r="J94" s="20" t="n">
        <v>91</v>
      </c>
      <c r="K94" s="20" t="n">
        <v>106</v>
      </c>
      <c r="L94" s="20" t="n">
        <v>97</v>
      </c>
      <c r="M94" s="20" t="n">
        <v>88</v>
      </c>
      <c r="N94" s="20" t="n">
        <v>102</v>
      </c>
      <c r="T94" s="20" t="n">
        <v>99</v>
      </c>
      <c r="U94" s="20" t="n">
        <v>93</v>
      </c>
      <c r="V94" s="20" t="n">
        <v>93</v>
      </c>
      <c r="W94" s="20" t="n">
        <v>106</v>
      </c>
      <c r="X94" s="20" t="n">
        <v>88</v>
      </c>
    </row>
    <row r="95">
      <c r="A95" s="18" t="inlineStr">
        <is>
          <t>대손충당금 전입</t>
        </is>
      </c>
      <c r="C95" s="20" t="n">
        <v>10</v>
      </c>
      <c r="D95" s="20" t="n">
        <v>8</v>
      </c>
      <c r="E95" s="20" t="n">
        <v>-12</v>
      </c>
      <c r="F95" s="20" t="n">
        <v>3</v>
      </c>
      <c r="G95" s="20" t="n">
        <v>6</v>
      </c>
      <c r="H95" s="20" t="n">
        <v>10</v>
      </c>
      <c r="I95" s="20" t="n">
        <v>7</v>
      </c>
      <c r="J95" s="20" t="n">
        <v>4</v>
      </c>
      <c r="K95" s="20" t="n">
        <v>6</v>
      </c>
      <c r="L95" s="20" t="n">
        <v>8</v>
      </c>
      <c r="M95" s="20" t="n">
        <v>5</v>
      </c>
      <c r="N95" s="20" t="n">
        <v>6</v>
      </c>
      <c r="T95" s="20" t="n">
        <v>-3</v>
      </c>
      <c r="U95" s="20" t="n">
        <v>3</v>
      </c>
      <c r="V95" s="20" t="n">
        <v>-12</v>
      </c>
      <c r="W95" s="20" t="n">
        <v>7</v>
      </c>
      <c r="X95" s="20" t="n">
        <v>5</v>
      </c>
    </row>
    <row r="96">
      <c r="A96" s="18" t="inlineStr">
        <is>
          <t>임원 보수</t>
        </is>
      </c>
      <c r="C96" s="20" t="n">
        <v>64</v>
      </c>
      <c r="D96" s="20" t="n">
        <v>64</v>
      </c>
      <c r="E96" s="20" t="n">
        <v>63</v>
      </c>
      <c r="F96" s="20" t="n">
        <v>63</v>
      </c>
      <c r="G96" s="20" t="n">
        <v>63</v>
      </c>
      <c r="H96" s="20" t="n">
        <v>66</v>
      </c>
      <c r="I96" s="20" t="n">
        <v>63</v>
      </c>
      <c r="J96" s="20" t="n">
        <v>64</v>
      </c>
      <c r="K96" s="20" t="n">
        <v>54</v>
      </c>
      <c r="L96" s="20" t="n">
        <v>84</v>
      </c>
      <c r="M96" s="20" t="n">
        <v>70</v>
      </c>
      <c r="N96" s="20" t="n">
        <v>71</v>
      </c>
      <c r="T96" s="20" t="n">
        <v>63</v>
      </c>
      <c r="U96" s="20" t="n">
        <v>61</v>
      </c>
      <c r="V96" s="20" t="n">
        <v>63</v>
      </c>
      <c r="W96" s="20" t="n">
        <v>63</v>
      </c>
      <c r="X96" s="20" t="n">
        <v>70</v>
      </c>
    </row>
    <row r="97">
      <c r="A97" s="18" t="inlineStr">
        <is>
          <t>Salaries And Bonuses SGA</t>
        </is>
      </c>
      <c r="C97" s="20" t="n">
        <v>1097</v>
      </c>
      <c r="D97" s="20" t="n">
        <v>1404</v>
      </c>
      <c r="E97" s="20" t="n">
        <v>1096</v>
      </c>
      <c r="F97" s="20" t="n">
        <v>1118</v>
      </c>
      <c r="G97" s="20" t="n">
        <v>1109</v>
      </c>
      <c r="H97" s="20" t="n">
        <v>1259</v>
      </c>
      <c r="I97" s="20" t="n">
        <v>1113</v>
      </c>
      <c r="J97" s="20" t="n">
        <v>1120</v>
      </c>
      <c r="K97" s="20" t="n">
        <v>1234</v>
      </c>
      <c r="L97" s="20" t="n">
        <v>1412</v>
      </c>
      <c r="M97" s="20" t="n">
        <v>1270</v>
      </c>
      <c r="N97" s="20" t="n">
        <v>1307</v>
      </c>
      <c r="T97" s="20" t="n">
        <v>1091</v>
      </c>
      <c r="U97" s="20" t="n">
        <v>1107</v>
      </c>
      <c r="V97" s="20" t="n">
        <v>1096</v>
      </c>
      <c r="W97" s="20" t="n">
        <v>1113</v>
      </c>
      <c r="X97" s="20" t="n">
        <v>1270</v>
      </c>
    </row>
    <row r="98">
      <c r="A98" s="18" t="inlineStr">
        <is>
          <t>상여충당금 전입</t>
        </is>
      </c>
      <c r="C98" s="20" t="n">
        <v>157</v>
      </c>
      <c r="D98" s="20" t="n">
        <v>-161</v>
      </c>
      <c r="E98" s="20" t="n">
        <v>167</v>
      </c>
      <c r="F98" s="20" t="n">
        <v>39</v>
      </c>
      <c r="G98" s="20" t="n">
        <v>118</v>
      </c>
      <c r="H98" s="20" t="n">
        <v>15</v>
      </c>
      <c r="I98" s="20" t="n">
        <v>83</v>
      </c>
      <c r="J98" s="20" t="n">
        <v>113</v>
      </c>
      <c r="K98" s="20" t="n">
        <v>130</v>
      </c>
      <c r="L98" s="20" t="n">
        <v>-74</v>
      </c>
      <c r="M98" s="20" t="n">
        <v>277</v>
      </c>
      <c r="N98" s="20" t="n">
        <v>152</v>
      </c>
      <c r="T98" s="20" t="n">
        <v>47</v>
      </c>
      <c r="U98" s="20" t="n">
        <v>90</v>
      </c>
      <c r="V98" s="20" t="n">
        <v>167</v>
      </c>
      <c r="W98" s="20" t="n">
        <v>83</v>
      </c>
      <c r="X98" s="20" t="n">
        <v>277</v>
      </c>
    </row>
    <row r="99">
      <c r="A99" s="18" t="inlineStr">
        <is>
          <t>퇴직급여비용</t>
        </is>
      </c>
      <c r="C99" s="20" t="n">
        <v>16</v>
      </c>
      <c r="D99" s="20" t="n">
        <v>17</v>
      </c>
      <c r="E99" s="20" t="n">
        <v>-50</v>
      </c>
      <c r="F99" s="20" t="n">
        <v>-17</v>
      </c>
      <c r="G99" s="20" t="n">
        <v>-19</v>
      </c>
      <c r="H99" s="20" t="n">
        <v>-17</v>
      </c>
      <c r="I99" s="20" t="n">
        <v>-55</v>
      </c>
      <c r="J99" s="20" t="n">
        <v>-5</v>
      </c>
      <c r="K99" s="20" t="n">
        <v>-7</v>
      </c>
      <c r="L99" s="20" t="n">
        <v>-13</v>
      </c>
      <c r="M99" s="20" t="n">
        <v>-43</v>
      </c>
      <c r="N99" s="20" t="n">
        <v>-9</v>
      </c>
      <c r="T99" s="20" t="n">
        <v>18</v>
      </c>
      <c r="U99" s="20" t="n">
        <v>37</v>
      </c>
      <c r="V99" s="20" t="n">
        <v>-50</v>
      </c>
      <c r="W99" s="20" t="n">
        <v>-55</v>
      </c>
      <c r="X99" s="20" t="n">
        <v>-43</v>
      </c>
    </row>
    <row r="100">
      <c r="A100" s="18" t="inlineStr">
        <is>
          <t>복리후생비</t>
        </is>
      </c>
      <c r="C100" s="20" t="n">
        <v>214</v>
      </c>
      <c r="D100" s="20" t="n">
        <v>209</v>
      </c>
      <c r="E100" s="20" t="n">
        <v>208</v>
      </c>
      <c r="F100" s="20" t="n">
        <v>181</v>
      </c>
      <c r="G100" s="20" t="n">
        <v>207</v>
      </c>
      <c r="H100" s="20" t="n">
        <v>215</v>
      </c>
      <c r="I100" s="20" t="n">
        <v>238</v>
      </c>
      <c r="J100" s="20" t="n">
        <v>220</v>
      </c>
      <c r="K100" s="20" t="n">
        <v>225</v>
      </c>
      <c r="L100" s="20" t="n">
        <v>224</v>
      </c>
      <c r="M100" s="20" t="n">
        <v>240</v>
      </c>
      <c r="N100" s="20" t="n">
        <v>235</v>
      </c>
      <c r="T100" s="20" t="n">
        <v>187</v>
      </c>
      <c r="U100" s="20" t="n">
        <v>201</v>
      </c>
      <c r="V100" s="20" t="n">
        <v>208</v>
      </c>
      <c r="W100" s="20" t="n">
        <v>238</v>
      </c>
      <c r="X100" s="20" t="n">
        <v>240</v>
      </c>
    </row>
    <row r="101">
      <c r="A101" s="18" t="inlineStr">
        <is>
          <t>Rent Expenses SGA</t>
        </is>
      </c>
      <c r="C101" s="20" t="n">
        <v>179</v>
      </c>
      <c r="D101" s="20" t="n">
        <v>181</v>
      </c>
      <c r="E101" s="20" t="n">
        <v>184</v>
      </c>
      <c r="F101" s="20" t="n">
        <v>192</v>
      </c>
      <c r="G101" s="20" t="n">
        <v>190</v>
      </c>
      <c r="H101" s="20" t="n">
        <v>187</v>
      </c>
      <c r="I101" s="20" t="n">
        <v>196</v>
      </c>
      <c r="J101" s="20" t="n">
        <v>201</v>
      </c>
      <c r="K101" s="20" t="n">
        <v>223</v>
      </c>
      <c r="L101" s="20" t="n">
        <v>213</v>
      </c>
      <c r="M101" s="20" t="n">
        <v>226</v>
      </c>
      <c r="N101" s="20" t="n">
        <v>243</v>
      </c>
      <c r="T101" s="20" t="n">
        <v>227</v>
      </c>
      <c r="U101" s="20" t="n">
        <v>189</v>
      </c>
      <c r="V101" s="20" t="n">
        <v>184</v>
      </c>
      <c r="W101" s="20" t="n">
        <v>196</v>
      </c>
      <c r="X101" s="20" t="n">
        <v>226</v>
      </c>
    </row>
    <row r="102">
      <c r="A102" s="18" t="inlineStr">
        <is>
          <t>감가상각비</t>
        </is>
      </c>
      <c r="C102" s="20" t="n">
        <v>75</v>
      </c>
      <c r="D102" s="20" t="n">
        <v>77</v>
      </c>
      <c r="E102" s="20" t="n">
        <v>79</v>
      </c>
      <c r="F102" s="20" t="n">
        <v>73</v>
      </c>
      <c r="G102" s="20" t="n">
        <v>78</v>
      </c>
      <c r="H102" s="20" t="n">
        <v>75</v>
      </c>
      <c r="I102" s="20" t="n">
        <v>108</v>
      </c>
      <c r="J102" s="20" t="n">
        <v>86</v>
      </c>
      <c r="K102" s="20" t="n">
        <v>92</v>
      </c>
      <c r="L102" s="20" t="n">
        <v>103</v>
      </c>
      <c r="M102" s="20" t="n">
        <v>114</v>
      </c>
      <c r="N102" s="20" t="n">
        <v>101</v>
      </c>
      <c r="T102" s="20" t="n">
        <v>77</v>
      </c>
      <c r="U102" s="20" t="n">
        <v>85</v>
      </c>
      <c r="V102" s="20" t="n">
        <v>79</v>
      </c>
      <c r="W102" s="20" t="n">
        <v>108</v>
      </c>
      <c r="X102" s="20" t="n">
        <v>114</v>
      </c>
    </row>
    <row r="103">
      <c r="A103" s="18" t="inlineStr">
        <is>
          <t>Supplies Expenses SGA</t>
        </is>
      </c>
      <c r="C103" s="20" t="n">
        <v>50</v>
      </c>
      <c r="D103" s="20" t="n">
        <v>55</v>
      </c>
      <c r="E103" s="20" t="n">
        <v>56</v>
      </c>
      <c r="F103" s="20" t="n">
        <v>53</v>
      </c>
      <c r="G103" s="20" t="n">
        <v>58</v>
      </c>
      <c r="H103" s="20" t="n">
        <v>50</v>
      </c>
      <c r="I103" s="20" t="n">
        <v>51</v>
      </c>
      <c r="J103" s="20" t="n">
        <v>53</v>
      </c>
      <c r="K103" s="20" t="n">
        <v>54</v>
      </c>
      <c r="L103" s="20" t="n">
        <v>53</v>
      </c>
      <c r="M103" s="20" t="n">
        <v>60</v>
      </c>
      <c r="N103" s="20" t="n">
        <v>61</v>
      </c>
      <c r="T103" s="20" t="n">
        <v>42</v>
      </c>
      <c r="U103" s="20" t="n">
        <v>46</v>
      </c>
      <c r="V103" s="20" t="n">
        <v>56</v>
      </c>
      <c r="W103" s="20" t="n">
        <v>51</v>
      </c>
      <c r="X103" s="20" t="n">
        <v>60</v>
      </c>
    </row>
    <row r="104">
      <c r="A104" s="18" t="inlineStr">
        <is>
          <t>연구개발비</t>
        </is>
      </c>
      <c r="C104" s="20" t="n">
        <v>54</v>
      </c>
      <c r="D104" s="20" t="n">
        <v>57</v>
      </c>
      <c r="E104" s="20" t="n">
        <v>60</v>
      </c>
      <c r="F104" s="20" t="n">
        <v>43</v>
      </c>
      <c r="G104" s="20" t="n">
        <v>49</v>
      </c>
      <c r="H104" s="20" t="n">
        <v>47</v>
      </c>
      <c r="I104" s="20" t="n">
        <v>51</v>
      </c>
      <c r="J104" s="20" t="n">
        <v>51</v>
      </c>
      <c r="K104" s="20" t="n">
        <v>45</v>
      </c>
      <c r="L104" s="20" t="n">
        <v>58</v>
      </c>
      <c r="M104" s="20" t="n">
        <v>59</v>
      </c>
      <c r="N104" s="20" t="n">
        <v>61</v>
      </c>
      <c r="T104" s="20" t="n">
        <v>39</v>
      </c>
      <c r="U104" s="20" t="n">
        <v>63</v>
      </c>
      <c r="V104" s="20" t="n">
        <v>60</v>
      </c>
      <c r="W104" s="20" t="n">
        <v>51</v>
      </c>
      <c r="X104" s="20" t="n">
        <v>59</v>
      </c>
    </row>
    <row r="105">
      <c r="A105" s="18" t="inlineStr">
        <is>
          <t>기타</t>
        </is>
      </c>
      <c r="C105" s="20" t="n">
        <v>652</v>
      </c>
      <c r="D105" s="20" t="n">
        <v>668</v>
      </c>
      <c r="E105" s="20" t="n">
        <v>813</v>
      </c>
      <c r="F105" s="20" t="n">
        <v>679</v>
      </c>
      <c r="G105" s="20" t="n">
        <v>697</v>
      </c>
      <c r="H105" s="20" t="n">
        <v>669</v>
      </c>
      <c r="I105" s="20" t="n">
        <v>712</v>
      </c>
      <c r="J105" s="20" t="n">
        <v>727</v>
      </c>
      <c r="K105" s="20" t="n">
        <v>912</v>
      </c>
      <c r="L105" s="20" t="n">
        <v>769</v>
      </c>
      <c r="M105" s="20" t="n">
        <v>826</v>
      </c>
      <c r="N105" s="20" t="n">
        <v>890</v>
      </c>
      <c r="T105" s="20" t="n">
        <v>582</v>
      </c>
      <c r="U105" s="20" t="n">
        <v>622</v>
      </c>
      <c r="V105" s="20" t="n">
        <v>813</v>
      </c>
      <c r="W105" s="20" t="n">
        <v>712</v>
      </c>
      <c r="X105" s="20" t="n">
        <v>826</v>
      </c>
    </row>
    <row r="106">
      <c r="A106" s="18" t="inlineStr">
        <is>
          <t>판매비와 관리비 합계</t>
        </is>
      </c>
      <c r="C106" s="20" t="n">
        <v>3679</v>
      </c>
      <c r="D106" s="20" t="n">
        <v>3627</v>
      </c>
      <c r="E106" s="20" t="n">
        <v>3579</v>
      </c>
      <c r="F106" s="20" t="n">
        <v>3475</v>
      </c>
      <c r="G106" s="20" t="n">
        <v>3579</v>
      </c>
      <c r="H106" s="20" t="n">
        <v>3618</v>
      </c>
      <c r="I106" s="20" t="n">
        <v>3369</v>
      </c>
      <c r="J106" s="20" t="n">
        <v>3587</v>
      </c>
      <c r="K106" s="20" t="n">
        <v>4055</v>
      </c>
      <c r="L106" s="20" t="n">
        <v>3902</v>
      </c>
      <c r="M106" s="20" t="n">
        <v>3997</v>
      </c>
      <c r="N106" s="20" t="n">
        <v>4099</v>
      </c>
      <c r="T106" s="20" t="n">
        <v>3307</v>
      </c>
      <c r="U106" s="20" t="n">
        <v>3395</v>
      </c>
      <c r="V106" s="20" t="n">
        <v>3579</v>
      </c>
      <c r="W106" s="20" t="n">
        <v>3369</v>
      </c>
      <c r="X106" s="20" t="n">
        <v>3997</v>
      </c>
    </row>
    <row r="107">
      <c r="A107" s="9" t="inlineStr">
        <is>
          <t>영업이익</t>
        </is>
      </c>
      <c r="C107" s="12" t="n">
        <v>287</v>
      </c>
      <c r="D107" s="12" t="n">
        <v>302</v>
      </c>
      <c r="E107" s="12" t="n">
        <v>-579</v>
      </c>
      <c r="F107" s="12" t="n">
        <v>665</v>
      </c>
      <c r="G107" s="12" t="n">
        <v>-115</v>
      </c>
      <c r="H107" s="12" t="n">
        <v>921</v>
      </c>
      <c r="I107" s="12" t="n">
        <v>-985</v>
      </c>
      <c r="J107" s="12" t="n">
        <v>400</v>
      </c>
      <c r="K107" s="12" t="n">
        <v>312</v>
      </c>
      <c r="L107" s="12" t="n">
        <v>571</v>
      </c>
      <c r="M107" s="12" t="n">
        <v>-206</v>
      </c>
      <c r="N107" s="12" t="n">
        <v>781</v>
      </c>
      <c r="T107" s="12" t="n">
        <v>-464</v>
      </c>
      <c r="U107" s="12" t="n">
        <v>-622</v>
      </c>
      <c r="V107" s="12" t="n">
        <v>-579</v>
      </c>
      <c r="W107" s="12" t="n">
        <v>-985</v>
      </c>
      <c r="X107" s="12" t="n">
        <v>-206</v>
      </c>
    </row>
    <row r="108">
      <c r="A108" s="43" t="inlineStr">
        <is>
          <t>OPM</t>
        </is>
      </c>
      <c r="B108" s="3" t="inlineStr">
        <is>
          <t>영업이익 ÷ 매출</t>
        </is>
      </c>
      <c r="C108" s="15">
        <f>IF(OR(C107="",C87=""),"",IF(C87&lt;=0,"",IFERROR(C107/C87,"")))</f>
        <v/>
      </c>
      <c r="D108" s="15">
        <f>IF(OR(D107="",D87=""),"",IF(D87&lt;=0,"",IFERROR(D107/D87,"")))</f>
        <v/>
      </c>
      <c r="E108" s="15">
        <f>IF(OR(E107="",E87=""),"",IF(E87&lt;=0,"",IFERROR(E107/E87,"")))</f>
        <v/>
      </c>
      <c r="F108" s="15">
        <f>IF(OR(F107="",F87=""),"",IF(F87&lt;=0,"",IFERROR(F107/F87,"")))</f>
        <v/>
      </c>
      <c r="G108" s="15">
        <f>IF(OR(G107="",G87=""),"",IF(G87&lt;=0,"",IFERROR(G107/G87,"")))</f>
        <v/>
      </c>
      <c r="H108" s="15">
        <f>IF(OR(H107="",H87=""),"",IF(H87&lt;=0,"",IFERROR(H107/H87,"")))</f>
        <v/>
      </c>
      <c r="I108" s="15">
        <f>IF(OR(I107="",I87=""),"",IF(I87&lt;=0,"",IFERROR(I107/I87,"")))</f>
        <v/>
      </c>
      <c r="J108" s="15">
        <f>IF(OR(J107="",J87=""),"",IF(J87&lt;=0,"",IFERROR(J107/J87,"")))</f>
        <v/>
      </c>
      <c r="K108" s="15">
        <f>IF(OR(K107="",K87=""),"",IF(K87&lt;=0,"",IFERROR(K107/K87,"")))</f>
        <v/>
      </c>
      <c r="L108" s="15">
        <f>IF(OR(L107="",L87=""),"",IF(L87&lt;=0,"",IFERROR(L107/L87,"")))</f>
        <v/>
      </c>
      <c r="M108" s="15">
        <f>IF(OR(M107="",M87=""),"",IF(M87&lt;=0,"",IFERROR(M107/M87,"")))</f>
        <v/>
      </c>
      <c r="N108" s="15">
        <f>IF(OR(N107="",N87=""),"",IF(N87&lt;=0,"",IFERROR(N107/N87,"")))</f>
        <v/>
      </c>
      <c r="T108" s="15">
        <f>IF(OR(T107="",T87=""),"",IF(T87&lt;=0,"",IFERROR(T107/T87,"")))</f>
        <v/>
      </c>
      <c r="U108" s="15">
        <f>IF(OR(U107="",U87=""),"",IF(U87&lt;=0,"",IFERROR(U107/U87,"")))</f>
        <v/>
      </c>
      <c r="V108" s="15">
        <f>IF(OR(V107="",V87=""),"",IF(V87&lt;=0,"",IFERROR(V107/V87,"")))</f>
        <v/>
      </c>
      <c r="W108" s="15">
        <f>IF(OR(W107="",W87=""),"",IF(W87&lt;=0,"",IFERROR(W107/W87,"")))</f>
        <v/>
      </c>
      <c r="X108" s="15">
        <f>IF(OR(X107="",X87=""),"",IF(X87&lt;=0,"",IFERROR(X107/X87,"")))</f>
        <v/>
      </c>
    </row>
    <row r="109">
      <c r="A109" s="43" t="inlineStr">
        <is>
          <t>YoY</t>
        </is>
      </c>
      <c r="B109" s="3" t="inlineStr">
        <is>
          <t>전년 같은 분기·전년 대비</t>
        </is>
      </c>
      <c r="G109" s="15">
        <f>IF(OR(G107="",C107=""),"",IF(C107&lt;=0,"",IFERROR(G107/C107-1,"")))</f>
        <v/>
      </c>
      <c r="H109" s="15">
        <f>IF(OR(H107="",D107=""),"",IF(D107&lt;=0,"",IFERROR(H107/D107-1,"")))</f>
        <v/>
      </c>
      <c r="I109" s="15">
        <f>IF(OR(I107="",E107=""),"",IF(E107&lt;=0,"",IFERROR(I107/E107-1,"")))</f>
        <v/>
      </c>
      <c r="J109" s="15">
        <f>IF(OR(J107="",F107=""),"",IF(F107&lt;=0,"",IFERROR(J107/F107-1,"")))</f>
        <v/>
      </c>
      <c r="K109" s="15">
        <f>IF(OR(K107="",G107=""),"",IF(G107&lt;=0,"",IFERROR(K107/G107-1,"")))</f>
        <v/>
      </c>
      <c r="L109" s="15">
        <f>IF(OR(L107="",H107=""),"",IF(H107&lt;=0,"",IFERROR(L107/H107-1,"")))</f>
        <v/>
      </c>
      <c r="M109" s="15">
        <f>IF(OR(M107="",I107=""),"",IF(I107&lt;=0,"",IFERROR(M107/I107-1,"")))</f>
        <v/>
      </c>
      <c r="N109" s="15">
        <f>IF(OR(N107="",J107=""),"",IF(J107&lt;=0,"",IFERROR(N107/J107-1,"")))</f>
        <v/>
      </c>
      <c r="T109" s="15">
        <f>IF(OR(T107="",S107=""),"",IF(S107&lt;=0,"",IFERROR(T107/S107-1,"")))</f>
        <v/>
      </c>
      <c r="U109" s="15">
        <f>IF(OR(U107="",T107=""),"",IF(T107&lt;=0,"",IFERROR(U107/T107-1,"")))</f>
        <v/>
      </c>
      <c r="V109" s="15">
        <f>IF(OR(V107="",U107=""),"",IF(U107&lt;=0,"",IFERROR(V107/U107-1,"")))</f>
        <v/>
      </c>
      <c r="W109" s="15">
        <f>IF(OR(W107="",V107=""),"",IF(V107&lt;=0,"",IFERROR(W107/V107-1,"")))</f>
        <v/>
      </c>
      <c r="X109" s="15">
        <f>IF(OR(X107="",W107=""),"",IF(W107&lt;=0,"",IFERROR(X107/W107-1,"")))</f>
        <v/>
      </c>
    </row>
    <row r="110">
      <c r="A110" s="18" t="inlineStr">
        <is>
          <t>이자수익</t>
        </is>
      </c>
      <c r="C110" s="20" t="n">
        <v>1</v>
      </c>
      <c r="D110" s="20" t="n">
        <v>0</v>
      </c>
      <c r="E110" s="20" t="n">
        <v>0</v>
      </c>
      <c r="F110" s="20" t="n">
        <v>0</v>
      </c>
      <c r="G110" s="20" t="n">
        <v>0</v>
      </c>
      <c r="H110" s="20" t="n">
        <v>1</v>
      </c>
      <c r="I110" s="20" t="n">
        <v>0</v>
      </c>
      <c r="J110" s="20" t="n">
        <v>0</v>
      </c>
      <c r="K110" s="20" t="n">
        <v>1</v>
      </c>
      <c r="L110" s="20" t="n">
        <v>7</v>
      </c>
      <c r="M110" s="20" t="n">
        <v>-6</v>
      </c>
      <c r="N110" s="20" t="n">
        <v>0</v>
      </c>
      <c r="T110" s="20" t="n">
        <v>1</v>
      </c>
      <c r="U110" s="20" t="n">
        <v>1</v>
      </c>
      <c r="V110" s="20" t="n">
        <v>0</v>
      </c>
      <c r="W110" s="20" t="n">
        <v>0</v>
      </c>
      <c r="X110" s="20" t="n">
        <v>-6</v>
      </c>
    </row>
    <row r="111">
      <c r="A111" s="18" t="inlineStr">
        <is>
          <t>배당금수익</t>
        </is>
      </c>
      <c r="C111" s="20" t="n">
        <v>4</v>
      </c>
      <c r="D111" s="20" t="n">
        <v>8</v>
      </c>
      <c r="E111" s="20" t="n">
        <v>5</v>
      </c>
      <c r="F111" s="20" t="n">
        <v>13</v>
      </c>
      <c r="G111" s="20" t="n">
        <v>5</v>
      </c>
      <c r="H111" s="20" t="n">
        <v>11</v>
      </c>
      <c r="I111" s="20" t="n">
        <v>5</v>
      </c>
      <c r="J111" s="20" t="n">
        <v>16</v>
      </c>
      <c r="K111" s="20" t="n">
        <v>6</v>
      </c>
      <c r="L111" s="20" t="n">
        <v>12</v>
      </c>
      <c r="M111" s="20" t="n">
        <v>7</v>
      </c>
      <c r="N111" s="20" t="n">
        <v>19</v>
      </c>
      <c r="T111" s="20" t="n">
        <v>5</v>
      </c>
      <c r="U111" s="20" t="n">
        <v>5</v>
      </c>
      <c r="V111" s="20" t="n">
        <v>5</v>
      </c>
      <c r="W111" s="20" t="n">
        <v>5</v>
      </c>
      <c r="X111" s="20" t="n">
        <v>7</v>
      </c>
    </row>
    <row r="112">
      <c r="A112" s="18" t="inlineStr">
        <is>
          <t>지분법이익</t>
        </is>
      </c>
      <c r="C112" s="20" t="n">
        <v>20</v>
      </c>
      <c r="D112" s="20" t="n">
        <v>18</v>
      </c>
      <c r="E112" s="20" t="n">
        <v>-33</v>
      </c>
      <c r="F112" s="20" t="n">
        <v>20</v>
      </c>
      <c r="G112" s="20" t="n">
        <v>4</v>
      </c>
      <c r="H112" s="20" t="n">
        <v>33</v>
      </c>
      <c r="I112" s="20" t="n">
        <v>-6</v>
      </c>
      <c r="J112" s="20" t="n">
        <v>81</v>
      </c>
      <c r="K112" s="20" t="n">
        <v>33</v>
      </c>
      <c r="L112" s="20" t="n">
        <v>62</v>
      </c>
      <c r="M112" s="20" t="n">
        <v>20</v>
      </c>
      <c r="N112" s="20" t="n">
        <v>158</v>
      </c>
      <c r="T112" s="20" t="n">
        <v>9</v>
      </c>
      <c r="U112" s="20" t="n">
        <v>0</v>
      </c>
      <c r="V112" s="20" t="n">
        <v>-33</v>
      </c>
      <c r="W112" s="20" t="n">
        <v>-6</v>
      </c>
      <c r="X112" s="20" t="n">
        <v>20</v>
      </c>
    </row>
    <row r="113">
      <c r="A113" s="18" t="inlineStr">
        <is>
          <t>외환차익</t>
        </is>
      </c>
      <c r="C113" s="20" t="n">
        <v>-1</v>
      </c>
      <c r="D113" s="20" t="n">
        <v>0</v>
      </c>
      <c r="F113" s="20" t="n">
        <v>0</v>
      </c>
      <c r="G113" s="20" t="n">
        <v>0</v>
      </c>
      <c r="H113" s="20" t="n">
        <v>2</v>
      </c>
      <c r="L113" s="20" t="n">
        <v>1</v>
      </c>
      <c r="T113" s="20" t="n">
        <v>10</v>
      </c>
      <c r="U113" s="20" t="n">
        <v>0</v>
      </c>
    </row>
    <row r="114">
      <c r="A114" s="18" t="inlineStr">
        <is>
          <t>부동산 임대료</t>
        </is>
      </c>
      <c r="C114" s="20" t="n">
        <v>20</v>
      </c>
      <c r="D114" s="20" t="n">
        <v>21</v>
      </c>
      <c r="E114" s="20" t="n">
        <v>16</v>
      </c>
      <c r="F114" s="20" t="n">
        <v>17</v>
      </c>
      <c r="G114" s="20" t="n">
        <v>17</v>
      </c>
      <c r="H114" s="20" t="n">
        <v>19</v>
      </c>
      <c r="I114" s="20" t="n">
        <v>20</v>
      </c>
      <c r="J114" s="20" t="n">
        <v>18</v>
      </c>
      <c r="K114" s="20" t="n">
        <v>22</v>
      </c>
      <c r="L114" s="20" t="n">
        <v>20</v>
      </c>
      <c r="M114" s="20" t="n">
        <v>21</v>
      </c>
      <c r="N114" s="20" t="n">
        <v>19</v>
      </c>
      <c r="T114" s="20" t="n">
        <v>16</v>
      </c>
      <c r="U114" s="20" t="n">
        <v>22</v>
      </c>
      <c r="V114" s="20" t="n">
        <v>16</v>
      </c>
      <c r="W114" s="20" t="n">
        <v>20</v>
      </c>
      <c r="X114" s="20" t="n">
        <v>21</v>
      </c>
    </row>
    <row r="115">
      <c r="A115" s="18" t="inlineStr">
        <is>
          <t>보조금 수입</t>
        </is>
      </c>
      <c r="T115" s="20" t="n">
        <v>38</v>
      </c>
      <c r="U115" s="20" t="n">
        <v>2</v>
      </c>
    </row>
    <row r="116">
      <c r="A116" s="18" t="inlineStr">
        <is>
          <t>기타</t>
        </is>
      </c>
      <c r="C116" s="20" t="n">
        <v>26</v>
      </c>
      <c r="D116" s="20" t="n">
        <v>10</v>
      </c>
      <c r="E116" s="20" t="n">
        <v>18</v>
      </c>
      <c r="F116" s="20" t="n">
        <v>13</v>
      </c>
      <c r="G116" s="20" t="n">
        <v>13</v>
      </c>
      <c r="H116" s="20" t="n">
        <v>17</v>
      </c>
      <c r="I116" s="20" t="n">
        <v>28</v>
      </c>
      <c r="J116" s="20" t="n">
        <v>14</v>
      </c>
      <c r="K116" s="20" t="n">
        <v>45</v>
      </c>
      <c r="L116" s="20" t="n">
        <v>5</v>
      </c>
      <c r="M116" s="20" t="n">
        <v>27</v>
      </c>
      <c r="N116" s="20" t="n">
        <v>16</v>
      </c>
      <c r="T116" s="20" t="n">
        <v>13</v>
      </c>
      <c r="U116" s="20" t="n">
        <v>-52</v>
      </c>
      <c r="V116" s="20" t="n">
        <v>18</v>
      </c>
      <c r="W116" s="20" t="n">
        <v>28</v>
      </c>
      <c r="X116" s="20" t="n">
        <v>27</v>
      </c>
    </row>
    <row r="117">
      <c r="A117" s="18" t="inlineStr">
        <is>
          <t>영업외수익 합계</t>
        </is>
      </c>
      <c r="C117" s="20" t="n">
        <v>69</v>
      </c>
      <c r="D117" s="20" t="n">
        <v>58</v>
      </c>
      <c r="E117" s="20" t="n">
        <v>6</v>
      </c>
      <c r="F117" s="20" t="n">
        <v>65</v>
      </c>
      <c r="G117" s="20" t="n">
        <v>39</v>
      </c>
      <c r="H117" s="20" t="n">
        <v>83</v>
      </c>
      <c r="I117" s="20" t="n">
        <v>50</v>
      </c>
      <c r="J117" s="20" t="n">
        <v>132</v>
      </c>
      <c r="K117" s="20" t="n">
        <v>109</v>
      </c>
      <c r="L117" s="20" t="n">
        <v>107</v>
      </c>
      <c r="M117" s="20" t="n">
        <v>68</v>
      </c>
      <c r="N117" s="20" t="n">
        <v>215</v>
      </c>
      <c r="T117" s="20" t="n">
        <v>89</v>
      </c>
      <c r="U117" s="20" t="n">
        <v>39</v>
      </c>
      <c r="V117" s="20" t="n">
        <v>6</v>
      </c>
      <c r="W117" s="20" t="n">
        <v>50</v>
      </c>
      <c r="X117" s="20" t="n">
        <v>68</v>
      </c>
    </row>
    <row r="118">
      <c r="A118" s="18" t="inlineStr">
        <is>
          <t>이자비용</t>
        </is>
      </c>
      <c r="C118" s="20" t="n">
        <v>11</v>
      </c>
      <c r="D118" s="20" t="n">
        <v>11</v>
      </c>
      <c r="E118" s="20" t="n">
        <v>11</v>
      </c>
      <c r="F118" s="20" t="n">
        <v>10</v>
      </c>
      <c r="G118" s="20" t="n">
        <v>16</v>
      </c>
      <c r="H118" s="20" t="n">
        <v>19</v>
      </c>
      <c r="I118" s="20" t="n">
        <v>23</v>
      </c>
      <c r="J118" s="20" t="n">
        <v>20</v>
      </c>
      <c r="K118" s="20" t="n">
        <v>34</v>
      </c>
      <c r="L118" s="20" t="n">
        <v>48</v>
      </c>
      <c r="M118" s="20" t="n">
        <v>46</v>
      </c>
      <c r="N118" s="20" t="n">
        <v>63</v>
      </c>
      <c r="T118" s="20" t="n">
        <v>2</v>
      </c>
      <c r="U118" s="20" t="n">
        <v>7</v>
      </c>
      <c r="V118" s="20" t="n">
        <v>11</v>
      </c>
      <c r="W118" s="20" t="n">
        <v>23</v>
      </c>
      <c r="X118" s="20" t="n">
        <v>46</v>
      </c>
    </row>
    <row r="119">
      <c r="A119" s="18" t="inlineStr">
        <is>
          <t>지분법손실</t>
        </is>
      </c>
      <c r="C119" s="20" t="n">
        <v>0</v>
      </c>
      <c r="D119" s="20" t="n">
        <v>0</v>
      </c>
      <c r="E119" s="20" t="n">
        <v>0</v>
      </c>
      <c r="F119" s="20" t="n">
        <v>0</v>
      </c>
      <c r="T119" s="20" t="n">
        <v>0</v>
      </c>
      <c r="U119" s="20" t="n">
        <v>56</v>
      </c>
      <c r="V119" s="20" t="n">
        <v>0</v>
      </c>
    </row>
    <row r="120">
      <c r="A120" s="18" t="inlineStr">
        <is>
          <t>외환차손</t>
        </is>
      </c>
      <c r="C120" s="20" t="n">
        <v>0</v>
      </c>
      <c r="D120" s="20" t="n">
        <v>3</v>
      </c>
      <c r="F120" s="20" t="n">
        <v>0</v>
      </c>
      <c r="G120" s="20" t="n">
        <v>3</v>
      </c>
      <c r="H120" s="20" t="n">
        <v>-3</v>
      </c>
      <c r="J120" s="20" t="n">
        <v>1</v>
      </c>
      <c r="K120" s="20" t="n">
        <v>-1</v>
      </c>
      <c r="N120" s="20" t="n">
        <v>1</v>
      </c>
    </row>
    <row r="121">
      <c r="A121" s="18" t="inlineStr">
        <is>
          <t>Rent Expenses On Real Estates NOE</t>
        </is>
      </c>
      <c r="C121" s="20" t="n">
        <v>5</v>
      </c>
      <c r="D121" s="20" t="n">
        <v>4</v>
      </c>
      <c r="E121" s="20" t="n">
        <v>4</v>
      </c>
      <c r="F121" s="20" t="n">
        <v>2</v>
      </c>
      <c r="G121" s="20" t="n">
        <v>2</v>
      </c>
      <c r="H121" s="20" t="n">
        <v>3</v>
      </c>
      <c r="I121" s="20" t="n">
        <v>1</v>
      </c>
      <c r="J121" s="20" t="n">
        <v>2</v>
      </c>
      <c r="K121" s="20" t="n">
        <v>2</v>
      </c>
      <c r="L121" s="20" t="n">
        <v>2</v>
      </c>
      <c r="M121" s="20" t="n">
        <v>2</v>
      </c>
      <c r="N121" s="20" t="n">
        <v>2</v>
      </c>
      <c r="T121" s="20" t="n">
        <v>4</v>
      </c>
      <c r="U121" s="20" t="n">
        <v>4</v>
      </c>
      <c r="V121" s="20" t="n">
        <v>4</v>
      </c>
      <c r="W121" s="20" t="n">
        <v>1</v>
      </c>
      <c r="X121" s="20" t="n">
        <v>2</v>
      </c>
    </row>
    <row r="122">
      <c r="A122" s="18" t="inlineStr">
        <is>
          <t>기타</t>
        </is>
      </c>
      <c r="C122" s="20" t="n">
        <v>3</v>
      </c>
      <c r="D122" s="20" t="n">
        <v>2</v>
      </c>
      <c r="E122" s="20" t="n">
        <v>5</v>
      </c>
      <c r="F122" s="20" t="n">
        <v>0</v>
      </c>
      <c r="G122" s="20" t="n">
        <v>2</v>
      </c>
      <c r="H122" s="20" t="n">
        <v>6</v>
      </c>
      <c r="I122" s="20" t="n">
        <v>3</v>
      </c>
      <c r="J122" s="20" t="n">
        <v>1</v>
      </c>
      <c r="K122" s="20" t="n">
        <v>8</v>
      </c>
      <c r="L122" s="20" t="n">
        <v>1</v>
      </c>
      <c r="M122" s="20" t="n">
        <v>7</v>
      </c>
      <c r="N122" s="20" t="n">
        <v>1</v>
      </c>
      <c r="T122" s="20" t="n">
        <v>-5</v>
      </c>
      <c r="U122" s="20" t="n">
        <v>1</v>
      </c>
      <c r="V122" s="20" t="n">
        <v>5</v>
      </c>
      <c r="W122" s="20" t="n">
        <v>3</v>
      </c>
      <c r="X122" s="20" t="n">
        <v>7</v>
      </c>
    </row>
    <row r="123">
      <c r="A123" s="18" t="inlineStr">
        <is>
          <t>영업외비용 합계</t>
        </is>
      </c>
      <c r="C123" s="20" t="n">
        <v>18</v>
      </c>
      <c r="D123" s="20" t="n">
        <v>21</v>
      </c>
      <c r="E123" s="20" t="n">
        <v>19</v>
      </c>
      <c r="F123" s="20" t="n">
        <v>13</v>
      </c>
      <c r="G123" s="20" t="n">
        <v>23</v>
      </c>
      <c r="H123" s="20" t="n">
        <v>26</v>
      </c>
      <c r="I123" s="20" t="n">
        <v>26</v>
      </c>
      <c r="J123" s="20" t="n">
        <v>25</v>
      </c>
      <c r="K123" s="20" t="n">
        <v>43</v>
      </c>
      <c r="L123" s="20" t="n">
        <v>51</v>
      </c>
      <c r="M123" s="20" t="n">
        <v>55</v>
      </c>
      <c r="N123" s="20" t="n">
        <v>68</v>
      </c>
      <c r="T123" s="20" t="n">
        <v>4</v>
      </c>
      <c r="U123" s="20" t="n">
        <v>65</v>
      </c>
      <c r="V123" s="20" t="n">
        <v>19</v>
      </c>
      <c r="W123" s="20" t="n">
        <v>26</v>
      </c>
      <c r="X123" s="20" t="n">
        <v>55</v>
      </c>
    </row>
    <row r="124">
      <c r="A124" s="9" t="inlineStr">
        <is>
          <t>경상이익</t>
        </is>
      </c>
      <c r="C124" s="12" t="n">
        <v>339</v>
      </c>
      <c r="D124" s="12" t="n">
        <v>338</v>
      </c>
      <c r="E124" s="12" t="n">
        <v>-592</v>
      </c>
      <c r="F124" s="12" t="n">
        <v>716</v>
      </c>
      <c r="G124" s="12" t="n">
        <v>-99</v>
      </c>
      <c r="H124" s="12" t="n">
        <v>980</v>
      </c>
      <c r="I124" s="12" t="n">
        <v>-961</v>
      </c>
      <c r="J124" s="12" t="n">
        <v>506</v>
      </c>
      <c r="K124" s="12" t="n">
        <v>379</v>
      </c>
      <c r="L124" s="12" t="n">
        <v>626</v>
      </c>
      <c r="M124" s="12" t="n">
        <v>-193</v>
      </c>
      <c r="N124" s="12" t="n">
        <v>928</v>
      </c>
      <c r="T124" s="12" t="n">
        <v>-379</v>
      </c>
      <c r="U124" s="12" t="n">
        <v>-649</v>
      </c>
      <c r="V124" s="12" t="n">
        <v>-592</v>
      </c>
      <c r="W124" s="12" t="n">
        <v>-961</v>
      </c>
      <c r="X124" s="12" t="n">
        <v>-193</v>
      </c>
    </row>
    <row r="125">
      <c r="A125" s="43" t="inlineStr">
        <is>
          <t>YoY</t>
        </is>
      </c>
      <c r="B125" s="3" t="inlineStr">
        <is>
          <t>전년 같은 분기·전년 대비</t>
        </is>
      </c>
      <c r="G125" s="15">
        <f>IF(OR(G124="",C124=""),"",IF(C124&lt;=0,"",IFERROR(G124/C124-1,"")))</f>
        <v/>
      </c>
      <c r="H125" s="15">
        <f>IF(OR(H124="",D124=""),"",IF(D124&lt;=0,"",IFERROR(H124/D124-1,"")))</f>
        <v/>
      </c>
      <c r="I125" s="15">
        <f>IF(OR(I124="",E124=""),"",IF(E124&lt;=0,"",IFERROR(I124/E124-1,"")))</f>
        <v/>
      </c>
      <c r="J125" s="15">
        <f>IF(OR(J124="",F124=""),"",IF(F124&lt;=0,"",IFERROR(J124/F124-1,"")))</f>
        <v/>
      </c>
      <c r="K125" s="15">
        <f>IF(OR(K124="",G124=""),"",IF(G124&lt;=0,"",IFERROR(K124/G124-1,"")))</f>
        <v/>
      </c>
      <c r="L125" s="15">
        <f>IF(OR(L124="",H124=""),"",IF(H124&lt;=0,"",IFERROR(L124/H124-1,"")))</f>
        <v/>
      </c>
      <c r="M125" s="15">
        <f>IF(OR(M124="",I124=""),"",IF(I124&lt;=0,"",IFERROR(M124/I124-1,"")))</f>
        <v/>
      </c>
      <c r="N125" s="15">
        <f>IF(OR(N124="",J124=""),"",IF(J124&lt;=0,"",IFERROR(N124/J124-1,"")))</f>
        <v/>
      </c>
      <c r="T125" s="15">
        <f>IF(OR(T124="",S124=""),"",IF(S124&lt;=0,"",IFERROR(T124/S124-1,"")))</f>
        <v/>
      </c>
      <c r="U125" s="15">
        <f>IF(OR(U124="",T124=""),"",IF(T124&lt;=0,"",IFERROR(U124/T124-1,"")))</f>
        <v/>
      </c>
      <c r="V125" s="15">
        <f>IF(OR(V124="",U124=""),"",IF(U124&lt;=0,"",IFERROR(V124/U124-1,"")))</f>
        <v/>
      </c>
      <c r="W125" s="15">
        <f>IF(OR(W124="",V124=""),"",IF(V124&lt;=0,"",IFERROR(W124/V124-1,"")))</f>
        <v/>
      </c>
      <c r="X125" s="15">
        <f>IF(OR(X124="",W124=""),"",IF(W124&lt;=0,"",IFERROR(X124/W124-1,"")))</f>
        <v/>
      </c>
    </row>
    <row r="126">
      <c r="A126" s="18" t="inlineStr">
        <is>
          <t>투자유가증권 매각이익</t>
        </is>
      </c>
      <c r="E126" s="20" t="n">
        <v>0</v>
      </c>
      <c r="I126" s="20" t="n">
        <v>0</v>
      </c>
      <c r="M126" s="20" t="n">
        <v>0</v>
      </c>
      <c r="T126" s="20" t="n">
        <v>30</v>
      </c>
      <c r="U126" s="20" t="n">
        <v>0</v>
      </c>
      <c r="V126" s="20" t="n">
        <v>0</v>
      </c>
      <c r="W126" s="20" t="n">
        <v>0</v>
      </c>
      <c r="X126" s="20" t="n">
        <v>0</v>
      </c>
    </row>
    <row r="127">
      <c r="A127" s="18" t="inlineStr">
        <is>
          <t>특별이익 합계</t>
        </is>
      </c>
      <c r="E127" s="20" t="n">
        <v>0</v>
      </c>
      <c r="I127" s="20" t="n">
        <v>0</v>
      </c>
      <c r="M127" s="20" t="n">
        <v>0</v>
      </c>
      <c r="T127" s="20" t="n">
        <v>30</v>
      </c>
      <c r="U127" s="20" t="n">
        <v>0</v>
      </c>
      <c r="V127" s="20" t="n">
        <v>0</v>
      </c>
      <c r="W127" s="20" t="n">
        <v>0</v>
      </c>
      <c r="X127" s="20" t="n">
        <v>0</v>
      </c>
    </row>
    <row r="128">
      <c r="A128" s="18" t="inlineStr">
        <is>
          <t>손상차손</t>
        </is>
      </c>
      <c r="D128" s="20" t="n">
        <v>0</v>
      </c>
      <c r="E128" s="20" t="n">
        <v>367</v>
      </c>
      <c r="H128" s="20" t="n">
        <v>1</v>
      </c>
      <c r="I128" s="20" t="n">
        <v>92</v>
      </c>
      <c r="M128" s="20" t="n">
        <v>9</v>
      </c>
      <c r="T128" s="20" t="n">
        <v>33</v>
      </c>
      <c r="U128" s="20" t="n">
        <v>40</v>
      </c>
      <c r="V128" s="20" t="n">
        <v>367</v>
      </c>
      <c r="W128" s="20" t="n">
        <v>92</v>
      </c>
      <c r="X128" s="20" t="n">
        <v>9</v>
      </c>
    </row>
    <row r="129">
      <c r="A129" s="18" t="inlineStr">
        <is>
          <t>특별손실 합계</t>
        </is>
      </c>
      <c r="D129" s="20" t="n">
        <v>0</v>
      </c>
      <c r="E129" s="20" t="n">
        <v>367</v>
      </c>
      <c r="H129" s="20" t="n">
        <v>1</v>
      </c>
      <c r="I129" s="20" t="n">
        <v>92</v>
      </c>
      <c r="M129" s="20" t="n">
        <v>9</v>
      </c>
      <c r="T129" s="20" t="n">
        <v>33</v>
      </c>
      <c r="U129" s="20" t="n">
        <v>40</v>
      </c>
      <c r="V129" s="20" t="n">
        <v>367</v>
      </c>
      <c r="W129" s="20" t="n">
        <v>92</v>
      </c>
      <c r="X129" s="20" t="n">
        <v>9</v>
      </c>
    </row>
    <row r="130">
      <c r="A130" s="9" t="inlineStr">
        <is>
          <t>법인세차감전 순이익</t>
        </is>
      </c>
      <c r="C130" s="12" t="n">
        <v>321</v>
      </c>
      <c r="D130" s="12" t="n">
        <v>344</v>
      </c>
      <c r="E130" s="12" t="n">
        <v>-959</v>
      </c>
      <c r="F130" s="12" t="n">
        <v>716</v>
      </c>
      <c r="G130" s="12" t="n">
        <v>-99</v>
      </c>
      <c r="H130" s="12" t="n">
        <v>982</v>
      </c>
      <c r="I130" s="12" t="n">
        <v>-1053</v>
      </c>
      <c r="J130" s="12" t="n">
        <v>506</v>
      </c>
      <c r="K130" s="12" t="n">
        <v>379</v>
      </c>
      <c r="L130" s="12" t="n">
        <v>626</v>
      </c>
      <c r="M130" s="12" t="n">
        <v>-203</v>
      </c>
      <c r="N130" s="12" t="n">
        <v>928</v>
      </c>
      <c r="T130" s="12" t="n">
        <v>-383</v>
      </c>
      <c r="U130" s="12" t="n">
        <v>-690</v>
      </c>
      <c r="V130" s="12" t="n">
        <v>-959</v>
      </c>
      <c r="W130" s="12" t="n">
        <v>-1053</v>
      </c>
      <c r="X130" s="12" t="n">
        <v>-203</v>
      </c>
    </row>
    <row r="131">
      <c r="A131" s="18" t="inlineStr">
        <is>
          <t>법인세·주민세·사업세</t>
        </is>
      </c>
      <c r="C131" s="20" t="n">
        <v>117</v>
      </c>
      <c r="D131" s="20" t="n">
        <v>34</v>
      </c>
      <c r="E131" s="20" t="n">
        <v>-76</v>
      </c>
      <c r="F131" s="20" t="n">
        <v>126</v>
      </c>
      <c r="G131" s="20" t="n">
        <v>27</v>
      </c>
      <c r="H131" s="20" t="n">
        <v>158</v>
      </c>
      <c r="I131" s="20" t="n">
        <v>-127</v>
      </c>
      <c r="J131" s="20" t="n">
        <v>95</v>
      </c>
      <c r="K131" s="20" t="n">
        <v>119</v>
      </c>
      <c r="L131" s="20" t="n">
        <v>120</v>
      </c>
      <c r="M131" s="20" t="n">
        <v>16</v>
      </c>
      <c r="N131" s="20" t="n">
        <v>151</v>
      </c>
      <c r="T131" s="20" t="n">
        <v>-10</v>
      </c>
      <c r="U131" s="20" t="n">
        <v>-39</v>
      </c>
      <c r="V131" s="20" t="n">
        <v>-76</v>
      </c>
      <c r="W131" s="20" t="n">
        <v>-127</v>
      </c>
      <c r="X131" s="20" t="n">
        <v>16</v>
      </c>
    </row>
    <row r="132">
      <c r="A132" s="18" t="inlineStr">
        <is>
          <t>법인세 조정액</t>
        </is>
      </c>
      <c r="C132" s="20" t="n">
        <v>7</v>
      </c>
      <c r="D132" s="20" t="n">
        <v>74</v>
      </c>
      <c r="E132" s="20" t="n">
        <v>-33</v>
      </c>
      <c r="F132" s="20" t="n">
        <v>113</v>
      </c>
      <c r="G132" s="20" t="n">
        <v>-35</v>
      </c>
      <c r="H132" s="20" t="n">
        <v>33</v>
      </c>
      <c r="I132" s="20" t="n">
        <v>21</v>
      </c>
      <c r="J132" s="20" t="n">
        <v>74</v>
      </c>
      <c r="K132" s="20" t="n">
        <v>-26</v>
      </c>
      <c r="L132" s="20" t="n">
        <v>-32</v>
      </c>
      <c r="M132" s="20" t="n">
        <v>-65</v>
      </c>
      <c r="N132" s="20" t="n">
        <v>131</v>
      </c>
      <c r="T132" s="20" t="n">
        <v>-63</v>
      </c>
      <c r="U132" s="20" t="n">
        <v>-93</v>
      </c>
      <c r="V132" s="20" t="n">
        <v>-33</v>
      </c>
      <c r="W132" s="20" t="n">
        <v>21</v>
      </c>
      <c r="X132" s="20" t="n">
        <v>-65</v>
      </c>
    </row>
    <row r="133">
      <c r="A133" s="18" t="inlineStr">
        <is>
          <t>법인세 등 합계</t>
        </is>
      </c>
      <c r="C133" s="20" t="n">
        <v>125</v>
      </c>
      <c r="D133" s="20" t="n">
        <v>107</v>
      </c>
      <c r="E133" s="20" t="n">
        <v>-109</v>
      </c>
      <c r="F133" s="20" t="n">
        <v>239</v>
      </c>
      <c r="G133" s="20" t="n">
        <v>-8</v>
      </c>
      <c r="H133" s="20" t="n">
        <v>191</v>
      </c>
      <c r="I133" s="20" t="n">
        <v>-105</v>
      </c>
      <c r="J133" s="20" t="n">
        <v>169</v>
      </c>
      <c r="K133" s="20" t="n">
        <v>93</v>
      </c>
      <c r="L133" s="20" t="n">
        <v>88</v>
      </c>
      <c r="M133" s="20" t="n">
        <v>-50</v>
      </c>
      <c r="N133" s="20" t="n">
        <v>283</v>
      </c>
      <c r="T133" s="20" t="n">
        <v>-73</v>
      </c>
      <c r="U133" s="20" t="n">
        <v>-134</v>
      </c>
      <c r="V133" s="20" t="n">
        <v>-109</v>
      </c>
      <c r="W133" s="20" t="n">
        <v>-105</v>
      </c>
      <c r="X133" s="20" t="n">
        <v>-50</v>
      </c>
    </row>
    <row r="134">
      <c r="A134" s="9" t="inlineStr">
        <is>
          <t>순이익</t>
        </is>
      </c>
      <c r="C134" s="12" t="n">
        <v>197</v>
      </c>
      <c r="D134" s="12" t="n">
        <v>236</v>
      </c>
      <c r="E134" s="12" t="n">
        <v>-850</v>
      </c>
      <c r="F134" s="12" t="n">
        <v>477</v>
      </c>
      <c r="G134" s="12" t="n">
        <v>-91</v>
      </c>
      <c r="H134" s="12" t="n">
        <v>791</v>
      </c>
      <c r="I134" s="12" t="n">
        <v>-948</v>
      </c>
      <c r="J134" s="12" t="n">
        <v>336</v>
      </c>
      <c r="K134" s="12" t="n">
        <v>287</v>
      </c>
      <c r="L134" s="12" t="n">
        <v>538</v>
      </c>
      <c r="M134" s="12" t="n">
        <v>-153</v>
      </c>
      <c r="N134" s="12" t="n">
        <v>644</v>
      </c>
      <c r="T134" s="12" t="n">
        <v>-310</v>
      </c>
      <c r="U134" s="12" t="n">
        <v>-556</v>
      </c>
      <c r="V134" s="12" t="n">
        <v>-850</v>
      </c>
      <c r="W134" s="12" t="n">
        <v>-948</v>
      </c>
      <c r="X134" s="12" t="n">
        <v>-153</v>
      </c>
    </row>
    <row r="135">
      <c r="A135" s="43" t="inlineStr">
        <is>
          <t>YoY</t>
        </is>
      </c>
      <c r="B135" s="3" t="inlineStr">
        <is>
          <t>전년 같은 분기·전년 대비</t>
        </is>
      </c>
      <c r="G135" s="15">
        <f>IF(OR(G134="",C134=""),"",IF(C134&lt;=0,"",IFERROR(G134/C134-1,"")))</f>
        <v/>
      </c>
      <c r="H135" s="15">
        <f>IF(OR(H134="",D134=""),"",IF(D134&lt;=0,"",IFERROR(H134/D134-1,"")))</f>
        <v/>
      </c>
      <c r="I135" s="15">
        <f>IF(OR(I134="",E134=""),"",IF(E134&lt;=0,"",IFERROR(I134/E134-1,"")))</f>
        <v/>
      </c>
      <c r="J135" s="15">
        <f>IF(OR(J134="",F134=""),"",IF(F134&lt;=0,"",IFERROR(J134/F134-1,"")))</f>
        <v/>
      </c>
      <c r="K135" s="15">
        <f>IF(OR(K134="",G134=""),"",IF(G134&lt;=0,"",IFERROR(K134/G134-1,"")))</f>
        <v/>
      </c>
      <c r="L135" s="15">
        <f>IF(OR(L134="",H134=""),"",IF(H134&lt;=0,"",IFERROR(L134/H134-1,"")))</f>
        <v/>
      </c>
      <c r="M135" s="15">
        <f>IF(OR(M134="",I134=""),"",IF(I134&lt;=0,"",IFERROR(M134/I134-1,"")))</f>
        <v/>
      </c>
      <c r="N135" s="15">
        <f>IF(OR(N134="",J134=""),"",IF(J134&lt;=0,"",IFERROR(N134/J134-1,"")))</f>
        <v/>
      </c>
      <c r="T135" s="15">
        <f>IF(OR(T134="",S134=""),"",IF(S134&lt;=0,"",IFERROR(T134/S134-1,"")))</f>
        <v/>
      </c>
      <c r="U135" s="15">
        <f>IF(OR(U134="",T134=""),"",IF(T134&lt;=0,"",IFERROR(U134/T134-1,"")))</f>
        <v/>
      </c>
      <c r="V135" s="15">
        <f>IF(OR(V134="",U134=""),"",IF(U134&lt;=0,"",IFERROR(V134/U134-1,"")))</f>
        <v/>
      </c>
      <c r="W135" s="15">
        <f>IF(OR(W134="",V134=""),"",IF(V134&lt;=0,"",IFERROR(W134/V134-1,"")))</f>
        <v/>
      </c>
      <c r="X135" s="15">
        <f>IF(OR(X134="",W134=""),"",IF(W134&lt;=0,"",IFERROR(X134/W134-1,"")))</f>
        <v/>
      </c>
    </row>
    <row r="136">
      <c r="A136" s="9" t="inlineStr">
        <is>
          <t>비지배주주 순이익</t>
        </is>
      </c>
      <c r="C136" s="12" t="n">
        <v>2</v>
      </c>
      <c r="D136" s="12" t="n">
        <v>-6</v>
      </c>
      <c r="E136" s="12" t="n">
        <v>-3</v>
      </c>
      <c r="F136" s="12" t="n">
        <v>14</v>
      </c>
      <c r="G136" s="12" t="n">
        <v>8</v>
      </c>
      <c r="H136" s="12" t="n">
        <v>-2</v>
      </c>
      <c r="I136" s="12" t="n">
        <v>-5</v>
      </c>
      <c r="J136" s="12" t="n">
        <v>15</v>
      </c>
      <c r="K136" s="12" t="n">
        <v>5</v>
      </c>
      <c r="L136" s="12" t="n">
        <v>2</v>
      </c>
      <c r="M136" s="12" t="n">
        <v>-3</v>
      </c>
      <c r="N136" s="12" t="n">
        <v>17</v>
      </c>
      <c r="T136" s="12" t="n">
        <v>-8</v>
      </c>
      <c r="U136" s="12" t="n">
        <v>-9</v>
      </c>
      <c r="V136" s="12" t="n">
        <v>-3</v>
      </c>
      <c r="W136" s="12" t="n">
        <v>-5</v>
      </c>
      <c r="X136" s="12" t="n">
        <v>-3</v>
      </c>
    </row>
    <row r="137">
      <c r="A137" s="9" t="inlineStr">
        <is>
          <t>지배주주 순이익</t>
        </is>
      </c>
      <c r="C137" s="12" t="n">
        <v>195</v>
      </c>
      <c r="D137" s="12" t="n">
        <v>242</v>
      </c>
      <c r="E137" s="12" t="n">
        <v>-848</v>
      </c>
      <c r="F137" s="12" t="n">
        <v>462</v>
      </c>
      <c r="G137" s="12" t="n">
        <v>-99</v>
      </c>
      <c r="H137" s="12" t="n">
        <v>793</v>
      </c>
      <c r="I137" s="12" t="n">
        <v>-942</v>
      </c>
      <c r="J137" s="12" t="n">
        <v>321</v>
      </c>
      <c r="K137" s="12" t="n">
        <v>281</v>
      </c>
      <c r="L137" s="12" t="n">
        <v>536</v>
      </c>
      <c r="M137" s="12" t="n">
        <v>-150</v>
      </c>
      <c r="N137" s="12" t="n">
        <v>627</v>
      </c>
      <c r="T137" s="12" t="n">
        <v>-302</v>
      </c>
      <c r="U137" s="12" t="n">
        <v>-546</v>
      </c>
      <c r="V137" s="12" t="n">
        <v>-848</v>
      </c>
      <c r="W137" s="12" t="n">
        <v>-942</v>
      </c>
      <c r="X137" s="12" t="n">
        <v>-150</v>
      </c>
    </row>
    <row r="138">
      <c r="A138" s="43" t="inlineStr">
        <is>
          <t>YoY</t>
        </is>
      </c>
      <c r="B138" s="3" t="inlineStr">
        <is>
          <t>전년 같은 분기·전년 대비</t>
        </is>
      </c>
      <c r="G138" s="15">
        <f>IF(OR(G137="",C137=""),"",IF(C137&lt;=0,"",IFERROR(G137/C137-1,"")))</f>
        <v/>
      </c>
      <c r="H138" s="15">
        <f>IF(OR(H137="",D137=""),"",IF(D137&lt;=0,"",IFERROR(H137/D137-1,"")))</f>
        <v/>
      </c>
      <c r="I138" s="15">
        <f>IF(OR(I137="",E137=""),"",IF(E137&lt;=0,"",IFERROR(I137/E137-1,"")))</f>
        <v/>
      </c>
      <c r="J138" s="15">
        <f>IF(OR(J137="",F137=""),"",IF(F137&lt;=0,"",IFERROR(J137/F137-1,"")))</f>
        <v/>
      </c>
      <c r="K138" s="15">
        <f>IF(OR(K137="",G137=""),"",IF(G137&lt;=0,"",IFERROR(K137/G137-1,"")))</f>
        <v/>
      </c>
      <c r="L138" s="15">
        <f>IF(OR(L137="",H137=""),"",IF(H137&lt;=0,"",IFERROR(L137/H137-1,"")))</f>
        <v/>
      </c>
      <c r="M138" s="15">
        <f>IF(OR(M137="",I137=""),"",IF(I137&lt;=0,"",IFERROR(M137/I137-1,"")))</f>
        <v/>
      </c>
      <c r="N138" s="15">
        <f>IF(OR(N137="",J137=""),"",IF(J137&lt;=0,"",IFERROR(N137/J137-1,"")))</f>
        <v/>
      </c>
      <c r="T138" s="15">
        <f>IF(OR(T137="",S137=""),"",IF(S137&lt;=0,"",IFERROR(T137/S137-1,"")))</f>
        <v/>
      </c>
      <c r="U138" s="15">
        <f>IF(OR(U137="",T137=""),"",IF(T137&lt;=0,"",IFERROR(U137/T137-1,"")))</f>
        <v/>
      </c>
      <c r="V138" s="15">
        <f>IF(OR(V137="",U137=""),"",IF(U137&lt;=0,"",IFERROR(V137/U137-1,"")))</f>
        <v/>
      </c>
      <c r="W138" s="15">
        <f>IF(OR(W137="",V137=""),"",IF(V137&lt;=0,"",IFERROR(W137/V137-1,"")))</f>
        <v/>
      </c>
      <c r="X138" s="15">
        <f>IF(OR(X137="",W137=""),"",IF(W137&lt;=0,"",IFERROR(X137/W137-1,"")))</f>
        <v/>
      </c>
    </row>
    <row r="140">
      <c r="A140" s="16" t="inlineStr">
        <is>
          <t>포괄손익 · 전 항목</t>
        </is>
      </c>
      <c r="B140" s="42" t="inlineStr">
        <is>
          <t>분기 = 3개월 단독</t>
        </is>
      </c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  <c r="AA140" s="16" t="n"/>
      <c r="AB140" s="16" t="n"/>
      <c r="AC140" s="16" t="n"/>
    </row>
    <row r="141">
      <c r="A141" s="5" t="inlineStr">
        <is>
          <t>항목</t>
        </is>
      </c>
      <c r="B141" s="5" t="inlineStr">
        <is>
          <t>참고</t>
        </is>
      </c>
      <c r="C141" s="5" t="inlineStr">
        <is>
          <t>2024.2Q</t>
        </is>
      </c>
      <c r="D141" s="5" t="inlineStr">
        <is>
          <t>2024.3Q</t>
        </is>
      </c>
      <c r="E141" s="5" t="inlineStr">
        <is>
          <t>2024.4Q</t>
        </is>
      </c>
      <c r="F141" s="5" t="inlineStr">
        <is>
          <t>2025.1Q</t>
        </is>
      </c>
      <c r="G141" s="5" t="inlineStr">
        <is>
          <t>2025.2Q</t>
        </is>
      </c>
      <c r="H141" s="5" t="inlineStr">
        <is>
          <t>2025.3Q</t>
        </is>
      </c>
      <c r="I141" s="5" t="inlineStr">
        <is>
          <t>2025.4Q</t>
        </is>
      </c>
      <c r="J141" s="5" t="inlineStr">
        <is>
          <t>2026.1Q</t>
        </is>
      </c>
      <c r="K141" s="5" t="inlineStr">
        <is>
          <t>2026.2Q</t>
        </is>
      </c>
      <c r="L141" s="5" t="inlineStr">
        <is>
          <t>2026.3Q</t>
        </is>
      </c>
      <c r="M141" s="5" t="inlineStr">
        <is>
          <t>2026.4Q</t>
        </is>
      </c>
      <c r="N141" s="5" t="inlineStr">
        <is>
          <t>2027.1Q</t>
        </is>
      </c>
      <c r="O141" s="5" t="inlineStr">
        <is>
          <t>2017</t>
        </is>
      </c>
      <c r="P141" s="5" t="inlineStr">
        <is>
          <t>2018</t>
        </is>
      </c>
      <c r="Q141" s="5" t="inlineStr">
        <is>
          <t>2019</t>
        </is>
      </c>
      <c r="R141" s="5" t="inlineStr">
        <is>
          <t>2020</t>
        </is>
      </c>
      <c r="S141" s="5" t="inlineStr">
        <is>
          <t>2021</t>
        </is>
      </c>
      <c r="T141" s="5" t="inlineStr">
        <is>
          <t>2022</t>
        </is>
      </c>
      <c r="U141" s="5" t="inlineStr">
        <is>
          <t>2023</t>
        </is>
      </c>
      <c r="V141" s="5" t="inlineStr">
        <is>
          <t>2024</t>
        </is>
      </c>
      <c r="W141" s="5" t="inlineStr">
        <is>
          <t>2025</t>
        </is>
      </c>
      <c r="X141" s="5" t="inlineStr">
        <is>
          <t>2026</t>
        </is>
      </c>
      <c r="Y141" s="5" t="inlineStr">
        <is>
          <t>2027(MW)</t>
        </is>
      </c>
      <c r="Z141" s="5" t="inlineStr">
        <is>
          <t>2028(MW)</t>
        </is>
      </c>
      <c r="AA141" s="5" t="inlineStr">
        <is>
          <t>2029(MW)</t>
        </is>
      </c>
      <c r="AB141" s="5" t="inlineStr">
        <is>
          <t>2030(MW)</t>
        </is>
      </c>
      <c r="AC141" s="5" t="inlineStr">
        <is>
          <t>2031(MW)</t>
        </is>
      </c>
    </row>
    <row r="142">
      <c r="A142" s="9" t="inlineStr">
        <is>
          <t>순이익</t>
        </is>
      </c>
      <c r="C142" s="12" t="n">
        <v>197</v>
      </c>
      <c r="D142" s="12" t="n">
        <v>236</v>
      </c>
      <c r="E142" s="12" t="n">
        <v>-850</v>
      </c>
      <c r="F142" s="12" t="n">
        <v>477</v>
      </c>
      <c r="G142" s="12" t="n">
        <v>-91</v>
      </c>
      <c r="H142" s="12" t="n">
        <v>791</v>
      </c>
      <c r="I142" s="12" t="n">
        <v>-948</v>
      </c>
      <c r="J142" s="12" t="n">
        <v>336</v>
      </c>
      <c r="K142" s="12" t="n">
        <v>287</v>
      </c>
      <c r="L142" s="12" t="n">
        <v>538</v>
      </c>
      <c r="M142" s="12" t="n">
        <v>-153</v>
      </c>
      <c r="N142" s="12" t="n">
        <v>644</v>
      </c>
      <c r="T142" s="12" t="n">
        <v>-310</v>
      </c>
      <c r="U142" s="12" t="n">
        <v>-556</v>
      </c>
      <c r="V142" s="12" t="n">
        <v>-850</v>
      </c>
      <c r="W142" s="12" t="n">
        <v>-948</v>
      </c>
      <c r="X142" s="12" t="n">
        <v>-153</v>
      </c>
    </row>
    <row r="143">
      <c r="A143" s="18" t="inlineStr">
        <is>
          <t>기타유가증권 평가차액</t>
        </is>
      </c>
      <c r="C143" s="20" t="n">
        <v>53</v>
      </c>
      <c r="D143" s="20" t="n">
        <v>-1</v>
      </c>
      <c r="E143" s="20" t="n">
        <v>201</v>
      </c>
      <c r="F143" s="20" t="n">
        <v>-4</v>
      </c>
      <c r="G143" s="20" t="n">
        <v>-29</v>
      </c>
      <c r="H143" s="20" t="n">
        <v>12</v>
      </c>
      <c r="I143" s="20" t="n">
        <v>-70</v>
      </c>
      <c r="J143" s="20" t="n">
        <v>79</v>
      </c>
      <c r="K143" s="20" t="n">
        <v>104</v>
      </c>
      <c r="L143" s="20" t="n">
        <v>135</v>
      </c>
      <c r="M143" s="20" t="n">
        <v>67</v>
      </c>
      <c r="N143" s="20" t="n">
        <v>-37</v>
      </c>
      <c r="T143" s="20" t="n">
        <v>-5</v>
      </c>
      <c r="U143" s="20" t="n">
        <v>2</v>
      </c>
      <c r="V143" s="20" t="n">
        <v>201</v>
      </c>
      <c r="W143" s="20" t="n">
        <v>-70</v>
      </c>
      <c r="X143" s="20" t="n">
        <v>67</v>
      </c>
    </row>
    <row r="144">
      <c r="A144" s="18" t="inlineStr">
        <is>
          <t>해외사업환산조정</t>
        </is>
      </c>
      <c r="C144" s="20" t="n">
        <v>21</v>
      </c>
      <c r="D144" s="20" t="n">
        <v>-1</v>
      </c>
      <c r="E144" s="20" t="n">
        <v>-10</v>
      </c>
      <c r="F144" s="20" t="n">
        <v>10</v>
      </c>
      <c r="G144" s="20" t="n">
        <v>10</v>
      </c>
      <c r="H144" s="20" t="n">
        <v>-26</v>
      </c>
      <c r="I144" s="20" t="n">
        <v>13</v>
      </c>
      <c r="J144" s="20" t="n">
        <v>-29</v>
      </c>
      <c r="K144" s="20" t="n">
        <v>10</v>
      </c>
      <c r="L144" s="20" t="n">
        <v>-2</v>
      </c>
      <c r="M144" s="20" t="n">
        <v>14</v>
      </c>
      <c r="N144" s="20" t="n">
        <v>-0</v>
      </c>
      <c r="T144" s="20" t="n">
        <v>3</v>
      </c>
      <c r="U144" s="20" t="n">
        <v>-24</v>
      </c>
      <c r="V144" s="20" t="n">
        <v>-10</v>
      </c>
      <c r="W144" s="20" t="n">
        <v>13</v>
      </c>
      <c r="X144" s="20" t="n">
        <v>14</v>
      </c>
    </row>
    <row r="145">
      <c r="A145" s="18" t="inlineStr">
        <is>
          <t>퇴직급여 조정액</t>
        </is>
      </c>
      <c r="C145" s="20" t="n">
        <v>-4</v>
      </c>
      <c r="D145" s="20" t="n">
        <v>-6</v>
      </c>
      <c r="E145" s="20" t="n">
        <v>189</v>
      </c>
      <c r="F145" s="20" t="n">
        <v>-31</v>
      </c>
      <c r="G145" s="20" t="n">
        <v>-29</v>
      </c>
      <c r="H145" s="20" t="n">
        <v>-32</v>
      </c>
      <c r="I145" s="20" t="n">
        <v>186</v>
      </c>
      <c r="J145" s="20" t="n">
        <v>-30</v>
      </c>
      <c r="K145" s="20" t="n">
        <v>-30</v>
      </c>
      <c r="L145" s="20" t="n">
        <v>-29</v>
      </c>
      <c r="M145" s="20" t="n">
        <v>78</v>
      </c>
      <c r="N145" s="20" t="n">
        <v>-31</v>
      </c>
      <c r="T145" s="20" t="n">
        <v>65</v>
      </c>
      <c r="U145" s="20" t="n">
        <v>-25</v>
      </c>
      <c r="V145" s="20" t="n">
        <v>189</v>
      </c>
      <c r="W145" s="20" t="n">
        <v>186</v>
      </c>
      <c r="X145" s="20" t="n">
        <v>78</v>
      </c>
    </row>
    <row r="146">
      <c r="A146" s="18" t="inlineStr">
        <is>
          <t>지분법 적용회사 지분 해당액</t>
        </is>
      </c>
      <c r="C146" s="20" t="n">
        <v>0</v>
      </c>
      <c r="D146" s="20" t="n">
        <v>4</v>
      </c>
      <c r="E146" s="20" t="n">
        <v>3</v>
      </c>
      <c r="F146" s="20" t="n">
        <v>-2</v>
      </c>
      <c r="G146" s="20" t="n">
        <v>3</v>
      </c>
      <c r="H146" s="20" t="n">
        <v>3</v>
      </c>
      <c r="I146" s="20" t="n">
        <v>-4</v>
      </c>
      <c r="J146" s="20" t="n">
        <v>-2</v>
      </c>
      <c r="K146" s="20" t="n">
        <v>-1</v>
      </c>
      <c r="L146" s="20" t="n">
        <v>0</v>
      </c>
      <c r="M146" s="20" t="n">
        <v>1</v>
      </c>
      <c r="N146" s="20" t="n">
        <v>0</v>
      </c>
      <c r="T146" s="20" t="n">
        <v>-2</v>
      </c>
      <c r="U146" s="20" t="n">
        <v>1</v>
      </c>
      <c r="V146" s="20" t="n">
        <v>3</v>
      </c>
      <c r="W146" s="20" t="n">
        <v>-4</v>
      </c>
      <c r="X146" s="20" t="n">
        <v>1</v>
      </c>
    </row>
    <row r="147">
      <c r="A147" s="18" t="inlineStr">
        <is>
          <t>기타포괄손익 합계</t>
        </is>
      </c>
      <c r="C147" s="20" t="n">
        <v>69</v>
      </c>
      <c r="D147" s="20" t="n">
        <v>-3</v>
      </c>
      <c r="E147" s="20" t="n">
        <v>384</v>
      </c>
      <c r="F147" s="20" t="n">
        <v>-28</v>
      </c>
      <c r="G147" s="20" t="n">
        <v>-43</v>
      </c>
      <c r="H147" s="20" t="n">
        <v>-43</v>
      </c>
      <c r="I147" s="20" t="n">
        <v>111</v>
      </c>
      <c r="J147" s="20" t="n">
        <v>17</v>
      </c>
      <c r="K147" s="20" t="n">
        <v>82</v>
      </c>
      <c r="L147" s="20" t="n">
        <v>105</v>
      </c>
      <c r="M147" s="20" t="n">
        <v>159</v>
      </c>
      <c r="N147" s="20" t="n">
        <v>-69</v>
      </c>
      <c r="T147" s="20" t="n">
        <v>61</v>
      </c>
      <c r="U147" s="20" t="n">
        <v>-43</v>
      </c>
      <c r="V147" s="20" t="n">
        <v>384</v>
      </c>
      <c r="W147" s="20" t="n">
        <v>111</v>
      </c>
      <c r="X147" s="20" t="n">
        <v>159</v>
      </c>
    </row>
    <row r="148">
      <c r="A148" s="9" t="inlineStr">
        <is>
          <t>포괄이익</t>
        </is>
      </c>
      <c r="C148" s="12" t="n">
        <v>266</v>
      </c>
      <c r="D148" s="12" t="n">
        <v>233</v>
      </c>
      <c r="E148" s="12" t="n">
        <v>-467</v>
      </c>
      <c r="F148" s="12" t="n">
        <v>448</v>
      </c>
      <c r="G148" s="12" t="n">
        <v>-133</v>
      </c>
      <c r="H148" s="12" t="n">
        <v>747</v>
      </c>
      <c r="I148" s="12" t="n">
        <v>-837</v>
      </c>
      <c r="J148" s="12" t="n">
        <v>354</v>
      </c>
      <c r="K148" s="12" t="n">
        <v>369</v>
      </c>
      <c r="L148" s="12" t="n">
        <v>642</v>
      </c>
      <c r="M148" s="12" t="n">
        <v>6</v>
      </c>
      <c r="N148" s="12" t="n">
        <v>575</v>
      </c>
      <c r="T148" s="12" t="n">
        <v>-249</v>
      </c>
      <c r="U148" s="12" t="n">
        <v>-599</v>
      </c>
      <c r="V148" s="12" t="n">
        <v>-467</v>
      </c>
      <c r="W148" s="12" t="n">
        <v>-837</v>
      </c>
      <c r="X148" s="12" t="n">
        <v>6</v>
      </c>
    </row>
    <row r="149">
      <c r="A149" s="9" t="inlineStr">
        <is>
          <t>지배주주 포괄이익</t>
        </is>
      </c>
      <c r="C149" s="12" t="n">
        <v>262</v>
      </c>
      <c r="D149" s="12" t="n">
        <v>239</v>
      </c>
      <c r="E149" s="12" t="n">
        <v>-463</v>
      </c>
      <c r="F149" s="12" t="n">
        <v>432</v>
      </c>
      <c r="G149" s="12" t="n">
        <v>-142</v>
      </c>
      <c r="H149" s="12" t="n">
        <v>754</v>
      </c>
      <c r="I149" s="12" t="n">
        <v>-833</v>
      </c>
      <c r="J149" s="12" t="n">
        <v>343</v>
      </c>
      <c r="K149" s="12" t="n">
        <v>362</v>
      </c>
      <c r="L149" s="12" t="n">
        <v>641</v>
      </c>
      <c r="M149" s="12" t="n">
        <v>8</v>
      </c>
      <c r="N149" s="12" t="n">
        <v>558</v>
      </c>
      <c r="T149" s="12" t="n">
        <v>-241</v>
      </c>
      <c r="U149" s="12" t="n">
        <v>-588</v>
      </c>
      <c r="V149" s="12" t="n">
        <v>-463</v>
      </c>
      <c r="W149" s="12" t="n">
        <v>-833</v>
      </c>
      <c r="X149" s="12" t="n">
        <v>8</v>
      </c>
    </row>
    <row r="150">
      <c r="A150" s="9" t="inlineStr">
        <is>
          <t>비지배주주 포괄이익</t>
        </is>
      </c>
      <c r="C150" s="12" t="n">
        <v>3</v>
      </c>
      <c r="D150" s="12" t="n">
        <v>-6</v>
      </c>
      <c r="E150" s="12" t="n">
        <v>-3</v>
      </c>
      <c r="F150" s="12" t="n">
        <v>15</v>
      </c>
      <c r="G150" s="12" t="n">
        <v>9</v>
      </c>
      <c r="H150" s="12" t="n">
        <v>-6</v>
      </c>
      <c r="I150" s="12" t="n">
        <v>-4</v>
      </c>
      <c r="J150" s="12" t="n">
        <v>11</v>
      </c>
      <c r="K150" s="12" t="n">
        <v>6</v>
      </c>
      <c r="L150" s="12" t="n">
        <v>2</v>
      </c>
      <c r="M150" s="12" t="n">
        <v>-3</v>
      </c>
      <c r="N150" s="12" t="n">
        <v>17</v>
      </c>
      <c r="T150" s="12" t="n">
        <v>-7</v>
      </c>
      <c r="U150" s="12" t="n">
        <v>-11</v>
      </c>
      <c r="V150" s="12" t="n">
        <v>-3</v>
      </c>
      <c r="W150" s="12" t="n">
        <v>-4</v>
      </c>
      <c r="X150" s="12" t="n">
        <v>-3</v>
      </c>
    </row>
    <row r="152">
      <c r="A152" s="16" t="inlineStr">
        <is>
          <t>부문 · 전 항목</t>
        </is>
      </c>
      <c r="B152" s="42" t="inlineStr">
        <is>
          <t>부문 · 항목</t>
        </is>
      </c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  <c r="AA152" s="16" t="n"/>
      <c r="AB152" s="16" t="n"/>
      <c r="AC152" s="16" t="n"/>
    </row>
    <row r="153">
      <c r="A153" s="5" t="inlineStr">
        <is>
          <t>항목</t>
        </is>
      </c>
      <c r="B153" s="5" t="inlineStr">
        <is>
          <t>참고</t>
        </is>
      </c>
      <c r="C153" s="5" t="inlineStr">
        <is>
          <t>2024.2Q</t>
        </is>
      </c>
      <c r="D153" s="5" t="inlineStr">
        <is>
          <t>2024.3Q</t>
        </is>
      </c>
      <c r="E153" s="5" t="inlineStr">
        <is>
          <t>2024.4Q</t>
        </is>
      </c>
      <c r="F153" s="5" t="inlineStr">
        <is>
          <t>2025.1Q</t>
        </is>
      </c>
      <c r="G153" s="5" t="inlineStr">
        <is>
          <t>2025.2Q</t>
        </is>
      </c>
      <c r="H153" s="5" t="inlineStr">
        <is>
          <t>2025.3Q</t>
        </is>
      </c>
      <c r="I153" s="5" t="inlineStr">
        <is>
          <t>2025.4Q</t>
        </is>
      </c>
      <c r="J153" s="5" t="inlineStr">
        <is>
          <t>2026.1Q</t>
        </is>
      </c>
      <c r="K153" s="5" t="inlineStr">
        <is>
          <t>2026.2Q</t>
        </is>
      </c>
      <c r="L153" s="5" t="inlineStr">
        <is>
          <t>2026.3Q</t>
        </is>
      </c>
      <c r="M153" s="5" t="inlineStr">
        <is>
          <t>2026.4Q</t>
        </is>
      </c>
      <c r="N153" s="5" t="inlineStr">
        <is>
          <t>2027.1Q</t>
        </is>
      </c>
      <c r="O153" s="5" t="inlineStr">
        <is>
          <t>2017</t>
        </is>
      </c>
      <c r="P153" s="5" t="inlineStr">
        <is>
          <t>2018</t>
        </is>
      </c>
      <c r="Q153" s="5" t="inlineStr">
        <is>
          <t>2019</t>
        </is>
      </c>
      <c r="R153" s="5" t="inlineStr">
        <is>
          <t>2020</t>
        </is>
      </c>
      <c r="S153" s="5" t="inlineStr">
        <is>
          <t>2021</t>
        </is>
      </c>
      <c r="T153" s="5" t="inlineStr">
        <is>
          <t>2022</t>
        </is>
      </c>
      <c r="U153" s="5" t="inlineStr">
        <is>
          <t>2023</t>
        </is>
      </c>
      <c r="V153" s="5" t="inlineStr">
        <is>
          <t>2024</t>
        </is>
      </c>
      <c r="W153" s="5" t="inlineStr">
        <is>
          <t>2025</t>
        </is>
      </c>
      <c r="X153" s="5" t="inlineStr">
        <is>
          <t>2026</t>
        </is>
      </c>
      <c r="Y153" s="5" t="inlineStr">
        <is>
          <t>2027(MW)</t>
        </is>
      </c>
      <c r="Z153" s="5" t="inlineStr">
        <is>
          <t>2028(MW)</t>
        </is>
      </c>
      <c r="AA153" s="5" t="inlineStr">
        <is>
          <t>2029(MW)</t>
        </is>
      </c>
      <c r="AB153" s="5" t="inlineStr">
        <is>
          <t>2030(MW)</t>
        </is>
      </c>
      <c r="AC153" s="5" t="inlineStr">
        <is>
          <t>2031(MW)</t>
        </is>
      </c>
    </row>
    <row r="154">
      <c r="A154" s="18" t="inlineStr">
        <is>
          <t>CoffeeRelatedReportableSegmentsMember · 외부 고객 매출</t>
        </is>
      </c>
      <c r="E154" s="20" t="n">
        <v>14922</v>
      </c>
      <c r="F154" s="20" t="n">
        <v>16948</v>
      </c>
      <c r="G154" s="20" t="n">
        <v>17683</v>
      </c>
      <c r="H154" s="20" t="n">
        <v>19853</v>
      </c>
      <c r="I154" s="20" t="n">
        <v>15399</v>
      </c>
      <c r="J154" s="20" t="n">
        <v>18490</v>
      </c>
      <c r="K154" s="20" t="n">
        <v>20850</v>
      </c>
      <c r="L154" s="20" t="n">
        <v>24193</v>
      </c>
      <c r="M154" s="20" t="n">
        <v>20069</v>
      </c>
      <c r="N154" s="20" t="n">
        <v>21180</v>
      </c>
      <c r="V154" s="20" t="n">
        <v>14922</v>
      </c>
      <c r="W154" s="20" t="n">
        <v>15399</v>
      </c>
      <c r="X154" s="20" t="n">
        <v>20069</v>
      </c>
    </row>
    <row r="155">
      <c r="A155" s="43" t="inlineStr">
        <is>
          <t>YoY</t>
        </is>
      </c>
      <c r="B155" s="3" t="inlineStr">
        <is>
          <t>전년 같은 분기·전년 대비</t>
        </is>
      </c>
      <c r="G155" s="15">
        <f>IF(OR(G154="",C154=""),"",IF(C154&lt;=0,"",IFERROR(G154/C154-1,"")))</f>
        <v/>
      </c>
      <c r="H155" s="15">
        <f>IF(OR(H154="",D154=""),"",IF(D154&lt;=0,"",IFERROR(H154/D154-1,"")))</f>
        <v/>
      </c>
      <c r="I155" s="15">
        <f>IF(OR(I154="",E154=""),"",IF(E154&lt;=0,"",IFERROR(I154/E154-1,"")))</f>
        <v/>
      </c>
      <c r="J155" s="15">
        <f>IF(OR(J154="",F154=""),"",IF(F154&lt;=0,"",IFERROR(J154/F154-1,"")))</f>
        <v/>
      </c>
      <c r="K155" s="15">
        <f>IF(OR(K154="",G154=""),"",IF(G154&lt;=0,"",IFERROR(K154/G154-1,"")))</f>
        <v/>
      </c>
      <c r="L155" s="15">
        <f>IF(OR(L154="",H154=""),"",IF(H154&lt;=0,"",IFERROR(L154/H154-1,"")))</f>
        <v/>
      </c>
      <c r="M155" s="15">
        <f>IF(OR(M154="",I154=""),"",IF(I154&lt;=0,"",IFERROR(M154/I154-1,"")))</f>
        <v/>
      </c>
      <c r="N155" s="15">
        <f>IF(OR(N154="",J154=""),"",IF(J154&lt;=0,"",IFERROR(N154/J154-1,"")))</f>
        <v/>
      </c>
      <c r="V155" s="15">
        <f>IF(OR(V154="",U154=""),"",IF(U154&lt;=0,"",IFERROR(V154/U154-1,"")))</f>
        <v/>
      </c>
      <c r="W155" s="15">
        <f>IF(OR(W154="",V154=""),"",IF(V154&lt;=0,"",IFERROR(W154/V154-1,"")))</f>
        <v/>
      </c>
      <c r="X155" s="15">
        <f>IF(OR(X154="",W154=""),"",IF(W154&lt;=0,"",IFERROR(X154/W154-1,"")))</f>
        <v/>
      </c>
    </row>
    <row r="156">
      <c r="A156" s="18" t="inlineStr">
        <is>
          <t>FoodAndBeverageRelatedReportableSegmentsMember · 외부 고객 매출</t>
        </is>
      </c>
      <c r="E156" s="20" t="n">
        <v>1113</v>
      </c>
      <c r="F156" s="20" t="n">
        <v>1046</v>
      </c>
      <c r="G156" s="20" t="n">
        <v>1017</v>
      </c>
      <c r="H156" s="20" t="n">
        <v>995</v>
      </c>
      <c r="I156" s="20" t="n">
        <v>1113</v>
      </c>
      <c r="J156" s="20" t="n">
        <v>1045</v>
      </c>
      <c r="K156" s="20" t="n">
        <v>1398</v>
      </c>
      <c r="L156" s="20" t="n">
        <v>1394</v>
      </c>
      <c r="M156" s="20" t="n">
        <v>1757</v>
      </c>
      <c r="N156" s="20" t="n">
        <v>1686</v>
      </c>
      <c r="V156" s="20" t="n">
        <v>1113</v>
      </c>
      <c r="W156" s="20" t="n">
        <v>1113</v>
      </c>
      <c r="X156" s="20" t="n">
        <v>1757</v>
      </c>
    </row>
    <row r="157">
      <c r="A157" s="43" t="inlineStr">
        <is>
          <t>YoY</t>
        </is>
      </c>
      <c r="B157" s="3" t="inlineStr">
        <is>
          <t>전년 같은 분기·전년 대비</t>
        </is>
      </c>
      <c r="G157" s="15">
        <f>IF(OR(G156="",C156=""),"",IF(C156&lt;=0,"",IFERROR(G156/C156-1,"")))</f>
        <v/>
      </c>
      <c r="H157" s="15">
        <f>IF(OR(H156="",D156=""),"",IF(D156&lt;=0,"",IFERROR(H156/D156-1,"")))</f>
        <v/>
      </c>
      <c r="I157" s="15">
        <f>IF(OR(I156="",E156=""),"",IF(E156&lt;=0,"",IFERROR(I156/E156-1,"")))</f>
        <v/>
      </c>
      <c r="J157" s="15">
        <f>IF(OR(J156="",F156=""),"",IF(F156&lt;=0,"",IFERROR(J156/F156-1,"")))</f>
        <v/>
      </c>
      <c r="K157" s="15">
        <f>IF(OR(K156="",G156=""),"",IF(G156&lt;=0,"",IFERROR(K156/G156-1,"")))</f>
        <v/>
      </c>
      <c r="L157" s="15">
        <f>IF(OR(L156="",H156=""),"",IF(H156&lt;=0,"",IFERROR(L156/H156-1,"")))</f>
        <v/>
      </c>
      <c r="M157" s="15">
        <f>IF(OR(M156="",I156=""),"",IF(I156&lt;=0,"",IFERROR(M156/I156-1,"")))</f>
        <v/>
      </c>
      <c r="N157" s="15">
        <f>IF(OR(N156="",J156=""),"",IF(J156&lt;=0,"",IFERROR(N156/J156-1,"")))</f>
        <v/>
      </c>
      <c r="V157" s="15">
        <f>IF(OR(V156="",U156=""),"",IF(U156&lt;=0,"",IFERROR(V156/U156-1,"")))</f>
        <v/>
      </c>
      <c r="W157" s="15">
        <f>IF(OR(W156="",V156=""),"",IF(V156&lt;=0,"",IFERROR(W156/V156-1,"")))</f>
        <v/>
      </c>
      <c r="X157" s="15">
        <f>IF(OR(X156="",W156=""),"",IF(W156&lt;=0,"",IFERROR(X156/W156-1,"")))</f>
        <v/>
      </c>
    </row>
    <row r="158">
      <c r="A158" s="18" t="inlineStr">
        <is>
          <t>보고부문 합계 · 외부 고객 매출</t>
        </is>
      </c>
      <c r="E158" s="20" t="n">
        <v>16036</v>
      </c>
      <c r="F158" s="20" t="n">
        <v>17995</v>
      </c>
      <c r="G158" s="20" t="n">
        <v>18700</v>
      </c>
      <c r="H158" s="20" t="n">
        <v>20847</v>
      </c>
      <c r="I158" s="20" t="n">
        <v>16512</v>
      </c>
      <c r="J158" s="20" t="n">
        <v>19536</v>
      </c>
      <c r="K158" s="20" t="n">
        <v>22247</v>
      </c>
      <c r="L158" s="20" t="n">
        <v>25588</v>
      </c>
      <c r="M158" s="20" t="n">
        <v>21825</v>
      </c>
      <c r="N158" s="20" t="n">
        <v>22866</v>
      </c>
      <c r="V158" s="20" t="n">
        <v>16036</v>
      </c>
      <c r="W158" s="20" t="n">
        <v>16512</v>
      </c>
      <c r="X158" s="20" t="n">
        <v>21825</v>
      </c>
    </row>
    <row r="159">
      <c r="A159" s="43" t="inlineStr">
        <is>
          <t>YoY</t>
        </is>
      </c>
      <c r="B159" s="3" t="inlineStr">
        <is>
          <t>전년 같은 분기·전년 대비</t>
        </is>
      </c>
      <c r="G159" s="15">
        <f>IF(OR(G158="",C158=""),"",IF(C158&lt;=0,"",IFERROR(G158/C158-1,"")))</f>
        <v/>
      </c>
      <c r="H159" s="15">
        <f>IF(OR(H158="",D158=""),"",IF(D158&lt;=0,"",IFERROR(H158/D158-1,"")))</f>
        <v/>
      </c>
      <c r="I159" s="15">
        <f>IF(OR(I158="",E158=""),"",IF(E158&lt;=0,"",IFERROR(I158/E158-1,"")))</f>
        <v/>
      </c>
      <c r="J159" s="15">
        <f>IF(OR(J158="",F158=""),"",IF(F158&lt;=0,"",IFERROR(J158/F158-1,"")))</f>
        <v/>
      </c>
      <c r="K159" s="15">
        <f>IF(OR(K158="",G158=""),"",IF(G158&lt;=0,"",IFERROR(K158/G158-1,"")))</f>
        <v/>
      </c>
      <c r="L159" s="15">
        <f>IF(OR(L158="",H158=""),"",IF(H158&lt;=0,"",IFERROR(L158/H158-1,"")))</f>
        <v/>
      </c>
      <c r="M159" s="15">
        <f>IF(OR(M158="",I158=""),"",IF(I158&lt;=0,"",IFERROR(M158/I158-1,"")))</f>
        <v/>
      </c>
      <c r="N159" s="15">
        <f>IF(OR(N158="",J158=""),"",IF(J158&lt;=0,"",IFERROR(N158/J158-1,"")))</f>
        <v/>
      </c>
      <c r="V159" s="15">
        <f>IF(OR(V158="",U158=""),"",IF(U158&lt;=0,"",IFERROR(V158/U158-1,"")))</f>
        <v/>
      </c>
      <c r="W159" s="15">
        <f>IF(OR(W158="",V158=""),"",IF(V158&lt;=0,"",IFERROR(W158/V158-1,"")))</f>
        <v/>
      </c>
      <c r="X159" s="15">
        <f>IF(OR(X158="",W158=""),"",IF(W158&lt;=0,"",IFERROR(X158/W158-1,"")))</f>
        <v/>
      </c>
    </row>
    <row r="160">
      <c r="A160" s="18" t="inlineStr">
        <is>
          <t>기타 · 외부 고객 매출</t>
        </is>
      </c>
      <c r="E160" s="20" t="n">
        <v>868</v>
      </c>
      <c r="F160" s="20" t="n">
        <v>1077</v>
      </c>
      <c r="G160" s="20" t="n">
        <v>963</v>
      </c>
      <c r="H160" s="20" t="n">
        <v>812</v>
      </c>
      <c r="I160" s="20" t="n">
        <v>877</v>
      </c>
      <c r="J160" s="20" t="n">
        <v>1132</v>
      </c>
      <c r="K160" s="20" t="n">
        <v>940</v>
      </c>
      <c r="L160" s="20" t="n">
        <v>885</v>
      </c>
      <c r="M160" s="20" t="n">
        <v>913</v>
      </c>
      <c r="N160" s="20" t="n">
        <v>1251</v>
      </c>
      <c r="V160" s="20" t="n">
        <v>868</v>
      </c>
      <c r="W160" s="20" t="n">
        <v>877</v>
      </c>
      <c r="X160" s="20" t="n">
        <v>913</v>
      </c>
    </row>
    <row r="161">
      <c r="A161" s="43" t="inlineStr">
        <is>
          <t>YoY</t>
        </is>
      </c>
      <c r="B161" s="3" t="inlineStr">
        <is>
          <t>전년 같은 분기·전년 대비</t>
        </is>
      </c>
      <c r="G161" s="15">
        <f>IF(OR(G160="",C160=""),"",IF(C160&lt;=0,"",IFERROR(G160/C160-1,"")))</f>
        <v/>
      </c>
      <c r="H161" s="15">
        <f>IF(OR(H160="",D160=""),"",IF(D160&lt;=0,"",IFERROR(H160/D160-1,"")))</f>
        <v/>
      </c>
      <c r="I161" s="15">
        <f>IF(OR(I160="",E160=""),"",IF(E160&lt;=0,"",IFERROR(I160/E160-1,"")))</f>
        <v/>
      </c>
      <c r="J161" s="15">
        <f>IF(OR(J160="",F160=""),"",IF(F160&lt;=0,"",IFERROR(J160/F160-1,"")))</f>
        <v/>
      </c>
      <c r="K161" s="15">
        <f>IF(OR(K160="",G160=""),"",IF(G160&lt;=0,"",IFERROR(K160/G160-1,"")))</f>
        <v/>
      </c>
      <c r="L161" s="15">
        <f>IF(OR(L160="",H160=""),"",IF(H160&lt;=0,"",IFERROR(L160/H160-1,"")))</f>
        <v/>
      </c>
      <c r="M161" s="15">
        <f>IF(OR(M160="",I160=""),"",IF(I160&lt;=0,"",IFERROR(M160/I160-1,"")))</f>
        <v/>
      </c>
      <c r="N161" s="15">
        <f>IF(OR(N160="",J160=""),"",IF(J160&lt;=0,"",IFERROR(N160/J160-1,"")))</f>
        <v/>
      </c>
      <c r="V161" s="15">
        <f>IF(OR(V160="",U160=""),"",IF(U160&lt;=0,"",IFERROR(V160/U160-1,"")))</f>
        <v/>
      </c>
      <c r="W161" s="15">
        <f>IF(OR(W160="",V160=""),"",IF(V160&lt;=0,"",IFERROR(W160/V160-1,"")))</f>
        <v/>
      </c>
      <c r="X161" s="15">
        <f>IF(OR(X160="",W160=""),"",IF(W160&lt;=0,"",IFERROR(X160/W160-1,"")))</f>
        <v/>
      </c>
    </row>
    <row r="162">
      <c r="A162" s="18" t="inlineStr">
        <is>
          <t>합계 · 외부 고객 매출</t>
        </is>
      </c>
      <c r="E162" s="20" t="n">
        <v>16904</v>
      </c>
      <c r="F162" s="20" t="n">
        <v>19073</v>
      </c>
      <c r="G162" s="20" t="n">
        <v>19662</v>
      </c>
      <c r="H162" s="20" t="n">
        <v>21660</v>
      </c>
      <c r="I162" s="20" t="n">
        <v>17388</v>
      </c>
      <c r="J162" s="20" t="n">
        <v>20669</v>
      </c>
      <c r="K162" s="20" t="n">
        <v>23186</v>
      </c>
      <c r="L162" s="20" t="n">
        <v>26473</v>
      </c>
      <c r="M162" s="20" t="n">
        <v>22739</v>
      </c>
      <c r="N162" s="20" t="n">
        <v>24118</v>
      </c>
      <c r="V162" s="20" t="n">
        <v>16904</v>
      </c>
      <c r="W162" s="20" t="n">
        <v>17388</v>
      </c>
      <c r="X162" s="20" t="n">
        <v>22739</v>
      </c>
    </row>
    <row r="163">
      <c r="A163" s="43" t="inlineStr">
        <is>
          <t>YoY</t>
        </is>
      </c>
      <c r="B163" s="3" t="inlineStr">
        <is>
          <t>전년 같은 분기·전년 대비</t>
        </is>
      </c>
      <c r="G163" s="15">
        <f>IF(OR(G162="",C162=""),"",IF(C162&lt;=0,"",IFERROR(G162/C162-1,"")))</f>
        <v/>
      </c>
      <c r="H163" s="15">
        <f>IF(OR(H162="",D162=""),"",IF(D162&lt;=0,"",IFERROR(H162/D162-1,"")))</f>
        <v/>
      </c>
      <c r="I163" s="15">
        <f>IF(OR(I162="",E162=""),"",IF(E162&lt;=0,"",IFERROR(I162/E162-1,"")))</f>
        <v/>
      </c>
      <c r="J163" s="15">
        <f>IF(OR(J162="",F162=""),"",IF(F162&lt;=0,"",IFERROR(J162/F162-1,"")))</f>
        <v/>
      </c>
      <c r="K163" s="15">
        <f>IF(OR(K162="",G162=""),"",IF(G162&lt;=0,"",IFERROR(K162/G162-1,"")))</f>
        <v/>
      </c>
      <c r="L163" s="15">
        <f>IF(OR(L162="",H162=""),"",IF(H162&lt;=0,"",IFERROR(L162/H162-1,"")))</f>
        <v/>
      </c>
      <c r="M163" s="15">
        <f>IF(OR(M162="",I162=""),"",IF(I162&lt;=0,"",IFERROR(M162/I162-1,"")))</f>
        <v/>
      </c>
      <c r="N163" s="15">
        <f>IF(OR(N162="",J162=""),"",IF(J162&lt;=0,"",IFERROR(N162/J162-1,"")))</f>
        <v/>
      </c>
      <c r="V163" s="15">
        <f>IF(OR(V162="",U162=""),"",IF(U162&lt;=0,"",IFERROR(V162/U162-1,"")))</f>
        <v/>
      </c>
      <c r="W163" s="15">
        <f>IF(OR(W162="",V162=""),"",IF(V162&lt;=0,"",IFERROR(W162/V162-1,"")))</f>
        <v/>
      </c>
      <c r="X163" s="15">
        <f>IF(OR(X162="",W162=""),"",IF(W162&lt;=0,"",IFERROR(X162/W162-1,"")))</f>
        <v/>
      </c>
    </row>
    <row r="164">
      <c r="A164" s="18" t="inlineStr">
        <is>
          <t>조정액 · 외부 고객 매출</t>
        </is>
      </c>
      <c r="E164" s="20" t="n">
        <v>0</v>
      </c>
      <c r="F164" s="20" t="n">
        <v>0</v>
      </c>
      <c r="G164" s="20" t="n">
        <v>0</v>
      </c>
      <c r="H164" s="20" t="n">
        <v>0</v>
      </c>
      <c r="I164" s="20" t="n">
        <v>0</v>
      </c>
      <c r="J164" s="20" t="n">
        <v>0</v>
      </c>
      <c r="K164" s="20" t="n">
        <v>0</v>
      </c>
      <c r="L164" s="20" t="n">
        <v>0</v>
      </c>
      <c r="M164" s="20" t="n">
        <v>0</v>
      </c>
      <c r="N164" s="20" t="n">
        <v>0</v>
      </c>
      <c r="V164" s="20" t="n">
        <v>0</v>
      </c>
      <c r="W164" s="20" t="n">
        <v>0</v>
      </c>
      <c r="X164" s="20" t="n">
        <v>0</v>
      </c>
    </row>
    <row r="165">
      <c r="A165" s="9" t="inlineStr">
        <is>
          <t>외부 고객 매출</t>
        </is>
      </c>
      <c r="E165" s="12" t="n">
        <v>16904</v>
      </c>
      <c r="F165" s="12" t="n">
        <v>19073</v>
      </c>
      <c r="G165" s="12" t="n">
        <v>19662</v>
      </c>
      <c r="H165" s="12" t="n">
        <v>21660</v>
      </c>
      <c r="I165" s="12" t="n">
        <v>17388</v>
      </c>
      <c r="V165" s="12" t="n">
        <v>16904</v>
      </c>
      <c r="W165" s="12" t="n">
        <v>17388</v>
      </c>
    </row>
    <row r="166">
      <c r="A166" s="43" t="inlineStr">
        <is>
          <t>YoY</t>
        </is>
      </c>
      <c r="B166" s="3" t="inlineStr">
        <is>
          <t>전년 같은 분기·전년 대비</t>
        </is>
      </c>
      <c r="G166" s="15">
        <f>IF(OR(G165="",C165=""),"",IF(C165&lt;=0,"",IFERROR(G165/C165-1,"")))</f>
        <v/>
      </c>
      <c r="H166" s="15">
        <f>IF(OR(H165="",D165=""),"",IF(D165&lt;=0,"",IFERROR(H165/D165-1,"")))</f>
        <v/>
      </c>
      <c r="I166" s="15">
        <f>IF(OR(I165="",E165=""),"",IF(E165&lt;=0,"",IFERROR(I165/E165-1,"")))</f>
        <v/>
      </c>
      <c r="V166" s="15">
        <f>IF(OR(V165="",U165=""),"",IF(U165&lt;=0,"",IFERROR(V165/U165-1,"")))</f>
        <v/>
      </c>
      <c r="W166" s="15">
        <f>IF(OR(W165="",V165=""),"",IF(V165&lt;=0,"",IFERROR(W165/V165-1,"")))</f>
        <v/>
      </c>
    </row>
    <row r="167">
      <c r="A167" s="18" t="inlineStr">
        <is>
          <t>EntityTotalMember · 외부 고객 매출</t>
        </is>
      </c>
      <c r="F167" s="20" t="n">
        <v>19073</v>
      </c>
      <c r="J167" s="20" t="n">
        <v>20669</v>
      </c>
      <c r="N167" s="20" t="n">
        <v>24118</v>
      </c>
    </row>
    <row r="168">
      <c r="A168" s="18" t="inlineStr">
        <is>
          <t>CoffeeRelatedReportableSegmentsMember · 부문 간 내부매출·대체</t>
        </is>
      </c>
      <c r="E168" s="20" t="n">
        <v>179</v>
      </c>
      <c r="F168" s="20" t="n">
        <v>178</v>
      </c>
      <c r="G168" s="20" t="n">
        <v>163</v>
      </c>
      <c r="H168" s="20" t="n">
        <v>192</v>
      </c>
      <c r="I168" s="20" t="n">
        <v>171</v>
      </c>
      <c r="J168" s="20" t="n">
        <v>179</v>
      </c>
      <c r="K168" s="20" t="n">
        <v>174</v>
      </c>
      <c r="L168" s="20" t="n">
        <v>191</v>
      </c>
      <c r="M168" s="20" t="n">
        <v>150</v>
      </c>
      <c r="N168" s="20" t="n">
        <v>187</v>
      </c>
      <c r="V168" s="20" t="n">
        <v>179</v>
      </c>
      <c r="W168" s="20" t="n">
        <v>171</v>
      </c>
      <c r="X168" s="20" t="n">
        <v>150</v>
      </c>
    </row>
    <row r="169">
      <c r="A169" s="18" t="inlineStr">
        <is>
          <t>FoodAndBeverageRelatedReportableSegmentsMember · 부문 간 내부매출·대체</t>
        </is>
      </c>
      <c r="E169" s="20" t="n">
        <v>9</v>
      </c>
      <c r="F169" s="20" t="n">
        <v>5</v>
      </c>
      <c r="G169" s="20" t="n">
        <v>13</v>
      </c>
      <c r="H169" s="20" t="n">
        <v>12</v>
      </c>
      <c r="I169" s="20" t="n">
        <v>15</v>
      </c>
      <c r="J169" s="20" t="n">
        <v>10</v>
      </c>
      <c r="K169" s="20" t="n">
        <v>14</v>
      </c>
      <c r="L169" s="20" t="n">
        <v>27</v>
      </c>
      <c r="M169" s="20" t="n">
        <v>7</v>
      </c>
      <c r="N169" s="20" t="n">
        <v>15</v>
      </c>
      <c r="V169" s="20" t="n">
        <v>9</v>
      </c>
      <c r="W169" s="20" t="n">
        <v>15</v>
      </c>
      <c r="X169" s="20" t="n">
        <v>7</v>
      </c>
    </row>
    <row r="170">
      <c r="A170" s="18" t="inlineStr">
        <is>
          <t>보고부문 합계 · 부문 간 내부매출·대체</t>
        </is>
      </c>
      <c r="E170" s="20" t="n">
        <v>188</v>
      </c>
      <c r="F170" s="20" t="n">
        <v>183</v>
      </c>
      <c r="G170" s="20" t="n">
        <v>177</v>
      </c>
      <c r="H170" s="20" t="n">
        <v>203</v>
      </c>
      <c r="I170" s="20" t="n">
        <v>186</v>
      </c>
      <c r="J170" s="20" t="n">
        <v>190</v>
      </c>
      <c r="K170" s="20" t="n">
        <v>188</v>
      </c>
      <c r="L170" s="20" t="n">
        <v>217</v>
      </c>
      <c r="M170" s="20" t="n">
        <v>157</v>
      </c>
      <c r="N170" s="20" t="n">
        <v>202</v>
      </c>
      <c r="V170" s="20" t="n">
        <v>188</v>
      </c>
      <c r="W170" s="20" t="n">
        <v>186</v>
      </c>
      <c r="X170" s="20" t="n">
        <v>157</v>
      </c>
    </row>
    <row r="171">
      <c r="A171" s="18" t="inlineStr">
        <is>
          <t>기타 · 부문 간 내부매출·대체</t>
        </is>
      </c>
      <c r="E171" s="20" t="n">
        <v>380</v>
      </c>
      <c r="F171" s="20" t="n">
        <v>409</v>
      </c>
      <c r="G171" s="20" t="n">
        <v>638</v>
      </c>
      <c r="H171" s="20" t="n">
        <v>454</v>
      </c>
      <c r="I171" s="20" t="n">
        <v>333</v>
      </c>
      <c r="J171" s="20" t="n">
        <v>403</v>
      </c>
      <c r="K171" s="20" t="n">
        <v>476</v>
      </c>
      <c r="L171" s="20" t="n">
        <v>514</v>
      </c>
      <c r="M171" s="20" t="n">
        <v>514</v>
      </c>
      <c r="N171" s="20" t="n">
        <v>488</v>
      </c>
      <c r="V171" s="20" t="n">
        <v>380</v>
      </c>
      <c r="W171" s="20" t="n">
        <v>333</v>
      </c>
      <c r="X171" s="20" t="n">
        <v>514</v>
      </c>
    </row>
    <row r="172">
      <c r="A172" s="18" t="inlineStr">
        <is>
          <t>합계 · 부문 간 내부매출·대체</t>
        </is>
      </c>
      <c r="E172" s="20" t="n">
        <v>568</v>
      </c>
      <c r="F172" s="20" t="n">
        <v>593</v>
      </c>
      <c r="G172" s="20" t="n">
        <v>815</v>
      </c>
      <c r="H172" s="20" t="n">
        <v>657</v>
      </c>
      <c r="I172" s="20" t="n">
        <v>519</v>
      </c>
      <c r="J172" s="20" t="n">
        <v>593</v>
      </c>
      <c r="K172" s="20" t="n">
        <v>664</v>
      </c>
      <c r="L172" s="20" t="n">
        <v>732</v>
      </c>
      <c r="M172" s="20" t="n">
        <v>671</v>
      </c>
      <c r="N172" s="20" t="n">
        <v>691</v>
      </c>
      <c r="V172" s="20" t="n">
        <v>568</v>
      </c>
      <c r="W172" s="20" t="n">
        <v>519</v>
      </c>
      <c r="X172" s="20" t="n">
        <v>671</v>
      </c>
    </row>
    <row r="173">
      <c r="A173" s="18" t="inlineStr">
        <is>
          <t>조정액 · 부문 간 내부매출·대체</t>
        </is>
      </c>
      <c r="E173" s="20" t="n">
        <v>-568</v>
      </c>
      <c r="F173" s="20" t="n">
        <v>-593</v>
      </c>
      <c r="G173" s="20" t="n">
        <v>-815</v>
      </c>
      <c r="H173" s="20" t="n">
        <v>-657</v>
      </c>
      <c r="I173" s="20" t="n">
        <v>-519</v>
      </c>
      <c r="J173" s="20" t="n">
        <v>-593</v>
      </c>
      <c r="K173" s="20" t="n">
        <v>-664</v>
      </c>
      <c r="L173" s="20" t="n">
        <v>-732</v>
      </c>
      <c r="M173" s="20" t="n">
        <v>-671</v>
      </c>
      <c r="N173" s="20" t="n">
        <v>-691</v>
      </c>
      <c r="V173" s="20" t="n">
        <v>-568</v>
      </c>
      <c r="W173" s="20" t="n">
        <v>-519</v>
      </c>
      <c r="X173" s="20" t="n">
        <v>-671</v>
      </c>
    </row>
    <row r="174">
      <c r="A174" s="18" t="inlineStr">
        <is>
          <t>부문 간 내부매출·대체</t>
        </is>
      </c>
      <c r="E174" s="20" t="n">
        <v>0</v>
      </c>
      <c r="F174" s="20" t="n">
        <v>0</v>
      </c>
      <c r="G174" s="20" t="n">
        <v>0</v>
      </c>
      <c r="H174" s="20" t="n">
        <v>0</v>
      </c>
      <c r="I174" s="20" t="n">
        <v>0</v>
      </c>
      <c r="V174" s="20" t="n">
        <v>0</v>
      </c>
      <c r="W174" s="20" t="n">
        <v>0</v>
      </c>
    </row>
    <row r="175">
      <c r="A175" s="18" t="inlineStr">
        <is>
          <t>EntityTotalMember · 부문 간 내부매출·대체</t>
        </is>
      </c>
      <c r="F175" s="20" t="n">
        <v>0</v>
      </c>
      <c r="J175" s="20" t="n">
        <v>0</v>
      </c>
      <c r="N175" s="20" t="n">
        <v>0</v>
      </c>
    </row>
    <row r="176">
      <c r="A176" s="18" t="inlineStr">
        <is>
          <t>CoffeeRelatedReportableSegmentsMember · 계</t>
        </is>
      </c>
      <c r="E176" s="20" t="n">
        <v>15102</v>
      </c>
      <c r="F176" s="20" t="n">
        <v>17127</v>
      </c>
      <c r="G176" s="20" t="n">
        <v>17846</v>
      </c>
      <c r="H176" s="20" t="n">
        <v>20045</v>
      </c>
      <c r="I176" s="20" t="n">
        <v>15569</v>
      </c>
      <c r="J176" s="20" t="n">
        <v>18670</v>
      </c>
      <c r="K176" s="20" t="n">
        <v>21023</v>
      </c>
      <c r="L176" s="20" t="n">
        <v>24385</v>
      </c>
      <c r="M176" s="20" t="n">
        <v>20218</v>
      </c>
      <c r="N176" s="20" t="n">
        <v>21368</v>
      </c>
      <c r="V176" s="20" t="n">
        <v>15102</v>
      </c>
      <c r="W176" s="20" t="n">
        <v>15569</v>
      </c>
      <c r="X176" s="20" t="n">
        <v>20218</v>
      </c>
    </row>
    <row r="177">
      <c r="A177" s="43" t="inlineStr">
        <is>
          <t>YoY</t>
        </is>
      </c>
      <c r="B177" s="3" t="inlineStr">
        <is>
          <t>전년 같은 분기·전년 대비</t>
        </is>
      </c>
      <c r="G177" s="15">
        <f>IF(OR(G176="",C176=""),"",IF(C176&lt;=0,"",IFERROR(G176/C176-1,"")))</f>
        <v/>
      </c>
      <c r="H177" s="15">
        <f>IF(OR(H176="",D176=""),"",IF(D176&lt;=0,"",IFERROR(H176/D176-1,"")))</f>
        <v/>
      </c>
      <c r="I177" s="15">
        <f>IF(OR(I176="",E176=""),"",IF(E176&lt;=0,"",IFERROR(I176/E176-1,"")))</f>
        <v/>
      </c>
      <c r="J177" s="15">
        <f>IF(OR(J176="",F176=""),"",IF(F176&lt;=0,"",IFERROR(J176/F176-1,"")))</f>
        <v/>
      </c>
      <c r="K177" s="15">
        <f>IF(OR(K176="",G176=""),"",IF(G176&lt;=0,"",IFERROR(K176/G176-1,"")))</f>
        <v/>
      </c>
      <c r="L177" s="15">
        <f>IF(OR(L176="",H176=""),"",IF(H176&lt;=0,"",IFERROR(L176/H176-1,"")))</f>
        <v/>
      </c>
      <c r="M177" s="15">
        <f>IF(OR(M176="",I176=""),"",IF(I176&lt;=0,"",IFERROR(M176/I176-1,"")))</f>
        <v/>
      </c>
      <c r="N177" s="15">
        <f>IF(OR(N176="",J176=""),"",IF(J176&lt;=0,"",IFERROR(N176/J176-1,"")))</f>
        <v/>
      </c>
      <c r="V177" s="15">
        <f>IF(OR(V176="",U176=""),"",IF(U176&lt;=0,"",IFERROR(V176/U176-1,"")))</f>
        <v/>
      </c>
      <c r="W177" s="15">
        <f>IF(OR(W176="",V176=""),"",IF(V176&lt;=0,"",IFERROR(W176/V176-1,"")))</f>
        <v/>
      </c>
      <c r="X177" s="15">
        <f>IF(OR(X176="",W176=""),"",IF(W176&lt;=0,"",IFERROR(X176/W176-1,"")))</f>
        <v/>
      </c>
    </row>
    <row r="178">
      <c r="A178" s="18" t="inlineStr">
        <is>
          <t>FoodAndBeverageRelatedReportableSegmentsMember · 계</t>
        </is>
      </c>
      <c r="E178" s="20" t="n">
        <v>1122</v>
      </c>
      <c r="F178" s="20" t="n">
        <v>1052</v>
      </c>
      <c r="G178" s="20" t="n">
        <v>1029</v>
      </c>
      <c r="H178" s="20" t="n">
        <v>1007</v>
      </c>
      <c r="I178" s="20" t="n">
        <v>1128</v>
      </c>
      <c r="J178" s="20" t="n">
        <v>1056</v>
      </c>
      <c r="K178" s="20" t="n">
        <v>1411</v>
      </c>
      <c r="L178" s="20" t="n">
        <v>1421</v>
      </c>
      <c r="M178" s="20" t="n">
        <v>1764</v>
      </c>
      <c r="N178" s="20" t="n">
        <v>1701</v>
      </c>
      <c r="V178" s="20" t="n">
        <v>1122</v>
      </c>
      <c r="W178" s="20" t="n">
        <v>1128</v>
      </c>
      <c r="X178" s="20" t="n">
        <v>1764</v>
      </c>
    </row>
    <row r="179">
      <c r="A179" s="43" t="inlineStr">
        <is>
          <t>YoY</t>
        </is>
      </c>
      <c r="B179" s="3" t="inlineStr">
        <is>
          <t>전년 같은 분기·전년 대비</t>
        </is>
      </c>
      <c r="G179" s="15">
        <f>IF(OR(G178="",C178=""),"",IF(C178&lt;=0,"",IFERROR(G178/C178-1,"")))</f>
        <v/>
      </c>
      <c r="H179" s="15">
        <f>IF(OR(H178="",D178=""),"",IF(D178&lt;=0,"",IFERROR(H178/D178-1,"")))</f>
        <v/>
      </c>
      <c r="I179" s="15">
        <f>IF(OR(I178="",E178=""),"",IF(E178&lt;=0,"",IFERROR(I178/E178-1,"")))</f>
        <v/>
      </c>
      <c r="J179" s="15">
        <f>IF(OR(J178="",F178=""),"",IF(F178&lt;=0,"",IFERROR(J178/F178-1,"")))</f>
        <v/>
      </c>
      <c r="K179" s="15">
        <f>IF(OR(K178="",G178=""),"",IF(G178&lt;=0,"",IFERROR(K178/G178-1,"")))</f>
        <v/>
      </c>
      <c r="L179" s="15">
        <f>IF(OR(L178="",H178=""),"",IF(H178&lt;=0,"",IFERROR(L178/H178-1,"")))</f>
        <v/>
      </c>
      <c r="M179" s="15">
        <f>IF(OR(M178="",I178=""),"",IF(I178&lt;=0,"",IFERROR(M178/I178-1,"")))</f>
        <v/>
      </c>
      <c r="N179" s="15">
        <f>IF(OR(N178="",J178=""),"",IF(J178&lt;=0,"",IFERROR(N178/J178-1,"")))</f>
        <v/>
      </c>
      <c r="V179" s="15">
        <f>IF(OR(V178="",U178=""),"",IF(U178&lt;=0,"",IFERROR(V178/U178-1,"")))</f>
        <v/>
      </c>
      <c r="W179" s="15">
        <f>IF(OR(W178="",V178=""),"",IF(V178&lt;=0,"",IFERROR(W178/V178-1,"")))</f>
        <v/>
      </c>
      <c r="X179" s="15">
        <f>IF(OR(X178="",W178=""),"",IF(W178&lt;=0,"",IFERROR(X178/W178-1,"")))</f>
        <v/>
      </c>
    </row>
    <row r="180">
      <c r="A180" s="18" t="inlineStr">
        <is>
          <t>보고부문 합계 · 계</t>
        </is>
      </c>
      <c r="E180" s="20" t="n">
        <v>16224</v>
      </c>
      <c r="F180" s="20" t="n">
        <v>18179</v>
      </c>
      <c r="G180" s="20" t="n">
        <v>18876</v>
      </c>
      <c r="H180" s="20" t="n">
        <v>21051</v>
      </c>
      <c r="I180" s="20" t="n">
        <v>16698</v>
      </c>
      <c r="J180" s="20" t="n">
        <v>19727</v>
      </c>
      <c r="K180" s="20" t="n">
        <v>22434</v>
      </c>
      <c r="L180" s="20" t="n">
        <v>25806</v>
      </c>
      <c r="M180" s="20" t="n">
        <v>21982</v>
      </c>
      <c r="N180" s="20" t="n">
        <v>23069</v>
      </c>
      <c r="V180" s="20" t="n">
        <v>16224</v>
      </c>
      <c r="W180" s="20" t="n">
        <v>16698</v>
      </c>
      <c r="X180" s="20" t="n">
        <v>21982</v>
      </c>
    </row>
    <row r="181">
      <c r="A181" s="43" t="inlineStr">
        <is>
          <t>YoY</t>
        </is>
      </c>
      <c r="B181" s="3" t="inlineStr">
        <is>
          <t>전년 같은 분기·전년 대비</t>
        </is>
      </c>
      <c r="G181" s="15">
        <f>IF(OR(G180="",C180=""),"",IF(C180&lt;=0,"",IFERROR(G180/C180-1,"")))</f>
        <v/>
      </c>
      <c r="H181" s="15">
        <f>IF(OR(H180="",D180=""),"",IF(D180&lt;=0,"",IFERROR(H180/D180-1,"")))</f>
        <v/>
      </c>
      <c r="I181" s="15">
        <f>IF(OR(I180="",E180=""),"",IF(E180&lt;=0,"",IFERROR(I180/E180-1,"")))</f>
        <v/>
      </c>
      <c r="J181" s="15">
        <f>IF(OR(J180="",F180=""),"",IF(F180&lt;=0,"",IFERROR(J180/F180-1,"")))</f>
        <v/>
      </c>
      <c r="K181" s="15">
        <f>IF(OR(K180="",G180=""),"",IF(G180&lt;=0,"",IFERROR(K180/G180-1,"")))</f>
        <v/>
      </c>
      <c r="L181" s="15">
        <f>IF(OR(L180="",H180=""),"",IF(H180&lt;=0,"",IFERROR(L180/H180-1,"")))</f>
        <v/>
      </c>
      <c r="M181" s="15">
        <f>IF(OR(M180="",I180=""),"",IF(I180&lt;=0,"",IFERROR(M180/I180-1,"")))</f>
        <v/>
      </c>
      <c r="N181" s="15">
        <f>IF(OR(N180="",J180=""),"",IF(J180&lt;=0,"",IFERROR(N180/J180-1,"")))</f>
        <v/>
      </c>
      <c r="V181" s="15">
        <f>IF(OR(V180="",U180=""),"",IF(U180&lt;=0,"",IFERROR(V180/U180-1,"")))</f>
        <v/>
      </c>
      <c r="W181" s="15">
        <f>IF(OR(W180="",V180=""),"",IF(V180&lt;=0,"",IFERROR(W180/V180-1,"")))</f>
        <v/>
      </c>
      <c r="X181" s="15">
        <f>IF(OR(X180="",W180=""),"",IF(W180&lt;=0,"",IFERROR(X180/W180-1,"")))</f>
        <v/>
      </c>
    </row>
    <row r="182">
      <c r="A182" s="18" t="inlineStr">
        <is>
          <t>기타 · 계</t>
        </is>
      </c>
      <c r="E182" s="20" t="n">
        <v>1248</v>
      </c>
      <c r="F182" s="20" t="n">
        <v>1487</v>
      </c>
      <c r="G182" s="20" t="n">
        <v>1601</v>
      </c>
      <c r="H182" s="20" t="n">
        <v>1266</v>
      </c>
      <c r="I182" s="20" t="n">
        <v>1209</v>
      </c>
      <c r="J182" s="20" t="n">
        <v>1535</v>
      </c>
      <c r="K182" s="20" t="n">
        <v>1417</v>
      </c>
      <c r="L182" s="20" t="n">
        <v>1398</v>
      </c>
      <c r="M182" s="20" t="n">
        <v>1428</v>
      </c>
      <c r="N182" s="20" t="n">
        <v>1740</v>
      </c>
      <c r="V182" s="20" t="n">
        <v>1248</v>
      </c>
      <c r="W182" s="20" t="n">
        <v>1209</v>
      </c>
      <c r="X182" s="20" t="n">
        <v>1428</v>
      </c>
    </row>
    <row r="183">
      <c r="A183" s="43" t="inlineStr">
        <is>
          <t>YoY</t>
        </is>
      </c>
      <c r="B183" s="3" t="inlineStr">
        <is>
          <t>전년 같은 분기·전년 대비</t>
        </is>
      </c>
      <c r="G183" s="15">
        <f>IF(OR(G182="",C182=""),"",IF(C182&lt;=0,"",IFERROR(G182/C182-1,"")))</f>
        <v/>
      </c>
      <c r="H183" s="15">
        <f>IF(OR(H182="",D182=""),"",IF(D182&lt;=0,"",IFERROR(H182/D182-1,"")))</f>
        <v/>
      </c>
      <c r="I183" s="15">
        <f>IF(OR(I182="",E182=""),"",IF(E182&lt;=0,"",IFERROR(I182/E182-1,"")))</f>
        <v/>
      </c>
      <c r="J183" s="15">
        <f>IF(OR(J182="",F182=""),"",IF(F182&lt;=0,"",IFERROR(J182/F182-1,"")))</f>
        <v/>
      </c>
      <c r="K183" s="15">
        <f>IF(OR(K182="",G182=""),"",IF(G182&lt;=0,"",IFERROR(K182/G182-1,"")))</f>
        <v/>
      </c>
      <c r="L183" s="15">
        <f>IF(OR(L182="",H182=""),"",IF(H182&lt;=0,"",IFERROR(L182/H182-1,"")))</f>
        <v/>
      </c>
      <c r="M183" s="15">
        <f>IF(OR(M182="",I182=""),"",IF(I182&lt;=0,"",IFERROR(M182/I182-1,"")))</f>
        <v/>
      </c>
      <c r="N183" s="15">
        <f>IF(OR(N182="",J182=""),"",IF(J182&lt;=0,"",IFERROR(N182/J182-1,"")))</f>
        <v/>
      </c>
      <c r="V183" s="15">
        <f>IF(OR(V182="",U182=""),"",IF(U182&lt;=0,"",IFERROR(V182/U182-1,"")))</f>
        <v/>
      </c>
      <c r="W183" s="15">
        <f>IF(OR(W182="",V182=""),"",IF(V182&lt;=0,"",IFERROR(W182/V182-1,"")))</f>
        <v/>
      </c>
      <c r="X183" s="15">
        <f>IF(OR(X182="",W182=""),"",IF(W182&lt;=0,"",IFERROR(X182/W182-1,"")))</f>
        <v/>
      </c>
    </row>
    <row r="184">
      <c r="A184" s="18" t="inlineStr">
        <is>
          <t>합계 · 계</t>
        </is>
      </c>
      <c r="E184" s="20" t="n">
        <v>17472</v>
      </c>
      <c r="F184" s="20" t="n">
        <v>19667</v>
      </c>
      <c r="G184" s="20" t="n">
        <v>20476</v>
      </c>
      <c r="H184" s="20" t="n">
        <v>22318</v>
      </c>
      <c r="I184" s="20" t="n">
        <v>17907</v>
      </c>
      <c r="J184" s="20" t="n">
        <v>21263</v>
      </c>
      <c r="K184" s="20" t="n">
        <v>23850</v>
      </c>
      <c r="L184" s="20" t="n">
        <v>27204</v>
      </c>
      <c r="M184" s="20" t="n">
        <v>23411</v>
      </c>
      <c r="N184" s="20" t="n">
        <v>24810</v>
      </c>
      <c r="V184" s="20" t="n">
        <v>17472</v>
      </c>
      <c r="W184" s="20" t="n">
        <v>17907</v>
      </c>
      <c r="X184" s="20" t="n">
        <v>23411</v>
      </c>
    </row>
    <row r="185">
      <c r="A185" s="43" t="inlineStr">
        <is>
          <t>YoY</t>
        </is>
      </c>
      <c r="B185" s="3" t="inlineStr">
        <is>
          <t>전년 같은 분기·전년 대비</t>
        </is>
      </c>
      <c r="G185" s="15">
        <f>IF(OR(G184="",C184=""),"",IF(C184&lt;=0,"",IFERROR(G184/C184-1,"")))</f>
        <v/>
      </c>
      <c r="H185" s="15">
        <f>IF(OR(H184="",D184=""),"",IF(D184&lt;=0,"",IFERROR(H184/D184-1,"")))</f>
        <v/>
      </c>
      <c r="I185" s="15">
        <f>IF(OR(I184="",E184=""),"",IF(E184&lt;=0,"",IFERROR(I184/E184-1,"")))</f>
        <v/>
      </c>
      <c r="J185" s="15">
        <f>IF(OR(J184="",F184=""),"",IF(F184&lt;=0,"",IFERROR(J184/F184-1,"")))</f>
        <v/>
      </c>
      <c r="K185" s="15">
        <f>IF(OR(K184="",G184=""),"",IF(G184&lt;=0,"",IFERROR(K184/G184-1,"")))</f>
        <v/>
      </c>
      <c r="L185" s="15">
        <f>IF(OR(L184="",H184=""),"",IF(H184&lt;=0,"",IFERROR(L184/H184-1,"")))</f>
        <v/>
      </c>
      <c r="M185" s="15">
        <f>IF(OR(M184="",I184=""),"",IF(I184&lt;=0,"",IFERROR(M184/I184-1,"")))</f>
        <v/>
      </c>
      <c r="N185" s="15">
        <f>IF(OR(N184="",J184=""),"",IF(J184&lt;=0,"",IFERROR(N184/J184-1,"")))</f>
        <v/>
      </c>
      <c r="V185" s="15">
        <f>IF(OR(V184="",U184=""),"",IF(U184&lt;=0,"",IFERROR(V184/U184-1,"")))</f>
        <v/>
      </c>
      <c r="W185" s="15">
        <f>IF(OR(W184="",V184=""),"",IF(V184&lt;=0,"",IFERROR(W184/V184-1,"")))</f>
        <v/>
      </c>
      <c r="X185" s="15">
        <f>IF(OR(X184="",W184=""),"",IF(W184&lt;=0,"",IFERROR(X184/W184-1,"")))</f>
        <v/>
      </c>
    </row>
    <row r="186">
      <c r="A186" s="18" t="inlineStr">
        <is>
          <t>조정액 · 계</t>
        </is>
      </c>
      <c r="E186" s="20" t="n">
        <v>-568</v>
      </c>
      <c r="F186" s="20" t="n">
        <v>-593</v>
      </c>
      <c r="G186" s="20" t="n">
        <v>-815</v>
      </c>
      <c r="H186" s="20" t="n">
        <v>-657</v>
      </c>
      <c r="I186" s="20" t="n">
        <v>-519</v>
      </c>
      <c r="J186" s="20" t="n">
        <v>-593</v>
      </c>
      <c r="K186" s="20" t="n">
        <v>-664</v>
      </c>
      <c r="L186" s="20" t="n">
        <v>-732</v>
      </c>
      <c r="M186" s="20" t="n">
        <v>-671</v>
      </c>
      <c r="N186" s="20" t="n">
        <v>-691</v>
      </c>
      <c r="V186" s="20" t="n">
        <v>-568</v>
      </c>
      <c r="W186" s="20" t="n">
        <v>-519</v>
      </c>
      <c r="X186" s="20" t="n">
        <v>-671</v>
      </c>
    </row>
    <row r="187">
      <c r="A187" s="9" t="inlineStr">
        <is>
          <t>계</t>
        </is>
      </c>
      <c r="E187" s="12" t="n">
        <v>16904</v>
      </c>
      <c r="F187" s="12" t="n">
        <v>19073</v>
      </c>
      <c r="G187" s="12" t="n">
        <v>19662</v>
      </c>
      <c r="H187" s="12" t="n">
        <v>21660</v>
      </c>
      <c r="I187" s="12" t="n">
        <v>17388</v>
      </c>
      <c r="V187" s="12" t="n">
        <v>16904</v>
      </c>
      <c r="W187" s="12" t="n">
        <v>17388</v>
      </c>
    </row>
    <row r="188">
      <c r="A188" s="43" t="inlineStr">
        <is>
          <t>YoY</t>
        </is>
      </c>
      <c r="B188" s="3" t="inlineStr">
        <is>
          <t>전년 같은 분기·전년 대비</t>
        </is>
      </c>
      <c r="G188" s="15">
        <f>IF(OR(G187="",C187=""),"",IF(C187&lt;=0,"",IFERROR(G187/C187-1,"")))</f>
        <v/>
      </c>
      <c r="H188" s="15">
        <f>IF(OR(H187="",D187=""),"",IF(D187&lt;=0,"",IFERROR(H187/D187-1,"")))</f>
        <v/>
      </c>
      <c r="I188" s="15">
        <f>IF(OR(I187="",E187=""),"",IF(E187&lt;=0,"",IFERROR(I187/E187-1,"")))</f>
        <v/>
      </c>
      <c r="V188" s="15">
        <f>IF(OR(V187="",U187=""),"",IF(U187&lt;=0,"",IFERROR(V187/U187-1,"")))</f>
        <v/>
      </c>
      <c r="W188" s="15">
        <f>IF(OR(W187="",V187=""),"",IF(V187&lt;=0,"",IFERROR(W187/V187-1,"")))</f>
        <v/>
      </c>
    </row>
    <row r="189">
      <c r="A189" s="18" t="inlineStr">
        <is>
          <t>EntityTotalMember · 계</t>
        </is>
      </c>
      <c r="F189" s="20" t="n">
        <v>19073</v>
      </c>
      <c r="J189" s="20" t="n">
        <v>20669</v>
      </c>
      <c r="N189" s="20" t="n">
        <v>24118</v>
      </c>
    </row>
    <row r="190">
      <c r="A190" s="18" t="inlineStr">
        <is>
          <t>CoffeeRelatedReportableSegmentsMember · 부문 이익</t>
        </is>
      </c>
      <c r="E190" s="20" t="n">
        <v>-396</v>
      </c>
      <c r="F190" s="20" t="n">
        <v>634</v>
      </c>
      <c r="G190" s="20" t="n">
        <v>-63</v>
      </c>
      <c r="H190" s="20" t="n">
        <v>1024</v>
      </c>
      <c r="I190" s="20" t="n">
        <v>-712</v>
      </c>
      <c r="J190" s="20" t="n">
        <v>363</v>
      </c>
      <c r="K190" s="20" t="n">
        <v>376</v>
      </c>
      <c r="L190" s="20" t="n">
        <v>819</v>
      </c>
      <c r="M190" s="20" t="n">
        <v>16</v>
      </c>
      <c r="N190" s="20" t="n">
        <v>744</v>
      </c>
      <c r="V190" s="20" t="n">
        <v>-396</v>
      </c>
      <c r="W190" s="20" t="n">
        <v>-712</v>
      </c>
      <c r="X190" s="20" t="n">
        <v>16</v>
      </c>
    </row>
    <row r="191">
      <c r="A191" s="43" t="inlineStr">
        <is>
          <t>OPM</t>
        </is>
      </c>
      <c r="B191" s="3" t="inlineStr">
        <is>
          <t>영업이익 ÷ 매출</t>
        </is>
      </c>
      <c r="E191" s="15">
        <f>IF(OR(E190="",E176=""),"",IF(E176&lt;=0,"",IFERROR(E190/E176,"")))</f>
        <v/>
      </c>
      <c r="F191" s="15">
        <f>IF(OR(F190="",F176=""),"",IF(F176&lt;=0,"",IFERROR(F190/F176,"")))</f>
        <v/>
      </c>
      <c r="G191" s="15">
        <f>IF(OR(G190="",G176=""),"",IF(G176&lt;=0,"",IFERROR(G190/G176,"")))</f>
        <v/>
      </c>
      <c r="H191" s="15">
        <f>IF(OR(H190="",H176=""),"",IF(H176&lt;=0,"",IFERROR(H190/H176,"")))</f>
        <v/>
      </c>
      <c r="I191" s="15">
        <f>IF(OR(I190="",I176=""),"",IF(I176&lt;=0,"",IFERROR(I190/I176,"")))</f>
        <v/>
      </c>
      <c r="J191" s="15">
        <f>IF(OR(J190="",J176=""),"",IF(J176&lt;=0,"",IFERROR(J190/J176,"")))</f>
        <v/>
      </c>
      <c r="K191" s="15">
        <f>IF(OR(K190="",K176=""),"",IF(K176&lt;=0,"",IFERROR(K190/K176,"")))</f>
        <v/>
      </c>
      <c r="L191" s="15">
        <f>IF(OR(L190="",L176=""),"",IF(L176&lt;=0,"",IFERROR(L190/L176,"")))</f>
        <v/>
      </c>
      <c r="M191" s="15">
        <f>IF(OR(M190="",M176=""),"",IF(M176&lt;=0,"",IFERROR(M190/M176,"")))</f>
        <v/>
      </c>
      <c r="N191" s="15">
        <f>IF(OR(N190="",N176=""),"",IF(N176&lt;=0,"",IFERROR(N190/N176,"")))</f>
        <v/>
      </c>
      <c r="V191" s="15">
        <f>IF(OR(V190="",V176=""),"",IF(V176&lt;=0,"",IFERROR(V190/V176,"")))</f>
        <v/>
      </c>
      <c r="W191" s="15">
        <f>IF(OR(W190="",W176=""),"",IF(W176&lt;=0,"",IFERROR(W190/W176,"")))</f>
        <v/>
      </c>
      <c r="X191" s="15">
        <f>IF(OR(X190="",X176=""),"",IF(X176&lt;=0,"",IFERROR(X190/X176,"")))</f>
        <v/>
      </c>
    </row>
    <row r="192">
      <c r="A192" s="43" t="inlineStr">
        <is>
          <t>YoY</t>
        </is>
      </c>
      <c r="B192" s="3" t="inlineStr">
        <is>
          <t>전년 같은 분기·전년 대비</t>
        </is>
      </c>
      <c r="G192" s="15">
        <f>IF(OR(G190="",C190=""),"",IF(C190&lt;=0,"",IFERROR(G190/C190-1,"")))</f>
        <v/>
      </c>
      <c r="H192" s="15">
        <f>IF(OR(H190="",D190=""),"",IF(D190&lt;=0,"",IFERROR(H190/D190-1,"")))</f>
        <v/>
      </c>
      <c r="I192" s="15">
        <f>IF(OR(I190="",E190=""),"",IF(E190&lt;=0,"",IFERROR(I190/E190-1,"")))</f>
        <v/>
      </c>
      <c r="J192" s="15">
        <f>IF(OR(J190="",F190=""),"",IF(F190&lt;=0,"",IFERROR(J190/F190-1,"")))</f>
        <v/>
      </c>
      <c r="K192" s="15">
        <f>IF(OR(K190="",G190=""),"",IF(G190&lt;=0,"",IFERROR(K190/G190-1,"")))</f>
        <v/>
      </c>
      <c r="L192" s="15">
        <f>IF(OR(L190="",H190=""),"",IF(H190&lt;=0,"",IFERROR(L190/H190-1,"")))</f>
        <v/>
      </c>
      <c r="M192" s="15">
        <f>IF(OR(M190="",I190=""),"",IF(I190&lt;=0,"",IFERROR(M190/I190-1,"")))</f>
        <v/>
      </c>
      <c r="N192" s="15">
        <f>IF(OR(N190="",J190=""),"",IF(J190&lt;=0,"",IFERROR(N190/J190-1,"")))</f>
        <v/>
      </c>
      <c r="V192" s="15">
        <f>IF(OR(V190="",U190=""),"",IF(U190&lt;=0,"",IFERROR(V190/U190-1,"")))</f>
        <v/>
      </c>
      <c r="W192" s="15">
        <f>IF(OR(W190="",V190=""),"",IF(V190&lt;=0,"",IFERROR(W190/V190-1,"")))</f>
        <v/>
      </c>
      <c r="X192" s="15">
        <f>IF(OR(X190="",W190=""),"",IF(W190&lt;=0,"",IFERROR(X190/W190-1,"")))</f>
        <v/>
      </c>
    </row>
    <row r="193">
      <c r="A193" s="18" t="inlineStr">
        <is>
          <t>FoodAndBeverageRelatedReportableSegmentsMember · 부문 이익</t>
        </is>
      </c>
      <c r="E193" s="20" t="n">
        <v>22</v>
      </c>
      <c r="F193" s="20" t="n">
        <v>9</v>
      </c>
      <c r="G193" s="20" t="n">
        <v>-6</v>
      </c>
      <c r="H193" s="20" t="n">
        <v>4</v>
      </c>
      <c r="I193" s="20" t="n">
        <v>19</v>
      </c>
      <c r="J193" s="20" t="n">
        <v>29</v>
      </c>
      <c r="K193" s="20" t="n">
        <v>23</v>
      </c>
      <c r="L193" s="20" t="n">
        <v>10</v>
      </c>
      <c r="M193" s="20" t="n">
        <v>-3</v>
      </c>
      <c r="N193" s="20" t="n">
        <v>50</v>
      </c>
      <c r="V193" s="20" t="n">
        <v>22</v>
      </c>
      <c r="W193" s="20" t="n">
        <v>19</v>
      </c>
      <c r="X193" s="20" t="n">
        <v>-3</v>
      </c>
    </row>
    <row r="194">
      <c r="A194" s="43" t="inlineStr">
        <is>
          <t>OPM</t>
        </is>
      </c>
      <c r="B194" s="3" t="inlineStr">
        <is>
          <t>영업이익 ÷ 매출</t>
        </is>
      </c>
      <c r="E194" s="15">
        <f>IF(OR(E193="",E178=""),"",IF(E178&lt;=0,"",IFERROR(E193/E178,"")))</f>
        <v/>
      </c>
      <c r="F194" s="15">
        <f>IF(OR(F193="",F178=""),"",IF(F178&lt;=0,"",IFERROR(F193/F178,"")))</f>
        <v/>
      </c>
      <c r="G194" s="15">
        <f>IF(OR(G193="",G178=""),"",IF(G178&lt;=0,"",IFERROR(G193/G178,"")))</f>
        <v/>
      </c>
      <c r="H194" s="15">
        <f>IF(OR(H193="",H178=""),"",IF(H178&lt;=0,"",IFERROR(H193/H178,"")))</f>
        <v/>
      </c>
      <c r="I194" s="15">
        <f>IF(OR(I193="",I178=""),"",IF(I178&lt;=0,"",IFERROR(I193/I178,"")))</f>
        <v/>
      </c>
      <c r="J194" s="15">
        <f>IF(OR(J193="",J178=""),"",IF(J178&lt;=0,"",IFERROR(J193/J178,"")))</f>
        <v/>
      </c>
      <c r="K194" s="15">
        <f>IF(OR(K193="",K178=""),"",IF(K178&lt;=0,"",IFERROR(K193/K178,"")))</f>
        <v/>
      </c>
      <c r="L194" s="15">
        <f>IF(OR(L193="",L178=""),"",IF(L178&lt;=0,"",IFERROR(L193/L178,"")))</f>
        <v/>
      </c>
      <c r="M194" s="15">
        <f>IF(OR(M193="",M178=""),"",IF(M178&lt;=0,"",IFERROR(M193/M178,"")))</f>
        <v/>
      </c>
      <c r="N194" s="15">
        <f>IF(OR(N193="",N178=""),"",IF(N178&lt;=0,"",IFERROR(N193/N178,"")))</f>
        <v/>
      </c>
      <c r="V194" s="15">
        <f>IF(OR(V193="",V178=""),"",IF(V178&lt;=0,"",IFERROR(V193/V178,"")))</f>
        <v/>
      </c>
      <c r="W194" s="15">
        <f>IF(OR(W193="",W178=""),"",IF(W178&lt;=0,"",IFERROR(W193/W178,"")))</f>
        <v/>
      </c>
      <c r="X194" s="15">
        <f>IF(OR(X193="",X178=""),"",IF(X178&lt;=0,"",IFERROR(X193/X178,"")))</f>
        <v/>
      </c>
    </row>
    <row r="195">
      <c r="A195" s="43" t="inlineStr">
        <is>
          <t>YoY</t>
        </is>
      </c>
      <c r="B195" s="3" t="inlineStr">
        <is>
          <t>전년 같은 분기·전년 대비</t>
        </is>
      </c>
      <c r="G195" s="15">
        <f>IF(OR(G193="",C193=""),"",IF(C193&lt;=0,"",IFERROR(G193/C193-1,"")))</f>
        <v/>
      </c>
      <c r="H195" s="15">
        <f>IF(OR(H193="",D193=""),"",IF(D193&lt;=0,"",IFERROR(H193/D193-1,"")))</f>
        <v/>
      </c>
      <c r="I195" s="15">
        <f>IF(OR(I193="",E193=""),"",IF(E193&lt;=0,"",IFERROR(I193/E193-1,"")))</f>
        <v/>
      </c>
      <c r="J195" s="15">
        <f>IF(OR(J193="",F193=""),"",IF(F193&lt;=0,"",IFERROR(J193/F193-1,"")))</f>
        <v/>
      </c>
      <c r="K195" s="15">
        <f>IF(OR(K193="",G193=""),"",IF(G193&lt;=0,"",IFERROR(K193/G193-1,"")))</f>
        <v/>
      </c>
      <c r="L195" s="15">
        <f>IF(OR(L193="",H193=""),"",IF(H193&lt;=0,"",IFERROR(L193/H193-1,"")))</f>
        <v/>
      </c>
      <c r="M195" s="15">
        <f>IF(OR(M193="",I193=""),"",IF(I193&lt;=0,"",IFERROR(M193/I193-1,"")))</f>
        <v/>
      </c>
      <c r="N195" s="15">
        <f>IF(OR(N193="",J193=""),"",IF(J193&lt;=0,"",IFERROR(N193/J193-1,"")))</f>
        <v/>
      </c>
      <c r="V195" s="15">
        <f>IF(OR(V193="",U193=""),"",IF(U193&lt;=0,"",IFERROR(V193/U193-1,"")))</f>
        <v/>
      </c>
      <c r="W195" s="15">
        <f>IF(OR(W193="",V193=""),"",IF(V193&lt;=0,"",IFERROR(W193/V193-1,"")))</f>
        <v/>
      </c>
      <c r="X195" s="15">
        <f>IF(OR(X193="",W193=""),"",IF(W193&lt;=0,"",IFERROR(X193/W193-1,"")))</f>
        <v/>
      </c>
    </row>
    <row r="196">
      <c r="A196" s="18" t="inlineStr">
        <is>
          <t>보고부문 합계 · 부문 이익</t>
        </is>
      </c>
      <c r="E196" s="20" t="n">
        <v>-375</v>
      </c>
      <c r="F196" s="20" t="n">
        <v>643</v>
      </c>
      <c r="G196" s="20" t="n">
        <v>-68</v>
      </c>
      <c r="H196" s="20" t="n">
        <v>1027</v>
      </c>
      <c r="I196" s="20" t="n">
        <v>-693</v>
      </c>
      <c r="J196" s="20" t="n">
        <v>392</v>
      </c>
      <c r="K196" s="20" t="n">
        <v>400</v>
      </c>
      <c r="L196" s="20" t="n">
        <v>829</v>
      </c>
      <c r="M196" s="20" t="n">
        <v>13</v>
      </c>
      <c r="N196" s="20" t="n">
        <v>795</v>
      </c>
      <c r="V196" s="20" t="n">
        <v>-375</v>
      </c>
      <c r="W196" s="20" t="n">
        <v>-693</v>
      </c>
      <c r="X196" s="20" t="n">
        <v>13</v>
      </c>
    </row>
    <row r="197">
      <c r="A197" s="43" t="inlineStr">
        <is>
          <t>OPM</t>
        </is>
      </c>
      <c r="B197" s="3" t="inlineStr">
        <is>
          <t>영업이익 ÷ 매출</t>
        </is>
      </c>
      <c r="E197" s="15">
        <f>IF(OR(E196="",E180=""),"",IF(E180&lt;=0,"",IFERROR(E196/E180,"")))</f>
        <v/>
      </c>
      <c r="F197" s="15">
        <f>IF(OR(F196="",F180=""),"",IF(F180&lt;=0,"",IFERROR(F196/F180,"")))</f>
        <v/>
      </c>
      <c r="G197" s="15">
        <f>IF(OR(G196="",G180=""),"",IF(G180&lt;=0,"",IFERROR(G196/G180,"")))</f>
        <v/>
      </c>
      <c r="H197" s="15">
        <f>IF(OR(H196="",H180=""),"",IF(H180&lt;=0,"",IFERROR(H196/H180,"")))</f>
        <v/>
      </c>
      <c r="I197" s="15">
        <f>IF(OR(I196="",I180=""),"",IF(I180&lt;=0,"",IFERROR(I196/I180,"")))</f>
        <v/>
      </c>
      <c r="J197" s="15">
        <f>IF(OR(J196="",J180=""),"",IF(J180&lt;=0,"",IFERROR(J196/J180,"")))</f>
        <v/>
      </c>
      <c r="K197" s="15">
        <f>IF(OR(K196="",K180=""),"",IF(K180&lt;=0,"",IFERROR(K196/K180,"")))</f>
        <v/>
      </c>
      <c r="L197" s="15">
        <f>IF(OR(L196="",L180=""),"",IF(L180&lt;=0,"",IFERROR(L196/L180,"")))</f>
        <v/>
      </c>
      <c r="M197" s="15">
        <f>IF(OR(M196="",M180=""),"",IF(M180&lt;=0,"",IFERROR(M196/M180,"")))</f>
        <v/>
      </c>
      <c r="N197" s="15">
        <f>IF(OR(N196="",N180=""),"",IF(N180&lt;=0,"",IFERROR(N196/N180,"")))</f>
        <v/>
      </c>
      <c r="V197" s="15">
        <f>IF(OR(V196="",V180=""),"",IF(V180&lt;=0,"",IFERROR(V196/V180,"")))</f>
        <v/>
      </c>
      <c r="W197" s="15">
        <f>IF(OR(W196="",W180=""),"",IF(W180&lt;=0,"",IFERROR(W196/W180,"")))</f>
        <v/>
      </c>
      <c r="X197" s="15">
        <f>IF(OR(X196="",X180=""),"",IF(X180&lt;=0,"",IFERROR(X196/X180,"")))</f>
        <v/>
      </c>
    </row>
    <row r="198">
      <c r="A198" s="43" t="inlineStr">
        <is>
          <t>YoY</t>
        </is>
      </c>
      <c r="B198" s="3" t="inlineStr">
        <is>
          <t>전년 같은 분기·전년 대비</t>
        </is>
      </c>
      <c r="G198" s="15">
        <f>IF(OR(G196="",C196=""),"",IF(C196&lt;=0,"",IFERROR(G196/C196-1,"")))</f>
        <v/>
      </c>
      <c r="H198" s="15">
        <f>IF(OR(H196="",D196=""),"",IF(D196&lt;=0,"",IFERROR(H196/D196-1,"")))</f>
        <v/>
      </c>
      <c r="I198" s="15">
        <f>IF(OR(I196="",E196=""),"",IF(E196&lt;=0,"",IFERROR(I196/E196-1,"")))</f>
        <v/>
      </c>
      <c r="J198" s="15">
        <f>IF(OR(J196="",F196=""),"",IF(F196&lt;=0,"",IFERROR(J196/F196-1,"")))</f>
        <v/>
      </c>
      <c r="K198" s="15">
        <f>IF(OR(K196="",G196=""),"",IF(G196&lt;=0,"",IFERROR(K196/G196-1,"")))</f>
        <v/>
      </c>
      <c r="L198" s="15">
        <f>IF(OR(L196="",H196=""),"",IF(H196&lt;=0,"",IFERROR(L196/H196-1,"")))</f>
        <v/>
      </c>
      <c r="M198" s="15">
        <f>IF(OR(M196="",I196=""),"",IF(I196&lt;=0,"",IFERROR(M196/I196-1,"")))</f>
        <v/>
      </c>
      <c r="N198" s="15">
        <f>IF(OR(N196="",J196=""),"",IF(J196&lt;=0,"",IFERROR(N196/J196-1,"")))</f>
        <v/>
      </c>
      <c r="V198" s="15">
        <f>IF(OR(V196="",U196=""),"",IF(U196&lt;=0,"",IFERROR(V196/U196-1,"")))</f>
        <v/>
      </c>
      <c r="W198" s="15">
        <f>IF(OR(W196="",V196=""),"",IF(V196&lt;=0,"",IFERROR(W196/V196-1,"")))</f>
        <v/>
      </c>
      <c r="X198" s="15">
        <f>IF(OR(X196="",W196=""),"",IF(W196&lt;=0,"",IFERROR(X196/W196-1,"")))</f>
        <v/>
      </c>
    </row>
    <row r="199">
      <c r="A199" s="18" t="inlineStr">
        <is>
          <t>기타 · 부문 이익</t>
        </is>
      </c>
      <c r="E199" s="20" t="n">
        <v>0</v>
      </c>
      <c r="F199" s="20" t="n">
        <v>169</v>
      </c>
      <c r="G199" s="20" t="n">
        <v>102</v>
      </c>
      <c r="H199" s="20" t="n">
        <v>107</v>
      </c>
      <c r="I199" s="20" t="n">
        <v>-119</v>
      </c>
      <c r="J199" s="20" t="n">
        <v>194</v>
      </c>
      <c r="K199" s="20" t="n">
        <v>65</v>
      </c>
      <c r="L199" s="20" t="n">
        <v>65</v>
      </c>
      <c r="M199" s="20" t="n">
        <v>-68</v>
      </c>
      <c r="N199" s="20" t="n">
        <v>220</v>
      </c>
      <c r="V199" s="20" t="n">
        <v>0</v>
      </c>
      <c r="W199" s="20" t="n">
        <v>-119</v>
      </c>
      <c r="X199" s="20" t="n">
        <v>-68</v>
      </c>
    </row>
    <row r="200">
      <c r="A200" s="43" t="inlineStr">
        <is>
          <t>OPM</t>
        </is>
      </c>
      <c r="B200" s="3" t="inlineStr">
        <is>
          <t>영업이익 ÷ 매출</t>
        </is>
      </c>
      <c r="E200" s="15">
        <f>IF(OR(E199="",E182=""),"",IF(E182&lt;=0,"",IFERROR(E199/E182,"")))</f>
        <v/>
      </c>
      <c r="F200" s="15">
        <f>IF(OR(F199="",F182=""),"",IF(F182&lt;=0,"",IFERROR(F199/F182,"")))</f>
        <v/>
      </c>
      <c r="G200" s="15">
        <f>IF(OR(G199="",G182=""),"",IF(G182&lt;=0,"",IFERROR(G199/G182,"")))</f>
        <v/>
      </c>
      <c r="H200" s="15">
        <f>IF(OR(H199="",H182=""),"",IF(H182&lt;=0,"",IFERROR(H199/H182,"")))</f>
        <v/>
      </c>
      <c r="I200" s="15">
        <f>IF(OR(I199="",I182=""),"",IF(I182&lt;=0,"",IFERROR(I199/I182,"")))</f>
        <v/>
      </c>
      <c r="J200" s="15">
        <f>IF(OR(J199="",J182=""),"",IF(J182&lt;=0,"",IFERROR(J199/J182,"")))</f>
        <v/>
      </c>
      <c r="K200" s="15">
        <f>IF(OR(K199="",K182=""),"",IF(K182&lt;=0,"",IFERROR(K199/K182,"")))</f>
        <v/>
      </c>
      <c r="L200" s="15">
        <f>IF(OR(L199="",L182=""),"",IF(L182&lt;=0,"",IFERROR(L199/L182,"")))</f>
        <v/>
      </c>
      <c r="M200" s="15">
        <f>IF(OR(M199="",M182=""),"",IF(M182&lt;=0,"",IFERROR(M199/M182,"")))</f>
        <v/>
      </c>
      <c r="N200" s="15">
        <f>IF(OR(N199="",N182=""),"",IF(N182&lt;=0,"",IFERROR(N199/N182,"")))</f>
        <v/>
      </c>
      <c r="V200" s="15">
        <f>IF(OR(V199="",V182=""),"",IF(V182&lt;=0,"",IFERROR(V199/V182,"")))</f>
        <v/>
      </c>
      <c r="W200" s="15">
        <f>IF(OR(W199="",W182=""),"",IF(W182&lt;=0,"",IFERROR(W199/W182,"")))</f>
        <v/>
      </c>
      <c r="X200" s="15">
        <f>IF(OR(X199="",X182=""),"",IF(X182&lt;=0,"",IFERROR(X199/X182,"")))</f>
        <v/>
      </c>
    </row>
    <row r="201">
      <c r="A201" s="43" t="inlineStr">
        <is>
          <t>YoY</t>
        </is>
      </c>
      <c r="B201" s="3" t="inlineStr">
        <is>
          <t>전년 같은 분기·전년 대비</t>
        </is>
      </c>
      <c r="G201" s="15">
        <f>IF(OR(G199="",C199=""),"",IF(C199&lt;=0,"",IFERROR(G199/C199-1,"")))</f>
        <v/>
      </c>
      <c r="H201" s="15">
        <f>IF(OR(H199="",D199=""),"",IF(D199&lt;=0,"",IFERROR(H199/D199-1,"")))</f>
        <v/>
      </c>
      <c r="I201" s="15">
        <f>IF(OR(I199="",E199=""),"",IF(E199&lt;=0,"",IFERROR(I199/E199-1,"")))</f>
        <v/>
      </c>
      <c r="J201" s="15">
        <f>IF(OR(J199="",F199=""),"",IF(F199&lt;=0,"",IFERROR(J199/F199-1,"")))</f>
        <v/>
      </c>
      <c r="K201" s="15">
        <f>IF(OR(K199="",G199=""),"",IF(G199&lt;=0,"",IFERROR(K199/G199-1,"")))</f>
        <v/>
      </c>
      <c r="L201" s="15">
        <f>IF(OR(L199="",H199=""),"",IF(H199&lt;=0,"",IFERROR(L199/H199-1,"")))</f>
        <v/>
      </c>
      <c r="M201" s="15">
        <f>IF(OR(M199="",I199=""),"",IF(I199&lt;=0,"",IFERROR(M199/I199-1,"")))</f>
        <v/>
      </c>
      <c r="N201" s="15">
        <f>IF(OR(N199="",J199=""),"",IF(J199&lt;=0,"",IFERROR(N199/J199-1,"")))</f>
        <v/>
      </c>
      <c r="V201" s="15">
        <f>IF(OR(V199="",U199=""),"",IF(U199&lt;=0,"",IFERROR(V199/U199-1,"")))</f>
        <v/>
      </c>
      <c r="W201" s="15">
        <f>IF(OR(W199="",V199=""),"",IF(V199&lt;=0,"",IFERROR(W199/V199-1,"")))</f>
        <v/>
      </c>
      <c r="X201" s="15">
        <f>IF(OR(X199="",W199=""),"",IF(W199&lt;=0,"",IFERROR(X199/W199-1,"")))</f>
        <v/>
      </c>
    </row>
    <row r="202">
      <c r="A202" s="18" t="inlineStr">
        <is>
          <t>합계 · 부문 이익</t>
        </is>
      </c>
      <c r="E202" s="20" t="n">
        <v>-375</v>
      </c>
      <c r="F202" s="20" t="n">
        <v>813</v>
      </c>
      <c r="G202" s="20" t="n">
        <v>34</v>
      </c>
      <c r="H202" s="20" t="n">
        <v>1134</v>
      </c>
      <c r="I202" s="20" t="n">
        <v>-812</v>
      </c>
      <c r="J202" s="20" t="n">
        <v>586</v>
      </c>
      <c r="K202" s="20" t="n">
        <v>465</v>
      </c>
      <c r="L202" s="20" t="n">
        <v>895</v>
      </c>
      <c r="M202" s="20" t="n">
        <v>-56</v>
      </c>
      <c r="N202" s="20" t="n">
        <v>1016</v>
      </c>
      <c r="V202" s="20" t="n">
        <v>-375</v>
      </c>
      <c r="W202" s="20" t="n">
        <v>-812</v>
      </c>
      <c r="X202" s="20" t="n">
        <v>-56</v>
      </c>
    </row>
    <row r="203">
      <c r="A203" s="43" t="inlineStr">
        <is>
          <t>OPM</t>
        </is>
      </c>
      <c r="B203" s="3" t="inlineStr">
        <is>
          <t>영업이익 ÷ 매출</t>
        </is>
      </c>
      <c r="E203" s="15">
        <f>IF(OR(E202="",E184=""),"",IF(E184&lt;=0,"",IFERROR(E202/E184,"")))</f>
        <v/>
      </c>
      <c r="F203" s="15">
        <f>IF(OR(F202="",F184=""),"",IF(F184&lt;=0,"",IFERROR(F202/F184,"")))</f>
        <v/>
      </c>
      <c r="G203" s="15">
        <f>IF(OR(G202="",G184=""),"",IF(G184&lt;=0,"",IFERROR(G202/G184,"")))</f>
        <v/>
      </c>
      <c r="H203" s="15">
        <f>IF(OR(H202="",H184=""),"",IF(H184&lt;=0,"",IFERROR(H202/H184,"")))</f>
        <v/>
      </c>
      <c r="I203" s="15">
        <f>IF(OR(I202="",I184=""),"",IF(I184&lt;=0,"",IFERROR(I202/I184,"")))</f>
        <v/>
      </c>
      <c r="J203" s="15">
        <f>IF(OR(J202="",J184=""),"",IF(J184&lt;=0,"",IFERROR(J202/J184,"")))</f>
        <v/>
      </c>
      <c r="K203" s="15">
        <f>IF(OR(K202="",K184=""),"",IF(K184&lt;=0,"",IFERROR(K202/K184,"")))</f>
        <v/>
      </c>
      <c r="L203" s="15">
        <f>IF(OR(L202="",L184=""),"",IF(L184&lt;=0,"",IFERROR(L202/L184,"")))</f>
        <v/>
      </c>
      <c r="M203" s="15">
        <f>IF(OR(M202="",M184=""),"",IF(M184&lt;=0,"",IFERROR(M202/M184,"")))</f>
        <v/>
      </c>
      <c r="N203" s="15">
        <f>IF(OR(N202="",N184=""),"",IF(N184&lt;=0,"",IFERROR(N202/N184,"")))</f>
        <v/>
      </c>
      <c r="V203" s="15">
        <f>IF(OR(V202="",V184=""),"",IF(V184&lt;=0,"",IFERROR(V202/V184,"")))</f>
        <v/>
      </c>
      <c r="W203" s="15">
        <f>IF(OR(W202="",W184=""),"",IF(W184&lt;=0,"",IFERROR(W202/W184,"")))</f>
        <v/>
      </c>
      <c r="X203" s="15">
        <f>IF(OR(X202="",X184=""),"",IF(X184&lt;=0,"",IFERROR(X202/X184,"")))</f>
        <v/>
      </c>
    </row>
    <row r="204">
      <c r="A204" s="43" t="inlineStr">
        <is>
          <t>YoY</t>
        </is>
      </c>
      <c r="B204" s="3" t="inlineStr">
        <is>
          <t>전년 같은 분기·전년 대비</t>
        </is>
      </c>
      <c r="G204" s="15">
        <f>IF(OR(G202="",C202=""),"",IF(C202&lt;=0,"",IFERROR(G202/C202-1,"")))</f>
        <v/>
      </c>
      <c r="H204" s="15">
        <f>IF(OR(H202="",D202=""),"",IF(D202&lt;=0,"",IFERROR(H202/D202-1,"")))</f>
        <v/>
      </c>
      <c r="I204" s="15">
        <f>IF(OR(I202="",E202=""),"",IF(E202&lt;=0,"",IFERROR(I202/E202-1,"")))</f>
        <v/>
      </c>
      <c r="J204" s="15">
        <f>IF(OR(J202="",F202=""),"",IF(F202&lt;=0,"",IFERROR(J202/F202-1,"")))</f>
        <v/>
      </c>
      <c r="K204" s="15">
        <f>IF(OR(K202="",G202=""),"",IF(G202&lt;=0,"",IFERROR(K202/G202-1,"")))</f>
        <v/>
      </c>
      <c r="L204" s="15">
        <f>IF(OR(L202="",H202=""),"",IF(H202&lt;=0,"",IFERROR(L202/H202-1,"")))</f>
        <v/>
      </c>
      <c r="M204" s="15">
        <f>IF(OR(M202="",I202=""),"",IF(I202&lt;=0,"",IFERROR(M202/I202-1,"")))</f>
        <v/>
      </c>
      <c r="N204" s="15">
        <f>IF(OR(N202="",J202=""),"",IF(J202&lt;=0,"",IFERROR(N202/J202-1,"")))</f>
        <v/>
      </c>
      <c r="V204" s="15">
        <f>IF(OR(V202="",U202=""),"",IF(U202&lt;=0,"",IFERROR(V202/U202-1,"")))</f>
        <v/>
      </c>
      <c r="W204" s="15">
        <f>IF(OR(W202="",V202=""),"",IF(V202&lt;=0,"",IFERROR(W202/V202-1,"")))</f>
        <v/>
      </c>
      <c r="X204" s="15">
        <f>IF(OR(X202="",W202=""),"",IF(W202&lt;=0,"",IFERROR(X202/W202-1,"")))</f>
        <v/>
      </c>
    </row>
    <row r="205">
      <c r="A205" s="18" t="inlineStr">
        <is>
          <t>조정액 · 부문 이익</t>
        </is>
      </c>
      <c r="E205" s="20" t="n">
        <v>-203</v>
      </c>
      <c r="F205" s="20" t="n">
        <v>-148</v>
      </c>
      <c r="G205" s="20" t="n">
        <v>-148</v>
      </c>
      <c r="H205" s="20" t="n">
        <v>-213</v>
      </c>
      <c r="I205" s="20" t="n">
        <v>-173</v>
      </c>
      <c r="J205" s="20" t="n">
        <v>-186</v>
      </c>
      <c r="K205" s="20" t="n">
        <v>-152</v>
      </c>
      <c r="L205" s="20" t="n">
        <v>-324</v>
      </c>
      <c r="M205" s="20" t="n">
        <v>-151</v>
      </c>
      <c r="N205" s="20" t="n">
        <v>-234</v>
      </c>
      <c r="V205" s="20" t="n">
        <v>-203</v>
      </c>
      <c r="W205" s="20" t="n">
        <v>-173</v>
      </c>
      <c r="X205" s="20" t="n">
        <v>-151</v>
      </c>
    </row>
    <row r="206">
      <c r="A206" s="9" t="inlineStr">
        <is>
          <t>부문 이익</t>
        </is>
      </c>
      <c r="E206" s="12" t="n">
        <v>-579</v>
      </c>
      <c r="F206" s="12" t="n">
        <v>665</v>
      </c>
      <c r="G206" s="12" t="n">
        <v>-115</v>
      </c>
      <c r="H206" s="12" t="n">
        <v>921</v>
      </c>
      <c r="I206" s="12" t="n">
        <v>-985</v>
      </c>
      <c r="V206" s="12" t="n">
        <v>-579</v>
      </c>
      <c r="W206" s="12" t="n">
        <v>-985</v>
      </c>
    </row>
    <row r="207">
      <c r="A207" s="43" t="inlineStr">
        <is>
          <t>OPM</t>
        </is>
      </c>
      <c r="B207" s="3" t="inlineStr">
        <is>
          <t>영업이익 ÷ 매출</t>
        </is>
      </c>
      <c r="E207" s="15">
        <f>IF(OR(E206="",E165=""),"",IF(E165&lt;=0,"",IFERROR(E206/E165,"")))</f>
        <v/>
      </c>
      <c r="F207" s="15">
        <f>IF(OR(F206="",F165=""),"",IF(F165&lt;=0,"",IFERROR(F206/F165,"")))</f>
        <v/>
      </c>
      <c r="G207" s="15">
        <f>IF(OR(G206="",G165=""),"",IF(G165&lt;=0,"",IFERROR(G206/G165,"")))</f>
        <v/>
      </c>
      <c r="H207" s="15">
        <f>IF(OR(H206="",H165=""),"",IF(H165&lt;=0,"",IFERROR(H206/H165,"")))</f>
        <v/>
      </c>
      <c r="I207" s="15">
        <f>IF(OR(I206="",I165=""),"",IF(I165&lt;=0,"",IFERROR(I206/I165,"")))</f>
        <v/>
      </c>
      <c r="V207" s="15">
        <f>IF(OR(V206="",V165=""),"",IF(V165&lt;=0,"",IFERROR(V206/V165,"")))</f>
        <v/>
      </c>
      <c r="W207" s="15">
        <f>IF(OR(W206="",W165=""),"",IF(W165&lt;=0,"",IFERROR(W206/W165,"")))</f>
        <v/>
      </c>
    </row>
    <row r="208">
      <c r="A208" s="43" t="inlineStr">
        <is>
          <t>YoY</t>
        </is>
      </c>
      <c r="B208" s="3" t="inlineStr">
        <is>
          <t>전년 같은 분기·전년 대비</t>
        </is>
      </c>
      <c r="G208" s="15">
        <f>IF(OR(G206="",C206=""),"",IF(C206&lt;=0,"",IFERROR(G206/C206-1,"")))</f>
        <v/>
      </c>
      <c r="H208" s="15">
        <f>IF(OR(H206="",D206=""),"",IF(D206&lt;=0,"",IFERROR(H206/D206-1,"")))</f>
        <v/>
      </c>
      <c r="I208" s="15">
        <f>IF(OR(I206="",E206=""),"",IF(E206&lt;=0,"",IFERROR(I206/E206-1,"")))</f>
        <v/>
      </c>
      <c r="V208" s="15">
        <f>IF(OR(V206="",U206=""),"",IF(U206&lt;=0,"",IFERROR(V206/U206-1,"")))</f>
        <v/>
      </c>
      <c r="W208" s="15">
        <f>IF(OR(W206="",V206=""),"",IF(V206&lt;=0,"",IFERROR(W206/V206-1,"")))</f>
        <v/>
      </c>
    </row>
    <row r="209">
      <c r="A209" s="18" t="inlineStr">
        <is>
          <t>EntityTotalMember · 부문 이익</t>
        </is>
      </c>
      <c r="F209" s="20" t="n">
        <v>665</v>
      </c>
      <c r="J209" s="20" t="n">
        <v>400</v>
      </c>
      <c r="N209" s="20" t="n">
        <v>781</v>
      </c>
    </row>
    <row r="211">
      <c r="A211" s="16" t="inlineStr">
        <is>
          <t>현금흐름표 · 전 항목</t>
        </is>
      </c>
      <c r="B211" s="42" t="inlineStr">
        <is>
          <t>분기 = 결산기 첫날부터 누계(공시 그대로)</t>
        </is>
      </c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  <c r="AA211" s="16" t="n"/>
      <c r="AB211" s="16" t="n"/>
      <c r="AC211" s="16" t="n"/>
    </row>
    <row r="212">
      <c r="A212" s="5" t="inlineStr">
        <is>
          <t>항목</t>
        </is>
      </c>
      <c r="B212" s="5" t="inlineStr">
        <is>
          <t>참고</t>
        </is>
      </c>
      <c r="C212" s="5" t="inlineStr">
        <is>
          <t>2024.2Q</t>
        </is>
      </c>
      <c r="D212" s="5" t="inlineStr">
        <is>
          <t>2024.3Q</t>
        </is>
      </c>
      <c r="E212" s="5" t="inlineStr">
        <is>
          <t>2024.4Q</t>
        </is>
      </c>
      <c r="F212" s="5" t="inlineStr">
        <is>
          <t>2025.1Q</t>
        </is>
      </c>
      <c r="G212" s="5" t="inlineStr">
        <is>
          <t>2025.2Q</t>
        </is>
      </c>
      <c r="H212" s="5" t="inlineStr">
        <is>
          <t>2025.3Q</t>
        </is>
      </c>
      <c r="I212" s="5" t="inlineStr">
        <is>
          <t>2025.4Q</t>
        </is>
      </c>
      <c r="J212" s="5" t="inlineStr">
        <is>
          <t>2026.1Q</t>
        </is>
      </c>
      <c r="K212" s="5" t="inlineStr">
        <is>
          <t>2026.2Q</t>
        </is>
      </c>
      <c r="L212" s="5" t="inlineStr">
        <is>
          <t>2026.3Q</t>
        </is>
      </c>
      <c r="M212" s="5" t="inlineStr">
        <is>
          <t>2026.4Q</t>
        </is>
      </c>
      <c r="N212" s="5" t="inlineStr">
        <is>
          <t>2027.1Q</t>
        </is>
      </c>
      <c r="O212" s="5" t="inlineStr">
        <is>
          <t>2017</t>
        </is>
      </c>
      <c r="P212" s="5" t="inlineStr">
        <is>
          <t>2018</t>
        </is>
      </c>
      <c r="Q212" s="5" t="inlineStr">
        <is>
          <t>2019</t>
        </is>
      </c>
      <c r="R212" s="5" t="inlineStr">
        <is>
          <t>2020</t>
        </is>
      </c>
      <c r="S212" s="5" t="inlineStr">
        <is>
          <t>2021</t>
        </is>
      </c>
      <c r="T212" s="5" t="inlineStr">
        <is>
          <t>2022</t>
        </is>
      </c>
      <c r="U212" s="5" t="inlineStr">
        <is>
          <t>2023</t>
        </is>
      </c>
      <c r="V212" s="5" t="inlineStr">
        <is>
          <t>2024</t>
        </is>
      </c>
      <c r="W212" s="5" t="inlineStr">
        <is>
          <t>2025</t>
        </is>
      </c>
      <c r="X212" s="5" t="inlineStr">
        <is>
          <t>2026</t>
        </is>
      </c>
      <c r="Y212" s="5" t="inlineStr">
        <is>
          <t>2027(MW)</t>
        </is>
      </c>
      <c r="Z212" s="5" t="inlineStr">
        <is>
          <t>2028(MW)</t>
        </is>
      </c>
      <c r="AA212" s="5" t="inlineStr">
        <is>
          <t>2029(MW)</t>
        </is>
      </c>
      <c r="AB212" s="5" t="inlineStr">
        <is>
          <t>2030(MW)</t>
        </is>
      </c>
      <c r="AC212" s="5" t="inlineStr">
        <is>
          <t>2031(MW)</t>
        </is>
      </c>
    </row>
    <row r="213">
      <c r="A213" s="9" t="inlineStr">
        <is>
          <t>법인세차감전 순이익</t>
        </is>
      </c>
      <c r="E213" s="12" t="n">
        <v>488</v>
      </c>
      <c r="I213" s="12" t="n">
        <v>546</v>
      </c>
      <c r="M213" s="12" t="n">
        <v>1308</v>
      </c>
      <c r="O213" s="12" t="n">
        <v>1636</v>
      </c>
      <c r="P213" s="12" t="n">
        <v>515</v>
      </c>
      <c r="Q213" s="12" t="n">
        <v>468</v>
      </c>
      <c r="R213" s="12" t="n">
        <v>1290</v>
      </c>
      <c r="S213" s="12" t="n">
        <v>-3895</v>
      </c>
      <c r="T213" s="12" t="n">
        <v>1033</v>
      </c>
      <c r="U213" s="12" t="n">
        <v>308</v>
      </c>
      <c r="V213" s="12" t="n">
        <v>488</v>
      </c>
      <c r="W213" s="12" t="n">
        <v>546</v>
      </c>
      <c r="X213" s="12" t="n">
        <v>1308</v>
      </c>
    </row>
    <row r="214">
      <c r="A214" s="18" t="inlineStr">
        <is>
          <t>감가상각비</t>
        </is>
      </c>
      <c r="E214" s="20" t="n">
        <v>975</v>
      </c>
      <c r="I214" s="20" t="n">
        <v>1031</v>
      </c>
      <c r="M214" s="20" t="n">
        <v>1116</v>
      </c>
      <c r="O214" s="20" t="n">
        <v>1237</v>
      </c>
      <c r="P214" s="20" t="n">
        <v>1228</v>
      </c>
      <c r="Q214" s="20" t="n">
        <v>1167</v>
      </c>
      <c r="R214" s="20" t="n">
        <v>1114</v>
      </c>
      <c r="S214" s="20" t="n">
        <v>1211</v>
      </c>
      <c r="T214" s="20" t="n">
        <v>965</v>
      </c>
      <c r="U214" s="20" t="n">
        <v>956</v>
      </c>
      <c r="V214" s="20" t="n">
        <v>975</v>
      </c>
      <c r="W214" s="20" t="n">
        <v>1031</v>
      </c>
      <c r="X214" s="20" t="n">
        <v>1116</v>
      </c>
    </row>
    <row r="215">
      <c r="A215" s="18" t="inlineStr">
        <is>
          <t>손상차손</t>
        </is>
      </c>
      <c r="E215" s="20" t="n">
        <v>384</v>
      </c>
      <c r="I215" s="20" t="n">
        <v>93</v>
      </c>
      <c r="M215" s="20" t="n">
        <v>9</v>
      </c>
      <c r="O215" s="20" t="n">
        <v>334</v>
      </c>
      <c r="P215" s="20" t="n">
        <v>528</v>
      </c>
      <c r="Q215" s="20" t="n">
        <v>173</v>
      </c>
      <c r="R215" s="20" t="n">
        <v>140</v>
      </c>
      <c r="S215" s="20" t="n">
        <v>197</v>
      </c>
      <c r="T215" s="20" t="n">
        <v>46</v>
      </c>
      <c r="U215" s="20" t="n">
        <v>40</v>
      </c>
      <c r="V215" s="20" t="n">
        <v>384</v>
      </c>
      <c r="W215" s="20" t="n">
        <v>93</v>
      </c>
      <c r="X215" s="20" t="n">
        <v>9</v>
      </c>
    </row>
    <row r="216">
      <c r="A216" s="18" t="inlineStr">
        <is>
          <t>보조금 수입</t>
        </is>
      </c>
      <c r="E216" s="20" t="n">
        <v>0</v>
      </c>
      <c r="S216" s="20" t="n">
        <v>-54</v>
      </c>
      <c r="T216" s="20" t="n">
        <v>-369</v>
      </c>
      <c r="U216" s="20" t="n">
        <v>-63</v>
      </c>
      <c r="V216" s="20" t="n">
        <v>0</v>
      </c>
    </row>
    <row r="217">
      <c r="A217" s="18" t="inlineStr">
        <is>
          <t>Restructuring Expenses Ope CF</t>
        </is>
      </c>
      <c r="R217" s="20" t="n">
        <v>0</v>
      </c>
      <c r="S217" s="20" t="n">
        <v>593</v>
      </c>
      <c r="T217" s="20" t="n">
        <v>0</v>
      </c>
    </row>
    <row r="218">
      <c r="A218" s="18" t="inlineStr">
        <is>
          <t>고정자산 매각손익</t>
        </is>
      </c>
      <c r="O218" s="20" t="n">
        <v>-22</v>
      </c>
      <c r="P218" s="20" t="n">
        <v>0</v>
      </c>
      <c r="Q218" s="20" t="n">
        <v>-5</v>
      </c>
      <c r="R218" s="20" t="n">
        <v>-833</v>
      </c>
      <c r="S218" s="20" t="n">
        <v>0</v>
      </c>
    </row>
    <row r="219">
      <c r="A219" s="18" t="inlineStr">
        <is>
          <t>단계적 취득 차손익</t>
        </is>
      </c>
      <c r="O219" s="20" t="n">
        <v>0</v>
      </c>
      <c r="P219" s="20" t="n">
        <v>-21</v>
      </c>
      <c r="Q219" s="20" t="n">
        <v>0</v>
      </c>
    </row>
    <row r="220">
      <c r="A220" s="18" t="inlineStr">
        <is>
          <t>영업권 상각</t>
        </is>
      </c>
      <c r="I220" s="20" t="n">
        <v>17</v>
      </c>
      <c r="M220" s="20" t="n">
        <v>53</v>
      </c>
      <c r="W220" s="20" t="n">
        <v>17</v>
      </c>
      <c r="X220" s="20" t="n">
        <v>53</v>
      </c>
    </row>
    <row r="221">
      <c r="A221" s="18" t="inlineStr">
        <is>
          <t>투자유가증권 매각손익</t>
        </is>
      </c>
      <c r="E221" s="20" t="n">
        <v>-5</v>
      </c>
      <c r="I221" s="20" t="n">
        <v>-3</v>
      </c>
      <c r="M221" s="20" t="n">
        <v>0</v>
      </c>
      <c r="O221" s="20" t="n">
        <v>-365</v>
      </c>
      <c r="P221" s="20" t="n">
        <v>-548</v>
      </c>
      <c r="Q221" s="20" t="n">
        <v>4</v>
      </c>
      <c r="R221" s="20" t="n">
        <v>99</v>
      </c>
      <c r="S221" s="20" t="n">
        <v>-88</v>
      </c>
      <c r="T221" s="20" t="n">
        <v>-58</v>
      </c>
      <c r="U221" s="20" t="n">
        <v>0</v>
      </c>
      <c r="V221" s="20" t="n">
        <v>-5</v>
      </c>
      <c r="W221" s="20" t="n">
        <v>-3</v>
      </c>
      <c r="X221" s="20" t="n">
        <v>0</v>
      </c>
    </row>
    <row r="222">
      <c r="A222" s="18" t="inlineStr">
        <is>
          <t>국고보조금</t>
        </is>
      </c>
      <c r="O222" s="20" t="n">
        <v>-33</v>
      </c>
      <c r="P222" s="20" t="n">
        <v>0</v>
      </c>
    </row>
    <row r="223">
      <c r="A223" s="18" t="inlineStr">
        <is>
          <t>재해손실</t>
        </is>
      </c>
      <c r="O223" s="20" t="n">
        <v>4</v>
      </c>
      <c r="P223" s="20" t="n">
        <v>0</v>
      </c>
      <c r="Q223" s="20" t="n">
        <v>2</v>
      </c>
    </row>
    <row r="224">
      <c r="A224" s="18" t="inlineStr">
        <is>
          <t>투자유가증권 평가손익</t>
        </is>
      </c>
      <c r="Q224" s="20" t="n">
        <v>0</v>
      </c>
      <c r="R224" s="20" t="n">
        <v>28</v>
      </c>
      <c r="S224" s="20" t="n">
        <v>33</v>
      </c>
      <c r="T224" s="20" t="n">
        <v>0</v>
      </c>
    </row>
    <row r="225">
      <c r="A225" s="18" t="inlineStr">
        <is>
          <t>재해 손실</t>
        </is>
      </c>
      <c r="Q225" s="20" t="n">
        <v>2</v>
      </c>
      <c r="R225" s="20" t="n">
        <v>7</v>
      </c>
      <c r="S225" s="20" t="n">
        <v>0</v>
      </c>
    </row>
    <row r="226">
      <c r="A226" s="18" t="inlineStr">
        <is>
          <t>Compensation Received Ope CF</t>
        </is>
      </c>
      <c r="R226" s="20" t="n">
        <v>-39</v>
      </c>
      <c r="S226" s="20" t="n">
        <v>0</v>
      </c>
    </row>
    <row r="227">
      <c r="A227" s="18" t="inlineStr">
        <is>
          <t>대손충당금 증감</t>
        </is>
      </c>
      <c r="E227" s="20" t="n">
        <v>-5</v>
      </c>
      <c r="I227" s="20" t="n">
        <v>26</v>
      </c>
      <c r="M227" s="20" t="n">
        <v>14</v>
      </c>
      <c r="O227" s="20" t="n">
        <v>-48</v>
      </c>
      <c r="P227" s="20" t="n">
        <v>29</v>
      </c>
      <c r="Q227" s="20" t="n">
        <v>37</v>
      </c>
      <c r="R227" s="20" t="n">
        <v>-4</v>
      </c>
      <c r="S227" s="20" t="n">
        <v>6</v>
      </c>
      <c r="T227" s="20" t="n">
        <v>-31</v>
      </c>
      <c r="U227" s="20" t="n">
        <v>2</v>
      </c>
      <c r="V227" s="20" t="n">
        <v>-5</v>
      </c>
      <c r="W227" s="20" t="n">
        <v>26</v>
      </c>
      <c r="X227" s="20" t="n">
        <v>14</v>
      </c>
    </row>
    <row r="228">
      <c r="A228" s="18" t="inlineStr">
        <is>
          <t>상여충당금 증감</t>
        </is>
      </c>
      <c r="E228" s="20" t="n">
        <v>120</v>
      </c>
      <c r="I228" s="20" t="n">
        <v>-85</v>
      </c>
      <c r="M228" s="20" t="n">
        <v>176</v>
      </c>
      <c r="O228" s="20" t="n">
        <v>24</v>
      </c>
      <c r="P228" s="20" t="n">
        <v>-314</v>
      </c>
      <c r="Q228" s="20" t="n">
        <v>153</v>
      </c>
      <c r="R228" s="20" t="n">
        <v>-99</v>
      </c>
      <c r="S228" s="20" t="n">
        <v>-36</v>
      </c>
      <c r="T228" s="20" t="n">
        <v>20</v>
      </c>
      <c r="U228" s="20" t="n">
        <v>-29</v>
      </c>
      <c r="V228" s="20" t="n">
        <v>120</v>
      </c>
      <c r="W228" s="20" t="n">
        <v>-85</v>
      </c>
      <c r="X228" s="20" t="n">
        <v>176</v>
      </c>
    </row>
    <row r="229">
      <c r="A229" s="18" t="inlineStr">
        <is>
          <t>주식급여 충당금 증감</t>
        </is>
      </c>
      <c r="P229" s="20" t="n">
        <v>0</v>
      </c>
      <c r="Q229" s="20" t="n">
        <v>21</v>
      </c>
    </row>
    <row r="230">
      <c r="A230" s="18" t="inlineStr">
        <is>
          <t>수주손실 충당금 증감</t>
        </is>
      </c>
      <c r="E230" s="20" t="n">
        <v>0</v>
      </c>
      <c r="I230" s="20" t="n">
        <v>32</v>
      </c>
      <c r="M230" s="20" t="n">
        <v>-32</v>
      </c>
      <c r="V230" s="20" t="n">
        <v>0</v>
      </c>
      <c r="W230" s="20" t="n">
        <v>32</v>
      </c>
      <c r="X230" s="20" t="n">
        <v>-32</v>
      </c>
    </row>
    <row r="231">
      <c r="A231" s="18" t="inlineStr">
        <is>
          <t>퇴직급여부채 증감</t>
        </is>
      </c>
      <c r="E231" s="20" t="n">
        <v>86</v>
      </c>
      <c r="I231" s="20" t="n">
        <v>8</v>
      </c>
      <c r="M231" s="20" t="n">
        <v>-20</v>
      </c>
      <c r="O231" s="20" t="n">
        <v>-123</v>
      </c>
      <c r="P231" s="20" t="n">
        <v>-87</v>
      </c>
      <c r="Q231" s="20" t="n">
        <v>-116</v>
      </c>
      <c r="R231" s="20" t="n">
        <v>-48</v>
      </c>
      <c r="S231" s="20" t="n">
        <v>-207</v>
      </c>
      <c r="T231" s="20" t="n">
        <v>-147</v>
      </c>
      <c r="U231" s="20" t="n">
        <v>-163</v>
      </c>
      <c r="V231" s="20" t="n">
        <v>86</v>
      </c>
      <c r="W231" s="20" t="n">
        <v>8</v>
      </c>
      <c r="X231" s="20" t="n">
        <v>-20</v>
      </c>
    </row>
    <row r="232">
      <c r="A232" s="18" t="inlineStr">
        <is>
          <t>퇴직급여자산 증감</t>
        </is>
      </c>
      <c r="E232" s="20" t="n">
        <v>-284</v>
      </c>
      <c r="I232" s="20" t="n">
        <v>-120</v>
      </c>
      <c r="M232" s="20" t="n">
        <v>-85</v>
      </c>
      <c r="V232" s="20" t="n">
        <v>-284</v>
      </c>
      <c r="W232" s="20" t="n">
        <v>-120</v>
      </c>
      <c r="X232" s="20" t="n">
        <v>-85</v>
      </c>
    </row>
    <row r="233">
      <c r="A233" s="18" t="inlineStr">
        <is>
          <t>퇴직급여비용</t>
        </is>
      </c>
      <c r="E233" s="20" t="n">
        <v>-110</v>
      </c>
      <c r="I233" s="20" t="n">
        <v>-222</v>
      </c>
      <c r="M233" s="20" t="n">
        <v>-205</v>
      </c>
      <c r="V233" s="20" t="n">
        <v>-110</v>
      </c>
      <c r="W233" s="20" t="n">
        <v>-222</v>
      </c>
      <c r="X233" s="20" t="n">
        <v>-205</v>
      </c>
    </row>
    <row r="234">
      <c r="A234" s="18" t="inlineStr">
        <is>
          <t>주식급여 충당금 증감</t>
        </is>
      </c>
      <c r="E234" s="20" t="n">
        <v>20</v>
      </c>
      <c r="I234" s="20" t="n">
        <v>22</v>
      </c>
      <c r="M234" s="20" t="n">
        <v>10</v>
      </c>
      <c r="Q234" s="20" t="n">
        <v>21</v>
      </c>
      <c r="R234" s="20" t="n">
        <v>21</v>
      </c>
      <c r="S234" s="20" t="n">
        <v>2</v>
      </c>
      <c r="T234" s="20" t="n">
        <v>2</v>
      </c>
      <c r="U234" s="20" t="n">
        <v>19</v>
      </c>
      <c r="V234" s="20" t="n">
        <v>20</v>
      </c>
      <c r="W234" s="20" t="n">
        <v>22</v>
      </c>
      <c r="X234" s="20" t="n">
        <v>10</v>
      </c>
    </row>
    <row r="235">
      <c r="A235" s="18" t="inlineStr">
        <is>
          <t>이자·배당금 수익</t>
        </is>
      </c>
      <c r="E235" s="20" t="n">
        <v>-29</v>
      </c>
      <c r="I235" s="20" t="n">
        <v>-36</v>
      </c>
      <c r="M235" s="20" t="n">
        <v>-44</v>
      </c>
      <c r="O235" s="20" t="n">
        <v>-87</v>
      </c>
      <c r="P235" s="20" t="n">
        <v>-46</v>
      </c>
      <c r="Q235" s="20" t="n">
        <v>-34</v>
      </c>
      <c r="R235" s="20" t="n">
        <v>-38</v>
      </c>
      <c r="S235" s="20" t="n">
        <v>-24</v>
      </c>
      <c r="T235" s="20" t="n">
        <v>-24</v>
      </c>
      <c r="U235" s="20" t="n">
        <v>-25</v>
      </c>
      <c r="V235" s="20" t="n">
        <v>-29</v>
      </c>
      <c r="W235" s="20" t="n">
        <v>-36</v>
      </c>
      <c r="X235" s="20" t="n">
        <v>-44</v>
      </c>
    </row>
    <row r="236">
      <c r="A236" s="18" t="inlineStr">
        <is>
          <t>이자비용</t>
        </is>
      </c>
      <c r="E236" s="20" t="n">
        <v>41</v>
      </c>
      <c r="I236" s="20" t="n">
        <v>68</v>
      </c>
      <c r="M236" s="20" t="n">
        <v>148</v>
      </c>
      <c r="O236" s="20" t="n">
        <v>7</v>
      </c>
      <c r="P236" s="20" t="n">
        <v>11</v>
      </c>
      <c r="Q236" s="20" t="n">
        <v>18</v>
      </c>
      <c r="R236" s="20" t="n">
        <v>15</v>
      </c>
      <c r="S236" s="20" t="n">
        <v>9</v>
      </c>
      <c r="T236" s="20" t="n">
        <v>7</v>
      </c>
      <c r="U236" s="20" t="n">
        <v>12</v>
      </c>
      <c r="V236" s="20" t="n">
        <v>41</v>
      </c>
      <c r="W236" s="20" t="n">
        <v>68</v>
      </c>
      <c r="X236" s="20" t="n">
        <v>148</v>
      </c>
    </row>
    <row r="237">
      <c r="A237" s="18" t="inlineStr">
        <is>
          <t>지분법손익</t>
        </is>
      </c>
      <c r="E237" s="20" t="n">
        <v>-5</v>
      </c>
      <c r="I237" s="20" t="n">
        <v>-51</v>
      </c>
      <c r="M237" s="20" t="n">
        <v>-196</v>
      </c>
      <c r="O237" s="20" t="n">
        <v>-49</v>
      </c>
      <c r="P237" s="20" t="n">
        <v>-37</v>
      </c>
      <c r="Q237" s="20" t="n">
        <v>-49</v>
      </c>
      <c r="R237" s="20" t="n">
        <v>-16</v>
      </c>
      <c r="S237" s="20" t="n">
        <v>835</v>
      </c>
      <c r="T237" s="20" t="n">
        <v>-108</v>
      </c>
      <c r="U237" s="20" t="n">
        <v>82</v>
      </c>
      <c r="V237" s="20" t="n">
        <v>-5</v>
      </c>
      <c r="W237" s="20" t="n">
        <v>-51</v>
      </c>
      <c r="X237" s="20" t="n">
        <v>-196</v>
      </c>
    </row>
    <row r="238">
      <c r="A238" s="18" t="inlineStr">
        <is>
          <t>지분변동손익</t>
        </is>
      </c>
      <c r="O238" s="20" t="n">
        <v>4</v>
      </c>
      <c r="P238" s="20" t="n">
        <v>0</v>
      </c>
    </row>
    <row r="239">
      <c r="A239" s="18" t="inlineStr">
        <is>
          <t>매출채권 증감</t>
        </is>
      </c>
      <c r="E239" s="20" t="n">
        <v>-1588</v>
      </c>
      <c r="I239" s="20" t="n">
        <v>-646</v>
      </c>
      <c r="M239" s="20" t="n">
        <v>-6516</v>
      </c>
      <c r="O239" s="20" t="n">
        <v>-231</v>
      </c>
      <c r="P239" s="20" t="n">
        <v>-345</v>
      </c>
      <c r="Q239" s="20" t="n">
        <v>257</v>
      </c>
      <c r="R239" s="20" t="n">
        <v>-728</v>
      </c>
      <c r="S239" s="20" t="n">
        <v>821</v>
      </c>
      <c r="T239" s="20" t="n">
        <v>-544</v>
      </c>
      <c r="U239" s="20" t="n">
        <v>-2472</v>
      </c>
      <c r="V239" s="20" t="n">
        <v>-1588</v>
      </c>
      <c r="W239" s="20" t="n">
        <v>-646</v>
      </c>
      <c r="X239" s="20" t="n">
        <v>-6516</v>
      </c>
    </row>
    <row r="240">
      <c r="A240" s="18" t="inlineStr">
        <is>
          <t>재고자산 증감</t>
        </is>
      </c>
      <c r="E240" s="20" t="n">
        <v>-428</v>
      </c>
      <c r="I240" s="20" t="n">
        <v>-1606</v>
      </c>
      <c r="M240" s="20" t="n">
        <v>-5513</v>
      </c>
      <c r="O240" s="20" t="n">
        <v>-610</v>
      </c>
      <c r="P240" s="20" t="n">
        <v>902</v>
      </c>
      <c r="Q240" s="20" t="n">
        <v>-358</v>
      </c>
      <c r="R240" s="20" t="n">
        <v>-213</v>
      </c>
      <c r="S240" s="20" t="n">
        <v>-482</v>
      </c>
      <c r="T240" s="20" t="n">
        <v>102</v>
      </c>
      <c r="U240" s="20" t="n">
        <v>-6323</v>
      </c>
      <c r="V240" s="20" t="n">
        <v>-428</v>
      </c>
      <c r="W240" s="20" t="n">
        <v>-1606</v>
      </c>
      <c r="X240" s="20" t="n">
        <v>-5513</v>
      </c>
    </row>
    <row r="241">
      <c r="A241" s="18" t="inlineStr">
        <is>
          <t>미수 소비세 증감</t>
        </is>
      </c>
      <c r="E241" s="20" t="n">
        <v>540</v>
      </c>
      <c r="O241" s="20" t="n">
        <v>140</v>
      </c>
      <c r="P241" s="20" t="n">
        <v>-12</v>
      </c>
      <c r="Q241" s="20" t="n">
        <v>12</v>
      </c>
      <c r="R241" s="20" t="n">
        <v>0</v>
      </c>
      <c r="T241" s="20" t="n">
        <v>0</v>
      </c>
      <c r="U241" s="20" t="n">
        <v>-534</v>
      </c>
      <c r="V241" s="20" t="n">
        <v>540</v>
      </c>
    </row>
    <row r="242">
      <c r="A242" s="18" t="inlineStr">
        <is>
          <t>미수금 증감</t>
        </is>
      </c>
      <c r="E242" s="20" t="n">
        <v>540</v>
      </c>
      <c r="I242" s="20" t="n">
        <v>-334</v>
      </c>
      <c r="M242" s="20" t="n">
        <v>-143</v>
      </c>
      <c r="V242" s="20" t="n">
        <v>540</v>
      </c>
      <c r="W242" s="20" t="n">
        <v>-334</v>
      </c>
      <c r="X242" s="20" t="n">
        <v>-143</v>
      </c>
    </row>
    <row r="243">
      <c r="A243" s="18" t="inlineStr">
        <is>
          <t>매입채무 증감</t>
        </is>
      </c>
      <c r="E243" s="20" t="n">
        <v>-403</v>
      </c>
      <c r="I243" s="20" t="n">
        <v>366</v>
      </c>
      <c r="M243" s="20" t="n">
        <v>6525</v>
      </c>
      <c r="O243" s="20" t="n">
        <v>1706</v>
      </c>
      <c r="P243" s="20" t="n">
        <v>-2044</v>
      </c>
      <c r="Q243" s="20" t="n">
        <v>1370</v>
      </c>
      <c r="R243" s="20" t="n">
        <v>-89</v>
      </c>
      <c r="S243" s="20" t="n">
        <v>-506</v>
      </c>
      <c r="T243" s="20" t="n">
        <v>349</v>
      </c>
      <c r="U243" s="20" t="n">
        <v>5744</v>
      </c>
      <c r="V243" s="20" t="n">
        <v>-403</v>
      </c>
      <c r="W243" s="20" t="n">
        <v>366</v>
      </c>
      <c r="X243" s="20" t="n">
        <v>6525</v>
      </c>
    </row>
    <row r="244">
      <c r="A244" s="18" t="inlineStr">
        <is>
          <t>미지급금 증감</t>
        </is>
      </c>
      <c r="E244" s="20" t="n">
        <v>437</v>
      </c>
      <c r="I244" s="20" t="n">
        <v>-84</v>
      </c>
      <c r="M244" s="20" t="n">
        <v>202</v>
      </c>
      <c r="O244" s="20" t="n">
        <v>152</v>
      </c>
      <c r="P244" s="20" t="n">
        <v>44</v>
      </c>
      <c r="Q244" s="20" t="n">
        <v>3</v>
      </c>
      <c r="R244" s="20" t="n">
        <v>219</v>
      </c>
      <c r="S244" s="20" t="n">
        <v>673</v>
      </c>
      <c r="T244" s="20" t="n">
        <v>-636</v>
      </c>
      <c r="U244" s="20" t="n">
        <v>-175</v>
      </c>
      <c r="V244" s="20" t="n">
        <v>437</v>
      </c>
      <c r="W244" s="20" t="n">
        <v>-84</v>
      </c>
      <c r="X244" s="20" t="n">
        <v>202</v>
      </c>
    </row>
    <row r="245">
      <c r="A245" s="18" t="inlineStr">
        <is>
          <t>미지급 소비세 증감</t>
        </is>
      </c>
      <c r="E245" s="20" t="n">
        <v>333</v>
      </c>
      <c r="I245" s="20" t="n">
        <v>-348</v>
      </c>
      <c r="M245" s="20" t="n">
        <v>13</v>
      </c>
      <c r="O245" s="20" t="n">
        <v>353</v>
      </c>
      <c r="P245" s="20" t="n">
        <v>-222</v>
      </c>
      <c r="Q245" s="20" t="n">
        <v>-26</v>
      </c>
      <c r="R245" s="20" t="n">
        <v>-48</v>
      </c>
      <c r="S245" s="20" t="n">
        <v>106</v>
      </c>
      <c r="T245" s="20" t="n">
        <v>0</v>
      </c>
      <c r="U245" s="20" t="n">
        <v>-187</v>
      </c>
      <c r="V245" s="20" t="n">
        <v>333</v>
      </c>
      <c r="W245" s="20" t="n">
        <v>-348</v>
      </c>
      <c r="X245" s="20" t="n">
        <v>13</v>
      </c>
    </row>
    <row r="246">
      <c r="A246" s="18" t="inlineStr">
        <is>
          <t>기타</t>
        </is>
      </c>
      <c r="E246" s="20" t="n">
        <v>381</v>
      </c>
      <c r="I246" s="20" t="n">
        <v>265</v>
      </c>
      <c r="M246" s="20" t="n">
        <v>136</v>
      </c>
      <c r="O246" s="20" t="n">
        <v>94</v>
      </c>
      <c r="P246" s="20" t="n">
        <v>-47</v>
      </c>
      <c r="Q246" s="20" t="n">
        <v>218</v>
      </c>
      <c r="R246" s="20" t="n">
        <v>54</v>
      </c>
      <c r="S246" s="20" t="n">
        <v>-136</v>
      </c>
      <c r="T246" s="20" t="n">
        <v>-15</v>
      </c>
      <c r="U246" s="20" t="n">
        <v>-87</v>
      </c>
      <c r="V246" s="20" t="n">
        <v>381</v>
      </c>
      <c r="W246" s="20" t="n">
        <v>265</v>
      </c>
      <c r="X246" s="20" t="n">
        <v>136</v>
      </c>
    </row>
    <row r="247">
      <c r="A247" s="18" t="inlineStr">
        <is>
          <t>소계</t>
        </is>
      </c>
      <c r="E247" s="20" t="n">
        <v>615</v>
      </c>
      <c r="I247" s="20" t="n">
        <v>-1060</v>
      </c>
      <c r="M247" s="20" t="n">
        <v>-3040</v>
      </c>
      <c r="O247" s="20" t="n">
        <v>4127</v>
      </c>
      <c r="P247" s="20" t="n">
        <v>-466</v>
      </c>
      <c r="Q247" s="20" t="n">
        <v>3319</v>
      </c>
      <c r="R247" s="20" t="n">
        <v>833</v>
      </c>
      <c r="S247" s="20" t="n">
        <v>-1046</v>
      </c>
      <c r="T247" s="20" t="n">
        <v>592</v>
      </c>
      <c r="U247" s="20" t="n">
        <v>-2897</v>
      </c>
      <c r="V247" s="20" t="n">
        <v>615</v>
      </c>
      <c r="W247" s="20" t="n">
        <v>-1060</v>
      </c>
      <c r="X247" s="20" t="n">
        <v>-3040</v>
      </c>
    </row>
    <row r="248">
      <c r="A248" s="18" t="inlineStr">
        <is>
          <t>이자·배당금 수취</t>
        </is>
      </c>
      <c r="E248" s="20" t="n">
        <v>24</v>
      </c>
      <c r="I248" s="20" t="n">
        <v>30</v>
      </c>
      <c r="M248" s="20" t="n">
        <v>34</v>
      </c>
      <c r="O248" s="20" t="n">
        <v>78</v>
      </c>
      <c r="P248" s="20" t="n">
        <v>35</v>
      </c>
      <c r="Q248" s="20" t="n">
        <v>28</v>
      </c>
      <c r="R248" s="20" t="n">
        <v>33</v>
      </c>
      <c r="S248" s="20" t="n">
        <v>20</v>
      </c>
      <c r="T248" s="20" t="n">
        <v>20</v>
      </c>
      <c r="U248" s="20" t="n">
        <v>25</v>
      </c>
      <c r="V248" s="20" t="n">
        <v>24</v>
      </c>
      <c r="W248" s="20" t="n">
        <v>30</v>
      </c>
      <c r="X248" s="20" t="n">
        <v>34</v>
      </c>
    </row>
    <row r="249">
      <c r="A249" s="18" t="inlineStr">
        <is>
          <t>Gains From Compensation Ope CF</t>
        </is>
      </c>
      <c r="Q249" s="20" t="n">
        <v>0</v>
      </c>
      <c r="R249" s="20" t="n">
        <v>39</v>
      </c>
      <c r="S249" s="20" t="n">
        <v>0</v>
      </c>
    </row>
    <row r="250">
      <c r="A250" s="18" t="inlineStr">
        <is>
          <t>보조금 수취</t>
        </is>
      </c>
      <c r="E250" s="20" t="n">
        <v>0</v>
      </c>
      <c r="S250" s="20" t="n">
        <v>54</v>
      </c>
      <c r="T250" s="20" t="n">
        <v>369</v>
      </c>
      <c r="U250" s="20" t="n">
        <v>63</v>
      </c>
      <c r="V250" s="20" t="n">
        <v>0</v>
      </c>
    </row>
    <row r="251">
      <c r="A251" s="18" t="inlineStr">
        <is>
          <t>Proceeds From Dividends Income From Equity Method Affiliate Ope CF</t>
        </is>
      </c>
      <c r="E251" s="20" t="n">
        <v>11</v>
      </c>
      <c r="I251" s="20" t="n">
        <v>6</v>
      </c>
      <c r="M251" s="20" t="n">
        <v>14</v>
      </c>
      <c r="O251" s="20" t="n">
        <v>17</v>
      </c>
      <c r="P251" s="20" t="n">
        <v>18</v>
      </c>
      <c r="Q251" s="20" t="n">
        <v>29</v>
      </c>
      <c r="R251" s="20" t="n">
        <v>29</v>
      </c>
      <c r="S251" s="20" t="n">
        <v>29</v>
      </c>
      <c r="T251" s="20" t="n">
        <v>0</v>
      </c>
      <c r="U251" s="20" t="n">
        <v>6</v>
      </c>
      <c r="V251" s="20" t="n">
        <v>11</v>
      </c>
      <c r="W251" s="20" t="n">
        <v>6</v>
      </c>
      <c r="X251" s="20" t="n">
        <v>14</v>
      </c>
    </row>
    <row r="252">
      <c r="A252" s="18" t="inlineStr">
        <is>
          <t>이자 지급</t>
        </is>
      </c>
      <c r="E252" s="20" t="n">
        <v>-42</v>
      </c>
      <c r="I252" s="20" t="n">
        <v>-68</v>
      </c>
      <c r="M252" s="20" t="n">
        <v>-144</v>
      </c>
      <c r="O252" s="20" t="n">
        <v>-7</v>
      </c>
      <c r="P252" s="20" t="n">
        <v>-11</v>
      </c>
      <c r="Q252" s="20" t="n">
        <v>-17</v>
      </c>
      <c r="R252" s="20" t="n">
        <v>-13</v>
      </c>
      <c r="S252" s="20" t="n">
        <v>-7</v>
      </c>
      <c r="T252" s="20" t="n">
        <v>-7</v>
      </c>
      <c r="U252" s="20" t="n">
        <v>-12</v>
      </c>
      <c r="V252" s="20" t="n">
        <v>-42</v>
      </c>
      <c r="W252" s="20" t="n">
        <v>-68</v>
      </c>
      <c r="X252" s="20" t="n">
        <v>-144</v>
      </c>
    </row>
    <row r="253">
      <c r="A253" s="18" t="inlineStr">
        <is>
          <t>보조금 수취</t>
        </is>
      </c>
      <c r="O253" s="20" t="n">
        <v>33</v>
      </c>
      <c r="P253" s="20" t="n">
        <v>0</v>
      </c>
    </row>
    <row r="254">
      <c r="A254" s="18" t="inlineStr">
        <is>
          <t>Payment Of Cancellation Penalty Free Ope CF</t>
        </is>
      </c>
      <c r="R254" s="20" t="n">
        <v>0</v>
      </c>
      <c r="S254" s="20" t="n">
        <v>-9</v>
      </c>
      <c r="T254" s="20" t="n">
        <v>-4</v>
      </c>
      <c r="U254" s="20" t="n">
        <v>0</v>
      </c>
    </row>
    <row r="255">
      <c r="A255" s="18" t="inlineStr">
        <is>
          <t>재해손실 지급</t>
        </is>
      </c>
      <c r="O255" s="20" t="n">
        <v>-4</v>
      </c>
      <c r="P255" s="20" t="n">
        <v>0</v>
      </c>
      <c r="Q255" s="20" t="n">
        <v>-2</v>
      </c>
      <c r="R255" s="20" t="n">
        <v>-7</v>
      </c>
      <c r="S255" s="20" t="n">
        <v>0</v>
      </c>
    </row>
    <row r="256">
      <c r="A256" s="18" t="inlineStr">
        <is>
          <t>법인세 납부</t>
        </is>
      </c>
      <c r="E256" s="20" t="n">
        <v>-140</v>
      </c>
      <c r="I256" s="20" t="n">
        <v>-261</v>
      </c>
      <c r="M256" s="20" t="n">
        <v>-252</v>
      </c>
      <c r="O256" s="20" t="n">
        <v>-890</v>
      </c>
      <c r="P256" s="20" t="n">
        <v>-619</v>
      </c>
      <c r="Q256" s="20" t="n">
        <v>-201</v>
      </c>
      <c r="R256" s="20" t="n">
        <v>-424</v>
      </c>
      <c r="S256" s="20" t="n">
        <v>-222</v>
      </c>
      <c r="T256" s="20" t="n">
        <v>-232</v>
      </c>
      <c r="U256" s="20" t="n">
        <v>-282</v>
      </c>
      <c r="V256" s="20" t="n">
        <v>-140</v>
      </c>
      <c r="W256" s="20" t="n">
        <v>-261</v>
      </c>
      <c r="X256" s="20" t="n">
        <v>-252</v>
      </c>
    </row>
    <row r="257">
      <c r="A257" s="18" t="inlineStr">
        <is>
          <t>법인세 환급</t>
        </is>
      </c>
      <c r="E257" s="20" t="n">
        <v>12</v>
      </c>
      <c r="I257" s="20" t="n">
        <v>0</v>
      </c>
      <c r="M257" s="20" t="n">
        <v>5</v>
      </c>
      <c r="O257" s="20" t="n">
        <v>10</v>
      </c>
      <c r="P257" s="20" t="n">
        <v>2</v>
      </c>
      <c r="Q257" s="20" t="n">
        <v>102</v>
      </c>
      <c r="R257" s="20" t="n">
        <v>20</v>
      </c>
      <c r="S257" s="20" t="n">
        <v>-11</v>
      </c>
      <c r="T257" s="20" t="n">
        <v>124</v>
      </c>
      <c r="U257" s="20" t="n">
        <v>0</v>
      </c>
      <c r="V257" s="20" t="n">
        <v>12</v>
      </c>
      <c r="W257" s="20" t="n">
        <v>0</v>
      </c>
      <c r="X257" s="20" t="n">
        <v>5</v>
      </c>
    </row>
    <row r="258">
      <c r="A258" s="18" t="inlineStr">
        <is>
          <t>기타</t>
        </is>
      </c>
      <c r="I258" s="20" t="n">
        <v>0</v>
      </c>
      <c r="M258" s="20" t="n">
        <v>2</v>
      </c>
      <c r="W258" s="20" t="n">
        <v>0</v>
      </c>
      <c r="X258" s="20" t="n">
        <v>2</v>
      </c>
    </row>
    <row r="259">
      <c r="A259" s="9" t="inlineStr">
        <is>
          <t>영업활동 현금흐름</t>
        </is>
      </c>
      <c r="E259" s="12" t="n">
        <v>481</v>
      </c>
      <c r="I259" s="12" t="n">
        <v>-1353</v>
      </c>
      <c r="M259" s="12" t="n">
        <v>-3380</v>
      </c>
      <c r="O259" s="12" t="n">
        <v>3363</v>
      </c>
      <c r="P259" s="12" t="n">
        <v>-1041</v>
      </c>
      <c r="Q259" s="12" t="n">
        <v>3257</v>
      </c>
      <c r="R259" s="12" t="n">
        <v>510</v>
      </c>
      <c r="S259" s="12" t="n">
        <v>-1193</v>
      </c>
      <c r="T259" s="12" t="n">
        <v>861</v>
      </c>
      <c r="U259" s="12" t="n">
        <v>-3095</v>
      </c>
      <c r="V259" s="12" t="n">
        <v>481</v>
      </c>
      <c r="W259" s="12" t="n">
        <v>-1353</v>
      </c>
      <c r="X259" s="12" t="n">
        <v>-3380</v>
      </c>
    </row>
    <row r="260">
      <c r="A260" s="18" t="inlineStr">
        <is>
          <t>유가증권 취득</t>
        </is>
      </c>
      <c r="O260" s="20" t="n">
        <v>-4000</v>
      </c>
      <c r="P260" s="20" t="n">
        <v>-2000</v>
      </c>
      <c r="Q260" s="20" t="n">
        <v>0</v>
      </c>
    </row>
    <row r="261">
      <c r="A261" s="18" t="inlineStr">
        <is>
          <t>유가증권 상환 수입</t>
        </is>
      </c>
      <c r="O261" s="20" t="n">
        <v>2300</v>
      </c>
      <c r="P261" s="20" t="n">
        <v>4000</v>
      </c>
      <c r="Q261" s="20" t="n">
        <v>0</v>
      </c>
    </row>
    <row r="262">
      <c r="A262" s="18" t="inlineStr">
        <is>
          <t>투자유가증권 취득</t>
        </is>
      </c>
      <c r="E262" s="20" t="n">
        <v>-626</v>
      </c>
      <c r="I262" s="20" t="n">
        <v>-21</v>
      </c>
      <c r="M262" s="20" t="n">
        <v>-127</v>
      </c>
      <c r="O262" s="20" t="n">
        <v>-38</v>
      </c>
      <c r="P262" s="20" t="n">
        <v>-41</v>
      </c>
      <c r="Q262" s="20" t="n">
        <v>-354</v>
      </c>
      <c r="R262" s="20" t="n">
        <v>-136</v>
      </c>
      <c r="S262" s="20" t="n">
        <v>-14</v>
      </c>
      <c r="T262" s="20" t="n">
        <v>0</v>
      </c>
      <c r="U262" s="20" t="n">
        <v>0</v>
      </c>
      <c r="V262" s="20" t="n">
        <v>-626</v>
      </c>
      <c r="W262" s="20" t="n">
        <v>-21</v>
      </c>
      <c r="X262" s="20" t="n">
        <v>-127</v>
      </c>
    </row>
    <row r="263">
      <c r="A263" s="18" t="inlineStr">
        <is>
          <t>투자유가증권 매각·상환 수입</t>
        </is>
      </c>
      <c r="E263" s="20" t="n">
        <v>14</v>
      </c>
      <c r="I263" s="20" t="n">
        <v>13</v>
      </c>
      <c r="M263" s="20" t="n">
        <v>0</v>
      </c>
      <c r="O263" s="20" t="n">
        <v>670</v>
      </c>
      <c r="P263" s="20" t="n">
        <v>899</v>
      </c>
      <c r="Q263" s="20" t="n">
        <v>838</v>
      </c>
      <c r="R263" s="20" t="n">
        <v>956</v>
      </c>
      <c r="S263" s="20" t="n">
        <v>155</v>
      </c>
      <c r="T263" s="20" t="n">
        <v>93</v>
      </c>
      <c r="U263" s="20" t="n">
        <v>0</v>
      </c>
      <c r="V263" s="20" t="n">
        <v>14</v>
      </c>
      <c r="W263" s="20" t="n">
        <v>13</v>
      </c>
      <c r="X263" s="20" t="n">
        <v>0</v>
      </c>
    </row>
    <row r="264">
      <c r="A264" s="18" t="inlineStr">
        <is>
          <t>유형자산 취득(설비투자)</t>
        </is>
      </c>
      <c r="E264" s="20" t="n">
        <v>-970</v>
      </c>
      <c r="I264" s="20" t="n">
        <v>-848</v>
      </c>
      <c r="M264" s="20" t="n">
        <v>-1665</v>
      </c>
      <c r="O264" s="20" t="n">
        <v>-1107</v>
      </c>
      <c r="P264" s="20" t="n">
        <v>-726</v>
      </c>
      <c r="Q264" s="20" t="n">
        <v>-810</v>
      </c>
      <c r="R264" s="20" t="n">
        <v>-470</v>
      </c>
      <c r="S264" s="20" t="n">
        <v>-448</v>
      </c>
      <c r="T264" s="20" t="n">
        <v>-460</v>
      </c>
      <c r="U264" s="20" t="n">
        <v>-774</v>
      </c>
      <c r="V264" s="20" t="n">
        <v>-970</v>
      </c>
      <c r="W264" s="20" t="n">
        <v>-848</v>
      </c>
      <c r="X264" s="20" t="n">
        <v>-1665</v>
      </c>
    </row>
    <row r="265">
      <c r="A265" s="18" t="inlineStr">
        <is>
          <t>유형자산 매각</t>
        </is>
      </c>
      <c r="E265" s="20" t="n">
        <v>87</v>
      </c>
      <c r="I265" s="20" t="n">
        <v>0</v>
      </c>
      <c r="O265" s="20" t="n">
        <v>54</v>
      </c>
      <c r="P265" s="20" t="n">
        <v>5</v>
      </c>
      <c r="Q265" s="20" t="n">
        <v>102</v>
      </c>
      <c r="R265" s="20" t="n">
        <v>832</v>
      </c>
      <c r="S265" s="20" t="n">
        <v>0</v>
      </c>
      <c r="T265" s="20" t="n">
        <v>14</v>
      </c>
      <c r="U265" s="20" t="n">
        <v>22</v>
      </c>
      <c r="V265" s="20" t="n">
        <v>87</v>
      </c>
      <c r="W265" s="20" t="n">
        <v>0</v>
      </c>
    </row>
    <row r="266">
      <c r="A266" s="18" t="inlineStr">
        <is>
          <t>무형자산 취득</t>
        </is>
      </c>
      <c r="E266" s="20" t="n">
        <v>-195</v>
      </c>
      <c r="I266" s="20" t="n">
        <v>-202</v>
      </c>
      <c r="M266" s="20" t="n">
        <v>-75</v>
      </c>
      <c r="O266" s="20" t="n">
        <v>-62</v>
      </c>
      <c r="P266" s="20" t="n">
        <v>-43</v>
      </c>
      <c r="Q266" s="20" t="n">
        <v>-95</v>
      </c>
      <c r="R266" s="20" t="n">
        <v>-72</v>
      </c>
      <c r="S266" s="20" t="n">
        <v>-16</v>
      </c>
      <c r="T266" s="20" t="n">
        <v>-469</v>
      </c>
      <c r="U266" s="20" t="n">
        <v>-267</v>
      </c>
      <c r="V266" s="20" t="n">
        <v>-195</v>
      </c>
      <c r="W266" s="20" t="n">
        <v>-202</v>
      </c>
      <c r="X266" s="20" t="n">
        <v>-75</v>
      </c>
    </row>
    <row r="267">
      <c r="A267" s="18" t="inlineStr">
        <is>
          <t>연결범위 변경 자회사 주식 취득</t>
        </is>
      </c>
      <c r="I267" s="20" t="n">
        <v>0</v>
      </c>
      <c r="M267" s="20" t="n">
        <v>-3549</v>
      </c>
      <c r="P267" s="20" t="n">
        <v>0</v>
      </c>
      <c r="Q267" s="20" t="n">
        <v>-389</v>
      </c>
      <c r="R267" s="20" t="n">
        <v>0</v>
      </c>
      <c r="W267" s="20" t="n">
        <v>0</v>
      </c>
      <c r="X267" s="20" t="n">
        <v>-3549</v>
      </c>
    </row>
    <row r="268">
      <c r="A268" s="18" t="inlineStr">
        <is>
          <t>관계회사 주식 취득</t>
        </is>
      </c>
      <c r="O268" s="20" t="n">
        <v>0</v>
      </c>
      <c r="P268" s="20" t="n">
        <v>-671</v>
      </c>
      <c r="Q268" s="20" t="n">
        <v>-9</v>
      </c>
      <c r="R268" s="20" t="n">
        <v>0</v>
      </c>
    </row>
    <row r="269">
      <c r="A269" s="18" t="inlineStr">
        <is>
          <t>보조금 수취</t>
        </is>
      </c>
      <c r="I269" s="20" t="n">
        <v>0</v>
      </c>
      <c r="M269" s="20" t="n">
        <v>218</v>
      </c>
      <c r="W269" s="20" t="n">
        <v>0</v>
      </c>
      <c r="X269" s="20" t="n">
        <v>218</v>
      </c>
    </row>
    <row r="270">
      <c r="A270" s="18" t="inlineStr">
        <is>
          <t>기타</t>
        </is>
      </c>
      <c r="E270" s="20" t="n">
        <v>2</v>
      </c>
      <c r="I270" s="20" t="n">
        <v>-12</v>
      </c>
      <c r="M270" s="20" t="n">
        <v>-58</v>
      </c>
      <c r="O270" s="20" t="n">
        <v>-3</v>
      </c>
      <c r="P270" s="20" t="n">
        <v>48</v>
      </c>
      <c r="Q270" s="20" t="n">
        <v>-93</v>
      </c>
      <c r="R270" s="20" t="n">
        <v>88</v>
      </c>
      <c r="S270" s="20" t="n">
        <v>-72</v>
      </c>
      <c r="T270" s="20" t="n">
        <v>95</v>
      </c>
      <c r="U270" s="20" t="n">
        <v>45</v>
      </c>
      <c r="V270" s="20" t="n">
        <v>2</v>
      </c>
      <c r="W270" s="20" t="n">
        <v>-12</v>
      </c>
      <c r="X270" s="20" t="n">
        <v>-58</v>
      </c>
    </row>
    <row r="271">
      <c r="A271" s="9" t="inlineStr">
        <is>
          <t>투자활동 현금흐름</t>
        </is>
      </c>
      <c r="E271" s="12" t="n">
        <v>-1689</v>
      </c>
      <c r="I271" s="12" t="n">
        <v>-1070</v>
      </c>
      <c r="M271" s="12" t="n">
        <v>-5258</v>
      </c>
      <c r="O271" s="12" t="n">
        <v>-2186</v>
      </c>
      <c r="P271" s="12" t="n">
        <v>1470</v>
      </c>
      <c r="Q271" s="12" t="n">
        <v>-810</v>
      </c>
      <c r="R271" s="12" t="n">
        <v>1198</v>
      </c>
      <c r="S271" s="12" t="n">
        <v>-396</v>
      </c>
      <c r="T271" s="12" t="n">
        <v>-727</v>
      </c>
      <c r="U271" s="12" t="n">
        <v>-973</v>
      </c>
      <c r="V271" s="12" t="n">
        <v>-1689</v>
      </c>
      <c r="W271" s="12" t="n">
        <v>-1070</v>
      </c>
      <c r="X271" s="12" t="n">
        <v>-5258</v>
      </c>
    </row>
    <row r="272">
      <c r="A272" s="18" t="inlineStr">
        <is>
          <t>단기차입</t>
        </is>
      </c>
      <c r="O272" s="20" t="n">
        <v>244</v>
      </c>
      <c r="P272" s="20" t="n">
        <v>230</v>
      </c>
      <c r="Q272" s="20" t="n">
        <v>429</v>
      </c>
    </row>
    <row r="273">
      <c r="A273" s="18" t="inlineStr">
        <is>
          <t>단기차입금 상환</t>
        </is>
      </c>
      <c r="O273" s="20" t="n">
        <v>-159</v>
      </c>
      <c r="P273" s="20" t="n">
        <v>-201</v>
      </c>
      <c r="Q273" s="20" t="n">
        <v>-177</v>
      </c>
    </row>
    <row r="274">
      <c r="A274" s="18" t="inlineStr">
        <is>
          <t>장기차입</t>
        </is>
      </c>
      <c r="O274" s="20" t="n">
        <v>200</v>
      </c>
      <c r="P274" s="20" t="n">
        <v>400</v>
      </c>
      <c r="Q274" s="20" t="n">
        <v>0</v>
      </c>
    </row>
    <row r="275">
      <c r="A275" s="18" t="inlineStr">
        <is>
          <t>단기차입금 순증감</t>
        </is>
      </c>
      <c r="E275" s="20" t="n">
        <v>2147</v>
      </c>
      <c r="I275" s="20" t="n">
        <v>2874</v>
      </c>
      <c r="M275" s="20" t="n">
        <v>8996</v>
      </c>
      <c r="Q275" s="20" t="n">
        <v>251</v>
      </c>
      <c r="R275" s="20" t="n">
        <v>14</v>
      </c>
      <c r="S275" s="20" t="n">
        <v>-325</v>
      </c>
      <c r="T275" s="20" t="n">
        <v>-9</v>
      </c>
      <c r="U275" s="20" t="n">
        <v>3141</v>
      </c>
      <c r="V275" s="20" t="n">
        <v>2147</v>
      </c>
      <c r="W275" s="20" t="n">
        <v>2874</v>
      </c>
      <c r="X275" s="20" t="n">
        <v>8996</v>
      </c>
    </row>
    <row r="276">
      <c r="A276" s="18" t="inlineStr">
        <is>
          <t>장기차입금 상환</t>
        </is>
      </c>
      <c r="E276" s="20" t="n">
        <v>0</v>
      </c>
      <c r="I276" s="20" t="n">
        <v>0</v>
      </c>
      <c r="M276" s="20" t="n">
        <v>-27</v>
      </c>
      <c r="O276" s="20" t="n">
        <v>-69</v>
      </c>
      <c r="P276" s="20" t="n">
        <v>-166</v>
      </c>
      <c r="Q276" s="20" t="n">
        <v>-150</v>
      </c>
      <c r="R276" s="20" t="n">
        <v>-139</v>
      </c>
      <c r="S276" s="20" t="n">
        <v>-137</v>
      </c>
      <c r="T276" s="20" t="n">
        <v>-98</v>
      </c>
      <c r="U276" s="20" t="n">
        <v>-38</v>
      </c>
      <c r="V276" s="20" t="n">
        <v>0</v>
      </c>
      <c r="W276" s="20" t="n">
        <v>0</v>
      </c>
      <c r="X276" s="20" t="n">
        <v>-27</v>
      </c>
    </row>
    <row r="277">
      <c r="A277" s="18" t="inlineStr">
        <is>
          <t>자기주식 취득</t>
        </is>
      </c>
      <c r="O277" s="20" t="n">
        <v>-0</v>
      </c>
      <c r="P277" s="20" t="n">
        <v>-1632</v>
      </c>
      <c r="Q277" s="20" t="n">
        <v>-588</v>
      </c>
      <c r="R277" s="20" t="n">
        <v>-0</v>
      </c>
      <c r="S277" s="20" t="n">
        <v>-0</v>
      </c>
      <c r="T277" s="20" t="n">
        <v>0</v>
      </c>
      <c r="U277" s="20" t="n">
        <v>2</v>
      </c>
    </row>
    <row r="278">
      <c r="A278" s="18" t="inlineStr">
        <is>
          <t>자기주식 처분</t>
        </is>
      </c>
      <c r="P278" s="20" t="n">
        <v>0</v>
      </c>
      <c r="Q278" s="20" t="n">
        <v>588</v>
      </c>
      <c r="R278" s="20" t="n">
        <v>0</v>
      </c>
      <c r="S278" s="20" t="n">
        <v>0</v>
      </c>
    </row>
    <row r="279">
      <c r="A279" s="18" t="inlineStr">
        <is>
          <t>배당금 지급</t>
        </is>
      </c>
      <c r="E279" s="20" t="n">
        <v>-260</v>
      </c>
      <c r="I279" s="20" t="n">
        <v>-238</v>
      </c>
      <c r="M279" s="20" t="n">
        <v>-260</v>
      </c>
      <c r="O279" s="20" t="n">
        <v>-400</v>
      </c>
      <c r="P279" s="20" t="n">
        <v>-402</v>
      </c>
      <c r="Q279" s="20" t="n">
        <v>-387</v>
      </c>
      <c r="R279" s="20" t="n">
        <v>-390</v>
      </c>
      <c r="S279" s="20" t="n">
        <v>-238</v>
      </c>
      <c r="T279" s="20" t="n">
        <v>-216</v>
      </c>
      <c r="U279" s="20" t="n">
        <v>-217</v>
      </c>
      <c r="V279" s="20" t="n">
        <v>-260</v>
      </c>
      <c r="W279" s="20" t="n">
        <v>-238</v>
      </c>
      <c r="X279" s="20" t="n">
        <v>-260</v>
      </c>
    </row>
    <row r="280">
      <c r="A280" s="18" t="inlineStr">
        <is>
          <t>연결범위 변경 없는 자회사 주식 취득</t>
        </is>
      </c>
      <c r="E280" s="20" t="n">
        <v>-23</v>
      </c>
      <c r="U280" s="20" t="n">
        <v>0</v>
      </c>
      <c r="V280" s="20" t="n">
        <v>-23</v>
      </c>
    </row>
    <row r="281">
      <c r="A281" s="18" t="inlineStr">
        <is>
          <t>리스부채 상환</t>
        </is>
      </c>
      <c r="E281" s="20" t="n">
        <v>-124</v>
      </c>
      <c r="I281" s="20" t="n">
        <v>-85</v>
      </c>
      <c r="M281" s="20" t="n">
        <v>-132</v>
      </c>
      <c r="P281" s="20" t="n">
        <v>-76</v>
      </c>
      <c r="Q281" s="20" t="n">
        <v>-180</v>
      </c>
      <c r="R281" s="20" t="n">
        <v>-160</v>
      </c>
      <c r="S281" s="20" t="n">
        <v>-207</v>
      </c>
      <c r="T281" s="20" t="n">
        <v>-155</v>
      </c>
      <c r="U281" s="20" t="n">
        <v>-119</v>
      </c>
      <c r="V281" s="20" t="n">
        <v>-124</v>
      </c>
      <c r="W281" s="20" t="n">
        <v>-85</v>
      </c>
      <c r="X281" s="20" t="n">
        <v>-132</v>
      </c>
    </row>
    <row r="282">
      <c r="A282" s="18" t="inlineStr">
        <is>
          <t>세일앤리스백 수입</t>
        </is>
      </c>
      <c r="E282" s="20" t="n">
        <v>0</v>
      </c>
      <c r="I282" s="20" t="n">
        <v>277</v>
      </c>
      <c r="M282" s="20" t="n">
        <v>261</v>
      </c>
      <c r="V282" s="20" t="n">
        <v>0</v>
      </c>
      <c r="W282" s="20" t="n">
        <v>277</v>
      </c>
      <c r="X282" s="20" t="n">
        <v>261</v>
      </c>
    </row>
    <row r="283">
      <c r="A283" s="18" t="inlineStr">
        <is>
          <t>기타</t>
        </is>
      </c>
      <c r="E283" s="20" t="n">
        <v>-21</v>
      </c>
      <c r="I283" s="20" t="n">
        <v>-0</v>
      </c>
      <c r="M283" s="20" t="n">
        <v>-3</v>
      </c>
      <c r="O283" s="20" t="n">
        <v>-85</v>
      </c>
      <c r="P283" s="20" t="n">
        <v>-10</v>
      </c>
      <c r="Q283" s="20" t="n">
        <v>-24</v>
      </c>
      <c r="R283" s="20" t="n">
        <v>0</v>
      </c>
      <c r="S283" s="20" t="n">
        <v>0</v>
      </c>
      <c r="T283" s="20" t="n">
        <v>12</v>
      </c>
      <c r="U283" s="20" t="n">
        <v>-9</v>
      </c>
      <c r="V283" s="20" t="n">
        <v>-21</v>
      </c>
      <c r="W283" s="20" t="n">
        <v>-0</v>
      </c>
      <c r="X283" s="20" t="n">
        <v>-3</v>
      </c>
    </row>
    <row r="284">
      <c r="A284" s="9" t="inlineStr">
        <is>
          <t>재무활동 현금흐름</t>
        </is>
      </c>
      <c r="E284" s="12" t="n">
        <v>1741</v>
      </c>
      <c r="I284" s="12" t="n">
        <v>2827</v>
      </c>
      <c r="M284" s="12" t="n">
        <v>8834</v>
      </c>
      <c r="O284" s="12" t="n">
        <v>-270</v>
      </c>
      <c r="P284" s="12" t="n">
        <v>-1858</v>
      </c>
      <c r="Q284" s="12" t="n">
        <v>-492</v>
      </c>
      <c r="R284" s="12" t="n">
        <v>-674</v>
      </c>
      <c r="S284" s="12" t="n">
        <v>-908</v>
      </c>
      <c r="T284" s="12" t="n">
        <v>-466</v>
      </c>
      <c r="U284" s="12" t="n">
        <v>2757</v>
      </c>
      <c r="V284" s="12" t="n">
        <v>1741</v>
      </c>
      <c r="W284" s="12" t="n">
        <v>2827</v>
      </c>
      <c r="X284" s="12" t="n">
        <v>8834</v>
      </c>
    </row>
    <row r="285">
      <c r="A285" s="18" t="inlineStr">
        <is>
          <t>현금성자산 환산차이</t>
        </is>
      </c>
      <c r="E285" s="20" t="n">
        <v>13</v>
      </c>
      <c r="I285" s="20" t="n">
        <v>8</v>
      </c>
      <c r="M285" s="20" t="n">
        <v>4</v>
      </c>
      <c r="O285" s="20" t="n">
        <v>-2</v>
      </c>
      <c r="P285" s="20" t="n">
        <v>-0</v>
      </c>
      <c r="Q285" s="20" t="n">
        <v>-6</v>
      </c>
      <c r="R285" s="20" t="n">
        <v>1</v>
      </c>
      <c r="S285" s="20" t="n">
        <v>-5</v>
      </c>
      <c r="T285" s="20" t="n">
        <v>18</v>
      </c>
      <c r="U285" s="20" t="n">
        <v>-10</v>
      </c>
      <c r="V285" s="20" t="n">
        <v>13</v>
      </c>
      <c r="W285" s="20" t="n">
        <v>8</v>
      </c>
      <c r="X285" s="20" t="n">
        <v>4</v>
      </c>
    </row>
    <row r="286">
      <c r="A286" s="18" t="inlineStr">
        <is>
          <t>현금성자산 증감</t>
        </is>
      </c>
      <c r="E286" s="20" t="n">
        <v>547</v>
      </c>
      <c r="I286" s="20" t="n">
        <v>412</v>
      </c>
      <c r="M286" s="20" t="n">
        <v>199</v>
      </c>
      <c r="O286" s="20" t="n">
        <v>904</v>
      </c>
      <c r="P286" s="20" t="n">
        <v>-1430</v>
      </c>
      <c r="Q286" s="20" t="n">
        <v>1948</v>
      </c>
      <c r="R286" s="20" t="n">
        <v>1034</v>
      </c>
      <c r="S286" s="20" t="n">
        <v>-2504</v>
      </c>
      <c r="T286" s="20" t="n">
        <v>-313</v>
      </c>
      <c r="U286" s="20" t="n">
        <v>-1322</v>
      </c>
      <c r="V286" s="20" t="n">
        <v>547</v>
      </c>
      <c r="W286" s="20" t="n">
        <v>412</v>
      </c>
      <c r="X286" s="20" t="n">
        <v>199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2594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44575</v>
      </c>
      <c r="D5" s="12" t="n">
        <v>45311</v>
      </c>
      <c r="E5" s="12" t="n">
        <v>53922</v>
      </c>
      <c r="F5" s="12" t="n">
        <v>52255</v>
      </c>
      <c r="G5" s="12" t="n">
        <v>53106</v>
      </c>
      <c r="H5" s="11" t="n">
        <v>26393</v>
      </c>
      <c r="I5" s="12" t="n">
        <v>34503</v>
      </c>
      <c r="J5" s="12" t="n">
        <v>36473</v>
      </c>
      <c r="K5" s="12" t="n">
        <v>39467</v>
      </c>
      <c r="L5" s="12" t="n">
        <v>52255</v>
      </c>
    </row>
    <row r="6">
      <c r="A6" s="18" t="inlineStr">
        <is>
          <t>현금및현금성자산</t>
        </is>
      </c>
      <c r="B6" s="10" t="n"/>
      <c r="C6" s="19" t="n">
        <v>7127</v>
      </c>
      <c r="D6" s="20" t="n">
        <v>6372</v>
      </c>
      <c r="E6" s="20" t="n">
        <v>5116</v>
      </c>
      <c r="F6" s="20" t="n">
        <v>5279</v>
      </c>
      <c r="G6" s="20" t="n">
        <v>6467</v>
      </c>
      <c r="H6" s="19" t="n">
        <v>5443</v>
      </c>
      <c r="I6" s="20" t="n">
        <v>4120</v>
      </c>
      <c r="J6" s="20" t="n">
        <v>4667</v>
      </c>
      <c r="K6" s="20" t="n">
        <v>5080</v>
      </c>
      <c r="L6" s="20" t="n">
        <v>5279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17794</v>
      </c>
      <c r="D8" s="20" t="n">
        <v>20953</v>
      </c>
      <c r="E8" s="20" t="n">
        <v>25842</v>
      </c>
      <c r="F8" s="20" t="n">
        <v>22998</v>
      </c>
      <c r="G8" s="20" t="n">
        <v>20863</v>
      </c>
      <c r="H8" s="19" t="n">
        <v>11625</v>
      </c>
      <c r="I8" s="20" t="n">
        <v>14103</v>
      </c>
      <c r="J8" s="20" t="n">
        <v>15694</v>
      </c>
      <c r="K8" s="20" t="n">
        <v>16341</v>
      </c>
      <c r="L8" s="20" t="n">
        <v>22998</v>
      </c>
    </row>
    <row r="9">
      <c r="A9" s="18" t="inlineStr">
        <is>
          <t>재고자산</t>
        </is>
      </c>
      <c r="B9" s="10" t="n"/>
      <c r="C9" s="19" t="n">
        <v>18664</v>
      </c>
      <c r="D9" s="20" t="n">
        <v>17110</v>
      </c>
      <c r="E9" s="20" t="n">
        <v>21740</v>
      </c>
      <c r="F9" s="20" t="n">
        <v>22628</v>
      </c>
      <c r="G9" s="20" t="n">
        <v>24499</v>
      </c>
      <c r="H9" s="19" t="n">
        <v>8644</v>
      </c>
      <c r="I9" s="20" t="n">
        <v>14972</v>
      </c>
      <c r="J9" s="20" t="n">
        <v>15411</v>
      </c>
      <c r="K9" s="20" t="n">
        <v>17019</v>
      </c>
      <c r="L9" s="20" t="n">
        <v>22628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18880</v>
      </c>
      <c r="D11" s="12" t="n">
        <v>25311</v>
      </c>
      <c r="E11" s="12" t="n">
        <v>25670</v>
      </c>
      <c r="F11" s="12" t="n">
        <v>26269</v>
      </c>
      <c r="G11" s="12" t="n">
        <v>26270</v>
      </c>
      <c r="H11" s="11" t="n">
        <v>17036</v>
      </c>
      <c r="I11" s="12" t="n">
        <v>17264</v>
      </c>
      <c r="J11" s="12" t="n">
        <v>18359</v>
      </c>
      <c r="K11" s="12" t="n">
        <v>18768</v>
      </c>
      <c r="L11" s="12" t="n">
        <v>26269</v>
      </c>
    </row>
    <row r="12">
      <c r="A12" s="18" t="inlineStr">
        <is>
          <t>유형자산</t>
        </is>
      </c>
      <c r="B12" s="10" t="n"/>
      <c r="C12" s="19" t="n">
        <v>12409</v>
      </c>
      <c r="D12" s="20" t="n">
        <v>17735</v>
      </c>
      <c r="E12" s="20" t="n">
        <v>17702</v>
      </c>
      <c r="F12" s="20" t="n">
        <v>18107</v>
      </c>
      <c r="G12" s="20" t="n">
        <v>18001</v>
      </c>
      <c r="H12" s="19" t="n">
        <v>12530</v>
      </c>
      <c r="I12" s="20" t="n">
        <v>12509</v>
      </c>
      <c r="J12" s="20" t="n">
        <v>12597</v>
      </c>
      <c r="K12" s="20" t="n">
        <v>12566</v>
      </c>
      <c r="L12" s="20" t="n">
        <v>18107</v>
      </c>
    </row>
    <row r="13">
      <c r="A13" s="18" t="inlineStr">
        <is>
          <t>무형자산</t>
        </is>
      </c>
      <c r="B13" s="10" t="n"/>
      <c r="C13" s="19" t="n">
        <v>706</v>
      </c>
      <c r="D13" s="20" t="n">
        <v>1288</v>
      </c>
      <c r="E13" s="20" t="n">
        <v>1278</v>
      </c>
      <c r="F13" s="20" t="n">
        <v>1224</v>
      </c>
      <c r="G13" s="20" t="n">
        <v>1230</v>
      </c>
      <c r="H13" s="19" t="n">
        <v>655</v>
      </c>
      <c r="I13" s="20" t="n">
        <v>851</v>
      </c>
      <c r="J13" s="20" t="n">
        <v>609</v>
      </c>
      <c r="K13" s="20" t="n">
        <v>717</v>
      </c>
      <c r="L13" s="20" t="n">
        <v>1224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63455</v>
      </c>
      <c r="D16" s="12" t="n">
        <v>70622</v>
      </c>
      <c r="E16" s="12" t="n">
        <v>79592</v>
      </c>
      <c r="F16" s="12" t="n">
        <v>78524</v>
      </c>
      <c r="G16" s="12" t="n">
        <v>79376</v>
      </c>
      <c r="H16" s="11" t="n">
        <v>43429</v>
      </c>
      <c r="I16" s="12" t="n">
        <v>51768</v>
      </c>
      <c r="J16" s="12" t="n">
        <v>54832</v>
      </c>
      <c r="K16" s="12" t="n">
        <v>58235</v>
      </c>
      <c r="L16" s="12" t="n">
        <v>78524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29856</v>
      </c>
      <c r="D18" s="12" t="n">
        <v>34458</v>
      </c>
      <c r="E18" s="12" t="n">
        <v>42681</v>
      </c>
      <c r="F18" s="12" t="n">
        <v>41520</v>
      </c>
      <c r="G18" s="12" t="n">
        <v>41786</v>
      </c>
      <c r="H18" s="11" t="n">
        <v>10966</v>
      </c>
      <c r="I18" s="12" t="n">
        <v>19385</v>
      </c>
      <c r="J18" s="12" t="n">
        <v>21968</v>
      </c>
      <c r="K18" s="12" t="n">
        <v>24925</v>
      </c>
      <c r="L18" s="12" t="n">
        <v>41520</v>
      </c>
    </row>
    <row r="19">
      <c r="A19" s="18" t="inlineStr">
        <is>
          <t>매입채무</t>
        </is>
      </c>
      <c r="B19" s="10" t="n"/>
      <c r="C19" s="19" t="n">
        <v>16191</v>
      </c>
      <c r="D19" s="20" t="n">
        <v>15687</v>
      </c>
      <c r="E19" s="20" t="n">
        <v>23519</v>
      </c>
      <c r="F19" s="20" t="n">
        <v>19286</v>
      </c>
      <c r="G19" s="20" t="n">
        <v>19171</v>
      </c>
      <c r="H19" s="19" t="n">
        <v>6972</v>
      </c>
      <c r="I19" s="20" t="n">
        <v>12719</v>
      </c>
      <c r="J19" s="20" t="n">
        <v>12323</v>
      </c>
      <c r="K19" s="20" t="n">
        <v>12690</v>
      </c>
      <c r="L19" s="20" t="n">
        <v>19286</v>
      </c>
    </row>
    <row r="20">
      <c r="A20" s="18" t="inlineStr">
        <is>
          <t>단기차입금</t>
        </is>
      </c>
      <c r="B20" s="10" t="n"/>
      <c r="C20" s="19" t="n">
        <v>10267</v>
      </c>
      <c r="D20" s="20" t="n">
        <v>14715</v>
      </c>
      <c r="E20" s="20" t="n">
        <v>14539</v>
      </c>
      <c r="F20" s="20" t="n">
        <v>17320</v>
      </c>
      <c r="G20" s="20" t="n">
        <v>18804</v>
      </c>
      <c r="H20" s="19" t="n">
        <v>82</v>
      </c>
      <c r="I20" s="20" t="n">
        <v>3187</v>
      </c>
      <c r="J20" s="20" t="n">
        <v>5343</v>
      </c>
      <c r="K20" s="20" t="n">
        <v>8223</v>
      </c>
      <c r="L20" s="20" t="n">
        <v>17320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>
        <v>46</v>
      </c>
      <c r="G21" s="20" t="n">
        <v>46</v>
      </c>
      <c r="H21" s="19" t="n"/>
      <c r="I21" s="20" t="n"/>
      <c r="J21" s="20" t="n"/>
      <c r="K21" s="20" t="n">
        <v>0</v>
      </c>
      <c r="L21" s="20" t="n">
        <v>46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2443</v>
      </c>
      <c r="D23" s="12" t="n">
        <v>4426</v>
      </c>
      <c r="E23" s="12" t="n">
        <v>4659</v>
      </c>
      <c r="F23" s="12" t="n">
        <v>4747</v>
      </c>
      <c r="G23" s="12" t="n">
        <v>4887</v>
      </c>
      <c r="H23" s="11" t="n">
        <v>1981</v>
      </c>
      <c r="I23" s="12" t="n">
        <v>1853</v>
      </c>
      <c r="J23" s="12" t="n">
        <v>1892</v>
      </c>
      <c r="K23" s="12" t="n">
        <v>2352</v>
      </c>
      <c r="L23" s="12" t="n">
        <v>4747</v>
      </c>
    </row>
    <row r="24">
      <c r="A24" s="18" t="inlineStr">
        <is>
          <t>장기차입금</t>
        </is>
      </c>
      <c r="B24" s="10" t="n"/>
      <c r="C24" s="19" t="n"/>
      <c r="D24" s="20" t="n">
        <v>553</v>
      </c>
      <c r="E24" s="20" t="n">
        <v>546</v>
      </c>
      <c r="F24" s="20" t="n">
        <v>534</v>
      </c>
      <c r="G24" s="20" t="n">
        <v>522</v>
      </c>
      <c r="H24" s="19" t="n">
        <v>0</v>
      </c>
      <c r="I24" s="20" t="n"/>
      <c r="J24" s="20" t="n"/>
      <c r="K24" s="20" t="n">
        <v>0</v>
      </c>
      <c r="L24" s="20" t="n">
        <v>534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32300</v>
      </c>
      <c r="D27" s="12" t="n">
        <v>38884</v>
      </c>
      <c r="E27" s="12" t="n">
        <v>47341</v>
      </c>
      <c r="F27" s="12" t="n">
        <v>46267</v>
      </c>
      <c r="G27" s="12" t="n">
        <v>46673</v>
      </c>
      <c r="H27" s="11" t="n">
        <v>12948</v>
      </c>
      <c r="I27" s="12" t="n">
        <v>21238</v>
      </c>
      <c r="J27" s="12" t="n">
        <v>23861</v>
      </c>
      <c r="K27" s="12" t="n">
        <v>27277</v>
      </c>
      <c r="L27" s="12" t="n">
        <v>46267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30865</v>
      </c>
      <c r="D31" s="12" t="n">
        <v>31246</v>
      </c>
      <c r="E31" s="12" t="n">
        <v>31757</v>
      </c>
      <c r="F31" s="12" t="n">
        <v>31765</v>
      </c>
      <c r="G31" s="12" t="n">
        <v>32193</v>
      </c>
      <c r="H31" s="11" t="n">
        <v>30205</v>
      </c>
      <c r="I31" s="12" t="n">
        <v>30251</v>
      </c>
      <c r="J31" s="12" t="n">
        <v>30671</v>
      </c>
      <c r="K31" s="12" t="n">
        <v>30644</v>
      </c>
      <c r="L31" s="12" t="n">
        <v>31765</v>
      </c>
    </row>
    <row r="32">
      <c r="A32" s="18" t="inlineStr">
        <is>
          <t>자본금</t>
        </is>
      </c>
      <c r="B32" s="10" t="n"/>
      <c r="C32" s="19" t="n">
        <v>4628</v>
      </c>
      <c r="D32" s="20" t="n">
        <v>4628</v>
      </c>
      <c r="E32" s="20" t="n">
        <v>4628</v>
      </c>
      <c r="F32" s="20" t="n">
        <v>4628</v>
      </c>
      <c r="G32" s="20" t="n">
        <v>4628</v>
      </c>
      <c r="H32" s="19" t="n">
        <v>4628</v>
      </c>
      <c r="I32" s="20" t="n">
        <v>4628</v>
      </c>
      <c r="J32" s="20" t="n">
        <v>4628</v>
      </c>
      <c r="K32" s="20" t="n">
        <v>4628</v>
      </c>
      <c r="L32" s="20" t="n">
        <v>4628</v>
      </c>
    </row>
    <row r="33">
      <c r="A33" s="18" t="inlineStr">
        <is>
          <t>이익잉여금</t>
        </is>
      </c>
      <c r="B33" s="10" t="n"/>
      <c r="C33" s="19" t="n">
        <v>25361</v>
      </c>
      <c r="D33" s="20" t="n">
        <v>25642</v>
      </c>
      <c r="E33" s="20" t="n">
        <v>26048</v>
      </c>
      <c r="F33" s="20" t="n">
        <v>25898</v>
      </c>
      <c r="G33" s="20" t="n">
        <v>26396</v>
      </c>
      <c r="H33" s="19" t="n">
        <v>25317</v>
      </c>
      <c r="I33" s="20" t="n">
        <v>25274</v>
      </c>
      <c r="J33" s="20" t="n">
        <v>25194</v>
      </c>
      <c r="K33" s="20" t="n">
        <v>25170</v>
      </c>
      <c r="L33" s="20" t="n">
        <v>25898</v>
      </c>
    </row>
    <row r="34">
      <c r="A34" s="18" t="inlineStr">
        <is>
          <t>비지배지분</t>
        </is>
      </c>
      <c r="B34" s="10" t="n"/>
      <c r="C34" s="19" t="n">
        <v>290</v>
      </c>
      <c r="D34" s="20" t="n">
        <v>492</v>
      </c>
      <c r="E34" s="20" t="n">
        <v>494</v>
      </c>
      <c r="F34" s="20" t="n">
        <v>491</v>
      </c>
      <c r="G34" s="20" t="n">
        <v>509</v>
      </c>
      <c r="H34" s="19" t="n">
        <v>276</v>
      </c>
      <c r="I34" s="20" t="n">
        <v>279</v>
      </c>
      <c r="J34" s="20" t="n">
        <v>300</v>
      </c>
      <c r="K34" s="20" t="n">
        <v>314</v>
      </c>
      <c r="L34" s="20" t="n">
        <v>491</v>
      </c>
    </row>
    <row r="35">
      <c r="A35" s="9" t="inlineStr">
        <is>
          <t>자본총계</t>
        </is>
      </c>
      <c r="B35" s="10" t="n"/>
      <c r="C35" s="11" t="n">
        <v>31155</v>
      </c>
      <c r="D35" s="12" t="n">
        <v>31738</v>
      </c>
      <c r="E35" s="12" t="n">
        <v>32251</v>
      </c>
      <c r="F35" s="12" t="n">
        <v>32256</v>
      </c>
      <c r="G35" s="12" t="n">
        <v>32702</v>
      </c>
      <c r="H35" s="11" t="n">
        <v>30481</v>
      </c>
      <c r="I35" s="12" t="n">
        <v>30530</v>
      </c>
      <c r="J35" s="12" t="n">
        <v>30971</v>
      </c>
      <c r="K35" s="12" t="n">
        <v>30958</v>
      </c>
      <c r="L35" s="12" t="n">
        <v>32256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/>
      <c r="F37" s="12" t="n">
        <v>-3380</v>
      </c>
      <c r="G37" s="12" t="n"/>
      <c r="H37" s="11" t="n">
        <v>861</v>
      </c>
      <c r="I37" s="12" t="n">
        <v>-3095</v>
      </c>
      <c r="J37" s="12" t="n">
        <v>481</v>
      </c>
      <c r="K37" s="12" t="n">
        <v>-1353</v>
      </c>
      <c r="L37" s="12" t="n">
        <v>-3380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/>
      <c r="E38" s="20" t="n"/>
      <c r="F38" s="20" t="n">
        <v>1740</v>
      </c>
      <c r="G38" s="20" t="n"/>
      <c r="H38" s="19" t="n">
        <v>929</v>
      </c>
      <c r="I38" s="20" t="n">
        <v>1041</v>
      </c>
      <c r="J38" s="20" t="n">
        <v>1165</v>
      </c>
      <c r="K38" s="20" t="n">
        <v>1050</v>
      </c>
      <c r="L38" s="20" t="n">
        <v>1740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/>
      <c r="E40" s="20" t="n"/>
      <c r="F40" s="20" t="n">
        <v>260</v>
      </c>
      <c r="G40" s="20" t="n"/>
      <c r="H40" s="19" t="n">
        <v>216</v>
      </c>
      <c r="I40" s="20" t="n">
        <v>217</v>
      </c>
      <c r="J40" s="20" t="n">
        <v>260</v>
      </c>
      <c r="K40" s="20" t="n">
        <v>238</v>
      </c>
      <c r="L40" s="20" t="n">
        <v>260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IFERROR((IF(COUNT('연간'!G25:J25)&lt;4,"",SUM('연간'!G25:J25)))/(IF(COUNT('연간'!G47:J47)&lt;4,"",SUM('연간'!G47:J47))),"")</f>
        <v/>
      </c>
      <c r="D48" s="31">
        <f>IFERROR((IF(COUNT('연간'!H25:K25)&lt;4,"",SUM('연간'!H25:K25)))/(IF(COUNT('연간'!H47:K47)&lt;4,"",SUM('연간'!H47:K47))),"")</f>
        <v/>
      </c>
      <c r="E48" s="31">
        <f>IFERROR((IF(COUNT('연간'!I25:L25)&lt;4,"",SUM('연간'!I25:L25)))/(IF(COUNT('연간'!I47:L47)&lt;4,"",SUM('연간'!I47:L47))),"")</f>
        <v/>
      </c>
      <c r="F48" s="31">
        <f>IFERROR((IF(COUNT('연간'!J25:M25)&lt;4,"",SUM('연간'!J25:M25)))/(IF(COUNT('연간'!J47:M47)&lt;4,"",SUM('연간'!J47:M47))),"")</f>
        <v/>
      </c>
      <c r="G48" s="31">
        <f>IFERROR((IF(COUNT('연간'!K25:N25)&lt;4,"",SUM('연간'!K25:N25)))/(IF(COUNT('연간'!K47:N47)&lt;4,"",SUM('연간'!K47:N47))),"")</f>
        <v/>
      </c>
      <c r="H48" s="30">
        <f>IFERROR(('연간'!T25)/('연간'!T47),"")</f>
        <v/>
      </c>
      <c r="I48" s="31">
        <f>IFERROR(('연간'!U25)/('연간'!U47),"")</f>
        <v/>
      </c>
      <c r="J48" s="31">
        <f>IFERROR(('연간'!V25)/('연간'!V47),"")</f>
        <v/>
      </c>
      <c r="K48" s="31">
        <f>IFERROR(('연간'!W25)/('연간'!W47),"")</f>
        <v/>
      </c>
      <c r="L48" s="31">
        <f>IFERROR(('연간'!X25)/('연간'!X47),"")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IFERROR(IF((IF(COUNT('연간'!G53:J53)&lt;4,"",SUM('연간'!G53:J53)))&lt;=0,"적자",C28/(IF(COUNT('연간'!G53:J53)&lt;4,"",SUM('연간'!G53:J53)))),"")</f>
        <v/>
      </c>
      <c r="D49" s="47">
        <f>IFERROR(IF((IF(COUNT('연간'!H53:K53)&lt;4,"",SUM('연간'!H53:K53)))&lt;=0,"적자",D28/(IF(COUNT('연간'!H53:K53)&lt;4,"",SUM('연간'!H53:K53)))),"")</f>
        <v/>
      </c>
      <c r="E49" s="47">
        <f>IFERROR(IF((IF(COUNT('연간'!I53:L53)&lt;4,"",SUM('연간'!I53:L53)))&lt;=0,"적자",E28/(IF(COUNT('연간'!I53:L53)&lt;4,"",SUM('연간'!I53:L53)))),"")</f>
        <v/>
      </c>
      <c r="F49" s="47">
        <f>IFERROR(IF((IF(COUNT('연간'!J53:M53)&lt;4,"",SUM('연간'!J53:M53)))&lt;=0,"적자",F28/(IF(COUNT('연간'!J53:M53)&lt;4,"",SUM('연간'!J53:M53)))),"")</f>
        <v/>
      </c>
      <c r="G49" s="47">
        <f>IFERROR(IF((IF(COUNT('연간'!K53:N53)&lt;4,"",SUM('연간'!K53:N53)))&lt;=0,"적자",G28/(IF(COUNT('연간'!K53:N53)&lt;4,"",SUM('연간'!K53:N53)))),"")</f>
        <v/>
      </c>
      <c r="H49" s="46">
        <f>IFERROR(IF(('연간'!T53)&lt;=0,"적자",H28/('연간'!T53)),"")</f>
        <v/>
      </c>
      <c r="I49" s="47">
        <f>IFERROR(IF(('연간'!U53)&lt;=0,"적자",I28/('연간'!U53)),"")</f>
        <v/>
      </c>
      <c r="J49" s="47">
        <f>IFERROR(IF(('연간'!V53)&lt;=0,"적자",J28/('연간'!V53)),"")</f>
        <v/>
      </c>
      <c r="K49" s="47">
        <f>IFERROR(IF(('연간'!W53)&lt;=0,"적자",K28/('연간'!W53)),"")</f>
        <v/>
      </c>
      <c r="L49" s="47">
        <f>IFERROR(IF(('연간'!X53)&lt;=0,"적자",L28/('연간'!X53)),"")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IFERROR((IF(COUNT('연간'!G53:J53)&lt;4,"",SUM('연간'!G53:J53)))/C31,"")</f>
        <v/>
      </c>
      <c r="D51" s="36">
        <f>IFERROR((IF(COUNT('연간'!H53:K53)&lt;4,"",SUM('연간'!H53:K53)))/D31,"")</f>
        <v/>
      </c>
      <c r="E51" s="36">
        <f>IFERROR((IF(COUNT('연간'!I53:L53)&lt;4,"",SUM('연간'!I53:L53)))/E31,"")</f>
        <v/>
      </c>
      <c r="F51" s="36">
        <f>IFERROR((IF(COUNT('연간'!J53:M53)&lt;4,"",SUM('연간'!J53:M53)))/F31,"")</f>
        <v/>
      </c>
      <c r="G51" s="36">
        <f>IFERROR((IF(COUNT('연간'!K53:N53)&lt;4,"",SUM('연간'!K53:N53)))/G31,"")</f>
        <v/>
      </c>
      <c r="H51" s="35">
        <f>IFERROR(('연간'!T53)/H31,"")</f>
        <v/>
      </c>
      <c r="I51" s="36">
        <f>IFERROR(('연간'!U53)/I31,"")</f>
        <v/>
      </c>
      <c r="J51" s="36">
        <f>IFERROR(('연간'!V53)/J31,"")</f>
        <v/>
      </c>
      <c r="K51" s="36">
        <f>IFERROR(('연간'!W53)/K31,"")</f>
        <v/>
      </c>
      <c r="L51" s="36">
        <f>IFERROR(('연간'!X53)/L31,"")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IFERROR((IF(COUNT('연간'!G52:J52)&lt;4,"",SUM('연간'!G52:J52)))/C16,"")</f>
        <v/>
      </c>
      <c r="D52" s="36">
        <f>IFERROR((IF(COUNT('연간'!H52:K52)&lt;4,"",SUM('연간'!H52:K52)))/D16,"")</f>
        <v/>
      </c>
      <c r="E52" s="36">
        <f>IFERROR((IF(COUNT('연간'!I52:L52)&lt;4,"",SUM('연간'!I52:L52)))/E16,"")</f>
        <v/>
      </c>
      <c r="F52" s="36">
        <f>IFERROR((IF(COUNT('연간'!J52:M52)&lt;4,"",SUM('연간'!J52:M52)))/F16,"")</f>
        <v/>
      </c>
      <c r="G52" s="36">
        <f>IFERROR((IF(COUNT('연간'!K52:N52)&lt;4,"",SUM('연간'!K52:N52)))/G16,"")</f>
        <v/>
      </c>
      <c r="H52" s="35">
        <f>IFERROR(('연간'!T52)/H16,"")</f>
        <v/>
      </c>
      <c r="I52" s="36">
        <f>IFERROR(('연간'!U52)/I16,"")</f>
        <v/>
      </c>
      <c r="J52" s="36">
        <f>IFERROR(('연간'!V52)/J16,"")</f>
        <v/>
      </c>
      <c r="K52" s="36">
        <f>IFERROR(('연간'!W52)/K16,"")</f>
        <v/>
      </c>
      <c r="L52" s="36">
        <f>IFERROR(('연간'!X52)/L16,"")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IFERROR((IF(COUNT('연간'!G25:J25)&lt;4,"",SUM('연간'!G25:J25)))*(1-0.3)/(C35+C29),"")</f>
        <v/>
      </c>
      <c r="D53" s="36">
        <f>IFERROR((IF(COUNT('연간'!H25:K25)&lt;4,"",SUM('연간'!H25:K25)))*(1-0.3)/(D35+D29),"")</f>
        <v/>
      </c>
      <c r="E53" s="36">
        <f>IFERROR((IF(COUNT('연간'!I25:L25)&lt;4,"",SUM('연간'!I25:L25)))*(1-0.3)/(E35+E29),"")</f>
        <v/>
      </c>
      <c r="F53" s="36">
        <f>IFERROR((IF(COUNT('연간'!J25:M25)&lt;4,"",SUM('연간'!J25:M25)))*(1-0.3)/(F35+F29),"")</f>
        <v/>
      </c>
      <c r="G53" s="36">
        <f>IFERROR((IF(COUNT('연간'!K25:N25)&lt;4,"",SUM('연간'!K25:N25)))*(1-0.3)/(G35+G29),"")</f>
        <v/>
      </c>
      <c r="H53" s="35">
        <f>IFERROR(('연간'!T25)*(1-0.3)/(H35+H29),"")</f>
        <v/>
      </c>
      <c r="I53" s="36">
        <f>IFERROR(('연간'!U25)*(1-0.3)/(I35+I29),"")</f>
        <v/>
      </c>
      <c r="J53" s="36">
        <f>IFERROR(('연간'!V25)*(1-0.3)/(J35+J29),"")</f>
        <v/>
      </c>
      <c r="K53" s="36">
        <f>IFERROR(('연간'!W25)*(1-0.3)/(K35+K29),"")</f>
        <v/>
      </c>
      <c r="L53" s="36">
        <f>IFERROR(('연간'!X25)*(1-0.3)/(L35+L29),"")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IFERROR((IF(COUNT('연간'!G21:J21)&lt;4,"",SUM('연간'!G21:J21)))/(IF(COUNT('연간'!G4:J4)&lt;4,"",SUM('연간'!G4:J4))),"")</f>
        <v/>
      </c>
      <c r="D54" s="36">
        <f>IFERROR((IF(COUNT('연간'!H21:K21)&lt;4,"",SUM('연간'!H21:K21)))/(IF(COUNT('연간'!H4:K4)&lt;4,"",SUM('연간'!H4:K4))),"")</f>
        <v/>
      </c>
      <c r="E54" s="36">
        <f>IFERROR((IF(COUNT('연간'!I21:L21)&lt;4,"",SUM('연간'!I21:L21)))/(IF(COUNT('연간'!I4:L4)&lt;4,"",SUM('연간'!I4:L4))),"")</f>
        <v/>
      </c>
      <c r="F54" s="36">
        <f>IFERROR((IF(COUNT('연간'!J21:M21)&lt;4,"",SUM('연간'!J21:M21)))/(IF(COUNT('연간'!J4:M4)&lt;4,"",SUM('연간'!J4:M4))),"")</f>
        <v/>
      </c>
      <c r="G54" s="36">
        <f>IFERROR((IF(COUNT('연간'!K21:N21)&lt;4,"",SUM('연간'!K21:N21)))/(IF(COUNT('연간'!K4:N4)&lt;4,"",SUM('연간'!K4:N4))),"")</f>
        <v/>
      </c>
      <c r="H54" s="35">
        <f>IFERROR(('연간'!T21)/('연간'!T4),"")</f>
        <v/>
      </c>
      <c r="I54" s="36">
        <f>IFERROR(('연간'!U21)/('연간'!U4),"")</f>
        <v/>
      </c>
      <c r="J54" s="36">
        <f>IFERROR(('연간'!V21)/('연간'!V4),"")</f>
        <v/>
      </c>
      <c r="K54" s="36">
        <f>IFERROR(('연간'!W21)/('연간'!W4),"")</f>
        <v/>
      </c>
      <c r="L54" s="36">
        <f>IFERROR(('연간'!X21)/('연간'!X4),"")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IFERROR((IF(COUNT('연간'!G25:J25)&lt;4,"",SUM('연간'!G25:J25)))/(IF(COUNT('연간'!G4:J4)&lt;4,"",SUM('연간'!G4:J4))),"")</f>
        <v/>
      </c>
      <c r="D55" s="36">
        <f>IFERROR((IF(COUNT('연간'!H25:K25)&lt;4,"",SUM('연간'!H25:K25)))/(IF(COUNT('연간'!H4:K4)&lt;4,"",SUM('연간'!H4:K4))),"")</f>
        <v/>
      </c>
      <c r="E55" s="36">
        <f>IFERROR((IF(COUNT('연간'!I25:L25)&lt;4,"",SUM('연간'!I25:L25)))/(IF(COUNT('연간'!I4:L4)&lt;4,"",SUM('연간'!I4:L4))),"")</f>
        <v/>
      </c>
      <c r="F55" s="36">
        <f>IFERROR((IF(COUNT('연간'!J25:M25)&lt;4,"",SUM('연간'!J25:M25)))/(IF(COUNT('연간'!J4:M4)&lt;4,"",SUM('연간'!J4:M4))),"")</f>
        <v/>
      </c>
      <c r="G55" s="36">
        <f>IFERROR((IF(COUNT('연간'!K25:N25)&lt;4,"",SUM('연간'!K25:N25)))/(IF(COUNT('연간'!K4:N4)&lt;4,"",SUM('연간'!K4:N4))),"")</f>
        <v/>
      </c>
      <c r="H55" s="35">
        <f>IFERROR(('연간'!T25)/('연간'!T4),"")</f>
        <v/>
      </c>
      <c r="I55" s="36">
        <f>IFERROR(('연간'!U25)/('연간'!U4),"")</f>
        <v/>
      </c>
      <c r="J55" s="36">
        <f>IFERROR(('연간'!V25)/('연간'!V4),"")</f>
        <v/>
      </c>
      <c r="K55" s="36">
        <f>IFERROR(('연간'!W25)/('연간'!W4),"")</f>
        <v/>
      </c>
      <c r="L55" s="36">
        <f>IFERROR(('연간'!X25)/('연간'!X4),"")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IFERROR((IF(COUNT('연간'!G52:J52)&lt;4,"",SUM('연간'!G52:J52)))/(IF(COUNT('연간'!G4:J4)&lt;4,"",SUM('연간'!G4:J4))),"")</f>
        <v/>
      </c>
      <c r="D56" s="36">
        <f>IFERROR((IF(COUNT('연간'!H52:K52)&lt;4,"",SUM('연간'!H52:K52)))/(IF(COUNT('연간'!H4:K4)&lt;4,"",SUM('연간'!H4:K4))),"")</f>
        <v/>
      </c>
      <c r="E56" s="36">
        <f>IFERROR((IF(COUNT('연간'!I52:L52)&lt;4,"",SUM('연간'!I52:L52)))/(IF(COUNT('연간'!I4:L4)&lt;4,"",SUM('연간'!I4:L4))),"")</f>
        <v/>
      </c>
      <c r="F56" s="36">
        <f>IFERROR((IF(COUNT('연간'!J52:M52)&lt;4,"",SUM('연간'!J52:M52)))/(IF(COUNT('연간'!J4:M4)&lt;4,"",SUM('연간'!J4:M4))),"")</f>
        <v/>
      </c>
      <c r="G56" s="36">
        <f>IFERROR((IF(COUNT('연간'!K52:N52)&lt;4,"",SUM('연간'!K52:N52)))/(IF(COUNT('연간'!K4:N4)&lt;4,"",SUM('연간'!K4:N4))),"")</f>
        <v/>
      </c>
      <c r="H56" s="35">
        <f>IFERROR(('연간'!T52)/('연간'!T4),"")</f>
        <v/>
      </c>
      <c r="I56" s="36">
        <f>IFERROR(('연간'!U52)/('연간'!U4),"")</f>
        <v/>
      </c>
      <c r="J56" s="36">
        <f>IFERROR(('연간'!V52)/('연간'!V4),"")</f>
        <v/>
      </c>
      <c r="K56" s="36">
        <f>IFERROR(('연간'!W52)/('연간'!W4),"")</f>
        <v/>
      </c>
      <c r="L56" s="36">
        <f>IFERROR(('연간'!X52)/('연간'!X4),"")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IFERROR(C9/(IF(COUNT('연간'!G20:J20)&lt;4,"",SUM('연간'!G20:J20)))*365,"")</f>
        <v/>
      </c>
      <c r="D60" s="49">
        <f>IFERROR(D9/(IF(COUNT('연간'!H20:K20)&lt;4,"",SUM('연간'!H20:K20)))*365,"")</f>
        <v/>
      </c>
      <c r="E60" s="49">
        <f>IFERROR(E9/(IF(COUNT('연간'!I20:L20)&lt;4,"",SUM('연간'!I20:L20)))*365,"")</f>
        <v/>
      </c>
      <c r="F60" s="49">
        <f>IFERROR(F9/(IF(COUNT('연간'!J20:M20)&lt;4,"",SUM('연간'!J20:M20)))*365,"")</f>
        <v/>
      </c>
      <c r="G60" s="49">
        <f>IFERROR(G9/(IF(COUNT('연간'!K20:N20)&lt;4,"",SUM('연간'!K20:N20)))*365,"")</f>
        <v/>
      </c>
      <c r="H60" s="48">
        <f>IFERROR(H9/('연간'!T20)*365,"")</f>
        <v/>
      </c>
      <c r="I60" s="49">
        <f>IFERROR(I9/('연간'!U20)*365,"")</f>
        <v/>
      </c>
      <c r="J60" s="49">
        <f>IFERROR(J9/('연간'!V20)*365,"")</f>
        <v/>
      </c>
      <c r="K60" s="49">
        <f>IFERROR(K9/('연간'!W20)*365,"")</f>
        <v/>
      </c>
      <c r="L60" s="49">
        <f>IFERROR(L9/('연간'!X20)*365,"")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IFERROR(C19/(IF(COUNT('연간'!G20:J20)&lt;4,"",SUM('연간'!G20:J20)))*365,"")</f>
        <v/>
      </c>
      <c r="D61" s="49">
        <f>IFERROR(D19/(IF(COUNT('연간'!H20:K20)&lt;4,"",SUM('연간'!H20:K20)))*365,"")</f>
        <v/>
      </c>
      <c r="E61" s="49">
        <f>IFERROR(E19/(IF(COUNT('연간'!I20:L20)&lt;4,"",SUM('연간'!I20:L20)))*365,"")</f>
        <v/>
      </c>
      <c r="F61" s="49">
        <f>IFERROR(F19/(IF(COUNT('연간'!J20:M20)&lt;4,"",SUM('연간'!J20:M20)))*365,"")</f>
        <v/>
      </c>
      <c r="G61" s="49">
        <f>IFERROR(G19/(IF(COUNT('연간'!K20:N20)&lt;4,"",SUM('연간'!K20:N20)))*365,"")</f>
        <v/>
      </c>
      <c r="H61" s="48">
        <f>IFERROR(H19/('연간'!T20)*365,"")</f>
        <v/>
      </c>
      <c r="I61" s="49">
        <f>IFERROR(I19/('연간'!U20)*365,"")</f>
        <v/>
      </c>
      <c r="J61" s="49">
        <f>IFERROR(J19/('연간'!V20)*365,"")</f>
        <v/>
      </c>
      <c r="K61" s="49">
        <f>IFERROR(K19/('연간'!W20)*365,"")</f>
        <v/>
      </c>
      <c r="L61" s="49">
        <f>IFERROR(L19/('연간'!X20)*365,"")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IF(C37="","",IFERROR(C37/(IF(COUNT('연간'!G52:J52)&lt;4,"",SUM('연간'!G52:J52))),""))</f>
        <v/>
      </c>
      <c r="D64" s="31">
        <f>IF(D37="","",IFERROR(D37/(IF(COUNT('연간'!H52:K52)&lt;4,"",SUM('연간'!H52:K52))),""))</f>
        <v/>
      </c>
      <c r="E64" s="31">
        <f>IF(E37="","",IFERROR(E37/(IF(COUNT('연간'!I52:L52)&lt;4,"",SUM('연간'!I52:L52))),""))</f>
        <v/>
      </c>
      <c r="F64" s="31">
        <f>IF(F37="","",IFERROR(F37/(IF(COUNT('연간'!J52:M52)&lt;4,"",SUM('연간'!J52:M52))),""))</f>
        <v/>
      </c>
      <c r="G64" s="31">
        <f>IF(G37="","",IFERROR(G37/(IF(COUNT('연간'!K52:N52)&lt;4,"",SUM('연간'!K52:N52))),""))</f>
        <v/>
      </c>
      <c r="H64" s="30">
        <f>IF(H37="","",IFERROR(H37/('연간'!T52),""))</f>
        <v/>
      </c>
      <c r="I64" s="31">
        <f>IF(I37="","",IFERROR(I37/('연간'!U52),""))</f>
        <v/>
      </c>
      <c r="J64" s="31">
        <f>IF(J37="","",IFERROR(J37/('연간'!V52),""))</f>
        <v/>
      </c>
      <c r="K64" s="31">
        <f>IF(K37="","",IFERROR(K37/('연간'!W52),""))</f>
        <v/>
      </c>
      <c r="L64" s="31">
        <f>IF(L37="","",IFERROR(L37/('연간'!X52),""))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IF(C40="","",IFERROR(C40/(IF(COUNT('연간'!G53:J53)&lt;4,"",SUM('연간'!G53:J53))),""))</f>
        <v/>
      </c>
      <c r="D67" s="36">
        <f>IF(D40="","",IFERROR(D40/(IF(COUNT('연간'!H53:K53)&lt;4,"",SUM('연간'!H53:K53))),""))</f>
        <v/>
      </c>
      <c r="E67" s="36">
        <f>IF(E40="","",IFERROR(E40/(IF(COUNT('연간'!I53:L53)&lt;4,"",SUM('연간'!I53:L53))),""))</f>
        <v/>
      </c>
      <c r="F67" s="36">
        <f>IF(F40="","",IFERROR(F40/(IF(COUNT('연간'!J53:M53)&lt;4,"",SUM('연간'!J53:M53))),""))</f>
        <v/>
      </c>
      <c r="G67" s="36">
        <f>IF(G40="","",IFERROR(G40/(IF(COUNT('연간'!K53:N53)&lt;4,"",SUM('연간'!K53:N53))),""))</f>
        <v/>
      </c>
      <c r="H67" s="35">
        <f>IF(H40="","",IFERROR(H40/('연간'!T53),""))</f>
        <v/>
      </c>
      <c r="I67" s="36">
        <f>IF(I40="","",IFERROR(I40/('연간'!U53),""))</f>
        <v/>
      </c>
      <c r="J67" s="36">
        <f>IF(J40="","",IFERROR(J40/('연간'!V53),""))</f>
        <v/>
      </c>
      <c r="K67" s="36">
        <f>IF(K40="","",IFERROR(K40/('연간'!W53),""))</f>
        <v/>
      </c>
      <c r="L67" s="36">
        <f>IF(L40="","",IFERROR(L40/('연간'!X53),""))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7127</v>
      </c>
      <c r="D71" s="20" t="n">
        <v>6372</v>
      </c>
      <c r="E71" s="20" t="n">
        <v>5116</v>
      </c>
      <c r="F71" s="20" t="n">
        <v>5279</v>
      </c>
      <c r="G71" s="20" t="n">
        <v>6467</v>
      </c>
      <c r="H71" s="20" t="n">
        <v>5443</v>
      </c>
      <c r="I71" s="20" t="n">
        <v>4120</v>
      </c>
      <c r="J71" s="20" t="n">
        <v>4667</v>
      </c>
      <c r="K71" s="20" t="n">
        <v>5080</v>
      </c>
      <c r="L71" s="20" t="n">
        <v>5279</v>
      </c>
    </row>
    <row r="72">
      <c r="A72" s="18" t="inlineStr">
        <is>
          <t>받을어음</t>
        </is>
      </c>
      <c r="F72" s="20" t="n">
        <v>428</v>
      </c>
      <c r="H72" s="20" t="n">
        <v>46</v>
      </c>
      <c r="I72" s="20" t="n">
        <v>47</v>
      </c>
      <c r="J72" s="20" t="n">
        <v>126</v>
      </c>
      <c r="K72" s="20" t="n">
        <v>226</v>
      </c>
      <c r="L72" s="20" t="n">
        <v>428</v>
      </c>
    </row>
    <row r="73">
      <c r="A73" s="18" t="inlineStr">
        <is>
          <t>매출채권</t>
        </is>
      </c>
      <c r="F73" s="20" t="n">
        <v>22569</v>
      </c>
      <c r="H73" s="20" t="n">
        <v>11578</v>
      </c>
      <c r="I73" s="20" t="n">
        <v>14056</v>
      </c>
      <c r="J73" s="20" t="n">
        <v>15567</v>
      </c>
      <c r="K73" s="20" t="n">
        <v>16115</v>
      </c>
      <c r="L73" s="20" t="n">
        <v>22569</v>
      </c>
    </row>
    <row r="74">
      <c r="A74" s="18" t="inlineStr">
        <is>
          <t>받을어음·매출채권</t>
        </is>
      </c>
      <c r="C74" s="20" t="n">
        <v>17794</v>
      </c>
      <c r="D74" s="20" t="n">
        <v>20953</v>
      </c>
      <c r="E74" s="20" t="n">
        <v>25842</v>
      </c>
      <c r="F74" s="20" t="n">
        <v>22998</v>
      </c>
      <c r="G74" s="20" t="n">
        <v>20863</v>
      </c>
      <c r="H74" s="20" t="n">
        <v>11625</v>
      </c>
      <c r="I74" s="20" t="n">
        <v>14103</v>
      </c>
      <c r="J74" s="20" t="n">
        <v>15694</v>
      </c>
      <c r="K74" s="20" t="n">
        <v>16341</v>
      </c>
      <c r="L74" s="20" t="n">
        <v>22998</v>
      </c>
    </row>
    <row r="75">
      <c r="A75" s="18" t="inlineStr">
        <is>
          <t>상품·제품</t>
        </is>
      </c>
      <c r="C75" s="20" t="n">
        <v>4843</v>
      </c>
      <c r="D75" s="20" t="n">
        <v>4796</v>
      </c>
      <c r="E75" s="20" t="n">
        <v>4316</v>
      </c>
      <c r="F75" s="20" t="n">
        <v>4957</v>
      </c>
      <c r="G75" s="20" t="n">
        <v>5739</v>
      </c>
      <c r="H75" s="20" t="n">
        <v>2474</v>
      </c>
      <c r="I75" s="20" t="n">
        <v>3437</v>
      </c>
      <c r="J75" s="20" t="n">
        <v>3204</v>
      </c>
      <c r="K75" s="20" t="n">
        <v>4259</v>
      </c>
      <c r="L75" s="20" t="n">
        <v>4957</v>
      </c>
    </row>
    <row r="76">
      <c r="A76" s="18" t="inlineStr">
        <is>
          <t>재공품</t>
        </is>
      </c>
      <c r="C76" s="20" t="n">
        <v>420</v>
      </c>
      <c r="D76" s="20" t="n">
        <v>368</v>
      </c>
      <c r="E76" s="20" t="n">
        <v>464</v>
      </c>
      <c r="F76" s="20" t="n">
        <v>504</v>
      </c>
      <c r="G76" s="20" t="n">
        <v>595</v>
      </c>
      <c r="H76" s="20" t="n">
        <v>194</v>
      </c>
      <c r="I76" s="20" t="n">
        <v>261</v>
      </c>
      <c r="J76" s="20" t="n">
        <v>265</v>
      </c>
      <c r="K76" s="20" t="n">
        <v>371</v>
      </c>
      <c r="L76" s="20" t="n">
        <v>504</v>
      </c>
    </row>
    <row r="77">
      <c r="A77" s="18" t="inlineStr">
        <is>
          <t>원재료·저장품</t>
        </is>
      </c>
      <c r="C77" s="20" t="n">
        <v>13401</v>
      </c>
      <c r="D77" s="20" t="n">
        <v>11946</v>
      </c>
      <c r="E77" s="20" t="n">
        <v>16960</v>
      </c>
      <c r="F77" s="20" t="n">
        <v>17167</v>
      </c>
      <c r="G77" s="20" t="n">
        <v>18165</v>
      </c>
      <c r="H77" s="20" t="n">
        <v>5976</v>
      </c>
      <c r="I77" s="20" t="n">
        <v>11274</v>
      </c>
      <c r="J77" s="20" t="n">
        <v>11942</v>
      </c>
      <c r="K77" s="20" t="n">
        <v>12389</v>
      </c>
      <c r="L77" s="20" t="n">
        <v>17167</v>
      </c>
    </row>
    <row r="78">
      <c r="A78" s="18" t="inlineStr">
        <is>
          <t>기타</t>
        </is>
      </c>
      <c r="C78" s="20" t="n">
        <v>1114</v>
      </c>
      <c r="D78" s="20" t="n">
        <v>1006</v>
      </c>
      <c r="E78" s="20" t="n">
        <v>1364</v>
      </c>
      <c r="F78" s="20" t="n">
        <v>1496</v>
      </c>
      <c r="G78" s="20" t="n">
        <v>1429</v>
      </c>
      <c r="H78" s="20" t="n">
        <v>758</v>
      </c>
      <c r="I78" s="20" t="n">
        <v>1401</v>
      </c>
      <c r="J78" s="20" t="n">
        <v>800</v>
      </c>
      <c r="K78" s="20" t="n">
        <v>1145</v>
      </c>
      <c r="L78" s="20" t="n">
        <v>1496</v>
      </c>
    </row>
    <row r="79">
      <c r="A79" s="18" t="inlineStr">
        <is>
          <t>대손충당금</t>
        </is>
      </c>
      <c r="C79" s="20" t="n">
        <v>-126</v>
      </c>
      <c r="D79" s="20" t="n">
        <v>-133</v>
      </c>
      <c r="E79" s="20" t="n">
        <v>-141</v>
      </c>
      <c r="F79" s="20" t="n">
        <v>-147</v>
      </c>
      <c r="G79" s="20" t="n">
        <v>-154</v>
      </c>
      <c r="H79" s="20" t="n">
        <v>-79</v>
      </c>
      <c r="I79" s="20" t="n">
        <v>-95</v>
      </c>
      <c r="J79" s="20" t="n">
        <v>-102</v>
      </c>
      <c r="K79" s="20" t="n">
        <v>-121</v>
      </c>
      <c r="L79" s="20" t="n">
        <v>-147</v>
      </c>
    </row>
    <row r="80">
      <c r="A80" s="9" t="inlineStr">
        <is>
          <t>유동자산 합계</t>
        </is>
      </c>
      <c r="C80" s="12" t="n">
        <v>44575</v>
      </c>
      <c r="D80" s="12" t="n">
        <v>45311</v>
      </c>
      <c r="E80" s="12" t="n">
        <v>53922</v>
      </c>
      <c r="F80" s="12" t="n">
        <v>52255</v>
      </c>
      <c r="G80" s="12" t="n">
        <v>53106</v>
      </c>
      <c r="H80" s="12" t="n">
        <v>26393</v>
      </c>
      <c r="I80" s="12" t="n">
        <v>34503</v>
      </c>
      <c r="J80" s="12" t="n">
        <v>36473</v>
      </c>
      <c r="K80" s="12" t="n">
        <v>39467</v>
      </c>
      <c r="L80" s="12" t="n">
        <v>52255</v>
      </c>
    </row>
    <row r="81">
      <c r="A81" s="18" t="inlineStr">
        <is>
          <t>건물·구축물</t>
        </is>
      </c>
      <c r="F81" s="20" t="n">
        <v>17362</v>
      </c>
      <c r="H81" s="20" t="n">
        <v>15883</v>
      </c>
      <c r="I81" s="20" t="n">
        <v>15922</v>
      </c>
      <c r="J81" s="20" t="n">
        <v>15789</v>
      </c>
      <c r="K81" s="20" t="n">
        <v>15850</v>
      </c>
      <c r="L81" s="20" t="n">
        <v>17362</v>
      </c>
    </row>
    <row r="82">
      <c r="A82" s="18" t="inlineStr">
        <is>
          <t>감가상각누계액</t>
        </is>
      </c>
      <c r="F82" s="20" t="n">
        <v>-13074</v>
      </c>
      <c r="H82" s="20" t="n">
        <v>-11783</v>
      </c>
      <c r="I82" s="20" t="n">
        <v>-11898</v>
      </c>
      <c r="J82" s="20" t="n">
        <v>-11895</v>
      </c>
      <c r="K82" s="20" t="n">
        <v>-12094</v>
      </c>
      <c r="L82" s="20" t="n">
        <v>-13074</v>
      </c>
    </row>
    <row r="83">
      <c r="A83" s="18" t="inlineStr">
        <is>
          <t>건물·구축물(순액)</t>
        </is>
      </c>
      <c r="C83" s="20" t="n">
        <v>3704</v>
      </c>
      <c r="D83" s="20" t="n">
        <v>4404</v>
      </c>
      <c r="E83" s="20" t="n">
        <v>4360</v>
      </c>
      <c r="F83" s="20" t="n">
        <v>4287</v>
      </c>
      <c r="G83" s="20" t="n">
        <v>4245</v>
      </c>
      <c r="H83" s="20" t="n">
        <v>4099</v>
      </c>
      <c r="I83" s="20" t="n">
        <v>4024</v>
      </c>
      <c r="J83" s="20" t="n">
        <v>3893</v>
      </c>
      <c r="K83" s="20" t="n">
        <v>3755</v>
      </c>
      <c r="L83" s="20" t="n">
        <v>4287</v>
      </c>
    </row>
    <row r="84">
      <c r="A84" s="18" t="inlineStr">
        <is>
          <t>기계장치·운반구</t>
        </is>
      </c>
      <c r="F84" s="20" t="n">
        <v>13152</v>
      </c>
      <c r="H84" s="20" t="n">
        <v>11913</v>
      </c>
      <c r="I84" s="20" t="n">
        <v>11903</v>
      </c>
      <c r="J84" s="20" t="n">
        <v>12399</v>
      </c>
      <c r="K84" s="20" t="n">
        <v>12846</v>
      </c>
      <c r="L84" s="20" t="n">
        <v>13152</v>
      </c>
    </row>
    <row r="85">
      <c r="A85" s="18" t="inlineStr">
        <is>
          <t>감가상각누계액</t>
        </is>
      </c>
      <c r="F85" s="20" t="n">
        <v>-11187</v>
      </c>
      <c r="H85" s="20" t="n">
        <v>-10643</v>
      </c>
      <c r="I85" s="20" t="n">
        <v>-10557</v>
      </c>
      <c r="J85" s="20" t="n">
        <v>-10708</v>
      </c>
      <c r="K85" s="20" t="n">
        <v>-11019</v>
      </c>
      <c r="L85" s="20" t="n">
        <v>-11187</v>
      </c>
    </row>
    <row r="86">
      <c r="A86" s="18" t="inlineStr">
        <is>
          <t>기계장치·운반구(순액)</t>
        </is>
      </c>
      <c r="C86" s="20" t="n">
        <v>1726</v>
      </c>
      <c r="D86" s="20" t="n">
        <v>1718</v>
      </c>
      <c r="E86" s="20" t="n">
        <v>1690</v>
      </c>
      <c r="F86" s="20" t="n">
        <v>1964</v>
      </c>
      <c r="G86" s="20" t="n">
        <v>1864</v>
      </c>
      <c r="H86" s="20" t="n">
        <v>1269</v>
      </c>
      <c r="I86" s="20" t="n">
        <v>1346</v>
      </c>
      <c r="J86" s="20" t="n">
        <v>1691</v>
      </c>
      <c r="K86" s="20" t="n">
        <v>1826</v>
      </c>
      <c r="L86" s="20" t="n">
        <v>1964</v>
      </c>
    </row>
    <row r="87">
      <c r="A87" s="18" t="inlineStr">
        <is>
          <t>토지</t>
        </is>
      </c>
      <c r="C87" s="20" t="n">
        <v>6428</v>
      </c>
      <c r="D87" s="20" t="n">
        <v>10627</v>
      </c>
      <c r="E87" s="20" t="n">
        <v>10627</v>
      </c>
      <c r="F87" s="20" t="n">
        <v>10627</v>
      </c>
      <c r="G87" s="20" t="n">
        <v>10627</v>
      </c>
      <c r="H87" s="20" t="n">
        <v>6570</v>
      </c>
      <c r="I87" s="20" t="n">
        <v>6570</v>
      </c>
      <c r="J87" s="20" t="n">
        <v>6428</v>
      </c>
      <c r="K87" s="20" t="n">
        <v>6428</v>
      </c>
      <c r="L87" s="20" t="n">
        <v>10627</v>
      </c>
    </row>
    <row r="88">
      <c r="A88" s="18" t="inlineStr">
        <is>
          <t>기타</t>
        </is>
      </c>
      <c r="F88" s="20" t="n">
        <v>4446</v>
      </c>
      <c r="H88" s="20" t="n">
        <v>3516</v>
      </c>
      <c r="I88" s="20" t="n">
        <v>3515</v>
      </c>
      <c r="J88" s="20" t="n">
        <v>3648</v>
      </c>
      <c r="K88" s="20" t="n">
        <v>3529</v>
      </c>
      <c r="L88" s="20" t="n">
        <v>4446</v>
      </c>
    </row>
    <row r="89">
      <c r="A89" s="18" t="inlineStr">
        <is>
          <t>감가상각누계액</t>
        </is>
      </c>
      <c r="F89" s="20" t="n">
        <v>-3217</v>
      </c>
      <c r="H89" s="20" t="n">
        <v>-2926</v>
      </c>
      <c r="I89" s="20" t="n">
        <v>-2947</v>
      </c>
      <c r="J89" s="20" t="n">
        <v>-3063</v>
      </c>
      <c r="K89" s="20" t="n">
        <v>-2973</v>
      </c>
      <c r="L89" s="20" t="n">
        <v>-3217</v>
      </c>
    </row>
    <row r="90">
      <c r="A90" s="18" t="inlineStr">
        <is>
          <t>기타(순액)</t>
        </is>
      </c>
      <c r="C90" s="20" t="n">
        <v>549</v>
      </c>
      <c r="D90" s="20" t="n">
        <v>985</v>
      </c>
      <c r="E90" s="20" t="n">
        <v>1024</v>
      </c>
      <c r="F90" s="20" t="n">
        <v>1228</v>
      </c>
      <c r="G90" s="20" t="n">
        <v>1264</v>
      </c>
      <c r="H90" s="20" t="n">
        <v>590</v>
      </c>
      <c r="I90" s="20" t="n">
        <v>568</v>
      </c>
      <c r="J90" s="20" t="n">
        <v>584</v>
      </c>
      <c r="K90" s="20" t="n">
        <v>555</v>
      </c>
      <c r="L90" s="20" t="n">
        <v>1228</v>
      </c>
    </row>
    <row r="91">
      <c r="A91" s="18" t="inlineStr">
        <is>
          <t>유형자산 합계</t>
        </is>
      </c>
      <c r="C91" s="20" t="n">
        <v>12409</v>
      </c>
      <c r="D91" s="20" t="n">
        <v>17735</v>
      </c>
      <c r="E91" s="20" t="n">
        <v>17702</v>
      </c>
      <c r="F91" s="20" t="n">
        <v>18107</v>
      </c>
      <c r="G91" s="20" t="n">
        <v>18001</v>
      </c>
      <c r="H91" s="20" t="n">
        <v>12530</v>
      </c>
      <c r="I91" s="20" t="n">
        <v>12509</v>
      </c>
      <c r="J91" s="20" t="n">
        <v>12597</v>
      </c>
      <c r="K91" s="20" t="n">
        <v>12566</v>
      </c>
      <c r="L91" s="20" t="n">
        <v>18107</v>
      </c>
    </row>
    <row r="92">
      <c r="A92" s="18" t="inlineStr">
        <is>
          <t>영업권</t>
        </is>
      </c>
      <c r="C92" s="20" t="n">
        <v>97</v>
      </c>
      <c r="D92" s="20" t="n">
        <v>690</v>
      </c>
      <c r="E92" s="20" t="n">
        <v>677</v>
      </c>
      <c r="F92" s="20" t="n">
        <v>483</v>
      </c>
      <c r="G92" s="20" t="n">
        <v>524</v>
      </c>
      <c r="H92" s="20" t="n">
        <v>115</v>
      </c>
      <c r="I92" s="20" t="n">
        <v>137</v>
      </c>
      <c r="J92" s="20" t="n">
        <v>119</v>
      </c>
      <c r="K92" s="20" t="n">
        <v>101</v>
      </c>
      <c r="L92" s="20" t="n">
        <v>483</v>
      </c>
    </row>
    <row r="93">
      <c r="A93" s="18" t="inlineStr">
        <is>
          <t>기타</t>
        </is>
      </c>
      <c r="C93" s="20" t="n">
        <v>609</v>
      </c>
      <c r="D93" s="20" t="n">
        <v>598</v>
      </c>
      <c r="E93" s="20" t="n">
        <v>600</v>
      </c>
      <c r="F93" s="20" t="n">
        <v>741</v>
      </c>
      <c r="G93" s="20" t="n">
        <v>705</v>
      </c>
      <c r="H93" s="20" t="n">
        <v>539</v>
      </c>
      <c r="I93" s="20" t="n">
        <v>713</v>
      </c>
      <c r="J93" s="20" t="n">
        <v>490</v>
      </c>
      <c r="K93" s="20" t="n">
        <v>615</v>
      </c>
      <c r="L93" s="20" t="n">
        <v>741</v>
      </c>
    </row>
    <row r="94">
      <c r="A94" s="18" t="inlineStr">
        <is>
          <t>무형자산 합계</t>
        </is>
      </c>
      <c r="C94" s="20" t="n">
        <v>706</v>
      </c>
      <c r="D94" s="20" t="n">
        <v>1288</v>
      </c>
      <c r="E94" s="20" t="n">
        <v>1278</v>
      </c>
      <c r="F94" s="20" t="n">
        <v>1224</v>
      </c>
      <c r="G94" s="20" t="n">
        <v>1230</v>
      </c>
      <c r="H94" s="20" t="n">
        <v>655</v>
      </c>
      <c r="I94" s="20" t="n">
        <v>851</v>
      </c>
      <c r="J94" s="20" t="n">
        <v>609</v>
      </c>
      <c r="K94" s="20" t="n">
        <v>717</v>
      </c>
      <c r="L94" s="20" t="n">
        <v>1224</v>
      </c>
    </row>
    <row r="95">
      <c r="A95" s="18" t="inlineStr">
        <is>
          <t>투자유가증권</t>
        </is>
      </c>
      <c r="C95" s="20" t="n">
        <v>3968</v>
      </c>
      <c r="D95" s="20" t="n">
        <v>4160</v>
      </c>
      <c r="E95" s="20" t="n">
        <v>4533</v>
      </c>
      <c r="F95" s="20" t="n">
        <v>4656</v>
      </c>
      <c r="G95" s="20" t="n">
        <v>4724</v>
      </c>
      <c r="H95" s="20" t="n">
        <v>2716</v>
      </c>
      <c r="I95" s="20" t="n">
        <v>2761</v>
      </c>
      <c r="J95" s="20" t="n">
        <v>3843</v>
      </c>
      <c r="K95" s="20" t="n">
        <v>3782</v>
      </c>
      <c r="L95" s="20" t="n">
        <v>4656</v>
      </c>
    </row>
    <row r="96">
      <c r="A96" s="18" t="inlineStr">
        <is>
          <t>장기대여금</t>
        </is>
      </c>
      <c r="C96" s="20" t="n">
        <v>21</v>
      </c>
      <c r="D96" s="20" t="n">
        <v>20</v>
      </c>
      <c r="E96" s="20" t="n">
        <v>19</v>
      </c>
      <c r="F96" s="20" t="n">
        <v>18</v>
      </c>
      <c r="G96" s="20" t="n">
        <v>18</v>
      </c>
      <c r="H96" s="20" t="n">
        <v>37</v>
      </c>
      <c r="I96" s="20" t="n">
        <v>32</v>
      </c>
      <c r="J96" s="20" t="n">
        <v>28</v>
      </c>
      <c r="K96" s="20" t="n">
        <v>23</v>
      </c>
      <c r="L96" s="20" t="n">
        <v>18</v>
      </c>
    </row>
    <row r="97">
      <c r="A97" s="18" t="inlineStr">
        <is>
          <t>이연법인세자산</t>
        </is>
      </c>
      <c r="C97" s="20" t="n">
        <v>90</v>
      </c>
      <c r="D97" s="20" t="n">
        <v>179</v>
      </c>
      <c r="E97" s="20" t="n">
        <v>187</v>
      </c>
      <c r="F97" s="20" t="n">
        <v>104</v>
      </c>
      <c r="G97" s="20" t="n">
        <v>110</v>
      </c>
      <c r="H97" s="20" t="n">
        <v>109</v>
      </c>
      <c r="I97" s="20" t="n">
        <v>108</v>
      </c>
      <c r="J97" s="20" t="n">
        <v>91</v>
      </c>
      <c r="K97" s="20" t="n">
        <v>90</v>
      </c>
      <c r="L97" s="20" t="n">
        <v>104</v>
      </c>
    </row>
    <row r="98">
      <c r="A98" s="18" t="inlineStr">
        <is>
          <t>퇴직급여자산</t>
        </is>
      </c>
      <c r="D98" s="20" t="n">
        <v>812</v>
      </c>
      <c r="E98" s="20" t="n">
        <v>836</v>
      </c>
      <c r="F98" s="20" t="n">
        <v>1055</v>
      </c>
      <c r="G98" s="20" t="n">
        <v>1065</v>
      </c>
      <c r="H98" s="20" t="n">
        <v>20</v>
      </c>
      <c r="I98" s="20" t="n">
        <v>14</v>
      </c>
      <c r="J98" s="20" t="n">
        <v>299</v>
      </c>
      <c r="K98" s="20" t="n">
        <v>772</v>
      </c>
      <c r="L98" s="20" t="n">
        <v>1055</v>
      </c>
    </row>
    <row r="99">
      <c r="A99" s="18" t="inlineStr">
        <is>
          <t>보증금</t>
        </is>
      </c>
      <c r="C99" s="20" t="n">
        <v>751</v>
      </c>
      <c r="D99" s="20" t="n">
        <v>788</v>
      </c>
      <c r="E99" s="20" t="n">
        <v>794</v>
      </c>
      <c r="F99" s="20" t="n">
        <v>787</v>
      </c>
      <c r="G99" s="20" t="n">
        <v>787</v>
      </c>
      <c r="H99" s="20" t="n">
        <v>767</v>
      </c>
      <c r="I99" s="20" t="n">
        <v>761</v>
      </c>
      <c r="J99" s="20" t="n">
        <v>740</v>
      </c>
      <c r="K99" s="20" t="n">
        <v>710</v>
      </c>
      <c r="L99" s="20" t="n">
        <v>787</v>
      </c>
    </row>
    <row r="100">
      <c r="A100" s="18" t="inlineStr">
        <is>
          <t>기타</t>
        </is>
      </c>
      <c r="C100" s="20" t="n">
        <v>1077</v>
      </c>
      <c r="D100" s="20" t="n">
        <v>468</v>
      </c>
      <c r="E100" s="20" t="n">
        <v>459</v>
      </c>
      <c r="F100" s="20" t="n">
        <v>448</v>
      </c>
      <c r="G100" s="20" t="n">
        <v>467</v>
      </c>
      <c r="H100" s="20" t="n">
        <v>364</v>
      </c>
      <c r="I100" s="20" t="n">
        <v>376</v>
      </c>
      <c r="J100" s="20" t="n">
        <v>286</v>
      </c>
      <c r="K100" s="20" t="n">
        <v>252</v>
      </c>
      <c r="L100" s="20" t="n">
        <v>448</v>
      </c>
    </row>
    <row r="101">
      <c r="A101" s="18" t="inlineStr">
        <is>
          <t>대손충당금</t>
        </is>
      </c>
      <c r="C101" s="20" t="n">
        <v>-144</v>
      </c>
      <c r="D101" s="20" t="n">
        <v>-143</v>
      </c>
      <c r="E101" s="20" t="n">
        <v>-141</v>
      </c>
      <c r="F101" s="20" t="n">
        <v>-135</v>
      </c>
      <c r="G101" s="20" t="n">
        <v>-134</v>
      </c>
      <c r="H101" s="20" t="n">
        <v>-165</v>
      </c>
      <c r="I101" s="20" t="n">
        <v>-151</v>
      </c>
      <c r="J101" s="20" t="n">
        <v>-137</v>
      </c>
      <c r="K101" s="20" t="n">
        <v>-145</v>
      </c>
      <c r="L101" s="20" t="n">
        <v>-135</v>
      </c>
    </row>
    <row r="102">
      <c r="A102" s="18" t="inlineStr">
        <is>
          <t>투자 및 기타자산 합계</t>
        </is>
      </c>
      <c r="C102" s="20" t="n">
        <v>5764</v>
      </c>
      <c r="D102" s="20" t="n">
        <v>6286</v>
      </c>
      <c r="E102" s="20" t="n">
        <v>6689</v>
      </c>
      <c r="F102" s="20" t="n">
        <v>6936</v>
      </c>
      <c r="G102" s="20" t="n">
        <v>7038</v>
      </c>
      <c r="H102" s="20" t="n">
        <v>3850</v>
      </c>
      <c r="I102" s="20" t="n">
        <v>3903</v>
      </c>
      <c r="J102" s="20" t="n">
        <v>5151</v>
      </c>
      <c r="K102" s="20" t="n">
        <v>5485</v>
      </c>
      <c r="L102" s="20" t="n">
        <v>6936</v>
      </c>
    </row>
    <row r="103">
      <c r="A103" s="9" t="inlineStr">
        <is>
          <t>비유동자산 합계</t>
        </is>
      </c>
      <c r="C103" s="12" t="n">
        <v>18880</v>
      </c>
      <c r="D103" s="12" t="n">
        <v>25311</v>
      </c>
      <c r="E103" s="12" t="n">
        <v>25670</v>
      </c>
      <c r="F103" s="12" t="n">
        <v>26269</v>
      </c>
      <c r="G103" s="12" t="n">
        <v>26270</v>
      </c>
      <c r="H103" s="12" t="n">
        <v>17036</v>
      </c>
      <c r="I103" s="12" t="n">
        <v>17264</v>
      </c>
      <c r="J103" s="12" t="n">
        <v>18359</v>
      </c>
      <c r="K103" s="12" t="n">
        <v>18768</v>
      </c>
      <c r="L103" s="12" t="n">
        <v>26269</v>
      </c>
    </row>
    <row r="104">
      <c r="A104" s="9" t="inlineStr">
        <is>
          <t>자산 합계</t>
        </is>
      </c>
      <c r="C104" s="12" t="n">
        <v>63455</v>
      </c>
      <c r="D104" s="12" t="n">
        <v>70622</v>
      </c>
      <c r="E104" s="12" t="n">
        <v>79592</v>
      </c>
      <c r="F104" s="12" t="n">
        <v>78524</v>
      </c>
      <c r="G104" s="12" t="n">
        <v>79376</v>
      </c>
      <c r="H104" s="12" t="n">
        <v>43429</v>
      </c>
      <c r="I104" s="12" t="n">
        <v>51768</v>
      </c>
      <c r="J104" s="12" t="n">
        <v>54832</v>
      </c>
      <c r="K104" s="12" t="n">
        <v>58235</v>
      </c>
      <c r="L104" s="12" t="n">
        <v>78524</v>
      </c>
    </row>
    <row r="105">
      <c r="A105" s="18" t="inlineStr">
        <is>
          <t>지급어음·매입채무</t>
        </is>
      </c>
      <c r="C105" s="20" t="n">
        <v>16191</v>
      </c>
      <c r="D105" s="20" t="n">
        <v>15687</v>
      </c>
      <c r="E105" s="20" t="n">
        <v>23519</v>
      </c>
      <c r="F105" s="20" t="n">
        <v>19286</v>
      </c>
      <c r="G105" s="20" t="n">
        <v>19171</v>
      </c>
      <c r="H105" s="20" t="n">
        <v>6972</v>
      </c>
      <c r="I105" s="20" t="n">
        <v>12719</v>
      </c>
      <c r="J105" s="20" t="n">
        <v>12323</v>
      </c>
      <c r="K105" s="20" t="n">
        <v>12690</v>
      </c>
      <c r="L105" s="20" t="n">
        <v>19286</v>
      </c>
    </row>
    <row r="106">
      <c r="A106" s="18" t="inlineStr">
        <is>
          <t>단기차입금</t>
        </is>
      </c>
      <c r="C106" s="20" t="n">
        <v>10267</v>
      </c>
      <c r="D106" s="20" t="n">
        <v>14715</v>
      </c>
      <c r="E106" s="20" t="n">
        <v>14539</v>
      </c>
      <c r="F106" s="20" t="n">
        <v>17320</v>
      </c>
      <c r="G106" s="20" t="n">
        <v>18804</v>
      </c>
      <c r="H106" s="20" t="n">
        <v>82</v>
      </c>
      <c r="I106" s="20" t="n">
        <v>3187</v>
      </c>
      <c r="J106" s="20" t="n">
        <v>5343</v>
      </c>
      <c r="K106" s="20" t="n">
        <v>8223</v>
      </c>
      <c r="L106" s="20" t="n">
        <v>17320</v>
      </c>
    </row>
    <row r="107">
      <c r="A107" s="18" t="inlineStr">
        <is>
          <t>1년 내 상환 장기차입금</t>
        </is>
      </c>
      <c r="F107" s="20" t="n">
        <v>46</v>
      </c>
      <c r="G107" s="20" t="n">
        <v>46</v>
      </c>
      <c r="K107" s="20" t="n">
        <v>0</v>
      </c>
      <c r="L107" s="20" t="n">
        <v>46</v>
      </c>
    </row>
    <row r="108">
      <c r="A108" s="18" t="inlineStr">
        <is>
          <t>미지급금</t>
        </is>
      </c>
      <c r="C108" s="20" t="n">
        <v>1567</v>
      </c>
      <c r="D108" s="20" t="n">
        <v>1794</v>
      </c>
      <c r="E108" s="20" t="n">
        <v>2312</v>
      </c>
      <c r="F108" s="20" t="n">
        <v>2286</v>
      </c>
      <c r="G108" s="20" t="n">
        <v>1466</v>
      </c>
      <c r="H108" s="20" t="n">
        <v>2185</v>
      </c>
      <c r="I108" s="20" t="n">
        <v>2093</v>
      </c>
      <c r="J108" s="20" t="n">
        <v>2266</v>
      </c>
      <c r="K108" s="20" t="n">
        <v>2200</v>
      </c>
      <c r="L108" s="20" t="n">
        <v>2286</v>
      </c>
    </row>
    <row r="109">
      <c r="A109" s="18" t="inlineStr">
        <is>
          <t>미지급법인세</t>
        </is>
      </c>
      <c r="C109" s="20" t="n">
        <v>136</v>
      </c>
      <c r="D109" s="20" t="n">
        <v>273</v>
      </c>
      <c r="E109" s="20" t="n">
        <v>263</v>
      </c>
      <c r="F109" s="20" t="n">
        <v>324</v>
      </c>
      <c r="G109" s="20" t="n">
        <v>181</v>
      </c>
      <c r="H109" s="20" t="n">
        <v>259</v>
      </c>
      <c r="I109" s="20" t="n">
        <v>113</v>
      </c>
      <c r="J109" s="20" t="n">
        <v>211</v>
      </c>
      <c r="K109" s="20" t="n">
        <v>155</v>
      </c>
      <c r="L109" s="20" t="n">
        <v>324</v>
      </c>
    </row>
    <row r="110">
      <c r="A110" s="18" t="inlineStr">
        <is>
          <t>계약부채</t>
        </is>
      </c>
      <c r="D110" s="20" t="n">
        <v>31</v>
      </c>
      <c r="E110" s="20" t="n">
        <v>46</v>
      </c>
      <c r="F110" s="20" t="n">
        <v>67</v>
      </c>
      <c r="G110" s="20" t="n">
        <v>67</v>
      </c>
      <c r="I110" s="20" t="n">
        <v>35</v>
      </c>
      <c r="J110" s="20" t="n">
        <v>31</v>
      </c>
      <c r="K110" s="20" t="n">
        <v>37</v>
      </c>
      <c r="L110" s="20" t="n">
        <v>67</v>
      </c>
    </row>
    <row r="111">
      <c r="A111" s="18" t="inlineStr">
        <is>
          <t>상여충당금</t>
        </is>
      </c>
      <c r="C111" s="20" t="n">
        <v>201</v>
      </c>
      <c r="D111" s="20" t="n">
        <v>347</v>
      </c>
      <c r="E111" s="20" t="n">
        <v>254</v>
      </c>
      <c r="F111" s="20" t="n">
        <v>534</v>
      </c>
      <c r="G111" s="20" t="n">
        <v>286</v>
      </c>
      <c r="H111" s="20" t="n">
        <v>321</v>
      </c>
      <c r="I111" s="20" t="n">
        <v>292</v>
      </c>
      <c r="J111" s="20" t="n">
        <v>412</v>
      </c>
      <c r="K111" s="20" t="n">
        <v>326</v>
      </c>
      <c r="L111" s="20" t="n">
        <v>534</v>
      </c>
    </row>
    <row r="112">
      <c r="A112" s="18" t="inlineStr">
        <is>
          <t>기타 충당금</t>
        </is>
      </c>
      <c r="H112" s="20" t="n">
        <v>0</v>
      </c>
    </row>
    <row r="113">
      <c r="A113" s="18" t="inlineStr">
        <is>
          <t>수주손실 충당금</t>
        </is>
      </c>
      <c r="C113" s="20" t="n">
        <v>10</v>
      </c>
      <c r="D113" s="20" t="n">
        <v>4</v>
      </c>
      <c r="E113" s="20" t="n">
        <v>0</v>
      </c>
      <c r="F113" s="20" t="n">
        <v>0</v>
      </c>
      <c r="J113" s="20" t="n">
        <v>0</v>
      </c>
      <c r="K113" s="20" t="n">
        <v>32</v>
      </c>
      <c r="L113" s="20" t="n">
        <v>0</v>
      </c>
    </row>
    <row r="114">
      <c r="A114" s="18" t="inlineStr">
        <is>
          <t>기타</t>
        </is>
      </c>
      <c r="C114" s="20" t="n">
        <v>1480</v>
      </c>
      <c r="D114" s="20" t="n">
        <v>1602</v>
      </c>
      <c r="E114" s="20" t="n">
        <v>1745</v>
      </c>
      <c r="F114" s="20" t="n">
        <v>1652</v>
      </c>
      <c r="G114" s="20" t="n">
        <v>1761</v>
      </c>
      <c r="H114" s="20" t="n">
        <v>1145</v>
      </c>
      <c r="I114" s="20" t="n">
        <v>943</v>
      </c>
      <c r="J114" s="20" t="n">
        <v>1379</v>
      </c>
      <c r="K114" s="20" t="n">
        <v>1259</v>
      </c>
      <c r="L114" s="20" t="n">
        <v>1652</v>
      </c>
    </row>
    <row r="115">
      <c r="A115" s="9" t="inlineStr">
        <is>
          <t>유동부채 합계</t>
        </is>
      </c>
      <c r="C115" s="12" t="n">
        <v>29856</v>
      </c>
      <c r="D115" s="12" t="n">
        <v>34458</v>
      </c>
      <c r="E115" s="12" t="n">
        <v>42681</v>
      </c>
      <c r="F115" s="12" t="n">
        <v>41520</v>
      </c>
      <c r="G115" s="12" t="n">
        <v>41786</v>
      </c>
      <c r="H115" s="12" t="n">
        <v>10966</v>
      </c>
      <c r="I115" s="12" t="n">
        <v>19385</v>
      </c>
      <c r="J115" s="12" t="n">
        <v>21968</v>
      </c>
      <c r="K115" s="12" t="n">
        <v>24925</v>
      </c>
      <c r="L115" s="12" t="n">
        <v>41520</v>
      </c>
    </row>
    <row r="116">
      <c r="A116" s="18" t="inlineStr">
        <is>
          <t>장기차입금</t>
        </is>
      </c>
      <c r="D116" s="20" t="n">
        <v>553</v>
      </c>
      <c r="E116" s="20" t="n">
        <v>546</v>
      </c>
      <c r="F116" s="20" t="n">
        <v>534</v>
      </c>
      <c r="G116" s="20" t="n">
        <v>522</v>
      </c>
      <c r="H116" s="20" t="n">
        <v>0</v>
      </c>
      <c r="K116" s="20" t="n">
        <v>0</v>
      </c>
      <c r="L116" s="20" t="n">
        <v>534</v>
      </c>
    </row>
    <row r="117">
      <c r="A117" s="18" t="inlineStr">
        <is>
          <t>이연법인세부채</t>
        </is>
      </c>
      <c r="C117" s="20" t="n">
        <v>668</v>
      </c>
      <c r="D117" s="20" t="n">
        <v>1892</v>
      </c>
      <c r="E117" s="20" t="n">
        <v>1918</v>
      </c>
      <c r="F117" s="20" t="n">
        <v>1831</v>
      </c>
      <c r="G117" s="20" t="n">
        <v>2012</v>
      </c>
      <c r="H117" s="20" t="n">
        <v>141</v>
      </c>
      <c r="I117" s="20" t="n">
        <v>156</v>
      </c>
      <c r="J117" s="20" t="n">
        <v>416</v>
      </c>
      <c r="K117" s="20" t="n">
        <v>568</v>
      </c>
      <c r="L117" s="20" t="n">
        <v>1831</v>
      </c>
    </row>
    <row r="118">
      <c r="A118" s="18" t="inlineStr">
        <is>
          <t>재평가 관련 이연법인세부채</t>
        </is>
      </c>
      <c r="C118" s="20" t="n">
        <v>492</v>
      </c>
      <c r="D118" s="20" t="n">
        <v>492</v>
      </c>
      <c r="E118" s="20" t="n">
        <v>492</v>
      </c>
      <c r="F118" s="20" t="n">
        <v>492</v>
      </c>
      <c r="G118" s="20" t="n">
        <v>492</v>
      </c>
      <c r="H118" s="20" t="n">
        <v>478</v>
      </c>
      <c r="I118" s="20" t="n">
        <v>478</v>
      </c>
      <c r="J118" s="20" t="n">
        <v>478</v>
      </c>
      <c r="K118" s="20" t="n">
        <v>492</v>
      </c>
      <c r="L118" s="20" t="n">
        <v>492</v>
      </c>
    </row>
    <row r="119">
      <c r="A119" s="18" t="inlineStr">
        <is>
          <t>주식급여 충당금</t>
        </is>
      </c>
      <c r="C119" s="20" t="n">
        <v>105</v>
      </c>
      <c r="D119" s="20" t="n">
        <v>99</v>
      </c>
      <c r="E119" s="20" t="n">
        <v>104</v>
      </c>
      <c r="F119" s="20" t="n">
        <v>120</v>
      </c>
      <c r="G119" s="20" t="n">
        <v>126</v>
      </c>
      <c r="H119" s="20" t="n">
        <v>47</v>
      </c>
      <c r="I119" s="20" t="n">
        <v>66</v>
      </c>
      <c r="J119" s="20" t="n">
        <v>86</v>
      </c>
      <c r="K119" s="20" t="n">
        <v>109</v>
      </c>
      <c r="L119" s="20" t="n">
        <v>120</v>
      </c>
    </row>
    <row r="120">
      <c r="A120" s="18" t="inlineStr">
        <is>
          <t>기타 충당금</t>
        </is>
      </c>
      <c r="C120" s="20" t="n">
        <v>6</v>
      </c>
      <c r="D120" s="20" t="n">
        <v>12</v>
      </c>
      <c r="E120" s="20" t="n">
        <v>12</v>
      </c>
      <c r="F120" s="20" t="n">
        <v>13</v>
      </c>
      <c r="G120" s="20" t="n">
        <v>14</v>
      </c>
      <c r="H120" s="20" t="n">
        <v>3</v>
      </c>
      <c r="I120" s="20" t="n">
        <v>4</v>
      </c>
      <c r="J120" s="20" t="n">
        <v>4</v>
      </c>
      <c r="K120" s="20" t="n">
        <v>6</v>
      </c>
      <c r="L120" s="20" t="n">
        <v>13</v>
      </c>
    </row>
    <row r="121">
      <c r="A121" s="18" t="inlineStr">
        <is>
          <t>퇴직급여부채</t>
        </is>
      </c>
      <c r="C121" s="20" t="n">
        <v>166</v>
      </c>
      <c r="D121" s="20" t="n">
        <v>302</v>
      </c>
      <c r="E121" s="20" t="n">
        <v>305</v>
      </c>
      <c r="F121" s="20" t="n">
        <v>308</v>
      </c>
      <c r="G121" s="20" t="n">
        <v>313</v>
      </c>
      <c r="H121" s="20" t="n">
        <v>486</v>
      </c>
      <c r="I121" s="20" t="n">
        <v>368</v>
      </c>
      <c r="J121" s="20" t="n">
        <v>176</v>
      </c>
      <c r="K121" s="20" t="n">
        <v>180</v>
      </c>
      <c r="L121" s="20" t="n">
        <v>308</v>
      </c>
    </row>
    <row r="122">
      <c r="A122" s="18" t="inlineStr">
        <is>
          <t>자산복구부채</t>
        </is>
      </c>
      <c r="C122" s="20" t="n">
        <v>420</v>
      </c>
      <c r="D122" s="20" t="n">
        <v>492</v>
      </c>
      <c r="E122" s="20" t="n">
        <v>495</v>
      </c>
      <c r="F122" s="20" t="n">
        <v>489</v>
      </c>
      <c r="G122" s="20" t="n">
        <v>481</v>
      </c>
      <c r="H122" s="20" t="n">
        <v>434</v>
      </c>
      <c r="I122" s="20" t="n">
        <v>446</v>
      </c>
      <c r="J122" s="20" t="n">
        <v>417</v>
      </c>
      <c r="K122" s="20" t="n">
        <v>418</v>
      </c>
      <c r="L122" s="20" t="n">
        <v>489</v>
      </c>
    </row>
    <row r="123">
      <c r="A123" s="18" t="inlineStr">
        <is>
          <t>기타</t>
        </is>
      </c>
      <c r="C123" s="20" t="n">
        <v>584</v>
      </c>
      <c r="D123" s="20" t="n">
        <v>580</v>
      </c>
      <c r="E123" s="20" t="n">
        <v>783</v>
      </c>
      <c r="F123" s="20" t="n">
        <v>957</v>
      </c>
      <c r="G123" s="20" t="n">
        <v>923</v>
      </c>
      <c r="H123" s="20" t="n">
        <v>389</v>
      </c>
      <c r="I123" s="20" t="n">
        <v>332</v>
      </c>
      <c r="J123" s="20" t="n">
        <v>311</v>
      </c>
      <c r="K123" s="20" t="n">
        <v>574</v>
      </c>
      <c r="L123" s="20" t="n">
        <v>957</v>
      </c>
    </row>
    <row r="124">
      <c r="A124" s="9" t="inlineStr">
        <is>
          <t>비유동부채 합계</t>
        </is>
      </c>
      <c r="C124" s="12" t="n">
        <v>2443</v>
      </c>
      <c r="D124" s="12" t="n">
        <v>4426</v>
      </c>
      <c r="E124" s="12" t="n">
        <v>4659</v>
      </c>
      <c r="F124" s="12" t="n">
        <v>4747</v>
      </c>
      <c r="G124" s="12" t="n">
        <v>4887</v>
      </c>
      <c r="H124" s="12" t="n">
        <v>1981</v>
      </c>
      <c r="I124" s="12" t="n">
        <v>1853</v>
      </c>
      <c r="J124" s="12" t="n">
        <v>1892</v>
      </c>
      <c r="K124" s="12" t="n">
        <v>2352</v>
      </c>
      <c r="L124" s="12" t="n">
        <v>4747</v>
      </c>
    </row>
    <row r="125">
      <c r="A125" s="9" t="inlineStr">
        <is>
          <t>부채 합계</t>
        </is>
      </c>
      <c r="C125" s="12" t="n">
        <v>32300</v>
      </c>
      <c r="D125" s="12" t="n">
        <v>38884</v>
      </c>
      <c r="E125" s="12" t="n">
        <v>47341</v>
      </c>
      <c r="F125" s="12" t="n">
        <v>46267</v>
      </c>
      <c r="G125" s="12" t="n">
        <v>46673</v>
      </c>
      <c r="H125" s="12" t="n">
        <v>12948</v>
      </c>
      <c r="I125" s="12" t="n">
        <v>21238</v>
      </c>
      <c r="J125" s="12" t="n">
        <v>23861</v>
      </c>
      <c r="K125" s="12" t="n">
        <v>27277</v>
      </c>
      <c r="L125" s="12" t="n">
        <v>46267</v>
      </c>
    </row>
    <row r="126">
      <c r="A126" s="18" t="inlineStr">
        <is>
          <t>자본금</t>
        </is>
      </c>
      <c r="C126" s="20" t="n">
        <v>4628</v>
      </c>
      <c r="D126" s="20" t="n">
        <v>4628</v>
      </c>
      <c r="E126" s="20" t="n">
        <v>4628</v>
      </c>
      <c r="F126" s="20" t="n">
        <v>4628</v>
      </c>
      <c r="G126" s="20" t="n">
        <v>4628</v>
      </c>
      <c r="H126" s="20" t="n">
        <v>4628</v>
      </c>
      <c r="I126" s="20" t="n">
        <v>4628</v>
      </c>
      <c r="J126" s="20" t="n">
        <v>4628</v>
      </c>
      <c r="K126" s="20" t="n">
        <v>4628</v>
      </c>
      <c r="L126" s="20" t="n">
        <v>4628</v>
      </c>
    </row>
    <row r="127">
      <c r="A127" s="18" t="inlineStr">
        <is>
          <t>자본잉여금</t>
        </is>
      </c>
      <c r="C127" s="20" t="n">
        <v>5069</v>
      </c>
      <c r="D127" s="20" t="n">
        <v>5076</v>
      </c>
      <c r="E127" s="20" t="n">
        <v>5076</v>
      </c>
      <c r="F127" s="20" t="n">
        <v>5076</v>
      </c>
      <c r="G127" s="20" t="n">
        <v>5076</v>
      </c>
      <c r="H127" s="20" t="n">
        <v>5106</v>
      </c>
      <c r="I127" s="20" t="n">
        <v>5094</v>
      </c>
      <c r="J127" s="20" t="n">
        <v>5071</v>
      </c>
      <c r="K127" s="20" t="n">
        <v>5071</v>
      </c>
      <c r="L127" s="20" t="n">
        <v>5076</v>
      </c>
    </row>
    <row r="128">
      <c r="A128" s="18" t="inlineStr">
        <is>
          <t>이익잉여금</t>
        </is>
      </c>
      <c r="C128" s="20" t="n">
        <v>25361</v>
      </c>
      <c r="D128" s="20" t="n">
        <v>25642</v>
      </c>
      <c r="E128" s="20" t="n">
        <v>26048</v>
      </c>
      <c r="F128" s="20" t="n">
        <v>25898</v>
      </c>
      <c r="G128" s="20" t="n">
        <v>26396</v>
      </c>
      <c r="H128" s="20" t="n">
        <v>25317</v>
      </c>
      <c r="I128" s="20" t="n">
        <v>25274</v>
      </c>
      <c r="J128" s="20" t="n">
        <v>25194</v>
      </c>
      <c r="K128" s="20" t="n">
        <v>25170</v>
      </c>
      <c r="L128" s="20" t="n">
        <v>25898</v>
      </c>
    </row>
    <row r="129">
      <c r="A129" s="18" t="inlineStr">
        <is>
          <t>자기주식</t>
        </is>
      </c>
      <c r="C129" s="20" t="n">
        <v>-2529</v>
      </c>
      <c r="D129" s="20" t="n">
        <v>-2517</v>
      </c>
      <c r="E129" s="20" t="n">
        <v>-2517</v>
      </c>
      <c r="F129" s="20" t="n">
        <v>-2517</v>
      </c>
      <c r="G129" s="20" t="n">
        <v>-2517</v>
      </c>
      <c r="H129" s="20" t="n">
        <v>-2543</v>
      </c>
      <c r="I129" s="20" t="n">
        <v>-2541</v>
      </c>
      <c r="J129" s="20" t="n">
        <v>-2539</v>
      </c>
      <c r="K129" s="20" t="n">
        <v>-2539</v>
      </c>
      <c r="L129" s="20" t="n">
        <v>-2517</v>
      </c>
    </row>
    <row r="130">
      <c r="A130" s="9" t="inlineStr">
        <is>
          <t>주주자본 합계</t>
        </is>
      </c>
      <c r="C130" s="12" t="n">
        <v>32531</v>
      </c>
      <c r="D130" s="12" t="n">
        <v>32830</v>
      </c>
      <c r="E130" s="12" t="n">
        <v>33236</v>
      </c>
      <c r="F130" s="12" t="n">
        <v>33086</v>
      </c>
      <c r="G130" s="12" t="n">
        <v>33584</v>
      </c>
      <c r="H130" s="12" t="n">
        <v>32509</v>
      </c>
      <c r="I130" s="12" t="n">
        <v>32456</v>
      </c>
      <c r="J130" s="12" t="n">
        <v>32355</v>
      </c>
      <c r="K130" s="12" t="n">
        <v>32331</v>
      </c>
      <c r="L130" s="12" t="n">
        <v>33086</v>
      </c>
    </row>
    <row r="131">
      <c r="A131" s="18" t="inlineStr">
        <is>
          <t>기타유가증권 평가차액</t>
        </is>
      </c>
      <c r="C131" s="20" t="n">
        <v>738</v>
      </c>
      <c r="D131" s="20" t="n">
        <v>840</v>
      </c>
      <c r="E131" s="20" t="n">
        <v>976</v>
      </c>
      <c r="F131" s="20" t="n">
        <v>1043</v>
      </c>
      <c r="G131" s="20" t="n">
        <v>1006</v>
      </c>
      <c r="H131" s="20" t="n">
        <v>342</v>
      </c>
      <c r="I131" s="20" t="n">
        <v>424</v>
      </c>
      <c r="J131" s="20" t="n">
        <v>753</v>
      </c>
      <c r="K131" s="20" t="n">
        <v>661</v>
      </c>
      <c r="L131" s="20" t="n">
        <v>1043</v>
      </c>
    </row>
    <row r="132">
      <c r="A132" s="18" t="inlineStr">
        <is>
          <t>토지재평가차액금</t>
        </is>
      </c>
      <c r="C132" s="20" t="n">
        <v>-2751</v>
      </c>
      <c r="D132" s="20" t="n">
        <v>-2751</v>
      </c>
      <c r="E132" s="20" t="n">
        <v>-2751</v>
      </c>
      <c r="F132" s="20" t="n">
        <v>-2751</v>
      </c>
      <c r="G132" s="20" t="n">
        <v>-2751</v>
      </c>
      <c r="H132" s="20" t="n">
        <v>-2736</v>
      </c>
      <c r="I132" s="20" t="n">
        <v>-2736</v>
      </c>
      <c r="J132" s="20" t="n">
        <v>-2736</v>
      </c>
      <c r="K132" s="20" t="n">
        <v>-2751</v>
      </c>
      <c r="L132" s="20" t="n">
        <v>-2751</v>
      </c>
    </row>
    <row r="133">
      <c r="A133" s="18" t="inlineStr">
        <is>
          <t>해외사업환산조정</t>
        </is>
      </c>
      <c r="C133" s="20" t="n">
        <v>0</v>
      </c>
      <c r="D133" s="20" t="n">
        <v>9</v>
      </c>
      <c r="E133" s="20" t="n">
        <v>7</v>
      </c>
      <c r="F133" s="20" t="n">
        <v>20</v>
      </c>
      <c r="G133" s="20" t="n">
        <v>20</v>
      </c>
      <c r="H133" s="20" t="n">
        <v>-9</v>
      </c>
      <c r="I133" s="20" t="n">
        <v>0</v>
      </c>
      <c r="J133" s="20" t="n">
        <v>17</v>
      </c>
      <c r="K133" s="20" t="n">
        <v>26</v>
      </c>
      <c r="L133" s="20" t="n">
        <v>20</v>
      </c>
    </row>
    <row r="134">
      <c r="A134" s="18" t="inlineStr">
        <is>
          <t>퇴직급여 조정누계액</t>
        </is>
      </c>
      <c r="C134" s="20" t="n">
        <v>346</v>
      </c>
      <c r="D134" s="20" t="n">
        <v>316</v>
      </c>
      <c r="E134" s="20" t="n">
        <v>287</v>
      </c>
      <c r="F134" s="20" t="n">
        <v>365</v>
      </c>
      <c r="G134" s="20" t="n">
        <v>333</v>
      </c>
      <c r="H134" s="20" t="n">
        <v>98</v>
      </c>
      <c r="I134" s="20" t="n">
        <v>105</v>
      </c>
      <c r="J134" s="20" t="n">
        <v>282</v>
      </c>
      <c r="K134" s="20" t="n">
        <v>376</v>
      </c>
      <c r="L134" s="20" t="n">
        <v>365</v>
      </c>
    </row>
    <row r="135">
      <c r="A135" s="18" t="inlineStr">
        <is>
          <t>기타포괄손익누계액 합계</t>
        </is>
      </c>
      <c r="C135" s="20" t="n">
        <v>-1666</v>
      </c>
      <c r="D135" s="20" t="n">
        <v>-1584</v>
      </c>
      <c r="E135" s="20" t="n">
        <v>-1479</v>
      </c>
      <c r="F135" s="20" t="n">
        <v>-1321</v>
      </c>
      <c r="G135" s="20" t="n">
        <v>-1390</v>
      </c>
      <c r="H135" s="20" t="n">
        <v>-2304</v>
      </c>
      <c r="I135" s="20" t="n">
        <v>-2206</v>
      </c>
      <c r="J135" s="20" t="n">
        <v>-1684</v>
      </c>
      <c r="K135" s="20" t="n">
        <v>-1687</v>
      </c>
      <c r="L135" s="20" t="n">
        <v>-1321</v>
      </c>
    </row>
    <row r="136">
      <c r="A136" s="18" t="inlineStr">
        <is>
          <t>비지배지분</t>
        </is>
      </c>
      <c r="C136" s="20" t="n">
        <v>290</v>
      </c>
      <c r="D136" s="20" t="n">
        <v>492</v>
      </c>
      <c r="E136" s="20" t="n">
        <v>494</v>
      </c>
      <c r="F136" s="20" t="n">
        <v>491</v>
      </c>
      <c r="G136" s="20" t="n">
        <v>509</v>
      </c>
      <c r="H136" s="20" t="n">
        <v>276</v>
      </c>
      <c r="I136" s="20" t="n">
        <v>279</v>
      </c>
      <c r="J136" s="20" t="n">
        <v>300</v>
      </c>
      <c r="K136" s="20" t="n">
        <v>314</v>
      </c>
      <c r="L136" s="20" t="n">
        <v>491</v>
      </c>
    </row>
    <row r="137">
      <c r="A137" s="9" t="inlineStr">
        <is>
          <t>순자산 합계</t>
        </is>
      </c>
      <c r="C137" s="12" t="n">
        <v>31155</v>
      </c>
      <c r="D137" s="12" t="n">
        <v>31738</v>
      </c>
      <c r="E137" s="12" t="n">
        <v>32251</v>
      </c>
      <c r="F137" s="12" t="n">
        <v>32256</v>
      </c>
      <c r="G137" s="12" t="n">
        <v>32702</v>
      </c>
      <c r="H137" s="12" t="n">
        <v>30481</v>
      </c>
      <c r="I137" s="12" t="n">
        <v>30530</v>
      </c>
      <c r="J137" s="12" t="n">
        <v>30971</v>
      </c>
      <c r="K137" s="12" t="n">
        <v>30958</v>
      </c>
      <c r="L137" s="12" t="n">
        <v>32256</v>
      </c>
    </row>
    <row r="138">
      <c r="A138" s="9" t="inlineStr">
        <is>
          <t>부채·순자산 합계</t>
        </is>
      </c>
      <c r="C138" s="12" t="n">
        <v>63455</v>
      </c>
      <c r="D138" s="12" t="n">
        <v>70622</v>
      </c>
      <c r="E138" s="12" t="n">
        <v>79592</v>
      </c>
      <c r="F138" s="12" t="n">
        <v>78524</v>
      </c>
      <c r="G138" s="12" t="n">
        <v>79376</v>
      </c>
      <c r="H138" s="12" t="n">
        <v>43429</v>
      </c>
      <c r="I138" s="12" t="n">
        <v>51768</v>
      </c>
      <c r="J138" s="12" t="n">
        <v>54832</v>
      </c>
      <c r="K138" s="12" t="n">
        <v>58235</v>
      </c>
      <c r="L138" s="12" t="n">
        <v>78524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2026-07-31</t>
        </is>
      </c>
      <c r="B4" t="inlineStr">
        <is>
          <t>2027년 3월 결산기 １분기 결산단신</t>
        </is>
      </c>
      <c r="C4" t="inlineStr">
        <is>
          <t>https://www2.jpx.co.jp/disc/25940/140120260730503901.pdf</t>
        </is>
      </c>
    </row>
    <row r="5">
      <c r="A5" t="inlineStr">
        <is>
          <t>2026-05-15</t>
        </is>
      </c>
      <c r="B5" t="inlineStr">
        <is>
          <t>2026년 3월 결산기 연간 결산단신</t>
        </is>
      </c>
      <c r="C5" t="inlineStr">
        <is>
          <t>https://www2.jpx.co.jp/disc/25940/140120260515536412.pdf</t>
        </is>
      </c>
    </row>
    <row r="6">
      <c r="A6" t="inlineStr">
        <is>
          <t>2026-02-16</t>
        </is>
      </c>
      <c r="B6" t="inlineStr">
        <is>
          <t>2026년 3월 결산기 ３분기 결산단신</t>
        </is>
      </c>
      <c r="C6" t="inlineStr">
        <is>
          <t>https://www2.jpx.co.jp/disc/25940/140120260213561202.pdf</t>
        </is>
      </c>
    </row>
    <row r="7">
      <c r="A7" t="inlineStr">
        <is>
          <t>2025-11-14</t>
        </is>
      </c>
      <c r="B7" t="inlineStr">
        <is>
          <t>2026년 3월 결산기 ２분기 결산단신</t>
        </is>
      </c>
      <c r="C7" t="inlineStr">
        <is>
          <t>https://www2.jpx.co.jp/disc/25940/140120251114502741.pdf</t>
        </is>
      </c>
    </row>
    <row r="8">
      <c r="A8" t="inlineStr">
        <is>
          <t>2025-09-30</t>
        </is>
      </c>
      <c r="B8" t="inlineStr">
        <is>
          <t>2026년 3월 결산기 １분기 결산단신</t>
        </is>
      </c>
      <c r="C8" t="inlineStr">
        <is>
          <t>https://www2.jpx.co.jp/disc/25940/140120250930565000.pdf</t>
        </is>
      </c>
    </row>
    <row r="9">
      <c r="A9" t="inlineStr">
        <is>
          <t>2025-05-15</t>
        </is>
      </c>
      <c r="B9" t="inlineStr">
        <is>
          <t>2025년 3월 결산기 연간 결산단신</t>
        </is>
      </c>
      <c r="C9" t="inlineStr">
        <is>
          <t>https://www2.jpx.co.jp/disc/25940/140120250513547453.pdf</t>
        </is>
      </c>
    </row>
    <row r="10">
      <c r="A10" t="inlineStr">
        <is>
          <t>2025-01-31</t>
        </is>
      </c>
      <c r="B10" t="inlineStr">
        <is>
          <t>2025년 3월 결산기 ３분기 결산단신</t>
        </is>
      </c>
      <c r="C10" t="inlineStr">
        <is>
          <t>https://www2.jpx.co.jp/disc/25940/140120250130558459.pdf</t>
        </is>
      </c>
    </row>
    <row r="11">
      <c r="A11" t="inlineStr">
        <is>
          <t>2024-10-28</t>
        </is>
      </c>
      <c r="B11" t="inlineStr">
        <is>
          <t>2025년 3월 결산기 ２분기 결산단신</t>
        </is>
      </c>
      <c r="C11" t="inlineStr">
        <is>
          <t>https://www2.jpx.co.jp/disc/25940/140120241025503114.pdf</t>
        </is>
      </c>
    </row>
    <row r="12">
      <c r="A12" t="inlineStr">
        <is>
          <t>2024-07-29</t>
        </is>
      </c>
      <c r="B12" t="inlineStr">
        <is>
          <t>2025년 3월 결산기 １분기 결산단신</t>
        </is>
      </c>
      <c r="C12" t="inlineStr">
        <is>
          <t>https://www2.jpx.co.jp/disc/25940/140120240726555693.pdf</t>
        </is>
      </c>
    </row>
    <row r="13">
      <c r="A13" t="inlineStr">
        <is>
          <t>2024-05-13</t>
        </is>
      </c>
      <c r="B13" t="inlineStr">
        <is>
          <t>2024년 3월 결산기 연간 결산단신</t>
        </is>
      </c>
      <c r="C13" t="inlineStr">
        <is>
          <t>https://www2.jpx.co.jp/disc/25940/140120240510588307.pdf</t>
        </is>
      </c>
    </row>
    <row r="14">
      <c r="A14" t="inlineStr">
        <is>
          <t>2024-01-29</t>
        </is>
      </c>
      <c r="B14" t="inlineStr">
        <is>
          <t>2024년 3월 결산기 ３분기 결산단신</t>
        </is>
      </c>
      <c r="C14" t="inlineStr">
        <is>
          <t>https://www2.jpx.co.jp/disc/25940/140120240126520072.pdf</t>
        </is>
      </c>
    </row>
    <row r="15">
      <c r="A15" t="inlineStr">
        <is>
          <t>2023-10-30</t>
        </is>
      </c>
      <c r="B15" t="inlineStr">
        <is>
          <t>2024년 3월 결산기 ２분기 결산단신</t>
        </is>
      </c>
      <c r="C15" t="inlineStr">
        <is>
          <t>https://www2.jpx.co.jp/disc/25940/140120231027573005.pdf</t>
        </is>
      </c>
    </row>
    <row r="16">
      <c r="A16" t="inlineStr">
        <is>
          <t>2023-07-31</t>
        </is>
      </c>
      <c r="B16" t="inlineStr">
        <is>
          <t>2024년 3월 결산기 １분기 결산단신</t>
        </is>
      </c>
      <c r="C16" t="inlineStr">
        <is>
          <t>https://www2.jpx.co.jp/disc/25940/140120230727528472.pdf</t>
        </is>
      </c>
    </row>
    <row r="17">
      <c r="A17" t="inlineStr">
        <is>
          <t>2023-05-15</t>
        </is>
      </c>
      <c r="B17" t="inlineStr">
        <is>
          <t>2023년 3월 결산기 연간 결산단신</t>
        </is>
      </c>
      <c r="C17" t="inlineStr">
        <is>
          <t>https://www2.jpx.co.jp/disc/25940/140120230515571694.pdf</t>
        </is>
      </c>
    </row>
    <row r="18">
      <c r="A18" t="inlineStr">
        <is>
          <t>2023-01-30</t>
        </is>
      </c>
      <c r="B18" t="inlineStr">
        <is>
          <t>2023년 3월 결산기 ３분기 결산단신</t>
        </is>
      </c>
      <c r="C18" t="inlineStr">
        <is>
          <t>https://www2.jpx.co.jp/disc/25940/140120230127595064.pdf</t>
        </is>
      </c>
    </row>
    <row r="19">
      <c r="A19" t="inlineStr">
        <is>
          <t>2022-11-14</t>
        </is>
      </c>
      <c r="B19" t="inlineStr">
        <is>
          <t>2023년 3월 결산기 ２분기 결산단신</t>
        </is>
      </c>
      <c r="C19" t="inlineStr">
        <is>
          <t>https://www2.jpx.co.jp/disc/25940/140120221111563478.pdf</t>
        </is>
      </c>
    </row>
    <row r="20">
      <c r="A20" t="inlineStr">
        <is>
          <t>2022-05-16</t>
        </is>
      </c>
      <c r="B20" t="inlineStr">
        <is>
          <t>2022년 3월 결산기 연간 결산단신</t>
        </is>
      </c>
      <c r="C20" t="inlineStr">
        <is>
          <t>https://www2.jpx.co.jp/disc/25940/140120220513548082.pdf</t>
        </is>
      </c>
    </row>
    <row r="21">
      <c r="A21" t="inlineStr">
        <is>
          <t>2021-05-17</t>
        </is>
      </c>
      <c r="B21" t="inlineStr">
        <is>
          <t>2021년 3월 결산기 연간 결산단신</t>
        </is>
      </c>
      <c r="C21" t="inlineStr">
        <is>
          <t>https://www2.jpx.co.jp/disc/25940/140120210514420543.pdf</t>
        </is>
      </c>
    </row>
    <row r="22">
      <c r="A22" t="inlineStr">
        <is>
          <t>2020-05-19</t>
        </is>
      </c>
      <c r="B22" t="inlineStr">
        <is>
          <t>2020년 3월 결산기 연간 결산단신</t>
        </is>
      </c>
      <c r="C22" t="inlineStr">
        <is>
          <t>https://www2.jpx.co.jp/disc/25940/140120200519417952.pdf</t>
        </is>
      </c>
    </row>
    <row r="23">
      <c r="A23" t="inlineStr">
        <is>
          <t>2019-05-13</t>
        </is>
      </c>
      <c r="B23" t="inlineStr">
        <is>
          <t>2019년 3월 결산기 연간 결산단신</t>
        </is>
      </c>
      <c r="C23" t="inlineStr">
        <is>
          <t>https://www2.jpx.co.jp/disc/25940/140120190510421504.pdf</t>
        </is>
      </c>
    </row>
    <row r="24">
      <c r="A24" t="inlineStr">
        <is>
          <t>2018-05-09</t>
        </is>
      </c>
      <c r="B24" t="inlineStr">
        <is>
          <t>연간 결산단신</t>
        </is>
      </c>
      <c r="C24" t="inlineStr">
        <is>
          <t>https://www2.jpx.co.jp/disc/25940/140120180508429493.pdf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2026-10-26T10:53:12Z</dcterms:created>
  <dcterms:modified xmlns:dcterms="http://purl.org/dc/terms/" xmlns:xsi="http://www.w3.org/2001/XMLSchema-instance" xsi:type="dcterms:W3CDTF">2026-10-26T10:53:13Z</dcterms:modified>
</cp:coreProperties>
</file>