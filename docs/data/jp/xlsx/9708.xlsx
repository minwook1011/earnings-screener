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9708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11766</v>
      </c>
      <c r="D4" s="12" t="n">
        <v>15528</v>
      </c>
      <c r="E4" s="12" t="n">
        <v>13079</v>
      </c>
      <c r="F4" s="12" t="n">
        <v>13326</v>
      </c>
      <c r="G4" s="12" t="n">
        <v>11413</v>
      </c>
      <c r="H4" s="12" t="n">
        <v>14624</v>
      </c>
      <c r="I4" s="12" t="n">
        <v>12730</v>
      </c>
      <c r="J4" s="12" t="n">
        <v>13584</v>
      </c>
      <c r="K4" s="12" t="n">
        <v>11842</v>
      </c>
      <c r="L4" s="12" t="n">
        <v>16547</v>
      </c>
      <c r="M4" s="12" t="n">
        <v>13732</v>
      </c>
      <c r="N4" s="12" t="n">
        <v>14813</v>
      </c>
      <c r="O4" s="11" t="n">
        <v>56031</v>
      </c>
      <c r="P4" s="12" t="n">
        <v>56678</v>
      </c>
      <c r="Q4" s="12" t="n">
        <v>58426</v>
      </c>
      <c r="R4" s="12" t="n">
        <v>54558</v>
      </c>
      <c r="S4" s="12" t="n">
        <v>22051</v>
      </c>
      <c r="T4" s="12" t="n">
        <v>28317</v>
      </c>
      <c r="U4" s="12" t="n">
        <v>43368</v>
      </c>
      <c r="V4" s="12" t="n">
        <v>52845</v>
      </c>
      <c r="W4" s="12" t="n">
        <v>52093</v>
      </c>
      <c r="X4" s="12" t="n">
        <v>55705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HotelReportableSegmentsMember</t>
        </is>
      </c>
      <c r="B7" s="10" t="n"/>
      <c r="C7" s="19" t="n">
        <v>11145</v>
      </c>
      <c r="D7" s="20" t="n">
        <v>14982</v>
      </c>
      <c r="E7" s="20" t="n">
        <v>13200</v>
      </c>
      <c r="F7" s="20" t="n">
        <v>13230</v>
      </c>
      <c r="G7" s="20" t="n">
        <v>11374</v>
      </c>
      <c r="H7" s="20" t="n">
        <v>14578</v>
      </c>
      <c r="I7" s="20" t="n">
        <v>13155</v>
      </c>
      <c r="J7" s="20" t="n">
        <v>13485</v>
      </c>
      <c r="K7" s="20" t="n">
        <v>11742</v>
      </c>
      <c r="L7" s="20" t="n">
        <v>16447</v>
      </c>
      <c r="M7" s="20" t="n">
        <v>14191</v>
      </c>
      <c r="N7" s="20" t="n">
        <v>14626</v>
      </c>
      <c r="O7" s="19" t="n"/>
      <c r="P7" s="20" t="n"/>
      <c r="Q7" s="20" t="n"/>
      <c r="R7" s="20" t="n"/>
      <c r="S7" s="20" t="n"/>
      <c r="T7" s="20" t="n"/>
      <c r="U7" s="20" t="n"/>
      <c r="V7" s="20" t="n">
        <v>51125</v>
      </c>
      <c r="W7" s="20" t="n">
        <v>52337</v>
      </c>
      <c r="X7" s="20" t="n">
        <v>55865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LeasingReportableSegmentsMember</t>
        </is>
      </c>
      <c r="B10" s="10" t="n"/>
      <c r="C10" s="19" t="n">
        <v>622</v>
      </c>
      <c r="D10" s="20" t="n">
        <v>545</v>
      </c>
      <c r="E10" s="20" t="n">
        <v>369</v>
      </c>
      <c r="F10" s="20" t="n">
        <v>96</v>
      </c>
      <c r="G10" s="20" t="n">
        <v>38</v>
      </c>
      <c r="H10" s="20" t="n">
        <v>46</v>
      </c>
      <c r="I10" s="20" t="n">
        <v>93</v>
      </c>
      <c r="J10" s="20" t="n">
        <v>99</v>
      </c>
      <c r="K10" s="20" t="n">
        <v>100</v>
      </c>
      <c r="L10" s="20" t="n">
        <v>100</v>
      </c>
      <c r="M10" s="20" t="n">
        <v>102</v>
      </c>
      <c r="N10" s="20" t="n">
        <v>187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2209</v>
      </c>
      <c r="W10" s="20" t="n">
        <v>273</v>
      </c>
      <c r="X10" s="20" t="n">
        <v>401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/>
      <c r="F13" s="20" t="n">
        <v>13326</v>
      </c>
      <c r="G13" s="20" t="n"/>
      <c r="H13" s="20" t="n"/>
      <c r="I13" s="20" t="n"/>
      <c r="J13" s="20" t="n">
        <v>13584</v>
      </c>
      <c r="K13" s="20" t="n"/>
      <c r="L13" s="20" t="n"/>
      <c r="M13" s="20" t="n"/>
      <c r="N13" s="20" t="n">
        <v>14813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19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9511</v>
      </c>
      <c r="D23" s="20" t="n">
        <v>9835</v>
      </c>
      <c r="E23" s="20" t="n">
        <v>10542</v>
      </c>
      <c r="F23" s="20" t="n">
        <v>10128</v>
      </c>
      <c r="G23" s="20" t="n">
        <v>9648</v>
      </c>
      <c r="H23" s="20" t="n">
        <v>10060</v>
      </c>
      <c r="I23" s="20" t="n">
        <v>10111</v>
      </c>
      <c r="J23" s="20" t="n">
        <v>10281</v>
      </c>
      <c r="K23" s="20" t="n">
        <v>10172</v>
      </c>
      <c r="L23" s="20" t="n">
        <v>10936</v>
      </c>
      <c r="M23" s="20" t="n">
        <v>11422</v>
      </c>
      <c r="N23" s="20" t="n">
        <v>11486</v>
      </c>
      <c r="O23" s="19" t="n">
        <v>39031</v>
      </c>
      <c r="P23" s="20" t="n">
        <v>39598</v>
      </c>
      <c r="Q23" s="20" t="n">
        <v>40600</v>
      </c>
      <c r="R23" s="20" t="n">
        <v>39923</v>
      </c>
      <c r="S23" s="20" t="n">
        <v>29422</v>
      </c>
      <c r="T23" s="20" t="n">
        <v>32817</v>
      </c>
      <c r="U23" s="20" t="n">
        <v>33507</v>
      </c>
      <c r="V23" s="20" t="n">
        <v>39154</v>
      </c>
      <c r="W23" s="20" t="n">
        <v>39947</v>
      </c>
      <c r="X23" s="20" t="n">
        <v>42811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20</v>
      </c>
      <c r="D25" s="12" t="n">
        <v>2257</v>
      </c>
      <c r="E25" s="12" t="n">
        <v>-295</v>
      </c>
      <c r="F25" s="12" t="n">
        <v>629</v>
      </c>
      <c r="G25" s="12" t="n">
        <v>-557</v>
      </c>
      <c r="H25" s="12" t="n">
        <v>1504</v>
      </c>
      <c r="I25" s="12" t="n">
        <v>-71</v>
      </c>
      <c r="J25" s="12" t="n">
        <v>762</v>
      </c>
      <c r="K25" s="12" t="n">
        <v>-443</v>
      </c>
      <c r="L25" s="12" t="n">
        <v>2245</v>
      </c>
      <c r="M25" s="12" t="n">
        <v>-552</v>
      </c>
      <c r="N25" s="12" t="n">
        <v>716</v>
      </c>
      <c r="O25" s="11" t="n">
        <v>4934</v>
      </c>
      <c r="P25" s="12" t="n">
        <v>4570</v>
      </c>
      <c r="Q25" s="12" t="n">
        <v>5036</v>
      </c>
      <c r="R25" s="12" t="n">
        <v>3160</v>
      </c>
      <c r="S25" s="12" t="n">
        <v>-11710</v>
      </c>
      <c r="T25" s="12" t="n">
        <v>-10951</v>
      </c>
      <c r="U25" s="12" t="n">
        <v>362</v>
      </c>
      <c r="V25" s="12" t="n">
        <v>2729</v>
      </c>
      <c r="W25" s="12" t="n">
        <v>1505</v>
      </c>
      <c r="X25" s="12" t="n">
        <v>2012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/>
      <c r="D41" s="20" t="n">
        <v>0</v>
      </c>
      <c r="E41" s="20" t="n">
        <v>180</v>
      </c>
      <c r="F41" s="20" t="n"/>
      <c r="G41" s="20" t="n"/>
      <c r="H41" s="20" t="n"/>
      <c r="I41" s="20" t="n">
        <v>0</v>
      </c>
      <c r="J41" s="20" t="n"/>
      <c r="K41" s="20" t="n"/>
      <c r="L41" s="20" t="n"/>
      <c r="M41" s="20" t="n">
        <v>0</v>
      </c>
      <c r="N41" s="20" t="n"/>
      <c r="O41" s="19" t="n"/>
      <c r="P41" s="20" t="n">
        <v>0</v>
      </c>
      <c r="Q41" s="20" t="n">
        <v>1</v>
      </c>
      <c r="R41" s="20" t="n">
        <v>0</v>
      </c>
      <c r="S41" s="20" t="n"/>
      <c r="T41" s="20" t="n">
        <v>0</v>
      </c>
      <c r="U41" s="20" t="n">
        <v>339</v>
      </c>
      <c r="V41" s="20" t="n">
        <v>180</v>
      </c>
      <c r="W41" s="20" t="n">
        <v>564</v>
      </c>
      <c r="X41" s="20" t="n">
        <v>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>
        <v>4</v>
      </c>
      <c r="P43" s="20" t="n">
        <v>1</v>
      </c>
      <c r="Q43" s="20" t="n">
        <v>0</v>
      </c>
      <c r="R43" s="20" t="n">
        <v>3</v>
      </c>
      <c r="S43" s="20" t="n">
        <v>3104</v>
      </c>
      <c r="T43" s="20" t="n">
        <v>46</v>
      </c>
      <c r="U43" s="20" t="n">
        <v>0</v>
      </c>
      <c r="V43" s="20" t="n">
        <v>6</v>
      </c>
      <c r="W43" s="20" t="n">
        <v>4</v>
      </c>
      <c r="X43" s="20" t="n">
        <v>0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129</v>
      </c>
      <c r="D45" s="20" t="n">
        <v>95</v>
      </c>
      <c r="E45" s="20" t="n">
        <v>195</v>
      </c>
      <c r="F45" s="20" t="n">
        <v>65</v>
      </c>
      <c r="G45" s="20" t="n">
        <v>146</v>
      </c>
      <c r="H45" s="20" t="n">
        <v>89</v>
      </c>
      <c r="I45" s="20" t="n">
        <v>169</v>
      </c>
      <c r="J45" s="20" t="n">
        <v>86</v>
      </c>
      <c r="K45" s="20" t="n">
        <v>170</v>
      </c>
      <c r="L45" s="20" t="n">
        <v>97</v>
      </c>
      <c r="M45" s="20" t="n">
        <v>183</v>
      </c>
      <c r="N45" s="20" t="n">
        <v>103</v>
      </c>
      <c r="O45" s="19" t="n">
        <v>230</v>
      </c>
      <c r="P45" s="20" t="n">
        <v>222</v>
      </c>
      <c r="Q45" s="20" t="n">
        <v>277</v>
      </c>
      <c r="R45" s="20" t="n">
        <v>334</v>
      </c>
      <c r="S45" s="20" t="n">
        <v>3808</v>
      </c>
      <c r="T45" s="20" t="n">
        <v>3050</v>
      </c>
      <c r="U45" s="20" t="n">
        <v>1137</v>
      </c>
      <c r="V45" s="20" t="n">
        <v>476</v>
      </c>
      <c r="W45" s="20" t="n">
        <v>469</v>
      </c>
      <c r="X45" s="20" t="n">
        <v>536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2</v>
      </c>
      <c r="D47" s="20" t="n">
        <v>0</v>
      </c>
      <c r="E47" s="20" t="n">
        <v>5</v>
      </c>
      <c r="F47" s="20" t="n">
        <v>1</v>
      </c>
      <c r="G47" s="20" t="n">
        <v>5</v>
      </c>
      <c r="H47" s="20" t="n">
        <v>4</v>
      </c>
      <c r="I47" s="20" t="n">
        <v>5</v>
      </c>
      <c r="J47" s="20" t="n">
        <v>4</v>
      </c>
      <c r="K47" s="20" t="n">
        <v>15</v>
      </c>
      <c r="L47" s="20" t="n">
        <v>-8</v>
      </c>
      <c r="M47" s="20" t="n">
        <v>14</v>
      </c>
      <c r="N47" s="20" t="n">
        <v>44</v>
      </c>
      <c r="O47" s="19" t="n"/>
      <c r="P47" s="20" t="n"/>
      <c r="Q47" s="20" t="n"/>
      <c r="R47" s="20" t="n"/>
      <c r="S47" s="20" t="n">
        <v>0</v>
      </c>
      <c r="T47" s="20" t="n">
        <v>44</v>
      </c>
      <c r="U47" s="20" t="n">
        <v>2</v>
      </c>
      <c r="V47" s="20" t="n">
        <v>7</v>
      </c>
      <c r="W47" s="20" t="n">
        <v>15</v>
      </c>
      <c r="X47" s="20" t="n">
        <v>25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147</v>
      </c>
      <c r="D49" s="12" t="n">
        <v>2351</v>
      </c>
      <c r="E49" s="12" t="n">
        <v>71</v>
      </c>
      <c r="F49" s="12" t="n">
        <v>693</v>
      </c>
      <c r="G49" s="12" t="n">
        <v>-416</v>
      </c>
      <c r="H49" s="12" t="n">
        <v>2153</v>
      </c>
      <c r="I49" s="12" t="n">
        <v>89</v>
      </c>
      <c r="J49" s="12" t="n">
        <v>844</v>
      </c>
      <c r="K49" s="12" t="n">
        <v>-288</v>
      </c>
      <c r="L49" s="12" t="n">
        <v>2350</v>
      </c>
      <c r="M49" s="12" t="n">
        <v>-384</v>
      </c>
      <c r="N49" s="12" t="n">
        <v>775</v>
      </c>
      <c r="O49" s="11" t="n">
        <v>5160</v>
      </c>
      <c r="P49" s="12" t="n">
        <v>4792</v>
      </c>
      <c r="Q49" s="12" t="n">
        <v>5315</v>
      </c>
      <c r="R49" s="12" t="n">
        <v>3492</v>
      </c>
      <c r="S49" s="12" t="n">
        <v>-11006</v>
      </c>
      <c r="T49" s="12" t="n">
        <v>-7991</v>
      </c>
      <c r="U49" s="12" t="n">
        <v>1837</v>
      </c>
      <c r="V49" s="12" t="n">
        <v>3373</v>
      </c>
      <c r="W49" s="12" t="n">
        <v>2519</v>
      </c>
      <c r="X49" s="12" t="n">
        <v>2522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9</v>
      </c>
      <c r="D51" s="20" t="n">
        <v>11</v>
      </c>
      <c r="E51" s="20" t="n">
        <v>19</v>
      </c>
      <c r="F51" s="20" t="n">
        <v>9</v>
      </c>
      <c r="G51" s="20" t="n">
        <v>7</v>
      </c>
      <c r="H51" s="20" t="n">
        <v>12</v>
      </c>
      <c r="I51" s="20" t="n">
        <v>-22</v>
      </c>
      <c r="J51" s="20" t="n">
        <v>16</v>
      </c>
      <c r="K51" s="20" t="n">
        <v>9</v>
      </c>
      <c r="L51" s="20" t="n">
        <v>14</v>
      </c>
      <c r="M51" s="20" t="n">
        <v>-1708</v>
      </c>
      <c r="N51" s="20" t="n">
        <v>488</v>
      </c>
      <c r="O51" s="19" t="n">
        <v>1471</v>
      </c>
      <c r="P51" s="20" t="n">
        <v>1523</v>
      </c>
      <c r="Q51" s="20" t="n">
        <v>1629</v>
      </c>
      <c r="R51" s="20" t="n">
        <v>1087</v>
      </c>
      <c r="S51" s="20" t="n">
        <v>3357</v>
      </c>
      <c r="T51" s="20" t="n">
        <v>-34</v>
      </c>
      <c r="U51" s="20" t="n">
        <v>2</v>
      </c>
      <c r="V51" s="20" t="n">
        <v>54</v>
      </c>
      <c r="W51" s="20" t="n">
        <v>6</v>
      </c>
      <c r="X51" s="20" t="n">
        <v>-1669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138</v>
      </c>
      <c r="D53" s="12" t="n">
        <v>2340</v>
      </c>
      <c r="E53" s="12" t="n">
        <v>52</v>
      </c>
      <c r="F53" s="12" t="n">
        <v>684</v>
      </c>
      <c r="G53" s="12" t="n">
        <v>-424</v>
      </c>
      <c r="H53" s="12" t="n">
        <v>2142</v>
      </c>
      <c r="I53" s="12" t="n">
        <v>110</v>
      </c>
      <c r="J53" s="12" t="n">
        <v>828</v>
      </c>
      <c r="K53" s="12" t="n">
        <v>-298</v>
      </c>
      <c r="L53" s="12" t="n">
        <v>2336</v>
      </c>
      <c r="M53" s="12" t="n">
        <v>1326</v>
      </c>
      <c r="N53" s="12" t="n">
        <v>286</v>
      </c>
      <c r="O53" s="11" t="n">
        <v>3689</v>
      </c>
      <c r="P53" s="12" t="n">
        <v>3268</v>
      </c>
      <c r="Q53" s="12" t="n">
        <v>3686</v>
      </c>
      <c r="R53" s="12" t="n">
        <v>2404</v>
      </c>
      <c r="S53" s="12" t="n">
        <v>-14363</v>
      </c>
      <c r="T53" s="12" t="n">
        <v>-7957</v>
      </c>
      <c r="U53" s="12" t="n">
        <v>1835</v>
      </c>
      <c r="V53" s="12" t="n">
        <v>3319</v>
      </c>
      <c r="W53" s="12" t="n">
        <v>2512</v>
      </c>
      <c r="X53" s="12" t="n">
        <v>4192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138</v>
      </c>
      <c r="D55" s="12" t="n">
        <v>2340</v>
      </c>
      <c r="E55" s="12" t="n">
        <v>110</v>
      </c>
      <c r="F55" s="12" t="n">
        <v>684</v>
      </c>
      <c r="G55" s="12" t="n">
        <v>-424</v>
      </c>
      <c r="H55" s="12" t="n">
        <v>2142</v>
      </c>
      <c r="I55" s="12" t="n">
        <v>183</v>
      </c>
      <c r="J55" s="12" t="n">
        <v>828</v>
      </c>
      <c r="K55" s="12" t="n">
        <v>-298</v>
      </c>
      <c r="L55" s="12" t="n">
        <v>2336</v>
      </c>
      <c r="M55" s="12" t="n">
        <v>1424</v>
      </c>
      <c r="N55" s="12" t="n">
        <v>286</v>
      </c>
      <c r="O55" s="11" t="n">
        <v>3689</v>
      </c>
      <c r="P55" s="12" t="n">
        <v>3399</v>
      </c>
      <c r="Q55" s="12" t="n">
        <v>3686</v>
      </c>
      <c r="R55" s="12" t="n">
        <v>2404</v>
      </c>
      <c r="S55" s="12" t="n">
        <v>-14363</v>
      </c>
      <c r="T55" s="12" t="n">
        <v>-7886</v>
      </c>
      <c r="U55" s="12" t="n">
        <v>1951</v>
      </c>
      <c r="V55" s="12" t="n">
        <v>3377</v>
      </c>
      <c r="W55" s="12" t="n">
        <v>2585</v>
      </c>
      <c r="X55" s="12" t="n">
        <v>4290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(2026.10.28)</t>
        </is>
      </c>
      <c r="B59" s="27" t="n">
        <v>894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118800000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2026.10.28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11766</v>
      </c>
      <c r="D90" s="12" t="n">
        <v>15528</v>
      </c>
      <c r="E90" s="12" t="n">
        <v>13079</v>
      </c>
      <c r="F90" s="12" t="n">
        <v>13326</v>
      </c>
      <c r="G90" s="12" t="n">
        <v>11413</v>
      </c>
      <c r="H90" s="12" t="n">
        <v>14624</v>
      </c>
      <c r="I90" s="12" t="n">
        <v>12730</v>
      </c>
      <c r="J90" s="12" t="n">
        <v>13584</v>
      </c>
      <c r="K90" s="12" t="n">
        <v>11842</v>
      </c>
      <c r="L90" s="12" t="n">
        <v>16547</v>
      </c>
      <c r="M90" s="12" t="n">
        <v>13732</v>
      </c>
      <c r="N90" s="12" t="n">
        <v>14813</v>
      </c>
      <c r="T90" s="12" t="n">
        <v>6592</v>
      </c>
      <c r="U90" s="12" t="n">
        <v>11679</v>
      </c>
      <c r="V90" s="12" t="n">
        <v>13079</v>
      </c>
      <c r="W90" s="12" t="n">
        <v>12730</v>
      </c>
      <c r="X90" s="12" t="n">
        <v>13732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Cost Of Raw Materials COS</t>
        </is>
      </c>
      <c r="C92" s="20" t="n">
        <v>2235</v>
      </c>
      <c r="D92" s="20" t="n">
        <v>3437</v>
      </c>
      <c r="E92" s="20" t="n">
        <v>2831</v>
      </c>
      <c r="F92" s="20" t="n">
        <v>2568</v>
      </c>
      <c r="G92" s="20" t="n">
        <v>2321</v>
      </c>
      <c r="H92" s="20" t="n">
        <v>3061</v>
      </c>
      <c r="I92" s="20" t="n">
        <v>2690</v>
      </c>
      <c r="J92" s="20" t="n">
        <v>2540</v>
      </c>
      <c r="K92" s="20" t="n">
        <v>2113</v>
      </c>
      <c r="L92" s="20" t="n">
        <v>3366</v>
      </c>
      <c r="M92" s="20" t="n">
        <v>2863</v>
      </c>
      <c r="N92" s="20" t="n">
        <v>2610</v>
      </c>
      <c r="T92" s="20" t="n">
        <v>1555</v>
      </c>
      <c r="U92" s="20" t="n">
        <v>2475</v>
      </c>
      <c r="V92" s="20" t="n">
        <v>2831</v>
      </c>
      <c r="W92" s="20" t="n">
        <v>2690</v>
      </c>
      <c r="X92" s="20" t="n">
        <v>2863</v>
      </c>
    </row>
    <row r="93">
      <c r="A93" s="18" t="inlineStr">
        <is>
          <t>판매비와 관리비</t>
        </is>
      </c>
      <c r="C93" s="20" t="n">
        <v>9511</v>
      </c>
      <c r="D93" s="20" t="n">
        <v>9835</v>
      </c>
      <c r="E93" s="20" t="n">
        <v>10542</v>
      </c>
      <c r="F93" s="20" t="n">
        <v>10128</v>
      </c>
      <c r="G93" s="20" t="n">
        <v>9648</v>
      </c>
      <c r="H93" s="20" t="n">
        <v>10060</v>
      </c>
      <c r="I93" s="20" t="n">
        <v>10111</v>
      </c>
      <c r="J93" s="20" t="n">
        <v>10281</v>
      </c>
      <c r="K93" s="20" t="n">
        <v>10172</v>
      </c>
      <c r="L93" s="20" t="n">
        <v>10936</v>
      </c>
      <c r="M93" s="20" t="n">
        <v>11422</v>
      </c>
      <c r="N93" s="20" t="n">
        <v>11486</v>
      </c>
      <c r="T93" s="20" t="n">
        <v>9179</v>
      </c>
      <c r="U93" s="20" t="n">
        <v>9380</v>
      </c>
      <c r="V93" s="20" t="n">
        <v>10542</v>
      </c>
      <c r="W93" s="20" t="n">
        <v>10111</v>
      </c>
      <c r="X93" s="20" t="n">
        <v>11422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IF(OR(G93="",C93=""),"",IF(G93*C93&lt;=0,"",IFERROR(G93/C93-1,"")))</f>
        <v/>
      </c>
      <c r="H94" s="15">
        <f>IF(OR(H93="",D93=""),"",IF(H93*D93&lt;=0,"",IFERROR(H93/D93-1,"")))</f>
        <v/>
      </c>
      <c r="I94" s="15">
        <f>IF(OR(I93="",E93=""),"",IF(I93*E93&lt;=0,"",IFERROR(I93/E93-1,"")))</f>
        <v/>
      </c>
      <c r="J94" s="15">
        <f>IF(OR(J93="",F93=""),"",IF(J93*F93&lt;=0,"",IFERROR(J93/F93-1,"")))</f>
        <v/>
      </c>
      <c r="K94" s="15">
        <f>IF(OR(K93="",G93=""),"",IF(K93*G93&lt;=0,"",IFERROR(K93/G93-1,"")))</f>
        <v/>
      </c>
      <c r="L94" s="15">
        <f>IF(OR(L93="",H93=""),"",IF(L93*H93&lt;=0,"",IFERROR(L93/H93-1,"")))</f>
        <v/>
      </c>
      <c r="M94" s="15">
        <f>IF(OR(M93="",I93=""),"",IF(M93*I93&lt;=0,"",IFERROR(M93/I93-1,"")))</f>
        <v/>
      </c>
      <c r="N94" s="15">
        <f>IF(OR(N93="",J93=""),"",IF(N93*J93&lt;=0,"",IFERROR(N93/J93-1,"")))</f>
        <v/>
      </c>
      <c r="T94" s="15">
        <f>IF(OR(T93="",S93=""),"",IF(T93*S93&lt;=0,"",IFERROR(T93/S93-1,"")))</f>
        <v/>
      </c>
      <c r="U94" s="15">
        <f>IF(OR(U93="",T93=""),"",IF(U93*T93&lt;=0,"",IFERROR(U93/T93-1,"")))</f>
        <v/>
      </c>
      <c r="V94" s="15">
        <f>IF(OR(V93="",U93=""),"",IF(V93*U93&lt;=0,"",IFERROR(V93/U93-1,"")))</f>
        <v/>
      </c>
      <c r="W94" s="15">
        <f>IF(OR(W93="",V93=""),"",IF(W93*V93&lt;=0,"",IFERROR(W93/V93-1,"")))</f>
        <v/>
      </c>
      <c r="X94" s="15">
        <f>IF(OR(X93="",W93=""),"",IF(X93*W93&lt;=0,"",IFERROR(X93/W93-1,"")))</f>
        <v/>
      </c>
    </row>
    <row r="95">
      <c r="A95" s="9" t="inlineStr">
        <is>
          <t>영업이익</t>
        </is>
      </c>
      <c r="C95" s="12" t="n">
        <v>20</v>
      </c>
      <c r="D95" s="12" t="n">
        <v>2257</v>
      </c>
      <c r="E95" s="12" t="n">
        <v>-295</v>
      </c>
      <c r="F95" s="12" t="n">
        <v>629</v>
      </c>
      <c r="G95" s="12" t="n">
        <v>-557</v>
      </c>
      <c r="H95" s="12" t="n">
        <v>1504</v>
      </c>
      <c r="I95" s="12" t="n">
        <v>-71</v>
      </c>
      <c r="J95" s="12" t="n">
        <v>762</v>
      </c>
      <c r="K95" s="12" t="n">
        <v>-443</v>
      </c>
      <c r="L95" s="12" t="n">
        <v>2245</v>
      </c>
      <c r="M95" s="12" t="n">
        <v>-552</v>
      </c>
      <c r="N95" s="12" t="n">
        <v>716</v>
      </c>
      <c r="T95" s="12" t="n">
        <v>-4141</v>
      </c>
      <c r="U95" s="12" t="n">
        <v>-177</v>
      </c>
      <c r="V95" s="12" t="n">
        <v>-295</v>
      </c>
      <c r="W95" s="12" t="n">
        <v>-71</v>
      </c>
      <c r="X95" s="12" t="n">
        <v>-552</v>
      </c>
    </row>
    <row r="96">
      <c r="A96" s="43" t="inlineStr">
        <is>
          <t>OPM</t>
        </is>
      </c>
      <c r="B96" s="3" t="inlineStr">
        <is>
          <t>영업이익 ÷ 매출</t>
        </is>
      </c>
      <c r="C96" s="15">
        <f>IF(OR(C95="",C90=""),"",IF(C90&lt;=0,"",IFERROR(C95/C90,"")))</f>
        <v/>
      </c>
      <c r="D96" s="15">
        <f>IF(OR(D95="",D90=""),"",IF(D90&lt;=0,"",IFERROR(D95/D90,"")))</f>
        <v/>
      </c>
      <c r="E96" s="15">
        <f>IF(OR(E95="",E90=""),"",IF(E90&lt;=0,"",IFERROR(E95/E90,"")))</f>
        <v/>
      </c>
      <c r="F96" s="15">
        <f>IF(OR(F95="",F90=""),"",IF(F90&lt;=0,"",IFERROR(F95/F90,"")))</f>
        <v/>
      </c>
      <c r="G96" s="15">
        <f>IF(OR(G95="",G90=""),"",IF(G90&lt;=0,"",IFERROR(G95/G90,"")))</f>
        <v/>
      </c>
      <c r="H96" s="15">
        <f>IF(OR(H95="",H90=""),"",IF(H90&lt;=0,"",IFERROR(H95/H90,"")))</f>
        <v/>
      </c>
      <c r="I96" s="15">
        <f>IF(OR(I95="",I90=""),"",IF(I90&lt;=0,"",IFERROR(I95/I90,"")))</f>
        <v/>
      </c>
      <c r="J96" s="15">
        <f>IF(OR(J95="",J90=""),"",IF(J90&lt;=0,"",IFERROR(J95/J90,"")))</f>
        <v/>
      </c>
      <c r="K96" s="15">
        <f>IF(OR(K95="",K90=""),"",IF(K90&lt;=0,"",IFERROR(K95/K90,"")))</f>
        <v/>
      </c>
      <c r="L96" s="15">
        <f>IF(OR(L95="",L90=""),"",IF(L90&lt;=0,"",IFERROR(L95/L90,"")))</f>
        <v/>
      </c>
      <c r="M96" s="15">
        <f>IF(OR(M95="",M90=""),"",IF(M90&lt;=0,"",IFERROR(M95/M90,"")))</f>
        <v/>
      </c>
      <c r="N96" s="15">
        <f>IF(OR(N95="",N90=""),"",IF(N90&lt;=0,"",IFERROR(N95/N90,"")))</f>
        <v/>
      </c>
      <c r="T96" s="15">
        <f>IF(OR(T95="",T90=""),"",IF(T90&lt;=0,"",IFERROR(T95/T90,"")))</f>
        <v/>
      </c>
      <c r="U96" s="15">
        <f>IF(OR(U95="",U90=""),"",IF(U90&lt;=0,"",IFERROR(U95/U90,"")))</f>
        <v/>
      </c>
      <c r="V96" s="15">
        <f>IF(OR(V95="",V90=""),"",IF(V90&lt;=0,"",IFERROR(V95/V90,"")))</f>
        <v/>
      </c>
      <c r="W96" s="15">
        <f>IF(OR(W95="",W90=""),"",IF(W90&lt;=0,"",IFERROR(W95/W90,"")))</f>
        <v/>
      </c>
      <c r="X96" s="15">
        <f>IF(OR(X95="",X90=""),"",IF(X90&lt;=0,"",IFERROR(X95/X90,"")))</f>
        <v/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IF(OR(G95="",C95=""),"",IF(C95&lt;=0,"",IFERROR(G95/C95-1,"")))</f>
        <v/>
      </c>
      <c r="H97" s="15">
        <f>IF(OR(H95="",D95=""),"",IF(D95&lt;=0,"",IFERROR(H95/D95-1,"")))</f>
        <v/>
      </c>
      <c r="I97" s="15">
        <f>IF(OR(I95="",E95=""),"",IF(E95&lt;=0,"",IFERROR(I95/E95-1,"")))</f>
        <v/>
      </c>
      <c r="J97" s="15">
        <f>IF(OR(J95="",F95=""),"",IF(F95&lt;=0,"",IFERROR(J95/F95-1,"")))</f>
        <v/>
      </c>
      <c r="K97" s="15">
        <f>IF(OR(K95="",G95=""),"",IF(G95&lt;=0,"",IFERROR(K95/G95-1,"")))</f>
        <v/>
      </c>
      <c r="L97" s="15">
        <f>IF(OR(L95="",H95=""),"",IF(H95&lt;=0,"",IFERROR(L95/H95-1,"")))</f>
        <v/>
      </c>
      <c r="M97" s="15">
        <f>IF(OR(M95="",I95=""),"",IF(I95&lt;=0,"",IFERROR(M95/I95-1,"")))</f>
        <v/>
      </c>
      <c r="N97" s="15">
        <f>IF(OR(N95="",J95=""),"",IF(J95&lt;=0,"",IFERROR(N95/J95-1,"")))</f>
        <v/>
      </c>
      <c r="T97" s="15">
        <f>IF(OR(T95="",S95=""),"",IF(S95&lt;=0,"",IFERROR(T95/S95-1,"")))</f>
        <v/>
      </c>
      <c r="U97" s="15">
        <f>IF(OR(U95="",T95=""),"",IF(T95&lt;=0,"",IFERROR(U95/T95-1,"")))</f>
        <v/>
      </c>
      <c r="V97" s="15">
        <f>IF(OR(V95="",U95=""),"",IF(U95&lt;=0,"",IFERROR(V95/U95-1,"")))</f>
        <v/>
      </c>
      <c r="W97" s="15">
        <f>IF(OR(W95="",V95=""),"",IF(V95&lt;=0,"",IFERROR(W95/V95-1,"")))</f>
        <v/>
      </c>
      <c r="X97" s="15">
        <f>IF(OR(X95="",W95=""),"",IF(W95&lt;=0,"",IFERROR(X95/W95-1,"")))</f>
        <v/>
      </c>
    </row>
    <row r="98">
      <c r="A98" s="18" t="inlineStr">
        <is>
          <t>이자수익</t>
        </is>
      </c>
      <c r="C98" s="20" t="n">
        <v>11</v>
      </c>
      <c r="D98" s="20" t="n">
        <v>5</v>
      </c>
      <c r="E98" s="20" t="n">
        <v>8</v>
      </c>
      <c r="F98" s="20" t="n">
        <v>3</v>
      </c>
      <c r="G98" s="20" t="n">
        <v>15</v>
      </c>
      <c r="H98" s="20" t="n">
        <v>20</v>
      </c>
      <c r="I98" s="20" t="n">
        <v>18</v>
      </c>
      <c r="J98" s="20" t="n">
        <v>20</v>
      </c>
      <c r="K98" s="20" t="n">
        <v>47</v>
      </c>
      <c r="L98" s="20" t="n">
        <v>28</v>
      </c>
      <c r="M98" s="20" t="n">
        <v>35</v>
      </c>
      <c r="N98" s="20" t="n">
        <v>45</v>
      </c>
      <c r="T98" s="20" t="n">
        <v>6</v>
      </c>
      <c r="U98" s="20" t="n">
        <v>6</v>
      </c>
      <c r="V98" s="20" t="n">
        <v>8</v>
      </c>
      <c r="W98" s="20" t="n">
        <v>18</v>
      </c>
      <c r="X98" s="20" t="n">
        <v>35</v>
      </c>
    </row>
    <row r="99">
      <c r="A99" s="18" t="inlineStr">
        <is>
          <t>배당금수익</t>
        </is>
      </c>
      <c r="C99" s="20" t="n">
        <v>11</v>
      </c>
      <c r="D99" s="20" t="n">
        <v>15</v>
      </c>
      <c r="E99" s="20" t="n">
        <v>68</v>
      </c>
      <c r="F99" s="20" t="n">
        <v>18</v>
      </c>
      <c r="G99" s="20" t="n">
        <v>12</v>
      </c>
      <c r="H99" s="20" t="n">
        <v>20</v>
      </c>
      <c r="I99" s="20" t="n">
        <v>48</v>
      </c>
      <c r="J99" s="20" t="n">
        <v>21</v>
      </c>
      <c r="K99" s="20" t="n">
        <v>15</v>
      </c>
      <c r="L99" s="20" t="n">
        <v>22</v>
      </c>
      <c r="M99" s="20" t="n">
        <v>37</v>
      </c>
      <c r="N99" s="20" t="n">
        <v>24</v>
      </c>
      <c r="T99" s="20" t="n">
        <v>62</v>
      </c>
      <c r="U99" s="20" t="n">
        <v>64</v>
      </c>
      <c r="V99" s="20" t="n">
        <v>68</v>
      </c>
      <c r="W99" s="20" t="n">
        <v>48</v>
      </c>
      <c r="X99" s="20" t="n">
        <v>37</v>
      </c>
    </row>
    <row r="100">
      <c r="A100" s="18" t="inlineStr">
        <is>
          <t>수수료 수익</t>
        </is>
      </c>
      <c r="C100" s="20" t="n">
        <v>111</v>
      </c>
      <c r="D100" s="20" t="n">
        <v>12</v>
      </c>
      <c r="E100" s="20" t="n">
        <v>104</v>
      </c>
      <c r="F100" s="20" t="n">
        <v>7</v>
      </c>
      <c r="G100" s="20" t="n">
        <v>117</v>
      </c>
      <c r="H100" s="20" t="n">
        <v>7</v>
      </c>
      <c r="I100" s="20" t="n">
        <v>111</v>
      </c>
      <c r="J100" s="20" t="n">
        <v>8</v>
      </c>
      <c r="K100" s="20" t="n">
        <v>111</v>
      </c>
      <c r="L100" s="20" t="n">
        <v>6</v>
      </c>
      <c r="M100" s="20" t="n">
        <v>114</v>
      </c>
      <c r="N100" s="20" t="n">
        <v>4</v>
      </c>
      <c r="U100" s="20" t="n">
        <v>104</v>
      </c>
      <c r="V100" s="20" t="n">
        <v>104</v>
      </c>
      <c r="W100" s="20" t="n">
        <v>111</v>
      </c>
      <c r="X100" s="20" t="n">
        <v>114</v>
      </c>
    </row>
    <row r="101">
      <c r="A101" s="18" t="inlineStr">
        <is>
          <t>지분법이익</t>
        </is>
      </c>
      <c r="C101" s="20" t="n">
        <v>-8</v>
      </c>
      <c r="D101" s="20" t="n">
        <v>42</v>
      </c>
      <c r="E101" s="20" t="n">
        <v>-13</v>
      </c>
      <c r="F101" s="20" t="n">
        <v>8</v>
      </c>
      <c r="G101" s="20" t="n">
        <v>-7</v>
      </c>
      <c r="H101" s="20" t="n">
        <v>32</v>
      </c>
      <c r="I101" s="20" t="n">
        <v>7</v>
      </c>
      <c r="J101" s="20" t="n">
        <v>9</v>
      </c>
      <c r="K101" s="20" t="n">
        <v>-9</v>
      </c>
      <c r="L101" s="20" t="n">
        <v>29</v>
      </c>
      <c r="M101" s="20" t="n">
        <v>3</v>
      </c>
      <c r="N101" s="20" t="n">
        <v>6</v>
      </c>
      <c r="T101" s="20" t="n">
        <v>-3</v>
      </c>
      <c r="U101" s="20" t="n">
        <v>1</v>
      </c>
      <c r="V101" s="20" t="n">
        <v>-13</v>
      </c>
      <c r="W101" s="20" t="n">
        <v>7</v>
      </c>
      <c r="X101" s="20" t="n">
        <v>3</v>
      </c>
    </row>
    <row r="102">
      <c r="A102" s="18" t="inlineStr">
        <is>
          <t>고용조정 보조금</t>
        </is>
      </c>
      <c r="C102" s="20" t="n">
        <v>1</v>
      </c>
      <c r="D102" s="20" t="n">
        <v>0</v>
      </c>
      <c r="T102" s="20" t="n">
        <v>-112</v>
      </c>
      <c r="U102" s="20" t="n">
        <v>-112</v>
      </c>
    </row>
    <row r="103">
      <c r="A103" s="18" t="inlineStr">
        <is>
          <t>Subsidy Income Related To COVITNOI</t>
        </is>
      </c>
      <c r="C103" s="20" t="n">
        <v>0</v>
      </c>
      <c r="D103" s="20" t="n">
        <v>0</v>
      </c>
      <c r="T103" s="20" t="n">
        <v>311</v>
      </c>
      <c r="U103" s="20" t="n">
        <v>5</v>
      </c>
    </row>
    <row r="104">
      <c r="A104" s="18" t="inlineStr">
        <is>
          <t>기타</t>
        </is>
      </c>
      <c r="C104" s="20" t="n">
        <v>5</v>
      </c>
      <c r="D104" s="20" t="n">
        <v>20</v>
      </c>
      <c r="E104" s="20" t="n">
        <v>62</v>
      </c>
      <c r="F104" s="20" t="n">
        <v>27</v>
      </c>
      <c r="G104" s="20" t="n">
        <v>9</v>
      </c>
      <c r="H104" s="20" t="n">
        <v>10</v>
      </c>
      <c r="I104" s="20" t="n">
        <v>26</v>
      </c>
      <c r="J104" s="20" t="n">
        <v>25</v>
      </c>
      <c r="K104" s="20" t="n">
        <v>8</v>
      </c>
      <c r="L104" s="20" t="n">
        <v>12</v>
      </c>
      <c r="M104" s="20" t="n">
        <v>26</v>
      </c>
      <c r="N104" s="20" t="n">
        <v>22</v>
      </c>
      <c r="T104" s="20" t="n">
        <v>-25</v>
      </c>
      <c r="U104" s="20" t="n">
        <v>668</v>
      </c>
      <c r="V104" s="20" t="n">
        <v>62</v>
      </c>
      <c r="W104" s="20" t="n">
        <v>26</v>
      </c>
      <c r="X104" s="20" t="n">
        <v>26</v>
      </c>
    </row>
    <row r="105">
      <c r="A105" s="18" t="inlineStr">
        <is>
          <t>영업외수익 합계</t>
        </is>
      </c>
      <c r="C105" s="20" t="n">
        <v>129</v>
      </c>
      <c r="D105" s="20" t="n">
        <v>95</v>
      </c>
      <c r="E105" s="20" t="n">
        <v>195</v>
      </c>
      <c r="F105" s="20" t="n">
        <v>65</v>
      </c>
      <c r="G105" s="20" t="n">
        <v>146</v>
      </c>
      <c r="H105" s="20" t="n">
        <v>89</v>
      </c>
      <c r="I105" s="20" t="n">
        <v>169</v>
      </c>
      <c r="J105" s="20" t="n">
        <v>86</v>
      </c>
      <c r="K105" s="20" t="n">
        <v>170</v>
      </c>
      <c r="L105" s="20" t="n">
        <v>97</v>
      </c>
      <c r="M105" s="20" t="n">
        <v>183</v>
      </c>
      <c r="N105" s="20" t="n">
        <v>103</v>
      </c>
      <c r="T105" s="20" t="n">
        <v>390</v>
      </c>
      <c r="U105" s="20" t="n">
        <v>53</v>
      </c>
      <c r="V105" s="20" t="n">
        <v>195</v>
      </c>
      <c r="W105" s="20" t="n">
        <v>169</v>
      </c>
      <c r="X105" s="20" t="n">
        <v>183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18" t="inlineStr">
        <is>
          <t>이자비용</t>
        </is>
      </c>
      <c r="J107" s="20" t="n">
        <v>0</v>
      </c>
      <c r="N107" s="20" t="n">
        <v>44</v>
      </c>
    </row>
    <row r="108">
      <c r="A108" s="18" t="inlineStr">
        <is>
          <t>지급수수료</t>
        </is>
      </c>
      <c r="C108" s="20" t="n">
        <v>2</v>
      </c>
      <c r="D108" s="20" t="n">
        <v>0</v>
      </c>
      <c r="E108" s="20" t="n">
        <v>5</v>
      </c>
      <c r="F108" s="20" t="n">
        <v>1</v>
      </c>
      <c r="G108" s="20" t="n">
        <v>5</v>
      </c>
      <c r="H108" s="20" t="n">
        <v>4</v>
      </c>
      <c r="I108" s="20" t="n">
        <v>5</v>
      </c>
      <c r="J108" s="20" t="n">
        <v>4</v>
      </c>
      <c r="K108" s="20" t="n">
        <v>4</v>
      </c>
      <c r="L108" s="20" t="n">
        <v>3</v>
      </c>
      <c r="M108" s="20" t="n">
        <v>1</v>
      </c>
      <c r="N108" s="20" t="n">
        <v>0</v>
      </c>
      <c r="T108" s="20" t="n">
        <v>44</v>
      </c>
      <c r="U108" s="20" t="n">
        <v>1</v>
      </c>
      <c r="V108" s="20" t="n">
        <v>5</v>
      </c>
      <c r="W108" s="20" t="n">
        <v>5</v>
      </c>
      <c r="X108" s="20" t="n">
        <v>1</v>
      </c>
    </row>
    <row r="109">
      <c r="A109" s="18" t="inlineStr">
        <is>
          <t>영업외비용 합계</t>
        </is>
      </c>
      <c r="C109" s="20" t="n">
        <v>2</v>
      </c>
      <c r="D109" s="20" t="n">
        <v>0</v>
      </c>
      <c r="E109" s="20" t="n">
        <v>5</v>
      </c>
      <c r="F109" s="20" t="n">
        <v>1</v>
      </c>
      <c r="G109" s="20" t="n">
        <v>5</v>
      </c>
      <c r="H109" s="20" t="n">
        <v>4</v>
      </c>
      <c r="I109" s="20" t="n">
        <v>5</v>
      </c>
      <c r="J109" s="20" t="n">
        <v>4</v>
      </c>
      <c r="K109" s="20" t="n">
        <v>15</v>
      </c>
      <c r="L109" s="20" t="n">
        <v>-8</v>
      </c>
      <c r="M109" s="20" t="n">
        <v>14</v>
      </c>
      <c r="N109" s="20" t="n">
        <v>44</v>
      </c>
      <c r="T109" s="20" t="n">
        <v>44</v>
      </c>
      <c r="U109" s="20" t="n">
        <v>1</v>
      </c>
      <c r="V109" s="20" t="n">
        <v>5</v>
      </c>
      <c r="W109" s="20" t="n">
        <v>5</v>
      </c>
      <c r="X109" s="20" t="n">
        <v>14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T110" s="15">
        <f>IF(OR(T109="",S109=""),"",IF(T109*S109&lt;=0,"",IFERROR(T109/S109-1,"")))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9" t="inlineStr">
        <is>
          <t>경상이익</t>
        </is>
      </c>
      <c r="C111" s="12" t="n">
        <v>147</v>
      </c>
      <c r="D111" s="12" t="n">
        <v>2351</v>
      </c>
      <c r="E111" s="12" t="n">
        <v>-103</v>
      </c>
      <c r="F111" s="12" t="n">
        <v>693</v>
      </c>
      <c r="G111" s="12" t="n">
        <v>-416</v>
      </c>
      <c r="H111" s="12" t="n">
        <v>1589</v>
      </c>
      <c r="I111" s="12" t="n">
        <v>93</v>
      </c>
      <c r="J111" s="12" t="n">
        <v>844</v>
      </c>
      <c r="K111" s="12" t="n">
        <v>-288</v>
      </c>
      <c r="L111" s="12" t="n">
        <v>2350</v>
      </c>
      <c r="M111" s="12" t="n">
        <v>-384</v>
      </c>
      <c r="N111" s="12" t="n">
        <v>775</v>
      </c>
      <c r="T111" s="12" t="n">
        <v>-3795</v>
      </c>
      <c r="U111" s="12" t="n">
        <v>-126</v>
      </c>
      <c r="V111" s="12" t="n">
        <v>-103</v>
      </c>
      <c r="W111" s="12" t="n">
        <v>93</v>
      </c>
      <c r="X111" s="12" t="n">
        <v>-384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IF(OR(G111="",C111=""),"",IF(C111&lt;=0,"",IFERROR(G111/C111-1,"")))</f>
        <v/>
      </c>
      <c r="H112" s="15">
        <f>IF(OR(H111="",D111=""),"",IF(D111&lt;=0,"",IFERROR(H111/D111-1,"")))</f>
        <v/>
      </c>
      <c r="I112" s="15">
        <f>IF(OR(I111="",E111=""),"",IF(E111&lt;=0,"",IFERROR(I111/E111-1,"")))</f>
        <v/>
      </c>
      <c r="J112" s="15">
        <f>IF(OR(J111="",F111=""),"",IF(F111&lt;=0,"",IFERROR(J111/F111-1,"")))</f>
        <v/>
      </c>
      <c r="K112" s="15">
        <f>IF(OR(K111="",G111=""),"",IF(G111&lt;=0,"",IFERROR(K111/G111-1,"")))</f>
        <v/>
      </c>
      <c r="L112" s="15">
        <f>IF(OR(L111="",H111=""),"",IF(H111&lt;=0,"",IFERROR(L111/H111-1,"")))</f>
        <v/>
      </c>
      <c r="M112" s="15">
        <f>IF(OR(M111="",I111=""),"",IF(I111&lt;=0,"",IFERROR(M111/I111-1,"")))</f>
        <v/>
      </c>
      <c r="N112" s="15">
        <f>IF(OR(N111="",J111=""),"",IF(J111&lt;=0,"",IFERROR(N111/J111-1,"")))</f>
        <v/>
      </c>
      <c r="T112" s="15">
        <f>IF(OR(T111="",S111=""),"",IF(S111&lt;=0,"",IFERROR(T111/S111-1,"")))</f>
        <v/>
      </c>
      <c r="U112" s="15">
        <f>IF(OR(U111="",T111=""),"",IF(T111&lt;=0,"",IFERROR(U111/T111-1,"")))</f>
        <v/>
      </c>
      <c r="V112" s="15">
        <f>IF(OR(V111="",U111=""),"",IF(U111&lt;=0,"",IFERROR(V111/U111-1,"")))</f>
        <v/>
      </c>
      <c r="W112" s="15">
        <f>IF(OR(W111="",V111=""),"",IF(V111&lt;=0,"",IFERROR(W111/V111-1,"")))</f>
        <v/>
      </c>
      <c r="X112" s="15">
        <f>IF(OR(X111="",W111=""),"",IF(W111&lt;=0,"",IFERROR(X111/W111-1,"")))</f>
        <v/>
      </c>
    </row>
    <row r="113">
      <c r="A113" s="18" t="inlineStr">
        <is>
          <t>투자유가증권 매각이익</t>
        </is>
      </c>
      <c r="E113" s="20" t="n">
        <v>0</v>
      </c>
      <c r="I113" s="20" t="n">
        <v>0</v>
      </c>
      <c r="M113" s="20" t="n">
        <v>0</v>
      </c>
      <c r="V113" s="20" t="n">
        <v>0</v>
      </c>
      <c r="W113" s="20" t="n">
        <v>0</v>
      </c>
      <c r="X113" s="20" t="n">
        <v>0</v>
      </c>
    </row>
    <row r="114">
      <c r="A114" s="18" t="inlineStr">
        <is>
          <t>Reversal Of Provision For Loss On Reconstruct EI</t>
        </is>
      </c>
      <c r="D114" s="20" t="n">
        <v>0</v>
      </c>
      <c r="E114" s="20" t="n">
        <v>179</v>
      </c>
      <c r="T114" s="20" t="n">
        <v>0</v>
      </c>
      <c r="U114" s="20" t="n">
        <v>114</v>
      </c>
      <c r="V114" s="20" t="n">
        <v>179</v>
      </c>
    </row>
    <row r="115">
      <c r="A115" s="18" t="inlineStr">
        <is>
          <t>기타</t>
        </is>
      </c>
      <c r="D115" s="20" t="n">
        <v>0</v>
      </c>
      <c r="E115" s="20" t="n">
        <v>1</v>
      </c>
      <c r="T115" s="20" t="n">
        <v>0</v>
      </c>
      <c r="U115" s="20" t="n">
        <v>0</v>
      </c>
      <c r="V115" s="20" t="n">
        <v>1</v>
      </c>
    </row>
    <row r="116">
      <c r="A116" s="18" t="inlineStr">
        <is>
          <t>특별이익 합계</t>
        </is>
      </c>
      <c r="D116" s="20" t="n">
        <v>0</v>
      </c>
      <c r="E116" s="20" t="n">
        <v>180</v>
      </c>
      <c r="I116" s="20" t="n">
        <v>0</v>
      </c>
      <c r="M116" s="20" t="n">
        <v>0</v>
      </c>
      <c r="T116" s="20" t="n">
        <v>0</v>
      </c>
      <c r="U116" s="20" t="n">
        <v>114</v>
      </c>
      <c r="V116" s="20" t="n">
        <v>180</v>
      </c>
      <c r="W116" s="20" t="n">
        <v>0</v>
      </c>
      <c r="X116" s="20" t="n">
        <v>0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I117" s="15">
        <f>IF(OR(I116="",E116=""),"",IF(I116*E116&lt;=0,"",IFERROR(I116/E116-1,"")))</f>
        <v/>
      </c>
      <c r="M117" s="15">
        <f>IF(OR(M116="",I116=""),"",IF(M116*I116&lt;=0,"",IFERROR(M116/I116-1,"")))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9" t="inlineStr">
        <is>
          <t>법인세차감전 순이익</t>
        </is>
      </c>
      <c r="C118" s="12" t="n">
        <v>147</v>
      </c>
      <c r="D118" s="12" t="n">
        <v>2351</v>
      </c>
      <c r="E118" s="12" t="n">
        <v>71</v>
      </c>
      <c r="F118" s="12" t="n">
        <v>693</v>
      </c>
      <c r="G118" s="12" t="n">
        <v>-416</v>
      </c>
      <c r="H118" s="12" t="n">
        <v>2153</v>
      </c>
      <c r="I118" s="12" t="n">
        <v>89</v>
      </c>
      <c r="J118" s="12" t="n">
        <v>844</v>
      </c>
      <c r="K118" s="12" t="n">
        <v>-288</v>
      </c>
      <c r="L118" s="12" t="n">
        <v>2350</v>
      </c>
      <c r="M118" s="12" t="n">
        <v>-384</v>
      </c>
      <c r="N118" s="12" t="n">
        <v>775</v>
      </c>
      <c r="T118" s="12" t="n">
        <v>-3841</v>
      </c>
      <c r="U118" s="12" t="n">
        <v>-11</v>
      </c>
      <c r="V118" s="12" t="n">
        <v>71</v>
      </c>
      <c r="W118" s="12" t="n">
        <v>89</v>
      </c>
      <c r="X118" s="12" t="n">
        <v>-384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법인세·주민세·사업세</t>
        </is>
      </c>
      <c r="C120" s="20" t="n">
        <v>17</v>
      </c>
      <c r="D120" s="20" t="n">
        <v>1</v>
      </c>
      <c r="E120" s="20" t="n">
        <v>39</v>
      </c>
      <c r="F120" s="20" t="n">
        <v>6</v>
      </c>
      <c r="G120" s="20" t="n">
        <v>5</v>
      </c>
      <c r="H120" s="20" t="n">
        <v>5</v>
      </c>
      <c r="I120" s="20" t="n">
        <v>-9</v>
      </c>
      <c r="J120" s="20" t="n">
        <v>4</v>
      </c>
      <c r="K120" s="20" t="n">
        <v>21</v>
      </c>
      <c r="L120" s="20" t="n">
        <v>0</v>
      </c>
      <c r="M120" s="20" t="n">
        <v>122</v>
      </c>
      <c r="N120" s="20" t="n">
        <v>39</v>
      </c>
      <c r="T120" s="20" t="n">
        <v>-19</v>
      </c>
      <c r="U120" s="20" t="n">
        <v>-25</v>
      </c>
      <c r="V120" s="20" t="n">
        <v>39</v>
      </c>
      <c r="W120" s="20" t="n">
        <v>-9</v>
      </c>
      <c r="X120" s="20" t="n">
        <v>122</v>
      </c>
    </row>
    <row r="121">
      <c r="A121" s="18" t="inlineStr">
        <is>
          <t>법인세 조정액</t>
        </is>
      </c>
      <c r="C121" s="20" t="n">
        <v>-9</v>
      </c>
      <c r="D121" s="20" t="n">
        <v>11</v>
      </c>
      <c r="E121" s="20" t="n">
        <v>-19</v>
      </c>
      <c r="F121" s="20" t="n">
        <v>3</v>
      </c>
      <c r="G121" s="20" t="n">
        <v>1</v>
      </c>
      <c r="H121" s="20" t="n">
        <v>8</v>
      </c>
      <c r="I121" s="20" t="n">
        <v>-12</v>
      </c>
      <c r="J121" s="20" t="n">
        <v>11</v>
      </c>
      <c r="K121" s="20" t="n">
        <v>-11</v>
      </c>
      <c r="L121" s="20" t="n">
        <v>14</v>
      </c>
      <c r="M121" s="20" t="n">
        <v>-1831</v>
      </c>
      <c r="N121" s="20" t="n">
        <v>449</v>
      </c>
      <c r="T121" s="20" t="n">
        <v>-20</v>
      </c>
      <c r="U121" s="20" t="n">
        <v>-12</v>
      </c>
      <c r="V121" s="20" t="n">
        <v>-19</v>
      </c>
      <c r="W121" s="20" t="n">
        <v>-12</v>
      </c>
      <c r="X121" s="20" t="n">
        <v>-1831</v>
      </c>
    </row>
    <row r="122">
      <c r="A122" s="18" t="inlineStr">
        <is>
          <t>법인세 등 합계</t>
        </is>
      </c>
      <c r="C122" s="20" t="n">
        <v>9</v>
      </c>
      <c r="D122" s="20" t="n">
        <v>11</v>
      </c>
      <c r="E122" s="20" t="n">
        <v>19</v>
      </c>
      <c r="F122" s="20" t="n">
        <v>9</v>
      </c>
      <c r="G122" s="20" t="n">
        <v>7</v>
      </c>
      <c r="H122" s="20" t="n">
        <v>12</v>
      </c>
      <c r="I122" s="20" t="n">
        <v>-22</v>
      </c>
      <c r="J122" s="20" t="n">
        <v>16</v>
      </c>
      <c r="K122" s="20" t="n">
        <v>9</v>
      </c>
      <c r="L122" s="20" t="n">
        <v>14</v>
      </c>
      <c r="M122" s="20" t="n">
        <v>-1708</v>
      </c>
      <c r="N122" s="20" t="n">
        <v>488</v>
      </c>
      <c r="T122" s="20" t="n">
        <v>-39</v>
      </c>
      <c r="U122" s="20" t="n">
        <v>-37</v>
      </c>
      <c r="V122" s="20" t="n">
        <v>19</v>
      </c>
      <c r="W122" s="20" t="n">
        <v>-22</v>
      </c>
      <c r="X122" s="20" t="n">
        <v>-1708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I123" s="15">
        <f>IF(OR(I122="",E122=""),"",IF(I122*E122&lt;=0,"",IFERROR(I122/E122-1,"")))</f>
        <v/>
      </c>
      <c r="J123" s="15">
        <f>IF(OR(J122="",F122=""),"",IF(J122*F122&lt;=0,"",IFERROR(J122/F122-1,"")))</f>
        <v/>
      </c>
      <c r="K123" s="15">
        <f>IF(OR(K122="",G122=""),"",IF(K122*G122&lt;=0,"",IFERROR(K122/G122-1,"")))</f>
        <v/>
      </c>
      <c r="L123" s="15">
        <f>IF(OR(L122="",H122=""),"",IF(L122*H122&lt;=0,"",IFERROR(L122/H122-1,"")))</f>
        <v/>
      </c>
      <c r="M123" s="15">
        <f>IF(OR(M122="",I122=""),"",IF(M122*I122&lt;=0,"",IFERROR(M122/I122-1,"")))</f>
        <v/>
      </c>
      <c r="N123" s="15">
        <f>IF(OR(N122="",J122=""),"",IF(N122*J122&lt;=0,"",IFERROR(N122/J122-1,"")))</f>
        <v/>
      </c>
      <c r="T123" s="15">
        <f>IF(OR(T122="",S122=""),"",IF(T122*S122&lt;=0,"",IFERROR(T122/S122-1,"")))</f>
        <v/>
      </c>
      <c r="U123" s="15">
        <f>IF(OR(U122="",T122=""),"",IF(U122*T122&lt;=0,"",IFERROR(U122/T122-1,"")))</f>
        <v/>
      </c>
      <c r="V123" s="15">
        <f>IF(OR(V122="",U122=""),"",IF(V122*U122&lt;=0,"",IFERROR(V122/U122-1,"")))</f>
        <v/>
      </c>
      <c r="W123" s="15">
        <f>IF(OR(W122="",V122=""),"",IF(W122*V122&lt;=0,"",IFERROR(W122/V122-1,"")))</f>
        <v/>
      </c>
      <c r="X123" s="15">
        <f>IF(OR(X122="",W122=""),"",IF(X122*W122&lt;=0,"",IFERROR(X122/W122-1,"")))</f>
        <v/>
      </c>
    </row>
    <row r="124">
      <c r="A124" s="9" t="inlineStr">
        <is>
          <t>순이익</t>
        </is>
      </c>
      <c r="C124" s="12" t="n">
        <v>138</v>
      </c>
      <c r="D124" s="12" t="n">
        <v>2340</v>
      </c>
      <c r="E124" s="12" t="n">
        <v>52</v>
      </c>
      <c r="F124" s="12" t="n">
        <v>684</v>
      </c>
      <c r="G124" s="12" t="n">
        <v>-424</v>
      </c>
      <c r="H124" s="12" t="n">
        <v>2142</v>
      </c>
      <c r="I124" s="12" t="n">
        <v>110</v>
      </c>
      <c r="J124" s="12" t="n">
        <v>828</v>
      </c>
      <c r="K124" s="12" t="n">
        <v>-298</v>
      </c>
      <c r="L124" s="12" t="n">
        <v>2336</v>
      </c>
      <c r="M124" s="12" t="n">
        <v>1326</v>
      </c>
      <c r="N124" s="12" t="n">
        <v>286</v>
      </c>
      <c r="T124" s="12" t="n">
        <v>-3802</v>
      </c>
      <c r="U124" s="12" t="n">
        <v>27</v>
      </c>
      <c r="V124" s="12" t="n">
        <v>52</v>
      </c>
      <c r="W124" s="12" t="n">
        <v>110</v>
      </c>
      <c r="X124" s="12" t="n">
        <v>1326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IF(OR(G124="",C124=""),"",IF(C124&lt;=0,"",IFERROR(G124/C124-1,"")))</f>
        <v/>
      </c>
      <c r="H125" s="15">
        <f>IF(OR(H124="",D124=""),"",IF(D124&lt;=0,"",IFERROR(H124/D124-1,"")))</f>
        <v/>
      </c>
      <c r="I125" s="15">
        <f>IF(OR(I124="",E124=""),"",IF(E124&lt;=0,"",IFERROR(I124/E124-1,"")))</f>
        <v/>
      </c>
      <c r="J125" s="15">
        <f>IF(OR(J124="",F124=""),"",IF(F124&lt;=0,"",IFERROR(J124/F124-1,"")))</f>
        <v/>
      </c>
      <c r="K125" s="15">
        <f>IF(OR(K124="",G124=""),"",IF(G124&lt;=0,"",IFERROR(K124/G124-1,"")))</f>
        <v/>
      </c>
      <c r="L125" s="15">
        <f>IF(OR(L124="",H124=""),"",IF(H124&lt;=0,"",IFERROR(L124/H124-1,"")))</f>
        <v/>
      </c>
      <c r="M125" s="15">
        <f>IF(OR(M124="",I124=""),"",IF(I124&lt;=0,"",IFERROR(M124/I124-1,"")))</f>
        <v/>
      </c>
      <c r="N125" s="15">
        <f>IF(OR(N124="",J124=""),"",IF(J124&lt;=0,"",IFERROR(N124/J124-1,"")))</f>
        <v/>
      </c>
      <c r="T125" s="15">
        <f>IF(OR(T124="",S124=""),"",IF(S124&lt;=0,"",IFERROR(T124/S124-1,"")))</f>
        <v/>
      </c>
      <c r="U125" s="15">
        <f>IF(OR(U124="",T124=""),"",IF(T124&lt;=0,"",IFERROR(U124/T124-1,"")))</f>
        <v/>
      </c>
      <c r="V125" s="15">
        <f>IF(OR(V124="",U124=""),"",IF(U124&lt;=0,"",IFERROR(V124/U124-1,"")))</f>
        <v/>
      </c>
      <c r="W125" s="15">
        <f>IF(OR(W124="",V124=""),"",IF(V124&lt;=0,"",IFERROR(W124/V124-1,"")))</f>
        <v/>
      </c>
      <c r="X125" s="15">
        <f>IF(OR(X124="",W124=""),"",IF(W124&lt;=0,"",IFERROR(X124/W124-1,"")))</f>
        <v/>
      </c>
    </row>
    <row r="126">
      <c r="A126" s="9" t="inlineStr">
        <is>
          <t>지배주주 순이익</t>
        </is>
      </c>
      <c r="C126" s="12" t="n">
        <v>138</v>
      </c>
      <c r="D126" s="12" t="n">
        <v>2340</v>
      </c>
      <c r="E126" s="12" t="n">
        <v>110</v>
      </c>
      <c r="F126" s="12" t="n">
        <v>684</v>
      </c>
      <c r="G126" s="12" t="n">
        <v>-424</v>
      </c>
      <c r="H126" s="12" t="n">
        <v>2142</v>
      </c>
      <c r="I126" s="12" t="n">
        <v>183</v>
      </c>
      <c r="J126" s="12" t="n">
        <v>828</v>
      </c>
      <c r="K126" s="12" t="n">
        <v>-298</v>
      </c>
      <c r="L126" s="12" t="n">
        <v>2336</v>
      </c>
      <c r="M126" s="12" t="n">
        <v>1424</v>
      </c>
      <c r="N126" s="12" t="n">
        <v>286</v>
      </c>
      <c r="T126" s="12" t="n">
        <v>-3731</v>
      </c>
      <c r="U126" s="12" t="n">
        <v>143</v>
      </c>
      <c r="V126" s="12" t="n">
        <v>110</v>
      </c>
      <c r="W126" s="12" t="n">
        <v>183</v>
      </c>
      <c r="X126" s="12" t="n">
        <v>1424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9">
      <c r="A129" s="16" t="inlineStr">
        <is>
          <t>포괄손익 · 전 항목</t>
        </is>
      </c>
      <c r="B129" s="42" t="inlineStr">
        <is>
          <t>분기 = 3개월 단독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2024.2Q</t>
        </is>
      </c>
      <c r="D130" s="5" t="inlineStr">
        <is>
          <t>2024.3Q</t>
        </is>
      </c>
      <c r="E130" s="5" t="inlineStr">
        <is>
          <t>2024.4Q</t>
        </is>
      </c>
      <c r="F130" s="5" t="inlineStr">
        <is>
          <t>2025.1Q</t>
        </is>
      </c>
      <c r="G130" s="5" t="inlineStr">
        <is>
          <t>2025.2Q</t>
        </is>
      </c>
      <c r="H130" s="5" t="inlineStr">
        <is>
          <t>2025.3Q</t>
        </is>
      </c>
      <c r="I130" s="5" t="inlineStr">
        <is>
          <t>2025.4Q</t>
        </is>
      </c>
      <c r="J130" s="5" t="inlineStr">
        <is>
          <t>2026.1Q</t>
        </is>
      </c>
      <c r="K130" s="5" t="inlineStr">
        <is>
          <t>2026.2Q</t>
        </is>
      </c>
      <c r="L130" s="5" t="inlineStr">
        <is>
          <t>2026.3Q</t>
        </is>
      </c>
      <c r="M130" s="5" t="inlineStr">
        <is>
          <t>2026.4Q</t>
        </is>
      </c>
      <c r="N130" s="5" t="inlineStr">
        <is>
          <t>2027.1Q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순이익</t>
        </is>
      </c>
      <c r="C131" s="12" t="n">
        <v>138</v>
      </c>
      <c r="D131" s="12" t="n">
        <v>2340</v>
      </c>
      <c r="E131" s="12" t="n">
        <v>110</v>
      </c>
      <c r="F131" s="12" t="n">
        <v>684</v>
      </c>
      <c r="G131" s="12" t="n">
        <v>-424</v>
      </c>
      <c r="H131" s="12" t="n">
        <v>2142</v>
      </c>
      <c r="I131" s="12" t="n">
        <v>183</v>
      </c>
      <c r="J131" s="12" t="n">
        <v>828</v>
      </c>
      <c r="K131" s="12" t="n">
        <v>-298</v>
      </c>
      <c r="L131" s="12" t="n">
        <v>2336</v>
      </c>
      <c r="M131" s="12" t="n">
        <v>1424</v>
      </c>
      <c r="N131" s="12" t="n">
        <v>286</v>
      </c>
      <c r="T131" s="12" t="n">
        <v>-3731</v>
      </c>
      <c r="U131" s="12" t="n">
        <v>143</v>
      </c>
      <c r="V131" s="12" t="n">
        <v>110</v>
      </c>
      <c r="W131" s="12" t="n">
        <v>183</v>
      </c>
      <c r="X131" s="12" t="n">
        <v>1424</v>
      </c>
    </row>
    <row r="132">
      <c r="A132" s="18" t="inlineStr">
        <is>
          <t>기타유가증권 평가차액</t>
        </is>
      </c>
      <c r="C132" s="20" t="n">
        <v>77</v>
      </c>
      <c r="D132" s="20" t="n">
        <v>33</v>
      </c>
      <c r="E132" s="20" t="n">
        <v>167</v>
      </c>
      <c r="F132" s="20" t="n">
        <v>-16</v>
      </c>
      <c r="G132" s="20" t="n">
        <v>32</v>
      </c>
      <c r="H132" s="20" t="n">
        <v>-57</v>
      </c>
      <c r="I132" s="20" t="n">
        <v>-2</v>
      </c>
      <c r="J132" s="20" t="n">
        <v>37</v>
      </c>
      <c r="K132" s="20" t="n">
        <v>1</v>
      </c>
      <c r="L132" s="20" t="n">
        <v>62</v>
      </c>
      <c r="M132" s="20" t="n">
        <v>35</v>
      </c>
      <c r="N132" s="20" t="n">
        <v>160</v>
      </c>
      <c r="T132" s="20" t="n">
        <v>-13</v>
      </c>
      <c r="U132" s="20" t="n">
        <v>116</v>
      </c>
      <c r="V132" s="20" t="n">
        <v>167</v>
      </c>
      <c r="W132" s="20" t="n">
        <v>-2</v>
      </c>
      <c r="X132" s="20" t="n">
        <v>35</v>
      </c>
    </row>
    <row r="133">
      <c r="A133" s="18" t="inlineStr">
        <is>
          <t>퇴직급여 조정액</t>
        </is>
      </c>
      <c r="C133" s="20" t="n">
        <v>5</v>
      </c>
      <c r="D133" s="20" t="n">
        <v>4</v>
      </c>
      <c r="E133" s="20" t="n">
        <v>-93</v>
      </c>
      <c r="F133" s="20" t="n">
        <v>6</v>
      </c>
      <c r="G133" s="20" t="n">
        <v>6</v>
      </c>
      <c r="H133" s="20" t="n">
        <v>6</v>
      </c>
      <c r="I133" s="20" t="n">
        <v>457</v>
      </c>
      <c r="J133" s="20" t="n">
        <v>-6</v>
      </c>
      <c r="K133" s="20" t="n">
        <v>-6</v>
      </c>
      <c r="L133" s="20" t="n">
        <v>-6</v>
      </c>
      <c r="M133" s="20" t="n">
        <v>357</v>
      </c>
      <c r="N133" s="20" t="n">
        <v>-16</v>
      </c>
      <c r="T133" s="20" t="n">
        <v>-58</v>
      </c>
      <c r="U133" s="20" t="n">
        <v>111</v>
      </c>
      <c r="V133" s="20" t="n">
        <v>-93</v>
      </c>
      <c r="W133" s="20" t="n">
        <v>457</v>
      </c>
      <c r="X133" s="20" t="n">
        <v>357</v>
      </c>
    </row>
    <row r="134">
      <c r="A134" s="18" t="inlineStr">
        <is>
          <t>지분법 적용회사 지분 해당액</t>
        </is>
      </c>
      <c r="C134" s="20" t="n">
        <v>3</v>
      </c>
      <c r="D134" s="20" t="n">
        <v>-3</v>
      </c>
      <c r="E134" s="20" t="n">
        <v>-2</v>
      </c>
      <c r="F134" s="20" t="n">
        <v>-0</v>
      </c>
      <c r="G134" s="20" t="n">
        <v>0</v>
      </c>
      <c r="H134" s="20" t="n">
        <v>2</v>
      </c>
      <c r="I134" s="20" t="n">
        <v>2</v>
      </c>
      <c r="J134" s="20" t="n">
        <v>-3</v>
      </c>
      <c r="K134" s="20" t="n">
        <v>-2</v>
      </c>
      <c r="L134" s="20" t="n">
        <v>0</v>
      </c>
      <c r="M134" s="20" t="n">
        <v>0</v>
      </c>
      <c r="N134" s="20" t="n">
        <v>6</v>
      </c>
      <c r="T134" s="20" t="n">
        <v>2</v>
      </c>
      <c r="U134" s="20" t="n">
        <v>3</v>
      </c>
      <c r="V134" s="20" t="n">
        <v>-2</v>
      </c>
      <c r="W134" s="20" t="n">
        <v>2</v>
      </c>
      <c r="X134" s="20" t="n">
        <v>0</v>
      </c>
    </row>
    <row r="135">
      <c r="A135" s="18" t="inlineStr">
        <is>
          <t>기타포괄손익 합계</t>
        </is>
      </c>
      <c r="C135" s="20" t="n">
        <v>85</v>
      </c>
      <c r="D135" s="20" t="n">
        <v>35</v>
      </c>
      <c r="E135" s="20" t="n">
        <v>70</v>
      </c>
      <c r="F135" s="20" t="n">
        <v>-10</v>
      </c>
      <c r="G135" s="20" t="n">
        <v>38</v>
      </c>
      <c r="H135" s="20" t="n">
        <v>-47</v>
      </c>
      <c r="I135" s="20" t="n">
        <v>456</v>
      </c>
      <c r="J135" s="20" t="n">
        <v>28</v>
      </c>
      <c r="K135" s="20" t="n">
        <v>-9</v>
      </c>
      <c r="L135" s="20" t="n">
        <v>56</v>
      </c>
      <c r="M135" s="20" t="n">
        <v>394</v>
      </c>
      <c r="N135" s="20" t="n">
        <v>150</v>
      </c>
      <c r="T135" s="20" t="n">
        <v>-70</v>
      </c>
      <c r="U135" s="20" t="n">
        <v>231</v>
      </c>
      <c r="V135" s="20" t="n">
        <v>70</v>
      </c>
      <c r="W135" s="20" t="n">
        <v>456</v>
      </c>
      <c r="X135" s="20" t="n">
        <v>394</v>
      </c>
    </row>
    <row r="136">
      <c r="A136" s="9" t="inlineStr">
        <is>
          <t>포괄이익</t>
        </is>
      </c>
      <c r="C136" s="12" t="n">
        <v>223</v>
      </c>
      <c r="D136" s="12" t="n">
        <v>2375</v>
      </c>
      <c r="E136" s="12" t="n">
        <v>180</v>
      </c>
      <c r="F136" s="12" t="n">
        <v>673</v>
      </c>
      <c r="G136" s="12" t="n">
        <v>-384</v>
      </c>
      <c r="H136" s="12" t="n">
        <v>2093</v>
      </c>
      <c r="I136" s="12" t="n">
        <v>641</v>
      </c>
      <c r="J136" s="12" t="n">
        <v>856</v>
      </c>
      <c r="K136" s="12" t="n">
        <v>-306</v>
      </c>
      <c r="L136" s="12" t="n">
        <v>2391</v>
      </c>
      <c r="M136" s="12" t="n">
        <v>1818</v>
      </c>
      <c r="N136" s="12" t="n">
        <v>436</v>
      </c>
      <c r="T136" s="12" t="n">
        <v>-3800</v>
      </c>
      <c r="U136" s="12" t="n">
        <v>374</v>
      </c>
      <c r="V136" s="12" t="n">
        <v>180</v>
      </c>
      <c r="W136" s="12" t="n">
        <v>641</v>
      </c>
      <c r="X136" s="12" t="n">
        <v>1818</v>
      </c>
    </row>
    <row r="137">
      <c r="A137" s="9" t="inlineStr">
        <is>
          <t>지배주주 포괄이익</t>
        </is>
      </c>
      <c r="C137" s="12" t="n">
        <v>223</v>
      </c>
      <c r="D137" s="12" t="n">
        <v>2375</v>
      </c>
      <c r="E137" s="12" t="n">
        <v>180</v>
      </c>
      <c r="F137" s="12" t="n">
        <v>673</v>
      </c>
      <c r="G137" s="12" t="n">
        <v>-384</v>
      </c>
      <c r="H137" s="12" t="n">
        <v>2093</v>
      </c>
      <c r="I137" s="12" t="n">
        <v>641</v>
      </c>
      <c r="J137" s="12" t="n">
        <v>856</v>
      </c>
      <c r="K137" s="12" t="n">
        <v>-306</v>
      </c>
      <c r="L137" s="12" t="n">
        <v>2391</v>
      </c>
      <c r="M137" s="12" t="n">
        <v>1818</v>
      </c>
      <c r="N137" s="12" t="n">
        <v>436</v>
      </c>
      <c r="T137" s="12" t="n">
        <v>-3800</v>
      </c>
      <c r="U137" s="12" t="n">
        <v>374</v>
      </c>
      <c r="V137" s="12" t="n">
        <v>180</v>
      </c>
      <c r="W137" s="12" t="n">
        <v>641</v>
      </c>
      <c r="X137" s="12" t="n">
        <v>1818</v>
      </c>
    </row>
    <row r="139">
      <c r="A139" s="16" t="inlineStr">
        <is>
          <t>부문 · 전 항목</t>
        </is>
      </c>
      <c r="B139" s="42" t="inlineStr">
        <is>
          <t>부문 · 항목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2024.2Q</t>
        </is>
      </c>
      <c r="D140" s="5" t="inlineStr">
        <is>
          <t>2024.3Q</t>
        </is>
      </c>
      <c r="E140" s="5" t="inlineStr">
        <is>
          <t>2024.4Q</t>
        </is>
      </c>
      <c r="F140" s="5" t="inlineStr">
        <is>
          <t>2025.1Q</t>
        </is>
      </c>
      <c r="G140" s="5" t="inlineStr">
        <is>
          <t>2025.2Q</t>
        </is>
      </c>
      <c r="H140" s="5" t="inlineStr">
        <is>
          <t>2025.3Q</t>
        </is>
      </c>
      <c r="I140" s="5" t="inlineStr">
        <is>
          <t>2025.4Q</t>
        </is>
      </c>
      <c r="J140" s="5" t="inlineStr">
        <is>
          <t>2026.1Q</t>
        </is>
      </c>
      <c r="K140" s="5" t="inlineStr">
        <is>
          <t>2026.2Q</t>
        </is>
      </c>
      <c r="L140" s="5" t="inlineStr">
        <is>
          <t>2026.3Q</t>
        </is>
      </c>
      <c r="M140" s="5" t="inlineStr">
        <is>
          <t>2026.4Q</t>
        </is>
      </c>
      <c r="N140" s="5" t="inlineStr">
        <is>
          <t>2027.1Q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18" t="inlineStr">
        <is>
          <t>HotelReportableSegmentsMember · 외부 고객 매출</t>
        </is>
      </c>
      <c r="C141" s="20" t="n">
        <v>11145</v>
      </c>
      <c r="D141" s="20" t="n">
        <v>14982</v>
      </c>
      <c r="E141" s="20" t="n">
        <v>13200</v>
      </c>
      <c r="F141" s="20" t="n">
        <v>13230</v>
      </c>
      <c r="G141" s="20" t="n">
        <v>11374</v>
      </c>
      <c r="H141" s="20" t="n">
        <v>14578</v>
      </c>
      <c r="I141" s="20" t="n">
        <v>13155</v>
      </c>
      <c r="J141" s="20" t="n">
        <v>13485</v>
      </c>
      <c r="K141" s="20" t="n">
        <v>11742</v>
      </c>
      <c r="L141" s="20" t="n">
        <v>16447</v>
      </c>
      <c r="M141" s="20" t="n">
        <v>14191</v>
      </c>
      <c r="N141" s="20" t="n">
        <v>14626</v>
      </c>
      <c r="V141" s="20" t="n">
        <v>13200</v>
      </c>
      <c r="W141" s="20" t="n">
        <v>13155</v>
      </c>
      <c r="X141" s="20" t="n">
        <v>14191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LeasingReportableSegmentsMember · 외부 고객 매출</t>
        </is>
      </c>
      <c r="C143" s="20" t="n">
        <v>622</v>
      </c>
      <c r="D143" s="20" t="n">
        <v>545</v>
      </c>
      <c r="E143" s="20" t="n">
        <v>369</v>
      </c>
      <c r="F143" s="20" t="n">
        <v>96</v>
      </c>
      <c r="G143" s="20" t="n">
        <v>38</v>
      </c>
      <c r="H143" s="20" t="n">
        <v>46</v>
      </c>
      <c r="I143" s="20" t="n">
        <v>93</v>
      </c>
      <c r="J143" s="20" t="n">
        <v>99</v>
      </c>
      <c r="K143" s="20" t="n">
        <v>100</v>
      </c>
      <c r="L143" s="20" t="n">
        <v>100</v>
      </c>
      <c r="M143" s="20" t="n">
        <v>102</v>
      </c>
      <c r="N143" s="20" t="n">
        <v>187</v>
      </c>
      <c r="V143" s="20" t="n">
        <v>369</v>
      </c>
      <c r="W143" s="20" t="n">
        <v>93</v>
      </c>
      <c r="X143" s="20" t="n">
        <v>102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합계 · 외부 고객 매출</t>
        </is>
      </c>
      <c r="D145" s="20" t="n">
        <v>15528</v>
      </c>
      <c r="E145" s="20" t="n">
        <v>13569</v>
      </c>
      <c r="H145" s="20" t="n">
        <v>14624</v>
      </c>
      <c r="I145" s="20" t="n">
        <v>13247</v>
      </c>
      <c r="L145" s="20" t="n">
        <v>16547</v>
      </c>
      <c r="M145" s="20" t="n">
        <v>14294</v>
      </c>
      <c r="V145" s="20" t="n">
        <v>13569</v>
      </c>
      <c r="W145" s="20" t="n">
        <v>13247</v>
      </c>
      <c r="X145" s="20" t="n">
        <v>14294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보고부문 합계 · 외부 고객 매출</t>
        </is>
      </c>
      <c r="F147" s="20" t="n">
        <v>13326</v>
      </c>
      <c r="J147" s="20" t="n">
        <v>13584</v>
      </c>
      <c r="N147" s="20" t="n">
        <v>14813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J148" s="15">
        <f>IF(OR(J147="",F147=""),"",IF(F147&lt;=0,"",IFERROR(J147/F147-1,"")))</f>
        <v/>
      </c>
      <c r="N148" s="15">
        <f>IF(OR(N147="",J147=""),"",IF(J147&lt;=0,"",IFERROR(N147/J147-1,"")))</f>
        <v/>
      </c>
    </row>
    <row r="149">
      <c r="A149" s="18" t="inlineStr">
        <is>
          <t>조정액 · 외부 고객 매출</t>
        </is>
      </c>
      <c r="C149" s="20" t="n">
        <v>0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0</v>
      </c>
      <c r="I149" s="20" t="n">
        <v>0</v>
      </c>
      <c r="J149" s="20" t="n">
        <v>0</v>
      </c>
      <c r="K149" s="20" t="n">
        <v>0</v>
      </c>
      <c r="L149" s="20" t="n">
        <v>0</v>
      </c>
      <c r="M149" s="20" t="n">
        <v>0</v>
      </c>
      <c r="N149" s="20" t="n">
        <v>0</v>
      </c>
      <c r="V149" s="20" t="n">
        <v>0</v>
      </c>
      <c r="W149" s="20" t="n">
        <v>0</v>
      </c>
      <c r="X149" s="20" t="n">
        <v>0</v>
      </c>
    </row>
    <row r="150">
      <c r="A150" s="9" t="inlineStr">
        <is>
          <t>외부 고객 매출</t>
        </is>
      </c>
      <c r="C150" s="12" t="n">
        <v>11766</v>
      </c>
      <c r="D150" s="12" t="n">
        <v>15528</v>
      </c>
      <c r="E150" s="12" t="n">
        <v>13569</v>
      </c>
      <c r="F150" s="12" t="n">
        <v>13326</v>
      </c>
      <c r="G150" s="12" t="n">
        <v>11413</v>
      </c>
      <c r="H150" s="12" t="n">
        <v>14624</v>
      </c>
      <c r="I150" s="12" t="n">
        <v>13247</v>
      </c>
      <c r="V150" s="12" t="n">
        <v>13569</v>
      </c>
      <c r="W150" s="12" t="n">
        <v>13247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</row>
    <row r="152">
      <c r="A152" s="18" t="inlineStr">
        <is>
          <t>EntityTotalMember · 외부 고객 매출</t>
        </is>
      </c>
      <c r="F152" s="20" t="n">
        <v>13326</v>
      </c>
      <c r="J152" s="20" t="n">
        <v>13584</v>
      </c>
      <c r="N152" s="20" t="n">
        <v>14813</v>
      </c>
    </row>
    <row r="153">
      <c r="A153" s="18" t="inlineStr">
        <is>
          <t>HotelReportableSegmentsMember · 부문 간 내부매출·대체</t>
        </is>
      </c>
      <c r="C153" s="20" t="n">
        <v>0</v>
      </c>
      <c r="D153" s="20" t="n">
        <v>0</v>
      </c>
      <c r="E153" s="20" t="n">
        <v>0</v>
      </c>
      <c r="F153" s="20" t="n">
        <v>0</v>
      </c>
      <c r="G153" s="20" t="n">
        <v>0</v>
      </c>
      <c r="H153" s="20" t="n">
        <v>0</v>
      </c>
      <c r="I153" s="20" t="n">
        <v>0</v>
      </c>
      <c r="J153" s="20" t="n">
        <v>0</v>
      </c>
      <c r="K153" s="20" t="n">
        <v>0</v>
      </c>
      <c r="L153" s="20" t="n">
        <v>0</v>
      </c>
      <c r="M153" s="20" t="n">
        <v>0</v>
      </c>
      <c r="N153" s="20" t="n">
        <v>0</v>
      </c>
      <c r="V153" s="20" t="n">
        <v>0</v>
      </c>
      <c r="W153" s="20" t="n">
        <v>0</v>
      </c>
      <c r="X153" s="20" t="n">
        <v>0</v>
      </c>
    </row>
    <row r="154">
      <c r="A154" s="18" t="inlineStr">
        <is>
          <t>LeasingReportableSegmentsMember · 부문 간 내부매출·대체</t>
        </is>
      </c>
      <c r="C154" s="20" t="n">
        <v>2</v>
      </c>
      <c r="D154" s="20" t="n">
        <v>3</v>
      </c>
      <c r="E154" s="20" t="n">
        <v>2</v>
      </c>
      <c r="F154" s="20" t="n">
        <v>2</v>
      </c>
      <c r="G154" s="20" t="n">
        <v>0</v>
      </c>
      <c r="H154" s="20" t="n">
        <v>0</v>
      </c>
      <c r="I154" s="20" t="n">
        <v>0</v>
      </c>
      <c r="J154" s="20" t="n">
        <v>0</v>
      </c>
      <c r="K154" s="20" t="n">
        <v>0</v>
      </c>
      <c r="L154" s="20" t="n">
        <v>0</v>
      </c>
      <c r="M154" s="20" t="n">
        <v>0</v>
      </c>
      <c r="N154" s="20" t="n">
        <v>1</v>
      </c>
      <c r="V154" s="20" t="n">
        <v>2</v>
      </c>
      <c r="W154" s="20" t="n">
        <v>0</v>
      </c>
      <c r="X154" s="20" t="n">
        <v>0</v>
      </c>
    </row>
    <row r="155">
      <c r="A155" s="18" t="inlineStr">
        <is>
          <t>합계 · 부문 간 내부매출·대체</t>
        </is>
      </c>
      <c r="D155" s="20" t="n">
        <v>3</v>
      </c>
      <c r="E155" s="20" t="n">
        <v>2</v>
      </c>
      <c r="H155" s="20" t="n">
        <v>0</v>
      </c>
      <c r="I155" s="20" t="n">
        <v>0</v>
      </c>
      <c r="L155" s="20" t="n">
        <v>0</v>
      </c>
      <c r="M155" s="20" t="n">
        <v>0</v>
      </c>
      <c r="V155" s="20" t="n">
        <v>2</v>
      </c>
      <c r="W155" s="20" t="n">
        <v>0</v>
      </c>
      <c r="X155" s="20" t="n">
        <v>0</v>
      </c>
    </row>
    <row r="156">
      <c r="A156" s="18" t="inlineStr">
        <is>
          <t>보고부문 합계 · 부문 간 내부매출·대체</t>
        </is>
      </c>
      <c r="F156" s="20" t="n">
        <v>2</v>
      </c>
      <c r="J156" s="20" t="n">
        <v>0</v>
      </c>
      <c r="N156" s="20" t="n">
        <v>1</v>
      </c>
    </row>
    <row r="157">
      <c r="A157" s="18" t="inlineStr">
        <is>
          <t>조정액 · 부문 간 내부매출·대체</t>
        </is>
      </c>
      <c r="C157" s="20" t="n">
        <v>-2</v>
      </c>
      <c r="D157" s="20" t="n">
        <v>-3</v>
      </c>
      <c r="E157" s="20" t="n">
        <v>-2</v>
      </c>
      <c r="F157" s="20" t="n">
        <v>-2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-1</v>
      </c>
      <c r="V157" s="20" t="n">
        <v>-2</v>
      </c>
      <c r="W157" s="20" t="n">
        <v>0</v>
      </c>
      <c r="X157" s="20" t="n">
        <v>0</v>
      </c>
    </row>
    <row r="158">
      <c r="A158" s="18" t="inlineStr">
        <is>
          <t>부문 간 내부매출·대체</t>
        </is>
      </c>
      <c r="C158" s="20" t="n">
        <v>0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V158" s="20" t="n">
        <v>0</v>
      </c>
      <c r="W158" s="20" t="n">
        <v>0</v>
      </c>
    </row>
    <row r="159">
      <c r="A159" s="18" t="inlineStr">
        <is>
          <t>EntityTotalMember · 부문 간 내부매출·대체</t>
        </is>
      </c>
      <c r="F159" s="20" t="n">
        <v>0</v>
      </c>
      <c r="J159" s="20" t="n">
        <v>0</v>
      </c>
      <c r="N159" s="20" t="n">
        <v>0</v>
      </c>
    </row>
    <row r="160">
      <c r="A160" s="18" t="inlineStr">
        <is>
          <t>HotelReportableSegmentsMember · 계</t>
        </is>
      </c>
      <c r="C160" s="20" t="n">
        <v>11145</v>
      </c>
      <c r="D160" s="20" t="n">
        <v>14982</v>
      </c>
      <c r="E160" s="20" t="n">
        <v>13200</v>
      </c>
      <c r="F160" s="20" t="n">
        <v>13230</v>
      </c>
      <c r="G160" s="20" t="n">
        <v>11374</v>
      </c>
      <c r="H160" s="20" t="n">
        <v>14578</v>
      </c>
      <c r="I160" s="20" t="n">
        <v>13155</v>
      </c>
      <c r="J160" s="20" t="n">
        <v>13485</v>
      </c>
      <c r="K160" s="20" t="n">
        <v>11742</v>
      </c>
      <c r="L160" s="20" t="n">
        <v>16447</v>
      </c>
      <c r="M160" s="20" t="n">
        <v>14191</v>
      </c>
      <c r="N160" s="20" t="n">
        <v>14626</v>
      </c>
      <c r="V160" s="20" t="n">
        <v>13200</v>
      </c>
      <c r="W160" s="20" t="n">
        <v>13155</v>
      </c>
      <c r="X160" s="20" t="n">
        <v>14191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LeasingReportableSegmentsMember · 계</t>
        </is>
      </c>
      <c r="C162" s="20" t="n">
        <v>625</v>
      </c>
      <c r="D162" s="20" t="n">
        <v>548</v>
      </c>
      <c r="E162" s="20" t="n">
        <v>371</v>
      </c>
      <c r="F162" s="20" t="n">
        <v>98</v>
      </c>
      <c r="G162" s="20" t="n">
        <v>39</v>
      </c>
      <c r="H162" s="20" t="n">
        <v>46</v>
      </c>
      <c r="I162" s="20" t="n">
        <v>93</v>
      </c>
      <c r="J162" s="20" t="n">
        <v>99</v>
      </c>
      <c r="K162" s="20" t="n">
        <v>100</v>
      </c>
      <c r="L162" s="20" t="n">
        <v>100</v>
      </c>
      <c r="M162" s="20" t="n">
        <v>102</v>
      </c>
      <c r="N162" s="20" t="n">
        <v>189</v>
      </c>
      <c r="V162" s="20" t="n">
        <v>371</v>
      </c>
      <c r="W162" s="20" t="n">
        <v>93</v>
      </c>
      <c r="X162" s="20" t="n">
        <v>102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합계 · 계</t>
        </is>
      </c>
      <c r="D164" s="20" t="n">
        <v>15531</v>
      </c>
      <c r="E164" s="20" t="n">
        <v>13571</v>
      </c>
      <c r="H164" s="20" t="n">
        <v>14624</v>
      </c>
      <c r="I164" s="20" t="n">
        <v>13248</v>
      </c>
      <c r="L164" s="20" t="n">
        <v>16547</v>
      </c>
      <c r="M164" s="20" t="n">
        <v>14294</v>
      </c>
      <c r="V164" s="20" t="n">
        <v>13571</v>
      </c>
      <c r="W164" s="20" t="n">
        <v>13248</v>
      </c>
      <c r="X164" s="20" t="n">
        <v>14294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보고부문 합계 · 계</t>
        </is>
      </c>
      <c r="F166" s="20" t="n">
        <v>13329</v>
      </c>
      <c r="J166" s="20" t="n">
        <v>13584</v>
      </c>
      <c r="N166" s="20" t="n">
        <v>14815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J167" s="15">
        <f>IF(OR(J166="",F166=""),"",IF(F166&lt;=0,"",IFERROR(J166/F166-1,"")))</f>
        <v/>
      </c>
      <c r="N167" s="15">
        <f>IF(OR(N166="",J166=""),"",IF(J166&lt;=0,"",IFERROR(N166/J166-1,"")))</f>
        <v/>
      </c>
    </row>
    <row r="168">
      <c r="A168" s="18" t="inlineStr">
        <is>
          <t>조정액 · 계</t>
        </is>
      </c>
      <c r="C168" s="20" t="n">
        <v>-2</v>
      </c>
      <c r="D168" s="20" t="n">
        <v>-3</v>
      </c>
      <c r="E168" s="20" t="n">
        <v>-2</v>
      </c>
      <c r="F168" s="20" t="n">
        <v>-2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-1</v>
      </c>
      <c r="V168" s="20" t="n">
        <v>-2</v>
      </c>
      <c r="W168" s="20" t="n">
        <v>0</v>
      </c>
      <c r="X168" s="20" t="n">
        <v>0</v>
      </c>
    </row>
    <row r="169">
      <c r="A169" s="9" t="inlineStr">
        <is>
          <t>계</t>
        </is>
      </c>
      <c r="C169" s="12" t="n">
        <v>11766</v>
      </c>
      <c r="D169" s="12" t="n">
        <v>15528</v>
      </c>
      <c r="E169" s="12" t="n">
        <v>13569</v>
      </c>
      <c r="F169" s="12" t="n">
        <v>13326</v>
      </c>
      <c r="G169" s="12" t="n">
        <v>11413</v>
      </c>
      <c r="H169" s="12" t="n">
        <v>14624</v>
      </c>
      <c r="I169" s="12" t="n">
        <v>13247</v>
      </c>
      <c r="V169" s="12" t="n">
        <v>13569</v>
      </c>
      <c r="W169" s="12" t="n">
        <v>13247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</row>
    <row r="171">
      <c r="A171" s="18" t="inlineStr">
        <is>
          <t>EntityTotalMember · 계</t>
        </is>
      </c>
      <c r="F171" s="20" t="n">
        <v>13326</v>
      </c>
      <c r="J171" s="20" t="n">
        <v>13584</v>
      </c>
      <c r="N171" s="20" t="n">
        <v>14813</v>
      </c>
    </row>
    <row r="172">
      <c r="A172" s="18" t="inlineStr">
        <is>
          <t>HotelReportableSegmentsMember · 부문 이익</t>
        </is>
      </c>
      <c r="C172" s="20" t="n">
        <v>425</v>
      </c>
      <c r="D172" s="20" t="n">
        <v>2725</v>
      </c>
      <c r="E172" s="20" t="n">
        <v>703</v>
      </c>
      <c r="F172" s="20" t="n">
        <v>1522</v>
      </c>
      <c r="G172" s="20" t="n">
        <v>108</v>
      </c>
      <c r="H172" s="20" t="n">
        <v>2171</v>
      </c>
      <c r="I172" s="20" t="n">
        <v>857</v>
      </c>
      <c r="J172" s="20" t="n">
        <v>1322</v>
      </c>
      <c r="K172" s="20" t="n">
        <v>201</v>
      </c>
      <c r="L172" s="20" t="n">
        <v>2851</v>
      </c>
      <c r="M172" s="20" t="n">
        <v>506</v>
      </c>
      <c r="N172" s="20" t="n">
        <v>1538</v>
      </c>
      <c r="V172" s="20" t="n">
        <v>703</v>
      </c>
      <c r="W172" s="20" t="n">
        <v>857</v>
      </c>
      <c r="X172" s="20" t="n">
        <v>506</v>
      </c>
    </row>
    <row r="173">
      <c r="A173" s="43" t="inlineStr">
        <is>
          <t>OPM</t>
        </is>
      </c>
      <c r="B173" s="3" t="inlineStr">
        <is>
          <t>영업이익 ÷ 매출</t>
        </is>
      </c>
      <c r="C173" s="15">
        <f>IF(OR(C172="",C160=""),"",IF(C160&lt;=0,"",IFERROR(C172/C160,"")))</f>
        <v/>
      </c>
      <c r="D173" s="15">
        <f>IF(OR(D172="",D160=""),"",IF(D160&lt;=0,"",IFERROR(D172/D160,"")))</f>
        <v/>
      </c>
      <c r="E173" s="15">
        <f>IF(OR(E172="",E160=""),"",IF(E160&lt;=0,"",IFERROR(E172/E160,"")))</f>
        <v/>
      </c>
      <c r="F173" s="15">
        <f>IF(OR(F172="",F160=""),"",IF(F160&lt;=0,"",IFERROR(F172/F160,"")))</f>
        <v/>
      </c>
      <c r="G173" s="15">
        <f>IF(OR(G172="",G160=""),"",IF(G160&lt;=0,"",IFERROR(G172/G160,"")))</f>
        <v/>
      </c>
      <c r="H173" s="15">
        <f>IF(OR(H172="",H160=""),"",IF(H160&lt;=0,"",IFERROR(H172/H160,"")))</f>
        <v/>
      </c>
      <c r="I173" s="15">
        <f>IF(OR(I172="",I160=""),"",IF(I160&lt;=0,"",IFERROR(I172/I160,"")))</f>
        <v/>
      </c>
      <c r="J173" s="15">
        <f>IF(OR(J172="",J160=""),"",IF(J160&lt;=0,"",IFERROR(J172/J160,"")))</f>
        <v/>
      </c>
      <c r="K173" s="15">
        <f>IF(OR(K172="",K160=""),"",IF(K160&lt;=0,"",IFERROR(K172/K160,"")))</f>
        <v/>
      </c>
      <c r="L173" s="15">
        <f>IF(OR(L172="",L160=""),"",IF(L160&lt;=0,"",IFERROR(L172/L160,"")))</f>
        <v/>
      </c>
      <c r="M173" s="15">
        <f>IF(OR(M172="",M160=""),"",IF(M160&lt;=0,"",IFERROR(M172/M160,"")))</f>
        <v/>
      </c>
      <c r="N173" s="15">
        <f>IF(OR(N172="",N160=""),"",IF(N160&lt;=0,"",IFERROR(N172/N160,"")))</f>
        <v/>
      </c>
      <c r="V173" s="15">
        <f>IF(OR(V172="",V160=""),"",IF(V160&lt;=0,"",IFERROR(V172/V160,"")))</f>
        <v/>
      </c>
      <c r="W173" s="15">
        <f>IF(OR(W172="",W160=""),"",IF(W160&lt;=0,"",IFERROR(W172/W160,"")))</f>
        <v/>
      </c>
      <c r="X173" s="15">
        <f>IF(OR(X172="",X160=""),"",IF(X160&lt;=0,"",IFERROR(X172/X160,"")))</f>
        <v/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IF(OR(G172="",C172=""),"",IF(C172&lt;=0,"",IFERROR(G172/C172-1,"")))</f>
        <v/>
      </c>
      <c r="H174" s="15">
        <f>IF(OR(H172="",D172=""),"",IF(D172&lt;=0,"",IFERROR(H172/D172-1,"")))</f>
        <v/>
      </c>
      <c r="I174" s="15">
        <f>IF(OR(I172="",E172=""),"",IF(E172&lt;=0,"",IFERROR(I172/E172-1,"")))</f>
        <v/>
      </c>
      <c r="J174" s="15">
        <f>IF(OR(J172="",F172=""),"",IF(F172&lt;=0,"",IFERROR(J172/F172-1,"")))</f>
        <v/>
      </c>
      <c r="K174" s="15">
        <f>IF(OR(K172="",G172=""),"",IF(G172&lt;=0,"",IFERROR(K172/G172-1,"")))</f>
        <v/>
      </c>
      <c r="L174" s="15">
        <f>IF(OR(L172="",H172=""),"",IF(H172&lt;=0,"",IFERROR(L172/H172-1,"")))</f>
        <v/>
      </c>
      <c r="M174" s="15">
        <f>IF(OR(M172="",I172=""),"",IF(I172&lt;=0,"",IFERROR(M172/I172-1,"")))</f>
        <v/>
      </c>
      <c r="N174" s="15">
        <f>IF(OR(N172="",J172=""),"",IF(J172&lt;=0,"",IFERROR(N172/J172-1,"")))</f>
        <v/>
      </c>
      <c r="V174" s="15">
        <f>IF(OR(V172="",U172=""),"",IF(U172&lt;=0,"",IFERROR(V172/U172-1,"")))</f>
        <v/>
      </c>
      <c r="W174" s="15">
        <f>IF(OR(W172="",V172=""),"",IF(V172&lt;=0,"",IFERROR(W172/V172-1,"")))</f>
        <v/>
      </c>
      <c r="X174" s="15">
        <f>IF(OR(X172="",W172=""),"",IF(W172&lt;=0,"",IFERROR(X172/W172-1,"")))</f>
        <v/>
      </c>
    </row>
    <row r="175">
      <c r="A175" s="18" t="inlineStr">
        <is>
          <t>LeasingReportableSegmentsMember · 부문 이익</t>
        </is>
      </c>
      <c r="C175" s="20" t="n">
        <v>175</v>
      </c>
      <c r="D175" s="20" t="n">
        <v>110</v>
      </c>
      <c r="E175" s="20" t="n">
        <v>-104</v>
      </c>
      <c r="F175" s="20" t="n">
        <v>-240</v>
      </c>
      <c r="G175" s="20" t="n">
        <v>1</v>
      </c>
      <c r="H175" s="20" t="n">
        <v>-39</v>
      </c>
      <c r="I175" s="20" t="n">
        <v>25</v>
      </c>
      <c r="J175" s="20" t="n">
        <v>33</v>
      </c>
      <c r="K175" s="20" t="n">
        <v>33</v>
      </c>
      <c r="L175" s="20" t="n">
        <v>30</v>
      </c>
      <c r="M175" s="20" t="n">
        <v>11</v>
      </c>
      <c r="N175" s="20" t="n">
        <v>-226</v>
      </c>
      <c r="V175" s="20" t="n">
        <v>-104</v>
      </c>
      <c r="W175" s="20" t="n">
        <v>25</v>
      </c>
      <c r="X175" s="20" t="n">
        <v>11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IF(OR(C175="",C162=""),"",IF(C162&lt;=0,"",IFERROR(C175/C162,"")))</f>
        <v/>
      </c>
      <c r="D176" s="15">
        <f>IF(OR(D175="",D162=""),"",IF(D162&lt;=0,"",IFERROR(D175/D162,"")))</f>
        <v/>
      </c>
      <c r="E176" s="15">
        <f>IF(OR(E175="",E162=""),"",IF(E162&lt;=0,"",IFERROR(E175/E162,"")))</f>
        <v/>
      </c>
      <c r="F176" s="15">
        <f>IF(OR(F175="",F162=""),"",IF(F162&lt;=0,"",IFERROR(F175/F162,"")))</f>
        <v/>
      </c>
      <c r="G176" s="15">
        <f>IF(OR(G175="",G162=""),"",IF(G162&lt;=0,"",IFERROR(G175/G162,"")))</f>
        <v/>
      </c>
      <c r="H176" s="15">
        <f>IF(OR(H175="",H162=""),"",IF(H162&lt;=0,"",IFERROR(H175/H162,"")))</f>
        <v/>
      </c>
      <c r="I176" s="15">
        <f>IF(OR(I175="",I162=""),"",IF(I162&lt;=0,"",IFERROR(I175/I162,"")))</f>
        <v/>
      </c>
      <c r="J176" s="15">
        <f>IF(OR(J175="",J162=""),"",IF(J162&lt;=0,"",IFERROR(J175/J162,"")))</f>
        <v/>
      </c>
      <c r="K176" s="15">
        <f>IF(OR(K175="",K162=""),"",IF(K162&lt;=0,"",IFERROR(K175/K162,"")))</f>
        <v/>
      </c>
      <c r="L176" s="15">
        <f>IF(OR(L175="",L162=""),"",IF(L162&lt;=0,"",IFERROR(L175/L162,"")))</f>
        <v/>
      </c>
      <c r="M176" s="15">
        <f>IF(OR(M175="",M162=""),"",IF(M162&lt;=0,"",IFERROR(M175/M162,"")))</f>
        <v/>
      </c>
      <c r="N176" s="15">
        <f>IF(OR(N175="",N162=""),"",IF(N162&lt;=0,"",IFERROR(N175/N162,"")))</f>
        <v/>
      </c>
      <c r="V176" s="15">
        <f>IF(OR(V175="",V162=""),"",IF(V162&lt;=0,"",IFERROR(V175/V162,"")))</f>
        <v/>
      </c>
      <c r="W176" s="15">
        <f>IF(OR(W175="",W162=""),"",IF(W162&lt;=0,"",IFERROR(W175/W162,"")))</f>
        <v/>
      </c>
      <c r="X176" s="15">
        <f>IF(OR(X175="",X162=""),"",IF(X162&lt;=0,"",IFERROR(X175/X162,"")))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M177" s="15">
        <f>IF(OR(M175="",I175=""),"",IF(I175&lt;=0,"",IFERROR(M175/I175-1,"")))</f>
        <v/>
      </c>
      <c r="N177" s="15">
        <f>IF(OR(N175="",J175=""),"",IF(J175&lt;=0,"",IFERROR(N175/J175-1,"")))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합계 · 부문 이익(손실)</t>
        </is>
      </c>
      <c r="D178" s="20" t="n">
        <v>2834</v>
      </c>
      <c r="E178" s="20" t="n">
        <v>600</v>
      </c>
      <c r="H178" s="20" t="n">
        <v>2133</v>
      </c>
      <c r="I178" s="20" t="n">
        <v>882</v>
      </c>
      <c r="L178" s="20" t="n">
        <v>2880</v>
      </c>
      <c r="M178" s="20" t="n">
        <v>518</v>
      </c>
      <c r="V178" s="20" t="n">
        <v>600</v>
      </c>
      <c r="W178" s="20" t="n">
        <v>882</v>
      </c>
      <c r="X178" s="20" t="n">
        <v>518</v>
      </c>
    </row>
    <row r="179">
      <c r="A179" s="43" t="inlineStr">
        <is>
          <t>OPM</t>
        </is>
      </c>
      <c r="B179" s="3" t="inlineStr">
        <is>
          <t>영업이익 ÷ 매출</t>
        </is>
      </c>
      <c r="D179" s="15">
        <f>IF(OR(D178="",D164=""),"",IF(D164&lt;=0,"",IFERROR(D178/D164,"")))</f>
        <v/>
      </c>
      <c r="E179" s="15">
        <f>IF(OR(E178="",E164=""),"",IF(E164&lt;=0,"",IFERROR(E178/E164,"")))</f>
        <v/>
      </c>
      <c r="H179" s="15">
        <f>IF(OR(H178="",H164=""),"",IF(H164&lt;=0,"",IFERROR(H178/H164,"")))</f>
        <v/>
      </c>
      <c r="I179" s="15">
        <f>IF(OR(I178="",I164=""),"",IF(I164&lt;=0,"",IFERROR(I178/I164,"")))</f>
        <v/>
      </c>
      <c r="L179" s="15">
        <f>IF(OR(L178="",L164=""),"",IF(L164&lt;=0,"",IFERROR(L178/L164,"")))</f>
        <v/>
      </c>
      <c r="M179" s="15">
        <f>IF(OR(M178="",M164=""),"",IF(M164&lt;=0,"",IFERROR(M178/M164,"")))</f>
        <v/>
      </c>
      <c r="V179" s="15">
        <f>IF(OR(V178="",V164=""),"",IF(V164&lt;=0,"",IFERROR(V178/V164,"")))</f>
        <v/>
      </c>
      <c r="W179" s="15">
        <f>IF(OR(W178="",W164=""),"",IF(W164&lt;=0,"",IFERROR(W178/W164,"")))</f>
        <v/>
      </c>
      <c r="X179" s="15">
        <f>IF(OR(X178="",X164=""),"",IF(X164&lt;=0,"",IFERROR(X178/X164,"")))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L180" s="15">
        <f>IF(OR(L178="",H178=""),"",IF(H178&lt;=0,"",IFERROR(L178/H178-1,"")))</f>
        <v/>
      </c>
      <c r="M180" s="15">
        <f>IF(OR(M178="",I178=""),"",IF(I178&lt;=0,"",IFERROR(M178/I178-1,"")))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보고부문 합계 · 부문 이익</t>
        </is>
      </c>
      <c r="F181" s="20" t="n">
        <v>1282</v>
      </c>
      <c r="J181" s="20" t="n">
        <v>1355</v>
      </c>
      <c r="N181" s="20" t="n">
        <v>1312</v>
      </c>
    </row>
    <row r="182">
      <c r="A182" s="43" t="inlineStr">
        <is>
          <t>OPM</t>
        </is>
      </c>
      <c r="B182" s="3" t="inlineStr">
        <is>
          <t>영업이익 ÷ 매출</t>
        </is>
      </c>
      <c r="F182" s="15">
        <f>IF(OR(F181="",F166=""),"",IF(F166&lt;=0,"",IFERROR(F181/F166,"")))</f>
        <v/>
      </c>
      <c r="J182" s="15">
        <f>IF(OR(J181="",J166=""),"",IF(J166&lt;=0,"",IFERROR(J181/J166,"")))</f>
        <v/>
      </c>
      <c r="N182" s="15">
        <f>IF(OR(N181="",N166=""),"",IF(N166&lt;=0,"",IFERROR(N181/N166,"")))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J183" s="15">
        <f>IF(OR(J181="",F181=""),"",IF(F181&lt;=0,"",IFERROR(J181/F181-1,"")))</f>
        <v/>
      </c>
      <c r="N183" s="15">
        <f>IF(OR(N181="",J181=""),"",IF(J181&lt;=0,"",IFERROR(N181/J181-1,"")))</f>
        <v/>
      </c>
    </row>
    <row r="184">
      <c r="A184" s="18" t="inlineStr">
        <is>
          <t>조정액 · 부문 이익</t>
        </is>
      </c>
      <c r="C184" s="20" t="n">
        <v>-579</v>
      </c>
      <c r="D184" s="20" t="n">
        <v>-578</v>
      </c>
      <c r="E184" s="20" t="n">
        <v>-784</v>
      </c>
      <c r="F184" s="20" t="n">
        <v>-652</v>
      </c>
      <c r="G184" s="20" t="n">
        <v>-666</v>
      </c>
      <c r="H184" s="20" t="n">
        <v>-629</v>
      </c>
      <c r="I184" s="20" t="n">
        <v>-867</v>
      </c>
      <c r="J184" s="20" t="n">
        <v>-592</v>
      </c>
      <c r="K184" s="20" t="n">
        <v>-678</v>
      </c>
      <c r="L184" s="20" t="n">
        <v>-636</v>
      </c>
      <c r="M184" s="20" t="n">
        <v>-955</v>
      </c>
      <c r="N184" s="20" t="n">
        <v>-596</v>
      </c>
      <c r="V184" s="20" t="n">
        <v>-784</v>
      </c>
      <c r="W184" s="20" t="n">
        <v>-867</v>
      </c>
      <c r="X184" s="20" t="n">
        <v>-955</v>
      </c>
    </row>
    <row r="185">
      <c r="A185" s="9" t="inlineStr">
        <is>
          <t>부문 이익(손실)</t>
        </is>
      </c>
      <c r="C185" s="12" t="n">
        <v>20</v>
      </c>
      <c r="D185" s="12" t="n">
        <v>2257</v>
      </c>
      <c r="E185" s="12" t="n">
        <v>-185</v>
      </c>
      <c r="F185" s="12" t="n">
        <v>629</v>
      </c>
      <c r="G185" s="12" t="n">
        <v>-557</v>
      </c>
      <c r="H185" s="12" t="n">
        <v>1504</v>
      </c>
      <c r="I185" s="12" t="n">
        <v>14</v>
      </c>
      <c r="V185" s="12" t="n">
        <v>-185</v>
      </c>
      <c r="W185" s="12" t="n">
        <v>14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IF(OR(C185="",C150=""),"",IF(C150&lt;=0,"",IFERROR(C185/C150,"")))</f>
        <v/>
      </c>
      <c r="D186" s="15">
        <f>IF(OR(D185="",D150=""),"",IF(D150&lt;=0,"",IFERROR(D185/D150,"")))</f>
        <v/>
      </c>
      <c r="E186" s="15">
        <f>IF(OR(E185="",E150=""),"",IF(E150&lt;=0,"",IFERROR(E185/E150,"")))</f>
        <v/>
      </c>
      <c r="F186" s="15">
        <f>IF(OR(F185="",F150=""),"",IF(F150&lt;=0,"",IFERROR(F185/F150,"")))</f>
        <v/>
      </c>
      <c r="G186" s="15">
        <f>IF(OR(G185="",G150=""),"",IF(G150&lt;=0,"",IFERROR(G185/G150,"")))</f>
        <v/>
      </c>
      <c r="H186" s="15">
        <f>IF(OR(H185="",H150=""),"",IF(H150&lt;=0,"",IFERROR(H185/H150,"")))</f>
        <v/>
      </c>
      <c r="I186" s="15">
        <f>IF(OR(I185="",I150=""),"",IF(I150&lt;=0,"",IFERROR(I185/I150,"")))</f>
        <v/>
      </c>
      <c r="V186" s="15">
        <f>IF(OR(V185="",V150=""),"",IF(V150&lt;=0,"",IFERROR(V185/V150,"")))</f>
        <v/>
      </c>
      <c r="W186" s="15">
        <f>IF(OR(W185="",W150=""),"",IF(W150&lt;=0,"",IFERROR(W185/W150,"")))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</row>
    <row r="188">
      <c r="A188" s="18" t="inlineStr">
        <is>
          <t>EntityTotalMember · 부문 이익</t>
        </is>
      </c>
      <c r="F188" s="20" t="n">
        <v>629</v>
      </c>
      <c r="J188" s="20" t="n">
        <v>762</v>
      </c>
      <c r="N188" s="20" t="n">
        <v>716</v>
      </c>
    </row>
    <row r="190">
      <c r="A190" s="16" t="inlineStr">
        <is>
          <t>현금흐름표 · 전 항목</t>
        </is>
      </c>
      <c r="B190" s="42" t="inlineStr">
        <is>
          <t>분기 = 결산기 첫날부터 누계(공시 그대로)</t>
        </is>
      </c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</row>
    <row r="191">
      <c r="A191" s="5" t="inlineStr">
        <is>
          <t>항목</t>
        </is>
      </c>
      <c r="B191" s="5" t="inlineStr">
        <is>
          <t>참고</t>
        </is>
      </c>
      <c r="C191" s="5" t="inlineStr">
        <is>
          <t>2024.2Q</t>
        </is>
      </c>
      <c r="D191" s="5" t="inlineStr">
        <is>
          <t>2024.3Q</t>
        </is>
      </c>
      <c r="E191" s="5" t="inlineStr">
        <is>
          <t>2024.4Q</t>
        </is>
      </c>
      <c r="F191" s="5" t="inlineStr">
        <is>
          <t>2025.1Q</t>
        </is>
      </c>
      <c r="G191" s="5" t="inlineStr">
        <is>
          <t>2025.2Q</t>
        </is>
      </c>
      <c r="H191" s="5" t="inlineStr">
        <is>
          <t>2025.3Q</t>
        </is>
      </c>
      <c r="I191" s="5" t="inlineStr">
        <is>
          <t>2025.4Q</t>
        </is>
      </c>
      <c r="J191" s="5" t="inlineStr">
        <is>
          <t>2026.1Q</t>
        </is>
      </c>
      <c r="K191" s="5" t="inlineStr">
        <is>
          <t>2026.2Q</t>
        </is>
      </c>
      <c r="L191" s="5" t="inlineStr">
        <is>
          <t>2026.3Q</t>
        </is>
      </c>
      <c r="M191" s="5" t="inlineStr">
        <is>
          <t>2026.4Q</t>
        </is>
      </c>
      <c r="N191" s="5" t="inlineStr">
        <is>
          <t>2027.1Q</t>
        </is>
      </c>
      <c r="O191" s="5" t="inlineStr">
        <is>
          <t>2017</t>
        </is>
      </c>
      <c r="P191" s="5" t="inlineStr">
        <is>
          <t>2018</t>
        </is>
      </c>
      <c r="Q191" s="5" t="inlineStr">
        <is>
          <t>2019</t>
        </is>
      </c>
      <c r="R191" s="5" t="inlineStr">
        <is>
          <t>2020</t>
        </is>
      </c>
      <c r="S191" s="5" t="inlineStr">
        <is>
          <t>2021</t>
        </is>
      </c>
      <c r="T191" s="5" t="inlineStr">
        <is>
          <t>2022</t>
        </is>
      </c>
      <c r="U191" s="5" t="inlineStr">
        <is>
          <t>2023</t>
        </is>
      </c>
      <c r="V191" s="5" t="inlineStr">
        <is>
          <t>2024</t>
        </is>
      </c>
      <c r="W191" s="5" t="inlineStr">
        <is>
          <t>2025</t>
        </is>
      </c>
      <c r="X191" s="5" t="inlineStr">
        <is>
          <t>2026</t>
        </is>
      </c>
      <c r="Y191" s="5" t="inlineStr">
        <is>
          <t>2027(MW)</t>
        </is>
      </c>
      <c r="Z191" s="5" t="inlineStr">
        <is>
          <t>2028(MW)</t>
        </is>
      </c>
      <c r="AA191" s="5" t="inlineStr">
        <is>
          <t>2029(MW)</t>
        </is>
      </c>
      <c r="AB191" s="5" t="inlineStr">
        <is>
          <t>2030(MW)</t>
        </is>
      </c>
      <c r="AC191" s="5" t="inlineStr">
        <is>
          <t>2031(MW)</t>
        </is>
      </c>
    </row>
    <row r="192">
      <c r="A192" s="9" t="inlineStr">
        <is>
          <t>법인세차감전 순이익</t>
        </is>
      </c>
      <c r="C192" s="12" t="n">
        <v>951</v>
      </c>
      <c r="E192" s="12" t="n">
        <v>3470</v>
      </c>
      <c r="G192" s="12" t="n">
        <v>277</v>
      </c>
      <c r="I192" s="12" t="n">
        <v>2623</v>
      </c>
      <c r="K192" s="12" t="n">
        <v>556</v>
      </c>
      <c r="M192" s="12" t="n">
        <v>2664</v>
      </c>
      <c r="O192" s="12" t="n">
        <v>5160</v>
      </c>
      <c r="P192" s="12" t="n">
        <v>4959</v>
      </c>
      <c r="Q192" s="12" t="n">
        <v>5315</v>
      </c>
      <c r="R192" s="12" t="n">
        <v>3492</v>
      </c>
      <c r="S192" s="12" t="n">
        <v>-11006</v>
      </c>
      <c r="T192" s="12" t="n">
        <v>-7874</v>
      </c>
      <c r="U192" s="12" t="n">
        <v>1991</v>
      </c>
      <c r="V192" s="12" t="n">
        <v>3470</v>
      </c>
      <c r="W192" s="12" t="n">
        <v>2623</v>
      </c>
      <c r="X192" s="12" t="n">
        <v>2664</v>
      </c>
    </row>
    <row r="193">
      <c r="A193" s="18" t="inlineStr">
        <is>
          <t>감가상각비</t>
        </is>
      </c>
      <c r="C193" s="20" t="n">
        <v>1253</v>
      </c>
      <c r="E193" s="20" t="n">
        <v>2517</v>
      </c>
      <c r="G193" s="20" t="n">
        <v>1070</v>
      </c>
      <c r="I193" s="20" t="n">
        <v>1983</v>
      </c>
      <c r="K193" s="20" t="n">
        <v>944</v>
      </c>
      <c r="M193" s="20" t="n">
        <v>1972</v>
      </c>
      <c r="O193" s="20" t="n">
        <v>2742</v>
      </c>
      <c r="P193" s="20" t="n">
        <v>2797</v>
      </c>
      <c r="Q193" s="20" t="n">
        <v>2672</v>
      </c>
      <c r="R193" s="20" t="n">
        <v>2658</v>
      </c>
      <c r="S193" s="20" t="n">
        <v>2591</v>
      </c>
      <c r="T193" s="20" t="n">
        <v>2970</v>
      </c>
      <c r="U193" s="20" t="n">
        <v>2712</v>
      </c>
      <c r="V193" s="20" t="n">
        <v>2517</v>
      </c>
      <c r="W193" s="20" t="n">
        <v>1983</v>
      </c>
      <c r="X193" s="20" t="n">
        <v>1972</v>
      </c>
    </row>
    <row r="194">
      <c r="A194" s="18" t="inlineStr">
        <is>
          <t>투자유가증권 매각손익</t>
        </is>
      </c>
      <c r="P194" s="20" t="n">
        <v>0</v>
      </c>
      <c r="Q194" s="20" t="n">
        <v>-1</v>
      </c>
      <c r="R194" s="20" t="n">
        <v>0</v>
      </c>
    </row>
    <row r="195">
      <c r="A195" s="18" t="inlineStr">
        <is>
          <t>손상차손</t>
        </is>
      </c>
      <c r="R195" s="20" t="n">
        <v>0</v>
      </c>
      <c r="S195" s="20" t="n">
        <v>1096</v>
      </c>
      <c r="T195" s="20" t="n">
        <v>0</v>
      </c>
    </row>
    <row r="196">
      <c r="A196" s="18" t="inlineStr">
        <is>
          <t>유형자산 제각손실</t>
        </is>
      </c>
      <c r="E196" s="20" t="n">
        <v>0</v>
      </c>
      <c r="I196" s="20" t="n">
        <v>4</v>
      </c>
      <c r="M196" s="20" t="n">
        <v>0</v>
      </c>
      <c r="O196" s="20" t="n">
        <v>4</v>
      </c>
      <c r="P196" s="20" t="n">
        <v>1</v>
      </c>
      <c r="Q196" s="20" t="n">
        <v>0</v>
      </c>
      <c r="R196" s="20" t="n">
        <v>3</v>
      </c>
      <c r="S196" s="20" t="n">
        <v>0</v>
      </c>
      <c r="T196" s="20" t="n">
        <v>3</v>
      </c>
      <c r="U196" s="20" t="n">
        <v>0</v>
      </c>
      <c r="V196" s="20" t="n">
        <v>0</v>
      </c>
      <c r="W196" s="20" t="n">
        <v>4</v>
      </c>
      <c r="X196" s="20" t="n">
        <v>0</v>
      </c>
    </row>
    <row r="197">
      <c r="A197" s="18" t="inlineStr">
        <is>
          <t>무형자산 제각손실</t>
        </is>
      </c>
      <c r="E197" s="20" t="n">
        <v>6</v>
      </c>
      <c r="I197" s="20" t="n">
        <v>0</v>
      </c>
      <c r="M197" s="20" t="n">
        <v>0</v>
      </c>
      <c r="S197" s="20" t="n">
        <v>0</v>
      </c>
      <c r="T197" s="20" t="n">
        <v>42</v>
      </c>
      <c r="U197" s="20" t="n">
        <v>1</v>
      </c>
      <c r="V197" s="20" t="n">
        <v>6</v>
      </c>
      <c r="W197" s="20" t="n">
        <v>0</v>
      </c>
      <c r="X197" s="20" t="n">
        <v>0</v>
      </c>
    </row>
    <row r="198">
      <c r="A198" s="18" t="inlineStr">
        <is>
          <t>투자유가증권 매각이익</t>
        </is>
      </c>
      <c r="E198" s="20" t="n">
        <v>0</v>
      </c>
      <c r="I198" s="20" t="n">
        <v>-564</v>
      </c>
      <c r="M198" s="20" t="n">
        <v>0</v>
      </c>
      <c r="V198" s="20" t="n">
        <v>0</v>
      </c>
      <c r="W198" s="20" t="n">
        <v>-564</v>
      </c>
      <c r="X198" s="20" t="n">
        <v>0</v>
      </c>
    </row>
    <row r="199">
      <c r="A199" s="18" t="inlineStr">
        <is>
          <t>대손충당금 증감</t>
        </is>
      </c>
      <c r="C199" s="20" t="n">
        <v>-0</v>
      </c>
      <c r="E199" s="20" t="n">
        <v>-2</v>
      </c>
      <c r="G199" s="20" t="n">
        <v>-1</v>
      </c>
      <c r="I199" s="20" t="n">
        <v>-1</v>
      </c>
      <c r="K199" s="20" t="n">
        <v>0</v>
      </c>
      <c r="M199" s="20" t="n">
        <v>-0</v>
      </c>
      <c r="O199" s="20" t="n">
        <v>0</v>
      </c>
      <c r="P199" s="20" t="n">
        <v>0</v>
      </c>
      <c r="Q199" s="20" t="n">
        <v>-2</v>
      </c>
      <c r="R199" s="20" t="n">
        <v>0</v>
      </c>
      <c r="S199" s="20" t="n">
        <v>1</v>
      </c>
      <c r="T199" s="20" t="n">
        <v>3</v>
      </c>
      <c r="U199" s="20" t="n">
        <v>-2</v>
      </c>
      <c r="V199" s="20" t="n">
        <v>-2</v>
      </c>
      <c r="W199" s="20" t="n">
        <v>-1</v>
      </c>
      <c r="X199" s="20" t="n">
        <v>-0</v>
      </c>
    </row>
    <row r="200">
      <c r="A200" s="18" t="inlineStr">
        <is>
          <t>상여충당금 증감</t>
        </is>
      </c>
      <c r="C200" s="20" t="n">
        <v>224</v>
      </c>
      <c r="E200" s="20" t="n">
        <v>299</v>
      </c>
      <c r="G200" s="20" t="n">
        <v>-183</v>
      </c>
      <c r="I200" s="20" t="n">
        <v>81</v>
      </c>
      <c r="K200" s="20" t="n">
        <v>-168</v>
      </c>
      <c r="M200" s="20" t="n">
        <v>78</v>
      </c>
      <c r="O200" s="20" t="n">
        <v>-3</v>
      </c>
      <c r="P200" s="20" t="n">
        <v>-2</v>
      </c>
      <c r="Q200" s="20" t="n">
        <v>28</v>
      </c>
      <c r="R200" s="20" t="n">
        <v>-15</v>
      </c>
      <c r="S200" s="20" t="n">
        <v>-637</v>
      </c>
      <c r="T200" s="20" t="n">
        <v>82</v>
      </c>
      <c r="U200" s="20" t="n">
        <v>230</v>
      </c>
      <c r="V200" s="20" t="n">
        <v>299</v>
      </c>
      <c r="W200" s="20" t="n">
        <v>81</v>
      </c>
      <c r="X200" s="20" t="n">
        <v>78</v>
      </c>
    </row>
    <row r="201">
      <c r="A201" s="18" t="inlineStr">
        <is>
          <t>임원 상여충당금 증감</t>
        </is>
      </c>
      <c r="O201" s="20" t="n">
        <v>-58</v>
      </c>
      <c r="P201" s="20" t="n">
        <v>0</v>
      </c>
    </row>
    <row r="202">
      <c r="A202" s="18" t="inlineStr">
        <is>
          <t>퇴직급여부채 증감</t>
        </is>
      </c>
      <c r="C202" s="20" t="n">
        <v>-83</v>
      </c>
      <c r="E202" s="20" t="n">
        <v>-110</v>
      </c>
      <c r="G202" s="20" t="n">
        <v>-124</v>
      </c>
      <c r="I202" s="20" t="n">
        <v>-592</v>
      </c>
      <c r="K202" s="20" t="n">
        <v>-91</v>
      </c>
      <c r="M202" s="20" t="n">
        <v>-562</v>
      </c>
      <c r="O202" s="20" t="n">
        <v>-4</v>
      </c>
      <c r="P202" s="20" t="n">
        <v>-40</v>
      </c>
      <c r="Q202" s="20" t="n">
        <v>-154</v>
      </c>
      <c r="R202" s="20" t="n">
        <v>-135</v>
      </c>
      <c r="S202" s="20" t="n">
        <v>49</v>
      </c>
      <c r="T202" s="20" t="n">
        <v>13</v>
      </c>
      <c r="U202" s="20" t="n">
        <v>-100</v>
      </c>
      <c r="V202" s="20" t="n">
        <v>-110</v>
      </c>
      <c r="W202" s="20" t="n">
        <v>-592</v>
      </c>
      <c r="X202" s="20" t="n">
        <v>-562</v>
      </c>
    </row>
    <row r="203">
      <c r="A203" s="18" t="inlineStr">
        <is>
          <t>지급수수료</t>
        </is>
      </c>
      <c r="C203" s="20" t="n">
        <v>2</v>
      </c>
      <c r="E203" s="20" t="n">
        <v>7</v>
      </c>
      <c r="G203" s="20" t="n">
        <v>6</v>
      </c>
      <c r="I203" s="20" t="n">
        <v>15</v>
      </c>
      <c r="K203" s="20" t="n">
        <v>8</v>
      </c>
      <c r="M203" s="20" t="n">
        <v>12</v>
      </c>
      <c r="S203" s="20" t="n">
        <v>0</v>
      </c>
      <c r="T203" s="20" t="n">
        <v>44</v>
      </c>
      <c r="U203" s="20" t="n">
        <v>2</v>
      </c>
      <c r="V203" s="20" t="n">
        <v>7</v>
      </c>
      <c r="W203" s="20" t="n">
        <v>15</v>
      </c>
      <c r="X203" s="20" t="n">
        <v>12</v>
      </c>
    </row>
    <row r="204">
      <c r="A204" s="18" t="inlineStr">
        <is>
          <t>Increase Decrease In Provision For Loss On Reconstruct Ope CF</t>
        </is>
      </c>
      <c r="C204" s="20" t="n">
        <v>-15</v>
      </c>
      <c r="E204" s="20" t="n">
        <v>-1326</v>
      </c>
      <c r="G204" s="20" t="n">
        <v>0</v>
      </c>
      <c r="I204" s="20" t="n">
        <v>0</v>
      </c>
      <c r="R204" s="20" t="n">
        <v>0</v>
      </c>
      <c r="S204" s="20" t="n">
        <v>2007</v>
      </c>
      <c r="T204" s="20" t="n">
        <v>-13</v>
      </c>
      <c r="U204" s="20" t="n">
        <v>-667</v>
      </c>
      <c r="V204" s="20" t="n">
        <v>-1326</v>
      </c>
      <c r="W204" s="20" t="n">
        <v>0</v>
      </c>
    </row>
    <row r="205">
      <c r="A205" s="18" t="inlineStr">
        <is>
          <t>이자·배당금 수익</t>
        </is>
      </c>
      <c r="C205" s="20" t="n">
        <v>-35</v>
      </c>
      <c r="E205" s="20" t="n">
        <v>-82</v>
      </c>
      <c r="G205" s="20" t="n">
        <v>-49</v>
      </c>
      <c r="I205" s="20" t="n">
        <v>-126</v>
      </c>
      <c r="K205" s="20" t="n">
        <v>-103</v>
      </c>
      <c r="M205" s="20" t="n">
        <v>-212</v>
      </c>
      <c r="O205" s="20" t="n">
        <v>-63</v>
      </c>
      <c r="P205" s="20" t="n">
        <v>-68</v>
      </c>
      <c r="Q205" s="20" t="n">
        <v>-75</v>
      </c>
      <c r="R205" s="20" t="n">
        <v>-74</v>
      </c>
      <c r="S205" s="20" t="n">
        <v>-74</v>
      </c>
      <c r="T205" s="20" t="n">
        <v>-82</v>
      </c>
      <c r="U205" s="20" t="n">
        <v>-109</v>
      </c>
      <c r="V205" s="20" t="n">
        <v>-82</v>
      </c>
      <c r="W205" s="20" t="n">
        <v>-126</v>
      </c>
      <c r="X205" s="20" t="n">
        <v>-212</v>
      </c>
    </row>
    <row r="206">
      <c r="A206" s="18" t="inlineStr">
        <is>
          <t>이자비용</t>
        </is>
      </c>
      <c r="I206" s="20" t="n">
        <v>0</v>
      </c>
      <c r="M206" s="20" t="n">
        <v>13</v>
      </c>
      <c r="W206" s="20" t="n">
        <v>0</v>
      </c>
      <c r="X206" s="20" t="n">
        <v>13</v>
      </c>
    </row>
    <row r="207">
      <c r="A207" s="18" t="inlineStr">
        <is>
          <t>지분법손익</t>
        </is>
      </c>
      <c r="C207" s="20" t="n">
        <v>-5</v>
      </c>
      <c r="E207" s="20" t="n">
        <v>-34</v>
      </c>
      <c r="G207" s="20" t="n">
        <v>-1</v>
      </c>
      <c r="I207" s="20" t="n">
        <v>-40</v>
      </c>
      <c r="K207" s="20" t="n">
        <v>11</v>
      </c>
      <c r="M207" s="20" t="n">
        <v>-32</v>
      </c>
      <c r="O207" s="20" t="n">
        <v>-33</v>
      </c>
      <c r="P207" s="20" t="n">
        <v>-65</v>
      </c>
      <c r="Q207" s="20" t="n">
        <v>-58</v>
      </c>
      <c r="R207" s="20" t="n">
        <v>-41</v>
      </c>
      <c r="S207" s="20" t="n">
        <v>-9</v>
      </c>
      <c r="T207" s="20" t="n">
        <v>-32</v>
      </c>
      <c r="U207" s="20" t="n">
        <v>-92</v>
      </c>
      <c r="V207" s="20" t="n">
        <v>-34</v>
      </c>
      <c r="W207" s="20" t="n">
        <v>-40</v>
      </c>
      <c r="X207" s="20" t="n">
        <v>-32</v>
      </c>
    </row>
    <row r="208">
      <c r="A208" s="18" t="inlineStr">
        <is>
          <t>고용조정 보조금</t>
        </is>
      </c>
      <c r="R208" s="20" t="n">
        <v>0</v>
      </c>
      <c r="S208" s="20" t="n">
        <v>-3428</v>
      </c>
      <c r="T208" s="20" t="n">
        <v>-1719</v>
      </c>
    </row>
    <row r="209">
      <c r="A209" s="18" t="inlineStr">
        <is>
          <t>고용조정 보조금</t>
        </is>
      </c>
      <c r="C209" s="20" t="n">
        <v>-2</v>
      </c>
      <c r="T209" s="20" t="n">
        <v>-1719</v>
      </c>
      <c r="U209" s="20" t="n">
        <v>-426</v>
      </c>
    </row>
    <row r="210">
      <c r="A210" s="18" t="inlineStr">
        <is>
          <t>Subsidy Income Related To COVITOpe CF</t>
        </is>
      </c>
      <c r="C210" s="20" t="n">
        <v>0</v>
      </c>
      <c r="S210" s="20" t="n">
        <v>-12</v>
      </c>
      <c r="T210" s="20" t="n">
        <v>-1048</v>
      </c>
      <c r="U210" s="20" t="n">
        <v>-284</v>
      </c>
    </row>
    <row r="211">
      <c r="A211" s="18" t="inlineStr">
        <is>
          <t>매출채권 증감</t>
        </is>
      </c>
      <c r="C211" s="20" t="n">
        <v>96</v>
      </c>
      <c r="E211" s="20" t="n">
        <v>-501</v>
      </c>
      <c r="G211" s="20" t="n">
        <v>858</v>
      </c>
      <c r="I211" s="20" t="n">
        <v>513</v>
      </c>
      <c r="K211" s="20" t="n">
        <v>-200</v>
      </c>
      <c r="M211" s="20" t="n">
        <v>-603</v>
      </c>
      <c r="O211" s="20" t="n">
        <v>35</v>
      </c>
      <c r="P211" s="20" t="n">
        <v>-449</v>
      </c>
      <c r="Q211" s="20" t="n">
        <v>64</v>
      </c>
      <c r="R211" s="20" t="n">
        <v>2149</v>
      </c>
      <c r="S211" s="20" t="n">
        <v>133</v>
      </c>
      <c r="T211" s="20" t="n">
        <v>-135</v>
      </c>
      <c r="U211" s="20" t="n">
        <v>-1355</v>
      </c>
      <c r="V211" s="20" t="n">
        <v>-501</v>
      </c>
      <c r="W211" s="20" t="n">
        <v>513</v>
      </c>
      <c r="X211" s="20" t="n">
        <v>-603</v>
      </c>
    </row>
    <row r="212">
      <c r="A212" s="18" t="inlineStr">
        <is>
          <t>재고자산 증감</t>
        </is>
      </c>
      <c r="C212" s="20" t="n">
        <v>-84</v>
      </c>
      <c r="E212" s="20" t="n">
        <v>-152</v>
      </c>
      <c r="G212" s="20" t="n">
        <v>155</v>
      </c>
      <c r="I212" s="20" t="n">
        <v>161</v>
      </c>
      <c r="K212" s="20" t="n">
        <v>-19</v>
      </c>
      <c r="M212" s="20" t="n">
        <v>-56</v>
      </c>
      <c r="O212" s="20" t="n">
        <v>-54</v>
      </c>
      <c r="P212" s="20" t="n">
        <v>-69</v>
      </c>
      <c r="Q212" s="20" t="n">
        <v>12</v>
      </c>
      <c r="R212" s="20" t="n">
        <v>-34</v>
      </c>
      <c r="S212" s="20" t="n">
        <v>74</v>
      </c>
      <c r="T212" s="20" t="n">
        <v>-68</v>
      </c>
      <c r="U212" s="20" t="n">
        <v>-159</v>
      </c>
      <c r="V212" s="20" t="n">
        <v>-152</v>
      </c>
      <c r="W212" s="20" t="n">
        <v>161</v>
      </c>
      <c r="X212" s="20" t="n">
        <v>-56</v>
      </c>
    </row>
    <row r="213">
      <c r="A213" s="18" t="inlineStr">
        <is>
          <t>매입채무 증감</t>
        </is>
      </c>
      <c r="C213" s="20" t="n">
        <v>-104</v>
      </c>
      <c r="E213" s="20" t="n">
        <v>84</v>
      </c>
      <c r="G213" s="20" t="n">
        <v>-270</v>
      </c>
      <c r="I213" s="20" t="n">
        <v>-70</v>
      </c>
      <c r="K213" s="20" t="n">
        <v>-143</v>
      </c>
      <c r="M213" s="20" t="n">
        <v>258</v>
      </c>
      <c r="O213" s="20" t="n">
        <v>-105</v>
      </c>
      <c r="P213" s="20" t="n">
        <v>144</v>
      </c>
      <c r="Q213" s="20" t="n">
        <v>-109</v>
      </c>
      <c r="R213" s="20" t="n">
        <v>-581</v>
      </c>
      <c r="S213" s="20" t="n">
        <v>-95</v>
      </c>
      <c r="T213" s="20" t="n">
        <v>308</v>
      </c>
      <c r="U213" s="20" t="n">
        <v>274</v>
      </c>
      <c r="V213" s="20" t="n">
        <v>84</v>
      </c>
      <c r="W213" s="20" t="n">
        <v>-70</v>
      </c>
      <c r="X213" s="20" t="n">
        <v>258</v>
      </c>
    </row>
    <row r="214">
      <c r="A214" s="18" t="inlineStr">
        <is>
          <t>미지급금 증감</t>
        </is>
      </c>
      <c r="E214" s="20" t="n">
        <v>661</v>
      </c>
      <c r="I214" s="20" t="n">
        <v>-1284</v>
      </c>
      <c r="M214" s="20" t="n">
        <v>-64</v>
      </c>
      <c r="V214" s="20" t="n">
        <v>661</v>
      </c>
      <c r="W214" s="20" t="n">
        <v>-1284</v>
      </c>
      <c r="X214" s="20" t="n">
        <v>-64</v>
      </c>
    </row>
    <row r="215">
      <c r="A215" s="18" t="inlineStr">
        <is>
          <t>미지급비용 증감</t>
        </is>
      </c>
      <c r="C215" s="20" t="n">
        <v>599</v>
      </c>
      <c r="E215" s="20" t="n">
        <v>1241</v>
      </c>
      <c r="G215" s="20" t="n">
        <v>676</v>
      </c>
      <c r="I215" s="20" t="n">
        <v>-941</v>
      </c>
      <c r="K215" s="20" t="n">
        <v>-148</v>
      </c>
      <c r="M215" s="20" t="n">
        <v>615</v>
      </c>
      <c r="Q215" s="20" t="n">
        <v>-359</v>
      </c>
      <c r="R215" s="20" t="n">
        <v>-823</v>
      </c>
      <c r="S215" s="20" t="n">
        <v>-139</v>
      </c>
      <c r="T215" s="20" t="n">
        <v>627</v>
      </c>
      <c r="U215" s="20" t="n">
        <v>-289</v>
      </c>
      <c r="V215" s="20" t="n">
        <v>1241</v>
      </c>
      <c r="W215" s="20" t="n">
        <v>-941</v>
      </c>
      <c r="X215" s="20" t="n">
        <v>615</v>
      </c>
    </row>
    <row r="216">
      <c r="A216" s="18" t="inlineStr">
        <is>
          <t>예수금 증감</t>
        </is>
      </c>
      <c r="C216" s="20" t="n">
        <v>-651</v>
      </c>
      <c r="E216" s="20" t="n">
        <v>-1484</v>
      </c>
      <c r="G216" s="20" t="n">
        <v>-933</v>
      </c>
      <c r="I216" s="20" t="n">
        <v>-985</v>
      </c>
      <c r="K216" s="20" t="n">
        <v>7</v>
      </c>
      <c r="M216" s="20" t="n">
        <v>3</v>
      </c>
      <c r="T216" s="20" t="n">
        <v>1</v>
      </c>
      <c r="U216" s="20" t="n">
        <v>2432</v>
      </c>
      <c r="V216" s="20" t="n">
        <v>-1484</v>
      </c>
      <c r="W216" s="20" t="n">
        <v>-985</v>
      </c>
      <c r="X216" s="20" t="n">
        <v>3</v>
      </c>
    </row>
    <row r="217">
      <c r="A217" s="18" t="inlineStr">
        <is>
          <t>Increase Decrease In Long Term Deposits Received Ope CF</t>
        </is>
      </c>
      <c r="C217" s="20" t="n">
        <v>-49</v>
      </c>
      <c r="E217" s="20" t="n">
        <v>228</v>
      </c>
      <c r="G217" s="20" t="n">
        <v>121</v>
      </c>
      <c r="I217" s="20" t="n">
        <v>138</v>
      </c>
      <c r="K217" s="20" t="n">
        <v>-7</v>
      </c>
      <c r="M217" s="20" t="n">
        <v>252</v>
      </c>
      <c r="O217" s="20" t="n">
        <v>290</v>
      </c>
      <c r="P217" s="20" t="n">
        <v>-7</v>
      </c>
      <c r="Q217" s="20" t="n">
        <v>141</v>
      </c>
      <c r="R217" s="20" t="n">
        <v>-33</v>
      </c>
      <c r="S217" s="20" t="n">
        <v>-294</v>
      </c>
      <c r="T217" s="20" t="n">
        <v>-272</v>
      </c>
      <c r="U217" s="20" t="n">
        <v>-2486</v>
      </c>
      <c r="V217" s="20" t="n">
        <v>228</v>
      </c>
      <c r="W217" s="20" t="n">
        <v>138</v>
      </c>
      <c r="X217" s="20" t="n">
        <v>252</v>
      </c>
    </row>
    <row r="218">
      <c r="A218" s="18" t="inlineStr">
        <is>
          <t>Increase Decrease In Long Term Unearned Revenue Ope CF</t>
        </is>
      </c>
      <c r="C218" s="20" t="n">
        <v>0</v>
      </c>
      <c r="E218" s="20" t="n">
        <v>0</v>
      </c>
      <c r="G218" s="20" t="n">
        <v>6359</v>
      </c>
      <c r="I218" s="20" t="n">
        <v>6310</v>
      </c>
      <c r="K218" s="20" t="n">
        <v>-49</v>
      </c>
      <c r="M218" s="20" t="n">
        <v>-98</v>
      </c>
      <c r="V218" s="20" t="n">
        <v>0</v>
      </c>
      <c r="W218" s="20" t="n">
        <v>6310</v>
      </c>
      <c r="X218" s="20" t="n">
        <v>-98</v>
      </c>
    </row>
    <row r="219">
      <c r="A219" s="18" t="inlineStr">
        <is>
          <t>Decrease Increase In Guarantee Deposits Ope CF</t>
        </is>
      </c>
      <c r="E219" s="20" t="n">
        <v>-0</v>
      </c>
      <c r="I219" s="20" t="n">
        <v>2</v>
      </c>
      <c r="M219" s="20" t="n">
        <v>-350</v>
      </c>
      <c r="O219" s="20" t="n">
        <v>0</v>
      </c>
      <c r="P219" s="20" t="n">
        <v>1</v>
      </c>
      <c r="Q219" s="20" t="n">
        <v>0</v>
      </c>
      <c r="R219" s="20" t="n">
        <v>1</v>
      </c>
      <c r="S219" s="20" t="n">
        <v>27</v>
      </c>
      <c r="T219" s="20" t="n">
        <v>2</v>
      </c>
      <c r="U219" s="20" t="n">
        <v>0</v>
      </c>
      <c r="V219" s="20" t="n">
        <v>-0</v>
      </c>
      <c r="W219" s="20" t="n">
        <v>2</v>
      </c>
      <c r="X219" s="20" t="n">
        <v>-350</v>
      </c>
    </row>
    <row r="220">
      <c r="A220" s="18" t="inlineStr">
        <is>
          <t>Increase Decrease In Provision For Loss On Dismantling For Buildings Expenses Ope CF</t>
        </is>
      </c>
      <c r="O220" s="20" t="n">
        <v>-8</v>
      </c>
      <c r="P220" s="20" t="n">
        <v>-11</v>
      </c>
      <c r="Q220" s="20" t="n">
        <v>-31</v>
      </c>
      <c r="R220" s="20" t="n">
        <v>-256</v>
      </c>
      <c r="S220" s="20" t="n">
        <v>0</v>
      </c>
    </row>
    <row r="221">
      <c r="A221" s="18" t="inlineStr">
        <is>
          <t>기타</t>
        </is>
      </c>
      <c r="C221" s="20" t="n">
        <v>-1256</v>
      </c>
      <c r="E221" s="20" t="n">
        <v>-698</v>
      </c>
      <c r="G221" s="20" t="n">
        <v>-2195</v>
      </c>
      <c r="I221" s="20" t="n">
        <v>-255</v>
      </c>
      <c r="K221" s="20" t="n">
        <v>211</v>
      </c>
      <c r="M221" s="20" t="n">
        <v>31</v>
      </c>
      <c r="O221" s="20" t="n">
        <v>-788</v>
      </c>
      <c r="P221" s="20" t="n">
        <v>1492</v>
      </c>
      <c r="Q221" s="20" t="n">
        <v>299</v>
      </c>
      <c r="R221" s="20" t="n">
        <v>-82</v>
      </c>
      <c r="S221" s="20" t="n">
        <v>-1398</v>
      </c>
      <c r="T221" s="20" t="n">
        <v>1876</v>
      </c>
      <c r="U221" s="20" t="n">
        <v>1420</v>
      </c>
      <c r="V221" s="20" t="n">
        <v>-698</v>
      </c>
      <c r="W221" s="20" t="n">
        <v>-255</v>
      </c>
      <c r="X221" s="20" t="n">
        <v>31</v>
      </c>
    </row>
    <row r="222">
      <c r="A222" s="18" t="inlineStr">
        <is>
          <t>소계</t>
        </is>
      </c>
      <c r="C222" s="20" t="n">
        <v>842</v>
      </c>
      <c r="E222" s="20" t="n">
        <v>4123</v>
      </c>
      <c r="G222" s="20" t="n">
        <v>5764</v>
      </c>
      <c r="I222" s="20" t="n">
        <v>6969</v>
      </c>
      <c r="K222" s="20" t="n">
        <v>806</v>
      </c>
      <c r="M222" s="20" t="n">
        <v>3921</v>
      </c>
      <c r="O222" s="20" t="n">
        <v>7115</v>
      </c>
      <c r="P222" s="20" t="n">
        <v>8683</v>
      </c>
      <c r="Q222" s="20" t="n">
        <v>7742</v>
      </c>
      <c r="R222" s="20" t="n">
        <v>6227</v>
      </c>
      <c r="S222" s="20" t="n">
        <v>-11116</v>
      </c>
      <c r="T222" s="20" t="n">
        <v>-5270</v>
      </c>
      <c r="U222" s="20" t="n">
        <v>3801</v>
      </c>
      <c r="V222" s="20" t="n">
        <v>4123</v>
      </c>
      <c r="W222" s="20" t="n">
        <v>6969</v>
      </c>
      <c r="X222" s="20" t="n">
        <v>3921</v>
      </c>
    </row>
    <row r="223">
      <c r="A223" s="18" t="inlineStr">
        <is>
          <t>이자·배당금 수취</t>
        </is>
      </c>
      <c r="C223" s="20" t="n">
        <v>85</v>
      </c>
      <c r="E223" s="20" t="n">
        <v>133</v>
      </c>
      <c r="G223" s="20" t="n">
        <v>85</v>
      </c>
      <c r="I223" s="20" t="n">
        <v>167</v>
      </c>
      <c r="K223" s="20" t="n">
        <v>127</v>
      </c>
      <c r="M223" s="20" t="n">
        <v>234</v>
      </c>
      <c r="O223" s="20" t="n">
        <v>106</v>
      </c>
      <c r="P223" s="20" t="n">
        <v>113</v>
      </c>
      <c r="Q223" s="20" t="n">
        <v>122</v>
      </c>
      <c r="R223" s="20" t="n">
        <v>121</v>
      </c>
      <c r="S223" s="20" t="n">
        <v>111</v>
      </c>
      <c r="T223" s="20" t="n">
        <v>130</v>
      </c>
      <c r="U223" s="20" t="n">
        <v>157</v>
      </c>
      <c r="V223" s="20" t="n">
        <v>133</v>
      </c>
      <c r="W223" s="20" t="n">
        <v>167</v>
      </c>
      <c r="X223" s="20" t="n">
        <v>234</v>
      </c>
    </row>
    <row r="224">
      <c r="A224" s="18" t="inlineStr">
        <is>
          <t>고용조정 조성금 수령액</t>
        </is>
      </c>
      <c r="R224" s="20" t="n">
        <v>0</v>
      </c>
      <c r="S224" s="20" t="n">
        <v>3112</v>
      </c>
      <c r="T224" s="20" t="n">
        <v>1974</v>
      </c>
    </row>
    <row r="225">
      <c r="A225" s="18" t="inlineStr">
        <is>
          <t>고용조정 조성금 수령액</t>
        </is>
      </c>
      <c r="C225" s="20" t="n">
        <v>4</v>
      </c>
      <c r="T225" s="20" t="n">
        <v>1974</v>
      </c>
      <c r="U225" s="20" t="n">
        <v>485</v>
      </c>
    </row>
    <row r="226">
      <c r="A226" s="18" t="inlineStr">
        <is>
          <t>COVID19Ope CF</t>
        </is>
      </c>
      <c r="C226" s="20" t="n">
        <v>0</v>
      </c>
      <c r="S226" s="20" t="n">
        <v>9</v>
      </c>
      <c r="T226" s="20" t="n">
        <v>1051</v>
      </c>
      <c r="U226" s="20" t="n">
        <v>284</v>
      </c>
    </row>
    <row r="227">
      <c r="A227" s="18" t="inlineStr">
        <is>
          <t>법인세 환급</t>
        </is>
      </c>
      <c r="C227" s="20" t="n">
        <v>20</v>
      </c>
      <c r="E227" s="20" t="n">
        <v>20</v>
      </c>
      <c r="G227" s="20" t="n">
        <v>0</v>
      </c>
      <c r="I227" s="20" t="n">
        <v>0</v>
      </c>
      <c r="S227" s="20" t="n">
        <v>0</v>
      </c>
      <c r="T227" s="20" t="n">
        <v>405</v>
      </c>
      <c r="U227" s="20" t="n">
        <v>22</v>
      </c>
      <c r="V227" s="20" t="n">
        <v>20</v>
      </c>
      <c r="W227" s="20" t="n">
        <v>0</v>
      </c>
    </row>
    <row r="228">
      <c r="A228" s="18" t="inlineStr">
        <is>
          <t>법인세 납부</t>
        </is>
      </c>
      <c r="C228" s="20" t="n">
        <v>-36</v>
      </c>
      <c r="E228" s="20" t="n">
        <v>-75</v>
      </c>
      <c r="G228" s="20" t="n">
        <v>-48</v>
      </c>
      <c r="I228" s="20" t="n">
        <v>-74</v>
      </c>
      <c r="K228" s="20" t="n">
        <v>-3</v>
      </c>
      <c r="M228" s="20" t="n">
        <v>-40</v>
      </c>
      <c r="O228" s="20" t="n">
        <v>-2263</v>
      </c>
      <c r="P228" s="20" t="n">
        <v>-832</v>
      </c>
      <c r="Q228" s="20" t="n">
        <v>-1791</v>
      </c>
      <c r="R228" s="20" t="n">
        <v>-1600</v>
      </c>
      <c r="S228" s="20" t="n">
        <v>-439</v>
      </c>
      <c r="T228" s="20" t="n">
        <v>-14</v>
      </c>
      <c r="U228" s="20" t="n">
        <v>-42</v>
      </c>
      <c r="V228" s="20" t="n">
        <v>-75</v>
      </c>
      <c r="W228" s="20" t="n">
        <v>-74</v>
      </c>
      <c r="X228" s="20" t="n">
        <v>-40</v>
      </c>
    </row>
    <row r="229">
      <c r="A229" s="9" t="inlineStr">
        <is>
          <t>영업활동 현금흐름</t>
        </is>
      </c>
      <c r="C229" s="12" t="n">
        <v>912</v>
      </c>
      <c r="E229" s="12" t="n">
        <v>4201</v>
      </c>
      <c r="G229" s="12" t="n">
        <v>5802</v>
      </c>
      <c r="I229" s="12" t="n">
        <v>7063</v>
      </c>
      <c r="K229" s="12" t="n">
        <v>930</v>
      </c>
      <c r="M229" s="12" t="n">
        <v>4115</v>
      </c>
      <c r="O229" s="12" t="n">
        <v>4959</v>
      </c>
      <c r="P229" s="12" t="n">
        <v>7964</v>
      </c>
      <c r="Q229" s="12" t="n">
        <v>6073</v>
      </c>
      <c r="R229" s="12" t="n">
        <v>4748</v>
      </c>
      <c r="S229" s="12" t="n">
        <v>-8321</v>
      </c>
      <c r="T229" s="12" t="n">
        <v>-1723</v>
      </c>
      <c r="U229" s="12" t="n">
        <v>3938</v>
      </c>
      <c r="V229" s="12" t="n">
        <v>4201</v>
      </c>
      <c r="W229" s="12" t="n">
        <v>7063</v>
      </c>
      <c r="X229" s="12" t="n">
        <v>4115</v>
      </c>
    </row>
    <row r="230">
      <c r="A230" s="18" t="inlineStr">
        <is>
          <t>정기예금 예입</t>
        </is>
      </c>
      <c r="G230" s="20" t="n">
        <v>0</v>
      </c>
      <c r="I230" s="20" t="n">
        <v>0</v>
      </c>
      <c r="K230" s="20" t="n">
        <v>-1000</v>
      </c>
      <c r="M230" s="20" t="n">
        <v>-1000</v>
      </c>
      <c r="O230" s="20" t="n">
        <v>0</v>
      </c>
      <c r="P230" s="20" t="n">
        <v>-1000</v>
      </c>
      <c r="Q230" s="20" t="n">
        <v>0</v>
      </c>
      <c r="W230" s="20" t="n">
        <v>0</v>
      </c>
      <c r="X230" s="20" t="n">
        <v>-1000</v>
      </c>
    </row>
    <row r="231">
      <c r="A231" s="18" t="inlineStr">
        <is>
          <t>정기예금 인출</t>
        </is>
      </c>
      <c r="C231" s="20" t="n">
        <v>0</v>
      </c>
      <c r="E231" s="20" t="n">
        <v>0</v>
      </c>
      <c r="G231" s="20" t="n">
        <v>2000</v>
      </c>
      <c r="I231" s="20" t="n">
        <v>2000</v>
      </c>
      <c r="K231" s="20" t="n">
        <v>1000</v>
      </c>
      <c r="M231" s="20" t="n">
        <v>1000</v>
      </c>
      <c r="P231" s="20" t="n">
        <v>0</v>
      </c>
      <c r="Q231" s="20" t="n">
        <v>2000</v>
      </c>
      <c r="R231" s="20" t="n">
        <v>2000</v>
      </c>
      <c r="S231" s="20" t="n">
        <v>1000</v>
      </c>
      <c r="T231" s="20" t="n">
        <v>0</v>
      </c>
      <c r="V231" s="20" t="n">
        <v>0</v>
      </c>
      <c r="W231" s="20" t="n">
        <v>2000</v>
      </c>
      <c r="X231" s="20" t="n">
        <v>1000</v>
      </c>
    </row>
    <row r="232">
      <c r="A232" s="18" t="inlineStr">
        <is>
          <t>유형자산 취득(설비투자)</t>
        </is>
      </c>
      <c r="C232" s="20" t="n">
        <v>-2471</v>
      </c>
      <c r="E232" s="20" t="n">
        <v>-3565</v>
      </c>
      <c r="G232" s="20" t="n">
        <v>-7128</v>
      </c>
      <c r="I232" s="20" t="n">
        <v>-14749</v>
      </c>
      <c r="K232" s="20" t="n">
        <v>-1036</v>
      </c>
      <c r="M232" s="20" t="n">
        <v>-7262</v>
      </c>
      <c r="O232" s="20" t="n">
        <v>-2799</v>
      </c>
      <c r="P232" s="20" t="n">
        <v>-3025</v>
      </c>
      <c r="Q232" s="20" t="n">
        <v>-2246</v>
      </c>
      <c r="R232" s="20" t="n">
        <v>-1344</v>
      </c>
      <c r="S232" s="20" t="n">
        <v>-1280</v>
      </c>
      <c r="T232" s="20" t="n">
        <v>-1408</v>
      </c>
      <c r="U232" s="20" t="n">
        <v>-1812</v>
      </c>
      <c r="V232" s="20" t="n">
        <v>-3565</v>
      </c>
      <c r="W232" s="20" t="n">
        <v>-14749</v>
      </c>
      <c r="X232" s="20" t="n">
        <v>-7262</v>
      </c>
    </row>
    <row r="233">
      <c r="A233" s="18" t="inlineStr">
        <is>
          <t>유형자산 매각</t>
        </is>
      </c>
      <c r="O233" s="20" t="n">
        <v>2</v>
      </c>
      <c r="P233" s="20" t="n">
        <v>0</v>
      </c>
    </row>
    <row r="234">
      <c r="A234" s="18" t="inlineStr">
        <is>
          <t>무형자산 취득</t>
        </is>
      </c>
      <c r="C234" s="20" t="n">
        <v>-122</v>
      </c>
      <c r="E234" s="20" t="n">
        <v>-416</v>
      </c>
      <c r="G234" s="20" t="n">
        <v>-291</v>
      </c>
      <c r="I234" s="20" t="n">
        <v>-351</v>
      </c>
      <c r="K234" s="20" t="n">
        <v>-73</v>
      </c>
      <c r="M234" s="20" t="n">
        <v>-145</v>
      </c>
      <c r="V234" s="20" t="n">
        <v>-416</v>
      </c>
      <c r="W234" s="20" t="n">
        <v>-351</v>
      </c>
      <c r="X234" s="20" t="n">
        <v>-145</v>
      </c>
    </row>
    <row r="235">
      <c r="A235" s="18" t="inlineStr">
        <is>
          <t>유가증권 취득</t>
        </is>
      </c>
      <c r="C235" s="20" t="n">
        <v>0</v>
      </c>
      <c r="E235" s="20" t="n">
        <v>0</v>
      </c>
      <c r="G235" s="20" t="n">
        <v>-5007</v>
      </c>
      <c r="I235" s="20" t="n">
        <v>-7013</v>
      </c>
      <c r="K235" s="20" t="n">
        <v>-2000</v>
      </c>
      <c r="M235" s="20" t="n">
        <v>-4492</v>
      </c>
      <c r="V235" s="20" t="n">
        <v>0</v>
      </c>
      <c r="W235" s="20" t="n">
        <v>-7013</v>
      </c>
      <c r="X235" s="20" t="n">
        <v>-4492</v>
      </c>
    </row>
    <row r="236">
      <c r="A236" s="18" t="inlineStr">
        <is>
          <t>유가증권 상환 수입</t>
        </is>
      </c>
      <c r="C236" s="20" t="n">
        <v>0</v>
      </c>
      <c r="E236" s="20" t="n">
        <v>0</v>
      </c>
      <c r="G236" s="20" t="n">
        <v>3000</v>
      </c>
      <c r="I236" s="20" t="n">
        <v>5000</v>
      </c>
      <c r="K236" s="20" t="n">
        <v>2000</v>
      </c>
      <c r="M236" s="20" t="n">
        <v>2000</v>
      </c>
      <c r="V236" s="20" t="n">
        <v>0</v>
      </c>
      <c r="W236" s="20" t="n">
        <v>5000</v>
      </c>
      <c r="X236" s="20" t="n">
        <v>2000</v>
      </c>
    </row>
    <row r="237">
      <c r="A237" s="18" t="inlineStr">
        <is>
          <t>투자유가증권 취득</t>
        </is>
      </c>
      <c r="E237" s="20" t="n">
        <v>-100</v>
      </c>
      <c r="I237" s="20" t="n">
        <v>-500</v>
      </c>
      <c r="M237" s="20" t="n">
        <v>0</v>
      </c>
      <c r="O237" s="20" t="n">
        <v>-986</v>
      </c>
      <c r="P237" s="20" t="n">
        <v>-1211</v>
      </c>
      <c r="Q237" s="20" t="n">
        <v>-907</v>
      </c>
      <c r="R237" s="20" t="n">
        <v>-808</v>
      </c>
      <c r="S237" s="20" t="n">
        <v>-18</v>
      </c>
      <c r="T237" s="20" t="n">
        <v>-136</v>
      </c>
      <c r="U237" s="20" t="n">
        <v>-810</v>
      </c>
      <c r="V237" s="20" t="n">
        <v>-100</v>
      </c>
      <c r="W237" s="20" t="n">
        <v>-500</v>
      </c>
      <c r="X237" s="20" t="n">
        <v>0</v>
      </c>
    </row>
    <row r="238">
      <c r="A238" s="18" t="inlineStr">
        <is>
          <t>투자유가증권 상환</t>
        </is>
      </c>
      <c r="C238" s="20" t="n">
        <v>600</v>
      </c>
      <c r="E238" s="20" t="n">
        <v>1108</v>
      </c>
      <c r="G238" s="20" t="n">
        <v>400</v>
      </c>
      <c r="I238" s="20" t="n">
        <v>900</v>
      </c>
      <c r="K238" s="20" t="n">
        <v>239</v>
      </c>
      <c r="M238" s="20" t="n">
        <v>239</v>
      </c>
      <c r="O238" s="20" t="n">
        <v>330</v>
      </c>
      <c r="P238" s="20" t="n">
        <v>368</v>
      </c>
      <c r="Q238" s="20" t="n">
        <v>400</v>
      </c>
      <c r="R238" s="20" t="n">
        <v>1000</v>
      </c>
      <c r="S238" s="20" t="n">
        <v>704</v>
      </c>
      <c r="T238" s="20" t="n">
        <v>1350</v>
      </c>
      <c r="U238" s="20" t="n">
        <v>1105</v>
      </c>
      <c r="V238" s="20" t="n">
        <v>1108</v>
      </c>
      <c r="W238" s="20" t="n">
        <v>900</v>
      </c>
      <c r="X238" s="20" t="n">
        <v>239</v>
      </c>
    </row>
    <row r="239">
      <c r="A239" s="18" t="inlineStr">
        <is>
          <t>투자유가증권 매각</t>
        </is>
      </c>
      <c r="E239" s="20" t="n">
        <v>0</v>
      </c>
      <c r="I239" s="20" t="n">
        <v>628</v>
      </c>
      <c r="M239" s="20" t="n">
        <v>0</v>
      </c>
      <c r="P239" s="20" t="n">
        <v>0</v>
      </c>
      <c r="Q239" s="20" t="n">
        <v>2</v>
      </c>
      <c r="R239" s="20" t="n">
        <v>0</v>
      </c>
      <c r="V239" s="20" t="n">
        <v>0</v>
      </c>
      <c r="W239" s="20" t="n">
        <v>628</v>
      </c>
      <c r="X239" s="20" t="n">
        <v>0</v>
      </c>
    </row>
    <row r="240">
      <c r="A240" s="18" t="inlineStr">
        <is>
          <t>대여</t>
        </is>
      </c>
      <c r="E240" s="20" t="n">
        <v>-1</v>
      </c>
      <c r="I240" s="20" t="n">
        <v>-6</v>
      </c>
      <c r="M240" s="20" t="n">
        <v>-0</v>
      </c>
      <c r="O240" s="20" t="n">
        <v>-1</v>
      </c>
      <c r="P240" s="20" t="n">
        <v>-4</v>
      </c>
      <c r="Q240" s="20" t="n">
        <v>-2</v>
      </c>
      <c r="R240" s="20" t="n">
        <v>-2</v>
      </c>
      <c r="S240" s="20" t="n">
        <v>-11</v>
      </c>
      <c r="T240" s="20" t="n">
        <v>-5</v>
      </c>
      <c r="U240" s="20" t="n">
        <v>-15</v>
      </c>
      <c r="V240" s="20" t="n">
        <v>-1</v>
      </c>
      <c r="W240" s="20" t="n">
        <v>-6</v>
      </c>
      <c r="X240" s="20" t="n">
        <v>-0</v>
      </c>
    </row>
    <row r="241">
      <c r="A241" s="18" t="inlineStr">
        <is>
          <t>대여금 회수</t>
        </is>
      </c>
      <c r="E241" s="20" t="n">
        <v>8</v>
      </c>
      <c r="I241" s="20" t="n">
        <v>5</v>
      </c>
      <c r="M241" s="20" t="n">
        <v>4</v>
      </c>
      <c r="O241" s="20" t="n">
        <v>3</v>
      </c>
      <c r="P241" s="20" t="n">
        <v>4</v>
      </c>
      <c r="Q241" s="20" t="n">
        <v>2</v>
      </c>
      <c r="R241" s="20" t="n">
        <v>2</v>
      </c>
      <c r="S241" s="20" t="n">
        <v>4</v>
      </c>
      <c r="T241" s="20" t="n">
        <v>7</v>
      </c>
      <c r="U241" s="20" t="n">
        <v>7</v>
      </c>
      <c r="V241" s="20" t="n">
        <v>8</v>
      </c>
      <c r="W241" s="20" t="n">
        <v>5</v>
      </c>
      <c r="X241" s="20" t="n">
        <v>4</v>
      </c>
    </row>
    <row r="242">
      <c r="A242" s="18" t="inlineStr">
        <is>
          <t>보증금 납입</t>
        </is>
      </c>
      <c r="S242" s="20" t="n">
        <v>0</v>
      </c>
      <c r="T242" s="20" t="n">
        <v>-1000</v>
      </c>
      <c r="U242" s="20" t="n">
        <v>0</v>
      </c>
    </row>
    <row r="243">
      <c r="A243" s="18" t="inlineStr">
        <is>
          <t>자산복구부채 이행 지출</t>
        </is>
      </c>
      <c r="C243" s="20" t="n">
        <v>0</v>
      </c>
      <c r="E243" s="20" t="n">
        <v>0</v>
      </c>
      <c r="Q243" s="20" t="n">
        <v>0</v>
      </c>
      <c r="R243" s="20" t="n">
        <v>-41</v>
      </c>
      <c r="S243" s="20" t="n">
        <v>0</v>
      </c>
      <c r="T243" s="20" t="n">
        <v>0</v>
      </c>
      <c r="U243" s="20" t="n">
        <v>-4</v>
      </c>
      <c r="V243" s="20" t="n">
        <v>0</v>
      </c>
    </row>
    <row r="244">
      <c r="A244" s="18" t="inlineStr">
        <is>
          <t>기타</t>
        </is>
      </c>
      <c r="C244" s="20" t="n">
        <v>-81</v>
      </c>
      <c r="E244" s="20" t="n">
        <v>-107</v>
      </c>
      <c r="G244" s="20" t="n">
        <v>-32</v>
      </c>
      <c r="I244" s="20" t="n">
        <v>-51</v>
      </c>
      <c r="K244" s="20" t="n">
        <v>-6</v>
      </c>
      <c r="M244" s="20" t="n">
        <v>-8</v>
      </c>
      <c r="O244" s="20" t="n">
        <v>-184</v>
      </c>
      <c r="P244" s="20" t="n">
        <v>-57</v>
      </c>
      <c r="Q244" s="20" t="n">
        <v>-93</v>
      </c>
      <c r="R244" s="20" t="n">
        <v>-82</v>
      </c>
      <c r="S244" s="20" t="n">
        <v>-181</v>
      </c>
      <c r="T244" s="20" t="n">
        <v>-237</v>
      </c>
      <c r="U244" s="20" t="n">
        <v>-54</v>
      </c>
      <c r="V244" s="20" t="n">
        <v>-107</v>
      </c>
      <c r="W244" s="20" t="n">
        <v>-51</v>
      </c>
      <c r="X244" s="20" t="n">
        <v>-8</v>
      </c>
    </row>
    <row r="245">
      <c r="A245" s="9" t="inlineStr">
        <is>
          <t>투자활동 현금흐름</t>
        </is>
      </c>
      <c r="C245" s="12" t="n">
        <v>-2075</v>
      </c>
      <c r="E245" s="12" t="n">
        <v>-3073</v>
      </c>
      <c r="G245" s="12" t="n">
        <v>-7061</v>
      </c>
      <c r="I245" s="12" t="n">
        <v>-14137</v>
      </c>
      <c r="K245" s="12" t="n">
        <v>-878</v>
      </c>
      <c r="M245" s="12" t="n">
        <v>-9666</v>
      </c>
      <c r="O245" s="12" t="n">
        <v>-3635</v>
      </c>
      <c r="P245" s="12" t="n">
        <v>-4928</v>
      </c>
      <c r="Q245" s="12" t="n">
        <v>-844</v>
      </c>
      <c r="R245" s="12" t="n">
        <v>723</v>
      </c>
      <c r="S245" s="12" t="n">
        <v>217</v>
      </c>
      <c r="T245" s="12" t="n">
        <v>-1430</v>
      </c>
      <c r="U245" s="12" t="n">
        <v>-1584</v>
      </c>
      <c r="V245" s="12" t="n">
        <v>-3073</v>
      </c>
      <c r="W245" s="12" t="n">
        <v>-14137</v>
      </c>
      <c r="X245" s="12" t="n">
        <v>-9666</v>
      </c>
    </row>
    <row r="246">
      <c r="A246" s="18" t="inlineStr">
        <is>
          <t>단기차입금 증감</t>
        </is>
      </c>
      <c r="I246" s="20" t="n">
        <v>0</v>
      </c>
      <c r="M246" s="20" t="n">
        <v>9000</v>
      </c>
      <c r="W246" s="20" t="n">
        <v>0</v>
      </c>
      <c r="X246" s="20" t="n">
        <v>9000</v>
      </c>
    </row>
    <row r="247">
      <c r="A247" s="18" t="inlineStr">
        <is>
          <t>이자 지급</t>
        </is>
      </c>
      <c r="I247" s="20" t="n">
        <v>0</v>
      </c>
      <c r="M247" s="20" t="n">
        <v>-13</v>
      </c>
      <c r="W247" s="20" t="n">
        <v>0</v>
      </c>
      <c r="X247" s="20" t="n">
        <v>-13</v>
      </c>
    </row>
    <row r="248">
      <c r="A248" s="18" t="inlineStr">
        <is>
          <t>자기주식 취득</t>
        </is>
      </c>
      <c r="G248" s="20" t="n">
        <v>0</v>
      </c>
      <c r="I248" s="20" t="n">
        <v>0</v>
      </c>
      <c r="K248" s="20" t="n">
        <v>-319</v>
      </c>
      <c r="M248" s="20" t="n">
        <v>-319</v>
      </c>
      <c r="O248" s="20" t="n">
        <v>-0</v>
      </c>
      <c r="P248" s="20" t="n">
        <v>0</v>
      </c>
      <c r="Q248" s="20" t="n">
        <v>0</v>
      </c>
      <c r="R248" s="20" t="n">
        <v>-0</v>
      </c>
      <c r="S248" s="20" t="n">
        <v>-0</v>
      </c>
      <c r="T248" s="20" t="n">
        <v>0</v>
      </c>
      <c r="W248" s="20" t="n">
        <v>0</v>
      </c>
      <c r="X248" s="20" t="n">
        <v>-319</v>
      </c>
    </row>
    <row r="249">
      <c r="A249" s="18" t="inlineStr">
        <is>
          <t>신디케이트론 수수료 지급</t>
        </is>
      </c>
      <c r="C249" s="20" t="n">
        <v>-1</v>
      </c>
      <c r="I249" s="20" t="n">
        <v>-13</v>
      </c>
      <c r="M249" s="20" t="n">
        <v>-16</v>
      </c>
      <c r="S249" s="20" t="n">
        <v>0</v>
      </c>
      <c r="T249" s="20" t="n">
        <v>-44</v>
      </c>
      <c r="U249" s="20" t="n">
        <v>-2</v>
      </c>
      <c r="W249" s="20" t="n">
        <v>-13</v>
      </c>
      <c r="X249" s="20" t="n">
        <v>-16</v>
      </c>
    </row>
    <row r="250">
      <c r="A250" s="18" t="inlineStr">
        <is>
          <t>배당금 지급</t>
        </is>
      </c>
      <c r="C250" s="20" t="n">
        <v>-473</v>
      </c>
      <c r="E250" s="20" t="n">
        <v>-712</v>
      </c>
      <c r="G250" s="20" t="n">
        <v>-473</v>
      </c>
      <c r="I250" s="20" t="n">
        <v>-710</v>
      </c>
      <c r="K250" s="20" t="n">
        <v>-473</v>
      </c>
      <c r="M250" s="20" t="n">
        <v>-711</v>
      </c>
      <c r="O250" s="20" t="n">
        <v>-949</v>
      </c>
      <c r="P250" s="20" t="n">
        <v>-890</v>
      </c>
      <c r="Q250" s="20" t="n">
        <v>-889</v>
      </c>
      <c r="R250" s="20" t="n">
        <v>-1008</v>
      </c>
      <c r="S250" s="20" t="n">
        <v>-474</v>
      </c>
      <c r="T250" s="20" t="n">
        <v>-238</v>
      </c>
      <c r="U250" s="20" t="n">
        <v>-238</v>
      </c>
      <c r="V250" s="20" t="n">
        <v>-712</v>
      </c>
      <c r="W250" s="20" t="n">
        <v>-710</v>
      </c>
      <c r="X250" s="20" t="n">
        <v>-711</v>
      </c>
    </row>
    <row r="251">
      <c r="A251" s="18" t="inlineStr">
        <is>
          <t>기타</t>
        </is>
      </c>
      <c r="C251" s="20" t="n">
        <v>-1</v>
      </c>
      <c r="E251" s="20" t="n">
        <v>-6</v>
      </c>
      <c r="G251" s="20" t="n">
        <v>-3</v>
      </c>
      <c r="I251" s="20" t="n">
        <v>-13</v>
      </c>
      <c r="K251" s="20" t="n">
        <v>-8</v>
      </c>
      <c r="U251" s="20" t="n">
        <v>-2</v>
      </c>
      <c r="V251" s="20" t="n">
        <v>-6</v>
      </c>
      <c r="W251" s="20" t="n">
        <v>-13</v>
      </c>
    </row>
    <row r="252">
      <c r="A252" s="9" t="inlineStr">
        <is>
          <t>재무활동 현금흐름</t>
        </is>
      </c>
      <c r="C252" s="12" t="n">
        <v>-475</v>
      </c>
      <c r="E252" s="12" t="n">
        <v>-718</v>
      </c>
      <c r="G252" s="12" t="n">
        <v>-477</v>
      </c>
      <c r="I252" s="12" t="n">
        <v>-724</v>
      </c>
      <c r="K252" s="12" t="n">
        <v>-801</v>
      </c>
      <c r="M252" s="12" t="n">
        <v>7940</v>
      </c>
      <c r="O252" s="12" t="n">
        <v>-949</v>
      </c>
      <c r="P252" s="12" t="n">
        <v>-890</v>
      </c>
      <c r="Q252" s="12" t="n">
        <v>-889</v>
      </c>
      <c r="R252" s="12" t="n">
        <v>-1008</v>
      </c>
      <c r="S252" s="12" t="n">
        <v>-474</v>
      </c>
      <c r="T252" s="12" t="n">
        <v>-282</v>
      </c>
      <c r="U252" s="12" t="n">
        <v>-240</v>
      </c>
      <c r="V252" s="12" t="n">
        <v>-718</v>
      </c>
      <c r="W252" s="12" t="n">
        <v>-724</v>
      </c>
      <c r="X252" s="12" t="n">
        <v>7940</v>
      </c>
    </row>
    <row r="253">
      <c r="A253" s="18" t="inlineStr">
        <is>
          <t>현금성자산 증감</t>
        </is>
      </c>
      <c r="C253" s="20" t="n">
        <v>-1637</v>
      </c>
      <c r="E253" s="20" t="n">
        <v>409</v>
      </c>
      <c r="G253" s="20" t="n">
        <v>-1736</v>
      </c>
      <c r="I253" s="20" t="n">
        <v>-7799</v>
      </c>
      <c r="K253" s="20" t="n">
        <v>-749</v>
      </c>
      <c r="M253" s="20" t="n">
        <v>2389</v>
      </c>
      <c r="O253" s="20" t="n">
        <v>374</v>
      </c>
      <c r="P253" s="20" t="n">
        <v>2146</v>
      </c>
      <c r="Q253" s="20" t="n">
        <v>4338</v>
      </c>
      <c r="R253" s="20" t="n">
        <v>4462</v>
      </c>
      <c r="S253" s="20" t="n">
        <v>-8579</v>
      </c>
      <c r="T253" s="20" t="n">
        <v>-3436</v>
      </c>
      <c r="U253" s="20" t="n">
        <v>2113</v>
      </c>
      <c r="V253" s="20" t="n">
        <v>409</v>
      </c>
      <c r="W253" s="20" t="n">
        <v>-7799</v>
      </c>
      <c r="X253" s="20" t="n">
        <v>2389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9708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27655</v>
      </c>
      <c r="D5" s="12" t="n">
        <v>27380</v>
      </c>
      <c r="E5" s="12" t="n">
        <v>34881</v>
      </c>
      <c r="F5" s="12" t="n">
        <v>34339</v>
      </c>
      <c r="G5" s="12" t="n">
        <v>33457</v>
      </c>
      <c r="H5" s="11" t="n">
        <v>29786</v>
      </c>
      <c r="I5" s="12" t="n">
        <v>33303</v>
      </c>
      <c r="J5" s="12" t="n">
        <v>34085</v>
      </c>
      <c r="K5" s="12" t="n">
        <v>26248</v>
      </c>
      <c r="L5" s="12" t="n">
        <v>34339</v>
      </c>
    </row>
    <row r="6">
      <c r="A6" s="18" t="inlineStr">
        <is>
          <t>현금및현금성자산</t>
        </is>
      </c>
      <c r="B6" s="10" t="n"/>
      <c r="C6" s="19" t="n">
        <v>12198</v>
      </c>
      <c r="D6" s="20" t="n">
        <v>11695</v>
      </c>
      <c r="E6" s="20" t="n">
        <v>14148</v>
      </c>
      <c r="F6" s="20" t="n">
        <v>12343</v>
      </c>
      <c r="G6" s="20" t="n">
        <v>12418</v>
      </c>
      <c r="H6" s="19" t="n">
        <v>10826</v>
      </c>
      <c r="I6" s="20" t="n">
        <v>9853</v>
      </c>
      <c r="J6" s="20" t="n">
        <v>10243</v>
      </c>
      <c r="K6" s="20" t="n">
        <v>9948</v>
      </c>
      <c r="L6" s="20" t="n">
        <v>12343</v>
      </c>
    </row>
    <row r="7">
      <c r="A7" s="18" t="inlineStr">
        <is>
          <t>단기금융상품</t>
        </is>
      </c>
      <c r="B7" s="10" t="n"/>
      <c r="C7" s="19" t="n">
        <v>10732</v>
      </c>
      <c r="D7" s="20" t="n">
        <v>10787</v>
      </c>
      <c r="E7" s="20" t="n">
        <v>14774</v>
      </c>
      <c r="F7" s="20" t="n">
        <v>16069</v>
      </c>
      <c r="G7" s="20" t="n">
        <v>15076</v>
      </c>
      <c r="H7" s="19" t="n">
        <v>15905</v>
      </c>
      <c r="I7" s="20" t="n">
        <v>18908</v>
      </c>
      <c r="J7" s="20" t="n">
        <v>18599</v>
      </c>
      <c r="K7" s="20" t="n">
        <v>11733</v>
      </c>
      <c r="L7" s="20" t="n">
        <v>16069</v>
      </c>
    </row>
    <row r="8">
      <c r="A8" s="18" t="inlineStr">
        <is>
          <t>매출채권</t>
        </is>
      </c>
      <c r="B8" s="10" t="n"/>
      <c r="C8" s="19" t="n">
        <v>3235</v>
      </c>
      <c r="D8" s="20" t="n">
        <v>3211</v>
      </c>
      <c r="E8" s="20" t="n">
        <v>3864</v>
      </c>
      <c r="F8" s="20" t="n">
        <v>3614</v>
      </c>
      <c r="G8" s="20" t="n">
        <v>3629</v>
      </c>
      <c r="H8" s="19" t="n">
        <v>1636</v>
      </c>
      <c r="I8" s="20" t="n">
        <v>2985</v>
      </c>
      <c r="J8" s="20" t="n">
        <v>3485</v>
      </c>
      <c r="K8" s="20" t="n">
        <v>2965</v>
      </c>
      <c r="L8" s="20" t="n">
        <v>3614</v>
      </c>
    </row>
    <row r="9">
      <c r="A9" s="18" t="inlineStr">
        <is>
          <t>재고자산</t>
        </is>
      </c>
      <c r="B9" s="10" t="n"/>
      <c r="C9" s="19" t="n">
        <v>823</v>
      </c>
      <c r="D9" s="20" t="n">
        <v>796</v>
      </c>
      <c r="E9" s="20" t="n">
        <v>1024</v>
      </c>
      <c r="F9" s="20" t="n">
        <v>833</v>
      </c>
      <c r="G9" s="20" t="n">
        <v>908</v>
      </c>
      <c r="H9" s="19" t="n">
        <v>625</v>
      </c>
      <c r="I9" s="20" t="n">
        <v>785</v>
      </c>
      <c r="J9" s="20" t="n">
        <v>940</v>
      </c>
      <c r="K9" s="20" t="n">
        <v>779</v>
      </c>
      <c r="L9" s="20" t="n">
        <v>833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40736</v>
      </c>
      <c r="D11" s="12" t="n">
        <v>40692</v>
      </c>
      <c r="E11" s="12" t="n">
        <v>45305</v>
      </c>
      <c r="F11" s="12" t="n">
        <v>47529</v>
      </c>
      <c r="G11" s="12" t="n">
        <v>47373</v>
      </c>
      <c r="H11" s="11" t="n">
        <v>27366</v>
      </c>
      <c r="I11" s="12" t="n">
        <v>26343</v>
      </c>
      <c r="J11" s="12" t="n">
        <v>29525</v>
      </c>
      <c r="K11" s="12" t="n">
        <v>40667</v>
      </c>
      <c r="L11" s="12" t="n">
        <v>47529</v>
      </c>
    </row>
    <row r="12">
      <c r="A12" s="18" t="inlineStr">
        <is>
          <t>유형자산</t>
        </is>
      </c>
      <c r="B12" s="10" t="n"/>
      <c r="C12" s="19" t="n">
        <v>28777</v>
      </c>
      <c r="D12" s="20" t="n">
        <v>28842</v>
      </c>
      <c r="E12" s="20" t="n">
        <v>32998</v>
      </c>
      <c r="F12" s="20" t="n">
        <v>34253</v>
      </c>
      <c r="G12" s="20" t="n">
        <v>34308</v>
      </c>
      <c r="H12" s="19" t="n">
        <v>14989</v>
      </c>
      <c r="I12" s="20" t="n">
        <v>14224</v>
      </c>
      <c r="J12" s="20" t="n">
        <v>16883</v>
      </c>
      <c r="K12" s="20" t="n">
        <v>29052</v>
      </c>
      <c r="L12" s="20" t="n">
        <v>34253</v>
      </c>
    </row>
    <row r="13">
      <c r="A13" s="18" t="inlineStr">
        <is>
          <t>무형자산</t>
        </is>
      </c>
      <c r="B13" s="10" t="n"/>
      <c r="C13" s="19" t="n">
        <v>1574</v>
      </c>
      <c r="D13" s="20" t="n">
        <v>1558</v>
      </c>
      <c r="E13" s="20" t="n">
        <v>1540</v>
      </c>
      <c r="F13" s="20" t="n">
        <v>1586</v>
      </c>
      <c r="G13" s="20" t="n">
        <v>1579</v>
      </c>
      <c r="H13" s="19" t="n">
        <v>1139</v>
      </c>
      <c r="I13" s="20" t="n">
        <v>1055</v>
      </c>
      <c r="J13" s="20" t="n">
        <v>1524</v>
      </c>
      <c r="K13" s="20" t="n">
        <v>1598</v>
      </c>
      <c r="L13" s="20" t="n">
        <v>1586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68392</v>
      </c>
      <c r="D16" s="12" t="n">
        <v>68072</v>
      </c>
      <c r="E16" s="12" t="n">
        <v>80187</v>
      </c>
      <c r="F16" s="12" t="n">
        <v>81869</v>
      </c>
      <c r="G16" s="12" t="n">
        <v>80831</v>
      </c>
      <c r="H16" s="11" t="n">
        <v>57152</v>
      </c>
      <c r="I16" s="12" t="n">
        <v>59647</v>
      </c>
      <c r="J16" s="12" t="n">
        <v>63611</v>
      </c>
      <c r="K16" s="12" t="n">
        <v>66916</v>
      </c>
      <c r="L16" s="12" t="n">
        <v>81869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6569</v>
      </c>
      <c r="D18" s="12" t="n">
        <v>6957</v>
      </c>
      <c r="E18" s="12" t="n">
        <v>16949</v>
      </c>
      <c r="F18" s="12" t="n">
        <v>17618</v>
      </c>
      <c r="G18" s="12" t="n">
        <v>16543</v>
      </c>
      <c r="H18" s="11" t="n">
        <v>6781</v>
      </c>
      <c r="I18" s="12" t="n">
        <v>10556</v>
      </c>
      <c r="J18" s="12" t="n">
        <v>12337</v>
      </c>
      <c r="K18" s="12" t="n">
        <v>7506</v>
      </c>
      <c r="L18" s="12" t="n">
        <v>17618</v>
      </c>
    </row>
    <row r="19">
      <c r="A19" s="18" t="inlineStr">
        <is>
          <t>매입채무</t>
        </is>
      </c>
      <c r="B19" s="10" t="n"/>
      <c r="C19" s="19" t="n">
        <v>1041</v>
      </c>
      <c r="D19" s="20" t="n">
        <v>976</v>
      </c>
      <c r="E19" s="20" t="n">
        <v>1768</v>
      </c>
      <c r="F19" s="20" t="n">
        <v>1378</v>
      </c>
      <c r="G19" s="20" t="n">
        <v>1148</v>
      </c>
      <c r="H19" s="19" t="n">
        <v>830</v>
      </c>
      <c r="I19" s="20" t="n">
        <v>1098</v>
      </c>
      <c r="J19" s="20" t="n">
        <v>1185</v>
      </c>
      <c r="K19" s="20" t="n">
        <v>1112</v>
      </c>
      <c r="L19" s="20" t="n">
        <v>1378</v>
      </c>
    </row>
    <row r="20">
      <c r="A20" s="18" t="inlineStr">
        <is>
          <t>단기차입금</t>
        </is>
      </c>
      <c r="B20" s="10" t="n"/>
      <c r="C20" s="19" t="n"/>
      <c r="D20" s="20" t="n"/>
      <c r="E20" s="20" t="n">
        <v>9000</v>
      </c>
      <c r="F20" s="20" t="n">
        <v>9000</v>
      </c>
      <c r="G20" s="20" t="n">
        <v>9000</v>
      </c>
      <c r="H20" s="19" t="n"/>
      <c r="I20" s="20" t="n"/>
      <c r="J20" s="20" t="n"/>
      <c r="K20" s="20" t="n">
        <v>0</v>
      </c>
      <c r="L20" s="20" t="n">
        <v>9000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16093</v>
      </c>
      <c r="D23" s="12" t="n">
        <v>16010</v>
      </c>
      <c r="E23" s="12" t="n">
        <v>15979</v>
      </c>
      <c r="F23" s="12" t="n">
        <v>15174</v>
      </c>
      <c r="G23" s="12" t="n">
        <v>15368</v>
      </c>
      <c r="H23" s="11" t="n">
        <v>13690</v>
      </c>
      <c r="I23" s="12" t="n">
        <v>10725</v>
      </c>
      <c r="J23" s="12" t="n">
        <v>9850</v>
      </c>
      <c r="K23" s="12" t="n">
        <v>16228</v>
      </c>
      <c r="L23" s="12" t="n">
        <v>15174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22663</v>
      </c>
      <c r="D27" s="12" t="n">
        <v>22968</v>
      </c>
      <c r="E27" s="12" t="n">
        <v>32928</v>
      </c>
      <c r="F27" s="12" t="n">
        <v>32793</v>
      </c>
      <c r="G27" s="12" t="n">
        <v>31912</v>
      </c>
      <c r="H27" s="11" t="n">
        <v>20471</v>
      </c>
      <c r="I27" s="12" t="n">
        <v>21282</v>
      </c>
      <c r="J27" s="12" t="n">
        <v>22188</v>
      </c>
      <c r="K27" s="12" t="n">
        <v>23735</v>
      </c>
      <c r="L27" s="12" t="n">
        <v>32793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45728</v>
      </c>
      <c r="D31" s="12" t="n">
        <v>45104</v>
      </c>
      <c r="E31" s="12" t="n">
        <v>47258</v>
      </c>
      <c r="F31" s="12" t="n">
        <v>49076</v>
      </c>
      <c r="G31" s="12" t="n">
        <v>48919</v>
      </c>
      <c r="H31" s="11" t="n">
        <v>36681</v>
      </c>
      <c r="I31" s="12" t="n">
        <v>38365</v>
      </c>
      <c r="J31" s="12" t="n">
        <v>41423</v>
      </c>
      <c r="K31" s="12" t="n">
        <v>43180</v>
      </c>
      <c r="L31" s="12" t="n">
        <v>49076</v>
      </c>
    </row>
    <row r="32">
      <c r="A32" s="18" t="inlineStr">
        <is>
          <t>자본금</t>
        </is>
      </c>
      <c r="B32" s="10" t="n"/>
      <c r="C32" s="19" t="n">
        <v>1485</v>
      </c>
      <c r="D32" s="20" t="n">
        <v>1485</v>
      </c>
      <c r="E32" s="20" t="n">
        <v>1485</v>
      </c>
      <c r="F32" s="20" t="n">
        <v>1485</v>
      </c>
      <c r="G32" s="20" t="n">
        <v>1485</v>
      </c>
      <c r="H32" s="19" t="n">
        <v>1485</v>
      </c>
      <c r="I32" s="20" t="n">
        <v>1485</v>
      </c>
      <c r="J32" s="20" t="n">
        <v>1485</v>
      </c>
      <c r="K32" s="20" t="n">
        <v>1485</v>
      </c>
      <c r="L32" s="20" t="n">
        <v>1485</v>
      </c>
    </row>
    <row r="33">
      <c r="A33" s="18" t="inlineStr">
        <is>
          <t>이익잉여금</t>
        </is>
      </c>
      <c r="B33" s="10" t="n"/>
      <c r="C33" s="19" t="n">
        <v>41246</v>
      </c>
      <c r="D33" s="20" t="n">
        <v>40948</v>
      </c>
      <c r="E33" s="20" t="n">
        <v>43046</v>
      </c>
      <c r="F33" s="20" t="n">
        <v>44471</v>
      </c>
      <c r="G33" s="20" t="n">
        <v>44163</v>
      </c>
      <c r="H33" s="19" t="n">
        <v>33061</v>
      </c>
      <c r="I33" s="20" t="n">
        <v>34658</v>
      </c>
      <c r="J33" s="20" t="n">
        <v>37265</v>
      </c>
      <c r="K33" s="20" t="n">
        <v>39065</v>
      </c>
      <c r="L33" s="20" t="n">
        <v>44471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45728</v>
      </c>
      <c r="D35" s="12" t="n">
        <v>45104</v>
      </c>
      <c r="E35" s="12" t="n">
        <v>47258</v>
      </c>
      <c r="F35" s="12" t="n">
        <v>49076</v>
      </c>
      <c r="G35" s="12" t="n">
        <v>48919</v>
      </c>
      <c r="H35" s="11" t="n">
        <v>36681</v>
      </c>
      <c r="I35" s="12" t="n">
        <v>38365</v>
      </c>
      <c r="J35" s="12" t="n">
        <v>41423</v>
      </c>
      <c r="K35" s="12" t="n">
        <v>43180</v>
      </c>
      <c r="L35" s="12" t="n">
        <v>49076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2191</v>
      </c>
      <c r="E37" s="12" t="n"/>
      <c r="F37" s="12" t="n">
        <v>4115</v>
      </c>
      <c r="G37" s="12" t="n"/>
      <c r="H37" s="11" t="n">
        <v>-1723</v>
      </c>
      <c r="I37" s="12" t="n">
        <v>3938</v>
      </c>
      <c r="J37" s="12" t="n">
        <v>4201</v>
      </c>
      <c r="K37" s="12" t="n">
        <v>7063</v>
      </c>
      <c r="L37" s="12" t="n">
        <v>4115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8790</v>
      </c>
      <c r="E38" s="20" t="n"/>
      <c r="F38" s="20" t="n">
        <v>7407</v>
      </c>
      <c r="G38" s="20" t="n"/>
      <c r="H38" s="19" t="n">
        <v>1408</v>
      </c>
      <c r="I38" s="20" t="n">
        <v>1812</v>
      </c>
      <c r="J38" s="20" t="n">
        <v>3981</v>
      </c>
      <c r="K38" s="20" t="n">
        <v>15100</v>
      </c>
      <c r="L38" s="20" t="n">
        <v>7407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710</v>
      </c>
      <c r="E40" s="20" t="n"/>
      <c r="F40" s="20" t="n">
        <v>711</v>
      </c>
      <c r="G40" s="20" t="n"/>
      <c r="H40" s="19" t="n">
        <v>238</v>
      </c>
      <c r="I40" s="20" t="n">
        <v>238</v>
      </c>
      <c r="J40" s="20" t="n">
        <v>712</v>
      </c>
      <c r="K40" s="20" t="n">
        <v>710</v>
      </c>
      <c r="L40" s="20" t="n">
        <v>711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12198</v>
      </c>
      <c r="D71" s="20" t="n">
        <v>11695</v>
      </c>
      <c r="E71" s="20" t="n">
        <v>14148</v>
      </c>
      <c r="F71" s="20" t="n">
        <v>12343</v>
      </c>
      <c r="G71" s="20" t="n">
        <v>12418</v>
      </c>
      <c r="H71" s="20" t="n">
        <v>10826</v>
      </c>
      <c r="I71" s="20" t="n">
        <v>9853</v>
      </c>
      <c r="J71" s="20" t="n">
        <v>10243</v>
      </c>
      <c r="K71" s="20" t="n">
        <v>9948</v>
      </c>
      <c r="L71" s="20" t="n">
        <v>12343</v>
      </c>
    </row>
    <row r="72">
      <c r="A72" s="18" t="inlineStr">
        <is>
          <t>매출채권</t>
        </is>
      </c>
      <c r="C72" s="20" t="n">
        <v>3235</v>
      </c>
      <c r="D72" s="20" t="n">
        <v>3211</v>
      </c>
      <c r="E72" s="20" t="n">
        <v>3864</v>
      </c>
      <c r="F72" s="20" t="n">
        <v>3614</v>
      </c>
      <c r="G72" s="20" t="n">
        <v>3629</v>
      </c>
      <c r="H72" s="20" t="n">
        <v>1636</v>
      </c>
      <c r="I72" s="20" t="n">
        <v>2985</v>
      </c>
      <c r="J72" s="20" t="n">
        <v>3485</v>
      </c>
      <c r="K72" s="20" t="n">
        <v>2965</v>
      </c>
      <c r="L72" s="20" t="n">
        <v>3614</v>
      </c>
    </row>
    <row r="73">
      <c r="A73" s="18" t="inlineStr">
        <is>
          <t>유가증권</t>
        </is>
      </c>
      <c r="C73" s="20" t="n">
        <v>10732</v>
      </c>
      <c r="D73" s="20" t="n">
        <v>10787</v>
      </c>
      <c r="E73" s="20" t="n">
        <v>14774</v>
      </c>
      <c r="F73" s="20" t="n">
        <v>16069</v>
      </c>
      <c r="G73" s="20" t="n">
        <v>15076</v>
      </c>
      <c r="H73" s="20" t="n">
        <v>15905</v>
      </c>
      <c r="I73" s="20" t="n">
        <v>18908</v>
      </c>
      <c r="J73" s="20" t="n">
        <v>18599</v>
      </c>
      <c r="K73" s="20" t="n">
        <v>11733</v>
      </c>
      <c r="L73" s="20" t="n">
        <v>16069</v>
      </c>
    </row>
    <row r="74">
      <c r="A74" s="18" t="inlineStr">
        <is>
          <t>저장품</t>
        </is>
      </c>
      <c r="C74" s="20" t="n">
        <v>823</v>
      </c>
      <c r="D74" s="20" t="n">
        <v>796</v>
      </c>
      <c r="E74" s="20" t="n">
        <v>1024</v>
      </c>
      <c r="F74" s="20" t="n">
        <v>833</v>
      </c>
      <c r="G74" s="20" t="n">
        <v>908</v>
      </c>
      <c r="H74" s="20" t="n">
        <v>625</v>
      </c>
      <c r="I74" s="20" t="n">
        <v>785</v>
      </c>
      <c r="J74" s="20" t="n">
        <v>940</v>
      </c>
      <c r="K74" s="20" t="n">
        <v>779</v>
      </c>
      <c r="L74" s="20" t="n">
        <v>833</v>
      </c>
    </row>
    <row r="75">
      <c r="A75" s="18" t="inlineStr">
        <is>
          <t>기타</t>
        </is>
      </c>
      <c r="C75" s="20" t="n">
        <v>667</v>
      </c>
      <c r="D75" s="20" t="n">
        <v>891</v>
      </c>
      <c r="E75" s="20" t="n">
        <v>1070</v>
      </c>
      <c r="F75" s="20" t="n">
        <v>1479</v>
      </c>
      <c r="G75" s="20" t="n">
        <v>1426</v>
      </c>
      <c r="H75" s="20" t="n">
        <v>800</v>
      </c>
      <c r="I75" s="20" t="n">
        <v>776</v>
      </c>
      <c r="J75" s="20" t="n">
        <v>819</v>
      </c>
      <c r="K75" s="20" t="n">
        <v>823</v>
      </c>
      <c r="L75" s="20" t="n">
        <v>1479</v>
      </c>
    </row>
    <row r="76">
      <c r="A76" s="18" t="inlineStr">
        <is>
          <t>대손충당금</t>
        </is>
      </c>
      <c r="C76" s="20" t="n">
        <v>-1</v>
      </c>
      <c r="D76" s="20" t="n">
        <v>-1</v>
      </c>
      <c r="E76" s="20" t="n">
        <v>-1</v>
      </c>
      <c r="F76" s="20" t="n">
        <v>-0</v>
      </c>
      <c r="G76" s="20" t="n">
        <v>-0</v>
      </c>
      <c r="H76" s="20" t="n">
        <v>-7</v>
      </c>
      <c r="I76" s="20" t="n">
        <v>-5</v>
      </c>
      <c r="J76" s="20" t="n">
        <v>-3</v>
      </c>
      <c r="K76" s="20" t="n">
        <v>-1</v>
      </c>
      <c r="L76" s="20" t="n">
        <v>-0</v>
      </c>
    </row>
    <row r="77">
      <c r="A77" s="9" t="inlineStr">
        <is>
          <t>유동자산 합계</t>
        </is>
      </c>
      <c r="C77" s="12" t="n">
        <v>27655</v>
      </c>
      <c r="D77" s="12" t="n">
        <v>27380</v>
      </c>
      <c r="E77" s="12" t="n">
        <v>34881</v>
      </c>
      <c r="F77" s="12" t="n">
        <v>34339</v>
      </c>
      <c r="G77" s="12" t="n">
        <v>33457</v>
      </c>
      <c r="H77" s="12" t="n">
        <v>29786</v>
      </c>
      <c r="I77" s="12" t="n">
        <v>33303</v>
      </c>
      <c r="J77" s="12" t="n">
        <v>34085</v>
      </c>
      <c r="K77" s="12" t="n">
        <v>26248</v>
      </c>
      <c r="L77" s="12" t="n">
        <v>34339</v>
      </c>
    </row>
    <row r="78">
      <c r="A78" s="18" t="inlineStr">
        <is>
          <t>건물·구축물(순액)</t>
        </is>
      </c>
      <c r="C78" s="20" t="n">
        <v>10179</v>
      </c>
      <c r="D78" s="20" t="n">
        <v>9912</v>
      </c>
      <c r="E78" s="20" t="n">
        <v>20563</v>
      </c>
      <c r="F78" s="20" t="n">
        <v>20893</v>
      </c>
      <c r="G78" s="20" t="n">
        <v>20977</v>
      </c>
      <c r="H78" s="20" t="n">
        <v>9651</v>
      </c>
      <c r="I78" s="20" t="n">
        <v>7547</v>
      </c>
      <c r="J78" s="20" t="n">
        <v>7369</v>
      </c>
      <c r="K78" s="20" t="n">
        <v>10495</v>
      </c>
      <c r="L78" s="20" t="n">
        <v>20893</v>
      </c>
    </row>
    <row r="79">
      <c r="A79" s="18" t="inlineStr">
        <is>
          <t>토지</t>
        </is>
      </c>
      <c r="F79" s="20" t="n">
        <v>6554</v>
      </c>
      <c r="H79" s="20" t="n">
        <v>2783</v>
      </c>
      <c r="I79" s="20" t="n">
        <v>2783</v>
      </c>
      <c r="J79" s="20" t="n">
        <v>2783</v>
      </c>
      <c r="K79" s="20" t="n">
        <v>6554</v>
      </c>
      <c r="L79" s="20" t="n">
        <v>6554</v>
      </c>
    </row>
    <row r="80">
      <c r="A80" s="18" t="inlineStr">
        <is>
          <t>건설중인자산</t>
        </is>
      </c>
      <c r="C80" s="20" t="n">
        <v>10854</v>
      </c>
      <c r="D80" s="20" t="n">
        <v>11034</v>
      </c>
      <c r="E80" s="20" t="n">
        <v>4516</v>
      </c>
      <c r="F80" s="20" t="n">
        <v>3426</v>
      </c>
      <c r="G80" s="20" t="n">
        <v>3517</v>
      </c>
      <c r="H80" s="20" t="n">
        <v>1561</v>
      </c>
      <c r="I80" s="20" t="n">
        <v>3228</v>
      </c>
      <c r="J80" s="20" t="n">
        <v>6062</v>
      </c>
      <c r="K80" s="20" t="n">
        <v>10810</v>
      </c>
      <c r="L80" s="20" t="n">
        <v>3426</v>
      </c>
    </row>
    <row r="81">
      <c r="A81" s="18" t="inlineStr">
        <is>
          <t>기타(순액)</t>
        </is>
      </c>
      <c r="C81" s="20" t="n">
        <v>7743</v>
      </c>
      <c r="D81" s="20" t="n">
        <v>7895</v>
      </c>
      <c r="E81" s="20" t="n">
        <v>7918</v>
      </c>
      <c r="F81" s="20" t="n">
        <v>9934</v>
      </c>
      <c r="G81" s="20" t="n">
        <v>9813</v>
      </c>
      <c r="H81" s="20" t="n">
        <v>993</v>
      </c>
      <c r="I81" s="20" t="n">
        <v>663</v>
      </c>
      <c r="J81" s="20" t="n">
        <v>667</v>
      </c>
      <c r="K81" s="20" t="n">
        <v>1192</v>
      </c>
      <c r="L81" s="20" t="n">
        <v>9934</v>
      </c>
    </row>
    <row r="82">
      <c r="A82" s="18" t="inlineStr">
        <is>
          <t>유형자산 합계</t>
        </is>
      </c>
      <c r="C82" s="20" t="n">
        <v>28777</v>
      </c>
      <c r="D82" s="20" t="n">
        <v>28842</v>
      </c>
      <c r="E82" s="20" t="n">
        <v>32998</v>
      </c>
      <c r="F82" s="20" t="n">
        <v>34253</v>
      </c>
      <c r="G82" s="20" t="n">
        <v>34308</v>
      </c>
      <c r="H82" s="20" t="n">
        <v>14989</v>
      </c>
      <c r="I82" s="20" t="n">
        <v>14224</v>
      </c>
      <c r="J82" s="20" t="n">
        <v>16883</v>
      </c>
      <c r="K82" s="20" t="n">
        <v>29052</v>
      </c>
      <c r="L82" s="20" t="n">
        <v>34253</v>
      </c>
    </row>
    <row r="83">
      <c r="A83" s="18" t="inlineStr">
        <is>
          <t>차지권</t>
        </is>
      </c>
      <c r="F83" s="20" t="n">
        <v>879</v>
      </c>
      <c r="H83" s="20" t="n">
        <v>853</v>
      </c>
      <c r="I83" s="20" t="n">
        <v>853</v>
      </c>
      <c r="J83" s="20" t="n">
        <v>853</v>
      </c>
      <c r="K83" s="20" t="n">
        <v>853</v>
      </c>
      <c r="L83" s="20" t="n">
        <v>879</v>
      </c>
    </row>
    <row r="84">
      <c r="A84" s="18" t="inlineStr">
        <is>
          <t>기타</t>
        </is>
      </c>
      <c r="F84" s="20" t="n">
        <v>706</v>
      </c>
      <c r="H84" s="20" t="n">
        <v>285</v>
      </c>
      <c r="I84" s="20" t="n">
        <v>201</v>
      </c>
      <c r="J84" s="20" t="n">
        <v>670</v>
      </c>
      <c r="K84" s="20" t="n">
        <v>744</v>
      </c>
      <c r="L84" s="20" t="n">
        <v>706</v>
      </c>
    </row>
    <row r="85">
      <c r="A85" s="18" t="inlineStr">
        <is>
          <t>무형자산</t>
        </is>
      </c>
      <c r="C85" s="20" t="n">
        <v>1574</v>
      </c>
      <c r="D85" s="20" t="n">
        <v>1558</v>
      </c>
      <c r="E85" s="20" t="n">
        <v>1540</v>
      </c>
      <c r="F85" s="20" t="n">
        <v>1586</v>
      </c>
      <c r="G85" s="20" t="n">
        <v>1579</v>
      </c>
      <c r="H85" s="20" t="n">
        <v>1139</v>
      </c>
      <c r="I85" s="20" t="n">
        <v>1055</v>
      </c>
      <c r="J85" s="20" t="n">
        <v>1524</v>
      </c>
      <c r="K85" s="20" t="n">
        <v>1598</v>
      </c>
      <c r="L85" s="20" t="n">
        <v>1586</v>
      </c>
    </row>
    <row r="86">
      <c r="A86" s="18" t="inlineStr">
        <is>
          <t>투자유가증권</t>
        </is>
      </c>
      <c r="C86" s="20" t="n">
        <v>5660</v>
      </c>
      <c r="D86" s="20" t="n">
        <v>5544</v>
      </c>
      <c r="E86" s="20" t="n">
        <v>5677</v>
      </c>
      <c r="F86" s="20" t="n">
        <v>5431</v>
      </c>
      <c r="G86" s="20" t="n">
        <v>5754</v>
      </c>
      <c r="H86" s="20" t="n">
        <v>5734</v>
      </c>
      <c r="I86" s="20" t="n">
        <v>5560</v>
      </c>
      <c r="J86" s="20" t="n">
        <v>5510</v>
      </c>
      <c r="K86" s="20" t="n">
        <v>5374</v>
      </c>
      <c r="L86" s="20" t="n">
        <v>5431</v>
      </c>
    </row>
    <row r="87">
      <c r="A87" s="18" t="inlineStr">
        <is>
          <t>임차보증금·보증금</t>
        </is>
      </c>
      <c r="F87" s="20" t="n">
        <v>4646</v>
      </c>
      <c r="H87" s="20" t="n">
        <v>4298</v>
      </c>
      <c r="I87" s="20" t="n">
        <v>4298</v>
      </c>
      <c r="J87" s="20" t="n">
        <v>4298</v>
      </c>
      <c r="K87" s="20" t="n">
        <v>4296</v>
      </c>
      <c r="L87" s="20" t="n">
        <v>4646</v>
      </c>
    </row>
    <row r="88">
      <c r="A88" s="18" t="inlineStr">
        <is>
          <t>이연법인세자산</t>
        </is>
      </c>
      <c r="F88" s="20" t="n">
        <v>1253</v>
      </c>
      <c r="G88" s="20" t="n">
        <v>730</v>
      </c>
      <c r="H88" s="20" t="n">
        <v>117</v>
      </c>
      <c r="I88" s="20" t="n">
        <v>120</v>
      </c>
      <c r="J88" s="20" t="n">
        <v>109</v>
      </c>
      <c r="K88" s="20" t="n">
        <v>0</v>
      </c>
      <c r="L88" s="20" t="n">
        <v>1253</v>
      </c>
    </row>
    <row r="89">
      <c r="A89" s="18" t="inlineStr">
        <is>
          <t>기타</t>
        </is>
      </c>
      <c r="C89" s="20" t="n">
        <v>4723</v>
      </c>
      <c r="D89" s="20" t="n">
        <v>4747</v>
      </c>
      <c r="E89" s="20" t="n">
        <v>5090</v>
      </c>
      <c r="F89" s="20" t="n">
        <v>5004</v>
      </c>
      <c r="G89" s="20" t="n">
        <v>5001</v>
      </c>
      <c r="H89" s="20" t="n">
        <v>1204</v>
      </c>
      <c r="I89" s="20" t="n">
        <v>1205</v>
      </c>
      <c r="J89" s="20" t="n">
        <v>1308</v>
      </c>
      <c r="K89" s="20" t="n">
        <v>345</v>
      </c>
      <c r="L89" s="20" t="n">
        <v>5004</v>
      </c>
    </row>
    <row r="90">
      <c r="A90" s="18" t="inlineStr">
        <is>
          <t>투자 및 기타자산 합계</t>
        </is>
      </c>
      <c r="C90" s="20" t="n">
        <v>10384</v>
      </c>
      <c r="D90" s="20" t="n">
        <v>10291</v>
      </c>
      <c r="E90" s="20" t="n">
        <v>10767</v>
      </c>
      <c r="F90" s="20" t="n">
        <v>11689</v>
      </c>
      <c r="G90" s="20" t="n">
        <v>11486</v>
      </c>
      <c r="H90" s="20" t="n">
        <v>11236</v>
      </c>
      <c r="I90" s="20" t="n">
        <v>11064</v>
      </c>
      <c r="J90" s="20" t="n">
        <v>11117</v>
      </c>
      <c r="K90" s="20" t="n">
        <v>10016</v>
      </c>
      <c r="L90" s="20" t="n">
        <v>11689</v>
      </c>
    </row>
    <row r="91">
      <c r="A91" s="9" t="inlineStr">
        <is>
          <t>비유동자산 합계</t>
        </is>
      </c>
      <c r="C91" s="12" t="n">
        <v>40736</v>
      </c>
      <c r="D91" s="12" t="n">
        <v>40692</v>
      </c>
      <c r="E91" s="12" t="n">
        <v>45305</v>
      </c>
      <c r="F91" s="12" t="n">
        <v>47529</v>
      </c>
      <c r="G91" s="12" t="n">
        <v>47373</v>
      </c>
      <c r="H91" s="12" t="n">
        <v>27366</v>
      </c>
      <c r="I91" s="12" t="n">
        <v>26343</v>
      </c>
      <c r="J91" s="12" t="n">
        <v>29525</v>
      </c>
      <c r="K91" s="12" t="n">
        <v>40667</v>
      </c>
      <c r="L91" s="12" t="n">
        <v>47529</v>
      </c>
    </row>
    <row r="92">
      <c r="A92" s="9" t="inlineStr">
        <is>
          <t>자산 합계</t>
        </is>
      </c>
      <c r="C92" s="12" t="n">
        <v>68392</v>
      </c>
      <c r="D92" s="12" t="n">
        <v>68072</v>
      </c>
      <c r="E92" s="12" t="n">
        <v>80187</v>
      </c>
      <c r="F92" s="12" t="n">
        <v>81869</v>
      </c>
      <c r="G92" s="12" t="n">
        <v>80831</v>
      </c>
      <c r="H92" s="12" t="n">
        <v>57152</v>
      </c>
      <c r="I92" s="12" t="n">
        <v>59647</v>
      </c>
      <c r="J92" s="12" t="n">
        <v>63611</v>
      </c>
      <c r="K92" s="12" t="n">
        <v>66916</v>
      </c>
      <c r="L92" s="12" t="n">
        <v>81869</v>
      </c>
    </row>
    <row r="93">
      <c r="A93" s="18" t="inlineStr">
        <is>
          <t>매입채무</t>
        </is>
      </c>
      <c r="C93" s="20" t="n">
        <v>1041</v>
      </c>
      <c r="D93" s="20" t="n">
        <v>976</v>
      </c>
      <c r="E93" s="20" t="n">
        <v>1768</v>
      </c>
      <c r="F93" s="20" t="n">
        <v>1378</v>
      </c>
      <c r="G93" s="20" t="n">
        <v>1148</v>
      </c>
      <c r="H93" s="20" t="n">
        <v>830</v>
      </c>
      <c r="I93" s="20" t="n">
        <v>1098</v>
      </c>
      <c r="J93" s="20" t="n">
        <v>1185</v>
      </c>
      <c r="K93" s="20" t="n">
        <v>1112</v>
      </c>
      <c r="L93" s="20" t="n">
        <v>1378</v>
      </c>
    </row>
    <row r="94">
      <c r="A94" s="18" t="inlineStr">
        <is>
          <t>단기차입금</t>
        </is>
      </c>
      <c r="E94" s="20" t="n">
        <v>9000</v>
      </c>
      <c r="F94" s="20" t="n">
        <v>9000</v>
      </c>
      <c r="G94" s="20" t="n">
        <v>9000</v>
      </c>
      <c r="K94" s="20" t="n">
        <v>0</v>
      </c>
      <c r="L94" s="20" t="n">
        <v>9000</v>
      </c>
    </row>
    <row r="95">
      <c r="A95" s="18" t="inlineStr">
        <is>
          <t>미지급금</t>
        </is>
      </c>
      <c r="F95" s="20" t="n">
        <v>1114</v>
      </c>
      <c r="G95" s="20" t="n">
        <v>871</v>
      </c>
      <c r="I95" s="20" t="n">
        <v>1091</v>
      </c>
      <c r="J95" s="20" t="n">
        <v>3277</v>
      </c>
      <c r="K95" s="20" t="n">
        <v>887</v>
      </c>
      <c r="L95" s="20" t="n">
        <v>1114</v>
      </c>
    </row>
    <row r="96">
      <c r="A96" s="18" t="inlineStr">
        <is>
          <t>미지급법인세</t>
        </is>
      </c>
      <c r="C96" s="20" t="n">
        <v>47</v>
      </c>
      <c r="D96" s="20" t="n">
        <v>108</v>
      </c>
      <c r="E96" s="20" t="n">
        <v>70</v>
      </c>
      <c r="F96" s="20" t="n">
        <v>266</v>
      </c>
      <c r="G96" s="20" t="n">
        <v>74</v>
      </c>
      <c r="H96" s="20" t="n">
        <v>30</v>
      </c>
      <c r="I96" s="20" t="n">
        <v>131</v>
      </c>
      <c r="J96" s="20" t="n">
        <v>149</v>
      </c>
      <c r="K96" s="20" t="n">
        <v>95</v>
      </c>
      <c r="L96" s="20" t="n">
        <v>266</v>
      </c>
    </row>
    <row r="97">
      <c r="A97" s="18" t="inlineStr">
        <is>
          <t>미지급비용</t>
        </is>
      </c>
      <c r="C97" s="20" t="n">
        <v>1799</v>
      </c>
      <c r="D97" s="20" t="n">
        <v>1799</v>
      </c>
      <c r="E97" s="20" t="n">
        <v>2815</v>
      </c>
      <c r="F97" s="20" t="n">
        <v>2491</v>
      </c>
      <c r="G97" s="20" t="n">
        <v>1987</v>
      </c>
      <c r="H97" s="20" t="n">
        <v>2022</v>
      </c>
      <c r="I97" s="20" t="n">
        <v>1753</v>
      </c>
      <c r="J97" s="20" t="n">
        <v>2998</v>
      </c>
      <c r="K97" s="20" t="n">
        <v>2070</v>
      </c>
      <c r="L97" s="20" t="n">
        <v>2491</v>
      </c>
    </row>
    <row r="98">
      <c r="A98" s="18" t="inlineStr">
        <is>
          <t>선수금</t>
        </is>
      </c>
      <c r="C98" s="20" t="n">
        <v>834</v>
      </c>
      <c r="D98" s="20" t="n">
        <v>1012</v>
      </c>
      <c r="E98" s="20" t="n">
        <v>616</v>
      </c>
      <c r="F98" s="20" t="n">
        <v>810</v>
      </c>
      <c r="G98" s="20" t="n">
        <v>861</v>
      </c>
      <c r="H98" s="20" t="n">
        <v>812</v>
      </c>
      <c r="I98" s="20" t="n">
        <v>875</v>
      </c>
      <c r="J98" s="20" t="n">
        <v>819</v>
      </c>
      <c r="K98" s="20" t="n">
        <v>795</v>
      </c>
      <c r="L98" s="20" t="n">
        <v>810</v>
      </c>
    </row>
    <row r="99">
      <c r="A99" s="18" t="inlineStr">
        <is>
          <t>예수금</t>
        </is>
      </c>
      <c r="C99" s="20" t="n">
        <v>604</v>
      </c>
      <c r="D99" s="20" t="n">
        <v>240</v>
      </c>
      <c r="E99" s="20" t="n">
        <v>475</v>
      </c>
      <c r="F99" s="20" t="n">
        <v>236</v>
      </c>
      <c r="G99" s="20" t="n">
        <v>625</v>
      </c>
      <c r="H99" s="20" t="n">
        <v>247</v>
      </c>
      <c r="I99" s="20" t="n">
        <v>2686</v>
      </c>
      <c r="J99" s="20" t="n">
        <v>1203</v>
      </c>
      <c r="K99" s="20" t="n">
        <v>216</v>
      </c>
      <c r="L99" s="20" t="n">
        <v>236</v>
      </c>
    </row>
    <row r="100">
      <c r="A100" s="18" t="inlineStr">
        <is>
          <t>상여충당금</t>
        </is>
      </c>
      <c r="C100" s="20" t="n">
        <v>369</v>
      </c>
      <c r="D100" s="20" t="n">
        <v>1097</v>
      </c>
      <c r="E100" s="20" t="n">
        <v>453</v>
      </c>
      <c r="F100" s="20" t="n">
        <v>1345</v>
      </c>
      <c r="G100" s="20" t="n">
        <v>391</v>
      </c>
      <c r="H100" s="20" t="n">
        <v>628</v>
      </c>
      <c r="I100" s="20" t="n">
        <v>847</v>
      </c>
      <c r="J100" s="20" t="n">
        <v>1126</v>
      </c>
      <c r="K100" s="20" t="n">
        <v>1195</v>
      </c>
      <c r="L100" s="20" t="n">
        <v>1345</v>
      </c>
    </row>
    <row r="101">
      <c r="A101" s="18" t="inlineStr">
        <is>
          <t>Provision For Loss On Reconstruct CL</t>
        </is>
      </c>
      <c r="I101" s="20" t="n">
        <v>0</v>
      </c>
    </row>
    <row r="102">
      <c r="A102" s="18" t="inlineStr">
        <is>
          <t>기타</t>
        </is>
      </c>
      <c r="C102" s="20" t="n">
        <v>1872</v>
      </c>
      <c r="D102" s="20" t="n">
        <v>1720</v>
      </c>
      <c r="E102" s="20" t="n">
        <v>1750</v>
      </c>
      <c r="F102" s="20" t="n">
        <v>975</v>
      </c>
      <c r="G102" s="20" t="n">
        <v>1582</v>
      </c>
      <c r="H102" s="20" t="n">
        <v>2209</v>
      </c>
      <c r="I102" s="20" t="n">
        <v>2071</v>
      </c>
      <c r="J102" s="20" t="n">
        <v>1576</v>
      </c>
      <c r="K102" s="20" t="n">
        <v>1132</v>
      </c>
      <c r="L102" s="20" t="n">
        <v>975</v>
      </c>
    </row>
    <row r="103">
      <c r="A103" s="9" t="inlineStr">
        <is>
          <t>유동부채 합계</t>
        </is>
      </c>
      <c r="C103" s="12" t="n">
        <v>6569</v>
      </c>
      <c r="D103" s="12" t="n">
        <v>6957</v>
      </c>
      <c r="E103" s="12" t="n">
        <v>16949</v>
      </c>
      <c r="F103" s="12" t="n">
        <v>17618</v>
      </c>
      <c r="G103" s="12" t="n">
        <v>16543</v>
      </c>
      <c r="H103" s="12" t="n">
        <v>6781</v>
      </c>
      <c r="I103" s="12" t="n">
        <v>10556</v>
      </c>
      <c r="J103" s="12" t="n">
        <v>12337</v>
      </c>
      <c r="K103" s="12" t="n">
        <v>7506</v>
      </c>
      <c r="L103" s="12" t="n">
        <v>17618</v>
      </c>
    </row>
    <row r="104">
      <c r="A104" s="18" t="inlineStr">
        <is>
          <t>퇴직급여충당금</t>
        </is>
      </c>
      <c r="F104" s="20" t="n">
        <v>6008</v>
      </c>
      <c r="H104" s="20" t="n">
        <v>6324</v>
      </c>
      <c r="I104" s="20" t="n">
        <v>6476</v>
      </c>
      <c r="J104" s="20" t="n">
        <v>6323</v>
      </c>
      <c r="K104" s="20" t="n">
        <v>6243</v>
      </c>
      <c r="L104" s="20" t="n">
        <v>6008</v>
      </c>
    </row>
    <row r="105">
      <c r="A105" s="18" t="inlineStr">
        <is>
          <t>퇴직급여부채</t>
        </is>
      </c>
      <c r="C105" s="20" t="n">
        <v>6081</v>
      </c>
      <c r="D105" s="20" t="n">
        <v>6011</v>
      </c>
      <c r="E105" s="20" t="n">
        <v>5956</v>
      </c>
      <c r="F105" s="20" t="n">
        <v>5541</v>
      </c>
      <c r="G105" s="20" t="n">
        <v>5509</v>
      </c>
      <c r="H105" s="20" t="n">
        <v>6907</v>
      </c>
      <c r="I105" s="20" t="n">
        <v>6806</v>
      </c>
      <c r="J105" s="20" t="n">
        <v>6696</v>
      </c>
      <c r="K105" s="20" t="n">
        <v>6103</v>
      </c>
      <c r="L105" s="20" t="n">
        <v>5541</v>
      </c>
    </row>
    <row r="106">
      <c r="A106" s="18" t="inlineStr">
        <is>
          <t>자산복구부채</t>
        </is>
      </c>
      <c r="C106" s="20" t="n">
        <v>1030</v>
      </c>
      <c r="D106" s="20" t="n">
        <v>1031</v>
      </c>
      <c r="E106" s="20" t="n">
        <v>1031</v>
      </c>
      <c r="F106" s="20" t="n">
        <v>1031</v>
      </c>
      <c r="G106" s="20" t="n">
        <v>1032</v>
      </c>
      <c r="H106" s="20" t="n">
        <v>1010</v>
      </c>
      <c r="I106" s="20" t="n">
        <v>1017</v>
      </c>
      <c r="J106" s="20" t="n">
        <v>1028</v>
      </c>
      <c r="K106" s="20" t="n">
        <v>1030</v>
      </c>
      <c r="L106" s="20" t="n">
        <v>1031</v>
      </c>
    </row>
    <row r="107">
      <c r="A107" s="18" t="inlineStr">
        <is>
          <t>장기선수수익</t>
        </is>
      </c>
      <c r="C107" s="20" t="n">
        <v>6285</v>
      </c>
      <c r="D107" s="20" t="n">
        <v>6261</v>
      </c>
      <c r="E107" s="20" t="n">
        <v>6236</v>
      </c>
      <c r="F107" s="20" t="n">
        <v>6212</v>
      </c>
      <c r="G107" s="20" t="n">
        <v>6187</v>
      </c>
      <c r="J107" s="20" t="n">
        <v>0</v>
      </c>
      <c r="K107" s="20" t="n">
        <v>6310</v>
      </c>
      <c r="L107" s="20" t="n">
        <v>6212</v>
      </c>
    </row>
    <row r="108">
      <c r="A108" s="18" t="inlineStr">
        <is>
          <t>Long Term Deposits Received</t>
        </is>
      </c>
      <c r="C108" s="20" t="n">
        <v>1859</v>
      </c>
      <c r="D108" s="20" t="n">
        <v>1869</v>
      </c>
      <c r="E108" s="20" t="n">
        <v>1889</v>
      </c>
      <c r="F108" s="20" t="n">
        <v>2129</v>
      </c>
      <c r="G108" s="20" t="n">
        <v>2380</v>
      </c>
      <c r="H108" s="20" t="n">
        <v>3942</v>
      </c>
      <c r="I108" s="20" t="n">
        <v>1451</v>
      </c>
      <c r="J108" s="20" t="n">
        <v>1686</v>
      </c>
      <c r="K108" s="20" t="n">
        <v>1825</v>
      </c>
      <c r="L108" s="20" t="n">
        <v>2129</v>
      </c>
    </row>
    <row r="109">
      <c r="A109" s="18" t="inlineStr">
        <is>
          <t>장기미지급금</t>
        </is>
      </c>
      <c r="H109" s="20" t="n">
        <v>3</v>
      </c>
      <c r="I109" s="20" t="n">
        <v>0</v>
      </c>
    </row>
    <row r="110">
      <c r="A110" s="18" t="inlineStr">
        <is>
          <t>이연법인세부채</t>
        </is>
      </c>
      <c r="F110" s="20" t="n">
        <v>0</v>
      </c>
      <c r="H110" s="20" t="n">
        <v>380</v>
      </c>
      <c r="I110" s="20" t="n">
        <v>413</v>
      </c>
      <c r="J110" s="20" t="n">
        <v>606</v>
      </c>
      <c r="K110" s="20" t="n">
        <v>611</v>
      </c>
      <c r="L110" s="20" t="n">
        <v>0</v>
      </c>
    </row>
    <row r="111">
      <c r="A111" s="18" t="inlineStr">
        <is>
          <t>Provision For Loss On Reconstruct NCL</t>
        </is>
      </c>
      <c r="H111" s="20" t="n">
        <v>1993</v>
      </c>
      <c r="I111" s="20" t="n">
        <v>1326</v>
      </c>
      <c r="J111" s="20" t="n">
        <v>0</v>
      </c>
    </row>
    <row r="112">
      <c r="A112" s="18" t="inlineStr">
        <is>
          <t>기타</t>
        </is>
      </c>
      <c r="C112" s="20" t="n">
        <v>836</v>
      </c>
      <c r="D112" s="20" t="n">
        <v>836</v>
      </c>
      <c r="E112" s="20" t="n">
        <v>865</v>
      </c>
      <c r="F112" s="20" t="n">
        <v>259</v>
      </c>
      <c r="G112" s="20" t="n">
        <v>259</v>
      </c>
      <c r="H112" s="20" t="n">
        <v>34</v>
      </c>
      <c r="I112" s="20" t="n">
        <v>40</v>
      </c>
      <c r="J112" s="20" t="n">
        <v>206</v>
      </c>
      <c r="K112" s="20" t="n">
        <v>208</v>
      </c>
      <c r="L112" s="20" t="n">
        <v>259</v>
      </c>
    </row>
    <row r="113">
      <c r="A113" s="9" t="inlineStr">
        <is>
          <t>비유동부채 합계</t>
        </is>
      </c>
      <c r="C113" s="12" t="n">
        <v>16093</v>
      </c>
      <c r="D113" s="12" t="n">
        <v>16010</v>
      </c>
      <c r="E113" s="12" t="n">
        <v>15979</v>
      </c>
      <c r="F113" s="12" t="n">
        <v>15174</v>
      </c>
      <c r="G113" s="12" t="n">
        <v>15368</v>
      </c>
      <c r="H113" s="12" t="n">
        <v>13690</v>
      </c>
      <c r="I113" s="12" t="n">
        <v>10725</v>
      </c>
      <c r="J113" s="12" t="n">
        <v>9850</v>
      </c>
      <c r="K113" s="12" t="n">
        <v>16228</v>
      </c>
      <c r="L113" s="12" t="n">
        <v>15174</v>
      </c>
    </row>
    <row r="114">
      <c r="A114" s="9" t="inlineStr">
        <is>
          <t>부채 합계</t>
        </is>
      </c>
      <c r="C114" s="12" t="n">
        <v>22663</v>
      </c>
      <c r="D114" s="12" t="n">
        <v>22968</v>
      </c>
      <c r="E114" s="12" t="n">
        <v>32928</v>
      </c>
      <c r="F114" s="12" t="n">
        <v>32793</v>
      </c>
      <c r="G114" s="12" t="n">
        <v>31912</v>
      </c>
      <c r="H114" s="12" t="n">
        <v>20471</v>
      </c>
      <c r="I114" s="12" t="n">
        <v>21282</v>
      </c>
      <c r="J114" s="12" t="n">
        <v>22188</v>
      </c>
      <c r="K114" s="12" t="n">
        <v>23735</v>
      </c>
      <c r="L114" s="12" t="n">
        <v>32793</v>
      </c>
    </row>
    <row r="115">
      <c r="A115" s="18" t="inlineStr">
        <is>
          <t>자본금</t>
        </is>
      </c>
      <c r="C115" s="20" t="n">
        <v>1485</v>
      </c>
      <c r="D115" s="20" t="n">
        <v>1485</v>
      </c>
      <c r="E115" s="20" t="n">
        <v>1485</v>
      </c>
      <c r="F115" s="20" t="n">
        <v>1485</v>
      </c>
      <c r="G115" s="20" t="n">
        <v>1485</v>
      </c>
      <c r="H115" s="20" t="n">
        <v>1485</v>
      </c>
      <c r="I115" s="20" t="n">
        <v>1485</v>
      </c>
      <c r="J115" s="20" t="n">
        <v>1485</v>
      </c>
      <c r="K115" s="20" t="n">
        <v>1485</v>
      </c>
      <c r="L115" s="20" t="n">
        <v>1485</v>
      </c>
    </row>
    <row r="116">
      <c r="A116" s="18" t="inlineStr">
        <is>
          <t>자본준비금</t>
        </is>
      </c>
      <c r="F116" s="20" t="n">
        <v>1378</v>
      </c>
      <c r="H116" s="20" t="n">
        <v>1378</v>
      </c>
      <c r="I116" s="20" t="n">
        <v>1378</v>
      </c>
      <c r="J116" s="20" t="n">
        <v>1378</v>
      </c>
      <c r="K116" s="20" t="n">
        <v>1378</v>
      </c>
      <c r="L116" s="20" t="n">
        <v>1378</v>
      </c>
    </row>
    <row r="117">
      <c r="A117" s="18" t="inlineStr">
        <is>
          <t>이익준비금</t>
        </is>
      </c>
      <c r="F117" s="20" t="n">
        <v>371</v>
      </c>
      <c r="H117" s="20" t="n">
        <v>371</v>
      </c>
      <c r="I117" s="20" t="n">
        <v>371</v>
      </c>
      <c r="J117" s="20" t="n">
        <v>371</v>
      </c>
      <c r="K117" s="20" t="n">
        <v>371</v>
      </c>
      <c r="L117" s="20" t="n">
        <v>371</v>
      </c>
    </row>
    <row r="118">
      <c r="A118" s="18" t="inlineStr">
        <is>
          <t>별도적립금</t>
        </is>
      </c>
      <c r="F118" s="20" t="n">
        <v>30141</v>
      </c>
      <c r="H118" s="20" t="n">
        <v>30141</v>
      </c>
      <c r="I118" s="20" t="n">
        <v>30141</v>
      </c>
      <c r="J118" s="20" t="n">
        <v>30141</v>
      </c>
      <c r="K118" s="20" t="n">
        <v>30141</v>
      </c>
      <c r="L118" s="20" t="n">
        <v>30141</v>
      </c>
    </row>
    <row r="119">
      <c r="A119" s="18" t="inlineStr">
        <is>
          <t>이월이익잉여금</t>
        </is>
      </c>
      <c r="F119" s="20" t="n">
        <v>12033</v>
      </c>
      <c r="H119" s="20" t="n">
        <v>2548</v>
      </c>
      <c r="I119" s="20" t="n">
        <v>4146</v>
      </c>
      <c r="J119" s="20" t="n">
        <v>6753</v>
      </c>
      <c r="K119" s="20" t="n">
        <v>8553</v>
      </c>
      <c r="L119" s="20" t="n">
        <v>12033</v>
      </c>
    </row>
    <row r="120">
      <c r="A120" s="18" t="inlineStr">
        <is>
          <t>자본잉여금</t>
        </is>
      </c>
      <c r="C120" s="20" t="n">
        <v>1378</v>
      </c>
      <c r="D120" s="20" t="n">
        <v>1378</v>
      </c>
      <c r="E120" s="20" t="n">
        <v>1378</v>
      </c>
      <c r="F120" s="20" t="n">
        <v>1378</v>
      </c>
      <c r="G120" s="20" t="n">
        <v>1378</v>
      </c>
      <c r="H120" s="20" t="n">
        <v>1378</v>
      </c>
      <c r="I120" s="20" t="n">
        <v>1378</v>
      </c>
      <c r="J120" s="20" t="n">
        <v>1378</v>
      </c>
      <c r="K120" s="20" t="n">
        <v>1378</v>
      </c>
      <c r="L120" s="20" t="n">
        <v>1378</v>
      </c>
    </row>
    <row r="121">
      <c r="A121" s="18" t="inlineStr">
        <is>
          <t>이익잉여금</t>
        </is>
      </c>
      <c r="C121" s="20" t="n">
        <v>41246</v>
      </c>
      <c r="D121" s="20" t="n">
        <v>40948</v>
      </c>
      <c r="E121" s="20" t="n">
        <v>43046</v>
      </c>
      <c r="F121" s="20" t="n">
        <v>44471</v>
      </c>
      <c r="G121" s="20" t="n">
        <v>44163</v>
      </c>
      <c r="H121" s="20" t="n">
        <v>33061</v>
      </c>
      <c r="I121" s="20" t="n">
        <v>34658</v>
      </c>
      <c r="J121" s="20" t="n">
        <v>37265</v>
      </c>
      <c r="K121" s="20" t="n">
        <v>39065</v>
      </c>
      <c r="L121" s="20" t="n">
        <v>44471</v>
      </c>
    </row>
    <row r="122">
      <c r="A122" s="18" t="inlineStr">
        <is>
          <t>자기주식</t>
        </is>
      </c>
      <c r="C122" s="20" t="n">
        <v>-89</v>
      </c>
      <c r="D122" s="20" t="n">
        <v>-408</v>
      </c>
      <c r="E122" s="20" t="n">
        <v>-408</v>
      </c>
      <c r="F122" s="20" t="n">
        <v>-409</v>
      </c>
      <c r="G122" s="20" t="n">
        <v>-409</v>
      </c>
      <c r="H122" s="20" t="n">
        <v>-75</v>
      </c>
      <c r="I122" s="20" t="n">
        <v>-75</v>
      </c>
      <c r="J122" s="20" t="n">
        <v>-75</v>
      </c>
      <c r="K122" s="20" t="n">
        <v>-75</v>
      </c>
      <c r="L122" s="20" t="n">
        <v>-409</v>
      </c>
    </row>
    <row r="123">
      <c r="A123" s="9" t="inlineStr">
        <is>
          <t>주주자본 합계</t>
        </is>
      </c>
      <c r="C123" s="12" t="n">
        <v>44019</v>
      </c>
      <c r="D123" s="12" t="n">
        <v>43403</v>
      </c>
      <c r="E123" s="12" t="n">
        <v>45500</v>
      </c>
      <c r="F123" s="12" t="n">
        <v>46925</v>
      </c>
      <c r="G123" s="12" t="n">
        <v>46618</v>
      </c>
      <c r="H123" s="12" t="n">
        <v>35848</v>
      </c>
      <c r="I123" s="12" t="n">
        <v>37446</v>
      </c>
      <c r="J123" s="12" t="n">
        <v>40053</v>
      </c>
      <c r="K123" s="12" t="n">
        <v>41853</v>
      </c>
      <c r="L123" s="12" t="n">
        <v>46925</v>
      </c>
    </row>
    <row r="124">
      <c r="A124" s="18" t="inlineStr">
        <is>
          <t>기타유가증권 평가차액</t>
        </is>
      </c>
      <c r="C124" s="20" t="n">
        <v>1384</v>
      </c>
      <c r="D124" s="20" t="n">
        <v>1382</v>
      </c>
      <c r="E124" s="20" t="n">
        <v>1445</v>
      </c>
      <c r="F124" s="20" t="n">
        <v>1480</v>
      </c>
      <c r="G124" s="20" t="n">
        <v>1646</v>
      </c>
      <c r="H124" s="20" t="n">
        <v>832</v>
      </c>
      <c r="I124" s="20" t="n">
        <v>919</v>
      </c>
      <c r="J124" s="20" t="n">
        <v>1370</v>
      </c>
      <c r="K124" s="20" t="n">
        <v>1327</v>
      </c>
      <c r="L124" s="20" t="n">
        <v>1480</v>
      </c>
    </row>
    <row r="125">
      <c r="A125" s="18" t="inlineStr">
        <is>
          <t>퇴직급여 조정누계액</t>
        </is>
      </c>
      <c r="C125" s="20" t="n">
        <v>324</v>
      </c>
      <c r="D125" s="20" t="n">
        <v>318</v>
      </c>
      <c r="E125" s="20" t="n">
        <v>311</v>
      </c>
      <c r="F125" s="20" t="n">
        <v>670</v>
      </c>
      <c r="G125" s="20" t="n">
        <v>654</v>
      </c>
      <c r="H125" s="20" t="n">
        <v>-288</v>
      </c>
      <c r="I125" s="20" t="n">
        <v>-64</v>
      </c>
      <c r="J125" s="20" t="n">
        <v>-145</v>
      </c>
      <c r="K125" s="20" t="n">
        <v>330</v>
      </c>
      <c r="L125" s="20" t="n">
        <v>670</v>
      </c>
    </row>
    <row r="126">
      <c r="A126" s="18" t="inlineStr">
        <is>
          <t>기타포괄손익누계액 합계</t>
        </is>
      </c>
      <c r="C126" s="20" t="n">
        <v>1708</v>
      </c>
      <c r="D126" s="20" t="n">
        <v>1701</v>
      </c>
      <c r="E126" s="20" t="n">
        <v>1757</v>
      </c>
      <c r="F126" s="20" t="n">
        <v>2150</v>
      </c>
      <c r="G126" s="20" t="n">
        <v>2300</v>
      </c>
      <c r="H126" s="20" t="n">
        <v>556</v>
      </c>
      <c r="I126" s="20" t="n">
        <v>872</v>
      </c>
      <c r="J126" s="20" t="n">
        <v>1243</v>
      </c>
      <c r="K126" s="20" t="n">
        <v>1681</v>
      </c>
      <c r="L126" s="20" t="n">
        <v>2150</v>
      </c>
    </row>
    <row r="127">
      <c r="A127" s="9" t="inlineStr">
        <is>
          <t>순자산 합계</t>
        </is>
      </c>
      <c r="C127" s="12" t="n">
        <v>45728</v>
      </c>
      <c r="D127" s="12" t="n">
        <v>45104</v>
      </c>
      <c r="E127" s="12" t="n">
        <v>47258</v>
      </c>
      <c r="F127" s="12" t="n">
        <v>49076</v>
      </c>
      <c r="G127" s="12" t="n">
        <v>48919</v>
      </c>
      <c r="H127" s="12" t="n">
        <v>36681</v>
      </c>
      <c r="I127" s="12" t="n">
        <v>38365</v>
      </c>
      <c r="J127" s="12" t="n">
        <v>41423</v>
      </c>
      <c r="K127" s="12" t="n">
        <v>43180</v>
      </c>
      <c r="L127" s="12" t="n">
        <v>49076</v>
      </c>
    </row>
    <row r="128">
      <c r="A128" s="9" t="inlineStr">
        <is>
          <t>부채·순자산 합계</t>
        </is>
      </c>
      <c r="C128" s="12" t="n">
        <v>68392</v>
      </c>
      <c r="D128" s="12" t="n">
        <v>68072</v>
      </c>
      <c r="E128" s="12" t="n">
        <v>80187</v>
      </c>
      <c r="F128" s="12" t="n">
        <v>81869</v>
      </c>
      <c r="G128" s="12" t="n">
        <v>80831</v>
      </c>
      <c r="H128" s="12" t="n">
        <v>57152</v>
      </c>
      <c r="I128" s="12" t="n">
        <v>59647</v>
      </c>
      <c r="J128" s="12" t="n">
        <v>63611</v>
      </c>
      <c r="K128" s="12" t="n">
        <v>66916</v>
      </c>
      <c r="L128" s="12" t="n">
        <v>81869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1분기 결산단신</t>
        </is>
      </c>
      <c r="C4" t="inlineStr">
        <is>
          <t>https://www2.jpx.co.jp/disc/97080/140120260727599977.pdf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https://www2.jpx.co.jp/disc/97080/140120260513530526.pdf</t>
        </is>
      </c>
    </row>
    <row r="6">
      <c r="A6" t="inlineStr">
        <is>
          <t>2026-01-30</t>
        </is>
      </c>
      <c r="B6" t="inlineStr">
        <is>
          <t>2026년 3월 결산기 3분기 결산단신</t>
        </is>
      </c>
      <c r="C6" t="inlineStr">
        <is>
          <t>https://www2.jpx.co.jp/disc/97080/140120260127539510.pdf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https://www2.jpx.co.jp/disc/97080/140120251029581650.pdf</t>
        </is>
      </c>
    </row>
    <row r="8">
      <c r="A8" t="inlineStr">
        <is>
          <t>2025-07-28</t>
        </is>
      </c>
      <c r="B8" t="inlineStr">
        <is>
          <t>2026년 3월 결산기 1분기 결산단신</t>
        </is>
      </c>
      <c r="C8" t="inlineStr">
        <is>
          <t>https://www2.jpx.co.jp/disc/97080/140120250724519796.pdf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https://www2.jpx.co.jp/disc/97080/140120250424522774.pdf</t>
        </is>
      </c>
    </row>
    <row r="10">
      <c r="A10" t="inlineStr">
        <is>
          <t>2025-01-28</t>
        </is>
      </c>
      <c r="B10" t="inlineStr">
        <is>
          <t>2025년 3월 결산기 3분기 결산단신</t>
        </is>
      </c>
      <c r="C10" t="inlineStr">
        <is>
          <t>https://www2.jpx.co.jp/disc/97080/140120250127555767.pdf</t>
        </is>
      </c>
    </row>
    <row r="11">
      <c r="A11" t="inlineStr">
        <is>
          <t>2024-10-30</t>
        </is>
      </c>
      <c r="B11" t="inlineStr">
        <is>
          <t>2025년 3월 결산기 2분기 결산단신</t>
        </is>
      </c>
      <c r="C11" t="inlineStr">
        <is>
          <t>https://www2.jpx.co.jp/disc/97080/140120241029505278.pdf</t>
        </is>
      </c>
    </row>
    <row r="12">
      <c r="A12" t="inlineStr">
        <is>
          <t>2024-07-26</t>
        </is>
      </c>
      <c r="B12" t="inlineStr">
        <is>
          <t>2025년 3월 결산기 1분기 결산단신</t>
        </is>
      </c>
      <c r="C12" t="inlineStr">
        <is>
          <t>https://www2.jpx.co.jp/disc/97080/140120240725555048.pdf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https://www2.jpx.co.jp/disc/97080/140120240418572451.pdf</t>
        </is>
      </c>
    </row>
    <row r="14">
      <c r="A14" t="inlineStr">
        <is>
          <t>2024-01-30</t>
        </is>
      </c>
      <c r="B14" t="inlineStr">
        <is>
          <t>2024년 3월 결산기 3분기 결산단신</t>
        </is>
      </c>
      <c r="C14" t="inlineStr">
        <is>
          <t>https://www2.jpx.co.jp/disc/97080/140120240123518119.pdf</t>
        </is>
      </c>
    </row>
    <row r="15">
      <c r="A15" t="inlineStr">
        <is>
          <t>2023-10-27</t>
        </is>
      </c>
      <c r="B15" t="inlineStr">
        <is>
          <t>2024년 3월 결산기 2분기 결산단신</t>
        </is>
      </c>
      <c r="C15" t="inlineStr">
        <is>
          <t>https://www2.jpx.co.jp/disc/97080/140120231023570049.pdf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https://www2.jpx.co.jp/disc/97080/140120230719524209.pdf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https://www2.jpx.co.jp/disc/97080/140120230420550404.pdf</t>
        </is>
      </c>
    </row>
    <row r="18">
      <c r="A18" t="inlineStr">
        <is>
          <t>2023-01-26</t>
        </is>
      </c>
      <c r="B18" t="inlineStr">
        <is>
          <t>2023년 3월 결산기 3분기 결산단신</t>
        </is>
      </c>
      <c r="C18" t="inlineStr">
        <is>
          <t>https://www2.jpx.co.jp/disc/97080/140120230119591399.pdf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https://www2.jpx.co.jp/disc/97080/140120221018546167.pdf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https://www2.jpx.co.jp/disc/97080/140120220421525645.pdf</t>
        </is>
      </c>
    </row>
    <row r="21">
      <c r="A21" t="inlineStr">
        <is>
          <t>2021-05-12</t>
        </is>
      </c>
      <c r="B21" t="inlineStr">
        <is>
          <t>2021년 3월 결산기 연간 결산단신</t>
        </is>
      </c>
      <c r="C21" t="inlineStr">
        <is>
          <t>https://www2.jpx.co.jp/disc/97080/140120210426400240.pdf</t>
        </is>
      </c>
    </row>
    <row r="22">
      <c r="A22" t="inlineStr">
        <is>
          <t>2020-05-12</t>
        </is>
      </c>
      <c r="B22" t="inlineStr">
        <is>
          <t>2020년 3월 결산기 연간 결산단신</t>
        </is>
      </c>
      <c r="C22" t="inlineStr">
        <is>
          <t>https://www2.jpx.co.jp/disc/97080/140120200427400420.pdf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https://www2.jpx.co.jp/disc/97080/140120190425410773.pdf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https://www2.jpx.co.jp/disc/97080/140120180510433995.pdf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2026-10-28T07:01:10Z</dcterms:created>
  <dcterms:modified xmlns:dcterms="http://purl.org/dc/terms/" xmlns:xsi="http://www.w3.org/2001/XMLSchema-instance" xsi:type="dcterms:W3CDTF">2026-10-28T07:01:11Z</dcterms:modified>
</cp:coreProperties>
</file>