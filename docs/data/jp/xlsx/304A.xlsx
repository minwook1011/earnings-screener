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5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포르시아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/>
      <c r="D4" s="12" t="n"/>
      <c r="E4" s="12" t="n"/>
      <c r="F4" s="12" t="n"/>
      <c r="G4" s="12" t="n">
        <v>583.6</v>
      </c>
      <c r="H4" s="12" t="n">
        <v>662.28</v>
      </c>
      <c r="I4" s="12" t="n">
        <v>563.6079999999999</v>
      </c>
      <c r="J4" s="12" t="n">
        <v>534.326</v>
      </c>
      <c r="K4" s="12" t="n">
        <v>561.862</v>
      </c>
      <c r="L4" s="12" t="n">
        <v>537.756</v>
      </c>
      <c r="M4" s="12" t="n">
        <v>665.678</v>
      </c>
      <c r="N4" s="12" t="n">
        <v>1140.882</v>
      </c>
      <c r="O4" s="11" t="n"/>
      <c r="P4" s="12" t="n"/>
      <c r="Q4" s="12" t="n"/>
      <c r="R4" s="12" t="n"/>
      <c r="S4" s="12" t="n"/>
      <c r="T4" s="12" t="n"/>
      <c r="U4" s="12" t="n"/>
      <c r="V4" s="12" t="n">
        <v>1946.946</v>
      </c>
      <c r="W4" s="12" t="n">
        <v>2310.22</v>
      </c>
      <c r="X4" s="12" t="n">
        <v>2197.552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/>
      <c r="E11" s="22" t="n"/>
      <c r="F11" s="22" t="n"/>
      <c r="G11" s="22" t="n">
        <v>273.25</v>
      </c>
      <c r="H11" s="22" t="n">
        <v>303.786</v>
      </c>
      <c r="I11" s="22" t="n">
        <v>283.355</v>
      </c>
      <c r="J11" s="22" t="n">
        <v>270.266</v>
      </c>
      <c r="K11" s="22" t="n">
        <v>304.272</v>
      </c>
      <c r="L11" s="22" t="n">
        <v>277.345</v>
      </c>
      <c r="M11" s="22" t="n">
        <v>309.498</v>
      </c>
      <c r="N11" s="22" t="n">
        <v>499.6</v>
      </c>
      <c r="O11" s="21" t="n"/>
      <c r="P11" s="22" t="n"/>
      <c r="Q11" s="22" t="n"/>
      <c r="R11" s="22" t="n"/>
      <c r="S11" s="22" t="n"/>
      <c r="T11" s="22" t="n"/>
      <c r="U11" s="22" t="n"/>
      <c r="V11" s="22" t="n">
        <v>894.215</v>
      </c>
      <c r="W11" s="22" t="n">
        <v>1075.259</v>
      </c>
      <c r="X11" s="22" t="n">
        <v>1135.238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/>
      <c r="D17" s="22" t="n"/>
      <c r="E17" s="22" t="n"/>
      <c r="F17" s="22" t="n"/>
      <c r="G17" s="22" t="n">
        <v>256.315</v>
      </c>
      <c r="H17" s="22" t="n">
        <v>277.258</v>
      </c>
      <c r="I17" s="22" t="n">
        <v>254.26</v>
      </c>
      <c r="J17" s="22" t="n">
        <v>256.563</v>
      </c>
      <c r="K17" s="22" t="n">
        <v>240.93</v>
      </c>
      <c r="L17" s="22" t="n">
        <v>239.102</v>
      </c>
      <c r="M17" s="22" t="n">
        <v>281.195</v>
      </c>
      <c r="N17" s="22" t="n">
        <v>370.291</v>
      </c>
      <c r="O17" s="21" t="n"/>
      <c r="P17" s="22" t="n"/>
      <c r="Q17" s="22" t="n"/>
      <c r="R17" s="22" t="n"/>
      <c r="S17" s="22" t="n"/>
      <c r="T17" s="22" t="n"/>
      <c r="U17" s="22" t="n"/>
      <c r="V17" s="22" t="n">
        <v>913.574</v>
      </c>
      <c r="W17" s="22" t="n">
        <v>1019.624</v>
      </c>
      <c r="X17" s="22" t="n">
        <v>990.855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/>
      <c r="D19" s="12" t="n"/>
      <c r="E19" s="12" t="n"/>
      <c r="F19" s="12" t="n"/>
      <c r="G19" s="12" t="n">
        <v>54.035</v>
      </c>
      <c r="H19" s="12" t="n">
        <v>81.236</v>
      </c>
      <c r="I19" s="12" t="n">
        <v>25.992</v>
      </c>
      <c r="J19" s="12" t="n">
        <v>7.496</v>
      </c>
      <c r="K19" s="12" t="n">
        <v>16.66</v>
      </c>
      <c r="L19" s="12" t="n">
        <v>21.31</v>
      </c>
      <c r="M19" s="12" t="n">
        <v>74.983</v>
      </c>
      <c r="N19" s="12" t="n">
        <v>270.992</v>
      </c>
      <c r="O19" s="11" t="n"/>
      <c r="P19" s="12" t="n"/>
      <c r="Q19" s="12" t="n"/>
      <c r="R19" s="12" t="n"/>
      <c r="S19" s="12" t="n"/>
      <c r="T19" s="12" t="n"/>
      <c r="U19" s="12" t="n"/>
      <c r="V19" s="12" t="n">
        <v>139.155</v>
      </c>
      <c r="W19" s="12" t="n">
        <v>215.336</v>
      </c>
      <c r="X19" s="12" t="n">
        <v>71.458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/>
      <c r="G37" s="22" t="n">
        <v>0</v>
      </c>
      <c r="H37" s="22" t="n">
        <v>0.115</v>
      </c>
      <c r="I37" s="22" t="n"/>
      <c r="J37" s="22" t="n"/>
      <c r="K37" s="22" t="n">
        <v>0</v>
      </c>
      <c r="L37" s="22" t="n">
        <v>0</v>
      </c>
      <c r="M37" s="22" t="n"/>
      <c r="N37" s="22" t="n"/>
      <c r="O37" s="21" t="n"/>
      <c r="P37" s="22" t="n"/>
      <c r="Q37" s="22" t="n"/>
      <c r="R37" s="22" t="n"/>
      <c r="S37" s="22" t="n"/>
      <c r="T37" s="22" t="n"/>
      <c r="U37" s="22" t="n"/>
      <c r="V37" s="22" t="n">
        <v>0</v>
      </c>
      <c r="W37" s="22" t="n">
        <v>0.115</v>
      </c>
      <c r="X37" s="22" t="n">
        <v>0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/>
      <c r="D39" s="22" t="n"/>
      <c r="E39" s="22" t="n"/>
      <c r="F39" s="22" t="n"/>
      <c r="G39" s="22" t="n">
        <v>0.611</v>
      </c>
      <c r="H39" s="22" t="n">
        <v>0.48</v>
      </c>
      <c r="I39" s="22" t="n">
        <v>0.339</v>
      </c>
      <c r="J39" s="22" t="n">
        <v>1.167</v>
      </c>
      <c r="K39" s="22" t="n">
        <v>0.076</v>
      </c>
      <c r="L39" s="22" t="n">
        <v>1.375</v>
      </c>
      <c r="M39" s="22" t="n">
        <v>0.055</v>
      </c>
      <c r="N39" s="22" t="n">
        <v>2.823</v>
      </c>
      <c r="O39" s="21" t="n"/>
      <c r="P39" s="22" t="n"/>
      <c r="Q39" s="22" t="n"/>
      <c r="R39" s="22" t="n"/>
      <c r="S39" s="22" t="n"/>
      <c r="T39" s="22" t="n"/>
      <c r="U39" s="22" t="n"/>
      <c r="V39" s="22" t="n">
        <v>1.178</v>
      </c>
      <c r="W39" s="22" t="n">
        <v>1.178</v>
      </c>
      <c r="X39" s="22" t="n">
        <v>2.957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/>
      <c r="D41" s="22" t="n"/>
      <c r="E41" s="22" t="n"/>
      <c r="F41" s="22" t="n"/>
      <c r="G41" s="22" t="n"/>
      <c r="H41" s="22" t="n">
        <v>13.606</v>
      </c>
      <c r="I41" s="22" t="n"/>
      <c r="J41" s="22" t="n"/>
      <c r="K41" s="22" t="n"/>
      <c r="L41" s="22" t="n">
        <v>0.001</v>
      </c>
      <c r="M41" s="22" t="n"/>
      <c r="N41" s="22" t="n"/>
      <c r="O41" s="21" t="n"/>
      <c r="P41" s="22" t="n"/>
      <c r="Q41" s="22" t="n"/>
      <c r="R41" s="22" t="n"/>
      <c r="S41" s="22" t="n"/>
      <c r="T41" s="22" t="n"/>
      <c r="U41" s="22" t="n"/>
      <c r="V41" s="22" t="n">
        <v>0</v>
      </c>
      <c r="W41" s="22" t="n">
        <v>18.208</v>
      </c>
      <c r="X41" s="22" t="n">
        <v>0.001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/>
      <c r="D43" s="12" t="n"/>
      <c r="E43" s="12" t="n"/>
      <c r="F43" s="12" t="n"/>
      <c r="G43" s="12" t="n">
        <v>50.044</v>
      </c>
      <c r="H43" s="12" t="n">
        <v>67.99299999999999</v>
      </c>
      <c r="I43" s="12" t="n">
        <v>26.331</v>
      </c>
      <c r="J43" s="12" t="n">
        <v>8.664</v>
      </c>
      <c r="K43" s="12" t="n">
        <v>16.736</v>
      </c>
      <c r="L43" s="12" t="n">
        <v>22.683</v>
      </c>
      <c r="M43" s="12" t="n">
        <v>75.039</v>
      </c>
      <c r="N43" s="12" t="n">
        <v>273.814</v>
      </c>
      <c r="O43" s="11" t="n"/>
      <c r="P43" s="12" t="n"/>
      <c r="Q43" s="12" t="n"/>
      <c r="R43" s="12" t="n"/>
      <c r="S43" s="12" t="n"/>
      <c r="T43" s="12" t="n"/>
      <c r="U43" s="12" t="n"/>
      <c r="V43" s="12" t="n">
        <v>140.334</v>
      </c>
      <c r="W43" s="12" t="n">
        <v>198.189</v>
      </c>
      <c r="X43" s="12" t="n">
        <v>74.414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/>
      <c r="D45" s="22" t="n"/>
      <c r="E45" s="22" t="n"/>
      <c r="F45" s="22" t="n"/>
      <c r="G45" s="22" t="n">
        <v>10.121</v>
      </c>
      <c r="H45" s="22" t="n">
        <v>29.044</v>
      </c>
      <c r="I45" s="22" t="n">
        <v>9.398</v>
      </c>
      <c r="J45" s="22" t="n">
        <v>3.828</v>
      </c>
      <c r="K45" s="22" t="n">
        <v>6.8</v>
      </c>
      <c r="L45" s="22" t="n">
        <v>5.672</v>
      </c>
      <c r="M45" s="22" t="n">
        <v>32.443</v>
      </c>
      <c r="N45" s="22" t="n">
        <v>113.763</v>
      </c>
      <c r="O45" s="21" t="n"/>
      <c r="P45" s="22" t="n"/>
      <c r="Q45" s="22" t="n"/>
      <c r="R45" s="22" t="n"/>
      <c r="S45" s="22" t="n"/>
      <c r="T45" s="22" t="n"/>
      <c r="U45" s="22" t="n"/>
      <c r="V45" s="22" t="n">
        <v>41.248</v>
      </c>
      <c r="W45" s="22" t="n">
        <v>66.492</v>
      </c>
      <c r="X45" s="22" t="n">
        <v>25.698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/>
      <c r="D47" s="12" t="n"/>
      <c r="E47" s="12" t="n"/>
      <c r="F47" s="12" t="n"/>
      <c r="G47" s="12" t="n">
        <v>39.923</v>
      </c>
      <c r="H47" s="12" t="n">
        <v>38.949</v>
      </c>
      <c r="I47" s="12" t="n">
        <v>16.932</v>
      </c>
      <c r="J47" s="12" t="n">
        <v>4.837</v>
      </c>
      <c r="K47" s="12" t="n">
        <v>9.936</v>
      </c>
      <c r="L47" s="12" t="n">
        <v>17.011</v>
      </c>
      <c r="M47" s="12" t="n">
        <v>42.596</v>
      </c>
      <c r="N47" s="12" t="n">
        <v>160.051</v>
      </c>
      <c r="O47" s="11" t="n"/>
      <c r="P47" s="12" t="n"/>
      <c r="Q47" s="12" t="n"/>
      <c r="R47" s="12" t="n"/>
      <c r="S47" s="12" t="n"/>
      <c r="T47" s="12" t="n"/>
      <c r="U47" s="12" t="n"/>
      <c r="V47" s="12" t="n">
        <v>99.086</v>
      </c>
      <c r="W47" s="12" t="n">
        <v>131.697</v>
      </c>
      <c r="X47" s="12" t="n">
        <v>48.716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/>
      <c r="D49" s="12" t="n"/>
      <c r="E49" s="12" t="n"/>
      <c r="F49" s="12" t="n"/>
      <c r="G49" s="12" t="n">
        <v>39.923</v>
      </c>
      <c r="H49" s="12" t="n">
        <v>38.949</v>
      </c>
      <c r="I49" s="12" t="n">
        <v>16.932</v>
      </c>
      <c r="J49" s="12" t="n">
        <v>4.837</v>
      </c>
      <c r="K49" s="12" t="n">
        <v>9.936</v>
      </c>
      <c r="L49" s="12" t="n">
        <v>17.011</v>
      </c>
      <c r="M49" s="12" t="n">
        <v>42.596</v>
      </c>
      <c r="N49" s="12" t="n">
        <v>160.051</v>
      </c>
      <c r="O49" s="11" t="n"/>
      <c r="P49" s="12" t="n"/>
      <c r="Q49" s="12" t="n"/>
      <c r="R49" s="12" t="n"/>
      <c r="S49" s="12" t="n"/>
      <c r="T49" s="12" t="n"/>
      <c r="U49" s="12" t="n"/>
      <c r="V49" s="12" t="n">
        <v>99.086</v>
      </c>
      <c r="W49" s="12" t="n">
        <v>131.697</v>
      </c>
      <c r="X49" s="12" t="n">
        <v>48.716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G84" s="12" t="n">
        <v>583.6</v>
      </c>
      <c r="H84" s="12" t="n">
        <v>662.28</v>
      </c>
      <c r="I84" s="12" t="n">
        <v>563.6079999999999</v>
      </c>
      <c r="J84" s="12" t="n">
        <v>534.326</v>
      </c>
      <c r="K84" s="12" t="n">
        <v>561.862</v>
      </c>
      <c r="L84" s="12" t="n">
        <v>537.756</v>
      </c>
      <c r="M84" s="12" t="n">
        <v>665.678</v>
      </c>
      <c r="N84" s="12" t="n">
        <v>1140.882</v>
      </c>
      <c r="W84" s="12" t="n">
        <v>662.28</v>
      </c>
      <c r="X84" s="12" t="n">
        <v>537.756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G86" s="22" t="n">
        <v>273.25</v>
      </c>
      <c r="H86" s="22" t="n">
        <v>303.786</v>
      </c>
      <c r="I86" s="22" t="n">
        <v>283.355</v>
      </c>
      <c r="J86" s="22" t="n">
        <v>270.266</v>
      </c>
      <c r="K86" s="22" t="n">
        <v>304.272</v>
      </c>
      <c r="L86" s="22" t="n">
        <v>277.345</v>
      </c>
      <c r="M86" s="22" t="n">
        <v>309.498</v>
      </c>
      <c r="N86" s="22" t="n">
        <v>499.6</v>
      </c>
      <c r="W86" s="22" t="n">
        <v>303.786</v>
      </c>
      <c r="X86" s="22" t="n">
        <v>277.345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G88" s="12" t="n">
        <v>310.35</v>
      </c>
      <c r="H88" s="12" t="n">
        <v>358.494</v>
      </c>
      <c r="I88" s="12" t="n">
        <v>280.252</v>
      </c>
      <c r="J88" s="12" t="n">
        <v>264.06</v>
      </c>
      <c r="K88" s="12" t="n">
        <v>257.59</v>
      </c>
      <c r="L88" s="12" t="n">
        <v>260.411</v>
      </c>
      <c r="M88" s="12" t="n">
        <v>356.179</v>
      </c>
      <c r="N88" s="12" t="n">
        <v>641.282</v>
      </c>
      <c r="W88" s="12" t="n">
        <v>358.494</v>
      </c>
      <c r="X88" s="12" t="n">
        <v>260.411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G90" s="22" t="n">
        <v>256.315</v>
      </c>
      <c r="H90" s="22" t="n">
        <v>277.258</v>
      </c>
      <c r="I90" s="22" t="n">
        <v>254.26</v>
      </c>
      <c r="J90" s="22" t="n">
        <v>256.563</v>
      </c>
      <c r="K90" s="22" t="n">
        <v>240.93</v>
      </c>
      <c r="L90" s="22" t="n">
        <v>239.102</v>
      </c>
      <c r="M90" s="22" t="n">
        <v>281.195</v>
      </c>
      <c r="N90" s="22" t="n">
        <v>370.291</v>
      </c>
      <c r="W90" s="22" t="n">
        <v>277.258</v>
      </c>
      <c r="X90" s="22" t="n">
        <v>239.102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G92" s="12" t="n">
        <v>54.035</v>
      </c>
      <c r="H92" s="12" t="n">
        <v>81.236</v>
      </c>
      <c r="I92" s="12" t="n">
        <v>25.992</v>
      </c>
      <c r="J92" s="12" t="n">
        <v>7.496</v>
      </c>
      <c r="K92" s="12" t="n">
        <v>16.66</v>
      </c>
      <c r="L92" s="12" t="n">
        <v>21.31</v>
      </c>
      <c r="M92" s="12" t="n">
        <v>74.983</v>
      </c>
      <c r="N92" s="12" t="n">
        <v>270.992</v>
      </c>
      <c r="W92" s="12" t="n">
        <v>81.236</v>
      </c>
      <c r="X92" s="12" t="n">
        <v>21.31</v>
      </c>
    </row>
    <row r="93">
      <c r="A93" s="45" t="inlineStr">
        <is>
          <t>OPM</t>
        </is>
      </c>
      <c r="B93" s="3" t="inlineStr">
        <is>
          <t>영업이익 ÷ 매출</t>
        </is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G95" s="22" t="n">
        <v>0</v>
      </c>
      <c r="H95" s="22" t="n">
        <v>0.448</v>
      </c>
      <c r="I95" s="22" t="n">
        <v>0</v>
      </c>
      <c r="J95" s="22" t="n">
        <v>1.166</v>
      </c>
      <c r="K95" s="22" t="n">
        <v>0.004</v>
      </c>
      <c r="L95" s="22" t="n">
        <v>1.376</v>
      </c>
      <c r="M95" s="22" t="n">
        <v>0.006</v>
      </c>
      <c r="N95" s="22" t="n">
        <v>1.559</v>
      </c>
      <c r="W95" s="22" t="n">
        <v>0.448</v>
      </c>
      <c r="X95" s="22" t="n">
        <v>1.376</v>
      </c>
    </row>
    <row r="96">
      <c r="A96" s="20" t="inlineStr">
        <is>
          <t>고정자산 수증이익</t>
        </is>
      </c>
      <c r="G96" s="22" t="n">
        <v>0</v>
      </c>
      <c r="H96" s="22" t="n">
        <v>0</v>
      </c>
      <c r="I96" s="22" t="n">
        <v>0.33</v>
      </c>
      <c r="J96" s="22" t="n">
        <v>0</v>
      </c>
      <c r="K96" s="22" t="n">
        <v>0</v>
      </c>
      <c r="L96" s="22" t="n">
        <v>0</v>
      </c>
      <c r="M96" s="22" t="n">
        <v>0</v>
      </c>
      <c r="N96" s="22" t="n">
        <v>0</v>
      </c>
      <c r="W96" s="22" t="n">
        <v>0</v>
      </c>
      <c r="X96" s="22" t="n">
        <v>0</v>
      </c>
    </row>
    <row r="97">
      <c r="A97" s="20" t="inlineStr">
        <is>
          <t>보조금 수입</t>
        </is>
      </c>
      <c r="H97" s="22" t="n">
        <v>0</v>
      </c>
      <c r="K97" s="22" t="n">
        <v>0</v>
      </c>
      <c r="L97" s="22" t="n">
        <v>0</v>
      </c>
      <c r="W97" s="22" t="n">
        <v>0</v>
      </c>
      <c r="X97" s="22" t="n">
        <v>0</v>
      </c>
    </row>
    <row r="98">
      <c r="A98" s="20" t="inlineStr">
        <is>
          <t>기타</t>
        </is>
      </c>
      <c r="G98" s="22" t="n">
        <v>0.025</v>
      </c>
      <c r="H98" s="22" t="n">
        <v>0.032</v>
      </c>
      <c r="I98" s="22" t="n">
        <v>0.008999999999999999</v>
      </c>
      <c r="J98" s="22" t="n">
        <v>0</v>
      </c>
      <c r="K98" s="22" t="n">
        <v>0.07199999999999999</v>
      </c>
      <c r="L98" s="22" t="n">
        <v>0</v>
      </c>
      <c r="M98" s="22" t="n">
        <v>0.049</v>
      </c>
      <c r="N98" s="22" t="n">
        <v>0.163</v>
      </c>
      <c r="W98" s="22" t="n">
        <v>0.032</v>
      </c>
      <c r="X98" s="22" t="n">
        <v>0</v>
      </c>
    </row>
    <row r="99">
      <c r="A99" s="20" t="inlineStr">
        <is>
          <t>영업외수익 합계</t>
        </is>
      </c>
      <c r="G99" s="22" t="n">
        <v>0.611</v>
      </c>
      <c r="H99" s="22" t="n">
        <v>0.48</v>
      </c>
      <c r="I99" s="22" t="n">
        <v>0.339</v>
      </c>
      <c r="J99" s="22" t="n">
        <v>1.167</v>
      </c>
      <c r="K99" s="22" t="n">
        <v>0.076</v>
      </c>
      <c r="L99" s="22" t="n">
        <v>1.375</v>
      </c>
      <c r="M99" s="22" t="n">
        <v>0.055</v>
      </c>
      <c r="N99" s="22" t="n">
        <v>2.823</v>
      </c>
      <c r="W99" s="22" t="n">
        <v>0.48</v>
      </c>
      <c r="X99" s="22" t="n">
        <v>1.375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IF(OR(G99="",C99=""),"",IF(G99*C99&lt;=0,"",IFERROR(G99/C99-1,"")))</f>
        <v/>
      </c>
      <c r="H100" s="17">
        <f>IF(OR(H99="",D99=""),"",IF(H99*D99&lt;=0,"",IFERROR(H99/D99-1,"")))</f>
        <v/>
      </c>
      <c r="I100" s="17">
        <f>IF(OR(I99="",E99=""),"",IF(I99*E99&lt;=0,"",IFERROR(I99/E99-1,"")))</f>
        <v/>
      </c>
      <c r="J100" s="17">
        <f>IF(OR(J99="",F99=""),"",IF(J99*F99&lt;=0,"",IFERROR(J99/F99-1,"")))</f>
        <v/>
      </c>
      <c r="K100" s="17">
        <f>IF(OR(K99="",G99=""),"",IF(K99*G99&lt;=0,"",IFERROR(K99/G99-1,"")))</f>
        <v/>
      </c>
      <c r="L100" s="17">
        <f>IF(OR(L99="",H99=""),"",IF(L99*H99&lt;=0,"",IFERROR(L99/H99-1,"")))</f>
        <v/>
      </c>
      <c r="M100" s="17">
        <f>IF(OR(M99="",I99=""),"",IF(M99*I99&lt;=0,"",IFERROR(M99/I99-1,"")))</f>
        <v/>
      </c>
      <c r="N100" s="17">
        <f>IF(OR(N99="",J99=""),"",IF(N99*J99&lt;=0,"",IFERROR(N99/J99-1,"")))</f>
        <v/>
      </c>
      <c r="W100" s="17">
        <f>IF(OR(W99="",V99=""),"",IF(W99*V99&lt;=0,"",IFERROR(W99/V99-1,"")))</f>
        <v/>
      </c>
      <c r="X100" s="17">
        <f>IF(OR(X99="",W99=""),"",IF(X99*W99&lt;=0,"",IFERROR(X99/W99-1,"")))</f>
        <v/>
      </c>
    </row>
    <row r="101">
      <c r="A101" s="20" t="inlineStr">
        <is>
          <t>상장 관련 비용</t>
        </is>
      </c>
      <c r="H101" s="22" t="n">
        <v>6.629</v>
      </c>
      <c r="L101" s="22" t="n">
        <v>0</v>
      </c>
      <c r="W101" s="22" t="n">
        <v>6.629</v>
      </c>
      <c r="X101" s="22" t="n">
        <v>0</v>
      </c>
    </row>
    <row r="102">
      <c r="A102" s="20" t="inlineStr">
        <is>
          <t>영업외비용 합계</t>
        </is>
      </c>
      <c r="H102" s="22" t="n">
        <v>13.606</v>
      </c>
      <c r="L102" s="22" t="n">
        <v>0.001</v>
      </c>
      <c r="W102" s="22" t="n">
        <v>13.606</v>
      </c>
      <c r="X102" s="22" t="n">
        <v>0.001</v>
      </c>
    </row>
    <row r="103">
      <c r="A103" s="45" t="inlineStr">
        <is>
          <t>YoY</t>
        </is>
      </c>
      <c r="B103" s="3" t="inlineStr">
        <is>
          <t>전년 같은 분기·전년 대비</t>
        </is>
      </c>
      <c r="H103" s="17">
        <f>IF(OR(H102="",D102=""),"",IF(H102*D102&lt;=0,"",IFERROR(H102/D102-1,"")))</f>
        <v/>
      </c>
      <c r="L103" s="17">
        <f>IF(OR(L102="",H102=""),"",IF(L102*H102&lt;=0,"",IFERROR(L102/H102-1,"")))</f>
        <v/>
      </c>
      <c r="W103" s="17">
        <f>IF(OR(W102="",V102=""),"",IF(W102*V102&lt;=0,"",IFERROR(W102/V102-1,"")))</f>
        <v/>
      </c>
      <c r="X103" s="17">
        <f>IF(OR(X102="",W102=""),"",IF(X102*W102&lt;=0,"",IFERROR(X102/W102-1,"")))</f>
        <v/>
      </c>
    </row>
    <row r="104">
      <c r="A104" s="9" t="inlineStr">
        <is>
          <t>경상이익</t>
        </is>
      </c>
      <c r="G104" s="12" t="n">
        <v>50.044</v>
      </c>
      <c r="H104" s="12" t="n">
        <v>68.10899999999999</v>
      </c>
      <c r="I104" s="12" t="n">
        <v>26.331</v>
      </c>
      <c r="J104" s="12" t="n">
        <v>8.664</v>
      </c>
      <c r="K104" s="12" t="n">
        <v>16.736</v>
      </c>
      <c r="L104" s="12" t="n">
        <v>22.683</v>
      </c>
      <c r="M104" s="12" t="n">
        <v>75.039</v>
      </c>
      <c r="N104" s="12" t="n">
        <v>273.814</v>
      </c>
      <c r="W104" s="12" t="n">
        <v>68.10899999999999</v>
      </c>
      <c r="X104" s="12" t="n">
        <v>22.683</v>
      </c>
    </row>
    <row r="105">
      <c r="A105" s="45" t="inlineStr">
        <is>
          <t>YoY</t>
        </is>
      </c>
      <c r="B105" s="3" t="inlineStr">
        <is>
          <t>전년 같은 분기·전년 대비</t>
        </is>
      </c>
      <c r="G105" s="17">
        <f>IF(OR(G104="",C104=""),"",IF(C104&lt;=0,"",IFERROR(G104/C104-1,"")))</f>
        <v/>
      </c>
      <c r="H105" s="17">
        <f>IF(OR(H104="",D104=""),"",IF(D104&lt;=0,"",IFERROR(H104/D104-1,"")))</f>
        <v/>
      </c>
      <c r="I105" s="17">
        <f>IF(OR(I104="",E104=""),"",IF(E104&lt;=0,"",IFERROR(I104/E104-1,"")))</f>
        <v/>
      </c>
      <c r="J105" s="17">
        <f>IF(OR(J104="",F104=""),"",IF(F104&lt;=0,"",IFERROR(J104/F104-1,"")))</f>
        <v/>
      </c>
      <c r="K105" s="17">
        <f>IF(OR(K104="",G104=""),"",IF(G104&lt;=0,"",IFERROR(K104/G104-1,"")))</f>
        <v/>
      </c>
      <c r="L105" s="17">
        <f>IF(OR(L104="",H104=""),"",IF(H104&lt;=0,"",IFERROR(L104/H104-1,"")))</f>
        <v/>
      </c>
      <c r="M105" s="17">
        <f>IF(OR(M104="",I104=""),"",IF(I104&lt;=0,"",IFERROR(M104/I104-1,"")))</f>
        <v/>
      </c>
      <c r="N105" s="17">
        <f>IF(OR(N104="",J104=""),"",IF(J104&lt;=0,"",IFERROR(N104/J104-1,"")))</f>
        <v/>
      </c>
      <c r="W105" s="17">
        <f>IF(OR(W104="",V104=""),"",IF(V104&lt;=0,"",IFERROR(W104/V104-1,"")))</f>
        <v/>
      </c>
      <c r="X105" s="17">
        <f>IF(OR(X104="",W104=""),"",IF(W104&lt;=0,"",IFERROR(X104/W104-1,"")))</f>
        <v/>
      </c>
    </row>
    <row r="106">
      <c r="A106" s="20" t="inlineStr">
        <is>
          <t>유형자산 제각손실</t>
        </is>
      </c>
      <c r="G106" s="22" t="n">
        <v>0</v>
      </c>
      <c r="K106" s="22" t="n">
        <v>0</v>
      </c>
    </row>
    <row r="107">
      <c r="A107" s="20" t="inlineStr">
        <is>
          <t>특별손실 합계</t>
        </is>
      </c>
      <c r="G107" s="22" t="n">
        <v>0</v>
      </c>
      <c r="H107" s="22" t="n">
        <v>0.115</v>
      </c>
      <c r="K107" s="22" t="n">
        <v>0</v>
      </c>
      <c r="L107" s="22" t="n">
        <v>0</v>
      </c>
      <c r="W107" s="22" t="n">
        <v>0.115</v>
      </c>
      <c r="X107" s="22" t="n">
        <v>0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IF(OR(G107="",C107=""),"",IF(G107*C107&lt;=0,"",IFERROR(G107/C107-1,"")))</f>
        <v/>
      </c>
      <c r="H108" s="17">
        <f>IF(OR(H107="",D107=""),"",IF(H107*D107&lt;=0,"",IFERROR(H107/D107-1,"")))</f>
        <v/>
      </c>
      <c r="K108" s="17">
        <f>IF(OR(K107="",G107=""),"",IF(K107*G107&lt;=0,"",IFERROR(K107/G107-1,"")))</f>
        <v/>
      </c>
      <c r="L108" s="17">
        <f>IF(OR(L107="",H107=""),"",IF(L107*H107&lt;=0,"",IFERROR(L107/H107-1,"")))</f>
        <v/>
      </c>
      <c r="W108" s="17">
        <f>IF(OR(W107="",V107=""),"",IF(W107*V107&lt;=0,"",IFERROR(W107/V107-1,"")))</f>
        <v/>
      </c>
      <c r="X108" s="17">
        <f>IF(OR(X107="",W107=""),"",IF(X107*W107&lt;=0,"",IFERROR(X107/W107-1,"")))</f>
        <v/>
      </c>
    </row>
    <row r="109">
      <c r="A109" s="9" t="inlineStr">
        <is>
          <t>법인세차감전 순이익</t>
        </is>
      </c>
      <c r="G109" s="12" t="n">
        <v>50.044</v>
      </c>
      <c r="H109" s="12" t="n">
        <v>67.99299999999999</v>
      </c>
      <c r="I109" s="12" t="n">
        <v>26.331</v>
      </c>
      <c r="J109" s="12" t="n">
        <v>8.664</v>
      </c>
      <c r="K109" s="12" t="n">
        <v>16.736</v>
      </c>
      <c r="L109" s="12" t="n">
        <v>22.683</v>
      </c>
      <c r="M109" s="12" t="n">
        <v>75.039</v>
      </c>
      <c r="N109" s="12" t="n">
        <v>273.814</v>
      </c>
      <c r="W109" s="12" t="n">
        <v>67.99299999999999</v>
      </c>
      <c r="X109" s="12" t="n">
        <v>22.683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IF(OR(G109="",C109=""),"",IF(C109&lt;=0,"",IFERROR(G109/C109-1,"")))</f>
        <v/>
      </c>
      <c r="H110" s="17">
        <f>IF(OR(H109="",D109=""),"",IF(D109&lt;=0,"",IFERROR(H109/D109-1,"")))</f>
        <v/>
      </c>
      <c r="I110" s="17">
        <f>IF(OR(I109="",E109=""),"",IF(E109&lt;=0,"",IFERROR(I109/E109-1,"")))</f>
        <v/>
      </c>
      <c r="J110" s="17">
        <f>IF(OR(J109="",F109=""),"",IF(F109&lt;=0,"",IFERROR(J109/F109-1,"")))</f>
        <v/>
      </c>
      <c r="K110" s="17">
        <f>IF(OR(K109="",G109=""),"",IF(G109&lt;=0,"",IFERROR(K109/G109-1,"")))</f>
        <v/>
      </c>
      <c r="L110" s="17">
        <f>IF(OR(L109="",H109=""),"",IF(H109&lt;=0,"",IFERROR(L109/H109-1,"")))</f>
        <v/>
      </c>
      <c r="M110" s="17">
        <f>IF(OR(M109="",I109=""),"",IF(I109&lt;=0,"",IFERROR(M109/I109-1,"")))</f>
        <v/>
      </c>
      <c r="N110" s="17">
        <f>IF(OR(N109="",J109=""),"",IF(J109&lt;=0,"",IFERROR(N109/J109-1,"")))</f>
        <v/>
      </c>
      <c r="W110" s="17">
        <f>IF(OR(W109="",V109=""),"",IF(V109&lt;=0,"",IFERROR(W109/V109-1,"")))</f>
        <v/>
      </c>
      <c r="X110" s="17">
        <f>IF(OR(X109="",W109=""),"",IF(W109&lt;=0,"",IFERROR(X109/W109-1,"")))</f>
        <v/>
      </c>
    </row>
    <row r="111">
      <c r="A111" s="20" t="inlineStr">
        <is>
          <t>법인세·주민세·사업세</t>
        </is>
      </c>
      <c r="G111" s="22" t="n">
        <v>29.87</v>
      </c>
      <c r="H111" s="22" t="n">
        <v>-19.69</v>
      </c>
      <c r="I111" s="22" t="n">
        <v>10.383</v>
      </c>
      <c r="J111" s="22" t="n">
        <v>9.207000000000001</v>
      </c>
      <c r="K111" s="22" t="n">
        <v>12.316</v>
      </c>
      <c r="L111" s="22" t="n">
        <v>-11.695</v>
      </c>
      <c r="M111" s="22" t="n">
        <v>55.291</v>
      </c>
      <c r="N111" s="22" t="n">
        <v>158.759</v>
      </c>
      <c r="W111" s="22" t="n">
        <v>-19.69</v>
      </c>
      <c r="X111" s="22" t="n">
        <v>-11.695</v>
      </c>
    </row>
    <row r="112">
      <c r="A112" s="20" t="inlineStr">
        <is>
          <t>법인세 조정액</t>
        </is>
      </c>
      <c r="G112" s="22" t="n">
        <v>-19.749</v>
      </c>
      <c r="H112" s="22" t="n">
        <v>48.734</v>
      </c>
      <c r="I112" s="22" t="n">
        <v>-0.985</v>
      </c>
      <c r="J112" s="22" t="n">
        <v>-5.379</v>
      </c>
      <c r="K112" s="22" t="n">
        <v>-5.516</v>
      </c>
      <c r="L112" s="22" t="n">
        <v>17.367</v>
      </c>
      <c r="M112" s="22" t="n">
        <v>-22.848</v>
      </c>
      <c r="N112" s="22" t="n">
        <v>-44.996</v>
      </c>
      <c r="W112" s="22" t="n">
        <v>48.734</v>
      </c>
      <c r="X112" s="22" t="n">
        <v>17.367</v>
      </c>
    </row>
    <row r="113">
      <c r="A113" s="20" t="inlineStr">
        <is>
          <t>법인세 등 합계</t>
        </is>
      </c>
      <c r="G113" s="22" t="n">
        <v>10.121</v>
      </c>
      <c r="H113" s="22" t="n">
        <v>29.044</v>
      </c>
      <c r="I113" s="22" t="n">
        <v>9.398</v>
      </c>
      <c r="J113" s="22" t="n">
        <v>3.828</v>
      </c>
      <c r="K113" s="22" t="n">
        <v>6.8</v>
      </c>
      <c r="L113" s="22" t="n">
        <v>5.672</v>
      </c>
      <c r="M113" s="22" t="n">
        <v>32.443</v>
      </c>
      <c r="N113" s="22" t="n">
        <v>113.763</v>
      </c>
      <c r="W113" s="22" t="n">
        <v>29.044</v>
      </c>
      <c r="X113" s="22" t="n">
        <v>5.672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IF(OR(G113="",C113=""),"",IF(G113*C113&lt;=0,"",IFERROR(G113/C113-1,"")))</f>
        <v/>
      </c>
      <c r="H114" s="17">
        <f>IF(OR(H113="",D113=""),"",IF(H113*D113&lt;=0,"",IFERROR(H113/D113-1,"")))</f>
        <v/>
      </c>
      <c r="I114" s="17">
        <f>IF(OR(I113="",E113=""),"",IF(I113*E113&lt;=0,"",IFERROR(I113/E113-1,"")))</f>
        <v/>
      </c>
      <c r="J114" s="17">
        <f>IF(OR(J113="",F113=""),"",IF(J113*F113&lt;=0,"",IFERROR(J113/F113-1,"")))</f>
        <v/>
      </c>
      <c r="K114" s="17">
        <f>IF(OR(K113="",G113=""),"",IF(K113*G113&lt;=0,"",IFERROR(K113/G113-1,"")))</f>
        <v/>
      </c>
      <c r="L114" s="17">
        <f>IF(OR(L113="",H113=""),"",IF(L113*H113&lt;=0,"",IFERROR(L113/H113-1,"")))</f>
        <v/>
      </c>
      <c r="M114" s="17">
        <f>IF(OR(M113="",I113=""),"",IF(M113*I113&lt;=0,"",IFERROR(M113/I113-1,"")))</f>
        <v/>
      </c>
      <c r="N114" s="17">
        <f>IF(OR(N113="",J113=""),"",IF(N113*J113&lt;=0,"",IFERROR(N113/J113-1,"")))</f>
        <v/>
      </c>
      <c r="W114" s="17">
        <f>IF(OR(W113="",V113=""),"",IF(W113*V113&lt;=0,"",IFERROR(W113/V113-1,"")))</f>
        <v/>
      </c>
      <c r="X114" s="17">
        <f>IF(OR(X113="",W113=""),"",IF(X113*W113&lt;=0,"",IFERROR(X113/W113-1,"")))</f>
        <v/>
      </c>
    </row>
    <row r="115">
      <c r="A115" s="9" t="inlineStr">
        <is>
          <t>순이익</t>
        </is>
      </c>
      <c r="G115" s="12" t="n">
        <v>39.923</v>
      </c>
      <c r="H115" s="12" t="n">
        <v>38.949</v>
      </c>
      <c r="I115" s="12" t="n">
        <v>16.932</v>
      </c>
      <c r="J115" s="12" t="n">
        <v>4.837</v>
      </c>
      <c r="K115" s="12" t="n">
        <v>9.936</v>
      </c>
      <c r="L115" s="12" t="n">
        <v>17.011</v>
      </c>
      <c r="M115" s="12" t="n">
        <v>42.596</v>
      </c>
      <c r="N115" s="12" t="n">
        <v>160.051</v>
      </c>
      <c r="W115" s="12" t="n">
        <v>38.949</v>
      </c>
      <c r="X115" s="12" t="n">
        <v>17.011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IF(OR(G115="",C115=""),"",IF(C115&lt;=0,"",IFERROR(G115/C115-1,"")))</f>
        <v/>
      </c>
      <c r="H116" s="17">
        <f>IF(OR(H115="",D115=""),"",IF(D115&lt;=0,"",IFERROR(H115/D115-1,"")))</f>
        <v/>
      </c>
      <c r="I116" s="17">
        <f>IF(OR(I115="",E115=""),"",IF(E115&lt;=0,"",IFERROR(I115/E115-1,"")))</f>
        <v/>
      </c>
      <c r="J116" s="17">
        <f>IF(OR(J115="",F115=""),"",IF(F115&lt;=0,"",IFERROR(J115/F115-1,"")))</f>
        <v/>
      </c>
      <c r="K116" s="17">
        <f>IF(OR(K115="",G115=""),"",IF(G115&lt;=0,"",IFERROR(K115/G115-1,"")))</f>
        <v/>
      </c>
      <c r="L116" s="17">
        <f>IF(OR(L115="",H115=""),"",IF(H115&lt;=0,"",IFERROR(L115/H115-1,"")))</f>
        <v/>
      </c>
      <c r="M116" s="17">
        <f>IF(OR(M115="",I115=""),"",IF(I115&lt;=0,"",IFERROR(M115/I115-1,"")))</f>
        <v/>
      </c>
      <c r="N116" s="17">
        <f>IF(OR(N115="",J115=""),"",IF(J115&lt;=0,"",IFERROR(N115/J115-1,"")))</f>
        <v/>
      </c>
      <c r="W116" s="17">
        <f>IF(OR(W115="",V115=""),"",IF(V115&lt;=0,"",IFERROR(W115/V115-1,"")))</f>
        <v/>
      </c>
      <c r="X116" s="17">
        <f>IF(OR(X115="",W115=""),"",IF(W115&lt;=0,"",IFERROR(X115/W115-1,"")))</f>
        <v/>
      </c>
    </row>
    <row r="118">
      <c r="A118" s="18" t="inlineStr">
        <is>
          <t>현금흐름표 · 전 항목</t>
        </is>
      </c>
      <c r="B118" s="44" t="inlineStr">
        <is>
          <t>분기 = 결산기 첫날부터 누계(공시 그대로)</t>
        </is>
      </c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</row>
    <row r="119">
      <c r="A119" s="5" t="inlineStr">
        <is>
          <t>항목</t>
        </is>
      </c>
      <c r="B119" s="5" t="inlineStr">
        <is>
          <t>참고</t>
        </is>
      </c>
      <c r="C119" s="5" t="inlineStr">
        <is>
          <t>2024.3Q</t>
        </is>
      </c>
      <c r="D119" s="5" t="inlineStr">
        <is>
          <t>2024.4Q</t>
        </is>
      </c>
      <c r="E119" s="5" t="inlineStr">
        <is>
          <t>2025.1Q</t>
        </is>
      </c>
      <c r="F119" s="5" t="inlineStr">
        <is>
          <t>2025.2Q</t>
        </is>
      </c>
      <c r="G119" s="5" t="inlineStr">
        <is>
          <t>2025.3Q</t>
        </is>
      </c>
      <c r="H119" s="5" t="inlineStr">
        <is>
          <t>2025.4Q</t>
        </is>
      </c>
      <c r="I119" s="5" t="inlineStr">
        <is>
          <t>2026.1Q</t>
        </is>
      </c>
      <c r="J119" s="5" t="inlineStr">
        <is>
          <t>2026.2Q</t>
        </is>
      </c>
      <c r="K119" s="5" t="inlineStr">
        <is>
          <t>2026.3Q</t>
        </is>
      </c>
      <c r="L119" s="5" t="inlineStr">
        <is>
          <t>2026.4Q</t>
        </is>
      </c>
      <c r="M119" s="5" t="inlineStr">
        <is>
          <t>2027.1Q</t>
        </is>
      </c>
      <c r="N119" s="5" t="inlineStr">
        <is>
          <t>2027.2Q</t>
        </is>
      </c>
      <c r="O119" s="5" t="inlineStr">
        <is>
          <t>2017</t>
        </is>
      </c>
      <c r="P119" s="5" t="inlineStr">
        <is>
          <t>2018</t>
        </is>
      </c>
      <c r="Q119" s="5" t="inlineStr">
        <is>
          <t>2019</t>
        </is>
      </c>
      <c r="R119" s="5" t="inlineStr">
        <is>
          <t>2020</t>
        </is>
      </c>
      <c r="S119" s="5" t="inlineStr">
        <is>
          <t>2021</t>
        </is>
      </c>
      <c r="T119" s="5" t="inlineStr">
        <is>
          <t>2022</t>
        </is>
      </c>
      <c r="U119" s="5" t="inlineStr">
        <is>
          <t>2023</t>
        </is>
      </c>
      <c r="V119" s="5" t="inlineStr">
        <is>
          <t>2024</t>
        </is>
      </c>
      <c r="W119" s="5" t="inlineStr">
        <is>
          <t>2025</t>
        </is>
      </c>
      <c r="X119" s="5" t="inlineStr">
        <is>
          <t>2026</t>
        </is>
      </c>
      <c r="Y119" s="5" t="inlineStr">
        <is>
          <t>2027(MW)</t>
        </is>
      </c>
      <c r="Z119" s="5" t="inlineStr">
        <is>
          <t>2028(MW)</t>
        </is>
      </c>
      <c r="AA119" s="5" t="inlineStr">
        <is>
          <t>2029(MW)</t>
        </is>
      </c>
      <c r="AB119" s="5" t="inlineStr">
        <is>
          <t>2030(MW)</t>
        </is>
      </c>
      <c r="AC119" s="5" t="inlineStr">
        <is>
          <t>2031(MW)</t>
        </is>
      </c>
    </row>
    <row r="120">
      <c r="A120" s="9" t="inlineStr">
        <is>
          <t>법인세차감전 순이익</t>
        </is>
      </c>
      <c r="D120" s="12" t="n">
        <v>140.334</v>
      </c>
      <c r="F120" s="12" t="n">
        <v>80.152</v>
      </c>
      <c r="H120" s="12" t="n">
        <v>198.189</v>
      </c>
      <c r="J120" s="12" t="n">
        <v>34.995</v>
      </c>
      <c r="L120" s="12" t="n">
        <v>74.414</v>
      </c>
      <c r="N120" s="12" t="n">
        <v>348.853</v>
      </c>
      <c r="V120" s="12" t="n">
        <v>140.334</v>
      </c>
      <c r="W120" s="12" t="n">
        <v>198.189</v>
      </c>
      <c r="X120" s="12" t="n">
        <v>74.414</v>
      </c>
    </row>
    <row r="121">
      <c r="A121" s="20" t="inlineStr">
        <is>
          <t>감가상각비</t>
        </is>
      </c>
      <c r="D121" s="22" t="n">
        <v>44.406</v>
      </c>
      <c r="F121" s="22" t="n">
        <v>26.527</v>
      </c>
      <c r="H121" s="22" t="n">
        <v>53.873</v>
      </c>
      <c r="J121" s="22" t="n">
        <v>35.137</v>
      </c>
      <c r="L121" s="22" t="n">
        <v>73.26300000000001</v>
      </c>
      <c r="N121" s="22" t="n">
        <v>44.359</v>
      </c>
      <c r="V121" s="22" t="n">
        <v>44.406</v>
      </c>
      <c r="W121" s="22" t="n">
        <v>53.873</v>
      </c>
      <c r="X121" s="22" t="n">
        <v>73.26300000000001</v>
      </c>
    </row>
    <row r="122">
      <c r="A122" s="20" t="inlineStr">
        <is>
          <t>고정자산 수증이익</t>
        </is>
      </c>
      <c r="F122" s="22" t="n">
        <v>0</v>
      </c>
      <c r="H122" s="22" t="n">
        <v>0</v>
      </c>
      <c r="J122" s="22" t="n">
        <v>-0.33</v>
      </c>
      <c r="L122" s="22" t="n">
        <v>-0.33</v>
      </c>
      <c r="N122" s="22" t="n">
        <v>0</v>
      </c>
      <c r="W122" s="22" t="n">
        <v>0</v>
      </c>
      <c r="X122" s="22" t="n">
        <v>-0.33</v>
      </c>
    </row>
    <row r="123">
      <c r="A123" s="20" t="inlineStr">
        <is>
          <t>유형자산 제각손실</t>
        </is>
      </c>
      <c r="F123" s="22" t="n">
        <v>0</v>
      </c>
      <c r="J123" s="22" t="n">
        <v>0</v>
      </c>
    </row>
    <row r="124">
      <c r="A124" s="20" t="inlineStr">
        <is>
          <t>고정자산 제각손실</t>
        </is>
      </c>
      <c r="D124" s="22" t="n">
        <v>0</v>
      </c>
      <c r="H124" s="22" t="n">
        <v>0.115</v>
      </c>
      <c r="L124" s="22" t="n">
        <v>0</v>
      </c>
      <c r="V124" s="22" t="n">
        <v>0</v>
      </c>
      <c r="W124" s="22" t="n">
        <v>0.115</v>
      </c>
      <c r="X124" s="22" t="n">
        <v>0</v>
      </c>
    </row>
    <row r="125">
      <c r="A125" s="20" t="inlineStr">
        <is>
          <t>상장 관련 비용</t>
        </is>
      </c>
      <c r="D125" s="22" t="n">
        <v>0</v>
      </c>
      <c r="H125" s="22" t="n">
        <v>11.231</v>
      </c>
      <c r="L125" s="22" t="n">
        <v>0</v>
      </c>
      <c r="V125" s="22" t="n">
        <v>0</v>
      </c>
      <c r="W125" s="22" t="n">
        <v>11.231</v>
      </c>
      <c r="X125" s="22" t="n">
        <v>0</v>
      </c>
    </row>
    <row r="126">
      <c r="A126" s="20" t="inlineStr">
        <is>
          <t>주식교부비</t>
        </is>
      </c>
      <c r="D126" s="22" t="n">
        <v>0</v>
      </c>
      <c r="H126" s="22" t="n">
        <v>6.977</v>
      </c>
      <c r="L126" s="22" t="n">
        <v>0</v>
      </c>
      <c r="V126" s="22" t="n">
        <v>0</v>
      </c>
      <c r="W126" s="22" t="n">
        <v>6.977</v>
      </c>
      <c r="X126" s="22" t="n">
        <v>0</v>
      </c>
    </row>
    <row r="127">
      <c r="A127" s="20" t="inlineStr">
        <is>
          <t>이자수익</t>
        </is>
      </c>
      <c r="D127" s="22" t="n">
        <v>-0.008999999999999999</v>
      </c>
      <c r="F127" s="22" t="n">
        <v>-0.07099999999999999</v>
      </c>
      <c r="H127" s="22" t="n">
        <v>-0.519</v>
      </c>
      <c r="J127" s="22" t="n">
        <v>-1.166</v>
      </c>
      <c r="L127" s="22" t="n">
        <v>-2.546</v>
      </c>
      <c r="N127" s="22" t="n">
        <v>-1.565</v>
      </c>
      <c r="V127" s="22" t="n">
        <v>-0.008999999999999999</v>
      </c>
      <c r="W127" s="22" t="n">
        <v>-0.519</v>
      </c>
      <c r="X127" s="22" t="n">
        <v>-2.546</v>
      </c>
    </row>
    <row r="128">
      <c r="A128" s="20" t="inlineStr">
        <is>
          <t>이자비용</t>
        </is>
      </c>
      <c r="H128" s="22" t="n">
        <v>0</v>
      </c>
      <c r="L128" s="22" t="n">
        <v>0.001</v>
      </c>
      <c r="W128" s="22" t="n">
        <v>0</v>
      </c>
      <c r="X128" s="22" t="n">
        <v>0.001</v>
      </c>
    </row>
    <row r="129">
      <c r="A129" s="20" t="inlineStr">
        <is>
          <t>매출채권 증감</t>
        </is>
      </c>
      <c r="D129" s="22" t="n">
        <v>314.46</v>
      </c>
      <c r="F129" s="22" t="n">
        <v>-93.51600000000001</v>
      </c>
      <c r="H129" s="22" t="n">
        <v>-139.725</v>
      </c>
      <c r="J129" s="22" t="n">
        <v>134.968</v>
      </c>
      <c r="L129" s="22" t="n">
        <v>103.425</v>
      </c>
      <c r="N129" s="22" t="n">
        <v>-620.1559999999999</v>
      </c>
      <c r="V129" s="22" t="n">
        <v>314.46</v>
      </c>
      <c r="W129" s="22" t="n">
        <v>-139.725</v>
      </c>
      <c r="X129" s="22" t="n">
        <v>103.425</v>
      </c>
    </row>
    <row r="130">
      <c r="A130" s="20" t="inlineStr">
        <is>
          <t>계약자산 증감액</t>
        </is>
      </c>
      <c r="D130" s="22" t="n">
        <v>36.522</v>
      </c>
      <c r="F130" s="22" t="n">
        <v>-88.83799999999999</v>
      </c>
      <c r="H130" s="22" t="n">
        <v>-86.318</v>
      </c>
      <c r="J130" s="22" t="n">
        <v>-68.026</v>
      </c>
      <c r="L130" s="22" t="n">
        <v>79.303</v>
      </c>
      <c r="N130" s="22" t="n">
        <v>-371.167</v>
      </c>
      <c r="V130" s="22" t="n">
        <v>36.522</v>
      </c>
      <c r="W130" s="22" t="n">
        <v>-86.318</v>
      </c>
      <c r="X130" s="22" t="n">
        <v>79.303</v>
      </c>
    </row>
    <row r="131">
      <c r="A131" s="20" t="inlineStr">
        <is>
          <t>재공품 증감</t>
        </is>
      </c>
      <c r="H131" s="22" t="n">
        <v>0</v>
      </c>
      <c r="J131" s="22" t="n">
        <v>0</v>
      </c>
      <c r="L131" s="22" t="n">
        <v>-42.617</v>
      </c>
      <c r="N131" s="22" t="n">
        <v>42.617</v>
      </c>
      <c r="W131" s="22" t="n">
        <v>0</v>
      </c>
      <c r="X131" s="22" t="n">
        <v>-42.617</v>
      </c>
    </row>
    <row r="132">
      <c r="A132" s="20" t="inlineStr">
        <is>
          <t>매입채무 증감</t>
        </is>
      </c>
      <c r="D132" s="22" t="n">
        <v>-18.466</v>
      </c>
      <c r="F132" s="22" t="n">
        <v>19.22</v>
      </c>
      <c r="H132" s="22" t="n">
        <v>8.331</v>
      </c>
      <c r="J132" s="22" t="n">
        <v>1.798</v>
      </c>
      <c r="L132" s="22" t="n">
        <v>2.572</v>
      </c>
      <c r="N132" s="22" t="n">
        <v>16.781</v>
      </c>
      <c r="V132" s="22" t="n">
        <v>-18.466</v>
      </c>
      <c r="W132" s="22" t="n">
        <v>8.331</v>
      </c>
      <c r="X132" s="22" t="n">
        <v>2.572</v>
      </c>
    </row>
    <row r="133">
      <c r="A133" s="20" t="inlineStr">
        <is>
          <t>계약부채 증감</t>
        </is>
      </c>
      <c r="D133" s="22" t="n">
        <v>-0.44</v>
      </c>
      <c r="F133" s="22" t="n">
        <v>0.33</v>
      </c>
      <c r="H133" s="22" t="n">
        <v>0</v>
      </c>
      <c r="J133" s="22" t="n">
        <v>85.69</v>
      </c>
      <c r="N133" s="22" t="n">
        <v>-1.32</v>
      </c>
      <c r="V133" s="22" t="n">
        <v>-0.44</v>
      </c>
      <c r="W133" s="22" t="n">
        <v>0</v>
      </c>
    </row>
    <row r="134">
      <c r="A134" s="20" t="inlineStr">
        <is>
          <t>미지급금 증감</t>
        </is>
      </c>
      <c r="D134" s="22" t="n">
        <v>8.273</v>
      </c>
      <c r="F134" s="22" t="n">
        <v>-9.353999999999999</v>
      </c>
      <c r="H134" s="22" t="n">
        <v>16.419</v>
      </c>
      <c r="J134" s="22" t="n">
        <v>-19.712</v>
      </c>
      <c r="L134" s="22" t="n">
        <v>-11.147</v>
      </c>
      <c r="N134" s="22" t="n">
        <v>-5.672</v>
      </c>
      <c r="V134" s="22" t="n">
        <v>8.273</v>
      </c>
      <c r="W134" s="22" t="n">
        <v>16.419</v>
      </c>
      <c r="X134" s="22" t="n">
        <v>-11.147</v>
      </c>
    </row>
    <row r="135">
      <c r="A135" s="20" t="inlineStr">
        <is>
          <t>수주손실 충당금 증감</t>
        </is>
      </c>
      <c r="D135" s="22" t="n">
        <v>-2.459</v>
      </c>
      <c r="F135" s="22" t="n">
        <v>-0.065</v>
      </c>
      <c r="H135" s="22" t="n">
        <v>-0.093</v>
      </c>
      <c r="J135" s="22" t="n">
        <v>0</v>
      </c>
      <c r="L135" s="22" t="n">
        <v>0</v>
      </c>
      <c r="V135" s="22" t="n">
        <v>-2.459</v>
      </c>
      <c r="W135" s="22" t="n">
        <v>-0.093</v>
      </c>
      <c r="X135" s="22" t="n">
        <v>0</v>
      </c>
    </row>
    <row r="136">
      <c r="A136" s="20" t="inlineStr">
        <is>
          <t>미지급 소비세 증감</t>
        </is>
      </c>
      <c r="D136" s="22" t="n">
        <v>-5.099</v>
      </c>
      <c r="F136" s="22" t="n">
        <v>-11.839</v>
      </c>
      <c r="H136" s="22" t="n">
        <v>-0.24</v>
      </c>
      <c r="J136" s="22" t="n">
        <v>-18.559</v>
      </c>
      <c r="L136" s="22" t="n">
        <v>-10.399</v>
      </c>
      <c r="N136" s="22" t="n">
        <v>32.767</v>
      </c>
      <c r="V136" s="22" t="n">
        <v>-5.099</v>
      </c>
      <c r="W136" s="22" t="n">
        <v>-0.24</v>
      </c>
      <c r="X136" s="22" t="n">
        <v>-10.399</v>
      </c>
    </row>
    <row r="137">
      <c r="A137" s="20" t="inlineStr">
        <is>
          <t>상여충당금 증감</t>
        </is>
      </c>
      <c r="F137" s="22" t="n">
        <v>77.054</v>
      </c>
      <c r="J137" s="22" t="n">
        <v>36.705</v>
      </c>
      <c r="N137" s="22" t="n">
        <v>192.725</v>
      </c>
    </row>
    <row r="138">
      <c r="A138" s="20" t="inlineStr">
        <is>
          <t>기타</t>
        </is>
      </c>
      <c r="D138" s="22" t="n">
        <v>10.084</v>
      </c>
      <c r="F138" s="22" t="n">
        <v>-9.682</v>
      </c>
      <c r="H138" s="22" t="n">
        <v>16.221</v>
      </c>
      <c r="J138" s="22" t="n">
        <v>-19.591</v>
      </c>
      <c r="L138" s="22" t="n">
        <v>-0.251</v>
      </c>
      <c r="N138" s="22" t="n">
        <v>-32.101</v>
      </c>
      <c r="V138" s="22" t="n">
        <v>10.084</v>
      </c>
      <c r="W138" s="22" t="n">
        <v>16.221</v>
      </c>
      <c r="X138" s="22" t="n">
        <v>-0.251</v>
      </c>
    </row>
    <row r="139">
      <c r="A139" s="20" t="inlineStr">
        <is>
          <t>소계</t>
        </is>
      </c>
      <c r="D139" s="22" t="n">
        <v>527.6079999999999</v>
      </c>
      <c r="F139" s="22" t="n">
        <v>-10.082</v>
      </c>
      <c r="H139" s="22" t="n">
        <v>84.464</v>
      </c>
      <c r="J139" s="22" t="n">
        <v>201.907</v>
      </c>
      <c r="L139" s="22" t="n">
        <v>265.688</v>
      </c>
      <c r="N139" s="22" t="n">
        <v>-353.878</v>
      </c>
      <c r="V139" s="22" t="n">
        <v>527.6079999999999</v>
      </c>
      <c r="W139" s="22" t="n">
        <v>84.464</v>
      </c>
      <c r="X139" s="22" t="n">
        <v>265.688</v>
      </c>
    </row>
    <row r="140">
      <c r="A140" s="20" t="inlineStr">
        <is>
          <t>이자 수취</t>
        </is>
      </c>
      <c r="D140" s="22" t="n">
        <v>0.008999999999999999</v>
      </c>
      <c r="F140" s="22" t="n">
        <v>0.07099999999999999</v>
      </c>
      <c r="H140" s="22" t="n">
        <v>0.519</v>
      </c>
      <c r="J140" s="22" t="n">
        <v>1.166</v>
      </c>
      <c r="L140" s="22" t="n">
        <v>2.536</v>
      </c>
      <c r="N140" s="22" t="n">
        <v>1.553</v>
      </c>
      <c r="V140" s="22" t="n">
        <v>0.008999999999999999</v>
      </c>
      <c r="W140" s="22" t="n">
        <v>0.519</v>
      </c>
      <c r="X140" s="22" t="n">
        <v>2.536</v>
      </c>
    </row>
    <row r="141">
      <c r="A141" s="20" t="inlineStr">
        <is>
          <t>이자 지급</t>
        </is>
      </c>
      <c r="H141" s="22" t="n">
        <v>0</v>
      </c>
      <c r="L141" s="22" t="n">
        <v>-0.001</v>
      </c>
      <c r="W141" s="22" t="n">
        <v>0</v>
      </c>
      <c r="X141" s="22" t="n">
        <v>-0.001</v>
      </c>
    </row>
    <row r="142">
      <c r="A142" s="20" t="inlineStr">
        <is>
          <t>법인세 환급</t>
        </is>
      </c>
      <c r="D142" s="22" t="n">
        <v>1.076</v>
      </c>
      <c r="H142" s="22" t="n">
        <v>0</v>
      </c>
      <c r="J142" s="22" t="n">
        <v>0</v>
      </c>
      <c r="N142" s="22" t="n">
        <v>11.645</v>
      </c>
      <c r="V142" s="22" t="n">
        <v>1.076</v>
      </c>
      <c r="W142" s="22" t="n">
        <v>0</v>
      </c>
    </row>
    <row r="143">
      <c r="A143" s="20" t="inlineStr">
        <is>
          <t>법인세 납부</t>
        </is>
      </c>
      <c r="D143" s="22" t="n">
        <v>-9.180999999999999</v>
      </c>
      <c r="F143" s="22" t="n">
        <v>-38.269</v>
      </c>
      <c r="H143" s="22" t="n">
        <v>-57.404</v>
      </c>
      <c r="J143" s="22" t="n">
        <v>-45.792</v>
      </c>
      <c r="L143" s="22" t="n">
        <v>-87.03</v>
      </c>
      <c r="N143" s="22" t="n">
        <v>0</v>
      </c>
      <c r="V143" s="22" t="n">
        <v>-9.180999999999999</v>
      </c>
      <c r="W143" s="22" t="n">
        <v>-57.404</v>
      </c>
      <c r="X143" s="22" t="n">
        <v>-87.03</v>
      </c>
    </row>
    <row r="144">
      <c r="A144" s="9" t="inlineStr">
        <is>
          <t>영업활동 현금흐름</t>
        </is>
      </c>
      <c r="D144" s="12" t="n">
        <v>519.5119999999999</v>
      </c>
      <c r="F144" s="12" t="n">
        <v>-48.279</v>
      </c>
      <c r="H144" s="12" t="n">
        <v>27.578</v>
      </c>
      <c r="J144" s="12" t="n">
        <v>157.282</v>
      </c>
      <c r="L144" s="12" t="n">
        <v>181.193</v>
      </c>
      <c r="N144" s="12" t="n">
        <v>-340.679</v>
      </c>
      <c r="V144" s="12" t="n">
        <v>519.5119999999999</v>
      </c>
      <c r="W144" s="12" t="n">
        <v>27.578</v>
      </c>
      <c r="X144" s="12" t="n">
        <v>181.193</v>
      </c>
    </row>
    <row r="145">
      <c r="A145" s="20" t="inlineStr">
        <is>
          <t>유형자산 취득(설비투자)</t>
        </is>
      </c>
      <c r="D145" s="22" t="n">
        <v>-9.851000000000001</v>
      </c>
      <c r="F145" s="22" t="n">
        <v>-5.83</v>
      </c>
      <c r="H145" s="22" t="n">
        <v>-6.082</v>
      </c>
      <c r="J145" s="22" t="n">
        <v>-6.699</v>
      </c>
      <c r="L145" s="22" t="n">
        <v>-13.357</v>
      </c>
      <c r="N145" s="22" t="n">
        <v>-2.66</v>
      </c>
      <c r="V145" s="22" t="n">
        <v>-9.851000000000001</v>
      </c>
      <c r="W145" s="22" t="n">
        <v>-6.082</v>
      </c>
      <c r="X145" s="22" t="n">
        <v>-13.357</v>
      </c>
    </row>
    <row r="146">
      <c r="A146" s="20" t="inlineStr">
        <is>
          <t>무형자산 취득</t>
        </is>
      </c>
      <c r="D146" s="22" t="n">
        <v>-71.11499999999999</v>
      </c>
      <c r="F146" s="22" t="n">
        <v>-52.687</v>
      </c>
      <c r="H146" s="22" t="n">
        <v>-105.236</v>
      </c>
      <c r="J146" s="22" t="n">
        <v>-71.259</v>
      </c>
      <c r="L146" s="22" t="n">
        <v>-109.596</v>
      </c>
      <c r="N146" s="22" t="n">
        <v>-65.547</v>
      </c>
      <c r="V146" s="22" t="n">
        <v>-71.11499999999999</v>
      </c>
      <c r="W146" s="22" t="n">
        <v>-105.236</v>
      </c>
      <c r="X146" s="22" t="n">
        <v>-109.596</v>
      </c>
    </row>
    <row r="147">
      <c r="A147" s="20" t="inlineStr">
        <is>
          <t>대여</t>
        </is>
      </c>
      <c r="H147" s="22" t="n">
        <v>0</v>
      </c>
      <c r="L147" s="22" t="n">
        <v>-1</v>
      </c>
      <c r="W147" s="22" t="n">
        <v>0</v>
      </c>
      <c r="X147" s="22" t="n">
        <v>-1</v>
      </c>
    </row>
    <row r="148">
      <c r="A148" s="20" t="inlineStr">
        <is>
          <t>임차보증금·보증금 납입</t>
        </is>
      </c>
      <c r="J148" s="22" t="n">
        <v>0</v>
      </c>
      <c r="N148" s="22" t="n">
        <v>-5.808</v>
      </c>
    </row>
    <row r="149">
      <c r="A149" s="9" t="inlineStr">
        <is>
          <t>투자활동 현금흐름</t>
        </is>
      </c>
      <c r="D149" s="12" t="n">
        <v>-80.967</v>
      </c>
      <c r="F149" s="12" t="n">
        <v>-58.517</v>
      </c>
      <c r="H149" s="12" t="n">
        <v>-111.318</v>
      </c>
      <c r="J149" s="12" t="n">
        <v>-77.958</v>
      </c>
      <c r="L149" s="12" t="n">
        <v>-123.953</v>
      </c>
      <c r="N149" s="12" t="n">
        <v>-74.015</v>
      </c>
      <c r="V149" s="12" t="n">
        <v>-80.967</v>
      </c>
      <c r="W149" s="12" t="n">
        <v>-111.318</v>
      </c>
      <c r="X149" s="12" t="n">
        <v>-123.953</v>
      </c>
    </row>
    <row r="150">
      <c r="A150" s="20" t="inlineStr">
        <is>
          <t>주식 발행</t>
        </is>
      </c>
      <c r="D150" s="22" t="n">
        <v>0</v>
      </c>
      <c r="H150" s="22" t="n">
        <v>366.381</v>
      </c>
      <c r="L150" s="22" t="n">
        <v>0</v>
      </c>
      <c r="V150" s="22" t="n">
        <v>0</v>
      </c>
      <c r="W150" s="22" t="n">
        <v>366.381</v>
      </c>
      <c r="X150" s="22" t="n">
        <v>0</v>
      </c>
    </row>
    <row r="151">
      <c r="A151" s="20" t="inlineStr">
        <is>
          <t>상장 관련 비용 지출</t>
        </is>
      </c>
      <c r="D151" s="22" t="n">
        <v>0</v>
      </c>
      <c r="H151" s="22" t="n">
        <v>-11.141</v>
      </c>
      <c r="L151" s="22" t="n">
        <v>0</v>
      </c>
      <c r="V151" s="22" t="n">
        <v>0</v>
      </c>
      <c r="W151" s="22" t="n">
        <v>-11.141</v>
      </c>
      <c r="X151" s="22" t="n">
        <v>0</v>
      </c>
    </row>
    <row r="152">
      <c r="A152" s="9" t="inlineStr">
        <is>
          <t>재무활동 현금흐름</t>
        </is>
      </c>
      <c r="D152" s="12" t="n">
        <v>0</v>
      </c>
      <c r="H152" s="12" t="n">
        <v>355.24</v>
      </c>
      <c r="L152" s="12" t="n">
        <v>0</v>
      </c>
      <c r="V152" s="12" t="n">
        <v>0</v>
      </c>
      <c r="W152" s="12" t="n">
        <v>355.24</v>
      </c>
      <c r="X152" s="12" t="n">
        <v>0</v>
      </c>
    </row>
    <row r="153">
      <c r="A153" s="20" t="inlineStr">
        <is>
          <t>현금성자산 증감</t>
        </is>
      </c>
      <c r="D153" s="22" t="n">
        <v>438.544</v>
      </c>
      <c r="F153" s="22" t="n">
        <v>-106.796</v>
      </c>
      <c r="H153" s="22" t="n">
        <v>271.5</v>
      </c>
      <c r="J153" s="22" t="n">
        <v>79.32299999999999</v>
      </c>
      <c r="L153" s="22" t="n">
        <v>57.239</v>
      </c>
      <c r="N153" s="22" t="n">
        <v>-414.694</v>
      </c>
      <c r="V153" s="22" t="n">
        <v>438.544</v>
      </c>
      <c r="W153" s="22" t="n">
        <v>271.5</v>
      </c>
      <c r="X153" s="22" t="n">
        <v>57.239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포르시아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2024</t>
        </is>
      </c>
      <c r="I3" s="5" t="inlineStr">
        <is>
          <t>2025</t>
        </is>
      </c>
      <c r="J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</row>
    <row r="5">
      <c r="A5" s="9" t="inlineStr">
        <is>
          <t>유동자산</t>
        </is>
      </c>
      <c r="B5" s="10" t="n"/>
      <c r="C5" s="11" t="n">
        <v>1823.02</v>
      </c>
      <c r="D5" s="12" t="n">
        <v>1750.029</v>
      </c>
      <c r="E5" s="12" t="n">
        <v>1733.856</v>
      </c>
      <c r="F5" s="12" t="n">
        <v>1873.972</v>
      </c>
      <c r="G5" s="12" t="n">
        <v>2287.044</v>
      </c>
      <c r="H5" s="11" t="n">
        <v>1309.365</v>
      </c>
      <c r="I5" s="12" t="n">
        <v>1813.766</v>
      </c>
      <c r="J5" s="12" t="n">
        <v>1733.856</v>
      </c>
    </row>
    <row r="6">
      <c r="A6" s="20" t="inlineStr">
        <is>
          <t>현금및현금성자산</t>
        </is>
      </c>
      <c r="B6" s="10" t="n"/>
      <c r="C6" s="21" t="n">
        <v>1309.804</v>
      </c>
      <c r="D6" s="22" t="n">
        <v>1226.925</v>
      </c>
      <c r="E6" s="22" t="n">
        <v>1287.72</v>
      </c>
      <c r="F6" s="22" t="n">
        <v>1042.369</v>
      </c>
      <c r="G6" s="22" t="n">
        <v>873.025</v>
      </c>
      <c r="H6" s="21" t="n">
        <v>958.979</v>
      </c>
      <c r="I6" s="22" t="n">
        <v>1230.48</v>
      </c>
      <c r="J6" s="22" t="n">
        <v>1287.72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</row>
    <row r="8">
      <c r="A8" s="20" t="inlineStr">
        <is>
          <t>매출채권</t>
        </is>
      </c>
      <c r="B8" s="10" t="n"/>
      <c r="C8" s="21" t="n">
        <v>157.825</v>
      </c>
      <c r="D8" s="22" t="n">
        <v>314</v>
      </c>
      <c r="E8" s="22" t="n">
        <v>189.369</v>
      </c>
      <c r="F8" s="22" t="n">
        <v>142.887</v>
      </c>
      <c r="G8" s="22" t="n">
        <v>809.526</v>
      </c>
      <c r="H8" s="21" t="n">
        <v>153.069</v>
      </c>
      <c r="I8" s="22" t="n">
        <v>292.794</v>
      </c>
      <c r="J8" s="22" t="n">
        <v>189.369</v>
      </c>
    </row>
    <row r="9">
      <c r="A9" s="20" t="inlineStr">
        <is>
          <t>재고자산</t>
        </is>
      </c>
      <c r="B9" s="10" t="n"/>
      <c r="C9" s="21" t="n"/>
      <c r="D9" s="22" t="n"/>
      <c r="E9" s="22" t="n">
        <v>42.617</v>
      </c>
      <c r="F9" s="22" t="n">
        <v>61.771</v>
      </c>
      <c r="G9" s="22" t="n">
        <v>0</v>
      </c>
      <c r="H9" s="21" t="n"/>
      <c r="I9" s="22" t="n">
        <v>0</v>
      </c>
      <c r="J9" s="22" t="n">
        <v>42.617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</row>
    <row r="11">
      <c r="A11" s="9" t="inlineStr">
        <is>
          <t>비유동자산</t>
        </is>
      </c>
      <c r="B11" s="10" t="n"/>
      <c r="C11" s="11" t="n">
        <v>429.707</v>
      </c>
      <c r="D11" s="12" t="n">
        <v>438.84</v>
      </c>
      <c r="E11" s="12" t="n">
        <v>420.554</v>
      </c>
      <c r="F11" s="12" t="n">
        <v>452.419</v>
      </c>
      <c r="G11" s="12" t="n">
        <v>519.133</v>
      </c>
      <c r="H11" s="11" t="n">
        <v>317.075</v>
      </c>
      <c r="I11" s="12" t="n">
        <v>377.871</v>
      </c>
      <c r="J11" s="12" t="n">
        <v>420.554</v>
      </c>
    </row>
    <row r="12">
      <c r="A12" s="20" t="inlineStr">
        <is>
          <t>유형자산</t>
        </is>
      </c>
      <c r="B12" s="10" t="n"/>
      <c r="C12" s="21" t="n">
        <v>35.773</v>
      </c>
      <c r="D12" s="22" t="n">
        <v>38.592</v>
      </c>
      <c r="E12" s="22" t="n">
        <v>34.959</v>
      </c>
      <c r="F12" s="22" t="n">
        <v>34.924</v>
      </c>
      <c r="G12" s="22" t="n">
        <v>31.941</v>
      </c>
      <c r="H12" s="21" t="n">
        <v>41.072</v>
      </c>
      <c r="I12" s="22" t="n">
        <v>34.086</v>
      </c>
      <c r="J12" s="22" t="n">
        <v>34.959</v>
      </c>
    </row>
    <row r="13">
      <c r="A13" s="20" t="inlineStr">
        <is>
          <t>무형자산</t>
        </is>
      </c>
      <c r="B13" s="10" t="n"/>
      <c r="C13" s="21" t="n">
        <v>251.291</v>
      </c>
      <c r="D13" s="22" t="n">
        <v>251.628</v>
      </c>
      <c r="E13" s="22" t="n">
        <v>254.978</v>
      </c>
      <c r="F13" s="22" t="n">
        <v>264.593</v>
      </c>
      <c r="G13" s="22" t="n">
        <v>284.254</v>
      </c>
      <c r="H13" s="21" t="n">
        <v>135.965</v>
      </c>
      <c r="I13" s="22" t="n">
        <v>207.133</v>
      </c>
      <c r="J13" s="22" t="n">
        <v>254.978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</row>
    <row r="16">
      <c r="A16" s="9" t="inlineStr">
        <is>
          <t>자산총계</t>
        </is>
      </c>
      <c r="B16" s="10" t="n"/>
      <c r="C16" s="11" t="n">
        <v>2252.728</v>
      </c>
      <c r="D16" s="12" t="n">
        <v>2188.869</v>
      </c>
      <c r="E16" s="12" t="n">
        <v>2154.41</v>
      </c>
      <c r="F16" s="12" t="n">
        <v>2326.391</v>
      </c>
      <c r="G16" s="12" t="n">
        <v>2806.177</v>
      </c>
      <c r="H16" s="11" t="n">
        <v>1626.44</v>
      </c>
      <c r="I16" s="12" t="n">
        <v>2191.637</v>
      </c>
      <c r="J16" s="12" t="n">
        <v>2154.41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</row>
    <row r="18">
      <c r="A18" s="9" t="inlineStr">
        <is>
          <t>유동부채</t>
        </is>
      </c>
      <c r="B18" s="10" t="n"/>
      <c r="C18" s="11" t="n">
        <v>291.797</v>
      </c>
      <c r="D18" s="12" t="n">
        <v>218.002</v>
      </c>
      <c r="E18" s="12" t="n">
        <v>166.532</v>
      </c>
      <c r="F18" s="12" t="n">
        <v>295.917</v>
      </c>
      <c r="G18" s="12" t="n">
        <v>615.651</v>
      </c>
      <c r="H18" s="11" t="n">
        <v>192.335</v>
      </c>
      <c r="I18" s="12" t="n">
        <v>252.476</v>
      </c>
      <c r="J18" s="12" t="n">
        <v>166.532</v>
      </c>
    </row>
    <row r="19">
      <c r="A19" s="20" t="inlineStr">
        <is>
          <t>매입채무</t>
        </is>
      </c>
      <c r="B19" s="10" t="n"/>
      <c r="C19" s="21" t="n">
        <v>50.734</v>
      </c>
      <c r="D19" s="22" t="n">
        <v>56.216</v>
      </c>
      <c r="E19" s="22" t="n">
        <v>51.508</v>
      </c>
      <c r="F19" s="22" t="n">
        <v>55.452</v>
      </c>
      <c r="G19" s="22" t="n">
        <v>68.289</v>
      </c>
      <c r="H19" s="21" t="n">
        <v>40.604</v>
      </c>
      <c r="I19" s="22" t="n">
        <v>48.936</v>
      </c>
      <c r="J19" s="22" t="n">
        <v>51.508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</row>
    <row r="23">
      <c r="A23" s="9" t="inlineStr">
        <is>
          <t>비유동부채</t>
        </is>
      </c>
      <c r="B23" s="10" t="n"/>
      <c r="C23" s="11" t="n"/>
      <c r="D23" s="12" t="n"/>
      <c r="E23" s="12" t="n"/>
      <c r="F23" s="12" t="n"/>
      <c r="G23" s="12" t="n"/>
      <c r="H23" s="11" t="n"/>
      <c r="I23" s="12" t="n"/>
      <c r="J23" s="12" t="n"/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</row>
    <row r="27">
      <c r="A27" s="9" t="inlineStr">
        <is>
          <t>부채총계</t>
        </is>
      </c>
      <c r="B27" s="10" t="n"/>
      <c r="C27" s="11" t="n">
        <v>291.797</v>
      </c>
      <c r="D27" s="12" t="n">
        <v>218.002</v>
      </c>
      <c r="E27" s="12" t="n">
        <v>166.532</v>
      </c>
      <c r="F27" s="12" t="n">
        <v>295.917</v>
      </c>
      <c r="G27" s="12" t="n">
        <v>615.651</v>
      </c>
      <c r="H27" s="11" t="n">
        <v>192.335</v>
      </c>
      <c r="I27" s="12" t="n">
        <v>252.476</v>
      </c>
      <c r="J27" s="12" t="n">
        <v>166.532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</row>
    <row r="31">
      <c r="A31" s="9" t="inlineStr">
        <is>
          <t>지배주주지분</t>
        </is>
      </c>
      <c r="B31" s="10" t="n"/>
      <c r="C31" s="11" t="n">
        <v>1960.93</v>
      </c>
      <c r="D31" s="12" t="n">
        <v>1970.866</v>
      </c>
      <c r="E31" s="12" t="n">
        <v>1987.878</v>
      </c>
      <c r="F31" s="12" t="n">
        <v>2030.474</v>
      </c>
      <c r="G31" s="12" t="n">
        <v>2190.526</v>
      </c>
      <c r="H31" s="11" t="n">
        <v>1434.105</v>
      </c>
      <c r="I31" s="12" t="n">
        <v>1939.161</v>
      </c>
      <c r="J31" s="12" t="n">
        <v>1987.878</v>
      </c>
    </row>
    <row r="32">
      <c r="A32" s="20" t="inlineStr">
        <is>
          <t>자본금</t>
        </is>
      </c>
      <c r="B32" s="10" t="n"/>
      <c r="C32" s="21" t="n">
        <v>236.679</v>
      </c>
      <c r="D32" s="22" t="n">
        <v>236.679</v>
      </c>
      <c r="E32" s="22" t="n">
        <v>236.679</v>
      </c>
      <c r="F32" s="22" t="n">
        <v>236.679</v>
      </c>
      <c r="G32" s="22" t="n">
        <v>236.679</v>
      </c>
      <c r="H32" s="21" t="n">
        <v>50</v>
      </c>
      <c r="I32" s="22" t="n">
        <v>236.679</v>
      </c>
      <c r="J32" s="22" t="n">
        <v>236.679</v>
      </c>
    </row>
    <row r="33">
      <c r="A33" s="20" t="inlineStr">
        <is>
          <t>이익잉여금</t>
        </is>
      </c>
      <c r="B33" s="10" t="n"/>
      <c r="C33" s="21" t="n">
        <v>1487.571</v>
      </c>
      <c r="D33" s="22" t="n">
        <v>1497.507</v>
      </c>
      <c r="E33" s="22" t="n">
        <v>1514.519</v>
      </c>
      <c r="F33" s="22" t="n">
        <v>1557.115</v>
      </c>
      <c r="G33" s="22" t="n">
        <v>1717.167</v>
      </c>
      <c r="H33" s="21" t="n">
        <v>1334.105</v>
      </c>
      <c r="I33" s="22" t="n">
        <v>1465.802</v>
      </c>
      <c r="J33" s="22" t="n">
        <v>1514.519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</row>
    <row r="35">
      <c r="A35" s="9" t="inlineStr">
        <is>
          <t>자본총계</t>
        </is>
      </c>
      <c r="B35" s="10" t="n"/>
      <c r="C35" s="11" t="n">
        <v>1960.93</v>
      </c>
      <c r="D35" s="12" t="n">
        <v>1970.866</v>
      </c>
      <c r="E35" s="12" t="n">
        <v>1987.878</v>
      </c>
      <c r="F35" s="12" t="n">
        <v>2030.474</v>
      </c>
      <c r="G35" s="12" t="n">
        <v>2190.526</v>
      </c>
      <c r="H35" s="11" t="n">
        <v>1434.105</v>
      </c>
      <c r="I35" s="12" t="n">
        <v>1939.161</v>
      </c>
      <c r="J35" s="12" t="n">
        <v>1987.878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</row>
    <row r="37">
      <c r="A37" s="9" t="inlineStr">
        <is>
          <t>영업활동현금흐름</t>
        </is>
      </c>
      <c r="B37" s="10" t="n"/>
      <c r="C37" s="11" t="n">
        <v>233.139</v>
      </c>
      <c r="D37" s="12" t="n"/>
      <c r="E37" s="12" t="n">
        <v>181.193</v>
      </c>
      <c r="F37" s="12" t="n"/>
      <c r="G37" s="12" t="n">
        <v>-316.768</v>
      </c>
      <c r="H37" s="11" t="n">
        <v>519.5119999999999</v>
      </c>
      <c r="I37" s="12" t="n">
        <v>27.578</v>
      </c>
      <c r="J37" s="12" t="n">
        <v>181.193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130.759</v>
      </c>
      <c r="D38" s="22" t="n"/>
      <c r="E38" s="22" t="n">
        <v>122.953</v>
      </c>
      <c r="F38" s="22" t="n"/>
      <c r="G38" s="22" t="n">
        <v>113.202</v>
      </c>
      <c r="H38" s="21" t="n">
        <v>80.96599999999999</v>
      </c>
      <c r="I38" s="22" t="n">
        <v>111.318</v>
      </c>
      <c r="J38" s="22" t="n">
        <v>122.953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IFERROR(('연간'!V19)/('연간'!V41),"")</f>
        <v/>
      </c>
      <c r="I48" s="33">
        <f>IFERROR(('연간'!W19)/('연간'!W41),"")</f>
        <v/>
      </c>
      <c r="J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IFERROR(IF(('연간'!V49)&lt;=0,"적자",H28/('연간'!V49)),"")</f>
        <v/>
      </c>
      <c r="I49" s="49">
        <f>IFERROR(IF(('연간'!W49)&lt;=0,"적자",I28/('연간'!W49)),"")</f>
        <v/>
      </c>
      <c r="J49" s="49">
        <f>IFERROR(IF(('연간'!X49)&lt;=0,"적자",J28/('연간'!X49)),"")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IFERROR(('연간'!V49)/H31,"")</f>
        <v/>
      </c>
      <c r="I51" s="38">
        <f>IFERROR(('연간'!W49)/I31,"")</f>
        <v/>
      </c>
      <c r="J51" s="38">
        <f>IFERROR(('연간'!X49)/J31,"")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IFERROR(('연간'!V47)/H16,"")</f>
        <v/>
      </c>
      <c r="I52" s="38">
        <f>IFERROR(('연간'!W47)/I16,"")</f>
        <v/>
      </c>
      <c r="J52" s="38">
        <f>IFERROR(('연간'!X47)/J16,"")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IFERROR(('연간'!V19)*(1-0.3)/(H35+H29),"")</f>
        <v/>
      </c>
      <c r="I53" s="38">
        <f>IFERROR(('연간'!W19)*(1-0.3)/(I35+I29),"")</f>
        <v/>
      </c>
      <c r="J53" s="38">
        <f>IFERROR(('연간'!X19)*(1-0.3)/(J35+J29),"")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IFERROR(('연간'!V13)/('연간'!V4),"")</f>
        <v/>
      </c>
      <c r="I54" s="38">
        <f>IFERROR(('연간'!W13)/('연간'!W4),"")</f>
        <v/>
      </c>
      <c r="J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IFERROR(('연간'!V19)/('연간'!V4),"")</f>
        <v/>
      </c>
      <c r="I55" s="38">
        <f>IFERROR(('연간'!W19)/('연간'!W4),"")</f>
        <v/>
      </c>
      <c r="J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IFERROR(('연간'!V47)/('연간'!V4),"")</f>
        <v/>
      </c>
      <c r="I56" s="38">
        <f>IFERROR(('연간'!W47)/('연간'!W4),"")</f>
        <v/>
      </c>
      <c r="J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IFERROR(('연간'!V4)/H16,"")</f>
        <v/>
      </c>
      <c r="I58" s="33">
        <f>IFERROR(('연간'!W4)/I16,"")</f>
        <v/>
      </c>
      <c r="J58" s="33">
        <f>IFERROR(('연간'!X4)/J16,"")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IFERROR(H8/('연간'!V4)*365,"")</f>
        <v/>
      </c>
      <c r="I59" s="51">
        <f>IFERROR(I8/('연간'!W4)*365,"")</f>
        <v/>
      </c>
      <c r="J59" s="51">
        <f>IFERROR(J8/('연간'!X4)*365,"")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IFERROR(H9/('연간'!V11)*365,"")</f>
        <v/>
      </c>
      <c r="I60" s="51">
        <f>IFERROR(I9/('연간'!W11)*365,"")</f>
        <v/>
      </c>
      <c r="J60" s="51">
        <f>IFERROR(J9/('연간'!X11)*365,"")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IFERROR(H19/('연간'!V11)*365,"")</f>
        <v/>
      </c>
      <c r="I61" s="51">
        <f>IFERROR(I19/('연간'!W11)*365,"")</f>
        <v/>
      </c>
      <c r="J61" s="51">
        <f>IFERROR(J19/('연간'!X11)*365,"")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IF(H37="","",IFERROR(H37/('연간'!V47),""))</f>
        <v/>
      </c>
      <c r="I64" s="33">
        <f>IF(I37="","",IFERROR(I37/('연간'!W47),""))</f>
        <v/>
      </c>
      <c r="J64" s="33">
        <f>IF(J37="","",IFERROR(J37/('연간'!X47),""))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IF(H39="","",IFERROR(H39/('연간'!V4),""))</f>
        <v/>
      </c>
      <c r="I65" s="38">
        <f>IF(I39="","",IFERROR(I39/('연간'!W4),""))</f>
        <v/>
      </c>
      <c r="J65" s="38">
        <f>IF(J39="","",IFERROR(J39/('연간'!X4),""))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IF(H38="","",IFERROR(H38/('연간'!V4),""))</f>
        <v/>
      </c>
      <c r="I66" s="38">
        <f>IF(I38="","",IFERROR(I38/('연간'!W4),""))</f>
        <v/>
      </c>
      <c r="J66" s="38">
        <f>IF(J38="","",IFERROR(J38/('연간'!X4),""))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IF(H40="","",IFERROR(H40/('연간'!V49),""))</f>
        <v/>
      </c>
      <c r="I67" s="38">
        <f>IF(I40="","",IFERROR(I40/('연간'!W49),""))</f>
        <v/>
      </c>
      <c r="J67" s="38">
        <f>IF(J40="","",IFERROR(J40/('연간'!X49),""))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2024</t>
        </is>
      </c>
      <c r="I70" s="5" t="inlineStr">
        <is>
          <t>2025</t>
        </is>
      </c>
      <c r="J70" s="5" t="inlineStr">
        <is>
          <t>2026</t>
        </is>
      </c>
    </row>
    <row r="71">
      <c r="A71" s="20" t="inlineStr">
        <is>
          <t>현금 및 예금</t>
        </is>
      </c>
      <c r="C71" s="22" t="n">
        <v>1309.804</v>
      </c>
      <c r="D71" s="22" t="n">
        <v>1226.925</v>
      </c>
      <c r="E71" s="22" t="n">
        <v>1287.72</v>
      </c>
      <c r="F71" s="22" t="n">
        <v>1042.369</v>
      </c>
      <c r="G71" s="22" t="n">
        <v>873.025</v>
      </c>
      <c r="H71" s="22" t="n">
        <v>958.979</v>
      </c>
      <c r="I71" s="22" t="n">
        <v>1230.48</v>
      </c>
      <c r="J71" s="22" t="n">
        <v>1287.72</v>
      </c>
    </row>
    <row r="72">
      <c r="A72" s="20" t="inlineStr">
        <is>
          <t>매출채권</t>
        </is>
      </c>
      <c r="C72" s="22" t="n">
        <v>157.825</v>
      </c>
      <c r="D72" s="22" t="n">
        <v>314</v>
      </c>
      <c r="E72" s="22" t="n">
        <v>189.369</v>
      </c>
      <c r="F72" s="22" t="n">
        <v>142.887</v>
      </c>
      <c r="G72" s="22" t="n">
        <v>809.526</v>
      </c>
      <c r="H72" s="22" t="n">
        <v>153.069</v>
      </c>
      <c r="I72" s="22" t="n">
        <v>292.794</v>
      </c>
      <c r="J72" s="22" t="n">
        <v>189.369</v>
      </c>
    </row>
    <row r="73">
      <c r="A73" s="20" t="inlineStr">
        <is>
          <t>계약자산</t>
        </is>
      </c>
      <c r="C73" s="22" t="n">
        <v>310.495</v>
      </c>
      <c r="D73" s="22" t="n">
        <v>163.078</v>
      </c>
      <c r="E73" s="22" t="n">
        <v>163.165</v>
      </c>
      <c r="F73" s="22" t="n">
        <v>418.008</v>
      </c>
      <c r="G73" s="22" t="n">
        <v>534.332</v>
      </c>
      <c r="H73" s="22" t="n">
        <v>156.15</v>
      </c>
      <c r="I73" s="22" t="n">
        <v>242.468</v>
      </c>
      <c r="J73" s="22" t="n">
        <v>163.165</v>
      </c>
    </row>
    <row r="74">
      <c r="A74" s="20" t="inlineStr">
        <is>
          <t>재공품</t>
        </is>
      </c>
      <c r="E74" s="22" t="n">
        <v>42.617</v>
      </c>
      <c r="F74" s="22" t="n">
        <v>61.771</v>
      </c>
      <c r="G74" s="22" t="n">
        <v>0</v>
      </c>
      <c r="I74" s="22" t="n">
        <v>0</v>
      </c>
      <c r="J74" s="22" t="n">
        <v>42.617</v>
      </c>
    </row>
    <row r="75">
      <c r="A75" s="20" t="inlineStr">
        <is>
          <t>선급비용</t>
        </is>
      </c>
      <c r="C75" s="22" t="n">
        <v>44.491</v>
      </c>
      <c r="D75" s="22" t="n">
        <v>40.03</v>
      </c>
      <c r="E75" s="22" t="n">
        <v>45.089</v>
      </c>
      <c r="F75" s="22" t="n">
        <v>202.852</v>
      </c>
      <c r="G75" s="22" t="n">
        <v>69.32599999999999</v>
      </c>
      <c r="H75" s="22" t="n">
        <v>41.166</v>
      </c>
      <c r="I75" s="22" t="n">
        <v>45.859</v>
      </c>
      <c r="J75" s="22" t="n">
        <v>45.089</v>
      </c>
    </row>
    <row r="76">
      <c r="A76" s="20" t="inlineStr">
        <is>
          <t>기타</t>
        </is>
      </c>
      <c r="C76" s="22" t="n">
        <v>0.403</v>
      </c>
      <c r="D76" s="22" t="n">
        <v>5.994</v>
      </c>
      <c r="E76" s="22" t="n">
        <v>5.894</v>
      </c>
      <c r="F76" s="22" t="n">
        <v>6.081</v>
      </c>
      <c r="G76" s="22" t="n">
        <v>0.833</v>
      </c>
      <c r="H76" s="22" t="n">
        <v>0</v>
      </c>
      <c r="I76" s="22" t="n">
        <v>2.163</v>
      </c>
      <c r="J76" s="22" t="n">
        <v>5.894</v>
      </c>
    </row>
    <row r="77">
      <c r="A77" s="9" t="inlineStr">
        <is>
          <t>유동자산 합계</t>
        </is>
      </c>
      <c r="C77" s="12" t="n">
        <v>1823.02</v>
      </c>
      <c r="D77" s="12" t="n">
        <v>1750.029</v>
      </c>
      <c r="E77" s="12" t="n">
        <v>1733.856</v>
      </c>
      <c r="F77" s="12" t="n">
        <v>1873.972</v>
      </c>
      <c r="G77" s="12" t="n">
        <v>2287.044</v>
      </c>
      <c r="H77" s="12" t="n">
        <v>1309.365</v>
      </c>
      <c r="I77" s="12" t="n">
        <v>1813.766</v>
      </c>
      <c r="J77" s="12" t="n">
        <v>1733.856</v>
      </c>
    </row>
    <row r="78">
      <c r="A78" s="20" t="inlineStr">
        <is>
          <t>건물(순액)</t>
        </is>
      </c>
      <c r="C78" s="22" t="n">
        <v>18.493</v>
      </c>
      <c r="D78" s="22" t="n">
        <v>17.763</v>
      </c>
      <c r="E78" s="22" t="n">
        <v>17.033</v>
      </c>
      <c r="F78" s="22" t="n">
        <v>16.303</v>
      </c>
      <c r="G78" s="22" t="n">
        <v>15.572</v>
      </c>
      <c r="H78" s="22" t="n">
        <v>20.054</v>
      </c>
      <c r="I78" s="22" t="n">
        <v>17.309</v>
      </c>
      <c r="J78" s="22" t="n">
        <v>17.033</v>
      </c>
    </row>
    <row r="79">
      <c r="A79" s="20" t="inlineStr">
        <is>
          <t>공구·기구·비품(순액)</t>
        </is>
      </c>
      <c r="C79" s="22" t="n">
        <v>15.518</v>
      </c>
      <c r="D79" s="22" t="n">
        <v>17.371</v>
      </c>
      <c r="E79" s="22" t="n">
        <v>14.734</v>
      </c>
      <c r="F79" s="22" t="n">
        <v>14.631</v>
      </c>
      <c r="G79" s="22" t="n">
        <v>15.57</v>
      </c>
      <c r="H79" s="22" t="n">
        <v>18.874</v>
      </c>
      <c r="I79" s="22" t="n">
        <v>15.201</v>
      </c>
      <c r="J79" s="22" t="n">
        <v>14.734</v>
      </c>
    </row>
    <row r="80">
      <c r="A80" s="20" t="inlineStr">
        <is>
          <t>건설중인자산</t>
        </is>
      </c>
      <c r="C80" s="22" t="n">
        <v>1.761</v>
      </c>
      <c r="D80" s="22" t="n">
        <v>3.458</v>
      </c>
      <c r="E80" s="22" t="n">
        <v>3.192</v>
      </c>
      <c r="F80" s="22" t="n">
        <v>3.99</v>
      </c>
      <c r="G80" s="22" t="n">
        <v>0.798</v>
      </c>
      <c r="H80" s="22" t="n">
        <v>2.144</v>
      </c>
      <c r="I80" s="22" t="n">
        <v>1.576</v>
      </c>
      <c r="J80" s="22" t="n">
        <v>3.192</v>
      </c>
    </row>
    <row r="81">
      <c r="A81" s="20" t="inlineStr">
        <is>
          <t>유형자산 합계</t>
        </is>
      </c>
      <c r="C81" s="22" t="n">
        <v>35.773</v>
      </c>
      <c r="D81" s="22" t="n">
        <v>38.592</v>
      </c>
      <c r="E81" s="22" t="n">
        <v>34.959</v>
      </c>
      <c r="F81" s="22" t="n">
        <v>34.924</v>
      </c>
      <c r="G81" s="22" t="n">
        <v>31.941</v>
      </c>
      <c r="H81" s="22" t="n">
        <v>41.072</v>
      </c>
      <c r="I81" s="22" t="n">
        <v>34.086</v>
      </c>
      <c r="J81" s="22" t="n">
        <v>34.959</v>
      </c>
    </row>
    <row r="82">
      <c r="A82" s="20" t="inlineStr">
        <is>
          <t>소프트웨어</t>
        </is>
      </c>
      <c r="C82" s="22" t="n">
        <v>178.342</v>
      </c>
      <c r="D82" s="22" t="n">
        <v>163.947</v>
      </c>
      <c r="E82" s="22" t="n">
        <v>188.289</v>
      </c>
      <c r="F82" s="22" t="n">
        <v>236.128</v>
      </c>
      <c r="G82" s="22" t="n">
        <v>217.307</v>
      </c>
      <c r="H82" s="22" t="n">
        <v>68.71899999999999</v>
      </c>
      <c r="I82" s="22" t="n">
        <v>96.70999999999999</v>
      </c>
      <c r="J82" s="22" t="n">
        <v>188.289</v>
      </c>
    </row>
    <row r="83">
      <c r="A83" s="20" t="inlineStr">
        <is>
          <t>개발 중 소프트웨어</t>
        </is>
      </c>
      <c r="C83" s="22" t="n">
        <v>72.94799999999999</v>
      </c>
      <c r="D83" s="22" t="n">
        <v>87.68000000000001</v>
      </c>
      <c r="E83" s="22" t="n">
        <v>66.688</v>
      </c>
      <c r="F83" s="22" t="n">
        <v>28.464</v>
      </c>
      <c r="G83" s="22" t="n">
        <v>66.947</v>
      </c>
      <c r="H83" s="22" t="n">
        <v>67.245</v>
      </c>
      <c r="I83" s="22" t="n">
        <v>110.423</v>
      </c>
      <c r="J83" s="22" t="n">
        <v>66.688</v>
      </c>
    </row>
    <row r="84">
      <c r="A84" s="20" t="inlineStr">
        <is>
          <t>무형자산 합계</t>
        </is>
      </c>
      <c r="C84" s="22" t="n">
        <v>251.291</v>
      </c>
      <c r="D84" s="22" t="n">
        <v>251.628</v>
      </c>
      <c r="E84" s="22" t="n">
        <v>254.978</v>
      </c>
      <c r="F84" s="22" t="n">
        <v>264.593</v>
      </c>
      <c r="G84" s="22" t="n">
        <v>284.254</v>
      </c>
      <c r="H84" s="22" t="n">
        <v>135.965</v>
      </c>
      <c r="I84" s="22" t="n">
        <v>207.133</v>
      </c>
      <c r="J84" s="22" t="n">
        <v>254.978</v>
      </c>
    </row>
    <row r="85">
      <c r="A85" s="20" t="inlineStr">
        <is>
          <t>임차보증금</t>
        </is>
      </c>
      <c r="C85" s="22" t="n">
        <v>106.742</v>
      </c>
      <c r="D85" s="22" t="n">
        <v>106.359</v>
      </c>
      <c r="E85" s="22" t="n">
        <v>105.975</v>
      </c>
      <c r="F85" s="22" t="n">
        <v>105.592</v>
      </c>
      <c r="G85" s="22" t="n">
        <v>110.773</v>
      </c>
      <c r="H85" s="22" t="n">
        <v>109.041</v>
      </c>
      <c r="I85" s="22" t="n">
        <v>107.508</v>
      </c>
      <c r="J85" s="22" t="n">
        <v>105.975</v>
      </c>
    </row>
    <row r="86">
      <c r="A86" s="20" t="inlineStr">
        <is>
          <t>이연법인세자산</t>
        </is>
      </c>
      <c r="C86" s="22" t="n">
        <v>34.614</v>
      </c>
      <c r="D86" s="22" t="n">
        <v>40.13</v>
      </c>
      <c r="E86" s="22" t="n">
        <v>22.763</v>
      </c>
      <c r="F86" s="22" t="n">
        <v>45.611</v>
      </c>
      <c r="G86" s="22" t="n">
        <v>90.607</v>
      </c>
      <c r="H86" s="22" t="n">
        <v>29.743</v>
      </c>
      <c r="I86" s="22" t="n">
        <v>28.25</v>
      </c>
      <c r="J86" s="22" t="n">
        <v>22.763</v>
      </c>
    </row>
    <row r="87">
      <c r="A87" s="20" t="inlineStr">
        <is>
          <t>종업원 장기대여금</t>
        </is>
      </c>
      <c r="E87" s="22" t="n">
        <v>1</v>
      </c>
      <c r="F87" s="22" t="n">
        <v>1</v>
      </c>
      <c r="G87" s="22" t="n">
        <v>1</v>
      </c>
      <c r="I87" s="22" t="n">
        <v>0</v>
      </c>
      <c r="J87" s="22" t="n">
        <v>1</v>
      </c>
    </row>
    <row r="88">
      <c r="A88" s="20" t="inlineStr">
        <is>
          <t>장기선급비용</t>
        </is>
      </c>
      <c r="C88" s="22" t="n">
        <v>1.286</v>
      </c>
      <c r="D88" s="22" t="n">
        <v>1.125</v>
      </c>
      <c r="E88" s="22" t="n">
        <v>0.867</v>
      </c>
      <c r="F88" s="22" t="n">
        <v>0.6820000000000001</v>
      </c>
      <c r="G88" s="22" t="n">
        <v>0.534</v>
      </c>
      <c r="H88" s="22" t="n">
        <v>1.252</v>
      </c>
      <c r="I88" s="22" t="n">
        <v>0.892</v>
      </c>
      <c r="J88" s="22" t="n">
        <v>0.867</v>
      </c>
    </row>
    <row r="89">
      <c r="A89" s="20" t="inlineStr">
        <is>
          <t>기타</t>
        </is>
      </c>
      <c r="D89" s="22" t="n">
        <v>1.004</v>
      </c>
      <c r="E89" s="22" t="n">
        <v>0.01</v>
      </c>
      <c r="F89" s="22" t="n">
        <v>0.016</v>
      </c>
      <c r="G89" s="22" t="n">
        <v>0.022</v>
      </c>
      <c r="I89" s="22" t="n">
        <v>0</v>
      </c>
      <c r="J89" s="22" t="n">
        <v>0.01</v>
      </c>
    </row>
    <row r="90">
      <c r="A90" s="20" t="inlineStr">
        <is>
          <t>투자 및 기타자산 합계</t>
        </is>
      </c>
      <c r="C90" s="22" t="n">
        <v>142.642</v>
      </c>
      <c r="D90" s="22" t="n">
        <v>148.618</v>
      </c>
      <c r="E90" s="22" t="n">
        <v>130.616</v>
      </c>
      <c r="F90" s="22" t="n">
        <v>152.902</v>
      </c>
      <c r="G90" s="22" t="n">
        <v>202.937</v>
      </c>
      <c r="H90" s="22" t="n">
        <v>140.037</v>
      </c>
      <c r="I90" s="22" t="n">
        <v>136.651</v>
      </c>
      <c r="J90" s="22" t="n">
        <v>130.616</v>
      </c>
    </row>
    <row r="91">
      <c r="A91" s="9" t="inlineStr">
        <is>
          <t>비유동자산 합계</t>
        </is>
      </c>
      <c r="C91" s="12" t="n">
        <v>429.707</v>
      </c>
      <c r="D91" s="12" t="n">
        <v>438.84</v>
      </c>
      <c r="E91" s="12" t="n">
        <v>420.554</v>
      </c>
      <c r="F91" s="12" t="n">
        <v>452.419</v>
      </c>
      <c r="G91" s="12" t="n">
        <v>519.133</v>
      </c>
      <c r="H91" s="12" t="n">
        <v>317.075</v>
      </c>
      <c r="I91" s="12" t="n">
        <v>377.871</v>
      </c>
      <c r="J91" s="12" t="n">
        <v>420.554</v>
      </c>
    </row>
    <row r="92">
      <c r="A92" s="9" t="inlineStr">
        <is>
          <t>자산 합계</t>
        </is>
      </c>
      <c r="C92" s="12" t="n">
        <v>2252.728</v>
      </c>
      <c r="D92" s="12" t="n">
        <v>2188.869</v>
      </c>
      <c r="E92" s="12" t="n">
        <v>2154.41</v>
      </c>
      <c r="F92" s="12" t="n">
        <v>2326.391</v>
      </c>
      <c r="G92" s="12" t="n">
        <v>2806.177</v>
      </c>
      <c r="H92" s="12" t="n">
        <v>1626.44</v>
      </c>
      <c r="I92" s="12" t="n">
        <v>2191.637</v>
      </c>
      <c r="J92" s="12" t="n">
        <v>2154.41</v>
      </c>
    </row>
    <row r="93">
      <c r="A93" s="20" t="inlineStr">
        <is>
          <t>매입채무</t>
        </is>
      </c>
      <c r="C93" s="22" t="n">
        <v>50.734</v>
      </c>
      <c r="D93" s="22" t="n">
        <v>56.216</v>
      </c>
      <c r="E93" s="22" t="n">
        <v>51.508</v>
      </c>
      <c r="F93" s="22" t="n">
        <v>55.452</v>
      </c>
      <c r="G93" s="22" t="n">
        <v>68.289</v>
      </c>
      <c r="H93" s="22" t="n">
        <v>40.604</v>
      </c>
      <c r="I93" s="22" t="n">
        <v>48.936</v>
      </c>
      <c r="J93" s="22" t="n">
        <v>51.508</v>
      </c>
    </row>
    <row r="94">
      <c r="A94" s="20" t="inlineStr">
        <is>
          <t>미지급금</t>
        </is>
      </c>
      <c r="C94" s="22" t="n">
        <v>69.611</v>
      </c>
      <c r="D94" s="22" t="n">
        <v>66.34099999999999</v>
      </c>
      <c r="E94" s="22" t="n">
        <v>73.413</v>
      </c>
      <c r="F94" s="22" t="n">
        <v>82.828</v>
      </c>
      <c r="G94" s="22" t="n">
        <v>69.14100000000001</v>
      </c>
      <c r="H94" s="22" t="n">
        <v>65.566</v>
      </c>
      <c r="I94" s="22" t="n">
        <v>87.395</v>
      </c>
      <c r="J94" s="22" t="n">
        <v>73.413</v>
      </c>
    </row>
    <row r="95">
      <c r="A95" s="20" t="inlineStr">
        <is>
          <t>미지급법인세</t>
        </is>
      </c>
      <c r="C95" s="22" t="n">
        <v>27.711</v>
      </c>
      <c r="D95" s="22" t="n">
        <v>2.764</v>
      </c>
      <c r="E95" s="22" t="n">
        <v>0</v>
      </c>
      <c r="F95" s="22" t="n">
        <v>56.898</v>
      </c>
      <c r="G95" s="22" t="n">
        <v>229.802</v>
      </c>
      <c r="H95" s="22" t="n">
        <v>38.491</v>
      </c>
      <c r="I95" s="22" t="n">
        <v>63.636</v>
      </c>
      <c r="J95" s="22" t="n">
        <v>0</v>
      </c>
    </row>
    <row r="96">
      <c r="A96" s="20" t="inlineStr">
        <is>
          <t>계약부채</t>
        </is>
      </c>
      <c r="C96" s="22" t="n">
        <v>87.45</v>
      </c>
      <c r="D96" s="22" t="n">
        <v>0.33</v>
      </c>
      <c r="E96" s="22" t="n">
        <v>1.76</v>
      </c>
      <c r="F96" s="22" t="n">
        <v>1.21</v>
      </c>
      <c r="G96" s="22" t="n">
        <v>0.44</v>
      </c>
      <c r="H96" s="22" t="n">
        <v>1.76</v>
      </c>
      <c r="I96" s="22" t="n">
        <v>1.76</v>
      </c>
      <c r="J96" s="22" t="n">
        <v>1.76</v>
      </c>
    </row>
    <row r="97">
      <c r="A97" s="20" t="inlineStr">
        <is>
          <t>예수금</t>
        </is>
      </c>
      <c r="C97" s="22" t="n">
        <v>14.209</v>
      </c>
      <c r="D97" s="22" t="n">
        <v>17.03</v>
      </c>
      <c r="E97" s="22" t="n">
        <v>26.314</v>
      </c>
      <c r="F97" s="22" t="n">
        <v>14.411</v>
      </c>
      <c r="G97" s="22" t="n">
        <v>4.256</v>
      </c>
      <c r="H97" s="22" t="n">
        <v>21.644</v>
      </c>
      <c r="I97" s="22" t="n">
        <v>26.813</v>
      </c>
      <c r="J97" s="22" t="n">
        <v>26.314</v>
      </c>
    </row>
    <row r="98">
      <c r="A98" s="20" t="inlineStr">
        <is>
          <t>수주손실 충당금</t>
        </is>
      </c>
      <c r="H98" s="22" t="n">
        <v>0.093</v>
      </c>
      <c r="I98" s="22" t="n">
        <v>0</v>
      </c>
    </row>
    <row r="99">
      <c r="A99" s="20" t="inlineStr">
        <is>
          <t>상여충당금</t>
        </is>
      </c>
      <c r="C99" s="22" t="n">
        <v>36.705</v>
      </c>
      <c r="D99" s="22" t="n">
        <v>58.65</v>
      </c>
      <c r="E99" s="22" t="n">
        <v>0</v>
      </c>
      <c r="F99" s="22" t="n">
        <v>72.09699999999999</v>
      </c>
      <c r="G99" s="22" t="n">
        <v>192.725</v>
      </c>
      <c r="H99" s="22" t="n">
        <v>0</v>
      </c>
      <c r="I99" s="22" t="n">
        <v>0</v>
      </c>
      <c r="J99" s="22" t="n">
        <v>0</v>
      </c>
    </row>
    <row r="100">
      <c r="A100" s="20" t="inlineStr">
        <is>
          <t>기타</t>
        </is>
      </c>
      <c r="C100" s="22" t="n">
        <v>5.375</v>
      </c>
      <c r="D100" s="22" t="n">
        <v>16.668</v>
      </c>
      <c r="E100" s="22" t="n">
        <v>13.534</v>
      </c>
      <c r="F100" s="22" t="n">
        <v>13.019</v>
      </c>
      <c r="G100" s="22" t="n">
        <v>50.994</v>
      </c>
      <c r="H100" s="22" t="n">
        <v>24.174</v>
      </c>
      <c r="I100" s="22" t="n">
        <v>23.934</v>
      </c>
      <c r="J100" s="22" t="n">
        <v>13.534</v>
      </c>
    </row>
    <row r="101">
      <c r="A101" s="9" t="inlineStr">
        <is>
          <t>유동부채 합계</t>
        </is>
      </c>
      <c r="C101" s="12" t="n">
        <v>291.797</v>
      </c>
      <c r="D101" s="12" t="n">
        <v>218.002</v>
      </c>
      <c r="E101" s="12" t="n">
        <v>166.532</v>
      </c>
      <c r="F101" s="12" t="n">
        <v>295.917</v>
      </c>
      <c r="G101" s="12" t="n">
        <v>615.651</v>
      </c>
      <c r="H101" s="12" t="n">
        <v>192.335</v>
      </c>
      <c r="I101" s="12" t="n">
        <v>252.476</v>
      </c>
      <c r="J101" s="12" t="n">
        <v>166.532</v>
      </c>
    </row>
    <row r="102">
      <c r="A102" s="9" t="inlineStr">
        <is>
          <t>부채 합계</t>
        </is>
      </c>
      <c r="C102" s="12" t="n">
        <v>291.797</v>
      </c>
      <c r="D102" s="12" t="n">
        <v>218.002</v>
      </c>
      <c r="E102" s="12" t="n">
        <v>166.532</v>
      </c>
      <c r="F102" s="12" t="n">
        <v>295.917</v>
      </c>
      <c r="G102" s="12" t="n">
        <v>615.651</v>
      </c>
      <c r="H102" s="12" t="n">
        <v>192.335</v>
      </c>
      <c r="I102" s="12" t="n">
        <v>252.476</v>
      </c>
      <c r="J102" s="12" t="n">
        <v>166.532</v>
      </c>
    </row>
    <row r="103">
      <c r="A103" s="20" t="inlineStr">
        <is>
          <t>자본금</t>
        </is>
      </c>
      <c r="C103" s="22" t="n">
        <v>236.679</v>
      </c>
      <c r="D103" s="22" t="n">
        <v>236.679</v>
      </c>
      <c r="E103" s="22" t="n">
        <v>236.679</v>
      </c>
      <c r="F103" s="22" t="n">
        <v>236.679</v>
      </c>
      <c r="G103" s="22" t="n">
        <v>236.679</v>
      </c>
      <c r="H103" s="22" t="n">
        <v>50</v>
      </c>
      <c r="I103" s="22" t="n">
        <v>236.679</v>
      </c>
      <c r="J103" s="22" t="n">
        <v>236.679</v>
      </c>
    </row>
    <row r="104">
      <c r="A104" s="20" t="inlineStr">
        <is>
          <t>자본준비금</t>
        </is>
      </c>
      <c r="E104" s="22" t="n">
        <v>236.679</v>
      </c>
      <c r="H104" s="22" t="n">
        <v>50</v>
      </c>
      <c r="I104" s="22" t="n">
        <v>236.679</v>
      </c>
      <c r="J104" s="22" t="n">
        <v>236.679</v>
      </c>
    </row>
    <row r="105">
      <c r="A105" s="20" t="inlineStr">
        <is>
          <t>자본잉여금</t>
        </is>
      </c>
      <c r="C105" s="22" t="n">
        <v>236.679</v>
      </c>
      <c r="D105" s="22" t="n">
        <v>236.679</v>
      </c>
      <c r="E105" s="22" t="n">
        <v>236.679</v>
      </c>
      <c r="F105" s="22" t="n">
        <v>236.679</v>
      </c>
      <c r="G105" s="22" t="n">
        <v>236.679</v>
      </c>
      <c r="H105" s="22" t="n">
        <v>50</v>
      </c>
      <c r="I105" s="22" t="n">
        <v>236.679</v>
      </c>
      <c r="J105" s="22" t="n">
        <v>236.679</v>
      </c>
    </row>
    <row r="106">
      <c r="A106" s="20" t="inlineStr">
        <is>
          <t>이월이익잉여금</t>
        </is>
      </c>
      <c r="E106" s="22" t="n">
        <v>1514.519</v>
      </c>
      <c r="H106" s="22" t="n">
        <v>1334.105</v>
      </c>
      <c r="I106" s="22" t="n">
        <v>1465.802</v>
      </c>
      <c r="J106" s="22" t="n">
        <v>1514.519</v>
      </c>
    </row>
    <row r="107">
      <c r="A107" s="20" t="inlineStr">
        <is>
          <t>이익잉여금</t>
        </is>
      </c>
      <c r="C107" s="22" t="n">
        <v>1487.571</v>
      </c>
      <c r="D107" s="22" t="n">
        <v>1497.507</v>
      </c>
      <c r="E107" s="22" t="n">
        <v>1514.519</v>
      </c>
      <c r="F107" s="22" t="n">
        <v>1557.115</v>
      </c>
      <c r="G107" s="22" t="n">
        <v>1717.167</v>
      </c>
      <c r="H107" s="22" t="n">
        <v>1334.105</v>
      </c>
      <c r="I107" s="22" t="n">
        <v>1465.802</v>
      </c>
      <c r="J107" s="22" t="n">
        <v>1514.519</v>
      </c>
    </row>
    <row r="108">
      <c r="A108" s="9" t="inlineStr">
        <is>
          <t>주주자본 합계</t>
        </is>
      </c>
      <c r="C108" s="12" t="n">
        <v>1960.93</v>
      </c>
      <c r="D108" s="12" t="n">
        <v>1970.866</v>
      </c>
      <c r="E108" s="12" t="n">
        <v>1987.878</v>
      </c>
      <c r="F108" s="12" t="n">
        <v>2030.474</v>
      </c>
      <c r="G108" s="12" t="n">
        <v>2190.526</v>
      </c>
      <c r="H108" s="12" t="n">
        <v>1434.105</v>
      </c>
      <c r="I108" s="12" t="n">
        <v>1939.161</v>
      </c>
      <c r="J108" s="12" t="n">
        <v>1987.878</v>
      </c>
    </row>
    <row r="109">
      <c r="A109" s="9" t="inlineStr">
        <is>
          <t>순자산 합계</t>
        </is>
      </c>
      <c r="C109" s="12" t="n">
        <v>1960.93</v>
      </c>
      <c r="D109" s="12" t="n">
        <v>1970.866</v>
      </c>
      <c r="E109" s="12" t="n">
        <v>1987.878</v>
      </c>
      <c r="F109" s="12" t="n">
        <v>2030.474</v>
      </c>
      <c r="G109" s="12" t="n">
        <v>2190.526</v>
      </c>
      <c r="H109" s="12" t="n">
        <v>1434.105</v>
      </c>
      <c r="I109" s="12" t="n">
        <v>1939.161</v>
      </c>
      <c r="J109" s="12" t="n">
        <v>1987.878</v>
      </c>
    </row>
    <row r="110">
      <c r="A110" s="9" t="inlineStr">
        <is>
          <t>부채·순자산 합계</t>
        </is>
      </c>
      <c r="C110" s="12" t="n">
        <v>2252.728</v>
      </c>
      <c r="D110" s="12" t="n">
        <v>2188.869</v>
      </c>
      <c r="E110" s="12" t="n">
        <v>2154.41</v>
      </c>
      <c r="F110" s="12" t="n">
        <v>2326.391</v>
      </c>
      <c r="G110" s="12" t="n">
        <v>2806.177</v>
      </c>
      <c r="H110" s="12" t="n">
        <v>1626.44</v>
      </c>
      <c r="I110" s="12" t="n">
        <v>2191.637</v>
      </c>
      <c r="J110" s="12" t="n">
        <v>2154.41</v>
      </c>
    </row>
  </sheetData>
  <conditionalFormatting sqref="C43:J43">
    <cfRule type="expression" priority="1" dxfId="0">
      <formula>AND(ISNUMBER(C43),C43&gt;1.0)</formula>
    </cfRule>
  </conditionalFormatting>
  <conditionalFormatting sqref="C44:J44">
    <cfRule type="expression" priority="2" dxfId="0">
      <formula>AND(ISNUMBER(C44),C44&gt;0.5)</formula>
    </cfRule>
  </conditionalFormatting>
  <conditionalFormatting sqref="C45:J45">
    <cfRule type="expression" priority="3" dxfId="0">
      <formula>AND(ISNUMBER(C45),C45&lt;0.5)</formula>
    </cfRule>
  </conditionalFormatting>
  <conditionalFormatting sqref="C46:J46">
    <cfRule type="expression" priority="4" dxfId="0">
      <formula>AND(ISNUMBER(C46),C46&lt;1.5)</formula>
    </cfRule>
  </conditionalFormatting>
  <conditionalFormatting sqref="C47:J47">
    <cfRule type="expression" priority="5" dxfId="0">
      <formula>AND(ISNUMBER(C47),C47&lt;1.0)</formula>
    </cfRule>
  </conditionalFormatting>
  <conditionalFormatting sqref="C48:J48">
    <cfRule type="expression" priority="6" dxfId="0">
      <formula>AND(ISNUMBER(C48),C48&lt;5)</formula>
    </cfRule>
  </conditionalFormatting>
  <conditionalFormatting sqref="C49:J49">
    <cfRule type="expression" priority="7" dxfId="0">
      <formula>AND(ISNUMBER(C49),C49&gt;4)</formula>
    </cfRule>
  </conditionalFormatting>
  <conditionalFormatting sqref="C51:J51">
    <cfRule type="expression" priority="8" dxfId="0">
      <formula>AND(ISNUMBER(C51),C51&lt;0.15)</formula>
    </cfRule>
  </conditionalFormatting>
  <conditionalFormatting sqref="C52:J52">
    <cfRule type="expression" priority="9" dxfId="0">
      <formula>AND(ISNUMBER(C52),C52&lt;0.05)</formula>
    </cfRule>
  </conditionalFormatting>
  <conditionalFormatting sqref="C53:J53">
    <cfRule type="expression" priority="10" dxfId="0">
      <formula>AND(ISNUMBER(C53),C53&lt;0.1)</formula>
    </cfRule>
  </conditionalFormatting>
  <conditionalFormatting sqref="C54:J54">
    <cfRule type="expression" priority="11" dxfId="0">
      <formula>AND(ISNUMBER(C54),C54&lt;0.4)</formula>
    </cfRule>
  </conditionalFormatting>
  <conditionalFormatting sqref="C55:J55">
    <cfRule type="expression" priority="12" dxfId="0">
      <formula>AND(ISNUMBER(C55),C55&lt;0.15)</formula>
    </cfRule>
  </conditionalFormatting>
  <conditionalFormatting sqref="C56:J56">
    <cfRule type="expression" priority="13" dxfId="0">
      <formula>AND(ISNUMBER(C56),C56&lt;0.1)</formula>
    </cfRule>
  </conditionalFormatting>
  <conditionalFormatting sqref="C64:J64">
    <cfRule type="expression" priority="14" dxfId="0">
      <formula>AND(ISNUMBER(C64),C64&lt;1.0)</formula>
    </cfRule>
  </conditionalFormatting>
  <conditionalFormatting sqref="C65:J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2" t="inlineStr">
        <is>
          <t>포르시아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quarter</t>
        </is>
      </c>
      <c r="B4" s="54" t="n"/>
      <c r="C4" s="54" t="n"/>
      <c r="D4" s="54" t="n"/>
      <c r="E4" s="54" t="n"/>
    </row>
    <row r="5">
      <c r="A5" s="55" t="inlineStr">
        <is>
          <t>항목</t>
        </is>
      </c>
      <c r="B5" s="55" t="inlineStr">
        <is>
          <t>값</t>
        </is>
      </c>
      <c r="E5" s="55" t="inlineStr">
        <is>
          <t>출처</t>
        </is>
      </c>
    </row>
    <row r="6">
      <c r="A6" s="56" t="inlineStr">
        <is>
          <t>q 매출</t>
        </is>
      </c>
      <c r="B6" s="57" t="n">
        <v>11.41</v>
      </c>
      <c r="E6" s="58" t="inlineStr">
        <is>
          <t>2단계 보고서 자료(회사 설명회 자료·공시)</t>
        </is>
      </c>
    </row>
    <row r="7">
      <c r="A7" s="56" t="inlineStr">
        <is>
          <t>q 영업이익</t>
        </is>
      </c>
      <c r="B7" s="57" t="n">
        <v>2.71</v>
      </c>
    </row>
    <row r="8">
      <c r="A8" s="56" t="inlineStr">
        <is>
          <t>q ord</t>
        </is>
      </c>
      <c r="B8" s="57" t="n">
        <v>2.73</v>
      </c>
    </row>
    <row r="9">
      <c r="A9" s="56" t="inlineStr">
        <is>
          <t>q 순이익</t>
        </is>
      </c>
      <c r="B9" s="57" t="n">
        <v>1.6</v>
      </c>
    </row>
    <row r="10">
      <c r="A10" s="56" t="inlineStr">
        <is>
          <t>q EPS</t>
        </is>
      </c>
      <c r="B10" s="57" t="n">
        <v>129.92</v>
      </c>
    </row>
    <row r="11">
      <c r="A11" s="56" t="inlineStr">
        <is>
          <t>상반기 매출</t>
        </is>
      </c>
      <c r="B11" s="57" t="n">
        <v>18.07</v>
      </c>
    </row>
    <row r="12">
      <c r="A12" s="56" t="inlineStr">
        <is>
          <t>상반기 매출 YoY</t>
        </is>
      </c>
      <c r="B12" s="57" t="n">
        <v>64.5</v>
      </c>
    </row>
    <row r="13">
      <c r="A13" s="56" t="inlineStr">
        <is>
          <t>상반기 gp</t>
        </is>
      </c>
      <c r="B13" s="57" t="n">
        <v>9.970000000000001</v>
      </c>
    </row>
    <row r="14">
      <c r="A14" s="56" t="inlineStr">
        <is>
          <t>상반기 매출총이익률</t>
        </is>
      </c>
      <c r="B14" s="57" t="n">
        <v>55.2</v>
      </c>
    </row>
    <row r="15">
      <c r="A15" s="56" t="inlineStr">
        <is>
          <t>상반기 매출총이익률 ly</t>
        </is>
      </c>
      <c r="B15" s="57" t="n">
        <v>49.6</v>
      </c>
    </row>
    <row r="16">
      <c r="A16" s="56" t="inlineStr">
        <is>
          <t>상반기 sga</t>
        </is>
      </c>
      <c r="B16" s="57" t="n">
        <v>6.51</v>
      </c>
    </row>
    <row r="17">
      <c r="A17" s="56" t="inlineStr">
        <is>
          <t>상반기 sga ly</t>
        </is>
      </c>
      <c r="B17" s="57" t="n">
        <v>5.11</v>
      </c>
    </row>
    <row r="18">
      <c r="A18" s="56" t="inlineStr">
        <is>
          <t>상반기 영업이익</t>
        </is>
      </c>
      <c r="B18" s="57" t="n">
        <v>3.46</v>
      </c>
    </row>
    <row r="19">
      <c r="A19" s="56" t="inlineStr">
        <is>
          <t>상반기 영업이익 ly</t>
        </is>
      </c>
      <c r="B19" s="57" t="n">
        <v>0.33</v>
      </c>
    </row>
    <row r="20">
      <c r="A20" s="56" t="inlineStr">
        <is>
          <t>상반기 ord</t>
        </is>
      </c>
      <c r="B20" s="57" t="n">
        <v>3.49</v>
      </c>
    </row>
    <row r="21">
      <c r="A21" s="56" t="inlineStr">
        <is>
          <t>상반기 순이익</t>
        </is>
      </c>
      <c r="B21" s="57" t="n">
        <v>2.03</v>
      </c>
    </row>
    <row r="22">
      <c r="A22" s="56" t="inlineStr">
        <is>
          <t>상반기 순이익 ly</t>
        </is>
      </c>
      <c r="B22" s="57" t="n">
        <v>0.22</v>
      </c>
    </row>
    <row r="24">
      <c r="A24" s="54" t="inlineStr">
        <is>
          <t>this_quarter · q2_monthly_rev_백만엔</t>
        </is>
      </c>
      <c r="B24" s="54" t="n"/>
      <c r="C24" s="54" t="n"/>
      <c r="D24" s="54" t="n"/>
      <c r="E24" s="54" t="n"/>
    </row>
    <row r="25">
      <c r="A25" s="55" t="inlineStr">
        <is>
          <t>항목</t>
        </is>
      </c>
      <c r="B25" s="55" t="inlineStr">
        <is>
          <t>값</t>
        </is>
      </c>
      <c r="E25" s="55" t="inlineStr">
        <is>
          <t>출처</t>
        </is>
      </c>
    </row>
    <row r="26">
      <c r="A26" s="56" t="inlineStr">
        <is>
          <t>합계</t>
        </is>
      </c>
      <c r="B26" s="59" t="n">
        <v>307</v>
      </c>
      <c r="E26" s="58" t="inlineStr">
        <is>
          <t>2단계 보고서 자료(회사 설명회 자료·공시)</t>
        </is>
      </c>
    </row>
    <row r="27">
      <c r="A27" s="56" t="inlineStr">
        <is>
          <t>SaaS형</t>
        </is>
      </c>
      <c r="B27" s="59" t="n">
        <v>207</v>
      </c>
    </row>
    <row r="28">
      <c r="A28" s="56" t="inlineStr">
        <is>
          <t>솔루션형</t>
        </is>
      </c>
      <c r="B28" s="59" t="n">
        <v>100</v>
      </c>
    </row>
    <row r="30">
      <c r="A30" s="54" t="inlineStr">
        <is>
          <t>this quarter · 가이던스 FY2027</t>
        </is>
      </c>
      <c r="B30" s="54" t="n"/>
      <c r="C30" s="54" t="n"/>
      <c r="D30" s="54" t="n"/>
      <c r="E30" s="54" t="n"/>
    </row>
    <row r="31">
      <c r="A31" s="55" t="inlineStr">
        <is>
          <t>항목</t>
        </is>
      </c>
      <c r="B31" s="55" t="inlineStr">
        <is>
          <t>값</t>
        </is>
      </c>
      <c r="E31" s="55" t="inlineStr">
        <is>
          <t>출처</t>
        </is>
      </c>
    </row>
    <row r="32">
      <c r="A32" s="56" t="inlineStr">
        <is>
          <t>매출</t>
        </is>
      </c>
      <c r="B32" s="57" t="n">
        <v>31.13</v>
      </c>
      <c r="E32" s="58" t="inlineStr">
        <is>
          <t>2단계 보고서 자료(회사 설명회 자료·공시)</t>
        </is>
      </c>
    </row>
    <row r="33">
      <c r="A33" s="56" t="inlineStr">
        <is>
          <t>영업이익</t>
        </is>
      </c>
      <c r="B33" s="57" t="n">
        <v>4.12</v>
      </c>
    </row>
    <row r="34">
      <c r="A34" s="56" t="inlineStr">
        <is>
          <t>ord</t>
        </is>
      </c>
      <c r="B34" s="57" t="n">
        <v>4.15</v>
      </c>
    </row>
    <row r="35">
      <c r="A35" s="56" t="inlineStr">
        <is>
          <t>순이익</t>
        </is>
      </c>
      <c r="B35" s="57" t="n">
        <v>2.75</v>
      </c>
    </row>
    <row r="36">
      <c r="A36" s="56" t="inlineStr">
        <is>
          <t>EPS</t>
        </is>
      </c>
      <c r="B36" s="57" t="n">
        <v>223.72</v>
      </c>
    </row>
    <row r="37">
      <c r="A37" s="56" t="inlineStr">
        <is>
          <t>dps</t>
        </is>
      </c>
      <c r="B37" s="59" t="n">
        <v>0</v>
      </c>
    </row>
    <row r="38">
      <c r="A38" s="56" t="inlineStr">
        <is>
          <t>implied 2H 매출</t>
        </is>
      </c>
      <c r="B38" s="57" t="n">
        <v>13.06</v>
      </c>
    </row>
    <row r="39">
      <c r="A39" s="56" t="inlineStr">
        <is>
          <t>implied 2H 영업이익</t>
        </is>
      </c>
      <c r="B39" s="57" t="n">
        <v>0.66</v>
      </c>
    </row>
    <row r="41">
      <c r="A41" s="54" t="inlineStr">
        <is>
          <t>this_quarter · bs_2Q_end_백만엔</t>
        </is>
      </c>
      <c r="B41" s="54" t="n"/>
      <c r="C41" s="54" t="n"/>
      <c r="D41" s="54" t="n"/>
      <c r="E41" s="54" t="n"/>
    </row>
    <row r="42">
      <c r="A42" s="55" t="inlineStr">
        <is>
          <t>항목</t>
        </is>
      </c>
      <c r="B42" s="55" t="inlineStr">
        <is>
          <t>값</t>
        </is>
      </c>
      <c r="E42" s="55" t="inlineStr">
        <is>
          <t>출처</t>
        </is>
      </c>
    </row>
    <row r="43">
      <c r="A43" s="56" t="inlineStr">
        <is>
          <t>현금</t>
        </is>
      </c>
      <c r="B43" s="59" t="n">
        <v>873</v>
      </c>
      <c r="E43" s="58" t="inlineStr">
        <is>
          <t>2단계 보고서 자료(회사 설명회 자료·공시)</t>
        </is>
      </c>
    </row>
    <row r="44">
      <c r="A44" s="56" t="inlineStr">
        <is>
          <t>매출채권</t>
        </is>
      </c>
      <c r="B44" s="59" t="n">
        <v>809</v>
      </c>
    </row>
    <row r="45">
      <c r="A45" s="56" t="inlineStr">
        <is>
          <t>계약자산</t>
        </is>
      </c>
      <c r="B45" s="59" t="n">
        <v>534</v>
      </c>
    </row>
    <row r="46">
      <c r="A46" s="56" t="inlineStr">
        <is>
          <t>총자산</t>
        </is>
      </c>
      <c r="B46" s="59" t="n">
        <v>2806</v>
      </c>
    </row>
    <row r="47">
      <c r="A47" s="56" t="inlineStr">
        <is>
          <t>부채</t>
        </is>
      </c>
      <c r="B47" s="59" t="n">
        <v>615</v>
      </c>
    </row>
    <row r="48">
      <c r="A48" s="56" t="inlineStr">
        <is>
          <t>순자산</t>
        </is>
      </c>
      <c r="B48" s="59" t="n">
        <v>2190</v>
      </c>
    </row>
    <row r="49">
      <c r="A49" s="56" t="inlineStr">
        <is>
          <t>자기자본비율</t>
        </is>
      </c>
      <c r="B49" s="57" t="n">
        <v>78.09999999999999</v>
      </c>
    </row>
    <row r="51">
      <c r="A51" s="54" t="inlineStr">
        <is>
          <t>this_quarter · cf_1H_백만엔</t>
        </is>
      </c>
      <c r="B51" s="54" t="n"/>
      <c r="C51" s="54" t="n"/>
      <c r="D51" s="54" t="n"/>
      <c r="E51" s="54" t="n"/>
    </row>
    <row r="52">
      <c r="A52" s="55" t="inlineStr">
        <is>
          <t>항목</t>
        </is>
      </c>
      <c r="B52" s="55" t="inlineStr">
        <is>
          <t>값</t>
        </is>
      </c>
      <c r="E52" s="55" t="inlineStr">
        <is>
          <t>출처</t>
        </is>
      </c>
    </row>
    <row r="53">
      <c r="A53" s="56" t="inlineStr">
        <is>
          <t>영업CF</t>
        </is>
      </c>
      <c r="B53" s="59" t="n">
        <v>-340</v>
      </c>
      <c r="E53" s="58" t="inlineStr">
        <is>
          <t>2단계 보고서 자료(회사 설명회 자료·공시)</t>
        </is>
      </c>
    </row>
    <row r="54">
      <c r="A54" s="56" t="inlineStr">
        <is>
          <t>투자CF</t>
        </is>
      </c>
      <c r="B54" s="59" t="n">
        <v>-74</v>
      </c>
    </row>
    <row r="55">
      <c r="A55" s="56" t="inlineStr">
        <is>
          <t>재무CF</t>
        </is>
      </c>
      <c r="B55" s="59" t="n">
        <v>0</v>
      </c>
    </row>
    <row r="57">
      <c r="A57" s="54" t="inlineStr">
        <is>
          <t>customer industry FY2026</t>
        </is>
      </c>
      <c r="B57" s="54" t="n"/>
      <c r="C57" s="54" t="n"/>
      <c r="D57" s="54" t="n"/>
      <c r="E57" s="54" t="n"/>
    </row>
    <row r="58">
      <c r="A58" s="55" t="inlineStr">
        <is>
          <t>항목</t>
        </is>
      </c>
      <c r="B58" s="55" t="inlineStr">
        <is>
          <t>값</t>
        </is>
      </c>
      <c r="E58" s="55" t="inlineStr">
        <is>
          <t>출처</t>
        </is>
      </c>
    </row>
    <row r="59">
      <c r="A59" s="56" t="inlineStr">
        <is>
          <t>여행·관광</t>
        </is>
      </c>
      <c r="B59" s="59" t="n">
        <v>81</v>
      </c>
      <c r="E59" s="58" t="inlineStr">
        <is>
          <t>2단계 보고서 자료(회사 설명회 자료·공시)</t>
        </is>
      </c>
    </row>
    <row r="60">
      <c r="A60" s="56" t="inlineStr">
        <is>
          <t>회원제 서비스</t>
        </is>
      </c>
      <c r="B60" s="59" t="n">
        <v>8</v>
      </c>
    </row>
    <row r="61">
      <c r="A61" s="56" t="inlineStr">
        <is>
          <t>EC</t>
        </is>
      </c>
      <c r="B61" s="59" t="n">
        <v>5</v>
      </c>
    </row>
    <row r="62">
      <c r="A62" s="56" t="inlineStr">
        <is>
          <t>전문상사·제조</t>
        </is>
      </c>
      <c r="B62" s="59" t="n">
        <v>5</v>
      </c>
    </row>
    <row r="63">
      <c r="A63" s="56" t="inlineStr">
        <is>
          <t>기타</t>
        </is>
      </c>
      <c r="B63" s="59" t="n">
        <v>1</v>
      </c>
    </row>
    <row r="65">
      <c r="A65" s="54" t="inlineStr">
        <is>
          <t>reactions_next_day_%</t>
        </is>
      </c>
      <c r="B65" s="54" t="n"/>
      <c r="C65" s="54" t="n"/>
      <c r="D65" s="54" t="n"/>
      <c r="E65" s="54" t="n"/>
    </row>
    <row r="66">
      <c r="A66" s="55" t="inlineStr">
        <is>
          <t>항목</t>
        </is>
      </c>
      <c r="B66" s="55" t="inlineStr">
        <is>
          <t>기준일</t>
        </is>
      </c>
      <c r="C66" s="55" t="inlineStr">
        <is>
          <t>다음날</t>
        </is>
      </c>
      <c r="D66" s="55" t="inlineStr">
        <is>
          <t>등락%</t>
        </is>
      </c>
      <c r="E66" s="55" t="inlineStr">
        <is>
          <t>출처</t>
        </is>
      </c>
    </row>
    <row r="67">
      <c r="A67" s="56" t="inlineStr">
        <is>
          <t>2025-01-14</t>
        </is>
      </c>
      <c r="B67" s="60" t="inlineStr">
        <is>
          <t>2025-01-14</t>
        </is>
      </c>
      <c r="C67" s="60" t="inlineStr">
        <is>
          <t>2025-01-15</t>
        </is>
      </c>
      <c r="D67" s="57" t="n">
        <v>-14.7</v>
      </c>
      <c r="E67" s="58" t="inlineStr">
        <is>
          <t>2단계 보고서 자료(회사 설명회 자료·공시)</t>
        </is>
      </c>
    </row>
    <row r="68">
      <c r="A68" s="56" t="inlineStr">
        <is>
          <t>2025-04-14</t>
        </is>
      </c>
      <c r="B68" s="60" t="inlineStr">
        <is>
          <t>2025-04-14</t>
        </is>
      </c>
      <c r="C68" s="60" t="inlineStr">
        <is>
          <t>2025-04-15</t>
        </is>
      </c>
      <c r="D68" s="57" t="n">
        <v>-3.9</v>
      </c>
    </row>
    <row r="69">
      <c r="A69" s="56" t="inlineStr">
        <is>
          <t>2025-07-14</t>
        </is>
      </c>
      <c r="B69" s="60" t="inlineStr">
        <is>
          <t>2025-07-14</t>
        </is>
      </c>
      <c r="C69" s="60" t="inlineStr">
        <is>
          <t>2025-07-15</t>
        </is>
      </c>
      <c r="D69" s="57" t="n">
        <v>-10.6</v>
      </c>
    </row>
    <row r="70">
      <c r="A70" s="56" t="inlineStr">
        <is>
          <t>2025-10-15</t>
        </is>
      </c>
      <c r="B70" s="60" t="inlineStr">
        <is>
          <t>2025-10-15</t>
        </is>
      </c>
      <c r="C70" s="60" t="inlineStr">
        <is>
          <t>2025-10-16</t>
        </is>
      </c>
      <c r="D70" s="57" t="n">
        <v>-13.4</v>
      </c>
    </row>
    <row r="71">
      <c r="A71" s="56" t="inlineStr">
        <is>
          <t>2026-01-14</t>
        </is>
      </c>
      <c r="B71" s="60" t="inlineStr">
        <is>
          <t>2026-01-14</t>
        </is>
      </c>
      <c r="C71" s="60" t="inlineStr">
        <is>
          <t>2026-01-15</t>
        </is>
      </c>
      <c r="D71" s="57" t="n">
        <v>-2.9</v>
      </c>
    </row>
    <row r="72">
      <c r="A72" s="56" t="inlineStr">
        <is>
          <t>2026-04-14</t>
        </is>
      </c>
      <c r="B72" s="60" t="inlineStr">
        <is>
          <t>2026-04-14</t>
        </is>
      </c>
      <c r="C72" s="60" t="inlineStr">
        <is>
          <t>2026-04-15</t>
        </is>
      </c>
      <c r="D72" s="57" t="n">
        <v>10.2</v>
      </c>
    </row>
    <row r="73">
      <c r="A73" s="56" t="inlineStr">
        <is>
          <t>2026-07-14</t>
        </is>
      </c>
      <c r="B73" s="60" t="inlineStr">
        <is>
          <t>2026-07-14</t>
        </is>
      </c>
      <c r="C73" s="60" t="inlineStr">
        <is>
          <t>2026-07-15</t>
        </is>
      </c>
      <c r="D73" s="57" t="n">
        <v>-6.6</v>
      </c>
    </row>
    <row r="74">
      <c r="A74" s="56" t="inlineStr">
        <is>
          <t>2026-10-15</t>
        </is>
      </c>
      <c r="B74" s="60" t="inlineStr">
        <is>
          <t>2026-10-15</t>
        </is>
      </c>
      <c r="C74" s="60" t="inlineStr">
        <is>
          <t>2026-10-16</t>
        </is>
      </c>
      <c r="D74" s="57" t="n">
        <v>-9.699999999999999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https://www2.jpx.co.jp/disc/304A0/140120261015551600.pdf</t>
        </is>
      </c>
    </row>
    <row r="5">
      <c r="A5" t="inlineStr">
        <is>
          <t>2026-07-14</t>
        </is>
      </c>
      <c r="B5" t="inlineStr">
        <is>
          <t>2027년 2월 결산기 １분기 결산단신</t>
        </is>
      </c>
      <c r="C5" t="inlineStr">
        <is>
          <t>https://www2.jpx.co.jp/disc/304A0/140120260713592492.pdf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https://www2.jpx.co.jp/disc/304A0/140120260414504140.pdf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https://www2.jpx.co.jp/disc/304A0/140120260114534034.pdf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https://www2.jpx.co.jp/disc/304A0/140120251015574275.pdf</t>
        </is>
      </c>
    </row>
    <row r="9">
      <c r="A9" t="inlineStr">
        <is>
          <t>2025-07-14</t>
        </is>
      </c>
      <c r="B9" t="inlineStr">
        <is>
          <t>2026년 2월 결산기 １분기 결산단신</t>
        </is>
      </c>
      <c r="C9" t="inlineStr">
        <is>
          <t>https://www2.jpx.co.jp/disc/304A0/140120250711513081.pdf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https://www2.jpx.co.jp/disc/304A0/140120250414514479.pdf</t>
        </is>
      </c>
    </row>
    <row r="11">
      <c r="A11" t="inlineStr">
        <is>
          <t>2025-01-14</t>
        </is>
      </c>
      <c r="B11" t="inlineStr">
        <is>
          <t>2025년 2월 결산기 3분기 결산단신</t>
        </is>
      </c>
      <c r="C11" t="inlineStr">
        <is>
          <t>https://www2.jpx.co.jp/disc/304A0/140120250109548546.pdf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2026-10-28T08:39:25Z</dcterms:created>
  <dcterms:modified xmlns:dcterms="http://purl.org/dc/terms/" xmlns:xsi="http://www.w3.org/2001/XMLSchema-instance" xsi:type="dcterms:W3CDTF">2026-10-28T08:39:25Z</dcterms:modified>
</cp:coreProperties>
</file>