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8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4498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1537.079</v>
      </c>
      <c r="D4" s="12" t="n">
        <v>1643.874</v>
      </c>
      <c r="E4" s="12" t="n">
        <v>1841.655</v>
      </c>
      <c r="F4" s="12" t="n">
        <v>1493.495</v>
      </c>
      <c r="G4" s="12" t="n">
        <v>1837.831</v>
      </c>
      <c r="H4" s="12" t="n">
        <v>1977.394</v>
      </c>
      <c r="I4" s="12" t="n">
        <v>2133.317</v>
      </c>
      <c r="J4" s="12" t="n">
        <v>1903.727</v>
      </c>
      <c r="K4" s="12" t="n">
        <v>2012.508</v>
      </c>
      <c r="L4" s="12" t="n">
        <v>2163.553</v>
      </c>
      <c r="M4" s="12" t="n">
        <v>2280.518</v>
      </c>
      <c r="N4" s="12" t="n">
        <v>2132.565</v>
      </c>
      <c r="O4" s="11" t="n"/>
      <c r="P4" s="12" t="n"/>
      <c r="Q4" s="12" t="n"/>
      <c r="R4" s="12" t="n">
        <v>4421.401</v>
      </c>
      <c r="S4" s="12" t="n">
        <v>4895.067</v>
      </c>
      <c r="T4" s="12" t="n">
        <v>5731.27</v>
      </c>
      <c r="U4" s="12" t="n">
        <v>6167.663</v>
      </c>
      <c r="V4" s="12" t="n">
        <v>6466.541</v>
      </c>
      <c r="W4" s="12" t="n">
        <v>7442.037</v>
      </c>
      <c r="X4" s="12" t="n">
        <v>8360.306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813.921</v>
      </c>
      <c r="D11" s="22" t="n">
        <v>889.202</v>
      </c>
      <c r="E11" s="22" t="n">
        <v>940.538</v>
      </c>
      <c r="F11" s="22" t="n">
        <v>840.799</v>
      </c>
      <c r="G11" s="22" t="n">
        <v>905.682</v>
      </c>
      <c r="H11" s="22" t="n">
        <v>1022.331</v>
      </c>
      <c r="I11" s="22" t="n">
        <v>1087.129</v>
      </c>
      <c r="J11" s="22" t="n">
        <v>1031.078</v>
      </c>
      <c r="K11" s="22" t="n">
        <v>1054.488</v>
      </c>
      <c r="L11" s="22" t="n">
        <v>1138.84</v>
      </c>
      <c r="M11" s="22" t="n">
        <v>1196.419</v>
      </c>
      <c r="N11" s="22" t="n">
        <v>1150.986</v>
      </c>
      <c r="O11" s="21" t="n"/>
      <c r="P11" s="22" t="n"/>
      <c r="Q11" s="22" t="n"/>
      <c r="R11" s="22" t="n">
        <v>2395.227</v>
      </c>
      <c r="S11" s="22" t="n">
        <v>2734.125</v>
      </c>
      <c r="T11" s="22" t="n">
        <v>3167.932</v>
      </c>
      <c r="U11" s="22" t="n">
        <v>3281.212</v>
      </c>
      <c r="V11" s="22" t="n">
        <v>3414.056</v>
      </c>
      <c r="W11" s="22" t="n">
        <v>3855.941</v>
      </c>
      <c r="X11" s="22" t="n">
        <v>4420.825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477.658</v>
      </c>
      <c r="D15" s="22" t="n">
        <v>485.393</v>
      </c>
      <c r="E15" s="22" t="n">
        <v>483.269</v>
      </c>
      <c r="F15" s="22" t="n">
        <v>507.886</v>
      </c>
      <c r="G15" s="22" t="n">
        <v>533.9059999999999</v>
      </c>
      <c r="H15" s="22" t="n">
        <v>529.612</v>
      </c>
      <c r="I15" s="22" t="n">
        <v>593.293</v>
      </c>
      <c r="J15" s="22" t="n">
        <v>562.91</v>
      </c>
      <c r="K15" s="22" t="n">
        <v>567.7670000000001</v>
      </c>
      <c r="L15" s="22" t="n">
        <v>554.037</v>
      </c>
      <c r="M15" s="22" t="n">
        <v>605.389</v>
      </c>
      <c r="N15" s="22" t="n">
        <v>574.725</v>
      </c>
      <c r="O15" s="21" t="n"/>
      <c r="P15" s="22" t="n"/>
      <c r="Q15" s="22" t="n"/>
      <c r="R15" s="22" t="n">
        <v>1488.988</v>
      </c>
      <c r="S15" s="22" t="n">
        <v>1586.763</v>
      </c>
      <c r="T15" s="22" t="n">
        <v>1694.549</v>
      </c>
      <c r="U15" s="22" t="n">
        <v>1832.71</v>
      </c>
      <c r="V15" s="22" t="n">
        <v>1940.295</v>
      </c>
      <c r="W15" s="22" t="n">
        <v>2164.697</v>
      </c>
      <c r="X15" s="22" t="n">
        <v>2290.103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245.501</v>
      </c>
      <c r="D16" s="12" t="n">
        <v>269.278</v>
      </c>
      <c r="E16" s="12" t="n">
        <v>417.849</v>
      </c>
      <c r="F16" s="12" t="n">
        <v>144.808</v>
      </c>
      <c r="G16" s="12" t="n">
        <v>398.244</v>
      </c>
      <c r="H16" s="12" t="n">
        <v>425.451</v>
      </c>
      <c r="I16" s="12" t="n">
        <v>452.894</v>
      </c>
      <c r="J16" s="12" t="n">
        <v>309.737</v>
      </c>
      <c r="K16" s="12" t="n">
        <v>390.254</v>
      </c>
      <c r="L16" s="12" t="n">
        <v>470.676</v>
      </c>
      <c r="M16" s="12" t="n">
        <v>478.709</v>
      </c>
      <c r="N16" s="12" t="n">
        <v>406.854</v>
      </c>
      <c r="O16" s="11" t="n"/>
      <c r="P16" s="12" t="n"/>
      <c r="Q16" s="12" t="n"/>
      <c r="R16" s="12" t="n">
        <v>537.186</v>
      </c>
      <c r="S16" s="12" t="n">
        <v>574.179</v>
      </c>
      <c r="T16" s="12" t="n">
        <v>868.787</v>
      </c>
      <c r="U16" s="12" t="n">
        <v>1053.74</v>
      </c>
      <c r="V16" s="12" t="n">
        <v>1112.189</v>
      </c>
      <c r="W16" s="12" t="n">
        <v>1421.397</v>
      </c>
      <c r="X16" s="12" t="n">
        <v>1649.376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 t="n"/>
      <c r="P32" s="22" t="n"/>
      <c r="Q32" s="22" t="n"/>
      <c r="R32" s="22" t="n">
        <v>2</v>
      </c>
      <c r="S32" s="22" t="n">
        <v>0</v>
      </c>
      <c r="T32" s="22" t="n"/>
      <c r="U32" s="22" t="n"/>
      <c r="V32" s="22" t="n"/>
      <c r="W32" s="22" t="n"/>
      <c r="X32" s="22" t="n"/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/>
      <c r="D34" s="22" t="n"/>
      <c r="E34" s="22" t="n"/>
      <c r="F34" s="22" t="n">
        <v>0</v>
      </c>
      <c r="G34" s="22" t="n">
        <v>0</v>
      </c>
      <c r="H34" s="22" t="n">
        <v>0</v>
      </c>
      <c r="I34" s="22" t="n">
        <v>25.66</v>
      </c>
      <c r="J34" s="22" t="n">
        <v>98.15300000000001</v>
      </c>
      <c r="K34" s="22" t="n">
        <v>14.102</v>
      </c>
      <c r="L34" s="22" t="n">
        <v>0</v>
      </c>
      <c r="M34" s="22" t="n">
        <v>53.629</v>
      </c>
      <c r="N34" s="22" t="n">
        <v>0</v>
      </c>
      <c r="O34" s="21" t="n"/>
      <c r="P34" s="22" t="n"/>
      <c r="Q34" s="22" t="n"/>
      <c r="R34" s="22" t="n">
        <v>15.895</v>
      </c>
      <c r="S34" s="22" t="n">
        <v>85.54900000000001</v>
      </c>
      <c r="T34" s="22" t="n">
        <v>74.684</v>
      </c>
      <c r="U34" s="22" t="n">
        <v>0</v>
      </c>
      <c r="V34" s="22" t="n">
        <v>345.23</v>
      </c>
      <c r="W34" s="22" t="n">
        <v>25.66</v>
      </c>
      <c r="X34" s="22" t="n">
        <v>165.884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1.829</v>
      </c>
      <c r="D36" s="22" t="n">
        <v>3.737</v>
      </c>
      <c r="E36" s="22" t="n">
        <v>8.196</v>
      </c>
      <c r="F36" s="22" t="n">
        <v>3.831</v>
      </c>
      <c r="G36" s="22" t="n">
        <v>10.332</v>
      </c>
      <c r="H36" s="22" t="n">
        <v>7.06</v>
      </c>
      <c r="I36" s="22" t="n">
        <v>9.858000000000001</v>
      </c>
      <c r="J36" s="22" t="n">
        <v>3.499</v>
      </c>
      <c r="K36" s="22" t="n">
        <v>8.552</v>
      </c>
      <c r="L36" s="22" t="n">
        <v>4.639</v>
      </c>
      <c r="M36" s="22" t="n">
        <v>21.531</v>
      </c>
      <c r="N36" s="22" t="n">
        <v>4.512</v>
      </c>
      <c r="O36" s="21" t="n"/>
      <c r="P36" s="22" t="n"/>
      <c r="Q36" s="22" t="n"/>
      <c r="R36" s="22" t="n">
        <v>5.658</v>
      </c>
      <c r="S36" s="22" t="n">
        <v>147.695</v>
      </c>
      <c r="T36" s="22" t="n">
        <v>13.046</v>
      </c>
      <c r="U36" s="22" t="n">
        <v>19.308</v>
      </c>
      <c r="V36" s="22" t="n">
        <v>17.502</v>
      </c>
      <c r="W36" s="22" t="n">
        <v>31.081</v>
      </c>
      <c r="X36" s="22" t="n">
        <v>38.221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0.575</v>
      </c>
      <c r="D38" s="22" t="n">
        <v>3.791</v>
      </c>
      <c r="E38" s="22" t="n">
        <v>0.445</v>
      </c>
      <c r="F38" s="22" t="n">
        <v>0.508</v>
      </c>
      <c r="G38" s="22" t="n">
        <v>-0.144</v>
      </c>
      <c r="H38" s="22" t="n">
        <v>0.165</v>
      </c>
      <c r="I38" s="22" t="n">
        <v>3.57</v>
      </c>
      <c r="J38" s="22" t="n">
        <v>0.18</v>
      </c>
      <c r="K38" s="22" t="n">
        <v>5.315</v>
      </c>
      <c r="L38" s="22" t="n">
        <v>11.443</v>
      </c>
      <c r="M38" s="22" t="n">
        <v>13.171</v>
      </c>
      <c r="N38" s="22" t="n">
        <v>2.675</v>
      </c>
      <c r="O38" s="21" t="n"/>
      <c r="P38" s="22" t="n"/>
      <c r="Q38" s="22" t="n"/>
      <c r="R38" s="22" t="n">
        <v>7.227</v>
      </c>
      <c r="S38" s="22" t="n">
        <v>5.931</v>
      </c>
      <c r="T38" s="22" t="n">
        <v>9.356999999999999</v>
      </c>
      <c r="U38" s="22" t="n">
        <v>7.462</v>
      </c>
      <c r="V38" s="22" t="n">
        <v>8.313000000000001</v>
      </c>
      <c r="W38" s="22" t="n">
        <v>4.099</v>
      </c>
      <c r="X38" s="22" t="n">
        <v>30.109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246.755</v>
      </c>
      <c r="D40" s="12" t="n">
        <v>269.224</v>
      </c>
      <c r="E40" s="12" t="n">
        <v>80.37</v>
      </c>
      <c r="F40" s="12" t="n">
        <v>148.132</v>
      </c>
      <c r="G40" s="12" t="n">
        <v>408.72</v>
      </c>
      <c r="H40" s="12" t="n">
        <v>432.344</v>
      </c>
      <c r="I40" s="12" t="n">
        <v>433.523</v>
      </c>
      <c r="J40" s="12" t="n">
        <v>214.903</v>
      </c>
      <c r="K40" s="12" t="n">
        <v>379.388</v>
      </c>
      <c r="L40" s="12" t="n">
        <v>463.873</v>
      </c>
      <c r="M40" s="12" t="n">
        <v>433.44</v>
      </c>
      <c r="N40" s="12" t="n">
        <v>408.691</v>
      </c>
      <c r="O40" s="11" t="n"/>
      <c r="P40" s="12" t="n"/>
      <c r="Q40" s="12" t="n"/>
      <c r="R40" s="12" t="n">
        <v>521.721</v>
      </c>
      <c r="S40" s="12" t="n">
        <v>630.394</v>
      </c>
      <c r="T40" s="12" t="n">
        <v>797.792</v>
      </c>
      <c r="U40" s="12" t="n">
        <v>1065.587</v>
      </c>
      <c r="V40" s="12" t="n">
        <v>776.148</v>
      </c>
      <c r="W40" s="12" t="n">
        <v>1422.719</v>
      </c>
      <c r="X40" s="12" t="n">
        <v>1491.604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81.20999999999999</v>
      </c>
      <c r="D41" s="22" t="n">
        <v>89.479</v>
      </c>
      <c r="E41" s="22" t="n">
        <v>23.418</v>
      </c>
      <c r="F41" s="22" t="n">
        <v>44.234</v>
      </c>
      <c r="G41" s="22" t="n">
        <v>103.324</v>
      </c>
      <c r="H41" s="22" t="n">
        <v>137.218</v>
      </c>
      <c r="I41" s="22" t="n">
        <v>168.259</v>
      </c>
      <c r="J41" s="22" t="n">
        <v>90.215</v>
      </c>
      <c r="K41" s="22" t="n">
        <v>128.524</v>
      </c>
      <c r="L41" s="22" t="n">
        <v>150.622</v>
      </c>
      <c r="M41" s="22" t="n">
        <v>132.399</v>
      </c>
      <c r="N41" s="22" t="n">
        <v>139.195</v>
      </c>
      <c r="O41" s="21" t="n"/>
      <c r="P41" s="22" t="n"/>
      <c r="Q41" s="22" t="n"/>
      <c r="R41" s="22" t="n">
        <v>170.973</v>
      </c>
      <c r="S41" s="22" t="n">
        <v>221.512</v>
      </c>
      <c r="T41" s="22" t="n">
        <v>267.52</v>
      </c>
      <c r="U41" s="22" t="n">
        <v>340.431</v>
      </c>
      <c r="V41" s="22" t="n">
        <v>257.328</v>
      </c>
      <c r="W41" s="22" t="n">
        <v>453.035</v>
      </c>
      <c r="X41" s="22" t="n">
        <v>501.76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165.545</v>
      </c>
      <c r="D43" s="12" t="n">
        <v>179.746</v>
      </c>
      <c r="E43" s="12" t="n">
        <v>56.952</v>
      </c>
      <c r="F43" s="12" t="n">
        <v>103.897</v>
      </c>
      <c r="G43" s="12" t="n">
        <v>305.396</v>
      </c>
      <c r="H43" s="12" t="n">
        <v>295.126</v>
      </c>
      <c r="I43" s="12" t="n">
        <v>265.265</v>
      </c>
      <c r="J43" s="12" t="n">
        <v>124.688</v>
      </c>
      <c r="K43" s="12" t="n">
        <v>250.864</v>
      </c>
      <c r="L43" s="12" t="n">
        <v>313.251</v>
      </c>
      <c r="M43" s="12" t="n">
        <v>301.04</v>
      </c>
      <c r="N43" s="12" t="n">
        <v>269.495</v>
      </c>
      <c r="O43" s="11" t="n"/>
      <c r="P43" s="12" t="n"/>
      <c r="Q43" s="12" t="n"/>
      <c r="R43" s="12" t="n">
        <v>350.748</v>
      </c>
      <c r="S43" s="12" t="n">
        <v>408.881</v>
      </c>
      <c r="T43" s="12" t="n">
        <v>530.272</v>
      </c>
      <c r="U43" s="12" t="n">
        <v>725.155</v>
      </c>
      <c r="V43" s="12" t="n">
        <v>518.8200000000001</v>
      </c>
      <c r="W43" s="12" t="n">
        <v>969.684</v>
      </c>
      <c r="X43" s="12" t="n">
        <v>989.843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165.545</v>
      </c>
      <c r="D44" s="12" t="n">
        <v>179.746</v>
      </c>
      <c r="E44" s="12" t="n">
        <v>56.952</v>
      </c>
      <c r="F44" s="12" t="n">
        <v>103.897</v>
      </c>
      <c r="G44" s="12" t="n">
        <v>305.396</v>
      </c>
      <c r="H44" s="12" t="n">
        <v>295.126</v>
      </c>
      <c r="I44" s="12" t="n">
        <v>265.265</v>
      </c>
      <c r="J44" s="12" t="n">
        <v>124.688</v>
      </c>
      <c r="K44" s="12" t="n">
        <v>250.864</v>
      </c>
      <c r="L44" s="12" t="n">
        <v>313.251</v>
      </c>
      <c r="M44" s="12" t="n">
        <v>301.04</v>
      </c>
      <c r="N44" s="12" t="n">
        <v>269.495</v>
      </c>
      <c r="O44" s="11" t="n"/>
      <c r="P44" s="12" t="n"/>
      <c r="Q44" s="12" t="n"/>
      <c r="R44" s="12" t="n">
        <v>350.748</v>
      </c>
      <c r="S44" s="12" t="n">
        <v>408.881</v>
      </c>
      <c r="T44" s="12" t="n">
        <v>530.272</v>
      </c>
      <c r="U44" s="12" t="n">
        <v>725.155</v>
      </c>
      <c r="V44" s="12" t="n">
        <v>518.8200000000001</v>
      </c>
      <c r="W44" s="12" t="n">
        <v>969.684</v>
      </c>
      <c r="X44" s="12" t="n">
        <v>989.843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2570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16660400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1537.079</v>
      </c>
      <c r="D78" s="12" t="n">
        <v>1643.874</v>
      </c>
      <c r="E78" s="12" t="n">
        <v>1841.655</v>
      </c>
      <c r="F78" s="12" t="n">
        <v>1493.495</v>
      </c>
      <c r="G78" s="12" t="n">
        <v>1837.831</v>
      </c>
      <c r="H78" s="12" t="n">
        <v>1977.394</v>
      </c>
      <c r="I78" s="12" t="n">
        <v>2133.317</v>
      </c>
      <c r="J78" s="12" t="n">
        <v>1903.727</v>
      </c>
      <c r="K78" s="12" t="n">
        <v>2012.508</v>
      </c>
      <c r="L78" s="12" t="n">
        <v>2163.553</v>
      </c>
      <c r="M78" s="12" t="n">
        <v>2280.518</v>
      </c>
      <c r="N78" s="12" t="n">
        <v>2132.565</v>
      </c>
      <c r="T78" s="12" t="n">
        <v>1661.512</v>
      </c>
      <c r="U78" s="12" t="n">
        <v>1729.056</v>
      </c>
      <c r="V78" s="12" t="n">
        <v>1841.655</v>
      </c>
      <c r="W78" s="12" t="n">
        <v>2133.317</v>
      </c>
      <c r="X78" s="12" t="n">
        <v>2280.518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T79" s="17">
        <f>IF(OR(T78="",S78=""),"",IF(S78&lt;=0,"",IFERROR(T78/S78-1,"")))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813.921</v>
      </c>
      <c r="D80" s="22" t="n">
        <v>889.202</v>
      </c>
      <c r="E80" s="22" t="n">
        <v>940.538</v>
      </c>
      <c r="F80" s="22" t="n">
        <v>840.799</v>
      </c>
      <c r="G80" s="22" t="n">
        <v>905.682</v>
      </c>
      <c r="H80" s="22" t="n">
        <v>1022.331</v>
      </c>
      <c r="I80" s="22" t="n">
        <v>1087.129</v>
      </c>
      <c r="J80" s="22" t="n">
        <v>1031.078</v>
      </c>
      <c r="K80" s="22" t="n">
        <v>1054.488</v>
      </c>
      <c r="L80" s="22" t="n">
        <v>1138.84</v>
      </c>
      <c r="M80" s="22" t="n">
        <v>1196.419</v>
      </c>
      <c r="N80" s="22" t="n">
        <v>1150.986</v>
      </c>
      <c r="T80" s="22" t="n">
        <v>903.824</v>
      </c>
      <c r="U80" s="22" t="n">
        <v>852.649</v>
      </c>
      <c r="V80" s="22" t="n">
        <v>940.538</v>
      </c>
      <c r="W80" s="22" t="n">
        <v>1087.129</v>
      </c>
      <c r="X80" s="22" t="n">
        <v>1196.419</v>
      </c>
    </row>
    <row r="81">
      <c r="A81" s="9" t="inlineStr">
        <is>
          <t>매출총이익</t>
        </is>
      </c>
      <c r="C81" s="12" t="n">
        <v>723.158</v>
      </c>
      <c r="D81" s="12" t="n">
        <v>754.672</v>
      </c>
      <c r="E81" s="12" t="n">
        <v>901.1180000000001</v>
      </c>
      <c r="F81" s="12" t="n">
        <v>652.6950000000001</v>
      </c>
      <c r="G81" s="12" t="n">
        <v>932.149</v>
      </c>
      <c r="H81" s="12" t="n">
        <v>955.063</v>
      </c>
      <c r="I81" s="12" t="n">
        <v>1046.188</v>
      </c>
      <c r="J81" s="12" t="n">
        <v>872.648</v>
      </c>
      <c r="K81" s="12" t="n">
        <v>958.02</v>
      </c>
      <c r="L81" s="12" t="n">
        <v>1024.714</v>
      </c>
      <c r="M81" s="12" t="n">
        <v>1084.098</v>
      </c>
      <c r="N81" s="12" t="n">
        <v>981.579</v>
      </c>
      <c r="T81" s="12" t="n">
        <v>757.688</v>
      </c>
      <c r="U81" s="12" t="n">
        <v>876.4059999999999</v>
      </c>
      <c r="V81" s="12" t="n">
        <v>901.1180000000001</v>
      </c>
      <c r="W81" s="12" t="n">
        <v>1046.188</v>
      </c>
      <c r="X81" s="12" t="n">
        <v>1084.098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T82" s="17">
        <f>IF(OR(T81="",S81=""),"",IF(S81&lt;=0,"",IFERROR(T81/S81-1,"")))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C83" s="22" t="n">
        <v>477.658</v>
      </c>
      <c r="D83" s="22" t="n">
        <v>485.393</v>
      </c>
      <c r="E83" s="22" t="n">
        <v>483.269</v>
      </c>
      <c r="F83" s="22" t="n">
        <v>507.886</v>
      </c>
      <c r="G83" s="22" t="n">
        <v>533.9059999999999</v>
      </c>
      <c r="H83" s="22" t="n">
        <v>529.612</v>
      </c>
      <c r="I83" s="22" t="n">
        <v>593.293</v>
      </c>
      <c r="J83" s="22" t="n">
        <v>562.91</v>
      </c>
      <c r="K83" s="22" t="n">
        <v>567.7670000000001</v>
      </c>
      <c r="L83" s="22" t="n">
        <v>554.037</v>
      </c>
      <c r="M83" s="22" t="n">
        <v>605.389</v>
      </c>
      <c r="N83" s="22" t="n">
        <v>574.725</v>
      </c>
      <c r="T83" s="22" t="n">
        <v>451.561</v>
      </c>
      <c r="U83" s="22" t="n">
        <v>483.094</v>
      </c>
      <c r="V83" s="22" t="n">
        <v>483.269</v>
      </c>
      <c r="W83" s="22" t="n">
        <v>593.293</v>
      </c>
      <c r="X83" s="22" t="n">
        <v>605.389</v>
      </c>
    </row>
    <row r="84">
      <c r="A84" s="9" t="inlineStr">
        <is>
          <t>영업이익</t>
        </is>
      </c>
      <c r="C84" s="12" t="n">
        <v>245.501</v>
      </c>
      <c r="D84" s="12" t="n">
        <v>269.278</v>
      </c>
      <c r="E84" s="12" t="n">
        <v>417.849</v>
      </c>
      <c r="F84" s="12" t="n">
        <v>144.808</v>
      </c>
      <c r="G84" s="12" t="n">
        <v>398.244</v>
      </c>
      <c r="H84" s="12" t="n">
        <v>425.451</v>
      </c>
      <c r="I84" s="12" t="n">
        <v>452.894</v>
      </c>
      <c r="J84" s="12" t="n">
        <v>309.737</v>
      </c>
      <c r="K84" s="12" t="n">
        <v>390.254</v>
      </c>
      <c r="L84" s="12" t="n">
        <v>470.676</v>
      </c>
      <c r="M84" s="12" t="n">
        <v>478.709</v>
      </c>
      <c r="N84" s="12" t="n">
        <v>406.854</v>
      </c>
      <c r="T84" s="12" t="n">
        <v>306.126</v>
      </c>
      <c r="U84" s="12" t="n">
        <v>393.313</v>
      </c>
      <c r="V84" s="12" t="n">
        <v>417.849</v>
      </c>
      <c r="W84" s="12" t="n">
        <v>452.894</v>
      </c>
      <c r="X84" s="12" t="n">
        <v>478.709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T85" s="17">
        <f>IF(OR(T84="",T78=""),"",IF(T78&lt;=0,"",IFERROR(T84/T78,"")))</f>
        <v/>
      </c>
      <c r="U85" s="17">
        <f>IF(OR(U84="",U78=""),"",IF(U78&lt;=0,"",IFERROR(U84/U78,"")))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T86" s="17">
        <f>IF(OR(T84="",S84=""),"",IF(S84&lt;=0,"",IFERROR(T84/S84-1,"")))</f>
        <v/>
      </c>
      <c r="U86" s="17">
        <f>IF(OR(U84="",T84=""),"",IF(T84&lt;=0,"",IFERROR(U84/T84-1,"")))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이자수익</t>
        </is>
      </c>
      <c r="C87" s="22" t="n">
        <v>0.025</v>
      </c>
      <c r="D87" s="22" t="n">
        <v>0.001</v>
      </c>
      <c r="E87" s="22" t="n">
        <v>0.027</v>
      </c>
      <c r="F87" s="22" t="n">
        <v>0</v>
      </c>
      <c r="G87" s="22" t="n">
        <v>0.495</v>
      </c>
      <c r="H87" s="22" t="n">
        <v>0</v>
      </c>
      <c r="I87" s="22" t="n">
        <v>2.762</v>
      </c>
      <c r="J87" s="22" t="n">
        <v>0</v>
      </c>
      <c r="K87" s="22" t="n">
        <v>5.328</v>
      </c>
      <c r="L87" s="22" t="n">
        <v>0.024</v>
      </c>
      <c r="M87" s="22" t="n">
        <v>6.777</v>
      </c>
      <c r="N87" s="22" t="n">
        <v>1.341</v>
      </c>
      <c r="T87" s="22" t="n">
        <v>0.029</v>
      </c>
      <c r="U87" s="22" t="n">
        <v>0.022</v>
      </c>
      <c r="V87" s="22" t="n">
        <v>0.027</v>
      </c>
      <c r="W87" s="22" t="n">
        <v>2.762</v>
      </c>
      <c r="X87" s="22" t="n">
        <v>6.777</v>
      </c>
    </row>
    <row r="88">
      <c r="A88" s="20" t="inlineStr">
        <is>
          <t>배당금수익</t>
        </is>
      </c>
      <c r="C88" s="22" t="n">
        <v>0</v>
      </c>
      <c r="D88" s="22" t="n">
        <v>0</v>
      </c>
      <c r="E88" s="22" t="n">
        <v>0</v>
      </c>
      <c r="F88" s="22" t="n">
        <v>0.001</v>
      </c>
      <c r="G88" s="22" t="n">
        <v>0</v>
      </c>
      <c r="H88" s="22" t="n">
        <v>0</v>
      </c>
      <c r="I88" s="22" t="n">
        <v>0</v>
      </c>
      <c r="J88" s="22" t="n">
        <v>0.001</v>
      </c>
      <c r="K88" s="22" t="n">
        <v>0</v>
      </c>
      <c r="L88" s="22" t="n">
        <v>0</v>
      </c>
      <c r="M88" s="22" t="n">
        <v>0</v>
      </c>
      <c r="N88" s="22" t="n">
        <v>0.001</v>
      </c>
      <c r="T88" s="22" t="n">
        <v>0</v>
      </c>
      <c r="U88" s="22" t="n">
        <v>0</v>
      </c>
      <c r="V88" s="22" t="n">
        <v>0</v>
      </c>
      <c r="W88" s="22" t="n">
        <v>0</v>
      </c>
      <c r="X88" s="22" t="n">
        <v>0</v>
      </c>
    </row>
    <row r="89">
      <c r="A89" s="20" t="inlineStr">
        <is>
          <t>지분법이익</t>
        </is>
      </c>
      <c r="C89" s="22" t="n">
        <v>1.255</v>
      </c>
      <c r="D89" s="22" t="n">
        <v>2.566</v>
      </c>
      <c r="E89" s="22" t="n">
        <v>2.987</v>
      </c>
      <c r="F89" s="22" t="n">
        <v>3.456</v>
      </c>
      <c r="G89" s="22" t="n">
        <v>7.864</v>
      </c>
      <c r="H89" s="22" t="n">
        <v>3.503</v>
      </c>
      <c r="I89" s="22" t="n">
        <v>4.067</v>
      </c>
      <c r="J89" s="22" t="n">
        <v>2.798</v>
      </c>
      <c r="K89" s="22" t="n">
        <v>3.667</v>
      </c>
      <c r="L89" s="22" t="n">
        <v>2.591</v>
      </c>
      <c r="M89" s="22" t="n">
        <v>5.479</v>
      </c>
      <c r="N89" s="22" t="n">
        <v>2.619</v>
      </c>
      <c r="T89" s="22" t="n">
        <v>3.318</v>
      </c>
      <c r="U89" s="22" t="n">
        <v>2.305</v>
      </c>
      <c r="V89" s="22" t="n">
        <v>2.987</v>
      </c>
      <c r="W89" s="22" t="n">
        <v>4.067</v>
      </c>
      <c r="X89" s="22" t="n">
        <v>5.479</v>
      </c>
    </row>
    <row r="90">
      <c r="A90" s="20" t="inlineStr">
        <is>
          <t>Proceeds From Subsidy NOI</t>
        </is>
      </c>
      <c r="E90" s="22" t="n">
        <v>1.415</v>
      </c>
      <c r="I90" s="22" t="n">
        <v>1.371</v>
      </c>
      <c r="U90" s="22" t="n">
        <v>2.442</v>
      </c>
      <c r="V90" s="22" t="n">
        <v>1.415</v>
      </c>
      <c r="W90" s="22" t="n">
        <v>1.371</v>
      </c>
    </row>
    <row r="91">
      <c r="A91" s="20" t="inlineStr">
        <is>
          <t>외환차익</t>
        </is>
      </c>
      <c r="F91" s="22" t="n">
        <v>0</v>
      </c>
      <c r="J91" s="22" t="n">
        <v>0.5580000000000001</v>
      </c>
      <c r="N91" s="22" t="n">
        <v>0</v>
      </c>
    </row>
    <row r="92">
      <c r="A92" s="20" t="inlineStr">
        <is>
          <t>기타</t>
        </is>
      </c>
      <c r="C92" s="22" t="n">
        <v>0.549</v>
      </c>
      <c r="D92" s="22" t="n">
        <v>-0.237</v>
      </c>
      <c r="E92" s="22" t="n">
        <v>1.468</v>
      </c>
      <c r="F92" s="22" t="n">
        <v>0.372</v>
      </c>
      <c r="G92" s="22" t="n">
        <v>1.974</v>
      </c>
      <c r="H92" s="22" t="n">
        <v>3.557</v>
      </c>
      <c r="I92" s="22" t="n">
        <v>-3.838</v>
      </c>
      <c r="J92" s="22" t="n">
        <v>0.141</v>
      </c>
      <c r="K92" s="22" t="n">
        <v>0.115</v>
      </c>
      <c r="L92" s="22" t="n">
        <v>2.023</v>
      </c>
      <c r="M92" s="22" t="n">
        <v>-0.456</v>
      </c>
      <c r="N92" s="22" t="n">
        <v>0.551</v>
      </c>
      <c r="T92" s="22" t="n">
        <v>0.582</v>
      </c>
      <c r="U92" s="22" t="n">
        <v>0.269</v>
      </c>
      <c r="V92" s="22" t="n">
        <v>1.468</v>
      </c>
      <c r="W92" s="22" t="n">
        <v>-3.838</v>
      </c>
      <c r="X92" s="22" t="n">
        <v>-0.456</v>
      </c>
    </row>
    <row r="93">
      <c r="A93" s="20" t="inlineStr">
        <is>
          <t>영업외수익 합계</t>
        </is>
      </c>
      <c r="C93" s="22" t="n">
        <v>1.829</v>
      </c>
      <c r="D93" s="22" t="n">
        <v>3.737</v>
      </c>
      <c r="E93" s="22" t="n">
        <v>8.196</v>
      </c>
      <c r="F93" s="22" t="n">
        <v>3.831</v>
      </c>
      <c r="G93" s="22" t="n">
        <v>10.332</v>
      </c>
      <c r="H93" s="22" t="n">
        <v>7.06</v>
      </c>
      <c r="I93" s="22" t="n">
        <v>9.858000000000001</v>
      </c>
      <c r="J93" s="22" t="n">
        <v>3.499</v>
      </c>
      <c r="K93" s="22" t="n">
        <v>8.552</v>
      </c>
      <c r="L93" s="22" t="n">
        <v>4.639</v>
      </c>
      <c r="M93" s="22" t="n">
        <v>21.531</v>
      </c>
      <c r="N93" s="22" t="n">
        <v>4.512</v>
      </c>
      <c r="T93" s="22" t="n">
        <v>7.724</v>
      </c>
      <c r="U93" s="22" t="n">
        <v>6.483</v>
      </c>
      <c r="V93" s="22" t="n">
        <v>8.196</v>
      </c>
      <c r="W93" s="22" t="n">
        <v>9.858000000000001</v>
      </c>
      <c r="X93" s="22" t="n">
        <v>21.531</v>
      </c>
    </row>
    <row r="94">
      <c r="A94" s="20" t="inlineStr">
        <is>
          <t>이자비용</t>
        </is>
      </c>
      <c r="C94" s="22" t="n">
        <v>0.205</v>
      </c>
      <c r="D94" s="22" t="n">
        <v>0.188</v>
      </c>
      <c r="E94" s="22" t="n">
        <v>0.182</v>
      </c>
      <c r="F94" s="22" t="n">
        <v>0.176</v>
      </c>
      <c r="G94" s="22" t="n">
        <v>0.172</v>
      </c>
      <c r="H94" s="22" t="n">
        <v>0.165</v>
      </c>
      <c r="I94" s="22" t="n">
        <v>0.161</v>
      </c>
      <c r="J94" s="22" t="n">
        <v>0.103</v>
      </c>
      <c r="K94" s="22" t="n">
        <v>0</v>
      </c>
      <c r="L94" s="22" t="n">
        <v>0</v>
      </c>
      <c r="M94" s="22" t="n">
        <v>0</v>
      </c>
      <c r="N94" s="22" t="n">
        <v>0</v>
      </c>
      <c r="T94" s="22" t="n">
        <v>0.34</v>
      </c>
      <c r="U94" s="22" t="n">
        <v>0.25</v>
      </c>
      <c r="V94" s="22" t="n">
        <v>0.182</v>
      </c>
      <c r="W94" s="22" t="n">
        <v>0.161</v>
      </c>
      <c r="X94" s="22" t="n">
        <v>0</v>
      </c>
    </row>
    <row r="95">
      <c r="A95" s="20" t="inlineStr">
        <is>
          <t>주식교부비 상각</t>
        </is>
      </c>
      <c r="C95" s="22" t="n">
        <v>0.316</v>
      </c>
      <c r="D95" s="22" t="n">
        <v>0.316</v>
      </c>
      <c r="E95" s="22" t="n">
        <v>0.316</v>
      </c>
      <c r="F95" s="22" t="n">
        <v>0.012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0</v>
      </c>
      <c r="T95" s="22" t="n">
        <v>0.316</v>
      </c>
      <c r="U95" s="22" t="n">
        <v>0.316</v>
      </c>
      <c r="V95" s="22" t="n">
        <v>0.316</v>
      </c>
      <c r="W95" s="22" t="n">
        <v>0</v>
      </c>
      <c r="X95" s="22" t="n">
        <v>0</v>
      </c>
    </row>
    <row r="96">
      <c r="A96" s="20" t="inlineStr">
        <is>
          <t>상장 관련 비용</t>
        </is>
      </c>
      <c r="T96" s="22" t="n">
        <v>0</v>
      </c>
      <c r="U96" s="22" t="n">
        <v>0</v>
      </c>
    </row>
    <row r="97">
      <c r="A97" s="20" t="inlineStr">
        <is>
          <t>Loss On Disposal Of Treasury Share Acquisition Rights NOE</t>
        </is>
      </c>
      <c r="C97" s="22" t="n">
        <v>0</v>
      </c>
      <c r="D97" s="22" t="n">
        <v>0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U97" s="22" t="n">
        <v>0</v>
      </c>
      <c r="V97" s="22" t="n">
        <v>0</v>
      </c>
      <c r="W97" s="22" t="n">
        <v>0</v>
      </c>
    </row>
    <row r="98">
      <c r="A98" s="20" t="inlineStr">
        <is>
          <t>Loss On Liquidation Of Subsidiaries NOE</t>
        </is>
      </c>
      <c r="D98" s="22" t="n">
        <v>0</v>
      </c>
      <c r="E98" s="22" t="n">
        <v>0</v>
      </c>
      <c r="U98" s="22" t="n">
        <v>0</v>
      </c>
      <c r="V98" s="22" t="n">
        <v>0</v>
      </c>
    </row>
    <row r="99">
      <c r="A99" s="20" t="inlineStr">
        <is>
          <t>Consumption Tax Difference NOE</t>
        </is>
      </c>
      <c r="J99" s="22" t="n">
        <v>0.076</v>
      </c>
      <c r="N99" s="22" t="n">
        <v>0.544</v>
      </c>
    </row>
    <row r="100">
      <c r="A100" s="20" t="inlineStr">
        <is>
          <t>외환차손</t>
        </is>
      </c>
      <c r="C100" s="22" t="n">
        <v>0.054</v>
      </c>
      <c r="D100" s="22" t="n">
        <v>0.908</v>
      </c>
      <c r="E100" s="22" t="n">
        <v>-0.063</v>
      </c>
      <c r="F100" s="22" t="n">
        <v>0.319</v>
      </c>
      <c r="G100" s="22" t="n">
        <v>-0.319</v>
      </c>
      <c r="H100" s="22" t="n">
        <v>0</v>
      </c>
      <c r="I100" s="22" t="n">
        <v>0</v>
      </c>
      <c r="J100" s="22" t="n">
        <v>0</v>
      </c>
      <c r="K100" s="22" t="n">
        <v>4.189</v>
      </c>
      <c r="L100" s="22" t="n">
        <v>11.036</v>
      </c>
      <c r="M100" s="22" t="n">
        <v>-1.984</v>
      </c>
      <c r="N100" s="22" t="n">
        <v>2.13</v>
      </c>
      <c r="T100" s="22" t="n">
        <v>-0.496</v>
      </c>
      <c r="U100" s="22" t="n">
        <v>0.667</v>
      </c>
      <c r="V100" s="22" t="n">
        <v>-0.063</v>
      </c>
      <c r="W100" s="22" t="n">
        <v>0</v>
      </c>
      <c r="X100" s="22" t="n">
        <v>-1.984</v>
      </c>
    </row>
    <row r="101">
      <c r="A101" s="20" t="inlineStr">
        <is>
          <t>기타</t>
        </is>
      </c>
      <c r="C101" s="22" t="n">
        <v>0</v>
      </c>
      <c r="D101" s="22" t="n">
        <v>2.38</v>
      </c>
      <c r="E101" s="22" t="n">
        <v>0.008999999999999999</v>
      </c>
      <c r="F101" s="22" t="n">
        <v>0</v>
      </c>
      <c r="G101" s="22" t="n">
        <v>0.003</v>
      </c>
      <c r="H101" s="22" t="n">
        <v>0</v>
      </c>
      <c r="I101" s="22" t="n">
        <v>0.004</v>
      </c>
      <c r="J101" s="22" t="n">
        <v>0.076</v>
      </c>
      <c r="K101" s="22" t="n">
        <v>0.135</v>
      </c>
      <c r="L101" s="22" t="n">
        <v>1.397</v>
      </c>
      <c r="M101" s="22" t="n">
        <v>-0.8139999999999999</v>
      </c>
      <c r="T101" s="22" t="n">
        <v>-1.7</v>
      </c>
      <c r="U101" s="22" t="n">
        <v>0.676</v>
      </c>
      <c r="V101" s="22" t="n">
        <v>0.008999999999999999</v>
      </c>
      <c r="W101" s="22" t="n">
        <v>0.004</v>
      </c>
      <c r="X101" s="22" t="n">
        <v>-0.8139999999999999</v>
      </c>
    </row>
    <row r="102">
      <c r="A102" s="20" t="inlineStr">
        <is>
          <t>영업외비용 합계</t>
        </is>
      </c>
      <c r="C102" s="22" t="n">
        <v>0.575</v>
      </c>
      <c r="D102" s="22" t="n">
        <v>3.791</v>
      </c>
      <c r="E102" s="22" t="n">
        <v>0.445</v>
      </c>
      <c r="F102" s="22" t="n">
        <v>0.508</v>
      </c>
      <c r="G102" s="22" t="n">
        <v>-0.144</v>
      </c>
      <c r="H102" s="22" t="n">
        <v>0.165</v>
      </c>
      <c r="I102" s="22" t="n">
        <v>3.57</v>
      </c>
      <c r="J102" s="22" t="n">
        <v>0.18</v>
      </c>
      <c r="K102" s="22" t="n">
        <v>5.315</v>
      </c>
      <c r="L102" s="22" t="n">
        <v>11.443</v>
      </c>
      <c r="M102" s="22" t="n">
        <v>13.171</v>
      </c>
      <c r="N102" s="22" t="n">
        <v>2.675</v>
      </c>
      <c r="T102" s="22" t="n">
        <v>0.16</v>
      </c>
      <c r="U102" s="22" t="n">
        <v>1.91</v>
      </c>
      <c r="V102" s="22" t="n">
        <v>0.445</v>
      </c>
      <c r="W102" s="22" t="n">
        <v>3.57</v>
      </c>
      <c r="X102" s="22" t="n">
        <v>13.171</v>
      </c>
    </row>
    <row r="103">
      <c r="A103" s="9" t="inlineStr">
        <is>
          <t>경상이익</t>
        </is>
      </c>
      <c r="C103" s="12" t="n">
        <v>246.755</v>
      </c>
      <c r="D103" s="12" t="n">
        <v>269.224</v>
      </c>
      <c r="E103" s="12" t="n">
        <v>425.6</v>
      </c>
      <c r="F103" s="12" t="n">
        <v>148.132</v>
      </c>
      <c r="G103" s="12" t="n">
        <v>408.72</v>
      </c>
      <c r="H103" s="12" t="n">
        <v>432.344</v>
      </c>
      <c r="I103" s="12" t="n">
        <v>459.184</v>
      </c>
      <c r="J103" s="12" t="n">
        <v>313.057</v>
      </c>
      <c r="K103" s="12" t="n">
        <v>393.489</v>
      </c>
      <c r="L103" s="12" t="n">
        <v>463.874</v>
      </c>
      <c r="M103" s="12" t="n">
        <v>487.068</v>
      </c>
      <c r="N103" s="12" t="n">
        <v>408.691</v>
      </c>
      <c r="T103" s="12" t="n">
        <v>313.69</v>
      </c>
      <c r="U103" s="12" t="n">
        <v>397.886</v>
      </c>
      <c r="V103" s="12" t="n">
        <v>425.6</v>
      </c>
      <c r="W103" s="12" t="n">
        <v>459.184</v>
      </c>
      <c r="X103" s="12" t="n">
        <v>487.068</v>
      </c>
    </row>
    <row r="104">
      <c r="A104" s="45" t="inlineStr">
        <is>
          <t>YoY</t>
        </is>
      </c>
      <c r="B104" s="3" t="inlineStr">
        <is>
          <t>전년 같은 분기·전년 대비</t>
        </is>
      </c>
      <c r="G104" s="17">
        <f>IF(OR(G103="",C103=""),"",IF(C103&lt;=0,"",IFERROR(G103/C103-1,"")))</f>
        <v/>
      </c>
      <c r="H104" s="17">
        <f>IF(OR(H103="",D103=""),"",IF(D103&lt;=0,"",IFERROR(H103/D103-1,"")))</f>
        <v/>
      </c>
      <c r="I104" s="17">
        <f>IF(OR(I103="",E103=""),"",IF(E103&lt;=0,"",IFERROR(I103/E103-1,"")))</f>
        <v/>
      </c>
      <c r="J104" s="17">
        <f>IF(OR(J103="",F103=""),"",IF(F103&lt;=0,"",IFERROR(J103/F103-1,"")))</f>
        <v/>
      </c>
      <c r="K104" s="17">
        <f>IF(OR(K103="",G103=""),"",IF(G103&lt;=0,"",IFERROR(K103/G103-1,"")))</f>
        <v/>
      </c>
      <c r="L104" s="17">
        <f>IF(OR(L103="",H103=""),"",IF(H103&lt;=0,"",IFERROR(L103/H103-1,"")))</f>
        <v/>
      </c>
      <c r="M104" s="17">
        <f>IF(OR(M103="",I103=""),"",IF(I103&lt;=0,"",IFERROR(M103/I103-1,"")))</f>
        <v/>
      </c>
      <c r="N104" s="17">
        <f>IF(OR(N103="",J103=""),"",IF(J103&lt;=0,"",IFERROR(N103/J103-1,"")))</f>
        <v/>
      </c>
      <c r="T104" s="17">
        <f>IF(OR(T103="",S103=""),"",IF(S103&lt;=0,"",IFERROR(T103/S103-1,"")))</f>
        <v/>
      </c>
      <c r="U104" s="17">
        <f>IF(OR(U103="",T103=""),"",IF(T103&lt;=0,"",IFERROR(U103/T103-1,"")))</f>
        <v/>
      </c>
      <c r="V104" s="17">
        <f>IF(OR(V103="",U103=""),"",IF(U103&lt;=0,"",IFERROR(V103/U103-1,"")))</f>
        <v/>
      </c>
      <c r="W104" s="17">
        <f>IF(OR(W103="",V103=""),"",IF(V103&lt;=0,"",IFERROR(W103/V103-1,"")))</f>
        <v/>
      </c>
      <c r="X104" s="17">
        <f>IF(OR(X103="",W103=""),"",IF(W103&lt;=0,"",IFERROR(X103/W103-1,"")))</f>
        <v/>
      </c>
    </row>
    <row r="105">
      <c r="A105" s="20" t="inlineStr">
        <is>
          <t>고정자산 제각손실</t>
        </is>
      </c>
      <c r="T105" s="22" t="n">
        <v>74.684</v>
      </c>
      <c r="U105" s="22" t="n">
        <v>0</v>
      </c>
    </row>
    <row r="106">
      <c r="A106" s="20" t="inlineStr">
        <is>
          <t>Head Office Transfer Cost EL</t>
        </is>
      </c>
      <c r="F106" s="22" t="n">
        <v>0</v>
      </c>
      <c r="G106" s="22" t="n">
        <v>0</v>
      </c>
      <c r="H106" s="22" t="n">
        <v>0</v>
      </c>
      <c r="I106" s="22" t="n">
        <v>25.66</v>
      </c>
      <c r="J106" s="22" t="n">
        <v>98.15300000000001</v>
      </c>
      <c r="K106" s="22" t="n">
        <v>14.102</v>
      </c>
      <c r="L106" s="22" t="n">
        <v>0</v>
      </c>
      <c r="M106" s="22" t="n">
        <v>0</v>
      </c>
      <c r="N106" s="22" t="n">
        <v>0</v>
      </c>
      <c r="W106" s="22" t="n">
        <v>25.66</v>
      </c>
      <c r="X106" s="22" t="n">
        <v>0</v>
      </c>
    </row>
    <row r="107">
      <c r="A107" s="20" t="inlineStr">
        <is>
          <t>특별손실 합계</t>
        </is>
      </c>
      <c r="F107" s="22" t="n">
        <v>0</v>
      </c>
      <c r="G107" s="22" t="n">
        <v>0</v>
      </c>
      <c r="H107" s="22" t="n">
        <v>0</v>
      </c>
      <c r="I107" s="22" t="n">
        <v>25.66</v>
      </c>
      <c r="J107" s="22" t="n">
        <v>98.15300000000001</v>
      </c>
      <c r="K107" s="22" t="n">
        <v>14.102</v>
      </c>
      <c r="L107" s="22" t="n">
        <v>0</v>
      </c>
      <c r="M107" s="22" t="n">
        <v>53.629</v>
      </c>
      <c r="N107" s="22" t="n">
        <v>0</v>
      </c>
      <c r="T107" s="22" t="n">
        <v>74.684</v>
      </c>
      <c r="U107" s="22" t="n">
        <v>0</v>
      </c>
      <c r="W107" s="22" t="n">
        <v>25.66</v>
      </c>
      <c r="X107" s="22" t="n">
        <v>53.629</v>
      </c>
    </row>
    <row r="108">
      <c r="A108" s="9" t="inlineStr">
        <is>
          <t>법인세차감전 순이익</t>
        </is>
      </c>
      <c r="C108" s="12" t="n">
        <v>246.755</v>
      </c>
      <c r="D108" s="12" t="n">
        <v>269.224</v>
      </c>
      <c r="E108" s="12" t="n">
        <v>80.37</v>
      </c>
      <c r="F108" s="12" t="n">
        <v>148.132</v>
      </c>
      <c r="G108" s="12" t="n">
        <v>408.72</v>
      </c>
      <c r="H108" s="12" t="n">
        <v>432.344</v>
      </c>
      <c r="I108" s="12" t="n">
        <v>433.523</v>
      </c>
      <c r="J108" s="12" t="n">
        <v>214.903</v>
      </c>
      <c r="K108" s="12" t="n">
        <v>379.388</v>
      </c>
      <c r="L108" s="12" t="n">
        <v>463.873</v>
      </c>
      <c r="M108" s="12" t="n">
        <v>433.44</v>
      </c>
      <c r="N108" s="12" t="n">
        <v>408.691</v>
      </c>
      <c r="T108" s="12" t="n">
        <v>239.006</v>
      </c>
      <c r="U108" s="12" t="n">
        <v>397.886</v>
      </c>
      <c r="V108" s="12" t="n">
        <v>80.37</v>
      </c>
      <c r="W108" s="12" t="n">
        <v>433.523</v>
      </c>
      <c r="X108" s="12" t="n">
        <v>433.44</v>
      </c>
    </row>
    <row r="109">
      <c r="A109" s="20" t="inlineStr">
        <is>
          <t>법인세·주민세·사업세</t>
        </is>
      </c>
      <c r="C109" s="22" t="n">
        <v>110.668</v>
      </c>
      <c r="D109" s="22" t="n">
        <v>46.047</v>
      </c>
      <c r="E109" s="22" t="n">
        <v>178.231</v>
      </c>
      <c r="F109" s="22" t="n">
        <v>5.499</v>
      </c>
      <c r="G109" s="22" t="n">
        <v>156.627</v>
      </c>
      <c r="H109" s="22" t="n">
        <v>50.383</v>
      </c>
      <c r="I109" s="22" t="n">
        <v>214.591</v>
      </c>
      <c r="J109" s="22" t="n">
        <v>2.379</v>
      </c>
      <c r="K109" s="22" t="n">
        <v>147.932</v>
      </c>
      <c r="L109" s="22" t="n">
        <v>93.529</v>
      </c>
      <c r="M109" s="22" t="n">
        <v>257.076</v>
      </c>
      <c r="N109" s="22" t="n">
        <v>9.175000000000001</v>
      </c>
      <c r="T109" s="22" t="n">
        <v>132.437</v>
      </c>
      <c r="U109" s="22" t="n">
        <v>179.891</v>
      </c>
      <c r="V109" s="22" t="n">
        <v>178.231</v>
      </c>
      <c r="W109" s="22" t="n">
        <v>214.591</v>
      </c>
      <c r="X109" s="22" t="n">
        <v>257.076</v>
      </c>
    </row>
    <row r="110">
      <c r="A110" s="20" t="inlineStr">
        <is>
          <t>법인세 조정액</t>
        </is>
      </c>
      <c r="C110" s="22" t="n">
        <v>-29.458</v>
      </c>
      <c r="D110" s="22" t="n">
        <v>43.431</v>
      </c>
      <c r="E110" s="22" t="n">
        <v>-154.812</v>
      </c>
      <c r="F110" s="22" t="n">
        <v>38.734</v>
      </c>
      <c r="G110" s="22" t="n">
        <v>-53.302</v>
      </c>
      <c r="H110" s="22" t="n">
        <v>86.83499999999999</v>
      </c>
      <c r="I110" s="22" t="n">
        <v>-46.333</v>
      </c>
      <c r="J110" s="22" t="n">
        <v>87.83499999999999</v>
      </c>
      <c r="K110" s="22" t="n">
        <v>-19.408</v>
      </c>
      <c r="L110" s="22" t="n">
        <v>57.093</v>
      </c>
      <c r="M110" s="22" t="n">
        <v>-124.676</v>
      </c>
      <c r="N110" s="22" t="n">
        <v>130.019</v>
      </c>
      <c r="T110" s="22" t="n">
        <v>-53.246</v>
      </c>
      <c r="U110" s="22" t="n">
        <v>-57.59</v>
      </c>
      <c r="V110" s="22" t="n">
        <v>-154.812</v>
      </c>
      <c r="W110" s="22" t="n">
        <v>-46.333</v>
      </c>
      <c r="X110" s="22" t="n">
        <v>-124.676</v>
      </c>
    </row>
    <row r="111">
      <c r="A111" s="20" t="inlineStr">
        <is>
          <t>법인세 등 합계</t>
        </is>
      </c>
      <c r="C111" s="22" t="n">
        <v>81.20999999999999</v>
      </c>
      <c r="D111" s="22" t="n">
        <v>89.479</v>
      </c>
      <c r="E111" s="22" t="n">
        <v>23.418</v>
      </c>
      <c r="F111" s="22" t="n">
        <v>44.234</v>
      </c>
      <c r="G111" s="22" t="n">
        <v>103.324</v>
      </c>
      <c r="H111" s="22" t="n">
        <v>137.218</v>
      </c>
      <c r="I111" s="22" t="n">
        <v>168.259</v>
      </c>
      <c r="J111" s="22" t="n">
        <v>90.215</v>
      </c>
      <c r="K111" s="22" t="n">
        <v>128.524</v>
      </c>
      <c r="L111" s="22" t="n">
        <v>150.622</v>
      </c>
      <c r="M111" s="22" t="n">
        <v>132.399</v>
      </c>
      <c r="N111" s="22" t="n">
        <v>139.195</v>
      </c>
      <c r="T111" s="22" t="n">
        <v>79.19</v>
      </c>
      <c r="U111" s="22" t="n">
        <v>122.301</v>
      </c>
      <c r="V111" s="22" t="n">
        <v>23.418</v>
      </c>
      <c r="W111" s="22" t="n">
        <v>168.259</v>
      </c>
      <c r="X111" s="22" t="n">
        <v>132.399</v>
      </c>
    </row>
    <row r="112">
      <c r="A112" s="9" t="inlineStr">
        <is>
          <t>순이익</t>
        </is>
      </c>
      <c r="C112" s="12" t="n">
        <v>165.545</v>
      </c>
      <c r="D112" s="12" t="n">
        <v>179.746</v>
      </c>
      <c r="E112" s="12" t="n">
        <v>56.952</v>
      </c>
      <c r="F112" s="12" t="n">
        <v>103.897</v>
      </c>
      <c r="G112" s="12" t="n">
        <v>305.396</v>
      </c>
      <c r="H112" s="12" t="n">
        <v>295.126</v>
      </c>
      <c r="I112" s="12" t="n">
        <v>265.265</v>
      </c>
      <c r="J112" s="12" t="n">
        <v>124.688</v>
      </c>
      <c r="K112" s="12" t="n">
        <v>250.864</v>
      </c>
      <c r="L112" s="12" t="n">
        <v>313.251</v>
      </c>
      <c r="M112" s="12" t="n">
        <v>301.04</v>
      </c>
      <c r="N112" s="12" t="n">
        <v>269.495</v>
      </c>
      <c r="T112" s="12" t="n">
        <v>159.816</v>
      </c>
      <c r="U112" s="12" t="n">
        <v>275.585</v>
      </c>
      <c r="V112" s="12" t="n">
        <v>56.952</v>
      </c>
      <c r="W112" s="12" t="n">
        <v>265.265</v>
      </c>
      <c r="X112" s="12" t="n">
        <v>301.04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IF(OR(G112="",C112=""),"",IF(C112&lt;=0,"",IFERROR(G112/C112-1,"")))</f>
        <v/>
      </c>
      <c r="H113" s="17">
        <f>IF(OR(H112="",D112=""),"",IF(D112&lt;=0,"",IFERROR(H112/D112-1,"")))</f>
        <v/>
      </c>
      <c r="I113" s="17">
        <f>IF(OR(I112="",E112=""),"",IF(E112&lt;=0,"",IFERROR(I112/E112-1,"")))</f>
        <v/>
      </c>
      <c r="J113" s="17">
        <f>IF(OR(J112="",F112=""),"",IF(F112&lt;=0,"",IFERROR(J112/F112-1,"")))</f>
        <v/>
      </c>
      <c r="K113" s="17">
        <f>IF(OR(K112="",G112=""),"",IF(G112&lt;=0,"",IFERROR(K112/G112-1,"")))</f>
        <v/>
      </c>
      <c r="L113" s="17">
        <f>IF(OR(L112="",H112=""),"",IF(H112&lt;=0,"",IFERROR(L112/H112-1,"")))</f>
        <v/>
      </c>
      <c r="M113" s="17">
        <f>IF(OR(M112="",I112=""),"",IF(I112&lt;=0,"",IFERROR(M112/I112-1,"")))</f>
        <v/>
      </c>
      <c r="N113" s="17">
        <f>IF(OR(N112="",J112=""),"",IF(J112&lt;=0,"",IFERROR(N112/J112-1,"")))</f>
        <v/>
      </c>
      <c r="T113" s="17">
        <f>IF(OR(T112="",S112=""),"",IF(S112&lt;=0,"",IFERROR(T112/S112-1,"")))</f>
        <v/>
      </c>
      <c r="U113" s="17">
        <f>IF(OR(U112="",T112=""),"",IF(T112&lt;=0,"",IFERROR(U112/T112-1,"")))</f>
        <v/>
      </c>
      <c r="V113" s="17">
        <f>IF(OR(V112="",U112=""),"",IF(U112&lt;=0,"",IFERROR(V112/U112-1,"")))</f>
        <v/>
      </c>
      <c r="W113" s="17">
        <f>IF(OR(W112="",V112=""),"",IF(V112&lt;=0,"",IFERROR(W112/V112-1,"")))</f>
        <v/>
      </c>
      <c r="X113" s="17">
        <f>IF(OR(X112="",W112=""),"",IF(W112&lt;=0,"",IFERROR(X112/W112-1,"")))</f>
        <v/>
      </c>
    </row>
    <row r="114">
      <c r="A114" s="9" t="inlineStr">
        <is>
          <t>지배주주 순이익</t>
        </is>
      </c>
      <c r="C114" s="12" t="n">
        <v>165.545</v>
      </c>
      <c r="D114" s="12" t="n">
        <v>179.746</v>
      </c>
      <c r="E114" s="12" t="n">
        <v>56.952</v>
      </c>
      <c r="F114" s="12" t="n">
        <v>103.897</v>
      </c>
      <c r="G114" s="12" t="n">
        <v>305.396</v>
      </c>
      <c r="H114" s="12" t="n">
        <v>295.126</v>
      </c>
      <c r="I114" s="12" t="n">
        <v>265.265</v>
      </c>
      <c r="J114" s="12" t="n">
        <v>124.688</v>
      </c>
      <c r="K114" s="12" t="n">
        <v>250.864</v>
      </c>
      <c r="L114" s="12" t="n">
        <v>313.251</v>
      </c>
      <c r="M114" s="12" t="n">
        <v>301.04</v>
      </c>
      <c r="N114" s="12" t="n">
        <v>269.495</v>
      </c>
      <c r="T114" s="12" t="n">
        <v>159.816</v>
      </c>
      <c r="U114" s="12" t="n">
        <v>275.585</v>
      </c>
      <c r="V114" s="12" t="n">
        <v>56.952</v>
      </c>
      <c r="W114" s="12" t="n">
        <v>265.265</v>
      </c>
      <c r="X114" s="12" t="n">
        <v>301.04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IF(OR(G114="",C114=""),"",IF(C114&lt;=0,"",IFERROR(G114/C114-1,"")))</f>
        <v/>
      </c>
      <c r="H115" s="17">
        <f>IF(OR(H114="",D114=""),"",IF(D114&lt;=0,"",IFERROR(H114/D114-1,"")))</f>
        <v/>
      </c>
      <c r="I115" s="17">
        <f>IF(OR(I114="",E114=""),"",IF(E114&lt;=0,"",IFERROR(I114/E114-1,"")))</f>
        <v/>
      </c>
      <c r="J115" s="17">
        <f>IF(OR(J114="",F114=""),"",IF(F114&lt;=0,"",IFERROR(J114/F114-1,"")))</f>
        <v/>
      </c>
      <c r="K115" s="17">
        <f>IF(OR(K114="",G114=""),"",IF(G114&lt;=0,"",IFERROR(K114/G114-1,"")))</f>
        <v/>
      </c>
      <c r="L115" s="17">
        <f>IF(OR(L114="",H114=""),"",IF(H114&lt;=0,"",IFERROR(L114/H114-1,"")))</f>
        <v/>
      </c>
      <c r="M115" s="17">
        <f>IF(OR(M114="",I114=""),"",IF(I114&lt;=0,"",IFERROR(M114/I114-1,"")))</f>
        <v/>
      </c>
      <c r="N115" s="17">
        <f>IF(OR(N114="",J114=""),"",IF(J114&lt;=0,"",IFERROR(N114/J114-1,"")))</f>
        <v/>
      </c>
      <c r="T115" s="17">
        <f>IF(OR(T114="",S114=""),"",IF(S114&lt;=0,"",IFERROR(T114/S114-1,"")))</f>
        <v/>
      </c>
      <c r="U115" s="17">
        <f>IF(OR(U114="",T114=""),"",IF(T114&lt;=0,"",IFERROR(U114/T114-1,"")))</f>
        <v/>
      </c>
      <c r="V115" s="17">
        <f>IF(OR(V114="",U114=""),"",IF(U114&lt;=0,"",IFERROR(V114/U114-1,"")))</f>
        <v/>
      </c>
      <c r="W115" s="17">
        <f>IF(OR(W114="",V114=""),"",IF(V114&lt;=0,"",IFERROR(W114/V114-1,"")))</f>
        <v/>
      </c>
      <c r="X115" s="17">
        <f>IF(OR(X114="",W114=""),"",IF(W114&lt;=0,"",IFERROR(X114/W114-1,"")))</f>
        <v/>
      </c>
    </row>
    <row r="117">
      <c r="A117" s="18" t="inlineStr">
        <is>
          <t>포괄손익 · 전 항목</t>
        </is>
      </c>
      <c r="B117" s="44" t="inlineStr">
        <is>
          <t>분기 = 3개월 단독</t>
        </is>
      </c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</row>
    <row r="118">
      <c r="A118" s="5" t="inlineStr">
        <is>
          <t>항목</t>
        </is>
      </c>
      <c r="B118" s="5" t="inlineStr">
        <is>
          <t>참고</t>
        </is>
      </c>
      <c r="C118" s="5" t="inlineStr">
        <is>
          <t>2024.2Q</t>
        </is>
      </c>
      <c r="D118" s="5" t="inlineStr">
        <is>
          <t>2024.3Q</t>
        </is>
      </c>
      <c r="E118" s="5" t="inlineStr">
        <is>
          <t>2024.4Q</t>
        </is>
      </c>
      <c r="F118" s="5" t="inlineStr">
        <is>
          <t>2025.1Q</t>
        </is>
      </c>
      <c r="G118" s="5" t="inlineStr">
        <is>
          <t>2025.2Q</t>
        </is>
      </c>
      <c r="H118" s="5" t="inlineStr">
        <is>
          <t>2025.3Q</t>
        </is>
      </c>
      <c r="I118" s="5" t="inlineStr">
        <is>
          <t>2025.4Q</t>
        </is>
      </c>
      <c r="J118" s="5" t="inlineStr">
        <is>
          <t>2026.1Q</t>
        </is>
      </c>
      <c r="K118" s="5" t="inlineStr">
        <is>
          <t>2026.2Q</t>
        </is>
      </c>
      <c r="L118" s="5" t="inlineStr">
        <is>
          <t>2026.3Q</t>
        </is>
      </c>
      <c r="M118" s="5" t="inlineStr">
        <is>
          <t>2026.4Q</t>
        </is>
      </c>
      <c r="N118" s="5" t="inlineStr">
        <is>
          <t>2027.1Q</t>
        </is>
      </c>
      <c r="O118" s="5" t="inlineStr">
        <is>
          <t>2017</t>
        </is>
      </c>
      <c r="P118" s="5" t="inlineStr">
        <is>
          <t>2018</t>
        </is>
      </c>
      <c r="Q118" s="5" t="inlineStr">
        <is>
          <t>2019</t>
        </is>
      </c>
      <c r="R118" s="5" t="inlineStr">
        <is>
          <t>2020</t>
        </is>
      </c>
      <c r="S118" s="5" t="inlineStr">
        <is>
          <t>2021</t>
        </is>
      </c>
      <c r="T118" s="5" t="inlineStr">
        <is>
          <t>2022</t>
        </is>
      </c>
      <c r="U118" s="5" t="inlineStr">
        <is>
          <t>2023</t>
        </is>
      </c>
      <c r="V118" s="5" t="inlineStr">
        <is>
          <t>2024</t>
        </is>
      </c>
      <c r="W118" s="5" t="inlineStr">
        <is>
          <t>2025</t>
        </is>
      </c>
      <c r="X118" s="5" t="inlineStr">
        <is>
          <t>2026</t>
        </is>
      </c>
      <c r="Y118" s="5" t="inlineStr">
        <is>
          <t>2027(MW)</t>
        </is>
      </c>
      <c r="Z118" s="5" t="inlineStr">
        <is>
          <t>2028(MW)</t>
        </is>
      </c>
      <c r="AA118" s="5" t="inlineStr">
        <is>
          <t>2029(MW)</t>
        </is>
      </c>
      <c r="AB118" s="5" t="inlineStr">
        <is>
          <t>2030(MW)</t>
        </is>
      </c>
      <c r="AC118" s="5" t="inlineStr">
        <is>
          <t>2031(MW)</t>
        </is>
      </c>
    </row>
    <row r="119">
      <c r="A119" s="9" t="inlineStr">
        <is>
          <t>순이익</t>
        </is>
      </c>
      <c r="C119" s="12" t="n">
        <v>165.545</v>
      </c>
      <c r="D119" s="12" t="n">
        <v>179.746</v>
      </c>
      <c r="E119" s="12" t="n">
        <v>56.952</v>
      </c>
      <c r="F119" s="12" t="n">
        <v>103.897</v>
      </c>
      <c r="G119" s="12" t="n">
        <v>305.396</v>
      </c>
      <c r="H119" s="12" t="n">
        <v>295.126</v>
      </c>
      <c r="I119" s="12" t="n">
        <v>265.265</v>
      </c>
      <c r="J119" s="12" t="n">
        <v>124.688</v>
      </c>
      <c r="K119" s="12" t="n">
        <v>250.864</v>
      </c>
      <c r="L119" s="12" t="n">
        <v>313.251</v>
      </c>
      <c r="M119" s="12" t="n">
        <v>301.04</v>
      </c>
      <c r="N119" s="12" t="n">
        <v>269.495</v>
      </c>
      <c r="T119" s="12" t="n">
        <v>159.816</v>
      </c>
      <c r="U119" s="12" t="n">
        <v>275.585</v>
      </c>
      <c r="V119" s="12" t="n">
        <v>56.952</v>
      </c>
      <c r="W119" s="12" t="n">
        <v>265.265</v>
      </c>
      <c r="X119" s="12" t="n">
        <v>301.04</v>
      </c>
    </row>
    <row r="120">
      <c r="A120" s="20" t="inlineStr">
        <is>
          <t>기타유가증권 평가차액</t>
        </is>
      </c>
      <c r="H120" s="22" t="n">
        <v>0</v>
      </c>
      <c r="I120" s="22" t="n">
        <v>0</v>
      </c>
      <c r="J120" s="22" t="n">
        <v>0</v>
      </c>
      <c r="K120" s="22" t="n">
        <v>-1.7</v>
      </c>
      <c r="L120" s="22" t="n">
        <v>7.063</v>
      </c>
      <c r="M120" s="22" t="n">
        <v>-3.678</v>
      </c>
      <c r="N120" s="22" t="n">
        <v>-0.5590000000000001</v>
      </c>
      <c r="W120" s="22" t="n">
        <v>0</v>
      </c>
      <c r="X120" s="22" t="n">
        <v>-3.678</v>
      </c>
    </row>
    <row r="121">
      <c r="A121" s="20" t="inlineStr">
        <is>
          <t>해외사업환산조정</t>
        </is>
      </c>
      <c r="C121" s="22" t="n">
        <v>0.44</v>
      </c>
      <c r="D121" s="22" t="n">
        <v>0.235</v>
      </c>
      <c r="E121" s="22" t="n">
        <v>-0.343</v>
      </c>
      <c r="F121" s="22" t="n">
        <v>0.429</v>
      </c>
      <c r="G121" s="22" t="n">
        <v>0.443</v>
      </c>
      <c r="H121" s="22" t="n">
        <v>-4.185</v>
      </c>
      <c r="I121" s="22" t="n">
        <v>4.049</v>
      </c>
      <c r="J121" s="22" t="n">
        <v>-0.434</v>
      </c>
      <c r="K121" s="22" t="n">
        <v>-0.243</v>
      </c>
      <c r="L121" s="22" t="n">
        <v>0.211</v>
      </c>
      <c r="M121" s="22" t="n">
        <v>0.433</v>
      </c>
      <c r="N121" s="22" t="n">
        <v>0.197</v>
      </c>
      <c r="T121" s="22" t="n">
        <v>0.234</v>
      </c>
      <c r="U121" s="22" t="n">
        <v>0.07199999999999999</v>
      </c>
      <c r="V121" s="22" t="n">
        <v>-0.343</v>
      </c>
      <c r="W121" s="22" t="n">
        <v>4.049</v>
      </c>
      <c r="X121" s="22" t="n">
        <v>0.433</v>
      </c>
    </row>
    <row r="122">
      <c r="A122" s="20" t="inlineStr">
        <is>
          <t>기타포괄손익 합계</t>
        </is>
      </c>
      <c r="C122" s="22" t="n">
        <v>0.44</v>
      </c>
      <c r="D122" s="22" t="n">
        <v>0.235</v>
      </c>
      <c r="E122" s="22" t="n">
        <v>-0.343</v>
      </c>
      <c r="F122" s="22" t="n">
        <v>0.429</v>
      </c>
      <c r="G122" s="22" t="n">
        <v>0.443</v>
      </c>
      <c r="H122" s="22" t="n">
        <v>-4.185</v>
      </c>
      <c r="I122" s="22" t="n">
        <v>0.721</v>
      </c>
      <c r="J122" s="22" t="n">
        <v>-0.434</v>
      </c>
      <c r="K122" s="22" t="n">
        <v>-1.943</v>
      </c>
      <c r="L122" s="22" t="n">
        <v>7.273</v>
      </c>
      <c r="M122" s="22" t="n">
        <v>-3.244</v>
      </c>
      <c r="N122" s="22" t="n">
        <v>-0.361</v>
      </c>
      <c r="T122" s="22" t="n">
        <v>0.234</v>
      </c>
      <c r="U122" s="22" t="n">
        <v>0.07199999999999999</v>
      </c>
      <c r="V122" s="22" t="n">
        <v>-0.343</v>
      </c>
      <c r="W122" s="22" t="n">
        <v>0.721</v>
      </c>
      <c r="X122" s="22" t="n">
        <v>-3.244</v>
      </c>
    </row>
    <row r="123">
      <c r="A123" s="9" t="inlineStr">
        <is>
          <t>포괄이익</t>
        </is>
      </c>
      <c r="C123" s="12" t="n">
        <v>165.985</v>
      </c>
      <c r="D123" s="12" t="n">
        <v>179.98</v>
      </c>
      <c r="E123" s="12" t="n">
        <v>56.61</v>
      </c>
      <c r="F123" s="12" t="n">
        <v>104.327</v>
      </c>
      <c r="G123" s="12" t="n">
        <v>305.839</v>
      </c>
      <c r="H123" s="12" t="n">
        <v>290.94</v>
      </c>
      <c r="I123" s="12" t="n">
        <v>265.985</v>
      </c>
      <c r="J123" s="12" t="n">
        <v>124.253</v>
      </c>
      <c r="K123" s="12" t="n">
        <v>248.922</v>
      </c>
      <c r="L123" s="12" t="n">
        <v>320.525</v>
      </c>
      <c r="M123" s="12" t="n">
        <v>297.795</v>
      </c>
      <c r="N123" s="12" t="n">
        <v>269.134</v>
      </c>
      <c r="T123" s="12" t="n">
        <v>160.049</v>
      </c>
      <c r="U123" s="12" t="n">
        <v>275.656</v>
      </c>
      <c r="V123" s="12" t="n">
        <v>56.61</v>
      </c>
      <c r="W123" s="12" t="n">
        <v>265.985</v>
      </c>
      <c r="X123" s="12" t="n">
        <v>297.795</v>
      </c>
    </row>
    <row r="124">
      <c r="A124" s="9" t="inlineStr">
        <is>
          <t>지배주주 포괄이익</t>
        </is>
      </c>
      <c r="C124" s="12" t="n">
        <v>165.985</v>
      </c>
      <c r="D124" s="12" t="n">
        <v>179.98</v>
      </c>
      <c r="E124" s="12" t="n">
        <v>56.61</v>
      </c>
      <c r="F124" s="12" t="n">
        <v>104.327</v>
      </c>
      <c r="G124" s="12" t="n">
        <v>305.839</v>
      </c>
      <c r="H124" s="12" t="n">
        <v>290.94</v>
      </c>
      <c r="I124" s="12" t="n">
        <v>265.985</v>
      </c>
      <c r="J124" s="12" t="n">
        <v>124.253</v>
      </c>
      <c r="K124" s="12" t="n">
        <v>248.922</v>
      </c>
      <c r="L124" s="12" t="n">
        <v>320.525</v>
      </c>
      <c r="M124" s="12" t="n">
        <v>297.795</v>
      </c>
      <c r="N124" s="12" t="n">
        <v>269.134</v>
      </c>
      <c r="T124" s="12" t="n">
        <v>160.049</v>
      </c>
      <c r="U124" s="12" t="n">
        <v>275.656</v>
      </c>
      <c r="V124" s="12" t="n">
        <v>56.61</v>
      </c>
      <c r="W124" s="12" t="n">
        <v>265.985</v>
      </c>
      <c r="X124" s="12" t="n">
        <v>297.795</v>
      </c>
    </row>
    <row r="126">
      <c r="A126" s="18" t="inlineStr">
        <is>
          <t>현금흐름표 · 전 항목</t>
        </is>
      </c>
      <c r="B126" s="44" t="inlineStr">
        <is>
          <t>분기 = 결산기 첫날부터 누계(공시 그대로)</t>
        </is>
      </c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2024.2Q</t>
        </is>
      </c>
      <c r="D127" s="5" t="inlineStr">
        <is>
          <t>2024.3Q</t>
        </is>
      </c>
      <c r="E127" s="5" t="inlineStr">
        <is>
          <t>2024.4Q</t>
        </is>
      </c>
      <c r="F127" s="5" t="inlineStr">
        <is>
          <t>2025.1Q</t>
        </is>
      </c>
      <c r="G127" s="5" t="inlineStr">
        <is>
          <t>2025.2Q</t>
        </is>
      </c>
      <c r="H127" s="5" t="inlineStr">
        <is>
          <t>2025.3Q</t>
        </is>
      </c>
      <c r="I127" s="5" t="inlineStr">
        <is>
          <t>2025.4Q</t>
        </is>
      </c>
      <c r="J127" s="5" t="inlineStr">
        <is>
          <t>2026.1Q</t>
        </is>
      </c>
      <c r="K127" s="5" t="inlineStr">
        <is>
          <t>2026.2Q</t>
        </is>
      </c>
      <c r="L127" s="5" t="inlineStr">
        <is>
          <t>2026.3Q</t>
        </is>
      </c>
      <c r="M127" s="5" t="inlineStr">
        <is>
          <t>2026.4Q</t>
        </is>
      </c>
      <c r="N127" s="5" t="inlineStr">
        <is>
          <t>2027.1Q</t>
        </is>
      </c>
      <c r="O127" s="5" t="inlineStr">
        <is>
          <t>2017</t>
        </is>
      </c>
      <c r="P127" s="5" t="inlineStr">
        <is>
          <t>2018</t>
        </is>
      </c>
      <c r="Q127" s="5" t="inlineStr">
        <is>
          <t>2019</t>
        </is>
      </c>
      <c r="R127" s="5" t="inlineStr">
        <is>
          <t>2020</t>
        </is>
      </c>
      <c r="S127" s="5" t="inlineStr">
        <is>
          <t>2021</t>
        </is>
      </c>
      <c r="T127" s="5" t="inlineStr">
        <is>
          <t>2022</t>
        </is>
      </c>
      <c r="U127" s="5" t="inlineStr">
        <is>
          <t>2023</t>
        </is>
      </c>
      <c r="V127" s="5" t="inlineStr">
        <is>
          <t>2024</t>
        </is>
      </c>
      <c r="W127" s="5" t="inlineStr">
        <is>
          <t>2025</t>
        </is>
      </c>
      <c r="X127" s="5" t="inlineStr">
        <is>
          <t>2026</t>
        </is>
      </c>
      <c r="Y127" s="5" t="inlineStr">
        <is>
          <t>2027(MW)</t>
        </is>
      </c>
      <c r="Z127" s="5" t="inlineStr">
        <is>
          <t>2028(MW)</t>
        </is>
      </c>
      <c r="AA127" s="5" t="inlineStr">
        <is>
          <t>2029(MW)</t>
        </is>
      </c>
      <c r="AB127" s="5" t="inlineStr">
        <is>
          <t>2030(MW)</t>
        </is>
      </c>
      <c r="AC127" s="5" t="inlineStr">
        <is>
          <t>2031(MW)</t>
        </is>
      </c>
    </row>
    <row r="128">
      <c r="A128" s="9" t="inlineStr">
        <is>
          <t>법인세차감전 순이익</t>
        </is>
      </c>
      <c r="C128" s="12" t="n">
        <v>426.554</v>
      </c>
      <c r="E128" s="12" t="n">
        <v>776.148</v>
      </c>
      <c r="G128" s="12" t="n">
        <v>556.852</v>
      </c>
      <c r="I128" s="12" t="n">
        <v>1422.719</v>
      </c>
      <c r="K128" s="12" t="n">
        <v>594.2910000000001</v>
      </c>
      <c r="M128" s="12" t="n">
        <v>1491.604</v>
      </c>
      <c r="R128" s="12" t="n">
        <v>521.721</v>
      </c>
      <c r="S128" s="12" t="n">
        <v>630.394</v>
      </c>
      <c r="T128" s="12" t="n">
        <v>797.792</v>
      </c>
      <c r="U128" s="12" t="n">
        <v>1065.587</v>
      </c>
      <c r="V128" s="12" t="n">
        <v>776.148</v>
      </c>
      <c r="W128" s="12" t="n">
        <v>1422.719</v>
      </c>
      <c r="X128" s="12" t="n">
        <v>1491.604</v>
      </c>
    </row>
    <row r="129">
      <c r="A129" s="20" t="inlineStr">
        <is>
          <t>감가상각비</t>
        </is>
      </c>
      <c r="C129" s="22" t="n">
        <v>290.191</v>
      </c>
      <c r="E129" s="22" t="n">
        <v>591.528</v>
      </c>
      <c r="G129" s="22" t="n">
        <v>249.814</v>
      </c>
      <c r="I129" s="22" t="n">
        <v>571.92</v>
      </c>
      <c r="K129" s="22" t="n">
        <v>291.956</v>
      </c>
      <c r="M129" s="22" t="n">
        <v>583.325</v>
      </c>
      <c r="R129" s="22" t="n">
        <v>303.653</v>
      </c>
      <c r="S129" s="22" t="n">
        <v>364.43</v>
      </c>
      <c r="T129" s="22" t="n">
        <v>501.812</v>
      </c>
      <c r="U129" s="22" t="n">
        <v>556.34</v>
      </c>
      <c r="V129" s="22" t="n">
        <v>591.528</v>
      </c>
      <c r="W129" s="22" t="n">
        <v>571.92</v>
      </c>
      <c r="X129" s="22" t="n">
        <v>583.325</v>
      </c>
    </row>
    <row r="130">
      <c r="A130" s="20" t="inlineStr">
        <is>
          <t>손상차손</t>
        </is>
      </c>
      <c r="E130" s="22" t="n">
        <v>345.23</v>
      </c>
      <c r="I130" s="22" t="n">
        <v>0</v>
      </c>
      <c r="R130" s="22" t="n">
        <v>15.323</v>
      </c>
      <c r="S130" s="22" t="n">
        <v>0</v>
      </c>
      <c r="U130" s="22" t="n">
        <v>0</v>
      </c>
      <c r="V130" s="22" t="n">
        <v>345.23</v>
      </c>
      <c r="W130" s="22" t="n">
        <v>0</v>
      </c>
    </row>
    <row r="131">
      <c r="A131" s="20" t="inlineStr">
        <is>
          <t>영업권 상각</t>
        </is>
      </c>
      <c r="C131" s="22" t="n">
        <v>6.279</v>
      </c>
      <c r="E131" s="22" t="n">
        <v>12.558</v>
      </c>
      <c r="G131" s="22" t="n">
        <v>6.279</v>
      </c>
      <c r="I131" s="22" t="n">
        <v>12.558</v>
      </c>
      <c r="K131" s="22" t="n">
        <v>6.279</v>
      </c>
      <c r="M131" s="22" t="n">
        <v>12.558</v>
      </c>
      <c r="R131" s="22" t="n">
        <v>0</v>
      </c>
      <c r="S131" s="22" t="n">
        <v>9.417999999999999</v>
      </c>
      <c r="T131" s="22" t="n">
        <v>12.558</v>
      </c>
      <c r="U131" s="22" t="n">
        <v>12.558</v>
      </c>
      <c r="V131" s="22" t="n">
        <v>12.558</v>
      </c>
      <c r="W131" s="22" t="n">
        <v>12.558</v>
      </c>
      <c r="X131" s="22" t="n">
        <v>12.558</v>
      </c>
    </row>
    <row r="132">
      <c r="A132" s="20" t="inlineStr">
        <is>
          <t>대손충당금 증감</t>
        </is>
      </c>
      <c r="C132" s="22" t="n">
        <v>0</v>
      </c>
      <c r="E132" s="22" t="n">
        <v>0</v>
      </c>
      <c r="G132" s="22" t="n">
        <v>6.139</v>
      </c>
      <c r="I132" s="22" t="n">
        <v>9.417</v>
      </c>
      <c r="K132" s="22" t="n">
        <v>-0.658</v>
      </c>
      <c r="M132" s="22" t="n">
        <v>-0.165</v>
      </c>
      <c r="T132" s="22" t="n">
        <v>-0.582</v>
      </c>
      <c r="U132" s="22" t="n">
        <v>3.091</v>
      </c>
      <c r="V132" s="22" t="n">
        <v>0</v>
      </c>
      <c r="W132" s="22" t="n">
        <v>9.417</v>
      </c>
      <c r="X132" s="22" t="n">
        <v>-0.165</v>
      </c>
    </row>
    <row r="133">
      <c r="A133" s="20" t="inlineStr">
        <is>
          <t>상여충당금 증감</t>
        </is>
      </c>
      <c r="C133" s="22" t="n">
        <v>-8.281000000000001</v>
      </c>
      <c r="E133" s="22" t="n">
        <v>-6.501</v>
      </c>
      <c r="G133" s="22" t="n">
        <v>24.236</v>
      </c>
      <c r="I133" s="22" t="n">
        <v>80.789</v>
      </c>
      <c r="K133" s="22" t="n">
        <v>-42.919</v>
      </c>
      <c r="M133" s="22" t="n">
        <v>63.588</v>
      </c>
      <c r="R133" s="22" t="n">
        <v>-6.745</v>
      </c>
      <c r="S133" s="22" t="n">
        <v>67.16800000000001</v>
      </c>
      <c r="T133" s="22" t="n">
        <v>-4.7</v>
      </c>
      <c r="U133" s="22" t="n">
        <v>-25.586</v>
      </c>
      <c r="V133" s="22" t="n">
        <v>-6.501</v>
      </c>
      <c r="W133" s="22" t="n">
        <v>80.789</v>
      </c>
      <c r="X133" s="22" t="n">
        <v>63.588</v>
      </c>
    </row>
    <row r="134">
      <c r="A134" s="20" t="inlineStr">
        <is>
          <t>임원 상여충당금 증감</t>
        </is>
      </c>
      <c r="C134" s="22" t="n">
        <v>-10.203</v>
      </c>
      <c r="E134" s="22" t="n">
        <v>-2.853</v>
      </c>
      <c r="G134" s="22" t="n">
        <v>-6.198</v>
      </c>
      <c r="I134" s="22" t="n">
        <v>15.258</v>
      </c>
      <c r="K134" s="22" t="n">
        <v>-18.104</v>
      </c>
      <c r="M134" s="22" t="n">
        <v>8.444000000000001</v>
      </c>
      <c r="R134" s="22" t="n">
        <v>-3.6</v>
      </c>
      <c r="S134" s="22" t="n">
        <v>24.697</v>
      </c>
      <c r="T134" s="22" t="n">
        <v>3.381</v>
      </c>
      <c r="U134" s="22" t="n">
        <v>-12.39</v>
      </c>
      <c r="V134" s="22" t="n">
        <v>-2.853</v>
      </c>
      <c r="W134" s="22" t="n">
        <v>15.258</v>
      </c>
      <c r="X134" s="22" t="n">
        <v>8.444000000000001</v>
      </c>
    </row>
    <row r="135">
      <c r="A135" s="20" t="inlineStr">
        <is>
          <t>주식급여 충당금 증감</t>
        </is>
      </c>
      <c r="G135" s="22" t="n">
        <v>0</v>
      </c>
      <c r="I135" s="22" t="n">
        <v>0</v>
      </c>
      <c r="K135" s="22" t="n">
        <v>26.09</v>
      </c>
      <c r="M135" s="22" t="n">
        <v>52.18</v>
      </c>
      <c r="W135" s="22" t="n">
        <v>0</v>
      </c>
      <c r="X135" s="22" t="n">
        <v>52.18</v>
      </c>
    </row>
    <row r="136">
      <c r="A136" s="20" t="inlineStr">
        <is>
          <t>임원 주식급여 충당금 증감</t>
        </is>
      </c>
      <c r="G136" s="22" t="n">
        <v>0</v>
      </c>
      <c r="I136" s="22" t="n">
        <v>0</v>
      </c>
      <c r="K136" s="22" t="n">
        <v>5.218</v>
      </c>
      <c r="M136" s="22" t="n">
        <v>10.957</v>
      </c>
      <c r="W136" s="22" t="n">
        <v>0</v>
      </c>
      <c r="X136" s="22" t="n">
        <v>10.957</v>
      </c>
    </row>
    <row r="137">
      <c r="A137" s="20" t="inlineStr">
        <is>
          <t>기타 충당금 증감</t>
        </is>
      </c>
      <c r="I137" s="22" t="n">
        <v>0</v>
      </c>
      <c r="M137" s="22" t="n">
        <v>24.269</v>
      </c>
      <c r="W137" s="22" t="n">
        <v>0</v>
      </c>
      <c r="X137" s="22" t="n">
        <v>24.269</v>
      </c>
    </row>
    <row r="138">
      <c r="A138" s="20" t="inlineStr">
        <is>
          <t>투자유가증권 매각손익</t>
        </is>
      </c>
      <c r="I138" s="22" t="n">
        <v>0</v>
      </c>
      <c r="M138" s="22" t="n">
        <v>-6.414</v>
      </c>
      <c r="W138" s="22" t="n">
        <v>0</v>
      </c>
      <c r="X138" s="22" t="n">
        <v>-6.414</v>
      </c>
    </row>
    <row r="139">
      <c r="A139" s="20" t="inlineStr">
        <is>
          <t>고정자산 제각손실</t>
        </is>
      </c>
      <c r="E139" s="22" t="n">
        <v>0</v>
      </c>
      <c r="I139" s="22" t="n">
        <v>4.974</v>
      </c>
      <c r="M139" s="22" t="n">
        <v>0.097</v>
      </c>
      <c r="R139" s="22" t="n">
        <v>0</v>
      </c>
      <c r="S139" s="22" t="n">
        <v>54.305</v>
      </c>
      <c r="T139" s="22" t="n">
        <v>77.953</v>
      </c>
      <c r="U139" s="22" t="n">
        <v>0</v>
      </c>
      <c r="V139" s="22" t="n">
        <v>0</v>
      </c>
      <c r="W139" s="22" t="n">
        <v>4.974</v>
      </c>
      <c r="X139" s="22" t="n">
        <v>0.097</v>
      </c>
    </row>
    <row r="140">
      <c r="A140" s="20" t="inlineStr">
        <is>
          <t>매출채권 증감</t>
        </is>
      </c>
      <c r="R140" s="22" t="n">
        <v>-115.028</v>
      </c>
      <c r="S140" s="22" t="n">
        <v>-60.32</v>
      </c>
      <c r="T140" s="22" t="n">
        <v>0</v>
      </c>
    </row>
    <row r="141">
      <c r="A141" s="20" t="inlineStr">
        <is>
          <t>이자수익</t>
        </is>
      </c>
      <c r="E141" s="22" t="n">
        <v>-0.054</v>
      </c>
      <c r="I141" s="22" t="n">
        <v>-3.258</v>
      </c>
      <c r="V141" s="22" t="n">
        <v>-0.054</v>
      </c>
      <c r="W141" s="22" t="n">
        <v>-3.258</v>
      </c>
    </row>
    <row r="142">
      <c r="A142" s="20" t="inlineStr">
        <is>
          <t>이자·배당금 수익</t>
        </is>
      </c>
      <c r="G142" s="22" t="n">
        <v>-0.496</v>
      </c>
      <c r="I142" s="22" t="n">
        <v>-3.258</v>
      </c>
      <c r="K142" s="22" t="n">
        <v>-5.329</v>
      </c>
      <c r="M142" s="22" t="n">
        <v>-12.13</v>
      </c>
      <c r="W142" s="22" t="n">
        <v>-3.258</v>
      </c>
      <c r="X142" s="22" t="n">
        <v>-12.13</v>
      </c>
    </row>
    <row r="143">
      <c r="A143" s="20" t="inlineStr">
        <is>
          <t>지분법손익</t>
        </is>
      </c>
      <c r="C143" s="22" t="n">
        <v>-4.516</v>
      </c>
      <c r="E143" s="22" t="n">
        <v>-10.069</v>
      </c>
      <c r="G143" s="22" t="n">
        <v>-11.32</v>
      </c>
      <c r="I143" s="22" t="n">
        <v>-18.89</v>
      </c>
      <c r="K143" s="22" t="n">
        <v>-6.465</v>
      </c>
      <c r="M143" s="22" t="n">
        <v>-14.535</v>
      </c>
      <c r="R143" s="22" t="n">
        <v>-0.124</v>
      </c>
      <c r="S143" s="22" t="n">
        <v>-12.206</v>
      </c>
      <c r="T143" s="22" t="n">
        <v>-7.944</v>
      </c>
      <c r="U143" s="22" t="n">
        <v>-10.076</v>
      </c>
      <c r="V143" s="22" t="n">
        <v>-10.069</v>
      </c>
      <c r="W143" s="22" t="n">
        <v>-18.89</v>
      </c>
      <c r="X143" s="22" t="n">
        <v>-14.535</v>
      </c>
    </row>
    <row r="144">
      <c r="A144" s="20" t="inlineStr">
        <is>
          <t>투자유가증권 평가손익</t>
        </is>
      </c>
      <c r="R144" s="22" t="n">
        <v>0</v>
      </c>
      <c r="S144" s="22" t="n">
        <v>29.977</v>
      </c>
      <c r="T144" s="22" t="n">
        <v>0</v>
      </c>
    </row>
    <row r="145">
      <c r="A145" s="20" t="inlineStr">
        <is>
          <t>매출채권·계약자산 증감</t>
        </is>
      </c>
      <c r="C145" s="22" t="n">
        <v>89.54900000000001</v>
      </c>
      <c r="S145" s="22" t="n">
        <v>0</v>
      </c>
      <c r="T145" s="22" t="n">
        <v>40.99</v>
      </c>
      <c r="U145" s="22" t="n">
        <v>-20.049</v>
      </c>
    </row>
    <row r="146">
      <c r="A146" s="20" t="inlineStr">
        <is>
          <t>Head Office Relocation Expenses Ope CF</t>
        </is>
      </c>
      <c r="G146" s="22" t="n">
        <v>0</v>
      </c>
      <c r="I146" s="22" t="n">
        <v>0</v>
      </c>
      <c r="K146" s="22" t="n">
        <v>112.255</v>
      </c>
      <c r="M146" s="22" t="n">
        <v>112.255</v>
      </c>
      <c r="W146" s="22" t="n">
        <v>0</v>
      </c>
      <c r="X146" s="22" t="n">
        <v>112.255</v>
      </c>
    </row>
    <row r="147">
      <c r="A147" s="20" t="inlineStr">
        <is>
          <t>매출채권·계약자산 증감</t>
        </is>
      </c>
      <c r="C147" s="22" t="n">
        <v>89.54900000000001</v>
      </c>
      <c r="E147" s="22" t="n">
        <v>-190.12</v>
      </c>
      <c r="G147" s="22" t="n">
        <v>317.013</v>
      </c>
      <c r="I147" s="22" t="n">
        <v>-45.295</v>
      </c>
      <c r="K147" s="22" t="n">
        <v>122.193</v>
      </c>
      <c r="M147" s="22" t="n">
        <v>-279.425</v>
      </c>
      <c r="U147" s="22" t="n">
        <v>-20.049</v>
      </c>
      <c r="V147" s="22" t="n">
        <v>-190.12</v>
      </c>
      <c r="W147" s="22" t="n">
        <v>-45.295</v>
      </c>
      <c r="X147" s="22" t="n">
        <v>-279.425</v>
      </c>
    </row>
    <row r="148">
      <c r="A148" s="20" t="inlineStr">
        <is>
          <t>재고자산 증감</t>
        </is>
      </c>
      <c r="C148" s="22" t="n">
        <v>0.192</v>
      </c>
      <c r="E148" s="22" t="n">
        <v>0.194</v>
      </c>
      <c r="G148" s="22" t="n">
        <v>-3.06</v>
      </c>
      <c r="I148" s="22" t="n">
        <v>0.038</v>
      </c>
      <c r="K148" s="22" t="n">
        <v>-6.652</v>
      </c>
      <c r="M148" s="22" t="n">
        <v>-0.062</v>
      </c>
      <c r="R148" s="22" t="n">
        <v>-1.4</v>
      </c>
      <c r="S148" s="22" t="n">
        <v>14.265</v>
      </c>
      <c r="T148" s="22" t="n">
        <v>-1.08</v>
      </c>
      <c r="U148" s="22" t="n">
        <v>0.764</v>
      </c>
      <c r="V148" s="22" t="n">
        <v>0.194</v>
      </c>
      <c r="W148" s="22" t="n">
        <v>0.038</v>
      </c>
      <c r="X148" s="22" t="n">
        <v>-0.062</v>
      </c>
    </row>
    <row r="149">
      <c r="A149" s="20" t="inlineStr">
        <is>
          <t>선급비용 증감</t>
        </is>
      </c>
      <c r="C149" s="22" t="n">
        <v>-44.632</v>
      </c>
      <c r="E149" s="22" t="n">
        <v>-41.808</v>
      </c>
      <c r="G149" s="22" t="n">
        <v>-67.922</v>
      </c>
      <c r="I149" s="22" t="n">
        <v>-55.739</v>
      </c>
      <c r="K149" s="22" t="n">
        <v>-35.527</v>
      </c>
      <c r="M149" s="22" t="n">
        <v>-113.13</v>
      </c>
      <c r="R149" s="22" t="n">
        <v>48.52</v>
      </c>
      <c r="S149" s="22" t="n">
        <v>-16.176</v>
      </c>
      <c r="T149" s="22" t="n">
        <v>-7.731</v>
      </c>
      <c r="U149" s="22" t="n">
        <v>-29.539</v>
      </c>
      <c r="V149" s="22" t="n">
        <v>-41.808</v>
      </c>
      <c r="W149" s="22" t="n">
        <v>-55.739</v>
      </c>
      <c r="X149" s="22" t="n">
        <v>-113.13</v>
      </c>
    </row>
    <row r="150">
      <c r="A150" s="20" t="inlineStr">
        <is>
          <t>매입채무 증감</t>
        </is>
      </c>
      <c r="C150" s="22" t="n">
        <v>-33.102</v>
      </c>
      <c r="E150" s="22" t="n">
        <v>58.248</v>
      </c>
      <c r="G150" s="22" t="n">
        <v>-49.388</v>
      </c>
      <c r="I150" s="22" t="n">
        <v>3.633</v>
      </c>
      <c r="K150" s="22" t="n">
        <v>-29.339</v>
      </c>
      <c r="M150" s="22" t="n">
        <v>6.038</v>
      </c>
      <c r="R150" s="22" t="n">
        <v>60.96</v>
      </c>
      <c r="S150" s="22" t="n">
        <v>11.351</v>
      </c>
      <c r="T150" s="22" t="n">
        <v>56.489</v>
      </c>
      <c r="U150" s="22" t="n">
        <v>-96.373</v>
      </c>
      <c r="V150" s="22" t="n">
        <v>58.248</v>
      </c>
      <c r="W150" s="22" t="n">
        <v>3.633</v>
      </c>
      <c r="X150" s="22" t="n">
        <v>6.038</v>
      </c>
    </row>
    <row r="151">
      <c r="A151" s="20" t="inlineStr">
        <is>
          <t>계약부채 증감</t>
        </is>
      </c>
      <c r="C151" s="22" t="n">
        <v>241.089</v>
      </c>
      <c r="S151" s="22" t="n">
        <v>0</v>
      </c>
      <c r="T151" s="22" t="n">
        <v>270.07</v>
      </c>
      <c r="U151" s="22" t="n">
        <v>15.648</v>
      </c>
    </row>
    <row r="152">
      <c r="A152" s="20" t="inlineStr">
        <is>
          <t>계약부채 증감</t>
        </is>
      </c>
      <c r="C152" s="22" t="n">
        <v>241.089</v>
      </c>
      <c r="E152" s="22" t="n">
        <v>58.264</v>
      </c>
      <c r="G152" s="22" t="n">
        <v>688.561</v>
      </c>
      <c r="I152" s="22" t="n">
        <v>238.444</v>
      </c>
      <c r="K152" s="22" t="n">
        <v>336.328</v>
      </c>
      <c r="M152" s="22" t="n">
        <v>67.267</v>
      </c>
      <c r="U152" s="22" t="n">
        <v>15.648</v>
      </c>
      <c r="V152" s="22" t="n">
        <v>58.264</v>
      </c>
      <c r="W152" s="22" t="n">
        <v>238.444</v>
      </c>
      <c r="X152" s="22" t="n">
        <v>67.267</v>
      </c>
    </row>
    <row r="153">
      <c r="A153" s="20" t="inlineStr">
        <is>
          <t>Decrease Increase In Trade Receivables Other Ope CF</t>
        </is>
      </c>
      <c r="C153" s="22" t="n">
        <v>-46.511</v>
      </c>
      <c r="E153" s="22" t="n">
        <v>-35.627</v>
      </c>
      <c r="G153" s="22" t="n">
        <v>7.387</v>
      </c>
      <c r="I153" s="22" t="n">
        <v>16.693</v>
      </c>
      <c r="K153" s="22" t="n">
        <v>-22.529</v>
      </c>
      <c r="M153" s="22" t="n">
        <v>-7.179</v>
      </c>
      <c r="R153" s="22" t="n">
        <v>-0.273</v>
      </c>
      <c r="S153" s="22" t="n">
        <v>-135.765</v>
      </c>
      <c r="T153" s="22" t="n">
        <v>-13.836</v>
      </c>
      <c r="U153" s="22" t="n">
        <v>12.183</v>
      </c>
      <c r="V153" s="22" t="n">
        <v>-35.627</v>
      </c>
      <c r="W153" s="22" t="n">
        <v>16.693</v>
      </c>
      <c r="X153" s="22" t="n">
        <v>-7.179</v>
      </c>
    </row>
    <row r="154">
      <c r="A154" s="20" t="inlineStr">
        <is>
          <t>Increase Decrease In Trade Payables Other Ope CF</t>
        </is>
      </c>
      <c r="C154" s="22" t="n">
        <v>25.843</v>
      </c>
      <c r="E154" s="22" t="n">
        <v>53.14</v>
      </c>
      <c r="G154" s="22" t="n">
        <v>-47.019</v>
      </c>
      <c r="I154" s="22" t="n">
        <v>19.701</v>
      </c>
      <c r="K154" s="22" t="n">
        <v>12.237</v>
      </c>
      <c r="M154" s="22" t="n">
        <v>95.639</v>
      </c>
      <c r="R154" s="22" t="n">
        <v>-38.243</v>
      </c>
      <c r="S154" s="22" t="n">
        <v>19.827</v>
      </c>
      <c r="T154" s="22" t="n">
        <v>1.394</v>
      </c>
      <c r="U154" s="22" t="n">
        <v>-0.625</v>
      </c>
      <c r="V154" s="22" t="n">
        <v>53.14</v>
      </c>
      <c r="W154" s="22" t="n">
        <v>19.701</v>
      </c>
      <c r="X154" s="22" t="n">
        <v>95.639</v>
      </c>
    </row>
    <row r="155">
      <c r="A155" s="20" t="inlineStr">
        <is>
          <t>미지급 소비세 증감</t>
        </is>
      </c>
      <c r="C155" s="22" t="n">
        <v>-43.907</v>
      </c>
      <c r="E155" s="22" t="n">
        <v>-29.671</v>
      </c>
      <c r="G155" s="22" t="n">
        <v>2.143</v>
      </c>
      <c r="I155" s="22" t="n">
        <v>61.795</v>
      </c>
      <c r="K155" s="22" t="n">
        <v>-101.262</v>
      </c>
      <c r="M155" s="22" t="n">
        <v>-56.94</v>
      </c>
      <c r="R155" s="22" t="n">
        <v>10.159</v>
      </c>
      <c r="S155" s="22" t="n">
        <v>-3.187</v>
      </c>
      <c r="T155" s="22" t="n">
        <v>54.316</v>
      </c>
      <c r="U155" s="22" t="n">
        <v>-26.988</v>
      </c>
      <c r="V155" s="22" t="n">
        <v>-29.671</v>
      </c>
      <c r="W155" s="22" t="n">
        <v>61.795</v>
      </c>
      <c r="X155" s="22" t="n">
        <v>-56.94</v>
      </c>
    </row>
    <row r="156">
      <c r="A156" s="20" t="inlineStr">
        <is>
          <t>선수수익 증감</t>
        </is>
      </c>
      <c r="R156" s="22" t="n">
        <v>100.577</v>
      </c>
      <c r="S156" s="22" t="n">
        <v>264.963</v>
      </c>
      <c r="T156" s="22" t="n">
        <v>0</v>
      </c>
    </row>
    <row r="157">
      <c r="A157" s="20" t="inlineStr">
        <is>
          <t>기타</t>
        </is>
      </c>
      <c r="C157" s="22" t="n">
        <v>2.213</v>
      </c>
      <c r="E157" s="22" t="n">
        <v>2.703</v>
      </c>
      <c r="G157" s="22" t="n">
        <v>1.405</v>
      </c>
      <c r="I157" s="22" t="n">
        <v>3.105</v>
      </c>
      <c r="K157" s="22" t="n">
        <v>5.076</v>
      </c>
      <c r="M157" s="22" t="n">
        <v>14.24</v>
      </c>
      <c r="R157" s="22" t="n">
        <v>1.033</v>
      </c>
      <c r="S157" s="22" t="n">
        <v>4.377</v>
      </c>
      <c r="T157" s="22" t="n">
        <v>4.285</v>
      </c>
      <c r="U157" s="22" t="n">
        <v>2.405</v>
      </c>
      <c r="V157" s="22" t="n">
        <v>2.703</v>
      </c>
      <c r="W157" s="22" t="n">
        <v>3.105</v>
      </c>
      <c r="X157" s="22" t="n">
        <v>14.24</v>
      </c>
    </row>
    <row r="158">
      <c r="A158" s="20" t="inlineStr">
        <is>
          <t>소계</t>
        </is>
      </c>
      <c r="C158" s="22" t="n">
        <v>890.756</v>
      </c>
      <c r="E158" s="22" t="n">
        <v>1581.309</v>
      </c>
      <c r="G158" s="22" t="n">
        <v>1674.425</v>
      </c>
      <c r="I158" s="22" t="n">
        <v>2337.865</v>
      </c>
      <c r="K158" s="22" t="n">
        <v>1243.137</v>
      </c>
      <c r="M158" s="22" t="n">
        <v>2052.484</v>
      </c>
      <c r="R158" s="22" t="n">
        <v>896.533</v>
      </c>
      <c r="S158" s="22" t="n">
        <v>1267.521</v>
      </c>
      <c r="T158" s="22" t="n">
        <v>1785.171</v>
      </c>
      <c r="U158" s="22" t="n">
        <v>1446.95</v>
      </c>
      <c r="V158" s="22" t="n">
        <v>1581.309</v>
      </c>
      <c r="W158" s="22" t="n">
        <v>2337.865</v>
      </c>
      <c r="X158" s="22" t="n">
        <v>2052.484</v>
      </c>
    </row>
    <row r="159">
      <c r="A159" s="20" t="inlineStr">
        <is>
          <t>이자·배당금 수취</t>
        </is>
      </c>
      <c r="C159" s="22" t="n">
        <v>6.69</v>
      </c>
      <c r="E159" s="22" t="n">
        <v>6.717</v>
      </c>
      <c r="G159" s="22" t="n">
        <v>7.159</v>
      </c>
      <c r="I159" s="22" t="n">
        <v>9.920999999999999</v>
      </c>
      <c r="K159" s="22" t="n">
        <v>11.993</v>
      </c>
      <c r="M159" s="22" t="n">
        <v>17.987</v>
      </c>
      <c r="R159" s="22" t="n">
        <v>0.206</v>
      </c>
      <c r="S159" s="22" t="n">
        <v>0.648</v>
      </c>
      <c r="T159" s="22" t="n">
        <v>0.139</v>
      </c>
      <c r="U159" s="22" t="n">
        <v>0.079</v>
      </c>
      <c r="V159" s="22" t="n">
        <v>6.717</v>
      </c>
      <c r="W159" s="22" t="n">
        <v>9.920999999999999</v>
      </c>
      <c r="X159" s="22" t="n">
        <v>17.987</v>
      </c>
    </row>
    <row r="160">
      <c r="A160" s="20" t="inlineStr">
        <is>
          <t>이자 지급</t>
        </is>
      </c>
      <c r="C160" s="22" t="n">
        <v>-0.432</v>
      </c>
      <c r="E160" s="22" t="n">
        <v>-0.802</v>
      </c>
      <c r="G160" s="22" t="n">
        <v>-0.348</v>
      </c>
      <c r="I160" s="22" t="n">
        <v>-0.674</v>
      </c>
      <c r="K160" s="22" t="n">
        <v>-0.103</v>
      </c>
      <c r="M160" s="22" t="n">
        <v>-0.103</v>
      </c>
      <c r="R160" s="22" t="n">
        <v>-2.319</v>
      </c>
      <c r="S160" s="22" t="n">
        <v>-1.859</v>
      </c>
      <c r="T160" s="22" t="n">
        <v>-1.491</v>
      </c>
      <c r="U160" s="22" t="n">
        <v>-1.136</v>
      </c>
      <c r="V160" s="22" t="n">
        <v>-0.802</v>
      </c>
      <c r="W160" s="22" t="n">
        <v>-0.674</v>
      </c>
      <c r="X160" s="22" t="n">
        <v>-0.103</v>
      </c>
    </row>
    <row r="161">
      <c r="A161" s="20" t="inlineStr">
        <is>
          <t>보조금 수취</t>
        </is>
      </c>
      <c r="S161" s="22" t="n">
        <v>0</v>
      </c>
      <c r="T161" s="22" t="n">
        <v>129.49</v>
      </c>
      <c r="U161" s="22" t="n">
        <v>0</v>
      </c>
    </row>
    <row r="162">
      <c r="A162" s="20" t="inlineStr">
        <is>
          <t>Payments For Head Office Relocation Expenses Ope CF</t>
        </is>
      </c>
      <c r="G162" s="22" t="n">
        <v>0</v>
      </c>
      <c r="I162" s="22" t="n">
        <v>0</v>
      </c>
      <c r="K162" s="22" t="n">
        <v>-41.237</v>
      </c>
      <c r="M162" s="22" t="n">
        <v>-41.237</v>
      </c>
      <c r="W162" s="22" t="n">
        <v>0</v>
      </c>
      <c r="X162" s="22" t="n">
        <v>-41.237</v>
      </c>
    </row>
    <row r="163">
      <c r="A163" s="20" t="inlineStr">
        <is>
          <t>법인세 납부</t>
        </is>
      </c>
      <c r="C163" s="22" t="n">
        <v>-203.304</v>
      </c>
      <c r="E163" s="22" t="n">
        <v>-365.379</v>
      </c>
      <c r="G163" s="22" t="n">
        <v>-182.224</v>
      </c>
      <c r="I163" s="22" t="n">
        <v>-353.788</v>
      </c>
      <c r="K163" s="22" t="n">
        <v>-255.888</v>
      </c>
      <c r="M163" s="22" t="n">
        <v>-475.851</v>
      </c>
      <c r="R163" s="22" t="n">
        <v>-82.518</v>
      </c>
      <c r="S163" s="22" t="n">
        <v>-147.043</v>
      </c>
      <c r="T163" s="22" t="n">
        <v>-308.858</v>
      </c>
      <c r="U163" s="22" t="n">
        <v>-232.027</v>
      </c>
      <c r="V163" s="22" t="n">
        <v>-365.379</v>
      </c>
      <c r="W163" s="22" t="n">
        <v>-353.788</v>
      </c>
      <c r="X163" s="22" t="n">
        <v>-475.851</v>
      </c>
    </row>
    <row r="164">
      <c r="A164" s="9" t="inlineStr">
        <is>
          <t>영업활동 현금흐름</t>
        </is>
      </c>
      <c r="C164" s="12" t="n">
        <v>693.7089999999999</v>
      </c>
      <c r="E164" s="12" t="n">
        <v>1221.845</v>
      </c>
      <c r="G164" s="12" t="n">
        <v>1499.012</v>
      </c>
      <c r="I164" s="12" t="n">
        <v>1993.324</v>
      </c>
      <c r="K164" s="12" t="n">
        <v>957.901</v>
      </c>
      <c r="M164" s="12" t="n">
        <v>1553.279</v>
      </c>
      <c r="R164" s="12" t="n">
        <v>811.902</v>
      </c>
      <c r="S164" s="12" t="n">
        <v>1119.267</v>
      </c>
      <c r="T164" s="12" t="n">
        <v>1604.45</v>
      </c>
      <c r="U164" s="12" t="n">
        <v>1213.866</v>
      </c>
      <c r="V164" s="12" t="n">
        <v>1221.845</v>
      </c>
      <c r="W164" s="12" t="n">
        <v>1993.324</v>
      </c>
      <c r="X164" s="12" t="n">
        <v>1553.279</v>
      </c>
    </row>
    <row r="165">
      <c r="A165" s="20" t="inlineStr">
        <is>
          <t>정기예금 예입</t>
        </is>
      </c>
      <c r="R165" s="22" t="n">
        <v>0</v>
      </c>
      <c r="S165" s="22" t="n">
        <v>-13.5</v>
      </c>
      <c r="T165" s="22" t="n">
        <v>0</v>
      </c>
    </row>
    <row r="166">
      <c r="A166" s="20" t="inlineStr">
        <is>
          <t>투자유가증권 취득</t>
        </is>
      </c>
      <c r="C166" s="22" t="n">
        <v>0</v>
      </c>
      <c r="G166" s="22" t="n">
        <v>-100</v>
      </c>
      <c r="K166" s="22" t="n">
        <v>-150.59</v>
      </c>
      <c r="R166" s="22" t="n">
        <v>-123.539</v>
      </c>
      <c r="S166" s="22" t="n">
        <v>0</v>
      </c>
    </row>
    <row r="167">
      <c r="A167" s="20" t="inlineStr">
        <is>
          <t>자회사 주식 취득</t>
        </is>
      </c>
      <c r="R167" s="22" t="n">
        <v>0</v>
      </c>
      <c r="S167" s="22" t="n">
        <v>-87.88800000000001</v>
      </c>
    </row>
    <row r="168">
      <c r="A168" s="20" t="inlineStr">
        <is>
          <t>투자유가증권 매각</t>
        </is>
      </c>
      <c r="R168" s="22" t="n">
        <v>2</v>
      </c>
      <c r="S168" s="22" t="n">
        <v>0</v>
      </c>
    </row>
    <row r="169">
      <c r="A169" s="20" t="inlineStr">
        <is>
          <t>정기예금 인출</t>
        </is>
      </c>
      <c r="C169" s="22" t="n">
        <v>0</v>
      </c>
      <c r="E169" s="22" t="n">
        <v>0</v>
      </c>
      <c r="G169" s="22" t="n">
        <v>20.698</v>
      </c>
      <c r="I169" s="22" t="n">
        <v>20.698</v>
      </c>
      <c r="K169" s="22" t="n">
        <v>0</v>
      </c>
      <c r="M169" s="22" t="n">
        <v>0</v>
      </c>
      <c r="R169" s="22" t="n">
        <v>0</v>
      </c>
      <c r="S169" s="22" t="n">
        <v>24</v>
      </c>
      <c r="T169" s="22" t="n">
        <v>0</v>
      </c>
      <c r="V169" s="22" t="n">
        <v>0</v>
      </c>
      <c r="W169" s="22" t="n">
        <v>20.698</v>
      </c>
      <c r="X169" s="22" t="n">
        <v>0</v>
      </c>
    </row>
    <row r="170">
      <c r="A170" s="20" t="inlineStr">
        <is>
          <t>유형자산 취득(설비투자)</t>
        </is>
      </c>
      <c r="C170" s="22" t="n">
        <v>-53.477</v>
      </c>
      <c r="E170" s="22" t="n">
        <v>-136.063</v>
      </c>
      <c r="G170" s="22" t="n">
        <v>-84.90300000000001</v>
      </c>
      <c r="I170" s="22" t="n">
        <v>-260.42</v>
      </c>
      <c r="K170" s="22" t="n">
        <v>-233.385</v>
      </c>
      <c r="M170" s="22" t="n">
        <v>-413.665</v>
      </c>
      <c r="R170" s="22" t="n">
        <v>-141.578</v>
      </c>
      <c r="S170" s="22" t="n">
        <v>-167.086</v>
      </c>
      <c r="T170" s="22" t="n">
        <v>-91.95399999999999</v>
      </c>
      <c r="U170" s="22" t="n">
        <v>-101.021</v>
      </c>
      <c r="V170" s="22" t="n">
        <v>-136.063</v>
      </c>
      <c r="W170" s="22" t="n">
        <v>-260.42</v>
      </c>
      <c r="X170" s="22" t="n">
        <v>-413.665</v>
      </c>
    </row>
    <row r="171">
      <c r="A171" s="20" t="inlineStr">
        <is>
          <t>무형자산 취득</t>
        </is>
      </c>
      <c r="C171" s="22" t="n">
        <v>-222.074</v>
      </c>
      <c r="E171" s="22" t="n">
        <v>-435.475</v>
      </c>
      <c r="G171" s="22" t="n">
        <v>-230.33</v>
      </c>
      <c r="I171" s="22" t="n">
        <v>-419.969</v>
      </c>
      <c r="K171" s="22" t="n">
        <v>-165.035</v>
      </c>
      <c r="M171" s="22" t="n">
        <v>-536.47</v>
      </c>
      <c r="R171" s="22" t="n">
        <v>-423.425</v>
      </c>
      <c r="S171" s="22" t="n">
        <v>-833.599</v>
      </c>
      <c r="T171" s="22" t="n">
        <v>-390.956</v>
      </c>
      <c r="U171" s="22" t="n">
        <v>-339.392</v>
      </c>
      <c r="V171" s="22" t="n">
        <v>-435.475</v>
      </c>
      <c r="W171" s="22" t="n">
        <v>-419.969</v>
      </c>
      <c r="X171" s="22" t="n">
        <v>-536.47</v>
      </c>
    </row>
    <row r="172">
      <c r="A172" s="20" t="inlineStr">
        <is>
          <t>연결범위 변경 자회사 주식 취득</t>
        </is>
      </c>
      <c r="S172" s="22" t="n">
        <v>-87.88800000000001</v>
      </c>
      <c r="T172" s="22" t="n">
        <v>0</v>
      </c>
    </row>
    <row r="173">
      <c r="A173" s="20" t="inlineStr">
        <is>
          <t>유형자산 매각</t>
        </is>
      </c>
      <c r="E173" s="22" t="n">
        <v>0</v>
      </c>
      <c r="T173" s="22" t="n">
        <v>0</v>
      </c>
      <c r="U173" s="22" t="n">
        <v>0.995</v>
      </c>
      <c r="V173" s="22" t="n">
        <v>0</v>
      </c>
    </row>
    <row r="174">
      <c r="A174" s="20" t="inlineStr">
        <is>
          <t>Collection Of Short Term Loans Receivable Inv CF</t>
        </is>
      </c>
      <c r="C174" s="22" t="n">
        <v>0</v>
      </c>
      <c r="E174" s="22" t="n">
        <v>0</v>
      </c>
      <c r="R174" s="22" t="n">
        <v>5.02</v>
      </c>
      <c r="S174" s="22" t="n">
        <v>5.02</v>
      </c>
      <c r="T174" s="22" t="n">
        <v>5.02</v>
      </c>
      <c r="U174" s="22" t="n">
        <v>5.02</v>
      </c>
      <c r="V174" s="22" t="n">
        <v>0</v>
      </c>
    </row>
    <row r="175">
      <c r="A175" s="20" t="inlineStr">
        <is>
          <t>유가증권 및 투자유가증권 취득 지출</t>
        </is>
      </c>
      <c r="E175" s="22" t="n">
        <v>0</v>
      </c>
      <c r="I175" s="22" t="n">
        <v>-100</v>
      </c>
      <c r="M175" s="22" t="n">
        <v>-790.184</v>
      </c>
      <c r="V175" s="22" t="n">
        <v>0</v>
      </c>
      <c r="W175" s="22" t="n">
        <v>-100</v>
      </c>
      <c r="X175" s="22" t="n">
        <v>-790.184</v>
      </c>
    </row>
    <row r="176">
      <c r="A176" s="20" t="inlineStr">
        <is>
          <t>투자유가증권 매각·상환 수입</t>
        </is>
      </c>
      <c r="I176" s="22" t="n">
        <v>0</v>
      </c>
      <c r="M176" s="22" t="n">
        <v>157.004</v>
      </c>
      <c r="W176" s="22" t="n">
        <v>0</v>
      </c>
      <c r="X176" s="22" t="n">
        <v>157.004</v>
      </c>
    </row>
    <row r="177">
      <c r="A177" s="20" t="inlineStr">
        <is>
          <t>보증금 납입</t>
        </is>
      </c>
      <c r="C177" s="22" t="n">
        <v>0</v>
      </c>
      <c r="E177" s="22" t="n">
        <v>0</v>
      </c>
      <c r="G177" s="22" t="n">
        <v>-110.807</v>
      </c>
      <c r="I177" s="22" t="n">
        <v>-111.146</v>
      </c>
      <c r="K177" s="22" t="n">
        <v>-0.21</v>
      </c>
      <c r="M177" s="22" t="n">
        <v>-0.21</v>
      </c>
      <c r="R177" s="22" t="n">
        <v>-3.483</v>
      </c>
      <c r="S177" s="22" t="n">
        <v>-0.008</v>
      </c>
      <c r="T177" s="22" t="n">
        <v>0</v>
      </c>
      <c r="U177" s="22" t="n">
        <v>-0.92</v>
      </c>
      <c r="V177" s="22" t="n">
        <v>0</v>
      </c>
      <c r="W177" s="22" t="n">
        <v>-111.146</v>
      </c>
      <c r="X177" s="22" t="n">
        <v>-0.21</v>
      </c>
    </row>
    <row r="178">
      <c r="A178" s="20" t="inlineStr">
        <is>
          <t>보증금 회수</t>
        </is>
      </c>
      <c r="C178" s="22" t="n">
        <v>0.08</v>
      </c>
      <c r="E178" s="22" t="n">
        <v>0.08</v>
      </c>
      <c r="G178" s="22" t="n">
        <v>0</v>
      </c>
      <c r="I178" s="22" t="n">
        <v>0</v>
      </c>
      <c r="K178" s="22" t="n">
        <v>169.036</v>
      </c>
      <c r="M178" s="22" t="n">
        <v>169.036</v>
      </c>
      <c r="R178" s="22" t="n">
        <v>0.186</v>
      </c>
      <c r="S178" s="22" t="n">
        <v>0</v>
      </c>
      <c r="T178" s="22" t="n">
        <v>0</v>
      </c>
      <c r="U178" s="22" t="n">
        <v>0.9</v>
      </c>
      <c r="V178" s="22" t="n">
        <v>0.08</v>
      </c>
      <c r="W178" s="22" t="n">
        <v>0</v>
      </c>
      <c r="X178" s="22" t="n">
        <v>169.036</v>
      </c>
    </row>
    <row r="179">
      <c r="A179" s="20" t="inlineStr">
        <is>
          <t>자산복구부채 이행 지출</t>
        </is>
      </c>
      <c r="G179" s="22" t="n">
        <v>0</v>
      </c>
      <c r="I179" s="22" t="n">
        <v>0</v>
      </c>
      <c r="K179" s="22" t="n">
        <v>-71.69</v>
      </c>
      <c r="M179" s="22" t="n">
        <v>-71.69</v>
      </c>
      <c r="W179" s="22" t="n">
        <v>0</v>
      </c>
      <c r="X179" s="22" t="n">
        <v>-71.69</v>
      </c>
    </row>
    <row r="180">
      <c r="A180" s="9" t="inlineStr">
        <is>
          <t>투자활동 현금흐름</t>
        </is>
      </c>
      <c r="C180" s="12" t="n">
        <v>-275.472</v>
      </c>
      <c r="E180" s="12" t="n">
        <v>-571.458</v>
      </c>
      <c r="G180" s="12" t="n">
        <v>-505.343</v>
      </c>
      <c r="I180" s="12" t="n">
        <v>-870.838</v>
      </c>
      <c r="K180" s="12" t="n">
        <v>-451.874</v>
      </c>
      <c r="M180" s="12" t="n">
        <v>-1486.18</v>
      </c>
      <c r="R180" s="12" t="n">
        <v>-684.821</v>
      </c>
      <c r="S180" s="12" t="n">
        <v>-1073.062</v>
      </c>
      <c r="T180" s="12" t="n">
        <v>-477.89</v>
      </c>
      <c r="U180" s="12" t="n">
        <v>-434.418</v>
      </c>
      <c r="V180" s="12" t="n">
        <v>-571.458</v>
      </c>
      <c r="W180" s="12" t="n">
        <v>-870.838</v>
      </c>
      <c r="X180" s="12" t="n">
        <v>-1486.18</v>
      </c>
    </row>
    <row r="181">
      <c r="A181" s="20" t="inlineStr">
        <is>
          <t>주식 발행</t>
        </is>
      </c>
      <c r="C181" s="22" t="n">
        <v>12.006</v>
      </c>
      <c r="E181" s="22" t="n">
        <v>27.318</v>
      </c>
      <c r="G181" s="22" t="n">
        <v>18.444</v>
      </c>
      <c r="I181" s="22" t="n">
        <v>31.494</v>
      </c>
      <c r="K181" s="22" t="n">
        <v>20.184</v>
      </c>
      <c r="M181" s="22" t="n">
        <v>57.68</v>
      </c>
      <c r="S181" s="22" t="n">
        <v>0</v>
      </c>
      <c r="T181" s="22" t="n">
        <v>504.001</v>
      </c>
      <c r="U181" s="22" t="n">
        <v>24.534</v>
      </c>
      <c r="V181" s="22" t="n">
        <v>27.318</v>
      </c>
      <c r="W181" s="22" t="n">
        <v>31.494</v>
      </c>
      <c r="X181" s="22" t="n">
        <v>57.68</v>
      </c>
    </row>
    <row r="182">
      <c r="A182" s="20" t="inlineStr">
        <is>
          <t>자기주식 취득</t>
        </is>
      </c>
      <c r="C182" s="22" t="n">
        <v>-0.061</v>
      </c>
      <c r="E182" s="22" t="n">
        <v>-0.061</v>
      </c>
      <c r="G182" s="22" t="n">
        <v>0</v>
      </c>
      <c r="I182" s="22" t="n">
        <v>-311.125</v>
      </c>
      <c r="K182" s="22" t="n">
        <v>-0.08</v>
      </c>
      <c r="M182" s="22" t="n">
        <v>-0.08</v>
      </c>
      <c r="S182" s="22" t="n">
        <v>0</v>
      </c>
      <c r="T182" s="22" t="n">
        <v>-0.314</v>
      </c>
      <c r="U182" s="22" t="n">
        <v>-0.478</v>
      </c>
      <c r="V182" s="22" t="n">
        <v>-0.061</v>
      </c>
      <c r="W182" s="22" t="n">
        <v>-311.125</v>
      </c>
      <c r="X182" s="22" t="n">
        <v>-0.08</v>
      </c>
    </row>
    <row r="183">
      <c r="A183" s="20" t="inlineStr">
        <is>
          <t>리스부채 상환</t>
        </is>
      </c>
      <c r="C183" s="22" t="n">
        <v>-8.975</v>
      </c>
      <c r="E183" s="22" t="n">
        <v>-13.062</v>
      </c>
      <c r="G183" s="22" t="n">
        <v>-4.108</v>
      </c>
      <c r="I183" s="22" t="n">
        <v>-8.238</v>
      </c>
      <c r="K183" s="22" t="n">
        <v>-65.155</v>
      </c>
      <c r="M183" s="22" t="n">
        <v>-65.155</v>
      </c>
      <c r="R183" s="22" t="n">
        <v>-17.518</v>
      </c>
      <c r="S183" s="22" t="n">
        <v>-17.493</v>
      </c>
      <c r="T183" s="22" t="n">
        <v>-17.375</v>
      </c>
      <c r="U183" s="22" t="n">
        <v>-17.73</v>
      </c>
      <c r="V183" s="22" t="n">
        <v>-13.062</v>
      </c>
      <c r="W183" s="22" t="n">
        <v>-8.238</v>
      </c>
      <c r="X183" s="22" t="n">
        <v>-65.155</v>
      </c>
    </row>
    <row r="184">
      <c r="A184" s="20" t="inlineStr">
        <is>
          <t>배당금 지급</t>
        </is>
      </c>
      <c r="C184" s="22" t="n">
        <v>-140.522</v>
      </c>
      <c r="E184" s="22" t="n">
        <v>-140.662</v>
      </c>
      <c r="G184" s="22" t="n">
        <v>-141.704</v>
      </c>
      <c r="I184" s="22" t="n">
        <v>-141.714</v>
      </c>
      <c r="K184" s="22" t="n">
        <v>-185.105</v>
      </c>
      <c r="M184" s="22" t="n">
        <v>-185.109</v>
      </c>
      <c r="U184" s="22" t="n">
        <v>0</v>
      </c>
      <c r="V184" s="22" t="n">
        <v>-140.662</v>
      </c>
      <c r="W184" s="22" t="n">
        <v>-141.714</v>
      </c>
      <c r="X184" s="22" t="n">
        <v>-185.109</v>
      </c>
    </row>
    <row r="185">
      <c r="A185" s="9" t="inlineStr">
        <is>
          <t>재무활동 현금흐름</t>
        </is>
      </c>
      <c r="C185" s="12" t="n">
        <v>-137.553</v>
      </c>
      <c r="E185" s="12" t="n">
        <v>-126.468</v>
      </c>
      <c r="G185" s="12" t="n">
        <v>-127.369</v>
      </c>
      <c r="I185" s="12" t="n">
        <v>-429.585</v>
      </c>
      <c r="K185" s="12" t="n">
        <v>-230.158</v>
      </c>
      <c r="M185" s="12" t="n">
        <v>-192.666</v>
      </c>
      <c r="R185" s="12" t="n">
        <v>-17.518</v>
      </c>
      <c r="S185" s="12" t="n">
        <v>-17.493</v>
      </c>
      <c r="T185" s="12" t="n">
        <v>486.31</v>
      </c>
      <c r="U185" s="12" t="n">
        <v>6.325</v>
      </c>
      <c r="V185" s="12" t="n">
        <v>-126.468</v>
      </c>
      <c r="W185" s="12" t="n">
        <v>-429.585</v>
      </c>
      <c r="X185" s="12" t="n">
        <v>-192.666</v>
      </c>
    </row>
    <row r="186">
      <c r="A186" s="20" t="inlineStr">
        <is>
          <t>현금성자산 환산차이</t>
        </is>
      </c>
      <c r="C186" s="22" t="n">
        <v>1.499</v>
      </c>
      <c r="E186" s="22" t="n">
        <v>1.49</v>
      </c>
      <c r="G186" s="22" t="n">
        <v>0.365</v>
      </c>
      <c r="I186" s="22" t="n">
        <v>-2.673</v>
      </c>
      <c r="K186" s="22" t="n">
        <v>-0.954</v>
      </c>
      <c r="M186" s="22" t="n">
        <v>-0.291</v>
      </c>
      <c r="R186" s="22" t="n">
        <v>-0.027</v>
      </c>
      <c r="S186" s="22" t="n">
        <v>0.149</v>
      </c>
      <c r="T186" s="22" t="n">
        <v>2.103</v>
      </c>
      <c r="U186" s="22" t="n">
        <v>2.643</v>
      </c>
      <c r="V186" s="22" t="n">
        <v>1.49</v>
      </c>
      <c r="W186" s="22" t="n">
        <v>-2.673</v>
      </c>
      <c r="X186" s="22" t="n">
        <v>-0.291</v>
      </c>
    </row>
    <row r="187">
      <c r="A187" s="20" t="inlineStr">
        <is>
          <t>현금성자산 증감</t>
        </is>
      </c>
      <c r="C187" s="22" t="n">
        <v>282.183</v>
      </c>
      <c r="E187" s="22" t="n">
        <v>525.409</v>
      </c>
      <c r="G187" s="22" t="n">
        <v>866.665</v>
      </c>
      <c r="I187" s="22" t="n">
        <v>690.228</v>
      </c>
      <c r="K187" s="22" t="n">
        <v>274.913</v>
      </c>
      <c r="M187" s="22" t="n">
        <v>-125.859</v>
      </c>
      <c r="R187" s="22" t="n">
        <v>109.535</v>
      </c>
      <c r="S187" s="22" t="n">
        <v>28.861</v>
      </c>
      <c r="T187" s="22" t="n">
        <v>1614.973</v>
      </c>
      <c r="U187" s="22" t="n">
        <v>788.4160000000001</v>
      </c>
      <c r="V187" s="22" t="n">
        <v>525.409</v>
      </c>
      <c r="W187" s="22" t="n">
        <v>690.228</v>
      </c>
      <c r="X187" s="22" t="n">
        <v>-125.859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4498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7011.228</v>
      </c>
      <c r="D5" s="12" t="n">
        <v>7137.307</v>
      </c>
      <c r="E5" s="12" t="n">
        <v>7117.876</v>
      </c>
      <c r="F5" s="12" t="n">
        <v>7627.633</v>
      </c>
      <c r="G5" s="12" t="n">
        <v>7768.042</v>
      </c>
      <c r="H5" s="11" t="n">
        <v>4613.636</v>
      </c>
      <c r="I5" s="12" t="n">
        <v>5401.842</v>
      </c>
      <c r="J5" s="12" t="n">
        <v>6181.509</v>
      </c>
      <c r="K5" s="12" t="n">
        <v>7096.422</v>
      </c>
      <c r="L5" s="12" t="n">
        <v>7627.633</v>
      </c>
    </row>
    <row r="6">
      <c r="A6" s="20" t="inlineStr">
        <is>
          <t>현금및현금성자산</t>
        </is>
      </c>
      <c r="B6" s="10" t="n"/>
      <c r="C6" s="21" t="n">
        <v>5710.621</v>
      </c>
      <c r="D6" s="22" t="n">
        <v>5835.872</v>
      </c>
      <c r="E6" s="22" t="n">
        <v>5566.369</v>
      </c>
      <c r="F6" s="22" t="n">
        <v>5435.099</v>
      </c>
      <c r="G6" s="22" t="n">
        <v>5777.928</v>
      </c>
      <c r="H6" s="21" t="n">
        <v>3577.6</v>
      </c>
      <c r="I6" s="22" t="n">
        <v>4366.018</v>
      </c>
      <c r="J6" s="22" t="n">
        <v>4891.427</v>
      </c>
      <c r="K6" s="22" t="n">
        <v>5560.958</v>
      </c>
      <c r="L6" s="22" t="n">
        <v>5435.099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>
        <v>500</v>
      </c>
      <c r="G7" s="22" t="n">
        <v>500</v>
      </c>
      <c r="H7" s="21" t="n"/>
      <c r="I7" s="22" t="n"/>
      <c r="J7" s="22" t="n"/>
      <c r="K7" s="22" t="n">
        <v>0</v>
      </c>
      <c r="L7" s="22" t="n">
        <v>500</v>
      </c>
    </row>
    <row r="8">
      <c r="A8" s="20" t="inlineStr">
        <is>
          <t>매출채권</t>
        </is>
      </c>
      <c r="B8" s="10" t="n"/>
      <c r="C8" s="21" t="n">
        <v>789.489</v>
      </c>
      <c r="D8" s="22" t="n">
        <v>994.852</v>
      </c>
      <c r="E8" s="22" t="n">
        <v>1215.379</v>
      </c>
      <c r="F8" s="22" t="n">
        <v>1390.615</v>
      </c>
      <c r="G8" s="22" t="n">
        <v>1029.384</v>
      </c>
      <c r="H8" s="21" t="n">
        <v>861.579</v>
      </c>
      <c r="I8" s="22" t="n">
        <v>878.016</v>
      </c>
      <c r="J8" s="22" t="n">
        <v>1068.658</v>
      </c>
      <c r="K8" s="22" t="n">
        <v>1117.046</v>
      </c>
      <c r="L8" s="22" t="n">
        <v>1390.615</v>
      </c>
    </row>
    <row r="9">
      <c r="A9" s="20" t="inlineStr">
        <is>
          <t>재고자산</t>
        </is>
      </c>
      <c r="B9" s="10" t="n"/>
      <c r="C9" s="21" t="n">
        <v>1.982</v>
      </c>
      <c r="D9" s="22" t="n">
        <v>8.202</v>
      </c>
      <c r="E9" s="22" t="n">
        <v>2.862</v>
      </c>
      <c r="F9" s="22" t="n">
        <v>1.612</v>
      </c>
      <c r="G9" s="22" t="n">
        <v>8.327999999999999</v>
      </c>
      <c r="H9" s="21" t="n">
        <v>2.546</v>
      </c>
      <c r="I9" s="22" t="n">
        <v>1.782</v>
      </c>
      <c r="J9" s="22" t="n">
        <v>1.588</v>
      </c>
      <c r="K9" s="22" t="n">
        <v>1.55</v>
      </c>
      <c r="L9" s="22" t="n">
        <v>1.612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2481.336</v>
      </c>
      <c r="D11" s="12" t="n">
        <v>2940.077</v>
      </c>
      <c r="E11" s="12" t="n">
        <v>3110.144</v>
      </c>
      <c r="F11" s="12" t="n">
        <v>3075.264</v>
      </c>
      <c r="G11" s="12" t="n">
        <v>2996.741</v>
      </c>
      <c r="H11" s="11" t="n">
        <v>2606.65</v>
      </c>
      <c r="I11" s="12" t="n">
        <v>2465.601</v>
      </c>
      <c r="J11" s="12" t="n">
        <v>2235.909</v>
      </c>
      <c r="K11" s="12" t="n">
        <v>2481.261</v>
      </c>
      <c r="L11" s="12" t="n">
        <v>3075.264</v>
      </c>
    </row>
    <row r="12">
      <c r="A12" s="20" t="inlineStr">
        <is>
          <t>유형자산</t>
        </is>
      </c>
      <c r="B12" s="10" t="n"/>
      <c r="C12" s="21" t="n">
        <v>854.875</v>
      </c>
      <c r="D12" s="22" t="n">
        <v>990.5309999999999</v>
      </c>
      <c r="E12" s="22" t="n">
        <v>996.045</v>
      </c>
      <c r="F12" s="22" t="n">
        <v>988.104</v>
      </c>
      <c r="G12" s="22" t="n">
        <v>1034.657</v>
      </c>
      <c r="H12" s="21" t="n">
        <v>531.467</v>
      </c>
      <c r="I12" s="22" t="n">
        <v>513.735</v>
      </c>
      <c r="J12" s="22" t="n">
        <v>556.193</v>
      </c>
      <c r="K12" s="22" t="n">
        <v>741.686</v>
      </c>
      <c r="L12" s="22" t="n">
        <v>988.104</v>
      </c>
    </row>
    <row r="13">
      <c r="A13" s="20" t="inlineStr">
        <is>
          <t>무형자산</t>
        </is>
      </c>
      <c r="B13" s="10" t="n"/>
      <c r="C13" s="21" t="n">
        <v>1154.788</v>
      </c>
      <c r="D13" s="22" t="n">
        <v>1299.953</v>
      </c>
      <c r="E13" s="22" t="n">
        <v>1307.696</v>
      </c>
      <c r="F13" s="22" t="n">
        <v>1309.975</v>
      </c>
      <c r="G13" s="22" t="n">
        <v>1317.449</v>
      </c>
      <c r="H13" s="21" t="n">
        <v>1629.55</v>
      </c>
      <c r="I13" s="22" t="n">
        <v>1512.19</v>
      </c>
      <c r="J13" s="22" t="n">
        <v>1136.871</v>
      </c>
      <c r="K13" s="22" t="n">
        <v>1171.824</v>
      </c>
      <c r="L13" s="22" t="n">
        <v>1309.975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9492.565000000001</v>
      </c>
      <c r="D16" s="12" t="n">
        <v>10077.385</v>
      </c>
      <c r="E16" s="12" t="n">
        <v>10228.02</v>
      </c>
      <c r="F16" s="12" t="n">
        <v>10702.897</v>
      </c>
      <c r="G16" s="12" t="n">
        <v>10764.784</v>
      </c>
      <c r="H16" s="11" t="n">
        <v>7222.827</v>
      </c>
      <c r="I16" s="12" t="n">
        <v>7868.72</v>
      </c>
      <c r="J16" s="12" t="n">
        <v>8417.431</v>
      </c>
      <c r="K16" s="12" t="n">
        <v>9577.683999999999</v>
      </c>
      <c r="L16" s="12" t="n">
        <v>10702.897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2713.824</v>
      </c>
      <c r="D18" s="12" t="n">
        <v>3006.25</v>
      </c>
      <c r="E18" s="12" t="n">
        <v>2800.36</v>
      </c>
      <c r="F18" s="12" t="n">
        <v>2937.041</v>
      </c>
      <c r="G18" s="12" t="n">
        <v>2903.605</v>
      </c>
      <c r="H18" s="11" t="n">
        <v>1786.439</v>
      </c>
      <c r="I18" s="12" t="n">
        <v>1705.485</v>
      </c>
      <c r="J18" s="12" t="n">
        <v>1841.022</v>
      </c>
      <c r="K18" s="12" t="n">
        <v>2415.789</v>
      </c>
      <c r="L18" s="12" t="n">
        <v>2937.041</v>
      </c>
    </row>
    <row r="19">
      <c r="A19" s="20" t="inlineStr">
        <is>
          <t>매입채무</t>
        </is>
      </c>
      <c r="B19" s="10" t="n"/>
      <c r="C19" s="21" t="n">
        <v>148.935</v>
      </c>
      <c r="D19" s="22" t="n">
        <v>186.174</v>
      </c>
      <c r="E19" s="22" t="n">
        <v>217.9</v>
      </c>
      <c r="F19" s="22" t="n">
        <v>221.552</v>
      </c>
      <c r="G19" s="22" t="n">
        <v>232.118</v>
      </c>
      <c r="H19" s="21" t="n">
        <v>250.005</v>
      </c>
      <c r="I19" s="22" t="n">
        <v>153.632</v>
      </c>
      <c r="J19" s="22" t="n">
        <v>211.88</v>
      </c>
      <c r="K19" s="22" t="n">
        <v>215.514</v>
      </c>
      <c r="L19" s="22" t="n">
        <v>221.552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254.583</v>
      </c>
      <c r="D23" s="12" t="n">
        <v>284.911</v>
      </c>
      <c r="E23" s="12" t="n">
        <v>301.378</v>
      </c>
      <c r="F23" s="12" t="n">
        <v>323.816</v>
      </c>
      <c r="G23" s="12" t="n">
        <v>339.664</v>
      </c>
      <c r="H23" s="11" t="n">
        <v>562.208</v>
      </c>
      <c r="I23" s="12" t="n">
        <v>538.143</v>
      </c>
      <c r="J23" s="12" t="n">
        <v>543.941</v>
      </c>
      <c r="K23" s="12" t="n">
        <v>583.813</v>
      </c>
      <c r="L23" s="12" t="n">
        <v>323.816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2968.407</v>
      </c>
      <c r="D27" s="12" t="n">
        <v>3291.161</v>
      </c>
      <c r="E27" s="12" t="n">
        <v>3101.739</v>
      </c>
      <c r="F27" s="12" t="n">
        <v>3260.857</v>
      </c>
      <c r="G27" s="12" t="n">
        <v>3243.27</v>
      </c>
      <c r="H27" s="11" t="n">
        <v>2348.648</v>
      </c>
      <c r="I27" s="12" t="n">
        <v>2243.628</v>
      </c>
      <c r="J27" s="12" t="n">
        <v>2384.964</v>
      </c>
      <c r="K27" s="12" t="n">
        <v>2999.602</v>
      </c>
      <c r="L27" s="12" t="n">
        <v>3260.857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6521.679</v>
      </c>
      <c r="D31" s="12" t="n">
        <v>6783.874</v>
      </c>
      <c r="E31" s="12" t="n">
        <v>7124.122</v>
      </c>
      <c r="F31" s="12" t="n">
        <v>7440.057</v>
      </c>
      <c r="G31" s="12" t="n">
        <v>7519.616</v>
      </c>
      <c r="H31" s="11" t="n">
        <v>4872.483</v>
      </c>
      <c r="I31" s="12" t="n">
        <v>5623.643</v>
      </c>
      <c r="J31" s="12" t="n">
        <v>6029.606</v>
      </c>
      <c r="K31" s="12" t="n">
        <v>6575.535</v>
      </c>
      <c r="L31" s="12" t="n">
        <v>7440.057</v>
      </c>
    </row>
    <row r="32">
      <c r="A32" s="20" t="inlineStr">
        <is>
          <t>자본금</t>
        </is>
      </c>
      <c r="B32" s="10" t="n"/>
      <c r="C32" s="21" t="n">
        <v>839.651</v>
      </c>
      <c r="D32" s="22" t="n">
        <v>846.327</v>
      </c>
      <c r="E32" s="22" t="n">
        <v>856.189</v>
      </c>
      <c r="F32" s="22" t="n">
        <v>865.258</v>
      </c>
      <c r="G32" s="22" t="n">
        <v>869.6609999999999</v>
      </c>
      <c r="H32" s="21" t="n">
        <v>794.057</v>
      </c>
      <c r="I32" s="22" t="n">
        <v>806.465</v>
      </c>
      <c r="J32" s="22" t="n">
        <v>820.236</v>
      </c>
      <c r="K32" s="22" t="n">
        <v>836.1369999999999</v>
      </c>
      <c r="L32" s="22" t="n">
        <v>865.258</v>
      </c>
    </row>
    <row r="33">
      <c r="A33" s="20" t="inlineStr">
        <is>
          <t>이익잉여금</t>
        </is>
      </c>
      <c r="B33" s="10" t="n"/>
      <c r="C33" s="21" t="n">
        <v>3918.754</v>
      </c>
      <c r="D33" s="22" t="n">
        <v>4169.618</v>
      </c>
      <c r="E33" s="22" t="n">
        <v>4482.869</v>
      </c>
      <c r="F33" s="22" t="n">
        <v>4783.909</v>
      </c>
      <c r="G33" s="22" t="n">
        <v>4855.025</v>
      </c>
      <c r="H33" s="21" t="n">
        <v>2048.121</v>
      </c>
      <c r="I33" s="22" t="n">
        <v>2773.277</v>
      </c>
      <c r="J33" s="22" t="n">
        <v>3151.357</v>
      </c>
      <c r="K33" s="22" t="n">
        <v>3979.203</v>
      </c>
      <c r="L33" s="22" t="n">
        <v>4783.909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6524.157</v>
      </c>
      <c r="D35" s="12" t="n">
        <v>6786.223</v>
      </c>
      <c r="E35" s="12" t="n">
        <v>7126.281</v>
      </c>
      <c r="F35" s="12" t="n">
        <v>7442.04</v>
      </c>
      <c r="G35" s="12" t="n">
        <v>7521.513</v>
      </c>
      <c r="H35" s="11" t="n">
        <v>4874.179</v>
      </c>
      <c r="I35" s="12" t="n">
        <v>5625.091</v>
      </c>
      <c r="J35" s="12" t="n">
        <v>6032.467</v>
      </c>
      <c r="K35" s="12" t="n">
        <v>6578.081</v>
      </c>
      <c r="L35" s="12" t="n">
        <v>7442.04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1452.213</v>
      </c>
      <c r="E37" s="12" t="n"/>
      <c r="F37" s="12" t="n">
        <v>1553.279</v>
      </c>
      <c r="G37" s="12" t="n"/>
      <c r="H37" s="11" t="n">
        <v>1604.45</v>
      </c>
      <c r="I37" s="12" t="n">
        <v>1213.866</v>
      </c>
      <c r="J37" s="12" t="n">
        <v>1221.845</v>
      </c>
      <c r="K37" s="12" t="n">
        <v>1993.324</v>
      </c>
      <c r="L37" s="12" t="n">
        <v>1553.279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763.576</v>
      </c>
      <c r="E38" s="22" t="n"/>
      <c r="F38" s="22" t="n">
        <v>950.135</v>
      </c>
      <c r="G38" s="22" t="n"/>
      <c r="H38" s="21" t="n">
        <v>482.91</v>
      </c>
      <c r="I38" s="22" t="n">
        <v>440.413</v>
      </c>
      <c r="J38" s="22" t="n">
        <v>571.538</v>
      </c>
      <c r="K38" s="22" t="n">
        <v>680.389</v>
      </c>
      <c r="L38" s="22" t="n">
        <v>950.135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185.115</v>
      </c>
      <c r="E40" s="22" t="n"/>
      <c r="F40" s="22" t="n">
        <v>185.109</v>
      </c>
      <c r="G40" s="22" t="n"/>
      <c r="H40" s="21" t="n"/>
      <c r="I40" s="22" t="n">
        <v>0</v>
      </c>
      <c r="J40" s="22" t="n">
        <v>140.662</v>
      </c>
      <c r="K40" s="22" t="n">
        <v>141.714</v>
      </c>
      <c r="L40" s="22" t="n">
        <v>185.109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5710.621</v>
      </c>
      <c r="D71" s="22" t="n">
        <v>5835.872</v>
      </c>
      <c r="E71" s="22" t="n">
        <v>5566.369</v>
      </c>
      <c r="F71" s="22" t="n">
        <v>5435.099</v>
      </c>
      <c r="G71" s="22" t="n">
        <v>5777.928</v>
      </c>
      <c r="H71" s="22" t="n">
        <v>3577.6</v>
      </c>
      <c r="I71" s="22" t="n">
        <v>4366.018</v>
      </c>
      <c r="J71" s="22" t="n">
        <v>4891.427</v>
      </c>
      <c r="K71" s="22" t="n">
        <v>5560.958</v>
      </c>
      <c r="L71" s="22" t="n">
        <v>5435.099</v>
      </c>
    </row>
    <row r="72">
      <c r="A72" s="20" t="inlineStr">
        <is>
          <t>받을어음·매출채권</t>
        </is>
      </c>
      <c r="H72" s="22" t="n">
        <v>0</v>
      </c>
    </row>
    <row r="73">
      <c r="A73" s="20" t="inlineStr">
        <is>
          <t>받을어음·매출채권·계약자산</t>
        </is>
      </c>
      <c r="C73" s="22" t="n">
        <v>789.489</v>
      </c>
      <c r="D73" s="22" t="n">
        <v>994.852</v>
      </c>
      <c r="E73" s="22" t="n">
        <v>1215.379</v>
      </c>
      <c r="F73" s="22" t="n">
        <v>1390.615</v>
      </c>
      <c r="G73" s="22" t="n">
        <v>1029.384</v>
      </c>
      <c r="H73" s="22" t="n">
        <v>861.579</v>
      </c>
      <c r="I73" s="22" t="n">
        <v>878.016</v>
      </c>
      <c r="J73" s="22" t="n">
        <v>1068.658</v>
      </c>
      <c r="K73" s="22" t="n">
        <v>1117.046</v>
      </c>
      <c r="L73" s="22" t="n">
        <v>1390.615</v>
      </c>
    </row>
    <row r="74">
      <c r="A74" s="20" t="inlineStr">
        <is>
          <t>유가증권</t>
        </is>
      </c>
      <c r="F74" s="22" t="n">
        <v>500</v>
      </c>
      <c r="G74" s="22" t="n">
        <v>500</v>
      </c>
      <c r="K74" s="22" t="n">
        <v>0</v>
      </c>
      <c r="L74" s="22" t="n">
        <v>500</v>
      </c>
    </row>
    <row r="75">
      <c r="A75" s="20" t="inlineStr">
        <is>
          <t>상품</t>
        </is>
      </c>
      <c r="C75" s="22" t="n">
        <v>1.086</v>
      </c>
      <c r="D75" s="22" t="n">
        <v>1.067</v>
      </c>
      <c r="E75" s="22" t="n">
        <v>1.063</v>
      </c>
      <c r="F75" s="22" t="n">
        <v>1.063</v>
      </c>
      <c r="G75" s="22" t="n">
        <v>1.07</v>
      </c>
      <c r="H75" s="22" t="n">
        <v>1.084</v>
      </c>
      <c r="I75" s="22" t="n">
        <v>1.084</v>
      </c>
      <c r="J75" s="22" t="n">
        <v>1.088</v>
      </c>
      <c r="K75" s="22" t="n">
        <v>1.09</v>
      </c>
      <c r="L75" s="22" t="n">
        <v>1.063</v>
      </c>
    </row>
    <row r="76">
      <c r="A76" s="20" t="inlineStr">
        <is>
          <t>재공품</t>
        </is>
      </c>
      <c r="C76" s="22" t="n">
        <v>0.476</v>
      </c>
      <c r="D76" s="22" t="n">
        <v>6.715</v>
      </c>
      <c r="E76" s="22" t="n">
        <v>1.389</v>
      </c>
      <c r="F76" s="22" t="n">
        <v>0.139</v>
      </c>
      <c r="G76" s="22" t="n">
        <v>6.878</v>
      </c>
      <c r="H76" s="22" t="n">
        <v>0.907</v>
      </c>
      <c r="I76" s="22" t="n">
        <v>0.173</v>
      </c>
      <c r="J76" s="22" t="n">
        <v>0</v>
      </c>
      <c r="K76" s="22" t="n">
        <v>0</v>
      </c>
      <c r="L76" s="22" t="n">
        <v>0.139</v>
      </c>
    </row>
    <row r="77">
      <c r="A77" s="20" t="inlineStr">
        <is>
          <t>원재료·저장품</t>
        </is>
      </c>
      <c r="C77" s="22" t="n">
        <v>0.42</v>
      </c>
      <c r="D77" s="22" t="n">
        <v>0.42</v>
      </c>
      <c r="E77" s="22" t="n">
        <v>0.41</v>
      </c>
      <c r="F77" s="22" t="n">
        <v>0.41</v>
      </c>
      <c r="G77" s="22" t="n">
        <v>0.38</v>
      </c>
      <c r="H77" s="22" t="n">
        <v>0.555</v>
      </c>
      <c r="I77" s="22" t="n">
        <v>0.525</v>
      </c>
      <c r="J77" s="22" t="n">
        <v>0.5</v>
      </c>
      <c r="K77" s="22" t="n">
        <v>0.46</v>
      </c>
      <c r="L77" s="22" t="n">
        <v>0.41</v>
      </c>
    </row>
    <row r="78">
      <c r="A78" s="20" t="inlineStr">
        <is>
          <t>선급비용</t>
        </is>
      </c>
      <c r="C78" s="22" t="n">
        <v>326.137</v>
      </c>
      <c r="D78" s="22" t="n">
        <v>257.634</v>
      </c>
      <c r="E78" s="22" t="n">
        <v>319.326</v>
      </c>
      <c r="F78" s="22" t="n">
        <v>274.596</v>
      </c>
      <c r="G78" s="22" t="n">
        <v>423.654</v>
      </c>
      <c r="H78" s="22" t="n">
        <v>115.233</v>
      </c>
      <c r="I78" s="22" t="n">
        <v>144.892</v>
      </c>
      <c r="J78" s="22" t="n">
        <v>173.073</v>
      </c>
      <c r="K78" s="22" t="n">
        <v>230.272</v>
      </c>
      <c r="L78" s="22" t="n">
        <v>274.596</v>
      </c>
    </row>
    <row r="79">
      <c r="A79" s="20" t="inlineStr">
        <is>
          <t>기타</t>
        </is>
      </c>
      <c r="C79" s="22" t="n">
        <v>195.163</v>
      </c>
      <c r="D79" s="22" t="n">
        <v>52.596</v>
      </c>
      <c r="E79" s="22" t="n">
        <v>26.029</v>
      </c>
      <c r="F79" s="22" t="n">
        <v>38.052</v>
      </c>
      <c r="G79" s="22" t="n">
        <v>40.711</v>
      </c>
      <c r="H79" s="22" t="n">
        <v>56.674</v>
      </c>
      <c r="I79" s="22" t="n">
        <v>11.132</v>
      </c>
      <c r="J79" s="22" t="n">
        <v>46.76</v>
      </c>
      <c r="K79" s="22" t="n">
        <v>199.103</v>
      </c>
      <c r="L79" s="22" t="n">
        <v>38.052</v>
      </c>
    </row>
    <row r="80">
      <c r="A80" s="20" t="inlineStr">
        <is>
          <t>대손충당금</t>
        </is>
      </c>
      <c r="C80" s="22" t="n">
        <v>-12.166</v>
      </c>
      <c r="D80" s="22" t="n">
        <v>-11.85</v>
      </c>
      <c r="E80" s="22" t="n">
        <v>-12.091</v>
      </c>
      <c r="F80" s="22" t="n">
        <v>-12.343</v>
      </c>
      <c r="G80" s="22" t="n">
        <v>-11.964</v>
      </c>
      <c r="H80" s="22" t="n">
        <v>0</v>
      </c>
      <c r="J80" s="22" t="n">
        <v>0</v>
      </c>
      <c r="K80" s="22" t="n">
        <v>-12.509</v>
      </c>
      <c r="L80" s="22" t="n">
        <v>-12.343</v>
      </c>
    </row>
    <row r="81">
      <c r="A81" s="9" t="inlineStr">
        <is>
          <t>유동자산 합계</t>
        </is>
      </c>
      <c r="C81" s="12" t="n">
        <v>7011.228</v>
      </c>
      <c r="D81" s="12" t="n">
        <v>7137.307</v>
      </c>
      <c r="E81" s="12" t="n">
        <v>7117.876</v>
      </c>
      <c r="F81" s="12" t="n">
        <v>7627.633</v>
      </c>
      <c r="G81" s="12" t="n">
        <v>7768.042</v>
      </c>
      <c r="H81" s="12" t="n">
        <v>4613.636</v>
      </c>
      <c r="I81" s="12" t="n">
        <v>5401.842</v>
      </c>
      <c r="J81" s="12" t="n">
        <v>6181.509</v>
      </c>
      <c r="K81" s="12" t="n">
        <v>7096.422</v>
      </c>
      <c r="L81" s="12" t="n">
        <v>7627.633</v>
      </c>
    </row>
    <row r="82">
      <c r="A82" s="20" t="inlineStr">
        <is>
          <t>건물·구축물</t>
        </is>
      </c>
      <c r="C82" s="22" t="n">
        <v>908.86</v>
      </c>
      <c r="D82" s="22" t="n">
        <v>975.068</v>
      </c>
      <c r="E82" s="22" t="n">
        <v>976.043</v>
      </c>
      <c r="F82" s="22" t="n">
        <v>974.949</v>
      </c>
      <c r="G82" s="22" t="n">
        <v>986.949</v>
      </c>
      <c r="H82" s="22" t="n">
        <v>701.342</v>
      </c>
      <c r="I82" s="22" t="n">
        <v>712.138</v>
      </c>
      <c r="J82" s="22" t="n">
        <v>760.269</v>
      </c>
      <c r="K82" s="22" t="n">
        <v>916.5940000000001</v>
      </c>
      <c r="L82" s="22" t="n">
        <v>974.949</v>
      </c>
    </row>
    <row r="83">
      <c r="A83" s="20" t="inlineStr">
        <is>
          <t>감가상각누계액</t>
        </is>
      </c>
      <c r="C83" s="22" t="n">
        <v>-427.59</v>
      </c>
      <c r="D83" s="22" t="n">
        <v>-436.037</v>
      </c>
      <c r="E83" s="22" t="n">
        <v>-444.86</v>
      </c>
      <c r="F83" s="22" t="n">
        <v>-451.529</v>
      </c>
      <c r="G83" s="22" t="n">
        <v>-460.309</v>
      </c>
      <c r="H83" s="22" t="n">
        <v>-453.845</v>
      </c>
      <c r="I83" s="22" t="n">
        <v>-475.148</v>
      </c>
      <c r="J83" s="22" t="n">
        <v>-498.203</v>
      </c>
      <c r="K83" s="22" t="n">
        <v>-577.768</v>
      </c>
      <c r="L83" s="22" t="n">
        <v>-451.529</v>
      </c>
    </row>
    <row r="84">
      <c r="A84" s="20" t="inlineStr">
        <is>
          <t>건물·구축물(순액)</t>
        </is>
      </c>
      <c r="C84" s="22" t="n">
        <v>481.27</v>
      </c>
      <c r="D84" s="22" t="n">
        <v>539.03</v>
      </c>
      <c r="E84" s="22" t="n">
        <v>531.182</v>
      </c>
      <c r="F84" s="22" t="n">
        <v>523.419</v>
      </c>
      <c r="G84" s="22" t="n">
        <v>526.639</v>
      </c>
      <c r="H84" s="22" t="n">
        <v>247.497</v>
      </c>
      <c r="I84" s="22" t="n">
        <v>236.99</v>
      </c>
      <c r="J84" s="22" t="n">
        <v>262.066</v>
      </c>
      <c r="K84" s="22" t="n">
        <v>338.826</v>
      </c>
      <c r="L84" s="22" t="n">
        <v>523.419</v>
      </c>
    </row>
    <row r="85">
      <c r="A85" s="20" t="inlineStr">
        <is>
          <t>공구·기구·비품</t>
        </is>
      </c>
      <c r="C85" s="22" t="n">
        <v>1063.745</v>
      </c>
      <c r="D85" s="22" t="n">
        <v>1172.832</v>
      </c>
      <c r="E85" s="22" t="n">
        <v>1223.383</v>
      </c>
      <c r="F85" s="22" t="n">
        <v>1257.65</v>
      </c>
      <c r="G85" s="22" t="n">
        <v>1337.069</v>
      </c>
      <c r="H85" s="22" t="n">
        <v>726.593</v>
      </c>
      <c r="I85" s="22" t="n">
        <v>792.418</v>
      </c>
      <c r="J85" s="22" t="n">
        <v>903.934</v>
      </c>
      <c r="K85" s="22" t="n">
        <v>988.345</v>
      </c>
      <c r="L85" s="22" t="n">
        <v>1257.65</v>
      </c>
    </row>
    <row r="86">
      <c r="A86" s="20" t="inlineStr">
        <is>
          <t>감가상각누계액</t>
        </is>
      </c>
      <c r="C86" s="22" t="n">
        <v>-694.111</v>
      </c>
      <c r="D86" s="22" t="n">
        <v>-722.602</v>
      </c>
      <c r="E86" s="22" t="n">
        <v>-759.7910000000001</v>
      </c>
      <c r="F86" s="22" t="n">
        <v>-794.235</v>
      </c>
      <c r="G86" s="22" t="n">
        <v>-830.321</v>
      </c>
      <c r="H86" s="22" t="n">
        <v>-444.301</v>
      </c>
      <c r="I86" s="22" t="n">
        <v>-517.079</v>
      </c>
      <c r="J86" s="22" t="n">
        <v>-611.077</v>
      </c>
      <c r="K86" s="22" t="n">
        <v>-668.7089999999999</v>
      </c>
      <c r="L86" s="22" t="n">
        <v>-794.235</v>
      </c>
    </row>
    <row r="87">
      <c r="A87" s="20" t="inlineStr">
        <is>
          <t>공구·기구·비품(순액)</t>
        </is>
      </c>
      <c r="C87" s="22" t="n">
        <v>369.634</v>
      </c>
      <c r="D87" s="22" t="n">
        <v>450.23</v>
      </c>
      <c r="E87" s="22" t="n">
        <v>463.592</v>
      </c>
      <c r="F87" s="22" t="n">
        <v>463.414</v>
      </c>
      <c r="G87" s="22" t="n">
        <v>506.747</v>
      </c>
      <c r="H87" s="22" t="n">
        <v>282.292</v>
      </c>
      <c r="I87" s="22" t="n">
        <v>275.339</v>
      </c>
      <c r="J87" s="22" t="n">
        <v>292.856</v>
      </c>
      <c r="K87" s="22" t="n">
        <v>319.635</v>
      </c>
      <c r="L87" s="22" t="n">
        <v>463.414</v>
      </c>
    </row>
    <row r="88">
      <c r="A88" s="20" t="inlineStr">
        <is>
          <t>토지</t>
        </is>
      </c>
      <c r="C88" s="22" t="n">
        <v>1.27</v>
      </c>
      <c r="D88" s="22" t="n">
        <v>1.27</v>
      </c>
      <c r="E88" s="22" t="n">
        <v>1.27</v>
      </c>
      <c r="F88" s="22" t="n">
        <v>1.27</v>
      </c>
      <c r="G88" s="22" t="n">
        <v>1.27</v>
      </c>
      <c r="H88" s="22" t="n">
        <v>1.27</v>
      </c>
      <c r="I88" s="22" t="n">
        <v>1.27</v>
      </c>
      <c r="J88" s="22" t="n">
        <v>1.27</v>
      </c>
      <c r="K88" s="22" t="n">
        <v>1.27</v>
      </c>
      <c r="L88" s="22" t="n">
        <v>1.27</v>
      </c>
    </row>
    <row r="89">
      <c r="A89" s="20" t="inlineStr">
        <is>
          <t>건설중인자산</t>
        </is>
      </c>
      <c r="C89" s="22" t="n">
        <v>2.7</v>
      </c>
      <c r="D89" s="22" t="n">
        <v>0</v>
      </c>
      <c r="E89" s="22" t="n">
        <v>0</v>
      </c>
      <c r="F89" s="22" t="n">
        <v>0</v>
      </c>
      <c r="J89" s="22" t="n">
        <v>0</v>
      </c>
      <c r="K89" s="22" t="n">
        <v>81.953</v>
      </c>
      <c r="L89" s="22" t="n">
        <v>0</v>
      </c>
    </row>
    <row r="90">
      <c r="A90" s="20" t="inlineStr">
        <is>
          <t>기타</t>
        </is>
      </c>
      <c r="C90" s="22" t="n">
        <v>1.551</v>
      </c>
      <c r="D90" s="22" t="n">
        <v>1.551</v>
      </c>
      <c r="E90" s="22" t="n">
        <v>1.551</v>
      </c>
      <c r="F90" s="22" t="n">
        <v>1.551</v>
      </c>
      <c r="G90" s="22" t="n">
        <v>1.551</v>
      </c>
      <c r="H90" s="22" t="n">
        <v>1.551</v>
      </c>
      <c r="I90" s="22" t="n">
        <v>1.551</v>
      </c>
      <c r="J90" s="22" t="n">
        <v>1.551</v>
      </c>
      <c r="K90" s="22" t="n">
        <v>1.551</v>
      </c>
      <c r="L90" s="22" t="n">
        <v>1.551</v>
      </c>
    </row>
    <row r="91">
      <c r="A91" s="20" t="inlineStr">
        <is>
          <t>감가상각누계액</t>
        </is>
      </c>
      <c r="C91" s="22" t="n">
        <v>-1.551</v>
      </c>
      <c r="D91" s="22" t="n">
        <v>-1.551</v>
      </c>
      <c r="E91" s="22" t="n">
        <v>-1.551</v>
      </c>
      <c r="F91" s="22" t="n">
        <v>-1.551</v>
      </c>
      <c r="G91" s="22" t="n">
        <v>-1.551</v>
      </c>
      <c r="H91" s="22" t="n">
        <v>-1.145</v>
      </c>
      <c r="I91" s="22" t="n">
        <v>-1.416</v>
      </c>
      <c r="J91" s="22" t="n">
        <v>-1.551</v>
      </c>
      <c r="K91" s="22" t="n">
        <v>-1.551</v>
      </c>
      <c r="L91" s="22" t="n">
        <v>-1.551</v>
      </c>
    </row>
    <row r="92">
      <c r="A92" s="20" t="inlineStr">
        <is>
          <t>기타(순액)</t>
        </is>
      </c>
      <c r="C92" s="22" t="n">
        <v>0</v>
      </c>
      <c r="D92" s="22" t="n">
        <v>0</v>
      </c>
      <c r="E92" s="22" t="n">
        <v>0</v>
      </c>
      <c r="F92" s="22" t="n">
        <v>0</v>
      </c>
      <c r="G92" s="22" t="n">
        <v>0</v>
      </c>
      <c r="H92" s="22" t="n">
        <v>0.406</v>
      </c>
      <c r="I92" s="22" t="n">
        <v>0.135</v>
      </c>
      <c r="J92" s="22" t="n">
        <v>0</v>
      </c>
      <c r="K92" s="22" t="n">
        <v>0</v>
      </c>
      <c r="L92" s="22" t="n">
        <v>0</v>
      </c>
    </row>
    <row r="93">
      <c r="A93" s="20" t="inlineStr">
        <is>
          <t>유형자산 합계</t>
        </is>
      </c>
      <c r="C93" s="22" t="n">
        <v>854.875</v>
      </c>
      <c r="D93" s="22" t="n">
        <v>990.5309999999999</v>
      </c>
      <c r="E93" s="22" t="n">
        <v>996.045</v>
      </c>
      <c r="F93" s="22" t="n">
        <v>988.104</v>
      </c>
      <c r="G93" s="22" t="n">
        <v>1034.657</v>
      </c>
      <c r="H93" s="22" t="n">
        <v>531.467</v>
      </c>
      <c r="I93" s="22" t="n">
        <v>513.735</v>
      </c>
      <c r="J93" s="22" t="n">
        <v>556.193</v>
      </c>
      <c r="K93" s="22" t="n">
        <v>741.686</v>
      </c>
      <c r="L93" s="22" t="n">
        <v>988.104</v>
      </c>
    </row>
    <row r="94">
      <c r="A94" s="20" t="inlineStr">
        <is>
          <t>영업권</t>
        </is>
      </c>
      <c r="C94" s="22" t="n">
        <v>62.791</v>
      </c>
      <c r="D94" s="22" t="n">
        <v>59.651</v>
      </c>
      <c r="E94" s="22" t="n">
        <v>56.512</v>
      </c>
      <c r="F94" s="22" t="n">
        <v>53.372</v>
      </c>
      <c r="G94" s="22" t="n">
        <v>50.233</v>
      </c>
      <c r="H94" s="22" t="n">
        <v>103.605</v>
      </c>
      <c r="I94" s="22" t="n">
        <v>91.047</v>
      </c>
      <c r="J94" s="22" t="n">
        <v>78.489</v>
      </c>
      <c r="K94" s="22" t="n">
        <v>65.93000000000001</v>
      </c>
      <c r="L94" s="22" t="n">
        <v>53.372</v>
      </c>
    </row>
    <row r="95">
      <c r="A95" s="20" t="inlineStr">
        <is>
          <t>소프트웨어</t>
        </is>
      </c>
      <c r="C95" s="22" t="n">
        <v>1013.057</v>
      </c>
      <c r="D95" s="22" t="n">
        <v>983.7569999999999</v>
      </c>
      <c r="E95" s="22" t="n">
        <v>1049.692</v>
      </c>
      <c r="F95" s="22" t="n">
        <v>1027.046</v>
      </c>
      <c r="G95" s="22" t="n">
        <v>1029.709</v>
      </c>
      <c r="H95" s="22" t="n">
        <v>1078.191</v>
      </c>
      <c r="I95" s="22" t="n">
        <v>980.824</v>
      </c>
      <c r="J95" s="22" t="n">
        <v>592.845</v>
      </c>
      <c r="K95" s="22" t="n">
        <v>924.782</v>
      </c>
      <c r="L95" s="22" t="n">
        <v>1027.046</v>
      </c>
    </row>
    <row r="96">
      <c r="A96" s="20" t="inlineStr">
        <is>
          <t>개발 중 소프트웨어</t>
        </is>
      </c>
      <c r="C96" s="22" t="n">
        <v>74.26900000000001</v>
      </c>
      <c r="D96" s="22" t="n">
        <v>120.956</v>
      </c>
      <c r="E96" s="22" t="n">
        <v>69.274</v>
      </c>
      <c r="F96" s="22" t="n">
        <v>98.649</v>
      </c>
      <c r="G96" s="22" t="n">
        <v>108.934</v>
      </c>
      <c r="H96" s="22" t="n">
        <v>334.933</v>
      </c>
      <c r="I96" s="22" t="n">
        <v>368.647</v>
      </c>
      <c r="J96" s="22" t="n">
        <v>425.611</v>
      </c>
      <c r="K96" s="22" t="n">
        <v>169.288</v>
      </c>
      <c r="L96" s="22" t="n">
        <v>98.649</v>
      </c>
    </row>
    <row r="97">
      <c r="A97" s="20" t="inlineStr">
        <is>
          <t>기타</t>
        </is>
      </c>
      <c r="C97" s="22" t="n">
        <v>4.67</v>
      </c>
      <c r="D97" s="22" t="n">
        <v>135.587</v>
      </c>
      <c r="E97" s="22" t="n">
        <v>132.217</v>
      </c>
      <c r="F97" s="22" t="n">
        <v>130.906</v>
      </c>
      <c r="G97" s="22" t="n">
        <v>128.571</v>
      </c>
      <c r="H97" s="22" t="n">
        <v>112.819</v>
      </c>
      <c r="I97" s="22" t="n">
        <v>71.67100000000001</v>
      </c>
      <c r="J97" s="22" t="n">
        <v>39.924</v>
      </c>
      <c r="K97" s="22" t="n">
        <v>11.823</v>
      </c>
      <c r="L97" s="22" t="n">
        <v>130.906</v>
      </c>
    </row>
    <row r="98">
      <c r="A98" s="20" t="inlineStr">
        <is>
          <t>무형자산 합계</t>
        </is>
      </c>
      <c r="C98" s="22" t="n">
        <v>1154.788</v>
      </c>
      <c r="D98" s="22" t="n">
        <v>1299.953</v>
      </c>
      <c r="E98" s="22" t="n">
        <v>1307.696</v>
      </c>
      <c r="F98" s="22" t="n">
        <v>1309.975</v>
      </c>
      <c r="G98" s="22" t="n">
        <v>1317.449</v>
      </c>
      <c r="H98" s="22" t="n">
        <v>1629.55</v>
      </c>
      <c r="I98" s="22" t="n">
        <v>1512.19</v>
      </c>
      <c r="J98" s="22" t="n">
        <v>1136.871</v>
      </c>
      <c r="K98" s="22" t="n">
        <v>1171.824</v>
      </c>
      <c r="L98" s="22" t="n">
        <v>1309.975</v>
      </c>
    </row>
    <row r="99">
      <c r="A99" s="20" t="inlineStr">
        <is>
          <t>투자유가증권</t>
        </is>
      </c>
      <c r="C99" s="22" t="n">
        <v>160.773</v>
      </c>
      <c r="D99" s="22" t="n">
        <v>305.568</v>
      </c>
      <c r="E99" s="22" t="n">
        <v>457.186</v>
      </c>
      <c r="F99" s="22" t="n">
        <v>305.713</v>
      </c>
      <c r="G99" s="22" t="n">
        <v>307.516</v>
      </c>
      <c r="H99" s="22" t="n">
        <v>34.302</v>
      </c>
      <c r="I99" s="22" t="n">
        <v>44.378</v>
      </c>
      <c r="J99" s="22" t="n">
        <v>47.784</v>
      </c>
      <c r="K99" s="22" t="n">
        <v>157.975</v>
      </c>
      <c r="L99" s="22" t="n">
        <v>305.713</v>
      </c>
    </row>
    <row r="100">
      <c r="A100" s="20" t="inlineStr">
        <is>
          <t>장기선급비용</t>
        </is>
      </c>
      <c r="C100" s="22" t="n">
        <v>20.956</v>
      </c>
      <c r="D100" s="22" t="n">
        <v>34.556</v>
      </c>
      <c r="E100" s="22" t="n">
        <v>99.211</v>
      </c>
      <c r="F100" s="22" t="n">
        <v>95.197</v>
      </c>
      <c r="G100" s="22" t="n">
        <v>90.751</v>
      </c>
      <c r="H100" s="22" t="n">
        <v>20.043</v>
      </c>
      <c r="I100" s="22" t="n">
        <v>19.924</v>
      </c>
      <c r="J100" s="22" t="n">
        <v>33.551</v>
      </c>
      <c r="K100" s="22" t="n">
        <v>32.092</v>
      </c>
      <c r="L100" s="22" t="n">
        <v>95.197</v>
      </c>
    </row>
    <row r="101">
      <c r="A101" s="20" t="inlineStr">
        <is>
          <t>보증금</t>
        </is>
      </c>
      <c r="C101" s="22" t="n">
        <v>146.901</v>
      </c>
      <c r="D101" s="22" t="n">
        <v>147.017</v>
      </c>
      <c r="E101" s="22" t="n">
        <v>147.017</v>
      </c>
      <c r="F101" s="22" t="n">
        <v>147.017</v>
      </c>
      <c r="G101" s="22" t="n">
        <v>146.873</v>
      </c>
      <c r="H101" s="22" t="n">
        <v>204.757</v>
      </c>
      <c r="I101" s="22" t="n">
        <v>204.777</v>
      </c>
      <c r="J101" s="22" t="n">
        <v>204.697</v>
      </c>
      <c r="K101" s="22" t="n">
        <v>146.807</v>
      </c>
      <c r="L101" s="22" t="n">
        <v>147.017</v>
      </c>
    </row>
    <row r="102">
      <c r="A102" s="20" t="inlineStr">
        <is>
          <t>파산갱생채권 등</t>
        </is>
      </c>
      <c r="H102" s="22" t="n">
        <v>0</v>
      </c>
      <c r="I102" s="22" t="n">
        <v>3.613</v>
      </c>
      <c r="J102" s="22" t="n">
        <v>3.091</v>
      </c>
      <c r="K102" s="22" t="n">
        <v>0</v>
      </c>
    </row>
    <row r="103">
      <c r="A103" s="20" t="inlineStr">
        <is>
          <t>이연법인세자산</t>
        </is>
      </c>
      <c r="C103" s="22" t="n">
        <v>141.84</v>
      </c>
      <c r="D103" s="22" t="n">
        <v>161.248</v>
      </c>
      <c r="E103" s="22" t="n">
        <v>101.788</v>
      </c>
      <c r="F103" s="22" t="n">
        <v>228.055</v>
      </c>
      <c r="G103" s="22" t="n">
        <v>98.29300000000001</v>
      </c>
      <c r="H103" s="22" t="n">
        <v>185.329</v>
      </c>
      <c r="I103" s="22" t="n">
        <v>168.873</v>
      </c>
      <c r="J103" s="22" t="n">
        <v>255.611</v>
      </c>
      <c r="K103" s="22" t="n">
        <v>229.676</v>
      </c>
      <c r="L103" s="22" t="n">
        <v>228.055</v>
      </c>
    </row>
    <row r="104">
      <c r="A104" s="20" t="inlineStr">
        <is>
          <t>기타</t>
        </is>
      </c>
      <c r="C104" s="22" t="n">
        <v>1.2</v>
      </c>
      <c r="D104" s="22" t="n">
        <v>1.2</v>
      </c>
      <c r="E104" s="22" t="n">
        <v>1.2</v>
      </c>
      <c r="F104" s="22" t="n">
        <v>1.2</v>
      </c>
      <c r="G104" s="22" t="n">
        <v>1.2</v>
      </c>
      <c r="H104" s="22" t="n">
        <v>1.2</v>
      </c>
      <c r="I104" s="22" t="n">
        <v>1.2</v>
      </c>
      <c r="J104" s="22" t="n">
        <v>1.2</v>
      </c>
      <c r="K104" s="22" t="n">
        <v>1.2</v>
      </c>
      <c r="L104" s="22" t="n">
        <v>1.2</v>
      </c>
    </row>
    <row r="105">
      <c r="A105" s="20" t="inlineStr">
        <is>
          <t>대손충당금</t>
        </is>
      </c>
      <c r="H105" s="22" t="n">
        <v>0</v>
      </c>
      <c r="I105" s="22" t="n">
        <v>-3.091</v>
      </c>
    </row>
    <row r="106">
      <c r="A106" s="20" t="inlineStr">
        <is>
          <t>대손충당금</t>
        </is>
      </c>
      <c r="I106" s="22" t="n">
        <v>-3.091</v>
      </c>
      <c r="J106" s="22" t="n">
        <v>-3.091</v>
      </c>
      <c r="K106" s="22" t="n">
        <v>0</v>
      </c>
    </row>
    <row r="107">
      <c r="A107" s="20" t="inlineStr">
        <is>
          <t>투자 및 기타자산 합계</t>
        </is>
      </c>
      <c r="C107" s="22" t="n">
        <v>471.672</v>
      </c>
      <c r="D107" s="22" t="n">
        <v>649.592</v>
      </c>
      <c r="E107" s="22" t="n">
        <v>806.403</v>
      </c>
      <c r="F107" s="22" t="n">
        <v>777.184</v>
      </c>
      <c r="G107" s="22" t="n">
        <v>644.635</v>
      </c>
      <c r="H107" s="22" t="n">
        <v>445.632</v>
      </c>
      <c r="I107" s="22" t="n">
        <v>439.675</v>
      </c>
      <c r="J107" s="22" t="n">
        <v>542.8440000000001</v>
      </c>
      <c r="K107" s="22" t="n">
        <v>567.75</v>
      </c>
      <c r="L107" s="22" t="n">
        <v>777.184</v>
      </c>
    </row>
    <row r="108">
      <c r="A108" s="9" t="inlineStr">
        <is>
          <t>비유동자산 합계</t>
        </is>
      </c>
      <c r="C108" s="12" t="n">
        <v>2481.336</v>
      </c>
      <c r="D108" s="12" t="n">
        <v>2940.077</v>
      </c>
      <c r="E108" s="12" t="n">
        <v>3110.144</v>
      </c>
      <c r="F108" s="12" t="n">
        <v>3075.264</v>
      </c>
      <c r="G108" s="12" t="n">
        <v>2996.741</v>
      </c>
      <c r="H108" s="12" t="n">
        <v>2606.65</v>
      </c>
      <c r="I108" s="12" t="n">
        <v>2465.601</v>
      </c>
      <c r="J108" s="12" t="n">
        <v>2235.909</v>
      </c>
      <c r="K108" s="12" t="n">
        <v>2481.261</v>
      </c>
      <c r="L108" s="12" t="n">
        <v>3075.264</v>
      </c>
    </row>
    <row r="109">
      <c r="A109" s="20" t="inlineStr">
        <is>
          <t>주식교부비</t>
        </is>
      </c>
      <c r="H109" s="22" t="n">
        <v>2.54</v>
      </c>
      <c r="I109" s="22" t="n">
        <v>1.276</v>
      </c>
      <c r="J109" s="22" t="n">
        <v>0.012</v>
      </c>
      <c r="K109" s="22" t="n">
        <v>0</v>
      </c>
    </row>
    <row r="110">
      <c r="A110" s="20" t="inlineStr">
        <is>
          <t>이연자산 합계</t>
        </is>
      </c>
      <c r="H110" s="22" t="n">
        <v>2.54</v>
      </c>
      <c r="I110" s="22" t="n">
        <v>1.276</v>
      </c>
      <c r="J110" s="22" t="n">
        <v>0.012</v>
      </c>
      <c r="K110" s="22" t="n">
        <v>0</v>
      </c>
    </row>
    <row r="111">
      <c r="A111" s="9" t="inlineStr">
        <is>
          <t>자산 합계</t>
        </is>
      </c>
      <c r="C111" s="12" t="n">
        <v>9492.565000000001</v>
      </c>
      <c r="D111" s="12" t="n">
        <v>10077.385</v>
      </c>
      <c r="E111" s="12" t="n">
        <v>10228.02</v>
      </c>
      <c r="F111" s="12" t="n">
        <v>10702.897</v>
      </c>
      <c r="G111" s="12" t="n">
        <v>10764.784</v>
      </c>
      <c r="H111" s="12" t="n">
        <v>7222.827</v>
      </c>
      <c r="I111" s="12" t="n">
        <v>7868.72</v>
      </c>
      <c r="J111" s="12" t="n">
        <v>8417.431</v>
      </c>
      <c r="K111" s="12" t="n">
        <v>9577.683999999999</v>
      </c>
      <c r="L111" s="12" t="n">
        <v>10702.897</v>
      </c>
    </row>
    <row r="112">
      <c r="A112" s="20" t="inlineStr">
        <is>
          <t>매입채무</t>
        </is>
      </c>
      <c r="C112" s="22" t="n">
        <v>148.935</v>
      </c>
      <c r="D112" s="22" t="n">
        <v>186.174</v>
      </c>
      <c r="E112" s="22" t="n">
        <v>217.9</v>
      </c>
      <c r="F112" s="22" t="n">
        <v>221.552</v>
      </c>
      <c r="G112" s="22" t="n">
        <v>232.118</v>
      </c>
      <c r="H112" s="22" t="n">
        <v>250.005</v>
      </c>
      <c r="I112" s="22" t="n">
        <v>153.632</v>
      </c>
      <c r="J112" s="22" t="n">
        <v>211.88</v>
      </c>
      <c r="K112" s="22" t="n">
        <v>215.514</v>
      </c>
      <c r="L112" s="22" t="n">
        <v>221.552</v>
      </c>
    </row>
    <row r="113">
      <c r="A113" s="20" t="inlineStr">
        <is>
          <t>리스부채</t>
        </is>
      </c>
      <c r="C113" s="22" t="n">
        <v>0</v>
      </c>
      <c r="D113" s="22" t="n">
        <v>0</v>
      </c>
      <c r="E113" s="22" t="n">
        <v>0</v>
      </c>
      <c r="F113" s="22" t="n">
        <v>0</v>
      </c>
      <c r="H113" s="22" t="n">
        <v>17.73</v>
      </c>
      <c r="I113" s="22" t="n">
        <v>13.062</v>
      </c>
      <c r="J113" s="22" t="n">
        <v>8.238</v>
      </c>
      <c r="K113" s="22" t="n">
        <v>65.155</v>
      </c>
      <c r="L113" s="22" t="n">
        <v>0</v>
      </c>
    </row>
    <row r="114">
      <c r="A114" s="20" t="inlineStr">
        <is>
          <t>미지급금</t>
        </is>
      </c>
      <c r="C114" s="22" t="n">
        <v>331.265</v>
      </c>
      <c r="D114" s="22" t="n">
        <v>455.634</v>
      </c>
      <c r="E114" s="22" t="n">
        <v>449.86</v>
      </c>
      <c r="F114" s="22" t="n">
        <v>270.284</v>
      </c>
      <c r="G114" s="22" t="n">
        <v>364.627</v>
      </c>
      <c r="H114" s="22" t="n">
        <v>137.504</v>
      </c>
      <c r="I114" s="22" t="n">
        <v>133.508</v>
      </c>
      <c r="J114" s="22" t="n">
        <v>208.73</v>
      </c>
      <c r="K114" s="22" t="n">
        <v>171.994</v>
      </c>
      <c r="L114" s="22" t="n">
        <v>270.284</v>
      </c>
    </row>
    <row r="115">
      <c r="A115" s="20" t="inlineStr">
        <is>
          <t>미지급법인세</t>
        </is>
      </c>
      <c r="C115" s="22" t="n">
        <v>18.294</v>
      </c>
      <c r="D115" s="22" t="n">
        <v>185.053</v>
      </c>
      <c r="E115" s="22" t="n">
        <v>47.647</v>
      </c>
      <c r="F115" s="22" t="n">
        <v>321.766</v>
      </c>
      <c r="G115" s="22" t="n">
        <v>27.138</v>
      </c>
      <c r="H115" s="22" t="n">
        <v>174.507</v>
      </c>
      <c r="I115" s="22" t="n">
        <v>239.864</v>
      </c>
      <c r="J115" s="22" t="n">
        <v>218.56</v>
      </c>
      <c r="K115" s="22" t="n">
        <v>292.852</v>
      </c>
      <c r="L115" s="22" t="n">
        <v>321.766</v>
      </c>
    </row>
    <row r="116">
      <c r="A116" s="20" t="inlineStr">
        <is>
          <t>미지급 소비세</t>
        </is>
      </c>
      <c r="C116" s="22" t="n">
        <v>89.214</v>
      </c>
      <c r="D116" s="22" t="n">
        <v>35.204</v>
      </c>
      <c r="E116" s="22" t="n">
        <v>50.307</v>
      </c>
      <c r="F116" s="22" t="n">
        <v>79.526</v>
      </c>
      <c r="G116" s="22" t="n">
        <v>114.166</v>
      </c>
      <c r="H116" s="22" t="n">
        <v>131.516</v>
      </c>
      <c r="I116" s="22" t="n">
        <v>104.527</v>
      </c>
      <c r="J116" s="22" t="n">
        <v>74.85599999999999</v>
      </c>
      <c r="K116" s="22" t="n">
        <v>136.467</v>
      </c>
      <c r="L116" s="22" t="n">
        <v>79.526</v>
      </c>
    </row>
    <row r="117">
      <c r="A117" s="20" t="inlineStr">
        <is>
          <t>선수수익</t>
        </is>
      </c>
      <c r="H117" s="22" t="n">
        <v>0</v>
      </c>
    </row>
    <row r="118">
      <c r="A118" s="20" t="inlineStr">
        <is>
          <t>계약부채</t>
        </is>
      </c>
      <c r="C118" s="22" t="n">
        <v>1810.898</v>
      </c>
      <c r="D118" s="22" t="n">
        <v>1771.467</v>
      </c>
      <c r="E118" s="22" t="n">
        <v>1733.058</v>
      </c>
      <c r="F118" s="22" t="n">
        <v>1496.563</v>
      </c>
      <c r="G118" s="22" t="n">
        <v>1826.004</v>
      </c>
      <c r="H118" s="22" t="n">
        <v>738.176</v>
      </c>
      <c r="I118" s="22" t="n">
        <v>766.379</v>
      </c>
      <c r="J118" s="22" t="n">
        <v>810.6950000000001</v>
      </c>
      <c r="K118" s="22" t="n">
        <v>1040.116</v>
      </c>
      <c r="L118" s="22" t="n">
        <v>1496.563</v>
      </c>
    </row>
    <row r="119">
      <c r="A119" s="20" t="inlineStr">
        <is>
          <t>상여충당금</t>
        </is>
      </c>
      <c r="C119" s="22" t="n">
        <v>121.627</v>
      </c>
      <c r="D119" s="22" t="n">
        <v>244.106</v>
      </c>
      <c r="E119" s="22" t="n">
        <v>124.523</v>
      </c>
      <c r="F119" s="22" t="n">
        <v>350.615</v>
      </c>
      <c r="G119" s="22" t="n">
        <v>127.203</v>
      </c>
      <c r="H119" s="22" t="n">
        <v>238.323</v>
      </c>
      <c r="I119" s="22" t="n">
        <v>212.737</v>
      </c>
      <c r="J119" s="22" t="n">
        <v>206.236</v>
      </c>
      <c r="K119" s="22" t="n">
        <v>287.026</v>
      </c>
      <c r="L119" s="22" t="n">
        <v>350.615</v>
      </c>
    </row>
    <row r="120">
      <c r="A120" s="20" t="inlineStr">
        <is>
          <t>임원 상여충당금</t>
        </is>
      </c>
      <c r="C120" s="22" t="n">
        <v>13.749</v>
      </c>
      <c r="D120" s="22" t="n">
        <v>20.75</v>
      </c>
      <c r="E120" s="22" t="n">
        <v>21.622</v>
      </c>
      <c r="F120" s="22" t="n">
        <v>47.3</v>
      </c>
      <c r="G120" s="22" t="n">
        <v>15.019</v>
      </c>
      <c r="H120" s="22" t="n">
        <v>38.84</v>
      </c>
      <c r="I120" s="22" t="n">
        <v>26.45</v>
      </c>
      <c r="J120" s="22" t="n">
        <v>23.597</v>
      </c>
      <c r="K120" s="22" t="n">
        <v>38.855</v>
      </c>
      <c r="L120" s="22" t="n">
        <v>47.3</v>
      </c>
    </row>
    <row r="121">
      <c r="A121" s="20" t="inlineStr">
        <is>
          <t>수주손실 충당금</t>
        </is>
      </c>
      <c r="D121" s="22" t="n">
        <v>0.024</v>
      </c>
      <c r="K121" s="22" t="n">
        <v>0</v>
      </c>
    </row>
    <row r="122">
      <c r="A122" s="20" t="inlineStr">
        <is>
          <t>기타 충당금</t>
        </is>
      </c>
      <c r="F122" s="22" t="n">
        <v>24.269</v>
      </c>
      <c r="G122" s="22" t="n">
        <v>0</v>
      </c>
      <c r="K122" s="22" t="n">
        <v>0</v>
      </c>
      <c r="L122" s="22" t="n">
        <v>24.269</v>
      </c>
    </row>
    <row r="123">
      <c r="A123" s="20" t="inlineStr">
        <is>
          <t>자산복구부채</t>
        </is>
      </c>
      <c r="C123" s="22" t="n">
        <v>0</v>
      </c>
      <c r="D123" s="22" t="n">
        <v>0</v>
      </c>
      <c r="E123" s="22" t="n">
        <v>0</v>
      </c>
      <c r="F123" s="22" t="n">
        <v>0</v>
      </c>
      <c r="J123" s="22" t="n">
        <v>0</v>
      </c>
      <c r="K123" s="22" t="n">
        <v>70.76000000000001</v>
      </c>
      <c r="L123" s="22" t="n">
        <v>0</v>
      </c>
    </row>
    <row r="124">
      <c r="A124" s="20" t="inlineStr">
        <is>
          <t>기타</t>
        </is>
      </c>
      <c r="C124" s="22" t="n">
        <v>179.838</v>
      </c>
      <c r="D124" s="22" t="n">
        <v>107.833</v>
      </c>
      <c r="E124" s="22" t="n">
        <v>155.44</v>
      </c>
      <c r="F124" s="22" t="n">
        <v>125.162</v>
      </c>
      <c r="G124" s="22" t="n">
        <v>197.326</v>
      </c>
      <c r="H124" s="22" t="n">
        <v>59.833</v>
      </c>
      <c r="I124" s="22" t="n">
        <v>55.322</v>
      </c>
      <c r="J124" s="22" t="n">
        <v>78.226</v>
      </c>
      <c r="K124" s="22" t="n">
        <v>97.045</v>
      </c>
      <c r="L124" s="22" t="n">
        <v>125.162</v>
      </c>
    </row>
    <row r="125">
      <c r="A125" s="9" t="inlineStr">
        <is>
          <t>유동부채 합계</t>
        </is>
      </c>
      <c r="C125" s="12" t="n">
        <v>2713.824</v>
      </c>
      <c r="D125" s="12" t="n">
        <v>3006.25</v>
      </c>
      <c r="E125" s="12" t="n">
        <v>2800.36</v>
      </c>
      <c r="F125" s="12" t="n">
        <v>2937.041</v>
      </c>
      <c r="G125" s="12" t="n">
        <v>2903.605</v>
      </c>
      <c r="H125" s="12" t="n">
        <v>1786.439</v>
      </c>
      <c r="I125" s="12" t="n">
        <v>1705.485</v>
      </c>
      <c r="J125" s="12" t="n">
        <v>1841.022</v>
      </c>
      <c r="K125" s="12" t="n">
        <v>2415.789</v>
      </c>
      <c r="L125" s="12" t="n">
        <v>2937.041</v>
      </c>
    </row>
    <row r="126">
      <c r="A126" s="20" t="inlineStr">
        <is>
          <t>리스부채</t>
        </is>
      </c>
      <c r="H126" s="22" t="n">
        <v>86.45699999999999</v>
      </c>
      <c r="I126" s="22" t="n">
        <v>73.39400000000001</v>
      </c>
      <c r="J126" s="22" t="n">
        <v>65.155</v>
      </c>
      <c r="K126" s="22" t="n">
        <v>0</v>
      </c>
    </row>
    <row r="127">
      <c r="A127" s="20" t="inlineStr">
        <is>
          <t>장기선수수익</t>
        </is>
      </c>
      <c r="H127" s="22" t="n">
        <v>0</v>
      </c>
    </row>
    <row r="128">
      <c r="A128" s="20" t="inlineStr">
        <is>
          <t>계약부채</t>
        </is>
      </c>
      <c r="C128" s="22" t="n">
        <v>0</v>
      </c>
      <c r="D128" s="22" t="n">
        <v>0</v>
      </c>
      <c r="E128" s="22" t="n">
        <v>0</v>
      </c>
      <c r="F128" s="22" t="n">
        <v>0</v>
      </c>
      <c r="H128" s="22" t="n">
        <v>384.605</v>
      </c>
      <c r="I128" s="22" t="n">
        <v>372.05</v>
      </c>
      <c r="J128" s="22" t="n">
        <v>385.999</v>
      </c>
      <c r="K128" s="22" t="n">
        <v>395.022</v>
      </c>
      <c r="L128" s="22" t="n">
        <v>0</v>
      </c>
    </row>
    <row r="129">
      <c r="A129" s="20" t="inlineStr">
        <is>
          <t>퇴직급여부채</t>
        </is>
      </c>
      <c r="C129" s="22" t="n">
        <v>4.185</v>
      </c>
      <c r="D129" s="22" t="n">
        <v>4.215</v>
      </c>
      <c r="E129" s="22" t="n">
        <v>4.245</v>
      </c>
      <c r="F129" s="22" t="n">
        <v>4.275</v>
      </c>
      <c r="G129" s="22" t="n">
        <v>4.305</v>
      </c>
      <c r="H129" s="22" t="n">
        <v>4.17</v>
      </c>
      <c r="I129" s="22" t="n">
        <v>4.515</v>
      </c>
      <c r="J129" s="22" t="n">
        <v>4.035</v>
      </c>
      <c r="K129" s="22" t="n">
        <v>4.155</v>
      </c>
      <c r="L129" s="22" t="n">
        <v>4.275</v>
      </c>
    </row>
    <row r="130">
      <c r="A130" s="20" t="inlineStr">
        <is>
          <t>자산복구부채</t>
        </is>
      </c>
      <c r="C130" s="22" t="n">
        <v>237.338</v>
      </c>
      <c r="D130" s="22" t="n">
        <v>249.388</v>
      </c>
      <c r="E130" s="22" t="n">
        <v>250.693</v>
      </c>
      <c r="F130" s="22" t="n">
        <v>256.403</v>
      </c>
      <c r="G130" s="22" t="n">
        <v>257.891</v>
      </c>
      <c r="H130" s="22" t="n">
        <v>86.976</v>
      </c>
      <c r="I130" s="22" t="n">
        <v>88.182</v>
      </c>
      <c r="J130" s="22" t="n">
        <v>88.751</v>
      </c>
      <c r="K130" s="22" t="n">
        <v>184.636</v>
      </c>
      <c r="L130" s="22" t="n">
        <v>256.403</v>
      </c>
    </row>
    <row r="131">
      <c r="A131" s="20" t="inlineStr">
        <is>
          <t>주식급여 충당금</t>
        </is>
      </c>
      <c r="C131" s="22" t="n">
        <v>13.06</v>
      </c>
      <c r="D131" s="22" t="n">
        <v>26.09</v>
      </c>
      <c r="E131" s="22" t="n">
        <v>39.135</v>
      </c>
      <c r="F131" s="22" t="n">
        <v>52.18</v>
      </c>
      <c r="G131" s="22" t="n">
        <v>65.22499999999999</v>
      </c>
      <c r="K131" s="22" t="n">
        <v>0</v>
      </c>
      <c r="L131" s="22" t="n">
        <v>52.18</v>
      </c>
    </row>
    <row r="132">
      <c r="A132" s="20" t="inlineStr">
        <is>
          <t>Provision For Share Based Remuneration For Directors And Other Officers NCL</t>
        </is>
      </c>
      <c r="D132" s="22" t="n">
        <v>5.218</v>
      </c>
      <c r="E132" s="22" t="n">
        <v>7.305</v>
      </c>
      <c r="F132" s="22" t="n">
        <v>10.957</v>
      </c>
      <c r="G132" s="22" t="n">
        <v>10.227</v>
      </c>
      <c r="K132" s="22" t="n">
        <v>0</v>
      </c>
      <c r="L132" s="22" t="n">
        <v>10.957</v>
      </c>
    </row>
    <row r="133">
      <c r="A133" s="20" t="inlineStr">
        <is>
          <t>기타</t>
        </is>
      </c>
      <c r="F133" s="22" t="n">
        <v>0</v>
      </c>
      <c r="G133" s="22" t="n">
        <v>2.016</v>
      </c>
      <c r="L133" s="22" t="n">
        <v>0</v>
      </c>
    </row>
    <row r="134">
      <c r="A134" s="9" t="inlineStr">
        <is>
          <t>비유동부채 합계</t>
        </is>
      </c>
      <c r="C134" s="12" t="n">
        <v>254.583</v>
      </c>
      <c r="D134" s="12" t="n">
        <v>284.911</v>
      </c>
      <c r="E134" s="12" t="n">
        <v>301.378</v>
      </c>
      <c r="F134" s="12" t="n">
        <v>323.816</v>
      </c>
      <c r="G134" s="12" t="n">
        <v>339.664</v>
      </c>
      <c r="H134" s="12" t="n">
        <v>562.208</v>
      </c>
      <c r="I134" s="12" t="n">
        <v>538.143</v>
      </c>
      <c r="J134" s="12" t="n">
        <v>543.941</v>
      </c>
      <c r="K134" s="12" t="n">
        <v>583.813</v>
      </c>
      <c r="L134" s="12" t="n">
        <v>323.816</v>
      </c>
    </row>
    <row r="135">
      <c r="A135" s="9" t="inlineStr">
        <is>
          <t>부채 합계</t>
        </is>
      </c>
      <c r="C135" s="12" t="n">
        <v>2968.407</v>
      </c>
      <c r="D135" s="12" t="n">
        <v>3291.161</v>
      </c>
      <c r="E135" s="12" t="n">
        <v>3101.739</v>
      </c>
      <c r="F135" s="12" t="n">
        <v>3260.857</v>
      </c>
      <c r="G135" s="12" t="n">
        <v>3243.27</v>
      </c>
      <c r="H135" s="12" t="n">
        <v>2348.648</v>
      </c>
      <c r="I135" s="12" t="n">
        <v>2243.628</v>
      </c>
      <c r="J135" s="12" t="n">
        <v>2384.964</v>
      </c>
      <c r="K135" s="12" t="n">
        <v>2999.602</v>
      </c>
      <c r="L135" s="12" t="n">
        <v>3260.857</v>
      </c>
    </row>
    <row r="136">
      <c r="A136" s="20" t="inlineStr">
        <is>
          <t>자본금</t>
        </is>
      </c>
      <c r="C136" s="22" t="n">
        <v>839.651</v>
      </c>
      <c r="D136" s="22" t="n">
        <v>846.327</v>
      </c>
      <c r="E136" s="22" t="n">
        <v>856.189</v>
      </c>
      <c r="F136" s="22" t="n">
        <v>865.258</v>
      </c>
      <c r="G136" s="22" t="n">
        <v>869.6609999999999</v>
      </c>
      <c r="H136" s="22" t="n">
        <v>794.057</v>
      </c>
      <c r="I136" s="22" t="n">
        <v>806.465</v>
      </c>
      <c r="J136" s="22" t="n">
        <v>820.236</v>
      </c>
      <c r="K136" s="22" t="n">
        <v>836.1369999999999</v>
      </c>
      <c r="L136" s="22" t="n">
        <v>865.258</v>
      </c>
    </row>
    <row r="137">
      <c r="A137" s="20" t="inlineStr">
        <is>
          <t>자본잉여금</t>
        </is>
      </c>
      <c r="C137" s="22" t="n">
        <v>2073.81</v>
      </c>
      <c r="D137" s="22" t="n">
        <v>2095.522</v>
      </c>
      <c r="E137" s="22" t="n">
        <v>2105.384</v>
      </c>
      <c r="F137" s="22" t="n">
        <v>2114.453</v>
      </c>
      <c r="G137" s="22" t="n">
        <v>2118.856</v>
      </c>
      <c r="H137" s="22" t="n">
        <v>2028.216</v>
      </c>
      <c r="I137" s="22" t="n">
        <v>2040.581</v>
      </c>
      <c r="J137" s="22" t="n">
        <v>2054.395</v>
      </c>
      <c r="K137" s="22" t="n">
        <v>2070.296</v>
      </c>
      <c r="L137" s="22" t="n">
        <v>2114.453</v>
      </c>
    </row>
    <row r="138">
      <c r="A138" s="20" t="inlineStr">
        <is>
          <t>이익잉여금</t>
        </is>
      </c>
      <c r="C138" s="22" t="n">
        <v>3918.754</v>
      </c>
      <c r="D138" s="22" t="n">
        <v>4169.618</v>
      </c>
      <c r="E138" s="22" t="n">
        <v>4482.869</v>
      </c>
      <c r="F138" s="22" t="n">
        <v>4783.909</v>
      </c>
      <c r="G138" s="22" t="n">
        <v>4855.025</v>
      </c>
      <c r="H138" s="22" t="n">
        <v>2048.121</v>
      </c>
      <c r="I138" s="22" t="n">
        <v>2773.277</v>
      </c>
      <c r="J138" s="22" t="n">
        <v>3151.357</v>
      </c>
      <c r="K138" s="22" t="n">
        <v>3979.203</v>
      </c>
      <c r="L138" s="22" t="n">
        <v>4783.909</v>
      </c>
    </row>
    <row r="139">
      <c r="A139" s="20" t="inlineStr">
        <is>
          <t>자기주식</t>
        </is>
      </c>
      <c r="C139" s="22" t="n">
        <v>-311.979</v>
      </c>
      <c r="D139" s="22" t="n">
        <v>-327.096</v>
      </c>
      <c r="E139" s="22" t="n">
        <v>-327.096</v>
      </c>
      <c r="F139" s="22" t="n">
        <v>-327.096</v>
      </c>
      <c r="G139" s="22" t="n">
        <v>-327.096</v>
      </c>
      <c r="H139" s="22" t="n">
        <v>-0.314</v>
      </c>
      <c r="I139" s="22" t="n">
        <v>-0.792</v>
      </c>
      <c r="J139" s="22" t="n">
        <v>-0.853</v>
      </c>
      <c r="K139" s="22" t="n">
        <v>-311.979</v>
      </c>
      <c r="L139" s="22" t="n">
        <v>-327.096</v>
      </c>
    </row>
    <row r="140">
      <c r="A140" s="9" t="inlineStr">
        <is>
          <t>주주자본 합계</t>
        </is>
      </c>
      <c r="C140" s="12" t="n">
        <v>6520.235</v>
      </c>
      <c r="D140" s="12" t="n">
        <v>6784.372</v>
      </c>
      <c r="E140" s="12" t="n">
        <v>7117.347</v>
      </c>
      <c r="F140" s="12" t="n">
        <v>7436.525</v>
      </c>
      <c r="G140" s="12" t="n">
        <v>7516.446</v>
      </c>
      <c r="H140" s="12" t="n">
        <v>4870.08</v>
      </c>
      <c r="I140" s="12" t="n">
        <v>5619.531</v>
      </c>
      <c r="J140" s="12" t="n">
        <v>6025.135</v>
      </c>
      <c r="K140" s="12" t="n">
        <v>6573.656</v>
      </c>
      <c r="L140" s="12" t="n">
        <v>7436.525</v>
      </c>
    </row>
    <row r="141">
      <c r="A141" s="20" t="inlineStr">
        <is>
          <t>기타유가증권 평가차액</t>
        </is>
      </c>
      <c r="D141" s="22" t="n">
        <v>-1.7</v>
      </c>
      <c r="E141" s="22" t="n">
        <v>5.363</v>
      </c>
      <c r="F141" s="22" t="n">
        <v>1.685</v>
      </c>
      <c r="G141" s="22" t="n">
        <v>1.126</v>
      </c>
      <c r="K141" s="22" t="n">
        <v>0</v>
      </c>
      <c r="L141" s="22" t="n">
        <v>1.685</v>
      </c>
    </row>
    <row r="142">
      <c r="A142" s="20" t="inlineStr">
        <is>
          <t>해외사업환산조정</t>
        </is>
      </c>
      <c r="C142" s="22" t="n">
        <v>1.443</v>
      </c>
      <c r="D142" s="22" t="n">
        <v>1.201</v>
      </c>
      <c r="E142" s="22" t="n">
        <v>1.411</v>
      </c>
      <c r="F142" s="22" t="n">
        <v>1.845</v>
      </c>
      <c r="G142" s="22" t="n">
        <v>2.043</v>
      </c>
      <c r="H142" s="22" t="n">
        <v>2.402</v>
      </c>
      <c r="I142" s="22" t="n">
        <v>4.111</v>
      </c>
      <c r="J142" s="22" t="n">
        <v>4.47</v>
      </c>
      <c r="K142" s="22" t="n">
        <v>1.878</v>
      </c>
      <c r="L142" s="22" t="n">
        <v>1.845</v>
      </c>
    </row>
    <row r="143">
      <c r="A143" s="20" t="inlineStr">
        <is>
          <t>기타포괄손익누계액 합계</t>
        </is>
      </c>
      <c r="C143" s="22" t="n">
        <v>1.443</v>
      </c>
      <c r="D143" s="22" t="n">
        <v>-0.498</v>
      </c>
      <c r="E143" s="22" t="n">
        <v>6.775</v>
      </c>
      <c r="F143" s="22" t="n">
        <v>3.53</v>
      </c>
      <c r="G143" s="22" t="n">
        <v>3.169</v>
      </c>
      <c r="H143" s="22" t="n">
        <v>2.402</v>
      </c>
      <c r="I143" s="22" t="n">
        <v>4.111</v>
      </c>
      <c r="J143" s="22" t="n">
        <v>4.47</v>
      </c>
      <c r="K143" s="22" t="n">
        <v>1.878</v>
      </c>
      <c r="L143" s="22" t="n">
        <v>3.53</v>
      </c>
    </row>
    <row r="144">
      <c r="A144" s="20" t="inlineStr">
        <is>
          <t>신주예약권</t>
        </is>
      </c>
      <c r="C144" s="22" t="n">
        <v>2.478</v>
      </c>
      <c r="D144" s="22" t="n">
        <v>2.349</v>
      </c>
      <c r="E144" s="22" t="n">
        <v>2.159</v>
      </c>
      <c r="F144" s="22" t="n">
        <v>1.983</v>
      </c>
      <c r="G144" s="22" t="n">
        <v>1.897</v>
      </c>
      <c r="H144" s="22" t="n">
        <v>1.696</v>
      </c>
      <c r="I144" s="22" t="n">
        <v>1.448</v>
      </c>
      <c r="J144" s="22" t="n">
        <v>2.861</v>
      </c>
      <c r="K144" s="22" t="n">
        <v>2.546</v>
      </c>
      <c r="L144" s="22" t="n">
        <v>1.983</v>
      </c>
    </row>
    <row r="145">
      <c r="A145" s="9" t="inlineStr">
        <is>
          <t>순자산 합계</t>
        </is>
      </c>
      <c r="C145" s="12" t="n">
        <v>6524.157</v>
      </c>
      <c r="D145" s="12" t="n">
        <v>6786.223</v>
      </c>
      <c r="E145" s="12" t="n">
        <v>7126.281</v>
      </c>
      <c r="F145" s="12" t="n">
        <v>7442.04</v>
      </c>
      <c r="G145" s="12" t="n">
        <v>7521.513</v>
      </c>
      <c r="H145" s="12" t="n">
        <v>4874.179</v>
      </c>
      <c r="I145" s="12" t="n">
        <v>5625.091</v>
      </c>
      <c r="J145" s="12" t="n">
        <v>6032.467</v>
      </c>
      <c r="K145" s="12" t="n">
        <v>6578.081</v>
      </c>
      <c r="L145" s="12" t="n">
        <v>7442.04</v>
      </c>
    </row>
    <row r="146">
      <c r="A146" s="9" t="inlineStr">
        <is>
          <t>부채·순자산 합계</t>
        </is>
      </c>
      <c r="C146" s="12" t="n">
        <v>9492.565000000001</v>
      </c>
      <c r="D146" s="12" t="n">
        <v>10077.385</v>
      </c>
      <c r="E146" s="12" t="n">
        <v>10228.02</v>
      </c>
      <c r="F146" s="12" t="n">
        <v>10702.897</v>
      </c>
      <c r="G146" s="12" t="n">
        <v>10764.784</v>
      </c>
      <c r="H146" s="12" t="n">
        <v>7222.827</v>
      </c>
      <c r="I146" s="12" t="n">
        <v>7868.72</v>
      </c>
      <c r="J146" s="12" t="n">
        <v>8417.431</v>
      </c>
      <c r="K146" s="12" t="n">
        <v>9577.683999999999</v>
      </c>
      <c r="L146" s="12" t="n">
        <v>10702.897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https://www2.jpx.co.jp/disc/44980/140120260729502595.pdf</t>
        </is>
      </c>
    </row>
    <row r="5">
      <c r="A5" t="inlineStr">
        <is>
          <t>2026-04-27</t>
        </is>
      </c>
      <c r="B5" t="inlineStr">
        <is>
          <t>2026년 3월 결산기 연간 결산단신</t>
        </is>
      </c>
      <c r="C5" t="inlineStr">
        <is>
          <t>https://www2.jpx.co.jp/disc/44980/140120260425510991.pdf</t>
        </is>
      </c>
    </row>
    <row r="6">
      <c r="A6" t="inlineStr">
        <is>
          <t>2026-01-27</t>
        </is>
      </c>
      <c r="B6" t="inlineStr">
        <is>
          <t>2026년 3월 결산기 ３분기 결산단신</t>
        </is>
      </c>
      <c r="C6" t="inlineStr">
        <is>
          <t>https://www2.jpx.co.jp/disc/44980/140120260126538757.pdf</t>
        </is>
      </c>
    </row>
    <row r="7">
      <c r="A7" t="inlineStr">
        <is>
          <t>2025-10-28</t>
        </is>
      </c>
      <c r="B7" t="inlineStr">
        <is>
          <t>2026년 3월 결산기 ２분기 결산단신</t>
        </is>
      </c>
      <c r="C7" t="inlineStr">
        <is>
          <t>https://www2.jpx.co.jp/disc/44980/140120251028579946.pdf</t>
        </is>
      </c>
    </row>
    <row r="8">
      <c r="A8" t="inlineStr">
        <is>
          <t>2025-07-29</t>
        </is>
      </c>
      <c r="B8" t="inlineStr">
        <is>
          <t>2026년 3월 결산기 １분기 결산단신</t>
        </is>
      </c>
      <c r="C8" t="inlineStr">
        <is>
          <t>https://www2.jpx.co.jp/disc/44980/140120250728522030.pdf</t>
        </is>
      </c>
    </row>
    <row r="9">
      <c r="A9" t="inlineStr">
        <is>
          <t>2025-04-23</t>
        </is>
      </c>
      <c r="B9" t="inlineStr">
        <is>
          <t>2025년 3월 결산기 연간 결산단신</t>
        </is>
      </c>
      <c r="C9" t="inlineStr">
        <is>
          <t>https://www2.jpx.co.jp/disc/44980/140120250423521117.pdf</t>
        </is>
      </c>
    </row>
    <row r="10">
      <c r="A10" t="inlineStr">
        <is>
          <t>2025-01-29</t>
        </is>
      </c>
      <c r="B10" t="inlineStr">
        <is>
          <t>2025년 3월 결산기 ３분기 결산단신</t>
        </is>
      </c>
      <c r="C10" t="inlineStr">
        <is>
          <t>https://www2.jpx.co.jp/disc/44980/140120250128556488.pdf</t>
        </is>
      </c>
    </row>
    <row r="11">
      <c r="A11" t="inlineStr">
        <is>
          <t>2024-10-29</t>
        </is>
      </c>
      <c r="B11" t="inlineStr">
        <is>
          <t>2025년 3월 결산기 ２분기 결산단신</t>
        </is>
      </c>
      <c r="C11" t="inlineStr">
        <is>
          <t>https://www2.jpx.co.jp/disc/44980/140120241028504298.pdf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https://www2.jpx.co.jp/disc/44980/140120240729557094.pdf</t>
        </is>
      </c>
    </row>
    <row r="13">
      <c r="A13" t="inlineStr">
        <is>
          <t>2024-04-24</t>
        </is>
      </c>
      <c r="B13" t="inlineStr">
        <is>
          <t>2024년 3월 결산기 연간 결산단신</t>
        </is>
      </c>
      <c r="C13" t="inlineStr">
        <is>
          <t>https://www2.jpx.co.jp/disc/44980/140120240424575530.pdf</t>
        </is>
      </c>
    </row>
    <row r="14">
      <c r="A14" t="inlineStr">
        <is>
          <t>2024-01-30</t>
        </is>
      </c>
      <c r="B14" t="inlineStr">
        <is>
          <t>2024년 3월 결산기 ３분기 결산단신</t>
        </is>
      </c>
      <c r="C14" t="inlineStr">
        <is>
          <t>https://www2.jpx.co.jp/disc/44980/140120240130521965.pdf</t>
        </is>
      </c>
    </row>
    <row r="15">
      <c r="A15" t="inlineStr">
        <is>
          <t>2023-10-25</t>
        </is>
      </c>
      <c r="B15" t="inlineStr">
        <is>
          <t>2024년 3월 결산기 ２분기 결산단신</t>
        </is>
      </c>
      <c r="C15" t="inlineStr">
        <is>
          <t>https://www2.jpx.co.jp/disc/44980/140120231024570801.pdf</t>
        </is>
      </c>
    </row>
    <row r="16">
      <c r="A16" t="inlineStr">
        <is>
          <t>2023-07-26</t>
        </is>
      </c>
      <c r="B16" t="inlineStr">
        <is>
          <t>2024년 3월 결산기 １분기 결산단신</t>
        </is>
      </c>
      <c r="C16" t="inlineStr">
        <is>
          <t>https://www2.jpx.co.jp/disc/44980/140120230726527147.pdf</t>
        </is>
      </c>
    </row>
    <row r="17">
      <c r="A17" t="inlineStr">
        <is>
          <t>2023-04-26</t>
        </is>
      </c>
      <c r="B17" t="inlineStr">
        <is>
          <t>2023년 3월 결산기 연간 결산단신</t>
        </is>
      </c>
      <c r="C17" t="inlineStr">
        <is>
          <t>https://www2.jpx.co.jp/disc/44980/140120230426553548.pdf</t>
        </is>
      </c>
    </row>
    <row r="18">
      <c r="A18" t="inlineStr">
        <is>
          <t>2023-01-25</t>
        </is>
      </c>
      <c r="B18" t="inlineStr">
        <is>
          <t>2023년 3월 결산기 ３분기 결산단신</t>
        </is>
      </c>
      <c r="C18" t="inlineStr">
        <is>
          <t>https://www2.jpx.co.jp/disc/44980/140120230125593381.pdf</t>
        </is>
      </c>
    </row>
    <row r="19">
      <c r="A19" t="inlineStr">
        <is>
          <t>2022-10-25</t>
        </is>
      </c>
      <c r="B19" t="inlineStr">
        <is>
          <t>2023년 3월 결산기 ２분기 결산단신</t>
        </is>
      </c>
      <c r="C19" t="inlineStr">
        <is>
          <t>https://www2.jpx.co.jp/disc/44980/140120221025549013.pdf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https://www2.jpx.co.jp/disc/44980/140120220427529604.pdf</t>
        </is>
      </c>
    </row>
    <row r="21">
      <c r="A21" t="inlineStr">
        <is>
          <t>2021-04-23</t>
        </is>
      </c>
      <c r="B21" t="inlineStr">
        <is>
          <t>2021년 3월 결산기 연간 결산단신</t>
        </is>
      </c>
      <c r="C21" t="inlineStr">
        <is>
          <t>https://www2.jpx.co.jp/disc/44980/140120210423498960.pdf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2026-10-26T10:54:25Z</dcterms:created>
  <dcterms:modified xmlns:dcterms="http://purl.org/dc/terms/" xmlns:xsi="http://www.w3.org/2001/XMLSchema-instance" xsi:type="dcterms:W3CDTF">2026-10-26T10:54:26Z</dcterms:modified>
</cp:coreProperties>
</file>