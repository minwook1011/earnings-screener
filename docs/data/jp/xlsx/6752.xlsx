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6752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2180882</v>
      </c>
      <c r="D4" s="12" t="n">
        <v>2196114</v>
      </c>
      <c r="E4" s="12" t="n">
        <v>2121689</v>
      </c>
      <c r="F4" s="12" t="n">
        <v>2129621</v>
      </c>
      <c r="G4" s="12" t="n">
        <v>2152587</v>
      </c>
      <c r="H4" s="12" t="n">
        <v>2054288</v>
      </c>
      <c r="I4" s="12" t="n">
        <v>1896691</v>
      </c>
      <c r="J4" s="12" t="n">
        <v>1923785</v>
      </c>
      <c r="K4" s="12" t="n">
        <v>2063304</v>
      </c>
      <c r="L4" s="12" t="n">
        <v>2164942</v>
      </c>
      <c r="M4" s="12" t="n">
        <v>2018914</v>
      </c>
      <c r="N4" s="12" t="n">
        <v>2073606</v>
      </c>
      <c r="O4" s="11" t="n"/>
      <c r="P4" s="12" t="n">
        <v>7982164</v>
      </c>
      <c r="Q4" s="12" t="n">
        <v>8002733</v>
      </c>
      <c r="R4" s="12" t="n">
        <v>7490601</v>
      </c>
      <c r="S4" s="12" t="n">
        <v>6698794</v>
      </c>
      <c r="T4" s="12" t="n">
        <v>7388791</v>
      </c>
      <c r="U4" s="12" t="n">
        <v>8378942</v>
      </c>
      <c r="V4" s="12" t="n">
        <v>8496420</v>
      </c>
      <c r="W4" s="12" t="n">
        <v>8458185</v>
      </c>
      <c r="X4" s="12" t="n">
        <v>8048722</v>
      </c>
      <c r="Y4" s="11">
        <f>IF(COUNT(Y7,Y10,Y13,Y16,Y19,Y22,Y25,Y28,Y31)=0,"",SUM(Y7,Y10,Y13,Y16,Y19,Y22,Y25,Y28,Y31))</f>
        <v/>
      </c>
      <c r="Z4" s="12">
        <f>IF(COUNT(Z7,Z10,Z13,Z16,Z19,Z22,Z25,Z28,Z31)=0,"",SUM(Z7,Z10,Z13,Z16,Z19,Z22,Z25,Z28,Z31))</f>
        <v/>
      </c>
      <c r="AA4" s="12">
        <f>IF(COUNT(AA7,AA10,AA13,AA16,AA19,AA22,AA25,AA28,AA31)=0,"",SUM(AA7,AA10,AA13,AA16,AA19,AA22,AA25,AA28,AA31))</f>
        <v/>
      </c>
      <c r="AB4" s="12">
        <f>IF(COUNT(AB7,AB10,AB13,AB16,AB19,AB22,AB25,AB28,AB31)=0,"",SUM(AB7,AB10,AB13,AB16,AB19,AB22,AB25,AB28,AB31))</f>
        <v/>
      </c>
      <c r="AC4" s="12">
        <f>IF(COUNT(AC7,AC10,AC13,AC16,AC19,AC22,AC25,AC28,AC31)=0,"",SUM(AC7,AC10,AC13,AC16,AC19,AC22,AC25,AC28,AC31))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Connect</t>
        </is>
      </c>
      <c r="B7" s="10" t="n"/>
      <c r="C7" s="19" t="n">
        <v>279623</v>
      </c>
      <c r="D7" s="20" t="n">
        <v>331945</v>
      </c>
      <c r="E7" s="20" t="n">
        <v>273920</v>
      </c>
      <c r="F7" s="20" t="n">
        <v>296431</v>
      </c>
      <c r="G7" s="20" t="n">
        <v>308660</v>
      </c>
      <c r="H7" s="20" t="n">
        <v>360814</v>
      </c>
      <c r="I7" s="20" t="n">
        <v>289799</v>
      </c>
      <c r="J7" s="20" t="n">
        <v>312477</v>
      </c>
      <c r="K7" s="20" t="n">
        <v>335037</v>
      </c>
      <c r="L7" s="20" t="n">
        <v>383349</v>
      </c>
      <c r="M7" s="20" t="n">
        <v>338332</v>
      </c>
      <c r="N7" s="20" t="n">
        <v>354984</v>
      </c>
      <c r="O7" s="19" t="n"/>
      <c r="P7" s="20" t="n"/>
      <c r="Q7" s="20" t="n"/>
      <c r="R7" s="20" t="n"/>
      <c r="S7" s="20" t="n"/>
      <c r="T7" s="20" t="n"/>
      <c r="U7" s="20" t="n"/>
      <c r="V7" s="20" t="n">
        <v>1124580</v>
      </c>
      <c r="W7" s="20" t="n">
        <v>1239825</v>
      </c>
      <c r="X7" s="20" t="n">
        <v>1320662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Electric Works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>
        <v>232941</v>
      </c>
      <c r="J10" s="20" t="n">
        <v>258375</v>
      </c>
      <c r="K10" s="20" t="n"/>
      <c r="L10" s="20" t="n"/>
      <c r="M10" s="20" t="n">
        <v>262822</v>
      </c>
      <c r="N10" s="20" t="n">
        <v>290666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1031322</v>
      </c>
      <c r="X10" s="20" t="n">
        <v>1080561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HVAC ＆ CC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>
        <v>312662</v>
      </c>
      <c r="J13" s="20" t="n">
        <v>268322</v>
      </c>
      <c r="K13" s="20" t="n"/>
      <c r="L13" s="20" t="n"/>
      <c r="M13" s="20" t="n">
        <v>372931</v>
      </c>
      <c r="N13" s="20" t="n">
        <v>331951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1165761</v>
      </c>
      <c r="X13" s="20" t="n">
        <v>1149617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Energy</t>
        </is>
      </c>
      <c r="B16" s="10" t="n"/>
      <c r="C16" s="19" t="n">
        <v>215979</v>
      </c>
      <c r="D16" s="20" t="n">
        <v>197074</v>
      </c>
      <c r="E16" s="20" t="n">
        <v>199544</v>
      </c>
      <c r="F16" s="20" t="n">
        <v>207599</v>
      </c>
      <c r="G16" s="20" t="n">
        <v>203322</v>
      </c>
      <c r="H16" s="20" t="n">
        <v>218067</v>
      </c>
      <c r="I16" s="20" t="n">
        <v>208922</v>
      </c>
      <c r="J16" s="20" t="n">
        <v>216745</v>
      </c>
      <c r="K16" s="20" t="n">
        <v>252210</v>
      </c>
      <c r="L16" s="20" t="n">
        <v>263087</v>
      </c>
      <c r="M16" s="20" t="n">
        <v>301921</v>
      </c>
      <c r="N16" s="20" t="n">
        <v>323405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867306</v>
      </c>
      <c r="W16" s="20" t="n">
        <v>828532</v>
      </c>
      <c r="X16" s="20" t="n">
        <v>940964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인더스트리</t>
        </is>
      </c>
      <c r="B19" s="10" t="n"/>
      <c r="C19" s="19" t="n">
        <v>212760</v>
      </c>
      <c r="D19" s="20" t="n">
        <v>207116</v>
      </c>
      <c r="E19" s="20" t="n">
        <v>224531</v>
      </c>
      <c r="F19" s="20" t="n">
        <v>213968</v>
      </c>
      <c r="G19" s="20" t="n">
        <v>228414</v>
      </c>
      <c r="H19" s="20" t="n">
        <v>252992</v>
      </c>
      <c r="I19" s="20" t="n">
        <v>273623</v>
      </c>
      <c r="J19" s="20" t="n">
        <v>274214</v>
      </c>
      <c r="K19" s="20" t="n">
        <v>281523</v>
      </c>
      <c r="L19" s="20" t="n">
        <v>288157</v>
      </c>
      <c r="M19" s="20" t="n">
        <v>319956</v>
      </c>
      <c r="N19" s="20" t="n">
        <v>337682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838676</v>
      </c>
      <c r="W19" s="20" t="n">
        <v>919905</v>
      </c>
      <c r="X19" s="20" t="n">
        <v>1117517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Smart Life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>
        <v>290522</v>
      </c>
      <c r="J22" s="20" t="n">
        <v>306722</v>
      </c>
      <c r="K22" s="20" t="n"/>
      <c r="L22" s="20" t="n"/>
      <c r="M22" s="20" t="n">
        <v>290491</v>
      </c>
      <c r="N22" s="20" t="n">
        <v>311527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>
        <v>1319157</v>
      </c>
      <c r="X22" s="20" t="n">
        <v>1250161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Automotive</t>
        </is>
      </c>
      <c r="B25" s="10" t="n"/>
      <c r="C25" s="19" t="n">
        <v>232964</v>
      </c>
      <c r="D25" s="20" t="n">
        <v>318474</v>
      </c>
      <c r="E25" s="20" t="n">
        <v>298273</v>
      </c>
      <c r="F25" s="20" t="n">
        <v>290728</v>
      </c>
      <c r="G25" s="20" t="n">
        <v>209470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1255057</v>
      </c>
      <c r="W25" s="20" t="n">
        <v>798471</v>
      </c>
      <c r="X25" s="20" t="n">
        <v>0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기타</t>
        </is>
      </c>
      <c r="B28" s="10" t="n"/>
      <c r="C28" s="19" t="n">
        <v>398992</v>
      </c>
      <c r="D28" s="20" t="n">
        <v>293638</v>
      </c>
      <c r="E28" s="20" t="n">
        <v>309678</v>
      </c>
      <c r="F28" s="20" t="n">
        <v>304723</v>
      </c>
      <c r="G28" s="20" t="n">
        <v>340267</v>
      </c>
      <c r="H28" s="20" t="n">
        <v>200544</v>
      </c>
      <c r="I28" s="20" t="n">
        <v>288222</v>
      </c>
      <c r="J28" s="20" t="n">
        <v>286930</v>
      </c>
      <c r="K28" s="20" t="n">
        <v>426519</v>
      </c>
      <c r="L28" s="20" t="n">
        <v>187569</v>
      </c>
      <c r="M28" s="20" t="n">
        <v>132461</v>
      </c>
      <c r="N28" s="20" t="n">
        <v>123391</v>
      </c>
      <c r="O28" s="19" t="n"/>
      <c r="P28" s="20" t="n"/>
      <c r="Q28" s="20" t="n"/>
      <c r="R28" s="20" t="n"/>
      <c r="S28" s="20" t="n"/>
      <c r="T28" s="20" t="n"/>
      <c r="U28" s="20" t="n"/>
      <c r="V28" s="20" t="n">
        <v>1146480</v>
      </c>
      <c r="W28" s="20" t="n">
        <v>1155212</v>
      </c>
      <c r="X28" s="20" t="n">
        <v>1189240</v>
      </c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Lifestyle</t>
        </is>
      </c>
      <c r="B31" s="10" t="n"/>
      <c r="C31" s="19" t="n">
        <v>840564</v>
      </c>
      <c r="D31" s="20" t="n">
        <v>847867</v>
      </c>
      <c r="E31" s="20" t="n">
        <v>815743</v>
      </c>
      <c r="F31" s="20" t="n">
        <v>816172</v>
      </c>
      <c r="G31" s="20" t="n">
        <v>862454</v>
      </c>
      <c r="H31" s="20" t="n">
        <v>886945</v>
      </c>
      <c r="I31" s="20" t="n">
        <v>795000</v>
      </c>
      <c r="J31" s="20" t="n">
        <v>799448</v>
      </c>
      <c r="K31" s="20" t="n">
        <v>843111</v>
      </c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>
        <v>3264321</v>
      </c>
      <c r="W31" s="20" t="n">
        <v>3381314</v>
      </c>
      <c r="X31" s="20" t="n"/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매출원가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전체 매출원가</t>
        </is>
      </c>
      <c r="B35" s="10" t="n"/>
      <c r="C35" s="19" t="n">
        <v>1518727</v>
      </c>
      <c r="D35" s="20" t="n">
        <v>1558863</v>
      </c>
      <c r="E35" s="20" t="n">
        <v>1490525</v>
      </c>
      <c r="F35" s="20" t="n">
        <v>1480718</v>
      </c>
      <c r="G35" s="20" t="n">
        <v>1455751</v>
      </c>
      <c r="H35" s="20" t="n">
        <v>1402575</v>
      </c>
      <c r="I35" s="20" t="n">
        <v>1292940</v>
      </c>
      <c r="J35" s="20" t="n">
        <v>1337293</v>
      </c>
      <c r="K35" s="20" t="n">
        <v>1383069</v>
      </c>
      <c r="L35" s="20" t="n">
        <v>1508552</v>
      </c>
      <c r="M35" s="20" t="n">
        <v>1353015</v>
      </c>
      <c r="N35" s="20" t="n">
        <v>1398457</v>
      </c>
      <c r="O35" s="19" t="n"/>
      <c r="P35" s="20" t="n">
        <v>5642952</v>
      </c>
      <c r="Q35" s="20" t="n">
        <v>5736234</v>
      </c>
      <c r="R35" s="20" t="n">
        <v>5339557</v>
      </c>
      <c r="S35" s="20" t="n">
        <v>4723943</v>
      </c>
      <c r="T35" s="20" t="n">
        <v>5306580</v>
      </c>
      <c r="U35" s="20" t="n">
        <v>6117494</v>
      </c>
      <c r="V35" s="20" t="n">
        <v>6002065</v>
      </c>
      <c r="W35" s="20" t="n">
        <v>5829569</v>
      </c>
      <c r="X35" s="20" t="n">
        <v>5521854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18" t="inlineStr">
        <is>
          <t>매출총이익</t>
        </is>
      </c>
      <c r="B37" s="10" t="n"/>
      <c r="C37" s="19">
        <f>IF(OR(C4="",C35=""),"",IFERROR(C4-C35,""))</f>
        <v/>
      </c>
      <c r="D37" s="20">
        <f>IF(OR(D4="",D35=""),"",IFERROR(D4-D35,""))</f>
        <v/>
      </c>
      <c r="E37" s="20">
        <f>IF(OR(E4="",E35=""),"",IFERROR(E4-E35,""))</f>
        <v/>
      </c>
      <c r="F37" s="20">
        <f>IF(OR(F4="",F35=""),"",IFERROR(F4-F35,""))</f>
        <v/>
      </c>
      <c r="G37" s="20">
        <f>IF(OR(G4="",G35=""),"",IFERROR(G4-G35,""))</f>
        <v/>
      </c>
      <c r="H37" s="20">
        <f>IF(OR(H4="",H35=""),"",IFERROR(H4-H35,""))</f>
        <v/>
      </c>
      <c r="I37" s="20">
        <f>IF(OR(I4="",I35=""),"",IFERROR(I4-I35,""))</f>
        <v/>
      </c>
      <c r="J37" s="20">
        <f>IF(OR(J4="",J35=""),"",IFERROR(J4-J35,""))</f>
        <v/>
      </c>
      <c r="K37" s="20">
        <f>IF(OR(K4="",K35=""),"",IFERROR(K4-K35,""))</f>
        <v/>
      </c>
      <c r="L37" s="20">
        <f>IF(OR(L4="",L35=""),"",IFERROR(L4-L35,""))</f>
        <v/>
      </c>
      <c r="M37" s="20">
        <f>IF(OR(M4="",M35=""),"",IFERROR(M4-M35,""))</f>
        <v/>
      </c>
      <c r="N37" s="20">
        <f>IF(OR(N4="",N35=""),"",IFERROR(N4-N35,""))</f>
        <v/>
      </c>
      <c r="O37" s="19">
        <f>IF(OR(O4="",O35=""),"",IFERROR(O4-O35,""))</f>
        <v/>
      </c>
      <c r="P37" s="20">
        <f>IF(OR(P4="",P35=""),"",IFERROR(P4-P35,""))</f>
        <v/>
      </c>
      <c r="Q37" s="20">
        <f>IF(OR(Q4="",Q35=""),"",IFERROR(Q4-Q35,""))</f>
        <v/>
      </c>
      <c r="R37" s="20">
        <f>IF(OR(R4="",R35=""),"",IFERROR(R4-R35,""))</f>
        <v/>
      </c>
      <c r="S37" s="20">
        <f>IF(OR(S4="",S35=""),"",IFERROR(S4-S35,""))</f>
        <v/>
      </c>
      <c r="T37" s="20">
        <f>IF(OR(T4="",T35=""),"",IFERROR(T4-T35,""))</f>
        <v/>
      </c>
      <c r="U37" s="20">
        <f>IF(OR(U4="",U35=""),"",IFERROR(U4-U35,""))</f>
        <v/>
      </c>
      <c r="V37" s="20">
        <f>IF(OR(V4="",V35=""),"",IFERROR(V4-V35,""))</f>
        <v/>
      </c>
      <c r="W37" s="20">
        <f>IF(OR(W4="",W35=""),"",IFERROR(W4-W35,""))</f>
        <v/>
      </c>
      <c r="X37" s="20">
        <f>IF(OR(X4="",X35=""),"",IFERROR(X4-X35,""))</f>
        <v/>
      </c>
      <c r="Y37" s="19" t="n"/>
      <c r="Z37" s="20" t="n"/>
      <c r="AA37" s="20" t="n"/>
      <c r="AB37" s="20" t="n"/>
      <c r="AC37" s="20" t="n"/>
    </row>
    <row r="38">
      <c r="A38" s="13" t="inlineStr">
        <is>
          <t>GPM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>
        <f>IF(OR(Y37="",Y4=""),"",IFERROR(Y37/Y4,""))</f>
        <v/>
      </c>
      <c r="Z38" s="15">
        <f>IF(OR(Z37="",Z4=""),"",IFERROR(Z37/Z4,""))</f>
        <v/>
      </c>
      <c r="AA38" s="15">
        <f>IF(OR(AA37="",AA4=""),"",IFERROR(AA37/AA4,""))</f>
        <v/>
      </c>
      <c r="AB38" s="15">
        <f>IF(OR(AB37="",AB4=""),"",IFERROR(AB37/AB4,""))</f>
        <v/>
      </c>
      <c r="AC38" s="15">
        <f>IF(OR(AC37="",AC4=""),"",IFERROR(AC37/AC4,""))</f>
        <v/>
      </c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IF(OR(G37="",C37=""),"",IF(C37&lt;=0,"",IFERROR(G37/C37-1,"")))</f>
        <v/>
      </c>
      <c r="H39" s="15">
        <f>IF(OR(H37="",D37=""),"",IF(D37&lt;=0,"",IFERROR(H37/D37-1,"")))</f>
        <v/>
      </c>
      <c r="I39" s="15">
        <f>IF(OR(I37="",E37=""),"",IF(E37&lt;=0,"",IFERROR(I37/E37-1,"")))</f>
        <v/>
      </c>
      <c r="J39" s="15">
        <f>IF(OR(J37="",F37=""),"",IF(F37&lt;=0,"",IFERROR(J37/F37-1,"")))</f>
        <v/>
      </c>
      <c r="K39" s="15">
        <f>IF(OR(K37="",G37=""),"",IF(G37&lt;=0,"",IFERROR(K37/G37-1,"")))</f>
        <v/>
      </c>
      <c r="L39" s="15">
        <f>IF(OR(L37="",H37=""),"",IF(H37&lt;=0,"",IFERROR(L37/H37-1,"")))</f>
        <v/>
      </c>
      <c r="M39" s="15">
        <f>IF(OR(M37="",I37=""),"",IF(I37&lt;=0,"",IFERROR(M37/I37-1,"")))</f>
        <v/>
      </c>
      <c r="N39" s="15">
        <f>IF(OR(N37="",J37=""),"",IF(J37&lt;=0,"",IFERROR(N37/J37-1,"")))</f>
        <v/>
      </c>
      <c r="O39" s="14" t="n"/>
      <c r="P39" s="15">
        <f>IF(OR(P37="",O37=""),"",IF(O37&lt;=0,"",IFERROR(P37/O37-1,"")))</f>
        <v/>
      </c>
      <c r="Q39" s="15">
        <f>IF(OR(Q37="",P37=""),"",IF(P37&lt;=0,"",IFERROR(Q37/P37-1,"")))</f>
        <v/>
      </c>
      <c r="R39" s="15">
        <f>IF(OR(R37="",Q37=""),"",IF(Q37&lt;=0,"",IFERROR(R37/Q37-1,"")))</f>
        <v/>
      </c>
      <c r="S39" s="15">
        <f>IF(OR(S37="",R37=""),"",IF(R37&lt;=0,"",IFERROR(S37/R37-1,"")))</f>
        <v/>
      </c>
      <c r="T39" s="15">
        <f>IF(OR(T37="",S37=""),"",IF(S37&lt;=0,"",IFERROR(T37/S37-1,"")))</f>
        <v/>
      </c>
      <c r="U39" s="15">
        <f>IF(OR(U37="",T37=""),"",IF(T37&lt;=0,"",IFERROR(U37/T37-1,"")))</f>
        <v/>
      </c>
      <c r="V39" s="15">
        <f>IF(OR(V37="",U37=""),"",IF(U37&lt;=0,"",IFERROR(V37/U37-1,"")))</f>
        <v/>
      </c>
      <c r="W39" s="15">
        <f>IF(OR(W37="",V37=""),"",IF(V37&lt;=0,"",IFERROR(W37/V37-1,"")))</f>
        <v/>
      </c>
      <c r="X39" s="15">
        <f>IF(OR(X37="",W37=""),"",IF(W37&lt;=0,"",IFERROR(X37/W37-1,"")))</f>
        <v/>
      </c>
      <c r="Y39" s="14">
        <f>IF(OR(Y37="",X37=""),"",IF(X37&lt;=0,"",IFERROR(Y37/X37-1,"")))</f>
        <v/>
      </c>
      <c r="Z39" s="15">
        <f>IF(OR(Z37="",Y37=""),"",IF(Y37&lt;=0,"",IFERROR(Z37/Y37-1,"")))</f>
        <v/>
      </c>
      <c r="AA39" s="15">
        <f>IF(OR(AA37="",Z37=""),"",IF(Z37&lt;=0,"",IFERROR(AA37/Z37-1,"")))</f>
        <v/>
      </c>
      <c r="AB39" s="15">
        <f>IF(OR(AB37="",AA37=""),"",IF(AA37&lt;=0,"",IFERROR(AB37/AA37-1,"")))</f>
        <v/>
      </c>
      <c r="AC39" s="15">
        <f>IF(OR(AC37="",AB37=""),"",IF(AB37&lt;=0,"",IFERROR(AC37/AB37-1,"")))</f>
        <v/>
      </c>
    </row>
    <row r="40">
      <c r="A40" s="23" t="inlineStr">
        <is>
          <t>판매관리비</t>
        </is>
      </c>
      <c r="B40" s="23" t="n"/>
      <c r="C40" s="24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4" t="n"/>
      <c r="Z40" s="23" t="n"/>
      <c r="AA40" s="23" t="n"/>
      <c r="AB40" s="23" t="n"/>
      <c r="AC40" s="23" t="n"/>
    </row>
    <row r="41">
      <c r="A41" s="18" t="inlineStr">
        <is>
          <t>전체 판관비</t>
        </is>
      </c>
      <c r="B41" s="10" t="n"/>
      <c r="C41" s="19" t="n">
        <v>536025</v>
      </c>
      <c r="D41" s="20" t="n">
        <v>565637</v>
      </c>
      <c r="E41" s="20" t="n">
        <v>546817</v>
      </c>
      <c r="F41" s="20" t="n">
        <v>526753</v>
      </c>
      <c r="G41" s="20" t="n">
        <v>546587</v>
      </c>
      <c r="H41" s="20" t="n">
        <v>541236</v>
      </c>
      <c r="I41" s="20" t="n">
        <v>512272</v>
      </c>
      <c r="J41" s="20" t="n">
        <v>496121</v>
      </c>
      <c r="K41" s="20" t="n">
        <v>521118</v>
      </c>
      <c r="L41" s="20" t="n">
        <v>549914</v>
      </c>
      <c r="M41" s="20" t="n">
        <v>479469</v>
      </c>
      <c r="N41" s="20" t="n">
        <v>462016</v>
      </c>
      <c r="O41" s="19" t="n"/>
      <c r="P41" s="20" t="n">
        <v>1938010</v>
      </c>
      <c r="Q41" s="20" t="n">
        <v>1939467</v>
      </c>
      <c r="R41" s="20" t="n">
        <v>1864381</v>
      </c>
      <c r="S41" s="20" t="n">
        <v>1667696</v>
      </c>
      <c r="T41" s="20" t="n">
        <v>1724511</v>
      </c>
      <c r="U41" s="20" t="n">
        <v>1947371</v>
      </c>
      <c r="V41" s="20" t="n">
        <v>2104356</v>
      </c>
      <c r="W41" s="20" t="n">
        <v>2161393</v>
      </c>
      <c r="X41" s="20" t="n">
        <v>2079425</v>
      </c>
      <c r="Y41" s="19" t="n"/>
      <c r="Z41" s="20" t="n"/>
      <c r="AA41" s="20" t="n"/>
      <c r="AB41" s="20" t="n"/>
      <c r="AC41" s="20" t="n"/>
    </row>
    <row r="42">
      <c r="A42" s="13" t="inlineStr">
        <is>
          <t>YoY</t>
        </is>
      </c>
      <c r="B42" s="10" t="n"/>
      <c r="C42" s="14" t="n"/>
      <c r="D42" s="15" t="n"/>
      <c r="E42" s="15" t="n"/>
      <c r="F42" s="15" t="n"/>
      <c r="G42" s="15">
        <f>IF(OR(G41="",C41=""),"",IF(C41&lt;=0,"",IFERROR(G41/C41-1,"")))</f>
        <v/>
      </c>
      <c r="H42" s="15">
        <f>IF(OR(H41="",D41=""),"",IF(D41&lt;=0,"",IFERROR(H41/D41-1,"")))</f>
        <v/>
      </c>
      <c r="I42" s="15">
        <f>IF(OR(I41="",E41=""),"",IF(E41&lt;=0,"",IFERROR(I41/E41-1,"")))</f>
        <v/>
      </c>
      <c r="J42" s="15">
        <f>IF(OR(J41="",F41=""),"",IF(F41&lt;=0,"",IFERROR(J41/F41-1,"")))</f>
        <v/>
      </c>
      <c r="K42" s="15">
        <f>IF(OR(K41="",G41=""),"",IF(G41&lt;=0,"",IFERROR(K41/G41-1,"")))</f>
        <v/>
      </c>
      <c r="L42" s="15">
        <f>IF(OR(L41="",H41=""),"",IF(H41&lt;=0,"",IFERROR(L41/H41-1,"")))</f>
        <v/>
      </c>
      <c r="M42" s="15">
        <f>IF(OR(M41="",I41=""),"",IF(I41&lt;=0,"",IFERROR(M41/I41-1,"")))</f>
        <v/>
      </c>
      <c r="N42" s="15">
        <f>IF(OR(N41="",J41=""),"",IF(J41&lt;=0,"",IFERROR(N41/J41-1,"")))</f>
        <v/>
      </c>
      <c r="O42" s="14" t="n"/>
      <c r="P42" s="15">
        <f>IF(OR(P41="",O41=""),"",IF(O41&lt;=0,"",IFERROR(P41/O41-1,"")))</f>
        <v/>
      </c>
      <c r="Q42" s="15">
        <f>IF(OR(Q41="",P41=""),"",IF(P41&lt;=0,"",IFERROR(Q41/P41-1,"")))</f>
        <v/>
      </c>
      <c r="R42" s="15">
        <f>IF(OR(R41="",Q41=""),"",IF(Q41&lt;=0,"",IFERROR(R41/Q41-1,"")))</f>
        <v/>
      </c>
      <c r="S42" s="15">
        <f>IF(OR(S41="",R41=""),"",IF(R41&lt;=0,"",IFERROR(S41/R41-1,"")))</f>
        <v/>
      </c>
      <c r="T42" s="15">
        <f>IF(OR(T41="",S41=""),"",IF(S41&lt;=0,"",IFERROR(T41/S41-1,"")))</f>
        <v/>
      </c>
      <c r="U42" s="15">
        <f>IF(OR(U41="",T41=""),"",IF(T41&lt;=0,"",IFERROR(U41/T41-1,"")))</f>
        <v/>
      </c>
      <c r="V42" s="15">
        <f>IF(OR(V41="",U41=""),"",IF(U41&lt;=0,"",IFERROR(V41/U41-1,"")))</f>
        <v/>
      </c>
      <c r="W42" s="15">
        <f>IF(OR(W41="",V41=""),"",IF(V41&lt;=0,"",IFERROR(W41/V41-1,"")))</f>
        <v/>
      </c>
      <c r="X42" s="15">
        <f>IF(OR(X41="",W41=""),"",IF(W41&lt;=0,"",IFERROR(X41/W41-1,"")))</f>
        <v/>
      </c>
      <c r="Y42" s="14">
        <f>IF(OR(Y41="",X41=""),"",IF(X41&lt;=0,"",IFERROR(Y41/X41-1,"")))</f>
        <v/>
      </c>
      <c r="Z42" s="15">
        <f>IF(OR(Z41="",Y41=""),"",IF(Y41&lt;=0,"",IFERROR(Z41/Y41-1,"")))</f>
        <v/>
      </c>
      <c r="AA42" s="15">
        <f>IF(OR(AA41="",Z41=""),"",IF(Z41&lt;=0,"",IFERROR(AA41/Z41-1,"")))</f>
        <v/>
      </c>
      <c r="AB42" s="15">
        <f>IF(OR(AB41="",AA41=""),"",IF(AA41&lt;=0,"",IFERROR(AB41/AA41-1,"")))</f>
        <v/>
      </c>
      <c r="AC42" s="15">
        <f>IF(OR(AC41="",AB41=""),"",IF(AB41&lt;=0,"",IFERROR(AC41/AB41-1,"")))</f>
        <v/>
      </c>
    </row>
    <row r="43">
      <c r="A43" s="9" t="inlineStr">
        <is>
          <t>영업이익</t>
        </is>
      </c>
      <c r="B43" s="10" t="inlineStr">
        <is>
          <t>MW = 매출 × OPM</t>
        </is>
      </c>
      <c r="C43" s="11" t="n">
        <v>127422</v>
      </c>
      <c r="D43" s="12" t="n">
        <v>40705</v>
      </c>
      <c r="E43" s="12" t="n">
        <v>83761</v>
      </c>
      <c r="F43" s="12" t="n">
        <v>132285</v>
      </c>
      <c r="G43" s="12" t="n">
        <v>132262</v>
      </c>
      <c r="H43" s="12" t="n">
        <v>78182</v>
      </c>
      <c r="I43" s="12" t="n">
        <v>86903</v>
      </c>
      <c r="J43" s="12" t="n">
        <v>78093</v>
      </c>
      <c r="K43" s="12" t="n">
        <v>-7217</v>
      </c>
      <c r="L43" s="12" t="n">
        <v>78628</v>
      </c>
      <c r="M43" s="12" t="n">
        <v>182455</v>
      </c>
      <c r="N43" s="12" t="n">
        <v>180774</v>
      </c>
      <c r="O43" s="11" t="n"/>
      <c r="P43" s="12" t="n">
        <v>380539</v>
      </c>
      <c r="Q43" s="12" t="n">
        <v>411498</v>
      </c>
      <c r="R43" s="12" t="n">
        <v>293751</v>
      </c>
      <c r="S43" s="12" t="n">
        <v>258600</v>
      </c>
      <c r="T43" s="12" t="n">
        <v>357526</v>
      </c>
      <c r="U43" s="12" t="n">
        <v>288570</v>
      </c>
      <c r="V43" s="12" t="n">
        <v>360962</v>
      </c>
      <c r="W43" s="12" t="n">
        <v>426490</v>
      </c>
      <c r="X43" s="12" t="n">
        <v>236407</v>
      </c>
      <c r="Y43" s="11">
        <f>IF(OR(Y4="",Y44=""),"",IFERROR(Y4*Y44,""))</f>
        <v/>
      </c>
      <c r="Z43" s="12">
        <f>IF(OR(Z4="",Z44=""),"",IFERROR(Z4*Z44,""))</f>
        <v/>
      </c>
      <c r="AA43" s="12">
        <f>IF(OR(AA4="",AA44=""),"",IFERROR(AA4*AA44,""))</f>
        <v/>
      </c>
      <c r="AB43" s="12">
        <f>IF(OR(AB4="",AB44=""),"",IFERROR(AB4*AB44,""))</f>
        <v/>
      </c>
      <c r="AC43" s="12">
        <f>IF(OR(AC4="",AC44=""),"",IFERROR(AC4*AC44,""))</f>
        <v/>
      </c>
    </row>
    <row r="44">
      <c r="A44" s="13" t="inlineStr">
        <is>
          <t>OPM</t>
        </is>
      </c>
      <c r="B44" s="10" t="inlineStr">
        <is>
          <t>MW 입력</t>
        </is>
      </c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 t="n"/>
      <c r="Z44" s="26" t="n"/>
      <c r="AA44" s="26" t="n"/>
      <c r="AB44" s="26" t="n"/>
      <c r="AC44" s="26" t="n"/>
    </row>
    <row r="45">
      <c r="A45" s="13" t="inlineStr">
        <is>
          <t>증가율</t>
        </is>
      </c>
      <c r="B45" s="10" t="n"/>
      <c r="C45" s="14" t="n"/>
      <c r="D45" s="15" t="n"/>
      <c r="E45" s="15" t="n"/>
      <c r="F45" s="15" t="n"/>
      <c r="G45" s="15">
        <f>IF(OR(G43="",C43=""),"",IFERROR(G43/C43-1,""))</f>
        <v/>
      </c>
      <c r="H45" s="15">
        <f>IF(OR(H43="",D43=""),"",IFERROR(H43/D43-1,""))</f>
        <v/>
      </c>
      <c r="I45" s="15">
        <f>IF(OR(I43="",E43=""),"",IFERROR(I43/E43-1,""))</f>
        <v/>
      </c>
      <c r="J45" s="15">
        <f>IF(OR(J43="",F43=""),"",IFERROR(J43/F43-1,""))</f>
        <v/>
      </c>
      <c r="K45" s="15">
        <f>IF(OR(K43="",G43=""),"",IFERROR(K43/G43-1,""))</f>
        <v/>
      </c>
      <c r="L45" s="15">
        <f>IF(OR(L43="",H43=""),"",IFERROR(L43/H43-1,""))</f>
        <v/>
      </c>
      <c r="M45" s="15">
        <f>IF(OR(M43="",I43=""),"",IFERROR(M43/I43-1,""))</f>
        <v/>
      </c>
      <c r="N45" s="15">
        <f>IF(OR(N43="",J43=""),"",IFERROR(N43/J43-1,""))</f>
        <v/>
      </c>
      <c r="O45" s="14" t="n"/>
      <c r="P45" s="15">
        <f>IF(OR(P43="",O43=""),"",IFERROR(P43/O43-1,""))</f>
        <v/>
      </c>
      <c r="Q45" s="15">
        <f>IF(OR(Q43="",P43=""),"",IFERROR(Q43/P43-1,""))</f>
        <v/>
      </c>
      <c r="R45" s="15">
        <f>IF(OR(R43="",Q43=""),"",IFERROR(R43/Q43-1,""))</f>
        <v/>
      </c>
      <c r="S45" s="15">
        <f>IF(OR(S43="",R43=""),"",IFERROR(S43/R43-1,""))</f>
        <v/>
      </c>
      <c r="T45" s="15">
        <f>IF(OR(T43="",S43=""),"",IFERROR(T43/S43-1,""))</f>
        <v/>
      </c>
      <c r="U45" s="15">
        <f>IF(OR(U43="",T43=""),"",IFERROR(U43/T43-1,""))</f>
        <v/>
      </c>
      <c r="V45" s="15">
        <f>IF(OR(V43="",U43=""),"",IFERROR(V43/U43-1,""))</f>
        <v/>
      </c>
      <c r="W45" s="15">
        <f>IF(OR(W43="",V43=""),"",IFERROR(W43/V43-1,""))</f>
        <v/>
      </c>
      <c r="X45" s="15">
        <f>IF(OR(X43="",W43=""),"",IFERROR(X43/W43-1,""))</f>
        <v/>
      </c>
      <c r="Y45" s="14">
        <f>IF(OR(Y43="",X43=""),"",IFERROR(Y43/X43-1,""))</f>
        <v/>
      </c>
      <c r="Z45" s="15">
        <f>IF(OR(Z43="",Y43=""),"",IFERROR(Z43/Y43-1,""))</f>
        <v/>
      </c>
      <c r="AA45" s="15">
        <f>IF(OR(AA43="",Z43=""),"",IFERROR(AA43/Z43-1,""))</f>
        <v/>
      </c>
      <c r="AB45" s="15">
        <f>IF(OR(AB43="",AA43=""),"",IFERROR(AB43/AA43-1,""))</f>
        <v/>
      </c>
      <c r="AC45" s="15">
        <f>IF(OR(AC43="",AB43=""),"",IFERROR(AC43/AB43-1,""))</f>
        <v/>
      </c>
    </row>
    <row r="46">
      <c r="A46" s="16" t="inlineStr">
        <is>
          <t>비용의 성격별 분류</t>
        </is>
      </c>
      <c r="B46" s="16" t="inlineStr">
        <is>
          <t>참고 데이터</t>
        </is>
      </c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9" t="inlineStr">
        <is>
          <t>총 판관비</t>
        </is>
      </c>
      <c r="B47" s="10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1">
        <f>IF(O41="","",O41)</f>
        <v/>
      </c>
      <c r="P47" s="12">
        <f>IF(P41="","",P41)</f>
        <v/>
      </c>
      <c r="Q47" s="12">
        <f>IF(Q41="","",Q41)</f>
        <v/>
      </c>
      <c r="R47" s="12">
        <f>IF(R41="","",R41)</f>
        <v/>
      </c>
      <c r="S47" s="12">
        <f>IF(S41="","",S41)</f>
        <v/>
      </c>
      <c r="T47" s="12">
        <f>IF(T41="","",T41)</f>
        <v/>
      </c>
      <c r="U47" s="12">
        <f>IF(U41="","",U41)</f>
        <v/>
      </c>
      <c r="V47" s="12">
        <f>IF(V41="","",V41)</f>
        <v/>
      </c>
      <c r="W47" s="12">
        <f>IF(W41="","",W41)</f>
        <v/>
      </c>
      <c r="X47" s="12">
        <f>IF(X41="","",X41)</f>
        <v/>
      </c>
      <c r="Y47" s="11" t="n"/>
      <c r="Z47" s="12" t="n"/>
      <c r="AA47" s="12" t="n"/>
      <c r="AB47" s="12" t="n"/>
      <c r="AC47" s="12" t="n"/>
    </row>
    <row r="48">
      <c r="A48" s="18" t="inlineStr">
        <is>
          <t>급여</t>
        </is>
      </c>
      <c r="B48" s="10" t="inlineStr">
        <is>
          <t>고정비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감가상각비</t>
        </is>
      </c>
      <c r="B50" s="10" t="inlineStr">
        <is>
          <t>고정비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8" t="inlineStr">
        <is>
          <t>지급수수료</t>
        </is>
      </c>
      <c r="B52" s="10" t="inlineStr">
        <is>
          <t>고정비</t>
        </is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% of Sales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14" t="n"/>
      <c r="Z53" s="15" t="n"/>
      <c r="AA53" s="15" t="n"/>
      <c r="AB53" s="15" t="n"/>
      <c r="AC53" s="15" t="n"/>
    </row>
    <row r="54">
      <c r="A54" s="18" t="inlineStr">
        <is>
          <t>연구개발비</t>
        </is>
      </c>
      <c r="B54" s="10" t="inlineStr">
        <is>
          <t>변동비</t>
        </is>
      </c>
      <c r="C54" s="19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19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19" t="n"/>
      <c r="Z54" s="20" t="n"/>
      <c r="AA54" s="20" t="n"/>
      <c r="AB54" s="20" t="n"/>
      <c r="AC54" s="20" t="n"/>
    </row>
    <row r="55">
      <c r="A55" s="13" t="inlineStr">
        <is>
          <t>% of Sales</t>
        </is>
      </c>
      <c r="B55" s="10" t="n"/>
      <c r="C55" s="14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14" t="n"/>
      <c r="Z55" s="15" t="n"/>
      <c r="AA55" s="15" t="n"/>
      <c r="AB55" s="15" t="n"/>
      <c r="AC55" s="15" t="n"/>
    </row>
    <row r="56">
      <c r="A56" s="18" t="inlineStr">
        <is>
          <t>기타비용</t>
        </is>
      </c>
      <c r="B56" s="10" t="inlineStr">
        <is>
          <t>변동비</t>
        </is>
      </c>
      <c r="C56" s="19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19">
        <f>IF(OR(O47="",O48="",O50="",O52="",O54=""),"",IFERROR(O47-O48-O50-O52-O54,""))</f>
        <v/>
      </c>
      <c r="P56" s="20">
        <f>IF(OR(P47="",P48="",P50="",P52="",P54=""),"",IFERROR(P47-P48-P50-P52-P54,""))</f>
        <v/>
      </c>
      <c r="Q56" s="20">
        <f>IF(OR(Q47="",Q48="",Q50="",Q52="",Q54=""),"",IFERROR(Q47-Q48-Q50-Q52-Q54,""))</f>
        <v/>
      </c>
      <c r="R56" s="20">
        <f>IF(OR(R47="",R48="",R50="",R52="",R54=""),"",IFERROR(R47-R48-R50-R52-R54,""))</f>
        <v/>
      </c>
      <c r="S56" s="20">
        <f>IF(OR(S47="",S48="",S50="",S52="",S54=""),"",IFERROR(S47-S48-S50-S52-S54,""))</f>
        <v/>
      </c>
      <c r="T56" s="20">
        <f>IF(OR(T47="",T48="",T50="",T52="",T54=""),"",IFERROR(T47-T48-T50-T52-T54,""))</f>
        <v/>
      </c>
      <c r="U56" s="20">
        <f>IF(OR(U47="",U48="",U50="",U52="",U54=""),"",IFERROR(U47-U48-U50-U52-U54,""))</f>
        <v/>
      </c>
      <c r="V56" s="20">
        <f>IF(OR(V47="",V48="",V50="",V52="",V54=""),"",IFERROR(V47-V48-V50-V52-V54,""))</f>
        <v/>
      </c>
      <c r="W56" s="20">
        <f>IF(OR(W47="",W48="",W50="",W52="",W54=""),"",IFERROR(W47-W48-W50-W52-W54,""))</f>
        <v/>
      </c>
      <c r="X56" s="20">
        <f>IF(OR(X47="",X48="",X50="",X52="",X54=""),"",IFERROR(X47-X48-X50-X52-X54,""))</f>
        <v/>
      </c>
      <c r="Y56" s="19" t="n"/>
      <c r="Z56" s="20" t="n"/>
      <c r="AA56" s="20" t="n"/>
      <c r="AB56" s="20" t="n"/>
      <c r="AC56" s="20" t="n"/>
    </row>
    <row r="57">
      <c r="A57" s="13" t="inlineStr">
        <is>
          <t>% of Sales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14" t="n"/>
      <c r="Z57" s="15" t="n"/>
      <c r="AA57" s="15" t="n"/>
      <c r="AB57" s="15" t="n"/>
      <c r="AC57" s="15" t="n"/>
    </row>
    <row r="58">
      <c r="A58" s="16" t="inlineStr">
        <is>
          <t>당기순이익 추정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기타이익</t>
        </is>
      </c>
      <c r="B59" s="10" t="n"/>
      <c r="C59" s="19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19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inlineStr">
        <is>
          <t>MW = 최근 3년 평균</t>
        </is>
      </c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18" t="inlineStr">
        <is>
          <t>기타손실</t>
        </is>
      </c>
      <c r="B61" s="10" t="n"/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>
        <f>IF(OR(Y4="",Y62=""),"",IFERROR(Y4*Y62,""))</f>
        <v/>
      </c>
      <c r="Z61" s="20">
        <f>IF(OR(Z4="",Z62=""),"",IFERROR(Z4*Z62,""))</f>
        <v/>
      </c>
      <c r="AA61" s="20">
        <f>IF(OR(AA4="",AA62=""),"",IFERROR(AA4*AA62,""))</f>
        <v/>
      </c>
      <c r="AB61" s="20">
        <f>IF(OR(AB4="",AB62=""),"",IFERROR(AB4*AB62,""))</f>
        <v/>
      </c>
      <c r="AC61" s="20">
        <f>IF(OR(AC4="",AC62=""),"",IFERROR(AC4*AC62,""))</f>
        <v/>
      </c>
    </row>
    <row r="62">
      <c r="A62" s="13" t="inlineStr">
        <is>
          <t>% of Sales</t>
        </is>
      </c>
      <c r="B62" s="10" t="n"/>
      <c r="C62" s="14">
        <f>IF(OR(C61="",C4=""),"",IFERROR(C61/C4,""))</f>
        <v/>
      </c>
      <c r="D62" s="15">
        <f>IF(OR(D61="",D4=""),"",IFERROR(D61/D4,""))</f>
        <v/>
      </c>
      <c r="E62" s="15">
        <f>IF(OR(E61="",E4=""),"",IFERROR(E61/E4,""))</f>
        <v/>
      </c>
      <c r="F62" s="15">
        <f>IF(OR(F61="",F4=""),"",IFERROR(F61/F4,""))</f>
        <v/>
      </c>
      <c r="G62" s="15">
        <f>IF(OR(G61="",G4=""),"",IFERROR(G61/G4,""))</f>
        <v/>
      </c>
      <c r="H62" s="15">
        <f>IF(OR(H61="",H4=""),"",IFERROR(H61/H4,""))</f>
        <v/>
      </c>
      <c r="I62" s="15">
        <f>IF(OR(I61="",I4=""),"",IFERROR(I61/I4,""))</f>
        <v/>
      </c>
      <c r="J62" s="15">
        <f>IF(OR(J61="",J4=""),"",IFERROR(J61/J4,""))</f>
        <v/>
      </c>
      <c r="K62" s="15">
        <f>IF(OR(K61="",K4=""),"",IFERROR(K61/K4,""))</f>
        <v/>
      </c>
      <c r="L62" s="15">
        <f>IF(OR(L61="",L4=""),"",IFERROR(L61/L4,""))</f>
        <v/>
      </c>
      <c r="M62" s="15">
        <f>IF(OR(M61="",M4=""),"",IFERROR(M61/M4,""))</f>
        <v/>
      </c>
      <c r="N62" s="15">
        <f>IF(OR(N61="",N4=""),"",IFERROR(N61/N4,""))</f>
        <v/>
      </c>
      <c r="O62" s="14">
        <f>IF(OR(O61="",O4=""),"",IFERROR(O61/O4,""))</f>
        <v/>
      </c>
      <c r="P62" s="15">
        <f>IF(OR(P61="",P4=""),"",IFERROR(P61/P4,""))</f>
        <v/>
      </c>
      <c r="Q62" s="15">
        <f>IF(OR(Q61="",Q4=""),"",IFERROR(Q61/Q4,""))</f>
        <v/>
      </c>
      <c r="R62" s="15">
        <f>IF(OR(R61="",R4=""),"",IFERROR(R61/R4,""))</f>
        <v/>
      </c>
      <c r="S62" s="15">
        <f>IF(OR(S61="",S4=""),"",IFERROR(S61/S4,""))</f>
        <v/>
      </c>
      <c r="T62" s="15">
        <f>IF(OR(T61="",T4=""),"",IFERROR(T61/T4,""))</f>
        <v/>
      </c>
      <c r="U62" s="15">
        <f>IF(OR(U61="",U4=""),"",IFERROR(U61/U4,""))</f>
        <v/>
      </c>
      <c r="V62" s="15">
        <f>IF(OR(V61="",V4=""),"",IFERROR(V61/V4,""))</f>
        <v/>
      </c>
      <c r="W62" s="15">
        <f>IF(OR(W61="",W4=""),"",IFERROR(W61/W4,""))</f>
        <v/>
      </c>
      <c r="X62" s="15">
        <f>IF(OR(X61="",X4=""),"",IFERROR(X61/X4,""))</f>
        <v/>
      </c>
      <c r="Y62" s="25">
        <f>IFERROR(AVERAGE(V62,W62,X62),"")</f>
        <v/>
      </c>
      <c r="Z62" s="26">
        <f>Y62</f>
        <v/>
      </c>
      <c r="AA62" s="26">
        <f>Z62</f>
        <v/>
      </c>
      <c r="AB62" s="26">
        <f>AA62</f>
        <v/>
      </c>
      <c r="AC62" s="26">
        <f>AB62</f>
        <v/>
      </c>
    </row>
    <row r="63">
      <c r="A63" s="18" t="inlineStr">
        <is>
          <t>금융수익</t>
        </is>
      </c>
      <c r="B63" s="10" t="n"/>
      <c r="C63" s="19" t="n">
        <v>24326</v>
      </c>
      <c r="D63" s="20" t="n">
        <v>21507</v>
      </c>
      <c r="E63" s="20" t="n">
        <v>26890</v>
      </c>
      <c r="F63" s="20" t="n">
        <v>21049</v>
      </c>
      <c r="G63" s="20" t="n">
        <v>21537</v>
      </c>
      <c r="H63" s="20" t="n">
        <v>19049</v>
      </c>
      <c r="I63" s="20" t="n">
        <v>12698</v>
      </c>
      <c r="J63" s="20" t="n">
        <v>21232</v>
      </c>
      <c r="K63" s="20" t="n">
        <v>18588</v>
      </c>
      <c r="L63" s="20" t="n">
        <v>16182</v>
      </c>
      <c r="M63" s="20" t="n">
        <v>12835</v>
      </c>
      <c r="N63" s="20" t="n">
        <v>13532</v>
      </c>
      <c r="O63" s="19" t="n"/>
      <c r="P63" s="20" t="n">
        <v>22772</v>
      </c>
      <c r="Q63" s="20" t="n">
        <v>25603</v>
      </c>
      <c r="R63" s="20" t="n">
        <v>31360</v>
      </c>
      <c r="S63" s="20" t="n">
        <v>20846</v>
      </c>
      <c r="T63" s="20" t="n">
        <v>22128</v>
      </c>
      <c r="U63" s="20" t="n">
        <v>48972</v>
      </c>
      <c r="V63" s="20" t="n">
        <v>88972</v>
      </c>
      <c r="W63" s="20" t="n">
        <v>88525</v>
      </c>
      <c r="X63" s="20" t="n">
        <v>68700</v>
      </c>
      <c r="Y63" s="19">
        <f>IF(OR(Y4="",Y64=""),"",IFERROR(Y4*Y64,""))</f>
        <v/>
      </c>
      <c r="Z63" s="20">
        <f>IF(OR(Z4="",Z64=""),"",IFERROR(Z4*Z64,""))</f>
        <v/>
      </c>
      <c r="AA63" s="20">
        <f>IF(OR(AA4="",AA64=""),"",IFERROR(AA4*AA64,""))</f>
        <v/>
      </c>
      <c r="AB63" s="20">
        <f>IF(OR(AB4="",AB64=""),"",IFERROR(AB4*AB64,""))</f>
        <v/>
      </c>
      <c r="AC63" s="20">
        <f>IF(OR(AC4="",AC64=""),"",IFERROR(AC4*AC64,""))</f>
        <v/>
      </c>
    </row>
    <row r="64">
      <c r="A64" s="13" t="inlineStr">
        <is>
          <t>% of Sales</t>
        </is>
      </c>
      <c r="B64" s="10" t="n"/>
      <c r="C64" s="14">
        <f>IF(OR(C63="",C4=""),"",IFERROR(C63/C4,""))</f>
        <v/>
      </c>
      <c r="D64" s="15">
        <f>IF(OR(D63="",D4=""),"",IFERROR(D63/D4,""))</f>
        <v/>
      </c>
      <c r="E64" s="15">
        <f>IF(OR(E63="",E4=""),"",IFERROR(E63/E4,""))</f>
        <v/>
      </c>
      <c r="F64" s="15">
        <f>IF(OR(F63="",F4=""),"",IFERROR(F63/F4,""))</f>
        <v/>
      </c>
      <c r="G64" s="15">
        <f>IF(OR(G63="",G4=""),"",IFERROR(G63/G4,""))</f>
        <v/>
      </c>
      <c r="H64" s="15">
        <f>IF(OR(H63="",H4=""),"",IFERROR(H63/H4,""))</f>
        <v/>
      </c>
      <c r="I64" s="15">
        <f>IF(OR(I63="",I4=""),"",IFERROR(I63/I4,""))</f>
        <v/>
      </c>
      <c r="J64" s="15">
        <f>IF(OR(J63="",J4=""),"",IFERROR(J63/J4,""))</f>
        <v/>
      </c>
      <c r="K64" s="15">
        <f>IF(OR(K63="",K4=""),"",IFERROR(K63/K4,""))</f>
        <v/>
      </c>
      <c r="L64" s="15">
        <f>IF(OR(L63="",L4=""),"",IFERROR(L63/L4,""))</f>
        <v/>
      </c>
      <c r="M64" s="15">
        <f>IF(OR(M63="",M4=""),"",IFERROR(M63/M4,""))</f>
        <v/>
      </c>
      <c r="N64" s="15">
        <f>IF(OR(N63="",N4=""),"",IFERROR(N63/N4,""))</f>
        <v/>
      </c>
      <c r="O64" s="14">
        <f>IF(OR(O63="",O4=""),"",IFERROR(O63/O4,""))</f>
        <v/>
      </c>
      <c r="P64" s="15">
        <f>IF(OR(P63="",P4=""),"",IFERROR(P63/P4,""))</f>
        <v/>
      </c>
      <c r="Q64" s="15">
        <f>IF(OR(Q63="",Q4=""),"",IFERROR(Q63/Q4,""))</f>
        <v/>
      </c>
      <c r="R64" s="15">
        <f>IF(OR(R63="",R4=""),"",IFERROR(R63/R4,""))</f>
        <v/>
      </c>
      <c r="S64" s="15">
        <f>IF(OR(S63="",S4=""),"",IFERROR(S63/S4,""))</f>
        <v/>
      </c>
      <c r="T64" s="15">
        <f>IF(OR(T63="",T4=""),"",IFERROR(T63/T4,""))</f>
        <v/>
      </c>
      <c r="U64" s="15">
        <f>IF(OR(U63="",U4=""),"",IFERROR(U63/U4,""))</f>
        <v/>
      </c>
      <c r="V64" s="15">
        <f>IF(OR(V63="",V4=""),"",IFERROR(V63/V4,""))</f>
        <v/>
      </c>
      <c r="W64" s="15">
        <f>IF(OR(W63="",W4=""),"",IFERROR(W63/W4,""))</f>
        <v/>
      </c>
      <c r="X64" s="15">
        <f>IF(OR(X63="",X4=""),"",IFERROR(X63/X4,""))</f>
        <v/>
      </c>
      <c r="Y64" s="25">
        <f>IFERROR(AVERAGE(V64,W64,X64),"")</f>
        <v/>
      </c>
      <c r="Z64" s="26">
        <f>Y64</f>
        <v/>
      </c>
      <c r="AA64" s="26">
        <f>Z64</f>
        <v/>
      </c>
      <c r="AB64" s="26">
        <f>AA64</f>
        <v/>
      </c>
      <c r="AC64" s="26">
        <f>AB64</f>
        <v/>
      </c>
    </row>
    <row r="65">
      <c r="A65" s="18" t="inlineStr">
        <is>
          <t>금융원가</t>
        </is>
      </c>
      <c r="B65" s="10" t="n"/>
      <c r="C65" s="19" t="n">
        <v>7295</v>
      </c>
      <c r="D65" s="20" t="n">
        <v>5757</v>
      </c>
      <c r="E65" s="20" t="n">
        <v>5938</v>
      </c>
      <c r="F65" s="20" t="n">
        <v>7088</v>
      </c>
      <c r="G65" s="20" t="n">
        <v>9097</v>
      </c>
      <c r="H65" s="20" t="n">
        <v>6603</v>
      </c>
      <c r="I65" s="20" t="n">
        <v>8624</v>
      </c>
      <c r="J65" s="20" t="n">
        <v>12442</v>
      </c>
      <c r="K65" s="20" t="n">
        <v>12006</v>
      </c>
      <c r="L65" s="20" t="n">
        <v>8926</v>
      </c>
      <c r="M65" s="20" t="n">
        <v>6343</v>
      </c>
      <c r="N65" s="20" t="n">
        <v>10274</v>
      </c>
      <c r="O65" s="19" t="n"/>
      <c r="P65" s="20" t="n">
        <v>24721</v>
      </c>
      <c r="Q65" s="20" t="n">
        <v>20645</v>
      </c>
      <c r="R65" s="20" t="n">
        <v>34061</v>
      </c>
      <c r="S65" s="20" t="n">
        <v>18626</v>
      </c>
      <c r="T65" s="20" t="n">
        <v>19259</v>
      </c>
      <c r="U65" s="20" t="n">
        <v>21133</v>
      </c>
      <c r="V65" s="20" t="n">
        <v>24695</v>
      </c>
      <c r="W65" s="20" t="n">
        <v>28726</v>
      </c>
      <c r="X65" s="20" t="n">
        <v>41998</v>
      </c>
      <c r="Y65" s="19">
        <f>IF(OR(Y4="",Y66=""),"",IFERROR(Y4*Y66,""))</f>
        <v/>
      </c>
      <c r="Z65" s="20">
        <f>IF(OR(Z4="",Z66=""),"",IFERROR(Z4*Z66,""))</f>
        <v/>
      </c>
      <c r="AA65" s="20">
        <f>IF(OR(AA4="",AA66=""),"",IFERROR(AA4*AA66,""))</f>
        <v/>
      </c>
      <c r="AB65" s="20">
        <f>IF(OR(AB4="",AB66=""),"",IFERROR(AB4*AB66,""))</f>
        <v/>
      </c>
      <c r="AC65" s="20">
        <f>IF(OR(AC4="",AC66=""),"",IFERROR(AC4*AC66,""))</f>
        <v/>
      </c>
    </row>
    <row r="66">
      <c r="A66" s="13" t="inlineStr">
        <is>
          <t>% of Sales</t>
        </is>
      </c>
      <c r="B66" s="10" t="n"/>
      <c r="C66" s="14">
        <f>IF(OR(C65="",C4=""),"",IFERROR(C65/C4,""))</f>
        <v/>
      </c>
      <c r="D66" s="15">
        <f>IF(OR(D65="",D4=""),"",IFERROR(D65/D4,""))</f>
        <v/>
      </c>
      <c r="E66" s="15">
        <f>IF(OR(E65="",E4=""),"",IFERROR(E65/E4,""))</f>
        <v/>
      </c>
      <c r="F66" s="15">
        <f>IF(OR(F65="",F4=""),"",IFERROR(F65/F4,""))</f>
        <v/>
      </c>
      <c r="G66" s="15">
        <f>IF(OR(G65="",G4=""),"",IFERROR(G65/G4,""))</f>
        <v/>
      </c>
      <c r="H66" s="15">
        <f>IF(OR(H65="",H4=""),"",IFERROR(H65/H4,""))</f>
        <v/>
      </c>
      <c r="I66" s="15">
        <f>IF(OR(I65="",I4=""),"",IFERROR(I65/I4,""))</f>
        <v/>
      </c>
      <c r="J66" s="15">
        <f>IF(OR(J65="",J4=""),"",IFERROR(J65/J4,""))</f>
        <v/>
      </c>
      <c r="K66" s="15">
        <f>IF(OR(K65="",K4=""),"",IFERROR(K65/K4,""))</f>
        <v/>
      </c>
      <c r="L66" s="15">
        <f>IF(OR(L65="",L4=""),"",IFERROR(L65/L4,""))</f>
        <v/>
      </c>
      <c r="M66" s="15">
        <f>IF(OR(M65="",M4=""),"",IFERROR(M65/M4,""))</f>
        <v/>
      </c>
      <c r="N66" s="15">
        <f>IF(OR(N65="",N4=""),"",IFERROR(N65/N4,""))</f>
        <v/>
      </c>
      <c r="O66" s="14">
        <f>IF(OR(O65="",O4=""),"",IFERROR(O65/O4,""))</f>
        <v/>
      </c>
      <c r="P66" s="15">
        <f>IF(OR(P65="",P4=""),"",IFERROR(P65/P4,""))</f>
        <v/>
      </c>
      <c r="Q66" s="15">
        <f>IF(OR(Q65="",Q4=""),"",IFERROR(Q65/Q4,""))</f>
        <v/>
      </c>
      <c r="R66" s="15">
        <f>IF(OR(R65="",R4=""),"",IFERROR(R65/R4,""))</f>
        <v/>
      </c>
      <c r="S66" s="15">
        <f>IF(OR(S65="",S4=""),"",IFERROR(S65/S4,""))</f>
        <v/>
      </c>
      <c r="T66" s="15">
        <f>IF(OR(T65="",T4=""),"",IFERROR(T65/T4,""))</f>
        <v/>
      </c>
      <c r="U66" s="15">
        <f>IF(OR(U65="",U4=""),"",IFERROR(U65/U4,""))</f>
        <v/>
      </c>
      <c r="V66" s="15">
        <f>IF(OR(V65="",V4=""),"",IFERROR(V65/V4,""))</f>
        <v/>
      </c>
      <c r="W66" s="15">
        <f>IF(OR(W65="",W4=""),"",IFERROR(W65/W4,""))</f>
        <v/>
      </c>
      <c r="X66" s="15">
        <f>IF(OR(X65="",X4=""),"",IFERROR(X65/X4,""))</f>
        <v/>
      </c>
      <c r="Y66" s="25">
        <f>IFERROR(AVERAGE(V66,W66,X66),"")</f>
        <v/>
      </c>
      <c r="Z66" s="26">
        <f>Y66</f>
        <v/>
      </c>
      <c r="AA66" s="26">
        <f>Z66</f>
        <v/>
      </c>
      <c r="AB66" s="26">
        <f>AA66</f>
        <v/>
      </c>
      <c r="AC66" s="26">
        <f>AB66</f>
        <v/>
      </c>
    </row>
    <row r="67">
      <c r="A67" s="9" t="inlineStr">
        <is>
          <t>법인세비용차감전순이익(손실)</t>
        </is>
      </c>
      <c r="B67" s="10" t="n"/>
      <c r="C67" s="11" t="n">
        <v>144453</v>
      </c>
      <c r="D67" s="12" t="n">
        <v>56455</v>
      </c>
      <c r="E67" s="12" t="n">
        <v>104713</v>
      </c>
      <c r="F67" s="12" t="n">
        <v>146246</v>
      </c>
      <c r="G67" s="12" t="n">
        <v>144702</v>
      </c>
      <c r="H67" s="12" t="n">
        <v>90628</v>
      </c>
      <c r="I67" s="12" t="n">
        <v>90977</v>
      </c>
      <c r="J67" s="12" t="n">
        <v>86883</v>
      </c>
      <c r="K67" s="12" t="n">
        <v>-635</v>
      </c>
      <c r="L67" s="12" t="n">
        <v>85884</v>
      </c>
      <c r="M67" s="12" t="n">
        <v>188947</v>
      </c>
      <c r="N67" s="12" t="n">
        <v>184032</v>
      </c>
      <c r="O67" s="11" t="n"/>
      <c r="P67" s="12" t="n">
        <v>378590</v>
      </c>
      <c r="Q67" s="12" t="n">
        <v>416456</v>
      </c>
      <c r="R67" s="12" t="n">
        <v>291050</v>
      </c>
      <c r="S67" s="12" t="n">
        <v>260820</v>
      </c>
      <c r="T67" s="12" t="n">
        <v>360395</v>
      </c>
      <c r="U67" s="12" t="n">
        <v>316409</v>
      </c>
      <c r="V67" s="12" t="n">
        <v>425239</v>
      </c>
      <c r="W67" s="12" t="n">
        <v>486289</v>
      </c>
      <c r="X67" s="12" t="n">
        <v>263109</v>
      </c>
      <c r="Y67" s="11">
        <f>IF(OR(Y43=""),"",IFERROR(Y43+N(Y59)-N(Y61)+N(Y63)-N(Y65),""))</f>
        <v/>
      </c>
      <c r="Z67" s="12">
        <f>IF(OR(Z43=""),"",IFERROR(Z43+N(Z59)-N(Z61)+N(Z63)-N(Z65),""))</f>
        <v/>
      </c>
      <c r="AA67" s="12">
        <f>IF(OR(AA43=""),"",IFERROR(AA43+N(AA59)-N(AA61)+N(AA63)-N(AA65),""))</f>
        <v/>
      </c>
      <c r="AB67" s="12">
        <f>IF(OR(AB43=""),"",IFERROR(AB43+N(AB59)-N(AB61)+N(AB63)-N(AB65),""))</f>
        <v/>
      </c>
      <c r="AC67" s="12">
        <f>IF(OR(AC43=""),"",IFERROR(AC43+N(AC59)-N(AC61)+N(AC63)-N(AC65),""))</f>
        <v/>
      </c>
    </row>
    <row r="68">
      <c r="A68" s="13" t="inlineStr">
        <is>
          <t>YoY</t>
        </is>
      </c>
      <c r="B68" s="10" t="n"/>
      <c r="C68" s="14" t="n"/>
      <c r="D68" s="15" t="n"/>
      <c r="E68" s="15" t="n"/>
      <c r="F68" s="15" t="n"/>
      <c r="G68" s="15">
        <f>IF(OR(G67="",C67=""),"",IF(C67&lt;=0,"",IFERROR(G67/C67-1,"")))</f>
        <v/>
      </c>
      <c r="H68" s="15">
        <f>IF(OR(H67="",D67=""),"",IF(D67&lt;=0,"",IFERROR(H67/D67-1,"")))</f>
        <v/>
      </c>
      <c r="I68" s="15">
        <f>IF(OR(I67="",E67=""),"",IF(E67&lt;=0,"",IFERROR(I67/E67-1,"")))</f>
        <v/>
      </c>
      <c r="J68" s="15">
        <f>IF(OR(J67="",F67=""),"",IF(F67&lt;=0,"",IFERROR(J67/F67-1,"")))</f>
        <v/>
      </c>
      <c r="K68" s="15">
        <f>IF(OR(K67="",G67=""),"",IF(G67&lt;=0,"",IFERROR(K67/G67-1,"")))</f>
        <v/>
      </c>
      <c r="L68" s="15">
        <f>IF(OR(L67="",H67=""),"",IF(H67&lt;=0,"",IFERROR(L67/H67-1,"")))</f>
        <v/>
      </c>
      <c r="M68" s="15">
        <f>IF(OR(M67="",I67=""),"",IF(I67&lt;=0,"",IFERROR(M67/I67-1,"")))</f>
        <v/>
      </c>
      <c r="N68" s="15">
        <f>IF(OR(N67="",J67=""),"",IF(J67&lt;=0,"",IFERROR(N67/J67-1,"")))</f>
        <v/>
      </c>
      <c r="O68" s="14" t="n"/>
      <c r="P68" s="15">
        <f>IF(OR(P67="",O67=""),"",IF(O67&lt;=0,"",IFERROR(P67/O67-1,"")))</f>
        <v/>
      </c>
      <c r="Q68" s="15">
        <f>IF(OR(Q67="",P67=""),"",IF(P67&lt;=0,"",IFERROR(Q67/P67-1,"")))</f>
        <v/>
      </c>
      <c r="R68" s="15">
        <f>IF(OR(R67="",Q67=""),"",IF(Q67&lt;=0,"",IFERROR(R67/Q67-1,"")))</f>
        <v/>
      </c>
      <c r="S68" s="15">
        <f>IF(OR(S67="",R67=""),"",IF(R67&lt;=0,"",IFERROR(S67/R67-1,"")))</f>
        <v/>
      </c>
      <c r="T68" s="15">
        <f>IF(OR(T67="",S67=""),"",IF(S67&lt;=0,"",IFERROR(T67/S67-1,"")))</f>
        <v/>
      </c>
      <c r="U68" s="15">
        <f>IF(OR(U67="",T67=""),"",IF(T67&lt;=0,"",IFERROR(U67/T67-1,"")))</f>
        <v/>
      </c>
      <c r="V68" s="15">
        <f>IF(OR(V67="",U67=""),"",IF(U67&lt;=0,"",IFERROR(V67/U67-1,"")))</f>
        <v/>
      </c>
      <c r="W68" s="15">
        <f>IF(OR(W67="",V67=""),"",IF(V67&lt;=0,"",IFERROR(W67/V67-1,"")))</f>
        <v/>
      </c>
      <c r="X68" s="15">
        <f>IF(OR(X67="",W67=""),"",IF(W67&lt;=0,"",IFERROR(X67/W67-1,"")))</f>
        <v/>
      </c>
      <c r="Y68" s="14">
        <f>IF(OR(Y67="",X67=""),"",IF(X67&lt;=0,"",IFERROR(Y67/X67-1,"")))</f>
        <v/>
      </c>
      <c r="Z68" s="15">
        <f>IF(OR(Z67="",Y67=""),"",IF(Y67&lt;=0,"",IFERROR(Z67/Y67-1,"")))</f>
        <v/>
      </c>
      <c r="AA68" s="15">
        <f>IF(OR(AA67="",Z67=""),"",IF(Z67&lt;=0,"",IFERROR(AA67/Z67-1,"")))</f>
        <v/>
      </c>
      <c r="AB68" s="15">
        <f>IF(OR(AB67="",AA67=""),"",IF(AA67&lt;=0,"",IFERROR(AB67/AA67-1,"")))</f>
        <v/>
      </c>
      <c r="AC68" s="15">
        <f>IF(OR(AC67="",AB67=""),"",IF(AB67&lt;=0,"",IFERROR(AC67/AB67-1,"")))</f>
        <v/>
      </c>
    </row>
    <row r="69">
      <c r="A69" s="18" t="inlineStr">
        <is>
          <t>법인세비용(수익)</t>
        </is>
      </c>
      <c r="B69" s="10" t="n"/>
      <c r="C69" s="19" t="n">
        <v>28240</v>
      </c>
      <c r="D69" s="20" t="n">
        <v>5190</v>
      </c>
      <c r="E69" s="20" t="n">
        <v>28474</v>
      </c>
      <c r="F69" s="20" t="n">
        <v>23536</v>
      </c>
      <c r="G69" s="20" t="n">
        <v>34878</v>
      </c>
      <c r="H69" s="20" t="n">
        <v>15005</v>
      </c>
      <c r="I69" s="20" t="n">
        <v>13892</v>
      </c>
      <c r="J69" s="20" t="n">
        <v>11503</v>
      </c>
      <c r="K69" s="20" t="n">
        <v>12914</v>
      </c>
      <c r="L69" s="20" t="n">
        <v>15825</v>
      </c>
      <c r="M69" s="20" t="n">
        <v>49457</v>
      </c>
      <c r="N69" s="20" t="n">
        <v>37399</v>
      </c>
      <c r="O69" s="19" t="n"/>
      <c r="P69" s="20" t="n">
        <v>126563</v>
      </c>
      <c r="Q69" s="20" t="n">
        <v>113719</v>
      </c>
      <c r="R69" s="20" t="n">
        <v>51012</v>
      </c>
      <c r="S69" s="20" t="n">
        <v>76926</v>
      </c>
      <c r="T69" s="20" t="n">
        <v>94957</v>
      </c>
      <c r="U69" s="20" t="n">
        <v>35853</v>
      </c>
      <c r="V69" s="20" t="n">
        <v>-40204</v>
      </c>
      <c r="W69" s="20" t="n">
        <v>101893</v>
      </c>
      <c r="X69" s="20" t="n">
        <v>54134</v>
      </c>
      <c r="Y69" s="19">
        <f>IF(OR(Y67="",Y70=""),"",IFERROR(MAX(Y67,0)*Y70,""))</f>
        <v/>
      </c>
      <c r="Z69" s="20">
        <f>IF(OR(Z67="",Z70=""),"",IFERROR(MAX(Z67,0)*Z70,""))</f>
        <v/>
      </c>
      <c r="AA69" s="20">
        <f>IF(OR(AA67="",AA70=""),"",IFERROR(MAX(AA67,0)*AA70,""))</f>
        <v/>
      </c>
      <c r="AB69" s="20">
        <f>IF(OR(AB67="",AB70=""),"",IFERROR(MAX(AB67,0)*AB70,""))</f>
        <v/>
      </c>
      <c r="AC69" s="20">
        <f>IF(OR(AC67="",AC70=""),"",IFERROR(MAX(AC67,0)*AC70,""))</f>
        <v/>
      </c>
    </row>
    <row r="70">
      <c r="A70" s="13" t="inlineStr">
        <is>
          <t>법인세율</t>
        </is>
      </c>
      <c r="B70" s="10" t="inlineStr">
        <is>
          <t>MW 기본 30%</t>
        </is>
      </c>
      <c r="C70" s="14">
        <f>IF(OR(C69="",C67=""),"",IFERROR(C69/C67,""))</f>
        <v/>
      </c>
      <c r="D70" s="15">
        <f>IF(OR(D69="",D67=""),"",IFERROR(D69/D67,""))</f>
        <v/>
      </c>
      <c r="E70" s="15">
        <f>IF(OR(E69="",E67=""),"",IFERROR(E69/E67,""))</f>
        <v/>
      </c>
      <c r="F70" s="15">
        <f>IF(OR(F69="",F67=""),"",IFERROR(F69/F67,""))</f>
        <v/>
      </c>
      <c r="G70" s="15">
        <f>IF(OR(G69="",G67=""),"",IFERROR(G69/G67,""))</f>
        <v/>
      </c>
      <c r="H70" s="15">
        <f>IF(OR(H69="",H67=""),"",IFERROR(H69/H67,""))</f>
        <v/>
      </c>
      <c r="I70" s="15">
        <f>IF(OR(I69="",I67=""),"",IFERROR(I69/I67,""))</f>
        <v/>
      </c>
      <c r="J70" s="15">
        <f>IF(OR(J69="",J67=""),"",IFERROR(J69/J67,""))</f>
        <v/>
      </c>
      <c r="K70" s="15">
        <f>IF(OR(K69="",K67=""),"",IFERROR(K69/K67,""))</f>
        <v/>
      </c>
      <c r="L70" s="15">
        <f>IF(OR(L69="",L67=""),"",IFERROR(L69/L67,""))</f>
        <v/>
      </c>
      <c r="M70" s="15">
        <f>IF(OR(M69="",M67=""),"",IFERROR(M69/M67,""))</f>
        <v/>
      </c>
      <c r="N70" s="15">
        <f>IF(OR(N69="",N67=""),"",IFERROR(N69/N67,""))</f>
        <v/>
      </c>
      <c r="O70" s="14">
        <f>IF(OR(O69="",O67=""),"",IFERROR(O69/O67,""))</f>
        <v/>
      </c>
      <c r="P70" s="15">
        <f>IF(OR(P69="",P67=""),"",IFERROR(P69/P67,""))</f>
        <v/>
      </c>
      <c r="Q70" s="15">
        <f>IF(OR(Q69="",Q67=""),"",IFERROR(Q69/Q67,""))</f>
        <v/>
      </c>
      <c r="R70" s="15">
        <f>IF(OR(R69="",R67=""),"",IFERROR(R69/R67,""))</f>
        <v/>
      </c>
      <c r="S70" s="15">
        <f>IF(OR(S69="",S67=""),"",IFERROR(S69/S67,""))</f>
        <v/>
      </c>
      <c r="T70" s="15">
        <f>IF(OR(T69="",T67=""),"",IFERROR(T69/T67,""))</f>
        <v/>
      </c>
      <c r="U70" s="15">
        <f>IF(OR(U69="",U67=""),"",IFERROR(U69/U67,""))</f>
        <v/>
      </c>
      <c r="V70" s="15">
        <f>IF(OR(V69="",V67=""),"",IFERROR(V69/V67,""))</f>
        <v/>
      </c>
      <c r="W70" s="15">
        <f>IF(OR(W69="",W67=""),"",IFERROR(W69/W67,""))</f>
        <v/>
      </c>
      <c r="X70" s="15">
        <f>IF(OR(X69="",X67=""),"",IFERROR(X69/X67,""))</f>
        <v/>
      </c>
      <c r="Y70" s="25" t="n">
        <v>0.3</v>
      </c>
      <c r="Z70" s="26" t="n">
        <v>0.3</v>
      </c>
      <c r="AA70" s="26" t="n">
        <v>0.3</v>
      </c>
      <c r="AB70" s="26" t="n">
        <v>0.3</v>
      </c>
      <c r="AC70" s="26" t="n">
        <v>0.3</v>
      </c>
    </row>
    <row r="71">
      <c r="A71" s="9" t="inlineStr">
        <is>
          <t>당기순이익(손실)</t>
        </is>
      </c>
      <c r="B71" s="10" t="n"/>
      <c r="C71" s="11" t="n">
        <v>116213</v>
      </c>
      <c r="D71" s="12" t="n">
        <v>51265</v>
      </c>
      <c r="E71" s="12" t="n">
        <v>76239</v>
      </c>
      <c r="F71" s="12" t="n">
        <v>122710</v>
      </c>
      <c r="G71" s="12" t="n">
        <v>109824</v>
      </c>
      <c r="H71" s="12" t="n">
        <v>75623</v>
      </c>
      <c r="I71" s="12" t="n">
        <v>77085</v>
      </c>
      <c r="J71" s="12" t="n">
        <v>75380</v>
      </c>
      <c r="K71" s="12" t="n">
        <v>-13549</v>
      </c>
      <c r="L71" s="12" t="n">
        <v>70059</v>
      </c>
      <c r="M71" s="12" t="n">
        <v>139490</v>
      </c>
      <c r="N71" s="12" t="n">
        <v>146633</v>
      </c>
      <c r="O71" s="11" t="n"/>
      <c r="P71" s="12" t="n">
        <v>252027</v>
      </c>
      <c r="Q71" s="12" t="n">
        <v>302737</v>
      </c>
      <c r="R71" s="12" t="n">
        <v>240038</v>
      </c>
      <c r="S71" s="12" t="n">
        <v>183894</v>
      </c>
      <c r="T71" s="12" t="n">
        <v>265438</v>
      </c>
      <c r="U71" s="12" t="n">
        <v>280556</v>
      </c>
      <c r="V71" s="12" t="n">
        <v>465443</v>
      </c>
      <c r="W71" s="12" t="n">
        <v>384396</v>
      </c>
      <c r="X71" s="12" t="n">
        <v>208975</v>
      </c>
      <c r="Y71" s="11">
        <f>IF(OR(Y67=""),"",IFERROR(Y67-Y69,""))</f>
        <v/>
      </c>
      <c r="Z71" s="12">
        <f>IF(OR(Z67=""),"",IFERROR(Z67-Z69,""))</f>
        <v/>
      </c>
      <c r="AA71" s="12">
        <f>IF(OR(AA67=""),"",IFERROR(AA67-AA69,""))</f>
        <v/>
      </c>
      <c r="AB71" s="12">
        <f>IF(OR(AB67=""),"",IFERROR(AB67-AB69,""))</f>
        <v/>
      </c>
      <c r="AC71" s="12">
        <f>IF(OR(AC67=""),"",IFERROR(AC67-AC69,""))</f>
        <v/>
      </c>
    </row>
    <row r="72">
      <c r="A72" s="13" t="inlineStr">
        <is>
          <t>YoY</t>
        </is>
      </c>
      <c r="B72" s="10" t="n"/>
      <c r="C72" s="14" t="n"/>
      <c r="D72" s="15" t="n"/>
      <c r="E72" s="15" t="n"/>
      <c r="F72" s="15" t="n"/>
      <c r="G72" s="15">
        <f>IF(OR(G71="",C71=""),"",IF(C71&lt;=0,"",IFERROR(G71/C71-1,"")))</f>
        <v/>
      </c>
      <c r="H72" s="15">
        <f>IF(OR(H71="",D71=""),"",IF(D71&lt;=0,"",IFERROR(H71/D71-1,"")))</f>
        <v/>
      </c>
      <c r="I72" s="15">
        <f>IF(OR(I71="",E71=""),"",IF(E71&lt;=0,"",IFERROR(I71/E71-1,"")))</f>
        <v/>
      </c>
      <c r="J72" s="15">
        <f>IF(OR(J71="",F71=""),"",IF(F71&lt;=0,"",IFERROR(J71/F71-1,"")))</f>
        <v/>
      </c>
      <c r="K72" s="15">
        <f>IF(OR(K71="",G71=""),"",IF(G71&lt;=0,"",IFERROR(K71/G71-1,"")))</f>
        <v/>
      </c>
      <c r="L72" s="15">
        <f>IF(OR(L71="",H71=""),"",IF(H71&lt;=0,"",IFERROR(L71/H71-1,"")))</f>
        <v/>
      </c>
      <c r="M72" s="15">
        <f>IF(OR(M71="",I71=""),"",IF(I71&lt;=0,"",IFERROR(M71/I71-1,"")))</f>
        <v/>
      </c>
      <c r="N72" s="15">
        <f>IF(OR(N71="",J71=""),"",IF(J71&lt;=0,"",IFERROR(N71/J71-1,"")))</f>
        <v/>
      </c>
      <c r="O72" s="14" t="n"/>
      <c r="P72" s="15">
        <f>IF(OR(P71="",O71=""),"",IF(O71&lt;=0,"",IFERROR(P71/O71-1,"")))</f>
        <v/>
      </c>
      <c r="Q72" s="15">
        <f>IF(OR(Q71="",P71=""),"",IF(P71&lt;=0,"",IFERROR(Q71/P71-1,"")))</f>
        <v/>
      </c>
      <c r="R72" s="15">
        <f>IF(OR(R71="",Q71=""),"",IF(Q71&lt;=0,"",IFERROR(R71/Q71-1,"")))</f>
        <v/>
      </c>
      <c r="S72" s="15">
        <f>IF(OR(S71="",R71=""),"",IF(R71&lt;=0,"",IFERROR(S71/R71-1,"")))</f>
        <v/>
      </c>
      <c r="T72" s="15">
        <f>IF(OR(T71="",S71=""),"",IF(S71&lt;=0,"",IFERROR(T71/S71-1,"")))</f>
        <v/>
      </c>
      <c r="U72" s="15">
        <f>IF(OR(U71="",T71=""),"",IF(T71&lt;=0,"",IFERROR(U71/T71-1,"")))</f>
        <v/>
      </c>
      <c r="V72" s="15">
        <f>IF(OR(V71="",U71=""),"",IF(U71&lt;=0,"",IFERROR(V71/U71-1,"")))</f>
        <v/>
      </c>
      <c r="W72" s="15">
        <f>IF(OR(W71="",V71=""),"",IF(V71&lt;=0,"",IFERROR(W71/V71-1,"")))</f>
        <v/>
      </c>
      <c r="X72" s="15">
        <f>IF(OR(X71="",W71=""),"",IF(W71&lt;=0,"",IFERROR(X71/W71-1,"")))</f>
        <v/>
      </c>
      <c r="Y72" s="14">
        <f>IF(OR(Y71="",X71=""),"",IF(X71&lt;=0,"",IFERROR(Y71/X71-1,"")))</f>
        <v/>
      </c>
      <c r="Z72" s="15">
        <f>IF(OR(Z71="",Y71=""),"",IF(Y71&lt;=0,"",IFERROR(Z71/Y71-1,"")))</f>
        <v/>
      </c>
      <c r="AA72" s="15">
        <f>IF(OR(AA71="",Z71=""),"",IF(Z71&lt;=0,"",IFERROR(AA71/Z71-1,"")))</f>
        <v/>
      </c>
      <c r="AB72" s="15">
        <f>IF(OR(AB71="",AA71=""),"",IF(AA71&lt;=0,"",IFERROR(AB71/AA71-1,"")))</f>
        <v/>
      </c>
      <c r="AC72" s="15">
        <f>IF(OR(AC71="",AB71=""),"",IF(AB71&lt;=0,"",IFERROR(AC71/AB71-1,"")))</f>
        <v/>
      </c>
    </row>
    <row r="73">
      <c r="A73" s="9" t="inlineStr">
        <is>
          <t>지배주주 순이익</t>
        </is>
      </c>
      <c r="B73" s="10" t="n"/>
      <c r="C73" s="11" t="n">
        <v>110799</v>
      </c>
      <c r="D73" s="12" t="n">
        <v>44816</v>
      </c>
      <c r="E73" s="12" t="n">
        <v>70633</v>
      </c>
      <c r="F73" s="12" t="n">
        <v>118276</v>
      </c>
      <c r="G73" s="12" t="n">
        <v>99497</v>
      </c>
      <c r="H73" s="12" t="n">
        <v>77799</v>
      </c>
      <c r="I73" s="12" t="n">
        <v>71463</v>
      </c>
      <c r="J73" s="12" t="n">
        <v>70941</v>
      </c>
      <c r="K73" s="12" t="n">
        <v>-17107</v>
      </c>
      <c r="L73" s="12" t="n">
        <v>64243</v>
      </c>
      <c r="M73" s="12" t="n">
        <v>135173</v>
      </c>
      <c r="N73" s="12" t="n">
        <v>141780</v>
      </c>
      <c r="O73" s="11" t="n"/>
      <c r="P73" s="12" t="n">
        <v>236040</v>
      </c>
      <c r="Q73" s="12" t="n">
        <v>284149</v>
      </c>
      <c r="R73" s="12" t="n">
        <v>225707</v>
      </c>
      <c r="S73" s="12" t="n">
        <v>165077</v>
      </c>
      <c r="T73" s="12" t="n">
        <v>255334</v>
      </c>
      <c r="U73" s="12" t="n">
        <v>265502</v>
      </c>
      <c r="V73" s="12" t="n">
        <v>443994</v>
      </c>
      <c r="W73" s="12" t="n">
        <v>366205</v>
      </c>
      <c r="X73" s="12" t="n">
        <v>189540</v>
      </c>
      <c r="Y73" s="11">
        <f>IF(OR(Y71="",Y74=""),"",IFERROR(Y71*Y74,""))</f>
        <v/>
      </c>
      <c r="Z73" s="12">
        <f>IF(OR(Z71="",Z74=""),"",IFERROR(Z71*Z74,""))</f>
        <v/>
      </c>
      <c r="AA73" s="12">
        <f>IF(OR(AA71="",AA74=""),"",IFERROR(AA71*AA74,""))</f>
        <v/>
      </c>
      <c r="AB73" s="12">
        <f>IF(OR(AB71="",AB74=""),"",IFERROR(AB71*AB74,""))</f>
        <v/>
      </c>
      <c r="AC73" s="12">
        <f>IF(OR(AC71="",AC74=""),"",IFERROR(AC71*AC74,""))</f>
        <v/>
      </c>
    </row>
    <row r="74">
      <c r="A74" s="13" t="inlineStr">
        <is>
          <t>지배주주 순이익률</t>
        </is>
      </c>
      <c r="B74" s="10" t="inlineStr">
        <is>
          <t>MW 기본 100%</t>
        </is>
      </c>
      <c r="C74" s="14">
        <f>IF(OR(C73="",C71=""),"",IFERROR(C73/C71,""))</f>
        <v/>
      </c>
      <c r="D74" s="15">
        <f>IF(OR(D73="",D71=""),"",IFERROR(D73/D71,""))</f>
        <v/>
      </c>
      <c r="E74" s="15">
        <f>IF(OR(E73="",E71=""),"",IFERROR(E73/E71,""))</f>
        <v/>
      </c>
      <c r="F74" s="15">
        <f>IF(OR(F73="",F71=""),"",IFERROR(F73/F71,""))</f>
        <v/>
      </c>
      <c r="G74" s="15">
        <f>IF(OR(G73="",G71=""),"",IFERROR(G73/G71,""))</f>
        <v/>
      </c>
      <c r="H74" s="15">
        <f>IF(OR(H73="",H71=""),"",IFERROR(H73/H71,""))</f>
        <v/>
      </c>
      <c r="I74" s="15">
        <f>IF(OR(I73="",I71=""),"",IFERROR(I73/I71,""))</f>
        <v/>
      </c>
      <c r="J74" s="15">
        <f>IF(OR(J73="",J71=""),"",IFERROR(J73/J71,""))</f>
        <v/>
      </c>
      <c r="K74" s="15">
        <f>IF(OR(K73="",K71=""),"",IFERROR(K73/K71,""))</f>
        <v/>
      </c>
      <c r="L74" s="15">
        <f>IF(OR(L73="",L71=""),"",IFERROR(L73/L71,""))</f>
        <v/>
      </c>
      <c r="M74" s="15">
        <f>IF(OR(M73="",M71=""),"",IFERROR(M73/M71,""))</f>
        <v/>
      </c>
      <c r="N74" s="15">
        <f>IF(OR(N73="",N71=""),"",IFERROR(N73/N71,""))</f>
        <v/>
      </c>
      <c r="O74" s="14">
        <f>IF(OR(O73="",O71=""),"",IFERROR(O73/O71,""))</f>
        <v/>
      </c>
      <c r="P74" s="15">
        <f>IF(OR(P73="",P71=""),"",IFERROR(P73/P71,""))</f>
        <v/>
      </c>
      <c r="Q74" s="15">
        <f>IF(OR(Q73="",Q71=""),"",IFERROR(Q73/Q71,""))</f>
        <v/>
      </c>
      <c r="R74" s="15">
        <f>IF(OR(R73="",R71=""),"",IFERROR(R73/R71,""))</f>
        <v/>
      </c>
      <c r="S74" s="15">
        <f>IF(OR(S73="",S71=""),"",IFERROR(S73/S71,""))</f>
        <v/>
      </c>
      <c r="T74" s="15">
        <f>IF(OR(T73="",T71=""),"",IFERROR(T73/T71,""))</f>
        <v/>
      </c>
      <c r="U74" s="15">
        <f>IF(OR(U73="",U71=""),"",IFERROR(U73/U71,""))</f>
        <v/>
      </c>
      <c r="V74" s="15">
        <f>IF(OR(V73="",V71=""),"",IFERROR(V73/V71,""))</f>
        <v/>
      </c>
      <c r="W74" s="15">
        <f>IF(OR(W73="",W71=""),"",IFERROR(W73/W71,""))</f>
        <v/>
      </c>
      <c r="X74" s="15">
        <f>IF(OR(X73="",X71=""),"",IFERROR(X73/X71,""))</f>
        <v/>
      </c>
      <c r="Y74" s="25" t="n">
        <v>1</v>
      </c>
      <c r="Z74" s="26" t="n">
        <v>1</v>
      </c>
      <c r="AA74" s="26" t="n">
        <v>1</v>
      </c>
      <c r="AB74" s="26" t="n">
        <v>1</v>
      </c>
      <c r="AC74" s="26" t="n">
        <v>1</v>
      </c>
    </row>
    <row r="75">
      <c r="A75" s="13" t="inlineStr">
        <is>
          <t>지배주주 순이익 YoY</t>
        </is>
      </c>
      <c r="B75" s="10" t="n"/>
      <c r="C75" s="14" t="n"/>
      <c r="D75" s="15" t="n"/>
      <c r="E75" s="15" t="n"/>
      <c r="F75" s="15" t="n"/>
      <c r="G75" s="15">
        <f>IF(OR(G73="",C73=""),"",IF(C73&lt;=0,"",IFERROR(G73/C73-1,"")))</f>
        <v/>
      </c>
      <c r="H75" s="15">
        <f>IF(OR(H73="",D73=""),"",IF(D73&lt;=0,"",IFERROR(H73/D73-1,"")))</f>
        <v/>
      </c>
      <c r="I75" s="15">
        <f>IF(OR(I73="",E73=""),"",IF(E73&lt;=0,"",IFERROR(I73/E73-1,"")))</f>
        <v/>
      </c>
      <c r="J75" s="15">
        <f>IF(OR(J73="",F73=""),"",IF(F73&lt;=0,"",IFERROR(J73/F73-1,"")))</f>
        <v/>
      </c>
      <c r="K75" s="15">
        <f>IF(OR(K73="",G73=""),"",IF(G73&lt;=0,"",IFERROR(K73/G73-1,"")))</f>
        <v/>
      </c>
      <c r="L75" s="15">
        <f>IF(OR(L73="",H73=""),"",IF(H73&lt;=0,"",IFERROR(L73/H73-1,"")))</f>
        <v/>
      </c>
      <c r="M75" s="15">
        <f>IF(OR(M73="",I73=""),"",IF(I73&lt;=0,"",IFERROR(M73/I73-1,"")))</f>
        <v/>
      </c>
      <c r="N75" s="15">
        <f>IF(OR(N73="",J73=""),"",IF(J73&lt;=0,"",IFERROR(N73/J73-1,"")))</f>
        <v/>
      </c>
      <c r="O75" s="14" t="n"/>
      <c r="P75" s="15">
        <f>IF(OR(P73="",O73=""),"",IF(O73&lt;=0,"",IFERROR(P73/O73-1,"")))</f>
        <v/>
      </c>
      <c r="Q75" s="15">
        <f>IF(OR(Q73="",P73=""),"",IF(P73&lt;=0,"",IFERROR(Q73/P73-1,"")))</f>
        <v/>
      </c>
      <c r="R75" s="15">
        <f>IF(OR(R73="",Q73=""),"",IF(Q73&lt;=0,"",IFERROR(R73/Q73-1,"")))</f>
        <v/>
      </c>
      <c r="S75" s="15">
        <f>IF(OR(S73="",R73=""),"",IF(R73&lt;=0,"",IFERROR(S73/R73-1,"")))</f>
        <v/>
      </c>
      <c r="T75" s="15">
        <f>IF(OR(T73="",S73=""),"",IF(S73&lt;=0,"",IFERROR(T73/S73-1,"")))</f>
        <v/>
      </c>
      <c r="U75" s="15">
        <f>IF(OR(U73="",T73=""),"",IF(T73&lt;=0,"",IFERROR(U73/T73-1,"")))</f>
        <v/>
      </c>
      <c r="V75" s="15">
        <f>IF(OR(V73="",U73=""),"",IF(U73&lt;=0,"",IFERROR(V73/U73-1,"")))</f>
        <v/>
      </c>
      <c r="W75" s="15">
        <f>IF(OR(W73="",V73=""),"",IF(V73&lt;=0,"",IFERROR(W73/V73-1,"")))</f>
        <v/>
      </c>
      <c r="X75" s="15">
        <f>IF(OR(X73="",W73=""),"",IF(W73&lt;=0,"",IFERROR(X73/W73-1,"")))</f>
        <v/>
      </c>
      <c r="Y75" s="14">
        <f>IF(OR(Y73="",X73=""),"",IF(X73&lt;=0,"",IFERROR(Y73/X73-1,"")))</f>
        <v/>
      </c>
      <c r="Z75" s="15">
        <f>IF(OR(Z73="",Y73=""),"",IF(Y73&lt;=0,"",IFERROR(Z73/Y73-1,"")))</f>
        <v/>
      </c>
      <c r="AA75" s="15">
        <f>IF(OR(AA73="",Z73=""),"",IF(Z73&lt;=0,"",IFERROR(AA73/Z73-1,"")))</f>
        <v/>
      </c>
      <c r="AB75" s="15">
        <f>IF(OR(AB73="",AA73=""),"",IF(AA73&lt;=0,"",IFERROR(AB73/AA73-1,"")))</f>
        <v/>
      </c>
      <c r="AC75" s="15">
        <f>IF(OR(AC73="",AB73=""),"",IF(AB73&lt;=0,"",IFERROR(AC73/AB73-1,"")))</f>
        <v/>
      </c>
    </row>
    <row r="76">
      <c r="A76" s="16" t="inlineStr">
        <is>
          <t>목표주가 산출</t>
        </is>
      </c>
      <c r="B76" s="16" t="n"/>
      <c r="C76" s="17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7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7" t="n"/>
      <c r="Z76" s="16" t="n"/>
      <c r="AA76" s="16" t="n"/>
      <c r="AB76" s="16" t="n"/>
      <c r="AC76" s="16" t="n"/>
    </row>
    <row r="77">
      <c r="A77" s="18" t="inlineStr">
        <is>
          <t>현재 주가 ()</t>
        </is>
      </c>
      <c r="B77" s="27" t="n"/>
      <c r="C77" s="28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8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8" t="n"/>
      <c r="Z77" s="29" t="n"/>
      <c r="AA77" s="29" t="n"/>
      <c r="AB77" s="29" t="n"/>
      <c r="AC77" s="29" t="n"/>
    </row>
    <row r="78">
      <c r="A78" s="18" t="inlineStr">
        <is>
          <t>발행주식수 (보통주)</t>
        </is>
      </c>
      <c r="B78" s="27" t="n"/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8" t="n"/>
      <c r="Z78" s="29" t="n"/>
      <c r="AA78" s="29" t="n"/>
      <c r="AB78" s="29" t="n"/>
      <c r="AC78" s="29" t="n"/>
    </row>
    <row r="79">
      <c r="A79" s="18" t="inlineStr">
        <is>
          <t>시가총액 (백만엔)</t>
        </is>
      </c>
      <c r="B79" s="12">
        <f>IF(OR(B77="",B78=""),"",B77*B78/1000000.0)</f>
        <v/>
      </c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19" t="n"/>
      <c r="Z79" s="20" t="n"/>
      <c r="AA79" s="20" t="n"/>
      <c r="AB79" s="20" t="n"/>
      <c r="AC79" s="20" t="n"/>
    </row>
    <row r="80">
      <c r="A80" s="13" t="inlineStr">
        <is>
          <t>OPM</t>
        </is>
      </c>
      <c r="B80" s="10" t="n"/>
      <c r="C80" s="14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4">
        <f>IF(O44="","",O44)</f>
        <v/>
      </c>
      <c r="P80" s="15">
        <f>IF(P44="","",P44)</f>
        <v/>
      </c>
      <c r="Q80" s="15">
        <f>IF(Q44="","",Q44)</f>
        <v/>
      </c>
      <c r="R80" s="15">
        <f>IF(R44="","",R44)</f>
        <v/>
      </c>
      <c r="S80" s="15">
        <f>IF(S44="","",S44)</f>
        <v/>
      </c>
      <c r="T80" s="15">
        <f>IF(T44="","",T44)</f>
        <v/>
      </c>
      <c r="U80" s="15">
        <f>IF(U44="","",U44)</f>
        <v/>
      </c>
      <c r="V80" s="15">
        <f>IF(V44="","",V44)</f>
        <v/>
      </c>
      <c r="W80" s="15">
        <f>IF(W44="","",W44)</f>
        <v/>
      </c>
      <c r="X80" s="15">
        <f>IF(X44="","",X44)</f>
        <v/>
      </c>
      <c r="Y80" s="14">
        <f>IF(Y44="","",Y44)</f>
        <v/>
      </c>
      <c r="Z80" s="15">
        <f>IF(Z44="","",Z44)</f>
        <v/>
      </c>
      <c r="AA80" s="15">
        <f>IF(AA44="","",AA44)</f>
        <v/>
      </c>
      <c r="AB80" s="15">
        <f>IF(AB44="","",AB44)</f>
        <v/>
      </c>
      <c r="AC80" s="15">
        <f>IF(AC44="","",AC44)</f>
        <v/>
      </c>
    </row>
    <row r="81">
      <c r="A81" s="13" t="inlineStr">
        <is>
          <t>지배주주 순이익 증가율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>
        <f>IF(OR(P73="",O73=""),"",IFERROR(P73/O73-1,""))</f>
        <v/>
      </c>
      <c r="Q81" s="15">
        <f>IF(OR(Q73="",P73=""),"",IFERROR(Q73/P73-1,""))</f>
        <v/>
      </c>
      <c r="R81" s="15">
        <f>IF(OR(R73="",Q73=""),"",IFERROR(R73/Q73-1,""))</f>
        <v/>
      </c>
      <c r="S81" s="15">
        <f>IF(OR(S73="",R73=""),"",IFERROR(S73/R73-1,""))</f>
        <v/>
      </c>
      <c r="T81" s="15">
        <f>IF(OR(T73="",S73=""),"",IFERROR(T73/S73-1,""))</f>
        <v/>
      </c>
      <c r="U81" s="15">
        <f>IF(OR(U73="",T73=""),"",IFERROR(U73/T73-1,""))</f>
        <v/>
      </c>
      <c r="V81" s="15">
        <f>IF(OR(V73="",U73=""),"",IFERROR(V73/U73-1,""))</f>
        <v/>
      </c>
      <c r="W81" s="15">
        <f>IF(OR(W73="",V73=""),"",IFERROR(W73/V73-1,""))</f>
        <v/>
      </c>
      <c r="X81" s="15">
        <f>IF(OR(X73="",W73=""),"",IFERROR(X73/W73-1,""))</f>
        <v/>
      </c>
      <c r="Y81" s="14">
        <f>IF(OR(Y73="",X73=""),"",IFERROR(Y73/X73-1,""))</f>
        <v/>
      </c>
      <c r="Z81" s="15">
        <f>IF(OR(Z73="",Y73=""),"",IFERROR(Z73/Y73-1,""))</f>
        <v/>
      </c>
      <c r="AA81" s="15">
        <f>IF(OR(AA73="",Z73=""),"",IFERROR(AA73/Z73-1,""))</f>
        <v/>
      </c>
      <c r="AB81" s="15">
        <f>IF(OR(AB73="",AA73=""),"",IFERROR(AB73/AA73-1,""))</f>
        <v/>
      </c>
      <c r="AC81" s="15">
        <f>IF(OR(AC73="",AB73=""),"",IFERROR(AC73/AB73-1,""))</f>
        <v/>
      </c>
    </row>
    <row r="82">
      <c r="A82" s="18" t="inlineStr">
        <is>
          <t>P/E (현재 주가)</t>
        </is>
      </c>
      <c r="B82" s="10" t="inlineStr">
        <is>
          <t>시총 ÷ 지배순이익</t>
        </is>
      </c>
      <c r="C82" s="30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0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>
        <f>IF(OR($B$79="",X73=""),"",IFERROR($B$79/X73,""))</f>
        <v/>
      </c>
      <c r="Y82" s="30">
        <f>IF(OR($B$79="",Y73=""),"",IFERROR($B$79/Y73,""))</f>
        <v/>
      </c>
      <c r="Z82" s="31">
        <f>IF(OR($B$79="",Z73=""),"",IFERROR($B$79/Z73,""))</f>
        <v/>
      </c>
      <c r="AA82" s="31">
        <f>IF(OR($B$79="",AA73=""),"",IFERROR($B$79/AA73,""))</f>
        <v/>
      </c>
      <c r="AB82" s="31">
        <f>IF(OR($B$79="",AB73=""),"",IFERROR($B$79/AB73,""))</f>
        <v/>
      </c>
      <c r="AC82" s="31">
        <f>IF(OR($B$79="",AC73=""),"",IFERROR($B$79/AC73,""))</f>
        <v/>
      </c>
    </row>
    <row r="83">
      <c r="A83" s="18" t="inlineStr">
        <is>
          <t>Target P/E</t>
        </is>
      </c>
      <c r="B83" s="10" t="inlineStr">
        <is>
          <t>직접 입력</t>
        </is>
      </c>
      <c r="C83" s="30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0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2" t="n"/>
      <c r="Z83" s="33" t="n"/>
      <c r="AA83" s="33" t="n"/>
      <c r="AB83" s="33" t="n"/>
      <c r="AC83" s="33" t="n"/>
    </row>
    <row r="84">
      <c r="A84" s="18" t="inlineStr">
        <is>
          <t>EPS</t>
        </is>
      </c>
      <c r="B84" s="10" t="inlineStr">
        <is>
          <t>지배순이익 ÷ 주식수</t>
        </is>
      </c>
      <c r="C84" s="28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8">
        <f>IF(OR(O73="",$B$78=""),"",IFERROR(O73*1000000.0/$B$78,""))</f>
        <v/>
      </c>
      <c r="P84" s="29">
        <f>IF(OR(P73="",$B$78=""),"",IFERROR(P73*1000000.0/$B$78,""))</f>
        <v/>
      </c>
      <c r="Q84" s="29">
        <f>IF(OR(Q73="",$B$78=""),"",IFERROR(Q73*1000000.0/$B$78,""))</f>
        <v/>
      </c>
      <c r="R84" s="29">
        <f>IF(OR(R73="",$B$78=""),"",IFERROR(R73*1000000.0/$B$78,""))</f>
        <v/>
      </c>
      <c r="S84" s="29">
        <f>IF(OR(S73="",$B$78=""),"",IFERROR(S73*1000000.0/$B$78,""))</f>
        <v/>
      </c>
      <c r="T84" s="29">
        <f>IF(OR(T73="",$B$78=""),"",IFERROR(T73*1000000.0/$B$78,""))</f>
        <v/>
      </c>
      <c r="U84" s="29">
        <f>IF(OR(U73="",$B$78=""),"",IFERROR(U73*1000000.0/$B$78,""))</f>
        <v/>
      </c>
      <c r="V84" s="29">
        <f>IF(OR(V73="",$B$78=""),"",IFERROR(V73*1000000.0/$B$78,""))</f>
        <v/>
      </c>
      <c r="W84" s="29">
        <f>IF(OR(W73="",$B$78=""),"",IFERROR(W73*1000000.0/$B$78,""))</f>
        <v/>
      </c>
      <c r="X84" s="29">
        <f>IF(OR(X73="",$B$78=""),"",IFERROR(X73*1000000.0/$B$78,""))</f>
        <v/>
      </c>
      <c r="Y84" s="28">
        <f>IF(OR(Y73="",$B$78=""),"",IFERROR(Y73*1000000.0/$B$78,""))</f>
        <v/>
      </c>
      <c r="Z84" s="29">
        <f>IF(OR(Z73="",$B$78=""),"",IFERROR(Z73*1000000.0/$B$78,""))</f>
        <v/>
      </c>
      <c r="AA84" s="29">
        <f>IF(OR(AA73="",$B$78=""),"",IFERROR(AA73*1000000.0/$B$78,""))</f>
        <v/>
      </c>
      <c r="AB84" s="29">
        <f>IF(OR(AB73="",$B$78=""),"",IFERROR(AB73*1000000.0/$B$78,""))</f>
        <v/>
      </c>
      <c r="AC84" s="29">
        <f>IF(OR(AC73="",$B$78=""),"",IFERROR(AC73*1000000.0/$B$78,""))</f>
        <v/>
      </c>
    </row>
    <row r="85">
      <c r="A85" s="9" t="inlineStr">
        <is>
          <t>목표주가</t>
        </is>
      </c>
      <c r="B85" s="10" t="n"/>
      <c r="C85" s="34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34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34">
        <f>IF(OR(Y84="",Y83=""),"",IFERROR(Y84*Y83,""))</f>
        <v/>
      </c>
      <c r="Z85" s="27">
        <f>IF(OR(Z84="",Z83=""),"",IFERROR(Z84*Z83,""))</f>
        <v/>
      </c>
      <c r="AA85" s="27">
        <f>IF(OR(AA84="",AA83=""),"",IFERROR(AA84*AA83,""))</f>
        <v/>
      </c>
      <c r="AB85" s="27">
        <f>IF(OR(AB84="",AB83=""),"",IFERROR(AB84*AB83,""))</f>
        <v/>
      </c>
      <c r="AC85" s="27">
        <f>IF(OR(AC84="",AC83=""),"",IFERROR(AC84*AC83,""))</f>
        <v/>
      </c>
    </row>
    <row r="86">
      <c r="A86" s="18" t="inlineStr">
        <is>
          <t>상승여력</t>
        </is>
      </c>
      <c r="B86" s="10" t="n"/>
      <c r="C86" s="35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5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7">
        <f>IF(OR(Y85="",$B$77=""),"",IFERROR(Y85/$B$77-1,""))</f>
        <v/>
      </c>
      <c r="Z86" s="38">
        <f>IF(OR(Z85="",$B$77=""),"",IFERROR(Z85/$B$77-1,""))</f>
        <v/>
      </c>
      <c r="AA86" s="38">
        <f>IF(OR(AA85="",$B$77=""),"",IFERROR(AA85/$B$77-1,""))</f>
        <v/>
      </c>
      <c r="AB86" s="38">
        <f>IF(OR(AB85="",$B$77=""),"",IFERROR(AB85/$B$77-1,""))</f>
        <v/>
      </c>
      <c r="AC86" s="38">
        <f>IF(OR(AC85="",$B$77=""),"",IFERROR(AC85/$B$77-1,""))</f>
        <v/>
      </c>
    </row>
    <row r="87">
      <c r="A87" s="16" t="inlineStr">
        <is>
          <t>자산가치 산출</t>
        </is>
      </c>
      <c r="B87" s="16" t="inlineStr">
        <is>
          <t>최신 분기 BS</t>
        </is>
      </c>
      <c r="C87" s="17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7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7" t="n"/>
      <c r="Z87" s="16" t="n"/>
      <c r="AA87" s="16" t="n"/>
      <c r="AB87" s="16" t="n"/>
      <c r="AC87" s="16" t="n"/>
    </row>
    <row r="88">
      <c r="A88" s="18" t="inlineStr">
        <is>
          <t>현금및현금성자산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'재무상태표'!G6</f>
        <v/>
      </c>
      <c r="Y88" s="19">
        <f>'재무상태표'!G6</f>
        <v/>
      </c>
      <c r="Z88" s="20">
        <f>'재무상태표'!G6</f>
        <v/>
      </c>
      <c r="AA88" s="20">
        <f>'재무상태표'!G6</f>
        <v/>
      </c>
      <c r="AB88" s="20">
        <f>'재무상태표'!G6</f>
        <v/>
      </c>
      <c r="AC88" s="20">
        <f>'재무상태표'!G6</f>
        <v/>
      </c>
    </row>
    <row r="89">
      <c r="A89" s="18" t="inlineStr">
        <is>
          <t>단기금융상품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'재무상태표'!G7</f>
        <v/>
      </c>
      <c r="Y89" s="19">
        <f>'재무상태표'!G7</f>
        <v/>
      </c>
      <c r="Z89" s="20">
        <f>'재무상태표'!G7</f>
        <v/>
      </c>
      <c r="AA89" s="20">
        <f>'재무상태표'!G7</f>
        <v/>
      </c>
      <c r="AB89" s="20">
        <f>'재무상태표'!G7</f>
        <v/>
      </c>
      <c r="AC89" s="20">
        <f>'재무상태표'!G7</f>
        <v/>
      </c>
    </row>
    <row r="90">
      <c r="A90" s="18" t="inlineStr">
        <is>
          <t>투자부동산</t>
        </is>
      </c>
      <c r="B90" s="10" t="n"/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>
        <f>'재무상태표'!G14</f>
        <v/>
      </c>
      <c r="Y90" s="19">
        <f>'재무상태표'!G14</f>
        <v/>
      </c>
      <c r="Z90" s="20">
        <f>'재무상태표'!G14</f>
        <v/>
      </c>
      <c r="AA90" s="20">
        <f>'재무상태표'!G14</f>
        <v/>
      </c>
      <c r="AB90" s="20">
        <f>'재무상태표'!G14</f>
        <v/>
      </c>
      <c r="AC90" s="20">
        <f>'재무상태표'!G14</f>
        <v/>
      </c>
    </row>
    <row r="91">
      <c r="A91" s="18" t="inlineStr">
        <is>
          <t>지배자본</t>
        </is>
      </c>
      <c r="B91" s="10" t="n"/>
      <c r="C91" s="19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19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>
        <f>'재무상태표'!G31</f>
        <v/>
      </c>
      <c r="Y91" s="19">
        <f>'재무상태표'!G31</f>
        <v/>
      </c>
      <c r="Z91" s="20">
        <f>'재무상태표'!G31</f>
        <v/>
      </c>
      <c r="AA91" s="20">
        <f>'재무상태표'!G31</f>
        <v/>
      </c>
      <c r="AB91" s="20">
        <f>'재무상태표'!G31</f>
        <v/>
      </c>
      <c r="AC91" s="20">
        <f>'재무상태표'!G31</f>
        <v/>
      </c>
    </row>
    <row r="92">
      <c r="A92" s="18" t="inlineStr">
        <is>
          <t>부채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>
        <f>'재무상태표'!G27</f>
        <v/>
      </c>
      <c r="Y92" s="19">
        <f>'재무상태표'!G27</f>
        <v/>
      </c>
      <c r="Z92" s="20">
        <f>'재무상태표'!G27</f>
        <v/>
      </c>
      <c r="AA92" s="20">
        <f>'재무상태표'!G27</f>
        <v/>
      </c>
      <c r="AB92" s="20">
        <f>'재무상태표'!G27</f>
        <v/>
      </c>
      <c r="AC92" s="20">
        <f>'재무상태표'!G27</f>
        <v/>
      </c>
    </row>
    <row r="93">
      <c r="A93" s="13" t="inlineStr">
        <is>
          <t>부채비율</t>
        </is>
      </c>
      <c r="B93" s="10" t="n"/>
      <c r="C93" s="14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4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>
        <f>IF(OR(X92="",X91=""),"",IFERROR(X92/X91,""))</f>
        <v/>
      </c>
      <c r="Y93" s="14">
        <f>IF(OR(Y92="",Y91=""),"",IFERROR(Y92/Y91,""))</f>
        <v/>
      </c>
      <c r="Z93" s="15">
        <f>IF(OR(Z92="",Z91=""),"",IFERROR(Z92/Z91,""))</f>
        <v/>
      </c>
      <c r="AA93" s="15">
        <f>IF(OR(AA92="",AA91=""),"",IFERROR(AA92/AA91,""))</f>
        <v/>
      </c>
      <c r="AB93" s="15">
        <f>IF(OR(AB92="",AB91=""),"",IFERROR(AB92/AB91,""))</f>
        <v/>
      </c>
      <c r="AC93" s="15">
        <f>IF(OR(AC92="",AC91=""),"",IFERROR(AC92/AC91,""))</f>
        <v/>
      </c>
    </row>
    <row r="94">
      <c r="A94" s="9" t="inlineStr">
        <is>
          <t>자산가치</t>
        </is>
      </c>
      <c r="B94" s="10" t="inlineStr">
        <is>
          <t>현금+단기금융+투자부동산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>
        <f>SUM(X88,X89,X90)</f>
        <v/>
      </c>
      <c r="Y94" s="11">
        <f>SUM(Y88,Y89,Y90)</f>
        <v/>
      </c>
      <c r="Z94" s="12">
        <f>SUM(Z88,Z89,Z90)</f>
        <v/>
      </c>
      <c r="AA94" s="12">
        <f>SUM(AA88,AA89,AA90)</f>
        <v/>
      </c>
      <c r="AB94" s="12">
        <f>SUM(AB88,AB89,AB90)</f>
        <v/>
      </c>
      <c r="AC94" s="12">
        <f>SUM(AC88,AC89,AC90)</f>
        <v/>
      </c>
    </row>
    <row r="95">
      <c r="A95" s="16" t="inlineStr">
        <is>
          <t>기업가치 산출</t>
        </is>
      </c>
      <c r="B95" s="16" t="n"/>
      <c r="C95" s="17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7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7" t="n"/>
      <c r="Z95" s="16" t="n"/>
      <c r="AA95" s="16" t="n"/>
      <c r="AB95" s="16" t="n"/>
      <c r="AC95" s="16" t="n"/>
    </row>
    <row r="96">
      <c r="A96" s="18" t="inlineStr">
        <is>
          <t>목표 시가총액 (P/E)</t>
        </is>
      </c>
      <c r="B96" s="10" t="inlineStr">
        <is>
          <t>지배순이익 × Target P/E</t>
        </is>
      </c>
      <c r="C96" s="19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19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19">
        <f>IF(OR(Y73="",Y83=""),"",IFERROR(Y73*Y83,""))</f>
        <v/>
      </c>
      <c r="Z96" s="20">
        <f>IF(OR(Z73="",Z83=""),"",IFERROR(Z73*Z83,""))</f>
        <v/>
      </c>
      <c r="AA96" s="20">
        <f>IF(OR(AA73="",AA83=""),"",IFERROR(AA73*AA83,""))</f>
        <v/>
      </c>
      <c r="AB96" s="20">
        <f>IF(OR(AB73="",AB83=""),"",IFERROR(AB73*AB83,""))</f>
        <v/>
      </c>
      <c r="AC96" s="20">
        <f>IF(OR(AC73="",AC83=""),"",IFERROR(AC73*AC83,""))</f>
        <v/>
      </c>
    </row>
    <row r="97">
      <c r="A97" s="9" t="inlineStr">
        <is>
          <t>기업가치</t>
        </is>
      </c>
      <c r="B97" s="10" t="inlineStr">
        <is>
          <t>목표시총 + 자산가치</t>
        </is>
      </c>
      <c r="C97" s="1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1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1">
        <f>IF(OR(Y96=""),"",IFERROR(Y96+Y94,""))</f>
        <v/>
      </c>
      <c r="Z97" s="12">
        <f>IF(OR(Z96=""),"",IFERROR(Z96+Z94,""))</f>
        <v/>
      </c>
      <c r="AA97" s="12">
        <f>IF(OR(AA96=""),"",IFERROR(AA96+AA94,""))</f>
        <v/>
      </c>
      <c r="AB97" s="12">
        <f>IF(OR(AB96=""),"",IFERROR(AB96+AB94,""))</f>
        <v/>
      </c>
      <c r="AC97" s="12">
        <f>IF(OR(AC96=""),"",IFERROR(AC96+AC94,""))</f>
        <v/>
      </c>
    </row>
    <row r="98">
      <c r="A98" s="18" t="inlineStr">
        <is>
          <t>현재 시가총액</t>
        </is>
      </c>
      <c r="B98" s="10" t="n"/>
      <c r="C98" s="19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19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19">
        <f>$B$79</f>
        <v/>
      </c>
      <c r="Z98" s="20">
        <f>$B$79</f>
        <v/>
      </c>
      <c r="AA98" s="20">
        <f>$B$79</f>
        <v/>
      </c>
      <c r="AB98" s="20">
        <f>$B$79</f>
        <v/>
      </c>
      <c r="AC98" s="20">
        <f>$B$79</f>
        <v/>
      </c>
    </row>
    <row r="99">
      <c r="A99" s="18" t="inlineStr">
        <is>
          <t>상승여력</t>
        </is>
      </c>
      <c r="B99" s="10" t="n"/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5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7">
        <f>IF(OR(Y97="",Y98=""),"",IFERROR(Y97/Y98-1,""))</f>
        <v/>
      </c>
      <c r="Z99" s="38">
        <f>IF(OR(Z97="",Z98=""),"",IFERROR(Z97/Z98-1,""))</f>
        <v/>
      </c>
      <c r="AA99" s="38">
        <f>IF(OR(AA97="",AA98=""),"",IFERROR(AA97/AA98-1,""))</f>
        <v/>
      </c>
      <c r="AB99" s="38">
        <f>IF(OR(AB97="",AB98=""),"",IFERROR(AB97/AB98-1,""))</f>
        <v/>
      </c>
      <c r="AC99" s="38">
        <f>IF(OR(AC97="",AC98=""),"",IFERROR(AC97/AC98-1,""))</f>
        <v/>
      </c>
    </row>
    <row r="100">
      <c r="C100" s="39" t="n"/>
      <c r="O100" s="39" t="n"/>
      <c r="Y100" s="39" t="n"/>
    </row>
    <row r="101">
      <c r="A101" s="40" t="inlineStr">
        <is>
          <t>출처</t>
        </is>
      </c>
      <c r="C101" s="39" t="n"/>
      <c r="O101" s="39" t="n"/>
      <c r="Y101" s="39" t="n"/>
    </row>
    <row r="102">
      <c r="A102" s="41" t="inlineStr">
        <is>
          <t>결산단신 XBRL(TDnet·JPX 보관소) — 쓴 문서는 '출처' 시트</t>
        </is>
      </c>
      <c r="C102" s="39" t="n"/>
      <c r="O102" s="39" t="n"/>
      <c r="Y102" s="39" t="n"/>
    </row>
    <row r="103">
      <c r="A103" s="41" t="inlineStr">
        <is>
          <t>분기 = 누계에서 앞 분기를 뺀 3개월 값</t>
        </is>
      </c>
      <c r="C103" s="39" t="n"/>
      <c r="O103" s="39" t="n"/>
      <c r="Y103" s="39" t="n"/>
    </row>
    <row r="104">
      <c r="A104" s="41" t="inlineStr">
        <is>
          <t>주가: 야후 파이낸스 일봉</t>
        </is>
      </c>
      <c r="C104" s="39" t="n"/>
      <c r="O104" s="39" t="n"/>
      <c r="Y104" s="39" t="n"/>
    </row>
    <row r="106">
      <c r="A106" s="16" t="inlineStr">
        <is>
          <t>손익계산서 · 전 항목</t>
        </is>
      </c>
      <c r="B106" s="42" t="inlineStr">
        <is>
          <t>분기 = 3개월 단독</t>
        </is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</row>
    <row r="107">
      <c r="A107" s="5" t="inlineStr">
        <is>
          <t>항목</t>
        </is>
      </c>
      <c r="B107" s="5" t="inlineStr">
        <is>
          <t>참고</t>
        </is>
      </c>
      <c r="C107" s="5" t="inlineStr">
        <is>
          <t>2024.3Q</t>
        </is>
      </c>
      <c r="D107" s="5" t="inlineStr">
        <is>
          <t>2024.4Q</t>
        </is>
      </c>
      <c r="E107" s="5" t="inlineStr">
        <is>
          <t>2025.1Q</t>
        </is>
      </c>
      <c r="F107" s="5" t="inlineStr">
        <is>
          <t>2025.2Q</t>
        </is>
      </c>
      <c r="G107" s="5" t="inlineStr">
        <is>
          <t>2025.3Q</t>
        </is>
      </c>
      <c r="H107" s="5" t="inlineStr">
        <is>
          <t>2025.4Q</t>
        </is>
      </c>
      <c r="I107" s="5" t="inlineStr">
        <is>
          <t>2026.1Q</t>
        </is>
      </c>
      <c r="J107" s="5" t="inlineStr">
        <is>
          <t>2026.2Q</t>
        </is>
      </c>
      <c r="K107" s="5" t="inlineStr">
        <is>
          <t>2026.3Q</t>
        </is>
      </c>
      <c r="L107" s="5" t="inlineStr">
        <is>
          <t>2026.4Q</t>
        </is>
      </c>
      <c r="M107" s="5" t="inlineStr">
        <is>
          <t>2027.1Q</t>
        </is>
      </c>
      <c r="N107" s="5" t="inlineStr">
        <is>
          <t>2027.2Q</t>
        </is>
      </c>
      <c r="O107" s="5" t="inlineStr">
        <is>
          <t>2017</t>
        </is>
      </c>
      <c r="P107" s="5" t="inlineStr">
        <is>
          <t>2018</t>
        </is>
      </c>
      <c r="Q107" s="5" t="inlineStr">
        <is>
          <t>2019</t>
        </is>
      </c>
      <c r="R107" s="5" t="inlineStr">
        <is>
          <t>2020</t>
        </is>
      </c>
      <c r="S107" s="5" t="inlineStr">
        <is>
          <t>2021</t>
        </is>
      </c>
      <c r="T107" s="5" t="inlineStr">
        <is>
          <t>2022</t>
        </is>
      </c>
      <c r="U107" s="5" t="inlineStr">
        <is>
          <t>2023</t>
        </is>
      </c>
      <c r="V107" s="5" t="inlineStr">
        <is>
          <t>2024</t>
        </is>
      </c>
      <c r="W107" s="5" t="inlineStr">
        <is>
          <t>2025</t>
        </is>
      </c>
      <c r="X107" s="5" t="inlineStr">
        <is>
          <t>2026</t>
        </is>
      </c>
      <c r="Y107" s="5" t="inlineStr">
        <is>
          <t>2027(MW)</t>
        </is>
      </c>
      <c r="Z107" s="5" t="inlineStr">
        <is>
          <t>2028(MW)</t>
        </is>
      </c>
      <c r="AA107" s="5" t="inlineStr">
        <is>
          <t>2029(MW)</t>
        </is>
      </c>
      <c r="AB107" s="5" t="inlineStr">
        <is>
          <t>2030(MW)</t>
        </is>
      </c>
      <c r="AC107" s="5" t="inlineStr">
        <is>
          <t>2031(MW)</t>
        </is>
      </c>
    </row>
    <row r="108">
      <c r="A108" s="9" t="inlineStr">
        <is>
          <t>매출액</t>
        </is>
      </c>
      <c r="C108" s="12" t="n">
        <v>2180882</v>
      </c>
      <c r="D108" s="12" t="n">
        <v>2196114</v>
      </c>
      <c r="E108" s="12" t="n">
        <v>2121689</v>
      </c>
      <c r="F108" s="12" t="n">
        <v>2129621</v>
      </c>
      <c r="G108" s="12" t="n">
        <v>2152587</v>
      </c>
      <c r="H108" s="12" t="n">
        <v>2054288</v>
      </c>
      <c r="I108" s="12" t="n">
        <v>1896691</v>
      </c>
      <c r="J108" s="12" t="n">
        <v>1923785</v>
      </c>
      <c r="K108" s="12" t="n">
        <v>2063304</v>
      </c>
      <c r="L108" s="12" t="n">
        <v>2164942</v>
      </c>
      <c r="M108" s="12" t="n">
        <v>2018914</v>
      </c>
      <c r="N108" s="12" t="n">
        <v>2073606</v>
      </c>
      <c r="T108" s="12" t="n">
        <v>1965435</v>
      </c>
      <c r="U108" s="12" t="n">
        <v>2154421</v>
      </c>
      <c r="V108" s="12" t="n">
        <v>2196114</v>
      </c>
      <c r="W108" s="12" t="n">
        <v>2054288</v>
      </c>
      <c r="X108" s="12" t="n">
        <v>2164942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IF(OR(G108="",C108=""),"",IF(C108&lt;=0,"",IFERROR(G108/C108-1,"")))</f>
        <v/>
      </c>
      <c r="H109" s="15">
        <f>IF(OR(H108="",D108=""),"",IF(D108&lt;=0,"",IFERROR(H108/D108-1,"")))</f>
        <v/>
      </c>
      <c r="I109" s="15">
        <f>IF(OR(I108="",E108=""),"",IF(E108&lt;=0,"",IFERROR(I108/E108-1,"")))</f>
        <v/>
      </c>
      <c r="J109" s="15">
        <f>IF(OR(J108="",F108=""),"",IF(F108&lt;=0,"",IFERROR(J108/F108-1,"")))</f>
        <v/>
      </c>
      <c r="K109" s="15">
        <f>IF(OR(K108="",G108=""),"",IF(G108&lt;=0,"",IFERROR(K108/G108-1,"")))</f>
        <v/>
      </c>
      <c r="L109" s="15">
        <f>IF(OR(L108="",H108=""),"",IF(H108&lt;=0,"",IFERROR(L108/H108-1,"")))</f>
        <v/>
      </c>
      <c r="M109" s="15">
        <f>IF(OR(M108="",I108=""),"",IF(I108&lt;=0,"",IFERROR(M108/I108-1,"")))</f>
        <v/>
      </c>
      <c r="N109" s="15">
        <f>IF(OR(N108="",J108=""),"",IF(J108&lt;=0,"",IFERROR(N108/J108-1,"")))</f>
        <v/>
      </c>
      <c r="T109" s="15">
        <f>IF(OR(T108="",S108=""),"",IF(S108&lt;=0,"",IFERROR(T108/S108-1,"")))</f>
        <v/>
      </c>
      <c r="U109" s="15">
        <f>IF(OR(U108="",T108=""),"",IF(T108&lt;=0,"",IFERROR(U108/T108-1,"")))</f>
        <v/>
      </c>
      <c r="V109" s="15">
        <f>IF(OR(V108="",U108=""),"",IF(U108&lt;=0,"",IFERROR(V108/U108-1,"")))</f>
        <v/>
      </c>
      <c r="W109" s="15">
        <f>IF(OR(W108="",V108=""),"",IF(V108&lt;=0,"",IFERROR(W108/V108-1,"")))</f>
        <v/>
      </c>
      <c r="X109" s="15">
        <f>IF(OR(X108="",W108=""),"",IF(W108&lt;=0,"",IFERROR(X108/W108-1,"")))</f>
        <v/>
      </c>
    </row>
    <row r="110">
      <c r="A110" s="18" t="inlineStr">
        <is>
          <t>매출원가</t>
        </is>
      </c>
      <c r="C110" s="20" t="n">
        <v>1518727</v>
      </c>
      <c r="D110" s="20" t="n">
        <v>1558863</v>
      </c>
      <c r="E110" s="20" t="n">
        <v>1490525</v>
      </c>
      <c r="F110" s="20" t="n">
        <v>1480718</v>
      </c>
      <c r="G110" s="20" t="n">
        <v>1455751</v>
      </c>
      <c r="H110" s="20" t="n">
        <v>1402575</v>
      </c>
      <c r="I110" s="20" t="n">
        <v>1292940</v>
      </c>
      <c r="J110" s="20" t="n">
        <v>1337293</v>
      </c>
      <c r="K110" s="20" t="n">
        <v>1383069</v>
      </c>
      <c r="L110" s="20" t="n">
        <v>1508552</v>
      </c>
      <c r="M110" s="20" t="n">
        <v>1353015</v>
      </c>
      <c r="N110" s="20" t="n">
        <v>1398457</v>
      </c>
      <c r="T110" s="20" t="n">
        <v>1419864</v>
      </c>
      <c r="U110" s="20" t="n">
        <v>1550321</v>
      </c>
      <c r="V110" s="20" t="n">
        <v>1558863</v>
      </c>
      <c r="W110" s="20" t="n">
        <v>1402575</v>
      </c>
      <c r="X110" s="20" t="n">
        <v>1508552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9" t="inlineStr">
        <is>
          <t>매출총이익</t>
        </is>
      </c>
      <c r="C112" s="12" t="n">
        <v>662155</v>
      </c>
      <c r="D112" s="12" t="n">
        <v>637251</v>
      </c>
      <c r="E112" s="12" t="n">
        <v>631164</v>
      </c>
      <c r="F112" s="12" t="n">
        <v>648903</v>
      </c>
      <c r="G112" s="12" t="n">
        <v>696836</v>
      </c>
      <c r="H112" s="12" t="n">
        <v>651713</v>
      </c>
      <c r="I112" s="12" t="n">
        <v>603751</v>
      </c>
      <c r="J112" s="12" t="n">
        <v>586492</v>
      </c>
      <c r="K112" s="12" t="n">
        <v>680235</v>
      </c>
      <c r="L112" s="12" t="n">
        <v>656390</v>
      </c>
      <c r="M112" s="12" t="n">
        <v>665899</v>
      </c>
      <c r="N112" s="12" t="n">
        <v>675149</v>
      </c>
      <c r="T112" s="12" t="n">
        <v>545571</v>
      </c>
      <c r="U112" s="12" t="n">
        <v>604100</v>
      </c>
      <c r="V112" s="12" t="n">
        <v>637251</v>
      </c>
      <c r="W112" s="12" t="n">
        <v>651713</v>
      </c>
      <c r="X112" s="12" t="n">
        <v>656390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IF(OR(G112="",C112=""),"",IF(C112&lt;=0,"",IFERROR(G112/C112-1,"")))</f>
        <v/>
      </c>
      <c r="H113" s="15">
        <f>IF(OR(H112="",D112=""),"",IF(D112&lt;=0,"",IFERROR(H112/D112-1,"")))</f>
        <v/>
      </c>
      <c r="I113" s="15">
        <f>IF(OR(I112="",E112=""),"",IF(E112&lt;=0,"",IFERROR(I112/E112-1,"")))</f>
        <v/>
      </c>
      <c r="J113" s="15">
        <f>IF(OR(J112="",F112=""),"",IF(F112&lt;=0,"",IFERROR(J112/F112-1,"")))</f>
        <v/>
      </c>
      <c r="K113" s="15">
        <f>IF(OR(K112="",G112=""),"",IF(G112&lt;=0,"",IFERROR(K112/G112-1,"")))</f>
        <v/>
      </c>
      <c r="L113" s="15">
        <f>IF(OR(L112="",H112=""),"",IF(H112&lt;=0,"",IFERROR(L112/H112-1,"")))</f>
        <v/>
      </c>
      <c r="M113" s="15">
        <f>IF(OR(M112="",I112=""),"",IF(I112&lt;=0,"",IFERROR(M112/I112-1,"")))</f>
        <v/>
      </c>
      <c r="N113" s="15">
        <f>IF(OR(N112="",J112=""),"",IF(J112&lt;=0,"",IFERROR(N112/J112-1,"")))</f>
        <v/>
      </c>
      <c r="T113" s="15">
        <f>IF(OR(T112="",S112=""),"",IF(S112&lt;=0,"",IFERROR(T112/S112-1,"")))</f>
        <v/>
      </c>
      <c r="U113" s="15">
        <f>IF(OR(U112="",T112=""),"",IF(T112&lt;=0,"",IFERROR(U112/T112-1,"")))</f>
        <v/>
      </c>
      <c r="V113" s="15">
        <f>IF(OR(V112="",U112=""),"",IF(U112&lt;=0,"",IFERROR(V112/U112-1,"")))</f>
        <v/>
      </c>
      <c r="W113" s="15">
        <f>IF(OR(W112="",V112=""),"",IF(V112&lt;=0,"",IFERROR(W112/V112-1,"")))</f>
        <v/>
      </c>
      <c r="X113" s="15">
        <f>IF(OR(X112="",W112=""),"",IF(W112&lt;=0,"",IFERROR(X112/W112-1,"")))</f>
        <v/>
      </c>
    </row>
    <row r="114">
      <c r="A114" s="18" t="inlineStr">
        <is>
          <t>판매비와 관리비</t>
        </is>
      </c>
      <c r="C114" s="20" t="n">
        <v>536025</v>
      </c>
      <c r="D114" s="20" t="n">
        <v>565637</v>
      </c>
      <c r="E114" s="20" t="n">
        <v>546817</v>
      </c>
      <c r="F114" s="20" t="n">
        <v>526753</v>
      </c>
      <c r="G114" s="20" t="n">
        <v>546587</v>
      </c>
      <c r="H114" s="20" t="n">
        <v>541236</v>
      </c>
      <c r="I114" s="20" t="n">
        <v>512272</v>
      </c>
      <c r="J114" s="20" t="n">
        <v>496121</v>
      </c>
      <c r="K114" s="20" t="n">
        <v>521118</v>
      </c>
      <c r="L114" s="20" t="n">
        <v>549914</v>
      </c>
      <c r="M114" s="20" t="n">
        <v>479469</v>
      </c>
      <c r="N114" s="20" t="n">
        <v>462016</v>
      </c>
      <c r="T114" s="20" t="n">
        <v>475162</v>
      </c>
      <c r="U114" s="20" t="n">
        <v>521860</v>
      </c>
      <c r="V114" s="20" t="n">
        <v>565637</v>
      </c>
      <c r="W114" s="20" t="n">
        <v>541236</v>
      </c>
      <c r="X114" s="20" t="n">
        <v>549914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지분법 손익</t>
        </is>
      </c>
      <c r="C116" s="20" t="n">
        <v>-2041</v>
      </c>
      <c r="D116" s="20" t="n">
        <v>3694</v>
      </c>
      <c r="E116" s="20" t="n">
        <v>-3524</v>
      </c>
      <c r="F116" s="20" t="n">
        <v>8333</v>
      </c>
      <c r="G116" s="20" t="n">
        <v>9717</v>
      </c>
      <c r="H116" s="20" t="n">
        <v>5430</v>
      </c>
      <c r="I116" s="20" t="n">
        <v>-917</v>
      </c>
      <c r="J116" s="20" t="n">
        <v>6905</v>
      </c>
      <c r="K116" s="20" t="n">
        <v>9918</v>
      </c>
      <c r="L116" s="20" t="n">
        <v>10538</v>
      </c>
      <c r="M116" s="20" t="n">
        <v>-3088</v>
      </c>
      <c r="N116" s="20" t="n">
        <v>8234</v>
      </c>
      <c r="T116" s="20" t="n">
        <v>-923</v>
      </c>
      <c r="U116" s="20" t="n">
        <v>4573</v>
      </c>
      <c r="V116" s="20" t="n">
        <v>3694</v>
      </c>
      <c r="W116" s="20" t="n">
        <v>5430</v>
      </c>
      <c r="X116" s="20" t="n">
        <v>10538</v>
      </c>
    </row>
    <row r="117">
      <c r="A117" s="18" t="inlineStr">
        <is>
          <t>Other Income And Expenses Net</t>
        </is>
      </c>
      <c r="C117" s="20" t="n">
        <v>3333</v>
      </c>
      <c r="D117" s="20" t="n">
        <v>-34603</v>
      </c>
      <c r="E117" s="20" t="n">
        <v>2938</v>
      </c>
      <c r="F117" s="20" t="n">
        <v>1802</v>
      </c>
      <c r="G117" s="20" t="n">
        <v>-27704</v>
      </c>
      <c r="H117" s="20" t="n">
        <v>-37725</v>
      </c>
      <c r="I117" s="20" t="n">
        <v>-3659</v>
      </c>
      <c r="J117" s="20" t="n">
        <v>-19183</v>
      </c>
      <c r="K117" s="20" t="n">
        <v>-176252</v>
      </c>
      <c r="L117" s="20" t="n">
        <v>-38386</v>
      </c>
      <c r="M117" s="20" t="n">
        <v>-887</v>
      </c>
      <c r="N117" s="20" t="n">
        <v>-40593</v>
      </c>
      <c r="T117" s="20" t="n">
        <v>13889</v>
      </c>
      <c r="U117" s="20" t="n">
        <v>-32463</v>
      </c>
      <c r="V117" s="20" t="n">
        <v>-34603</v>
      </c>
      <c r="W117" s="20" t="n">
        <v>-37725</v>
      </c>
      <c r="X117" s="20" t="n">
        <v>-38386</v>
      </c>
    </row>
    <row r="118">
      <c r="A118" s="18" t="inlineStr">
        <is>
          <t>영업이익</t>
        </is>
      </c>
      <c r="C118" s="20" t="n">
        <v>127422</v>
      </c>
      <c r="D118" s="20" t="n">
        <v>40705</v>
      </c>
      <c r="E118" s="20" t="n">
        <v>83761</v>
      </c>
      <c r="F118" s="20" t="n">
        <v>132285</v>
      </c>
      <c r="G118" s="20" t="n">
        <v>132262</v>
      </c>
      <c r="H118" s="20" t="n">
        <v>78182</v>
      </c>
      <c r="I118" s="20" t="n">
        <v>86903</v>
      </c>
      <c r="J118" s="20" t="n">
        <v>78093</v>
      </c>
      <c r="K118" s="20" t="n">
        <v>-7217</v>
      </c>
      <c r="L118" s="20" t="n">
        <v>78628</v>
      </c>
      <c r="M118" s="20" t="n">
        <v>182455</v>
      </c>
      <c r="N118" s="20" t="n">
        <v>180774</v>
      </c>
      <c r="T118" s="20" t="n">
        <v>83375</v>
      </c>
      <c r="U118" s="20" t="n">
        <v>54350</v>
      </c>
      <c r="V118" s="20" t="n">
        <v>40705</v>
      </c>
      <c r="W118" s="20" t="n">
        <v>78182</v>
      </c>
      <c r="X118" s="20" t="n">
        <v>78628</v>
      </c>
    </row>
    <row r="119">
      <c r="A119" s="43" t="inlineStr">
        <is>
          <t>OPM</t>
        </is>
      </c>
      <c r="B119" s="3" t="inlineStr">
        <is>
          <t>영업이익 ÷ 매출</t>
        </is>
      </c>
      <c r="C119" s="15">
        <f>IF(OR(C118="",C108=""),"",IF(C108&lt;=0,"",IFERROR(C118/C108,"")))</f>
        <v/>
      </c>
      <c r="D119" s="15">
        <f>IF(OR(D118="",D108=""),"",IF(D108&lt;=0,"",IFERROR(D118/D108,"")))</f>
        <v/>
      </c>
      <c r="E119" s="15">
        <f>IF(OR(E118="",E108=""),"",IF(E108&lt;=0,"",IFERROR(E118/E108,"")))</f>
        <v/>
      </c>
      <c r="F119" s="15">
        <f>IF(OR(F118="",F108=""),"",IF(F108&lt;=0,"",IFERROR(F118/F108,"")))</f>
        <v/>
      </c>
      <c r="G119" s="15">
        <f>IF(OR(G118="",G108=""),"",IF(G108&lt;=0,"",IFERROR(G118/G108,"")))</f>
        <v/>
      </c>
      <c r="H119" s="15">
        <f>IF(OR(H118="",H108=""),"",IF(H108&lt;=0,"",IFERROR(H118/H108,"")))</f>
        <v/>
      </c>
      <c r="I119" s="15">
        <f>IF(OR(I118="",I108=""),"",IF(I108&lt;=0,"",IFERROR(I118/I108,"")))</f>
        <v/>
      </c>
      <c r="J119" s="15">
        <f>IF(OR(J118="",J108=""),"",IF(J108&lt;=0,"",IFERROR(J118/J108,"")))</f>
        <v/>
      </c>
      <c r="K119" s="15">
        <f>IF(OR(K118="",K108=""),"",IF(K108&lt;=0,"",IFERROR(K118/K108,"")))</f>
        <v/>
      </c>
      <c r="L119" s="15">
        <f>IF(OR(L118="",L108=""),"",IF(L108&lt;=0,"",IFERROR(L118/L108,"")))</f>
        <v/>
      </c>
      <c r="M119" s="15">
        <f>IF(OR(M118="",M108=""),"",IF(M108&lt;=0,"",IFERROR(M118/M108,"")))</f>
        <v/>
      </c>
      <c r="N119" s="15">
        <f>IF(OR(N118="",N108=""),"",IF(N108&lt;=0,"",IFERROR(N118/N108,"")))</f>
        <v/>
      </c>
      <c r="T119" s="15">
        <f>IF(OR(T118="",T108=""),"",IF(T108&lt;=0,"",IFERROR(T118/T108,"")))</f>
        <v/>
      </c>
      <c r="U119" s="15">
        <f>IF(OR(U118="",U108=""),"",IF(U108&lt;=0,"",IFERROR(U118/U108,"")))</f>
        <v/>
      </c>
      <c r="V119" s="15">
        <f>IF(OR(V118="",V108=""),"",IF(V108&lt;=0,"",IFERROR(V118/V108,"")))</f>
        <v/>
      </c>
      <c r="W119" s="15">
        <f>IF(OR(W118="",W108=""),"",IF(W108&lt;=0,"",IFERROR(W118/W108,"")))</f>
        <v/>
      </c>
      <c r="X119" s="15">
        <f>IF(OR(X118="",X108=""),"",IF(X108&lt;=0,"",IFERROR(X118/X108,"")))</f>
        <v/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IF(OR(G118="",C118=""),"",IF(C118&lt;=0,"",IFERROR(G118/C118-1,"")))</f>
        <v/>
      </c>
      <c r="H120" s="15">
        <f>IF(OR(H118="",D118=""),"",IF(D118&lt;=0,"",IFERROR(H118/D118-1,"")))</f>
        <v/>
      </c>
      <c r="I120" s="15">
        <f>IF(OR(I118="",E118=""),"",IF(E118&lt;=0,"",IFERROR(I118/E118-1,"")))</f>
        <v/>
      </c>
      <c r="J120" s="15">
        <f>IF(OR(J118="",F118=""),"",IF(F118&lt;=0,"",IFERROR(J118/F118-1,"")))</f>
        <v/>
      </c>
      <c r="K120" s="15">
        <f>IF(OR(K118="",G118=""),"",IF(G118&lt;=0,"",IFERROR(K118/G118-1,"")))</f>
        <v/>
      </c>
      <c r="L120" s="15">
        <f>IF(OR(L118="",H118=""),"",IF(H118&lt;=0,"",IFERROR(L118/H118-1,"")))</f>
        <v/>
      </c>
      <c r="M120" s="15">
        <f>IF(OR(M118="",I118=""),"",IF(I118&lt;=0,"",IFERROR(M118/I118-1,"")))</f>
        <v/>
      </c>
      <c r="N120" s="15">
        <f>IF(OR(N118="",J118=""),"",IF(J118&lt;=0,"",IFERROR(N118/J118-1,"")))</f>
        <v/>
      </c>
      <c r="T120" s="15">
        <f>IF(OR(T118="",S118=""),"",IF(S118&lt;=0,"",IFERROR(T118/S118-1,"")))</f>
        <v/>
      </c>
      <c r="U120" s="15">
        <f>IF(OR(U118="",T118=""),"",IF(T118&lt;=0,"",IFERROR(U118/T118-1,"")))</f>
        <v/>
      </c>
      <c r="V120" s="15">
        <f>IF(OR(V118="",U118=""),"",IF(U118&lt;=0,"",IFERROR(V118/U118-1,"")))</f>
        <v/>
      </c>
      <c r="W120" s="15">
        <f>IF(OR(W118="",V118=""),"",IF(V118&lt;=0,"",IFERROR(W118/V118-1,"")))</f>
        <v/>
      </c>
      <c r="X120" s="15">
        <f>IF(OR(X118="",W118=""),"",IF(W118&lt;=0,"",IFERROR(X118/W118-1,"")))</f>
        <v/>
      </c>
    </row>
    <row r="121">
      <c r="A121" s="18" t="inlineStr">
        <is>
          <t>금융수익</t>
        </is>
      </c>
      <c r="C121" s="20" t="n">
        <v>24326</v>
      </c>
      <c r="D121" s="20" t="n">
        <v>21507</v>
      </c>
      <c r="E121" s="20" t="n">
        <v>26890</v>
      </c>
      <c r="F121" s="20" t="n">
        <v>21049</v>
      </c>
      <c r="G121" s="20" t="n">
        <v>21537</v>
      </c>
      <c r="H121" s="20" t="n">
        <v>19049</v>
      </c>
      <c r="I121" s="20" t="n">
        <v>12698</v>
      </c>
      <c r="J121" s="20" t="n">
        <v>21232</v>
      </c>
      <c r="K121" s="20" t="n">
        <v>18588</v>
      </c>
      <c r="L121" s="20" t="n">
        <v>16182</v>
      </c>
      <c r="M121" s="20" t="n">
        <v>12835</v>
      </c>
      <c r="N121" s="20" t="n">
        <v>13532</v>
      </c>
      <c r="T121" s="20" t="n">
        <v>2407</v>
      </c>
      <c r="U121" s="20" t="n">
        <v>11749</v>
      </c>
      <c r="V121" s="20" t="n">
        <v>21507</v>
      </c>
      <c r="W121" s="20" t="n">
        <v>19049</v>
      </c>
      <c r="X121" s="20" t="n">
        <v>16182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금융비용</t>
        </is>
      </c>
      <c r="C123" s="20" t="n">
        <v>7295</v>
      </c>
      <c r="D123" s="20" t="n">
        <v>5757</v>
      </c>
      <c r="E123" s="20" t="n">
        <v>5938</v>
      </c>
      <c r="F123" s="20" t="n">
        <v>7088</v>
      </c>
      <c r="G123" s="20" t="n">
        <v>9097</v>
      </c>
      <c r="H123" s="20" t="n">
        <v>6603</v>
      </c>
      <c r="I123" s="20" t="n">
        <v>8624</v>
      </c>
      <c r="J123" s="20" t="n">
        <v>12442</v>
      </c>
      <c r="K123" s="20" t="n">
        <v>12006</v>
      </c>
      <c r="L123" s="20" t="n">
        <v>8926</v>
      </c>
      <c r="M123" s="20" t="n">
        <v>6343</v>
      </c>
      <c r="N123" s="20" t="n">
        <v>10274</v>
      </c>
      <c r="T123" s="20" t="n">
        <v>4763</v>
      </c>
      <c r="U123" s="20" t="n">
        <v>5137</v>
      </c>
      <c r="V123" s="20" t="n">
        <v>5757</v>
      </c>
      <c r="W123" s="20" t="n">
        <v>6603</v>
      </c>
      <c r="X123" s="20" t="n">
        <v>8926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법인세차감전 이익</t>
        </is>
      </c>
      <c r="C125" s="12" t="n">
        <v>144453</v>
      </c>
      <c r="D125" s="12" t="n">
        <v>56455</v>
      </c>
      <c r="E125" s="12" t="n">
        <v>104713</v>
      </c>
      <c r="F125" s="12" t="n">
        <v>146246</v>
      </c>
      <c r="G125" s="12" t="n">
        <v>144702</v>
      </c>
      <c r="H125" s="12" t="n">
        <v>90628</v>
      </c>
      <c r="I125" s="12" t="n">
        <v>90977</v>
      </c>
      <c r="J125" s="12" t="n">
        <v>86883</v>
      </c>
      <c r="K125" s="12" t="n">
        <v>-635</v>
      </c>
      <c r="L125" s="12" t="n">
        <v>85884</v>
      </c>
      <c r="M125" s="12" t="n">
        <v>188947</v>
      </c>
      <c r="N125" s="12" t="n">
        <v>184032</v>
      </c>
      <c r="T125" s="12" t="n">
        <v>81019</v>
      </c>
      <c r="U125" s="12" t="n">
        <v>60962</v>
      </c>
      <c r="V125" s="12" t="n">
        <v>56455</v>
      </c>
      <c r="W125" s="12" t="n">
        <v>90628</v>
      </c>
      <c r="X125" s="12" t="n">
        <v>85884</v>
      </c>
    </row>
    <row r="126">
      <c r="A126" s="18" t="inlineStr">
        <is>
          <t>법인소득세 비용</t>
        </is>
      </c>
      <c r="C126" s="20" t="n">
        <v>28240</v>
      </c>
      <c r="D126" s="20" t="n">
        <v>5190</v>
      </c>
      <c r="E126" s="20" t="n">
        <v>28474</v>
      </c>
      <c r="F126" s="20" t="n">
        <v>23536</v>
      </c>
      <c r="G126" s="20" t="n">
        <v>34878</v>
      </c>
      <c r="H126" s="20" t="n">
        <v>15005</v>
      </c>
      <c r="I126" s="20" t="n">
        <v>13892</v>
      </c>
      <c r="J126" s="20" t="n">
        <v>11503</v>
      </c>
      <c r="K126" s="20" t="n">
        <v>12914</v>
      </c>
      <c r="L126" s="20" t="n">
        <v>15825</v>
      </c>
      <c r="M126" s="20" t="n">
        <v>49457</v>
      </c>
      <c r="N126" s="20" t="n">
        <v>37399</v>
      </c>
      <c r="T126" s="20" t="n">
        <v>19769</v>
      </c>
      <c r="U126" s="20" t="n">
        <v>-47019</v>
      </c>
      <c r="V126" s="20" t="n">
        <v>5190</v>
      </c>
      <c r="W126" s="20" t="n">
        <v>15005</v>
      </c>
      <c r="X126" s="20" t="n">
        <v>15825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순이익</t>
        </is>
      </c>
      <c r="C128" s="12" t="n">
        <v>116213</v>
      </c>
      <c r="D128" s="12" t="n">
        <v>51265</v>
      </c>
      <c r="E128" s="12" t="n">
        <v>76239</v>
      </c>
      <c r="F128" s="12" t="n">
        <v>122710</v>
      </c>
      <c r="G128" s="12" t="n">
        <v>109824</v>
      </c>
      <c r="H128" s="12" t="n">
        <v>75623</v>
      </c>
      <c r="I128" s="12" t="n">
        <v>77085</v>
      </c>
      <c r="J128" s="12" t="n">
        <v>75380</v>
      </c>
      <c r="K128" s="12" t="n">
        <v>-13549</v>
      </c>
      <c r="L128" s="12" t="n">
        <v>70059</v>
      </c>
      <c r="M128" s="12" t="n">
        <v>139490</v>
      </c>
      <c r="N128" s="12" t="n">
        <v>146633</v>
      </c>
      <c r="T128" s="12" t="n">
        <v>61250</v>
      </c>
      <c r="U128" s="12" t="n">
        <v>107981</v>
      </c>
      <c r="V128" s="12" t="n">
        <v>51265</v>
      </c>
      <c r="W128" s="12" t="n">
        <v>75623</v>
      </c>
      <c r="X128" s="12" t="n">
        <v>70059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9" t="inlineStr">
        <is>
          <t>지배기업 소유주</t>
        </is>
      </c>
      <c r="C130" s="12" t="n">
        <v>110799</v>
      </c>
      <c r="D130" s="12" t="n">
        <v>44816</v>
      </c>
      <c r="E130" s="12" t="n">
        <v>70633</v>
      </c>
      <c r="F130" s="12" t="n">
        <v>118276</v>
      </c>
      <c r="G130" s="12" t="n">
        <v>99497</v>
      </c>
      <c r="H130" s="12" t="n">
        <v>77799</v>
      </c>
      <c r="I130" s="12" t="n">
        <v>71463</v>
      </c>
      <c r="J130" s="12" t="n">
        <v>70941</v>
      </c>
      <c r="K130" s="12" t="n">
        <v>-17107</v>
      </c>
      <c r="L130" s="12" t="n">
        <v>64243</v>
      </c>
      <c r="M130" s="12" t="n">
        <v>135173</v>
      </c>
      <c r="N130" s="12" t="n">
        <v>141780</v>
      </c>
      <c r="T130" s="12" t="n">
        <v>59700</v>
      </c>
      <c r="U130" s="12" t="n">
        <v>102632</v>
      </c>
      <c r="V130" s="12" t="n">
        <v>44816</v>
      </c>
      <c r="W130" s="12" t="n">
        <v>77799</v>
      </c>
      <c r="X130" s="12" t="n">
        <v>64243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9" t="inlineStr">
        <is>
          <t>비지배지분</t>
        </is>
      </c>
      <c r="C132" s="12" t="n">
        <v>5414</v>
      </c>
      <c r="D132" s="12" t="n">
        <v>6449</v>
      </c>
      <c r="E132" s="12" t="n">
        <v>5606</v>
      </c>
      <c r="F132" s="12" t="n">
        <v>4434</v>
      </c>
      <c r="G132" s="12" t="n">
        <v>10327</v>
      </c>
      <c r="H132" s="12" t="n">
        <v>-2176</v>
      </c>
      <c r="I132" s="12" t="n">
        <v>5622</v>
      </c>
      <c r="J132" s="12" t="n">
        <v>4439</v>
      </c>
      <c r="K132" s="12" t="n">
        <v>3558</v>
      </c>
      <c r="L132" s="12" t="n">
        <v>5816</v>
      </c>
      <c r="M132" s="12" t="n">
        <v>4317</v>
      </c>
      <c r="N132" s="12" t="n">
        <v>4853</v>
      </c>
      <c r="T132" s="12" t="n">
        <v>1550</v>
      </c>
      <c r="U132" s="12" t="n">
        <v>5349</v>
      </c>
      <c r="V132" s="12" t="n">
        <v>6449</v>
      </c>
      <c r="W132" s="12" t="n">
        <v>-2176</v>
      </c>
      <c r="X132" s="12" t="n">
        <v>5816</v>
      </c>
    </row>
    <row r="134">
      <c r="A134" s="16" t="inlineStr">
        <is>
          <t>포괄손익 · 전 항목</t>
        </is>
      </c>
      <c r="B134" s="42" t="inlineStr">
        <is>
          <t>분기 = 3개월 단독</t>
        </is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</row>
    <row r="135">
      <c r="A135" s="5" t="inlineStr">
        <is>
          <t>항목</t>
        </is>
      </c>
      <c r="B135" s="5" t="inlineStr">
        <is>
          <t>참고</t>
        </is>
      </c>
      <c r="C135" s="5" t="inlineStr">
        <is>
          <t>2024.3Q</t>
        </is>
      </c>
      <c r="D135" s="5" t="inlineStr">
        <is>
          <t>2024.4Q</t>
        </is>
      </c>
      <c r="E135" s="5" t="inlineStr">
        <is>
          <t>2025.1Q</t>
        </is>
      </c>
      <c r="F135" s="5" t="inlineStr">
        <is>
          <t>2025.2Q</t>
        </is>
      </c>
      <c r="G135" s="5" t="inlineStr">
        <is>
          <t>2025.3Q</t>
        </is>
      </c>
      <c r="H135" s="5" t="inlineStr">
        <is>
          <t>2025.4Q</t>
        </is>
      </c>
      <c r="I135" s="5" t="inlineStr">
        <is>
          <t>2026.1Q</t>
        </is>
      </c>
      <c r="J135" s="5" t="inlineStr">
        <is>
          <t>2026.2Q</t>
        </is>
      </c>
      <c r="K135" s="5" t="inlineStr">
        <is>
          <t>2026.3Q</t>
        </is>
      </c>
      <c r="L135" s="5" t="inlineStr">
        <is>
          <t>2026.4Q</t>
        </is>
      </c>
      <c r="M135" s="5" t="inlineStr">
        <is>
          <t>2027.1Q</t>
        </is>
      </c>
      <c r="N135" s="5" t="inlineStr">
        <is>
          <t>2027.2Q</t>
        </is>
      </c>
      <c r="O135" s="5" t="inlineStr">
        <is>
          <t>2017</t>
        </is>
      </c>
      <c r="P135" s="5" t="inlineStr">
        <is>
          <t>2018</t>
        </is>
      </c>
      <c r="Q135" s="5" t="inlineStr">
        <is>
          <t>2019</t>
        </is>
      </c>
      <c r="R135" s="5" t="inlineStr">
        <is>
          <t>2020</t>
        </is>
      </c>
      <c r="S135" s="5" t="inlineStr">
        <is>
          <t>2021</t>
        </is>
      </c>
      <c r="T135" s="5" t="inlineStr">
        <is>
          <t>2022</t>
        </is>
      </c>
      <c r="U135" s="5" t="inlineStr">
        <is>
          <t>2023</t>
        </is>
      </c>
      <c r="V135" s="5" t="inlineStr">
        <is>
          <t>2024</t>
        </is>
      </c>
      <c r="W135" s="5" t="inlineStr">
        <is>
          <t>2025</t>
        </is>
      </c>
      <c r="X135" s="5" t="inlineStr">
        <is>
          <t>2026</t>
        </is>
      </c>
      <c r="Y135" s="5" t="inlineStr">
        <is>
          <t>2027(MW)</t>
        </is>
      </c>
      <c r="Z135" s="5" t="inlineStr">
        <is>
          <t>2028(MW)</t>
        </is>
      </c>
      <c r="AA135" s="5" t="inlineStr">
        <is>
          <t>2029(MW)</t>
        </is>
      </c>
      <c r="AB135" s="5" t="inlineStr">
        <is>
          <t>2030(MW)</t>
        </is>
      </c>
      <c r="AC135" s="5" t="inlineStr">
        <is>
          <t>2031(MW)</t>
        </is>
      </c>
    </row>
    <row r="136">
      <c r="A136" s="9" t="inlineStr">
        <is>
          <t>순이익</t>
        </is>
      </c>
      <c r="C136" s="12" t="n">
        <v>116213</v>
      </c>
      <c r="D136" s="12" t="n">
        <v>51265</v>
      </c>
      <c r="E136" s="12" t="n">
        <v>76239</v>
      </c>
      <c r="F136" s="12" t="n">
        <v>122710</v>
      </c>
      <c r="G136" s="12" t="n">
        <v>109824</v>
      </c>
      <c r="H136" s="12" t="n">
        <v>75623</v>
      </c>
      <c r="I136" s="12" t="n">
        <v>77085</v>
      </c>
      <c r="J136" s="12" t="n">
        <v>75380</v>
      </c>
      <c r="K136" s="12" t="n">
        <v>-13549</v>
      </c>
      <c r="L136" s="12" t="n">
        <v>70059</v>
      </c>
      <c r="M136" s="12" t="n">
        <v>139490</v>
      </c>
      <c r="N136" s="12" t="n">
        <v>146633</v>
      </c>
      <c r="T136" s="12" t="n">
        <v>61250</v>
      </c>
      <c r="U136" s="12" t="n">
        <v>107981</v>
      </c>
      <c r="V136" s="12" t="n">
        <v>51265</v>
      </c>
      <c r="W136" s="12" t="n">
        <v>75623</v>
      </c>
      <c r="X136" s="12" t="n">
        <v>70059</v>
      </c>
    </row>
    <row r="137">
      <c r="A137" s="18" t="inlineStr">
        <is>
          <t>확정급여제도 재측정</t>
        </is>
      </c>
      <c r="C137" s="20" t="n">
        <v>787</v>
      </c>
      <c r="D137" s="20" t="n">
        <v>54344</v>
      </c>
      <c r="E137" s="20" t="n">
        <v>-411</v>
      </c>
      <c r="F137" s="20" t="n">
        <v>-262</v>
      </c>
      <c r="G137" s="20" t="n">
        <v>-481</v>
      </c>
      <c r="H137" s="20" t="n">
        <v>-11333</v>
      </c>
      <c r="I137" s="20" t="n">
        <v>460</v>
      </c>
      <c r="J137" s="20" t="n">
        <v>-301</v>
      </c>
      <c r="K137" s="20" t="n">
        <v>-727</v>
      </c>
      <c r="L137" s="20" t="n">
        <v>3286</v>
      </c>
      <c r="M137" s="20" t="n">
        <v>807</v>
      </c>
      <c r="N137" s="20" t="n">
        <v>-1243</v>
      </c>
      <c r="T137" s="20" t="n">
        <v>30250</v>
      </c>
      <c r="U137" s="20" t="n">
        <v>-4250</v>
      </c>
      <c r="V137" s="20" t="n">
        <v>54344</v>
      </c>
      <c r="W137" s="20" t="n">
        <v>-11333</v>
      </c>
      <c r="X137" s="20" t="n">
        <v>3286</v>
      </c>
    </row>
    <row r="138">
      <c r="A138" s="18" t="inlineStr">
        <is>
          <t>기타포괄손익-공정가치 측정 금융자산</t>
        </is>
      </c>
      <c r="C138" s="20" t="n">
        <v>1993</v>
      </c>
      <c r="D138" s="20" t="n">
        <v>-4812</v>
      </c>
      <c r="E138" s="20" t="n">
        <v>-2161</v>
      </c>
      <c r="F138" s="20" t="n">
        <v>-14146</v>
      </c>
      <c r="G138" s="20" t="n">
        <v>2813</v>
      </c>
      <c r="H138" s="20" t="n">
        <v>-2144</v>
      </c>
      <c r="I138" s="20" t="n">
        <v>425</v>
      </c>
      <c r="J138" s="20" t="n">
        <v>5154</v>
      </c>
      <c r="K138" s="20" t="n">
        <v>1844</v>
      </c>
      <c r="L138" s="20" t="n">
        <v>-959</v>
      </c>
      <c r="M138" s="20" t="n">
        <v>1817</v>
      </c>
      <c r="N138" s="20" t="n">
        <v>-872</v>
      </c>
      <c r="T138" s="20" t="n">
        <v>17580</v>
      </c>
      <c r="U138" s="20" t="n">
        <v>9506</v>
      </c>
      <c r="V138" s="20" t="n">
        <v>-4812</v>
      </c>
      <c r="W138" s="20" t="n">
        <v>-2144</v>
      </c>
      <c r="X138" s="20" t="n">
        <v>-959</v>
      </c>
    </row>
    <row r="139">
      <c r="A139" s="18" t="inlineStr">
        <is>
          <t>계</t>
        </is>
      </c>
      <c r="C139" s="20" t="n">
        <v>2780</v>
      </c>
      <c r="D139" s="20" t="n">
        <v>49532</v>
      </c>
      <c r="E139" s="20" t="n">
        <v>-2572</v>
      </c>
      <c r="F139" s="20" t="n">
        <v>-14408</v>
      </c>
      <c r="G139" s="20" t="n">
        <v>2332</v>
      </c>
      <c r="H139" s="20" t="n">
        <v>-13477</v>
      </c>
      <c r="I139" s="20" t="n">
        <v>885</v>
      </c>
      <c r="J139" s="20" t="n">
        <v>4853</v>
      </c>
      <c r="K139" s="20" t="n">
        <v>1117</v>
      </c>
      <c r="L139" s="20" t="n">
        <v>2327</v>
      </c>
      <c r="M139" s="20" t="n">
        <v>2624</v>
      </c>
      <c r="N139" s="20" t="n">
        <v>-2115</v>
      </c>
      <c r="T139" s="20" t="n">
        <v>47830</v>
      </c>
      <c r="U139" s="20" t="n">
        <v>5256</v>
      </c>
      <c r="V139" s="20" t="n">
        <v>49532</v>
      </c>
      <c r="W139" s="20" t="n">
        <v>-13477</v>
      </c>
      <c r="X139" s="20" t="n">
        <v>2327</v>
      </c>
    </row>
    <row r="140">
      <c r="A140" s="18" t="inlineStr">
        <is>
          <t>해외사업 환산차액</t>
        </is>
      </c>
      <c r="C140" s="20" t="n">
        <v>-202980</v>
      </c>
      <c r="D140" s="20" t="n">
        <v>279398</v>
      </c>
      <c r="E140" s="20" t="n">
        <v>311612</v>
      </c>
      <c r="F140" s="20" t="n">
        <v>-555108</v>
      </c>
      <c r="G140" s="20" t="n">
        <v>424084</v>
      </c>
      <c r="H140" s="20" t="n">
        <v>-289739</v>
      </c>
      <c r="I140" s="20" t="n">
        <v>-112032</v>
      </c>
      <c r="J140" s="20" t="n">
        <v>140978</v>
      </c>
      <c r="K140" s="20" t="n">
        <v>294415</v>
      </c>
      <c r="L140" s="20" t="n">
        <v>119084</v>
      </c>
      <c r="M140" s="20" t="n">
        <v>106046</v>
      </c>
      <c r="N140" s="20" t="n">
        <v>-186621</v>
      </c>
      <c r="T140" s="20" t="n">
        <v>219720</v>
      </c>
      <c r="U140" s="20" t="n">
        <v>50614</v>
      </c>
      <c r="V140" s="20" t="n">
        <v>279398</v>
      </c>
      <c r="W140" s="20" t="n">
        <v>-289739</v>
      </c>
      <c r="X140" s="20" t="n">
        <v>119084</v>
      </c>
    </row>
    <row r="141">
      <c r="A141" s="18" t="inlineStr">
        <is>
          <t>Effective Portion Of Cash Flow Hedges Net Of Tax Items That May Be Reclassified To Profit Or Loss OCI</t>
        </is>
      </c>
      <c r="C141" s="20" t="n">
        <v>5571</v>
      </c>
      <c r="D141" s="20" t="n">
        <v>-563</v>
      </c>
      <c r="E141" s="20" t="n">
        <v>1800</v>
      </c>
      <c r="F141" s="20" t="n">
        <v>3513</v>
      </c>
      <c r="G141" s="20" t="n">
        <v>-2067</v>
      </c>
      <c r="H141" s="20" t="n">
        <v>5004</v>
      </c>
      <c r="I141" s="20" t="n">
        <v>2547</v>
      </c>
      <c r="J141" s="20" t="n">
        <v>4233</v>
      </c>
      <c r="K141" s="20" t="n">
        <v>1040</v>
      </c>
      <c r="L141" s="20" t="n">
        <v>1039</v>
      </c>
      <c r="M141" s="20" t="n">
        <v>1831</v>
      </c>
      <c r="N141" s="20" t="n">
        <v>-2972</v>
      </c>
      <c r="T141" s="20" t="n">
        <v>-3862</v>
      </c>
      <c r="U141" s="20" t="n">
        <v>2341</v>
      </c>
      <c r="V141" s="20" t="n">
        <v>-563</v>
      </c>
      <c r="W141" s="20" t="n">
        <v>5004</v>
      </c>
      <c r="X141" s="20" t="n">
        <v>1039</v>
      </c>
    </row>
    <row r="142">
      <c r="A142" s="18" t="inlineStr">
        <is>
          <t>계</t>
        </is>
      </c>
      <c r="C142" s="20" t="n">
        <v>-197409</v>
      </c>
      <c r="D142" s="20" t="n">
        <v>278835</v>
      </c>
      <c r="E142" s="20" t="n">
        <v>313412</v>
      </c>
      <c r="F142" s="20" t="n">
        <v>-551595</v>
      </c>
      <c r="G142" s="20" t="n">
        <v>422017</v>
      </c>
      <c r="H142" s="20" t="n">
        <v>-284735</v>
      </c>
      <c r="I142" s="20" t="n">
        <v>-109485</v>
      </c>
      <c r="J142" s="20" t="n">
        <v>145211</v>
      </c>
      <c r="K142" s="20" t="n">
        <v>295455</v>
      </c>
      <c r="L142" s="20" t="n">
        <v>120123</v>
      </c>
      <c r="M142" s="20" t="n">
        <v>107877</v>
      </c>
      <c r="N142" s="20" t="n">
        <v>-189593</v>
      </c>
      <c r="T142" s="20" t="n">
        <v>215858</v>
      </c>
      <c r="U142" s="20" t="n">
        <v>52955</v>
      </c>
      <c r="V142" s="20" t="n">
        <v>278835</v>
      </c>
      <c r="W142" s="20" t="n">
        <v>-284735</v>
      </c>
      <c r="X142" s="20" t="n">
        <v>120123</v>
      </c>
    </row>
    <row r="143">
      <c r="A143" s="18" t="inlineStr">
        <is>
          <t>Other Comprehensive Income</t>
        </is>
      </c>
      <c r="C143" s="20" t="n">
        <v>-194629</v>
      </c>
      <c r="D143" s="20" t="n">
        <v>328367</v>
      </c>
      <c r="E143" s="20" t="n">
        <v>310840</v>
      </c>
      <c r="F143" s="20" t="n">
        <v>-566003</v>
      </c>
      <c r="G143" s="20" t="n">
        <v>424349</v>
      </c>
      <c r="H143" s="20" t="n">
        <v>-298212</v>
      </c>
      <c r="I143" s="20" t="n">
        <v>-108600</v>
      </c>
      <c r="J143" s="20" t="n">
        <v>150064</v>
      </c>
      <c r="K143" s="20" t="n">
        <v>296572</v>
      </c>
      <c r="L143" s="20" t="n">
        <v>122450</v>
      </c>
      <c r="M143" s="20" t="n">
        <v>110501</v>
      </c>
      <c r="N143" s="20" t="n">
        <v>-191708</v>
      </c>
      <c r="T143" s="20" t="n">
        <v>263688</v>
      </c>
      <c r="U143" s="20" t="n">
        <v>58211</v>
      </c>
      <c r="V143" s="20" t="n">
        <v>328367</v>
      </c>
      <c r="W143" s="20" t="n">
        <v>-298212</v>
      </c>
      <c r="X143" s="20" t="n">
        <v>122450</v>
      </c>
    </row>
    <row r="144">
      <c r="A144" s="9" t="inlineStr">
        <is>
          <t>Comprehensive Income</t>
        </is>
      </c>
      <c r="C144" s="12" t="n">
        <v>-78416</v>
      </c>
      <c r="D144" s="12" t="n">
        <v>379632</v>
      </c>
      <c r="E144" s="12" t="n">
        <v>387079</v>
      </c>
      <c r="F144" s="12" t="n">
        <v>-443293</v>
      </c>
      <c r="G144" s="12" t="n">
        <v>534173</v>
      </c>
      <c r="H144" s="12" t="n">
        <v>-222589</v>
      </c>
      <c r="I144" s="12" t="n">
        <v>-31515</v>
      </c>
      <c r="J144" s="12" t="n">
        <v>225444</v>
      </c>
      <c r="K144" s="12" t="n">
        <v>283023</v>
      </c>
      <c r="L144" s="12" t="n">
        <v>192509</v>
      </c>
      <c r="M144" s="12" t="n">
        <v>249991</v>
      </c>
      <c r="N144" s="12" t="n">
        <v>-45075</v>
      </c>
      <c r="T144" s="12" t="n">
        <v>324938</v>
      </c>
      <c r="U144" s="12" t="n">
        <v>166192</v>
      </c>
      <c r="V144" s="12" t="n">
        <v>379632</v>
      </c>
      <c r="W144" s="12" t="n">
        <v>-222589</v>
      </c>
      <c r="X144" s="12" t="n">
        <v>192509</v>
      </c>
    </row>
    <row r="145">
      <c r="A145" s="9" t="inlineStr">
        <is>
          <t>지배기업 소유주</t>
        </is>
      </c>
      <c r="C145" s="12" t="n">
        <v>-81043</v>
      </c>
      <c r="D145" s="12" t="n">
        <v>367762</v>
      </c>
      <c r="E145" s="12" t="n">
        <v>374518</v>
      </c>
      <c r="F145" s="12" t="n">
        <v>-437988</v>
      </c>
      <c r="G145" s="12" t="n">
        <v>516846</v>
      </c>
      <c r="H145" s="12" t="n">
        <v>-213919</v>
      </c>
      <c r="I145" s="12" t="n">
        <v>-37402</v>
      </c>
      <c r="J145" s="12" t="n">
        <v>218146</v>
      </c>
      <c r="K145" s="12" t="n">
        <v>271543</v>
      </c>
      <c r="L145" s="12" t="n">
        <v>185737</v>
      </c>
      <c r="M145" s="12" t="n">
        <v>241525</v>
      </c>
      <c r="N145" s="12" t="n">
        <v>-45414</v>
      </c>
      <c r="T145" s="12" t="n">
        <v>311236</v>
      </c>
      <c r="U145" s="12" t="n">
        <v>158383</v>
      </c>
      <c r="V145" s="12" t="n">
        <v>367762</v>
      </c>
      <c r="W145" s="12" t="n">
        <v>-213919</v>
      </c>
      <c r="X145" s="12" t="n">
        <v>185737</v>
      </c>
    </row>
    <row r="146">
      <c r="A146" s="9" t="inlineStr">
        <is>
          <t>비지배지분</t>
        </is>
      </c>
      <c r="C146" s="12" t="n">
        <v>2627</v>
      </c>
      <c r="D146" s="12" t="n">
        <v>11870</v>
      </c>
      <c r="E146" s="12" t="n">
        <v>12561</v>
      </c>
      <c r="F146" s="12" t="n">
        <v>-5305</v>
      </c>
      <c r="G146" s="12" t="n">
        <v>17327</v>
      </c>
      <c r="H146" s="12" t="n">
        <v>-8670</v>
      </c>
      <c r="I146" s="12" t="n">
        <v>5887</v>
      </c>
      <c r="J146" s="12" t="n">
        <v>7298</v>
      </c>
      <c r="K146" s="12" t="n">
        <v>11480</v>
      </c>
      <c r="L146" s="12" t="n">
        <v>6772</v>
      </c>
      <c r="M146" s="12" t="n">
        <v>8466</v>
      </c>
      <c r="N146" s="12" t="n">
        <v>339</v>
      </c>
      <c r="T146" s="12" t="n">
        <v>13702</v>
      </c>
      <c r="U146" s="12" t="n">
        <v>7809</v>
      </c>
      <c r="V146" s="12" t="n">
        <v>11870</v>
      </c>
      <c r="W146" s="12" t="n">
        <v>-8670</v>
      </c>
      <c r="X146" s="12" t="n">
        <v>6772</v>
      </c>
    </row>
    <row r="148">
      <c r="A148" s="16" t="inlineStr">
        <is>
          <t>부문 · 전 항목</t>
        </is>
      </c>
      <c r="B148" s="42" t="inlineStr">
        <is>
          <t>부문 · 항목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2024.3Q</t>
        </is>
      </c>
      <c r="D149" s="5" t="inlineStr">
        <is>
          <t>2024.4Q</t>
        </is>
      </c>
      <c r="E149" s="5" t="inlineStr">
        <is>
          <t>2025.1Q</t>
        </is>
      </c>
      <c r="F149" s="5" t="inlineStr">
        <is>
          <t>2025.2Q</t>
        </is>
      </c>
      <c r="G149" s="5" t="inlineStr">
        <is>
          <t>2025.3Q</t>
        </is>
      </c>
      <c r="H149" s="5" t="inlineStr">
        <is>
          <t>2025.4Q</t>
        </is>
      </c>
      <c r="I149" s="5" t="inlineStr">
        <is>
          <t>2026.1Q</t>
        </is>
      </c>
      <c r="J149" s="5" t="inlineStr">
        <is>
          <t>2026.2Q</t>
        </is>
      </c>
      <c r="K149" s="5" t="inlineStr">
        <is>
          <t>2026.3Q</t>
        </is>
      </c>
      <c r="L149" s="5" t="inlineStr">
        <is>
          <t>2026.4Q</t>
        </is>
      </c>
      <c r="M149" s="5" t="inlineStr">
        <is>
          <t>2027.1Q</t>
        </is>
      </c>
      <c r="N149" s="5" t="inlineStr">
        <is>
          <t>2027.2Q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18" t="inlineStr">
        <is>
          <t>부문 · Sales To External Customers</t>
        </is>
      </c>
      <c r="C150" s="20" t="n">
        <v>279623</v>
      </c>
      <c r="D150" s="20" t="n">
        <v>331945</v>
      </c>
      <c r="E150" s="20" t="n">
        <v>273920</v>
      </c>
      <c r="F150" s="20" t="n">
        <v>296431</v>
      </c>
      <c r="G150" s="20" t="n">
        <v>308660</v>
      </c>
      <c r="H150" s="20" t="n">
        <v>360814</v>
      </c>
      <c r="I150" s="20" t="n">
        <v>289799</v>
      </c>
      <c r="J150" s="20" t="n">
        <v>312477</v>
      </c>
      <c r="K150" s="20" t="n">
        <v>335037</v>
      </c>
      <c r="L150" s="20" t="n">
        <v>383349</v>
      </c>
      <c r="M150" s="20" t="n">
        <v>338332</v>
      </c>
      <c r="N150" s="20" t="n">
        <v>354984</v>
      </c>
      <c r="V150" s="20" t="n">
        <v>331945</v>
      </c>
      <c r="W150" s="20" t="n">
        <v>360814</v>
      </c>
      <c r="X150" s="20" t="n">
        <v>383349</v>
      </c>
    </row>
    <row r="151">
      <c r="A151" s="18" t="inlineStr">
        <is>
          <t>부문 · Sales To External Customers</t>
        </is>
      </c>
      <c r="I151" s="20" t="n">
        <v>232941</v>
      </c>
      <c r="J151" s="20" t="n">
        <v>258375</v>
      </c>
      <c r="M151" s="20" t="n">
        <v>262822</v>
      </c>
      <c r="N151" s="20" t="n">
        <v>290666</v>
      </c>
    </row>
    <row r="152">
      <c r="A152" s="18" t="inlineStr">
        <is>
          <t>HVAC ＆ CC · Sales To External Customers</t>
        </is>
      </c>
      <c r="I152" s="20" t="n">
        <v>312662</v>
      </c>
      <c r="J152" s="20" t="n">
        <v>268322</v>
      </c>
      <c r="M152" s="20" t="n">
        <v>372931</v>
      </c>
      <c r="N152" s="20" t="n">
        <v>331951</v>
      </c>
    </row>
    <row r="153">
      <c r="A153" s="18" t="inlineStr">
        <is>
          <t>부문 · Sales To External Customers</t>
        </is>
      </c>
      <c r="C153" s="20" t="n">
        <v>215979</v>
      </c>
      <c r="D153" s="20" t="n">
        <v>197074</v>
      </c>
      <c r="E153" s="20" t="n">
        <v>199544</v>
      </c>
      <c r="F153" s="20" t="n">
        <v>207599</v>
      </c>
      <c r="G153" s="20" t="n">
        <v>203322</v>
      </c>
      <c r="H153" s="20" t="n">
        <v>218067</v>
      </c>
      <c r="I153" s="20" t="n">
        <v>208922</v>
      </c>
      <c r="J153" s="20" t="n">
        <v>216745</v>
      </c>
      <c r="K153" s="20" t="n">
        <v>252210</v>
      </c>
      <c r="L153" s="20" t="n">
        <v>263087</v>
      </c>
      <c r="M153" s="20" t="n">
        <v>301921</v>
      </c>
      <c r="N153" s="20" t="n">
        <v>323405</v>
      </c>
      <c r="V153" s="20" t="n">
        <v>197074</v>
      </c>
      <c r="W153" s="20" t="n">
        <v>218067</v>
      </c>
      <c r="X153" s="20" t="n">
        <v>263087</v>
      </c>
    </row>
    <row r="154">
      <c r="A154" s="18" t="inlineStr">
        <is>
          <t>인더스트리 · Sales To External Customers</t>
        </is>
      </c>
      <c r="C154" s="20" t="n">
        <v>212760</v>
      </c>
      <c r="D154" s="20" t="n">
        <v>207116</v>
      </c>
      <c r="E154" s="20" t="n">
        <v>224531</v>
      </c>
      <c r="F154" s="20" t="n">
        <v>213968</v>
      </c>
      <c r="G154" s="20" t="n">
        <v>228414</v>
      </c>
      <c r="H154" s="20" t="n">
        <v>252992</v>
      </c>
      <c r="I154" s="20" t="n">
        <v>273623</v>
      </c>
      <c r="J154" s="20" t="n">
        <v>274214</v>
      </c>
      <c r="K154" s="20" t="n">
        <v>281523</v>
      </c>
      <c r="L154" s="20" t="n">
        <v>288157</v>
      </c>
      <c r="M154" s="20" t="n">
        <v>319956</v>
      </c>
      <c r="N154" s="20" t="n">
        <v>337682</v>
      </c>
      <c r="V154" s="20" t="n">
        <v>207116</v>
      </c>
      <c r="W154" s="20" t="n">
        <v>252992</v>
      </c>
      <c r="X154" s="20" t="n">
        <v>288157</v>
      </c>
    </row>
    <row r="155">
      <c r="A155" s="18" t="inlineStr">
        <is>
          <t>부문 · Sales To External Customers</t>
        </is>
      </c>
      <c r="I155" s="20" t="n">
        <v>290522</v>
      </c>
      <c r="J155" s="20" t="n">
        <v>306722</v>
      </c>
      <c r="M155" s="20" t="n">
        <v>290491</v>
      </c>
      <c r="N155" s="20" t="n">
        <v>311527</v>
      </c>
    </row>
    <row r="156">
      <c r="A156" s="18" t="inlineStr">
        <is>
          <t>부문 · Sales To External Customers</t>
        </is>
      </c>
      <c r="C156" s="20" t="n">
        <v>232964</v>
      </c>
      <c r="D156" s="20" t="n">
        <v>318474</v>
      </c>
      <c r="E156" s="20" t="n">
        <v>298273</v>
      </c>
      <c r="F156" s="20" t="n">
        <v>290728</v>
      </c>
      <c r="G156" s="20" t="n">
        <v>209470</v>
      </c>
      <c r="H156" s="20" t="n">
        <v>0</v>
      </c>
      <c r="I156" s="20" t="n">
        <v>0</v>
      </c>
      <c r="J156" s="20" t="n">
        <v>0</v>
      </c>
      <c r="K156" s="20" t="n">
        <v>0</v>
      </c>
      <c r="L156" s="20" t="n">
        <v>0</v>
      </c>
      <c r="V156" s="20" t="n">
        <v>318474</v>
      </c>
      <c r="W156" s="20" t="n">
        <v>0</v>
      </c>
      <c r="X156" s="20" t="n">
        <v>0</v>
      </c>
    </row>
    <row r="157">
      <c r="A157" s="18" t="inlineStr">
        <is>
          <t>기타 · Sales To External Customers</t>
        </is>
      </c>
      <c r="C157" s="20" t="n">
        <v>398992</v>
      </c>
      <c r="D157" s="20" t="n">
        <v>293638</v>
      </c>
      <c r="E157" s="20" t="n">
        <v>309678</v>
      </c>
      <c r="F157" s="20" t="n">
        <v>304723</v>
      </c>
      <c r="G157" s="20" t="n">
        <v>340267</v>
      </c>
      <c r="H157" s="20" t="n">
        <v>200544</v>
      </c>
      <c r="I157" s="20" t="n">
        <v>288222</v>
      </c>
      <c r="J157" s="20" t="n">
        <v>286930</v>
      </c>
      <c r="K157" s="20" t="n">
        <v>426519</v>
      </c>
      <c r="L157" s="20" t="n">
        <v>187569</v>
      </c>
      <c r="M157" s="20" t="n">
        <v>132461</v>
      </c>
      <c r="N157" s="20" t="n">
        <v>123391</v>
      </c>
      <c r="V157" s="20" t="n">
        <v>293638</v>
      </c>
      <c r="W157" s="20" t="n">
        <v>200544</v>
      </c>
      <c r="X157" s="20" t="n">
        <v>187569</v>
      </c>
    </row>
    <row r="158">
      <c r="A158" s="18" t="inlineStr">
        <is>
          <t>조정액 · Sales To External Customers</t>
        </is>
      </c>
      <c r="C158" s="20" t="n">
        <v>0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0</v>
      </c>
      <c r="K158" s="20" t="n">
        <v>0</v>
      </c>
      <c r="L158" s="20" t="n">
        <v>0</v>
      </c>
      <c r="M158" s="20" t="n">
        <v>0</v>
      </c>
      <c r="N158" s="20" t="n">
        <v>0</v>
      </c>
      <c r="V158" s="20" t="n">
        <v>0</v>
      </c>
      <c r="W158" s="20" t="n">
        <v>0</v>
      </c>
      <c r="X158" s="20" t="n">
        <v>0</v>
      </c>
    </row>
    <row r="159">
      <c r="A159" s="18" t="inlineStr">
        <is>
          <t>Sales To External Customers</t>
        </is>
      </c>
      <c r="C159" s="20" t="n">
        <v>2180882</v>
      </c>
      <c r="D159" s="20" t="n">
        <v>2196114</v>
      </c>
      <c r="E159" s="20" t="n">
        <v>2121689</v>
      </c>
      <c r="F159" s="20" t="n">
        <v>2129621</v>
      </c>
      <c r="G159" s="20" t="n">
        <v>2152587</v>
      </c>
      <c r="H159" s="20" t="n">
        <v>2054288</v>
      </c>
      <c r="I159" s="20" t="n">
        <v>1896691</v>
      </c>
      <c r="J159" s="20" t="n">
        <v>1923785</v>
      </c>
      <c r="K159" s="20" t="n">
        <v>2063304</v>
      </c>
      <c r="L159" s="20" t="n">
        <v>2164942</v>
      </c>
      <c r="M159" s="20" t="n">
        <v>2018914</v>
      </c>
      <c r="N159" s="20" t="n">
        <v>2073606</v>
      </c>
      <c r="V159" s="20" t="n">
        <v>2196114</v>
      </c>
      <c r="W159" s="20" t="n">
        <v>2054288</v>
      </c>
      <c r="X159" s="20" t="n">
        <v>2164942</v>
      </c>
    </row>
    <row r="160">
      <c r="A160" s="18" t="inlineStr">
        <is>
          <t>부문 · Intersegment Sales</t>
        </is>
      </c>
      <c r="C160" s="20" t="n">
        <v>47075</v>
      </c>
      <c r="D160" s="20" t="n">
        <v>53116</v>
      </c>
      <c r="E160" s="20" t="n">
        <v>46614</v>
      </c>
      <c r="F160" s="20" t="n">
        <v>56957</v>
      </c>
      <c r="G160" s="20" t="n">
        <v>48094</v>
      </c>
      <c r="H160" s="20" t="n">
        <v>51228</v>
      </c>
      <c r="I160" s="20" t="n">
        <v>51063</v>
      </c>
      <c r="J160" s="20" t="n">
        <v>47465</v>
      </c>
      <c r="K160" s="20" t="n">
        <v>49601</v>
      </c>
      <c r="V160" s="20" t="n">
        <v>53116</v>
      </c>
      <c r="W160" s="20" t="n">
        <v>51228</v>
      </c>
    </row>
    <row r="161">
      <c r="A161" s="18" t="inlineStr">
        <is>
          <t>부문 · Intersegment Sales</t>
        </is>
      </c>
      <c r="C161" s="20" t="n">
        <v>20449</v>
      </c>
      <c r="D161" s="20" t="n">
        <v>22656</v>
      </c>
      <c r="E161" s="20" t="n">
        <v>18283</v>
      </c>
      <c r="F161" s="20" t="n">
        <v>20147</v>
      </c>
      <c r="G161" s="20" t="n">
        <v>15210</v>
      </c>
      <c r="H161" s="20" t="n">
        <v>20743</v>
      </c>
      <c r="I161" s="20" t="n">
        <v>13677</v>
      </c>
      <c r="J161" s="20" t="n">
        <v>14039</v>
      </c>
      <c r="K161" s="20" t="n">
        <v>16121</v>
      </c>
      <c r="L161" s="20" t="n">
        <v>15813</v>
      </c>
      <c r="M161" s="20" t="n">
        <v>13953</v>
      </c>
      <c r="N161" s="20" t="n">
        <v>13942</v>
      </c>
      <c r="V161" s="20" t="n">
        <v>22656</v>
      </c>
      <c r="W161" s="20" t="n">
        <v>20743</v>
      </c>
      <c r="X161" s="20" t="n">
        <v>15813</v>
      </c>
    </row>
    <row r="162">
      <c r="A162" s="18" t="inlineStr">
        <is>
          <t>부문 · Intersegment Sales</t>
        </is>
      </c>
      <c r="I162" s="20" t="n">
        <v>19031</v>
      </c>
      <c r="J162" s="20" t="n">
        <v>20607</v>
      </c>
      <c r="M162" s="20" t="n">
        <v>13986</v>
      </c>
      <c r="N162" s="20" t="n">
        <v>15936</v>
      </c>
    </row>
    <row r="163">
      <c r="A163" s="18" t="inlineStr">
        <is>
          <t>HVAC ＆ CC · Intersegment Sales</t>
        </is>
      </c>
      <c r="I163" s="20" t="n">
        <v>40360</v>
      </c>
      <c r="J163" s="20" t="n">
        <v>42707</v>
      </c>
      <c r="M163" s="20" t="n">
        <v>26937</v>
      </c>
      <c r="N163" s="20" t="n">
        <v>26677</v>
      </c>
    </row>
    <row r="164">
      <c r="A164" s="18" t="inlineStr">
        <is>
          <t>부문 · Intersegment Sales</t>
        </is>
      </c>
      <c r="C164" s="20" t="n">
        <v>12765</v>
      </c>
      <c r="D164" s="20" t="n">
        <v>13287</v>
      </c>
      <c r="E164" s="20" t="n">
        <v>12365</v>
      </c>
      <c r="F164" s="20" t="n">
        <v>10903</v>
      </c>
      <c r="G164" s="20" t="n">
        <v>11544</v>
      </c>
      <c r="H164" s="20" t="n">
        <v>9900</v>
      </c>
      <c r="I164" s="20" t="n">
        <v>10334</v>
      </c>
      <c r="J164" s="20" t="n">
        <v>10894</v>
      </c>
      <c r="K164" s="20" t="n">
        <v>10565</v>
      </c>
      <c r="L164" s="20" t="n">
        <v>11488</v>
      </c>
      <c r="M164" s="20" t="n">
        <v>12046</v>
      </c>
      <c r="N164" s="20" t="n">
        <v>8561</v>
      </c>
      <c r="V164" s="20" t="n">
        <v>13287</v>
      </c>
      <c r="W164" s="20" t="n">
        <v>9900</v>
      </c>
      <c r="X164" s="20" t="n">
        <v>11488</v>
      </c>
    </row>
    <row r="165">
      <c r="A165" s="18" t="inlineStr">
        <is>
          <t>인더스트리 · Intersegment Sales</t>
        </is>
      </c>
      <c r="C165" s="20" t="n">
        <v>54037</v>
      </c>
      <c r="D165" s="20" t="n">
        <v>58272</v>
      </c>
      <c r="E165" s="20" t="n">
        <v>49956</v>
      </c>
      <c r="F165" s="20" t="n">
        <v>58241</v>
      </c>
      <c r="G165" s="20" t="n">
        <v>43331</v>
      </c>
      <c r="H165" s="20" t="n">
        <v>12174</v>
      </c>
      <c r="I165" s="20" t="n">
        <v>9858</v>
      </c>
      <c r="J165" s="20" t="n">
        <v>15836</v>
      </c>
      <c r="K165" s="20" t="n">
        <v>11729</v>
      </c>
      <c r="L165" s="20" t="n">
        <v>12328</v>
      </c>
      <c r="M165" s="20" t="n">
        <v>14351</v>
      </c>
      <c r="N165" s="20" t="n">
        <v>11802</v>
      </c>
      <c r="V165" s="20" t="n">
        <v>58272</v>
      </c>
      <c r="W165" s="20" t="n">
        <v>12174</v>
      </c>
      <c r="X165" s="20" t="n">
        <v>12328</v>
      </c>
    </row>
    <row r="166">
      <c r="A166" s="18" t="inlineStr">
        <is>
          <t>부문 · Intersegment Sales</t>
        </is>
      </c>
      <c r="I166" s="20" t="n">
        <v>28236</v>
      </c>
      <c r="J166" s="20" t="n">
        <v>31098</v>
      </c>
      <c r="M166" s="20" t="n">
        <v>20650</v>
      </c>
      <c r="N166" s="20" t="n">
        <v>21324</v>
      </c>
    </row>
    <row r="167">
      <c r="A167" s="18" t="inlineStr">
        <is>
          <t>부문 · Intersegment Sales</t>
        </is>
      </c>
      <c r="C167" s="20" t="n">
        <v>2438</v>
      </c>
      <c r="D167" s="20" t="n">
        <v>2813</v>
      </c>
      <c r="E167" s="20" t="n">
        <v>2668</v>
      </c>
      <c r="F167" s="20" t="n">
        <v>2498</v>
      </c>
      <c r="G167" s="20" t="n">
        <v>1333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V167" s="20" t="n">
        <v>2813</v>
      </c>
      <c r="W167" s="20" t="n">
        <v>0</v>
      </c>
      <c r="X167" s="20" t="n">
        <v>0</v>
      </c>
    </row>
    <row r="168">
      <c r="A168" s="18" t="inlineStr">
        <is>
          <t>기타 · Intersegment Sales</t>
        </is>
      </c>
      <c r="C168" s="20" t="n">
        <v>96595</v>
      </c>
      <c r="D168" s="20" t="n">
        <v>99629</v>
      </c>
      <c r="E168" s="20" t="n">
        <v>91652</v>
      </c>
      <c r="F168" s="20" t="n">
        <v>103812</v>
      </c>
      <c r="G168" s="20" t="n">
        <v>96156</v>
      </c>
      <c r="H168" s="20" t="n">
        <v>-42760</v>
      </c>
      <c r="I168" s="20" t="n">
        <v>50671</v>
      </c>
      <c r="J168" s="20" t="n">
        <v>48768</v>
      </c>
      <c r="K168" s="20" t="n">
        <v>139902</v>
      </c>
      <c r="L168" s="20" t="n">
        <v>-13948</v>
      </c>
      <c r="M168" s="20" t="n">
        <v>67138</v>
      </c>
      <c r="N168" s="20" t="n">
        <v>64977</v>
      </c>
      <c r="V168" s="20" t="n">
        <v>99629</v>
      </c>
      <c r="W168" s="20" t="n">
        <v>-42760</v>
      </c>
      <c r="X168" s="20" t="n">
        <v>-13948</v>
      </c>
    </row>
    <row r="169">
      <c r="A169" s="18" t="inlineStr">
        <is>
          <t>조정액 · Intersegment Sales</t>
        </is>
      </c>
      <c r="C169" s="20" t="n">
        <v>-233359</v>
      </c>
      <c r="D169" s="20" t="n">
        <v>-249773</v>
      </c>
      <c r="E169" s="20" t="n">
        <v>-221538</v>
      </c>
      <c r="F169" s="20" t="n">
        <v>-252558</v>
      </c>
      <c r="G169" s="20" t="n">
        <v>-215668</v>
      </c>
      <c r="H169" s="20" t="n">
        <v>-215695</v>
      </c>
      <c r="I169" s="20" t="n">
        <v>-172167</v>
      </c>
      <c r="J169" s="20" t="n">
        <v>-183949</v>
      </c>
      <c r="K169" s="20" t="n">
        <v>-144407</v>
      </c>
      <c r="L169" s="20" t="n">
        <v>-244422</v>
      </c>
      <c r="M169" s="20" t="n">
        <v>-169061</v>
      </c>
      <c r="N169" s="20" t="n">
        <v>-163219</v>
      </c>
      <c r="V169" s="20" t="n">
        <v>-249773</v>
      </c>
      <c r="W169" s="20" t="n">
        <v>-215695</v>
      </c>
      <c r="X169" s="20" t="n">
        <v>-244422</v>
      </c>
    </row>
    <row r="170">
      <c r="A170" s="18" t="inlineStr">
        <is>
          <t>Intersegment Sales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K170" s="20" t="n">
        <v>0</v>
      </c>
      <c r="L170" s="20" t="n">
        <v>0</v>
      </c>
      <c r="M170" s="20" t="n">
        <v>0</v>
      </c>
      <c r="N170" s="20" t="n">
        <v>0</v>
      </c>
      <c r="V170" s="20" t="n">
        <v>0</v>
      </c>
      <c r="W170" s="20" t="n">
        <v>0</v>
      </c>
      <c r="X170" s="20" t="n">
        <v>0</v>
      </c>
    </row>
    <row r="171">
      <c r="A171" s="18" t="inlineStr">
        <is>
          <t>부문 · 계</t>
        </is>
      </c>
      <c r="C171" s="20" t="n">
        <v>887639</v>
      </c>
      <c r="D171" s="20" t="n">
        <v>900983</v>
      </c>
      <c r="E171" s="20" t="n">
        <v>862357</v>
      </c>
      <c r="F171" s="20" t="n">
        <v>873129</v>
      </c>
      <c r="G171" s="20" t="n">
        <v>910548</v>
      </c>
      <c r="H171" s="20" t="n">
        <v>938173</v>
      </c>
      <c r="I171" s="20" t="n">
        <v>846063</v>
      </c>
      <c r="J171" s="20" t="n">
        <v>846913</v>
      </c>
      <c r="K171" s="20" t="n">
        <v>892712</v>
      </c>
      <c r="V171" s="20" t="n">
        <v>900983</v>
      </c>
      <c r="W171" s="20" t="n">
        <v>938173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</row>
    <row r="173">
      <c r="A173" s="18" t="inlineStr">
        <is>
          <t>부문 · 계</t>
        </is>
      </c>
      <c r="C173" s="20" t="n">
        <v>300072</v>
      </c>
      <c r="D173" s="20" t="n">
        <v>354601</v>
      </c>
      <c r="E173" s="20" t="n">
        <v>292203</v>
      </c>
      <c r="F173" s="20" t="n">
        <v>316578</v>
      </c>
      <c r="G173" s="20" t="n">
        <v>323870</v>
      </c>
      <c r="H173" s="20" t="n">
        <v>381557</v>
      </c>
      <c r="I173" s="20" t="n">
        <v>303476</v>
      </c>
      <c r="J173" s="20" t="n">
        <v>326516</v>
      </c>
      <c r="K173" s="20" t="n">
        <v>351158</v>
      </c>
      <c r="L173" s="20" t="n">
        <v>399162</v>
      </c>
      <c r="M173" s="20" t="n">
        <v>352285</v>
      </c>
      <c r="N173" s="20" t="n">
        <v>368926</v>
      </c>
      <c r="V173" s="20" t="n">
        <v>354601</v>
      </c>
      <c r="W173" s="20" t="n">
        <v>381557</v>
      </c>
      <c r="X173" s="20" t="n">
        <v>399162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부문 · 계</t>
        </is>
      </c>
      <c r="I175" s="20" t="n">
        <v>251972</v>
      </c>
      <c r="J175" s="20" t="n">
        <v>278982</v>
      </c>
      <c r="M175" s="20" t="n">
        <v>276808</v>
      </c>
      <c r="N175" s="20" t="n">
        <v>306602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</row>
    <row r="177">
      <c r="A177" s="18" t="inlineStr">
        <is>
          <t>HVAC ＆ CC · 계</t>
        </is>
      </c>
      <c r="I177" s="20" t="n">
        <v>353022</v>
      </c>
      <c r="J177" s="20" t="n">
        <v>311029</v>
      </c>
      <c r="M177" s="20" t="n">
        <v>399868</v>
      </c>
      <c r="N177" s="20" t="n">
        <v>358628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</row>
    <row r="179">
      <c r="A179" s="18" t="inlineStr">
        <is>
          <t>부문 · 계</t>
        </is>
      </c>
      <c r="C179" s="20" t="n">
        <v>228744</v>
      </c>
      <c r="D179" s="20" t="n">
        <v>210361</v>
      </c>
      <c r="E179" s="20" t="n">
        <v>211909</v>
      </c>
      <c r="F179" s="20" t="n">
        <v>218502</v>
      </c>
      <c r="G179" s="20" t="n">
        <v>214866</v>
      </c>
      <c r="H179" s="20" t="n">
        <v>227967</v>
      </c>
      <c r="I179" s="20" t="n">
        <v>219256</v>
      </c>
      <c r="J179" s="20" t="n">
        <v>227639</v>
      </c>
      <c r="K179" s="20" t="n">
        <v>262775</v>
      </c>
      <c r="L179" s="20" t="n">
        <v>274575</v>
      </c>
      <c r="M179" s="20" t="n">
        <v>313967</v>
      </c>
      <c r="N179" s="20" t="n">
        <v>331966</v>
      </c>
      <c r="V179" s="20" t="n">
        <v>210361</v>
      </c>
      <c r="W179" s="20" t="n">
        <v>227967</v>
      </c>
      <c r="X179" s="20" t="n">
        <v>274575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인더스트리 · 계</t>
        </is>
      </c>
      <c r="C181" s="20" t="n">
        <v>266797</v>
      </c>
      <c r="D181" s="20" t="n">
        <v>265388</v>
      </c>
      <c r="E181" s="20" t="n">
        <v>274487</v>
      </c>
      <c r="F181" s="20" t="n">
        <v>272209</v>
      </c>
      <c r="G181" s="20" t="n">
        <v>271745</v>
      </c>
      <c r="H181" s="20" t="n">
        <v>265166</v>
      </c>
      <c r="I181" s="20" t="n">
        <v>283481</v>
      </c>
      <c r="J181" s="20" t="n">
        <v>290050</v>
      </c>
      <c r="K181" s="20" t="n">
        <v>293252</v>
      </c>
      <c r="L181" s="20" t="n">
        <v>300485</v>
      </c>
      <c r="M181" s="20" t="n">
        <v>334307</v>
      </c>
      <c r="N181" s="20" t="n">
        <v>349484</v>
      </c>
      <c r="V181" s="20" t="n">
        <v>265388</v>
      </c>
      <c r="W181" s="20" t="n">
        <v>265166</v>
      </c>
      <c r="X181" s="20" t="n">
        <v>300485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부문 · 계</t>
        </is>
      </c>
      <c r="I183" s="20" t="n">
        <v>318758</v>
      </c>
      <c r="J183" s="20" t="n">
        <v>337820</v>
      </c>
      <c r="M183" s="20" t="n">
        <v>311141</v>
      </c>
      <c r="N183" s="20" t="n">
        <v>332851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</row>
    <row r="185">
      <c r="A185" s="18" t="inlineStr">
        <is>
          <t>부문 · 계</t>
        </is>
      </c>
      <c r="C185" s="20" t="n">
        <v>235402</v>
      </c>
      <c r="D185" s="20" t="n">
        <v>321287</v>
      </c>
      <c r="E185" s="20" t="n">
        <v>300941</v>
      </c>
      <c r="F185" s="20" t="n">
        <v>293226</v>
      </c>
      <c r="G185" s="20" t="n">
        <v>210803</v>
      </c>
      <c r="H185" s="20" t="n">
        <v>0</v>
      </c>
      <c r="I185" s="20" t="n">
        <v>0</v>
      </c>
      <c r="J185" s="20" t="n">
        <v>0</v>
      </c>
      <c r="K185" s="20" t="n">
        <v>0</v>
      </c>
      <c r="L185" s="20" t="n">
        <v>0</v>
      </c>
      <c r="V185" s="20" t="n">
        <v>321287</v>
      </c>
      <c r="W185" s="20" t="n">
        <v>0</v>
      </c>
      <c r="X185" s="20" t="n">
        <v>0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기타 · 계</t>
        </is>
      </c>
      <c r="C187" s="20" t="n">
        <v>495587</v>
      </c>
      <c r="D187" s="20" t="n">
        <v>393267</v>
      </c>
      <c r="E187" s="20" t="n">
        <v>401330</v>
      </c>
      <c r="F187" s="20" t="n">
        <v>408535</v>
      </c>
      <c r="G187" s="20" t="n">
        <v>436423</v>
      </c>
      <c r="H187" s="20" t="n">
        <v>157784</v>
      </c>
      <c r="I187" s="20" t="n">
        <v>338893</v>
      </c>
      <c r="J187" s="20" t="n">
        <v>335698</v>
      </c>
      <c r="K187" s="20" t="n">
        <v>566421</v>
      </c>
      <c r="L187" s="20" t="n">
        <v>173621</v>
      </c>
      <c r="M187" s="20" t="n">
        <v>199599</v>
      </c>
      <c r="N187" s="20" t="n">
        <v>188368</v>
      </c>
      <c r="V187" s="20" t="n">
        <v>393267</v>
      </c>
      <c r="W187" s="20" t="n">
        <v>157784</v>
      </c>
      <c r="X187" s="20" t="n">
        <v>173621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조정액 · 계</t>
        </is>
      </c>
      <c r="C189" s="20" t="n">
        <v>-233359</v>
      </c>
      <c r="D189" s="20" t="n">
        <v>-249773</v>
      </c>
      <c r="E189" s="20" t="n">
        <v>-221538</v>
      </c>
      <c r="F189" s="20" t="n">
        <v>-252558</v>
      </c>
      <c r="G189" s="20" t="n">
        <v>-215668</v>
      </c>
      <c r="H189" s="20" t="n">
        <v>-215695</v>
      </c>
      <c r="I189" s="20" t="n">
        <v>-172167</v>
      </c>
      <c r="J189" s="20" t="n">
        <v>-183949</v>
      </c>
      <c r="K189" s="20" t="n">
        <v>-144407</v>
      </c>
      <c r="L189" s="20" t="n">
        <v>-244422</v>
      </c>
      <c r="M189" s="20" t="n">
        <v>-169061</v>
      </c>
      <c r="N189" s="20" t="n">
        <v>-163219</v>
      </c>
      <c r="V189" s="20" t="n">
        <v>-249773</v>
      </c>
      <c r="W189" s="20" t="n">
        <v>-215695</v>
      </c>
      <c r="X189" s="20" t="n">
        <v>-244422</v>
      </c>
    </row>
    <row r="190">
      <c r="A190" s="9" t="inlineStr">
        <is>
          <t>계</t>
        </is>
      </c>
      <c r="C190" s="12" t="n">
        <v>2180882</v>
      </c>
      <c r="D190" s="12" t="n">
        <v>2196114</v>
      </c>
      <c r="E190" s="12" t="n">
        <v>2121689</v>
      </c>
      <c r="F190" s="12" t="n">
        <v>2129621</v>
      </c>
      <c r="G190" s="12" t="n">
        <v>2152587</v>
      </c>
      <c r="H190" s="12" t="n">
        <v>2054288</v>
      </c>
      <c r="I190" s="12" t="n">
        <v>1896691</v>
      </c>
      <c r="J190" s="12" t="n">
        <v>1923785</v>
      </c>
      <c r="K190" s="12" t="n">
        <v>2063304</v>
      </c>
      <c r="L190" s="12" t="n">
        <v>2164942</v>
      </c>
      <c r="M190" s="12" t="n">
        <v>2018914</v>
      </c>
      <c r="N190" s="12" t="n">
        <v>2073606</v>
      </c>
      <c r="V190" s="12" t="n">
        <v>2196114</v>
      </c>
      <c r="W190" s="12" t="n">
        <v>2054288</v>
      </c>
      <c r="X190" s="12" t="n">
        <v>2164942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부문 · Operating Profit Loss</t>
        </is>
      </c>
      <c r="C192" s="20" t="n">
        <v>34978</v>
      </c>
      <c r="D192" s="20" t="n">
        <v>24480</v>
      </c>
      <c r="E192" s="20" t="n">
        <v>23671</v>
      </c>
      <c r="F192" s="20" t="n">
        <v>25847</v>
      </c>
      <c r="G192" s="20" t="n">
        <v>46127</v>
      </c>
      <c r="H192" s="20" t="n">
        <v>32263</v>
      </c>
      <c r="I192" s="20" t="n">
        <v>34724</v>
      </c>
      <c r="J192" s="20" t="n">
        <v>28903</v>
      </c>
      <c r="K192" s="20" t="n">
        <v>5730</v>
      </c>
      <c r="V192" s="20" t="n">
        <v>24480</v>
      </c>
      <c r="W192" s="20" t="n">
        <v>32263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IF(OR(C192="",C171=""),"",IF(C171&lt;=0,"",IFERROR(C192/C171,"")))</f>
        <v/>
      </c>
      <c r="D193" s="15">
        <f>IF(OR(D192="",D171=""),"",IF(D171&lt;=0,"",IFERROR(D192/D171,"")))</f>
        <v/>
      </c>
      <c r="E193" s="15">
        <f>IF(OR(E192="",E171=""),"",IF(E171&lt;=0,"",IFERROR(E192/E171,"")))</f>
        <v/>
      </c>
      <c r="F193" s="15">
        <f>IF(OR(F192="",F171=""),"",IF(F171&lt;=0,"",IFERROR(F192/F171,"")))</f>
        <v/>
      </c>
      <c r="G193" s="15">
        <f>IF(OR(G192="",G171=""),"",IF(G171&lt;=0,"",IFERROR(G192/G171,"")))</f>
        <v/>
      </c>
      <c r="H193" s="15">
        <f>IF(OR(H192="",H171=""),"",IF(H171&lt;=0,"",IFERROR(H192/H171,"")))</f>
        <v/>
      </c>
      <c r="I193" s="15">
        <f>IF(OR(I192="",I171=""),"",IF(I171&lt;=0,"",IFERROR(I192/I171,"")))</f>
        <v/>
      </c>
      <c r="J193" s="15">
        <f>IF(OR(J192="",J171=""),"",IF(J171&lt;=0,"",IFERROR(J192/J171,"")))</f>
        <v/>
      </c>
      <c r="K193" s="15">
        <f>IF(OR(K192="",K171=""),"",IF(K171&lt;=0,"",IFERROR(K192/K171,"")))</f>
        <v/>
      </c>
      <c r="V193" s="15">
        <f>IF(OR(V192="",V171=""),"",IF(V171&lt;=0,"",IFERROR(V192/V171,"")))</f>
        <v/>
      </c>
      <c r="W193" s="15">
        <f>IF(OR(W192="",W171=""),"",IF(W171&lt;=0,"",IFERROR(W192/W171,"")))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</row>
    <row r="195">
      <c r="A195" s="18" t="inlineStr">
        <is>
          <t>부문 · Operating Profit Loss</t>
        </is>
      </c>
      <c r="C195" s="20" t="n">
        <v>8438</v>
      </c>
      <c r="D195" s="20" t="n">
        <v>15833</v>
      </c>
      <c r="E195" s="20" t="n">
        <v>5955</v>
      </c>
      <c r="F195" s="20" t="n">
        <v>18571</v>
      </c>
      <c r="G195" s="20" t="n">
        <v>19168</v>
      </c>
      <c r="H195" s="20" t="n">
        <v>32981</v>
      </c>
      <c r="I195" s="20" t="n">
        <v>5848</v>
      </c>
      <c r="J195" s="20" t="n">
        <v>23017</v>
      </c>
      <c r="K195" s="20" t="n">
        <v>28922</v>
      </c>
      <c r="L195" s="20" t="n">
        <v>42309</v>
      </c>
      <c r="M195" s="20" t="n">
        <v>25501</v>
      </c>
      <c r="N195" s="20" t="n">
        <v>32581</v>
      </c>
      <c r="V195" s="20" t="n">
        <v>15833</v>
      </c>
      <c r="W195" s="20" t="n">
        <v>32981</v>
      </c>
      <c r="X195" s="20" t="n">
        <v>42309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IF(OR(C195="",C173=""),"",IF(C173&lt;=0,"",IFERROR(C195/C173,"")))</f>
        <v/>
      </c>
      <c r="D196" s="15">
        <f>IF(OR(D195="",D173=""),"",IF(D173&lt;=0,"",IFERROR(D195/D173,"")))</f>
        <v/>
      </c>
      <c r="E196" s="15">
        <f>IF(OR(E195="",E173=""),"",IF(E173&lt;=0,"",IFERROR(E195/E173,"")))</f>
        <v/>
      </c>
      <c r="F196" s="15">
        <f>IF(OR(F195="",F173=""),"",IF(F173&lt;=0,"",IFERROR(F195/F173,"")))</f>
        <v/>
      </c>
      <c r="G196" s="15">
        <f>IF(OR(G195="",G173=""),"",IF(G173&lt;=0,"",IFERROR(G195/G173,"")))</f>
        <v/>
      </c>
      <c r="H196" s="15">
        <f>IF(OR(H195="",H173=""),"",IF(H173&lt;=0,"",IFERROR(H195/H173,"")))</f>
        <v/>
      </c>
      <c r="I196" s="15">
        <f>IF(OR(I195="",I173=""),"",IF(I173&lt;=0,"",IFERROR(I195/I173,"")))</f>
        <v/>
      </c>
      <c r="J196" s="15">
        <f>IF(OR(J195="",J173=""),"",IF(J173&lt;=0,"",IFERROR(J195/J173,"")))</f>
        <v/>
      </c>
      <c r="K196" s="15">
        <f>IF(OR(K195="",K173=""),"",IF(K173&lt;=0,"",IFERROR(K195/K173,"")))</f>
        <v/>
      </c>
      <c r="L196" s="15">
        <f>IF(OR(L195="",L173=""),"",IF(L173&lt;=0,"",IFERROR(L195/L173,"")))</f>
        <v/>
      </c>
      <c r="M196" s="15">
        <f>IF(OR(M195="",M173=""),"",IF(M173&lt;=0,"",IFERROR(M195/M173,"")))</f>
        <v/>
      </c>
      <c r="N196" s="15">
        <f>IF(OR(N195="",N173=""),"",IF(N173&lt;=0,"",IFERROR(N195/N173,"")))</f>
        <v/>
      </c>
      <c r="V196" s="15">
        <f>IF(OR(V195="",V173=""),"",IF(V173&lt;=0,"",IFERROR(V195/V173,"")))</f>
        <v/>
      </c>
      <c r="W196" s="15">
        <f>IF(OR(W195="",W173=""),"",IF(W173&lt;=0,"",IFERROR(W195/W173,"")))</f>
        <v/>
      </c>
      <c r="X196" s="15">
        <f>IF(OR(X195="",X173=""),"",IF(X173&lt;=0,"",IFERROR(X195/X173,"")))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L197" s="15">
        <f>IF(OR(L195="",H195=""),"",IF(H195&lt;=0,"",IFERROR(L195/H195-1,"")))</f>
        <v/>
      </c>
      <c r="M197" s="15">
        <f>IF(OR(M195="",I195=""),"",IF(I195&lt;=0,"",IFERROR(M195/I195-1,"")))</f>
        <v/>
      </c>
      <c r="N197" s="15">
        <f>IF(OR(N195="",J195=""),"",IF(J195&lt;=0,"",IFERROR(N195/J195-1,"")))</f>
        <v/>
      </c>
      <c r="V197" s="15">
        <f>IF(OR(V195="",U195=""),"",IF(U195&lt;=0,"",IFERROR(V195/U195-1,"")))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부문 · Operating Profit Loss</t>
        </is>
      </c>
      <c r="I198" s="20" t="n">
        <v>11173</v>
      </c>
      <c r="J198" s="20" t="n">
        <v>15979</v>
      </c>
      <c r="M198" s="20" t="n">
        <v>24843</v>
      </c>
      <c r="N198" s="20" t="n">
        <v>32452</v>
      </c>
    </row>
    <row r="199">
      <c r="A199" s="43" t="inlineStr">
        <is>
          <t>OPM</t>
        </is>
      </c>
      <c r="B199" s="3" t="inlineStr">
        <is>
          <t>영업이익 ÷ 매출</t>
        </is>
      </c>
      <c r="I199" s="15">
        <f>IF(OR(I198="",I175=""),"",IF(I175&lt;=0,"",IFERROR(I198/I175,"")))</f>
        <v/>
      </c>
      <c r="J199" s="15">
        <f>IF(OR(J198="",J175=""),"",IF(J175&lt;=0,"",IFERROR(J198/J175,"")))</f>
        <v/>
      </c>
      <c r="M199" s="15">
        <f>IF(OR(M198="",M175=""),"",IF(M175&lt;=0,"",IFERROR(M198/M175,"")))</f>
        <v/>
      </c>
      <c r="N199" s="15">
        <f>IF(OR(N198="",N175=""),"",IF(N175&lt;=0,"",IFERROR(N198/N175,"")))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</row>
    <row r="201">
      <c r="A201" s="18" t="inlineStr">
        <is>
          <t>HVAC ＆ CC · Operating Profit Loss</t>
        </is>
      </c>
      <c r="I201" s="20" t="n">
        <v>15712</v>
      </c>
      <c r="J201" s="20" t="n">
        <v>3546</v>
      </c>
      <c r="M201" s="20" t="n">
        <v>14530</v>
      </c>
      <c r="N201" s="20" t="n">
        <v>16221</v>
      </c>
    </row>
    <row r="202">
      <c r="A202" s="43" t="inlineStr">
        <is>
          <t>OPM</t>
        </is>
      </c>
      <c r="B202" s="3" t="inlineStr">
        <is>
          <t>영업이익 ÷ 매출</t>
        </is>
      </c>
      <c r="I202" s="15">
        <f>IF(OR(I201="",I177=""),"",IF(I177&lt;=0,"",IFERROR(I201/I177,"")))</f>
        <v/>
      </c>
      <c r="J202" s="15">
        <f>IF(OR(J201="",J177=""),"",IF(J177&lt;=0,"",IFERROR(J201/J177,"")))</f>
        <v/>
      </c>
      <c r="M202" s="15">
        <f>IF(OR(M201="",M177=""),"",IF(M177&lt;=0,"",IFERROR(M201/M177,"")))</f>
        <v/>
      </c>
      <c r="N202" s="15">
        <f>IF(OR(N201="",N177=""),"",IF(N177&lt;=0,"",IFERROR(N201/N177,"")))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</row>
    <row r="204">
      <c r="A204" s="18" t="inlineStr">
        <is>
          <t>부문 · Operating Profit Loss</t>
        </is>
      </c>
      <c r="C204" s="20" t="n">
        <v>30217</v>
      </c>
      <c r="D204" s="20" t="n">
        <v>6136</v>
      </c>
      <c r="E204" s="20" t="n">
        <v>21614</v>
      </c>
      <c r="F204" s="20" t="n">
        <v>32665</v>
      </c>
      <c r="G204" s="20" t="n">
        <v>42028</v>
      </c>
      <c r="H204" s="20" t="n">
        <v>23881</v>
      </c>
      <c r="I204" s="20" t="n">
        <v>31856</v>
      </c>
      <c r="J204" s="20" t="n">
        <v>1227</v>
      </c>
      <c r="K204" s="20" t="n">
        <v>40558</v>
      </c>
      <c r="L204" s="20" t="n">
        <v>-3846</v>
      </c>
      <c r="M204" s="20" t="n">
        <v>40882</v>
      </c>
      <c r="N204" s="20" t="n">
        <v>55627</v>
      </c>
      <c r="V204" s="20" t="n">
        <v>6136</v>
      </c>
      <c r="W204" s="20" t="n">
        <v>23881</v>
      </c>
      <c r="X204" s="20" t="n">
        <v>-3846</v>
      </c>
    </row>
    <row r="205">
      <c r="A205" s="43" t="inlineStr">
        <is>
          <t>OPM</t>
        </is>
      </c>
      <c r="B205" s="3" t="inlineStr">
        <is>
          <t>영업이익 ÷ 매출</t>
        </is>
      </c>
      <c r="C205" s="15">
        <f>IF(OR(C204="",C179=""),"",IF(C179&lt;=0,"",IFERROR(C204/C179,"")))</f>
        <v/>
      </c>
      <c r="D205" s="15">
        <f>IF(OR(D204="",D179=""),"",IF(D179&lt;=0,"",IFERROR(D204/D179,"")))</f>
        <v/>
      </c>
      <c r="E205" s="15">
        <f>IF(OR(E204="",E179=""),"",IF(E179&lt;=0,"",IFERROR(E204/E179,"")))</f>
        <v/>
      </c>
      <c r="F205" s="15">
        <f>IF(OR(F204="",F179=""),"",IF(F179&lt;=0,"",IFERROR(F204/F179,"")))</f>
        <v/>
      </c>
      <c r="G205" s="15">
        <f>IF(OR(G204="",G179=""),"",IF(G179&lt;=0,"",IFERROR(G204/G179,"")))</f>
        <v/>
      </c>
      <c r="H205" s="15">
        <f>IF(OR(H204="",H179=""),"",IF(H179&lt;=0,"",IFERROR(H204/H179,"")))</f>
        <v/>
      </c>
      <c r="I205" s="15">
        <f>IF(OR(I204="",I179=""),"",IF(I179&lt;=0,"",IFERROR(I204/I179,"")))</f>
        <v/>
      </c>
      <c r="J205" s="15">
        <f>IF(OR(J204="",J179=""),"",IF(J179&lt;=0,"",IFERROR(J204/J179,"")))</f>
        <v/>
      </c>
      <c r="K205" s="15">
        <f>IF(OR(K204="",K179=""),"",IF(K179&lt;=0,"",IFERROR(K204/K179,"")))</f>
        <v/>
      </c>
      <c r="L205" s="15">
        <f>IF(OR(L204="",L179=""),"",IF(L179&lt;=0,"",IFERROR(L204/L179,"")))</f>
        <v/>
      </c>
      <c r="M205" s="15">
        <f>IF(OR(M204="",M179=""),"",IF(M179&lt;=0,"",IFERROR(M204/M179,"")))</f>
        <v/>
      </c>
      <c r="N205" s="15">
        <f>IF(OR(N204="",N179=""),"",IF(N179&lt;=0,"",IFERROR(N204/N179,"")))</f>
        <v/>
      </c>
      <c r="V205" s="15">
        <f>IF(OR(V204="",V179=""),"",IF(V179&lt;=0,"",IFERROR(V204/V179,"")))</f>
        <v/>
      </c>
      <c r="W205" s="15">
        <f>IF(OR(W204="",W179=""),"",IF(W179&lt;=0,"",IFERROR(W204/W179,"")))</f>
        <v/>
      </c>
      <c r="X205" s="15">
        <f>IF(OR(X204="",X179=""),"",IF(X179&lt;=0,"",IFERROR(X204/X179,"")))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K206" s="15">
        <f>IF(OR(K204="",G204=""),"",IF(G204&lt;=0,"",IFERROR(K204/G204-1,"")))</f>
        <v/>
      </c>
      <c r="L206" s="15">
        <f>IF(OR(L204="",H204=""),"",IF(H204&lt;=0,"",IFERROR(L204/H204-1,"")))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인더스트리 · Operating Profit Loss</t>
        </is>
      </c>
      <c r="C207" s="20" t="n">
        <v>11685</v>
      </c>
      <c r="D207" s="20" t="n">
        <v>6262</v>
      </c>
      <c r="E207" s="20" t="n">
        <v>17435</v>
      </c>
      <c r="F207" s="20" t="n">
        <v>13418</v>
      </c>
      <c r="G207" s="20" t="n">
        <v>11603</v>
      </c>
      <c r="H207" s="20" t="n">
        <v>779</v>
      </c>
      <c r="I207" s="20" t="n">
        <v>19427</v>
      </c>
      <c r="J207" s="20" t="n">
        <v>26904</v>
      </c>
      <c r="K207" s="20" t="n">
        <v>-17945</v>
      </c>
      <c r="L207" s="20" t="n">
        <v>12071</v>
      </c>
      <c r="M207" s="20" t="n">
        <v>39094</v>
      </c>
      <c r="N207" s="20" t="n">
        <v>47824</v>
      </c>
      <c r="V207" s="20" t="n">
        <v>6262</v>
      </c>
      <c r="W207" s="20" t="n">
        <v>779</v>
      </c>
      <c r="X207" s="20" t="n">
        <v>12071</v>
      </c>
    </row>
    <row r="208">
      <c r="A208" s="43" t="inlineStr">
        <is>
          <t>OPM</t>
        </is>
      </c>
      <c r="B208" s="3" t="inlineStr">
        <is>
          <t>영업이익 ÷ 매출</t>
        </is>
      </c>
      <c r="C208" s="15">
        <f>IF(OR(C207="",C181=""),"",IF(C181&lt;=0,"",IFERROR(C207/C181,"")))</f>
        <v/>
      </c>
      <c r="D208" s="15">
        <f>IF(OR(D207="",D181=""),"",IF(D181&lt;=0,"",IFERROR(D207/D181,"")))</f>
        <v/>
      </c>
      <c r="E208" s="15">
        <f>IF(OR(E207="",E181=""),"",IF(E181&lt;=0,"",IFERROR(E207/E181,"")))</f>
        <v/>
      </c>
      <c r="F208" s="15">
        <f>IF(OR(F207="",F181=""),"",IF(F181&lt;=0,"",IFERROR(F207/F181,"")))</f>
        <v/>
      </c>
      <c r="G208" s="15">
        <f>IF(OR(G207="",G181=""),"",IF(G181&lt;=0,"",IFERROR(G207/G181,"")))</f>
        <v/>
      </c>
      <c r="H208" s="15">
        <f>IF(OR(H207="",H181=""),"",IF(H181&lt;=0,"",IFERROR(H207/H181,"")))</f>
        <v/>
      </c>
      <c r="I208" s="15">
        <f>IF(OR(I207="",I181=""),"",IF(I181&lt;=0,"",IFERROR(I207/I181,"")))</f>
        <v/>
      </c>
      <c r="J208" s="15">
        <f>IF(OR(J207="",J181=""),"",IF(J181&lt;=0,"",IFERROR(J207/J181,"")))</f>
        <v/>
      </c>
      <c r="K208" s="15">
        <f>IF(OR(K207="",K181=""),"",IF(K181&lt;=0,"",IFERROR(K207/K181,"")))</f>
        <v/>
      </c>
      <c r="L208" s="15">
        <f>IF(OR(L207="",L181=""),"",IF(L181&lt;=0,"",IFERROR(L207/L181,"")))</f>
        <v/>
      </c>
      <c r="M208" s="15">
        <f>IF(OR(M207="",M181=""),"",IF(M181&lt;=0,"",IFERROR(M207/M181,"")))</f>
        <v/>
      </c>
      <c r="N208" s="15">
        <f>IF(OR(N207="",N181=""),"",IF(N181&lt;=0,"",IFERROR(N207/N181,"")))</f>
        <v/>
      </c>
      <c r="V208" s="15">
        <f>IF(OR(V207="",V181=""),"",IF(V181&lt;=0,"",IFERROR(V207/V181,"")))</f>
        <v/>
      </c>
      <c r="W208" s="15">
        <f>IF(OR(W207="",W181=""),"",IF(W181&lt;=0,"",IFERROR(W207/W181,"")))</f>
        <v/>
      </c>
      <c r="X208" s="15">
        <f>IF(OR(X207="",X181=""),"",IF(X181&lt;=0,"",IFERROR(X207/X181,"")))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부문 · Operating Profit Loss</t>
        </is>
      </c>
      <c r="I210" s="20" t="n">
        <v>7949</v>
      </c>
      <c r="J210" s="20" t="n">
        <v>7441</v>
      </c>
      <c r="M210" s="20" t="n">
        <v>11796</v>
      </c>
      <c r="N210" s="20" t="n">
        <v>-4517</v>
      </c>
    </row>
    <row r="211">
      <c r="A211" s="43" t="inlineStr">
        <is>
          <t>OPM</t>
        </is>
      </c>
      <c r="B211" s="3" t="inlineStr">
        <is>
          <t>영업이익 ÷ 매출</t>
        </is>
      </c>
      <c r="I211" s="15">
        <f>IF(OR(I210="",I183=""),"",IF(I183&lt;=0,"",IFERROR(I210/I183,"")))</f>
        <v/>
      </c>
      <c r="J211" s="15">
        <f>IF(OR(J210="",J183=""),"",IF(J183&lt;=0,"",IFERROR(J210/J183,"")))</f>
        <v/>
      </c>
      <c r="M211" s="15">
        <f>IF(OR(M210="",M183=""),"",IF(M183&lt;=0,"",IFERROR(M210/M183,"")))</f>
        <v/>
      </c>
      <c r="N211" s="15">
        <f>IF(OR(N210="",N183=""),"",IF(N183&lt;=0,"",IFERROR(N210/N183,"")))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I212" s="15">
        <f>IF(OR(I210="",E210=""),"",IF(E210&lt;=0,"",IFERROR(I210/E210-1,"")))</f>
        <v/>
      </c>
      <c r="J212" s="15">
        <f>IF(OR(J210="",F210=""),"",IF(F210&lt;=0,"",IFERROR(J210/F210-1,"")))</f>
        <v/>
      </c>
      <c r="M212" s="15">
        <f>IF(OR(M210="",I210=""),"",IF(I210&lt;=0,"",IFERROR(M210/I210-1,"")))</f>
        <v/>
      </c>
      <c r="N212" s="15">
        <f>IF(OR(N210="",J210=""),"",IF(J210&lt;=0,"",IFERROR(N210/J210-1,"")))</f>
        <v/>
      </c>
    </row>
    <row r="213">
      <c r="A213" s="18" t="inlineStr">
        <is>
          <t>부문 · Operating Profit Loss</t>
        </is>
      </c>
      <c r="C213" s="20" t="n">
        <v>18097</v>
      </c>
      <c r="D213" s="20" t="n">
        <v>5497</v>
      </c>
      <c r="E213" s="20" t="n">
        <v>13575</v>
      </c>
      <c r="F213" s="20" t="n">
        <v>8401</v>
      </c>
      <c r="G213" s="20" t="n">
        <v>8139</v>
      </c>
      <c r="H213" s="20" t="n">
        <v>0</v>
      </c>
      <c r="I213" s="20" t="n">
        <v>0</v>
      </c>
      <c r="J213" s="20" t="n">
        <v>0</v>
      </c>
      <c r="K213" s="20" t="n">
        <v>0</v>
      </c>
      <c r="L213" s="20" t="n">
        <v>0</v>
      </c>
      <c r="V213" s="20" t="n">
        <v>5497</v>
      </c>
      <c r="W213" s="20" t="n">
        <v>0</v>
      </c>
      <c r="X213" s="20" t="n">
        <v>0</v>
      </c>
    </row>
    <row r="214">
      <c r="A214" s="43" t="inlineStr">
        <is>
          <t>OPM</t>
        </is>
      </c>
      <c r="B214" s="3" t="inlineStr">
        <is>
          <t>영업이익 ÷ 매출</t>
        </is>
      </c>
      <c r="C214" s="15">
        <f>IF(OR(C213="",C185=""),"",IF(C185&lt;=0,"",IFERROR(C213/C185,"")))</f>
        <v/>
      </c>
      <c r="D214" s="15">
        <f>IF(OR(D213="",D185=""),"",IF(D185&lt;=0,"",IFERROR(D213/D185,"")))</f>
        <v/>
      </c>
      <c r="E214" s="15">
        <f>IF(OR(E213="",E185=""),"",IF(E185&lt;=0,"",IFERROR(E213/E185,"")))</f>
        <v/>
      </c>
      <c r="F214" s="15">
        <f>IF(OR(F213="",F185=""),"",IF(F185&lt;=0,"",IFERROR(F213/F185,"")))</f>
        <v/>
      </c>
      <c r="G214" s="15">
        <f>IF(OR(G213="",G185=""),"",IF(G185&lt;=0,"",IFERROR(G213/G185,"")))</f>
        <v/>
      </c>
      <c r="H214" s="15">
        <f>IF(OR(H213="",H185=""),"",IF(H185&lt;=0,"",IFERROR(H213/H185,"")))</f>
        <v/>
      </c>
      <c r="I214" s="15">
        <f>IF(OR(I213="",I185=""),"",IF(I185&lt;=0,"",IFERROR(I213/I185,"")))</f>
        <v/>
      </c>
      <c r="J214" s="15">
        <f>IF(OR(J213="",J185=""),"",IF(J185&lt;=0,"",IFERROR(J213/J185,"")))</f>
        <v/>
      </c>
      <c r="K214" s="15">
        <f>IF(OR(K213="",K185=""),"",IF(K185&lt;=0,"",IFERROR(K213/K185,"")))</f>
        <v/>
      </c>
      <c r="L214" s="15">
        <f>IF(OR(L213="",L185=""),"",IF(L185&lt;=0,"",IFERROR(L213/L185,"")))</f>
        <v/>
      </c>
      <c r="V214" s="15">
        <f>IF(OR(V213="",V185=""),"",IF(V185&lt;=0,"",IFERROR(V213/V185,"")))</f>
        <v/>
      </c>
      <c r="W214" s="15">
        <f>IF(OR(W213="",W185=""),"",IF(W185&lt;=0,"",IFERROR(W213/W185,"")))</f>
        <v/>
      </c>
      <c r="X214" s="15">
        <f>IF(OR(X213="",X185=""),"",IF(X185&lt;=0,"",IFERROR(X213/X185,"")))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IF(OR(G213="",C213=""),"",IF(C213&lt;=0,"",IFERROR(G213/C213-1,"")))</f>
        <v/>
      </c>
      <c r="H215" s="15">
        <f>IF(OR(H213="",D213=""),"",IF(D213&lt;=0,"",IFERROR(H213/D213-1,"")))</f>
        <v/>
      </c>
      <c r="I215" s="15">
        <f>IF(OR(I213="",E213=""),"",IF(E213&lt;=0,"",IFERROR(I213/E213-1,"")))</f>
        <v/>
      </c>
      <c r="J215" s="15">
        <f>IF(OR(J213="",F213=""),"",IF(F213&lt;=0,"",IFERROR(J213/F213-1,"")))</f>
        <v/>
      </c>
      <c r="K215" s="15">
        <f>IF(OR(K213="",G213=""),"",IF(G213&lt;=0,"",IFERROR(K213/G213-1,"")))</f>
        <v/>
      </c>
      <c r="L215" s="15">
        <f>IF(OR(L213="",H213=""),"",IF(H213&lt;=0,"",IFERROR(L213/H213-1,"")))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6">
      <c r="A216" s="18" t="inlineStr">
        <is>
          <t>기타 · Operating Profit Loss</t>
        </is>
      </c>
      <c r="C216" s="20" t="n">
        <v>22417</v>
      </c>
      <c r="D216" s="20" t="n">
        <v>11549</v>
      </c>
      <c r="E216" s="20" t="n">
        <v>15686</v>
      </c>
      <c r="F216" s="20" t="n">
        <v>21700</v>
      </c>
      <c r="G216" s="20" t="n">
        <v>31821</v>
      </c>
      <c r="H216" s="20" t="n">
        <v>8514</v>
      </c>
      <c r="I216" s="20" t="n">
        <v>13897</v>
      </c>
      <c r="J216" s="20" t="n">
        <v>8973</v>
      </c>
      <c r="K216" s="20" t="n">
        <v>-9195</v>
      </c>
      <c r="L216" s="20" t="n">
        <v>37182</v>
      </c>
      <c r="M216" s="20" t="n">
        <v>21229</v>
      </c>
      <c r="N216" s="20" t="n">
        <v>16057</v>
      </c>
      <c r="V216" s="20" t="n">
        <v>11549</v>
      </c>
      <c r="W216" s="20" t="n">
        <v>8514</v>
      </c>
      <c r="X216" s="20" t="n">
        <v>37182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IF(OR(C216="",C187=""),"",IF(C187&lt;=0,"",IFERROR(C216/C187,"")))</f>
        <v/>
      </c>
      <c r="D217" s="15">
        <f>IF(OR(D216="",D187=""),"",IF(D187&lt;=0,"",IFERROR(D216/D187,"")))</f>
        <v/>
      </c>
      <c r="E217" s="15">
        <f>IF(OR(E216="",E187=""),"",IF(E187&lt;=0,"",IFERROR(E216/E187,"")))</f>
        <v/>
      </c>
      <c r="F217" s="15">
        <f>IF(OR(F216="",F187=""),"",IF(F187&lt;=0,"",IFERROR(F216/F187,"")))</f>
        <v/>
      </c>
      <c r="G217" s="15">
        <f>IF(OR(G216="",G187=""),"",IF(G187&lt;=0,"",IFERROR(G216/G187,"")))</f>
        <v/>
      </c>
      <c r="H217" s="15">
        <f>IF(OR(H216="",H187=""),"",IF(H187&lt;=0,"",IFERROR(H216/H187,"")))</f>
        <v/>
      </c>
      <c r="I217" s="15">
        <f>IF(OR(I216="",I187=""),"",IF(I187&lt;=0,"",IFERROR(I216/I187,"")))</f>
        <v/>
      </c>
      <c r="J217" s="15">
        <f>IF(OR(J216="",J187=""),"",IF(J187&lt;=0,"",IFERROR(J216/J187,"")))</f>
        <v/>
      </c>
      <c r="K217" s="15">
        <f>IF(OR(K216="",K187=""),"",IF(K187&lt;=0,"",IFERROR(K216/K187,"")))</f>
        <v/>
      </c>
      <c r="L217" s="15">
        <f>IF(OR(L216="",L187=""),"",IF(L187&lt;=0,"",IFERROR(L216/L187,"")))</f>
        <v/>
      </c>
      <c r="M217" s="15">
        <f>IF(OR(M216="",M187=""),"",IF(M187&lt;=0,"",IFERROR(M216/M187,"")))</f>
        <v/>
      </c>
      <c r="N217" s="15">
        <f>IF(OR(N216="",N187=""),"",IF(N187&lt;=0,"",IFERROR(N216/N187,"")))</f>
        <v/>
      </c>
      <c r="V217" s="15">
        <f>IF(OR(V216="",V187=""),"",IF(V187&lt;=0,"",IFERROR(V216/V187,"")))</f>
        <v/>
      </c>
      <c r="W217" s="15">
        <f>IF(OR(W216="",W187=""),"",IF(W187&lt;=0,"",IFERROR(W216/W187,"")))</f>
        <v/>
      </c>
      <c r="X217" s="15">
        <f>IF(OR(X216="",X187=""),"",IF(X187&lt;=0,"",IFERROR(X216/X187,"")))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I218" s="15">
        <f>IF(OR(I216="",E216=""),"",IF(E216&lt;=0,"",IFERROR(I216/E216-1,"")))</f>
        <v/>
      </c>
      <c r="J218" s="15">
        <f>IF(OR(J216="",F216=""),"",IF(F216&lt;=0,"",IFERROR(J216/F216-1,"")))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M218" s="15">
        <f>IF(OR(M216="",I216=""),"",IF(I216&lt;=0,"",IFERROR(M216/I216-1,"")))</f>
        <v/>
      </c>
      <c r="N218" s="15">
        <f>IF(OR(N216="",J216=""),"",IF(J216&lt;=0,"",IFERROR(N216/J216-1,"")))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19">
      <c r="A219" s="18" t="inlineStr">
        <is>
          <t>조정액 · Operating Profit Loss</t>
        </is>
      </c>
      <c r="C219" s="20" t="n">
        <v>1590</v>
      </c>
      <c r="D219" s="20" t="n">
        <v>-29052</v>
      </c>
      <c r="E219" s="20" t="n">
        <v>-14175</v>
      </c>
      <c r="F219" s="20" t="n">
        <v>11683</v>
      </c>
      <c r="G219" s="20" t="n">
        <v>-26624</v>
      </c>
      <c r="H219" s="20" t="n">
        <v>-25620</v>
      </c>
      <c r="I219" s="20" t="n">
        <v>-18959</v>
      </c>
      <c r="J219" s="20" t="n">
        <v>-8994</v>
      </c>
      <c r="K219" s="20" t="n">
        <v>-57114</v>
      </c>
      <c r="L219" s="20" t="n">
        <v>16787</v>
      </c>
      <c r="M219" s="20" t="n">
        <v>4580</v>
      </c>
      <c r="N219" s="20" t="n">
        <v>-15471</v>
      </c>
      <c r="V219" s="20" t="n">
        <v>-29052</v>
      </c>
      <c r="W219" s="20" t="n">
        <v>-25620</v>
      </c>
      <c r="X219" s="20" t="n">
        <v>16787</v>
      </c>
    </row>
    <row r="220">
      <c r="A220" s="18" t="inlineStr">
        <is>
          <t>Operating Profit Loss</t>
        </is>
      </c>
      <c r="C220" s="20" t="n">
        <v>127422</v>
      </c>
      <c r="D220" s="20" t="n">
        <v>40705</v>
      </c>
      <c r="E220" s="20" t="n">
        <v>83761</v>
      </c>
      <c r="F220" s="20" t="n">
        <v>132285</v>
      </c>
      <c r="G220" s="20" t="n">
        <v>132262</v>
      </c>
      <c r="H220" s="20" t="n">
        <v>78182</v>
      </c>
      <c r="I220" s="20" t="n">
        <v>86903</v>
      </c>
      <c r="J220" s="20" t="n">
        <v>78093</v>
      </c>
      <c r="K220" s="20" t="n">
        <v>-7217</v>
      </c>
      <c r="L220" s="20" t="n">
        <v>78628</v>
      </c>
      <c r="M220" s="20" t="n">
        <v>182455</v>
      </c>
      <c r="N220" s="20" t="n">
        <v>180774</v>
      </c>
      <c r="V220" s="20" t="n">
        <v>40705</v>
      </c>
      <c r="W220" s="20" t="n">
        <v>78182</v>
      </c>
      <c r="X220" s="20" t="n">
        <v>78628</v>
      </c>
    </row>
    <row r="221">
      <c r="A221" s="43" t="inlineStr">
        <is>
          <t>OPM</t>
        </is>
      </c>
      <c r="B221" s="3" t="inlineStr">
        <is>
          <t>영업이익 ÷ 매출</t>
        </is>
      </c>
      <c r="C221" s="15">
        <f>IF(OR(C220="",C190=""),"",IF(C190&lt;=0,"",IFERROR(C220/C190,"")))</f>
        <v/>
      </c>
      <c r="D221" s="15">
        <f>IF(OR(D220="",D190=""),"",IF(D190&lt;=0,"",IFERROR(D220/D190,"")))</f>
        <v/>
      </c>
      <c r="E221" s="15">
        <f>IF(OR(E220="",E190=""),"",IF(E190&lt;=0,"",IFERROR(E220/E190,"")))</f>
        <v/>
      </c>
      <c r="F221" s="15">
        <f>IF(OR(F220="",F190=""),"",IF(F190&lt;=0,"",IFERROR(F220/F190,"")))</f>
        <v/>
      </c>
      <c r="G221" s="15">
        <f>IF(OR(G220="",G190=""),"",IF(G190&lt;=0,"",IFERROR(G220/G190,"")))</f>
        <v/>
      </c>
      <c r="H221" s="15">
        <f>IF(OR(H220="",H190=""),"",IF(H190&lt;=0,"",IFERROR(H220/H190,"")))</f>
        <v/>
      </c>
      <c r="I221" s="15">
        <f>IF(OR(I220="",I190=""),"",IF(I190&lt;=0,"",IFERROR(I220/I190,"")))</f>
        <v/>
      </c>
      <c r="J221" s="15">
        <f>IF(OR(J220="",J190=""),"",IF(J190&lt;=0,"",IFERROR(J220/J190,"")))</f>
        <v/>
      </c>
      <c r="K221" s="15">
        <f>IF(OR(K220="",K190=""),"",IF(K190&lt;=0,"",IFERROR(K220/K190,"")))</f>
        <v/>
      </c>
      <c r="L221" s="15">
        <f>IF(OR(L220="",L190=""),"",IF(L190&lt;=0,"",IFERROR(L220/L190,"")))</f>
        <v/>
      </c>
      <c r="M221" s="15">
        <f>IF(OR(M220="",M190=""),"",IF(M190&lt;=0,"",IFERROR(M220/M190,"")))</f>
        <v/>
      </c>
      <c r="N221" s="15">
        <f>IF(OR(N220="",N190=""),"",IF(N190&lt;=0,"",IFERROR(N220/N190,"")))</f>
        <v/>
      </c>
      <c r="V221" s="15">
        <f>IF(OR(V220="",V190=""),"",IF(V190&lt;=0,"",IFERROR(V220/V190,"")))</f>
        <v/>
      </c>
      <c r="W221" s="15">
        <f>IF(OR(W220="",W190=""),"",IF(W190&lt;=0,"",IFERROR(W220/W190,"")))</f>
        <v/>
      </c>
      <c r="X221" s="15">
        <f>IF(OR(X220="",X190=""),"",IF(X190&lt;=0,"",IFERROR(X220/X190,"")))</f>
        <v/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IF(OR(G220="",C220=""),"",IF(C220&lt;=0,"",IFERROR(G220/C220-1,"")))</f>
        <v/>
      </c>
      <c r="H222" s="15">
        <f>IF(OR(H220="",D220=""),"",IF(D220&lt;=0,"",IFERROR(H220/D220-1,"")))</f>
        <v/>
      </c>
      <c r="I222" s="15">
        <f>IF(OR(I220="",E220=""),"",IF(E220&lt;=0,"",IFERROR(I220/E220-1,"")))</f>
        <v/>
      </c>
      <c r="J222" s="15">
        <f>IF(OR(J220="",F220=""),"",IF(F220&lt;=0,"",IFERROR(J220/F220-1,"")))</f>
        <v/>
      </c>
      <c r="K222" s="15">
        <f>IF(OR(K220="",G220=""),"",IF(G220&lt;=0,"",IFERROR(K220/G220-1,"")))</f>
        <v/>
      </c>
      <c r="L222" s="15">
        <f>IF(OR(L220="",H220=""),"",IF(H220&lt;=0,"",IFERROR(L220/H220-1,"")))</f>
        <v/>
      </c>
      <c r="M222" s="15">
        <f>IF(OR(M220="",I220=""),"",IF(I220&lt;=0,"",IFERROR(M220/I220-1,"")))</f>
        <v/>
      </c>
      <c r="N222" s="15">
        <f>IF(OR(N220="",J220=""),"",IF(J220&lt;=0,"",IFERROR(N220/J220-1,"")))</f>
        <v/>
      </c>
      <c r="V222" s="15">
        <f>IF(OR(V220="",U220=""),"",IF(U220&lt;=0,"",IFERROR(V220/U220-1,"")))</f>
        <v/>
      </c>
      <c r="W222" s="15">
        <f>IF(OR(W220="",V220=""),"",IF(V220&lt;=0,"",IFERROR(W220/V220-1,"")))</f>
        <v/>
      </c>
      <c r="X222" s="15">
        <f>IF(OR(X220="",W220=""),"",IF(W220&lt;=0,"",IFERROR(X220/W220-1,"")))</f>
        <v/>
      </c>
    </row>
    <row r="223">
      <c r="A223" s="18" t="inlineStr">
        <is>
          <t>부문 · Sales To External Customers</t>
        </is>
      </c>
      <c r="C223" s="20" t="n">
        <v>840564</v>
      </c>
      <c r="D223" s="20" t="n">
        <v>847867</v>
      </c>
      <c r="E223" s="20" t="n">
        <v>815743</v>
      </c>
      <c r="F223" s="20" t="n">
        <v>816172</v>
      </c>
      <c r="G223" s="20" t="n">
        <v>862454</v>
      </c>
      <c r="H223" s="20" t="n">
        <v>886945</v>
      </c>
      <c r="I223" s="20" t="n">
        <v>795000</v>
      </c>
      <c r="J223" s="20" t="n">
        <v>799448</v>
      </c>
      <c r="K223" s="20" t="n">
        <v>843111</v>
      </c>
      <c r="V223" s="20" t="n">
        <v>847867</v>
      </c>
      <c r="W223" s="20" t="n">
        <v>886945</v>
      </c>
    </row>
    <row r="225">
      <c r="A225" s="16" t="inlineStr">
        <is>
          <t>현금흐름표 · 전 항목</t>
        </is>
      </c>
      <c r="B225" s="42" t="inlineStr">
        <is>
          <t>분기 = 결산기 첫날부터 누계(공시 그대로)</t>
        </is>
      </c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</row>
    <row r="226">
      <c r="A226" s="5" t="inlineStr">
        <is>
          <t>항목</t>
        </is>
      </c>
      <c r="B226" s="5" t="inlineStr">
        <is>
          <t>참고</t>
        </is>
      </c>
      <c r="C226" s="5" t="inlineStr">
        <is>
          <t>2024.3Q</t>
        </is>
      </c>
      <c r="D226" s="5" t="inlineStr">
        <is>
          <t>2024.4Q</t>
        </is>
      </c>
      <c r="E226" s="5" t="inlineStr">
        <is>
          <t>2025.1Q</t>
        </is>
      </c>
      <c r="F226" s="5" t="inlineStr">
        <is>
          <t>2025.2Q</t>
        </is>
      </c>
      <c r="G226" s="5" t="inlineStr">
        <is>
          <t>2025.3Q</t>
        </is>
      </c>
      <c r="H226" s="5" t="inlineStr">
        <is>
          <t>2025.4Q</t>
        </is>
      </c>
      <c r="I226" s="5" t="inlineStr">
        <is>
          <t>2026.1Q</t>
        </is>
      </c>
      <c r="J226" s="5" t="inlineStr">
        <is>
          <t>2026.2Q</t>
        </is>
      </c>
      <c r="K226" s="5" t="inlineStr">
        <is>
          <t>2026.3Q</t>
        </is>
      </c>
      <c r="L226" s="5" t="inlineStr">
        <is>
          <t>2026.4Q</t>
        </is>
      </c>
      <c r="M226" s="5" t="inlineStr">
        <is>
          <t>2027.1Q</t>
        </is>
      </c>
      <c r="N226" s="5" t="inlineStr">
        <is>
          <t>2027.2Q</t>
        </is>
      </c>
      <c r="O226" s="5" t="inlineStr">
        <is>
          <t>2017</t>
        </is>
      </c>
      <c r="P226" s="5" t="inlineStr">
        <is>
          <t>2018</t>
        </is>
      </c>
      <c r="Q226" s="5" t="inlineStr">
        <is>
          <t>2019</t>
        </is>
      </c>
      <c r="R226" s="5" t="inlineStr">
        <is>
          <t>2020</t>
        </is>
      </c>
      <c r="S226" s="5" t="inlineStr">
        <is>
          <t>2021</t>
        </is>
      </c>
      <c r="T226" s="5" t="inlineStr">
        <is>
          <t>2022</t>
        </is>
      </c>
      <c r="U226" s="5" t="inlineStr">
        <is>
          <t>2023</t>
        </is>
      </c>
      <c r="V226" s="5" t="inlineStr">
        <is>
          <t>2024</t>
        </is>
      </c>
      <c r="W226" s="5" t="inlineStr">
        <is>
          <t>2025</t>
        </is>
      </c>
      <c r="X226" s="5" t="inlineStr">
        <is>
          <t>2026</t>
        </is>
      </c>
      <c r="Y226" s="5" t="inlineStr">
        <is>
          <t>2027(MW)</t>
        </is>
      </c>
      <c r="Z226" s="5" t="inlineStr">
        <is>
          <t>2028(MW)</t>
        </is>
      </c>
      <c r="AA226" s="5" t="inlineStr">
        <is>
          <t>2029(MW)</t>
        </is>
      </c>
      <c r="AB226" s="5" t="inlineStr">
        <is>
          <t>2030(MW)</t>
        </is>
      </c>
      <c r="AC226" s="5" t="inlineStr">
        <is>
          <t>2031(MW)</t>
        </is>
      </c>
    </row>
    <row r="227">
      <c r="A227" s="9" t="inlineStr">
        <is>
          <t>Profit Loss</t>
        </is>
      </c>
      <c r="C227" s="12" t="n">
        <v>414178</v>
      </c>
      <c r="D227" s="12" t="n">
        <v>465443</v>
      </c>
      <c r="E227" s="12" t="n">
        <v>76239</v>
      </c>
      <c r="F227" s="12" t="n">
        <v>198949</v>
      </c>
      <c r="G227" s="12" t="n">
        <v>308773</v>
      </c>
      <c r="H227" s="12" t="n">
        <v>384396</v>
      </c>
      <c r="I227" s="12" t="n">
        <v>77085</v>
      </c>
      <c r="J227" s="12" t="n">
        <v>152465</v>
      </c>
      <c r="K227" s="12" t="n">
        <v>138916</v>
      </c>
      <c r="L227" s="12" t="n">
        <v>208975</v>
      </c>
      <c r="M227" s="12" t="n">
        <v>139490</v>
      </c>
      <c r="N227" s="12" t="n">
        <v>286123</v>
      </c>
      <c r="P227" s="12" t="n">
        <v>252027</v>
      </c>
      <c r="Q227" s="12" t="n">
        <v>302737</v>
      </c>
      <c r="R227" s="12" t="n">
        <v>240038</v>
      </c>
      <c r="S227" s="12" t="n">
        <v>183894</v>
      </c>
      <c r="T227" s="12" t="n">
        <v>265438</v>
      </c>
      <c r="U227" s="12" t="n">
        <v>280556</v>
      </c>
      <c r="V227" s="12" t="n">
        <v>465443</v>
      </c>
      <c r="W227" s="12" t="n">
        <v>384396</v>
      </c>
      <c r="X227" s="12" t="n">
        <v>208975</v>
      </c>
    </row>
    <row r="228">
      <c r="A228" s="18" t="inlineStr">
        <is>
          <t>Depreciation And Amortization Ope CF</t>
        </is>
      </c>
      <c r="C228" s="20" t="n">
        <v>295640</v>
      </c>
      <c r="D228" s="20" t="n">
        <v>399984</v>
      </c>
      <c r="E228" s="20" t="n">
        <v>102503</v>
      </c>
      <c r="F228" s="20" t="n">
        <v>202189</v>
      </c>
      <c r="G228" s="20" t="n">
        <v>304220</v>
      </c>
      <c r="H228" s="20" t="n">
        <v>405729</v>
      </c>
      <c r="I228" s="20" t="n">
        <v>97789</v>
      </c>
      <c r="J228" s="20" t="n">
        <v>197782</v>
      </c>
      <c r="K228" s="20" t="n">
        <v>300409</v>
      </c>
      <c r="L228" s="20" t="n">
        <v>404342</v>
      </c>
      <c r="M228" s="20" t="n">
        <v>100945</v>
      </c>
      <c r="N228" s="20" t="n">
        <v>202114</v>
      </c>
      <c r="P228" s="20" t="n">
        <v>287754</v>
      </c>
      <c r="Q228" s="20" t="n">
        <v>296041</v>
      </c>
      <c r="R228" s="20" t="n">
        <v>372975</v>
      </c>
      <c r="S228" s="20" t="n">
        <v>317572</v>
      </c>
      <c r="T228" s="20" t="n">
        <v>339148</v>
      </c>
      <c r="U228" s="20" t="n">
        <v>382289</v>
      </c>
      <c r="V228" s="20" t="n">
        <v>399984</v>
      </c>
      <c r="W228" s="20" t="n">
        <v>405729</v>
      </c>
      <c r="X228" s="20" t="n">
        <v>404342</v>
      </c>
    </row>
    <row r="229">
      <c r="A229" s="18" t="inlineStr">
        <is>
          <t>Decrease Increase In Trade Receivables Ope CF</t>
        </is>
      </c>
      <c r="P229" s="20" t="n">
        <v>-156577</v>
      </c>
      <c r="Q229" s="20" t="n">
        <v>-127464</v>
      </c>
    </row>
    <row r="230">
      <c r="A230" s="18" t="inlineStr">
        <is>
          <t>Decrease Increase In Trade Receivables And Contract Assets Ope CF</t>
        </is>
      </c>
      <c r="C230" s="20" t="n">
        <v>104697</v>
      </c>
      <c r="D230" s="20" t="n">
        <v>50554</v>
      </c>
      <c r="E230" s="20" t="n">
        <v>80074</v>
      </c>
      <c r="F230" s="20" t="n">
        <v>75393</v>
      </c>
      <c r="G230" s="20" t="n">
        <v>31422</v>
      </c>
      <c r="H230" s="20" t="n">
        <v>-17957</v>
      </c>
      <c r="I230" s="20" t="n">
        <v>89868</v>
      </c>
      <c r="J230" s="20" t="n">
        <v>65633</v>
      </c>
      <c r="K230" s="20" t="n">
        <v>-5345</v>
      </c>
      <c r="L230" s="20" t="n">
        <v>-90970</v>
      </c>
      <c r="M230" s="20" t="n">
        <v>-15563</v>
      </c>
      <c r="N230" s="20" t="n">
        <v>-40472</v>
      </c>
      <c r="Q230" s="20" t="n">
        <v>-127464</v>
      </c>
      <c r="R230" s="20" t="n">
        <v>62770</v>
      </c>
      <c r="S230" s="20" t="n">
        <v>-122797</v>
      </c>
      <c r="T230" s="20" t="n">
        <v>-53848</v>
      </c>
      <c r="U230" s="20" t="n">
        <v>25797</v>
      </c>
      <c r="V230" s="20" t="n">
        <v>50554</v>
      </c>
      <c r="W230" s="20" t="n">
        <v>-17957</v>
      </c>
      <c r="X230" s="20" t="n">
        <v>-90970</v>
      </c>
    </row>
    <row r="231">
      <c r="A231" s="18" t="inlineStr">
        <is>
          <t>Decrease Increase In Inventories Ope CF</t>
        </is>
      </c>
      <c r="C231" s="20" t="n">
        <v>27140</v>
      </c>
      <c r="D231" s="20" t="n">
        <v>152815</v>
      </c>
      <c r="E231" s="20" t="n">
        <v>-37862</v>
      </c>
      <c r="F231" s="20" t="n">
        <v>-28823</v>
      </c>
      <c r="G231" s="20" t="n">
        <v>-19897</v>
      </c>
      <c r="H231" s="20" t="n">
        <v>53605</v>
      </c>
      <c r="I231" s="20" t="n">
        <v>-46032</v>
      </c>
      <c r="J231" s="20" t="n">
        <v>-50497</v>
      </c>
      <c r="K231" s="20" t="n">
        <v>-70379</v>
      </c>
      <c r="L231" s="20" t="n">
        <v>-47011</v>
      </c>
      <c r="M231" s="20" t="n">
        <v>-102769</v>
      </c>
      <c r="N231" s="20" t="n">
        <v>-223867</v>
      </c>
      <c r="P231" s="20" t="n">
        <v>-164137</v>
      </c>
      <c r="Q231" s="20" t="n">
        <v>-30270</v>
      </c>
      <c r="R231" s="20" t="n">
        <v>30938</v>
      </c>
      <c r="S231" s="20" t="n">
        <v>-21173</v>
      </c>
      <c r="T231" s="20" t="n">
        <v>-225928</v>
      </c>
      <c r="U231" s="20" t="n">
        <v>-120617</v>
      </c>
      <c r="V231" s="20" t="n">
        <v>152815</v>
      </c>
      <c r="W231" s="20" t="n">
        <v>53605</v>
      </c>
      <c r="X231" s="20" t="n">
        <v>-47011</v>
      </c>
    </row>
    <row r="232">
      <c r="A232" s="18" t="inlineStr">
        <is>
          <t>Increase Decrease In Trade Payables Ope CF</t>
        </is>
      </c>
      <c r="C232" s="20" t="n">
        <v>6312</v>
      </c>
      <c r="D232" s="20" t="n">
        <v>-22111</v>
      </c>
      <c r="E232" s="20" t="n">
        <v>16532</v>
      </c>
      <c r="F232" s="20" t="n">
        <v>-22224</v>
      </c>
      <c r="G232" s="20" t="n">
        <v>-10146</v>
      </c>
      <c r="H232" s="20" t="n">
        <v>-47936</v>
      </c>
      <c r="I232" s="20" t="n">
        <v>40768</v>
      </c>
      <c r="J232" s="20" t="n">
        <v>8556</v>
      </c>
      <c r="K232" s="20" t="n">
        <v>31595</v>
      </c>
      <c r="L232" s="20" t="n">
        <v>8436</v>
      </c>
      <c r="M232" s="20" t="n">
        <v>80156</v>
      </c>
      <c r="N232" s="20" t="n">
        <v>136947</v>
      </c>
      <c r="P232" s="20" t="n">
        <v>143023</v>
      </c>
      <c r="Q232" s="20" t="n">
        <v>14725</v>
      </c>
      <c r="R232" s="20" t="n">
        <v>-85896</v>
      </c>
      <c r="S232" s="20" t="n">
        <v>62987</v>
      </c>
      <c r="T232" s="20" t="n">
        <v>76811</v>
      </c>
      <c r="U232" s="20" t="n">
        <v>5390</v>
      </c>
      <c r="V232" s="20" t="n">
        <v>-22111</v>
      </c>
      <c r="W232" s="20" t="n">
        <v>-47936</v>
      </c>
      <c r="X232" s="20" t="n">
        <v>8436</v>
      </c>
    </row>
    <row r="233">
      <c r="A233" s="18" t="inlineStr">
        <is>
          <t>Other Ope CF</t>
        </is>
      </c>
      <c r="C233" s="20" t="n">
        <v>-249634</v>
      </c>
      <c r="D233" s="20" t="n">
        <v>-179787</v>
      </c>
      <c r="E233" s="20" t="n">
        <v>-9486</v>
      </c>
      <c r="F233" s="20" t="n">
        <v>32100</v>
      </c>
      <c r="G233" s="20" t="n">
        <v>88365</v>
      </c>
      <c r="H233" s="20" t="n">
        <v>18246</v>
      </c>
      <c r="I233" s="20" t="n">
        <v>-79112</v>
      </c>
      <c r="J233" s="20" t="n">
        <v>-75522</v>
      </c>
      <c r="K233" s="20" t="n">
        <v>17185</v>
      </c>
      <c r="L233" s="20" t="n">
        <v>140517</v>
      </c>
      <c r="M233" s="20" t="n">
        <v>169777</v>
      </c>
      <c r="N233" s="20" t="n">
        <v>-37763</v>
      </c>
      <c r="P233" s="20" t="n">
        <v>61092</v>
      </c>
      <c r="Q233" s="20" t="n">
        <v>-252092</v>
      </c>
      <c r="R233" s="20" t="n">
        <v>-190522</v>
      </c>
      <c r="S233" s="20" t="n">
        <v>83555</v>
      </c>
      <c r="T233" s="20" t="n">
        <v>-148991</v>
      </c>
      <c r="U233" s="20" t="n">
        <v>-52673</v>
      </c>
      <c r="V233" s="20" t="n">
        <v>-179787</v>
      </c>
      <c r="W233" s="20" t="n">
        <v>18246</v>
      </c>
      <c r="X233" s="20" t="n">
        <v>140517</v>
      </c>
    </row>
    <row r="234">
      <c r="A234" s="9" t="inlineStr">
        <is>
          <t>계</t>
        </is>
      </c>
      <c r="C234" s="12" t="n">
        <v>598333</v>
      </c>
      <c r="D234" s="12" t="n">
        <v>866898</v>
      </c>
      <c r="E234" s="12" t="n">
        <v>228000</v>
      </c>
      <c r="F234" s="12" t="n">
        <v>457584</v>
      </c>
      <c r="G234" s="12" t="n">
        <v>702737</v>
      </c>
      <c r="H234" s="12" t="n">
        <v>796083</v>
      </c>
      <c r="I234" s="12" t="n">
        <v>180366</v>
      </c>
      <c r="J234" s="12" t="n">
        <v>298417</v>
      </c>
      <c r="K234" s="12" t="n">
        <v>412381</v>
      </c>
      <c r="L234" s="12" t="n">
        <v>624289</v>
      </c>
      <c r="M234" s="12" t="n">
        <v>372036</v>
      </c>
      <c r="N234" s="12" t="n">
        <v>323082</v>
      </c>
      <c r="P234" s="12" t="n">
        <v>423182</v>
      </c>
      <c r="Q234" s="12" t="n">
        <v>203677</v>
      </c>
      <c r="R234" s="12" t="n">
        <v>430303</v>
      </c>
      <c r="S234" s="12" t="n">
        <v>504038</v>
      </c>
      <c r="T234" s="12" t="n">
        <v>252630</v>
      </c>
      <c r="U234" s="12" t="n">
        <v>520742</v>
      </c>
      <c r="V234" s="12" t="n">
        <v>866898</v>
      </c>
      <c r="W234" s="12" t="n">
        <v>796083</v>
      </c>
      <c r="X234" s="12" t="n">
        <v>624289</v>
      </c>
    </row>
    <row r="235">
      <c r="A235" s="18" t="inlineStr">
        <is>
          <t>Purchase Of Property Plant And Equipment Inv CF</t>
        </is>
      </c>
      <c r="C235" s="20" t="n">
        <v>-373968</v>
      </c>
      <c r="D235" s="20" t="n">
        <v>-547470</v>
      </c>
      <c r="E235" s="20" t="n">
        <v>-197453</v>
      </c>
      <c r="F235" s="20" t="n">
        <v>-381719</v>
      </c>
      <c r="G235" s="20" t="n">
        <v>-577276</v>
      </c>
      <c r="H235" s="20" t="n">
        <v>-772332</v>
      </c>
      <c r="I235" s="20" t="n">
        <v>-172236</v>
      </c>
      <c r="J235" s="20" t="n">
        <v>-332330</v>
      </c>
      <c r="K235" s="20" t="n">
        <v>-487827</v>
      </c>
      <c r="L235" s="20" t="n">
        <v>-622955</v>
      </c>
      <c r="M235" s="20" t="n">
        <v>-128268</v>
      </c>
      <c r="N235" s="20" t="n">
        <v>-223315</v>
      </c>
      <c r="P235" s="20" t="n">
        <v>-394485</v>
      </c>
      <c r="Q235" s="20" t="n">
        <v>-316083</v>
      </c>
      <c r="R235" s="20" t="n">
        <v>-273920</v>
      </c>
      <c r="S235" s="20" t="n">
        <v>-231118</v>
      </c>
      <c r="T235" s="20" t="n">
        <v>-233967</v>
      </c>
      <c r="U235" s="20" t="n">
        <v>-289353</v>
      </c>
      <c r="V235" s="20" t="n">
        <v>-547470</v>
      </c>
      <c r="W235" s="20" t="n">
        <v>-772332</v>
      </c>
      <c r="X235" s="20" t="n">
        <v>-622955</v>
      </c>
    </row>
    <row r="236">
      <c r="A236" s="18" t="inlineStr">
        <is>
          <t>Proceeds From Sale Of Property Plant And Equipment Inv CF</t>
        </is>
      </c>
      <c r="C236" s="20" t="n">
        <v>40523</v>
      </c>
      <c r="D236" s="20" t="n">
        <v>43369</v>
      </c>
      <c r="E236" s="20" t="n">
        <v>5261</v>
      </c>
      <c r="F236" s="20" t="n">
        <v>9221</v>
      </c>
      <c r="G236" s="20" t="n">
        <v>12418</v>
      </c>
      <c r="H236" s="20" t="n">
        <v>11628</v>
      </c>
      <c r="I236" s="20" t="n">
        <v>2957</v>
      </c>
      <c r="J236" s="20" t="n">
        <v>6916</v>
      </c>
      <c r="K236" s="20" t="n">
        <v>13797</v>
      </c>
      <c r="L236" s="20" t="n">
        <v>16381</v>
      </c>
      <c r="M236" s="20" t="n">
        <v>1078</v>
      </c>
      <c r="N236" s="20" t="n">
        <v>6192</v>
      </c>
      <c r="P236" s="20" t="n">
        <v>29046</v>
      </c>
      <c r="Q236" s="20" t="n">
        <v>37023</v>
      </c>
      <c r="R236" s="20" t="n">
        <v>23104</v>
      </c>
      <c r="S236" s="20" t="n">
        <v>20370</v>
      </c>
      <c r="T236" s="20" t="n">
        <v>62776</v>
      </c>
      <c r="U236" s="20" t="n">
        <v>29298</v>
      </c>
      <c r="V236" s="20" t="n">
        <v>43369</v>
      </c>
      <c r="W236" s="20" t="n">
        <v>11628</v>
      </c>
      <c r="X236" s="20" t="n">
        <v>16381</v>
      </c>
    </row>
    <row r="237">
      <c r="A237" s="18" t="inlineStr">
        <is>
          <t>Purchase Of Investments Accounted For Using The Equity Method And Other Financial Assets Inv CF</t>
        </is>
      </c>
      <c r="C237" s="20" t="n">
        <v>-22314</v>
      </c>
      <c r="D237" s="20" t="n">
        <v>-46837</v>
      </c>
      <c r="E237" s="20" t="n">
        <v>-21296</v>
      </c>
      <c r="F237" s="20" t="n">
        <v>-25056</v>
      </c>
      <c r="G237" s="20" t="n">
        <v>-56473</v>
      </c>
      <c r="H237" s="20" t="n">
        <v>-61242</v>
      </c>
      <c r="I237" s="20" t="n">
        <v>-12654</v>
      </c>
      <c r="J237" s="20" t="n">
        <v>-42239</v>
      </c>
      <c r="K237" s="20" t="n">
        <v>-46580</v>
      </c>
      <c r="L237" s="20" t="n">
        <v>-51148</v>
      </c>
      <c r="M237" s="20" t="n">
        <v>-21256</v>
      </c>
      <c r="N237" s="20" t="n">
        <v>-22261</v>
      </c>
      <c r="P237" s="20" t="n">
        <v>-23938</v>
      </c>
      <c r="Q237" s="20" t="n">
        <v>-29838</v>
      </c>
      <c r="R237" s="20" t="n">
        <v>-18732</v>
      </c>
      <c r="S237" s="20" t="n">
        <v>-115028</v>
      </c>
      <c r="T237" s="20" t="n">
        <v>-37239</v>
      </c>
      <c r="U237" s="20" t="n">
        <v>-37982</v>
      </c>
      <c r="V237" s="20" t="n">
        <v>-46837</v>
      </c>
      <c r="W237" s="20" t="n">
        <v>-61242</v>
      </c>
      <c r="X237" s="20" t="n">
        <v>-51148</v>
      </c>
    </row>
    <row r="238">
      <c r="A238" s="18" t="inlineStr">
        <is>
          <t>Proceeds From Sale And Redemption Of Investments Accounted For Using The Equity Method And Other Financial Assets Inv CF</t>
        </is>
      </c>
      <c r="C238" s="20" t="n">
        <v>50539</v>
      </c>
      <c r="D238" s="20" t="n">
        <v>89123</v>
      </c>
      <c r="E238" s="20" t="n">
        <v>15291</v>
      </c>
      <c r="F238" s="20" t="n">
        <v>25875</v>
      </c>
      <c r="G238" s="20" t="n">
        <v>34315</v>
      </c>
      <c r="H238" s="20" t="n">
        <v>46578</v>
      </c>
      <c r="I238" s="20" t="n">
        <v>9680</v>
      </c>
      <c r="J238" s="20" t="n">
        <v>17508</v>
      </c>
      <c r="K238" s="20" t="n">
        <v>22555</v>
      </c>
      <c r="L238" s="20" t="n">
        <v>28091</v>
      </c>
      <c r="M238" s="20" t="n">
        <v>20671</v>
      </c>
      <c r="N238" s="20" t="n">
        <v>24171</v>
      </c>
      <c r="P238" s="20" t="n">
        <v>14677</v>
      </c>
      <c r="Q238" s="20" t="n">
        <v>33470</v>
      </c>
      <c r="R238" s="20" t="n">
        <v>49132</v>
      </c>
      <c r="S238" s="20" t="n">
        <v>429905</v>
      </c>
      <c r="T238" s="20" t="n">
        <v>31143</v>
      </c>
      <c r="U238" s="20" t="n">
        <v>36369</v>
      </c>
      <c r="V238" s="20" t="n">
        <v>89123</v>
      </c>
      <c r="W238" s="20" t="n">
        <v>46578</v>
      </c>
      <c r="X238" s="20" t="n">
        <v>28091</v>
      </c>
    </row>
    <row r="239">
      <c r="A239" s="18" t="inlineStr">
        <is>
          <t>Other Inv CF</t>
        </is>
      </c>
      <c r="C239" s="20" t="n">
        <v>-75087</v>
      </c>
      <c r="D239" s="20" t="n">
        <v>-117028</v>
      </c>
      <c r="E239" s="20" t="n">
        <v>-16530</v>
      </c>
      <c r="F239" s="20" t="n">
        <v>-124098</v>
      </c>
      <c r="G239" s="20" t="n">
        <v>-83813</v>
      </c>
      <c r="H239" s="20" t="n">
        <v>-84558</v>
      </c>
      <c r="I239" s="20" t="n">
        <v>-22080</v>
      </c>
      <c r="J239" s="20" t="n">
        <v>-48948</v>
      </c>
      <c r="K239" s="20" t="n">
        <v>-60476</v>
      </c>
      <c r="L239" s="20" t="n">
        <v>22197</v>
      </c>
      <c r="M239" s="20" t="n">
        <v>-11863</v>
      </c>
      <c r="N239" s="20" t="n">
        <v>-24519</v>
      </c>
      <c r="P239" s="20" t="n">
        <v>-84128</v>
      </c>
      <c r="Q239" s="20" t="n">
        <v>82041</v>
      </c>
      <c r="R239" s="20" t="n">
        <v>14320</v>
      </c>
      <c r="S239" s="20" t="n">
        <v>72467</v>
      </c>
      <c r="T239" s="20" t="n">
        <v>-618862</v>
      </c>
      <c r="U239" s="20" t="n">
        <v>-82365</v>
      </c>
      <c r="V239" s="20" t="n">
        <v>-117028</v>
      </c>
      <c r="W239" s="20" t="n">
        <v>-84558</v>
      </c>
      <c r="X239" s="20" t="n">
        <v>22197</v>
      </c>
    </row>
    <row r="240">
      <c r="A240" s="9" t="inlineStr">
        <is>
          <t>계</t>
        </is>
      </c>
      <c r="C240" s="12" t="n">
        <v>-380307</v>
      </c>
      <c r="D240" s="12" t="n">
        <v>-578843</v>
      </c>
      <c r="E240" s="12" t="n">
        <v>-214727</v>
      </c>
      <c r="F240" s="12" t="n">
        <v>-495777</v>
      </c>
      <c r="G240" s="12" t="n">
        <v>-670829</v>
      </c>
      <c r="H240" s="12" t="n">
        <v>-859926</v>
      </c>
      <c r="I240" s="12" t="n">
        <v>-194333</v>
      </c>
      <c r="J240" s="12" t="n">
        <v>-399093</v>
      </c>
      <c r="K240" s="12" t="n">
        <v>-558531</v>
      </c>
      <c r="L240" s="12" t="n">
        <v>-607434</v>
      </c>
      <c r="M240" s="12" t="n">
        <v>-139638</v>
      </c>
      <c r="N240" s="12" t="n">
        <v>-239732</v>
      </c>
      <c r="P240" s="12" t="n">
        <v>-458828</v>
      </c>
      <c r="Q240" s="12" t="n">
        <v>-193387</v>
      </c>
      <c r="R240" s="12" t="n">
        <v>-206096</v>
      </c>
      <c r="S240" s="12" t="n">
        <v>176596</v>
      </c>
      <c r="T240" s="12" t="n">
        <v>-796149</v>
      </c>
      <c r="U240" s="12" t="n">
        <v>-344033</v>
      </c>
      <c r="V240" s="12" t="n">
        <v>-578843</v>
      </c>
      <c r="W240" s="12" t="n">
        <v>-859926</v>
      </c>
      <c r="X240" s="12" t="n">
        <v>-607434</v>
      </c>
    </row>
    <row r="241">
      <c r="A241" s="18" t="inlineStr">
        <is>
          <t>Increase Decrease In Short Term Debt</t>
        </is>
      </c>
      <c r="P241" s="20" t="n">
        <v>239990</v>
      </c>
      <c r="Q241" s="20" t="n">
        <v>-132417</v>
      </c>
    </row>
    <row r="242">
      <c r="A242" s="18" t="inlineStr">
        <is>
          <t>Increase Decrease In Short Term Debt Fin CF</t>
        </is>
      </c>
      <c r="C242" s="20" t="n">
        <v>-3321</v>
      </c>
      <c r="D242" s="20" t="n">
        <v>-217</v>
      </c>
      <c r="E242" s="20" t="n">
        <v>-3266</v>
      </c>
      <c r="F242" s="20" t="n">
        <v>-2495</v>
      </c>
      <c r="G242" s="20" t="n">
        <v>-2748</v>
      </c>
      <c r="H242" s="20" t="n">
        <v>-2725</v>
      </c>
      <c r="I242" s="20" t="n">
        <v>2005</v>
      </c>
      <c r="J242" s="20" t="n">
        <v>2376</v>
      </c>
      <c r="K242" s="20" t="n">
        <v>204997</v>
      </c>
      <c r="L242" s="20" t="n">
        <v>53266</v>
      </c>
      <c r="M242" s="20" t="n">
        <v>-46329</v>
      </c>
      <c r="N242" s="20" t="n">
        <v>-45387</v>
      </c>
      <c r="Q242" s="20" t="n">
        <v>-132417</v>
      </c>
      <c r="R242" s="20" t="n">
        <v>105119</v>
      </c>
      <c r="S242" s="20" t="n">
        <v>-205401</v>
      </c>
      <c r="T242" s="20" t="n">
        <v>101539</v>
      </c>
      <c r="U242" s="20" t="n">
        <v>-315328</v>
      </c>
      <c r="V242" s="20" t="n">
        <v>-217</v>
      </c>
      <c r="W242" s="20" t="n">
        <v>-2725</v>
      </c>
      <c r="X242" s="20" t="n">
        <v>53266</v>
      </c>
    </row>
    <row r="243">
      <c r="A243" s="18" t="inlineStr">
        <is>
          <t>Increase Decrease In Long Term Debt Fin CF</t>
        </is>
      </c>
      <c r="C243" s="20" t="n">
        <v>56196</v>
      </c>
      <c r="D243" s="20" t="n">
        <v>38156</v>
      </c>
      <c r="E243" s="20" t="n">
        <v>-22977</v>
      </c>
      <c r="F243" s="20" t="n">
        <v>-66466</v>
      </c>
      <c r="G243" s="20" t="n">
        <v>-20860</v>
      </c>
      <c r="H243" s="20" t="n">
        <v>-78448</v>
      </c>
      <c r="I243" s="20" t="n">
        <v>-16273</v>
      </c>
      <c r="J243" s="20" t="n">
        <v>22737</v>
      </c>
      <c r="K243" s="20" t="n">
        <v>-33426</v>
      </c>
      <c r="L243" s="20" t="n">
        <v>-60898</v>
      </c>
      <c r="M243" s="20" t="n">
        <v>-18126</v>
      </c>
      <c r="N243" s="20" t="n">
        <v>16769</v>
      </c>
      <c r="P243" s="20" t="n">
        <v>-159908</v>
      </c>
      <c r="Q243" s="20" t="n">
        <v>-108586</v>
      </c>
      <c r="R243" s="20" t="n">
        <v>31911</v>
      </c>
      <c r="S243" s="20" t="n">
        <v>108963</v>
      </c>
      <c r="T243" s="20" t="n">
        <v>48779</v>
      </c>
      <c r="U243" s="20" t="n">
        <v>-183640</v>
      </c>
      <c r="V243" s="20" t="n">
        <v>38156</v>
      </c>
      <c r="W243" s="20" t="n">
        <v>-78448</v>
      </c>
      <c r="X243" s="20" t="n">
        <v>-60898</v>
      </c>
    </row>
    <row r="244">
      <c r="A244" s="18" t="inlineStr">
        <is>
          <t>Dividends Paid To Owners Of Parent Fin CF</t>
        </is>
      </c>
      <c r="C244" s="20" t="n">
        <v>-75862</v>
      </c>
      <c r="D244" s="20" t="n">
        <v>-75862</v>
      </c>
      <c r="E244" s="20" t="n">
        <v>-40851</v>
      </c>
      <c r="F244" s="20" t="n">
        <v>-40851</v>
      </c>
      <c r="G244" s="20" t="n">
        <v>-87543</v>
      </c>
      <c r="H244" s="20" t="n">
        <v>-87543</v>
      </c>
      <c r="I244" s="20" t="n">
        <v>-65369</v>
      </c>
      <c r="J244" s="20" t="n">
        <v>-65369</v>
      </c>
      <c r="K244" s="20" t="n">
        <v>-112062</v>
      </c>
      <c r="L244" s="20" t="n">
        <v>-112062</v>
      </c>
      <c r="M244" s="20" t="n">
        <v>-46694</v>
      </c>
      <c r="N244" s="20" t="n">
        <v>-46694</v>
      </c>
      <c r="P244" s="20" t="n">
        <v>-58310</v>
      </c>
      <c r="Q244" s="20" t="n">
        <v>-81633</v>
      </c>
      <c r="R244" s="20" t="n">
        <v>-69979</v>
      </c>
      <c r="S244" s="20" t="n">
        <v>-58327</v>
      </c>
      <c r="T244" s="20" t="n">
        <v>-58339</v>
      </c>
      <c r="U244" s="20" t="n">
        <v>-70019</v>
      </c>
      <c r="V244" s="20" t="n">
        <v>-75862</v>
      </c>
      <c r="W244" s="20" t="n">
        <v>-87543</v>
      </c>
      <c r="X244" s="20" t="n">
        <v>-112062</v>
      </c>
    </row>
    <row r="245">
      <c r="A245" s="18" t="inlineStr">
        <is>
          <t>Dividends Paid To Non Controlling Interests Fin CF</t>
        </is>
      </c>
      <c r="C245" s="20" t="n">
        <v>-10364</v>
      </c>
      <c r="D245" s="20" t="n">
        <v>-17594</v>
      </c>
      <c r="E245" s="20" t="n">
        <v>-10358</v>
      </c>
      <c r="F245" s="20" t="n">
        <v>-11788</v>
      </c>
      <c r="G245" s="20" t="n">
        <v>-13034</v>
      </c>
      <c r="H245" s="20" t="n">
        <v>-20768</v>
      </c>
      <c r="I245" s="20" t="n">
        <v>-10503</v>
      </c>
      <c r="J245" s="20" t="n">
        <v>-11127</v>
      </c>
      <c r="K245" s="20" t="n">
        <v>-11127</v>
      </c>
      <c r="L245" s="20" t="n">
        <v>-18955</v>
      </c>
      <c r="M245" s="20" t="n">
        <v>-10339</v>
      </c>
      <c r="N245" s="20" t="n">
        <v>-10909</v>
      </c>
      <c r="P245" s="20" t="n">
        <v>-20053</v>
      </c>
      <c r="Q245" s="20" t="n">
        <v>-18185</v>
      </c>
      <c r="R245" s="20" t="n">
        <v>-14654</v>
      </c>
      <c r="S245" s="20" t="n">
        <v>-14615</v>
      </c>
      <c r="T245" s="20" t="n">
        <v>-20332</v>
      </c>
      <c r="U245" s="20" t="n">
        <v>-23546</v>
      </c>
      <c r="V245" s="20" t="n">
        <v>-17594</v>
      </c>
      <c r="W245" s="20" t="n">
        <v>-20768</v>
      </c>
      <c r="X245" s="20" t="n">
        <v>-18955</v>
      </c>
    </row>
    <row r="246">
      <c r="A246" s="18" t="inlineStr">
        <is>
          <t>Net Decrease Increase In Treasury Shares Fin CF</t>
        </is>
      </c>
      <c r="C246" s="20" t="n">
        <v>-38</v>
      </c>
      <c r="D246" s="20" t="n">
        <v>-49</v>
      </c>
      <c r="E246" s="20" t="n">
        <v>-10</v>
      </c>
      <c r="F246" s="20" t="n">
        <v>-18</v>
      </c>
      <c r="G246" s="20" t="n">
        <v>-27</v>
      </c>
      <c r="H246" s="20" t="n">
        <v>-40</v>
      </c>
      <c r="I246" s="20" t="n">
        <v>-7</v>
      </c>
      <c r="J246" s="20" t="n">
        <v>-16</v>
      </c>
      <c r="K246" s="20" t="n">
        <v>-29</v>
      </c>
      <c r="L246" s="20" t="n">
        <v>-46</v>
      </c>
      <c r="M246" s="20" t="n">
        <v>-22</v>
      </c>
      <c r="N246" s="20" t="n">
        <v>-58</v>
      </c>
      <c r="P246" s="20" t="n">
        <v>-108</v>
      </c>
      <c r="Q246" s="20" t="n">
        <v>9</v>
      </c>
      <c r="R246" s="20" t="n">
        <v>-33</v>
      </c>
      <c r="S246" s="20" t="n">
        <v>-41</v>
      </c>
      <c r="T246" s="20" t="n">
        <v>-43</v>
      </c>
      <c r="U246" s="20" t="n">
        <v>-50</v>
      </c>
      <c r="V246" s="20" t="n">
        <v>-49</v>
      </c>
      <c r="W246" s="20" t="n">
        <v>-40</v>
      </c>
      <c r="X246" s="20" t="n">
        <v>-46</v>
      </c>
    </row>
    <row r="247">
      <c r="A247" s="18" t="inlineStr">
        <is>
          <t>Other Fin CF</t>
        </is>
      </c>
      <c r="C247" s="20" t="n">
        <v>-4461</v>
      </c>
      <c r="D247" s="20" t="n">
        <v>-27928</v>
      </c>
      <c r="E247" s="20" t="n">
        <v>193</v>
      </c>
      <c r="F247" s="20" t="n">
        <v>-327</v>
      </c>
      <c r="G247" s="20" t="n">
        <v>-348</v>
      </c>
      <c r="H247" s="20" t="n">
        <v>-823</v>
      </c>
      <c r="I247" s="20" t="n">
        <v>241</v>
      </c>
      <c r="J247" s="20" t="n">
        <v>-1139</v>
      </c>
      <c r="K247" s="20" t="n">
        <v>-27653</v>
      </c>
      <c r="L247" s="20" t="n">
        <v>-28152</v>
      </c>
      <c r="M247" s="20" t="n">
        <v>3252</v>
      </c>
      <c r="N247" s="20" t="n">
        <v>-1276</v>
      </c>
      <c r="P247" s="20" t="n">
        <v>-130374</v>
      </c>
      <c r="Q247" s="20" t="n">
        <v>-949</v>
      </c>
      <c r="R247" s="20" t="n">
        <v>-4142</v>
      </c>
      <c r="S247" s="20" t="n">
        <v>-8283</v>
      </c>
      <c r="T247" s="20" t="n">
        <v>-12694</v>
      </c>
      <c r="U247" s="20" t="n">
        <v>-14430</v>
      </c>
      <c r="V247" s="20" t="n">
        <v>-27928</v>
      </c>
      <c r="W247" s="20" t="n">
        <v>-823</v>
      </c>
      <c r="X247" s="20" t="n">
        <v>-28152</v>
      </c>
    </row>
    <row r="248">
      <c r="A248" s="9" t="inlineStr">
        <is>
          <t>계</t>
        </is>
      </c>
      <c r="C248" s="12" t="n">
        <v>-37850</v>
      </c>
      <c r="D248" s="12" t="n">
        <v>-83494</v>
      </c>
      <c r="E248" s="12" t="n">
        <v>-77269</v>
      </c>
      <c r="F248" s="12" t="n">
        <v>-121945</v>
      </c>
      <c r="G248" s="12" t="n">
        <v>-124560</v>
      </c>
      <c r="H248" s="12" t="n">
        <v>-190347</v>
      </c>
      <c r="I248" s="12" t="n">
        <v>-89906</v>
      </c>
      <c r="J248" s="12" t="n">
        <v>-52538</v>
      </c>
      <c r="K248" s="12" t="n">
        <v>20700</v>
      </c>
      <c r="L248" s="12" t="n">
        <v>-166847</v>
      </c>
      <c r="M248" s="12" t="n">
        <v>-118258</v>
      </c>
      <c r="N248" s="12" t="n">
        <v>-87555</v>
      </c>
      <c r="P248" s="12" t="n">
        <v>-128763</v>
      </c>
      <c r="Q248" s="12" t="n">
        <v>-341761</v>
      </c>
      <c r="R248" s="12" t="n">
        <v>48222</v>
      </c>
      <c r="S248" s="12" t="n">
        <v>-177704</v>
      </c>
      <c r="T248" s="12" t="n">
        <v>58910</v>
      </c>
      <c r="U248" s="12" t="n">
        <v>-607013</v>
      </c>
      <c r="V248" s="12" t="n">
        <v>-83494</v>
      </c>
      <c r="W248" s="12" t="n">
        <v>-190347</v>
      </c>
      <c r="X248" s="12" t="n">
        <v>-166847</v>
      </c>
    </row>
    <row r="249">
      <c r="A249" s="18" t="inlineStr">
        <is>
          <t>Effect Of Exchange Rate Changes On Cash And Cash Equivalents</t>
        </is>
      </c>
      <c r="C249" s="20" t="n">
        <v>38641</v>
      </c>
      <c r="D249" s="20" t="n">
        <v>95565</v>
      </c>
      <c r="E249" s="20" t="n">
        <v>62709</v>
      </c>
      <c r="F249" s="20" t="n">
        <v>-36527</v>
      </c>
      <c r="G249" s="20" t="n">
        <v>37589</v>
      </c>
      <c r="H249" s="20" t="n">
        <v>-17874</v>
      </c>
      <c r="I249" s="20" t="n">
        <v>-1505</v>
      </c>
      <c r="J249" s="20" t="n">
        <v>16262</v>
      </c>
      <c r="K249" s="20" t="n">
        <v>29090</v>
      </c>
      <c r="L249" s="20" t="n">
        <v>72610</v>
      </c>
      <c r="M249" s="20" t="n">
        <v>18755</v>
      </c>
      <c r="N249" s="20" t="n">
        <v>-4521</v>
      </c>
      <c r="P249" s="20" t="n">
        <v>-16793</v>
      </c>
      <c r="Q249" s="20" t="n">
        <v>14150</v>
      </c>
      <c r="R249" s="20" t="n">
        <v>-28189</v>
      </c>
      <c r="S249" s="20" t="n">
        <v>73790</v>
      </c>
      <c r="T249" s="20" t="n">
        <v>97258</v>
      </c>
      <c r="U249" s="20" t="n">
        <v>43930</v>
      </c>
      <c r="V249" s="20" t="n">
        <v>95565</v>
      </c>
      <c r="W249" s="20" t="n">
        <v>-17874</v>
      </c>
      <c r="X249" s="20" t="n">
        <v>72610</v>
      </c>
    </row>
    <row r="250">
      <c r="A250" s="18" t="inlineStr">
        <is>
          <t>Net Increase Decrease In Cash And Cash Equivalents</t>
        </is>
      </c>
      <c r="C250" s="20" t="n">
        <v>218817</v>
      </c>
      <c r="D250" s="20" t="n">
        <v>300126</v>
      </c>
      <c r="E250" s="20" t="n">
        <v>-1287</v>
      </c>
      <c r="F250" s="20" t="n">
        <v>-196665</v>
      </c>
      <c r="G250" s="20" t="n">
        <v>-55063</v>
      </c>
      <c r="H250" s="20" t="n">
        <v>-272064</v>
      </c>
      <c r="I250" s="20" t="n">
        <v>-105378</v>
      </c>
      <c r="J250" s="20" t="n">
        <v>-136952</v>
      </c>
      <c r="K250" s="20" t="n">
        <v>-96360</v>
      </c>
      <c r="L250" s="20" t="n">
        <v>-77382</v>
      </c>
      <c r="M250" s="20" t="n">
        <v>132895</v>
      </c>
      <c r="N250" s="20" t="n">
        <v>-8726</v>
      </c>
      <c r="P250" s="20" t="n">
        <v>-181202</v>
      </c>
      <c r="Q250" s="20" t="n">
        <v>-317321</v>
      </c>
      <c r="R250" s="20" t="n">
        <v>244240</v>
      </c>
      <c r="S250" s="20" t="n">
        <v>576720</v>
      </c>
      <c r="T250" s="20" t="n">
        <v>-387351</v>
      </c>
      <c r="U250" s="20" t="n">
        <v>-386374</v>
      </c>
      <c r="V250" s="20" t="n">
        <v>300126</v>
      </c>
      <c r="W250" s="20" t="n">
        <v>-272064</v>
      </c>
      <c r="X250" s="20" t="n">
        <v>-77382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6752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3688133</v>
      </c>
      <c r="D5" s="12" t="n">
        <v>4001259</v>
      </c>
      <c r="E5" s="12" t="n">
        <v>3879822</v>
      </c>
      <c r="F5" s="12" t="n">
        <v>4226075</v>
      </c>
      <c r="G5" s="12" t="n">
        <v>4194400</v>
      </c>
      <c r="H5" s="11" t="n">
        <v>4031197</v>
      </c>
      <c r="I5" s="12" t="n">
        <v>3802885</v>
      </c>
      <c r="J5" s="12" t="n">
        <v>4152758</v>
      </c>
      <c r="K5" s="12" t="n">
        <v>3615479</v>
      </c>
      <c r="L5" s="12" t="n">
        <v>3879822</v>
      </c>
    </row>
    <row r="6">
      <c r="A6" s="18" t="inlineStr">
        <is>
          <t>현금및현금성자산</t>
        </is>
      </c>
      <c r="B6" s="10" t="n"/>
      <c r="C6" s="19" t="n">
        <v>710609</v>
      </c>
      <c r="D6" s="20" t="n">
        <v>751201</v>
      </c>
      <c r="E6" s="20" t="n">
        <v>770179</v>
      </c>
      <c r="F6" s="20" t="n">
        <v>903074</v>
      </c>
      <c r="G6" s="20" t="n">
        <v>761453</v>
      </c>
      <c r="H6" s="19" t="n">
        <v>1205873</v>
      </c>
      <c r="I6" s="20" t="n">
        <v>819499</v>
      </c>
      <c r="J6" s="20" t="n">
        <v>1119625</v>
      </c>
      <c r="K6" s="20" t="n">
        <v>847561</v>
      </c>
      <c r="L6" s="20" t="n">
        <v>770179</v>
      </c>
    </row>
    <row r="7">
      <c r="A7" s="18" t="inlineStr">
        <is>
          <t>단기금융상품</t>
        </is>
      </c>
      <c r="B7" s="10" t="n"/>
      <c r="C7" s="19" t="n">
        <v>171133</v>
      </c>
      <c r="D7" s="20" t="n">
        <v>222704</v>
      </c>
      <c r="E7" s="20" t="n">
        <v>197099</v>
      </c>
      <c r="F7" s="20" t="n">
        <v>214310</v>
      </c>
      <c r="G7" s="20" t="n">
        <v>201814</v>
      </c>
      <c r="H7" s="19" t="n">
        <v>210633</v>
      </c>
      <c r="I7" s="20" t="n">
        <v>169665</v>
      </c>
      <c r="J7" s="20" t="n">
        <v>227456</v>
      </c>
      <c r="K7" s="20" t="n">
        <v>165475</v>
      </c>
      <c r="L7" s="20" t="n">
        <v>197099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1094393</v>
      </c>
      <c r="D9" s="20" t="n">
        <v>1112110</v>
      </c>
      <c r="E9" s="20" t="n">
        <v>1066123</v>
      </c>
      <c r="F9" s="20" t="n">
        <v>1179799</v>
      </c>
      <c r="G9" s="20" t="n">
        <v>1275960</v>
      </c>
      <c r="H9" s="19" t="n">
        <v>1132664</v>
      </c>
      <c r="I9" s="20" t="n">
        <v>1288751</v>
      </c>
      <c r="J9" s="20" t="n">
        <v>1208898</v>
      </c>
      <c r="K9" s="20" t="n">
        <v>1022225</v>
      </c>
      <c r="L9" s="20" t="n">
        <v>1066123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5862551</v>
      </c>
      <c r="D11" s="12" t="n">
        <v>6145867</v>
      </c>
      <c r="E11" s="12" t="n">
        <v>6292590</v>
      </c>
      <c r="F11" s="12" t="n">
        <v>6201605</v>
      </c>
      <c r="G11" s="12" t="n">
        <v>6113155</v>
      </c>
      <c r="H11" s="11" t="n">
        <v>3992386</v>
      </c>
      <c r="I11" s="12" t="n">
        <v>4256642</v>
      </c>
      <c r="J11" s="12" t="n">
        <v>5258437</v>
      </c>
      <c r="K11" s="12" t="n">
        <v>5727712</v>
      </c>
      <c r="L11" s="12" t="n">
        <v>6292590</v>
      </c>
    </row>
    <row r="12">
      <c r="A12" s="18" t="inlineStr">
        <is>
          <t>유형자산</t>
        </is>
      </c>
      <c r="B12" s="10" t="n"/>
      <c r="C12" s="19" t="n">
        <v>2106427</v>
      </c>
      <c r="D12" s="20" t="n">
        <v>2243547</v>
      </c>
      <c r="E12" s="20" t="n">
        <v>2244454</v>
      </c>
      <c r="F12" s="20" t="n">
        <v>2300247</v>
      </c>
      <c r="G12" s="20" t="n">
        <v>2280139</v>
      </c>
      <c r="H12" s="19" t="n">
        <v>1115346</v>
      </c>
      <c r="I12" s="20" t="n">
        <v>1172376</v>
      </c>
      <c r="J12" s="20" t="n">
        <v>1559041</v>
      </c>
      <c r="K12" s="20" t="n">
        <v>1902256</v>
      </c>
      <c r="L12" s="20" t="n">
        <v>2244454</v>
      </c>
    </row>
    <row r="13">
      <c r="A13" s="18" t="inlineStr">
        <is>
          <t>무형자산</t>
        </is>
      </c>
      <c r="B13" s="10" t="n"/>
      <c r="C13" s="19" t="n"/>
      <c r="D13" s="20" t="n"/>
      <c r="E13" s="20" t="n"/>
      <c r="F13" s="20" t="n"/>
      <c r="G13" s="20" t="n"/>
      <c r="H13" s="19" t="n"/>
      <c r="I13" s="20" t="n"/>
      <c r="J13" s="20" t="n"/>
      <c r="K13" s="20" t="n"/>
      <c r="L13" s="20" t="n"/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9550684</v>
      </c>
      <c r="D16" s="12" t="n">
        <v>10147126</v>
      </c>
      <c r="E16" s="12" t="n">
        <v>10172412</v>
      </c>
      <c r="F16" s="12" t="n">
        <v>10427680</v>
      </c>
      <c r="G16" s="12" t="n">
        <v>10307555</v>
      </c>
      <c r="H16" s="11" t="n">
        <v>8023583</v>
      </c>
      <c r="I16" s="12" t="n">
        <v>8059527</v>
      </c>
      <c r="J16" s="12" t="n">
        <v>9411195</v>
      </c>
      <c r="K16" s="12" t="n">
        <v>9343191</v>
      </c>
      <c r="L16" s="12" t="n">
        <v>10172412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2932367</v>
      </c>
      <c r="D18" s="12" t="n">
        <v>3225384</v>
      </c>
      <c r="E18" s="12" t="n">
        <v>2998970</v>
      </c>
      <c r="F18" s="12" t="n">
        <v>3041025</v>
      </c>
      <c r="G18" s="12" t="n">
        <v>3110348</v>
      </c>
      <c r="H18" s="11" t="n">
        <v>3065464</v>
      </c>
      <c r="I18" s="12" t="n">
        <v>2873420</v>
      </c>
      <c r="J18" s="12" t="n">
        <v>3121687</v>
      </c>
      <c r="K18" s="12" t="n">
        <v>2682753</v>
      </c>
      <c r="L18" s="12" t="n">
        <v>2998970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1628812</v>
      </c>
      <c r="D23" s="12" t="n">
        <v>1694933</v>
      </c>
      <c r="E23" s="12" t="n">
        <v>1791487</v>
      </c>
      <c r="F23" s="12" t="n">
        <v>1811926</v>
      </c>
      <c r="G23" s="12" t="n">
        <v>1669048</v>
      </c>
      <c r="H23" s="11" t="n">
        <v>1610948</v>
      </c>
      <c r="I23" s="12" t="n">
        <v>1396149</v>
      </c>
      <c r="J23" s="12" t="n">
        <v>1567605</v>
      </c>
      <c r="K23" s="12" t="n">
        <v>1785609</v>
      </c>
      <c r="L23" s="12" t="n">
        <v>1791487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4561179</v>
      </c>
      <c r="D27" s="12" t="n">
        <v>4920317</v>
      </c>
      <c r="E27" s="12" t="n">
        <v>4790457</v>
      </c>
      <c r="F27" s="12" t="n">
        <v>4852951</v>
      </c>
      <c r="G27" s="12" t="n">
        <v>4779396</v>
      </c>
      <c r="H27" s="11" t="n">
        <v>4676412</v>
      </c>
      <c r="I27" s="12" t="n">
        <v>4269569</v>
      </c>
      <c r="J27" s="12" t="n">
        <v>4689292</v>
      </c>
      <c r="K27" s="12" t="n">
        <v>4468362</v>
      </c>
      <c r="L27" s="12" t="n">
        <v>4790457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4807229</v>
      </c>
      <c r="D31" s="12" t="n">
        <v>5026502</v>
      </c>
      <c r="E31" s="12" t="n">
        <v>5211272</v>
      </c>
      <c r="F31" s="12" t="n">
        <v>5405922</v>
      </c>
      <c r="G31" s="12" t="n">
        <v>5366823</v>
      </c>
      <c r="H31" s="11" t="n">
        <v>3164962</v>
      </c>
      <c r="I31" s="12" t="n">
        <v>3618402</v>
      </c>
      <c r="J31" s="12" t="n">
        <v>4544076</v>
      </c>
      <c r="K31" s="12" t="n">
        <v>4694421</v>
      </c>
      <c r="L31" s="12" t="n">
        <v>5211272</v>
      </c>
    </row>
    <row r="32">
      <c r="A32" s="18" t="inlineStr">
        <is>
          <t>자본금</t>
        </is>
      </c>
      <c r="B32" s="10" t="n"/>
      <c r="C32" s="19" t="n">
        <v>259625</v>
      </c>
      <c r="D32" s="20" t="n">
        <v>259625</v>
      </c>
      <c r="E32" s="20" t="n">
        <v>259631</v>
      </c>
      <c r="F32" s="20" t="n">
        <v>259858</v>
      </c>
      <c r="G32" s="20" t="n">
        <v>260034</v>
      </c>
      <c r="H32" s="19" t="n">
        <v>259168</v>
      </c>
      <c r="I32" s="20" t="n">
        <v>259274</v>
      </c>
      <c r="J32" s="20" t="n">
        <v>259445</v>
      </c>
      <c r="K32" s="20" t="n">
        <v>259566</v>
      </c>
      <c r="L32" s="20" t="n">
        <v>259631</v>
      </c>
    </row>
    <row r="33">
      <c r="A33" s="18" t="inlineStr">
        <is>
          <t>이익잉여금</t>
        </is>
      </c>
      <c r="B33" s="10" t="n"/>
      <c r="C33" s="19" t="n">
        <v>3398462</v>
      </c>
      <c r="D33" s="20" t="n">
        <v>3333293</v>
      </c>
      <c r="E33" s="20" t="n">
        <v>3404719</v>
      </c>
      <c r="F33" s="20" t="n">
        <v>3494318</v>
      </c>
      <c r="G33" s="20" t="n">
        <v>3634829</v>
      </c>
      <c r="H33" s="19" t="n">
        <v>2387283</v>
      </c>
      <c r="I33" s="20" t="n">
        <v>2588800</v>
      </c>
      <c r="J33" s="20" t="n">
        <v>3037982</v>
      </c>
      <c r="K33" s="20" t="n">
        <v>3318079</v>
      </c>
      <c r="L33" s="20" t="n">
        <v>3404719</v>
      </c>
    </row>
    <row r="34">
      <c r="A34" s="18" t="inlineStr">
        <is>
          <t>비지배지분</t>
        </is>
      </c>
      <c r="B34" s="10" t="n"/>
      <c r="C34" s="19" t="n">
        <v>182276</v>
      </c>
      <c r="D34" s="20" t="n">
        <v>200307</v>
      </c>
      <c r="E34" s="20" t="n">
        <v>170683</v>
      </c>
      <c r="F34" s="20" t="n">
        <v>168807</v>
      </c>
      <c r="G34" s="20" t="n">
        <v>161336</v>
      </c>
      <c r="H34" s="19" t="n">
        <v>182209</v>
      </c>
      <c r="I34" s="20" t="n">
        <v>171556</v>
      </c>
      <c r="J34" s="20" t="n">
        <v>177827</v>
      </c>
      <c r="K34" s="20" t="n">
        <v>180408</v>
      </c>
      <c r="L34" s="20" t="n">
        <v>170683</v>
      </c>
    </row>
    <row r="35">
      <c r="A35" s="9" t="inlineStr">
        <is>
          <t>자본총계</t>
        </is>
      </c>
      <c r="B35" s="10" t="n"/>
      <c r="C35" s="11" t="n">
        <v>4989505</v>
      </c>
      <c r="D35" s="12" t="n">
        <v>5226809</v>
      </c>
      <c r="E35" s="12" t="n">
        <v>5381955</v>
      </c>
      <c r="F35" s="12" t="n">
        <v>5574729</v>
      </c>
      <c r="G35" s="12" t="n">
        <v>5528159</v>
      </c>
      <c r="H35" s="11" t="n">
        <v>3347171</v>
      </c>
      <c r="I35" s="12" t="n">
        <v>3789958</v>
      </c>
      <c r="J35" s="12" t="n">
        <v>4721903</v>
      </c>
      <c r="K35" s="12" t="n">
        <v>4874829</v>
      </c>
      <c r="L35" s="12" t="n">
        <v>5381955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636916</v>
      </c>
      <c r="D37" s="12" t="n">
        <v>505727</v>
      </c>
      <c r="E37" s="12" t="n">
        <v>624289</v>
      </c>
      <c r="F37" s="12" t="n">
        <v>815959</v>
      </c>
      <c r="G37" s="12" t="n">
        <v>648954</v>
      </c>
      <c r="H37" s="11" t="n">
        <v>252630</v>
      </c>
      <c r="I37" s="12" t="n">
        <v>520742</v>
      </c>
      <c r="J37" s="12" t="n">
        <v>866898</v>
      </c>
      <c r="K37" s="12" t="n">
        <v>796083</v>
      </c>
      <c r="L37" s="12" t="n">
        <v>624289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722943</v>
      </c>
      <c r="D38" s="20" t="n">
        <v>682883</v>
      </c>
      <c r="E38" s="20" t="n">
        <v>622955</v>
      </c>
      <c r="F38" s="20" t="n">
        <v>578987</v>
      </c>
      <c r="G38" s="20" t="n">
        <v>513940</v>
      </c>
      <c r="H38" s="19" t="n">
        <v>233967</v>
      </c>
      <c r="I38" s="20" t="n">
        <v>289353</v>
      </c>
      <c r="J38" s="20" t="n">
        <v>547470</v>
      </c>
      <c r="K38" s="20" t="n">
        <v>772332</v>
      </c>
      <c r="L38" s="20" t="n">
        <v>622955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112061</v>
      </c>
      <c r="D40" s="20" t="n">
        <v>112062</v>
      </c>
      <c r="E40" s="20" t="n">
        <v>112062</v>
      </c>
      <c r="F40" s="20" t="n">
        <v>93387</v>
      </c>
      <c r="G40" s="20" t="n">
        <v>93387</v>
      </c>
      <c r="H40" s="19" t="n">
        <v>58339</v>
      </c>
      <c r="I40" s="20" t="n">
        <v>70019</v>
      </c>
      <c r="J40" s="20" t="n">
        <v>75862</v>
      </c>
      <c r="K40" s="20" t="n">
        <v>87543</v>
      </c>
      <c r="L40" s="20" t="n">
        <v>112062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IFERROR((IF(COUNT('연간'!G43:J43)&lt;4,"",SUM('연간'!G43:J43)))/(IF(COUNT('연간'!G65:J65)&lt;4,"",SUM('연간'!G65:J65))),"")</f>
        <v/>
      </c>
      <c r="D48" s="31">
        <f>IFERROR((IF(COUNT('연간'!H43:K43)&lt;4,"",SUM('연간'!H43:K43)))/(IF(COUNT('연간'!H65:K65)&lt;4,"",SUM('연간'!H65:K65))),"")</f>
        <v/>
      </c>
      <c r="E48" s="31">
        <f>IFERROR((IF(COUNT('연간'!I43:L43)&lt;4,"",SUM('연간'!I43:L43)))/(IF(COUNT('연간'!I65:L65)&lt;4,"",SUM('연간'!I65:L65))),"")</f>
        <v/>
      </c>
      <c r="F48" s="31">
        <f>IFERROR((IF(COUNT('연간'!J43:M43)&lt;4,"",SUM('연간'!J43:M43)))/(IF(COUNT('연간'!J65:M65)&lt;4,"",SUM('연간'!J65:M65))),"")</f>
        <v/>
      </c>
      <c r="G48" s="31">
        <f>IFERROR((IF(COUNT('연간'!K43:N43)&lt;4,"",SUM('연간'!K43:N43)))/(IF(COUNT('연간'!K65:N65)&lt;4,"",SUM('연간'!K65:N65))),"")</f>
        <v/>
      </c>
      <c r="H48" s="30">
        <f>IFERROR(('연간'!T43)/('연간'!T65),"")</f>
        <v/>
      </c>
      <c r="I48" s="31">
        <f>IFERROR(('연간'!U43)/('연간'!U65),"")</f>
        <v/>
      </c>
      <c r="J48" s="31">
        <f>IFERROR(('연간'!V43)/('연간'!V65),"")</f>
        <v/>
      </c>
      <c r="K48" s="31">
        <f>IFERROR(('연간'!W43)/('연간'!W65),"")</f>
        <v/>
      </c>
      <c r="L48" s="31">
        <f>IFERROR(('연간'!X43)/('연간'!X65),"")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IFERROR(IF((IF(COUNT('연간'!G73:J73)&lt;4,"",SUM('연간'!G73:J73)))&lt;=0,"적자",C28/(IF(COUNT('연간'!G73:J73)&lt;4,"",SUM('연간'!G73:J73)))),"")</f>
        <v/>
      </c>
      <c r="D49" s="47">
        <f>IFERROR(IF((IF(COUNT('연간'!H73:K73)&lt;4,"",SUM('연간'!H73:K73)))&lt;=0,"적자",D28/(IF(COUNT('연간'!H73:K73)&lt;4,"",SUM('연간'!H73:K73)))),"")</f>
        <v/>
      </c>
      <c r="E49" s="47">
        <f>IFERROR(IF((IF(COUNT('연간'!I73:L73)&lt;4,"",SUM('연간'!I73:L73)))&lt;=0,"적자",E28/(IF(COUNT('연간'!I73:L73)&lt;4,"",SUM('연간'!I73:L73)))),"")</f>
        <v/>
      </c>
      <c r="F49" s="47">
        <f>IFERROR(IF((IF(COUNT('연간'!J73:M73)&lt;4,"",SUM('연간'!J73:M73)))&lt;=0,"적자",F28/(IF(COUNT('연간'!J73:M73)&lt;4,"",SUM('연간'!J73:M73)))),"")</f>
        <v/>
      </c>
      <c r="G49" s="47">
        <f>IFERROR(IF((IF(COUNT('연간'!K73:N73)&lt;4,"",SUM('연간'!K73:N73)))&lt;=0,"적자",G28/(IF(COUNT('연간'!K73:N73)&lt;4,"",SUM('연간'!K73:N73)))),"")</f>
        <v/>
      </c>
      <c r="H49" s="46">
        <f>IFERROR(IF(('연간'!T73)&lt;=0,"적자",H28/('연간'!T73)),"")</f>
        <v/>
      </c>
      <c r="I49" s="47">
        <f>IFERROR(IF(('연간'!U73)&lt;=0,"적자",I28/('연간'!U73)),"")</f>
        <v/>
      </c>
      <c r="J49" s="47">
        <f>IFERROR(IF(('연간'!V73)&lt;=0,"적자",J28/('연간'!V73)),"")</f>
        <v/>
      </c>
      <c r="K49" s="47">
        <f>IFERROR(IF(('연간'!W73)&lt;=0,"적자",K28/('연간'!W73)),"")</f>
        <v/>
      </c>
      <c r="L49" s="47">
        <f>IFERROR(IF(('연간'!X73)&lt;=0,"적자",L28/('연간'!X73)),"")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IFERROR((IF(COUNT('연간'!G73:J73)&lt;4,"",SUM('연간'!G73:J73)))/C31,"")</f>
        <v/>
      </c>
      <c r="D51" s="36">
        <f>IFERROR((IF(COUNT('연간'!H73:K73)&lt;4,"",SUM('연간'!H73:K73)))/D31,"")</f>
        <v/>
      </c>
      <c r="E51" s="36">
        <f>IFERROR((IF(COUNT('연간'!I73:L73)&lt;4,"",SUM('연간'!I73:L73)))/E31,"")</f>
        <v/>
      </c>
      <c r="F51" s="36">
        <f>IFERROR((IF(COUNT('연간'!J73:M73)&lt;4,"",SUM('연간'!J73:M73)))/F31,"")</f>
        <v/>
      </c>
      <c r="G51" s="36">
        <f>IFERROR((IF(COUNT('연간'!K73:N73)&lt;4,"",SUM('연간'!K73:N73)))/G31,"")</f>
        <v/>
      </c>
      <c r="H51" s="35">
        <f>IFERROR(('연간'!T73)/H31,"")</f>
        <v/>
      </c>
      <c r="I51" s="36">
        <f>IFERROR(('연간'!U73)/I31,"")</f>
        <v/>
      </c>
      <c r="J51" s="36">
        <f>IFERROR(('연간'!V73)/J31,"")</f>
        <v/>
      </c>
      <c r="K51" s="36">
        <f>IFERROR(('연간'!W73)/K31,"")</f>
        <v/>
      </c>
      <c r="L51" s="36">
        <f>IFERROR(('연간'!X73)/L31,"")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IFERROR((IF(COUNT('연간'!G71:J71)&lt;4,"",SUM('연간'!G71:J71)))/C16,"")</f>
        <v/>
      </c>
      <c r="D52" s="36">
        <f>IFERROR((IF(COUNT('연간'!H71:K71)&lt;4,"",SUM('연간'!H71:K71)))/D16,"")</f>
        <v/>
      </c>
      <c r="E52" s="36">
        <f>IFERROR((IF(COUNT('연간'!I71:L71)&lt;4,"",SUM('연간'!I71:L71)))/E16,"")</f>
        <v/>
      </c>
      <c r="F52" s="36">
        <f>IFERROR((IF(COUNT('연간'!J71:M71)&lt;4,"",SUM('연간'!J71:M71)))/F16,"")</f>
        <v/>
      </c>
      <c r="G52" s="36">
        <f>IFERROR((IF(COUNT('연간'!K71:N71)&lt;4,"",SUM('연간'!K71:N71)))/G16,"")</f>
        <v/>
      </c>
      <c r="H52" s="35">
        <f>IFERROR(('연간'!T71)/H16,"")</f>
        <v/>
      </c>
      <c r="I52" s="36">
        <f>IFERROR(('연간'!U71)/I16,"")</f>
        <v/>
      </c>
      <c r="J52" s="36">
        <f>IFERROR(('연간'!V71)/J16,"")</f>
        <v/>
      </c>
      <c r="K52" s="36">
        <f>IFERROR(('연간'!W71)/K16,"")</f>
        <v/>
      </c>
      <c r="L52" s="36">
        <f>IFERROR(('연간'!X71)/L16,"")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IFERROR((IF(COUNT('연간'!G43:J43)&lt;4,"",SUM('연간'!G43:J43)))*(1-0.3)/(C35+C29),"")</f>
        <v/>
      </c>
      <c r="D53" s="36">
        <f>IFERROR((IF(COUNT('연간'!H43:K43)&lt;4,"",SUM('연간'!H43:K43)))*(1-0.3)/(D35+D29),"")</f>
        <v/>
      </c>
      <c r="E53" s="36">
        <f>IFERROR((IF(COUNT('연간'!I43:L43)&lt;4,"",SUM('연간'!I43:L43)))*(1-0.3)/(E35+E29),"")</f>
        <v/>
      </c>
      <c r="F53" s="36">
        <f>IFERROR((IF(COUNT('연간'!J43:M43)&lt;4,"",SUM('연간'!J43:M43)))*(1-0.3)/(F35+F29),"")</f>
        <v/>
      </c>
      <c r="G53" s="36">
        <f>IFERROR((IF(COUNT('연간'!K43:N43)&lt;4,"",SUM('연간'!K43:N43)))*(1-0.3)/(G35+G29),"")</f>
        <v/>
      </c>
      <c r="H53" s="35">
        <f>IFERROR(('연간'!T43)*(1-0.3)/(H35+H29),"")</f>
        <v/>
      </c>
      <c r="I53" s="36">
        <f>IFERROR(('연간'!U43)*(1-0.3)/(I35+I29),"")</f>
        <v/>
      </c>
      <c r="J53" s="36">
        <f>IFERROR(('연간'!V43)*(1-0.3)/(J35+J29),"")</f>
        <v/>
      </c>
      <c r="K53" s="36">
        <f>IFERROR(('연간'!W43)*(1-0.3)/(K35+K29),"")</f>
        <v/>
      </c>
      <c r="L53" s="36">
        <f>IFERROR(('연간'!X43)*(1-0.3)/(L35+L29),"")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IFERROR((IF(COUNT('연간'!G37:J37)&lt;4,"",SUM('연간'!G37:J37)))/(IF(COUNT('연간'!G4:J4)&lt;4,"",SUM('연간'!G4:J4))),"")</f>
        <v/>
      </c>
      <c r="D54" s="36">
        <f>IFERROR((IF(COUNT('연간'!H37:K37)&lt;4,"",SUM('연간'!H37:K37)))/(IF(COUNT('연간'!H4:K4)&lt;4,"",SUM('연간'!H4:K4))),"")</f>
        <v/>
      </c>
      <c r="E54" s="36">
        <f>IFERROR((IF(COUNT('연간'!I37:L37)&lt;4,"",SUM('연간'!I37:L37)))/(IF(COUNT('연간'!I4:L4)&lt;4,"",SUM('연간'!I4:L4))),"")</f>
        <v/>
      </c>
      <c r="F54" s="36">
        <f>IFERROR((IF(COUNT('연간'!J37:M37)&lt;4,"",SUM('연간'!J37:M37)))/(IF(COUNT('연간'!J4:M4)&lt;4,"",SUM('연간'!J4:M4))),"")</f>
        <v/>
      </c>
      <c r="G54" s="36">
        <f>IFERROR((IF(COUNT('연간'!K37:N37)&lt;4,"",SUM('연간'!K37:N37)))/(IF(COUNT('연간'!K4:N4)&lt;4,"",SUM('연간'!K4:N4))),"")</f>
        <v/>
      </c>
      <c r="H54" s="35">
        <f>IFERROR(('연간'!T37)/('연간'!T4),"")</f>
        <v/>
      </c>
      <c r="I54" s="36">
        <f>IFERROR(('연간'!U37)/('연간'!U4),"")</f>
        <v/>
      </c>
      <c r="J54" s="36">
        <f>IFERROR(('연간'!V37)/('연간'!V4),"")</f>
        <v/>
      </c>
      <c r="K54" s="36">
        <f>IFERROR(('연간'!W37)/('연간'!W4),"")</f>
        <v/>
      </c>
      <c r="L54" s="36">
        <f>IFERROR(('연간'!X37)/('연간'!X4),"")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IFERROR((IF(COUNT('연간'!G43:J43)&lt;4,"",SUM('연간'!G43:J43)))/(IF(COUNT('연간'!G4:J4)&lt;4,"",SUM('연간'!G4:J4))),"")</f>
        <v/>
      </c>
      <c r="D55" s="36">
        <f>IFERROR((IF(COUNT('연간'!H43:K43)&lt;4,"",SUM('연간'!H43:K43)))/(IF(COUNT('연간'!H4:K4)&lt;4,"",SUM('연간'!H4:K4))),"")</f>
        <v/>
      </c>
      <c r="E55" s="36">
        <f>IFERROR((IF(COUNT('연간'!I43:L43)&lt;4,"",SUM('연간'!I43:L43)))/(IF(COUNT('연간'!I4:L4)&lt;4,"",SUM('연간'!I4:L4))),"")</f>
        <v/>
      </c>
      <c r="F55" s="36">
        <f>IFERROR((IF(COUNT('연간'!J43:M43)&lt;4,"",SUM('연간'!J43:M43)))/(IF(COUNT('연간'!J4:M4)&lt;4,"",SUM('연간'!J4:M4))),"")</f>
        <v/>
      </c>
      <c r="G55" s="36">
        <f>IFERROR((IF(COUNT('연간'!K43:N43)&lt;4,"",SUM('연간'!K43:N43)))/(IF(COUNT('연간'!K4:N4)&lt;4,"",SUM('연간'!K4:N4))),"")</f>
        <v/>
      </c>
      <c r="H55" s="35">
        <f>IFERROR(('연간'!T43)/('연간'!T4),"")</f>
        <v/>
      </c>
      <c r="I55" s="36">
        <f>IFERROR(('연간'!U43)/('연간'!U4),"")</f>
        <v/>
      </c>
      <c r="J55" s="36">
        <f>IFERROR(('연간'!V43)/('연간'!V4),"")</f>
        <v/>
      </c>
      <c r="K55" s="36">
        <f>IFERROR(('연간'!W43)/('연간'!W4),"")</f>
        <v/>
      </c>
      <c r="L55" s="36">
        <f>IFERROR(('연간'!X43)/('연간'!X4),"")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IFERROR((IF(COUNT('연간'!G71:J71)&lt;4,"",SUM('연간'!G71:J71)))/(IF(COUNT('연간'!G4:J4)&lt;4,"",SUM('연간'!G4:J4))),"")</f>
        <v/>
      </c>
      <c r="D56" s="36">
        <f>IFERROR((IF(COUNT('연간'!H71:K71)&lt;4,"",SUM('연간'!H71:K71)))/(IF(COUNT('연간'!H4:K4)&lt;4,"",SUM('연간'!H4:K4))),"")</f>
        <v/>
      </c>
      <c r="E56" s="36">
        <f>IFERROR((IF(COUNT('연간'!I71:L71)&lt;4,"",SUM('연간'!I71:L71)))/(IF(COUNT('연간'!I4:L4)&lt;4,"",SUM('연간'!I4:L4))),"")</f>
        <v/>
      </c>
      <c r="F56" s="36">
        <f>IFERROR((IF(COUNT('연간'!J71:M71)&lt;4,"",SUM('연간'!J71:M71)))/(IF(COUNT('연간'!J4:M4)&lt;4,"",SUM('연간'!J4:M4))),"")</f>
        <v/>
      </c>
      <c r="G56" s="36">
        <f>IFERROR((IF(COUNT('연간'!K71:N71)&lt;4,"",SUM('연간'!K71:N71)))/(IF(COUNT('연간'!K4:N4)&lt;4,"",SUM('연간'!K4:N4))),"")</f>
        <v/>
      </c>
      <c r="H56" s="35">
        <f>IFERROR(('연간'!T71)/('연간'!T4),"")</f>
        <v/>
      </c>
      <c r="I56" s="36">
        <f>IFERROR(('연간'!U71)/('연간'!U4),"")</f>
        <v/>
      </c>
      <c r="J56" s="36">
        <f>IFERROR(('연간'!V71)/('연간'!V4),"")</f>
        <v/>
      </c>
      <c r="K56" s="36">
        <f>IFERROR(('연간'!W71)/('연간'!W4),"")</f>
        <v/>
      </c>
      <c r="L56" s="36">
        <f>IFERROR(('연간'!X71)/('연간'!X4),"")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IFERROR(C9/(IF(COUNT('연간'!G35:J35)&lt;4,"",SUM('연간'!G35:J35)))*365,"")</f>
        <v/>
      </c>
      <c r="D60" s="49">
        <f>IFERROR(D9/(IF(COUNT('연간'!H35:K35)&lt;4,"",SUM('연간'!H35:K35)))*365,"")</f>
        <v/>
      </c>
      <c r="E60" s="49">
        <f>IFERROR(E9/(IF(COUNT('연간'!I35:L35)&lt;4,"",SUM('연간'!I35:L35)))*365,"")</f>
        <v/>
      </c>
      <c r="F60" s="49">
        <f>IFERROR(F9/(IF(COUNT('연간'!J35:M35)&lt;4,"",SUM('연간'!J35:M35)))*365,"")</f>
        <v/>
      </c>
      <c r="G60" s="49">
        <f>IFERROR(G9/(IF(COUNT('연간'!K35:N35)&lt;4,"",SUM('연간'!K35:N35)))*365,"")</f>
        <v/>
      </c>
      <c r="H60" s="48">
        <f>IFERROR(H9/('연간'!T35)*365,"")</f>
        <v/>
      </c>
      <c r="I60" s="49">
        <f>IFERROR(I9/('연간'!U35)*365,"")</f>
        <v/>
      </c>
      <c r="J60" s="49">
        <f>IFERROR(J9/('연간'!V35)*365,"")</f>
        <v/>
      </c>
      <c r="K60" s="49">
        <f>IFERROR(K9/('연간'!W35)*365,"")</f>
        <v/>
      </c>
      <c r="L60" s="49">
        <f>IFERROR(L9/('연간'!X35)*365,"")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IFERROR(C19/(IF(COUNT('연간'!G35:J35)&lt;4,"",SUM('연간'!G35:J35)))*365,"")</f>
        <v/>
      </c>
      <c r="D61" s="49">
        <f>IFERROR(D19/(IF(COUNT('연간'!H35:K35)&lt;4,"",SUM('연간'!H35:K35)))*365,"")</f>
        <v/>
      </c>
      <c r="E61" s="49">
        <f>IFERROR(E19/(IF(COUNT('연간'!I35:L35)&lt;4,"",SUM('연간'!I35:L35)))*365,"")</f>
        <v/>
      </c>
      <c r="F61" s="49">
        <f>IFERROR(F19/(IF(COUNT('연간'!J35:M35)&lt;4,"",SUM('연간'!J35:M35)))*365,"")</f>
        <v/>
      </c>
      <c r="G61" s="49">
        <f>IFERROR(G19/(IF(COUNT('연간'!K35:N35)&lt;4,"",SUM('연간'!K35:N35)))*365,"")</f>
        <v/>
      </c>
      <c r="H61" s="48">
        <f>IFERROR(H19/('연간'!T35)*365,"")</f>
        <v/>
      </c>
      <c r="I61" s="49">
        <f>IFERROR(I19/('연간'!U35)*365,"")</f>
        <v/>
      </c>
      <c r="J61" s="49">
        <f>IFERROR(J19/('연간'!V35)*365,"")</f>
        <v/>
      </c>
      <c r="K61" s="49">
        <f>IFERROR(K19/('연간'!W35)*365,"")</f>
        <v/>
      </c>
      <c r="L61" s="49">
        <f>IFERROR(L19/('연간'!X35)*365,"")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IF(C37="","",IFERROR(C37/(IF(COUNT('연간'!G71:J71)&lt;4,"",SUM('연간'!G71:J71))),""))</f>
        <v/>
      </c>
      <c r="D64" s="31">
        <f>IF(D37="","",IFERROR(D37/(IF(COUNT('연간'!H71:K71)&lt;4,"",SUM('연간'!H71:K71))),""))</f>
        <v/>
      </c>
      <c r="E64" s="31">
        <f>IF(E37="","",IFERROR(E37/(IF(COUNT('연간'!I71:L71)&lt;4,"",SUM('연간'!I71:L71))),""))</f>
        <v/>
      </c>
      <c r="F64" s="31">
        <f>IF(F37="","",IFERROR(F37/(IF(COUNT('연간'!J71:M71)&lt;4,"",SUM('연간'!J71:M71))),""))</f>
        <v/>
      </c>
      <c r="G64" s="31">
        <f>IF(G37="","",IFERROR(G37/(IF(COUNT('연간'!K71:N71)&lt;4,"",SUM('연간'!K71:N71))),""))</f>
        <v/>
      </c>
      <c r="H64" s="30">
        <f>IF(H37="","",IFERROR(H37/('연간'!T71),""))</f>
        <v/>
      </c>
      <c r="I64" s="31">
        <f>IF(I37="","",IFERROR(I37/('연간'!U71),""))</f>
        <v/>
      </c>
      <c r="J64" s="31">
        <f>IF(J37="","",IFERROR(J37/('연간'!V71),""))</f>
        <v/>
      </c>
      <c r="K64" s="31">
        <f>IF(K37="","",IFERROR(K37/('연간'!W71),""))</f>
        <v/>
      </c>
      <c r="L64" s="31">
        <f>IF(L37="","",IFERROR(L37/('연간'!X71),""))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IF(C40="","",IFERROR(C40/(IF(COUNT('연간'!G73:J73)&lt;4,"",SUM('연간'!G73:J73))),""))</f>
        <v/>
      </c>
      <c r="D67" s="36">
        <f>IF(D40="","",IFERROR(D40/(IF(COUNT('연간'!H73:K73)&lt;4,"",SUM('연간'!H73:K73))),""))</f>
        <v/>
      </c>
      <c r="E67" s="36">
        <f>IF(E40="","",IFERROR(E40/(IF(COUNT('연간'!I73:L73)&lt;4,"",SUM('연간'!I73:L73))),""))</f>
        <v/>
      </c>
      <c r="F67" s="36">
        <f>IF(F40="","",IFERROR(F40/(IF(COUNT('연간'!J73:M73)&lt;4,"",SUM('연간'!J73:M73))),""))</f>
        <v/>
      </c>
      <c r="G67" s="36">
        <f>IF(G40="","",IFERROR(G40/(IF(COUNT('연간'!K73:N73)&lt;4,"",SUM('연간'!K73:N73))),""))</f>
        <v/>
      </c>
      <c r="H67" s="35">
        <f>IF(H40="","",IFERROR(H40/('연간'!T73),""))</f>
        <v/>
      </c>
      <c r="I67" s="36">
        <f>IF(I40="","",IFERROR(I40/('연간'!U73),""))</f>
        <v/>
      </c>
      <c r="J67" s="36">
        <f>IF(J40="","",IFERROR(J40/('연간'!V73),""))</f>
        <v/>
      </c>
      <c r="K67" s="36">
        <f>IF(K40="","",IFERROR(K40/('연간'!W73),""))</f>
        <v/>
      </c>
      <c r="L67" s="36">
        <f>IF(L40="","",IFERROR(L40/('연간'!X73),""))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9" t="inlineStr">
        <is>
          <t>Current Assets</t>
        </is>
      </c>
      <c r="C71" s="12" t="n">
        <v>3688133</v>
      </c>
      <c r="D71" s="12" t="n">
        <v>4001259</v>
      </c>
      <c r="E71" s="12" t="n">
        <v>3879822</v>
      </c>
      <c r="F71" s="12" t="n">
        <v>4226075</v>
      </c>
      <c r="G71" s="12" t="n">
        <v>4194400</v>
      </c>
      <c r="H71" s="12" t="n">
        <v>4031197</v>
      </c>
      <c r="I71" s="12" t="n">
        <v>3802885</v>
      </c>
      <c r="J71" s="12" t="n">
        <v>4152758</v>
      </c>
      <c r="K71" s="12" t="n">
        <v>3615479</v>
      </c>
      <c r="L71" s="12" t="n">
        <v>3879822</v>
      </c>
    </row>
    <row r="72">
      <c r="A72" s="18" t="inlineStr">
        <is>
          <t>현금및현금성자산</t>
        </is>
      </c>
      <c r="C72" s="20" t="n">
        <v>710609</v>
      </c>
      <c r="D72" s="20" t="n">
        <v>751201</v>
      </c>
      <c r="E72" s="20" t="n">
        <v>770179</v>
      </c>
      <c r="F72" s="20" t="n">
        <v>903074</v>
      </c>
      <c r="G72" s="20" t="n">
        <v>761453</v>
      </c>
      <c r="H72" s="20" t="n">
        <v>1205873</v>
      </c>
      <c r="I72" s="20" t="n">
        <v>819499</v>
      </c>
      <c r="J72" s="20" t="n">
        <v>1119625</v>
      </c>
      <c r="K72" s="20" t="n">
        <v>847561</v>
      </c>
      <c r="L72" s="20" t="n">
        <v>770179</v>
      </c>
    </row>
    <row r="73">
      <c r="A73" s="18" t="inlineStr">
        <is>
          <t>Trade Receivables And Contract Assets CA</t>
        </is>
      </c>
      <c r="C73" s="20" t="n">
        <v>1262101</v>
      </c>
      <c r="D73" s="20" t="n">
        <v>1333220</v>
      </c>
      <c r="E73" s="20" t="n">
        <v>1379750</v>
      </c>
      <c r="F73" s="20" t="n">
        <v>1409210</v>
      </c>
      <c r="G73" s="20" t="n">
        <v>1407111</v>
      </c>
      <c r="H73" s="20" t="n">
        <v>1324618</v>
      </c>
      <c r="I73" s="20" t="n">
        <v>1322593</v>
      </c>
      <c r="J73" s="20" t="n">
        <v>1361050</v>
      </c>
      <c r="K73" s="20" t="n">
        <v>1316172</v>
      </c>
      <c r="L73" s="20" t="n">
        <v>1379750</v>
      </c>
    </row>
    <row r="74">
      <c r="A74" s="18" t="inlineStr">
        <is>
          <t>기타금융자산</t>
        </is>
      </c>
      <c r="C74" s="20" t="n">
        <v>171133</v>
      </c>
      <c r="D74" s="20" t="n">
        <v>222704</v>
      </c>
      <c r="E74" s="20" t="n">
        <v>197099</v>
      </c>
      <c r="F74" s="20" t="n">
        <v>214310</v>
      </c>
      <c r="G74" s="20" t="n">
        <v>201814</v>
      </c>
      <c r="H74" s="20" t="n">
        <v>210633</v>
      </c>
      <c r="I74" s="20" t="n">
        <v>169665</v>
      </c>
      <c r="J74" s="20" t="n">
        <v>227456</v>
      </c>
      <c r="K74" s="20" t="n">
        <v>165475</v>
      </c>
      <c r="L74" s="20" t="n">
        <v>197099</v>
      </c>
    </row>
    <row r="75">
      <c r="A75" s="18" t="inlineStr">
        <is>
          <t>재고자산</t>
        </is>
      </c>
      <c r="C75" s="20" t="n">
        <v>1094393</v>
      </c>
      <c r="D75" s="20" t="n">
        <v>1112110</v>
      </c>
      <c r="E75" s="20" t="n">
        <v>1066123</v>
      </c>
      <c r="F75" s="20" t="n">
        <v>1179799</v>
      </c>
      <c r="G75" s="20" t="n">
        <v>1275960</v>
      </c>
      <c r="H75" s="20" t="n">
        <v>1132664</v>
      </c>
      <c r="I75" s="20" t="n">
        <v>1288751</v>
      </c>
      <c r="J75" s="20" t="n">
        <v>1208898</v>
      </c>
      <c r="K75" s="20" t="n">
        <v>1022225</v>
      </c>
      <c r="L75" s="20" t="n">
        <v>1066123</v>
      </c>
    </row>
    <row r="76">
      <c r="A76" s="18" t="inlineStr">
        <is>
          <t>기타유동자산</t>
        </is>
      </c>
      <c r="C76" s="20" t="n">
        <v>449897</v>
      </c>
      <c r="D76" s="20" t="n">
        <v>582024</v>
      </c>
      <c r="E76" s="20" t="n">
        <v>466671</v>
      </c>
      <c r="F76" s="20" t="n">
        <v>519682</v>
      </c>
      <c r="G76" s="20" t="n">
        <v>548062</v>
      </c>
      <c r="H76" s="20" t="n">
        <v>157409</v>
      </c>
      <c r="I76" s="20" t="n">
        <v>202377</v>
      </c>
      <c r="J76" s="20" t="n">
        <v>235729</v>
      </c>
      <c r="K76" s="20" t="n">
        <v>264046</v>
      </c>
      <c r="L76" s="20" t="n">
        <v>466671</v>
      </c>
    </row>
    <row r="77">
      <c r="A77" s="18" t="inlineStr">
        <is>
          <t>Non Current Assets</t>
        </is>
      </c>
      <c r="C77" s="20" t="n">
        <v>5862551</v>
      </c>
      <c r="D77" s="20" t="n">
        <v>6145867</v>
      </c>
      <c r="E77" s="20" t="n">
        <v>6292590</v>
      </c>
      <c r="F77" s="20" t="n">
        <v>6201605</v>
      </c>
      <c r="G77" s="20" t="n">
        <v>6113155</v>
      </c>
      <c r="H77" s="20" t="n">
        <v>3992386</v>
      </c>
      <c r="I77" s="20" t="n">
        <v>4256642</v>
      </c>
      <c r="J77" s="20" t="n">
        <v>5258437</v>
      </c>
      <c r="K77" s="20" t="n">
        <v>5727712</v>
      </c>
      <c r="L77" s="20" t="n">
        <v>6292590</v>
      </c>
    </row>
    <row r="78">
      <c r="A78" s="18" t="inlineStr">
        <is>
          <t>지분법 투자</t>
        </is>
      </c>
      <c r="C78" s="20" t="n">
        <v>505002</v>
      </c>
      <c r="D78" s="20" t="n">
        <v>517673</v>
      </c>
      <c r="E78" s="20" t="n">
        <v>567487</v>
      </c>
      <c r="F78" s="20" t="n">
        <v>548115</v>
      </c>
      <c r="G78" s="20" t="n">
        <v>523731</v>
      </c>
      <c r="H78" s="20" t="n">
        <v>403201</v>
      </c>
      <c r="I78" s="20" t="n">
        <v>401219</v>
      </c>
      <c r="J78" s="20" t="n">
        <v>423981</v>
      </c>
      <c r="K78" s="20" t="n">
        <v>497393</v>
      </c>
      <c r="L78" s="20" t="n">
        <v>567487</v>
      </c>
    </row>
    <row r="79">
      <c r="A79" s="18" t="inlineStr">
        <is>
          <t>기타금융자산</t>
        </is>
      </c>
      <c r="C79" s="20" t="n">
        <v>203527</v>
      </c>
      <c r="D79" s="20" t="n">
        <v>220484</v>
      </c>
      <c r="E79" s="20" t="n">
        <v>213429</v>
      </c>
      <c r="F79" s="20" t="n">
        <v>220422</v>
      </c>
      <c r="G79" s="20" t="n">
        <v>204500</v>
      </c>
      <c r="H79" s="20" t="n">
        <v>213024</v>
      </c>
      <c r="I79" s="20" t="n">
        <v>242672</v>
      </c>
      <c r="J79" s="20" t="n">
        <v>207394</v>
      </c>
      <c r="K79" s="20" t="n">
        <v>185686</v>
      </c>
      <c r="L79" s="20" t="n">
        <v>213429</v>
      </c>
    </row>
    <row r="80">
      <c r="A80" s="18" t="inlineStr">
        <is>
          <t>유형자산</t>
        </is>
      </c>
      <c r="C80" s="20" t="n">
        <v>2106427</v>
      </c>
      <c r="D80" s="20" t="n">
        <v>2243547</v>
      </c>
      <c r="E80" s="20" t="n">
        <v>2244454</v>
      </c>
      <c r="F80" s="20" t="n">
        <v>2300247</v>
      </c>
      <c r="G80" s="20" t="n">
        <v>2280139</v>
      </c>
      <c r="H80" s="20" t="n">
        <v>1115346</v>
      </c>
      <c r="I80" s="20" t="n">
        <v>1172376</v>
      </c>
      <c r="J80" s="20" t="n">
        <v>1559041</v>
      </c>
      <c r="K80" s="20" t="n">
        <v>1902256</v>
      </c>
      <c r="L80" s="20" t="n">
        <v>2244454</v>
      </c>
    </row>
    <row r="81">
      <c r="A81" s="18" t="inlineStr">
        <is>
          <t>사용권자산</t>
        </is>
      </c>
      <c r="C81" s="20" t="n">
        <v>267563</v>
      </c>
      <c r="D81" s="20" t="n">
        <v>259552</v>
      </c>
      <c r="E81" s="20" t="n">
        <v>247168</v>
      </c>
      <c r="F81" s="20" t="n">
        <v>243509</v>
      </c>
      <c r="G81" s="20" t="n">
        <v>237645</v>
      </c>
      <c r="H81" s="20" t="n">
        <v>257706</v>
      </c>
      <c r="I81" s="20" t="n">
        <v>238833</v>
      </c>
      <c r="J81" s="20" t="n">
        <v>270728</v>
      </c>
      <c r="K81" s="20" t="n">
        <v>281148</v>
      </c>
      <c r="L81" s="20" t="n">
        <v>247168</v>
      </c>
    </row>
    <row r="82">
      <c r="A82" s="18" t="inlineStr">
        <is>
          <t>영업권 및 무형자산</t>
        </is>
      </c>
      <c r="E82" s="20" t="n">
        <v>2057031</v>
      </c>
      <c r="F82" s="20" t="n">
        <v>2077847</v>
      </c>
      <c r="G82" s="20" t="n">
        <v>2015581</v>
      </c>
      <c r="K82" s="20" t="n">
        <v>2003502</v>
      </c>
      <c r="L82" s="20" t="n">
        <v>2057031</v>
      </c>
    </row>
    <row r="83">
      <c r="A83" s="18" t="inlineStr">
        <is>
          <t>기타비유동자산</t>
        </is>
      </c>
      <c r="C83" s="20" t="n">
        <v>2780032</v>
      </c>
      <c r="D83" s="20" t="n">
        <v>2904611</v>
      </c>
      <c r="E83" s="20" t="n">
        <v>963021</v>
      </c>
      <c r="F83" s="20" t="n">
        <v>811465</v>
      </c>
      <c r="G83" s="20" t="n">
        <v>851559</v>
      </c>
      <c r="H83" s="20" t="n">
        <v>2003109</v>
      </c>
      <c r="I83" s="20" t="n">
        <v>2201542</v>
      </c>
      <c r="J83" s="20" t="n">
        <v>2797293</v>
      </c>
      <c r="K83" s="20" t="n">
        <v>857727</v>
      </c>
      <c r="L83" s="20" t="n">
        <v>963021</v>
      </c>
    </row>
    <row r="84">
      <c r="A84" s="18" t="inlineStr">
        <is>
          <t>자산 합계</t>
        </is>
      </c>
      <c r="C84" s="20" t="n">
        <v>9550684</v>
      </c>
      <c r="D84" s="20" t="n">
        <v>10147126</v>
      </c>
      <c r="E84" s="20" t="n">
        <v>10172412</v>
      </c>
      <c r="F84" s="20" t="n">
        <v>10427680</v>
      </c>
      <c r="G84" s="20" t="n">
        <v>10307555</v>
      </c>
      <c r="H84" s="20" t="n">
        <v>8023583</v>
      </c>
      <c r="I84" s="20" t="n">
        <v>8059527</v>
      </c>
      <c r="J84" s="20" t="n">
        <v>9411195</v>
      </c>
      <c r="K84" s="20" t="n">
        <v>9343191</v>
      </c>
      <c r="L84" s="20" t="n">
        <v>10172412</v>
      </c>
    </row>
    <row r="85">
      <c r="A85" s="18" t="inlineStr">
        <is>
          <t>Total Current Liabilities</t>
        </is>
      </c>
      <c r="C85" s="20" t="n">
        <v>2932367</v>
      </c>
      <c r="D85" s="20" t="n">
        <v>3225384</v>
      </c>
      <c r="E85" s="20" t="n">
        <v>2998970</v>
      </c>
      <c r="F85" s="20" t="n">
        <v>3041025</v>
      </c>
      <c r="G85" s="20" t="n">
        <v>3110348</v>
      </c>
      <c r="H85" s="20" t="n">
        <v>3065464</v>
      </c>
      <c r="I85" s="20" t="n">
        <v>2873420</v>
      </c>
      <c r="J85" s="20" t="n">
        <v>3121687</v>
      </c>
      <c r="K85" s="20" t="n">
        <v>2682753</v>
      </c>
      <c r="L85" s="20" t="n">
        <v>2998970</v>
      </c>
    </row>
    <row r="86">
      <c r="A86" s="18" t="inlineStr">
        <is>
          <t>Short Term Debt Including Current Portion Of Long Term Debt CL</t>
        </is>
      </c>
      <c r="C86" s="20" t="n">
        <v>239271</v>
      </c>
      <c r="D86" s="20" t="n">
        <v>367588</v>
      </c>
      <c r="E86" s="20" t="n">
        <v>185819</v>
      </c>
      <c r="F86" s="20" t="n">
        <v>139323</v>
      </c>
      <c r="G86" s="20" t="n">
        <v>199578</v>
      </c>
      <c r="H86" s="20" t="n">
        <v>432897</v>
      </c>
      <c r="I86" s="20" t="n">
        <v>159231</v>
      </c>
      <c r="J86" s="20" t="n">
        <v>262099</v>
      </c>
      <c r="K86" s="20" t="n">
        <v>107239</v>
      </c>
      <c r="L86" s="20" t="n">
        <v>185819</v>
      </c>
    </row>
    <row r="87">
      <c r="A87" s="18" t="inlineStr">
        <is>
          <t>리스부채</t>
        </is>
      </c>
      <c r="C87" s="20" t="n">
        <v>63213</v>
      </c>
      <c r="D87" s="20" t="n">
        <v>64716</v>
      </c>
      <c r="E87" s="20" t="n">
        <v>58516</v>
      </c>
      <c r="F87" s="20" t="n">
        <v>58398</v>
      </c>
      <c r="G87" s="20" t="n">
        <v>58813</v>
      </c>
      <c r="H87" s="20" t="n">
        <v>60515</v>
      </c>
      <c r="I87" s="20" t="n">
        <v>59895</v>
      </c>
      <c r="J87" s="20" t="n">
        <v>68760</v>
      </c>
      <c r="K87" s="20" t="n">
        <v>61682</v>
      </c>
      <c r="L87" s="20" t="n">
        <v>58516</v>
      </c>
    </row>
    <row r="88">
      <c r="A88" s="18" t="inlineStr">
        <is>
          <t>매입채무</t>
        </is>
      </c>
      <c r="C88" s="20" t="n">
        <v>1060576</v>
      </c>
      <c r="D88" s="20" t="n">
        <v>1067079</v>
      </c>
      <c r="E88" s="20" t="n">
        <v>1017061</v>
      </c>
      <c r="F88" s="20" t="n">
        <v>1105799</v>
      </c>
      <c r="G88" s="20" t="n">
        <v>1151024</v>
      </c>
      <c r="H88" s="20" t="n">
        <v>1163578</v>
      </c>
      <c r="I88" s="20" t="n">
        <v>1156909</v>
      </c>
      <c r="J88" s="20" t="n">
        <v>1166155</v>
      </c>
      <c r="K88" s="20" t="n">
        <v>1042509</v>
      </c>
      <c r="L88" s="20" t="n">
        <v>1017061</v>
      </c>
    </row>
    <row r="89">
      <c r="A89" s="18" t="inlineStr">
        <is>
          <t>미지급금·미지급비용</t>
        </is>
      </c>
      <c r="E89" s="20" t="n">
        <v>480184</v>
      </c>
      <c r="H89" s="20" t="n">
        <v>500601</v>
      </c>
      <c r="I89" s="20" t="n">
        <v>506062</v>
      </c>
      <c r="J89" s="20" t="n">
        <v>524194</v>
      </c>
      <c r="K89" s="20" t="n">
        <v>463464</v>
      </c>
      <c r="L89" s="20" t="n">
        <v>480184</v>
      </c>
    </row>
    <row r="90">
      <c r="A90" s="18" t="inlineStr">
        <is>
          <t>미지급금·미지급비용</t>
        </is>
      </c>
      <c r="C90" s="20" t="n">
        <v>408375</v>
      </c>
      <c r="D90" s="20" t="n">
        <v>415263</v>
      </c>
      <c r="E90" s="20" t="n">
        <v>480184</v>
      </c>
      <c r="F90" s="20" t="n">
        <v>442905</v>
      </c>
      <c r="G90" s="20" t="n">
        <v>398910</v>
      </c>
      <c r="H90" s="20" t="n">
        <v>500601</v>
      </c>
      <c r="I90" s="20" t="n">
        <v>506062</v>
      </c>
      <c r="J90" s="20" t="n">
        <v>524194</v>
      </c>
      <c r="K90" s="20" t="n">
        <v>463464</v>
      </c>
      <c r="L90" s="20" t="n">
        <v>480184</v>
      </c>
    </row>
    <row r="91">
      <c r="A91" s="18" t="inlineStr">
        <is>
          <t>기타금융부채</t>
        </is>
      </c>
      <c r="C91" s="20" t="n">
        <v>130242</v>
      </c>
      <c r="D91" s="20" t="n">
        <v>152100</v>
      </c>
      <c r="E91" s="20" t="n">
        <v>116856</v>
      </c>
      <c r="F91" s="20" t="n">
        <v>119454</v>
      </c>
      <c r="G91" s="20" t="n">
        <v>154720</v>
      </c>
      <c r="H91" s="20" t="n">
        <v>160534</v>
      </c>
      <c r="I91" s="20" t="n">
        <v>146213</v>
      </c>
      <c r="J91" s="20" t="n">
        <v>148158</v>
      </c>
      <c r="K91" s="20" t="n">
        <v>125459</v>
      </c>
      <c r="L91" s="20" t="n">
        <v>116856</v>
      </c>
    </row>
    <row r="92">
      <c r="A92" s="18" t="inlineStr">
        <is>
          <t>기타유동부채</t>
        </is>
      </c>
      <c r="C92" s="20" t="n">
        <v>1030690</v>
      </c>
      <c r="D92" s="20" t="n">
        <v>1158638</v>
      </c>
      <c r="E92" s="20" t="n">
        <v>1140534</v>
      </c>
      <c r="F92" s="20" t="n">
        <v>1175146</v>
      </c>
      <c r="G92" s="20" t="n">
        <v>1147303</v>
      </c>
      <c r="H92" s="20" t="n">
        <v>747339</v>
      </c>
      <c r="I92" s="20" t="n">
        <v>845110</v>
      </c>
      <c r="J92" s="20" t="n">
        <v>952321</v>
      </c>
      <c r="K92" s="20" t="n">
        <v>882400</v>
      </c>
      <c r="L92" s="20" t="n">
        <v>1140534</v>
      </c>
    </row>
    <row r="93">
      <c r="A93" s="18" t="inlineStr">
        <is>
          <t>Non Current Labilities</t>
        </is>
      </c>
      <c r="C93" s="20" t="n">
        <v>1628812</v>
      </c>
      <c r="D93" s="20" t="n">
        <v>1694933</v>
      </c>
      <c r="E93" s="20" t="n">
        <v>1791487</v>
      </c>
      <c r="F93" s="20" t="n">
        <v>1811926</v>
      </c>
      <c r="G93" s="20" t="n">
        <v>1669048</v>
      </c>
      <c r="H93" s="20" t="n">
        <v>1610948</v>
      </c>
      <c r="I93" s="20" t="n">
        <v>1396149</v>
      </c>
      <c r="J93" s="20" t="n">
        <v>1567605</v>
      </c>
      <c r="K93" s="20" t="n">
        <v>1785609</v>
      </c>
      <c r="L93" s="20" t="n">
        <v>1791487</v>
      </c>
    </row>
    <row r="94">
      <c r="A94" s="18" t="inlineStr">
        <is>
          <t>Long Term Debt NCL</t>
        </is>
      </c>
      <c r="C94" s="20" t="n">
        <v>1097225</v>
      </c>
      <c r="D94" s="20" t="n">
        <v>1134110</v>
      </c>
      <c r="E94" s="20" t="n">
        <v>1162564</v>
      </c>
      <c r="F94" s="20" t="n">
        <v>1165276</v>
      </c>
      <c r="G94" s="20" t="n">
        <v>1147823</v>
      </c>
      <c r="H94" s="20" t="n">
        <v>1197706</v>
      </c>
      <c r="I94" s="20" t="n">
        <v>1050116</v>
      </c>
      <c r="J94" s="20" t="n">
        <v>1084037</v>
      </c>
      <c r="K94" s="20" t="n">
        <v>1172581</v>
      </c>
      <c r="L94" s="20" t="n">
        <v>1162564</v>
      </c>
    </row>
    <row r="95">
      <c r="A95" s="18" t="inlineStr">
        <is>
          <t>리스부채</t>
        </is>
      </c>
      <c r="C95" s="20" t="n">
        <v>214740</v>
      </c>
      <c r="D95" s="20" t="n">
        <v>206901</v>
      </c>
      <c r="E95" s="20" t="n">
        <v>196298</v>
      </c>
      <c r="F95" s="20" t="n">
        <v>190996</v>
      </c>
      <c r="G95" s="20" t="n">
        <v>185223</v>
      </c>
      <c r="H95" s="20" t="n">
        <v>206166</v>
      </c>
      <c r="I95" s="20" t="n">
        <v>187865</v>
      </c>
      <c r="J95" s="20" t="n">
        <v>211383</v>
      </c>
      <c r="K95" s="20" t="n">
        <v>226741</v>
      </c>
      <c r="L95" s="20" t="n">
        <v>196298</v>
      </c>
    </row>
    <row r="96">
      <c r="A96" s="18" t="inlineStr">
        <is>
          <t>기타금융부채</t>
        </is>
      </c>
      <c r="E96" s="20" t="n">
        <v>56342</v>
      </c>
      <c r="F96" s="20" t="n">
        <v>57171</v>
      </c>
      <c r="G96" s="20" t="n">
        <v>18588</v>
      </c>
      <c r="K96" s="20" t="n">
        <v>56611</v>
      </c>
      <c r="L96" s="20" t="n">
        <v>56342</v>
      </c>
    </row>
    <row r="97">
      <c r="A97" s="18" t="inlineStr">
        <is>
          <t>기타비유동부채</t>
        </is>
      </c>
      <c r="C97" s="20" t="n">
        <v>316847</v>
      </c>
      <c r="D97" s="20" t="n">
        <v>353922</v>
      </c>
      <c r="E97" s="20" t="n">
        <v>376283</v>
      </c>
      <c r="F97" s="20" t="n">
        <v>398483</v>
      </c>
      <c r="G97" s="20" t="n">
        <v>317414</v>
      </c>
      <c r="H97" s="20" t="n">
        <v>207076</v>
      </c>
      <c r="I97" s="20" t="n">
        <v>158168</v>
      </c>
      <c r="J97" s="20" t="n">
        <v>272185</v>
      </c>
      <c r="K97" s="20" t="n">
        <v>329676</v>
      </c>
      <c r="L97" s="20" t="n">
        <v>376283</v>
      </c>
    </row>
    <row r="98">
      <c r="A98" s="18" t="inlineStr">
        <is>
          <t>부채 합계</t>
        </is>
      </c>
      <c r="C98" s="20" t="n">
        <v>4561179</v>
      </c>
      <c r="D98" s="20" t="n">
        <v>4920317</v>
      </c>
      <c r="E98" s="20" t="n">
        <v>4790457</v>
      </c>
      <c r="F98" s="20" t="n">
        <v>4852951</v>
      </c>
      <c r="G98" s="20" t="n">
        <v>4779396</v>
      </c>
      <c r="H98" s="20" t="n">
        <v>4676412</v>
      </c>
      <c r="I98" s="20" t="n">
        <v>4269569</v>
      </c>
      <c r="J98" s="20" t="n">
        <v>4689292</v>
      </c>
      <c r="K98" s="20" t="n">
        <v>4468362</v>
      </c>
      <c r="L98" s="20" t="n">
        <v>4790457</v>
      </c>
    </row>
    <row r="99">
      <c r="A99" s="18" t="inlineStr">
        <is>
          <t>지배기업 소유주 지분</t>
        </is>
      </c>
      <c r="C99" s="20" t="n">
        <v>4807229</v>
      </c>
      <c r="D99" s="20" t="n">
        <v>5026502</v>
      </c>
      <c r="E99" s="20" t="n">
        <v>5211272</v>
      </c>
      <c r="F99" s="20" t="n">
        <v>5405922</v>
      </c>
      <c r="G99" s="20" t="n">
        <v>5366823</v>
      </c>
      <c r="H99" s="20" t="n">
        <v>3164962</v>
      </c>
      <c r="I99" s="20" t="n">
        <v>3618402</v>
      </c>
      <c r="J99" s="20" t="n">
        <v>4544076</v>
      </c>
      <c r="K99" s="20" t="n">
        <v>4694421</v>
      </c>
      <c r="L99" s="20" t="n">
        <v>5211272</v>
      </c>
    </row>
    <row r="100">
      <c r="A100" s="18" t="inlineStr">
        <is>
          <t>자본금</t>
        </is>
      </c>
      <c r="C100" s="20" t="n">
        <v>259625</v>
      </c>
      <c r="D100" s="20" t="n">
        <v>259625</v>
      </c>
      <c r="E100" s="20" t="n">
        <v>259631</v>
      </c>
      <c r="F100" s="20" t="n">
        <v>259858</v>
      </c>
      <c r="G100" s="20" t="n">
        <v>260034</v>
      </c>
      <c r="H100" s="20" t="n">
        <v>259168</v>
      </c>
      <c r="I100" s="20" t="n">
        <v>259274</v>
      </c>
      <c r="J100" s="20" t="n">
        <v>259445</v>
      </c>
      <c r="K100" s="20" t="n">
        <v>259566</v>
      </c>
      <c r="L100" s="20" t="n">
        <v>259631</v>
      </c>
    </row>
    <row r="101">
      <c r="A101" s="18" t="inlineStr">
        <is>
          <t>자본잉여금</t>
        </is>
      </c>
      <c r="C101" s="20" t="n">
        <v>505711</v>
      </c>
      <c r="D101" s="20" t="n">
        <v>501609</v>
      </c>
      <c r="E101" s="20" t="n">
        <v>501887</v>
      </c>
      <c r="F101" s="20" t="n">
        <v>502102</v>
      </c>
      <c r="G101" s="20" t="n">
        <v>508911</v>
      </c>
      <c r="H101" s="20" t="n">
        <v>525554</v>
      </c>
      <c r="I101" s="20" t="n">
        <v>515760</v>
      </c>
      <c r="J101" s="20" t="n">
        <v>508274</v>
      </c>
      <c r="K101" s="20" t="n">
        <v>507956</v>
      </c>
      <c r="L101" s="20" t="n">
        <v>501887</v>
      </c>
    </row>
    <row r="102">
      <c r="A102" s="18" t="inlineStr">
        <is>
          <t>이익잉여금</t>
        </is>
      </c>
      <c r="C102" s="20" t="n">
        <v>3398462</v>
      </c>
      <c r="D102" s="20" t="n">
        <v>3333293</v>
      </c>
      <c r="E102" s="20" t="n">
        <v>3404719</v>
      </c>
      <c r="F102" s="20" t="n">
        <v>3494318</v>
      </c>
      <c r="G102" s="20" t="n">
        <v>3634829</v>
      </c>
      <c r="H102" s="20" t="n">
        <v>2387283</v>
      </c>
      <c r="I102" s="20" t="n">
        <v>2588800</v>
      </c>
      <c r="J102" s="20" t="n">
        <v>3037982</v>
      </c>
      <c r="K102" s="20" t="n">
        <v>3318079</v>
      </c>
      <c r="L102" s="20" t="n">
        <v>3404719</v>
      </c>
    </row>
    <row r="103">
      <c r="A103" s="18" t="inlineStr">
        <is>
          <t>기타자본구성요소</t>
        </is>
      </c>
      <c r="C103" s="20" t="n">
        <v>852440</v>
      </c>
      <c r="D103" s="20" t="n">
        <v>1140985</v>
      </c>
      <c r="E103" s="20" t="n">
        <v>1254009</v>
      </c>
      <c r="F103" s="20" t="n">
        <v>1358606</v>
      </c>
      <c r="G103" s="20" t="n">
        <v>1171718</v>
      </c>
      <c r="H103" s="20" t="n">
        <v>202227</v>
      </c>
      <c r="I103" s="20" t="n">
        <v>463764</v>
      </c>
      <c r="J103" s="20" t="n">
        <v>947512</v>
      </c>
      <c r="K103" s="20" t="n">
        <v>817846</v>
      </c>
      <c r="L103" s="20" t="n">
        <v>1254009</v>
      </c>
    </row>
    <row r="104">
      <c r="A104" s="18" t="inlineStr">
        <is>
          <t>자기주식</t>
        </is>
      </c>
      <c r="C104" s="20" t="n">
        <v>-209009</v>
      </c>
      <c r="D104" s="20" t="n">
        <v>-209010</v>
      </c>
      <c r="E104" s="20" t="n">
        <v>-208974</v>
      </c>
      <c r="F104" s="20" t="n">
        <v>-208962</v>
      </c>
      <c r="G104" s="20" t="n">
        <v>-208669</v>
      </c>
      <c r="H104" s="20" t="n">
        <v>-209270</v>
      </c>
      <c r="I104" s="20" t="n">
        <v>-209196</v>
      </c>
      <c r="J104" s="20" t="n">
        <v>-209137</v>
      </c>
      <c r="K104" s="20" t="n">
        <v>-209026</v>
      </c>
      <c r="L104" s="20" t="n">
        <v>-208974</v>
      </c>
    </row>
    <row r="105">
      <c r="A105" s="18" t="inlineStr">
        <is>
          <t>비지배지분</t>
        </is>
      </c>
      <c r="C105" s="20" t="n">
        <v>182276</v>
      </c>
      <c r="D105" s="20" t="n">
        <v>200307</v>
      </c>
      <c r="E105" s="20" t="n">
        <v>170683</v>
      </c>
      <c r="F105" s="20" t="n">
        <v>168807</v>
      </c>
      <c r="G105" s="20" t="n">
        <v>161336</v>
      </c>
      <c r="H105" s="20" t="n">
        <v>182209</v>
      </c>
      <c r="I105" s="20" t="n">
        <v>171556</v>
      </c>
      <c r="J105" s="20" t="n">
        <v>177827</v>
      </c>
      <c r="K105" s="20" t="n">
        <v>180408</v>
      </c>
      <c r="L105" s="20" t="n">
        <v>170683</v>
      </c>
    </row>
    <row r="106">
      <c r="A106" s="18" t="inlineStr">
        <is>
          <t>자본 합계</t>
        </is>
      </c>
      <c r="C106" s="20" t="n">
        <v>4989505</v>
      </c>
      <c r="D106" s="20" t="n">
        <v>5226809</v>
      </c>
      <c r="E106" s="20" t="n">
        <v>5381955</v>
      </c>
      <c r="F106" s="20" t="n">
        <v>5574729</v>
      </c>
      <c r="G106" s="20" t="n">
        <v>5528159</v>
      </c>
      <c r="H106" s="20" t="n">
        <v>3347171</v>
      </c>
      <c r="I106" s="20" t="n">
        <v>3789958</v>
      </c>
      <c r="J106" s="20" t="n">
        <v>4721903</v>
      </c>
      <c r="K106" s="20" t="n">
        <v>4874829</v>
      </c>
      <c r="L106" s="20" t="n">
        <v>5381955</v>
      </c>
    </row>
    <row r="107">
      <c r="A107" s="18" t="inlineStr">
        <is>
          <t>부채및자본 합계</t>
        </is>
      </c>
      <c r="C107" s="20" t="n">
        <v>9550684</v>
      </c>
      <c r="D107" s="20" t="n">
        <v>10147126</v>
      </c>
      <c r="E107" s="20" t="n">
        <v>10172412</v>
      </c>
      <c r="F107" s="20" t="n">
        <v>10427680</v>
      </c>
      <c r="G107" s="20" t="n">
        <v>10307555</v>
      </c>
      <c r="H107" s="20" t="n">
        <v>8023583</v>
      </c>
      <c r="I107" s="20" t="n">
        <v>8059527</v>
      </c>
      <c r="J107" s="20" t="n">
        <v>9411195</v>
      </c>
      <c r="K107" s="20" t="n">
        <v>9343191</v>
      </c>
      <c r="L107" s="20" t="n">
        <v>10172412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0" t="inlineStr">
        <is>
          <t>6752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가이던스 · fy27 oct30</t>
        </is>
      </c>
      <c r="B4" s="52" t="n"/>
      <c r="C4" s="52" t="n"/>
      <c r="D4" s="52" t="n"/>
      <c r="E4" s="52" t="n"/>
    </row>
    <row r="5">
      <c r="A5" s="53" t="inlineStr">
        <is>
          <t>항목</t>
        </is>
      </c>
      <c r="B5" s="53" t="inlineStr">
        <is>
          <t>값</t>
        </is>
      </c>
      <c r="E5" s="53" t="inlineStr">
        <is>
          <t>출처</t>
        </is>
      </c>
    </row>
    <row r="6">
      <c r="A6" s="54" t="inlineStr">
        <is>
          <t>매출</t>
        </is>
      </c>
      <c r="B6" s="55" t="n">
        <v>84000</v>
      </c>
      <c r="E6" s="56" t="inlineStr">
        <is>
          <t>28년도(FY29) 조정영업이익 목표(7,500억 이상)를 2년 앞당겨 FY27 달성 추진. 하반기 함의 조정영업이익은 상반기보다 낮음(달러 150 전제)</t>
        </is>
      </c>
    </row>
    <row r="7">
      <c r="A7" s="54" t="inlineStr">
        <is>
          <t>adj 영업이익</t>
        </is>
      </c>
      <c r="B7" s="55" t="n">
        <v>7800</v>
      </c>
    </row>
    <row r="8">
      <c r="A8" s="54" t="inlineStr">
        <is>
          <t>영업이익</t>
        </is>
      </c>
      <c r="B8" s="55" t="n">
        <v>7100</v>
      </c>
    </row>
    <row r="9">
      <c r="A9" s="54" t="inlineStr">
        <is>
          <t>pbt</t>
        </is>
      </c>
      <c r="B9" s="55" t="n">
        <v>7200</v>
      </c>
    </row>
    <row r="10">
      <c r="A10" s="54" t="inlineStr">
        <is>
          <t>순이익</t>
        </is>
      </c>
      <c r="B10" s="55" t="n">
        <v>5400</v>
      </c>
    </row>
    <row r="11">
      <c r="A11" s="54" t="inlineStr">
        <is>
          <t>EPS</t>
        </is>
      </c>
      <c r="B11" s="57" t="n">
        <v>231.26</v>
      </c>
    </row>
    <row r="12">
      <c r="A12" s="54" t="inlineStr">
        <is>
          <t>ROE</t>
        </is>
      </c>
      <c r="B12" s="57" t="n">
        <v>10</v>
      </c>
    </row>
    <row r="13">
      <c r="A13" s="54" t="inlineStr">
        <is>
          <t>ebitda</t>
        </is>
      </c>
      <c r="B13" s="55" t="n">
        <v>11400</v>
      </c>
    </row>
    <row r="14">
      <c r="A14" s="54" t="inlineStr">
        <is>
          <t>dps</t>
        </is>
      </c>
      <c r="B14" s="55" t="n">
        <v>70</v>
      </c>
    </row>
    <row r="16">
      <c r="A16" s="52" t="inlineStr">
        <is>
          <t>가이던스 · jul30</t>
        </is>
      </c>
      <c r="B16" s="52" t="n"/>
      <c r="C16" s="52" t="n"/>
      <c r="D16" s="52" t="n"/>
      <c r="E16" s="52" t="n"/>
    </row>
    <row r="17">
      <c r="A17" s="53" t="inlineStr">
        <is>
          <t>항목</t>
        </is>
      </c>
      <c r="B17" s="53" t="inlineStr">
        <is>
          <t>값</t>
        </is>
      </c>
      <c r="E17" s="53" t="inlineStr">
        <is>
          <t>출처</t>
        </is>
      </c>
    </row>
    <row r="18">
      <c r="A18" s="54" t="inlineStr">
        <is>
          <t>매출</t>
        </is>
      </c>
      <c r="B18" s="55" t="n">
        <v>78000</v>
      </c>
      <c r="E18" s="56" t="inlineStr">
        <is>
          <t>28년도(FY29) 조정영업이익 목표(7,500억 이상)를 2년 앞당겨 FY27 달성 추진. 하반기 함의 조정영업이익은 상반기보다 낮음(달러 150 전제)</t>
        </is>
      </c>
    </row>
    <row r="19">
      <c r="A19" s="54" t="inlineStr">
        <is>
          <t>adj 영업이익</t>
        </is>
      </c>
      <c r="B19" s="55" t="n">
        <v>6500</v>
      </c>
    </row>
    <row r="20">
      <c r="A20" s="54" t="inlineStr">
        <is>
          <t>영업이익</t>
        </is>
      </c>
      <c r="B20" s="55" t="n">
        <v>5900</v>
      </c>
    </row>
    <row r="21">
      <c r="A21" s="54" t="inlineStr">
        <is>
          <t>pbt</t>
        </is>
      </c>
      <c r="B21" s="55" t="n">
        <v>5900</v>
      </c>
    </row>
    <row r="22">
      <c r="A22" s="54" t="inlineStr">
        <is>
          <t>순이익</t>
        </is>
      </c>
      <c r="B22" s="55" t="n">
        <v>4500</v>
      </c>
    </row>
    <row r="23">
      <c r="A23" s="54" t="inlineStr">
        <is>
          <t>EPS</t>
        </is>
      </c>
      <c r="B23" s="57" t="n">
        <v>192.73</v>
      </c>
    </row>
    <row r="24">
      <c r="A24" s="54" t="inlineStr">
        <is>
          <t>dps</t>
        </is>
      </c>
      <c r="B24" s="55" t="n">
        <v>54</v>
      </c>
    </row>
    <row r="26">
      <c r="A26" s="52" t="inlineStr">
        <is>
          <t>가이던스 · may12</t>
        </is>
      </c>
      <c r="B26" s="52" t="n"/>
      <c r="C26" s="52" t="n"/>
      <c r="D26" s="52" t="n"/>
      <c r="E26" s="52" t="n"/>
    </row>
    <row r="27">
      <c r="A27" s="53" t="inlineStr">
        <is>
          <t>항목</t>
        </is>
      </c>
      <c r="B27" s="53" t="inlineStr">
        <is>
          <t>값</t>
        </is>
      </c>
      <c r="E27" s="53" t="inlineStr">
        <is>
          <t>출처</t>
        </is>
      </c>
    </row>
    <row r="28">
      <c r="A28" s="54" t="inlineStr">
        <is>
          <t>매출</t>
        </is>
      </c>
      <c r="B28" s="55" t="n">
        <v>76000</v>
      </c>
      <c r="E28" s="56" t="inlineStr">
        <is>
          <t>28년도(FY29) 조정영업이익 목표(7,500억 이상)를 2년 앞당겨 FY27 달성 추진. 하반기 함의 조정영업이익은 상반기보다 낮음(달러 150 전제)</t>
        </is>
      </c>
    </row>
    <row r="29">
      <c r="A29" s="54" t="inlineStr">
        <is>
          <t>adj 영업이익</t>
        </is>
      </c>
      <c r="B29" s="55" t="n">
        <v>6000</v>
      </c>
    </row>
    <row r="30">
      <c r="A30" s="54" t="inlineStr">
        <is>
          <t>영업이익</t>
        </is>
      </c>
      <c r="B30" s="55" t="n">
        <v>5500</v>
      </c>
    </row>
    <row r="31">
      <c r="A31" s="54" t="inlineStr">
        <is>
          <t>pbt</t>
        </is>
      </c>
      <c r="B31" s="55" t="n">
        <v>5500</v>
      </c>
    </row>
    <row r="32">
      <c r="A32" s="54" t="inlineStr">
        <is>
          <t>순이익</t>
        </is>
      </c>
      <c r="B32" s="55" t="n">
        <v>4200</v>
      </c>
    </row>
    <row r="33">
      <c r="A33" s="54" t="inlineStr">
        <is>
          <t>EPS</t>
        </is>
      </c>
      <c r="B33" s="57" t="n">
        <v>179.89</v>
      </c>
    </row>
    <row r="34">
      <c r="A34" s="54" t="inlineStr">
        <is>
          <t>dps</t>
        </is>
      </c>
      <c r="B34" s="55" t="n">
        <v>54</v>
      </c>
    </row>
    <row r="36">
      <c r="A36" s="52" t="inlineStr">
        <is>
          <t>가이던스 · fy26 a</t>
        </is>
      </c>
      <c r="B36" s="52" t="n"/>
      <c r="C36" s="52" t="n"/>
      <c r="D36" s="52" t="n"/>
      <c r="E36" s="52" t="n"/>
    </row>
    <row r="37">
      <c r="A37" s="53" t="inlineStr">
        <is>
          <t>항목</t>
        </is>
      </c>
      <c r="B37" s="53" t="inlineStr">
        <is>
          <t>값</t>
        </is>
      </c>
      <c r="E37" s="53" t="inlineStr">
        <is>
          <t>출처</t>
        </is>
      </c>
    </row>
    <row r="38">
      <c r="A38" s="54" t="inlineStr">
        <is>
          <t>매출</t>
        </is>
      </c>
      <c r="B38" s="55" t="n">
        <v>80487</v>
      </c>
      <c r="E38" s="56" t="inlineStr">
        <is>
          <t>28년도(FY29) 조정영업이익 목표(7,500억 이상)를 2년 앞당겨 FY27 달성 추진. 하반기 함의 조정영업이익은 상반기보다 낮음(달러 150 전제)</t>
        </is>
      </c>
    </row>
    <row r="39">
      <c r="A39" s="54" t="inlineStr">
        <is>
          <t>adj 영업이익</t>
        </is>
      </c>
      <c r="B39" s="55" t="n">
        <v>4474</v>
      </c>
    </row>
    <row r="40">
      <c r="A40" s="54" t="inlineStr">
        <is>
          <t>영업이익</t>
        </is>
      </c>
      <c r="B40" s="55" t="n">
        <v>2364</v>
      </c>
    </row>
    <row r="41">
      <c r="A41" s="54" t="inlineStr">
        <is>
          <t>pbt</t>
        </is>
      </c>
      <c r="B41" s="55" t="n">
        <v>2631</v>
      </c>
    </row>
    <row r="42">
      <c r="A42" s="54" t="inlineStr">
        <is>
          <t>순이익</t>
        </is>
      </c>
      <c r="B42" s="55" t="n">
        <v>1895</v>
      </c>
    </row>
    <row r="43">
      <c r="A43" s="54" t="inlineStr">
        <is>
          <t>EPS</t>
        </is>
      </c>
      <c r="B43" s="57" t="n">
        <v>81.19</v>
      </c>
    </row>
    <row r="44">
      <c r="A44" s="54" t="inlineStr">
        <is>
          <t>dps</t>
        </is>
      </c>
      <c r="B44" s="55" t="n">
        <v>40</v>
      </c>
    </row>
    <row r="46">
      <c r="A46" s="52" t="inlineStr">
        <is>
          <t>가이던스 · 상반기</t>
        </is>
      </c>
      <c r="B46" s="52" t="n"/>
      <c r="C46" s="52" t="n"/>
      <c r="D46" s="52" t="n"/>
      <c r="E46" s="52" t="n"/>
    </row>
    <row r="47">
      <c r="A47" s="53" t="inlineStr">
        <is>
          <t>항목</t>
        </is>
      </c>
      <c r="B47" s="53" t="inlineStr">
        <is>
          <t>값</t>
        </is>
      </c>
      <c r="E47" s="53" t="inlineStr">
        <is>
          <t>출처</t>
        </is>
      </c>
    </row>
    <row r="48">
      <c r="A48" s="54" t="inlineStr">
        <is>
          <t>매출</t>
        </is>
      </c>
      <c r="B48" s="55" t="n">
        <v>40925</v>
      </c>
      <c r="E48" s="56" t="inlineStr">
        <is>
          <t>28년도(FY29) 조정영업이익 목표(7,500억 이상)를 2년 앞당겨 FY27 달성 추진. 하반기 함의 조정영업이익은 상반기보다 낮음(달러 150 전제)</t>
        </is>
      </c>
    </row>
    <row r="49">
      <c r="A49" s="54" t="inlineStr">
        <is>
          <t>adj 영업이익</t>
        </is>
      </c>
      <c r="B49" s="55" t="n">
        <v>3996</v>
      </c>
    </row>
    <row r="50">
      <c r="A50" s="54" t="inlineStr">
        <is>
          <t>영업이익</t>
        </is>
      </c>
      <c r="B50" s="55" t="n">
        <v>3632</v>
      </c>
    </row>
    <row r="51">
      <c r="A51" s="54" t="inlineStr">
        <is>
          <t>순이익</t>
        </is>
      </c>
      <c r="B51" s="55" t="n">
        <v>2770</v>
      </c>
    </row>
    <row r="53">
      <c r="A53" s="52" t="inlineStr">
        <is>
          <t>가이던스 · 하반기 implied</t>
        </is>
      </c>
      <c r="B53" s="52" t="n"/>
      <c r="C53" s="52" t="n"/>
      <c r="D53" s="52" t="n"/>
      <c r="E53" s="52" t="n"/>
    </row>
    <row r="54">
      <c r="A54" s="53" t="inlineStr">
        <is>
          <t>항목</t>
        </is>
      </c>
      <c r="B54" s="53" t="inlineStr">
        <is>
          <t>값</t>
        </is>
      </c>
      <c r="E54" s="53" t="inlineStr">
        <is>
          <t>출처</t>
        </is>
      </c>
    </row>
    <row r="55">
      <c r="A55" s="54" t="inlineStr">
        <is>
          <t>매출</t>
        </is>
      </c>
      <c r="B55" s="55" t="n">
        <v>43075</v>
      </c>
      <c r="E55" s="56" t="inlineStr">
        <is>
          <t>28년도(FY29) 조정영업이익 목표(7,500억 이상)를 2년 앞당겨 FY27 달성 추진. 하반기 함의 조정영업이익은 상반기보다 낮음(달러 150 전제)</t>
        </is>
      </c>
    </row>
    <row r="56">
      <c r="A56" s="54" t="inlineStr">
        <is>
          <t>adj 영업이익</t>
        </is>
      </c>
      <c r="B56" s="55" t="n">
        <v>3804</v>
      </c>
    </row>
    <row r="57">
      <c r="A57" s="54" t="inlineStr">
        <is>
          <t>영업이익</t>
        </is>
      </c>
      <c r="B57" s="55" t="n">
        <v>3468</v>
      </c>
    </row>
    <row r="58">
      <c r="A58" s="54" t="inlineStr">
        <is>
          <t>순이익</t>
        </is>
      </c>
      <c r="B58" s="55" t="n">
        <v>2630</v>
      </c>
    </row>
    <row r="60">
      <c r="A60" s="52" t="inlineStr">
        <is>
          <t>seg_fy27_guide · 커넥트</t>
        </is>
      </c>
      <c r="B60" s="52" t="n"/>
      <c r="C60" s="52" t="n"/>
      <c r="D60" s="52" t="n"/>
      <c r="E60" s="52" t="n"/>
    </row>
    <row r="61">
      <c r="A61" s="53" t="inlineStr">
        <is>
          <t>항목</t>
        </is>
      </c>
      <c r="B61" s="53" t="inlineStr">
        <is>
          <t>값</t>
        </is>
      </c>
      <c r="E61" s="53" t="inlineStr">
        <is>
          <t>출처</t>
        </is>
      </c>
    </row>
    <row r="62">
      <c r="A62" s="54" t="inlineStr">
        <is>
          <t>매출</t>
        </is>
      </c>
      <c r="B62" s="55" t="n">
        <v>15100</v>
      </c>
      <c r="E62" s="56" t="inlineStr">
        <is>
          <t>2단계 보고서 자료(회사 설명회 자료·공시)</t>
        </is>
      </c>
    </row>
    <row r="63">
      <c r="A63" s="54" t="inlineStr">
        <is>
          <t>adj</t>
        </is>
      </c>
      <c r="B63" s="55" t="n">
        <v>1150</v>
      </c>
    </row>
    <row r="64">
      <c r="A64" s="54" t="inlineStr">
        <is>
          <t>영업이익</t>
        </is>
      </c>
      <c r="B64" s="55" t="n">
        <v>1130</v>
      </c>
    </row>
    <row r="66">
      <c r="A66" s="52" t="inlineStr">
        <is>
          <t>seg_fy27_guide · 일렉트릭웍스</t>
        </is>
      </c>
      <c r="B66" s="52" t="n"/>
      <c r="C66" s="52" t="n"/>
      <c r="D66" s="52" t="n"/>
      <c r="E66" s="52" t="n"/>
    </row>
    <row r="67">
      <c r="A67" s="53" t="inlineStr">
        <is>
          <t>항목</t>
        </is>
      </c>
      <c r="B67" s="53" t="inlineStr">
        <is>
          <t>값</t>
        </is>
      </c>
      <c r="E67" s="53" t="inlineStr">
        <is>
          <t>출처</t>
        </is>
      </c>
    </row>
    <row r="68">
      <c r="A68" s="54" t="inlineStr">
        <is>
          <t>매출</t>
        </is>
      </c>
      <c r="B68" s="55" t="n">
        <v>12400</v>
      </c>
      <c r="E68" s="56" t="inlineStr">
        <is>
          <t>2단계 보고서 자료(회사 설명회 자료·공시)</t>
        </is>
      </c>
    </row>
    <row r="69">
      <c r="A69" s="54" t="inlineStr">
        <is>
          <t>adj</t>
        </is>
      </c>
      <c r="B69" s="55" t="n">
        <v>1180</v>
      </c>
    </row>
    <row r="70">
      <c r="A70" s="54" t="inlineStr">
        <is>
          <t>영업이익</t>
        </is>
      </c>
      <c r="B70" s="55" t="n">
        <v>1110</v>
      </c>
    </row>
    <row r="72">
      <c r="A72" s="52" t="inlineStr">
        <is>
          <t>seg_fy27_guide · 공조·냉열</t>
        </is>
      </c>
      <c r="B72" s="52" t="n"/>
      <c r="C72" s="52" t="n"/>
      <c r="D72" s="52" t="n"/>
      <c r="E72" s="52" t="n"/>
    </row>
    <row r="73">
      <c r="A73" s="53" t="inlineStr">
        <is>
          <t>항목</t>
        </is>
      </c>
      <c r="B73" s="53" t="inlineStr">
        <is>
          <t>값</t>
        </is>
      </c>
      <c r="E73" s="53" t="inlineStr">
        <is>
          <t>출처</t>
        </is>
      </c>
    </row>
    <row r="74">
      <c r="A74" s="54" t="inlineStr">
        <is>
          <t>매출</t>
        </is>
      </c>
      <c r="B74" s="55" t="n">
        <v>15000</v>
      </c>
      <c r="E74" s="56" t="inlineStr">
        <is>
          <t>2단계 보고서 자료(회사 설명회 자료·공시)</t>
        </is>
      </c>
    </row>
    <row r="75">
      <c r="A75" s="54" t="inlineStr">
        <is>
          <t>adj</t>
        </is>
      </c>
      <c r="B75" s="55" t="n">
        <v>600</v>
      </c>
    </row>
    <row r="76">
      <c r="A76" s="54" t="inlineStr">
        <is>
          <t>영업이익</t>
        </is>
      </c>
      <c r="B76" s="55" t="n">
        <v>590</v>
      </c>
    </row>
    <row r="78">
      <c r="A78" s="52" t="inlineStr">
        <is>
          <t>seg_fy27_guide · 에너지</t>
        </is>
      </c>
      <c r="B78" s="52" t="n"/>
      <c r="C78" s="52" t="n"/>
      <c r="D78" s="52" t="n"/>
      <c r="E78" s="52" t="n"/>
    </row>
    <row r="79">
      <c r="A79" s="53" t="inlineStr">
        <is>
          <t>항목</t>
        </is>
      </c>
      <c r="B79" s="53" t="inlineStr">
        <is>
          <t>값</t>
        </is>
      </c>
      <c r="E79" s="53" t="inlineStr">
        <is>
          <t>출처</t>
        </is>
      </c>
    </row>
    <row r="80">
      <c r="A80" s="54" t="inlineStr">
        <is>
          <t>매출</t>
        </is>
      </c>
      <c r="B80" s="55" t="n">
        <v>14410</v>
      </c>
      <c r="E80" s="56" t="inlineStr">
        <is>
          <t>2단계 보고서 자료(회사 설명회 자료·공시)</t>
        </is>
      </c>
    </row>
    <row r="81">
      <c r="A81" s="54" t="inlineStr">
        <is>
          <t>adj</t>
        </is>
      </c>
      <c r="B81" s="55" t="n">
        <v>2000</v>
      </c>
    </row>
    <row r="82">
      <c r="A82" s="54" t="inlineStr">
        <is>
          <t>영업이익</t>
        </is>
      </c>
      <c r="B82" s="55" t="n">
        <v>1980</v>
      </c>
    </row>
    <row r="84">
      <c r="A84" s="52" t="inlineStr">
        <is>
          <t>seg_fy27_guide · 인더스트리</t>
        </is>
      </c>
      <c r="B84" s="52" t="n"/>
      <c r="C84" s="52" t="n"/>
      <c r="D84" s="52" t="n"/>
      <c r="E84" s="52" t="n"/>
    </row>
    <row r="85">
      <c r="A85" s="53" t="inlineStr">
        <is>
          <t>항목</t>
        </is>
      </c>
      <c r="B85" s="53" t="inlineStr">
        <is>
          <t>값</t>
        </is>
      </c>
      <c r="E85" s="53" t="inlineStr">
        <is>
          <t>출처</t>
        </is>
      </c>
    </row>
    <row r="86">
      <c r="A86" s="54" t="inlineStr">
        <is>
          <t>매출</t>
        </is>
      </c>
      <c r="B86" s="55" t="n">
        <v>13800</v>
      </c>
      <c r="E86" s="56" t="inlineStr">
        <is>
          <t>2단계 보고서 자료(회사 설명회 자료·공시)</t>
        </is>
      </c>
    </row>
    <row r="87">
      <c r="A87" s="54" t="inlineStr">
        <is>
          <t>adj</t>
        </is>
      </c>
      <c r="B87" s="55" t="n">
        <v>1900</v>
      </c>
    </row>
    <row r="88">
      <c r="A88" s="54" t="inlineStr">
        <is>
          <t>영업이익</t>
        </is>
      </c>
      <c r="B88" s="55" t="n">
        <v>1690</v>
      </c>
    </row>
    <row r="90">
      <c r="A90" s="52" t="inlineStr">
        <is>
          <t>seg_fy27_guide · 스마트라이프</t>
        </is>
      </c>
      <c r="B90" s="52" t="n"/>
      <c r="C90" s="52" t="n"/>
      <c r="D90" s="52" t="n"/>
      <c r="E90" s="52" t="n"/>
    </row>
    <row r="91">
      <c r="A91" s="53" t="inlineStr">
        <is>
          <t>항목</t>
        </is>
      </c>
      <c r="B91" s="53" t="inlineStr">
        <is>
          <t>값</t>
        </is>
      </c>
      <c r="E91" s="53" t="inlineStr">
        <is>
          <t>출처</t>
        </is>
      </c>
    </row>
    <row r="92">
      <c r="A92" s="54" t="inlineStr">
        <is>
          <t>매출</t>
        </is>
      </c>
      <c r="B92" s="55" t="n">
        <v>13350</v>
      </c>
      <c r="E92" s="56" t="inlineStr">
        <is>
          <t>2단계 보고서 자료(회사 설명회 자료·공시)</t>
        </is>
      </c>
    </row>
    <row r="93">
      <c r="A93" s="54" t="inlineStr">
        <is>
          <t>adj</t>
        </is>
      </c>
      <c r="B93" s="55" t="n">
        <v>750</v>
      </c>
    </row>
    <row r="94">
      <c r="A94" s="54" t="inlineStr">
        <is>
          <t>영업이익</t>
        </is>
      </c>
      <c r="B94" s="55" t="n">
        <v>490</v>
      </c>
    </row>
    <row r="96">
      <c r="A96" s="52" t="inlineStr">
        <is>
          <t>fy26_seg_annual_bn · 커넥트</t>
        </is>
      </c>
      <c r="B96" s="52" t="n"/>
      <c r="C96" s="52" t="n"/>
      <c r="D96" s="52" t="n"/>
      <c r="E96" s="52" t="n"/>
    </row>
    <row r="97">
      <c r="A97" s="53" t="inlineStr">
        <is>
          <t>항목</t>
        </is>
      </c>
      <c r="B97" s="53" t="inlineStr">
        <is>
          <t>값</t>
        </is>
      </c>
      <c r="E97" s="53" t="inlineStr">
        <is>
          <t>출처</t>
        </is>
      </c>
    </row>
    <row r="98">
      <c r="A98" s="54" t="inlineStr">
        <is>
          <t>매출</t>
        </is>
      </c>
      <c r="B98" s="57" t="n">
        <v>1380.3</v>
      </c>
      <c r="E98" s="56" t="inlineStr">
        <is>
          <t>2단계 보고서 자료(회사 설명회 자료·공시)</t>
        </is>
      </c>
    </row>
    <row r="99">
      <c r="A99" s="54" t="inlineStr">
        <is>
          <t>adj</t>
        </is>
      </c>
      <c r="B99" s="57" t="n">
        <v>94.5</v>
      </c>
    </row>
    <row r="101">
      <c r="A101" s="52" t="inlineStr">
        <is>
          <t>fy26_seg_annual_bn · 일렉트릭웍스</t>
        </is>
      </c>
      <c r="B101" s="52" t="n"/>
      <c r="C101" s="52" t="n"/>
      <c r="D101" s="52" t="n"/>
      <c r="E101" s="52" t="n"/>
    </row>
    <row r="102">
      <c r="A102" s="53" t="inlineStr">
        <is>
          <t>항목</t>
        </is>
      </c>
      <c r="B102" s="53" t="inlineStr">
        <is>
          <t>값</t>
        </is>
      </c>
      <c r="E102" s="53" t="inlineStr">
        <is>
          <t>출처</t>
        </is>
      </c>
    </row>
    <row r="103">
      <c r="A103" s="54" t="inlineStr">
        <is>
          <t>매출</t>
        </is>
      </c>
      <c r="B103" s="57" t="n">
        <v>1160.6</v>
      </c>
      <c r="E103" s="56" t="inlineStr">
        <is>
          <t>2단계 보고서 자료(회사 설명회 자료·공시)</t>
        </is>
      </c>
    </row>
    <row r="104">
      <c r="A104" s="54" t="inlineStr">
        <is>
          <t>adj</t>
        </is>
      </c>
      <c r="B104" s="57" t="n">
        <v>88.7</v>
      </c>
    </row>
    <row r="106">
      <c r="A106" s="52" t="inlineStr">
        <is>
          <t>fy26_seg_annual_bn · 공조·냉열</t>
        </is>
      </c>
      <c r="B106" s="52" t="n"/>
      <c r="C106" s="52" t="n"/>
      <c r="D106" s="52" t="n"/>
      <c r="E106" s="52" t="n"/>
    </row>
    <row r="107">
      <c r="A107" s="53" t="inlineStr">
        <is>
          <t>항목</t>
        </is>
      </c>
      <c r="B107" s="53" t="inlineStr">
        <is>
          <t>값</t>
        </is>
      </c>
      <c r="E107" s="53" t="inlineStr">
        <is>
          <t>출처</t>
        </is>
      </c>
    </row>
    <row r="108">
      <c r="A108" s="54" t="inlineStr">
        <is>
          <t>매출</t>
        </is>
      </c>
      <c r="B108" s="57" t="n">
        <v>1312.4</v>
      </c>
      <c r="E108" s="56" t="inlineStr">
        <is>
          <t>2단계 보고서 자료(회사 설명회 자료·공시)</t>
        </is>
      </c>
    </row>
    <row r="109">
      <c r="A109" s="54" t="inlineStr">
        <is>
          <t>adj</t>
        </is>
      </c>
      <c r="B109" s="57" t="n">
        <v>33.1</v>
      </c>
    </row>
    <row r="111">
      <c r="A111" s="52" t="inlineStr">
        <is>
          <t>fy26_seg_annual_bn · 에너지</t>
        </is>
      </c>
      <c r="B111" s="52" t="n"/>
      <c r="C111" s="52" t="n"/>
      <c r="D111" s="52" t="n"/>
      <c r="E111" s="52" t="n"/>
    </row>
    <row r="112">
      <c r="A112" s="53" t="inlineStr">
        <is>
          <t>항목</t>
        </is>
      </c>
      <c r="B112" s="53" t="inlineStr">
        <is>
          <t>값</t>
        </is>
      </c>
      <c r="E112" s="53" t="inlineStr">
        <is>
          <t>출처</t>
        </is>
      </c>
    </row>
    <row r="113">
      <c r="A113" s="54" t="inlineStr">
        <is>
          <t>매출</t>
        </is>
      </c>
      <c r="B113" s="57" t="n">
        <v>984.2</v>
      </c>
      <c r="E113" s="56" t="inlineStr">
        <is>
          <t>2단계 보고서 자료(회사 설명회 자료·공시)</t>
        </is>
      </c>
    </row>
    <row r="114">
      <c r="A114" s="54" t="inlineStr">
        <is>
          <t>adj</t>
        </is>
      </c>
      <c r="B114" s="57" t="n">
        <v>72.09999999999999</v>
      </c>
    </row>
    <row r="116">
      <c r="A116" s="52" t="inlineStr">
        <is>
          <t>fy26_seg_annual_bn · 인더스트리</t>
        </is>
      </c>
      <c r="B116" s="52" t="n"/>
      <c r="C116" s="52" t="n"/>
      <c r="D116" s="52" t="n"/>
      <c r="E116" s="52" t="n"/>
    </row>
    <row r="117">
      <c r="A117" s="53" t="inlineStr">
        <is>
          <t>항목</t>
        </is>
      </c>
      <c r="B117" s="53" t="inlineStr">
        <is>
          <t>값</t>
        </is>
      </c>
      <c r="E117" s="53" t="inlineStr">
        <is>
          <t>출처</t>
        </is>
      </c>
    </row>
    <row r="118">
      <c r="A118" s="54" t="inlineStr">
        <is>
          <t>매출</t>
        </is>
      </c>
      <c r="B118" s="57" t="n">
        <v>1167.3</v>
      </c>
      <c r="E118" s="56" t="inlineStr">
        <is>
          <t>2단계 보고서 자료(회사 설명회 자료·공시)</t>
        </is>
      </c>
    </row>
    <row r="119">
      <c r="A119" s="54" t="inlineStr">
        <is>
          <t>adj</t>
        </is>
      </c>
      <c r="B119" s="57" t="n">
        <v>97.5</v>
      </c>
    </row>
    <row r="121">
      <c r="A121" s="52" t="inlineStr">
        <is>
          <t>fy26_seg_annual_bn · 스마트라이프</t>
        </is>
      </c>
      <c r="B121" s="52" t="n"/>
      <c r="C121" s="52" t="n"/>
      <c r="D121" s="52" t="n"/>
      <c r="E121" s="52" t="n"/>
    </row>
    <row r="122">
      <c r="A122" s="53" t="inlineStr">
        <is>
          <t>항목</t>
        </is>
      </c>
      <c r="B122" s="53" t="inlineStr">
        <is>
          <t>값</t>
        </is>
      </c>
      <c r="E122" s="53" t="inlineStr">
        <is>
          <t>출처</t>
        </is>
      </c>
    </row>
    <row r="123">
      <c r="A123" s="54" t="inlineStr">
        <is>
          <t>매출</t>
        </is>
      </c>
      <c r="B123" s="57" t="n">
        <v>1374.2</v>
      </c>
      <c r="E123" s="56" t="inlineStr">
        <is>
          <t>2단계 보고서 자료(회사 설명회 자료·공시)</t>
        </is>
      </c>
    </row>
    <row r="124">
      <c r="A124" s="54" t="inlineStr">
        <is>
          <t>adj</t>
        </is>
      </c>
      <c r="B124" s="57" t="n">
        <v>27</v>
      </c>
    </row>
    <row r="126">
      <c r="A126" s="52" t="inlineStr">
        <is>
          <t>fy26_seg_annual_bn · 기타</t>
        </is>
      </c>
      <c r="B126" s="52" t="n"/>
      <c r="C126" s="52" t="n"/>
      <c r="D126" s="52" t="n"/>
      <c r="E126" s="52" t="n"/>
    </row>
    <row r="127">
      <c r="A127" s="53" t="inlineStr">
        <is>
          <t>항목</t>
        </is>
      </c>
      <c r="B127" s="53" t="inlineStr">
        <is>
          <t>값</t>
        </is>
      </c>
      <c r="E127" s="53" t="inlineStr">
        <is>
          <t>출처</t>
        </is>
      </c>
    </row>
    <row r="128">
      <c r="A128" s="54" t="inlineStr">
        <is>
          <t>매출</t>
        </is>
      </c>
      <c r="B128" s="57" t="n">
        <v>1414.6</v>
      </c>
      <c r="E128" s="56" t="inlineStr">
        <is>
          <t>2단계 보고서 자료(회사 설명회 자료·공시)</t>
        </is>
      </c>
    </row>
    <row r="129">
      <c r="A129" s="54" t="inlineStr">
        <is>
          <t>adj</t>
        </is>
      </c>
      <c r="B129" s="57" t="n">
        <v>61.8</v>
      </c>
    </row>
    <row r="131">
      <c r="A131" s="52" t="inlineStr">
        <is>
          <t>ai_kpi · AI인프라 합계</t>
        </is>
      </c>
      <c r="B131" s="52" t="n"/>
      <c r="C131" s="52" t="n"/>
      <c r="D131" s="52" t="n"/>
      <c r="E131" s="52" t="n"/>
    </row>
    <row r="132">
      <c r="A132" s="53" t="inlineStr">
        <is>
          <t>항목</t>
        </is>
      </c>
      <c r="B132" s="53" t="inlineStr">
        <is>
          <t>값</t>
        </is>
      </c>
      <c r="E132" s="53" t="inlineStr">
        <is>
          <t>출처</t>
        </is>
      </c>
    </row>
    <row r="133">
      <c r="A133" s="54" t="inlineStr">
        <is>
          <t>FY26</t>
        </is>
      </c>
      <c r="B133" s="55" t="n">
        <v>5520</v>
      </c>
      <c r="E133" s="56" t="inlineStr">
        <is>
          <t>2단계 보고서 자료(회사 설명회 자료·공시)</t>
        </is>
      </c>
    </row>
    <row r="134">
      <c r="A134" s="54" t="inlineStr">
        <is>
          <t>FY27E(5/12)</t>
        </is>
      </c>
      <c r="B134" s="55" t="n">
        <v>8200</v>
      </c>
    </row>
    <row r="135">
      <c r="A135" s="54" t="inlineStr">
        <is>
          <t>FY27E(10/30)</t>
        </is>
      </c>
      <c r="B135" s="55" t="n">
        <v>9100</v>
      </c>
    </row>
    <row r="136">
      <c r="A136" s="54" t="inlineStr">
        <is>
          <t>FY29E(5/12)</t>
        </is>
      </c>
      <c r="B136" s="55" t="n">
        <v>13800</v>
      </c>
    </row>
    <row r="137">
      <c r="A137" s="54" t="inlineStr">
        <is>
          <t>FY29E(10/30)</t>
        </is>
      </c>
      <c r="B137" s="55" t="n">
        <v>16000</v>
      </c>
    </row>
    <row r="139">
      <c r="A139" s="52" t="inlineStr">
        <is>
          <t>ai_kpi · 인더 AI 매출</t>
        </is>
      </c>
      <c r="B139" s="52" t="n"/>
      <c r="C139" s="52" t="n"/>
      <c r="D139" s="52" t="n"/>
      <c r="E139" s="52" t="n"/>
    </row>
    <row r="140">
      <c r="A140" s="53" t="inlineStr">
        <is>
          <t>항목</t>
        </is>
      </c>
      <c r="B140" s="53" t="inlineStr">
        <is>
          <t>값</t>
        </is>
      </c>
      <c r="E140" s="53" t="inlineStr">
        <is>
          <t>출처</t>
        </is>
      </c>
    </row>
    <row r="141">
      <c r="A141" s="54" t="inlineStr">
        <is>
          <t>FY26</t>
        </is>
      </c>
      <c r="B141" s="55" t="n">
        <v>2300</v>
      </c>
      <c r="E141" s="56" t="inlineStr">
        <is>
          <t>2단계 보고서 자료(회사 설명회 자료·공시)</t>
        </is>
      </c>
    </row>
    <row r="142">
      <c r="A142" s="54" t="inlineStr">
        <is>
          <t>FY27E 전회</t>
        </is>
      </c>
      <c r="B142" s="55" t="n">
        <v>3100</v>
      </c>
    </row>
    <row r="143">
      <c r="A143" s="54" t="inlineStr">
        <is>
          <t>FY27E 최신</t>
        </is>
      </c>
      <c r="B143" s="55" t="n">
        <v>3600</v>
      </c>
    </row>
    <row r="144">
      <c r="A144" s="54" t="inlineStr">
        <is>
          <t>26년 2Q</t>
        </is>
      </c>
      <c r="B144" s="55" t="n">
        <v>548</v>
      </c>
    </row>
    <row r="145">
      <c r="A145" s="54" t="inlineStr">
        <is>
          <t>27년 2Q</t>
        </is>
      </c>
      <c r="B145" s="55" t="n">
        <v>886</v>
      </c>
    </row>
    <row r="147">
      <c r="A147" s="52" t="inlineStr">
        <is>
          <t>ai_kpi · 데이터센터 전지 매출</t>
        </is>
      </c>
      <c r="B147" s="52" t="n"/>
      <c r="C147" s="52" t="n"/>
      <c r="D147" s="52" t="n"/>
      <c r="E147" s="52" t="n"/>
    </row>
    <row r="148">
      <c r="A148" s="53" t="inlineStr">
        <is>
          <t>항목</t>
        </is>
      </c>
      <c r="B148" s="53" t="inlineStr">
        <is>
          <t>값</t>
        </is>
      </c>
      <c r="E148" s="53" t="inlineStr">
        <is>
          <t>출처</t>
        </is>
      </c>
    </row>
    <row r="149">
      <c r="A149" s="54" t="inlineStr">
        <is>
          <t>FY26</t>
        </is>
      </c>
      <c r="B149" s="55" t="n">
        <v>3220</v>
      </c>
      <c r="E149" s="56" t="inlineStr">
        <is>
          <t>2단계 보고서 자료(회사 설명회 자료·공시)</t>
        </is>
      </c>
    </row>
    <row r="150">
      <c r="A150" s="54" t="inlineStr">
        <is>
          <t>FY27E</t>
        </is>
      </c>
      <c r="B150" s="55" t="n">
        <v>5500</v>
      </c>
    </row>
    <row r="151">
      <c r="A151" s="54" t="inlineStr">
        <is>
          <t>26년 2Q</t>
        </is>
      </c>
      <c r="B151" s="55" t="n">
        <v>727</v>
      </c>
    </row>
    <row r="152">
      <c r="A152" s="54" t="inlineStr">
        <is>
          <t>27년 2Q</t>
        </is>
      </c>
      <c r="B152" s="55" t="n">
        <v>1149</v>
      </c>
    </row>
    <row r="154">
      <c r="A154" s="52" t="inlineStr">
        <is>
          <t>ai_kpi · 북미 차량용 전지 GWh</t>
        </is>
      </c>
      <c r="B154" s="52" t="n"/>
      <c r="C154" s="52" t="n"/>
      <c r="D154" s="52" t="n"/>
      <c r="E154" s="52" t="n"/>
    </row>
    <row r="155">
      <c r="A155" s="53" t="inlineStr">
        <is>
          <t>항목</t>
        </is>
      </c>
      <c r="B155" s="53" t="inlineStr">
        <is>
          <t>값</t>
        </is>
      </c>
      <c r="E155" s="53" t="inlineStr">
        <is>
          <t>출처</t>
        </is>
      </c>
    </row>
    <row r="156">
      <c r="A156" s="54" t="inlineStr">
        <is>
          <t>FY26</t>
        </is>
      </c>
      <c r="B156" s="57" t="n">
        <v>38.7</v>
      </c>
      <c r="E156" s="56" t="inlineStr">
        <is>
          <t>2단계 보고서 자료(회사 설명회 자료·공시)</t>
        </is>
      </c>
    </row>
    <row r="157">
      <c r="A157" s="54" t="inlineStr">
        <is>
          <t>FY27E</t>
        </is>
      </c>
      <c r="B157" s="55" t="n">
        <v>46</v>
      </c>
    </row>
    <row r="159">
      <c r="A159" s="52" t="inlineStr">
        <is>
          <t>ai 핵심 지표 · IRA</t>
        </is>
      </c>
      <c r="B159" s="52" t="n"/>
      <c r="C159" s="52" t="n"/>
      <c r="D159" s="52" t="n"/>
      <c r="E159" s="52" t="n"/>
    </row>
    <row r="160">
      <c r="A160" s="53" t="inlineStr">
        <is>
          <t>항목</t>
        </is>
      </c>
      <c r="B160" s="53" t="inlineStr">
        <is>
          <t>값</t>
        </is>
      </c>
      <c r="E160" s="53" t="inlineStr">
        <is>
          <t>출처</t>
        </is>
      </c>
    </row>
    <row r="161">
      <c r="A161" s="54" t="inlineStr">
        <is>
          <t>2Q 조정영업이익 기여</t>
        </is>
      </c>
      <c r="B161" s="55" t="n">
        <v>332</v>
      </c>
      <c r="E161" s="56" t="inlineStr">
        <is>
          <t>2단계 보고서 자료(회사 설명회 자료·공시)</t>
        </is>
      </c>
    </row>
    <row r="162">
      <c r="A162" s="54" t="inlineStr">
        <is>
          <t>FY27E 조정영업이익</t>
        </is>
      </c>
      <c r="B162" s="55" t="n">
        <v>1330</v>
      </c>
    </row>
    <row r="163">
      <c r="A163" s="54" t="inlineStr">
        <is>
          <t>FY27E 순이익</t>
        </is>
      </c>
      <c r="B163" s="55" t="n">
        <v>1660</v>
      </c>
    </row>
    <row r="164">
      <c r="A164" s="54" t="inlineStr">
        <is>
          <t>2Q 보조금</t>
        </is>
      </c>
      <c r="B164" s="55" t="n">
        <v>664</v>
      </c>
    </row>
    <row r="165">
      <c r="A165" s="54" t="inlineStr">
        <is>
          <t>FY27 보조금</t>
        </is>
      </c>
      <c r="B165" s="55" t="n">
        <v>2650</v>
      </c>
    </row>
    <row r="167">
      <c r="A167" s="52" t="inlineStr">
        <is>
          <t>bs cf</t>
        </is>
      </c>
      <c r="B167" s="52" t="n"/>
      <c r="C167" s="52" t="n"/>
      <c r="D167" s="52" t="n"/>
      <c r="E167" s="52" t="n"/>
    </row>
    <row r="168">
      <c r="A168" s="53" t="inlineStr">
        <is>
          <t>항목</t>
        </is>
      </c>
      <c r="B168" s="53" t="inlineStr">
        <is>
          <t>값</t>
        </is>
      </c>
      <c r="E168" s="53" t="inlineStr">
        <is>
          <t>출처</t>
        </is>
      </c>
    </row>
    <row r="169">
      <c r="A169" s="54" t="inlineStr">
        <is>
          <t>netcash 26 09</t>
        </is>
      </c>
      <c r="B169" s="55" t="n">
        <v>-7434</v>
      </c>
      <c r="E169" s="56" t="inlineStr">
        <is>
          <t>2단계 보고서 자료(회사 설명회 자료·공시)</t>
        </is>
      </c>
    </row>
    <row r="170">
      <c r="A170" s="54" t="inlineStr">
        <is>
          <t>inv 26 09</t>
        </is>
      </c>
      <c r="B170" s="55" t="n">
        <v>12760</v>
      </c>
    </row>
    <row r="171">
      <c r="A171" s="54" t="inlineStr">
        <is>
          <t>inv days</t>
        </is>
      </c>
      <c r="B171" s="57" t="n">
        <v>56.1</v>
      </c>
    </row>
    <row r="172">
      <c r="A172" s="54" t="inlineStr">
        <is>
          <t>ccc</t>
        </is>
      </c>
      <c r="B172" s="57" t="n">
        <v>67.40000000000001</v>
      </c>
    </row>
    <row r="173">
      <c r="A173" s="54" t="inlineStr">
        <is>
          <t>ocf 상반기</t>
        </is>
      </c>
      <c r="B173" s="55" t="n">
        <v>3231</v>
      </c>
    </row>
    <row r="174">
      <c r="A174" s="54" t="inlineStr">
        <is>
          <t>ocf 상반기 직전</t>
        </is>
      </c>
      <c r="B174" s="55" t="n">
        <v>2984</v>
      </c>
    </row>
    <row r="175">
      <c r="A175" s="54" t="inlineStr">
        <is>
          <t>ocf 2Q</t>
        </is>
      </c>
      <c r="B175" s="55" t="n">
        <v>-489</v>
      </c>
    </row>
    <row r="176">
      <c r="A176" s="54" t="inlineStr">
        <is>
          <t>fcf 상반기</t>
        </is>
      </c>
      <c r="B176" s="55" t="n">
        <v>834</v>
      </c>
    </row>
    <row r="177">
      <c r="A177" s="54" t="inlineStr">
        <is>
          <t>설비투자 fy27</t>
        </is>
      </c>
      <c r="B177" s="55" t="n">
        <v>5200</v>
      </c>
    </row>
    <row r="178">
      <c r="A178" s="54" t="inlineStr">
        <is>
          <t>equity ratio</t>
        </is>
      </c>
      <c r="B178" s="57" t="n">
        <v>52.1</v>
      </c>
    </row>
    <row r="179">
      <c r="A179" s="54" t="inlineStr">
        <is>
          <t>ira lump 상반기</t>
        </is>
      </c>
      <c r="B179" s="55" t="n">
        <v>1088</v>
      </c>
    </row>
    <row r="180">
      <c r="A180" s="54" t="inlineStr">
        <is>
          <t>rnd fy26</t>
        </is>
      </c>
      <c r="B180" s="55" t="n">
        <v>4264</v>
      </c>
    </row>
    <row r="181">
      <c r="A181" s="54" t="inlineStr">
        <is>
          <t>employees</t>
        </is>
      </c>
      <c r="B181" s="55" t="n">
        <v>183956</v>
      </c>
    </row>
    <row r="183">
      <c r="A183" s="52" t="inlineStr">
        <is>
          <t>컨센서스</t>
        </is>
      </c>
      <c r="B183" s="52" t="n"/>
      <c r="C183" s="52" t="n"/>
      <c r="D183" s="52" t="n"/>
      <c r="E183" s="52" t="n"/>
    </row>
    <row r="184">
      <c r="A184" s="53" t="inlineStr">
        <is>
          <t>항목</t>
        </is>
      </c>
      <c r="B184" s="53" t="inlineStr">
        <is>
          <t>값</t>
        </is>
      </c>
      <c r="E184" s="53" t="inlineStr">
        <is>
          <t>출처</t>
        </is>
      </c>
    </row>
    <row r="185">
      <c r="A185" s="54" t="inlineStr">
        <is>
          <t>2Q EPS</t>
        </is>
      </c>
      <c r="B185" s="57" t="n">
        <v>54.63</v>
      </c>
      <c r="E185" s="56" t="inlineStr">
        <is>
          <t>야후 파이낸스 2026-10-30(발표 전 값)</t>
        </is>
      </c>
    </row>
    <row r="186">
      <c r="A186" s="54" t="inlineStr">
        <is>
          <t>2Q 매출</t>
        </is>
      </c>
      <c r="B186" s="55" t="n">
        <v>19342</v>
      </c>
    </row>
    <row r="187">
      <c r="A187" s="54" t="inlineStr">
        <is>
          <t>fy27 EPS</t>
        </is>
      </c>
      <c r="B187" s="57" t="n">
        <v>210.18</v>
      </c>
    </row>
    <row r="188">
      <c r="A188" s="54" t="inlineStr">
        <is>
          <t>fy27 매출</t>
        </is>
      </c>
      <c r="B188" s="55" t="n">
        <v>80592</v>
      </c>
    </row>
    <row r="189">
      <c r="A189" s="54" t="inlineStr">
        <is>
          <t>fy28 EPS</t>
        </is>
      </c>
      <c r="B189" s="57" t="n">
        <v>259.68</v>
      </c>
    </row>
    <row r="190">
      <c r="A190" s="54" t="inlineStr">
        <is>
          <t>fy28 매출</t>
        </is>
      </c>
      <c r="B190" s="55" t="n">
        <v>85251</v>
      </c>
    </row>
    <row r="191">
      <c r="A191" s="54" t="inlineStr">
        <is>
          <t>tp 평균</t>
        </is>
      </c>
      <c r="B191" s="55" t="n">
        <v>5005</v>
      </c>
    </row>
    <row r="192">
      <c r="A192" s="54" t="inlineStr">
        <is>
          <t>tp 중앙값</t>
        </is>
      </c>
      <c r="B192" s="55" t="n">
        <v>5200</v>
      </c>
    </row>
    <row r="193">
      <c r="A193" s="54" t="inlineStr">
        <is>
          <t>tp 최고</t>
        </is>
      </c>
      <c r="B193" s="55" t="n">
        <v>6300</v>
      </c>
    </row>
    <row r="194">
      <c r="A194" s="54" t="inlineStr">
        <is>
          <t>tp 최저</t>
        </is>
      </c>
      <c r="B194" s="55" t="n">
        <v>2600</v>
      </c>
    </row>
    <row r="195">
      <c r="A195" s="54" t="inlineStr">
        <is>
          <t>애널리스트 수</t>
        </is>
      </c>
      <c r="B195" s="55" t="n">
        <v>17</v>
      </c>
    </row>
    <row r="197">
      <c r="A197" s="52" t="inlineStr">
        <is>
          <t>컨센서스 · surprises</t>
        </is>
      </c>
      <c r="B197" s="52" t="n"/>
      <c r="C197" s="52" t="n"/>
      <c r="D197" s="52" t="n"/>
      <c r="E197" s="52" t="n"/>
    </row>
    <row r="198">
      <c r="A198" s="53" t="inlineStr">
        <is>
          <t>항목</t>
        </is>
      </c>
      <c r="B198" s="53" t="inlineStr">
        <is>
          <t>값</t>
        </is>
      </c>
      <c r="E198" s="53" t="inlineStr">
        <is>
          <t>출처</t>
        </is>
      </c>
    </row>
    <row r="199">
      <c r="A199" s="54" t="inlineStr">
        <is>
          <t>2026.2Q</t>
        </is>
      </c>
      <c r="B199" s="57" t="n">
        <v>-23.5</v>
      </c>
      <c r="E199" s="56" t="inlineStr">
        <is>
          <t>야후 파이낸스 2026-10-30(발표 전 값)</t>
        </is>
      </c>
    </row>
    <row r="200">
      <c r="A200" s="54" t="inlineStr">
        <is>
          <t>2026.3Q</t>
        </is>
      </c>
      <c r="B200" s="55" t="n">
        <v>-125</v>
      </c>
    </row>
    <row r="201">
      <c r="A201" s="54" t="inlineStr">
        <is>
          <t>2026.4Q</t>
        </is>
      </c>
      <c r="B201" s="57" t="n">
        <v>-34.9</v>
      </c>
    </row>
    <row r="202">
      <c r="A202" s="54" t="inlineStr">
        <is>
          <t>2027.1Q</t>
        </is>
      </c>
      <c r="B202" s="57" t="n">
        <v>27.6</v>
      </c>
    </row>
    <row r="204">
      <c r="A204" s="52" t="inlineStr">
        <is>
          <t>비교 기업 · fy27 cons EPS</t>
        </is>
      </c>
      <c r="B204" s="52" t="n"/>
      <c r="C204" s="52" t="n"/>
      <c r="D204" s="52" t="n"/>
      <c r="E204" s="52" t="n"/>
    </row>
    <row r="205">
      <c r="A205" s="53" t="inlineStr">
        <is>
          <t>항목</t>
        </is>
      </c>
      <c r="B205" s="53" t="inlineStr">
        <is>
          <t>값</t>
        </is>
      </c>
      <c r="E205" s="53" t="inlineStr">
        <is>
          <t>출처</t>
        </is>
      </c>
    </row>
    <row r="206">
      <c r="A206" s="54" t="inlineStr">
        <is>
          <t>6503</t>
        </is>
      </c>
      <c r="B206" s="57" t="n">
        <v>258.8</v>
      </c>
      <c r="E206" s="56" t="inlineStr">
        <is>
          <t>분기·연간 실적은 ②가 jp_guidance history로. 미쓰비시·TDK 2Q는 10/30 공시로 도구에 없을 수 있어 공식 PDF로(TDK 결산단신 https://www.release.tdnet.info/inbs/140120261029560105.pdf)</t>
        </is>
      </c>
    </row>
    <row r="207">
      <c r="A207" s="54" t="inlineStr">
        <is>
          <t>6981</t>
        </is>
      </c>
      <c r="B207" s="57" t="n">
        <v>205.8</v>
      </c>
    </row>
    <row r="208">
      <c r="A208" s="54" t="inlineStr">
        <is>
          <t>6762</t>
        </is>
      </c>
      <c r="B208" s="57" t="n">
        <v>140.7</v>
      </c>
    </row>
    <row r="209">
      <c r="A209" s="54" t="inlineStr">
        <is>
          <t>6367</t>
        </is>
      </c>
      <c r="B209" s="57" t="n">
        <v>996.1</v>
      </c>
    </row>
    <row r="211">
      <c r="A211" s="52" t="inlineStr">
        <is>
          <t>deck map</t>
        </is>
      </c>
      <c r="B211" s="52" t="n"/>
      <c r="C211" s="52" t="n"/>
      <c r="D211" s="52" t="n"/>
      <c r="E211" s="52" t="n"/>
    </row>
    <row r="212">
      <c r="A212" s="53" t="inlineStr">
        <is>
          <t>항목</t>
        </is>
      </c>
      <c r="B212" s="53" t="inlineStr">
        <is>
          <t>제목</t>
        </is>
      </c>
      <c r="C212" s="53" t="inlineStr">
        <is>
          <t>핵심 숫자</t>
        </is>
      </c>
      <c r="D212" s="53" t="inlineStr">
        <is>
          <t>넣은 소제목 또는 뺀 이유</t>
        </is>
      </c>
      <c r="E212" s="53" t="inlineStr">
        <is>
          <t>출처</t>
        </is>
      </c>
    </row>
    <row r="213">
      <c r="A213" s="54" t="inlineStr">
        <is>
          <t>1</t>
        </is>
      </c>
      <c r="B213" s="58" t="inlineStr">
        <is>
          <t>표지</t>
        </is>
      </c>
      <c r="C213" s="58" t="inlineStr"/>
      <c r="D213" s="58" t="inlineStr">
        <is>
          <t>뺀 이유: 표지</t>
        </is>
      </c>
      <c r="E213" s="56" t="inlineStr">
        <is>
          <t>2단계 보고서 자료(회사 설명회 자료·공시)</t>
        </is>
      </c>
    </row>
    <row r="214">
      <c r="A214" s="54" t="inlineStr">
        <is>
          <t>2</t>
        </is>
      </c>
      <c r="B214" s="58" t="inlineStr">
        <is>
          <t>2Q 결산 요점</t>
        </is>
      </c>
      <c r="C214" s="58" t="inlineStr">
        <is>
          <t>2Q 사상 최고 이익, 조정 7,800억 엔, ROE 10%, 배당 70엔</t>
        </is>
      </c>
      <c r="D214" s="58" t="inlineStr">
        <is>
          <t>한 줄 요약·⑧</t>
        </is>
      </c>
    </row>
    <row r="215">
      <c r="A215" s="54" t="inlineStr">
        <is>
          <t>3</t>
        </is>
      </c>
      <c r="B215" s="58" t="inlineStr">
        <is>
          <t>목차 구분(2Q 실적)</t>
        </is>
      </c>
      <c r="C215" s="58" t="inlineStr"/>
      <c r="D215" s="58" t="inlineStr">
        <is>
          <t>뺀 이유: 목차</t>
        </is>
      </c>
    </row>
    <row r="216">
      <c r="A216" s="54" t="inlineStr">
        <is>
          <t>4</t>
        </is>
      </c>
      <c r="B216" s="58" t="inlineStr">
        <is>
          <t>2Q 연결 실적</t>
        </is>
      </c>
      <c r="C216" s="58" t="inlineStr">
        <is>
          <t>매출 20,736, 조정 2,132, 영업 1,807, 순익 1,418</t>
        </is>
      </c>
      <c r="D216" s="58" t="inlineStr">
        <is>
          <t>한 줄 요약·재무분석</t>
        </is>
      </c>
    </row>
    <row r="217">
      <c r="A217" s="54" t="inlineStr">
        <is>
          <t>5</t>
        </is>
      </c>
      <c r="B217" s="58" t="inlineStr">
        <is>
          <t>2Q 부문별 실적</t>
        </is>
      </c>
      <c r="C217" s="58" t="inlineStr">
        <is>
          <t>에너지 567, 인더 541</t>
        </is>
      </c>
      <c r="D217" s="58" t="inlineStr">
        <is>
          <t>①~⑥</t>
        </is>
      </c>
    </row>
    <row r="218">
      <c r="A218" s="54" t="inlineStr">
        <is>
          <t>6</t>
        </is>
      </c>
      <c r="B218" s="58" t="inlineStr">
        <is>
          <t>매출 증감 요인</t>
        </is>
      </c>
      <c r="C218" s="58" t="inlineStr">
        <is>
          <t>하우징 −904, 피코사 −567</t>
        </is>
      </c>
      <c r="D218" s="58" t="inlineStr">
        <is>
          <t>P·Q·C</t>
        </is>
      </c>
    </row>
    <row r="219">
      <c r="A219" s="54" t="inlineStr">
        <is>
          <t>7</t>
        </is>
      </c>
      <c r="B219" s="58" t="inlineStr">
        <is>
          <t>조정이익 증감 요인</t>
        </is>
      </c>
      <c r="C219" s="58" t="inlineStr">
        <is>
          <t>차량 +391, 관세 +155</t>
        </is>
      </c>
      <c r="D219" s="58" t="inlineStr">
        <is>
          <t>④</t>
        </is>
      </c>
    </row>
    <row r="220">
      <c r="A220" s="54" t="inlineStr">
        <is>
          <t>8</t>
        </is>
      </c>
      <c r="B220" s="58" t="inlineStr">
        <is>
          <t>요소별 영업이익 분석</t>
        </is>
      </c>
      <c r="C220" s="58" t="inlineStr">
        <is>
          <t>실질 +600, 고정비 +210, 원재료 −640, 가격 +740</t>
        </is>
      </c>
      <c r="D220" s="58" t="inlineStr">
        <is>
          <t>P·Q·C</t>
        </is>
      </c>
    </row>
    <row r="221">
      <c r="A221" s="54" t="inlineStr">
        <is>
          <t>9</t>
        </is>
      </c>
      <c r="B221" s="58" t="inlineStr">
        <is>
          <t>상반기 현금</t>
        </is>
      </c>
      <c r="C221" s="58" t="inlineStr">
        <is>
          <t>OCF 3,231, FCF 834, 순부채 7,434</t>
        </is>
      </c>
      <c r="D221" s="58" t="inlineStr">
        <is>
          <t>재무분석·⑨</t>
        </is>
      </c>
    </row>
    <row r="222">
      <c r="A222" s="54" t="inlineStr">
        <is>
          <t>10</t>
        </is>
      </c>
      <c r="B222" s="58" t="inlineStr">
        <is>
          <t>목차 구분(연간 예상)</t>
        </is>
      </c>
      <c r="C222" s="58" t="inlineStr"/>
      <c r="D222" s="58" t="inlineStr">
        <is>
          <t>뺀 이유: 목차</t>
        </is>
      </c>
    </row>
    <row r="223">
      <c r="A223" s="54" t="inlineStr">
        <is>
          <t>11</t>
        </is>
      </c>
      <c r="B223" s="58" t="inlineStr">
        <is>
          <t>연결 연간 예상</t>
        </is>
      </c>
      <c r="C223" s="58" t="inlineStr">
        <is>
          <t>84,000 / 7,800 / 7,100 / 5,400 / EPS 231.26</t>
        </is>
      </c>
      <c r="D223" s="58" t="inlineStr">
        <is>
          <t>⑧</t>
        </is>
      </c>
    </row>
    <row r="224">
      <c r="A224" s="54" t="inlineStr">
        <is>
          <t>12</t>
        </is>
      </c>
      <c r="B224" s="58" t="inlineStr">
        <is>
          <t>부문별 연간 예상</t>
        </is>
      </c>
      <c r="C224" s="58" t="inlineStr">
        <is>
          <t>수정액 인더 +500, 에너지 +270</t>
        </is>
      </c>
      <c r="D224" s="58" t="inlineStr">
        <is>
          <t>⑧</t>
        </is>
      </c>
    </row>
    <row r="225">
      <c r="A225" s="54" t="inlineStr">
        <is>
          <t>13</t>
        </is>
      </c>
      <c r="B225" s="58" t="inlineStr">
        <is>
          <t>요소별 연간 분석</t>
        </is>
      </c>
      <c r="C225" s="58" t="inlineStr">
        <is>
          <t>+1,300 내역, 버퍼 +200</t>
        </is>
      </c>
      <c r="D225" s="58" t="inlineStr">
        <is>
          <t>⑧</t>
        </is>
      </c>
    </row>
    <row r="226">
      <c r="A226" s="54" t="inlineStr">
        <is>
          <t>14</t>
        </is>
      </c>
      <c r="B226" s="58" t="inlineStr">
        <is>
          <t>인더스트리 AI 사업</t>
        </is>
      </c>
      <c r="C226" s="58" t="inlineStr">
        <is>
          <t>AI 3,600, 투자 약 920억</t>
        </is>
      </c>
      <c r="D226" s="58" t="inlineStr">
        <is>
          <t>⑤</t>
        </is>
      </c>
    </row>
    <row r="227">
      <c r="A227" s="54" t="inlineStr">
        <is>
          <t>15</t>
        </is>
      </c>
      <c r="B227" s="58" t="inlineStr">
        <is>
          <t>에너지 데이터센터</t>
        </is>
      </c>
      <c r="C227" s="58" t="inlineStr">
        <is>
          <t>2Q 1,149, 연간 5,500, 멕시코 2공장</t>
        </is>
      </c>
      <c r="D227" s="58" t="inlineStr">
        <is>
          <t>④</t>
        </is>
      </c>
    </row>
    <row r="228">
      <c r="A228" s="54" t="inlineStr">
        <is>
          <t>16</t>
        </is>
      </c>
      <c r="B228" s="58" t="inlineStr">
        <is>
          <t>AI 인프라 FY29</t>
        </is>
      </c>
      <c r="C228" s="58" t="inlineStr">
        <is>
          <t>16,000 = 에너지 1조 + 인더 6,000</t>
        </is>
      </c>
      <c r="D228" s="58" t="inlineStr">
        <is>
          <t>⑦</t>
        </is>
      </c>
    </row>
    <row r="229">
      <c r="A229" s="54" t="inlineStr">
        <is>
          <t>17</t>
        </is>
      </c>
      <c r="B229" s="58" t="inlineStr">
        <is>
          <t>에너지 차량 전지</t>
        </is>
      </c>
      <c r="C229" s="58" t="inlineStr">
        <is>
          <t>11.4GWh, 연간 46GWh</t>
        </is>
      </c>
      <c r="D229" s="58" t="inlineStr">
        <is>
          <t>④</t>
        </is>
      </c>
    </row>
    <row r="230">
      <c r="A230" s="54" t="inlineStr">
        <is>
          <t>18</t>
        </is>
      </c>
      <c r="B230" s="58" t="inlineStr">
        <is>
          <t>포트폴리오 관리</t>
        </is>
      </c>
      <c r="C230" s="58" t="inlineStr">
        <is>
          <t>마키타·미네베아미쓰미·미다스</t>
        </is>
      </c>
      <c r="D230" s="58" t="inlineStr">
        <is>
          <t>⑨</t>
        </is>
      </c>
    </row>
    <row r="231">
      <c r="A231" s="54" t="inlineStr">
        <is>
          <t>19</t>
        </is>
      </c>
      <c r="B231" s="58" t="inlineStr">
        <is>
          <t>주주환원</t>
        </is>
      </c>
      <c r="C231" s="58" t="inlineStr">
        <is>
          <t>중간 27엔, 연간 70엔, 성향 30.3%</t>
        </is>
      </c>
      <c r="D231" s="58" t="inlineStr">
        <is>
          <t>⑨</t>
        </is>
      </c>
    </row>
    <row r="232">
      <c r="A232" s="54" t="inlineStr">
        <is>
          <t>20</t>
        </is>
      </c>
      <c r="B232" s="58" t="inlineStr">
        <is>
          <t>이미지 쪽</t>
        </is>
      </c>
      <c r="C232" s="58" t="inlineStr"/>
      <c r="D232" s="58" t="inlineStr">
        <is>
          <t>뺀 이유: 표지</t>
        </is>
      </c>
    </row>
    <row r="233">
      <c r="A233" s="54" t="inlineStr">
        <is>
          <t>21</t>
        </is>
      </c>
      <c r="B233" s="58" t="inlineStr">
        <is>
          <t>면책</t>
        </is>
      </c>
      <c r="C233" s="58" t="inlineStr"/>
      <c r="D233" s="58" t="inlineStr">
        <is>
          <t>뺀 이유: 면책</t>
        </is>
      </c>
    </row>
    <row r="234">
      <c r="A234" s="54" t="inlineStr">
        <is>
          <t>22</t>
        </is>
      </c>
      <c r="B234" s="58" t="inlineStr">
        <is>
          <t>참고 상반기 실적</t>
        </is>
      </c>
      <c r="C234" s="58" t="inlineStr">
        <is>
          <t>매출 40,925, 조정 3,996</t>
        </is>
      </c>
      <c r="D234" s="58" t="inlineStr">
        <is>
          <t>재무제표</t>
        </is>
      </c>
    </row>
    <row r="235">
      <c r="A235" s="54" t="inlineStr">
        <is>
          <t>23</t>
        </is>
      </c>
      <c r="B235" s="58" t="inlineStr">
        <is>
          <t>참고 상·하반기 연결</t>
        </is>
      </c>
      <c r="C235" s="58" t="inlineStr">
        <is>
          <t>하반기 43,075 / 3,804 / 3,468 / 2,630</t>
        </is>
      </c>
      <c r="D235" s="58" t="inlineStr">
        <is>
          <t>⑧</t>
        </is>
      </c>
    </row>
    <row r="236">
      <c r="A236" s="54" t="inlineStr">
        <is>
          <t>24</t>
        </is>
      </c>
      <c r="B236" s="58" t="inlineStr">
        <is>
          <t>참고 상·하반기 부문</t>
        </is>
      </c>
      <c r="C236" s="58" t="inlineStr">
        <is>
          <t>하반기 에너지 1,019, 인더 928</t>
        </is>
      </c>
      <c r="D236" s="58" t="inlineStr">
        <is>
          <t>⑧·③</t>
        </is>
      </c>
    </row>
    <row r="237">
      <c r="A237" s="54" t="inlineStr">
        <is>
          <t>25</t>
        </is>
      </c>
      <c r="B237" s="58" t="inlineStr">
        <is>
          <t>참고 미국 관세</t>
        </is>
      </c>
      <c r="C237" s="58" t="inlineStr">
        <is>
          <t>2Q +68, 연간 −20</t>
        </is>
      </c>
      <c r="D237" s="58" t="inlineStr">
        <is>
          <t>P·Q·C</t>
        </is>
      </c>
    </row>
    <row r="238">
      <c r="A238" s="54" t="inlineStr">
        <is>
          <t>26</t>
        </is>
      </c>
      <c r="B238" s="58" t="inlineStr">
        <is>
          <t>참고 IRA 영향</t>
        </is>
      </c>
      <c r="C238" s="58" t="inlineStr">
        <is>
          <t>2Q 332, 연간 1,330</t>
        </is>
      </c>
      <c r="D238" s="58" t="inlineStr">
        <is>
          <t>④</t>
        </is>
      </c>
    </row>
    <row r="239">
      <c r="A239" s="54" t="inlineStr">
        <is>
          <t>27</t>
        </is>
      </c>
      <c r="B239" s="58" t="inlineStr">
        <is>
          <t>참고 IRA 개요</t>
        </is>
      </c>
      <c r="C239" s="58" t="inlineStr">
        <is>
          <t>35달러/kWh, 60→85%</t>
        </is>
      </c>
      <c r="D239" s="58" t="inlineStr">
        <is>
          <t>④</t>
        </is>
      </c>
    </row>
    <row r="240">
      <c r="A240" s="54" t="inlineStr">
        <is>
          <t>28</t>
        </is>
      </c>
      <c r="B240" s="58" t="inlineStr">
        <is>
          <t>참고 에너지 생산 체제</t>
        </is>
      </c>
      <c r="C240" s="58" t="inlineStr">
        <is>
          <t>네바다 44GWh, 캔자스 32GWh</t>
        </is>
      </c>
      <c r="D240" s="58" t="inlineStr">
        <is>
          <t>④</t>
        </is>
      </c>
    </row>
    <row r="241">
      <c r="A241" s="54" t="inlineStr">
        <is>
          <t>29</t>
        </is>
      </c>
      <c r="B241" s="58" t="inlineStr">
        <is>
          <t>참고 AI 데이터센터 탑재 영역</t>
        </is>
      </c>
      <c r="C241" s="58" t="inlineStr">
        <is>
          <t>BBU·CBU·콘덴서·기판재</t>
        </is>
      </c>
      <c r="D241" s="58" t="inlineStr">
        <is>
          <t>⑦·[§2] 그림</t>
        </is>
      </c>
    </row>
    <row r="242">
      <c r="A242" s="54" t="inlineStr">
        <is>
          <t>30</t>
        </is>
      </c>
      <c r="B242" s="58" t="inlineStr">
        <is>
          <t>참고 커넥트</t>
        </is>
      </c>
      <c r="C242" s="58" t="inlineStr">
        <is>
          <t>3,689 / 299, 증감 내역</t>
        </is>
      </c>
      <c r="D242" s="58" t="inlineStr">
        <is>
          <t>①</t>
        </is>
      </c>
    </row>
    <row r="243">
      <c r="A243" s="54" t="inlineStr">
        <is>
          <t>31</t>
        </is>
      </c>
      <c r="B243" s="58" t="inlineStr">
        <is>
          <t>참고 블루욘더 지표</t>
        </is>
      </c>
      <c r="C243" s="58" t="inlineStr">
        <is>
          <t>RPO 1,734, ARR 920, NRR 107%</t>
        </is>
      </c>
      <c r="D243" s="58" t="inlineStr">
        <is>
          <t>①</t>
        </is>
      </c>
    </row>
    <row r="244">
      <c r="A244" s="54" t="inlineStr">
        <is>
          <t>32</t>
        </is>
      </c>
      <c r="B244" s="58" t="inlineStr">
        <is>
          <t>참고 블루욘더 상반기</t>
        </is>
      </c>
      <c r="C244" s="58" t="inlineStr">
        <is>
          <t>760, 36, 연결 −119</t>
        </is>
      </c>
      <c r="D244" s="58" t="inlineStr">
        <is>
          <t>①</t>
        </is>
      </c>
    </row>
    <row r="245">
      <c r="A245" s="54" t="inlineStr">
        <is>
          <t>33</t>
        </is>
      </c>
      <c r="B245" s="58" t="inlineStr">
        <is>
          <t>참고 일렉트릭웍스</t>
        </is>
      </c>
      <c r="C245" s="58" t="inlineStr">
        <is>
          <t>3,066 / 331</t>
        </is>
      </c>
      <c r="D245" s="58" t="inlineStr">
        <is>
          <t>②</t>
        </is>
      </c>
    </row>
    <row r="246">
      <c r="A246" s="54" t="inlineStr">
        <is>
          <t>34</t>
        </is>
      </c>
      <c r="B246" s="58" t="inlineStr">
        <is>
          <t>참고 공조·냉열</t>
        </is>
      </c>
      <c r="C246" s="58" t="inlineStr">
        <is>
          <t>3,586 / 155</t>
        </is>
      </c>
      <c r="D246" s="58" t="inlineStr">
        <is>
          <t>③</t>
        </is>
      </c>
    </row>
    <row r="247">
      <c r="A247" s="54" t="inlineStr">
        <is>
          <t>35</t>
        </is>
      </c>
      <c r="B247" s="58" t="inlineStr">
        <is>
          <t>참고 에너지</t>
        </is>
      </c>
      <c r="C247" s="58" t="inlineStr">
        <is>
          <t>3,319 / 567, 차량 +377</t>
        </is>
      </c>
      <c r="D247" s="58" t="inlineStr">
        <is>
          <t>④</t>
        </is>
      </c>
    </row>
    <row r="248">
      <c r="A248" s="54" t="inlineStr">
        <is>
          <t>36</t>
        </is>
      </c>
      <c r="B248" s="58" t="inlineStr">
        <is>
          <t>참고 인더스트리</t>
        </is>
      </c>
      <c r="C248" s="58" t="inlineStr">
        <is>
          <t>3,495 / 541, 고유 사업 16.4%</t>
        </is>
      </c>
      <c r="D248" s="58" t="inlineStr">
        <is>
          <t>⑤</t>
        </is>
      </c>
    </row>
    <row r="249">
      <c r="A249" s="54" t="inlineStr">
        <is>
          <t>37</t>
        </is>
      </c>
      <c r="B249" s="58" t="inlineStr">
        <is>
          <t>참고 전자디바이스</t>
        </is>
      </c>
      <c r="C249" s="58" t="inlineStr">
        <is>
          <t>1,781, 16.0%</t>
        </is>
      </c>
      <c r="D249" s="58" t="inlineStr">
        <is>
          <t>⑤</t>
        </is>
      </c>
    </row>
    <row r="250">
      <c r="A250" s="54" t="inlineStr">
        <is>
          <t>38</t>
        </is>
      </c>
      <c r="B250" s="58" t="inlineStr">
        <is>
          <t>참고 콘덴서 BB</t>
        </is>
      </c>
      <c r="C250" s="58" t="inlineStr">
        <is>
          <t>1.28</t>
        </is>
      </c>
      <c r="D250" s="58" t="inlineStr">
        <is>
          <t>⑤·[§6]</t>
        </is>
      </c>
    </row>
    <row r="251">
      <c r="A251" s="54" t="inlineStr">
        <is>
          <t>39</t>
        </is>
      </c>
      <c r="B251" s="58" t="inlineStr">
        <is>
          <t>참고 FA</t>
        </is>
      </c>
      <c r="C251" s="58" t="inlineStr">
        <is>
          <t>409, 21.0%</t>
        </is>
      </c>
      <c r="D251" s="58" t="inlineStr">
        <is>
          <t>⑤</t>
        </is>
      </c>
    </row>
    <row r="252">
      <c r="A252" s="54" t="inlineStr">
        <is>
          <t>40</t>
        </is>
      </c>
      <c r="B252" s="58" t="inlineStr">
        <is>
          <t>참고 전자재료</t>
        </is>
      </c>
      <c r="C252" s="58" t="inlineStr">
        <is>
          <t>832, 18.7%</t>
        </is>
      </c>
      <c r="D252" s="58" t="inlineStr">
        <is>
          <t>⑤</t>
        </is>
      </c>
    </row>
    <row r="253">
      <c r="A253" s="54" t="inlineStr">
        <is>
          <t>41</t>
        </is>
      </c>
      <c r="B253" s="58" t="inlineStr">
        <is>
          <t>참고 스마트라이프</t>
        </is>
      </c>
      <c r="C253" s="58" t="inlineStr">
        <is>
          <t>3,329 / 202 / −45</t>
        </is>
      </c>
      <c r="D253" s="58" t="inlineStr">
        <is>
          <t>⑥</t>
        </is>
      </c>
    </row>
    <row r="254">
      <c r="A254" s="54" t="inlineStr">
        <is>
          <t>42</t>
        </is>
      </c>
      <c r="B254" s="58" t="inlineStr">
        <is>
          <t>참고 사업 구성</t>
        </is>
      </c>
      <c r="C254" s="58" t="inlineStr"/>
      <c r="D254" s="58" t="inlineStr">
        <is>
          <t>뺀 이유: 회사 소개 반복(사업 구성은 [§2])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https://www2.jpx.co.jp/disc/67520/140120261030560586.pdf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https://www2.jpx.co.jp/disc/67520/140120260730502815.pdf</t>
        </is>
      </c>
    </row>
    <row r="6">
      <c r="A6" t="inlineStr">
        <is>
          <t>2026-05-12</t>
        </is>
      </c>
      <c r="B6" t="inlineStr">
        <is>
          <t>2026년 3월 결산기 연간 결산단신</t>
        </is>
      </c>
      <c r="C6" t="inlineStr">
        <is>
          <t>https://www2.jpx.co.jp/disc/67520/140120260512524367.pdf</t>
        </is>
      </c>
    </row>
    <row r="7">
      <c r="A7" t="inlineStr">
        <is>
          <t>2026-02-04</t>
        </is>
      </c>
      <c r="B7" t="inlineStr">
        <is>
          <t>2026년 3월 결산기 ３분기 결산단신</t>
        </is>
      </c>
      <c r="C7" t="inlineStr">
        <is>
          <t>https://www2.jpx.co.jp/disc/67520/140120260204546675.pdf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https://www2.jpx.co.jp/disc/67520/140120251030582274.pdf</t>
        </is>
      </c>
    </row>
    <row r="9">
      <c r="A9" t="inlineStr">
        <is>
          <t>2025-07-30</t>
        </is>
      </c>
      <c r="B9" t="inlineStr">
        <is>
          <t>2026년 3월 결산기 １분기 결산단신</t>
        </is>
      </c>
      <c r="C9" t="inlineStr">
        <is>
          <t>https://www2.jpx.co.jp/disc/67520/140120250730523419.pdf</t>
        </is>
      </c>
    </row>
    <row r="10">
      <c r="A10" t="inlineStr">
        <is>
          <t>2025-05-09</t>
        </is>
      </c>
      <c r="B10" t="inlineStr">
        <is>
          <t>2025년 3월 결산기 연간 결산단신</t>
        </is>
      </c>
      <c r="C10" t="inlineStr">
        <is>
          <t>https://www2.jpx.co.jp/disc/67520/140120250509536539.pdf</t>
        </is>
      </c>
    </row>
    <row r="11">
      <c r="A11" t="inlineStr">
        <is>
          <t>2025-02-04</t>
        </is>
      </c>
      <c r="B11" t="inlineStr">
        <is>
          <t>2025년 3월 결산기 ３분기 결산단신</t>
        </is>
      </c>
      <c r="C11" t="inlineStr">
        <is>
          <t>https://www2.jpx.co.jp/disc/67520/140120250203561702.pdf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https://www2.jpx.co.jp/disc/67520/140120241031507154.pdf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https://www2.jpx.co.jp/disc/67520/140120240731558620.pdf</t>
        </is>
      </c>
    </row>
    <row r="14">
      <c r="A14" t="inlineStr">
        <is>
          <t>2024-05-09</t>
        </is>
      </c>
      <c r="B14" t="inlineStr">
        <is>
          <t>2024년 3월 결산기 연간 결산단신</t>
        </is>
      </c>
      <c r="C14" t="inlineStr">
        <is>
          <t>https://www2.jpx.co.jp/disc/67520/140120240509585590.pdf</t>
        </is>
      </c>
    </row>
    <row r="15">
      <c r="A15" t="inlineStr">
        <is>
          <t>2024-02-02</t>
        </is>
      </c>
      <c r="B15" t="inlineStr">
        <is>
          <t>2024년 3월 결산기 ３분기 결산단신</t>
        </is>
      </c>
      <c r="C15" t="inlineStr">
        <is>
          <t>https://www2.jpx.co.jp/disc/67520/140120240202524966.pdf</t>
        </is>
      </c>
    </row>
    <row r="16">
      <c r="A16" t="inlineStr">
        <is>
          <t>2023-10-30</t>
        </is>
      </c>
      <c r="B16" t="inlineStr">
        <is>
          <t>2024년 3월 결산기 ２분기 결산단신</t>
        </is>
      </c>
      <c r="C16" t="inlineStr">
        <is>
          <t>https://www2.jpx.co.jp/disc/67520/140120231030573832.pdf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https://www2.jpx.co.jp/disc/67520/140120230731530003.pdf</t>
        </is>
      </c>
    </row>
    <row r="18">
      <c r="A18" t="inlineStr">
        <is>
          <t>2023-05-10</t>
        </is>
      </c>
      <c r="B18" t="inlineStr">
        <is>
          <t>2023년 3월 결산기 연간 결산단신</t>
        </is>
      </c>
      <c r="C18" t="inlineStr">
        <is>
          <t>https://www2.jpx.co.jp/disc/67520/140120230510562410.pdf</t>
        </is>
      </c>
    </row>
    <row r="19">
      <c r="A19" t="inlineStr">
        <is>
          <t>2023-02-02</t>
        </is>
      </c>
      <c r="B19" t="inlineStr">
        <is>
          <t>2023년 3월 결산기 ３분기 결산단신</t>
        </is>
      </c>
      <c r="C19" t="inlineStr">
        <is>
          <t>https://www2.jpx.co.jp/disc/67520/140120230202598874.pdf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https://www2.jpx.co.jp/disc/67520/140120220511538638.pdf</t>
        </is>
      </c>
    </row>
    <row r="21">
      <c r="A21" t="inlineStr">
        <is>
          <t>2021-05-10</t>
        </is>
      </c>
      <c r="B21" t="inlineStr">
        <is>
          <t>2021년 3월 결산기 연간 결산단신</t>
        </is>
      </c>
      <c r="C21" t="inlineStr">
        <is>
          <t>https://www2.jpx.co.jp/disc/67520/140120210510408714.pdf</t>
        </is>
      </c>
    </row>
    <row r="22">
      <c r="A22" t="inlineStr">
        <is>
          <t>2020-05-18</t>
        </is>
      </c>
      <c r="B22" t="inlineStr">
        <is>
          <t>2020년 3월 결산기 연간 결산단신</t>
        </is>
      </c>
      <c r="C22" t="inlineStr">
        <is>
          <t>https://www2.jpx.co.jp/disc/67520/140120200508407155.pdf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https://www2.jpx.co.jp/disc/67520/140120190509418040.pdf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6752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31건(2019-05-09~2026-10-30).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/>
      <c r="D5" s="65" t="n"/>
      <c r="E5" s="65" t="n"/>
      <c r="F5" s="65" t="n"/>
      <c r="G5" s="65" t="n"/>
      <c r="H5" s="65" t="n">
        <v>20087.3</v>
      </c>
      <c r="I5" s="65" t="n">
        <v>19994.4</v>
      </c>
      <c r="J5" s="65" t="n">
        <v>20748.1</v>
      </c>
      <c r="K5" s="65" t="n">
        <v>19197.5</v>
      </c>
      <c r="L5" s="65" t="n">
        <v>18911.3</v>
      </c>
      <c r="M5" s="65" t="n">
        <v>19533</v>
      </c>
      <c r="N5" s="65" t="n">
        <v>19112.1</v>
      </c>
      <c r="O5" s="65" t="n">
        <v>17349.7</v>
      </c>
      <c r="P5" s="65" t="n">
        <v>13919.1</v>
      </c>
      <c r="Q5" s="65" t="n">
        <v>16672.4</v>
      </c>
      <c r="R5" s="65" t="n">
        <v>18141.3</v>
      </c>
      <c r="S5" s="65" t="n">
        <v>18255</v>
      </c>
      <c r="T5" s="65" t="n">
        <v>17924.2</v>
      </c>
      <c r="U5" s="65" t="n">
        <v>17411.3</v>
      </c>
      <c r="V5" s="65" t="n">
        <v>18898</v>
      </c>
      <c r="W5" s="65" t="n">
        <v>19654.3</v>
      </c>
      <c r="X5" s="65" t="n">
        <v>19738.6</v>
      </c>
      <c r="Y5" s="65" t="n">
        <v>20900.7</v>
      </c>
      <c r="Z5" s="65" t="n">
        <v>21605.9</v>
      </c>
      <c r="AA5" s="65" t="n">
        <v>21544.2</v>
      </c>
      <c r="AB5" s="65" t="n">
        <v>20296.9</v>
      </c>
      <c r="AC5" s="65" t="n">
        <v>20897.3</v>
      </c>
      <c r="AD5" s="65" t="n">
        <v>21808.8</v>
      </c>
      <c r="AE5" s="65" t="n">
        <v>21961.1</v>
      </c>
      <c r="AF5" s="65" t="n">
        <v>21216.9</v>
      </c>
      <c r="AG5" s="65" t="n">
        <v>21296.2</v>
      </c>
      <c r="AH5" s="65" t="n">
        <v>21525.9</v>
      </c>
      <c r="AI5" s="65" t="n">
        <v>20542.9</v>
      </c>
      <c r="AJ5" s="65" t="n">
        <v>18966.9</v>
      </c>
      <c r="AK5" s="65" t="n">
        <v>19237.8</v>
      </c>
      <c r="AL5" s="65" t="n">
        <v>20633</v>
      </c>
      <c r="AM5" s="65" t="n">
        <v>21649.4</v>
      </c>
      <c r="AN5" s="65" t="n">
        <v>20189.1</v>
      </c>
      <c r="AO5" s="65" t="n">
        <v>20736.1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>
        <v>-5.9</v>
      </c>
      <c r="M6" s="66" t="n">
        <v>-2.3</v>
      </c>
      <c r="N6" s="66" t="n">
        <v>-7.9</v>
      </c>
      <c r="O6" s="66" t="n">
        <v>-9.6</v>
      </c>
      <c r="P6" s="66" t="n">
        <v>-26.4</v>
      </c>
      <c r="Q6" s="66" t="n">
        <v>-14.6</v>
      </c>
      <c r="R6" s="66" t="n">
        <v>-5.1</v>
      </c>
      <c r="S6" s="66" t="n">
        <v>5.2</v>
      </c>
      <c r="T6" s="66" t="n">
        <v>28.8</v>
      </c>
      <c r="U6" s="66" t="n">
        <v>4.4</v>
      </c>
      <c r="V6" s="66" t="n">
        <v>4.2</v>
      </c>
      <c r="W6" s="66" t="n">
        <v>7.7</v>
      </c>
      <c r="X6" s="66" t="n">
        <v>10.1</v>
      </c>
      <c r="Y6" s="66" t="n">
        <v>20</v>
      </c>
      <c r="Z6" s="66" t="n">
        <v>14.3</v>
      </c>
      <c r="AA6" s="66" t="n">
        <v>9.6</v>
      </c>
      <c r="AB6" s="66" t="n">
        <v>2.8</v>
      </c>
      <c r="AC6" s="66" t="n">
        <v>-0</v>
      </c>
      <c r="AD6" s="66" t="n">
        <v>0.9</v>
      </c>
      <c r="AE6" s="66" t="n">
        <v>1.9</v>
      </c>
      <c r="AF6" s="66" t="n">
        <v>4.5</v>
      </c>
      <c r="AG6" s="66" t="n">
        <v>1.9</v>
      </c>
      <c r="AH6" s="66" t="n">
        <v>-1.3</v>
      </c>
      <c r="AI6" s="66" t="n">
        <v>-6.5</v>
      </c>
      <c r="AJ6" s="66" t="n">
        <v>-10.6</v>
      </c>
      <c r="AK6" s="66" t="n">
        <v>-9.699999999999999</v>
      </c>
      <c r="AL6" s="66" t="n">
        <v>-4.1</v>
      </c>
      <c r="AM6" s="66" t="n">
        <v>5.4</v>
      </c>
      <c r="AN6" s="66" t="n">
        <v>6.4</v>
      </c>
      <c r="AO6" s="66" t="n">
        <v>7.8</v>
      </c>
    </row>
    <row r="7">
      <c r="A7" s="64" t="inlineStr">
        <is>
          <t>영업이익</t>
        </is>
      </c>
      <c r="B7" s="65" t="n"/>
      <c r="C7" s="65" t="n"/>
      <c r="D7" s="65" t="n"/>
      <c r="E7" s="65" t="n"/>
      <c r="F7" s="65" t="n"/>
      <c r="G7" s="65" t="n"/>
      <c r="H7" s="65" t="n">
        <v>999.6</v>
      </c>
      <c r="I7" s="65" t="n">
        <v>952.8</v>
      </c>
      <c r="J7" s="65" t="n">
        <v>975.5</v>
      </c>
      <c r="K7" s="65" t="n">
        <v>1187.1</v>
      </c>
      <c r="L7" s="65" t="n">
        <v>563.9</v>
      </c>
      <c r="M7" s="65" t="n">
        <v>839</v>
      </c>
      <c r="N7" s="65" t="n">
        <v>1003.8</v>
      </c>
      <c r="O7" s="65" t="n">
        <v>530.8</v>
      </c>
      <c r="P7" s="65" t="n">
        <v>37.6</v>
      </c>
      <c r="Q7" s="65" t="n">
        <v>928.7</v>
      </c>
      <c r="R7" s="65" t="n">
        <v>1301.7</v>
      </c>
      <c r="S7" s="65" t="n">
        <v>318</v>
      </c>
      <c r="T7" s="65" t="n">
        <v>1043.8</v>
      </c>
      <c r="U7" s="65" t="n">
        <v>968.2</v>
      </c>
      <c r="V7" s="65" t="n">
        <v>729.5</v>
      </c>
      <c r="W7" s="65" t="n">
        <v>833.8</v>
      </c>
      <c r="X7" s="65" t="n">
        <v>637</v>
      </c>
      <c r="Y7" s="65" t="n">
        <v>860.6</v>
      </c>
      <c r="Z7" s="65" t="n">
        <v>844.6</v>
      </c>
      <c r="AA7" s="65" t="n">
        <v>543.5</v>
      </c>
      <c r="AB7" s="65" t="n">
        <v>903.7</v>
      </c>
      <c r="AC7" s="65" t="n">
        <v>1024.6</v>
      </c>
      <c r="AD7" s="65" t="n">
        <v>1274.2</v>
      </c>
      <c r="AE7" s="65" t="n">
        <v>407.1</v>
      </c>
      <c r="AF7" s="65" t="n">
        <v>837.6</v>
      </c>
      <c r="AG7" s="65" t="n">
        <v>1322.8</v>
      </c>
      <c r="AH7" s="65" t="n">
        <v>1322.6</v>
      </c>
      <c r="AI7" s="65" t="n">
        <v>781.8</v>
      </c>
      <c r="AJ7" s="65" t="n">
        <v>869</v>
      </c>
      <c r="AK7" s="65" t="n">
        <v>780.9</v>
      </c>
      <c r="AL7" s="65" t="n">
        <v>-72.2</v>
      </c>
      <c r="AM7" s="65" t="n">
        <v>786.3</v>
      </c>
      <c r="AN7" s="65" t="n">
        <v>1824.5</v>
      </c>
      <c r="AO7" s="65" t="n">
        <v>1807.7</v>
      </c>
    </row>
    <row r="8">
      <c r="A8" s="64" t="inlineStr">
        <is>
          <t>영업이익률</t>
        </is>
      </c>
      <c r="B8" s="66" t="n"/>
      <c r="C8" s="66" t="n"/>
      <c r="D8" s="66" t="n"/>
      <c r="E8" s="66" t="n"/>
      <c r="F8" s="66" t="n"/>
      <c r="G8" s="66" t="n"/>
      <c r="H8" s="66" t="n">
        <v>5</v>
      </c>
      <c r="I8" s="66" t="n">
        <v>4.8</v>
      </c>
      <c r="J8" s="66" t="n">
        <v>4.7</v>
      </c>
      <c r="K8" s="66" t="n">
        <v>6.2</v>
      </c>
      <c r="L8" s="66" t="n">
        <v>3</v>
      </c>
      <c r="M8" s="66" t="n">
        <v>4.3</v>
      </c>
      <c r="N8" s="66" t="n">
        <v>5.3</v>
      </c>
      <c r="O8" s="66" t="n">
        <v>3.1</v>
      </c>
      <c r="P8" s="66" t="n">
        <v>0.3</v>
      </c>
      <c r="Q8" s="66" t="n">
        <v>5.6</v>
      </c>
      <c r="R8" s="66" t="n">
        <v>7.2</v>
      </c>
      <c r="S8" s="66" t="n">
        <v>1.7</v>
      </c>
      <c r="T8" s="66" t="n">
        <v>5.8</v>
      </c>
      <c r="U8" s="66" t="n">
        <v>5.6</v>
      </c>
      <c r="V8" s="66" t="n">
        <v>3.9</v>
      </c>
      <c r="W8" s="66" t="n">
        <v>4.2</v>
      </c>
      <c r="X8" s="66" t="n">
        <v>3.2</v>
      </c>
      <c r="Y8" s="66" t="n">
        <v>4.1</v>
      </c>
      <c r="Z8" s="66" t="n">
        <v>3.9</v>
      </c>
      <c r="AA8" s="66" t="n">
        <v>2.5</v>
      </c>
      <c r="AB8" s="66" t="n">
        <v>4.5</v>
      </c>
      <c r="AC8" s="66" t="n">
        <v>4.9</v>
      </c>
      <c r="AD8" s="66" t="n">
        <v>5.8</v>
      </c>
      <c r="AE8" s="66" t="n">
        <v>1.9</v>
      </c>
      <c r="AF8" s="66" t="n">
        <v>3.9</v>
      </c>
      <c r="AG8" s="66" t="n">
        <v>6.2</v>
      </c>
      <c r="AH8" s="66" t="n">
        <v>6.1</v>
      </c>
      <c r="AI8" s="66" t="n">
        <v>3.8</v>
      </c>
      <c r="AJ8" s="66" t="n">
        <v>4.6</v>
      </c>
      <c r="AK8" s="66" t="n">
        <v>4.1</v>
      </c>
      <c r="AL8" s="66" t="n">
        <v>-0.3</v>
      </c>
      <c r="AM8" s="66" t="n">
        <v>3.6</v>
      </c>
      <c r="AN8" s="66" t="n">
        <v>9</v>
      </c>
      <c r="AO8" s="66" t="n">
        <v>8.699999999999999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>
        <v>-43.6</v>
      </c>
      <c r="M9" s="66" t="n">
        <v>-11.9</v>
      </c>
      <c r="N9" s="66" t="n">
        <v>2.9</v>
      </c>
      <c r="O9" s="66" t="n">
        <v>-55.3</v>
      </c>
      <c r="P9" s="66" t="n">
        <v>-93.3</v>
      </c>
      <c r="Q9" s="66" t="n">
        <v>10.7</v>
      </c>
      <c r="R9" s="66" t="n">
        <v>29.7</v>
      </c>
      <c r="S9" s="66" t="n">
        <v>-40.1</v>
      </c>
      <c r="T9" s="66" t="n">
        <v>2676.1</v>
      </c>
      <c r="U9" s="66" t="n">
        <v>4.3</v>
      </c>
      <c r="V9" s="66" t="n">
        <v>-44</v>
      </c>
      <c r="W9" s="66" t="n">
        <v>162.2</v>
      </c>
      <c r="X9" s="66" t="n">
        <v>-39</v>
      </c>
      <c r="Y9" s="66" t="n">
        <v>-11.1</v>
      </c>
      <c r="Z9" s="66" t="n">
        <v>15.8</v>
      </c>
      <c r="AA9" s="66" t="n">
        <v>-34.8</v>
      </c>
      <c r="AB9" s="66" t="n">
        <v>41.9</v>
      </c>
      <c r="AC9" s="66" t="n">
        <v>19.1</v>
      </c>
      <c r="AD9" s="66" t="n">
        <v>50.9</v>
      </c>
      <c r="AE9" s="66" t="n">
        <v>-25.1</v>
      </c>
      <c r="AF9" s="66" t="n">
        <v>-7.3</v>
      </c>
      <c r="AG9" s="66" t="n">
        <v>29.1</v>
      </c>
      <c r="AH9" s="66" t="n">
        <v>3.8</v>
      </c>
      <c r="AI9" s="66" t="n">
        <v>92</v>
      </c>
      <c r="AJ9" s="66" t="n">
        <v>3.7</v>
      </c>
      <c r="AK9" s="66" t="n">
        <v>-41</v>
      </c>
      <c r="AL9" s="66" t="n">
        <v>-105.5</v>
      </c>
      <c r="AM9" s="66" t="n">
        <v>0.6</v>
      </c>
      <c r="AN9" s="66" t="n">
        <v>110</v>
      </c>
      <c r="AO9" s="66" t="n">
        <v>131.5</v>
      </c>
    </row>
    <row r="10">
      <c r="A10" s="64" t="inlineStr">
        <is>
          <t>유동자산</t>
        </is>
      </c>
      <c r="B10" s="65" t="n"/>
      <c r="C10" s="65" t="n"/>
      <c r="D10" s="65" t="n"/>
      <c r="E10" s="65" t="n"/>
      <c r="F10" s="65" t="n"/>
      <c r="G10" s="65" t="n">
        <v>34859.6</v>
      </c>
      <c r="H10" s="65" t="n"/>
      <c r="I10" s="65" t="n"/>
      <c r="J10" s="65" t="n"/>
      <c r="K10" s="65" t="n">
        <v>32740.9</v>
      </c>
      <c r="L10" s="65" t="n">
        <v>32018.5</v>
      </c>
      <c r="M10" s="65" t="n">
        <v>35404.9</v>
      </c>
      <c r="N10" s="65" t="n">
        <v>39970.9</v>
      </c>
      <c r="O10" s="65" t="n">
        <v>34358.3</v>
      </c>
      <c r="P10" s="65" t="n">
        <v>32614.3</v>
      </c>
      <c r="Q10" s="65" t="n">
        <v>33834</v>
      </c>
      <c r="R10" s="65" t="n">
        <v>36142.6</v>
      </c>
      <c r="S10" s="65" t="n">
        <v>39227.5</v>
      </c>
      <c r="T10" s="65" t="n">
        <v>40241.9</v>
      </c>
      <c r="U10" s="65" t="n">
        <v>34637.3</v>
      </c>
      <c r="V10" s="65" t="n">
        <v>35374.1</v>
      </c>
      <c r="W10" s="65" t="n">
        <v>40312</v>
      </c>
      <c r="X10" s="65" t="n">
        <v>40558.2</v>
      </c>
      <c r="Y10" s="65" t="n">
        <v>40824.3</v>
      </c>
      <c r="Z10" s="65" t="n">
        <v>38853.9</v>
      </c>
      <c r="AA10" s="65" t="n">
        <v>38028.8</v>
      </c>
      <c r="AB10" s="65" t="n">
        <v>40196.9</v>
      </c>
      <c r="AC10" s="65" t="n">
        <v>42998.8</v>
      </c>
      <c r="AD10" s="65" t="n">
        <v>40488.4</v>
      </c>
      <c r="AE10" s="65" t="n">
        <v>41527.6</v>
      </c>
      <c r="AF10" s="65" t="n">
        <v>44548.6</v>
      </c>
      <c r="AG10" s="65" t="n">
        <v>39473.1</v>
      </c>
      <c r="AH10" s="65" t="n">
        <v>39772.4</v>
      </c>
      <c r="AI10" s="65" t="n">
        <v>36154.8</v>
      </c>
      <c r="AJ10" s="65" t="n">
        <v>34792</v>
      </c>
      <c r="AK10" s="65" t="n">
        <v>36881.3</v>
      </c>
      <c r="AL10" s="65" t="n">
        <v>40012.6</v>
      </c>
      <c r="AM10" s="65" t="n">
        <v>38798.2</v>
      </c>
      <c r="AN10" s="65" t="n">
        <v>42260.8</v>
      </c>
      <c r="AO10" s="65" t="n">
        <v>41944</v>
      </c>
    </row>
    <row r="11">
      <c r="A11" s="64" t="inlineStr">
        <is>
          <t>유동부채</t>
        </is>
      </c>
      <c r="B11" s="65" t="n"/>
      <c r="C11" s="65" t="n"/>
      <c r="D11" s="65" t="n"/>
      <c r="E11" s="65" t="n"/>
      <c r="F11" s="65" t="n"/>
      <c r="G11" s="65" t="n">
        <v>30979.3</v>
      </c>
      <c r="H11" s="65" t="n"/>
      <c r="I11" s="65" t="n"/>
      <c r="J11" s="65" t="n"/>
      <c r="K11" s="65" t="n">
        <v>29894.5</v>
      </c>
      <c r="L11" s="65" t="n">
        <v>30242</v>
      </c>
      <c r="M11" s="65" t="n">
        <v>29024.6</v>
      </c>
      <c r="N11" s="65" t="n">
        <v>32087.9</v>
      </c>
      <c r="O11" s="65" t="n">
        <v>26161.1</v>
      </c>
      <c r="P11" s="65" t="n">
        <v>25779.3</v>
      </c>
      <c r="Q11" s="65" t="n">
        <v>28108.4</v>
      </c>
      <c r="R11" s="65" t="n">
        <v>27401.2</v>
      </c>
      <c r="S11" s="65" t="n">
        <v>28043.3</v>
      </c>
      <c r="T11" s="65" t="n">
        <v>28390.1</v>
      </c>
      <c r="U11" s="65" t="n">
        <v>31566.2</v>
      </c>
      <c r="V11" s="65" t="n">
        <v>27423.1</v>
      </c>
      <c r="W11" s="65" t="n">
        <v>30654.6</v>
      </c>
      <c r="X11" s="65" t="n">
        <v>29467.9</v>
      </c>
      <c r="Y11" s="65" t="n">
        <v>29167.1</v>
      </c>
      <c r="Z11" s="65" t="n">
        <v>29613.5</v>
      </c>
      <c r="AA11" s="65" t="n">
        <v>28734.2</v>
      </c>
      <c r="AB11" s="65" t="n">
        <v>29693.3</v>
      </c>
      <c r="AC11" s="65" t="n">
        <v>30230.2</v>
      </c>
      <c r="AD11" s="65" t="n">
        <v>29196.7</v>
      </c>
      <c r="AE11" s="65" t="n">
        <v>31216.9</v>
      </c>
      <c r="AF11" s="65" t="n">
        <v>33017.3</v>
      </c>
      <c r="AG11" s="65" t="n">
        <v>30760.8</v>
      </c>
      <c r="AH11" s="65" t="n">
        <v>28927</v>
      </c>
      <c r="AI11" s="65" t="n">
        <v>26827.5</v>
      </c>
      <c r="AJ11" s="65" t="n">
        <v>26963.1</v>
      </c>
      <c r="AK11" s="65" t="n">
        <v>29323.7</v>
      </c>
      <c r="AL11" s="65" t="n">
        <v>32253.8</v>
      </c>
      <c r="AM11" s="65" t="n">
        <v>29989.7</v>
      </c>
      <c r="AN11" s="65" t="n">
        <v>30410.2</v>
      </c>
      <c r="AO11" s="65" t="n">
        <v>31103.5</v>
      </c>
    </row>
    <row r="12">
      <c r="A12" s="64" t="inlineStr">
        <is>
          <t>부채총계</t>
        </is>
      </c>
      <c r="B12" s="65" t="n"/>
      <c r="C12" s="65" t="n"/>
      <c r="D12" s="65" t="n"/>
      <c r="E12" s="65" t="n"/>
      <c r="F12" s="65" t="n"/>
      <c r="G12" s="65" t="n">
        <v>44088.6</v>
      </c>
      <c r="H12" s="65" t="n"/>
      <c r="I12" s="65" t="n"/>
      <c r="J12" s="65" t="n"/>
      <c r="K12" s="65" t="n">
        <v>39293.2</v>
      </c>
      <c r="L12" s="65" t="n">
        <v>45068.9</v>
      </c>
      <c r="M12" s="65" t="n">
        <v>46007.9</v>
      </c>
      <c r="N12" s="65" t="n">
        <v>45663.5</v>
      </c>
      <c r="O12" s="65" t="n">
        <v>40626.5</v>
      </c>
      <c r="P12" s="65" t="n">
        <v>40414</v>
      </c>
      <c r="Q12" s="65" t="n">
        <v>40771.4</v>
      </c>
      <c r="R12" s="65" t="n">
        <v>42295.9</v>
      </c>
      <c r="S12" s="65" t="n">
        <v>40785.7</v>
      </c>
      <c r="T12" s="65" t="n">
        <v>41114.2</v>
      </c>
      <c r="U12" s="65" t="n">
        <v>43388.4</v>
      </c>
      <c r="V12" s="65" t="n">
        <v>43450.3</v>
      </c>
      <c r="W12" s="65" t="n">
        <v>46764.1</v>
      </c>
      <c r="X12" s="65" t="n">
        <v>45433.6</v>
      </c>
      <c r="Y12" s="65" t="n">
        <v>44524.6</v>
      </c>
      <c r="Z12" s="65" t="n">
        <v>43753.9</v>
      </c>
      <c r="AA12" s="65" t="n">
        <v>42695.7</v>
      </c>
      <c r="AB12" s="65" t="n">
        <v>44465.3</v>
      </c>
      <c r="AC12" s="65" t="n">
        <v>46459.9</v>
      </c>
      <c r="AD12" s="65" t="n">
        <v>45522.9</v>
      </c>
      <c r="AE12" s="65" t="n">
        <v>46892.9</v>
      </c>
      <c r="AF12" s="65" t="n">
        <v>48187.8</v>
      </c>
      <c r="AG12" s="65" t="n">
        <v>47030.9</v>
      </c>
      <c r="AH12" s="65" t="n">
        <v>45911.2</v>
      </c>
      <c r="AI12" s="65" t="n">
        <v>44683.6</v>
      </c>
      <c r="AJ12" s="65" t="n">
        <v>45014</v>
      </c>
      <c r="AK12" s="65" t="n">
        <v>45611.8</v>
      </c>
      <c r="AL12" s="65" t="n">
        <v>49203.2</v>
      </c>
      <c r="AM12" s="65" t="n">
        <v>47904.6</v>
      </c>
      <c r="AN12" s="65" t="n">
        <v>48529.5</v>
      </c>
      <c r="AO12" s="65" t="n">
        <v>47794</v>
      </c>
    </row>
    <row r="13">
      <c r="A13" s="64" t="inlineStr">
        <is>
          <t>자기자본</t>
        </is>
      </c>
      <c r="B13" s="66" t="n"/>
      <c r="C13" s="66" t="n"/>
      <c r="D13" s="66" t="n"/>
      <c r="E13" s="66" t="n"/>
      <c r="F13" s="66" t="n"/>
      <c r="G13" s="66" t="n">
        <v>18822.8</v>
      </c>
      <c r="H13" s="66" t="n"/>
      <c r="I13" s="66" t="n"/>
      <c r="J13" s="66" t="n"/>
      <c r="K13" s="66" t="n">
        <v>20846.2</v>
      </c>
      <c r="L13" s="66" t="n">
        <v>19962.3</v>
      </c>
      <c r="M13" s="66" t="n">
        <v>20254.1</v>
      </c>
      <c r="N13" s="66" t="n">
        <v>21443.4</v>
      </c>
      <c r="O13" s="66" t="n">
        <v>21558.7</v>
      </c>
      <c r="P13" s="66" t="n">
        <v>21678</v>
      </c>
      <c r="Q13" s="66" t="n">
        <v>23071.9</v>
      </c>
      <c r="R13" s="66" t="n">
        <v>24431.7</v>
      </c>
      <c r="S13" s="66" t="n">
        <v>27685</v>
      </c>
      <c r="T13" s="66" t="n">
        <v>28342.8</v>
      </c>
      <c r="U13" s="66" t="n">
        <v>29365</v>
      </c>
      <c r="V13" s="66" t="n">
        <v>30317.4</v>
      </c>
      <c r="W13" s="66" t="n">
        <v>33471.7</v>
      </c>
      <c r="X13" s="66" t="n">
        <v>37145.9</v>
      </c>
      <c r="Y13" s="66" t="n">
        <v>39309.1</v>
      </c>
      <c r="Z13" s="66" t="n">
        <v>36312.2</v>
      </c>
      <c r="AA13" s="66" t="n">
        <v>37899.6</v>
      </c>
      <c r="AB13" s="66" t="n">
        <v>42792.8</v>
      </c>
      <c r="AC13" s="66" t="n">
        <v>44791.3</v>
      </c>
      <c r="AD13" s="66" t="n">
        <v>43583.5</v>
      </c>
      <c r="AE13" s="66" t="n">
        <v>47219</v>
      </c>
      <c r="AF13" s="66" t="n">
        <v>50559.8</v>
      </c>
      <c r="AG13" s="66" t="n">
        <v>46123.1</v>
      </c>
      <c r="AH13" s="66" t="n">
        <v>51073.8</v>
      </c>
      <c r="AI13" s="66" t="n">
        <v>48748.3</v>
      </c>
      <c r="AJ13" s="66" t="n">
        <v>47644.8</v>
      </c>
      <c r="AK13" s="66" t="n">
        <v>49895.1</v>
      </c>
      <c r="AL13" s="66" t="n">
        <v>52268.1</v>
      </c>
      <c r="AM13" s="66" t="n">
        <v>53819.6</v>
      </c>
      <c r="AN13" s="66" t="n">
        <v>55747.3</v>
      </c>
      <c r="AO13" s="66" t="n">
        <v>55281.6</v>
      </c>
    </row>
    <row r="14">
      <c r="A14" s="64" t="inlineStr">
        <is>
          <t>유동비율</t>
        </is>
      </c>
      <c r="B14" s="66" t="n"/>
      <c r="C14" s="66" t="n"/>
      <c r="D14" s="66" t="n"/>
      <c r="E14" s="66" t="n"/>
      <c r="F14" s="66" t="n"/>
      <c r="G14" s="66" t="n">
        <v>112.5</v>
      </c>
      <c r="H14" s="66" t="n"/>
      <c r="I14" s="66" t="n"/>
      <c r="J14" s="66" t="n"/>
      <c r="K14" s="66" t="n">
        <v>109.5</v>
      </c>
      <c r="L14" s="66" t="n">
        <v>105.9</v>
      </c>
      <c r="M14" s="66" t="n">
        <v>122</v>
      </c>
      <c r="N14" s="66" t="n">
        <v>124.6</v>
      </c>
      <c r="O14" s="66" t="n">
        <v>131.3</v>
      </c>
      <c r="P14" s="66" t="n">
        <v>126.5</v>
      </c>
      <c r="Q14" s="66" t="n">
        <v>120.4</v>
      </c>
      <c r="R14" s="66" t="n">
        <v>131.9</v>
      </c>
      <c r="S14" s="66" t="n">
        <v>139.9</v>
      </c>
      <c r="T14" s="66" t="n">
        <v>141.7</v>
      </c>
      <c r="U14" s="66" t="n">
        <v>109.7</v>
      </c>
      <c r="V14" s="66" t="n">
        <v>129</v>
      </c>
      <c r="W14" s="66" t="n">
        <v>131.5</v>
      </c>
      <c r="X14" s="66" t="n">
        <v>137.6</v>
      </c>
      <c r="Y14" s="66" t="n">
        <v>140</v>
      </c>
      <c r="Z14" s="66" t="n">
        <v>131.2</v>
      </c>
      <c r="AA14" s="66" t="n">
        <v>132.3</v>
      </c>
      <c r="AB14" s="66" t="n">
        <v>135.4</v>
      </c>
      <c r="AC14" s="66" t="n">
        <v>142.2</v>
      </c>
      <c r="AD14" s="66" t="n">
        <v>138.7</v>
      </c>
      <c r="AE14" s="66" t="n">
        <v>133</v>
      </c>
      <c r="AF14" s="66" t="n">
        <v>134.9</v>
      </c>
      <c r="AG14" s="66" t="n">
        <v>128.3</v>
      </c>
      <c r="AH14" s="66" t="n">
        <v>137.5</v>
      </c>
      <c r="AI14" s="66" t="n">
        <v>134.8</v>
      </c>
      <c r="AJ14" s="66" t="n">
        <v>129</v>
      </c>
      <c r="AK14" s="66" t="n">
        <v>125.8</v>
      </c>
      <c r="AL14" s="66" t="n">
        <v>124.1</v>
      </c>
      <c r="AM14" s="66" t="n">
        <v>129.4</v>
      </c>
      <c r="AN14" s="66" t="n">
        <v>139</v>
      </c>
      <c r="AO14" s="66" t="n">
        <v>134.9</v>
      </c>
    </row>
    <row r="15">
      <c r="A15" s="64" t="inlineStr">
        <is>
          <t>부채비율</t>
        </is>
      </c>
      <c r="B15" s="66" t="n"/>
      <c r="C15" s="66" t="n"/>
      <c r="D15" s="66" t="n"/>
      <c r="E15" s="66" t="n"/>
      <c r="F15" s="66" t="n"/>
      <c r="G15" s="66" t="n">
        <v>234.2</v>
      </c>
      <c r="H15" s="66" t="n"/>
      <c r="I15" s="66" t="n"/>
      <c r="J15" s="66" t="n"/>
      <c r="K15" s="66" t="n">
        <v>188.5</v>
      </c>
      <c r="L15" s="66" t="n">
        <v>225.8</v>
      </c>
      <c r="M15" s="66" t="n">
        <v>227.2</v>
      </c>
      <c r="N15" s="66" t="n">
        <v>212.9</v>
      </c>
      <c r="O15" s="66" t="n">
        <v>188.4</v>
      </c>
      <c r="P15" s="66" t="n">
        <v>186.4</v>
      </c>
      <c r="Q15" s="66" t="n">
        <v>176.7</v>
      </c>
      <c r="R15" s="66" t="n">
        <v>173.1</v>
      </c>
      <c r="S15" s="66" t="n">
        <v>147.3</v>
      </c>
      <c r="T15" s="66" t="n">
        <v>145.1</v>
      </c>
      <c r="U15" s="66" t="n">
        <v>147.8</v>
      </c>
      <c r="V15" s="66" t="n">
        <v>143.3</v>
      </c>
      <c r="W15" s="66" t="n">
        <v>139.7</v>
      </c>
      <c r="X15" s="66" t="n">
        <v>122.3</v>
      </c>
      <c r="Y15" s="66" t="n">
        <v>113.3</v>
      </c>
      <c r="Z15" s="66" t="n">
        <v>120.5</v>
      </c>
      <c r="AA15" s="66" t="n">
        <v>112.7</v>
      </c>
      <c r="AB15" s="66" t="n">
        <v>103.9</v>
      </c>
      <c r="AC15" s="66" t="n">
        <v>103.7</v>
      </c>
      <c r="AD15" s="66" t="n">
        <v>104.4</v>
      </c>
      <c r="AE15" s="66" t="n">
        <v>99.3</v>
      </c>
      <c r="AF15" s="66" t="n">
        <v>95.3</v>
      </c>
      <c r="AG15" s="66" t="n">
        <v>102</v>
      </c>
      <c r="AH15" s="66" t="n">
        <v>89.90000000000001</v>
      </c>
      <c r="AI15" s="66" t="n">
        <v>91.7</v>
      </c>
      <c r="AJ15" s="66" t="n">
        <v>94.5</v>
      </c>
      <c r="AK15" s="66" t="n">
        <v>91.40000000000001</v>
      </c>
      <c r="AL15" s="66" t="n">
        <v>94.09999999999999</v>
      </c>
      <c r="AM15" s="66" t="n">
        <v>89</v>
      </c>
      <c r="AN15" s="66" t="n">
        <v>87.09999999999999</v>
      </c>
      <c r="AO15" s="66" t="n">
        <v>86.5</v>
      </c>
    </row>
    <row r="16">
      <c r="A16" s="64" t="inlineStr">
        <is>
          <t>순차입금/자기자본</t>
        </is>
      </c>
      <c r="B16" s="66" t="n"/>
      <c r="C16" s="66" t="n"/>
      <c r="D16" s="66" t="n"/>
      <c r="E16" s="66" t="n"/>
      <c r="F16" s="66" t="n"/>
      <c r="G16" s="66" t="n">
        <v>-57.9</v>
      </c>
      <c r="H16" s="66" t="n"/>
      <c r="I16" s="66" t="n"/>
      <c r="J16" s="66" t="n"/>
      <c r="K16" s="66" t="n">
        <v>-36.3</v>
      </c>
      <c r="L16" s="66" t="n">
        <v>-2.2</v>
      </c>
      <c r="M16" s="66" t="n">
        <v>-9.6</v>
      </c>
      <c r="N16" s="66" t="n">
        <v>-28</v>
      </c>
      <c r="O16" s="66" t="n">
        <v>-34.8</v>
      </c>
      <c r="P16" s="66" t="n">
        <v>-36.7</v>
      </c>
      <c r="Q16" s="66" t="n">
        <v>-41.6</v>
      </c>
      <c r="R16" s="66" t="n">
        <v>-45.3</v>
      </c>
      <c r="S16" s="66" t="n">
        <v>-48.2</v>
      </c>
      <c r="T16" s="66" t="n">
        <v>-48.1</v>
      </c>
      <c r="U16" s="66" t="n">
        <v>-24.4</v>
      </c>
      <c r="V16" s="66" t="n">
        <v>-21</v>
      </c>
      <c r="W16" s="66" t="n">
        <v>-28.1</v>
      </c>
      <c r="X16" s="66" t="n">
        <v>-18.3</v>
      </c>
      <c r="Y16" s="66" t="n">
        <v>-14.9</v>
      </c>
      <c r="Z16" s="66" t="n">
        <v>-15.8</v>
      </c>
      <c r="AA16" s="66" t="n">
        <v>-15.1</v>
      </c>
      <c r="AB16" s="66" t="n">
        <v>-15.1</v>
      </c>
      <c r="AC16" s="66" t="n">
        <v>-20.1</v>
      </c>
      <c r="AD16" s="66" t="n">
        <v>-17.7</v>
      </c>
      <c r="AE16" s="66" t="n">
        <v>-17.8</v>
      </c>
      <c r="AF16" s="66" t="n">
        <v>-16.4</v>
      </c>
      <c r="AG16" s="66" t="n">
        <v>-14.1</v>
      </c>
      <c r="AH16" s="66" t="n">
        <v>-15.7</v>
      </c>
      <c r="AI16" s="66" t="n">
        <v>-11.5</v>
      </c>
      <c r="AJ16" s="66" t="n">
        <v>-9.6</v>
      </c>
      <c r="AK16" s="66" t="n">
        <v>-8.699999999999999</v>
      </c>
      <c r="AL16" s="66" t="n">
        <v>-9.199999999999999</v>
      </c>
      <c r="AM16" s="66" t="n">
        <v>-9.6</v>
      </c>
      <c r="AN16" s="66" t="n">
        <v>-11.7</v>
      </c>
      <c r="AO16" s="66" t="n">
        <v>-9.4</v>
      </c>
    </row>
    <row r="17">
      <c r="A17" s="64" t="inlineStr">
        <is>
          <t>재고자산</t>
        </is>
      </c>
      <c r="B17" s="65" t="n"/>
      <c r="C17" s="65" t="n"/>
      <c r="D17" s="65" t="n"/>
      <c r="E17" s="65" t="n"/>
      <c r="F17" s="65" t="n"/>
      <c r="G17" s="65" t="n">
        <v>9886.1</v>
      </c>
      <c r="H17" s="65" t="n"/>
      <c r="I17" s="65" t="n"/>
      <c r="J17" s="65" t="n"/>
      <c r="K17" s="65" t="n">
        <v>10164.4</v>
      </c>
      <c r="L17" s="65" t="n">
        <v>10420</v>
      </c>
      <c r="M17" s="65" t="n">
        <v>10054.2</v>
      </c>
      <c r="N17" s="65" t="n">
        <v>8779.1</v>
      </c>
      <c r="O17" s="65" t="n">
        <v>7935.2</v>
      </c>
      <c r="P17" s="65" t="n">
        <v>8430.200000000001</v>
      </c>
      <c r="Q17" s="65" t="n">
        <v>7935.8</v>
      </c>
      <c r="R17" s="65" t="n">
        <v>7961.1</v>
      </c>
      <c r="S17" s="65" t="n">
        <v>8325.700000000001</v>
      </c>
      <c r="T17" s="65" t="n">
        <v>9179.299999999999</v>
      </c>
      <c r="U17" s="65" t="n">
        <v>9960.4</v>
      </c>
      <c r="V17" s="65" t="n">
        <v>10591.2</v>
      </c>
      <c r="W17" s="65" t="n">
        <v>11326.6</v>
      </c>
      <c r="X17" s="65" t="n">
        <v>13200.1</v>
      </c>
      <c r="Y17" s="65" t="n">
        <v>14355.4</v>
      </c>
      <c r="Z17" s="65" t="n">
        <v>14061.2</v>
      </c>
      <c r="AA17" s="65" t="n">
        <v>12887.5</v>
      </c>
      <c r="AB17" s="65" t="n">
        <v>13788.6</v>
      </c>
      <c r="AC17" s="65" t="n">
        <v>13554</v>
      </c>
      <c r="AD17" s="65" t="n">
        <v>12985.2</v>
      </c>
      <c r="AE17" s="65" t="n">
        <v>12089</v>
      </c>
      <c r="AF17" s="65" t="n">
        <v>12881.5</v>
      </c>
      <c r="AG17" s="65" t="n">
        <v>12111.9</v>
      </c>
      <c r="AH17" s="65" t="n">
        <v>11325.2</v>
      </c>
      <c r="AI17" s="65" t="n">
        <v>10222.2</v>
      </c>
      <c r="AJ17" s="65" t="n">
        <v>10751.5</v>
      </c>
      <c r="AK17" s="65" t="n">
        <v>10943.9</v>
      </c>
      <c r="AL17" s="65" t="n">
        <v>11121.1</v>
      </c>
      <c r="AM17" s="65" t="n">
        <v>10661.2</v>
      </c>
      <c r="AN17" s="65" t="n">
        <v>11798</v>
      </c>
      <c r="AO17" s="65" t="n">
        <v>12759.6</v>
      </c>
    </row>
    <row r="18">
      <c r="A18" s="64" t="inlineStr">
        <is>
          <t>재고자산 회전일수</t>
        </is>
      </c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>
        <v>68</v>
      </c>
      <c r="L18" s="65" t="n">
        <v>70</v>
      </c>
      <c r="M18" s="65" t="n">
        <v>65</v>
      </c>
      <c r="N18" s="65" t="n">
        <v>59</v>
      </c>
      <c r="O18" s="65" t="n">
        <v>59</v>
      </c>
      <c r="P18" s="65" t="n">
        <v>76</v>
      </c>
      <c r="Q18" s="65" t="n">
        <v>61</v>
      </c>
      <c r="R18" s="65" t="n">
        <v>57</v>
      </c>
      <c r="S18" s="65" t="n">
        <v>60</v>
      </c>
      <c r="T18" s="65" t="n">
        <v>66</v>
      </c>
      <c r="U18" s="65" t="n">
        <v>72</v>
      </c>
      <c r="V18" s="65" t="n">
        <v>71</v>
      </c>
      <c r="W18" s="65" t="n">
        <v>73</v>
      </c>
      <c r="X18" s="65" t="n">
        <v>83</v>
      </c>
      <c r="Y18" s="65" t="n">
        <v>85</v>
      </c>
      <c r="Z18" s="65" t="n">
        <v>80</v>
      </c>
      <c r="AA18" s="65" t="n">
        <v>76</v>
      </c>
      <c r="AB18" s="65" t="n">
        <v>87</v>
      </c>
      <c r="AC18" s="65" t="n">
        <v>83</v>
      </c>
      <c r="AD18" s="65" t="n">
        <v>78</v>
      </c>
      <c r="AE18" s="65" t="n">
        <v>71</v>
      </c>
      <c r="AF18" s="65" t="n">
        <v>79</v>
      </c>
      <c r="AG18" s="65" t="n">
        <v>74</v>
      </c>
      <c r="AH18" s="65" t="n">
        <v>71</v>
      </c>
      <c r="AI18" s="65" t="n">
        <v>66</v>
      </c>
      <c r="AJ18" s="65" t="n">
        <v>76</v>
      </c>
      <c r="AK18" s="65" t="n">
        <v>74</v>
      </c>
      <c r="AL18" s="65" t="n">
        <v>73</v>
      </c>
      <c r="AM18" s="65" t="n">
        <v>64</v>
      </c>
      <c r="AN18" s="65" t="n">
        <v>79</v>
      </c>
      <c r="AO18" s="65" t="n">
        <v>83</v>
      </c>
    </row>
    <row r="19">
      <c r="A19" s="64" t="inlineStr">
        <is>
          <t>매출채권 회전일수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</row>
    <row r="20">
      <c r="A20" s="64" t="inlineStr">
        <is>
          <t>매입채무 회전일수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</row>
    <row r="21">
      <c r="A21" s="64" t="inlineStr">
        <is>
          <t>현금전환주기(CCC)</t>
        </is>
      </c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</row>
    <row r="22">
      <c r="A22" s="64" t="inlineStr">
        <is>
          <t>총 차입금</t>
        </is>
      </c>
      <c r="B22" s="65" t="n"/>
      <c r="C22" s="65" t="n"/>
      <c r="D22" s="65" t="n"/>
      <c r="E22" s="65" t="n"/>
      <c r="F22" s="65" t="n"/>
      <c r="G22" s="65" t="n">
        <v>0</v>
      </c>
      <c r="H22" s="65" t="n"/>
      <c r="I22" s="65" t="n"/>
      <c r="J22" s="65" t="n"/>
      <c r="K22" s="65" t="n">
        <v>156.7</v>
      </c>
      <c r="L22" s="65" t="n">
        <v>6455.5</v>
      </c>
      <c r="M22" s="65" t="n">
        <v>6276.7</v>
      </c>
      <c r="N22" s="65" t="n">
        <v>2640.3</v>
      </c>
      <c r="O22" s="65" t="n">
        <v>2668.6</v>
      </c>
      <c r="P22" s="65" t="n">
        <v>2661.2</v>
      </c>
      <c r="Q22" s="65" t="n">
        <v>2653.9</v>
      </c>
      <c r="R22" s="65" t="n">
        <v>2528.1</v>
      </c>
      <c r="S22" s="65" t="n">
        <v>2579.1</v>
      </c>
      <c r="T22" s="65" t="n">
        <v>2619.1</v>
      </c>
      <c r="U22" s="65" t="n">
        <v>2587.8</v>
      </c>
      <c r="V22" s="65" t="n">
        <v>2520.6</v>
      </c>
      <c r="W22" s="65" t="n">
        <v>2666.8</v>
      </c>
      <c r="X22" s="65" t="n">
        <v>2667.8</v>
      </c>
      <c r="Y22" s="65" t="n">
        <v>2609.4</v>
      </c>
      <c r="Z22" s="65" t="n">
        <v>2480.2</v>
      </c>
      <c r="AA22" s="65" t="n">
        <v>2477.7</v>
      </c>
      <c r="AB22" s="65" t="n">
        <v>2623.7</v>
      </c>
      <c r="AC22" s="65" t="n">
        <v>2657.5</v>
      </c>
      <c r="AD22" s="65" t="n">
        <v>2654.7</v>
      </c>
      <c r="AE22" s="65" t="n">
        <v>2801.4</v>
      </c>
      <c r="AF22" s="65" t="n">
        <v>2868.9</v>
      </c>
      <c r="AG22" s="65" t="n">
        <v>2714.4</v>
      </c>
      <c r="AH22" s="65" t="n">
        <v>2649.7</v>
      </c>
      <c r="AI22" s="65" t="n">
        <v>2884.2</v>
      </c>
      <c r="AJ22" s="65" t="n">
        <v>2826.9</v>
      </c>
      <c r="AK22" s="65" t="n">
        <v>2779.5</v>
      </c>
      <c r="AL22" s="65" t="n">
        <v>2716.2</v>
      </c>
      <c r="AM22" s="65" t="n">
        <v>2548.2</v>
      </c>
      <c r="AN22" s="65" t="n">
        <v>2494</v>
      </c>
      <c r="AO22" s="65" t="n">
        <v>2440.3</v>
      </c>
    </row>
    <row r="23">
      <c r="A23" s="64" t="inlineStr">
        <is>
          <t>현금</t>
        </is>
      </c>
      <c r="B23" s="65" t="n"/>
      <c r="C23" s="65" t="n"/>
      <c r="D23" s="65" t="n"/>
      <c r="E23" s="65" t="n"/>
      <c r="F23" s="65" t="n"/>
      <c r="G23" s="65" t="n">
        <v>10895.9</v>
      </c>
      <c r="H23" s="65" t="n"/>
      <c r="I23" s="65" t="n"/>
      <c r="J23" s="65" t="n"/>
      <c r="K23" s="65" t="n">
        <v>7722.6</v>
      </c>
      <c r="L23" s="65" t="n">
        <v>6904</v>
      </c>
      <c r="M23" s="65" t="n">
        <v>8219.700000000001</v>
      </c>
      <c r="N23" s="65" t="n">
        <v>8643</v>
      </c>
      <c r="O23" s="65" t="n">
        <v>10165</v>
      </c>
      <c r="P23" s="65" t="n">
        <v>10608.3</v>
      </c>
      <c r="Q23" s="65" t="n">
        <v>12263.1</v>
      </c>
      <c r="R23" s="65" t="n">
        <v>13588.9</v>
      </c>
      <c r="S23" s="65" t="n">
        <v>15932.2</v>
      </c>
      <c r="T23" s="65" t="n">
        <v>16253.8</v>
      </c>
      <c r="U23" s="65" t="n">
        <v>9753.200000000001</v>
      </c>
      <c r="V23" s="65" t="n">
        <v>8897.5</v>
      </c>
      <c r="W23" s="65" t="n">
        <v>12058.7</v>
      </c>
      <c r="X23" s="65" t="n">
        <v>9478.799999999999</v>
      </c>
      <c r="Y23" s="65" t="n">
        <v>8471.9</v>
      </c>
      <c r="Z23" s="65" t="n">
        <v>8201</v>
      </c>
      <c r="AA23" s="65" t="n">
        <v>8195</v>
      </c>
      <c r="AB23" s="65" t="n">
        <v>9099.5</v>
      </c>
      <c r="AC23" s="65" t="n">
        <v>11650</v>
      </c>
      <c r="AD23" s="65" t="n">
        <v>10383.2</v>
      </c>
      <c r="AE23" s="65" t="n">
        <v>11196.2</v>
      </c>
      <c r="AF23" s="65" t="n">
        <v>11183.4</v>
      </c>
      <c r="AG23" s="65" t="n">
        <v>9229.6</v>
      </c>
      <c r="AH23" s="65" t="n">
        <v>10645.6</v>
      </c>
      <c r="AI23" s="65" t="n">
        <v>8475.6</v>
      </c>
      <c r="AJ23" s="65" t="n">
        <v>7421.8</v>
      </c>
      <c r="AK23" s="65" t="n">
        <v>7106.1</v>
      </c>
      <c r="AL23" s="65" t="n">
        <v>7512</v>
      </c>
      <c r="AM23" s="65" t="n">
        <v>7701.8</v>
      </c>
      <c r="AN23" s="65" t="n">
        <v>9030.700000000001</v>
      </c>
      <c r="AO23" s="65" t="n">
        <v>7614.5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2026-10-30T09:06:26Z</dcterms:created>
  <dcterms:modified xmlns:dcterms="http://purl.org/dc/terms/" xmlns:xsi="http://www.w3.org/2001/XMLSchema-instance" xsi:type="dcterms:W3CDTF">2026-10-30T09:07:35Z</dcterms:modified>
</cp:coreProperties>
</file>