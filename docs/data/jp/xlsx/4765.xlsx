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4765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2586.882</v>
      </c>
      <c r="D4" s="12" t="n">
        <v>2561.588</v>
      </c>
      <c r="E4" s="12" t="n">
        <v>2843.521</v>
      </c>
      <c r="F4" s="12" t="n">
        <v>2895.06</v>
      </c>
      <c r="G4" s="12" t="n">
        <v>2913.672</v>
      </c>
      <c r="H4" s="12" t="n">
        <v>2916.737</v>
      </c>
      <c r="I4" s="12" t="n">
        <v>2844.585</v>
      </c>
      <c r="J4" s="12" t="n">
        <v>4429.028</v>
      </c>
      <c r="K4" s="12" t="n">
        <v>8551.204</v>
      </c>
      <c r="L4" s="12" t="n">
        <v>12034.829</v>
      </c>
      <c r="M4" s="12" t="n">
        <v>12823.074</v>
      </c>
      <c r="N4" s="12" t="n">
        <v>14177.742</v>
      </c>
      <c r="O4" s="11" t="n">
        <v>4790.853</v>
      </c>
      <c r="P4" s="12" t="n">
        <v>5967.012</v>
      </c>
      <c r="Q4" s="12" t="n">
        <v>6004.36</v>
      </c>
      <c r="R4" s="12" t="n">
        <v>6814.629</v>
      </c>
      <c r="S4" s="12" t="n">
        <v>7485.655</v>
      </c>
      <c r="T4" s="12" t="n">
        <v>8123.286</v>
      </c>
      <c r="U4" s="12" t="n">
        <v>8747.112999999999</v>
      </c>
      <c r="V4" s="12" t="n">
        <v>10137.596</v>
      </c>
      <c r="W4" s="12" t="n">
        <v>11568.99</v>
      </c>
      <c r="X4" s="12" t="n">
        <v>27859.646</v>
      </c>
      <c r="Y4" s="11">
        <f>IF(COUNT(Y7,Y10)=0,"",SUM(Y7,Y10))</f>
        <v/>
      </c>
      <c r="Z4" s="12">
        <f>IF(COUNT(Z7,Z10)=0,"",SUM(Z7,Z10))</f>
        <v/>
      </c>
      <c r="AA4" s="12">
        <f>IF(COUNT(AA7,AA10)=0,"",SUM(AA7,AA10))</f>
        <v/>
      </c>
      <c r="AB4" s="12">
        <f>IF(COUNT(AB7,AB10)=0,"",SUM(AB7,AB10))</f>
        <v/>
      </c>
      <c r="AC4" s="12">
        <f>IF(COUNT(AC7,AC10)=0,"",SUM(AC7,AC10))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자산운용 사업</t>
        </is>
      </c>
      <c r="B7" s="10" t="n"/>
      <c r="C7" s="19" t="n">
        <v>2064.177</v>
      </c>
      <c r="D7" s="20" t="n">
        <v>2166.642</v>
      </c>
      <c r="E7" s="20" t="n">
        <v>2353.816</v>
      </c>
      <c r="F7" s="20" t="n">
        <v>2413.963</v>
      </c>
      <c r="G7" s="20" t="n">
        <v>2444.705</v>
      </c>
      <c r="H7" s="20" t="n">
        <v>2539.425</v>
      </c>
      <c r="I7" s="20" t="n">
        <v>2334.561</v>
      </c>
      <c r="J7" s="20" t="n">
        <v>4020.99</v>
      </c>
      <c r="K7" s="20" t="n">
        <v>8165.582</v>
      </c>
      <c r="L7" s="20" t="n">
        <v>11811.583</v>
      </c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8210.51</v>
      </c>
      <c r="W7" s="20" t="n">
        <v>9751.909</v>
      </c>
      <c r="X7" s="20" t="n">
        <v>26332.716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금융서비스 사업</t>
        </is>
      </c>
      <c r="B10" s="10" t="n"/>
      <c r="C10" s="19" t="n">
        <v>522.706</v>
      </c>
      <c r="D10" s="20" t="n">
        <v>394.945</v>
      </c>
      <c r="E10" s="20" t="n">
        <v>489.705</v>
      </c>
      <c r="F10" s="20" t="n">
        <v>481.097</v>
      </c>
      <c r="G10" s="20" t="n">
        <v>468.967</v>
      </c>
      <c r="H10" s="20" t="n">
        <v>377.311</v>
      </c>
      <c r="I10" s="20" t="n">
        <v>510.024</v>
      </c>
      <c r="J10" s="20" t="n">
        <v>408.038</v>
      </c>
      <c r="K10" s="20" t="n">
        <v>385.621</v>
      </c>
      <c r="L10" s="20" t="n">
        <v>223.246</v>
      </c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1927.085</v>
      </c>
      <c r="W10" s="20" t="n">
        <v>1817.08</v>
      </c>
      <c r="X10" s="20" t="n">
        <v>1526.929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6" t="inlineStr">
        <is>
          <t>매출원가</t>
        </is>
      </c>
      <c r="B13" s="16" t="n"/>
      <c r="C13" s="17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7" t="n"/>
      <c r="Z13" s="16" t="n"/>
      <c r="AA13" s="16" t="n"/>
      <c r="AB13" s="16" t="n"/>
      <c r="AC13" s="16" t="n"/>
    </row>
    <row r="14">
      <c r="A14" s="18" t="inlineStr">
        <is>
          <t>전체 매출원가</t>
        </is>
      </c>
      <c r="B14" s="10" t="n"/>
      <c r="C14" s="19" t="n">
        <v>1256.681</v>
      </c>
      <c r="D14" s="20" t="n">
        <v>1275.094</v>
      </c>
      <c r="E14" s="20" t="n">
        <v>1380.277</v>
      </c>
      <c r="F14" s="20" t="n">
        <v>1429.1</v>
      </c>
      <c r="G14" s="20" t="n">
        <v>1471.078</v>
      </c>
      <c r="H14" s="20" t="n">
        <v>1590.538</v>
      </c>
      <c r="I14" s="20" t="n">
        <v>1421.832</v>
      </c>
      <c r="J14" s="20" t="n">
        <v>2442.735</v>
      </c>
      <c r="K14" s="20" t="n">
        <v>5346.505</v>
      </c>
      <c r="L14" s="20" t="n">
        <v>7024.44</v>
      </c>
      <c r="M14" s="20" t="n">
        <v>7602.585</v>
      </c>
      <c r="N14" s="20" t="n">
        <v>7850.904</v>
      </c>
      <c r="O14" s="19" t="n">
        <v>2428.56</v>
      </c>
      <c r="P14" s="20" t="n">
        <v>3540.539</v>
      </c>
      <c r="Q14" s="20" t="n">
        <v>3578.352</v>
      </c>
      <c r="R14" s="20" t="n">
        <v>3299.403</v>
      </c>
      <c r="S14" s="20" t="n">
        <v>3556.727</v>
      </c>
      <c r="T14" s="20" t="n">
        <v>3654.398</v>
      </c>
      <c r="U14" s="20" t="n">
        <v>4221.253</v>
      </c>
      <c r="V14" s="20" t="n">
        <v>4917.169</v>
      </c>
      <c r="W14" s="20" t="n">
        <v>5870.993</v>
      </c>
      <c r="X14" s="20" t="n">
        <v>16235.512</v>
      </c>
      <c r="Y14" s="19" t="n"/>
      <c r="Z14" s="20" t="n"/>
      <c r="AA14" s="20" t="n"/>
      <c r="AB14" s="20" t="n"/>
      <c r="AC14" s="20" t="n"/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IF(OR(G14="",C14=""),"",IF(C14&lt;=0,"",IFERROR(G14/C14-1,"")))</f>
        <v/>
      </c>
      <c r="H15" s="15">
        <f>IF(OR(H14="",D14=""),"",IF(D14&lt;=0,"",IFERROR(H14/D14-1,"")))</f>
        <v/>
      </c>
      <c r="I15" s="15">
        <f>IF(OR(I14="",E14=""),"",IF(E14&lt;=0,"",IFERROR(I14/E14-1,"")))</f>
        <v/>
      </c>
      <c r="J15" s="15">
        <f>IF(OR(J14="",F14=""),"",IF(F14&lt;=0,"",IFERROR(J14/F14-1,"")))</f>
        <v/>
      </c>
      <c r="K15" s="15">
        <f>IF(OR(K14="",G14=""),"",IF(G14&lt;=0,"",IFERROR(K14/G14-1,"")))</f>
        <v/>
      </c>
      <c r="L15" s="15">
        <f>IF(OR(L14="",H14=""),"",IF(H14&lt;=0,"",IFERROR(L14/H14-1,"")))</f>
        <v/>
      </c>
      <c r="M15" s="15">
        <f>IF(OR(M14="",I14=""),"",IF(I14&lt;=0,"",IFERROR(M14/I14-1,"")))</f>
        <v/>
      </c>
      <c r="N15" s="15">
        <f>IF(OR(N14="",J14=""),"",IF(J14&lt;=0,"",IFERROR(N14/J14-1,"")))</f>
        <v/>
      </c>
      <c r="O15" s="14" t="n"/>
      <c r="P15" s="15">
        <f>IF(OR(P14="",O14=""),"",IF(O14&lt;=0,"",IFERROR(P14/O14-1,"")))</f>
        <v/>
      </c>
      <c r="Q15" s="15">
        <f>IF(OR(Q14="",P14=""),"",IF(P14&lt;=0,"",IFERROR(Q14/P14-1,"")))</f>
        <v/>
      </c>
      <c r="R15" s="15">
        <f>IF(OR(R14="",Q14=""),"",IF(Q14&lt;=0,"",IFERROR(R14/Q14-1,"")))</f>
        <v/>
      </c>
      <c r="S15" s="15">
        <f>IF(OR(S14="",R14=""),"",IF(R14&lt;=0,"",IFERROR(S14/R14-1,"")))</f>
        <v/>
      </c>
      <c r="T15" s="15">
        <f>IF(OR(T14="",S14=""),"",IF(S14&lt;=0,"",IFERROR(T14/S14-1,"")))</f>
        <v/>
      </c>
      <c r="U15" s="15">
        <f>IF(OR(U14="",T14=""),"",IF(T14&lt;=0,"",IFERROR(U14/T14-1,"")))</f>
        <v/>
      </c>
      <c r="V15" s="15">
        <f>IF(OR(V14="",U14=""),"",IF(U14&lt;=0,"",IFERROR(V14/U14-1,"")))</f>
        <v/>
      </c>
      <c r="W15" s="15">
        <f>IF(OR(W14="",V14=""),"",IF(V14&lt;=0,"",IFERROR(W14/V14-1,"")))</f>
        <v/>
      </c>
      <c r="X15" s="15">
        <f>IF(OR(X14="",W14=""),"",IF(W14&lt;=0,"",IFERROR(X14/W14-1,"")))</f>
        <v/>
      </c>
      <c r="Y15" s="14">
        <f>IF(OR(Y14="",X14=""),"",IF(X14&lt;=0,"",IFERROR(Y14/X14-1,"")))</f>
        <v/>
      </c>
      <c r="Z15" s="15">
        <f>IF(OR(Z14="",Y14=""),"",IF(Y14&lt;=0,"",IFERROR(Z14/Y14-1,"")))</f>
        <v/>
      </c>
      <c r="AA15" s="15">
        <f>IF(OR(AA14="",Z14=""),"",IF(Z14&lt;=0,"",IFERROR(AA14/Z14-1,"")))</f>
        <v/>
      </c>
      <c r="AB15" s="15">
        <f>IF(OR(AB14="",AA14=""),"",IF(AA14&lt;=0,"",IFERROR(AB14/AA14-1,"")))</f>
        <v/>
      </c>
      <c r="AC15" s="15">
        <f>IF(OR(AC14="",AB14=""),"",IF(AB14&lt;=0,"",IFERROR(AC14/AB14-1,"")))</f>
        <v/>
      </c>
    </row>
    <row r="16">
      <c r="A16" s="18" t="inlineStr">
        <is>
          <t>매출총이익</t>
        </is>
      </c>
      <c r="B16" s="10" t="n"/>
      <c r="C16" s="19">
        <f>IF(OR(C4="",C14=""),"",IFERROR(C4-C14,""))</f>
        <v/>
      </c>
      <c r="D16" s="20">
        <f>IF(OR(D4="",D14=""),"",IFERROR(D4-D14,""))</f>
        <v/>
      </c>
      <c r="E16" s="20">
        <f>IF(OR(E4="",E14=""),"",IFERROR(E4-E14,""))</f>
        <v/>
      </c>
      <c r="F16" s="20">
        <f>IF(OR(F4="",F14=""),"",IFERROR(F4-F14,""))</f>
        <v/>
      </c>
      <c r="G16" s="20">
        <f>IF(OR(G4="",G14=""),"",IFERROR(G4-G14,""))</f>
        <v/>
      </c>
      <c r="H16" s="20">
        <f>IF(OR(H4="",H14=""),"",IFERROR(H4-H14,""))</f>
        <v/>
      </c>
      <c r="I16" s="20">
        <f>IF(OR(I4="",I14=""),"",IFERROR(I4-I14,""))</f>
        <v/>
      </c>
      <c r="J16" s="20">
        <f>IF(OR(J4="",J14=""),"",IFERROR(J4-J14,""))</f>
        <v/>
      </c>
      <c r="K16" s="20">
        <f>IF(OR(K4="",K14=""),"",IFERROR(K4-K14,""))</f>
        <v/>
      </c>
      <c r="L16" s="20">
        <f>IF(OR(L4="",L14=""),"",IFERROR(L4-L14,""))</f>
        <v/>
      </c>
      <c r="M16" s="20">
        <f>IF(OR(M4="",M14=""),"",IFERROR(M4-M14,""))</f>
        <v/>
      </c>
      <c r="N16" s="20">
        <f>IF(OR(N4="",N14=""),"",IFERROR(N4-N14,""))</f>
        <v/>
      </c>
      <c r="O16" s="19">
        <f>IF(OR(O4="",O14=""),"",IFERROR(O4-O14,""))</f>
        <v/>
      </c>
      <c r="P16" s="20">
        <f>IF(OR(P4="",P14=""),"",IFERROR(P4-P14,""))</f>
        <v/>
      </c>
      <c r="Q16" s="20">
        <f>IF(OR(Q4="",Q14=""),"",IFERROR(Q4-Q14,""))</f>
        <v/>
      </c>
      <c r="R16" s="20">
        <f>IF(OR(R4="",R14=""),"",IFERROR(R4-R14,""))</f>
        <v/>
      </c>
      <c r="S16" s="20">
        <f>IF(OR(S4="",S14=""),"",IFERROR(S4-S14,""))</f>
        <v/>
      </c>
      <c r="T16" s="20">
        <f>IF(OR(T4="",T14=""),"",IFERROR(T4-T14,""))</f>
        <v/>
      </c>
      <c r="U16" s="20">
        <f>IF(OR(U4="",U14=""),"",IFERROR(U4-U14,""))</f>
        <v/>
      </c>
      <c r="V16" s="20">
        <f>IF(OR(V4="",V14=""),"",IFERROR(V4-V14,""))</f>
        <v/>
      </c>
      <c r="W16" s="20">
        <f>IF(OR(W4="",W14=""),"",IFERROR(W4-W14,""))</f>
        <v/>
      </c>
      <c r="X16" s="20">
        <f>IF(OR(X4="",X14=""),"",IFERROR(X4-X14,""))</f>
        <v/>
      </c>
      <c r="Y16" s="19" t="n"/>
      <c r="Z16" s="20" t="n"/>
      <c r="AA16" s="20" t="n"/>
      <c r="AB16" s="20" t="n"/>
      <c r="AC16" s="20" t="n"/>
    </row>
    <row r="17">
      <c r="A17" s="13" t="inlineStr">
        <is>
          <t>GPM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IF(OR(G16="",C16=""),"",IF(C16&lt;=0,"",IFERROR(G16/C16-1,"")))</f>
        <v/>
      </c>
      <c r="H18" s="15">
        <f>IF(OR(H16="",D16=""),"",IF(D16&lt;=0,"",IFERROR(H16/D16-1,"")))</f>
        <v/>
      </c>
      <c r="I18" s="15">
        <f>IF(OR(I16="",E16=""),"",IF(E16&lt;=0,"",IFERROR(I16/E16-1,"")))</f>
        <v/>
      </c>
      <c r="J18" s="15">
        <f>IF(OR(J16="",F16=""),"",IF(F16&lt;=0,"",IFERROR(J16/F16-1,"")))</f>
        <v/>
      </c>
      <c r="K18" s="15">
        <f>IF(OR(K16="",G16=""),"",IF(G16&lt;=0,"",IFERROR(K16/G16-1,"")))</f>
        <v/>
      </c>
      <c r="L18" s="15">
        <f>IF(OR(L16="",H16=""),"",IF(H16&lt;=0,"",IFERROR(L16/H16-1,"")))</f>
        <v/>
      </c>
      <c r="M18" s="15">
        <f>IF(OR(M16="",I16=""),"",IF(I16&lt;=0,"",IFERROR(M16/I16-1,"")))</f>
        <v/>
      </c>
      <c r="N18" s="15">
        <f>IF(OR(N16="",J16=""),"",IF(J16&lt;=0,"",IFERROR(N16/J16-1,"")))</f>
        <v/>
      </c>
      <c r="O18" s="14" t="n"/>
      <c r="P18" s="15">
        <f>IF(OR(P16="",O16=""),"",IF(O16&lt;=0,"",IFERROR(P16/O16-1,"")))</f>
        <v/>
      </c>
      <c r="Q18" s="15">
        <f>IF(OR(Q16="",P16=""),"",IF(P16&lt;=0,"",IFERROR(Q16/P16-1,"")))</f>
        <v/>
      </c>
      <c r="R18" s="15">
        <f>IF(OR(R16="",Q16=""),"",IF(Q16&lt;=0,"",IFERROR(R16/Q16-1,"")))</f>
        <v/>
      </c>
      <c r="S18" s="15">
        <f>IF(OR(S16="",R16=""),"",IF(R16&lt;=0,"",IFERROR(S16/R16-1,"")))</f>
        <v/>
      </c>
      <c r="T18" s="15">
        <f>IF(OR(T16="",S16=""),"",IF(S16&lt;=0,"",IFERROR(T16/S16-1,"")))</f>
        <v/>
      </c>
      <c r="U18" s="15">
        <f>IF(OR(U16="",T16=""),"",IF(T16&lt;=0,"",IFERROR(U16/T16-1,"")))</f>
        <v/>
      </c>
      <c r="V18" s="15">
        <f>IF(OR(V16="",U16=""),"",IF(U16&lt;=0,"",IFERROR(V16/U16-1,"")))</f>
        <v/>
      </c>
      <c r="W18" s="15">
        <f>IF(OR(W16="",V16=""),"",IF(V16&lt;=0,"",IFERROR(W16/V16-1,"")))</f>
        <v/>
      </c>
      <c r="X18" s="15">
        <f>IF(OR(X16="",W16=""),"",IF(W16&lt;=0,"",IFERROR(X16/W16-1,"")))</f>
        <v/>
      </c>
      <c r="Y18" s="14">
        <f>IF(OR(Y16="",X16=""),"",IF(X16&lt;=0,"",IFERROR(Y16/X16-1,"")))</f>
        <v/>
      </c>
      <c r="Z18" s="15">
        <f>IF(OR(Z16="",Y16=""),"",IF(Y16&lt;=0,"",IFERROR(Z16/Y16-1,"")))</f>
        <v/>
      </c>
      <c r="AA18" s="15">
        <f>IF(OR(AA16="",Z16=""),"",IF(Z16&lt;=0,"",IFERROR(AA16/Z16-1,"")))</f>
        <v/>
      </c>
      <c r="AB18" s="15">
        <f>IF(OR(AB16="",AA16=""),"",IF(AA16&lt;=0,"",IFERROR(AB16/AA16-1,"")))</f>
        <v/>
      </c>
      <c r="AC18" s="15">
        <f>IF(OR(AC16="",AB16=""),"",IF(AB16&lt;=0,"",IFERROR(AC16/AB16-1,"")))</f>
        <v/>
      </c>
    </row>
    <row r="19">
      <c r="A19" s="23" t="inlineStr">
        <is>
          <t>판매관리비</t>
        </is>
      </c>
      <c r="B19" s="23" t="n"/>
      <c r="C19" s="24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4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4" t="n"/>
      <c r="Z19" s="23" t="n"/>
      <c r="AA19" s="23" t="n"/>
      <c r="AB19" s="23" t="n"/>
      <c r="AC19" s="23" t="n"/>
    </row>
    <row r="20">
      <c r="A20" s="18" t="inlineStr">
        <is>
          <t>전체 판관비</t>
        </is>
      </c>
      <c r="B20" s="10" t="n"/>
      <c r="C20" s="19" t="n">
        <v>787.422</v>
      </c>
      <c r="D20" s="20" t="n">
        <v>845.672</v>
      </c>
      <c r="E20" s="20" t="n">
        <v>862.037</v>
      </c>
      <c r="F20" s="20" t="n">
        <v>848.588</v>
      </c>
      <c r="G20" s="20" t="n">
        <v>852.228</v>
      </c>
      <c r="H20" s="20" t="n">
        <v>865.869</v>
      </c>
      <c r="I20" s="20" t="n">
        <v>909.65</v>
      </c>
      <c r="J20" s="20" t="n">
        <v>1082.95</v>
      </c>
      <c r="K20" s="20" t="n">
        <v>1782.99</v>
      </c>
      <c r="L20" s="20" t="n">
        <v>2693.962</v>
      </c>
      <c r="M20" s="20" t="n">
        <v>2557.185</v>
      </c>
      <c r="N20" s="20" t="n">
        <v>2441.764</v>
      </c>
      <c r="O20" s="19" t="n">
        <v>801.867</v>
      </c>
      <c r="P20" s="20" t="n">
        <v>787.505</v>
      </c>
      <c r="Q20" s="20" t="n">
        <v>778.9109999999999</v>
      </c>
      <c r="R20" s="20" t="n">
        <v>1973.405</v>
      </c>
      <c r="S20" s="20" t="n">
        <v>2163.521</v>
      </c>
      <c r="T20" s="20" t="n">
        <v>2339.083</v>
      </c>
      <c r="U20" s="20" t="n">
        <v>2694.721</v>
      </c>
      <c r="V20" s="20" t="n">
        <v>3109.101</v>
      </c>
      <c r="W20" s="20" t="n">
        <v>3428.722</v>
      </c>
      <c r="X20" s="20" t="n">
        <v>6469.552</v>
      </c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9" t="inlineStr">
        <is>
          <t>영업이익</t>
        </is>
      </c>
      <c r="B22" s="10" t="inlineStr">
        <is>
          <t>MW = 매출 × OPM</t>
        </is>
      </c>
      <c r="C22" s="11" t="n">
        <v>542.779</v>
      </c>
      <c r="D22" s="12" t="n">
        <v>440.822</v>
      </c>
      <c r="E22" s="12" t="n">
        <v>601.206</v>
      </c>
      <c r="F22" s="12" t="n">
        <v>617.372</v>
      </c>
      <c r="G22" s="12" t="n">
        <v>590.366</v>
      </c>
      <c r="H22" s="12" t="n">
        <v>460.33</v>
      </c>
      <c r="I22" s="12" t="n">
        <v>513.102</v>
      </c>
      <c r="J22" s="12" t="n">
        <v>903.343</v>
      </c>
      <c r="K22" s="12" t="n">
        <v>1421.708</v>
      </c>
      <c r="L22" s="12" t="n">
        <v>2316.428</v>
      </c>
      <c r="M22" s="12" t="n">
        <v>2663.303</v>
      </c>
      <c r="N22" s="12" t="n">
        <v>3885.074</v>
      </c>
      <c r="O22" s="11" t="n">
        <v>1560.426</v>
      </c>
      <c r="P22" s="12" t="n">
        <v>1638.968</v>
      </c>
      <c r="Q22" s="12" t="n">
        <v>1647.096</v>
      </c>
      <c r="R22" s="12" t="n">
        <v>1541.821</v>
      </c>
      <c r="S22" s="12" t="n">
        <v>1765.406</v>
      </c>
      <c r="T22" s="12" t="n">
        <v>2129.805</v>
      </c>
      <c r="U22" s="12" t="n">
        <v>1831.139</v>
      </c>
      <c r="V22" s="12" t="n">
        <v>2111.325</v>
      </c>
      <c r="W22" s="12" t="n">
        <v>2269.274</v>
      </c>
      <c r="X22" s="12" t="n">
        <v>5154.581</v>
      </c>
      <c r="Y22" s="11">
        <f>IF(OR(Y4="",Y23=""),"",IFERROR(Y4*Y23,""))</f>
        <v/>
      </c>
      <c r="Z22" s="12">
        <f>IF(OR(Z4="",Z23=""),"",IFERROR(Z4*Z23,""))</f>
        <v/>
      </c>
      <c r="AA22" s="12">
        <f>IF(OR(AA4="",AA23=""),"",IFERROR(AA4*AA23,""))</f>
        <v/>
      </c>
      <c r="AB22" s="12">
        <f>IF(OR(AB4="",AB23=""),"",IFERROR(AB4*AB23,""))</f>
        <v/>
      </c>
      <c r="AC22" s="12">
        <f>IF(OR(AC4="",AC23=""),"",IFERROR(AC4*AC23,""))</f>
        <v/>
      </c>
    </row>
    <row r="23">
      <c r="A23" s="13" t="inlineStr">
        <is>
          <t>OPM</t>
        </is>
      </c>
      <c r="B23" s="10" t="inlineStr">
        <is>
          <t>MW 입력</t>
        </is>
      </c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25" t="n"/>
      <c r="Z23" s="26" t="n"/>
      <c r="AA23" s="26" t="n"/>
      <c r="AB23" s="26" t="n"/>
      <c r="AC23" s="26" t="n"/>
    </row>
    <row r="24">
      <c r="A24" s="13" t="inlineStr">
        <is>
          <t>증가율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비용의 성격별 분류</t>
        </is>
      </c>
      <c r="B25" s="16" t="inlineStr">
        <is>
          <t>참고 데이터</t>
        </is>
      </c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9" t="inlineStr">
        <is>
          <t>총 판관비</t>
        </is>
      </c>
      <c r="B26" s="10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>
        <f>IF(O20="","",O20)</f>
        <v/>
      </c>
      <c r="P26" s="12">
        <f>IF(P20="","",P20)</f>
        <v/>
      </c>
      <c r="Q26" s="12">
        <f>IF(Q20="","",Q20)</f>
        <v/>
      </c>
      <c r="R26" s="12">
        <f>IF(R20="","",R20)</f>
        <v/>
      </c>
      <c r="S26" s="12">
        <f>IF(S20="","",S20)</f>
        <v/>
      </c>
      <c r="T26" s="12">
        <f>IF(T20="","",T20)</f>
        <v/>
      </c>
      <c r="U26" s="12">
        <f>IF(U20="","",U20)</f>
        <v/>
      </c>
      <c r="V26" s="12">
        <f>IF(V20="","",V20)</f>
        <v/>
      </c>
      <c r="W26" s="12">
        <f>IF(W20="","",W20)</f>
        <v/>
      </c>
      <c r="X26" s="12">
        <f>IF(X20="","",X20)</f>
        <v/>
      </c>
      <c r="Y26" s="11" t="n"/>
      <c r="Z26" s="12" t="n"/>
      <c r="AA26" s="12" t="n"/>
      <c r="AB26" s="12" t="n"/>
      <c r="AC26" s="12" t="n"/>
    </row>
    <row r="27">
      <c r="A27" s="18" t="inlineStr">
        <is>
          <t>급여</t>
        </is>
      </c>
      <c r="B27" s="10" t="inlineStr">
        <is>
          <t>고정비</t>
        </is>
      </c>
      <c r="C27" s="19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19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19" t="n"/>
      <c r="Z27" s="20" t="n"/>
      <c r="AA27" s="20" t="n"/>
      <c r="AB27" s="20" t="n"/>
      <c r="AC27" s="20" t="n"/>
    </row>
    <row r="28">
      <c r="A28" s="13" t="inlineStr">
        <is>
          <t>% of Sales</t>
        </is>
      </c>
      <c r="B28" s="10" t="n"/>
      <c r="C28" s="14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 t="n"/>
      <c r="Z28" s="15" t="n"/>
      <c r="AA28" s="15" t="n"/>
      <c r="AB28" s="15" t="n"/>
      <c r="AC28" s="15" t="n"/>
    </row>
    <row r="29">
      <c r="A29" s="18" t="inlineStr">
        <is>
          <t>감가상각비</t>
        </is>
      </c>
      <c r="B29" s="10" t="inlineStr">
        <is>
          <t>고정비</t>
        </is>
      </c>
      <c r="C29" s="19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19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19" t="n"/>
      <c r="Z29" s="20" t="n"/>
      <c r="AA29" s="20" t="n"/>
      <c r="AB29" s="20" t="n"/>
      <c r="AC29" s="20" t="n"/>
    </row>
    <row r="30">
      <c r="A30" s="13" t="inlineStr">
        <is>
          <t>% of Sales</t>
        </is>
      </c>
      <c r="B30" s="10" t="n"/>
      <c r="C30" s="14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4">
        <f>IF(OR(O29="",O4=""),"",IFERROR(O29/O4,""))</f>
        <v/>
      </c>
      <c r="P30" s="15">
        <f>IF(OR(P29="",P4=""),"",IFERROR(P29/P4,""))</f>
        <v/>
      </c>
      <c r="Q30" s="15">
        <f>IF(OR(Q29="",Q4=""),"",IFERROR(Q29/Q4,""))</f>
        <v/>
      </c>
      <c r="R30" s="15">
        <f>IF(OR(R29="",R4=""),"",IFERROR(R29/R4,""))</f>
        <v/>
      </c>
      <c r="S30" s="15">
        <f>IF(OR(S29="",S4=""),"",IFERROR(S29/S4,""))</f>
        <v/>
      </c>
      <c r="T30" s="15">
        <f>IF(OR(T29="",T4=""),"",IFERROR(T29/T4,""))</f>
        <v/>
      </c>
      <c r="U30" s="15">
        <f>IF(OR(U29="",U4=""),"",IFERROR(U29/U4,""))</f>
        <v/>
      </c>
      <c r="V30" s="15">
        <f>IF(OR(V29="",V4=""),"",IFERROR(V29/V4,""))</f>
        <v/>
      </c>
      <c r="W30" s="15">
        <f>IF(OR(W29="",W4=""),"",IFERROR(W29/W4,""))</f>
        <v/>
      </c>
      <c r="X30" s="15">
        <f>IF(OR(X29="",X4=""),"",IFERROR(X29/X4,""))</f>
        <v/>
      </c>
      <c r="Y30" s="14" t="n"/>
      <c r="Z30" s="15" t="n"/>
      <c r="AA30" s="15" t="n"/>
      <c r="AB30" s="15" t="n"/>
      <c r="AC30" s="15" t="n"/>
    </row>
    <row r="31">
      <c r="A31" s="18" t="inlineStr">
        <is>
          <t>지급수수료</t>
        </is>
      </c>
      <c r="B31" s="10" t="inlineStr">
        <is>
          <t>고정비</t>
        </is>
      </c>
      <c r="C31" s="19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19" t="n"/>
      <c r="Z31" s="20" t="n"/>
      <c r="AA31" s="20" t="n"/>
      <c r="AB31" s="20" t="n"/>
      <c r="AC31" s="20" t="n"/>
    </row>
    <row r="32">
      <c r="A32" s="13" t="inlineStr">
        <is>
          <t>% of Sales</t>
        </is>
      </c>
      <c r="B32" s="10" t="n"/>
      <c r="C32" s="14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 t="n"/>
      <c r="Z32" s="15" t="n"/>
      <c r="AA32" s="15" t="n"/>
      <c r="AB32" s="15" t="n"/>
      <c r="AC32" s="15" t="n"/>
    </row>
    <row r="33">
      <c r="A33" s="18" t="inlineStr">
        <is>
          <t>연구개발비</t>
        </is>
      </c>
      <c r="B33" s="10" t="inlineStr">
        <is>
          <t>변동비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기타비용</t>
        </is>
      </c>
      <c r="B35" s="10" t="inlineStr">
        <is>
          <t>변동비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>
        <f>IF(OR(O26="",O27="",O29="",O31="",O33=""),"",IFERROR(O26-O27-O29-O31-O33,""))</f>
        <v/>
      </c>
      <c r="P35" s="20">
        <f>IF(OR(P26="",P27="",P29="",P31="",P33=""),"",IFERROR(P26-P27-P29-P31-P33,""))</f>
        <v/>
      </c>
      <c r="Q35" s="20">
        <f>IF(OR(Q26="",Q27="",Q29="",Q31="",Q33=""),"",IFERROR(Q26-Q27-Q29-Q31-Q33,""))</f>
        <v/>
      </c>
      <c r="R35" s="20">
        <f>IF(OR(R26="",R27="",R29="",R31="",R33=""),"",IFERROR(R26-R27-R29-R31-R33,""))</f>
        <v/>
      </c>
      <c r="S35" s="20">
        <f>IF(OR(S26="",S27="",S29="",S31="",S33=""),"",IFERROR(S26-S27-S29-S31-S33,""))</f>
        <v/>
      </c>
      <c r="T35" s="20">
        <f>IF(OR(T26="",T27="",T29="",T31="",T33=""),"",IFERROR(T26-T27-T29-T31-T33,""))</f>
        <v/>
      </c>
      <c r="U35" s="20">
        <f>IF(OR(U26="",U27="",U29="",U31="",U33=""),"",IFERROR(U26-U27-U29-U31-U33,""))</f>
        <v/>
      </c>
      <c r="V35" s="20">
        <f>IF(OR(V26="",V27="",V29="",V31="",V33=""),"",IFERROR(V26-V27-V29-V31-V33,""))</f>
        <v/>
      </c>
      <c r="W35" s="20">
        <f>IF(OR(W26="",W27="",W29="",W31="",W33=""),"",IFERROR(W26-W27-W29-W31-W33,""))</f>
        <v/>
      </c>
      <c r="X35" s="20">
        <f>IF(OR(X26="",X27="",X29="",X31="",X33=""),"",IFERROR(X26-X27-X29-X31-X33,""))</f>
        <v/>
      </c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6" t="inlineStr">
        <is>
          <t>당기순이익 추정</t>
        </is>
      </c>
      <c r="B37" s="16" t="n"/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18" t="inlineStr">
        <is>
          <t>특별이익</t>
        </is>
      </c>
      <c r="B38" s="10" t="n"/>
      <c r="C38" s="19" t="n"/>
      <c r="D38" s="20" t="n"/>
      <c r="E38" s="20" t="n"/>
      <c r="F38" s="20" t="n"/>
      <c r="G38" s="20" t="n">
        <v>0</v>
      </c>
      <c r="H38" s="20" t="n">
        <v>0</v>
      </c>
      <c r="I38" s="20" t="n">
        <v>0</v>
      </c>
      <c r="J38" s="20" t="n">
        <v>12.845</v>
      </c>
      <c r="K38" s="20" t="n">
        <v>7.17</v>
      </c>
      <c r="L38" s="20" t="n">
        <v>0</v>
      </c>
      <c r="M38" s="20" t="n">
        <v>0.177</v>
      </c>
      <c r="N38" s="20" t="n">
        <v>98.259</v>
      </c>
      <c r="O38" s="19" t="n">
        <v>617.941</v>
      </c>
      <c r="P38" s="20" t="n">
        <v>0</v>
      </c>
      <c r="Q38" s="20" t="n">
        <v>1.494</v>
      </c>
      <c r="R38" s="20" t="n">
        <v>14.1</v>
      </c>
      <c r="S38" s="20" t="n">
        <v>0</v>
      </c>
      <c r="T38" s="20" t="n">
        <v>594.466</v>
      </c>
      <c r="U38" s="20" t="n">
        <v>8000</v>
      </c>
      <c r="V38" s="20" t="n">
        <v>0</v>
      </c>
      <c r="W38" s="20" t="n">
        <v>0</v>
      </c>
      <c r="X38" s="20" t="n">
        <v>20.015</v>
      </c>
      <c r="Y38" s="19">
        <f>IF(OR(Y4="",Y39=""),"",IFERROR(Y4*Y39,""))</f>
        <v/>
      </c>
      <c r="Z38" s="20">
        <f>IF(OR(Z4="",Z39=""),"",IFERROR(Z4*Z39,""))</f>
        <v/>
      </c>
      <c r="AA38" s="20">
        <f>IF(OR(AA4="",AA39=""),"",IFERROR(AA4*AA39,""))</f>
        <v/>
      </c>
      <c r="AB38" s="20">
        <f>IF(OR(AB4="",AB39=""),"",IFERROR(AB4*AB39,""))</f>
        <v/>
      </c>
      <c r="AC38" s="20">
        <f>IF(OR(AC4="",AC39=""),"",IFERROR(AC4*AC39,""))</f>
        <v/>
      </c>
    </row>
    <row r="39">
      <c r="A39" s="13" t="inlineStr">
        <is>
          <t>% of Sales</t>
        </is>
      </c>
      <c r="B39" s="10" t="inlineStr">
        <is>
          <t>MW = 최근 3년 평균</t>
        </is>
      </c>
      <c r="C39" s="14">
        <f>IF(OR(C38="",C4=""),"",IFERROR(C38/C4,""))</f>
        <v/>
      </c>
      <c r="D39" s="15">
        <f>IF(OR(D38="",D4=""),"",IFERROR(D38/D4,""))</f>
        <v/>
      </c>
      <c r="E39" s="15">
        <f>IF(OR(E38="",E4=""),"",IFERROR(E38/E4,""))</f>
        <v/>
      </c>
      <c r="F39" s="15">
        <f>IF(OR(F38="",F4=""),"",IFERROR(F38/F4,""))</f>
        <v/>
      </c>
      <c r="G39" s="15">
        <f>IF(OR(G38="",G4=""),"",IFERROR(G38/G4,""))</f>
        <v/>
      </c>
      <c r="H39" s="15">
        <f>IF(OR(H38="",H4=""),"",IFERROR(H38/H4,""))</f>
        <v/>
      </c>
      <c r="I39" s="15">
        <f>IF(OR(I38="",I4=""),"",IFERROR(I38/I4,""))</f>
        <v/>
      </c>
      <c r="J39" s="15">
        <f>IF(OR(J38="",J4=""),"",IFERROR(J38/J4,""))</f>
        <v/>
      </c>
      <c r="K39" s="15">
        <f>IF(OR(K38="",K4=""),"",IFERROR(K38/K4,""))</f>
        <v/>
      </c>
      <c r="L39" s="15">
        <f>IF(OR(L38="",L4=""),"",IFERROR(L38/L4,""))</f>
        <v/>
      </c>
      <c r="M39" s="15">
        <f>IF(OR(M38="",M4=""),"",IFERROR(M38/M4,""))</f>
        <v/>
      </c>
      <c r="N39" s="15">
        <f>IF(OR(N38="",N4=""),"",IFERROR(N38/N4,""))</f>
        <v/>
      </c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25">
        <f>IFERROR(AVERAGE(V39,W39,X39),"")</f>
        <v/>
      </c>
      <c r="Z39" s="26">
        <f>Y39</f>
        <v/>
      </c>
      <c r="AA39" s="26">
        <f>Z39</f>
        <v/>
      </c>
      <c r="AB39" s="26">
        <f>AA39</f>
        <v/>
      </c>
      <c r="AC39" s="26">
        <f>AB39</f>
        <v/>
      </c>
    </row>
    <row r="40">
      <c r="A40" s="18" t="inlineStr">
        <is>
          <t>특별손실</t>
        </is>
      </c>
      <c r="B40" s="10" t="n"/>
      <c r="C40" s="19" t="n">
        <v>0</v>
      </c>
      <c r="D40" s="20" t="n">
        <v>0</v>
      </c>
      <c r="E40" s="20" t="n"/>
      <c r="F40" s="20" t="n"/>
      <c r="G40" s="20" t="n">
        <v>0</v>
      </c>
      <c r="H40" s="20" t="n">
        <v>0</v>
      </c>
      <c r="I40" s="20" t="n">
        <v>0</v>
      </c>
      <c r="J40" s="20" t="n">
        <v>0</v>
      </c>
      <c r="K40" s="20" t="n">
        <v>0</v>
      </c>
      <c r="L40" s="20" t="n">
        <v>66.98399999999999</v>
      </c>
      <c r="M40" s="20" t="n">
        <v>0.591</v>
      </c>
      <c r="N40" s="20" t="n">
        <v>108.895</v>
      </c>
      <c r="O40" s="19" t="n">
        <v>470</v>
      </c>
      <c r="P40" s="20" t="n">
        <v>130.45</v>
      </c>
      <c r="Q40" s="20" t="n">
        <v>11.519</v>
      </c>
      <c r="R40" s="20" t="n">
        <v>0</v>
      </c>
      <c r="S40" s="20" t="n">
        <v>0</v>
      </c>
      <c r="T40" s="20" t="n">
        <v>520.11</v>
      </c>
      <c r="U40" s="20" t="n">
        <v>2339.352</v>
      </c>
      <c r="V40" s="20" t="n">
        <v>0</v>
      </c>
      <c r="W40" s="20" t="n">
        <v>0.522</v>
      </c>
      <c r="X40" s="20" t="n">
        <v>66.98399999999999</v>
      </c>
      <c r="Y40" s="19">
        <f>IF(OR(Y4="",Y41=""),"",IFERROR(Y4*Y41,""))</f>
        <v/>
      </c>
      <c r="Z40" s="20">
        <f>IF(OR(Z4="",Z41=""),"",IFERROR(Z4*Z41,""))</f>
        <v/>
      </c>
      <c r="AA40" s="20">
        <f>IF(OR(AA4="",AA41=""),"",IFERROR(AA4*AA41,""))</f>
        <v/>
      </c>
      <c r="AB40" s="20">
        <f>IF(OR(AB4="",AB41=""),"",IFERROR(AB4*AB41,""))</f>
        <v/>
      </c>
      <c r="AC40" s="20">
        <f>IF(OR(AC4="",AC41=""),"",IFERROR(AC4*AC41,""))</f>
        <v/>
      </c>
    </row>
    <row r="41">
      <c r="A41" s="13" t="inlineStr">
        <is>
          <t>% of Sales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>
        <f>IFERROR(AVERAGE(V41,W41,X41),"")</f>
        <v/>
      </c>
      <c r="Z41" s="26">
        <f>Y41</f>
        <v/>
      </c>
      <c r="AA41" s="26">
        <f>Z41</f>
        <v/>
      </c>
      <c r="AB41" s="26">
        <f>AA41</f>
        <v/>
      </c>
      <c r="AC41" s="26">
        <f>AB41</f>
        <v/>
      </c>
    </row>
    <row r="42">
      <c r="A42" s="18" t="inlineStr">
        <is>
          <t>영업외수익</t>
        </is>
      </c>
      <c r="B42" s="10" t="n"/>
      <c r="C42" s="19" t="n">
        <v>103.179</v>
      </c>
      <c r="D42" s="20" t="n">
        <v>62.914</v>
      </c>
      <c r="E42" s="20" t="n">
        <v>135.041</v>
      </c>
      <c r="F42" s="20" t="n">
        <v>73.883</v>
      </c>
      <c r="G42" s="20" t="n">
        <v>49.543</v>
      </c>
      <c r="H42" s="20" t="n">
        <v>39.421</v>
      </c>
      <c r="I42" s="20" t="n">
        <v>281.712</v>
      </c>
      <c r="J42" s="20" t="n">
        <v>62.178</v>
      </c>
      <c r="K42" s="20" t="n">
        <v>25.688</v>
      </c>
      <c r="L42" s="20" t="n">
        <v>74.682</v>
      </c>
      <c r="M42" s="20" t="n">
        <v>38.499</v>
      </c>
      <c r="N42" s="20" t="n">
        <v>74.578</v>
      </c>
      <c r="O42" s="19" t="n">
        <v>63.237</v>
      </c>
      <c r="P42" s="20" t="n">
        <v>123.19</v>
      </c>
      <c r="Q42" s="20" t="n">
        <v>135.122</v>
      </c>
      <c r="R42" s="20" t="n">
        <v>336.741</v>
      </c>
      <c r="S42" s="20" t="n">
        <v>409.706</v>
      </c>
      <c r="T42" s="20" t="n">
        <v>293.659</v>
      </c>
      <c r="U42" s="20" t="n">
        <v>647.285</v>
      </c>
      <c r="V42" s="20" t="n">
        <v>407.803</v>
      </c>
      <c r="W42" s="20" t="n">
        <v>297.888</v>
      </c>
      <c r="X42" s="20" t="n">
        <v>444.26</v>
      </c>
      <c r="Y42" s="19">
        <f>IF(OR(Y4="",Y43=""),"",IFERROR(Y4*Y43,""))</f>
        <v/>
      </c>
      <c r="Z42" s="20">
        <f>IF(OR(Z4="",Z43=""),"",IFERROR(Z4*Z43,""))</f>
        <v/>
      </c>
      <c r="AA42" s="20">
        <f>IF(OR(AA4="",AA43=""),"",IFERROR(AA4*AA43,""))</f>
        <v/>
      </c>
      <c r="AB42" s="20">
        <f>IF(OR(AB4="",AB43=""),"",IFERROR(AB4*AB43,""))</f>
        <v/>
      </c>
      <c r="AC42" s="20">
        <f>IF(OR(AC4="",AC43=""),"",IFERROR(AC4*AC43,""))</f>
        <v/>
      </c>
    </row>
    <row r="43">
      <c r="A43" s="13" t="inlineStr">
        <is>
          <t>% of Sales</t>
        </is>
      </c>
      <c r="B43" s="10" t="n"/>
      <c r="C43" s="14">
        <f>IF(OR(C42="",C4=""),"",IFERROR(C42/C4,""))</f>
        <v/>
      </c>
      <c r="D43" s="15">
        <f>IF(OR(D42="",D4=""),"",IFERROR(D42/D4,""))</f>
        <v/>
      </c>
      <c r="E43" s="15">
        <f>IF(OR(E42="",E4=""),"",IFERROR(E42/E4,""))</f>
        <v/>
      </c>
      <c r="F43" s="15">
        <f>IF(OR(F42="",F4=""),"",IFERROR(F42/F4,""))</f>
        <v/>
      </c>
      <c r="G43" s="15">
        <f>IF(OR(G42="",G4=""),"",IFERROR(G42/G4,""))</f>
        <v/>
      </c>
      <c r="H43" s="15">
        <f>IF(OR(H42="",H4=""),"",IFERROR(H42/H4,""))</f>
        <v/>
      </c>
      <c r="I43" s="15">
        <f>IF(OR(I42="",I4=""),"",IFERROR(I42/I4,""))</f>
        <v/>
      </c>
      <c r="J43" s="15">
        <f>IF(OR(J42="",J4=""),"",IFERROR(J42/J4,""))</f>
        <v/>
      </c>
      <c r="K43" s="15">
        <f>IF(OR(K42="",K4=""),"",IFERROR(K42/K4,""))</f>
        <v/>
      </c>
      <c r="L43" s="15">
        <f>IF(OR(L42="",L4=""),"",IFERROR(L42/L4,""))</f>
        <v/>
      </c>
      <c r="M43" s="15">
        <f>IF(OR(M42="",M4=""),"",IFERROR(M42/M4,""))</f>
        <v/>
      </c>
      <c r="N43" s="15">
        <f>IF(OR(N42="",N4=""),"",IFERROR(N42/N4,""))</f>
        <v/>
      </c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25">
        <f>IFERROR(AVERAGE(V43,W43,X43),"")</f>
        <v/>
      </c>
      <c r="Z43" s="26">
        <f>Y43</f>
        <v/>
      </c>
      <c r="AA43" s="26">
        <f>Z43</f>
        <v/>
      </c>
      <c r="AB43" s="26">
        <f>AA43</f>
        <v/>
      </c>
      <c r="AC43" s="26">
        <f>AB43</f>
        <v/>
      </c>
    </row>
    <row r="44">
      <c r="A44" s="18" t="inlineStr">
        <is>
          <t>영업외비용</t>
        </is>
      </c>
      <c r="B44" s="10" t="n"/>
      <c r="C44" s="19" t="n">
        <v>2.025</v>
      </c>
      <c r="D44" s="20" t="n">
        <v>0.9399999999999999</v>
      </c>
      <c r="E44" s="20" t="n">
        <v>0.68</v>
      </c>
      <c r="F44" s="20" t="n">
        <v>1.893</v>
      </c>
      <c r="G44" s="20" t="n">
        <v>0.361</v>
      </c>
      <c r="H44" s="20" t="n">
        <v>-1.266</v>
      </c>
      <c r="I44" s="20" t="n">
        <v>0.901</v>
      </c>
      <c r="J44" s="20" t="n">
        <v>1.64</v>
      </c>
      <c r="K44" s="20" t="n">
        <v>2.979</v>
      </c>
      <c r="L44" s="20" t="n">
        <v>3.503</v>
      </c>
      <c r="M44" s="20" t="n">
        <v>0.793</v>
      </c>
      <c r="N44" s="20" t="n">
        <v>3.823</v>
      </c>
      <c r="O44" s="19" t="n">
        <v>5.663</v>
      </c>
      <c r="P44" s="20" t="n">
        <v>4.414</v>
      </c>
      <c r="Q44" s="20" t="n">
        <v>4.981</v>
      </c>
      <c r="R44" s="20" t="n">
        <v>19.584</v>
      </c>
      <c r="S44" s="20" t="n">
        <v>19.414</v>
      </c>
      <c r="T44" s="20" t="n">
        <v>19.769</v>
      </c>
      <c r="U44" s="20" t="n">
        <v>19.481</v>
      </c>
      <c r="V44" s="20" t="n">
        <v>9.016999999999999</v>
      </c>
      <c r="W44" s="20" t="n">
        <v>1.668</v>
      </c>
      <c r="X44" s="20" t="n">
        <v>9.023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n"/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9" t="inlineStr">
        <is>
          <t>법인세비용차감전순이익(손실)</t>
        </is>
      </c>
      <c r="B46" s="10" t="n"/>
      <c r="C46" s="11" t="n">
        <v>643.932</v>
      </c>
      <c r="D46" s="12" t="n">
        <v>502.795</v>
      </c>
      <c r="E46" s="12" t="n">
        <v>735.566</v>
      </c>
      <c r="F46" s="12" t="n">
        <v>688.841</v>
      </c>
      <c r="G46" s="12" t="n">
        <v>639.548</v>
      </c>
      <c r="H46" s="12" t="n">
        <v>501.016</v>
      </c>
      <c r="I46" s="12" t="n">
        <v>793.912</v>
      </c>
      <c r="J46" s="12" t="n">
        <v>976.728</v>
      </c>
      <c r="K46" s="12" t="n">
        <v>1451.586</v>
      </c>
      <c r="L46" s="12" t="n">
        <v>2320.623</v>
      </c>
      <c r="M46" s="12" t="n">
        <v>2700.594</v>
      </c>
      <c r="N46" s="12" t="n">
        <v>3945.193</v>
      </c>
      <c r="O46" s="11" t="n">
        <v>1765.941</v>
      </c>
      <c r="P46" s="12" t="n">
        <v>1627.294</v>
      </c>
      <c r="Q46" s="12" t="n">
        <v>1767.211</v>
      </c>
      <c r="R46" s="12" t="n">
        <v>1873.077</v>
      </c>
      <c r="S46" s="12" t="n">
        <v>2155.698</v>
      </c>
      <c r="T46" s="12" t="n">
        <v>2478.052</v>
      </c>
      <c r="U46" s="12" t="n">
        <v>8119.59</v>
      </c>
      <c r="V46" s="12" t="n">
        <v>2510.11</v>
      </c>
      <c r="W46" s="12" t="n">
        <v>2564.971</v>
      </c>
      <c r="X46" s="12" t="n">
        <v>5542.849</v>
      </c>
      <c r="Y46" s="11">
        <f>IF(OR(Y22=""),"",IFERROR(Y22+N(Y38)-N(Y40)+N(Y42)-N(Y44),""))</f>
        <v/>
      </c>
      <c r="Z46" s="12">
        <f>IF(OR(Z22=""),"",IFERROR(Z22+N(Z38)-N(Z40)+N(Z42)-N(Z44),""))</f>
        <v/>
      </c>
      <c r="AA46" s="12">
        <f>IF(OR(AA22=""),"",IFERROR(AA22+N(AA38)-N(AA40)+N(AA42)-N(AA44),""))</f>
        <v/>
      </c>
      <c r="AB46" s="12">
        <f>IF(OR(AB22=""),"",IFERROR(AB22+N(AB38)-N(AB40)+N(AB42)-N(AB44),""))</f>
        <v/>
      </c>
      <c r="AC46" s="12">
        <f>IF(OR(AC22=""),"",IFERROR(AC22+N(AC38)-N(AC40)+N(AC42)-N(AC44),""))</f>
        <v/>
      </c>
    </row>
    <row r="47">
      <c r="A47" s="13" t="inlineStr">
        <is>
          <t>YoY</t>
        </is>
      </c>
      <c r="B47" s="10" t="n"/>
      <c r="C47" s="14" t="n"/>
      <c r="D47" s="15" t="n"/>
      <c r="E47" s="15" t="n"/>
      <c r="F47" s="15" t="n"/>
      <c r="G47" s="15">
        <f>IF(OR(G46="",C46=""),"",IF(C46&lt;=0,"",IFERROR(G46/C46-1,"")))</f>
        <v/>
      </c>
      <c r="H47" s="15">
        <f>IF(OR(H46="",D46=""),"",IF(D46&lt;=0,"",IFERROR(H46/D46-1,"")))</f>
        <v/>
      </c>
      <c r="I47" s="15">
        <f>IF(OR(I46="",E46=""),"",IF(E46&lt;=0,"",IFERROR(I46/E46-1,"")))</f>
        <v/>
      </c>
      <c r="J47" s="15">
        <f>IF(OR(J46="",F46=""),"",IF(F46&lt;=0,"",IFERROR(J46/F46-1,"")))</f>
        <v/>
      </c>
      <c r="K47" s="15">
        <f>IF(OR(K46="",G46=""),"",IF(G46&lt;=0,"",IFERROR(K46/G46-1,"")))</f>
        <v/>
      </c>
      <c r="L47" s="15">
        <f>IF(OR(L46="",H46=""),"",IF(H46&lt;=0,"",IFERROR(L46/H46-1,"")))</f>
        <v/>
      </c>
      <c r="M47" s="15">
        <f>IF(OR(M46="",I46=""),"",IF(I46&lt;=0,"",IFERROR(M46/I46-1,"")))</f>
        <v/>
      </c>
      <c r="N47" s="15">
        <f>IF(OR(N46="",J46=""),"",IF(J46&lt;=0,"",IFERROR(N46/J46-1,"")))</f>
        <v/>
      </c>
      <c r="O47" s="14" t="n"/>
      <c r="P47" s="15">
        <f>IF(OR(P46="",O46=""),"",IF(O46&lt;=0,"",IFERROR(P46/O46-1,"")))</f>
        <v/>
      </c>
      <c r="Q47" s="15">
        <f>IF(OR(Q46="",P46=""),"",IF(P46&lt;=0,"",IFERROR(Q46/P46-1,"")))</f>
        <v/>
      </c>
      <c r="R47" s="15">
        <f>IF(OR(R46="",Q46=""),"",IF(Q46&lt;=0,"",IFERROR(R46/Q46-1,"")))</f>
        <v/>
      </c>
      <c r="S47" s="15">
        <f>IF(OR(S46="",R46=""),"",IF(R46&lt;=0,"",IFERROR(S46/R46-1,"")))</f>
        <v/>
      </c>
      <c r="T47" s="15">
        <f>IF(OR(T46="",S46=""),"",IF(S46&lt;=0,"",IFERROR(T46/S46-1,"")))</f>
        <v/>
      </c>
      <c r="U47" s="15">
        <f>IF(OR(U46="",T46=""),"",IF(T46&lt;=0,"",IFERROR(U46/T46-1,"")))</f>
        <v/>
      </c>
      <c r="V47" s="15">
        <f>IF(OR(V46="",U46=""),"",IF(U46&lt;=0,"",IFERROR(V46/U46-1,"")))</f>
        <v/>
      </c>
      <c r="W47" s="15">
        <f>IF(OR(W46="",V46=""),"",IF(V46&lt;=0,"",IFERROR(W46/V46-1,"")))</f>
        <v/>
      </c>
      <c r="X47" s="15">
        <f>IF(OR(X46="",W46=""),"",IF(W46&lt;=0,"",IFERROR(X46/W46-1,"")))</f>
        <v/>
      </c>
      <c r="Y47" s="14">
        <f>IF(OR(Y46="",X46=""),"",IF(X46&lt;=0,"",IFERROR(Y46/X46-1,"")))</f>
        <v/>
      </c>
      <c r="Z47" s="15">
        <f>IF(OR(Z46="",Y46=""),"",IF(Y46&lt;=0,"",IFERROR(Z46/Y46-1,"")))</f>
        <v/>
      </c>
      <c r="AA47" s="15">
        <f>IF(OR(AA46="",Z46=""),"",IF(Z46&lt;=0,"",IFERROR(AA46/Z46-1,"")))</f>
        <v/>
      </c>
      <c r="AB47" s="15">
        <f>IF(OR(AB46="",AA46=""),"",IF(AA46&lt;=0,"",IFERROR(AB46/AA46-1,"")))</f>
        <v/>
      </c>
      <c r="AC47" s="15">
        <f>IF(OR(AC46="",AB46=""),"",IF(AB46&lt;=0,"",IFERROR(AC46/AB46-1,"")))</f>
        <v/>
      </c>
    </row>
    <row r="48">
      <c r="A48" s="18" t="inlineStr">
        <is>
          <t>법인세비용(수익)</t>
        </is>
      </c>
      <c r="B48" s="10" t="n"/>
      <c r="C48" s="19" t="n">
        <v>237.432</v>
      </c>
      <c r="D48" s="20" t="n">
        <v>169.044</v>
      </c>
      <c r="E48" s="20" t="n">
        <v>253.159</v>
      </c>
      <c r="F48" s="20" t="n">
        <v>258.551</v>
      </c>
      <c r="G48" s="20" t="n">
        <v>232.248</v>
      </c>
      <c r="H48" s="20" t="n">
        <v>150.688</v>
      </c>
      <c r="I48" s="20" t="n">
        <v>285.902</v>
      </c>
      <c r="J48" s="20" t="n">
        <v>355.921</v>
      </c>
      <c r="K48" s="20" t="n">
        <v>523.092</v>
      </c>
      <c r="L48" s="20" t="n">
        <v>703.423</v>
      </c>
      <c r="M48" s="20" t="n">
        <v>967.7670000000001</v>
      </c>
      <c r="N48" s="20" t="n">
        <v>1330.698</v>
      </c>
      <c r="O48" s="19" t="n">
        <v>740.307</v>
      </c>
      <c r="P48" s="20" t="n">
        <v>527.7859999999999</v>
      </c>
      <c r="Q48" s="20" t="n">
        <v>546.831</v>
      </c>
      <c r="R48" s="20" t="n">
        <v>609.02</v>
      </c>
      <c r="S48" s="20" t="n">
        <v>673.95</v>
      </c>
      <c r="T48" s="20" t="n">
        <v>762.535</v>
      </c>
      <c r="U48" s="20" t="n">
        <v>2552.811</v>
      </c>
      <c r="V48" s="20" t="n">
        <v>888.4589999999999</v>
      </c>
      <c r="W48" s="20" t="n">
        <v>894.646</v>
      </c>
      <c r="X48" s="20" t="n">
        <v>1868.338</v>
      </c>
      <c r="Y48" s="19">
        <f>IF(OR(Y46="",Y49=""),"",IFERROR(MAX(Y46,0)*Y49,""))</f>
        <v/>
      </c>
      <c r="Z48" s="20">
        <f>IF(OR(Z46="",Z49=""),"",IFERROR(MAX(Z46,0)*Z49,""))</f>
        <v/>
      </c>
      <c r="AA48" s="20">
        <f>IF(OR(AA46="",AA49=""),"",IFERROR(MAX(AA46,0)*AA49,""))</f>
        <v/>
      </c>
      <c r="AB48" s="20">
        <f>IF(OR(AB46="",AB49=""),"",IFERROR(MAX(AB46,0)*AB49,""))</f>
        <v/>
      </c>
      <c r="AC48" s="20">
        <f>IF(OR(AC46="",AC49=""),"",IFERROR(MAX(AC46,0)*AC49,""))</f>
        <v/>
      </c>
    </row>
    <row r="49">
      <c r="A49" s="13" t="inlineStr">
        <is>
          <t>법인세율</t>
        </is>
      </c>
      <c r="B49" s="10" t="inlineStr">
        <is>
          <t>MW 기본 30%</t>
        </is>
      </c>
      <c r="C49" s="14">
        <f>IF(OR(C48="",C46=""),"",IFERROR(C48/C46,""))</f>
        <v/>
      </c>
      <c r="D49" s="15">
        <f>IF(OR(D48="",D46=""),"",IFERROR(D48/D46,""))</f>
        <v/>
      </c>
      <c r="E49" s="15">
        <f>IF(OR(E48="",E46=""),"",IFERROR(E48/E46,""))</f>
        <v/>
      </c>
      <c r="F49" s="15">
        <f>IF(OR(F48="",F46=""),"",IFERROR(F48/F46,""))</f>
        <v/>
      </c>
      <c r="G49" s="15">
        <f>IF(OR(G48="",G46=""),"",IFERROR(G48/G46,""))</f>
        <v/>
      </c>
      <c r="H49" s="15">
        <f>IF(OR(H48="",H46=""),"",IFERROR(H48/H46,""))</f>
        <v/>
      </c>
      <c r="I49" s="15">
        <f>IF(OR(I48="",I46=""),"",IFERROR(I48/I46,""))</f>
        <v/>
      </c>
      <c r="J49" s="15">
        <f>IF(OR(J48="",J46=""),"",IFERROR(J48/J46,""))</f>
        <v/>
      </c>
      <c r="K49" s="15">
        <f>IF(OR(K48="",K46=""),"",IFERROR(K48/K46,""))</f>
        <v/>
      </c>
      <c r="L49" s="15">
        <f>IF(OR(L48="",L46=""),"",IFERROR(L48/L46,""))</f>
        <v/>
      </c>
      <c r="M49" s="15">
        <f>IF(OR(M48="",M46=""),"",IFERROR(M48/M46,""))</f>
        <v/>
      </c>
      <c r="N49" s="15">
        <f>IF(OR(N48="",N46=""),"",IFERROR(N48/N46,""))</f>
        <v/>
      </c>
      <c r="O49" s="14">
        <f>IF(OR(O48="",O46=""),"",IFERROR(O48/O46,""))</f>
        <v/>
      </c>
      <c r="P49" s="15">
        <f>IF(OR(P48="",P46=""),"",IFERROR(P48/P46,""))</f>
        <v/>
      </c>
      <c r="Q49" s="15">
        <f>IF(OR(Q48="",Q46=""),"",IFERROR(Q48/Q46,""))</f>
        <v/>
      </c>
      <c r="R49" s="15">
        <f>IF(OR(R48="",R46=""),"",IFERROR(R48/R46,""))</f>
        <v/>
      </c>
      <c r="S49" s="15">
        <f>IF(OR(S48="",S46=""),"",IFERROR(S48/S46,""))</f>
        <v/>
      </c>
      <c r="T49" s="15">
        <f>IF(OR(T48="",T46=""),"",IFERROR(T48/T46,""))</f>
        <v/>
      </c>
      <c r="U49" s="15">
        <f>IF(OR(U48="",U46=""),"",IFERROR(U48/U46,""))</f>
        <v/>
      </c>
      <c r="V49" s="15">
        <f>IF(OR(V48="",V46=""),"",IFERROR(V48/V46,""))</f>
        <v/>
      </c>
      <c r="W49" s="15">
        <f>IF(OR(W48="",W46=""),"",IFERROR(W48/W46,""))</f>
        <v/>
      </c>
      <c r="X49" s="15">
        <f>IF(OR(X48="",X46=""),"",IFERROR(X48/X46,""))</f>
        <v/>
      </c>
      <c r="Y49" s="25" t="n">
        <v>0.3</v>
      </c>
      <c r="Z49" s="26" t="n">
        <v>0.3</v>
      </c>
      <c r="AA49" s="26" t="n">
        <v>0.3</v>
      </c>
      <c r="AB49" s="26" t="n">
        <v>0.3</v>
      </c>
      <c r="AC49" s="26" t="n">
        <v>0.3</v>
      </c>
    </row>
    <row r="50">
      <c r="A50" s="9" t="inlineStr">
        <is>
          <t>당기순이익(손실)</t>
        </is>
      </c>
      <c r="B50" s="10" t="n"/>
      <c r="C50" s="11" t="n">
        <v>406.5</v>
      </c>
      <c r="D50" s="12" t="n">
        <v>333.751</v>
      </c>
      <c r="E50" s="12" t="n">
        <v>482.407</v>
      </c>
      <c r="F50" s="12" t="n">
        <v>430.289</v>
      </c>
      <c r="G50" s="12" t="n">
        <v>407.301</v>
      </c>
      <c r="H50" s="12" t="n">
        <v>350.328</v>
      </c>
      <c r="I50" s="12" t="n">
        <v>508.01</v>
      </c>
      <c r="J50" s="12" t="n">
        <v>620.806</v>
      </c>
      <c r="K50" s="12" t="n">
        <v>928.495</v>
      </c>
      <c r="L50" s="12" t="n">
        <v>1617.199</v>
      </c>
      <c r="M50" s="12" t="n">
        <v>1732.826</v>
      </c>
      <c r="N50" s="12" t="n">
        <v>2614.495</v>
      </c>
      <c r="O50" s="11" t="n">
        <v>1025.634</v>
      </c>
      <c r="P50" s="12" t="n">
        <v>1099.508</v>
      </c>
      <c r="Q50" s="12" t="n">
        <v>1220.379</v>
      </c>
      <c r="R50" s="12" t="n">
        <v>1264.056</v>
      </c>
      <c r="S50" s="12" t="n">
        <v>1481.747</v>
      </c>
      <c r="T50" s="12" t="n">
        <v>1715.516</v>
      </c>
      <c r="U50" s="12" t="n">
        <v>5566.778</v>
      </c>
      <c r="V50" s="12" t="n">
        <v>1621.651</v>
      </c>
      <c r="W50" s="12" t="n">
        <v>1670.325</v>
      </c>
      <c r="X50" s="12" t="n">
        <v>3674.51</v>
      </c>
      <c r="Y50" s="11">
        <f>IF(OR(Y46=""),"",IFERROR(Y46-Y48,""))</f>
        <v/>
      </c>
      <c r="Z50" s="12">
        <f>IF(OR(Z46=""),"",IFERROR(Z46-Z48,""))</f>
        <v/>
      </c>
      <c r="AA50" s="12">
        <f>IF(OR(AA46=""),"",IFERROR(AA46-AA48,""))</f>
        <v/>
      </c>
      <c r="AB50" s="12">
        <f>IF(OR(AB46=""),"",IFERROR(AB46-AB48,""))</f>
        <v/>
      </c>
      <c r="AC50" s="12">
        <f>IF(OR(AC46=""),"",IFERROR(AC46-AC48,""))</f>
        <v/>
      </c>
    </row>
    <row r="51">
      <c r="A51" s="13" t="inlineStr">
        <is>
          <t>YoY</t>
        </is>
      </c>
      <c r="B51" s="10" t="n"/>
      <c r="C51" s="14" t="n"/>
      <c r="D51" s="15" t="n"/>
      <c r="E51" s="15" t="n"/>
      <c r="F51" s="15" t="n"/>
      <c r="G51" s="15">
        <f>IF(OR(G50="",C50=""),"",IF(C50&lt;=0,"",IFERROR(G50/C50-1,"")))</f>
        <v/>
      </c>
      <c r="H51" s="15">
        <f>IF(OR(H50="",D50=""),"",IF(D50&lt;=0,"",IFERROR(H50/D50-1,"")))</f>
        <v/>
      </c>
      <c r="I51" s="15">
        <f>IF(OR(I50="",E50=""),"",IF(E50&lt;=0,"",IFERROR(I50/E50-1,"")))</f>
        <v/>
      </c>
      <c r="J51" s="15">
        <f>IF(OR(J50="",F50=""),"",IF(F50&lt;=0,"",IFERROR(J50/F50-1,"")))</f>
        <v/>
      </c>
      <c r="K51" s="15">
        <f>IF(OR(K50="",G50=""),"",IF(G50&lt;=0,"",IFERROR(K50/G50-1,"")))</f>
        <v/>
      </c>
      <c r="L51" s="15">
        <f>IF(OR(L50="",H50=""),"",IF(H50&lt;=0,"",IFERROR(L50/H50-1,"")))</f>
        <v/>
      </c>
      <c r="M51" s="15">
        <f>IF(OR(M50="",I50=""),"",IF(I50&lt;=0,"",IFERROR(M50/I50-1,"")))</f>
        <v/>
      </c>
      <c r="N51" s="15">
        <f>IF(OR(N50="",J50=""),"",IF(J50&lt;=0,"",IFERROR(N50/J50-1,"")))</f>
        <v/>
      </c>
      <c r="O51" s="14" t="n"/>
      <c r="P51" s="15">
        <f>IF(OR(P50="",O50=""),"",IF(O50&lt;=0,"",IFERROR(P50/O50-1,"")))</f>
        <v/>
      </c>
      <c r="Q51" s="15">
        <f>IF(OR(Q50="",P50=""),"",IF(P50&lt;=0,"",IFERROR(Q50/P50-1,"")))</f>
        <v/>
      </c>
      <c r="R51" s="15">
        <f>IF(OR(R50="",Q50=""),"",IF(Q50&lt;=0,"",IFERROR(R50/Q50-1,"")))</f>
        <v/>
      </c>
      <c r="S51" s="15">
        <f>IF(OR(S50="",R50=""),"",IF(R50&lt;=0,"",IFERROR(S50/R50-1,"")))</f>
        <v/>
      </c>
      <c r="T51" s="15">
        <f>IF(OR(T50="",S50=""),"",IF(S50&lt;=0,"",IFERROR(T50/S50-1,"")))</f>
        <v/>
      </c>
      <c r="U51" s="15">
        <f>IF(OR(U50="",T50=""),"",IF(T50&lt;=0,"",IFERROR(U50/T50-1,"")))</f>
        <v/>
      </c>
      <c r="V51" s="15">
        <f>IF(OR(V50="",U50=""),"",IF(U50&lt;=0,"",IFERROR(V50/U50-1,"")))</f>
        <v/>
      </c>
      <c r="W51" s="15">
        <f>IF(OR(W50="",V50=""),"",IF(V50&lt;=0,"",IFERROR(W50/V50-1,"")))</f>
        <v/>
      </c>
      <c r="X51" s="15">
        <f>IF(OR(X50="",W50=""),"",IF(W50&lt;=0,"",IFERROR(X50/W50-1,"")))</f>
        <v/>
      </c>
      <c r="Y51" s="14">
        <f>IF(OR(Y50="",X50=""),"",IF(X50&lt;=0,"",IFERROR(Y50/X50-1,"")))</f>
        <v/>
      </c>
      <c r="Z51" s="15">
        <f>IF(OR(Z50="",Y50=""),"",IF(Y50&lt;=0,"",IFERROR(Z50/Y50-1,"")))</f>
        <v/>
      </c>
      <c r="AA51" s="15">
        <f>IF(OR(AA50="",Z50=""),"",IF(Z50&lt;=0,"",IFERROR(AA50/Z50-1,"")))</f>
        <v/>
      </c>
      <c r="AB51" s="15">
        <f>IF(OR(AB50="",AA50=""),"",IF(AA50&lt;=0,"",IFERROR(AB50/AA50-1,"")))</f>
        <v/>
      </c>
      <c r="AC51" s="15">
        <f>IF(OR(AC50="",AB50=""),"",IF(AB50&lt;=0,"",IFERROR(AC50/AB50-1,"")))</f>
        <v/>
      </c>
    </row>
    <row r="52">
      <c r="A52" s="9" t="inlineStr">
        <is>
          <t>지배주주 순이익</t>
        </is>
      </c>
      <c r="B52" s="10" t="n"/>
      <c r="C52" s="11" t="n">
        <v>399.713</v>
      </c>
      <c r="D52" s="12" t="n">
        <v>330.884</v>
      </c>
      <c r="E52" s="12" t="n">
        <v>473.887</v>
      </c>
      <c r="F52" s="12" t="n">
        <v>426.713</v>
      </c>
      <c r="G52" s="12" t="n">
        <v>399.649</v>
      </c>
      <c r="H52" s="12" t="n">
        <v>346.686</v>
      </c>
      <c r="I52" s="12" t="n">
        <v>501.078</v>
      </c>
      <c r="J52" s="12" t="n">
        <v>551.907</v>
      </c>
      <c r="K52" s="12" t="n">
        <v>706.836</v>
      </c>
      <c r="L52" s="12" t="n">
        <v>1313.456</v>
      </c>
      <c r="M52" s="12" t="n">
        <v>1389.138</v>
      </c>
      <c r="N52" s="12" t="n">
        <v>2193.649</v>
      </c>
      <c r="O52" s="11" t="n">
        <v>1025.634</v>
      </c>
      <c r="P52" s="12" t="n">
        <v>1099.508</v>
      </c>
      <c r="Q52" s="12" t="n">
        <v>1220.379</v>
      </c>
      <c r="R52" s="12" t="n">
        <v>1230.632</v>
      </c>
      <c r="S52" s="12" t="n">
        <v>1318.528</v>
      </c>
      <c r="T52" s="12" t="n">
        <v>1454.134</v>
      </c>
      <c r="U52" s="12" t="n">
        <v>5443.02</v>
      </c>
      <c r="V52" s="12" t="n">
        <v>1589.278</v>
      </c>
      <c r="W52" s="12" t="n">
        <v>1646.935</v>
      </c>
      <c r="X52" s="12" t="n">
        <v>3073.277</v>
      </c>
      <c r="Y52" s="11">
        <f>IF(OR(Y50="",Y53=""),"",IFERROR(Y50*Y53,""))</f>
        <v/>
      </c>
      <c r="Z52" s="12">
        <f>IF(OR(Z50="",Z53=""),"",IFERROR(Z50*Z53,""))</f>
        <v/>
      </c>
      <c r="AA52" s="12">
        <f>IF(OR(AA50="",AA53=""),"",IFERROR(AA50*AA53,""))</f>
        <v/>
      </c>
      <c r="AB52" s="12">
        <f>IF(OR(AB50="",AB53=""),"",IFERROR(AB50*AB53,""))</f>
        <v/>
      </c>
      <c r="AC52" s="12">
        <f>IF(OR(AC50="",AC53=""),"",IFERROR(AC50*AC53,""))</f>
        <v/>
      </c>
    </row>
    <row r="53">
      <c r="A53" s="13" t="inlineStr">
        <is>
          <t>지배주주 순이익률</t>
        </is>
      </c>
      <c r="B53" s="10" t="inlineStr">
        <is>
          <t>MW 기본 100%</t>
        </is>
      </c>
      <c r="C53" s="14">
        <f>IF(OR(C52="",C50=""),"",IFERROR(C52/C50,""))</f>
        <v/>
      </c>
      <c r="D53" s="15">
        <f>IF(OR(D52="",D50=""),"",IFERROR(D52/D50,""))</f>
        <v/>
      </c>
      <c r="E53" s="15">
        <f>IF(OR(E52="",E50=""),"",IFERROR(E52/E50,""))</f>
        <v/>
      </c>
      <c r="F53" s="15">
        <f>IF(OR(F52="",F50=""),"",IFERROR(F52/F50,""))</f>
        <v/>
      </c>
      <c r="G53" s="15">
        <f>IF(OR(G52="",G50=""),"",IFERROR(G52/G50,""))</f>
        <v/>
      </c>
      <c r="H53" s="15">
        <f>IF(OR(H52="",H50=""),"",IFERROR(H52/H50,""))</f>
        <v/>
      </c>
      <c r="I53" s="15">
        <f>IF(OR(I52="",I50=""),"",IFERROR(I52/I50,""))</f>
        <v/>
      </c>
      <c r="J53" s="15">
        <f>IF(OR(J52="",J50=""),"",IFERROR(J52/J50,""))</f>
        <v/>
      </c>
      <c r="K53" s="15">
        <f>IF(OR(K52="",K50=""),"",IFERROR(K52/K50,""))</f>
        <v/>
      </c>
      <c r="L53" s="15">
        <f>IF(OR(L52="",L50=""),"",IFERROR(L52/L50,""))</f>
        <v/>
      </c>
      <c r="M53" s="15">
        <f>IF(OR(M52="",M50=""),"",IFERROR(M52/M50,""))</f>
        <v/>
      </c>
      <c r="N53" s="15">
        <f>IF(OR(N52="",N50=""),"",IFERROR(N52/N50,""))</f>
        <v/>
      </c>
      <c r="O53" s="14">
        <f>IF(OR(O52="",O50=""),"",IFERROR(O52/O50,""))</f>
        <v/>
      </c>
      <c r="P53" s="15">
        <f>IF(OR(P52="",P50=""),"",IFERROR(P52/P50,""))</f>
        <v/>
      </c>
      <c r="Q53" s="15">
        <f>IF(OR(Q52="",Q50=""),"",IFERROR(Q52/Q50,""))</f>
        <v/>
      </c>
      <c r="R53" s="15">
        <f>IF(OR(R52="",R50=""),"",IFERROR(R52/R50,""))</f>
        <v/>
      </c>
      <c r="S53" s="15">
        <f>IF(OR(S52="",S50=""),"",IFERROR(S52/S50,""))</f>
        <v/>
      </c>
      <c r="T53" s="15">
        <f>IF(OR(T52="",T50=""),"",IFERROR(T52/T50,""))</f>
        <v/>
      </c>
      <c r="U53" s="15">
        <f>IF(OR(U52="",U50=""),"",IFERROR(U52/U50,""))</f>
        <v/>
      </c>
      <c r="V53" s="15">
        <f>IF(OR(V52="",V50=""),"",IFERROR(V52/V50,""))</f>
        <v/>
      </c>
      <c r="W53" s="15">
        <f>IF(OR(W52="",W50=""),"",IFERROR(W52/W50,""))</f>
        <v/>
      </c>
      <c r="X53" s="15">
        <f>IF(OR(X52="",X50=""),"",IFERROR(X52/X50,""))</f>
        <v/>
      </c>
      <c r="Y53" s="25" t="n">
        <v>1</v>
      </c>
      <c r="Z53" s="26" t="n">
        <v>1</v>
      </c>
      <c r="AA53" s="26" t="n">
        <v>1</v>
      </c>
      <c r="AB53" s="26" t="n">
        <v>1</v>
      </c>
      <c r="AC53" s="26" t="n">
        <v>1</v>
      </c>
    </row>
    <row r="54">
      <c r="A54" s="13" t="inlineStr">
        <is>
          <t>지배주주 순이익 YoY</t>
        </is>
      </c>
      <c r="B54" s="10" t="n"/>
      <c r="C54" s="14" t="n"/>
      <c r="D54" s="15" t="n"/>
      <c r="E54" s="15" t="n"/>
      <c r="F54" s="15" t="n"/>
      <c r="G54" s="15">
        <f>IF(OR(G52="",C52=""),"",IF(C52&lt;=0,"",IFERROR(G52/C52-1,"")))</f>
        <v/>
      </c>
      <c r="H54" s="15">
        <f>IF(OR(H52="",D52=""),"",IF(D52&lt;=0,"",IFERROR(H52/D52-1,"")))</f>
        <v/>
      </c>
      <c r="I54" s="15">
        <f>IF(OR(I52="",E52=""),"",IF(E52&lt;=0,"",IFERROR(I52/E52-1,"")))</f>
        <v/>
      </c>
      <c r="J54" s="15">
        <f>IF(OR(J52="",F52=""),"",IF(F52&lt;=0,"",IFERROR(J52/F52-1,"")))</f>
        <v/>
      </c>
      <c r="K54" s="15">
        <f>IF(OR(K52="",G52=""),"",IF(G52&lt;=0,"",IFERROR(K52/G52-1,"")))</f>
        <v/>
      </c>
      <c r="L54" s="15">
        <f>IF(OR(L52="",H52=""),"",IF(H52&lt;=0,"",IFERROR(L52/H52-1,"")))</f>
        <v/>
      </c>
      <c r="M54" s="15">
        <f>IF(OR(M52="",I52=""),"",IF(I52&lt;=0,"",IFERROR(M52/I52-1,"")))</f>
        <v/>
      </c>
      <c r="N54" s="15">
        <f>IF(OR(N52="",J52=""),"",IF(J52&lt;=0,"",IFERROR(N52/J52-1,"")))</f>
        <v/>
      </c>
      <c r="O54" s="14" t="n"/>
      <c r="P54" s="15">
        <f>IF(OR(P52="",O52=""),"",IF(O52&lt;=0,"",IFERROR(P52/O52-1,"")))</f>
        <v/>
      </c>
      <c r="Q54" s="15">
        <f>IF(OR(Q52="",P52=""),"",IF(P52&lt;=0,"",IFERROR(Q52/P52-1,"")))</f>
        <v/>
      </c>
      <c r="R54" s="15">
        <f>IF(OR(R52="",Q52=""),"",IF(Q52&lt;=0,"",IFERROR(R52/Q52-1,"")))</f>
        <v/>
      </c>
      <c r="S54" s="15">
        <f>IF(OR(S52="",R52=""),"",IF(R52&lt;=0,"",IFERROR(S52/R52-1,"")))</f>
        <v/>
      </c>
      <c r="T54" s="15">
        <f>IF(OR(T52="",S52=""),"",IF(S52&lt;=0,"",IFERROR(T52/S52-1,"")))</f>
        <v/>
      </c>
      <c r="U54" s="15">
        <f>IF(OR(U52="",T52=""),"",IF(T52&lt;=0,"",IFERROR(U52/T52-1,"")))</f>
        <v/>
      </c>
      <c r="V54" s="15">
        <f>IF(OR(V52="",U52=""),"",IF(U52&lt;=0,"",IFERROR(V52/U52-1,"")))</f>
        <v/>
      </c>
      <c r="W54" s="15">
        <f>IF(OR(W52="",V52=""),"",IF(V52&lt;=0,"",IFERROR(W52/V52-1,"")))</f>
        <v/>
      </c>
      <c r="X54" s="15">
        <f>IF(OR(X52="",W52=""),"",IF(W52&lt;=0,"",IFERROR(X52/W52-1,"")))</f>
        <v/>
      </c>
      <c r="Y54" s="14">
        <f>IF(OR(Y52="",X52=""),"",IF(X52&lt;=0,"",IFERROR(Y52/X52-1,"")))</f>
        <v/>
      </c>
      <c r="Z54" s="15">
        <f>IF(OR(Z52="",Y52=""),"",IF(Y52&lt;=0,"",IFERROR(Z52/Y52-1,"")))</f>
        <v/>
      </c>
      <c r="AA54" s="15">
        <f>IF(OR(AA52="",Z52=""),"",IF(Z52&lt;=0,"",IFERROR(AA52/Z52-1,"")))</f>
        <v/>
      </c>
      <c r="AB54" s="15">
        <f>IF(OR(AB52="",AA52=""),"",IF(AA52&lt;=0,"",IFERROR(AB52/AA52-1,"")))</f>
        <v/>
      </c>
      <c r="AC54" s="15">
        <f>IF(OR(AC52="",AB52=""),"",IF(AB52&lt;=0,"",IFERROR(AC52/AB52-1,"")))</f>
        <v/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(2026.10.28)</t>
        </is>
      </c>
      <c r="B56" s="27" t="n">
        <v>617</v>
      </c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>
        <v>138285495</v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IF(O23="","",O23)</f>
        <v/>
      </c>
      <c r="P59" s="15">
        <f>IF(P23="","",P23)</f>
        <v/>
      </c>
      <c r="Q59" s="15">
        <f>IF(Q23="","",Q23)</f>
        <v/>
      </c>
      <c r="R59" s="15">
        <f>IF(R23="","",R23)</f>
        <v/>
      </c>
      <c r="S59" s="15">
        <f>IF(S23="","",S23)</f>
        <v/>
      </c>
      <c r="T59" s="15">
        <f>IF(T23="","",T23)</f>
        <v/>
      </c>
      <c r="U59" s="15">
        <f>IF(U23="","",U23)</f>
        <v/>
      </c>
      <c r="V59" s="15">
        <f>IF(V23="","",V23)</f>
        <v/>
      </c>
      <c r="W59" s="15">
        <f>IF(W23="","",W23)</f>
        <v/>
      </c>
      <c r="X59" s="15">
        <f>IF(X23="","",X23)</f>
        <v/>
      </c>
      <c r="Y59" s="14">
        <f>IF(Y23="","",Y23)</f>
        <v/>
      </c>
      <c r="Z59" s="15">
        <f>IF(Z23="","",Z23)</f>
        <v/>
      </c>
      <c r="AA59" s="15">
        <f>IF(AA23="","",AA23)</f>
        <v/>
      </c>
      <c r="AB59" s="15">
        <f>IF(AB23="","",AB23)</f>
        <v/>
      </c>
      <c r="AC59" s="15">
        <f>IF(AC23="","",AC23)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IF(OR(P52="",O52=""),"",IFERROR(P52/O52-1,""))</f>
        <v/>
      </c>
      <c r="Q60" s="15">
        <f>IF(OR(Q52="",P52=""),"",IFERROR(Q52/P52-1,""))</f>
        <v/>
      </c>
      <c r="R60" s="15">
        <f>IF(OR(R52="",Q52=""),"",IFERROR(R52/Q52-1,""))</f>
        <v/>
      </c>
      <c r="S60" s="15">
        <f>IF(OR(S52="",R52=""),"",IFERROR(S52/R52-1,""))</f>
        <v/>
      </c>
      <c r="T60" s="15">
        <f>IF(OR(T52="",S52=""),"",IFERROR(T52/S52-1,""))</f>
        <v/>
      </c>
      <c r="U60" s="15">
        <f>IF(OR(U52="",T52=""),"",IFERROR(U52/T52-1,""))</f>
        <v/>
      </c>
      <c r="V60" s="15">
        <f>IF(OR(V52="",U52=""),"",IFERROR(V52/U52-1,""))</f>
        <v/>
      </c>
      <c r="W60" s="15">
        <f>IF(OR(W52="",V52=""),"",IFERROR(W52/V52-1,""))</f>
        <v/>
      </c>
      <c r="X60" s="15">
        <f>IF(OR(X52="",W52=""),"",IFERROR(X52/W52-1,""))</f>
        <v/>
      </c>
      <c r="Y60" s="14">
        <f>IF(OR(Y52="",X52=""),"",IFERROR(Y52/X52-1,""))</f>
        <v/>
      </c>
      <c r="Z60" s="15">
        <f>IF(OR(Z52="",Y52=""),"",IFERROR(Z52/Y52-1,""))</f>
        <v/>
      </c>
      <c r="AA60" s="15">
        <f>IF(OR(AA52="",Z52=""),"",IFERROR(AA52/Z52-1,""))</f>
        <v/>
      </c>
      <c r="AB60" s="15">
        <f>IF(OR(AB52="",AA52=""),"",IFERROR(AB52/AA52-1,""))</f>
        <v/>
      </c>
      <c r="AC60" s="15">
        <f>IF(OR(AC52="",AB52=""),"",IFERROR(AC52/AB52-1,""))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IF(OR($B$58="",X52=""),"",IFERROR($B$58/X52,""))</f>
        <v/>
      </c>
      <c r="Y61" s="30">
        <f>IF(OR($B$58="",Y52=""),"",IFERROR($B$58/Y52,""))</f>
        <v/>
      </c>
      <c r="Z61" s="31">
        <f>IF(OR($B$58="",Z52=""),"",IFERROR($B$58/Z52,""))</f>
        <v/>
      </c>
      <c r="AA61" s="31">
        <f>IF(OR($B$58="",AA52=""),"",IFERROR($B$58/AA52,""))</f>
        <v/>
      </c>
      <c r="AB61" s="31">
        <f>IF(OR($B$58="",AB52=""),"",IFERROR($B$58/AB52,""))</f>
        <v/>
      </c>
      <c r="AC61" s="31">
        <f>IF(OR($B$58="",AC52=""),"",IFERROR($B$58/AC52,""))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IF(OR(O52="",$B$57=""),"",IFERROR(O52*1000000.0/$B$57,""))</f>
        <v/>
      </c>
      <c r="P63" s="29">
        <f>IF(OR(P52="",$B$57=""),"",IFERROR(P52*1000000.0/$B$57,""))</f>
        <v/>
      </c>
      <c r="Q63" s="29">
        <f>IF(OR(Q52="",$B$57=""),"",IFERROR(Q52*1000000.0/$B$57,""))</f>
        <v/>
      </c>
      <c r="R63" s="29">
        <f>IF(OR(R52="",$B$57=""),"",IFERROR(R52*1000000.0/$B$57,""))</f>
        <v/>
      </c>
      <c r="S63" s="29">
        <f>IF(OR(S52="",$B$57=""),"",IFERROR(S52*1000000.0/$B$57,""))</f>
        <v/>
      </c>
      <c r="T63" s="29">
        <f>IF(OR(T52="",$B$57=""),"",IFERROR(T52*1000000.0/$B$57,""))</f>
        <v/>
      </c>
      <c r="U63" s="29">
        <f>IF(OR(U52="",$B$57=""),"",IFERROR(U52*1000000.0/$B$57,""))</f>
        <v/>
      </c>
      <c r="V63" s="29">
        <f>IF(OR(V52="",$B$57=""),"",IFERROR(V52*1000000.0/$B$57,""))</f>
        <v/>
      </c>
      <c r="W63" s="29">
        <f>IF(OR(W52="",$B$57=""),"",IFERROR(W52*1000000.0/$B$57,""))</f>
        <v/>
      </c>
      <c r="X63" s="29">
        <f>IF(OR(X52="",$B$57=""),"",IFERROR(X52*1000000.0/$B$57,""))</f>
        <v/>
      </c>
      <c r="Y63" s="28">
        <f>IF(OR(Y52="",$B$57=""),"",IFERROR(Y52*1000000.0/$B$57,""))</f>
        <v/>
      </c>
      <c r="Z63" s="29">
        <f>IF(OR(Z52="",$B$57=""),"",IFERROR(Z52*1000000.0/$B$57,""))</f>
        <v/>
      </c>
      <c r="AA63" s="29">
        <f>IF(OR(AA52="",$B$57=""),"",IFERROR(AA52*1000000.0/$B$57,""))</f>
        <v/>
      </c>
      <c r="AB63" s="29">
        <f>IF(OR(AB52="",$B$57=""),"",IFERROR(AB52*1000000.0/$B$57,""))</f>
        <v/>
      </c>
      <c r="AC63" s="29">
        <f>IF(OR(AC52="",$B$57=""),"",IFERROR(AC52*1000000.0/$B$57,""))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IF(OR(Y52="",Y62=""),"",IFERROR(Y52*Y62,""))</f>
        <v/>
      </c>
      <c r="Z75" s="20">
        <f>IF(OR(Z52="",Z62=""),"",IFERROR(Z52*Z62,""))</f>
        <v/>
      </c>
      <c r="AA75" s="20">
        <f>IF(OR(AA52="",AA62=""),"",IFERROR(AA52*AA62,""))</f>
        <v/>
      </c>
      <c r="AB75" s="20">
        <f>IF(OR(AB52="",AB62=""),"",IFERROR(AB52*AB62,""))</f>
        <v/>
      </c>
      <c r="AC75" s="20">
        <f>IF(OR(AC52="",AC62=""),"",IFERROR(AC52*AC62,""))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 2026.10.28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2024.3Q</t>
        </is>
      </c>
      <c r="D86" s="5" t="inlineStr">
        <is>
          <t>2024.4Q</t>
        </is>
      </c>
      <c r="E86" s="5" t="inlineStr">
        <is>
          <t>2025.1Q</t>
        </is>
      </c>
      <c r="F86" s="5" t="inlineStr">
        <is>
          <t>2025.2Q</t>
        </is>
      </c>
      <c r="G86" s="5" t="inlineStr">
        <is>
          <t>2025.3Q</t>
        </is>
      </c>
      <c r="H86" s="5" t="inlineStr">
        <is>
          <t>2025.4Q</t>
        </is>
      </c>
      <c r="I86" s="5" t="inlineStr">
        <is>
          <t>2026.1Q</t>
        </is>
      </c>
      <c r="J86" s="5" t="inlineStr">
        <is>
          <t>2026.2Q</t>
        </is>
      </c>
      <c r="K86" s="5" t="inlineStr">
        <is>
          <t>2026.3Q</t>
        </is>
      </c>
      <c r="L86" s="5" t="inlineStr">
        <is>
          <t>2026.4Q</t>
        </is>
      </c>
      <c r="M86" s="5" t="inlineStr">
        <is>
          <t>2027.1Q</t>
        </is>
      </c>
      <c r="N86" s="5" t="inlineStr">
        <is>
          <t>2027.2Q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2586.882</v>
      </c>
      <c r="D87" s="12" t="n">
        <v>2561.588</v>
      </c>
      <c r="E87" s="12" t="n">
        <v>2843.521</v>
      </c>
      <c r="F87" s="12" t="n">
        <v>2895.06</v>
      </c>
      <c r="G87" s="12" t="n">
        <v>2913.672</v>
      </c>
      <c r="H87" s="12" t="n">
        <v>2916.737</v>
      </c>
      <c r="I87" s="12" t="n">
        <v>2844.585</v>
      </c>
      <c r="J87" s="12" t="n">
        <v>4429.028</v>
      </c>
      <c r="K87" s="12" t="n">
        <v>8551.204</v>
      </c>
      <c r="L87" s="12" t="n">
        <v>12034.829</v>
      </c>
      <c r="M87" s="12" t="n">
        <v>12823.074</v>
      </c>
      <c r="N87" s="12" t="n">
        <v>14177.742</v>
      </c>
      <c r="T87" s="12" t="n">
        <v>2129.55</v>
      </c>
      <c r="U87" s="12" t="n">
        <v>2220.425</v>
      </c>
      <c r="V87" s="12" t="n">
        <v>2561.588</v>
      </c>
      <c r="W87" s="12" t="n">
        <v>2916.737</v>
      </c>
      <c r="X87" s="12" t="n">
        <v>12034.829</v>
      </c>
    </row>
    <row r="88">
      <c r="A88" s="43" t="inlineStr">
        <is>
          <t>YoY</t>
        </is>
      </c>
      <c r="B88" s="3" t="inlineStr">
        <is>
          <t>전년 같은 분기·전년 대비</t>
        </is>
      </c>
      <c r="G88" s="15">
        <f>IF(OR(G87="",C87=""),"",IF(C87&lt;=0,"",IFERROR(G87/C87-1,"")))</f>
        <v/>
      </c>
      <c r="H88" s="15">
        <f>IF(OR(H87="",D87=""),"",IF(D87&lt;=0,"",IFERROR(H87/D87-1,"")))</f>
        <v/>
      </c>
      <c r="I88" s="15">
        <f>IF(OR(I87="",E87=""),"",IF(E87&lt;=0,"",IFERROR(I87/E87-1,"")))</f>
        <v/>
      </c>
      <c r="J88" s="15">
        <f>IF(OR(J87="",F87=""),"",IF(F87&lt;=0,"",IFERROR(J87/F87-1,"")))</f>
        <v/>
      </c>
      <c r="K88" s="15">
        <f>IF(OR(K87="",G87=""),"",IF(G87&lt;=0,"",IFERROR(K87/G87-1,"")))</f>
        <v/>
      </c>
      <c r="L88" s="15">
        <f>IF(OR(L87="",H87=""),"",IF(H87&lt;=0,"",IFERROR(L87/H87-1,"")))</f>
        <v/>
      </c>
      <c r="M88" s="15">
        <f>IF(OR(M87="",I87=""),"",IF(I87&lt;=0,"",IFERROR(M87/I87-1,"")))</f>
        <v/>
      </c>
      <c r="N88" s="15">
        <f>IF(OR(N87="",J87=""),"",IF(J87&lt;=0,"",IFERROR(N87/J87-1,"")))</f>
        <v/>
      </c>
      <c r="T88" s="15">
        <f>IF(OR(T87="",S87=""),"",IF(S87&lt;=0,"",IFERROR(T87/S87-1,"")))</f>
        <v/>
      </c>
      <c r="U88" s="15">
        <f>IF(OR(U87="",T87=""),"",IF(T87&lt;=0,"",IFERROR(U87/T87-1,"")))</f>
        <v/>
      </c>
      <c r="V88" s="15">
        <f>IF(OR(V87="",U87=""),"",IF(U87&lt;=0,"",IFERROR(V87/U87-1,"")))</f>
        <v/>
      </c>
      <c r="W88" s="15">
        <f>IF(OR(W87="",V87=""),"",IF(V87&lt;=0,"",IFERROR(W87/V87-1,"")))</f>
        <v/>
      </c>
      <c r="X88" s="15">
        <f>IF(OR(X87="",W87=""),"",IF(W87&lt;=0,"",IFERROR(X87/W87-1,"")))</f>
        <v/>
      </c>
    </row>
    <row r="89">
      <c r="A89" s="18" t="inlineStr">
        <is>
          <t>매출원가</t>
        </is>
      </c>
      <c r="C89" s="20" t="n">
        <v>1256.681</v>
      </c>
      <c r="D89" s="20" t="n">
        <v>1275.094</v>
      </c>
      <c r="E89" s="20" t="n">
        <v>1380.277</v>
      </c>
      <c r="F89" s="20" t="n">
        <v>1429.1</v>
      </c>
      <c r="G89" s="20" t="n">
        <v>1471.078</v>
      </c>
      <c r="H89" s="20" t="n">
        <v>1590.538</v>
      </c>
      <c r="I89" s="20" t="n">
        <v>1421.832</v>
      </c>
      <c r="J89" s="20" t="n">
        <v>2442.735</v>
      </c>
      <c r="K89" s="20" t="n">
        <v>5346.505</v>
      </c>
      <c r="L89" s="20" t="n">
        <v>7024.44</v>
      </c>
      <c r="M89" s="20" t="n">
        <v>7602.585</v>
      </c>
      <c r="N89" s="20" t="n">
        <v>7850.904</v>
      </c>
      <c r="T89" s="20" t="n">
        <v>904.155</v>
      </c>
      <c r="U89" s="20" t="n">
        <v>1166.928</v>
      </c>
      <c r="V89" s="20" t="n">
        <v>1275.094</v>
      </c>
      <c r="W89" s="20" t="n">
        <v>1590.538</v>
      </c>
      <c r="X89" s="20" t="n">
        <v>7024.44</v>
      </c>
    </row>
    <row r="90">
      <c r="A90" s="43" t="inlineStr">
        <is>
          <t>YoY</t>
        </is>
      </c>
      <c r="B90" s="3" t="inlineStr">
        <is>
          <t>전년 같은 분기·전년 대비</t>
        </is>
      </c>
      <c r="G90" s="15">
        <f>IF(OR(G89="",C89=""),"",IF(G89*C89&lt;=0,"",IFERROR(G89/C89-1,"")))</f>
        <v/>
      </c>
      <c r="H90" s="15">
        <f>IF(OR(H89="",D89=""),"",IF(H89*D89&lt;=0,"",IFERROR(H89/D89-1,"")))</f>
        <v/>
      </c>
      <c r="I90" s="15">
        <f>IF(OR(I89="",E89=""),"",IF(I89*E89&lt;=0,"",IFERROR(I89/E89-1,"")))</f>
        <v/>
      </c>
      <c r="J90" s="15">
        <f>IF(OR(J89="",F89=""),"",IF(J89*F89&lt;=0,"",IFERROR(J89/F89-1,"")))</f>
        <v/>
      </c>
      <c r="K90" s="15">
        <f>IF(OR(K89="",G89=""),"",IF(K89*G89&lt;=0,"",IFERROR(K89/G89-1,"")))</f>
        <v/>
      </c>
      <c r="L90" s="15">
        <f>IF(OR(L89="",H89=""),"",IF(L89*H89&lt;=0,"",IFERROR(L89/H89-1,"")))</f>
        <v/>
      </c>
      <c r="M90" s="15">
        <f>IF(OR(M89="",I89=""),"",IF(M89*I89&lt;=0,"",IFERROR(M89/I89-1,"")))</f>
        <v/>
      </c>
      <c r="N90" s="15">
        <f>IF(OR(N89="",J89=""),"",IF(N89*J89&lt;=0,"",IFERROR(N89/J89-1,"")))</f>
        <v/>
      </c>
      <c r="T90" s="15">
        <f>IF(OR(T89="",S89=""),"",IF(T89*S89&lt;=0,"",IFERROR(T89/S89-1,"")))</f>
        <v/>
      </c>
      <c r="U90" s="15">
        <f>IF(OR(U89="",T89=""),"",IF(U89*T89&lt;=0,"",IFERROR(U89/T89-1,"")))</f>
        <v/>
      </c>
      <c r="V90" s="15">
        <f>IF(OR(V89="",U89=""),"",IF(V89*U89&lt;=0,"",IFERROR(V89/U89-1,"")))</f>
        <v/>
      </c>
      <c r="W90" s="15">
        <f>IF(OR(W89="",V89=""),"",IF(W89*V89&lt;=0,"",IFERROR(W89/V89-1,"")))</f>
        <v/>
      </c>
      <c r="X90" s="15">
        <f>IF(OR(X89="",W89=""),"",IF(X89*W89&lt;=0,"",IFERROR(X89/W89-1,"")))</f>
        <v/>
      </c>
    </row>
    <row r="91">
      <c r="A91" s="9" t="inlineStr">
        <is>
          <t>매출총이익</t>
        </is>
      </c>
      <c r="C91" s="12" t="n">
        <v>1330.201</v>
      </c>
      <c r="D91" s="12" t="n">
        <v>1286.493</v>
      </c>
      <c r="E91" s="12" t="n">
        <v>1463.243</v>
      </c>
      <c r="F91" s="12" t="n">
        <v>1465.961</v>
      </c>
      <c r="G91" s="12" t="n">
        <v>1442.593</v>
      </c>
      <c r="H91" s="12" t="n">
        <v>1326.2</v>
      </c>
      <c r="I91" s="12" t="n">
        <v>1422.753</v>
      </c>
      <c r="J91" s="12" t="n">
        <v>1986.293</v>
      </c>
      <c r="K91" s="12" t="n">
        <v>3204.698</v>
      </c>
      <c r="L91" s="12" t="n">
        <v>5010.389</v>
      </c>
      <c r="M91" s="12" t="n">
        <v>5220.489</v>
      </c>
      <c r="N91" s="12" t="n">
        <v>6326.837</v>
      </c>
      <c r="T91" s="12" t="n">
        <v>1225.395</v>
      </c>
      <c r="U91" s="12" t="n">
        <v>1053.498</v>
      </c>
      <c r="V91" s="12" t="n">
        <v>1286.493</v>
      </c>
      <c r="W91" s="12" t="n">
        <v>1326.2</v>
      </c>
      <c r="X91" s="12" t="n">
        <v>5010.389</v>
      </c>
    </row>
    <row r="92">
      <c r="A92" s="43" t="inlineStr">
        <is>
          <t>YoY</t>
        </is>
      </c>
      <c r="B92" s="3" t="inlineStr">
        <is>
          <t>전년 같은 분기·전년 대비</t>
        </is>
      </c>
      <c r="G92" s="15">
        <f>IF(OR(G91="",C91=""),"",IF(C91&lt;=0,"",IFERROR(G91/C91-1,"")))</f>
        <v/>
      </c>
      <c r="H92" s="15">
        <f>IF(OR(H91="",D91=""),"",IF(D91&lt;=0,"",IFERROR(H91/D91-1,"")))</f>
        <v/>
      </c>
      <c r="I92" s="15">
        <f>IF(OR(I91="",E91=""),"",IF(E91&lt;=0,"",IFERROR(I91/E91-1,"")))</f>
        <v/>
      </c>
      <c r="J92" s="15">
        <f>IF(OR(J91="",F91=""),"",IF(F91&lt;=0,"",IFERROR(J91/F91-1,"")))</f>
        <v/>
      </c>
      <c r="K92" s="15">
        <f>IF(OR(K91="",G91=""),"",IF(G91&lt;=0,"",IFERROR(K91/G91-1,"")))</f>
        <v/>
      </c>
      <c r="L92" s="15">
        <f>IF(OR(L91="",H91=""),"",IF(H91&lt;=0,"",IFERROR(L91/H91-1,"")))</f>
        <v/>
      </c>
      <c r="M92" s="15">
        <f>IF(OR(M91="",I91=""),"",IF(I91&lt;=0,"",IFERROR(M91/I91-1,"")))</f>
        <v/>
      </c>
      <c r="N92" s="15">
        <f>IF(OR(N91="",J91=""),"",IF(J91&lt;=0,"",IFERROR(N91/J91-1,"")))</f>
        <v/>
      </c>
      <c r="T92" s="15">
        <f>IF(OR(T91="",S91=""),"",IF(S91&lt;=0,"",IFERROR(T91/S91-1,"")))</f>
        <v/>
      </c>
      <c r="U92" s="15">
        <f>IF(OR(U91="",T91=""),"",IF(T91&lt;=0,"",IFERROR(U91/T91-1,"")))</f>
        <v/>
      </c>
      <c r="V92" s="15">
        <f>IF(OR(V91="",U91=""),"",IF(U91&lt;=0,"",IFERROR(V91/U91-1,"")))</f>
        <v/>
      </c>
      <c r="W92" s="15">
        <f>IF(OR(W91="",V91=""),"",IF(V91&lt;=0,"",IFERROR(W91/V91-1,"")))</f>
        <v/>
      </c>
      <c r="X92" s="15">
        <f>IF(OR(X91="",W91=""),"",IF(W91&lt;=0,"",IFERROR(X91/W91-1,"")))</f>
        <v/>
      </c>
    </row>
    <row r="93">
      <c r="A93" s="18" t="inlineStr">
        <is>
          <t>판매비와 관리비</t>
        </is>
      </c>
      <c r="C93" s="20" t="n">
        <v>787.422</v>
      </c>
      <c r="D93" s="20" t="n">
        <v>845.672</v>
      </c>
      <c r="E93" s="20" t="n">
        <v>862.037</v>
      </c>
      <c r="F93" s="20" t="n">
        <v>848.588</v>
      </c>
      <c r="G93" s="20" t="n">
        <v>852.228</v>
      </c>
      <c r="H93" s="20" t="n">
        <v>865.869</v>
      </c>
      <c r="I93" s="20" t="n">
        <v>909.65</v>
      </c>
      <c r="J93" s="20" t="n">
        <v>1082.95</v>
      </c>
      <c r="K93" s="20" t="n">
        <v>1782.99</v>
      </c>
      <c r="L93" s="20" t="n">
        <v>2693.962</v>
      </c>
      <c r="M93" s="20" t="n">
        <v>2557.185</v>
      </c>
      <c r="N93" s="20" t="n">
        <v>2441.764</v>
      </c>
      <c r="T93" s="20" t="n">
        <v>609.26</v>
      </c>
      <c r="U93" s="20" t="n">
        <v>739.489</v>
      </c>
      <c r="V93" s="20" t="n">
        <v>845.672</v>
      </c>
      <c r="W93" s="20" t="n">
        <v>865.869</v>
      </c>
      <c r="X93" s="20" t="n">
        <v>2693.962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IF(OR(G93="",C93=""),"",IF(G93*C93&lt;=0,"",IFERROR(G93/C93-1,"")))</f>
        <v/>
      </c>
      <c r="H94" s="15">
        <f>IF(OR(H93="",D93=""),"",IF(H93*D93&lt;=0,"",IFERROR(H93/D93-1,"")))</f>
        <v/>
      </c>
      <c r="I94" s="15">
        <f>IF(OR(I93="",E93=""),"",IF(I93*E93&lt;=0,"",IFERROR(I93/E93-1,"")))</f>
        <v/>
      </c>
      <c r="J94" s="15">
        <f>IF(OR(J93="",F93=""),"",IF(J93*F93&lt;=0,"",IFERROR(J93/F93-1,"")))</f>
        <v/>
      </c>
      <c r="K94" s="15">
        <f>IF(OR(K93="",G93=""),"",IF(K93*G93&lt;=0,"",IFERROR(K93/G93-1,"")))</f>
        <v/>
      </c>
      <c r="L94" s="15">
        <f>IF(OR(L93="",H93=""),"",IF(L93*H93&lt;=0,"",IFERROR(L93/H93-1,"")))</f>
        <v/>
      </c>
      <c r="M94" s="15">
        <f>IF(OR(M93="",I93=""),"",IF(M93*I93&lt;=0,"",IFERROR(M93/I93-1,"")))</f>
        <v/>
      </c>
      <c r="N94" s="15">
        <f>IF(OR(N93="",J93=""),"",IF(N93*J93&lt;=0,"",IFERROR(N93/J93-1,"")))</f>
        <v/>
      </c>
      <c r="T94" s="15">
        <f>IF(OR(T93="",S93=""),"",IF(T93*S93&lt;=0,"",IFERROR(T93/S93-1,"")))</f>
        <v/>
      </c>
      <c r="U94" s="15">
        <f>IF(OR(U93="",T93=""),"",IF(U93*T93&lt;=0,"",IFERROR(U93/T93-1,"")))</f>
        <v/>
      </c>
      <c r="V94" s="15">
        <f>IF(OR(V93="",U93=""),"",IF(V93*U93&lt;=0,"",IFERROR(V93/U93-1,"")))</f>
        <v/>
      </c>
      <c r="W94" s="15">
        <f>IF(OR(W93="",V93=""),"",IF(W93*V93&lt;=0,"",IFERROR(W93/V93-1,"")))</f>
        <v/>
      </c>
      <c r="X94" s="15">
        <f>IF(OR(X93="",W93=""),"",IF(X93*W93&lt;=0,"",IFERROR(X93/W93-1,"")))</f>
        <v/>
      </c>
    </row>
    <row r="95">
      <c r="A95" s="9" t="inlineStr">
        <is>
          <t>영업이익</t>
        </is>
      </c>
      <c r="C95" s="12" t="n">
        <v>542.779</v>
      </c>
      <c r="D95" s="12" t="n">
        <v>440.822</v>
      </c>
      <c r="E95" s="12" t="n">
        <v>601.206</v>
      </c>
      <c r="F95" s="12" t="n">
        <v>617.372</v>
      </c>
      <c r="G95" s="12" t="n">
        <v>590.366</v>
      </c>
      <c r="H95" s="12" t="n">
        <v>460.33</v>
      </c>
      <c r="I95" s="12" t="n">
        <v>513.102</v>
      </c>
      <c r="J95" s="12" t="n">
        <v>903.343</v>
      </c>
      <c r="K95" s="12" t="n">
        <v>1421.708</v>
      </c>
      <c r="L95" s="12" t="n">
        <v>2316.428</v>
      </c>
      <c r="M95" s="12" t="n">
        <v>2663.303</v>
      </c>
      <c r="N95" s="12" t="n">
        <v>3885.074</v>
      </c>
      <c r="T95" s="12" t="n">
        <v>616.136</v>
      </c>
      <c r="U95" s="12" t="n">
        <v>314.01</v>
      </c>
      <c r="V95" s="12" t="n">
        <v>440.822</v>
      </c>
      <c r="W95" s="12" t="n">
        <v>460.33</v>
      </c>
      <c r="X95" s="12" t="n">
        <v>2316.428</v>
      </c>
    </row>
    <row r="96">
      <c r="A96" s="43" t="inlineStr">
        <is>
          <t>OPM</t>
        </is>
      </c>
      <c r="B96" s="3" t="inlineStr">
        <is>
          <t>영업이익 ÷ 매출</t>
        </is>
      </c>
      <c r="C96" s="15">
        <f>IF(OR(C95="",C87=""),"",IF(C87&lt;=0,"",IFERROR(C95/C87,"")))</f>
        <v/>
      </c>
      <c r="D96" s="15">
        <f>IF(OR(D95="",D87=""),"",IF(D87&lt;=0,"",IFERROR(D95/D87,"")))</f>
        <v/>
      </c>
      <c r="E96" s="15">
        <f>IF(OR(E95="",E87=""),"",IF(E87&lt;=0,"",IFERROR(E95/E87,"")))</f>
        <v/>
      </c>
      <c r="F96" s="15">
        <f>IF(OR(F95="",F87=""),"",IF(F87&lt;=0,"",IFERROR(F95/F87,"")))</f>
        <v/>
      </c>
      <c r="G96" s="15">
        <f>IF(OR(G95="",G87=""),"",IF(G87&lt;=0,"",IFERROR(G95/G87,"")))</f>
        <v/>
      </c>
      <c r="H96" s="15">
        <f>IF(OR(H95="",H87=""),"",IF(H87&lt;=0,"",IFERROR(H95/H87,"")))</f>
        <v/>
      </c>
      <c r="I96" s="15">
        <f>IF(OR(I95="",I87=""),"",IF(I87&lt;=0,"",IFERROR(I95/I87,"")))</f>
        <v/>
      </c>
      <c r="J96" s="15">
        <f>IF(OR(J95="",J87=""),"",IF(J87&lt;=0,"",IFERROR(J95/J87,"")))</f>
        <v/>
      </c>
      <c r="K96" s="15">
        <f>IF(OR(K95="",K87=""),"",IF(K87&lt;=0,"",IFERROR(K95/K87,"")))</f>
        <v/>
      </c>
      <c r="L96" s="15">
        <f>IF(OR(L95="",L87=""),"",IF(L87&lt;=0,"",IFERROR(L95/L87,"")))</f>
        <v/>
      </c>
      <c r="M96" s="15">
        <f>IF(OR(M95="",M87=""),"",IF(M87&lt;=0,"",IFERROR(M95/M87,"")))</f>
        <v/>
      </c>
      <c r="N96" s="15">
        <f>IF(OR(N95="",N87=""),"",IF(N87&lt;=0,"",IFERROR(N95/N87,"")))</f>
        <v/>
      </c>
      <c r="T96" s="15">
        <f>IF(OR(T95="",T87=""),"",IF(T87&lt;=0,"",IFERROR(T95/T87,"")))</f>
        <v/>
      </c>
      <c r="U96" s="15">
        <f>IF(OR(U95="",U87=""),"",IF(U87&lt;=0,"",IFERROR(U95/U87,"")))</f>
        <v/>
      </c>
      <c r="V96" s="15">
        <f>IF(OR(V95="",V87=""),"",IF(V87&lt;=0,"",IFERROR(V95/V87,"")))</f>
        <v/>
      </c>
      <c r="W96" s="15">
        <f>IF(OR(W95="",W87=""),"",IF(W87&lt;=0,"",IFERROR(W95/W87,"")))</f>
        <v/>
      </c>
      <c r="X96" s="15">
        <f>IF(OR(X95="",X87=""),"",IF(X87&lt;=0,"",IFERROR(X95/X87,"")))</f>
        <v/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IF(OR(G95="",C95=""),"",IF(C95&lt;=0,"",IFERROR(G95/C95-1,"")))</f>
        <v/>
      </c>
      <c r="H97" s="15">
        <f>IF(OR(H95="",D95=""),"",IF(D95&lt;=0,"",IFERROR(H95/D95-1,"")))</f>
        <v/>
      </c>
      <c r="I97" s="15">
        <f>IF(OR(I95="",E95=""),"",IF(E95&lt;=0,"",IFERROR(I95/E95-1,"")))</f>
        <v/>
      </c>
      <c r="J97" s="15">
        <f>IF(OR(J95="",F95=""),"",IF(F95&lt;=0,"",IFERROR(J95/F95-1,"")))</f>
        <v/>
      </c>
      <c r="K97" s="15">
        <f>IF(OR(K95="",G95=""),"",IF(G95&lt;=0,"",IFERROR(K95/G95-1,"")))</f>
        <v/>
      </c>
      <c r="L97" s="15">
        <f>IF(OR(L95="",H95=""),"",IF(H95&lt;=0,"",IFERROR(L95/H95-1,"")))</f>
        <v/>
      </c>
      <c r="M97" s="15">
        <f>IF(OR(M95="",I95=""),"",IF(I95&lt;=0,"",IFERROR(M95/I95-1,"")))</f>
        <v/>
      </c>
      <c r="N97" s="15">
        <f>IF(OR(N95="",J95=""),"",IF(J95&lt;=0,"",IFERROR(N95/J95-1,"")))</f>
        <v/>
      </c>
      <c r="T97" s="15">
        <f>IF(OR(T95="",S95=""),"",IF(S95&lt;=0,"",IFERROR(T95/S95-1,"")))</f>
        <v/>
      </c>
      <c r="U97" s="15">
        <f>IF(OR(U95="",T95=""),"",IF(T95&lt;=0,"",IFERROR(U95/T95-1,"")))</f>
        <v/>
      </c>
      <c r="V97" s="15">
        <f>IF(OR(V95="",U95=""),"",IF(U95&lt;=0,"",IFERROR(V95/U95-1,"")))</f>
        <v/>
      </c>
      <c r="W97" s="15">
        <f>IF(OR(W95="",V95=""),"",IF(V95&lt;=0,"",IFERROR(W95/V95-1,"")))</f>
        <v/>
      </c>
      <c r="X97" s="15">
        <f>IF(OR(X95="",W95=""),"",IF(W95&lt;=0,"",IFERROR(X95/W95-1,"")))</f>
        <v/>
      </c>
    </row>
    <row r="98">
      <c r="A98" s="18" t="inlineStr">
        <is>
          <t>이자수익</t>
        </is>
      </c>
      <c r="C98" s="20" t="n">
        <v>52.432</v>
      </c>
      <c r="D98" s="20" t="n">
        <v>17.459</v>
      </c>
      <c r="E98" s="20" t="n">
        <v>21.478</v>
      </c>
      <c r="F98" s="20" t="n">
        <v>47.984</v>
      </c>
      <c r="G98" s="20" t="n">
        <v>28.54</v>
      </c>
      <c r="H98" s="20" t="n">
        <v>23.134</v>
      </c>
      <c r="I98" s="20" t="n">
        <v>43.857</v>
      </c>
      <c r="J98" s="20" t="n">
        <v>30.956</v>
      </c>
      <c r="K98" s="20" t="n">
        <v>22.614</v>
      </c>
      <c r="L98" s="20" t="n">
        <v>37.912</v>
      </c>
      <c r="M98" s="20" t="n">
        <v>30.962</v>
      </c>
      <c r="N98" s="20" t="n">
        <v>53.912</v>
      </c>
      <c r="T98" s="20" t="n">
        <v>39.865</v>
      </c>
      <c r="U98" s="20" t="n">
        <v>27.514</v>
      </c>
      <c r="V98" s="20" t="n">
        <v>17.459</v>
      </c>
      <c r="W98" s="20" t="n">
        <v>23.134</v>
      </c>
      <c r="X98" s="20" t="n">
        <v>37.912</v>
      </c>
    </row>
    <row r="99">
      <c r="A99" s="18" t="inlineStr">
        <is>
          <t>배당금수익</t>
        </is>
      </c>
      <c r="C99" s="20" t="n">
        <v>50.17</v>
      </c>
      <c r="D99" s="20" t="n">
        <v>31.214</v>
      </c>
      <c r="E99" s="20" t="n">
        <v>63.018</v>
      </c>
      <c r="F99" s="20" t="n">
        <v>25</v>
      </c>
      <c r="G99" s="20" t="n">
        <v>20.17</v>
      </c>
      <c r="H99" s="20" t="n">
        <v>15</v>
      </c>
      <c r="I99" s="20" t="n">
        <v>23.516</v>
      </c>
      <c r="J99" s="20" t="n">
        <v>18.123</v>
      </c>
      <c r="K99" s="20" t="n">
        <v>0.19</v>
      </c>
      <c r="L99" s="20" t="n">
        <v>31.864</v>
      </c>
      <c r="M99" s="20" t="n">
        <v>1.907</v>
      </c>
      <c r="N99" s="20" t="n">
        <v>19.438</v>
      </c>
      <c r="T99" s="20" t="n">
        <v>2.784</v>
      </c>
      <c r="U99" s="20" t="n">
        <v>299.698</v>
      </c>
      <c r="V99" s="20" t="n">
        <v>31.214</v>
      </c>
      <c r="W99" s="20" t="n">
        <v>15</v>
      </c>
      <c r="X99" s="20" t="n">
        <v>31.864</v>
      </c>
    </row>
    <row r="100">
      <c r="A100" s="18" t="inlineStr">
        <is>
          <t>외환차익</t>
        </is>
      </c>
      <c r="I100" s="20" t="n">
        <v>0</v>
      </c>
      <c r="M100" s="20" t="n">
        <v>1.238</v>
      </c>
    </row>
    <row r="101">
      <c r="A101" s="18" t="inlineStr">
        <is>
          <t>투자유가증권 매각이익</t>
        </is>
      </c>
      <c r="C101" s="20" t="n">
        <v>0</v>
      </c>
      <c r="D101" s="20" t="n">
        <v>0</v>
      </c>
      <c r="E101" s="20" t="n">
        <v>49.1</v>
      </c>
      <c r="F101" s="20" t="n">
        <v>0</v>
      </c>
      <c r="G101" s="20" t="n">
        <v>0</v>
      </c>
      <c r="H101" s="20" t="n">
        <v>0</v>
      </c>
      <c r="I101" s="20" t="n">
        <v>0</v>
      </c>
      <c r="J101" s="20" t="n">
        <v>0.124</v>
      </c>
      <c r="K101" s="20" t="n">
        <v>0</v>
      </c>
      <c r="L101" s="20" t="n">
        <v>0.232</v>
      </c>
      <c r="T101" s="20" t="n">
        <v>0</v>
      </c>
      <c r="U101" s="20" t="n">
        <v>0</v>
      </c>
      <c r="V101" s="20" t="n">
        <v>0</v>
      </c>
      <c r="W101" s="20" t="n">
        <v>0</v>
      </c>
      <c r="X101" s="20" t="n">
        <v>0.232</v>
      </c>
    </row>
    <row r="102">
      <c r="A102" s="18" t="inlineStr">
        <is>
          <t>암호자산 매각이익</t>
        </is>
      </c>
      <c r="E102" s="20" t="n">
        <v>0</v>
      </c>
      <c r="F102" s="20" t="n">
        <v>0</v>
      </c>
      <c r="G102" s="20" t="n">
        <v>0</v>
      </c>
      <c r="H102" s="20" t="n">
        <v>0</v>
      </c>
      <c r="I102" s="20" t="n">
        <v>213.501</v>
      </c>
      <c r="J102" s="20" t="n">
        <v>12</v>
      </c>
      <c r="K102" s="20" t="n">
        <v>0</v>
      </c>
      <c r="L102" s="20" t="n">
        <v>0</v>
      </c>
      <c r="M102" s="20" t="n">
        <v>0</v>
      </c>
      <c r="N102" s="20" t="n">
        <v>0</v>
      </c>
      <c r="W102" s="20" t="n">
        <v>0</v>
      </c>
      <c r="X102" s="20" t="n">
        <v>0</v>
      </c>
    </row>
    <row r="103">
      <c r="A103" s="18" t="inlineStr">
        <is>
          <t>기타</t>
        </is>
      </c>
      <c r="C103" s="20" t="n">
        <v>0.577</v>
      </c>
      <c r="D103" s="20" t="n">
        <v>14.24</v>
      </c>
      <c r="E103" s="20" t="n">
        <v>1.445</v>
      </c>
      <c r="F103" s="20" t="n">
        <v>0.898</v>
      </c>
      <c r="G103" s="20" t="n">
        <v>0.833</v>
      </c>
      <c r="H103" s="20" t="n">
        <v>1.286</v>
      </c>
      <c r="I103" s="20" t="n">
        <v>0.837</v>
      </c>
      <c r="J103" s="20" t="n">
        <v>0.975</v>
      </c>
      <c r="K103" s="20" t="n">
        <v>2.883</v>
      </c>
      <c r="L103" s="20" t="n">
        <v>4.674</v>
      </c>
      <c r="M103" s="20" t="n">
        <v>4.39</v>
      </c>
      <c r="N103" s="20" t="n">
        <v>2.467</v>
      </c>
      <c r="T103" s="20" t="n">
        <v>-0.161</v>
      </c>
      <c r="U103" s="20" t="n">
        <v>18.966</v>
      </c>
      <c r="V103" s="20" t="n">
        <v>14.24</v>
      </c>
      <c r="W103" s="20" t="n">
        <v>1.286</v>
      </c>
      <c r="X103" s="20" t="n">
        <v>4.674</v>
      </c>
    </row>
    <row r="104">
      <c r="A104" s="18" t="inlineStr">
        <is>
          <t>영업외수익 합계</t>
        </is>
      </c>
      <c r="C104" s="20" t="n">
        <v>103.179</v>
      </c>
      <c r="D104" s="20" t="n">
        <v>62.914</v>
      </c>
      <c r="E104" s="20" t="n">
        <v>135.041</v>
      </c>
      <c r="F104" s="20" t="n">
        <v>73.883</v>
      </c>
      <c r="G104" s="20" t="n">
        <v>49.543</v>
      </c>
      <c r="H104" s="20" t="n">
        <v>39.421</v>
      </c>
      <c r="I104" s="20" t="n">
        <v>281.712</v>
      </c>
      <c r="J104" s="20" t="n">
        <v>62.178</v>
      </c>
      <c r="K104" s="20" t="n">
        <v>25.688</v>
      </c>
      <c r="L104" s="20" t="n">
        <v>74.682</v>
      </c>
      <c r="M104" s="20" t="n">
        <v>38.499</v>
      </c>
      <c r="N104" s="20" t="n">
        <v>74.578</v>
      </c>
      <c r="T104" s="20" t="n">
        <v>42.49</v>
      </c>
      <c r="U104" s="20" t="n">
        <v>346.177</v>
      </c>
      <c r="V104" s="20" t="n">
        <v>62.914</v>
      </c>
      <c r="W104" s="20" t="n">
        <v>39.421</v>
      </c>
      <c r="X104" s="20" t="n">
        <v>74.682</v>
      </c>
    </row>
    <row r="105">
      <c r="A105" s="43" t="inlineStr">
        <is>
          <t>YoY</t>
        </is>
      </c>
      <c r="B105" s="3" t="inlineStr">
        <is>
          <t>전년 같은 분기·전년 대비</t>
        </is>
      </c>
      <c r="G105" s="15">
        <f>IF(OR(G104="",C104=""),"",IF(G104*C104&lt;=0,"",IFERROR(G104/C104-1,"")))</f>
        <v/>
      </c>
      <c r="H105" s="15">
        <f>IF(OR(H104="",D104=""),"",IF(H104*D104&lt;=0,"",IFERROR(H104/D104-1,"")))</f>
        <v/>
      </c>
      <c r="I105" s="15">
        <f>IF(OR(I104="",E104=""),"",IF(I104*E104&lt;=0,"",IFERROR(I104/E104-1,"")))</f>
        <v/>
      </c>
      <c r="J105" s="15">
        <f>IF(OR(J104="",F104=""),"",IF(J104*F104&lt;=0,"",IFERROR(J104/F104-1,"")))</f>
        <v/>
      </c>
      <c r="K105" s="15">
        <f>IF(OR(K104="",G104=""),"",IF(K104*G104&lt;=0,"",IFERROR(K104/G104-1,"")))</f>
        <v/>
      </c>
      <c r="L105" s="15">
        <f>IF(OR(L104="",H104=""),"",IF(L104*H104&lt;=0,"",IFERROR(L104/H104-1,"")))</f>
        <v/>
      </c>
      <c r="M105" s="15">
        <f>IF(OR(M104="",I104=""),"",IF(M104*I104&lt;=0,"",IFERROR(M104/I104-1,"")))</f>
        <v/>
      </c>
      <c r="N105" s="15">
        <f>IF(OR(N104="",J104=""),"",IF(N104*J104&lt;=0,"",IFERROR(N104/J104-1,"")))</f>
        <v/>
      </c>
      <c r="T105" s="15">
        <f>IF(OR(T104="",S104=""),"",IF(T104*S104&lt;=0,"",IFERROR(T104/S104-1,"")))</f>
        <v/>
      </c>
      <c r="U105" s="15">
        <f>IF(OR(U104="",T104=""),"",IF(U104*T104&lt;=0,"",IFERROR(U104/T104-1,"")))</f>
        <v/>
      </c>
      <c r="V105" s="15">
        <f>IF(OR(V104="",U104=""),"",IF(V104*U104&lt;=0,"",IFERROR(V104/U104-1,"")))</f>
        <v/>
      </c>
      <c r="W105" s="15">
        <f>IF(OR(W104="",V104=""),"",IF(W104*V104&lt;=0,"",IFERROR(W104/V104-1,"")))</f>
        <v/>
      </c>
      <c r="X105" s="15">
        <f>IF(OR(X104="",W104=""),"",IF(X104*W104&lt;=0,"",IFERROR(X104/W104-1,"")))</f>
        <v/>
      </c>
    </row>
    <row r="106">
      <c r="A106" s="18" t="inlineStr">
        <is>
          <t>외환차손</t>
        </is>
      </c>
      <c r="C106" s="20" t="n">
        <v>0.101</v>
      </c>
      <c r="D106" s="20" t="n">
        <v>0.492</v>
      </c>
      <c r="E106" s="20" t="n">
        <v>0.239</v>
      </c>
      <c r="F106" s="20" t="n">
        <v>1.452</v>
      </c>
      <c r="G106" s="20" t="n">
        <v>-0.364</v>
      </c>
      <c r="H106" s="20" t="n">
        <v>-1.327</v>
      </c>
      <c r="I106" s="20" t="n">
        <v>0.839</v>
      </c>
      <c r="J106" s="20" t="n">
        <v>-0.338</v>
      </c>
      <c r="K106" s="20" t="n">
        <v>2.463</v>
      </c>
      <c r="L106" s="20" t="n">
        <v>-2.424</v>
      </c>
      <c r="M106" s="20" t="n">
        <v>0</v>
      </c>
      <c r="N106" s="20" t="n">
        <v>2.686</v>
      </c>
      <c r="T106" s="20" t="n">
        <v>0.136</v>
      </c>
      <c r="U106" s="20" t="n">
        <v>-0.146</v>
      </c>
      <c r="V106" s="20" t="n">
        <v>0.492</v>
      </c>
      <c r="W106" s="20" t="n">
        <v>-1.327</v>
      </c>
      <c r="X106" s="20" t="n">
        <v>-2.424</v>
      </c>
    </row>
    <row r="107">
      <c r="A107" s="18" t="inlineStr">
        <is>
          <t>주식교부비 상각</t>
        </is>
      </c>
      <c r="C107" s="20" t="n">
        <v>1.925</v>
      </c>
      <c r="E107" s="20" t="n">
        <v>0.441</v>
      </c>
      <c r="F107" s="20" t="n">
        <v>0.441</v>
      </c>
      <c r="G107" s="20" t="n">
        <v>0.441</v>
      </c>
      <c r="H107" s="20" t="n">
        <v>0.061</v>
      </c>
      <c r="I107" s="20" t="n">
        <v>0.061</v>
      </c>
      <c r="J107" s="20" t="n">
        <v>0.143</v>
      </c>
      <c r="K107" s="20" t="n">
        <v>0.423</v>
      </c>
      <c r="L107" s="20" t="n">
        <v>0.735</v>
      </c>
      <c r="M107" s="20" t="n">
        <v>0.653</v>
      </c>
      <c r="N107" s="20" t="n">
        <v>0.653</v>
      </c>
      <c r="W107" s="20" t="n">
        <v>0.061</v>
      </c>
      <c r="X107" s="20" t="n">
        <v>0.735</v>
      </c>
    </row>
    <row r="108">
      <c r="A108" s="18" t="inlineStr">
        <is>
          <t>기타</t>
        </is>
      </c>
      <c r="C108" s="20" t="n">
        <v>0.001</v>
      </c>
      <c r="D108" s="20" t="n">
        <v>0.006</v>
      </c>
      <c r="E108" s="20" t="n">
        <v>0</v>
      </c>
      <c r="F108" s="20" t="n">
        <v>0</v>
      </c>
      <c r="G108" s="20" t="n">
        <v>0.283</v>
      </c>
      <c r="H108" s="20" t="n">
        <v>0</v>
      </c>
      <c r="I108" s="20" t="n">
        <v>0</v>
      </c>
      <c r="J108" s="20" t="n">
        <v>1.834</v>
      </c>
      <c r="K108" s="20" t="n">
        <v>0.093</v>
      </c>
      <c r="L108" s="20" t="n">
        <v>5.193</v>
      </c>
      <c r="M108" s="20" t="n">
        <v>0.14</v>
      </c>
      <c r="N108" s="20" t="n">
        <v>0.483</v>
      </c>
      <c r="T108" s="20" t="n">
        <v>1.527</v>
      </c>
      <c r="U108" s="20" t="n">
        <v>-1.343</v>
      </c>
      <c r="V108" s="20" t="n">
        <v>0.006</v>
      </c>
      <c r="W108" s="20" t="n">
        <v>0</v>
      </c>
      <c r="X108" s="20" t="n">
        <v>5.193</v>
      </c>
    </row>
    <row r="109">
      <c r="A109" s="18" t="inlineStr">
        <is>
          <t>영업외비용 합계</t>
        </is>
      </c>
      <c r="C109" s="20" t="n">
        <v>2.025</v>
      </c>
      <c r="D109" s="20" t="n">
        <v>0.9399999999999999</v>
      </c>
      <c r="E109" s="20" t="n">
        <v>0.68</v>
      </c>
      <c r="F109" s="20" t="n">
        <v>1.893</v>
      </c>
      <c r="G109" s="20" t="n">
        <v>0.361</v>
      </c>
      <c r="H109" s="20" t="n">
        <v>-1.266</v>
      </c>
      <c r="I109" s="20" t="n">
        <v>0.901</v>
      </c>
      <c r="J109" s="20" t="n">
        <v>1.64</v>
      </c>
      <c r="K109" s="20" t="n">
        <v>2.979</v>
      </c>
      <c r="L109" s="20" t="n">
        <v>3.503</v>
      </c>
      <c r="M109" s="20" t="n">
        <v>0.793</v>
      </c>
      <c r="N109" s="20" t="n">
        <v>3.823</v>
      </c>
      <c r="T109" s="20" t="n">
        <v>4.268</v>
      </c>
      <c r="U109" s="20" t="n">
        <v>1.115</v>
      </c>
      <c r="V109" s="20" t="n">
        <v>0.9399999999999999</v>
      </c>
      <c r="W109" s="20" t="n">
        <v>-1.266</v>
      </c>
      <c r="X109" s="20" t="n">
        <v>3.503</v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IF(OR(G109="",C109=""),"",IF(G109*C109&lt;=0,"",IFERROR(G109/C109-1,"")))</f>
        <v/>
      </c>
      <c r="H110" s="15">
        <f>IF(OR(H109="",D109=""),"",IF(H109*D109&lt;=0,"",IFERROR(H109/D109-1,"")))</f>
        <v/>
      </c>
      <c r="I110" s="15">
        <f>IF(OR(I109="",E109=""),"",IF(I109*E109&lt;=0,"",IFERROR(I109/E109-1,"")))</f>
        <v/>
      </c>
      <c r="J110" s="15">
        <f>IF(OR(J109="",F109=""),"",IF(J109*F109&lt;=0,"",IFERROR(J109/F109-1,"")))</f>
        <v/>
      </c>
      <c r="K110" s="15">
        <f>IF(OR(K109="",G109=""),"",IF(K109*G109&lt;=0,"",IFERROR(K109/G109-1,"")))</f>
        <v/>
      </c>
      <c r="L110" s="15">
        <f>IF(OR(L109="",H109=""),"",IF(L109*H109&lt;=0,"",IFERROR(L109/H109-1,"")))</f>
        <v/>
      </c>
      <c r="M110" s="15">
        <f>IF(OR(M109="",I109=""),"",IF(M109*I109&lt;=0,"",IFERROR(M109/I109-1,"")))</f>
        <v/>
      </c>
      <c r="N110" s="15">
        <f>IF(OR(N109="",J109=""),"",IF(N109*J109&lt;=0,"",IFERROR(N109/J109-1,"")))</f>
        <v/>
      </c>
      <c r="T110" s="15">
        <f>IF(OR(T109="",S109=""),"",IF(T109*S109&lt;=0,"",IFERROR(T109/S109-1,"")))</f>
        <v/>
      </c>
      <c r="U110" s="15">
        <f>IF(OR(U109="",T109=""),"",IF(U109*T109&lt;=0,"",IFERROR(U109/T109-1,"")))</f>
        <v/>
      </c>
      <c r="V110" s="15">
        <f>IF(OR(V109="",U109=""),"",IF(V109*U109&lt;=0,"",IFERROR(V109/U109-1,"")))</f>
        <v/>
      </c>
      <c r="W110" s="15">
        <f>IF(OR(W109="",V109=""),"",IF(W109*V109&lt;=0,"",IFERROR(W109/V109-1,"")))</f>
        <v/>
      </c>
      <c r="X110" s="15">
        <f>IF(OR(X109="",W109=""),"",IF(X109*W109&lt;=0,"",IFERROR(X109/W109-1,"")))</f>
        <v/>
      </c>
    </row>
    <row r="111">
      <c r="A111" s="9" t="inlineStr">
        <is>
          <t>경상이익</t>
        </is>
      </c>
      <c r="C111" s="12" t="n">
        <v>643.932</v>
      </c>
      <c r="D111" s="12" t="n">
        <v>502.795</v>
      </c>
      <c r="E111" s="12" t="n">
        <v>735.566</v>
      </c>
      <c r="F111" s="12" t="n">
        <v>689.3630000000001</v>
      </c>
      <c r="G111" s="12" t="n">
        <v>639.548</v>
      </c>
      <c r="H111" s="12" t="n">
        <v>501.017</v>
      </c>
      <c r="I111" s="12" t="n">
        <v>793.912</v>
      </c>
      <c r="J111" s="12" t="n">
        <v>963.8819999999999</v>
      </c>
      <c r="K111" s="12" t="n">
        <v>1444.417</v>
      </c>
      <c r="L111" s="12" t="n">
        <v>2387.607</v>
      </c>
      <c r="M111" s="12" t="n">
        <v>2701.009</v>
      </c>
      <c r="N111" s="12" t="n">
        <v>3955.828</v>
      </c>
      <c r="T111" s="12" t="n">
        <v>654.3579999999999</v>
      </c>
      <c r="U111" s="12" t="n">
        <v>659.0700000000001</v>
      </c>
      <c r="V111" s="12" t="n">
        <v>502.795</v>
      </c>
      <c r="W111" s="12" t="n">
        <v>501.017</v>
      </c>
      <c r="X111" s="12" t="n">
        <v>2387.607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IF(OR(G111="",C111=""),"",IF(C111&lt;=0,"",IFERROR(G111/C111-1,"")))</f>
        <v/>
      </c>
      <c r="H112" s="15">
        <f>IF(OR(H111="",D111=""),"",IF(D111&lt;=0,"",IFERROR(H111/D111-1,"")))</f>
        <v/>
      </c>
      <c r="I112" s="15">
        <f>IF(OR(I111="",E111=""),"",IF(E111&lt;=0,"",IFERROR(I111/E111-1,"")))</f>
        <v/>
      </c>
      <c r="J112" s="15">
        <f>IF(OR(J111="",F111=""),"",IF(F111&lt;=0,"",IFERROR(J111/F111-1,"")))</f>
        <v/>
      </c>
      <c r="K112" s="15">
        <f>IF(OR(K111="",G111=""),"",IF(G111&lt;=0,"",IFERROR(K111/G111-1,"")))</f>
        <v/>
      </c>
      <c r="L112" s="15">
        <f>IF(OR(L111="",H111=""),"",IF(H111&lt;=0,"",IFERROR(L111/H111-1,"")))</f>
        <v/>
      </c>
      <c r="M112" s="15">
        <f>IF(OR(M111="",I111=""),"",IF(I111&lt;=0,"",IFERROR(M111/I111-1,"")))</f>
        <v/>
      </c>
      <c r="N112" s="15">
        <f>IF(OR(N111="",J111=""),"",IF(J111&lt;=0,"",IFERROR(N111/J111-1,"")))</f>
        <v/>
      </c>
      <c r="T112" s="15">
        <f>IF(OR(T111="",S111=""),"",IF(S111&lt;=0,"",IFERROR(T111/S111-1,"")))</f>
        <v/>
      </c>
      <c r="U112" s="15">
        <f>IF(OR(U111="",T111=""),"",IF(T111&lt;=0,"",IFERROR(U111/T111-1,"")))</f>
        <v/>
      </c>
      <c r="V112" s="15">
        <f>IF(OR(V111="",U111=""),"",IF(U111&lt;=0,"",IFERROR(V111/U111-1,"")))</f>
        <v/>
      </c>
      <c r="W112" s="15">
        <f>IF(OR(W111="",V111=""),"",IF(V111&lt;=0,"",IFERROR(W111/V111-1,"")))</f>
        <v/>
      </c>
      <c r="X112" s="15">
        <f>IF(OR(X111="",W111=""),"",IF(W111&lt;=0,"",IFERROR(X111/W111-1,"")))</f>
        <v/>
      </c>
    </row>
    <row r="113">
      <c r="A113" s="18" t="inlineStr">
        <is>
          <t>투자유가증권 상환이익</t>
        </is>
      </c>
      <c r="G113" s="20" t="n">
        <v>0</v>
      </c>
      <c r="H113" s="20" t="n">
        <v>0</v>
      </c>
      <c r="I113" s="20" t="n">
        <v>0</v>
      </c>
      <c r="J113" s="20" t="n">
        <v>12.845</v>
      </c>
      <c r="K113" s="20" t="n">
        <v>7.17</v>
      </c>
      <c r="L113" s="20" t="n">
        <v>0</v>
      </c>
      <c r="M113" s="20" t="n">
        <v>0.177</v>
      </c>
      <c r="N113" s="20" t="n">
        <v>-0.127</v>
      </c>
      <c r="W113" s="20" t="n">
        <v>0</v>
      </c>
      <c r="X113" s="20" t="n">
        <v>0</v>
      </c>
    </row>
    <row r="114">
      <c r="A114" s="18" t="inlineStr">
        <is>
          <t>특별이익 합계</t>
        </is>
      </c>
      <c r="G114" s="20" t="n">
        <v>0</v>
      </c>
      <c r="H114" s="20" t="n">
        <v>0</v>
      </c>
      <c r="I114" s="20" t="n">
        <v>0</v>
      </c>
      <c r="J114" s="20" t="n">
        <v>12.845</v>
      </c>
      <c r="K114" s="20" t="n">
        <v>7.17</v>
      </c>
      <c r="L114" s="20" t="n">
        <v>0</v>
      </c>
      <c r="M114" s="20" t="n">
        <v>0.177</v>
      </c>
      <c r="N114" s="20" t="n">
        <v>98.259</v>
      </c>
      <c r="W114" s="20" t="n">
        <v>0</v>
      </c>
      <c r="X114" s="20" t="n">
        <v>0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IF(OR(G114="",C114=""),"",IF(G114*C114&lt;=0,"",IFERROR(G114/C114-1,"")))</f>
        <v/>
      </c>
      <c r="H115" s="15">
        <f>IF(OR(H114="",D114=""),"",IF(H114*D114&lt;=0,"",IFERROR(H114/D114-1,"")))</f>
        <v/>
      </c>
      <c r="I115" s="15">
        <f>IF(OR(I114="",E114=""),"",IF(I114*E114&lt;=0,"",IFERROR(I114/E114-1,"")))</f>
        <v/>
      </c>
      <c r="J115" s="15">
        <f>IF(OR(J114="",F114=""),"",IF(J114*F114&lt;=0,"",IFERROR(J114/F114-1,"")))</f>
        <v/>
      </c>
      <c r="K115" s="15">
        <f>IF(OR(K114="",G114=""),"",IF(K114*G114&lt;=0,"",IFERROR(K114/G114-1,"")))</f>
        <v/>
      </c>
      <c r="L115" s="15">
        <f>IF(OR(L114="",H114=""),"",IF(L114*H114&lt;=0,"",IFERROR(L114/H114-1,"")))</f>
        <v/>
      </c>
      <c r="M115" s="15">
        <f>IF(OR(M114="",I114=""),"",IF(M114*I114&lt;=0,"",IFERROR(M114/I114-1,"")))</f>
        <v/>
      </c>
      <c r="N115" s="15">
        <f>IF(OR(N114="",J114=""),"",IF(N114*J114&lt;=0,"",IFERROR(N114/J114-1,"")))</f>
        <v/>
      </c>
      <c r="W115" s="15">
        <f>IF(OR(W114="",V114=""),"",IF(W114*V114&lt;=0,"",IFERROR(W114/V114-1,"")))</f>
        <v/>
      </c>
      <c r="X115" s="15">
        <f>IF(OR(X114="",W114=""),"",IF(X114*W114&lt;=0,"",IFERROR(X114/W114-1,"")))</f>
        <v/>
      </c>
    </row>
    <row r="116">
      <c r="A116" s="18" t="inlineStr">
        <is>
          <t>투자유가증권 평가손실</t>
        </is>
      </c>
      <c r="C116" s="20" t="n">
        <v>0</v>
      </c>
      <c r="D116" s="20" t="n">
        <v>0</v>
      </c>
      <c r="G116" s="20" t="n">
        <v>0</v>
      </c>
      <c r="H116" s="20" t="n">
        <v>0</v>
      </c>
      <c r="K116" s="20" t="n">
        <v>0</v>
      </c>
      <c r="L116" s="20" t="n">
        <v>13.999</v>
      </c>
      <c r="V116" s="20" t="n">
        <v>0</v>
      </c>
      <c r="W116" s="20" t="n">
        <v>0</v>
      </c>
      <c r="X116" s="20" t="n">
        <v>13.999</v>
      </c>
    </row>
    <row r="117">
      <c r="A117" s="18" t="inlineStr">
        <is>
          <t>사무소 이전비용</t>
        </is>
      </c>
      <c r="D117" s="20" t="n">
        <v>0</v>
      </c>
      <c r="T117" s="20" t="n">
        <v>0</v>
      </c>
      <c r="U117" s="20" t="n">
        <v>0.446</v>
      </c>
      <c r="V117" s="20" t="n">
        <v>0</v>
      </c>
    </row>
    <row r="118">
      <c r="A118" s="18" t="inlineStr">
        <is>
          <t>암호자산 평가손실</t>
        </is>
      </c>
      <c r="C118" s="20" t="n">
        <v>0</v>
      </c>
    </row>
    <row r="119">
      <c r="A119" s="18" t="inlineStr">
        <is>
          <t>투자유가증권 매각손실</t>
        </is>
      </c>
      <c r="C119" s="20" t="n">
        <v>0</v>
      </c>
      <c r="D119" s="20" t="n">
        <v>0</v>
      </c>
      <c r="I119" s="20" t="n">
        <v>0</v>
      </c>
      <c r="M119" s="20" t="n">
        <v>0.003</v>
      </c>
      <c r="T119" s="20" t="n">
        <v>0</v>
      </c>
      <c r="U119" s="20" t="n">
        <v>1564.324</v>
      </c>
      <c r="V119" s="20" t="n">
        <v>0</v>
      </c>
    </row>
    <row r="120">
      <c r="A120" s="18" t="inlineStr">
        <is>
          <t>투자유가증권 상환손실</t>
        </is>
      </c>
      <c r="I120" s="20" t="n">
        <v>0</v>
      </c>
      <c r="M120" s="20" t="n">
        <v>0.588</v>
      </c>
    </row>
    <row r="121">
      <c r="A121" s="18" t="inlineStr">
        <is>
          <t>특별손실 합계</t>
        </is>
      </c>
      <c r="C121" s="20" t="n">
        <v>0</v>
      </c>
      <c r="D121" s="20" t="n">
        <v>0</v>
      </c>
      <c r="G121" s="20" t="n">
        <v>0</v>
      </c>
      <c r="H121" s="20" t="n">
        <v>0</v>
      </c>
      <c r="I121" s="20" t="n">
        <v>0</v>
      </c>
      <c r="J121" s="20" t="n">
        <v>0</v>
      </c>
      <c r="K121" s="20" t="n">
        <v>0</v>
      </c>
      <c r="L121" s="20" t="n">
        <v>66.98399999999999</v>
      </c>
      <c r="M121" s="20" t="n">
        <v>0.591</v>
      </c>
      <c r="N121" s="20" t="n">
        <v>108.895</v>
      </c>
      <c r="T121" s="20" t="n">
        <v>516.075</v>
      </c>
      <c r="U121" s="20" t="n">
        <v>2323.163</v>
      </c>
      <c r="V121" s="20" t="n">
        <v>0</v>
      </c>
      <c r="W121" s="20" t="n">
        <v>0</v>
      </c>
      <c r="X121" s="20" t="n">
        <v>66.98399999999999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T122" s="15">
        <f>IF(OR(T121="",S121=""),"",IF(T121*S121&lt;=0,"",IFERROR(T121/S121-1,"")))</f>
        <v/>
      </c>
      <c r="U122" s="15">
        <f>IF(OR(U121="",T121=""),"",IF(U121*T121&lt;=0,"",IFERROR(U121/T121-1,"")))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9" t="inlineStr">
        <is>
          <t>법인세차감전 순이익</t>
        </is>
      </c>
      <c r="C123" s="12" t="n">
        <v>643.932</v>
      </c>
      <c r="D123" s="12" t="n">
        <v>502.795</v>
      </c>
      <c r="E123" s="12" t="n">
        <v>735.566</v>
      </c>
      <c r="F123" s="12" t="n">
        <v>688.841</v>
      </c>
      <c r="G123" s="12" t="n">
        <v>639.548</v>
      </c>
      <c r="H123" s="12" t="n">
        <v>501.016</v>
      </c>
      <c r="I123" s="12" t="n">
        <v>793.912</v>
      </c>
      <c r="J123" s="12" t="n">
        <v>976.728</v>
      </c>
      <c r="K123" s="12" t="n">
        <v>1451.586</v>
      </c>
      <c r="L123" s="12" t="n">
        <v>2320.623</v>
      </c>
      <c r="M123" s="12" t="n">
        <v>2700.594</v>
      </c>
      <c r="N123" s="12" t="n">
        <v>3945.193</v>
      </c>
      <c r="T123" s="12" t="n">
        <v>732.75</v>
      </c>
      <c r="U123" s="12" t="n">
        <v>6335.908</v>
      </c>
      <c r="V123" s="12" t="n">
        <v>502.795</v>
      </c>
      <c r="W123" s="12" t="n">
        <v>501.016</v>
      </c>
      <c r="X123" s="12" t="n">
        <v>2320.623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IF(OR(G123="",C123=""),"",IF(C123&lt;=0,"",IFERROR(G123/C123-1,"")))</f>
        <v/>
      </c>
      <c r="H124" s="15">
        <f>IF(OR(H123="",D123=""),"",IF(D123&lt;=0,"",IFERROR(H123/D123-1,"")))</f>
        <v/>
      </c>
      <c r="I124" s="15">
        <f>IF(OR(I123="",E123=""),"",IF(E123&lt;=0,"",IFERROR(I123/E123-1,"")))</f>
        <v/>
      </c>
      <c r="J124" s="15">
        <f>IF(OR(J123="",F123=""),"",IF(F123&lt;=0,"",IFERROR(J123/F123-1,"")))</f>
        <v/>
      </c>
      <c r="K124" s="15">
        <f>IF(OR(K123="",G123=""),"",IF(G123&lt;=0,"",IFERROR(K123/G123-1,"")))</f>
        <v/>
      </c>
      <c r="L124" s="15">
        <f>IF(OR(L123="",H123=""),"",IF(H123&lt;=0,"",IFERROR(L123/H123-1,"")))</f>
        <v/>
      </c>
      <c r="M124" s="15">
        <f>IF(OR(M123="",I123=""),"",IF(I123&lt;=0,"",IFERROR(M123/I123-1,"")))</f>
        <v/>
      </c>
      <c r="N124" s="15">
        <f>IF(OR(N123="",J123=""),"",IF(J123&lt;=0,"",IFERROR(N123/J123-1,"")))</f>
        <v/>
      </c>
      <c r="T124" s="15">
        <f>IF(OR(T123="",S123=""),"",IF(S123&lt;=0,"",IFERROR(T123/S123-1,"")))</f>
        <v/>
      </c>
      <c r="U124" s="15">
        <f>IF(OR(U123="",T123=""),"",IF(T123&lt;=0,"",IFERROR(U123/T123-1,"")))</f>
        <v/>
      </c>
      <c r="V124" s="15">
        <f>IF(OR(V123="",U123=""),"",IF(U123&lt;=0,"",IFERROR(V123/U123-1,"")))</f>
        <v/>
      </c>
      <c r="W124" s="15">
        <f>IF(OR(W123="",V123=""),"",IF(V123&lt;=0,"",IFERROR(W123/V123-1,"")))</f>
        <v/>
      </c>
      <c r="X124" s="15">
        <f>IF(OR(X123="",W123=""),"",IF(W123&lt;=0,"",IFERROR(X123/W123-1,"")))</f>
        <v/>
      </c>
    </row>
    <row r="125">
      <c r="A125" s="18" t="inlineStr">
        <is>
          <t>법인세·주민세·사업세</t>
        </is>
      </c>
      <c r="C125" s="20" t="n">
        <v>238.693</v>
      </c>
      <c r="D125" s="20" t="n">
        <v>159.259</v>
      </c>
      <c r="E125" s="20" t="n">
        <v>244.057</v>
      </c>
      <c r="F125" s="20" t="n">
        <v>238.003</v>
      </c>
      <c r="G125" s="20" t="n">
        <v>226.279</v>
      </c>
      <c r="H125" s="20" t="n">
        <v>160.704</v>
      </c>
      <c r="I125" s="20" t="n">
        <v>276.194</v>
      </c>
      <c r="J125" s="20" t="n">
        <v>358.773</v>
      </c>
      <c r="K125" s="20" t="n">
        <v>462.579</v>
      </c>
      <c r="L125" s="20" t="n">
        <v>896.665</v>
      </c>
      <c r="M125" s="20" t="n">
        <v>800.5839999999999</v>
      </c>
      <c r="N125" s="20" t="n">
        <v>1474.497</v>
      </c>
      <c r="T125" s="20" t="n">
        <v>381.671</v>
      </c>
      <c r="U125" s="20" t="n">
        <v>2398.347</v>
      </c>
      <c r="V125" s="20" t="n">
        <v>159.259</v>
      </c>
      <c r="W125" s="20" t="n">
        <v>160.704</v>
      </c>
      <c r="X125" s="20" t="n">
        <v>896.665</v>
      </c>
    </row>
    <row r="126">
      <c r="A126" s="18" t="inlineStr">
        <is>
          <t>법인세 조정액</t>
        </is>
      </c>
      <c r="C126" s="20" t="n">
        <v>-1.261</v>
      </c>
      <c r="D126" s="20" t="n">
        <v>9.786</v>
      </c>
      <c r="E126" s="20" t="n">
        <v>9.101000000000001</v>
      </c>
      <c r="F126" s="20" t="n">
        <v>20.549</v>
      </c>
      <c r="G126" s="20" t="n">
        <v>5.968</v>
      </c>
      <c r="H126" s="20" t="n">
        <v>-10.015</v>
      </c>
      <c r="I126" s="20" t="n">
        <v>9.708</v>
      </c>
      <c r="J126" s="20" t="n">
        <v>-2.853</v>
      </c>
      <c r="K126" s="20" t="n">
        <v>60.514</v>
      </c>
      <c r="L126" s="20" t="n">
        <v>-193.241</v>
      </c>
      <c r="M126" s="20" t="n">
        <v>167.183</v>
      </c>
      <c r="N126" s="20" t="n">
        <v>-143.799</v>
      </c>
      <c r="T126" s="20" t="n">
        <v>-123.348</v>
      </c>
      <c r="U126" s="20" t="n">
        <v>-419.505</v>
      </c>
      <c r="V126" s="20" t="n">
        <v>9.786</v>
      </c>
      <c r="W126" s="20" t="n">
        <v>-10.015</v>
      </c>
      <c r="X126" s="20" t="n">
        <v>-193.241</v>
      </c>
    </row>
    <row r="127">
      <c r="A127" s="18" t="inlineStr">
        <is>
          <t>법인세 등 합계</t>
        </is>
      </c>
      <c r="C127" s="20" t="n">
        <v>237.432</v>
      </c>
      <c r="D127" s="20" t="n">
        <v>169.044</v>
      </c>
      <c r="E127" s="20" t="n">
        <v>253.159</v>
      </c>
      <c r="F127" s="20" t="n">
        <v>258.551</v>
      </c>
      <c r="G127" s="20" t="n">
        <v>232.248</v>
      </c>
      <c r="H127" s="20" t="n">
        <v>150.688</v>
      </c>
      <c r="I127" s="20" t="n">
        <v>285.902</v>
      </c>
      <c r="J127" s="20" t="n">
        <v>355.921</v>
      </c>
      <c r="K127" s="20" t="n">
        <v>523.092</v>
      </c>
      <c r="L127" s="20" t="n">
        <v>703.423</v>
      </c>
      <c r="M127" s="20" t="n">
        <v>967.7670000000001</v>
      </c>
      <c r="N127" s="20" t="n">
        <v>1330.698</v>
      </c>
      <c r="T127" s="20" t="n">
        <v>258.322</v>
      </c>
      <c r="U127" s="20" t="n">
        <v>1978.841</v>
      </c>
      <c r="V127" s="20" t="n">
        <v>169.044</v>
      </c>
      <c r="W127" s="20" t="n">
        <v>150.688</v>
      </c>
      <c r="X127" s="20" t="n">
        <v>703.423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IF(OR(G127="",C127=""),"",IF(G127*C127&lt;=0,"",IFERROR(G127/C127-1,"")))</f>
        <v/>
      </c>
      <c r="H128" s="15">
        <f>IF(OR(H127="",D127=""),"",IF(H127*D127&lt;=0,"",IFERROR(H127/D127-1,"")))</f>
        <v/>
      </c>
      <c r="I128" s="15">
        <f>IF(OR(I127="",E127=""),"",IF(I127*E127&lt;=0,"",IFERROR(I127/E127-1,"")))</f>
        <v/>
      </c>
      <c r="J128" s="15">
        <f>IF(OR(J127="",F127=""),"",IF(J127*F127&lt;=0,"",IFERROR(J127/F127-1,"")))</f>
        <v/>
      </c>
      <c r="K128" s="15">
        <f>IF(OR(K127="",G127=""),"",IF(K127*G127&lt;=0,"",IFERROR(K127/G127-1,"")))</f>
        <v/>
      </c>
      <c r="L128" s="15">
        <f>IF(OR(L127="",H127=""),"",IF(L127*H127&lt;=0,"",IFERROR(L127/H127-1,"")))</f>
        <v/>
      </c>
      <c r="M128" s="15">
        <f>IF(OR(M127="",I127=""),"",IF(M127*I127&lt;=0,"",IFERROR(M127/I127-1,"")))</f>
        <v/>
      </c>
      <c r="N128" s="15">
        <f>IF(OR(N127="",J127=""),"",IF(N127*J127&lt;=0,"",IFERROR(N127/J127-1,"")))</f>
        <v/>
      </c>
      <c r="T128" s="15">
        <f>IF(OR(T127="",S127=""),"",IF(T127*S127&lt;=0,"",IFERROR(T127/S127-1,"")))</f>
        <v/>
      </c>
      <c r="U128" s="15">
        <f>IF(OR(U127="",T127=""),"",IF(U127*T127&lt;=0,"",IFERROR(U127/T127-1,"")))</f>
        <v/>
      </c>
      <c r="V128" s="15">
        <f>IF(OR(V127="",U127=""),"",IF(V127*U127&lt;=0,"",IFERROR(V127/U127-1,"")))</f>
        <v/>
      </c>
      <c r="W128" s="15">
        <f>IF(OR(W127="",V127=""),"",IF(W127*V127&lt;=0,"",IFERROR(W127/V127-1,"")))</f>
        <v/>
      </c>
      <c r="X128" s="15">
        <f>IF(OR(X127="",W127=""),"",IF(X127*W127&lt;=0,"",IFERROR(X127/W127-1,"")))</f>
        <v/>
      </c>
    </row>
    <row r="129">
      <c r="A129" s="9" t="inlineStr">
        <is>
          <t>순이익</t>
        </is>
      </c>
      <c r="C129" s="12" t="n">
        <v>406.5</v>
      </c>
      <c r="D129" s="12" t="n">
        <v>333.751</v>
      </c>
      <c r="E129" s="12" t="n">
        <v>482.407</v>
      </c>
      <c r="F129" s="12" t="n">
        <v>430.289</v>
      </c>
      <c r="G129" s="12" t="n">
        <v>407.301</v>
      </c>
      <c r="H129" s="12" t="n">
        <v>350.328</v>
      </c>
      <c r="I129" s="12" t="n">
        <v>508.01</v>
      </c>
      <c r="J129" s="12" t="n">
        <v>620.806</v>
      </c>
      <c r="K129" s="12" t="n">
        <v>928.495</v>
      </c>
      <c r="L129" s="12" t="n">
        <v>1617.199</v>
      </c>
      <c r="M129" s="12" t="n">
        <v>1732.826</v>
      </c>
      <c r="N129" s="12" t="n">
        <v>2614.495</v>
      </c>
      <c r="T129" s="12" t="n">
        <v>474.428</v>
      </c>
      <c r="U129" s="12" t="n">
        <v>4357.067</v>
      </c>
      <c r="V129" s="12" t="n">
        <v>333.751</v>
      </c>
      <c r="W129" s="12" t="n">
        <v>350.328</v>
      </c>
      <c r="X129" s="12" t="n">
        <v>1617.199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IF(OR(G129="",C129=""),"",IF(C129&lt;=0,"",IFERROR(G129/C129-1,"")))</f>
        <v/>
      </c>
      <c r="H130" s="15">
        <f>IF(OR(H129="",D129=""),"",IF(D129&lt;=0,"",IFERROR(H129/D129-1,"")))</f>
        <v/>
      </c>
      <c r="I130" s="15">
        <f>IF(OR(I129="",E129=""),"",IF(E129&lt;=0,"",IFERROR(I129/E129-1,"")))</f>
        <v/>
      </c>
      <c r="J130" s="15">
        <f>IF(OR(J129="",F129=""),"",IF(F129&lt;=0,"",IFERROR(J129/F129-1,"")))</f>
        <v/>
      </c>
      <c r="K130" s="15">
        <f>IF(OR(K129="",G129=""),"",IF(G129&lt;=0,"",IFERROR(K129/G129-1,"")))</f>
        <v/>
      </c>
      <c r="L130" s="15">
        <f>IF(OR(L129="",H129=""),"",IF(H129&lt;=0,"",IFERROR(L129/H129-1,"")))</f>
        <v/>
      </c>
      <c r="M130" s="15">
        <f>IF(OR(M129="",I129=""),"",IF(I129&lt;=0,"",IFERROR(M129/I129-1,"")))</f>
        <v/>
      </c>
      <c r="N130" s="15">
        <f>IF(OR(N129="",J129=""),"",IF(J129&lt;=0,"",IFERROR(N129/J129-1,"")))</f>
        <v/>
      </c>
      <c r="T130" s="15">
        <f>IF(OR(T129="",S129=""),"",IF(S129&lt;=0,"",IFERROR(T129/S129-1,"")))</f>
        <v/>
      </c>
      <c r="U130" s="15">
        <f>IF(OR(U129="",T129=""),"",IF(T129&lt;=0,"",IFERROR(U129/T129-1,"")))</f>
        <v/>
      </c>
      <c r="V130" s="15">
        <f>IF(OR(V129="",U129=""),"",IF(U129&lt;=0,"",IFERROR(V129/U129-1,"")))</f>
        <v/>
      </c>
      <c r="W130" s="15">
        <f>IF(OR(W129="",V129=""),"",IF(V129&lt;=0,"",IFERROR(W129/V129-1,"")))</f>
        <v/>
      </c>
      <c r="X130" s="15">
        <f>IF(OR(X129="",W129=""),"",IF(W129&lt;=0,"",IFERROR(X129/W129-1,"")))</f>
        <v/>
      </c>
    </row>
    <row r="131">
      <c r="A131" s="9" t="inlineStr">
        <is>
          <t>비지배주주 순이익</t>
        </is>
      </c>
      <c r="C131" s="12" t="n">
        <v>6.787</v>
      </c>
      <c r="D131" s="12" t="n">
        <v>2.867</v>
      </c>
      <c r="E131" s="12" t="n">
        <v>8.52</v>
      </c>
      <c r="F131" s="12" t="n">
        <v>3.575</v>
      </c>
      <c r="G131" s="12" t="n">
        <v>7.652</v>
      </c>
      <c r="H131" s="12" t="n">
        <v>3.642</v>
      </c>
      <c r="I131" s="12" t="n">
        <v>6.931</v>
      </c>
      <c r="J131" s="12" t="n">
        <v>68.90000000000001</v>
      </c>
      <c r="K131" s="12" t="n">
        <v>221.659</v>
      </c>
      <c r="L131" s="12" t="n">
        <v>303.743</v>
      </c>
      <c r="M131" s="12" t="n">
        <v>343.688</v>
      </c>
      <c r="N131" s="12" t="n">
        <v>420.846</v>
      </c>
      <c r="T131" s="12" t="n">
        <v>64.05200000000001</v>
      </c>
      <c r="U131" s="12" t="n">
        <v>5.993</v>
      </c>
      <c r="V131" s="12" t="n">
        <v>2.867</v>
      </c>
      <c r="W131" s="12" t="n">
        <v>3.642</v>
      </c>
      <c r="X131" s="12" t="n">
        <v>303.743</v>
      </c>
    </row>
    <row r="132">
      <c r="A132" s="9" t="inlineStr">
        <is>
          <t>지배주주 순이익</t>
        </is>
      </c>
      <c r="C132" s="12" t="n">
        <v>399.713</v>
      </c>
      <c r="D132" s="12" t="n">
        <v>330.884</v>
      </c>
      <c r="E132" s="12" t="n">
        <v>473.887</v>
      </c>
      <c r="F132" s="12" t="n">
        <v>426.713</v>
      </c>
      <c r="G132" s="12" t="n">
        <v>399.649</v>
      </c>
      <c r="H132" s="12" t="n">
        <v>346.686</v>
      </c>
      <c r="I132" s="12" t="n">
        <v>501.078</v>
      </c>
      <c r="J132" s="12" t="n">
        <v>551.907</v>
      </c>
      <c r="K132" s="12" t="n">
        <v>706.836</v>
      </c>
      <c r="L132" s="12" t="n">
        <v>1313.456</v>
      </c>
      <c r="M132" s="12" t="n">
        <v>1389.138</v>
      </c>
      <c r="N132" s="12" t="n">
        <v>2193.649</v>
      </c>
      <c r="T132" s="12" t="n">
        <v>410.377</v>
      </c>
      <c r="U132" s="12" t="n">
        <v>4351.075</v>
      </c>
      <c r="V132" s="12" t="n">
        <v>330.884</v>
      </c>
      <c r="W132" s="12" t="n">
        <v>346.686</v>
      </c>
      <c r="X132" s="12" t="n">
        <v>1313.456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IF(OR(G132="",C132=""),"",IF(C132&lt;=0,"",IFERROR(G132/C132-1,"")))</f>
        <v/>
      </c>
      <c r="H133" s="15">
        <f>IF(OR(H132="",D132=""),"",IF(D132&lt;=0,"",IFERROR(H132/D132-1,"")))</f>
        <v/>
      </c>
      <c r="I133" s="15">
        <f>IF(OR(I132="",E132=""),"",IF(E132&lt;=0,"",IFERROR(I132/E132-1,"")))</f>
        <v/>
      </c>
      <c r="J133" s="15">
        <f>IF(OR(J132="",F132=""),"",IF(F132&lt;=0,"",IFERROR(J132/F132-1,"")))</f>
        <v/>
      </c>
      <c r="K133" s="15">
        <f>IF(OR(K132="",G132=""),"",IF(G132&lt;=0,"",IFERROR(K132/G132-1,"")))</f>
        <v/>
      </c>
      <c r="L133" s="15">
        <f>IF(OR(L132="",H132=""),"",IF(H132&lt;=0,"",IFERROR(L132/H132-1,"")))</f>
        <v/>
      </c>
      <c r="M133" s="15">
        <f>IF(OR(M132="",I132=""),"",IF(I132&lt;=0,"",IFERROR(M132/I132-1,"")))</f>
        <v/>
      </c>
      <c r="N133" s="15">
        <f>IF(OR(N132="",J132=""),"",IF(J132&lt;=0,"",IFERROR(N132/J132-1,"")))</f>
        <v/>
      </c>
      <c r="T133" s="15">
        <f>IF(OR(T132="",S132=""),"",IF(S132&lt;=0,"",IFERROR(T132/S132-1,"")))</f>
        <v/>
      </c>
      <c r="U133" s="15">
        <f>IF(OR(U132="",T132=""),"",IF(T132&lt;=0,"",IFERROR(U132/T132-1,"")))</f>
        <v/>
      </c>
      <c r="V133" s="15">
        <f>IF(OR(V132="",U132=""),"",IF(U132&lt;=0,"",IFERROR(V132/U132-1,"")))</f>
        <v/>
      </c>
      <c r="W133" s="15">
        <f>IF(OR(W132="",V132=""),"",IF(V132&lt;=0,"",IFERROR(W132/V132-1,"")))</f>
        <v/>
      </c>
      <c r="X133" s="15">
        <f>IF(OR(X132="",W132=""),"",IF(W132&lt;=0,"",IFERROR(X132/W132-1,"")))</f>
        <v/>
      </c>
    </row>
    <row r="135">
      <c r="A135" s="16" t="inlineStr">
        <is>
          <t>포괄손익 · 전 항목</t>
        </is>
      </c>
      <c r="B135" s="42" t="inlineStr">
        <is>
          <t>분기 = 3개월 단독</t>
        </is>
      </c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</row>
    <row r="136">
      <c r="A136" s="5" t="inlineStr">
        <is>
          <t>항목</t>
        </is>
      </c>
      <c r="B136" s="5" t="inlineStr">
        <is>
          <t>참고</t>
        </is>
      </c>
      <c r="C136" s="5" t="inlineStr">
        <is>
          <t>2024.3Q</t>
        </is>
      </c>
      <c r="D136" s="5" t="inlineStr">
        <is>
          <t>2024.4Q</t>
        </is>
      </c>
      <c r="E136" s="5" t="inlineStr">
        <is>
          <t>2025.1Q</t>
        </is>
      </c>
      <c r="F136" s="5" t="inlineStr">
        <is>
          <t>2025.2Q</t>
        </is>
      </c>
      <c r="G136" s="5" t="inlineStr">
        <is>
          <t>2025.3Q</t>
        </is>
      </c>
      <c r="H136" s="5" t="inlineStr">
        <is>
          <t>2025.4Q</t>
        </is>
      </c>
      <c r="I136" s="5" t="inlineStr">
        <is>
          <t>2026.1Q</t>
        </is>
      </c>
      <c r="J136" s="5" t="inlineStr">
        <is>
          <t>2026.2Q</t>
        </is>
      </c>
      <c r="K136" s="5" t="inlineStr">
        <is>
          <t>2026.3Q</t>
        </is>
      </c>
      <c r="L136" s="5" t="inlineStr">
        <is>
          <t>2026.4Q</t>
        </is>
      </c>
      <c r="M136" s="5" t="inlineStr">
        <is>
          <t>2027.1Q</t>
        </is>
      </c>
      <c r="N136" s="5" t="inlineStr">
        <is>
          <t>2027.2Q</t>
        </is>
      </c>
      <c r="O136" s="5" t="inlineStr">
        <is>
          <t>2017</t>
        </is>
      </c>
      <c r="P136" s="5" t="inlineStr">
        <is>
          <t>2018</t>
        </is>
      </c>
      <c r="Q136" s="5" t="inlineStr">
        <is>
          <t>2019</t>
        </is>
      </c>
      <c r="R136" s="5" t="inlineStr">
        <is>
          <t>2020</t>
        </is>
      </c>
      <c r="S136" s="5" t="inlineStr">
        <is>
          <t>2021</t>
        </is>
      </c>
      <c r="T136" s="5" t="inlineStr">
        <is>
          <t>2022</t>
        </is>
      </c>
      <c r="U136" s="5" t="inlineStr">
        <is>
          <t>2023</t>
        </is>
      </c>
      <c r="V136" s="5" t="inlineStr">
        <is>
          <t>2024</t>
        </is>
      </c>
      <c r="W136" s="5" t="inlineStr">
        <is>
          <t>2025</t>
        </is>
      </c>
      <c r="X136" s="5" t="inlineStr">
        <is>
          <t>2026</t>
        </is>
      </c>
      <c r="Y136" s="5" t="inlineStr">
        <is>
          <t>2027(MW)</t>
        </is>
      </c>
      <c r="Z136" s="5" t="inlineStr">
        <is>
          <t>2028(MW)</t>
        </is>
      </c>
      <c r="AA136" s="5" t="inlineStr">
        <is>
          <t>2029(MW)</t>
        </is>
      </c>
      <c r="AB136" s="5" t="inlineStr">
        <is>
          <t>2030(MW)</t>
        </is>
      </c>
      <c r="AC136" s="5" t="inlineStr">
        <is>
          <t>2031(MW)</t>
        </is>
      </c>
    </row>
    <row r="137">
      <c r="A137" s="9" t="inlineStr">
        <is>
          <t>순이익</t>
        </is>
      </c>
      <c r="C137" s="12" t="n">
        <v>406.5</v>
      </c>
      <c r="D137" s="12" t="n">
        <v>333.751</v>
      </c>
      <c r="E137" s="12" t="n">
        <v>482.407</v>
      </c>
      <c r="F137" s="12" t="n">
        <v>430.289</v>
      </c>
      <c r="G137" s="12" t="n">
        <v>407.301</v>
      </c>
      <c r="H137" s="12" t="n">
        <v>350.328</v>
      </c>
      <c r="I137" s="12" t="n">
        <v>508.01</v>
      </c>
      <c r="J137" s="12" t="n">
        <v>620.806</v>
      </c>
      <c r="K137" s="12" t="n">
        <v>928.495</v>
      </c>
      <c r="L137" s="12" t="n">
        <v>1617.199</v>
      </c>
      <c r="M137" s="12" t="n">
        <v>1732.826</v>
      </c>
      <c r="N137" s="12" t="n">
        <v>2614.495</v>
      </c>
      <c r="T137" s="12" t="n">
        <v>474.428</v>
      </c>
      <c r="U137" s="12" t="n">
        <v>4357.067</v>
      </c>
      <c r="V137" s="12" t="n">
        <v>333.751</v>
      </c>
      <c r="W137" s="12" t="n">
        <v>350.328</v>
      </c>
      <c r="X137" s="12" t="n">
        <v>1617.199</v>
      </c>
    </row>
    <row r="138">
      <c r="A138" s="18" t="inlineStr">
        <is>
          <t>기타유가증권 평가차액</t>
        </is>
      </c>
      <c r="C138" s="20" t="n">
        <v>45.672</v>
      </c>
      <c r="D138" s="20" t="n">
        <v>32.628</v>
      </c>
      <c r="E138" s="20" t="n">
        <v>158.384</v>
      </c>
      <c r="F138" s="20" t="n">
        <v>-458.919</v>
      </c>
      <c r="G138" s="20" t="n">
        <v>-252.64</v>
      </c>
      <c r="H138" s="20" t="n">
        <v>-65.43600000000001</v>
      </c>
      <c r="I138" s="20" t="n">
        <v>-105.072</v>
      </c>
      <c r="J138" s="20" t="n">
        <v>205.667</v>
      </c>
      <c r="K138" s="20" t="n">
        <v>322.713</v>
      </c>
      <c r="L138" s="20" t="n">
        <v>524.1609999999999</v>
      </c>
      <c r="M138" s="20" t="n">
        <v>85.505</v>
      </c>
      <c r="N138" s="20" t="n">
        <v>-80.273</v>
      </c>
      <c r="T138" s="20" t="n">
        <v>-299.131</v>
      </c>
      <c r="U138" s="20" t="n">
        <v>807.079</v>
      </c>
      <c r="V138" s="20" t="n">
        <v>32.628</v>
      </c>
      <c r="W138" s="20" t="n">
        <v>-65.43600000000001</v>
      </c>
      <c r="X138" s="20" t="n">
        <v>524.1609999999999</v>
      </c>
    </row>
    <row r="139">
      <c r="A139" s="18" t="inlineStr">
        <is>
          <t>이연헤지손익</t>
        </is>
      </c>
      <c r="E139" s="20" t="n">
        <v>0</v>
      </c>
      <c r="I139" s="20" t="n">
        <v>2.766</v>
      </c>
      <c r="M139" s="20" t="n">
        <v>0</v>
      </c>
    </row>
    <row r="140">
      <c r="A140" s="18" t="inlineStr">
        <is>
          <t>해외사업환산조정</t>
        </is>
      </c>
      <c r="C140" s="20" t="n">
        <v>54.274</v>
      </c>
      <c r="D140" s="20" t="n">
        <v>-92.03</v>
      </c>
      <c r="E140" s="20" t="n">
        <v>115.299</v>
      </c>
      <c r="F140" s="20" t="n">
        <v>117.559</v>
      </c>
      <c r="G140" s="20" t="n">
        <v>-220.696</v>
      </c>
      <c r="H140" s="20" t="n">
        <v>186.476</v>
      </c>
      <c r="I140" s="20" t="n">
        <v>-106.011</v>
      </c>
      <c r="J140" s="20" t="n">
        <v>-58.108</v>
      </c>
      <c r="K140" s="20" t="n">
        <v>49.698</v>
      </c>
      <c r="L140" s="20" t="n">
        <v>96.971</v>
      </c>
      <c r="M140" s="20" t="n">
        <v>42.618</v>
      </c>
      <c r="N140" s="20" t="n">
        <v>32.076</v>
      </c>
      <c r="T140" s="20" t="n">
        <v>166.505</v>
      </c>
      <c r="U140" s="20" t="n">
        <v>-145.49</v>
      </c>
      <c r="V140" s="20" t="n">
        <v>-92.03</v>
      </c>
      <c r="W140" s="20" t="n">
        <v>186.476</v>
      </c>
      <c r="X140" s="20" t="n">
        <v>96.971</v>
      </c>
    </row>
    <row r="141">
      <c r="A141" s="18" t="inlineStr">
        <is>
          <t>퇴직급여 조정액</t>
        </is>
      </c>
      <c r="I141" s="20" t="n">
        <v>0</v>
      </c>
      <c r="J141" s="20" t="n">
        <v>0</v>
      </c>
      <c r="M141" s="20" t="n">
        <v>46.233</v>
      </c>
      <c r="N141" s="20" t="n">
        <v>-99.67100000000001</v>
      </c>
    </row>
    <row r="142">
      <c r="A142" s="18" t="inlineStr">
        <is>
          <t>기타포괄손익 합계</t>
        </is>
      </c>
      <c r="C142" s="20" t="n">
        <v>99.946</v>
      </c>
      <c r="D142" s="20" t="n">
        <v>-59.401</v>
      </c>
      <c r="E142" s="20" t="n">
        <v>273.683</v>
      </c>
      <c r="F142" s="20" t="n">
        <v>-341.36</v>
      </c>
      <c r="G142" s="20" t="n">
        <v>-473.336</v>
      </c>
      <c r="H142" s="20" t="n">
        <v>121.04</v>
      </c>
      <c r="I142" s="20" t="n">
        <v>-208.318</v>
      </c>
      <c r="J142" s="20" t="n">
        <v>144.795</v>
      </c>
      <c r="K142" s="20" t="n">
        <v>372.41</v>
      </c>
      <c r="L142" s="20" t="n">
        <v>674.5700000000001</v>
      </c>
      <c r="M142" s="20" t="n">
        <v>174.356</v>
      </c>
      <c r="N142" s="20" t="n">
        <v>-147.868</v>
      </c>
      <c r="T142" s="20" t="n">
        <v>-132.627</v>
      </c>
      <c r="U142" s="20" t="n">
        <v>661.591</v>
      </c>
      <c r="V142" s="20" t="n">
        <v>-59.401</v>
      </c>
      <c r="W142" s="20" t="n">
        <v>121.04</v>
      </c>
      <c r="X142" s="20" t="n">
        <v>674.5700000000001</v>
      </c>
    </row>
    <row r="143">
      <c r="A143" s="9" t="inlineStr">
        <is>
          <t>포괄이익</t>
        </is>
      </c>
      <c r="C143" s="12" t="n">
        <v>506.446</v>
      </c>
      <c r="D143" s="12" t="n">
        <v>274.351</v>
      </c>
      <c r="E143" s="12" t="n">
        <v>756.091</v>
      </c>
      <c r="F143" s="12" t="n">
        <v>88.928</v>
      </c>
      <c r="G143" s="12" t="n">
        <v>-66.035</v>
      </c>
      <c r="H143" s="12" t="n">
        <v>471.367</v>
      </c>
      <c r="I143" s="12" t="n">
        <v>299.692</v>
      </c>
      <c r="J143" s="12" t="n">
        <v>765.6</v>
      </c>
      <c r="K143" s="12" t="n">
        <v>1300.906</v>
      </c>
      <c r="L143" s="12" t="n">
        <v>2291.77</v>
      </c>
      <c r="M143" s="12" t="n">
        <v>1907.183</v>
      </c>
      <c r="N143" s="12" t="n">
        <v>2466.627</v>
      </c>
      <c r="T143" s="12" t="n">
        <v>341.802</v>
      </c>
      <c r="U143" s="12" t="n">
        <v>5018.658</v>
      </c>
      <c r="V143" s="12" t="n">
        <v>274.351</v>
      </c>
      <c r="W143" s="12" t="n">
        <v>471.367</v>
      </c>
      <c r="X143" s="12" t="n">
        <v>2291.77</v>
      </c>
    </row>
    <row r="144">
      <c r="A144" s="9" t="inlineStr">
        <is>
          <t>지배주주 포괄이익</t>
        </is>
      </c>
      <c r="C144" s="12" t="n">
        <v>499.584</v>
      </c>
      <c r="D144" s="12" t="n">
        <v>271.129</v>
      </c>
      <c r="E144" s="12" t="n">
        <v>747.829</v>
      </c>
      <c r="F144" s="12" t="n">
        <v>86.17100000000001</v>
      </c>
      <c r="G144" s="12" t="n">
        <v>-73.288</v>
      </c>
      <c r="H144" s="12" t="n">
        <v>467.838</v>
      </c>
      <c r="I144" s="12" t="n">
        <v>292.896</v>
      </c>
      <c r="J144" s="12" t="n">
        <v>707.543</v>
      </c>
      <c r="K144" s="12" t="n">
        <v>1076.192</v>
      </c>
      <c r="L144" s="12" t="n">
        <v>1943.215</v>
      </c>
      <c r="M144" s="12" t="n">
        <v>1514.881</v>
      </c>
      <c r="N144" s="12" t="n">
        <v>2110.47</v>
      </c>
      <c r="T144" s="12" t="n">
        <v>272.751</v>
      </c>
      <c r="U144" s="12" t="n">
        <v>4989.284</v>
      </c>
      <c r="V144" s="12" t="n">
        <v>271.129</v>
      </c>
      <c r="W144" s="12" t="n">
        <v>467.838</v>
      </c>
      <c r="X144" s="12" t="n">
        <v>1943.215</v>
      </c>
    </row>
    <row r="145">
      <c r="A145" s="9" t="inlineStr">
        <is>
          <t>비지배주주 포괄이익</t>
        </is>
      </c>
      <c r="C145" s="12" t="n">
        <v>6.861</v>
      </c>
      <c r="D145" s="12" t="n">
        <v>3.223</v>
      </c>
      <c r="E145" s="12" t="n">
        <v>8.260999999999999</v>
      </c>
      <c r="F145" s="12" t="n">
        <v>2.757</v>
      </c>
      <c r="G145" s="12" t="n">
        <v>7.253</v>
      </c>
      <c r="H145" s="12" t="n">
        <v>3.53</v>
      </c>
      <c r="I145" s="12" t="n">
        <v>6.796</v>
      </c>
      <c r="J145" s="12" t="n">
        <v>58.057</v>
      </c>
      <c r="K145" s="12" t="n">
        <v>224.714</v>
      </c>
      <c r="L145" s="12" t="n">
        <v>348.554</v>
      </c>
      <c r="M145" s="12" t="n">
        <v>392.302</v>
      </c>
      <c r="N145" s="12" t="n">
        <v>356.156</v>
      </c>
      <c r="T145" s="12" t="n">
        <v>69.051</v>
      </c>
      <c r="U145" s="12" t="n">
        <v>29.375</v>
      </c>
      <c r="V145" s="12" t="n">
        <v>3.223</v>
      </c>
      <c r="W145" s="12" t="n">
        <v>3.53</v>
      </c>
      <c r="X145" s="12" t="n">
        <v>348.554</v>
      </c>
    </row>
    <row r="147">
      <c r="A147" s="16" t="inlineStr">
        <is>
          <t>부문 · 전 항목</t>
        </is>
      </c>
      <c r="B147" s="42" t="inlineStr">
        <is>
          <t>부문 · 항목</t>
        </is>
      </c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</row>
    <row r="148">
      <c r="A148" s="5" t="inlineStr">
        <is>
          <t>항목</t>
        </is>
      </c>
      <c r="B148" s="5" t="inlineStr">
        <is>
          <t>참고</t>
        </is>
      </c>
      <c r="C148" s="5" t="inlineStr">
        <is>
          <t>2024.3Q</t>
        </is>
      </c>
      <c r="D148" s="5" t="inlineStr">
        <is>
          <t>2024.4Q</t>
        </is>
      </c>
      <c r="E148" s="5" t="inlineStr">
        <is>
          <t>2025.1Q</t>
        </is>
      </c>
      <c r="F148" s="5" t="inlineStr">
        <is>
          <t>2025.2Q</t>
        </is>
      </c>
      <c r="G148" s="5" t="inlineStr">
        <is>
          <t>2025.3Q</t>
        </is>
      </c>
      <c r="H148" s="5" t="inlineStr">
        <is>
          <t>2025.4Q</t>
        </is>
      </c>
      <c r="I148" s="5" t="inlineStr">
        <is>
          <t>2026.1Q</t>
        </is>
      </c>
      <c r="J148" s="5" t="inlineStr">
        <is>
          <t>2026.2Q</t>
        </is>
      </c>
      <c r="K148" s="5" t="inlineStr">
        <is>
          <t>2026.3Q</t>
        </is>
      </c>
      <c r="L148" s="5" t="inlineStr">
        <is>
          <t>2026.4Q</t>
        </is>
      </c>
      <c r="M148" s="5" t="inlineStr">
        <is>
          <t>2027.1Q</t>
        </is>
      </c>
      <c r="N148" s="5" t="inlineStr">
        <is>
          <t>2027.2Q</t>
        </is>
      </c>
      <c r="O148" s="5" t="inlineStr">
        <is>
          <t>2017</t>
        </is>
      </c>
      <c r="P148" s="5" t="inlineStr">
        <is>
          <t>2018</t>
        </is>
      </c>
      <c r="Q148" s="5" t="inlineStr">
        <is>
          <t>2019</t>
        </is>
      </c>
      <c r="R148" s="5" t="inlineStr">
        <is>
          <t>2020</t>
        </is>
      </c>
      <c r="S148" s="5" t="inlineStr">
        <is>
          <t>2021</t>
        </is>
      </c>
      <c r="T148" s="5" t="inlineStr">
        <is>
          <t>2022</t>
        </is>
      </c>
      <c r="U148" s="5" t="inlineStr">
        <is>
          <t>2023</t>
        </is>
      </c>
      <c r="V148" s="5" t="inlineStr">
        <is>
          <t>2024</t>
        </is>
      </c>
      <c r="W148" s="5" t="inlineStr">
        <is>
          <t>2025</t>
        </is>
      </c>
      <c r="X148" s="5" t="inlineStr">
        <is>
          <t>2026</t>
        </is>
      </c>
      <c r="Y148" s="5" t="inlineStr">
        <is>
          <t>2027(MW)</t>
        </is>
      </c>
      <c r="Z148" s="5" t="inlineStr">
        <is>
          <t>2028(MW)</t>
        </is>
      </c>
      <c r="AA148" s="5" t="inlineStr">
        <is>
          <t>2029(MW)</t>
        </is>
      </c>
      <c r="AB148" s="5" t="inlineStr">
        <is>
          <t>2030(MW)</t>
        </is>
      </c>
      <c r="AC148" s="5" t="inlineStr">
        <is>
          <t>2031(MW)</t>
        </is>
      </c>
    </row>
    <row r="149">
      <c r="A149" s="18" t="inlineStr">
        <is>
          <t>자산운용 사업 · 외부 고객 매출</t>
        </is>
      </c>
      <c r="C149" s="20" t="n">
        <v>2064.177</v>
      </c>
      <c r="D149" s="20" t="n">
        <v>2166.642</v>
      </c>
      <c r="E149" s="20" t="n">
        <v>2353.816</v>
      </c>
      <c r="F149" s="20" t="n">
        <v>2413.963</v>
      </c>
      <c r="G149" s="20" t="n">
        <v>2444.705</v>
      </c>
      <c r="H149" s="20" t="n">
        <v>2539.425</v>
      </c>
      <c r="I149" s="20" t="n">
        <v>2334.561</v>
      </c>
      <c r="J149" s="20" t="n">
        <v>4020.99</v>
      </c>
      <c r="K149" s="20" t="n">
        <v>8165.582</v>
      </c>
      <c r="L149" s="20" t="n">
        <v>11811.583</v>
      </c>
      <c r="V149" s="20" t="n">
        <v>2166.642</v>
      </c>
      <c r="W149" s="20" t="n">
        <v>2539.425</v>
      </c>
      <c r="X149" s="20" t="n">
        <v>11811.583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G150" s="15">
        <f>IF(OR(G149="",C149=""),"",IF(C149&lt;=0,"",IFERROR(G149/C149-1,"")))</f>
        <v/>
      </c>
      <c r="H150" s="15">
        <f>IF(OR(H149="",D149=""),"",IF(D149&lt;=0,"",IFERROR(H149/D149-1,"")))</f>
        <v/>
      </c>
      <c r="I150" s="15">
        <f>IF(OR(I149="",E149=""),"",IF(E149&lt;=0,"",IFERROR(I149/E149-1,"")))</f>
        <v/>
      </c>
      <c r="J150" s="15">
        <f>IF(OR(J149="",F149=""),"",IF(F149&lt;=0,"",IFERROR(J149/F149-1,"")))</f>
        <v/>
      </c>
      <c r="K150" s="15">
        <f>IF(OR(K149="",G149=""),"",IF(G149&lt;=0,"",IFERROR(K149/G149-1,"")))</f>
        <v/>
      </c>
      <c r="L150" s="15">
        <f>IF(OR(L149="",H149=""),"",IF(H149&lt;=0,"",IFERROR(L149/H149-1,"")))</f>
        <v/>
      </c>
      <c r="V150" s="15">
        <f>IF(OR(V149="",U149=""),"",IF(U149&lt;=0,"",IFERROR(V149/U149-1,"")))</f>
        <v/>
      </c>
      <c r="W150" s="15">
        <f>IF(OR(W149="",V149=""),"",IF(V149&lt;=0,"",IFERROR(W149/V149-1,"")))</f>
        <v/>
      </c>
      <c r="X150" s="15">
        <f>IF(OR(X149="",W149=""),"",IF(W149&lt;=0,"",IFERROR(X149/W149-1,"")))</f>
        <v/>
      </c>
    </row>
    <row r="151">
      <c r="A151" s="18" t="inlineStr">
        <is>
          <t>금융서비스 사업 · 외부 고객 매출</t>
        </is>
      </c>
      <c r="C151" s="20" t="n">
        <v>522.706</v>
      </c>
      <c r="D151" s="20" t="n">
        <v>394.945</v>
      </c>
      <c r="E151" s="20" t="n">
        <v>489.705</v>
      </c>
      <c r="F151" s="20" t="n">
        <v>481.097</v>
      </c>
      <c r="G151" s="20" t="n">
        <v>468.967</v>
      </c>
      <c r="H151" s="20" t="n">
        <v>377.311</v>
      </c>
      <c r="I151" s="20" t="n">
        <v>510.024</v>
      </c>
      <c r="J151" s="20" t="n">
        <v>408.038</v>
      </c>
      <c r="K151" s="20" t="n">
        <v>385.621</v>
      </c>
      <c r="L151" s="20" t="n">
        <v>223.246</v>
      </c>
      <c r="V151" s="20" t="n">
        <v>394.945</v>
      </c>
      <c r="W151" s="20" t="n">
        <v>377.311</v>
      </c>
      <c r="X151" s="20" t="n">
        <v>223.246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보고부문 합계 · 외부 고객 매출</t>
        </is>
      </c>
      <c r="C153" s="20" t="n">
        <v>2586.882</v>
      </c>
      <c r="D153" s="20" t="n">
        <v>2561.588</v>
      </c>
      <c r="E153" s="20" t="n">
        <v>2843.521</v>
      </c>
      <c r="F153" s="20" t="n">
        <v>2895.06</v>
      </c>
      <c r="G153" s="20" t="n">
        <v>2913.672</v>
      </c>
      <c r="H153" s="20" t="n">
        <v>2916.737</v>
      </c>
      <c r="I153" s="20" t="n">
        <v>2844.585</v>
      </c>
      <c r="J153" s="20" t="n">
        <v>4429.028</v>
      </c>
      <c r="K153" s="20" t="n">
        <v>8551.204</v>
      </c>
      <c r="L153" s="20" t="n">
        <v>12034.829</v>
      </c>
      <c r="V153" s="20" t="n">
        <v>2561.588</v>
      </c>
      <c r="W153" s="20" t="n">
        <v>2916.737</v>
      </c>
      <c r="X153" s="20" t="n">
        <v>12034.829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L154" s="15">
        <f>IF(OR(L153="",H153=""),"",IF(H153&lt;=0,"",IFERROR(L153/H153-1,"")))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조정액 · 외부 고객 매출</t>
        </is>
      </c>
      <c r="C155" s="20" t="n">
        <v>0</v>
      </c>
      <c r="D155" s="20" t="n">
        <v>0</v>
      </c>
      <c r="E155" s="20" t="n">
        <v>0</v>
      </c>
      <c r="F155" s="20" t="n">
        <v>0</v>
      </c>
      <c r="G155" s="20" t="n">
        <v>0</v>
      </c>
      <c r="H155" s="20" t="n">
        <v>0</v>
      </c>
      <c r="I155" s="20" t="n">
        <v>0</v>
      </c>
      <c r="J155" s="20" t="n">
        <v>0</v>
      </c>
      <c r="K155" s="20" t="n">
        <v>0</v>
      </c>
      <c r="L155" s="20" t="n">
        <v>0</v>
      </c>
      <c r="V155" s="20" t="n">
        <v>0</v>
      </c>
      <c r="W155" s="20" t="n">
        <v>0</v>
      </c>
      <c r="X155" s="20" t="n">
        <v>0</v>
      </c>
    </row>
    <row r="156">
      <c r="A156" s="9" t="inlineStr">
        <is>
          <t>외부 고객 매출</t>
        </is>
      </c>
      <c r="C156" s="12" t="n">
        <v>2586.882</v>
      </c>
      <c r="D156" s="12" t="n">
        <v>2561.588</v>
      </c>
      <c r="E156" s="12" t="n">
        <v>2843.521</v>
      </c>
      <c r="F156" s="12" t="n">
        <v>2895.06</v>
      </c>
      <c r="G156" s="12" t="n">
        <v>2913.672</v>
      </c>
      <c r="H156" s="12" t="n">
        <v>2916.737</v>
      </c>
      <c r="I156" s="12" t="n">
        <v>2844.585</v>
      </c>
      <c r="J156" s="12" t="n">
        <v>4429.028</v>
      </c>
      <c r="K156" s="12" t="n">
        <v>8551.204</v>
      </c>
      <c r="L156" s="12" t="n">
        <v>12034.829</v>
      </c>
      <c r="V156" s="12" t="n">
        <v>2561.588</v>
      </c>
      <c r="W156" s="12" t="n">
        <v>2916.737</v>
      </c>
      <c r="X156" s="12" t="n">
        <v>12034.829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IF(OR(G156="",C156=""),"",IF(C156&lt;=0,"",IFERROR(G156/C156-1,"")))</f>
        <v/>
      </c>
      <c r="H157" s="15">
        <f>IF(OR(H156="",D156=""),"",IF(D156&lt;=0,"",IFERROR(H156/D156-1,"")))</f>
        <v/>
      </c>
      <c r="I157" s="15">
        <f>IF(OR(I156="",E156=""),"",IF(E156&lt;=0,"",IFERROR(I156/E156-1,"")))</f>
        <v/>
      </c>
      <c r="J157" s="15">
        <f>IF(OR(J156="",F156=""),"",IF(F156&lt;=0,"",IFERROR(J156/F156-1,"")))</f>
        <v/>
      </c>
      <c r="K157" s="15">
        <f>IF(OR(K156="",G156=""),"",IF(G156&lt;=0,"",IFERROR(K156/G156-1,"")))</f>
        <v/>
      </c>
      <c r="L157" s="15">
        <f>IF(OR(L156="",H156=""),"",IF(H156&lt;=0,"",IFERROR(L156/H156-1,"")))</f>
        <v/>
      </c>
      <c r="V157" s="15">
        <f>IF(OR(V156="",U156=""),"",IF(U156&lt;=0,"",IFERROR(V156/U156-1,"")))</f>
        <v/>
      </c>
      <c r="W157" s="15">
        <f>IF(OR(W156="",V156=""),"",IF(V156&lt;=0,"",IFERROR(W156/V156-1,"")))</f>
        <v/>
      </c>
      <c r="X157" s="15">
        <f>IF(OR(X156="",W156=""),"",IF(W156&lt;=0,"",IFERROR(X156/W156-1,"")))</f>
        <v/>
      </c>
    </row>
    <row r="158">
      <c r="A158" s="18" t="inlineStr">
        <is>
          <t>자산운용 사업 · 부문 간 내부매출·대체</t>
        </is>
      </c>
      <c r="C158" s="20" t="n">
        <v>0.172</v>
      </c>
      <c r="D158" s="20" t="n">
        <v>0.174</v>
      </c>
      <c r="E158" s="20" t="n">
        <v>0.187</v>
      </c>
      <c r="F158" s="20" t="n">
        <v>0.18</v>
      </c>
      <c r="G158" s="20" t="n">
        <v>0.173</v>
      </c>
      <c r="H158" s="20" t="n">
        <v>0.161</v>
      </c>
      <c r="I158" s="20" t="n">
        <v>0.163</v>
      </c>
      <c r="J158" s="20" t="n">
        <v>0.167</v>
      </c>
      <c r="K158" s="20" t="n">
        <v>0.177</v>
      </c>
      <c r="L158" s="20" t="n">
        <v>0.199</v>
      </c>
      <c r="V158" s="20" t="n">
        <v>0.174</v>
      </c>
      <c r="W158" s="20" t="n">
        <v>0.161</v>
      </c>
      <c r="X158" s="20" t="n">
        <v>0.199</v>
      </c>
    </row>
    <row r="159">
      <c r="A159" s="18" t="inlineStr">
        <is>
          <t>금융서비스 사업 · 부문 간 내부매출·대체</t>
        </is>
      </c>
      <c r="C159" s="20" t="n">
        <v>1.149</v>
      </c>
      <c r="D159" s="20" t="n">
        <v>1.149</v>
      </c>
      <c r="E159" s="20" t="n">
        <v>1.149</v>
      </c>
      <c r="F159" s="20" t="n">
        <v>1.149</v>
      </c>
      <c r="G159" s="20" t="n">
        <v>1.149</v>
      </c>
      <c r="H159" s="20" t="n">
        <v>1.149</v>
      </c>
      <c r="I159" s="20" t="n">
        <v>1.149</v>
      </c>
      <c r="J159" s="20" t="n">
        <v>1.649</v>
      </c>
      <c r="K159" s="20" t="n">
        <v>2.379</v>
      </c>
      <c r="L159" s="20" t="n">
        <v>2.499</v>
      </c>
      <c r="V159" s="20" t="n">
        <v>1.149</v>
      </c>
      <c r="W159" s="20" t="n">
        <v>1.149</v>
      </c>
      <c r="X159" s="20" t="n">
        <v>2.499</v>
      </c>
    </row>
    <row r="160">
      <c r="A160" s="18" t="inlineStr">
        <is>
          <t>보고부문 합계 · 부문 간 내부매출·대체</t>
        </is>
      </c>
      <c r="C160" s="20" t="n">
        <v>1.321</v>
      </c>
      <c r="D160" s="20" t="n">
        <v>1.323</v>
      </c>
      <c r="E160" s="20" t="n">
        <v>1.336</v>
      </c>
      <c r="F160" s="20" t="n">
        <v>1.329</v>
      </c>
      <c r="G160" s="20" t="n">
        <v>1.322</v>
      </c>
      <c r="H160" s="20" t="n">
        <v>1.31</v>
      </c>
      <c r="I160" s="20" t="n">
        <v>1.312</v>
      </c>
      <c r="J160" s="20" t="n">
        <v>1.816</v>
      </c>
      <c r="K160" s="20" t="n">
        <v>2.556</v>
      </c>
      <c r="L160" s="20" t="n">
        <v>2.698</v>
      </c>
      <c r="V160" s="20" t="n">
        <v>1.323</v>
      </c>
      <c r="W160" s="20" t="n">
        <v>1.31</v>
      </c>
      <c r="X160" s="20" t="n">
        <v>2.698</v>
      </c>
    </row>
    <row r="161">
      <c r="A161" s="18" t="inlineStr">
        <is>
          <t>조정액 · 부문 간 내부매출·대체</t>
        </is>
      </c>
      <c r="C161" s="20" t="n">
        <v>-1.321</v>
      </c>
      <c r="D161" s="20" t="n">
        <v>-1.323</v>
      </c>
      <c r="E161" s="20" t="n">
        <v>-1.336</v>
      </c>
      <c r="F161" s="20" t="n">
        <v>-1.329</v>
      </c>
      <c r="G161" s="20" t="n">
        <v>-1.322</v>
      </c>
      <c r="H161" s="20" t="n">
        <v>-1.31</v>
      </c>
      <c r="I161" s="20" t="n">
        <v>-1.312</v>
      </c>
      <c r="J161" s="20" t="n">
        <v>-1.816</v>
      </c>
      <c r="K161" s="20" t="n">
        <v>-2.556</v>
      </c>
      <c r="L161" s="20" t="n">
        <v>-2.698</v>
      </c>
      <c r="V161" s="20" t="n">
        <v>-1.323</v>
      </c>
      <c r="W161" s="20" t="n">
        <v>-1.31</v>
      </c>
      <c r="X161" s="20" t="n">
        <v>-2.698</v>
      </c>
    </row>
    <row r="162">
      <c r="A162" s="18" t="inlineStr">
        <is>
          <t>부문 간 내부매출·대체</t>
        </is>
      </c>
      <c r="C162" s="20" t="n">
        <v>0</v>
      </c>
      <c r="D162" s="20" t="n">
        <v>0</v>
      </c>
      <c r="E162" s="20" t="n">
        <v>0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0</v>
      </c>
      <c r="K162" s="20" t="n">
        <v>0</v>
      </c>
      <c r="L162" s="20" t="n">
        <v>0</v>
      </c>
      <c r="V162" s="20" t="n">
        <v>0</v>
      </c>
      <c r="W162" s="20" t="n">
        <v>0</v>
      </c>
      <c r="X162" s="20" t="n">
        <v>0</v>
      </c>
    </row>
    <row r="163">
      <c r="A163" s="18" t="inlineStr">
        <is>
          <t>자산운용 사업 · 계</t>
        </is>
      </c>
      <c r="C163" s="20" t="n">
        <v>2064.348</v>
      </c>
      <c r="D163" s="20" t="n">
        <v>2166.817</v>
      </c>
      <c r="E163" s="20" t="n">
        <v>2354.003</v>
      </c>
      <c r="F163" s="20" t="n">
        <v>2414.143</v>
      </c>
      <c r="G163" s="20" t="n">
        <v>2444.879</v>
      </c>
      <c r="H163" s="20" t="n">
        <v>2539.586</v>
      </c>
      <c r="I163" s="20" t="n">
        <v>2334.725</v>
      </c>
      <c r="J163" s="20" t="n">
        <v>4021.156</v>
      </c>
      <c r="K163" s="20" t="n">
        <v>8165.76</v>
      </c>
      <c r="L163" s="20" t="n">
        <v>11811.781</v>
      </c>
      <c r="V163" s="20" t="n">
        <v>2166.817</v>
      </c>
      <c r="W163" s="20" t="n">
        <v>2539.586</v>
      </c>
      <c r="X163" s="20" t="n">
        <v>11811.781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금융서비스 사업 · 계</t>
        </is>
      </c>
      <c r="C165" s="20" t="n">
        <v>523.855</v>
      </c>
      <c r="D165" s="20" t="n">
        <v>396.094</v>
      </c>
      <c r="E165" s="20" t="n">
        <v>490.854</v>
      </c>
      <c r="F165" s="20" t="n">
        <v>482.246</v>
      </c>
      <c r="G165" s="20" t="n">
        <v>470.116</v>
      </c>
      <c r="H165" s="20" t="n">
        <v>378.46</v>
      </c>
      <c r="I165" s="20" t="n">
        <v>511.173</v>
      </c>
      <c r="J165" s="20" t="n">
        <v>409.687</v>
      </c>
      <c r="K165" s="20" t="n">
        <v>388</v>
      </c>
      <c r="L165" s="20" t="n">
        <v>225.745</v>
      </c>
      <c r="V165" s="20" t="n">
        <v>396.094</v>
      </c>
      <c r="W165" s="20" t="n">
        <v>378.46</v>
      </c>
      <c r="X165" s="20" t="n">
        <v>225.745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보고부문 합계 · 계</t>
        </is>
      </c>
      <c r="C167" s="20" t="n">
        <v>2588.203</v>
      </c>
      <c r="D167" s="20" t="n">
        <v>2562.911</v>
      </c>
      <c r="E167" s="20" t="n">
        <v>2844.857</v>
      </c>
      <c r="F167" s="20" t="n">
        <v>2896.389</v>
      </c>
      <c r="G167" s="20" t="n">
        <v>2914.995</v>
      </c>
      <c r="H167" s="20" t="n">
        <v>2918.047</v>
      </c>
      <c r="I167" s="20" t="n">
        <v>2845.898</v>
      </c>
      <c r="J167" s="20" t="n">
        <v>4430.843</v>
      </c>
      <c r="K167" s="20" t="n">
        <v>8553.76</v>
      </c>
      <c r="L167" s="20" t="n">
        <v>12037.527</v>
      </c>
      <c r="V167" s="20" t="n">
        <v>2562.911</v>
      </c>
      <c r="W167" s="20" t="n">
        <v>2918.047</v>
      </c>
      <c r="X167" s="20" t="n">
        <v>12037.527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조정액 · 계</t>
        </is>
      </c>
      <c r="C169" s="20" t="n">
        <v>-1.321</v>
      </c>
      <c r="D169" s="20" t="n">
        <v>-1.323</v>
      </c>
      <c r="E169" s="20" t="n">
        <v>-1.336</v>
      </c>
      <c r="F169" s="20" t="n">
        <v>-1.329</v>
      </c>
      <c r="G169" s="20" t="n">
        <v>-1.322</v>
      </c>
      <c r="H169" s="20" t="n">
        <v>-1.31</v>
      </c>
      <c r="I169" s="20" t="n">
        <v>-1.312</v>
      </c>
      <c r="J169" s="20" t="n">
        <v>-1.816</v>
      </c>
      <c r="K169" s="20" t="n">
        <v>-2.556</v>
      </c>
      <c r="L169" s="20" t="n">
        <v>-2.698</v>
      </c>
      <c r="V169" s="20" t="n">
        <v>-1.323</v>
      </c>
      <c r="W169" s="20" t="n">
        <v>-1.31</v>
      </c>
      <c r="X169" s="20" t="n">
        <v>-2.698</v>
      </c>
    </row>
    <row r="170">
      <c r="A170" s="9" t="inlineStr">
        <is>
          <t>계</t>
        </is>
      </c>
      <c r="C170" s="12" t="n">
        <v>2586.882</v>
      </c>
      <c r="D170" s="12" t="n">
        <v>2561.588</v>
      </c>
      <c r="E170" s="12" t="n">
        <v>2843.521</v>
      </c>
      <c r="F170" s="12" t="n">
        <v>2895.06</v>
      </c>
      <c r="G170" s="12" t="n">
        <v>2913.672</v>
      </c>
      <c r="H170" s="12" t="n">
        <v>2916.737</v>
      </c>
      <c r="I170" s="12" t="n">
        <v>2844.585</v>
      </c>
      <c r="J170" s="12" t="n">
        <v>4429.028</v>
      </c>
      <c r="K170" s="12" t="n">
        <v>8551.204</v>
      </c>
      <c r="L170" s="12" t="n">
        <v>12034.829</v>
      </c>
      <c r="V170" s="12" t="n">
        <v>2561.588</v>
      </c>
      <c r="W170" s="12" t="n">
        <v>2916.737</v>
      </c>
      <c r="X170" s="12" t="n">
        <v>12034.829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I171" s="15">
        <f>IF(OR(I170="",E170=""),"",IF(E170&lt;=0,"",IFERROR(I170/E170-1,"")))</f>
        <v/>
      </c>
      <c r="J171" s="15">
        <f>IF(OR(J170="",F170=""),"",IF(F170&lt;=0,"",IFERROR(J170/F170-1,"")))</f>
        <v/>
      </c>
      <c r="K171" s="15">
        <f>IF(OR(K170="",G170=""),"",IF(G170&lt;=0,"",IFERROR(K170/G170-1,"")))</f>
        <v/>
      </c>
      <c r="L171" s="15">
        <f>IF(OR(L170="",H170=""),"",IF(H170&lt;=0,"",IFERROR(L170/H170-1,"")))</f>
        <v/>
      </c>
      <c r="V171" s="15">
        <f>IF(OR(V170="",U170=""),"",IF(U170&lt;=0,"",IFERROR(V170/U170-1,"")))</f>
        <v/>
      </c>
      <c r="W171" s="15">
        <f>IF(OR(W170="",V170=""),"",IF(V170&lt;=0,"",IFERROR(W170/V170-1,"")))</f>
        <v/>
      </c>
      <c r="X171" s="15">
        <f>IF(OR(X170="",W170=""),"",IF(W170&lt;=0,"",IFERROR(X170/W170-1,"")))</f>
        <v/>
      </c>
    </row>
    <row r="172">
      <c r="A172" s="18" t="inlineStr">
        <is>
          <t>자산운용 사업 · 부문 이익</t>
        </is>
      </c>
      <c r="C172" s="20" t="n">
        <v>451.494</v>
      </c>
      <c r="D172" s="20" t="n">
        <v>481.032</v>
      </c>
      <c r="E172" s="20" t="n">
        <v>512.478</v>
      </c>
      <c r="F172" s="20" t="n">
        <v>537.938</v>
      </c>
      <c r="G172" s="20" t="n">
        <v>519.83</v>
      </c>
      <c r="H172" s="20" t="n">
        <v>551.551</v>
      </c>
      <c r="I172" s="20" t="n">
        <v>445.585</v>
      </c>
      <c r="J172" s="20" t="n">
        <v>869.7910000000001</v>
      </c>
      <c r="K172" s="20" t="n">
        <v>1451.942</v>
      </c>
      <c r="L172" s="20" t="n">
        <v>2921.9</v>
      </c>
      <c r="V172" s="20" t="n">
        <v>481.032</v>
      </c>
      <c r="W172" s="20" t="n">
        <v>551.551</v>
      </c>
      <c r="X172" s="20" t="n">
        <v>2921.9</v>
      </c>
    </row>
    <row r="173">
      <c r="A173" s="43" t="inlineStr">
        <is>
          <t>OPM</t>
        </is>
      </c>
      <c r="B173" s="3" t="inlineStr">
        <is>
          <t>영업이익 ÷ 매출</t>
        </is>
      </c>
      <c r="C173" s="15">
        <f>IF(OR(C172="",C163=""),"",IF(C163&lt;=0,"",IFERROR(C172/C163,"")))</f>
        <v/>
      </c>
      <c r="D173" s="15">
        <f>IF(OR(D172="",D163=""),"",IF(D163&lt;=0,"",IFERROR(D172/D163,"")))</f>
        <v/>
      </c>
      <c r="E173" s="15">
        <f>IF(OR(E172="",E163=""),"",IF(E163&lt;=0,"",IFERROR(E172/E163,"")))</f>
        <v/>
      </c>
      <c r="F173" s="15">
        <f>IF(OR(F172="",F163=""),"",IF(F163&lt;=0,"",IFERROR(F172/F163,"")))</f>
        <v/>
      </c>
      <c r="G173" s="15">
        <f>IF(OR(G172="",G163=""),"",IF(G163&lt;=0,"",IFERROR(G172/G163,"")))</f>
        <v/>
      </c>
      <c r="H173" s="15">
        <f>IF(OR(H172="",H163=""),"",IF(H163&lt;=0,"",IFERROR(H172/H163,"")))</f>
        <v/>
      </c>
      <c r="I173" s="15">
        <f>IF(OR(I172="",I163=""),"",IF(I163&lt;=0,"",IFERROR(I172/I163,"")))</f>
        <v/>
      </c>
      <c r="J173" s="15">
        <f>IF(OR(J172="",J163=""),"",IF(J163&lt;=0,"",IFERROR(J172/J163,"")))</f>
        <v/>
      </c>
      <c r="K173" s="15">
        <f>IF(OR(K172="",K163=""),"",IF(K163&lt;=0,"",IFERROR(K172/K163,"")))</f>
        <v/>
      </c>
      <c r="L173" s="15">
        <f>IF(OR(L172="",L163=""),"",IF(L163&lt;=0,"",IFERROR(L172/L163,"")))</f>
        <v/>
      </c>
      <c r="V173" s="15">
        <f>IF(OR(V172="",V163=""),"",IF(V163&lt;=0,"",IFERROR(V172/V163,"")))</f>
        <v/>
      </c>
      <c r="W173" s="15">
        <f>IF(OR(W172="",W163=""),"",IF(W163&lt;=0,"",IFERROR(W172/W163,"")))</f>
        <v/>
      </c>
      <c r="X173" s="15">
        <f>IF(OR(X172="",X163=""),"",IF(X163&lt;=0,"",IFERROR(X172/X163,"")))</f>
        <v/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IF(OR(G172="",C172=""),"",IF(C172&lt;=0,"",IFERROR(G172/C172-1,"")))</f>
        <v/>
      </c>
      <c r="H174" s="15">
        <f>IF(OR(H172="",D172=""),"",IF(D172&lt;=0,"",IFERROR(H172/D172-1,"")))</f>
        <v/>
      </c>
      <c r="I174" s="15">
        <f>IF(OR(I172="",E172=""),"",IF(E172&lt;=0,"",IFERROR(I172/E172-1,"")))</f>
        <v/>
      </c>
      <c r="J174" s="15">
        <f>IF(OR(J172="",F172=""),"",IF(F172&lt;=0,"",IFERROR(J172/F172-1,"")))</f>
        <v/>
      </c>
      <c r="K174" s="15">
        <f>IF(OR(K172="",G172=""),"",IF(G172&lt;=0,"",IFERROR(K172/G172-1,"")))</f>
        <v/>
      </c>
      <c r="L174" s="15">
        <f>IF(OR(L172="",H172=""),"",IF(H172&lt;=0,"",IFERROR(L172/H172-1,"")))</f>
        <v/>
      </c>
      <c r="V174" s="15">
        <f>IF(OR(V172="",U172=""),"",IF(U172&lt;=0,"",IFERROR(V172/U172-1,"")))</f>
        <v/>
      </c>
      <c r="W174" s="15">
        <f>IF(OR(W172="",V172=""),"",IF(V172&lt;=0,"",IFERROR(W172/V172-1,"")))</f>
        <v/>
      </c>
      <c r="X174" s="15">
        <f>IF(OR(X172="",W172=""),"",IF(W172&lt;=0,"",IFERROR(X172/W172-1,"")))</f>
        <v/>
      </c>
    </row>
    <row r="175">
      <c r="A175" s="18" t="inlineStr">
        <is>
          <t>금융서비스 사업 · 부문 이익</t>
        </is>
      </c>
      <c r="C175" s="20" t="n">
        <v>91.28400000000001</v>
      </c>
      <c r="D175" s="20" t="n">
        <v>-40.21</v>
      </c>
      <c r="E175" s="20" t="n">
        <v>88.72799999999999</v>
      </c>
      <c r="F175" s="20" t="n">
        <v>79.43300000000001</v>
      </c>
      <c r="G175" s="20" t="n">
        <v>443.955</v>
      </c>
      <c r="H175" s="20" t="n">
        <v>25.588</v>
      </c>
      <c r="I175" s="20" t="n">
        <v>67.51600000000001</v>
      </c>
      <c r="J175" s="20" t="n">
        <v>33.553</v>
      </c>
      <c r="K175" s="20" t="n">
        <v>438.926</v>
      </c>
      <c r="L175" s="20" t="n">
        <v>-265.551</v>
      </c>
      <c r="V175" s="20" t="n">
        <v>-40.21</v>
      </c>
      <c r="W175" s="20" t="n">
        <v>25.588</v>
      </c>
      <c r="X175" s="20" t="n">
        <v>-265.551</v>
      </c>
    </row>
    <row r="176">
      <c r="A176" s="43" t="inlineStr">
        <is>
          <t>OPM</t>
        </is>
      </c>
      <c r="B176" s="3" t="inlineStr">
        <is>
          <t>영업이익 ÷ 매출</t>
        </is>
      </c>
      <c r="C176" s="15">
        <f>IF(OR(C175="",C165=""),"",IF(C165&lt;=0,"",IFERROR(C175/C165,"")))</f>
        <v/>
      </c>
      <c r="D176" s="15">
        <f>IF(OR(D175="",D165=""),"",IF(D165&lt;=0,"",IFERROR(D175/D165,"")))</f>
        <v/>
      </c>
      <c r="E176" s="15">
        <f>IF(OR(E175="",E165=""),"",IF(E165&lt;=0,"",IFERROR(E175/E165,"")))</f>
        <v/>
      </c>
      <c r="F176" s="15">
        <f>IF(OR(F175="",F165=""),"",IF(F165&lt;=0,"",IFERROR(F175/F165,"")))</f>
        <v/>
      </c>
      <c r="G176" s="15">
        <f>IF(OR(G175="",G165=""),"",IF(G165&lt;=0,"",IFERROR(G175/G165,"")))</f>
        <v/>
      </c>
      <c r="H176" s="15">
        <f>IF(OR(H175="",H165=""),"",IF(H165&lt;=0,"",IFERROR(H175/H165,"")))</f>
        <v/>
      </c>
      <c r="I176" s="15">
        <f>IF(OR(I175="",I165=""),"",IF(I165&lt;=0,"",IFERROR(I175/I165,"")))</f>
        <v/>
      </c>
      <c r="J176" s="15">
        <f>IF(OR(J175="",J165=""),"",IF(J165&lt;=0,"",IFERROR(J175/J165,"")))</f>
        <v/>
      </c>
      <c r="K176" s="15">
        <f>IF(OR(K175="",K165=""),"",IF(K165&lt;=0,"",IFERROR(K175/K165,"")))</f>
        <v/>
      </c>
      <c r="L176" s="15">
        <f>IF(OR(L175="",L165=""),"",IF(L165&lt;=0,"",IFERROR(L175/L165,"")))</f>
        <v/>
      </c>
      <c r="V176" s="15">
        <f>IF(OR(V175="",V165=""),"",IF(V165&lt;=0,"",IFERROR(V175/V165,"")))</f>
        <v/>
      </c>
      <c r="W176" s="15">
        <f>IF(OR(W175="",W165=""),"",IF(W165&lt;=0,"",IFERROR(W175/W165,"")))</f>
        <v/>
      </c>
      <c r="X176" s="15">
        <f>IF(OR(X175="",X165=""),"",IF(X165&lt;=0,"",IFERROR(X175/X165,"")))</f>
        <v/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IF(OR(G175="",C175=""),"",IF(C175&lt;=0,"",IFERROR(G175/C175-1,"")))</f>
        <v/>
      </c>
      <c r="H177" s="15">
        <f>IF(OR(H175="",D175=""),"",IF(D175&lt;=0,"",IFERROR(H175/D175-1,"")))</f>
        <v/>
      </c>
      <c r="I177" s="15">
        <f>IF(OR(I175="",E175=""),"",IF(E175&lt;=0,"",IFERROR(I175/E175-1,"")))</f>
        <v/>
      </c>
      <c r="J177" s="15">
        <f>IF(OR(J175="",F175=""),"",IF(F175&lt;=0,"",IFERROR(J175/F175-1,"")))</f>
        <v/>
      </c>
      <c r="K177" s="15">
        <f>IF(OR(K175="",G175=""),"",IF(G175&lt;=0,"",IFERROR(K175/G175-1,"")))</f>
        <v/>
      </c>
      <c r="L177" s="15">
        <f>IF(OR(L175="",H175=""),"",IF(H175&lt;=0,"",IFERROR(L175/H175-1,"")))</f>
        <v/>
      </c>
      <c r="V177" s="15">
        <f>IF(OR(V175="",U175=""),"",IF(U175&lt;=0,"",IFERROR(V175/U175-1,"")))</f>
        <v/>
      </c>
      <c r="W177" s="15">
        <f>IF(OR(W175="",V175=""),"",IF(V175&lt;=0,"",IFERROR(W175/V175-1,"")))</f>
        <v/>
      </c>
      <c r="X177" s="15">
        <f>IF(OR(X175="",W175=""),"",IF(W175&lt;=0,"",IFERROR(X175/W175-1,"")))</f>
        <v/>
      </c>
    </row>
    <row r="178">
      <c r="A178" s="18" t="inlineStr">
        <is>
          <t>보고부문 합계 · 부문 이익</t>
        </is>
      </c>
      <c r="C178" s="20" t="n">
        <v>542.779</v>
      </c>
      <c r="D178" s="20" t="n">
        <v>440.822</v>
      </c>
      <c r="E178" s="20" t="n">
        <v>601.206</v>
      </c>
      <c r="F178" s="20" t="n">
        <v>617.372</v>
      </c>
      <c r="G178" s="20" t="n">
        <v>963.784</v>
      </c>
      <c r="H178" s="20" t="n">
        <v>577.14</v>
      </c>
      <c r="I178" s="20" t="n">
        <v>513.102</v>
      </c>
      <c r="J178" s="20" t="n">
        <v>903.343</v>
      </c>
      <c r="K178" s="20" t="n">
        <v>1890.868</v>
      </c>
      <c r="L178" s="20" t="n">
        <v>2656.35</v>
      </c>
      <c r="V178" s="20" t="n">
        <v>440.822</v>
      </c>
      <c r="W178" s="20" t="n">
        <v>577.14</v>
      </c>
      <c r="X178" s="20" t="n">
        <v>2656.35</v>
      </c>
    </row>
    <row r="179">
      <c r="A179" s="43" t="inlineStr">
        <is>
          <t>OPM</t>
        </is>
      </c>
      <c r="B179" s="3" t="inlineStr">
        <is>
          <t>영업이익 ÷ 매출</t>
        </is>
      </c>
      <c r="C179" s="15">
        <f>IF(OR(C178="",C167=""),"",IF(C167&lt;=0,"",IFERROR(C178/C167,"")))</f>
        <v/>
      </c>
      <c r="D179" s="15">
        <f>IF(OR(D178="",D167=""),"",IF(D167&lt;=0,"",IFERROR(D178/D167,"")))</f>
        <v/>
      </c>
      <c r="E179" s="15">
        <f>IF(OR(E178="",E167=""),"",IF(E167&lt;=0,"",IFERROR(E178/E167,"")))</f>
        <v/>
      </c>
      <c r="F179" s="15">
        <f>IF(OR(F178="",F167=""),"",IF(F167&lt;=0,"",IFERROR(F178/F167,"")))</f>
        <v/>
      </c>
      <c r="G179" s="15">
        <f>IF(OR(G178="",G167=""),"",IF(G167&lt;=0,"",IFERROR(G178/G167,"")))</f>
        <v/>
      </c>
      <c r="H179" s="15">
        <f>IF(OR(H178="",H167=""),"",IF(H167&lt;=0,"",IFERROR(H178/H167,"")))</f>
        <v/>
      </c>
      <c r="I179" s="15">
        <f>IF(OR(I178="",I167=""),"",IF(I167&lt;=0,"",IFERROR(I178/I167,"")))</f>
        <v/>
      </c>
      <c r="J179" s="15">
        <f>IF(OR(J178="",J167=""),"",IF(J167&lt;=0,"",IFERROR(J178/J167,"")))</f>
        <v/>
      </c>
      <c r="K179" s="15">
        <f>IF(OR(K178="",K167=""),"",IF(K167&lt;=0,"",IFERROR(K178/K167,"")))</f>
        <v/>
      </c>
      <c r="L179" s="15">
        <f>IF(OR(L178="",L167=""),"",IF(L167&lt;=0,"",IFERROR(L178/L167,"")))</f>
        <v/>
      </c>
      <c r="V179" s="15">
        <f>IF(OR(V178="",V167=""),"",IF(V167&lt;=0,"",IFERROR(V178/V167,"")))</f>
        <v/>
      </c>
      <c r="W179" s="15">
        <f>IF(OR(W178="",W167=""),"",IF(W167&lt;=0,"",IFERROR(W178/W167,"")))</f>
        <v/>
      </c>
      <c r="X179" s="15">
        <f>IF(OR(X178="",X167=""),"",IF(X167&lt;=0,"",IFERROR(X178/X167,"")))</f>
        <v/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IF(OR(G178="",C178=""),"",IF(C178&lt;=0,"",IFERROR(G178/C178-1,"")))</f>
        <v/>
      </c>
      <c r="H180" s="15">
        <f>IF(OR(H178="",D178=""),"",IF(D178&lt;=0,"",IFERROR(H178/D178-1,"")))</f>
        <v/>
      </c>
      <c r="I180" s="15">
        <f>IF(OR(I178="",E178=""),"",IF(E178&lt;=0,"",IFERROR(I178/E178-1,"")))</f>
        <v/>
      </c>
      <c r="J180" s="15">
        <f>IF(OR(J178="",F178=""),"",IF(F178&lt;=0,"",IFERROR(J178/F178-1,"")))</f>
        <v/>
      </c>
      <c r="K180" s="15">
        <f>IF(OR(K178="",G178=""),"",IF(G178&lt;=0,"",IFERROR(K178/G178-1,"")))</f>
        <v/>
      </c>
      <c r="L180" s="15">
        <f>IF(OR(L178="",H178=""),"",IF(H178&lt;=0,"",IFERROR(L178/H178-1,"")))</f>
        <v/>
      </c>
      <c r="V180" s="15">
        <f>IF(OR(V178="",U178=""),"",IF(U178&lt;=0,"",IFERROR(V178/U178-1,"")))</f>
        <v/>
      </c>
      <c r="W180" s="15">
        <f>IF(OR(W178="",V178=""),"",IF(V178&lt;=0,"",IFERROR(W178/V178-1,"")))</f>
        <v/>
      </c>
      <c r="X180" s="15">
        <f>IF(OR(X178="",W178=""),"",IF(W178&lt;=0,"",IFERROR(X178/W178-1,"")))</f>
        <v/>
      </c>
    </row>
    <row r="181">
      <c r="A181" s="18" t="inlineStr">
        <is>
          <t>조정액 · 부문 이익</t>
        </is>
      </c>
      <c r="C181" s="20" t="n">
        <v>0</v>
      </c>
      <c r="D181" s="20" t="n">
        <v>0</v>
      </c>
      <c r="E181" s="20" t="n">
        <v>0</v>
      </c>
      <c r="F181" s="20" t="n">
        <v>0</v>
      </c>
      <c r="G181" s="20" t="n">
        <v>-373.418</v>
      </c>
      <c r="H181" s="20" t="n">
        <v>-116.81</v>
      </c>
      <c r="I181" s="20" t="n">
        <v>0</v>
      </c>
      <c r="J181" s="20" t="n">
        <v>0</v>
      </c>
      <c r="K181" s="20" t="n">
        <v>-469.16</v>
      </c>
      <c r="L181" s="20" t="n">
        <v>-339.922</v>
      </c>
      <c r="V181" s="20" t="n">
        <v>0</v>
      </c>
      <c r="W181" s="20" t="n">
        <v>-116.81</v>
      </c>
      <c r="X181" s="20" t="n">
        <v>-339.922</v>
      </c>
    </row>
    <row r="182">
      <c r="A182" s="9" t="inlineStr">
        <is>
          <t>부문 이익</t>
        </is>
      </c>
      <c r="C182" s="12" t="n">
        <v>542.779</v>
      </c>
      <c r="D182" s="12" t="n">
        <v>440.822</v>
      </c>
      <c r="E182" s="12" t="n">
        <v>601.206</v>
      </c>
      <c r="F182" s="12" t="n">
        <v>617.372</v>
      </c>
      <c r="G182" s="12" t="n">
        <v>590.366</v>
      </c>
      <c r="H182" s="12" t="n">
        <v>460.33</v>
      </c>
      <c r="I182" s="12" t="n">
        <v>513.102</v>
      </c>
      <c r="J182" s="12" t="n">
        <v>903.343</v>
      </c>
      <c r="K182" s="12" t="n">
        <v>1421.708</v>
      </c>
      <c r="L182" s="12" t="n">
        <v>2316.428</v>
      </c>
      <c r="V182" s="12" t="n">
        <v>440.822</v>
      </c>
      <c r="W182" s="12" t="n">
        <v>460.33</v>
      </c>
      <c r="X182" s="12" t="n">
        <v>2316.428</v>
      </c>
    </row>
    <row r="183">
      <c r="A183" s="43" t="inlineStr">
        <is>
          <t>OPM</t>
        </is>
      </c>
      <c r="B183" s="3" t="inlineStr">
        <is>
          <t>영업이익 ÷ 매출</t>
        </is>
      </c>
      <c r="C183" s="15">
        <f>IF(OR(C182="",C156=""),"",IF(C156&lt;=0,"",IFERROR(C182/C156,"")))</f>
        <v/>
      </c>
      <c r="D183" s="15">
        <f>IF(OR(D182="",D156=""),"",IF(D156&lt;=0,"",IFERROR(D182/D156,"")))</f>
        <v/>
      </c>
      <c r="E183" s="15">
        <f>IF(OR(E182="",E156=""),"",IF(E156&lt;=0,"",IFERROR(E182/E156,"")))</f>
        <v/>
      </c>
      <c r="F183" s="15">
        <f>IF(OR(F182="",F156=""),"",IF(F156&lt;=0,"",IFERROR(F182/F156,"")))</f>
        <v/>
      </c>
      <c r="G183" s="15">
        <f>IF(OR(G182="",G156=""),"",IF(G156&lt;=0,"",IFERROR(G182/G156,"")))</f>
        <v/>
      </c>
      <c r="H183" s="15">
        <f>IF(OR(H182="",H156=""),"",IF(H156&lt;=0,"",IFERROR(H182/H156,"")))</f>
        <v/>
      </c>
      <c r="I183" s="15">
        <f>IF(OR(I182="",I156=""),"",IF(I156&lt;=0,"",IFERROR(I182/I156,"")))</f>
        <v/>
      </c>
      <c r="J183" s="15">
        <f>IF(OR(J182="",J156=""),"",IF(J156&lt;=0,"",IFERROR(J182/J156,"")))</f>
        <v/>
      </c>
      <c r="K183" s="15">
        <f>IF(OR(K182="",K156=""),"",IF(K156&lt;=0,"",IFERROR(K182/K156,"")))</f>
        <v/>
      </c>
      <c r="L183" s="15">
        <f>IF(OR(L182="",L156=""),"",IF(L156&lt;=0,"",IFERROR(L182/L156,"")))</f>
        <v/>
      </c>
      <c r="V183" s="15">
        <f>IF(OR(V182="",V156=""),"",IF(V156&lt;=0,"",IFERROR(V182/V156,"")))</f>
        <v/>
      </c>
      <c r="W183" s="15">
        <f>IF(OR(W182="",W156=""),"",IF(W156&lt;=0,"",IFERROR(W182/W156,"")))</f>
        <v/>
      </c>
      <c r="X183" s="15">
        <f>IF(OR(X182="",X156=""),"",IF(X156&lt;=0,"",IFERROR(X182/X156,"")))</f>
        <v/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IF(OR(G182="",C182=""),"",IF(C182&lt;=0,"",IFERROR(G182/C182-1,"")))</f>
        <v/>
      </c>
      <c r="H184" s="15">
        <f>IF(OR(H182="",D182=""),"",IF(D182&lt;=0,"",IFERROR(H182/D182-1,"")))</f>
        <v/>
      </c>
      <c r="I184" s="15">
        <f>IF(OR(I182="",E182=""),"",IF(E182&lt;=0,"",IFERROR(I182/E182-1,"")))</f>
        <v/>
      </c>
      <c r="J184" s="15">
        <f>IF(OR(J182="",F182=""),"",IF(F182&lt;=0,"",IFERROR(J182/F182-1,"")))</f>
        <v/>
      </c>
      <c r="K184" s="15">
        <f>IF(OR(K182="",G182=""),"",IF(G182&lt;=0,"",IFERROR(K182/G182-1,"")))</f>
        <v/>
      </c>
      <c r="L184" s="15">
        <f>IF(OR(L182="",H182=""),"",IF(H182&lt;=0,"",IFERROR(L182/H182-1,"")))</f>
        <v/>
      </c>
      <c r="V184" s="15">
        <f>IF(OR(V182="",U182=""),"",IF(U182&lt;=0,"",IFERROR(V182/U182-1,"")))</f>
        <v/>
      </c>
      <c r="W184" s="15">
        <f>IF(OR(W182="",V182=""),"",IF(V182&lt;=0,"",IFERROR(W182/V182-1,"")))</f>
        <v/>
      </c>
      <c r="X184" s="15">
        <f>IF(OR(X182="",W182=""),"",IF(W182&lt;=0,"",IFERROR(X182/W182-1,"")))</f>
        <v/>
      </c>
    </row>
    <row r="186">
      <c r="A186" s="16" t="inlineStr">
        <is>
          <t>현금흐름표 · 전 항목</t>
        </is>
      </c>
      <c r="B186" s="42" t="inlineStr">
        <is>
          <t>분기 = 결산기 첫날부터 누계(공시 그대로)</t>
        </is>
      </c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</row>
    <row r="187">
      <c r="A187" s="5" t="inlineStr">
        <is>
          <t>항목</t>
        </is>
      </c>
      <c r="B187" s="5" t="inlineStr">
        <is>
          <t>참고</t>
        </is>
      </c>
      <c r="C187" s="5" t="inlineStr">
        <is>
          <t>2024.3Q</t>
        </is>
      </c>
      <c r="D187" s="5" t="inlineStr">
        <is>
          <t>2024.4Q</t>
        </is>
      </c>
      <c r="E187" s="5" t="inlineStr">
        <is>
          <t>2025.1Q</t>
        </is>
      </c>
      <c r="F187" s="5" t="inlineStr">
        <is>
          <t>2025.2Q</t>
        </is>
      </c>
      <c r="G187" s="5" t="inlineStr">
        <is>
          <t>2025.3Q</t>
        </is>
      </c>
      <c r="H187" s="5" t="inlineStr">
        <is>
          <t>2025.4Q</t>
        </is>
      </c>
      <c r="I187" s="5" t="inlineStr">
        <is>
          <t>2026.1Q</t>
        </is>
      </c>
      <c r="J187" s="5" t="inlineStr">
        <is>
          <t>2026.2Q</t>
        </is>
      </c>
      <c r="K187" s="5" t="inlineStr">
        <is>
          <t>2026.3Q</t>
        </is>
      </c>
      <c r="L187" s="5" t="inlineStr">
        <is>
          <t>2026.4Q</t>
        </is>
      </c>
      <c r="M187" s="5" t="inlineStr">
        <is>
          <t>2027.1Q</t>
        </is>
      </c>
      <c r="N187" s="5" t="inlineStr">
        <is>
          <t>2027.2Q</t>
        </is>
      </c>
      <c r="O187" s="5" t="inlineStr">
        <is>
          <t>2017</t>
        </is>
      </c>
      <c r="P187" s="5" t="inlineStr">
        <is>
          <t>2018</t>
        </is>
      </c>
      <c r="Q187" s="5" t="inlineStr">
        <is>
          <t>2019</t>
        </is>
      </c>
      <c r="R187" s="5" t="inlineStr">
        <is>
          <t>2020</t>
        </is>
      </c>
      <c r="S187" s="5" t="inlineStr">
        <is>
          <t>2021</t>
        </is>
      </c>
      <c r="T187" s="5" t="inlineStr">
        <is>
          <t>2022</t>
        </is>
      </c>
      <c r="U187" s="5" t="inlineStr">
        <is>
          <t>2023</t>
        </is>
      </c>
      <c r="V187" s="5" t="inlineStr">
        <is>
          <t>2024</t>
        </is>
      </c>
      <c r="W187" s="5" t="inlineStr">
        <is>
          <t>2025</t>
        </is>
      </c>
      <c r="X187" s="5" t="inlineStr">
        <is>
          <t>2026</t>
        </is>
      </c>
      <c r="Y187" s="5" t="inlineStr">
        <is>
          <t>2027(MW)</t>
        </is>
      </c>
      <c r="Z187" s="5" t="inlineStr">
        <is>
          <t>2028(MW)</t>
        </is>
      </c>
      <c r="AA187" s="5" t="inlineStr">
        <is>
          <t>2029(MW)</t>
        </is>
      </c>
      <c r="AB187" s="5" t="inlineStr">
        <is>
          <t>2030(MW)</t>
        </is>
      </c>
      <c r="AC187" s="5" t="inlineStr">
        <is>
          <t>2031(MW)</t>
        </is>
      </c>
    </row>
    <row r="188">
      <c r="A188" s="9" t="inlineStr">
        <is>
          <t>법인세차감전 순이익</t>
        </is>
      </c>
      <c r="D188" s="12" t="n">
        <v>2510.11</v>
      </c>
      <c r="F188" s="12" t="n">
        <v>1424.407</v>
      </c>
      <c r="H188" s="12" t="n">
        <v>2564.971</v>
      </c>
      <c r="J188" s="12" t="n">
        <v>1770.64</v>
      </c>
      <c r="L188" s="12" t="n">
        <v>5542.849</v>
      </c>
      <c r="N188" s="12" t="n">
        <v>6645.787</v>
      </c>
      <c r="O188" s="12" t="n">
        <v>1765.941</v>
      </c>
      <c r="P188" s="12" t="n">
        <v>1627.294</v>
      </c>
      <c r="Q188" s="12" t="n">
        <v>1767.211</v>
      </c>
      <c r="R188" s="12" t="n">
        <v>1873.077</v>
      </c>
      <c r="S188" s="12" t="n">
        <v>2155.698</v>
      </c>
      <c r="T188" s="12" t="n">
        <v>2478.052</v>
      </c>
      <c r="U188" s="12" t="n">
        <v>8119.59</v>
      </c>
      <c r="V188" s="12" t="n">
        <v>2510.11</v>
      </c>
      <c r="W188" s="12" t="n">
        <v>2564.971</v>
      </c>
      <c r="X188" s="12" t="n">
        <v>5542.849</v>
      </c>
    </row>
    <row r="189">
      <c r="A189" s="18" t="inlineStr">
        <is>
          <t>감가상각비</t>
        </is>
      </c>
      <c r="D189" s="20" t="n">
        <v>399.544</v>
      </c>
      <c r="F189" s="20" t="n">
        <v>210.324</v>
      </c>
      <c r="H189" s="20" t="n">
        <v>432.823</v>
      </c>
      <c r="J189" s="20" t="n">
        <v>197.634</v>
      </c>
      <c r="L189" s="20" t="n">
        <v>712.4640000000001</v>
      </c>
      <c r="N189" s="20" t="n">
        <v>365.014</v>
      </c>
      <c r="O189" s="20" t="n">
        <v>122.685</v>
      </c>
      <c r="P189" s="20" t="n">
        <v>143.603</v>
      </c>
      <c r="Q189" s="20" t="n">
        <v>212.96</v>
      </c>
      <c r="R189" s="20" t="n">
        <v>299.304</v>
      </c>
      <c r="S189" s="20" t="n">
        <v>400.741</v>
      </c>
      <c r="T189" s="20" t="n">
        <v>449.754</v>
      </c>
      <c r="U189" s="20" t="n">
        <v>433.967</v>
      </c>
      <c r="V189" s="20" t="n">
        <v>399.544</v>
      </c>
      <c r="W189" s="20" t="n">
        <v>432.823</v>
      </c>
      <c r="X189" s="20" t="n">
        <v>712.4640000000001</v>
      </c>
    </row>
    <row r="190">
      <c r="A190" s="18" t="inlineStr">
        <is>
          <t>장기선급비용 상각액</t>
        </is>
      </c>
      <c r="D190" s="20" t="n">
        <v>0</v>
      </c>
      <c r="H190" s="20" t="n">
        <v>0</v>
      </c>
      <c r="J190" s="20" t="n">
        <v>0</v>
      </c>
      <c r="L190" s="20" t="n">
        <v>0.066</v>
      </c>
      <c r="N190" s="20" t="n">
        <v>1.311</v>
      </c>
      <c r="O190" s="20" t="n">
        <v>6.253</v>
      </c>
      <c r="P190" s="20" t="n">
        <v>6.152</v>
      </c>
      <c r="Q190" s="20" t="n">
        <v>4.13</v>
      </c>
      <c r="R190" s="20" t="n">
        <v>4.801</v>
      </c>
      <c r="S190" s="20" t="n">
        <v>5.12</v>
      </c>
      <c r="T190" s="20" t="n">
        <v>4.927</v>
      </c>
      <c r="U190" s="20" t="n">
        <v>4.54</v>
      </c>
      <c r="V190" s="20" t="n">
        <v>0</v>
      </c>
      <c r="W190" s="20" t="n">
        <v>0</v>
      </c>
      <c r="X190" s="20" t="n">
        <v>0.066</v>
      </c>
    </row>
    <row r="191">
      <c r="A191" s="18" t="inlineStr">
        <is>
          <t>주식보상비용</t>
        </is>
      </c>
      <c r="H191" s="20" t="n">
        <v>0</v>
      </c>
      <c r="J191" s="20" t="n">
        <v>0</v>
      </c>
      <c r="L191" s="20" t="n">
        <v>51.68</v>
      </c>
      <c r="N191" s="20" t="n">
        <v>17.553</v>
      </c>
      <c r="W191" s="20" t="n">
        <v>0</v>
      </c>
      <c r="X191" s="20" t="n">
        <v>51.68</v>
      </c>
    </row>
    <row r="192">
      <c r="A192" s="18" t="inlineStr">
        <is>
          <t>영업권 상각</t>
        </is>
      </c>
      <c r="D192" s="20" t="n">
        <v>105.743</v>
      </c>
      <c r="F192" s="20" t="n">
        <v>55.4</v>
      </c>
      <c r="H192" s="20" t="n">
        <v>110.509</v>
      </c>
      <c r="J192" s="20" t="n">
        <v>54.547</v>
      </c>
      <c r="L192" s="20" t="n">
        <v>109.769</v>
      </c>
      <c r="N192" s="20" t="n">
        <v>56.837</v>
      </c>
      <c r="O192" s="20" t="n">
        <v>52.807</v>
      </c>
      <c r="P192" s="20" t="n">
        <v>22.7</v>
      </c>
      <c r="Q192" s="20" t="n">
        <v>22.7</v>
      </c>
      <c r="R192" s="20" t="n">
        <v>84.462</v>
      </c>
      <c r="S192" s="20" t="n">
        <v>115.064</v>
      </c>
      <c r="T192" s="20" t="n">
        <v>111.904</v>
      </c>
      <c r="U192" s="20" t="n">
        <v>117.304</v>
      </c>
      <c r="V192" s="20" t="n">
        <v>105.743</v>
      </c>
      <c r="W192" s="20" t="n">
        <v>110.509</v>
      </c>
      <c r="X192" s="20" t="n">
        <v>109.769</v>
      </c>
    </row>
    <row r="193">
      <c r="A193" s="18" t="inlineStr">
        <is>
          <t>신주예약권 환입이익</t>
        </is>
      </c>
      <c r="P193" s="20" t="n">
        <v>0</v>
      </c>
      <c r="Q193" s="20" t="n">
        <v>-1.494</v>
      </c>
      <c r="R193" s="20" t="n">
        <v>0</v>
      </c>
    </row>
    <row r="194">
      <c r="A194" s="18" t="inlineStr">
        <is>
          <t>주식교부비 상각</t>
        </is>
      </c>
      <c r="D194" s="20" t="n">
        <v>7.697</v>
      </c>
      <c r="F194" s="20" t="n">
        <v>0.882</v>
      </c>
      <c r="H194" s="20" t="n">
        <v>1.384</v>
      </c>
      <c r="J194" s="20" t="n">
        <v>0.204</v>
      </c>
      <c r="L194" s="20" t="n">
        <v>1.362</v>
      </c>
      <c r="N194" s="20" t="n">
        <v>1.306</v>
      </c>
      <c r="R194" s="20" t="n">
        <v>0</v>
      </c>
      <c r="S194" s="20" t="n">
        <v>2.966</v>
      </c>
      <c r="T194" s="20" t="n">
        <v>9.278</v>
      </c>
      <c r="U194" s="20" t="n">
        <v>10.416</v>
      </c>
      <c r="V194" s="20" t="n">
        <v>7.697</v>
      </c>
      <c r="W194" s="20" t="n">
        <v>1.384</v>
      </c>
      <c r="X194" s="20" t="n">
        <v>1.362</v>
      </c>
    </row>
    <row r="195">
      <c r="A195" s="18" t="inlineStr">
        <is>
          <t>이자·배당금 수익</t>
        </is>
      </c>
      <c r="D195" s="20" t="n">
        <v>-259.469</v>
      </c>
      <c r="F195" s="20" t="n">
        <v>-157.48</v>
      </c>
      <c r="H195" s="20" t="n">
        <v>-244.325</v>
      </c>
      <c r="J195" s="20" t="n">
        <v>-116.452</v>
      </c>
      <c r="L195" s="20" t="n">
        <v>-208.963</v>
      </c>
      <c r="N195" s="20" t="n">
        <v>-106.22</v>
      </c>
      <c r="O195" s="20" t="n">
        <v>-60.259</v>
      </c>
      <c r="P195" s="20" t="n">
        <v>-122.453</v>
      </c>
      <c r="Q195" s="20" t="n">
        <v>-132.08</v>
      </c>
      <c r="R195" s="20" t="n">
        <v>-333.781</v>
      </c>
      <c r="S195" s="20" t="n">
        <v>-365.336</v>
      </c>
      <c r="T195" s="20" t="n">
        <v>-259.407</v>
      </c>
      <c r="U195" s="20" t="n">
        <v>-605.412</v>
      </c>
      <c r="V195" s="20" t="n">
        <v>-259.469</v>
      </c>
      <c r="W195" s="20" t="n">
        <v>-244.325</v>
      </c>
      <c r="X195" s="20" t="n">
        <v>-208.963</v>
      </c>
    </row>
    <row r="196">
      <c r="A196" s="18" t="inlineStr">
        <is>
          <t>투자유가증권 매각손익</t>
        </is>
      </c>
      <c r="D196" s="20" t="n">
        <v>-131.942</v>
      </c>
      <c r="F196" s="20" t="n">
        <v>-49.1</v>
      </c>
      <c r="H196" s="20" t="n">
        <v>-49.1</v>
      </c>
      <c r="J196" s="20" t="n">
        <v>-12.969</v>
      </c>
      <c r="L196" s="20" t="n">
        <v>5.772</v>
      </c>
      <c r="N196" s="20" t="n">
        <v>-42.07</v>
      </c>
      <c r="O196" s="20" t="n">
        <v>0</v>
      </c>
      <c r="P196" s="20" t="n">
        <v>119.87</v>
      </c>
      <c r="Q196" s="20" t="n">
        <v>0</v>
      </c>
      <c r="R196" s="20" t="n">
        <v>-1.154</v>
      </c>
      <c r="S196" s="20" t="n">
        <v>-26.295</v>
      </c>
      <c r="T196" s="20" t="n">
        <v>-617.349</v>
      </c>
      <c r="U196" s="20" t="n">
        <v>1546.803</v>
      </c>
      <c r="V196" s="20" t="n">
        <v>-131.942</v>
      </c>
      <c r="W196" s="20" t="n">
        <v>-49.1</v>
      </c>
      <c r="X196" s="20" t="n">
        <v>5.772</v>
      </c>
    </row>
    <row r="197">
      <c r="A197" s="18" t="inlineStr">
        <is>
          <t>단계적 취득 차손익</t>
        </is>
      </c>
      <c r="Q197" s="20" t="n">
        <v>0</v>
      </c>
      <c r="R197" s="20" t="n">
        <v>-14.1</v>
      </c>
      <c r="S197" s="20" t="n">
        <v>0</v>
      </c>
    </row>
    <row r="198">
      <c r="A198" s="18" t="inlineStr">
        <is>
          <t>사업정리 손실</t>
        </is>
      </c>
      <c r="O198" s="20" t="n">
        <v>0</v>
      </c>
      <c r="P198" s="20" t="n">
        <v>10.579</v>
      </c>
      <c r="Q198" s="20" t="n">
        <v>8.455</v>
      </c>
      <c r="R198" s="20" t="n">
        <v>0</v>
      </c>
    </row>
    <row r="199">
      <c r="A199" s="18" t="inlineStr">
        <is>
          <t>사업양도 손익</t>
        </is>
      </c>
      <c r="O199" s="20" t="n">
        <v>-617.941</v>
      </c>
      <c r="P199" s="20" t="n">
        <v>0</v>
      </c>
    </row>
    <row r="200">
      <c r="A200" s="18" t="inlineStr">
        <is>
          <t>신탁운용이익</t>
        </is>
      </c>
      <c r="O200" s="20" t="n">
        <v>-2.018</v>
      </c>
      <c r="P200" s="20" t="n">
        <v>0</v>
      </c>
    </row>
    <row r="201">
      <c r="A201" s="18" t="inlineStr">
        <is>
          <t>이전비용</t>
        </is>
      </c>
      <c r="P201" s="20" t="n">
        <v>0</v>
      </c>
      <c r="Q201" s="20" t="n">
        <v>3.064</v>
      </c>
      <c r="R201" s="20" t="n">
        <v>0</v>
      </c>
    </row>
    <row r="202">
      <c r="A202" s="18" t="inlineStr">
        <is>
          <t>투자유가증권 평가손익</t>
        </is>
      </c>
      <c r="D202" s="20" t="n">
        <v>0</v>
      </c>
      <c r="F202" s="20" t="n">
        <v>0.522</v>
      </c>
      <c r="H202" s="20" t="n">
        <v>0.522</v>
      </c>
      <c r="J202" s="20" t="n">
        <v>0</v>
      </c>
      <c r="L202" s="20" t="n">
        <v>13.999</v>
      </c>
      <c r="S202" s="20" t="n">
        <v>0</v>
      </c>
      <c r="T202" s="20" t="n">
        <v>326.3</v>
      </c>
      <c r="U202" s="20" t="n">
        <v>2.562</v>
      </c>
      <c r="V202" s="20" t="n">
        <v>0</v>
      </c>
      <c r="W202" s="20" t="n">
        <v>0.522</v>
      </c>
      <c r="X202" s="20" t="n">
        <v>13.999</v>
      </c>
    </row>
    <row r="203">
      <c r="A203" s="18" t="inlineStr">
        <is>
          <t>암호자산 평가손실</t>
        </is>
      </c>
      <c r="T203" s="20" t="n">
        <v>0</v>
      </c>
      <c r="U203" s="20" t="n">
        <v>5.924</v>
      </c>
    </row>
    <row r="204">
      <c r="A204" s="18" t="inlineStr">
        <is>
          <t>암호자산 평가손실</t>
        </is>
      </c>
      <c r="D204" s="20" t="n">
        <v>0</v>
      </c>
      <c r="U204" s="20" t="n">
        <v>5.924</v>
      </c>
      <c r="V204" s="20" t="n">
        <v>0</v>
      </c>
    </row>
    <row r="205">
      <c r="A205" s="18" t="inlineStr">
        <is>
          <t>암호자산 매각손익</t>
        </is>
      </c>
      <c r="D205" s="20" t="n">
        <v>-13.717</v>
      </c>
      <c r="H205" s="20" t="n">
        <v>0</v>
      </c>
      <c r="L205" s="20" t="n">
        <v>-225.501</v>
      </c>
      <c r="U205" s="20" t="n">
        <v>0</v>
      </c>
      <c r="V205" s="20" t="n">
        <v>-13.717</v>
      </c>
      <c r="W205" s="20" t="n">
        <v>0</v>
      </c>
      <c r="X205" s="20" t="n">
        <v>-225.501</v>
      </c>
    </row>
    <row r="206">
      <c r="A206" s="18" t="inlineStr">
        <is>
          <t>무형자산 제각손실</t>
        </is>
      </c>
      <c r="D206" s="20" t="n">
        <v>0</v>
      </c>
      <c r="T206" s="20" t="n">
        <v>139.365</v>
      </c>
      <c r="U206" s="20" t="n">
        <v>98.289</v>
      </c>
      <c r="V206" s="20" t="n">
        <v>0</v>
      </c>
    </row>
    <row r="207">
      <c r="A207" s="18" t="inlineStr">
        <is>
          <t>손상차손</t>
        </is>
      </c>
      <c r="D207" s="20" t="n">
        <v>0</v>
      </c>
      <c r="H207" s="20" t="n">
        <v>0</v>
      </c>
      <c r="L207" s="20" t="n">
        <v>23.584</v>
      </c>
      <c r="O207" s="20" t="n">
        <v>470</v>
      </c>
      <c r="P207" s="20" t="n">
        <v>0</v>
      </c>
      <c r="S207" s="20" t="n">
        <v>0</v>
      </c>
      <c r="T207" s="20" t="n">
        <v>50.408</v>
      </c>
      <c r="U207" s="20" t="n">
        <v>433.072</v>
      </c>
      <c r="V207" s="20" t="n">
        <v>0</v>
      </c>
      <c r="W207" s="20" t="n">
        <v>0</v>
      </c>
      <c r="X207" s="20" t="n">
        <v>23.584</v>
      </c>
    </row>
    <row r="208">
      <c r="A208" s="18" t="inlineStr">
        <is>
          <t>사무소 이전비용</t>
        </is>
      </c>
      <c r="D208" s="20" t="n">
        <v>0</v>
      </c>
      <c r="T208" s="20" t="n">
        <v>0</v>
      </c>
      <c r="U208" s="20" t="n">
        <v>9.736000000000001</v>
      </c>
      <c r="V208" s="20" t="n">
        <v>0</v>
      </c>
    </row>
    <row r="209">
      <c r="A209" s="18" t="inlineStr">
        <is>
          <t>조직재편비용</t>
        </is>
      </c>
      <c r="T209" s="20" t="n">
        <v>0</v>
      </c>
      <c r="U209" s="20" t="n">
        <v>224.468</v>
      </c>
    </row>
    <row r="210">
      <c r="A210" s="18" t="inlineStr">
        <is>
          <t>브랜드 반환 수입</t>
        </is>
      </c>
      <c r="T210" s="20" t="n">
        <v>0</v>
      </c>
      <c r="U210" s="20" t="n">
        <v>-8000</v>
      </c>
    </row>
    <row r="211">
      <c r="A211" s="18" t="inlineStr">
        <is>
          <t>조직재편비용</t>
        </is>
      </c>
      <c r="D211" s="20" t="n">
        <v>0</v>
      </c>
      <c r="U211" s="20" t="n">
        <v>224.468</v>
      </c>
      <c r="V211" s="20" t="n">
        <v>0</v>
      </c>
    </row>
    <row r="212">
      <c r="A212" s="18" t="inlineStr">
        <is>
          <t>브랜드 반환 수입</t>
        </is>
      </c>
      <c r="D212" s="20" t="n">
        <v>0</v>
      </c>
      <c r="U212" s="20" t="n">
        <v>-8000</v>
      </c>
      <c r="V212" s="20" t="n">
        <v>0</v>
      </c>
    </row>
    <row r="213">
      <c r="A213" s="18" t="inlineStr">
        <is>
          <t>암호자산 매각손익</t>
        </is>
      </c>
      <c r="F213" s="20" t="n">
        <v>0</v>
      </c>
      <c r="J213" s="20" t="n">
        <v>-225.501</v>
      </c>
      <c r="N213" s="20" t="n">
        <v>0</v>
      </c>
    </row>
    <row r="214">
      <c r="A214" s="18" t="inlineStr">
        <is>
          <t>고정자산 제각손실</t>
        </is>
      </c>
      <c r="J214" s="20" t="n">
        <v>0</v>
      </c>
      <c r="N214" s="20" t="n">
        <v>1.625</v>
      </c>
      <c r="S214" s="20" t="n">
        <v>0</v>
      </c>
      <c r="T214" s="20" t="n">
        <v>139.365</v>
      </c>
    </row>
    <row r="215">
      <c r="A215" s="18" t="inlineStr">
        <is>
          <t>투자사업조합 운용 손익(△는 이익)</t>
        </is>
      </c>
      <c r="J215" s="20" t="n">
        <v>0</v>
      </c>
      <c r="N215" s="20" t="n">
        <v>0.619</v>
      </c>
    </row>
    <row r="216">
      <c r="A216" s="18" t="inlineStr">
        <is>
          <t>외환차손익</t>
        </is>
      </c>
      <c r="D216" s="20" t="n">
        <v>-0.642</v>
      </c>
      <c r="F216" s="20" t="n">
        <v>1.387</v>
      </c>
      <c r="H216" s="20" t="n">
        <v>-0.5679999999999999</v>
      </c>
      <c r="J216" s="20" t="n">
        <v>0.581</v>
      </c>
      <c r="L216" s="20" t="n">
        <v>1.014</v>
      </c>
      <c r="N216" s="20" t="n">
        <v>2.527</v>
      </c>
      <c r="O216" s="20" t="n">
        <v>0.802</v>
      </c>
      <c r="P216" s="20" t="n">
        <v>-0.019</v>
      </c>
      <c r="Q216" s="20" t="n">
        <v>0.629</v>
      </c>
      <c r="R216" s="20" t="n">
        <v>-0.386</v>
      </c>
      <c r="S216" s="20" t="n">
        <v>-10.38</v>
      </c>
      <c r="T216" s="20" t="n">
        <v>7.185</v>
      </c>
      <c r="U216" s="20" t="n">
        <v>-0.25</v>
      </c>
      <c r="V216" s="20" t="n">
        <v>-0.642</v>
      </c>
      <c r="W216" s="20" t="n">
        <v>-0.5679999999999999</v>
      </c>
      <c r="X216" s="20" t="n">
        <v>1.014</v>
      </c>
    </row>
    <row r="217">
      <c r="A217" s="18" t="inlineStr">
        <is>
          <t>이자비용</t>
        </is>
      </c>
      <c r="O217" s="20" t="n">
        <v>0.013</v>
      </c>
      <c r="P217" s="20" t="n">
        <v>0</v>
      </c>
      <c r="Q217" s="20" t="n">
        <v>0</v>
      </c>
      <c r="R217" s="20" t="n">
        <v>17.295</v>
      </c>
      <c r="S217" s="20" t="n">
        <v>16.447</v>
      </c>
      <c r="T217" s="20" t="n">
        <v>0</v>
      </c>
    </row>
    <row r="218">
      <c r="A218" s="18" t="inlineStr">
        <is>
          <t>지분법손익</t>
        </is>
      </c>
      <c r="O218" s="20" t="n">
        <v>2.567</v>
      </c>
      <c r="P218" s="20" t="n">
        <v>3.814</v>
      </c>
      <c r="Q218" s="20" t="n">
        <v>4.497</v>
      </c>
      <c r="R218" s="20" t="n">
        <v>1.63</v>
      </c>
      <c r="S218" s="20" t="n">
        <v>-5.688</v>
      </c>
      <c r="T218" s="20" t="n">
        <v>0</v>
      </c>
    </row>
    <row r="219">
      <c r="A219" s="18" t="inlineStr">
        <is>
          <t>매출채권 증감</t>
        </is>
      </c>
      <c r="D219" s="20" t="n">
        <v>-445.915</v>
      </c>
      <c r="F219" s="20" t="n">
        <v>-445.04</v>
      </c>
      <c r="H219" s="20" t="n">
        <v>-281.58</v>
      </c>
      <c r="J219" s="20" t="n">
        <v>573.8339999999999</v>
      </c>
      <c r="L219" s="20" t="n">
        <v>-2897.406</v>
      </c>
      <c r="N219" s="20" t="n">
        <v>-1902.824</v>
      </c>
      <c r="O219" s="20" t="n">
        <v>2.501</v>
      </c>
      <c r="P219" s="20" t="n">
        <v>-323.419</v>
      </c>
      <c r="Q219" s="20" t="n">
        <v>-19.329</v>
      </c>
      <c r="R219" s="20" t="n">
        <v>24.009</v>
      </c>
      <c r="S219" s="20" t="n">
        <v>-8.859999999999999</v>
      </c>
      <c r="T219" s="20" t="n">
        <v>-349.493</v>
      </c>
      <c r="U219" s="20" t="n">
        <v>250.212</v>
      </c>
      <c r="V219" s="20" t="n">
        <v>-445.915</v>
      </c>
      <c r="W219" s="20" t="n">
        <v>-281.58</v>
      </c>
      <c r="X219" s="20" t="n">
        <v>-2897.406</v>
      </c>
    </row>
    <row r="220">
      <c r="A220" s="18" t="inlineStr">
        <is>
          <t>재고자산 증감</t>
        </is>
      </c>
      <c r="D220" s="20" t="n">
        <v>-2.311</v>
      </c>
      <c r="F220" s="20" t="n">
        <v>1.347</v>
      </c>
      <c r="H220" s="20" t="n">
        <v>1.829</v>
      </c>
      <c r="J220" s="20" t="n">
        <v>0.885</v>
      </c>
      <c r="L220" s="20" t="n">
        <v>4.035</v>
      </c>
      <c r="N220" s="20" t="n">
        <v>1.287</v>
      </c>
      <c r="O220" s="20" t="n">
        <v>19.673</v>
      </c>
      <c r="P220" s="20" t="n">
        <v>-2.088</v>
      </c>
      <c r="Q220" s="20" t="n">
        <v>-2.528</v>
      </c>
      <c r="R220" s="20" t="n">
        <v>5.21</v>
      </c>
      <c r="S220" s="20" t="n">
        <v>0.931</v>
      </c>
      <c r="T220" s="20" t="n">
        <v>-0.005</v>
      </c>
      <c r="U220" s="20" t="n">
        <v>-0.122</v>
      </c>
      <c r="V220" s="20" t="n">
        <v>-2.311</v>
      </c>
      <c r="W220" s="20" t="n">
        <v>1.829</v>
      </c>
      <c r="X220" s="20" t="n">
        <v>4.035</v>
      </c>
    </row>
    <row r="221">
      <c r="A221" s="18" t="inlineStr">
        <is>
          <t>매입채무 증감</t>
        </is>
      </c>
      <c r="D221" s="20" t="n">
        <v>-43.987</v>
      </c>
      <c r="F221" s="20" t="n">
        <v>4.071</v>
      </c>
      <c r="H221" s="20" t="n">
        <v>1.701</v>
      </c>
      <c r="J221" s="20" t="n">
        <v>-6.03</v>
      </c>
      <c r="L221" s="20" t="n">
        <v>3.004</v>
      </c>
      <c r="N221" s="20" t="n">
        <v>2.894</v>
      </c>
      <c r="O221" s="20" t="n">
        <v>-23.775</v>
      </c>
      <c r="P221" s="20" t="n">
        <v>-11.777</v>
      </c>
      <c r="Q221" s="20" t="n">
        <v>3.16</v>
      </c>
      <c r="R221" s="20" t="n">
        <v>-29.644</v>
      </c>
      <c r="S221" s="20" t="n">
        <v>34.65</v>
      </c>
      <c r="T221" s="20" t="n">
        <v>-0.219</v>
      </c>
      <c r="U221" s="20" t="n">
        <v>0.135</v>
      </c>
      <c r="V221" s="20" t="n">
        <v>-43.987</v>
      </c>
      <c r="W221" s="20" t="n">
        <v>1.701</v>
      </c>
      <c r="X221" s="20" t="n">
        <v>3.004</v>
      </c>
    </row>
    <row r="222">
      <c r="A222" s="18" t="inlineStr">
        <is>
          <t>영업투자유가증권 증감액</t>
        </is>
      </c>
      <c r="H222" s="20" t="n">
        <v>0</v>
      </c>
      <c r="J222" s="20" t="n">
        <v>0</v>
      </c>
      <c r="L222" s="20" t="n">
        <v>165.749</v>
      </c>
      <c r="N222" s="20" t="n">
        <v>-34.951</v>
      </c>
      <c r="W222" s="20" t="n">
        <v>0</v>
      </c>
      <c r="X222" s="20" t="n">
        <v>165.749</v>
      </c>
    </row>
    <row r="223">
      <c r="A223" s="18" t="inlineStr">
        <is>
          <t>미지급금 증감</t>
        </is>
      </c>
      <c r="D223" s="20" t="n">
        <v>5.313</v>
      </c>
      <c r="F223" s="20" t="n">
        <v>109.562</v>
      </c>
      <c r="H223" s="20" t="n">
        <v>253.317</v>
      </c>
      <c r="J223" s="20" t="n">
        <v>-570.098</v>
      </c>
      <c r="L223" s="20" t="n">
        <v>1229.039</v>
      </c>
      <c r="N223" s="20" t="n">
        <v>1074.206</v>
      </c>
      <c r="O223" s="20" t="n">
        <v>35.7</v>
      </c>
      <c r="P223" s="20" t="n">
        <v>193.956</v>
      </c>
      <c r="Q223" s="20" t="n">
        <v>-176.897</v>
      </c>
      <c r="R223" s="20" t="n">
        <v>-630.009</v>
      </c>
      <c r="S223" s="20" t="n">
        <v>60.78</v>
      </c>
      <c r="T223" s="20" t="n">
        <v>-57.116</v>
      </c>
      <c r="U223" s="20" t="n">
        <v>73.21599999999999</v>
      </c>
      <c r="V223" s="20" t="n">
        <v>5.313</v>
      </c>
      <c r="W223" s="20" t="n">
        <v>253.317</v>
      </c>
      <c r="X223" s="20" t="n">
        <v>1229.039</v>
      </c>
    </row>
    <row r="224">
      <c r="A224" s="18" t="inlineStr">
        <is>
          <t>미수금 증감</t>
        </is>
      </c>
      <c r="D224" s="20" t="n">
        <v>9314.853999999999</v>
      </c>
      <c r="F224" s="20" t="n">
        <v>0</v>
      </c>
      <c r="H224" s="20" t="n">
        <v>-12.134</v>
      </c>
      <c r="J224" s="20" t="n">
        <v>-13.665</v>
      </c>
      <c r="L224" s="20" t="n">
        <v>-157.697</v>
      </c>
      <c r="N224" s="20" t="n">
        <v>-0.636</v>
      </c>
      <c r="S224" s="20" t="n">
        <v>-35.347</v>
      </c>
      <c r="T224" s="20" t="n">
        <v>-586.958</v>
      </c>
      <c r="U224" s="20" t="n">
        <v>-4.164</v>
      </c>
      <c r="V224" s="20" t="n">
        <v>9314.853999999999</v>
      </c>
      <c r="W224" s="20" t="n">
        <v>-12.134</v>
      </c>
      <c r="X224" s="20" t="n">
        <v>-157.697</v>
      </c>
    </row>
    <row r="225">
      <c r="A225" s="18" t="inlineStr">
        <is>
          <t>예수금 증감</t>
        </is>
      </c>
      <c r="J225" s="20" t="n">
        <v>11.026</v>
      </c>
      <c r="N225" s="20" t="n">
        <v>1145.307</v>
      </c>
    </row>
    <row r="226">
      <c r="A226" s="18" t="inlineStr">
        <is>
          <t>기타 유동자산 증감</t>
        </is>
      </c>
      <c r="D226" s="20" t="n">
        <v>-173.393</v>
      </c>
      <c r="F226" s="20" t="n">
        <v>-66.17100000000001</v>
      </c>
      <c r="H226" s="20" t="n">
        <v>-66.179</v>
      </c>
      <c r="J226" s="20" t="n">
        <v>2.598</v>
      </c>
      <c r="L226" s="20" t="n">
        <v>55.73</v>
      </c>
      <c r="N226" s="20" t="n">
        <v>33.183</v>
      </c>
      <c r="O226" s="20" t="n">
        <v>-8.606</v>
      </c>
      <c r="P226" s="20" t="n">
        <v>-44.05</v>
      </c>
      <c r="Q226" s="20" t="n">
        <v>-7.779</v>
      </c>
      <c r="R226" s="20" t="n">
        <v>40.695</v>
      </c>
      <c r="S226" s="20" t="n">
        <v>15.683</v>
      </c>
      <c r="T226" s="20" t="n">
        <v>136.35</v>
      </c>
      <c r="U226" s="20" t="n">
        <v>-81.26000000000001</v>
      </c>
      <c r="V226" s="20" t="n">
        <v>-173.393</v>
      </c>
      <c r="W226" s="20" t="n">
        <v>-66.179</v>
      </c>
      <c r="X226" s="20" t="n">
        <v>55.73</v>
      </c>
    </row>
    <row r="227">
      <c r="A227" s="18" t="inlineStr">
        <is>
          <t>기타 유동부채 증감</t>
        </is>
      </c>
      <c r="D227" s="20" t="n">
        <v>165.649</v>
      </c>
      <c r="F227" s="20" t="n">
        <v>-33.583</v>
      </c>
      <c r="H227" s="20" t="n">
        <v>-71.435</v>
      </c>
      <c r="J227" s="20" t="n">
        <v>-20.753</v>
      </c>
      <c r="L227" s="20" t="n">
        <v>-431.38</v>
      </c>
      <c r="N227" s="20" t="n">
        <v>-121.3</v>
      </c>
      <c r="O227" s="20" t="n">
        <v>-13.367</v>
      </c>
      <c r="P227" s="20" t="n">
        <v>27.797</v>
      </c>
      <c r="Q227" s="20" t="n">
        <v>-21.707</v>
      </c>
      <c r="R227" s="20" t="n">
        <v>100.786</v>
      </c>
      <c r="S227" s="20" t="n">
        <v>114.307</v>
      </c>
      <c r="T227" s="20" t="n">
        <v>-123.566</v>
      </c>
      <c r="U227" s="20" t="n">
        <v>-105.788</v>
      </c>
      <c r="V227" s="20" t="n">
        <v>165.649</v>
      </c>
      <c r="W227" s="20" t="n">
        <v>-71.435</v>
      </c>
      <c r="X227" s="20" t="n">
        <v>-431.38</v>
      </c>
    </row>
    <row r="228">
      <c r="A228" s="18" t="inlineStr">
        <is>
          <t>소계</t>
        </is>
      </c>
      <c r="D228" s="20" t="n">
        <v>11437.534</v>
      </c>
      <c r="F228" s="20" t="n">
        <v>1056.528</v>
      </c>
      <c r="H228" s="20" t="n">
        <v>2641.737</v>
      </c>
      <c r="J228" s="20" t="n">
        <v>1646.482</v>
      </c>
      <c r="L228" s="20" t="n">
        <v>3999.176</v>
      </c>
      <c r="N228" s="20" t="n">
        <v>7141.457</v>
      </c>
      <c r="O228" s="20" t="n">
        <v>1752.978</v>
      </c>
      <c r="P228" s="20" t="n">
        <v>1651.959</v>
      </c>
      <c r="Q228" s="20" t="n">
        <v>1664.99</v>
      </c>
      <c r="R228" s="20" t="n">
        <v>1442.197</v>
      </c>
      <c r="S228" s="20" t="n">
        <v>2470.481</v>
      </c>
      <c r="T228" s="20" t="n">
        <v>1719.409</v>
      </c>
      <c r="U228" s="20" t="n">
        <v>2533.242</v>
      </c>
      <c r="V228" s="20" t="n">
        <v>11437.534</v>
      </c>
      <c r="W228" s="20" t="n">
        <v>2641.737</v>
      </c>
      <c r="X228" s="20" t="n">
        <v>3999.176</v>
      </c>
    </row>
    <row r="229">
      <c r="A229" s="18" t="inlineStr">
        <is>
          <t>이자·배당금 수취</t>
        </is>
      </c>
      <c r="D229" s="20" t="n">
        <v>14.089</v>
      </c>
      <c r="F229" s="20" t="n">
        <v>9.497</v>
      </c>
      <c r="H229" s="20" t="n">
        <v>22.639</v>
      </c>
      <c r="J229" s="20" t="n">
        <v>14.018</v>
      </c>
      <c r="L229" s="20" t="n">
        <v>71.79300000000001</v>
      </c>
      <c r="N229" s="20" t="n">
        <v>77.125</v>
      </c>
      <c r="O229" s="20" t="n">
        <v>0.126</v>
      </c>
      <c r="P229" s="20" t="n">
        <v>73.40600000000001</v>
      </c>
      <c r="Q229" s="20" t="n">
        <v>0.165</v>
      </c>
      <c r="R229" s="20" t="n">
        <v>94.854</v>
      </c>
      <c r="S229" s="20" t="n">
        <v>61.464</v>
      </c>
      <c r="T229" s="20" t="n">
        <v>70.03700000000001</v>
      </c>
      <c r="U229" s="20" t="n">
        <v>149.945</v>
      </c>
      <c r="V229" s="20" t="n">
        <v>14.089</v>
      </c>
      <c r="W229" s="20" t="n">
        <v>22.639</v>
      </c>
      <c r="X229" s="20" t="n">
        <v>71.79300000000001</v>
      </c>
    </row>
    <row r="230">
      <c r="A230" s="18" t="inlineStr">
        <is>
          <t>이자 지급</t>
        </is>
      </c>
      <c r="O230" s="20" t="n">
        <v>-0.013</v>
      </c>
      <c r="P230" s="20" t="n">
        <v>0</v>
      </c>
      <c r="Q230" s="20" t="n">
        <v>0</v>
      </c>
      <c r="R230" s="20" t="n">
        <v>-29.54</v>
      </c>
      <c r="S230" s="20" t="n">
        <v>-4.202</v>
      </c>
      <c r="T230" s="20" t="n">
        <v>0</v>
      </c>
    </row>
    <row r="231">
      <c r="A231" s="18" t="inlineStr">
        <is>
          <t>법인세 납부</t>
        </is>
      </c>
      <c r="D231" s="20" t="n">
        <v>-2710.625</v>
      </c>
      <c r="F231" s="20" t="n">
        <v>-372.4</v>
      </c>
      <c r="H231" s="20" t="n">
        <v>-676.343</v>
      </c>
      <c r="J231" s="20" t="n">
        <v>-541.702</v>
      </c>
      <c r="L231" s="20" t="n">
        <v>-1389.081</v>
      </c>
      <c r="N231" s="20" t="n">
        <v>-1477.426</v>
      </c>
      <c r="O231" s="20" t="n">
        <v>-518.49</v>
      </c>
      <c r="P231" s="20" t="n">
        <v>-771.91</v>
      </c>
      <c r="Q231" s="20" t="n">
        <v>-528.251</v>
      </c>
      <c r="R231" s="20" t="n">
        <v>-535.101</v>
      </c>
      <c r="S231" s="20" t="n">
        <v>-428.961</v>
      </c>
      <c r="T231" s="20" t="n">
        <v>-667.271</v>
      </c>
      <c r="U231" s="20" t="n">
        <v>-744.449</v>
      </c>
      <c r="V231" s="20" t="n">
        <v>-2710.625</v>
      </c>
      <c r="W231" s="20" t="n">
        <v>-676.343</v>
      </c>
      <c r="X231" s="20" t="n">
        <v>-1389.081</v>
      </c>
    </row>
    <row r="232">
      <c r="A232" s="18" t="inlineStr">
        <is>
          <t>법인세 환급</t>
        </is>
      </c>
      <c r="D232" s="20" t="n">
        <v>21.222</v>
      </c>
      <c r="F232" s="20" t="n">
        <v>19.115</v>
      </c>
      <c r="H232" s="20" t="n">
        <v>19.115</v>
      </c>
      <c r="J232" s="20" t="n">
        <v>0</v>
      </c>
      <c r="L232" s="20" t="n">
        <v>0</v>
      </c>
      <c r="N232" s="20" t="n">
        <v>62.28</v>
      </c>
      <c r="P232" s="20" t="n">
        <v>0</v>
      </c>
      <c r="Q232" s="20" t="n">
        <v>0.864</v>
      </c>
      <c r="R232" s="20" t="n">
        <v>6.144</v>
      </c>
      <c r="S232" s="20" t="n">
        <v>6.177</v>
      </c>
      <c r="T232" s="20" t="n">
        <v>5.955</v>
      </c>
      <c r="U232" s="20" t="n">
        <v>669.777</v>
      </c>
      <c r="V232" s="20" t="n">
        <v>21.222</v>
      </c>
      <c r="W232" s="20" t="n">
        <v>19.115</v>
      </c>
      <c r="X232" s="20" t="n">
        <v>0</v>
      </c>
    </row>
    <row r="233">
      <c r="A233" s="9" t="inlineStr">
        <is>
          <t>영업활동 현금흐름</t>
        </is>
      </c>
      <c r="D233" s="12" t="n">
        <v>8762.219999999999</v>
      </c>
      <c r="F233" s="12" t="n">
        <v>712.74</v>
      </c>
      <c r="H233" s="12" t="n">
        <v>2007.148</v>
      </c>
      <c r="J233" s="12" t="n">
        <v>1118.797</v>
      </c>
      <c r="L233" s="12" t="n">
        <v>2681.887</v>
      </c>
      <c r="N233" s="12" t="n">
        <v>5803.436</v>
      </c>
      <c r="O233" s="12" t="n">
        <v>1234.601</v>
      </c>
      <c r="P233" s="12" t="n">
        <v>953.455</v>
      </c>
      <c r="Q233" s="12" t="n">
        <v>1137.768</v>
      </c>
      <c r="R233" s="12" t="n">
        <v>978.554</v>
      </c>
      <c r="S233" s="12" t="n">
        <v>2104.959</v>
      </c>
      <c r="T233" s="12" t="n">
        <v>1128.13</v>
      </c>
      <c r="U233" s="12" t="n">
        <v>2608.515</v>
      </c>
      <c r="V233" s="12" t="n">
        <v>8762.219999999999</v>
      </c>
      <c r="W233" s="12" t="n">
        <v>2007.148</v>
      </c>
      <c r="X233" s="12" t="n">
        <v>2681.887</v>
      </c>
    </row>
    <row r="234">
      <c r="A234" s="18" t="inlineStr">
        <is>
          <t>정기예금 예입</t>
        </is>
      </c>
      <c r="O234" s="20" t="n">
        <v>0</v>
      </c>
      <c r="P234" s="20" t="n">
        <v>-200</v>
      </c>
      <c r="Q234" s="20" t="n">
        <v>0</v>
      </c>
    </row>
    <row r="235">
      <c r="A235" s="18" t="inlineStr">
        <is>
          <t>정기예금 인출</t>
        </is>
      </c>
      <c r="O235" s="20" t="n">
        <v>0</v>
      </c>
      <c r="P235" s="20" t="n">
        <v>400.11</v>
      </c>
      <c r="Q235" s="20" t="n">
        <v>0</v>
      </c>
    </row>
    <row r="236">
      <c r="A236" s="18" t="inlineStr">
        <is>
          <t>유형자산 취득(설비투자)</t>
        </is>
      </c>
      <c r="D236" s="20" t="n">
        <v>-11.561</v>
      </c>
      <c r="F236" s="20" t="n">
        <v>-2.436</v>
      </c>
      <c r="H236" s="20" t="n">
        <v>-3.016</v>
      </c>
      <c r="J236" s="20" t="n">
        <v>-11.104</v>
      </c>
      <c r="L236" s="20" t="n">
        <v>-37.168</v>
      </c>
      <c r="N236" s="20" t="n">
        <v>-3.619</v>
      </c>
      <c r="O236" s="20" t="n">
        <v>-5.309</v>
      </c>
      <c r="P236" s="20" t="n">
        <v>-16.688</v>
      </c>
      <c r="Q236" s="20" t="n">
        <v>-30.653</v>
      </c>
      <c r="R236" s="20" t="n">
        <v>-13.519</v>
      </c>
      <c r="S236" s="20" t="n">
        <v>-25.323</v>
      </c>
      <c r="T236" s="20" t="n">
        <v>-11.695</v>
      </c>
      <c r="U236" s="20" t="n">
        <v>-19.198</v>
      </c>
      <c r="V236" s="20" t="n">
        <v>-11.561</v>
      </c>
      <c r="W236" s="20" t="n">
        <v>-3.016</v>
      </c>
      <c r="X236" s="20" t="n">
        <v>-37.168</v>
      </c>
    </row>
    <row r="237">
      <c r="A237" s="18" t="inlineStr">
        <is>
          <t>무형자산 취득</t>
        </is>
      </c>
      <c r="D237" s="20" t="n">
        <v>-409.229</v>
      </c>
      <c r="F237" s="20" t="n">
        <v>-71.982</v>
      </c>
      <c r="H237" s="20" t="n">
        <v>-143.226</v>
      </c>
      <c r="J237" s="20" t="n">
        <v>-38.94</v>
      </c>
      <c r="L237" s="20" t="n">
        <v>-452.209</v>
      </c>
      <c r="N237" s="20" t="n">
        <v>-246.753</v>
      </c>
      <c r="O237" s="20" t="n">
        <v>-245.197</v>
      </c>
      <c r="P237" s="20" t="n">
        <v>-337.545</v>
      </c>
      <c r="Q237" s="20" t="n">
        <v>-483.766</v>
      </c>
      <c r="R237" s="20" t="n">
        <v>-609.047</v>
      </c>
      <c r="S237" s="20" t="n">
        <v>-585.4349999999999</v>
      </c>
      <c r="T237" s="20" t="n">
        <v>-311.807</v>
      </c>
      <c r="U237" s="20" t="n">
        <v>-314.428</v>
      </c>
      <c r="V237" s="20" t="n">
        <v>-409.229</v>
      </c>
      <c r="W237" s="20" t="n">
        <v>-143.226</v>
      </c>
      <c r="X237" s="20" t="n">
        <v>-452.209</v>
      </c>
    </row>
    <row r="238">
      <c r="A238" s="18" t="inlineStr">
        <is>
          <t>투자유가증권 매각</t>
        </is>
      </c>
      <c r="D238" s="20" t="n">
        <v>1186.244</v>
      </c>
      <c r="F238" s="20" t="n">
        <v>445.031</v>
      </c>
      <c r="H238" s="20" t="n">
        <v>1361.123</v>
      </c>
      <c r="J238" s="20" t="n">
        <v>410.4</v>
      </c>
      <c r="L238" s="20" t="n">
        <v>1078.748</v>
      </c>
      <c r="N238" s="20" t="n">
        <v>677.651</v>
      </c>
      <c r="O238" s="20" t="n">
        <v>301.007</v>
      </c>
      <c r="P238" s="20" t="n">
        <v>3928.987</v>
      </c>
      <c r="Q238" s="20" t="n">
        <v>85.749</v>
      </c>
      <c r="R238" s="20" t="n">
        <v>2017.418</v>
      </c>
      <c r="S238" s="20" t="n">
        <v>42.128</v>
      </c>
      <c r="T238" s="20" t="n">
        <v>1609.199</v>
      </c>
      <c r="U238" s="20" t="n">
        <v>2534.716</v>
      </c>
      <c r="V238" s="20" t="n">
        <v>1186.244</v>
      </c>
      <c r="W238" s="20" t="n">
        <v>1361.123</v>
      </c>
      <c r="X238" s="20" t="n">
        <v>1078.748</v>
      </c>
    </row>
    <row r="239">
      <c r="A239" s="18" t="inlineStr">
        <is>
          <t>투자유가증권 취득</t>
        </is>
      </c>
      <c r="D239" s="20" t="n">
        <v>-6253.027</v>
      </c>
      <c r="F239" s="20" t="n">
        <v>-339.4</v>
      </c>
      <c r="H239" s="20" t="n">
        <v>-860.301</v>
      </c>
      <c r="J239" s="20" t="n">
        <v>-368.728</v>
      </c>
      <c r="L239" s="20" t="n">
        <v>-832.225</v>
      </c>
      <c r="N239" s="20" t="n">
        <v>-572.328</v>
      </c>
      <c r="O239" s="20" t="n">
        <v>-4328.013</v>
      </c>
      <c r="P239" s="20" t="n">
        <v>-2165.925</v>
      </c>
      <c r="Q239" s="20" t="n">
        <v>-1023.331</v>
      </c>
      <c r="R239" s="20" t="n">
        <v>-2249.1</v>
      </c>
      <c r="S239" s="20" t="n">
        <v>-613.9299999999999</v>
      </c>
      <c r="T239" s="20" t="n">
        <v>0</v>
      </c>
      <c r="U239" s="20" t="n">
        <v>-5495.591</v>
      </c>
      <c r="V239" s="20" t="n">
        <v>-6253.027</v>
      </c>
      <c r="W239" s="20" t="n">
        <v>-860.301</v>
      </c>
      <c r="X239" s="20" t="n">
        <v>-832.225</v>
      </c>
    </row>
    <row r="240">
      <c r="A240" s="18" t="inlineStr">
        <is>
          <t>연결범위 변경 자회사 주식 취득(수입)</t>
        </is>
      </c>
      <c r="F240" s="20" t="n">
        <v>0</v>
      </c>
      <c r="H240" s="20" t="n">
        <v>0</v>
      </c>
      <c r="J240" s="20" t="n">
        <v>23.861</v>
      </c>
      <c r="L240" s="20" t="n">
        <v>23.861</v>
      </c>
      <c r="N240" s="20" t="n">
        <v>0</v>
      </c>
      <c r="R240" s="20" t="n">
        <v>0</v>
      </c>
      <c r="S240" s="20" t="n">
        <v>8.757</v>
      </c>
      <c r="T240" s="20" t="n">
        <v>0</v>
      </c>
      <c r="U240" s="20" t="n">
        <v>-183.301</v>
      </c>
      <c r="W240" s="20" t="n">
        <v>0</v>
      </c>
      <c r="X240" s="20" t="n">
        <v>23.861</v>
      </c>
    </row>
    <row r="241">
      <c r="A241" s="18" t="inlineStr">
        <is>
          <t>연결범위 변경 자회사 주식 취득</t>
        </is>
      </c>
      <c r="D241" s="20" t="n">
        <v>0</v>
      </c>
      <c r="F241" s="20" t="n">
        <v>0</v>
      </c>
      <c r="H241" s="20" t="n">
        <v>0</v>
      </c>
      <c r="J241" s="20" t="n">
        <v>-696.491</v>
      </c>
      <c r="L241" s="20" t="n">
        <v>-696.491</v>
      </c>
      <c r="N241" s="20" t="n">
        <v>0</v>
      </c>
      <c r="P241" s="20" t="n">
        <v>0</v>
      </c>
      <c r="Q241" s="20" t="n">
        <v>-541.2089999999999</v>
      </c>
      <c r="R241" s="20" t="n">
        <v>-684.119</v>
      </c>
      <c r="S241" s="20" t="n">
        <v>0</v>
      </c>
      <c r="U241" s="20" t="n">
        <v>-183.301</v>
      </c>
      <c r="V241" s="20" t="n">
        <v>0</v>
      </c>
      <c r="W241" s="20" t="n">
        <v>0</v>
      </c>
      <c r="X241" s="20" t="n">
        <v>-696.491</v>
      </c>
    </row>
    <row r="242">
      <c r="A242" s="18" t="inlineStr">
        <is>
          <t>자회사 청산 지출</t>
        </is>
      </c>
      <c r="P242" s="20" t="n">
        <v>0</v>
      </c>
      <c r="Q242" s="20" t="n">
        <v>-10.993</v>
      </c>
      <c r="R242" s="20" t="n">
        <v>0</v>
      </c>
    </row>
    <row r="243">
      <c r="A243" s="18" t="inlineStr">
        <is>
          <t>보증금 회수</t>
        </is>
      </c>
      <c r="D243" s="20" t="n">
        <v>61.725</v>
      </c>
      <c r="H243" s="20" t="n">
        <v>5</v>
      </c>
      <c r="L243" s="20" t="n">
        <v>26.912</v>
      </c>
      <c r="O243" s="20" t="n">
        <v>0.254</v>
      </c>
      <c r="P243" s="20" t="n">
        <v>1.914</v>
      </c>
      <c r="Q243" s="20" t="n">
        <v>9.407</v>
      </c>
      <c r="R243" s="20" t="n">
        <v>0</v>
      </c>
      <c r="S243" s="20" t="n">
        <v>28.566</v>
      </c>
      <c r="T243" s="20" t="n">
        <v>38.75</v>
      </c>
      <c r="U243" s="20" t="n">
        <v>36.059</v>
      </c>
      <c r="V243" s="20" t="n">
        <v>61.725</v>
      </c>
      <c r="W243" s="20" t="n">
        <v>5</v>
      </c>
      <c r="X243" s="20" t="n">
        <v>26.912</v>
      </c>
    </row>
    <row r="244">
      <c r="A244" s="18" t="inlineStr">
        <is>
          <t>보증금 납입</t>
        </is>
      </c>
      <c r="D244" s="20" t="n">
        <v>-66.91800000000001</v>
      </c>
      <c r="H244" s="20" t="n">
        <v>0</v>
      </c>
      <c r="L244" s="20" t="n">
        <v>-21.607</v>
      </c>
      <c r="O244" s="20" t="n">
        <v>0</v>
      </c>
      <c r="P244" s="20" t="n">
        <v>-7.095</v>
      </c>
      <c r="Q244" s="20" t="n">
        <v>-19.292</v>
      </c>
      <c r="R244" s="20" t="n">
        <v>-10</v>
      </c>
      <c r="S244" s="20" t="n">
        <v>-21.75</v>
      </c>
      <c r="T244" s="20" t="n">
        <v>0</v>
      </c>
      <c r="U244" s="20" t="n">
        <v>-29.779</v>
      </c>
      <c r="V244" s="20" t="n">
        <v>-66.91800000000001</v>
      </c>
      <c r="W244" s="20" t="n">
        <v>0</v>
      </c>
      <c r="X244" s="20" t="n">
        <v>-21.607</v>
      </c>
    </row>
    <row r="245">
      <c r="A245" s="18" t="inlineStr">
        <is>
          <t>사업양도 수입</t>
        </is>
      </c>
      <c r="O245" s="20" t="n">
        <v>699.008</v>
      </c>
      <c r="P245" s="20" t="n">
        <v>0</v>
      </c>
    </row>
    <row r="246">
      <c r="A246" s="18" t="inlineStr">
        <is>
          <t>출자금 분배 수입</t>
        </is>
      </c>
      <c r="J246" s="20" t="n">
        <v>0</v>
      </c>
      <c r="N246" s="20" t="n">
        <v>0.028</v>
      </c>
    </row>
    <row r="247">
      <c r="A247" s="18" t="inlineStr">
        <is>
          <t>임차보증금·보증금 회수</t>
        </is>
      </c>
      <c r="F247" s="20" t="n">
        <v>5</v>
      </c>
      <c r="J247" s="20" t="n">
        <v>19.138</v>
      </c>
      <c r="N247" s="20" t="n">
        <v>1.14</v>
      </c>
    </row>
    <row r="248">
      <c r="A248" s="18" t="inlineStr">
        <is>
          <t>임차보증금·보증금 납입</t>
        </is>
      </c>
      <c r="F248" s="20" t="n">
        <v>0</v>
      </c>
      <c r="J248" s="20" t="n">
        <v>-17.417</v>
      </c>
      <c r="N248" s="20" t="n">
        <v>-0.07000000000000001</v>
      </c>
    </row>
    <row r="249">
      <c r="A249" s="9" t="inlineStr">
        <is>
          <t>투자활동 현금흐름</t>
        </is>
      </c>
      <c r="D249" s="12" t="n">
        <v>-5492.766</v>
      </c>
      <c r="F249" s="12" t="n">
        <v>36.211</v>
      </c>
      <c r="H249" s="12" t="n">
        <v>359.579</v>
      </c>
      <c r="J249" s="12" t="n">
        <v>-679.282</v>
      </c>
      <c r="L249" s="12" t="n">
        <v>-910.1799999999999</v>
      </c>
      <c r="N249" s="12" t="n">
        <v>-143.95</v>
      </c>
      <c r="O249" s="12" t="n">
        <v>-3578.25</v>
      </c>
      <c r="P249" s="12" t="n">
        <v>1603.756</v>
      </c>
      <c r="Q249" s="12" t="n">
        <v>-2014.09</v>
      </c>
      <c r="R249" s="12" t="n">
        <v>-1548.367</v>
      </c>
      <c r="S249" s="12" t="n">
        <v>-1166.987</v>
      </c>
      <c r="T249" s="12" t="n">
        <v>1324.447</v>
      </c>
      <c r="U249" s="12" t="n">
        <v>-3471.524</v>
      </c>
      <c r="V249" s="12" t="n">
        <v>-5492.766</v>
      </c>
      <c r="W249" s="12" t="n">
        <v>359.579</v>
      </c>
      <c r="X249" s="12" t="n">
        <v>-910.1799999999999</v>
      </c>
    </row>
    <row r="250">
      <c r="A250" s="18" t="inlineStr">
        <is>
          <t>스톡옵션 행사 수입</t>
        </is>
      </c>
      <c r="O250" s="20" t="n">
        <v>2.937</v>
      </c>
      <c r="P250" s="20" t="n">
        <v>203.534</v>
      </c>
      <c r="Q250" s="20" t="n">
        <v>119.509</v>
      </c>
      <c r="R250" s="20" t="n">
        <v>0</v>
      </c>
    </row>
    <row r="251">
      <c r="A251" s="18" t="inlineStr">
        <is>
          <t>신주예약권 행사에 따른 주식 발행</t>
        </is>
      </c>
      <c r="H251" s="20" t="n">
        <v>0</v>
      </c>
      <c r="J251" s="20" t="n">
        <v>0</v>
      </c>
      <c r="L251" s="20" t="n">
        <v>32.284</v>
      </c>
      <c r="N251" s="20" t="n">
        <v>98.092</v>
      </c>
      <c r="W251" s="20" t="n">
        <v>0</v>
      </c>
      <c r="X251" s="20" t="n">
        <v>32.284</v>
      </c>
    </row>
    <row r="252">
      <c r="A252" s="18" t="inlineStr">
        <is>
          <t>배당금 지급</t>
        </is>
      </c>
      <c r="D252" s="20" t="n">
        <v>-1905.561</v>
      </c>
      <c r="F252" s="20" t="n">
        <v>-1165.755</v>
      </c>
      <c r="H252" s="20" t="n">
        <v>-1950.398</v>
      </c>
      <c r="J252" s="20" t="n">
        <v>-1188.173</v>
      </c>
      <c r="L252" s="20" t="n">
        <v>-2113.389</v>
      </c>
      <c r="N252" s="20" t="n">
        <v>-1897.962</v>
      </c>
      <c r="O252" s="20" t="n">
        <v>-593.712</v>
      </c>
      <c r="P252" s="20" t="n">
        <v>-693.854</v>
      </c>
      <c r="Q252" s="20" t="n">
        <v>-1444.388</v>
      </c>
      <c r="R252" s="20" t="n">
        <v>-1202.535</v>
      </c>
      <c r="S252" s="20" t="n">
        <v>-1284.832</v>
      </c>
      <c r="T252" s="20" t="n">
        <v>-1479.612</v>
      </c>
      <c r="U252" s="20" t="n">
        <v>-1546.866</v>
      </c>
      <c r="V252" s="20" t="n">
        <v>-1905.561</v>
      </c>
      <c r="W252" s="20" t="n">
        <v>-1950.398</v>
      </c>
      <c r="X252" s="20" t="n">
        <v>-2113.389</v>
      </c>
    </row>
    <row r="253">
      <c r="A253" s="18" t="inlineStr">
        <is>
          <t>단기차입</t>
        </is>
      </c>
      <c r="Q253" s="20" t="n">
        <v>0</v>
      </c>
      <c r="R253" s="20" t="n">
        <v>2000</v>
      </c>
      <c r="S253" s="20" t="n">
        <v>1000</v>
      </c>
      <c r="T253" s="20" t="n">
        <v>0</v>
      </c>
    </row>
    <row r="254">
      <c r="A254" s="18" t="inlineStr">
        <is>
          <t>단기차입금 상환</t>
        </is>
      </c>
      <c r="R254" s="20" t="n">
        <v>0</v>
      </c>
      <c r="S254" s="20" t="n">
        <v>-3000</v>
      </c>
      <c r="T254" s="20" t="n">
        <v>0</v>
      </c>
    </row>
    <row r="255">
      <c r="A255" s="18" t="inlineStr">
        <is>
          <t>주식 발행</t>
        </is>
      </c>
      <c r="R255" s="20" t="n">
        <v>0</v>
      </c>
      <c r="S255" s="20" t="n">
        <v>2467.534</v>
      </c>
      <c r="T255" s="20" t="n">
        <v>0</v>
      </c>
    </row>
    <row r="256">
      <c r="A256" s="18" t="inlineStr">
        <is>
          <t>비지배주주 배당금 지급</t>
        </is>
      </c>
      <c r="F256" s="20" t="n">
        <v>0</v>
      </c>
      <c r="H256" s="20" t="n">
        <v>0</v>
      </c>
      <c r="J256" s="20" t="n">
        <v>-32.457</v>
      </c>
      <c r="L256" s="20" t="n">
        <v>-38.949</v>
      </c>
      <c r="N256" s="20" t="n">
        <v>-10.622</v>
      </c>
      <c r="W256" s="20" t="n">
        <v>0</v>
      </c>
      <c r="X256" s="20" t="n">
        <v>-38.949</v>
      </c>
    </row>
    <row r="257">
      <c r="A257" s="18" t="inlineStr">
        <is>
          <t>자기주식 취득</t>
        </is>
      </c>
      <c r="D257" s="20" t="n">
        <v>0</v>
      </c>
      <c r="F257" s="20" t="n">
        <v>-0.002</v>
      </c>
      <c r="H257" s="20" t="n">
        <v>-0.002</v>
      </c>
      <c r="J257" s="20" t="n">
        <v>0</v>
      </c>
      <c r="L257" s="20" t="n">
        <v>-0.44</v>
      </c>
      <c r="N257" s="20" t="n">
        <v>-0.08699999999999999</v>
      </c>
      <c r="O257" s="20" t="n">
        <v>0</v>
      </c>
      <c r="P257" s="20" t="n">
        <v>-0.027</v>
      </c>
      <c r="Q257" s="20" t="n">
        <v>0</v>
      </c>
      <c r="V257" s="20" t="n">
        <v>0</v>
      </c>
      <c r="W257" s="20" t="n">
        <v>-0.002</v>
      </c>
      <c r="X257" s="20" t="n">
        <v>-0.44</v>
      </c>
    </row>
    <row r="258">
      <c r="A258" s="18" t="inlineStr">
        <is>
          <t>자기주식 처분</t>
        </is>
      </c>
      <c r="D258" s="20" t="n">
        <v>0</v>
      </c>
      <c r="H258" s="20" t="n">
        <v>0</v>
      </c>
      <c r="J258" s="20" t="n">
        <v>0</v>
      </c>
      <c r="L258" s="20" t="n">
        <v>0.075</v>
      </c>
      <c r="N258" s="20" t="n">
        <v>0.046</v>
      </c>
      <c r="R258" s="20" t="n">
        <v>0</v>
      </c>
      <c r="S258" s="20" t="n">
        <v>473.369</v>
      </c>
      <c r="T258" s="20" t="n">
        <v>0</v>
      </c>
      <c r="U258" s="20" t="n">
        <v>0.023</v>
      </c>
      <c r="V258" s="20" t="n">
        <v>0</v>
      </c>
      <c r="W258" s="20" t="n">
        <v>0</v>
      </c>
      <c r="X258" s="20" t="n">
        <v>0.075</v>
      </c>
    </row>
    <row r="259">
      <c r="A259" s="18" t="inlineStr">
        <is>
          <t>연결범위 변동 없는 자회사 주식 매각 수입</t>
        </is>
      </c>
      <c r="Q259" s="20" t="n">
        <v>0</v>
      </c>
      <c r="R259" s="20" t="n">
        <v>3</v>
      </c>
      <c r="S259" s="20" t="n">
        <v>3</v>
      </c>
      <c r="T259" s="20" t="n">
        <v>0</v>
      </c>
    </row>
    <row r="260">
      <c r="A260" s="18" t="inlineStr">
        <is>
          <t>연결범위 변경 없는 자회사 주식 취득</t>
        </is>
      </c>
      <c r="D260" s="20" t="n">
        <v>-189.46</v>
      </c>
      <c r="F260" s="20" t="n">
        <v>0</v>
      </c>
      <c r="H260" s="20" t="n">
        <v>0</v>
      </c>
      <c r="L260" s="20" t="n">
        <v>-0.049</v>
      </c>
      <c r="S260" s="20" t="n">
        <v>0</v>
      </c>
      <c r="T260" s="20" t="n">
        <v>-609.154</v>
      </c>
      <c r="U260" s="20" t="n">
        <v>-273.674</v>
      </c>
      <c r="V260" s="20" t="n">
        <v>-189.46</v>
      </c>
      <c r="W260" s="20" t="n">
        <v>0</v>
      </c>
      <c r="X260" s="20" t="n">
        <v>-0.049</v>
      </c>
    </row>
    <row r="261">
      <c r="A261" s="18" t="inlineStr">
        <is>
          <t>리스부채 상환</t>
        </is>
      </c>
      <c r="D261" s="20" t="n">
        <v>-53.947</v>
      </c>
      <c r="F261" s="20" t="n">
        <v>-31.201</v>
      </c>
      <c r="H261" s="20" t="n">
        <v>-63.214</v>
      </c>
      <c r="J261" s="20" t="n">
        <v>-37.201</v>
      </c>
      <c r="L261" s="20" t="n">
        <v>-67.474</v>
      </c>
      <c r="N261" s="20" t="n">
        <v>-37.803</v>
      </c>
      <c r="O261" s="20" t="n">
        <v>-0.353</v>
      </c>
      <c r="P261" s="20" t="n">
        <v>0</v>
      </c>
      <c r="R261" s="20" t="n">
        <v>0</v>
      </c>
      <c r="S261" s="20" t="n">
        <v>-50.374</v>
      </c>
      <c r="T261" s="20" t="n">
        <v>-60.446</v>
      </c>
      <c r="U261" s="20" t="n">
        <v>-68.663</v>
      </c>
      <c r="V261" s="20" t="n">
        <v>-53.947</v>
      </c>
      <c r="W261" s="20" t="n">
        <v>-63.214</v>
      </c>
      <c r="X261" s="20" t="n">
        <v>-67.474</v>
      </c>
    </row>
    <row r="262">
      <c r="A262" s="9" t="inlineStr">
        <is>
          <t>재무활동 현금흐름</t>
        </is>
      </c>
      <c r="D262" s="12" t="n">
        <v>-2148.969</v>
      </c>
      <c r="F262" s="12" t="n">
        <v>-1196.959</v>
      </c>
      <c r="H262" s="12" t="n">
        <v>-2013.615</v>
      </c>
      <c r="J262" s="12" t="n">
        <v>-1257.832</v>
      </c>
      <c r="L262" s="12" t="n">
        <v>-2187.943</v>
      </c>
      <c r="N262" s="12" t="n">
        <v>-1848.336</v>
      </c>
      <c r="O262" s="12" t="n">
        <v>-591.128</v>
      </c>
      <c r="P262" s="12" t="n">
        <v>-490.348</v>
      </c>
      <c r="Q262" s="12" t="n">
        <v>-1324.879</v>
      </c>
      <c r="R262" s="12" t="n">
        <v>800.4640000000001</v>
      </c>
      <c r="S262" s="12" t="n">
        <v>-391.302</v>
      </c>
      <c r="T262" s="12" t="n">
        <v>-2149.212</v>
      </c>
      <c r="U262" s="12" t="n">
        <v>-1889.18</v>
      </c>
      <c r="V262" s="12" t="n">
        <v>-2148.969</v>
      </c>
      <c r="W262" s="12" t="n">
        <v>-2013.615</v>
      </c>
      <c r="X262" s="12" t="n">
        <v>-2187.943</v>
      </c>
    </row>
    <row r="263">
      <c r="A263" s="18" t="inlineStr">
        <is>
          <t>현금성자산 환산차이</t>
        </is>
      </c>
      <c r="D263" s="20" t="n">
        <v>32.108</v>
      </c>
      <c r="F263" s="20" t="n">
        <v>20.447</v>
      </c>
      <c r="H263" s="20" t="n">
        <v>17.232</v>
      </c>
      <c r="J263" s="20" t="n">
        <v>-18.303</v>
      </c>
      <c r="L263" s="20" t="n">
        <v>3.39</v>
      </c>
      <c r="N263" s="20" t="n">
        <v>19.137</v>
      </c>
      <c r="O263" s="20" t="n">
        <v>-0.802</v>
      </c>
      <c r="P263" s="20" t="n">
        <v>0.019</v>
      </c>
      <c r="Q263" s="20" t="n">
        <v>-0.629</v>
      </c>
      <c r="R263" s="20" t="n">
        <v>-8.77</v>
      </c>
      <c r="S263" s="20" t="n">
        <v>-11.348</v>
      </c>
      <c r="T263" s="20" t="n">
        <v>-31.416</v>
      </c>
      <c r="U263" s="20" t="n">
        <v>60.831</v>
      </c>
      <c r="V263" s="20" t="n">
        <v>32.108</v>
      </c>
      <c r="W263" s="20" t="n">
        <v>17.232</v>
      </c>
      <c r="X263" s="20" t="n">
        <v>3.39</v>
      </c>
    </row>
    <row r="264">
      <c r="A264" s="18" t="inlineStr">
        <is>
          <t>현금성자산 증감</t>
        </is>
      </c>
      <c r="D264" s="20" t="n">
        <v>1152.593</v>
      </c>
      <c r="F264" s="20" t="n">
        <v>-427.56</v>
      </c>
      <c r="H264" s="20" t="n">
        <v>370.344</v>
      </c>
      <c r="J264" s="20" t="n">
        <v>-836.621</v>
      </c>
      <c r="L264" s="20" t="n">
        <v>-412.844</v>
      </c>
      <c r="N264" s="20" t="n">
        <v>3830.285</v>
      </c>
      <c r="O264" s="20" t="n">
        <v>-2935.581</v>
      </c>
      <c r="P264" s="20" t="n">
        <v>2066.883</v>
      </c>
      <c r="Q264" s="20" t="n">
        <v>-2201.83</v>
      </c>
      <c r="R264" s="20" t="n">
        <v>221.881</v>
      </c>
      <c r="S264" s="20" t="n">
        <v>535.321</v>
      </c>
      <c r="T264" s="20" t="n">
        <v>271.948</v>
      </c>
      <c r="U264" s="20" t="n">
        <v>-2691.356</v>
      </c>
      <c r="V264" s="20" t="n">
        <v>1152.593</v>
      </c>
      <c r="W264" s="20" t="n">
        <v>370.344</v>
      </c>
      <c r="X264" s="20" t="n">
        <v>-412.844</v>
      </c>
    </row>
    <row r="265">
      <c r="A265" s="18" t="inlineStr">
        <is>
          <t>신규 연결 현금성자산 증가</t>
        </is>
      </c>
      <c r="H265" s="20" t="n">
        <v>0</v>
      </c>
      <c r="L265" s="20" t="n">
        <v>18253.335</v>
      </c>
      <c r="W265" s="20" t="n">
        <v>0</v>
      </c>
      <c r="X265" s="20" t="n">
        <v>18253.335</v>
      </c>
    </row>
    <row r="266">
      <c r="A266" s="18" t="inlineStr">
        <is>
          <t>주식교부에 따른 현금성자산 증가액</t>
        </is>
      </c>
      <c r="F266" s="20" t="n">
        <v>0</v>
      </c>
      <c r="J266" s="20" t="n">
        <v>14193.38</v>
      </c>
      <c r="N266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4765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23559.442</v>
      </c>
      <c r="D5" s="12" t="n">
        <v>34932.29</v>
      </c>
      <c r="E5" s="12" t="n">
        <v>37825.174</v>
      </c>
      <c r="F5" s="12" t="n">
        <v>38788.365</v>
      </c>
      <c r="G5" s="12" t="n">
        <v>43315.57</v>
      </c>
      <c r="H5" s="11" t="n">
        <v>7604.08</v>
      </c>
      <c r="I5" s="12" t="n">
        <v>13991.911</v>
      </c>
      <c r="J5" s="12" t="n">
        <v>6547.47</v>
      </c>
      <c r="K5" s="12" t="n">
        <v>7187.711</v>
      </c>
      <c r="L5" s="12" t="n">
        <v>37825.174</v>
      </c>
    </row>
    <row r="6">
      <c r="A6" s="18" t="inlineStr">
        <is>
          <t>현금및현금성자산</t>
        </is>
      </c>
      <c r="B6" s="10" t="n"/>
      <c r="C6" s="19" t="n">
        <v>17364.951</v>
      </c>
      <c r="D6" s="20" t="n">
        <v>20881.762</v>
      </c>
      <c r="E6" s="20" t="n">
        <v>21848.683</v>
      </c>
      <c r="F6" s="20" t="n">
        <v>23775.923</v>
      </c>
      <c r="G6" s="20" t="n">
        <v>25676.675</v>
      </c>
      <c r="H6" s="19" t="n">
        <v>5176.612</v>
      </c>
      <c r="I6" s="20" t="n">
        <v>2137.894</v>
      </c>
      <c r="J6" s="20" t="n">
        <v>3637.848</v>
      </c>
      <c r="K6" s="20" t="n">
        <v>4008.192</v>
      </c>
      <c r="L6" s="20" t="n">
        <v>21848.683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5253.375</v>
      </c>
      <c r="D8" s="20" t="n">
        <v>9768.789000000001</v>
      </c>
      <c r="E8" s="20" t="n">
        <v>11791.018</v>
      </c>
      <c r="F8" s="20" t="n">
        <v>11066.438</v>
      </c>
      <c r="G8" s="20" t="n">
        <v>13710.945</v>
      </c>
      <c r="H8" s="19" t="n">
        <v>1611.378</v>
      </c>
      <c r="I8" s="20" t="n">
        <v>1483.903</v>
      </c>
      <c r="J8" s="20" t="n">
        <v>2273.701</v>
      </c>
      <c r="K8" s="20" t="n">
        <v>2606.942</v>
      </c>
      <c r="L8" s="20" t="n">
        <v>11791.018</v>
      </c>
    </row>
    <row r="9">
      <c r="A9" s="18" t="inlineStr">
        <is>
          <t>재고자산</t>
        </is>
      </c>
      <c r="B9" s="10" t="n"/>
      <c r="C9" s="19" t="n">
        <v>2.763</v>
      </c>
      <c r="D9" s="20" t="n">
        <v>8.122999999999999</v>
      </c>
      <c r="E9" s="20" t="n">
        <v>8.231</v>
      </c>
      <c r="F9" s="20" t="n">
        <v>7.187</v>
      </c>
      <c r="G9" s="20" t="n">
        <v>6.944</v>
      </c>
      <c r="H9" s="19" t="n">
        <v>1.263</v>
      </c>
      <c r="I9" s="20" t="n">
        <v>1.386</v>
      </c>
      <c r="J9" s="20" t="n">
        <v>3.698</v>
      </c>
      <c r="K9" s="20" t="n">
        <v>1.868</v>
      </c>
      <c r="L9" s="20" t="n">
        <v>8.231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13723.701</v>
      </c>
      <c r="D11" s="12" t="n">
        <v>14818.812</v>
      </c>
      <c r="E11" s="12" t="n">
        <v>15195.673</v>
      </c>
      <c r="F11" s="12" t="n">
        <v>15342.131</v>
      </c>
      <c r="G11" s="12" t="n">
        <v>15059.815</v>
      </c>
      <c r="H11" s="11" t="n">
        <v>6432.274</v>
      </c>
      <c r="I11" s="12" t="n">
        <v>7355.867</v>
      </c>
      <c r="J11" s="12" t="n">
        <v>12076.54</v>
      </c>
      <c r="K11" s="12" t="n">
        <v>11070.683</v>
      </c>
      <c r="L11" s="12" t="n">
        <v>15195.673</v>
      </c>
    </row>
    <row r="12">
      <c r="A12" s="18" t="inlineStr">
        <is>
          <t>유형자산</t>
        </is>
      </c>
      <c r="B12" s="10" t="n"/>
      <c r="C12" s="19" t="n">
        <v>408.338</v>
      </c>
      <c r="D12" s="20" t="n">
        <v>831.343</v>
      </c>
      <c r="E12" s="20" t="n">
        <v>758.9109999999999</v>
      </c>
      <c r="F12" s="20" t="n">
        <v>646.284</v>
      </c>
      <c r="G12" s="20" t="n">
        <v>587.434</v>
      </c>
      <c r="H12" s="19" t="n">
        <v>149.951</v>
      </c>
      <c r="I12" s="20" t="n">
        <v>345.777</v>
      </c>
      <c r="J12" s="20" t="n">
        <v>314.046</v>
      </c>
      <c r="K12" s="20" t="n">
        <v>268.463</v>
      </c>
      <c r="L12" s="20" t="n">
        <v>758.9109999999999</v>
      </c>
    </row>
    <row r="13">
      <c r="A13" s="18" t="inlineStr">
        <is>
          <t>무형자산</t>
        </is>
      </c>
      <c r="B13" s="10" t="n"/>
      <c r="C13" s="19" t="n">
        <v>2199.204</v>
      </c>
      <c r="D13" s="20" t="n">
        <v>2737.662</v>
      </c>
      <c r="E13" s="20" t="n">
        <v>2528.197</v>
      </c>
      <c r="F13" s="20" t="n">
        <v>2519.226</v>
      </c>
      <c r="G13" s="20" t="n">
        <v>2553.581</v>
      </c>
      <c r="H13" s="19" t="n">
        <v>3145.612</v>
      </c>
      <c r="I13" s="20" t="n">
        <v>2579.79</v>
      </c>
      <c r="J13" s="20" t="n">
        <v>2629.237</v>
      </c>
      <c r="K13" s="20" t="n">
        <v>2414.784</v>
      </c>
      <c r="L13" s="20" t="n">
        <v>2528.197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37286.109</v>
      </c>
      <c r="D16" s="12" t="n">
        <v>49753.644</v>
      </c>
      <c r="E16" s="12" t="n">
        <v>53027.575</v>
      </c>
      <c r="F16" s="12" t="n">
        <v>54136.57</v>
      </c>
      <c r="G16" s="12" t="n">
        <v>58380.806</v>
      </c>
      <c r="H16" s="11" t="n">
        <v>14055.358</v>
      </c>
      <c r="I16" s="12" t="n">
        <v>21356.365</v>
      </c>
      <c r="J16" s="12" t="n">
        <v>18625.643</v>
      </c>
      <c r="K16" s="12" t="n">
        <v>18258.642</v>
      </c>
      <c r="L16" s="12" t="n">
        <v>53027.575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4887.389</v>
      </c>
      <c r="D18" s="12" t="n">
        <v>9413.431</v>
      </c>
      <c r="E18" s="12" t="n">
        <v>10491.344</v>
      </c>
      <c r="F18" s="12" t="n">
        <v>11530.281</v>
      </c>
      <c r="G18" s="12" t="n">
        <v>13416.482</v>
      </c>
      <c r="H18" s="11" t="n">
        <v>1781.813</v>
      </c>
      <c r="I18" s="12" t="n">
        <v>4353.822</v>
      </c>
      <c r="J18" s="12" t="n">
        <v>2357.55</v>
      </c>
      <c r="K18" s="12" t="n">
        <v>2743.751</v>
      </c>
      <c r="L18" s="12" t="n">
        <v>10491.344</v>
      </c>
    </row>
    <row r="19">
      <c r="A19" s="18" t="inlineStr">
        <is>
          <t>매입채무</t>
        </is>
      </c>
      <c r="B19" s="10" t="n"/>
      <c r="C19" s="19" t="n">
        <v>14.437</v>
      </c>
      <c r="D19" s="20" t="n">
        <v>15.995</v>
      </c>
      <c r="E19" s="20" t="n">
        <v>23.471</v>
      </c>
      <c r="F19" s="20" t="n">
        <v>18.335</v>
      </c>
      <c r="G19" s="20" t="n">
        <v>26.365</v>
      </c>
      <c r="H19" s="19" t="n">
        <v>62.618</v>
      </c>
      <c r="I19" s="20" t="n">
        <v>62.753</v>
      </c>
      <c r="J19" s="20" t="n">
        <v>18.765</v>
      </c>
      <c r="K19" s="20" t="n">
        <v>20.467</v>
      </c>
      <c r="L19" s="20" t="n">
        <v>23.471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518.428</v>
      </c>
      <c r="D23" s="12" t="n">
        <v>781.236</v>
      </c>
      <c r="E23" s="12" t="n">
        <v>610.302</v>
      </c>
      <c r="F23" s="12" t="n">
        <v>600.1079999999999</v>
      </c>
      <c r="G23" s="12" t="n">
        <v>457.963</v>
      </c>
      <c r="H23" s="11" t="n">
        <v>0</v>
      </c>
      <c r="I23" s="12" t="n">
        <v>202.641</v>
      </c>
      <c r="J23" s="12" t="n">
        <v>157.686</v>
      </c>
      <c r="K23" s="12" t="n">
        <v>104.534</v>
      </c>
      <c r="L23" s="12" t="n">
        <v>610.302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5405.817</v>
      </c>
      <c r="D27" s="12" t="n">
        <v>10194.668</v>
      </c>
      <c r="E27" s="12" t="n">
        <v>11101.646</v>
      </c>
      <c r="F27" s="12" t="n">
        <v>12130.389</v>
      </c>
      <c r="G27" s="12" t="n">
        <v>13874.445</v>
      </c>
      <c r="H27" s="11" t="n">
        <v>1781.813</v>
      </c>
      <c r="I27" s="12" t="n">
        <v>4556.464</v>
      </c>
      <c r="J27" s="12" t="n">
        <v>2515.237</v>
      </c>
      <c r="K27" s="12" t="n">
        <v>2848.285</v>
      </c>
      <c r="L27" s="12" t="n">
        <v>11101.646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23533.702</v>
      </c>
      <c r="D31" s="12" t="n">
        <v>30595.937</v>
      </c>
      <c r="E31" s="12" t="n">
        <v>32570.289</v>
      </c>
      <c r="F31" s="12" t="n">
        <v>32256.555</v>
      </c>
      <c r="G31" s="12" t="n">
        <v>34404.133</v>
      </c>
      <c r="H31" s="11" t="n">
        <v>11804.293</v>
      </c>
      <c r="I31" s="12" t="n">
        <v>16481.043</v>
      </c>
      <c r="J31" s="12" t="n">
        <v>15964.398</v>
      </c>
      <c r="K31" s="12" t="n">
        <v>15242.547</v>
      </c>
      <c r="L31" s="12" t="n">
        <v>32570.289</v>
      </c>
    </row>
    <row r="32">
      <c r="A32" s="18" t="inlineStr">
        <is>
          <t>자본금</t>
        </is>
      </c>
      <c r="B32" s="10" t="n"/>
      <c r="C32" s="19" t="n">
        <v>3363.635</v>
      </c>
      <c r="D32" s="20" t="n">
        <v>3723.221</v>
      </c>
      <c r="E32" s="20" t="n">
        <v>3739.398</v>
      </c>
      <c r="F32" s="20" t="n">
        <v>3774.245</v>
      </c>
      <c r="G32" s="20" t="n">
        <v>3792.81</v>
      </c>
      <c r="H32" s="19" t="n">
        <v>3363.635</v>
      </c>
      <c r="I32" s="20" t="n">
        <v>3363.635</v>
      </c>
      <c r="J32" s="20" t="n">
        <v>3363.635</v>
      </c>
      <c r="K32" s="20" t="n">
        <v>3363.635</v>
      </c>
      <c r="L32" s="20" t="n">
        <v>3739.398</v>
      </c>
    </row>
    <row r="33">
      <c r="A33" s="18" t="inlineStr">
        <is>
          <t>이익잉여금</t>
        </is>
      </c>
      <c r="B33" s="10" t="n"/>
      <c r="C33" s="19" t="n">
        <v>7580.612</v>
      </c>
      <c r="D33" s="20" t="n">
        <v>13913.917</v>
      </c>
      <c r="E33" s="20" t="n">
        <v>15227.325</v>
      </c>
      <c r="F33" s="20" t="n">
        <v>14718.104</v>
      </c>
      <c r="G33" s="20" t="n">
        <v>16911.753</v>
      </c>
      <c r="H33" s="19" t="n">
        <v>4439.392</v>
      </c>
      <c r="I33" s="20" t="n">
        <v>8335.546</v>
      </c>
      <c r="J33" s="20" t="n">
        <v>8019.263</v>
      </c>
      <c r="K33" s="20" t="n">
        <v>7715.801</v>
      </c>
      <c r="L33" s="20" t="n">
        <v>15227.325</v>
      </c>
    </row>
    <row r="34">
      <c r="A34" s="18" t="inlineStr">
        <is>
          <t>비지배지분</t>
        </is>
      </c>
      <c r="B34" s="10" t="n"/>
      <c r="C34" s="19" t="n">
        <v>8346.589</v>
      </c>
      <c r="D34" s="20" t="n">
        <v>8952.98</v>
      </c>
      <c r="E34" s="20" t="n">
        <v>9295.041999999999</v>
      </c>
      <c r="F34" s="20" t="n">
        <v>9687.344999999999</v>
      </c>
      <c r="G34" s="20" t="n">
        <v>10032.878</v>
      </c>
      <c r="H34" s="19" t="n">
        <v>469.252</v>
      </c>
      <c r="I34" s="20" t="n">
        <v>318.858</v>
      </c>
      <c r="J34" s="20" t="n">
        <v>146.008</v>
      </c>
      <c r="K34" s="20" t="n">
        <v>167.809</v>
      </c>
      <c r="L34" s="20" t="n">
        <v>9295.041999999999</v>
      </c>
    </row>
    <row r="35">
      <c r="A35" s="9" t="inlineStr">
        <is>
          <t>자본총계</t>
        </is>
      </c>
      <c r="B35" s="10" t="n"/>
      <c r="C35" s="11" t="n">
        <v>31880.291</v>
      </c>
      <c r="D35" s="12" t="n">
        <v>39558.976</v>
      </c>
      <c r="E35" s="12" t="n">
        <v>41925.928</v>
      </c>
      <c r="F35" s="12" t="n">
        <v>42006.181</v>
      </c>
      <c r="G35" s="12" t="n">
        <v>44506.361</v>
      </c>
      <c r="H35" s="11" t="n">
        <v>12273.545</v>
      </c>
      <c r="I35" s="12" t="n">
        <v>16799.901</v>
      </c>
      <c r="J35" s="12" t="n">
        <v>16110.406</v>
      </c>
      <c r="K35" s="12" t="n">
        <v>15410.356</v>
      </c>
      <c r="L35" s="12" t="n">
        <v>41925.928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2413.205</v>
      </c>
      <c r="D37" s="12" t="n"/>
      <c r="E37" s="12" t="n">
        <v>2681.887</v>
      </c>
      <c r="F37" s="12" t="n"/>
      <c r="G37" s="12" t="n">
        <v>7366.526</v>
      </c>
      <c r="H37" s="11" t="n">
        <v>1128.13</v>
      </c>
      <c r="I37" s="12" t="n">
        <v>2608.515</v>
      </c>
      <c r="J37" s="12" t="n">
        <v>8762.219999999999</v>
      </c>
      <c r="K37" s="12" t="n">
        <v>2007.148</v>
      </c>
      <c r="L37" s="12" t="n">
        <v>2681.887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121.868</v>
      </c>
      <c r="D38" s="20" t="n"/>
      <c r="E38" s="20" t="n">
        <v>489.377</v>
      </c>
      <c r="F38" s="20" t="n"/>
      <c r="G38" s="20" t="n">
        <v>689.705</v>
      </c>
      <c r="H38" s="19" t="n">
        <v>323.502</v>
      </c>
      <c r="I38" s="20" t="n">
        <v>333.626</v>
      </c>
      <c r="J38" s="20" t="n">
        <v>420.79</v>
      </c>
      <c r="K38" s="20" t="n">
        <v>146.242</v>
      </c>
      <c r="L38" s="20" t="n">
        <v>489.377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1972.816</v>
      </c>
      <c r="D40" s="20" t="n"/>
      <c r="E40" s="20" t="n">
        <v>2113.389</v>
      </c>
      <c r="F40" s="20" t="n"/>
      <c r="G40" s="20" t="n">
        <v>2823.178</v>
      </c>
      <c r="H40" s="19" t="n">
        <v>1479.612</v>
      </c>
      <c r="I40" s="20" t="n">
        <v>1546.866</v>
      </c>
      <c r="J40" s="20" t="n">
        <v>1905.561</v>
      </c>
      <c r="K40" s="20" t="n">
        <v>1950.398</v>
      </c>
      <c r="L40" s="20" t="n">
        <v>2113.389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IFERROR((IF(COUNT('연간'!G22:J22)&lt;4,"",SUM('연간'!G22:J22)))/(IF(COUNT('연간'!G44:J44)&lt;4,"",SUM('연간'!G44:J44))),"")</f>
        <v/>
      </c>
      <c r="D48" s="31">
        <f>IFERROR((IF(COUNT('연간'!H22:K22)&lt;4,"",SUM('연간'!H22:K22)))/(IF(COUNT('연간'!H44:K44)&lt;4,"",SUM('연간'!H44:K44))),"")</f>
        <v/>
      </c>
      <c r="E48" s="31">
        <f>IFERROR((IF(COUNT('연간'!I22:L22)&lt;4,"",SUM('연간'!I22:L22)))/(IF(COUNT('연간'!I44:L44)&lt;4,"",SUM('연간'!I44:L44))),"")</f>
        <v/>
      </c>
      <c r="F48" s="31">
        <f>IFERROR((IF(COUNT('연간'!J22:M22)&lt;4,"",SUM('연간'!J22:M22)))/(IF(COUNT('연간'!J44:M44)&lt;4,"",SUM('연간'!J44:M44))),"")</f>
        <v/>
      </c>
      <c r="G48" s="31">
        <f>IFERROR((IF(COUNT('연간'!K22:N22)&lt;4,"",SUM('연간'!K22:N22)))/(IF(COUNT('연간'!K44:N44)&lt;4,"",SUM('연간'!K44:N44))),"")</f>
        <v/>
      </c>
      <c r="H48" s="30">
        <f>IFERROR(('연간'!T22)/('연간'!T44),"")</f>
        <v/>
      </c>
      <c r="I48" s="31">
        <f>IFERROR(('연간'!U22)/('연간'!U44),"")</f>
        <v/>
      </c>
      <c r="J48" s="31">
        <f>IFERROR(('연간'!V22)/('연간'!V44),"")</f>
        <v/>
      </c>
      <c r="K48" s="31">
        <f>IFERROR(('연간'!W22)/('연간'!W44),"")</f>
        <v/>
      </c>
      <c r="L48" s="31">
        <f>IFERROR(('연간'!X22)/('연간'!X44),"")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IFERROR(IF((IF(COUNT('연간'!G52:J52)&lt;4,"",SUM('연간'!G52:J52)))&lt;=0,"적자",C28/(IF(COUNT('연간'!G52:J52)&lt;4,"",SUM('연간'!G52:J52)))),"")</f>
        <v/>
      </c>
      <c r="D49" s="47">
        <f>IFERROR(IF((IF(COUNT('연간'!H52:K52)&lt;4,"",SUM('연간'!H52:K52)))&lt;=0,"적자",D28/(IF(COUNT('연간'!H52:K52)&lt;4,"",SUM('연간'!H52:K52)))),"")</f>
        <v/>
      </c>
      <c r="E49" s="47">
        <f>IFERROR(IF((IF(COUNT('연간'!I52:L52)&lt;4,"",SUM('연간'!I52:L52)))&lt;=0,"적자",E28/(IF(COUNT('연간'!I52:L52)&lt;4,"",SUM('연간'!I52:L52)))),"")</f>
        <v/>
      </c>
      <c r="F49" s="47">
        <f>IFERROR(IF((IF(COUNT('연간'!J52:M52)&lt;4,"",SUM('연간'!J52:M52)))&lt;=0,"적자",F28/(IF(COUNT('연간'!J52:M52)&lt;4,"",SUM('연간'!J52:M52)))),"")</f>
        <v/>
      </c>
      <c r="G49" s="47">
        <f>IFERROR(IF((IF(COUNT('연간'!K52:N52)&lt;4,"",SUM('연간'!K52:N52)))&lt;=0,"적자",G28/(IF(COUNT('연간'!K52:N52)&lt;4,"",SUM('연간'!K52:N52)))),"")</f>
        <v/>
      </c>
      <c r="H49" s="46">
        <f>IFERROR(IF(('연간'!T52)&lt;=0,"적자",H28/('연간'!T52)),"")</f>
        <v/>
      </c>
      <c r="I49" s="47">
        <f>IFERROR(IF(('연간'!U52)&lt;=0,"적자",I28/('연간'!U52)),"")</f>
        <v/>
      </c>
      <c r="J49" s="47">
        <f>IFERROR(IF(('연간'!V52)&lt;=0,"적자",J28/('연간'!V52)),"")</f>
        <v/>
      </c>
      <c r="K49" s="47">
        <f>IFERROR(IF(('연간'!W52)&lt;=0,"적자",K28/('연간'!W52)),"")</f>
        <v/>
      </c>
      <c r="L49" s="47">
        <f>IFERROR(IF(('연간'!X52)&lt;=0,"적자",L28/('연간'!X52)),"")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IFERROR((IF(COUNT('연간'!G52:J52)&lt;4,"",SUM('연간'!G52:J52)))/C31,"")</f>
        <v/>
      </c>
      <c r="D51" s="36">
        <f>IFERROR((IF(COUNT('연간'!H52:K52)&lt;4,"",SUM('연간'!H52:K52)))/D31,"")</f>
        <v/>
      </c>
      <c r="E51" s="36">
        <f>IFERROR((IF(COUNT('연간'!I52:L52)&lt;4,"",SUM('연간'!I52:L52)))/E31,"")</f>
        <v/>
      </c>
      <c r="F51" s="36">
        <f>IFERROR((IF(COUNT('연간'!J52:M52)&lt;4,"",SUM('연간'!J52:M52)))/F31,"")</f>
        <v/>
      </c>
      <c r="G51" s="36">
        <f>IFERROR((IF(COUNT('연간'!K52:N52)&lt;4,"",SUM('연간'!K52:N52)))/G31,"")</f>
        <v/>
      </c>
      <c r="H51" s="35">
        <f>IFERROR(('연간'!T52)/H31,"")</f>
        <v/>
      </c>
      <c r="I51" s="36">
        <f>IFERROR(('연간'!U52)/I31,"")</f>
        <v/>
      </c>
      <c r="J51" s="36">
        <f>IFERROR(('연간'!V52)/J31,"")</f>
        <v/>
      </c>
      <c r="K51" s="36">
        <f>IFERROR(('연간'!W52)/K31,"")</f>
        <v/>
      </c>
      <c r="L51" s="36">
        <f>IFERROR(('연간'!X52)/L31,"")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IFERROR((IF(COUNT('연간'!G50:J50)&lt;4,"",SUM('연간'!G50:J50)))/C16,"")</f>
        <v/>
      </c>
      <c r="D52" s="36">
        <f>IFERROR((IF(COUNT('연간'!H50:K50)&lt;4,"",SUM('연간'!H50:K50)))/D16,"")</f>
        <v/>
      </c>
      <c r="E52" s="36">
        <f>IFERROR((IF(COUNT('연간'!I50:L50)&lt;4,"",SUM('연간'!I50:L50)))/E16,"")</f>
        <v/>
      </c>
      <c r="F52" s="36">
        <f>IFERROR((IF(COUNT('연간'!J50:M50)&lt;4,"",SUM('연간'!J50:M50)))/F16,"")</f>
        <v/>
      </c>
      <c r="G52" s="36">
        <f>IFERROR((IF(COUNT('연간'!K50:N50)&lt;4,"",SUM('연간'!K50:N50)))/G16,"")</f>
        <v/>
      </c>
      <c r="H52" s="35">
        <f>IFERROR(('연간'!T50)/H16,"")</f>
        <v/>
      </c>
      <c r="I52" s="36">
        <f>IFERROR(('연간'!U50)/I16,"")</f>
        <v/>
      </c>
      <c r="J52" s="36">
        <f>IFERROR(('연간'!V50)/J16,"")</f>
        <v/>
      </c>
      <c r="K52" s="36">
        <f>IFERROR(('연간'!W50)/K16,"")</f>
        <v/>
      </c>
      <c r="L52" s="36">
        <f>IFERROR(('연간'!X50)/L16,"")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IFERROR((IF(COUNT('연간'!G22:J22)&lt;4,"",SUM('연간'!G22:J22)))*(1-0.3)/(C35+C29),"")</f>
        <v/>
      </c>
      <c r="D53" s="36">
        <f>IFERROR((IF(COUNT('연간'!H22:K22)&lt;4,"",SUM('연간'!H22:K22)))*(1-0.3)/(D35+D29),"")</f>
        <v/>
      </c>
      <c r="E53" s="36">
        <f>IFERROR((IF(COUNT('연간'!I22:L22)&lt;4,"",SUM('연간'!I22:L22)))*(1-0.3)/(E35+E29),"")</f>
        <v/>
      </c>
      <c r="F53" s="36">
        <f>IFERROR((IF(COUNT('연간'!J22:M22)&lt;4,"",SUM('연간'!J22:M22)))*(1-0.3)/(F35+F29),"")</f>
        <v/>
      </c>
      <c r="G53" s="36">
        <f>IFERROR((IF(COUNT('연간'!K22:N22)&lt;4,"",SUM('연간'!K22:N22)))*(1-0.3)/(G35+G29),"")</f>
        <v/>
      </c>
      <c r="H53" s="35">
        <f>IFERROR(('연간'!T22)*(1-0.3)/(H35+H29),"")</f>
        <v/>
      </c>
      <c r="I53" s="36">
        <f>IFERROR(('연간'!U22)*(1-0.3)/(I35+I29),"")</f>
        <v/>
      </c>
      <c r="J53" s="36">
        <f>IFERROR(('연간'!V22)*(1-0.3)/(J35+J29),"")</f>
        <v/>
      </c>
      <c r="K53" s="36">
        <f>IFERROR(('연간'!W22)*(1-0.3)/(K35+K29),"")</f>
        <v/>
      </c>
      <c r="L53" s="36">
        <f>IFERROR(('연간'!X22)*(1-0.3)/(L35+L29),"")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IFERROR((IF(COUNT('연간'!G16:J16)&lt;4,"",SUM('연간'!G16:J16)))/(IF(COUNT('연간'!G4:J4)&lt;4,"",SUM('연간'!G4:J4))),"")</f>
        <v/>
      </c>
      <c r="D54" s="36">
        <f>IFERROR((IF(COUNT('연간'!H16:K16)&lt;4,"",SUM('연간'!H16:K16)))/(IF(COUNT('연간'!H4:K4)&lt;4,"",SUM('연간'!H4:K4))),"")</f>
        <v/>
      </c>
      <c r="E54" s="36">
        <f>IFERROR((IF(COUNT('연간'!I16:L16)&lt;4,"",SUM('연간'!I16:L16)))/(IF(COUNT('연간'!I4:L4)&lt;4,"",SUM('연간'!I4:L4))),"")</f>
        <v/>
      </c>
      <c r="F54" s="36">
        <f>IFERROR((IF(COUNT('연간'!J16:M16)&lt;4,"",SUM('연간'!J16:M16)))/(IF(COUNT('연간'!J4:M4)&lt;4,"",SUM('연간'!J4:M4))),"")</f>
        <v/>
      </c>
      <c r="G54" s="36">
        <f>IFERROR((IF(COUNT('연간'!K16:N16)&lt;4,"",SUM('연간'!K16:N16)))/(IF(COUNT('연간'!K4:N4)&lt;4,"",SUM('연간'!K4:N4))),"")</f>
        <v/>
      </c>
      <c r="H54" s="35">
        <f>IFERROR(('연간'!T16)/('연간'!T4),"")</f>
        <v/>
      </c>
      <c r="I54" s="36">
        <f>IFERROR(('연간'!U16)/('연간'!U4),"")</f>
        <v/>
      </c>
      <c r="J54" s="36">
        <f>IFERROR(('연간'!V16)/('연간'!V4),"")</f>
        <v/>
      </c>
      <c r="K54" s="36">
        <f>IFERROR(('연간'!W16)/('연간'!W4),"")</f>
        <v/>
      </c>
      <c r="L54" s="36">
        <f>IFERROR(('연간'!X16)/('연간'!X4),"")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IFERROR((IF(COUNT('연간'!G22:J22)&lt;4,"",SUM('연간'!G22:J22)))/(IF(COUNT('연간'!G4:J4)&lt;4,"",SUM('연간'!G4:J4))),"")</f>
        <v/>
      </c>
      <c r="D55" s="36">
        <f>IFERROR((IF(COUNT('연간'!H22:K22)&lt;4,"",SUM('연간'!H22:K22)))/(IF(COUNT('연간'!H4:K4)&lt;4,"",SUM('연간'!H4:K4))),"")</f>
        <v/>
      </c>
      <c r="E55" s="36">
        <f>IFERROR((IF(COUNT('연간'!I22:L22)&lt;4,"",SUM('연간'!I22:L22)))/(IF(COUNT('연간'!I4:L4)&lt;4,"",SUM('연간'!I4:L4))),"")</f>
        <v/>
      </c>
      <c r="F55" s="36">
        <f>IFERROR((IF(COUNT('연간'!J22:M22)&lt;4,"",SUM('연간'!J22:M22)))/(IF(COUNT('연간'!J4:M4)&lt;4,"",SUM('연간'!J4:M4))),"")</f>
        <v/>
      </c>
      <c r="G55" s="36">
        <f>IFERROR((IF(COUNT('연간'!K22:N22)&lt;4,"",SUM('연간'!K22:N22)))/(IF(COUNT('연간'!K4:N4)&lt;4,"",SUM('연간'!K4:N4))),"")</f>
        <v/>
      </c>
      <c r="H55" s="35">
        <f>IFERROR(('연간'!T22)/('연간'!T4),"")</f>
        <v/>
      </c>
      <c r="I55" s="36">
        <f>IFERROR(('연간'!U22)/('연간'!U4),"")</f>
        <v/>
      </c>
      <c r="J55" s="36">
        <f>IFERROR(('연간'!V22)/('연간'!V4),"")</f>
        <v/>
      </c>
      <c r="K55" s="36">
        <f>IFERROR(('연간'!W22)/('연간'!W4),"")</f>
        <v/>
      </c>
      <c r="L55" s="36">
        <f>IFERROR(('연간'!X22)/('연간'!X4),"")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IFERROR((IF(COUNT('연간'!G50:J50)&lt;4,"",SUM('연간'!G50:J50)))/(IF(COUNT('연간'!G4:J4)&lt;4,"",SUM('연간'!G4:J4))),"")</f>
        <v/>
      </c>
      <c r="D56" s="36">
        <f>IFERROR((IF(COUNT('연간'!H50:K50)&lt;4,"",SUM('연간'!H50:K50)))/(IF(COUNT('연간'!H4:K4)&lt;4,"",SUM('연간'!H4:K4))),"")</f>
        <v/>
      </c>
      <c r="E56" s="36">
        <f>IFERROR((IF(COUNT('연간'!I50:L50)&lt;4,"",SUM('연간'!I50:L50)))/(IF(COUNT('연간'!I4:L4)&lt;4,"",SUM('연간'!I4:L4))),"")</f>
        <v/>
      </c>
      <c r="F56" s="36">
        <f>IFERROR((IF(COUNT('연간'!J50:M50)&lt;4,"",SUM('연간'!J50:M50)))/(IF(COUNT('연간'!J4:M4)&lt;4,"",SUM('연간'!J4:M4))),"")</f>
        <v/>
      </c>
      <c r="G56" s="36">
        <f>IFERROR((IF(COUNT('연간'!K50:N50)&lt;4,"",SUM('연간'!K50:N50)))/(IF(COUNT('연간'!K4:N4)&lt;4,"",SUM('연간'!K4:N4))),"")</f>
        <v/>
      </c>
      <c r="H56" s="35">
        <f>IFERROR(('연간'!T50)/('연간'!T4),"")</f>
        <v/>
      </c>
      <c r="I56" s="36">
        <f>IFERROR(('연간'!U50)/('연간'!U4),"")</f>
        <v/>
      </c>
      <c r="J56" s="36">
        <f>IFERROR(('연간'!V50)/('연간'!V4),"")</f>
        <v/>
      </c>
      <c r="K56" s="36">
        <f>IFERROR(('연간'!W50)/('연간'!W4),"")</f>
        <v/>
      </c>
      <c r="L56" s="36">
        <f>IFERROR(('연간'!X50)/('연간'!X4),"")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IFERROR(C9/(IF(COUNT('연간'!G14:J14)&lt;4,"",SUM('연간'!G14:J14)))*365,"")</f>
        <v/>
      </c>
      <c r="D60" s="49">
        <f>IFERROR(D9/(IF(COUNT('연간'!H14:K14)&lt;4,"",SUM('연간'!H14:K14)))*365,"")</f>
        <v/>
      </c>
      <c r="E60" s="49">
        <f>IFERROR(E9/(IF(COUNT('연간'!I14:L14)&lt;4,"",SUM('연간'!I14:L14)))*365,"")</f>
        <v/>
      </c>
      <c r="F60" s="49">
        <f>IFERROR(F9/(IF(COUNT('연간'!J14:M14)&lt;4,"",SUM('연간'!J14:M14)))*365,"")</f>
        <v/>
      </c>
      <c r="G60" s="49">
        <f>IFERROR(G9/(IF(COUNT('연간'!K14:N14)&lt;4,"",SUM('연간'!K14:N14)))*365,"")</f>
        <v/>
      </c>
      <c r="H60" s="48">
        <f>IFERROR(H9/('연간'!T14)*365,"")</f>
        <v/>
      </c>
      <c r="I60" s="49">
        <f>IFERROR(I9/('연간'!U14)*365,"")</f>
        <v/>
      </c>
      <c r="J60" s="49">
        <f>IFERROR(J9/('연간'!V14)*365,"")</f>
        <v/>
      </c>
      <c r="K60" s="49">
        <f>IFERROR(K9/('연간'!W14)*365,"")</f>
        <v/>
      </c>
      <c r="L60" s="49">
        <f>IFERROR(L9/('연간'!X14)*365,"")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IFERROR(C19/(IF(COUNT('연간'!G14:J14)&lt;4,"",SUM('연간'!G14:J14)))*365,"")</f>
        <v/>
      </c>
      <c r="D61" s="49">
        <f>IFERROR(D19/(IF(COUNT('연간'!H14:K14)&lt;4,"",SUM('연간'!H14:K14)))*365,"")</f>
        <v/>
      </c>
      <c r="E61" s="49">
        <f>IFERROR(E19/(IF(COUNT('연간'!I14:L14)&lt;4,"",SUM('연간'!I14:L14)))*365,"")</f>
        <v/>
      </c>
      <c r="F61" s="49">
        <f>IFERROR(F19/(IF(COUNT('연간'!J14:M14)&lt;4,"",SUM('연간'!J14:M14)))*365,"")</f>
        <v/>
      </c>
      <c r="G61" s="49">
        <f>IFERROR(G19/(IF(COUNT('연간'!K14:N14)&lt;4,"",SUM('연간'!K14:N14)))*365,"")</f>
        <v/>
      </c>
      <c r="H61" s="48">
        <f>IFERROR(H19/('연간'!T14)*365,"")</f>
        <v/>
      </c>
      <c r="I61" s="49">
        <f>IFERROR(I19/('연간'!U14)*365,"")</f>
        <v/>
      </c>
      <c r="J61" s="49">
        <f>IFERROR(J19/('연간'!V14)*365,"")</f>
        <v/>
      </c>
      <c r="K61" s="49">
        <f>IFERROR(K19/('연간'!W14)*365,"")</f>
        <v/>
      </c>
      <c r="L61" s="49">
        <f>IFERROR(L19/('연간'!X14)*365,"")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IF(C37="","",IFERROR(C37/(IF(COUNT('연간'!G50:J50)&lt;4,"",SUM('연간'!G50:J50))),""))</f>
        <v/>
      </c>
      <c r="D64" s="31">
        <f>IF(D37="","",IFERROR(D37/(IF(COUNT('연간'!H50:K50)&lt;4,"",SUM('연간'!H50:K50))),""))</f>
        <v/>
      </c>
      <c r="E64" s="31">
        <f>IF(E37="","",IFERROR(E37/(IF(COUNT('연간'!I50:L50)&lt;4,"",SUM('연간'!I50:L50))),""))</f>
        <v/>
      </c>
      <c r="F64" s="31">
        <f>IF(F37="","",IFERROR(F37/(IF(COUNT('연간'!J50:M50)&lt;4,"",SUM('연간'!J50:M50))),""))</f>
        <v/>
      </c>
      <c r="G64" s="31">
        <f>IF(G37="","",IFERROR(G37/(IF(COUNT('연간'!K50:N50)&lt;4,"",SUM('연간'!K50:N50))),""))</f>
        <v/>
      </c>
      <c r="H64" s="30">
        <f>IF(H37="","",IFERROR(H37/('연간'!T50),""))</f>
        <v/>
      </c>
      <c r="I64" s="31">
        <f>IF(I37="","",IFERROR(I37/('연간'!U50),""))</f>
        <v/>
      </c>
      <c r="J64" s="31">
        <f>IF(J37="","",IFERROR(J37/('연간'!V50),""))</f>
        <v/>
      </c>
      <c r="K64" s="31">
        <f>IF(K37="","",IFERROR(K37/('연간'!W50),""))</f>
        <v/>
      </c>
      <c r="L64" s="31">
        <f>IF(L37="","",IFERROR(L37/('연간'!X50),""))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IF(C40="","",IFERROR(C40/(IF(COUNT('연간'!G52:J52)&lt;4,"",SUM('연간'!G52:J52))),""))</f>
        <v/>
      </c>
      <c r="D67" s="36">
        <f>IF(D40="","",IFERROR(D40/(IF(COUNT('연간'!H52:K52)&lt;4,"",SUM('연간'!H52:K52))),""))</f>
        <v/>
      </c>
      <c r="E67" s="36">
        <f>IF(E40="","",IFERROR(E40/(IF(COUNT('연간'!I52:L52)&lt;4,"",SUM('연간'!I52:L52))),""))</f>
        <v/>
      </c>
      <c r="F67" s="36">
        <f>IF(F40="","",IFERROR(F40/(IF(COUNT('연간'!J52:M52)&lt;4,"",SUM('연간'!J52:M52))),""))</f>
        <v/>
      </c>
      <c r="G67" s="36">
        <f>IF(G40="","",IFERROR(G40/(IF(COUNT('연간'!K52:N52)&lt;4,"",SUM('연간'!K52:N52))),""))</f>
        <v/>
      </c>
      <c r="H67" s="35">
        <f>IF(H40="","",IFERROR(H40/('연간'!T52),""))</f>
        <v/>
      </c>
      <c r="I67" s="36">
        <f>IF(I40="","",IFERROR(I40/('연간'!U52),""))</f>
        <v/>
      </c>
      <c r="J67" s="36">
        <f>IF(J40="","",IFERROR(J40/('연간'!V52),""))</f>
        <v/>
      </c>
      <c r="K67" s="36">
        <f>IF(K40="","",IFERROR(K40/('연간'!W52),""))</f>
        <v/>
      </c>
      <c r="L67" s="36">
        <f>IF(L40="","",IFERROR(L40/('연간'!X52),""))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17364.951</v>
      </c>
      <c r="D71" s="20" t="n">
        <v>20881.762</v>
      </c>
      <c r="E71" s="20" t="n">
        <v>21848.683</v>
      </c>
      <c r="F71" s="20" t="n">
        <v>23775.923</v>
      </c>
      <c r="G71" s="20" t="n">
        <v>25676.675</v>
      </c>
      <c r="H71" s="20" t="n">
        <v>5176.612</v>
      </c>
      <c r="I71" s="20" t="n">
        <v>2137.894</v>
      </c>
      <c r="J71" s="20" t="n">
        <v>3637.848</v>
      </c>
      <c r="K71" s="20" t="n">
        <v>4008.192</v>
      </c>
      <c r="L71" s="20" t="n">
        <v>21848.683</v>
      </c>
    </row>
    <row r="72">
      <c r="A72" s="18" t="inlineStr">
        <is>
          <t>매출채권</t>
        </is>
      </c>
      <c r="C72" s="20" t="n">
        <v>5253.375</v>
      </c>
      <c r="D72" s="20" t="n">
        <v>9768.789000000001</v>
      </c>
      <c r="E72" s="20" t="n">
        <v>11791.018</v>
      </c>
      <c r="F72" s="20" t="n">
        <v>11066.438</v>
      </c>
      <c r="G72" s="20" t="n">
        <v>13710.945</v>
      </c>
      <c r="H72" s="20" t="n">
        <v>1611.378</v>
      </c>
      <c r="I72" s="20" t="n">
        <v>1483.903</v>
      </c>
      <c r="J72" s="20" t="n">
        <v>2273.701</v>
      </c>
      <c r="K72" s="20" t="n">
        <v>2606.942</v>
      </c>
      <c r="L72" s="20" t="n">
        <v>11791.018</v>
      </c>
    </row>
    <row r="73">
      <c r="A73" s="18" t="inlineStr">
        <is>
          <t>재고자산</t>
        </is>
      </c>
      <c r="C73" s="20" t="n">
        <v>2.763</v>
      </c>
      <c r="D73" s="20" t="n">
        <v>8.122999999999999</v>
      </c>
      <c r="E73" s="20" t="n">
        <v>8.231</v>
      </c>
      <c r="F73" s="20" t="n">
        <v>7.187</v>
      </c>
      <c r="G73" s="20" t="n">
        <v>6.944</v>
      </c>
      <c r="H73" s="20" t="n">
        <v>1.263</v>
      </c>
      <c r="I73" s="20" t="n">
        <v>1.386</v>
      </c>
      <c r="J73" s="20" t="n">
        <v>3.698</v>
      </c>
      <c r="K73" s="20" t="n">
        <v>1.868</v>
      </c>
      <c r="L73" s="20" t="n">
        <v>8.231</v>
      </c>
    </row>
    <row r="74">
      <c r="A74" s="18" t="inlineStr">
        <is>
          <t>미수금</t>
        </is>
      </c>
      <c r="D74" s="20" t="n">
        <v>171.223</v>
      </c>
      <c r="E74" s="20" t="n">
        <v>185.343</v>
      </c>
      <c r="F74" s="20" t="n">
        <v>0</v>
      </c>
      <c r="H74" s="20" t="n">
        <v>627.76</v>
      </c>
      <c r="I74" s="20" t="n">
        <v>9409.529</v>
      </c>
      <c r="J74" s="20" t="n">
        <v>146.925</v>
      </c>
      <c r="K74" s="20" t="n">
        <v>176.517</v>
      </c>
      <c r="L74" s="20" t="n">
        <v>185.343</v>
      </c>
    </row>
    <row r="75">
      <c r="A75" s="18" t="inlineStr">
        <is>
          <t>미수금</t>
        </is>
      </c>
      <c r="C75" s="20" t="n">
        <v>192.78</v>
      </c>
      <c r="E75" s="20" t="n">
        <v>185.343</v>
      </c>
      <c r="G75" s="20" t="n">
        <v>0.5679999999999999</v>
      </c>
      <c r="I75" s="20" t="n">
        <v>9409.529</v>
      </c>
      <c r="J75" s="20" t="n">
        <v>146.925</v>
      </c>
      <c r="K75" s="20" t="n">
        <v>176.517</v>
      </c>
      <c r="L75" s="20" t="n">
        <v>185.343</v>
      </c>
    </row>
    <row r="76">
      <c r="A76" s="18" t="inlineStr">
        <is>
          <t>영업투자유가증권</t>
        </is>
      </c>
      <c r="D76" s="20" t="n">
        <v>960.082</v>
      </c>
      <c r="E76" s="20" t="n">
        <v>852.722</v>
      </c>
      <c r="F76" s="20" t="n">
        <v>835.909</v>
      </c>
      <c r="G76" s="20" t="n">
        <v>886.921</v>
      </c>
      <c r="K76" s="20" t="n">
        <v>0</v>
      </c>
      <c r="L76" s="20" t="n">
        <v>852.722</v>
      </c>
    </row>
    <row r="77">
      <c r="A77" s="18" t="inlineStr">
        <is>
          <t>고객 분별금 신탁</t>
        </is>
      </c>
      <c r="D77" s="20" t="n">
        <v>2100</v>
      </c>
      <c r="E77" s="20" t="n">
        <v>2100</v>
      </c>
      <c r="F77" s="20" t="n">
        <v>2100</v>
      </c>
      <c r="G77" s="20" t="n">
        <v>2100</v>
      </c>
      <c r="K77" s="20" t="n">
        <v>0</v>
      </c>
      <c r="L77" s="20" t="n">
        <v>2100</v>
      </c>
    </row>
    <row r="78">
      <c r="A78" s="18" t="inlineStr">
        <is>
          <t>기타</t>
        </is>
      </c>
      <c r="C78" s="20" t="n">
        <v>745.572</v>
      </c>
      <c r="D78" s="20" t="n">
        <v>1042.307</v>
      </c>
      <c r="E78" s="20" t="n">
        <v>1039.174</v>
      </c>
      <c r="F78" s="20" t="n">
        <v>1002.907</v>
      </c>
      <c r="G78" s="20" t="n">
        <v>933.514</v>
      </c>
      <c r="H78" s="20" t="n">
        <v>187.065</v>
      </c>
      <c r="I78" s="20" t="n">
        <v>959.197</v>
      </c>
      <c r="J78" s="20" t="n">
        <v>485.296</v>
      </c>
      <c r="K78" s="20" t="n">
        <v>394.189</v>
      </c>
      <c r="L78" s="20" t="n">
        <v>1039.174</v>
      </c>
    </row>
    <row r="79">
      <c r="A79" s="9" t="inlineStr">
        <is>
          <t>유동자산 합계</t>
        </is>
      </c>
      <c r="C79" s="12" t="n">
        <v>23559.442</v>
      </c>
      <c r="D79" s="12" t="n">
        <v>34932.29</v>
      </c>
      <c r="E79" s="12" t="n">
        <v>37825.174</v>
      </c>
      <c r="F79" s="12" t="n">
        <v>38788.365</v>
      </c>
      <c r="G79" s="12" t="n">
        <v>43315.57</v>
      </c>
      <c r="H79" s="12" t="n">
        <v>7604.08</v>
      </c>
      <c r="I79" s="12" t="n">
        <v>13991.911</v>
      </c>
      <c r="J79" s="12" t="n">
        <v>6547.47</v>
      </c>
      <c r="K79" s="12" t="n">
        <v>7187.711</v>
      </c>
      <c r="L79" s="12" t="n">
        <v>37825.174</v>
      </c>
    </row>
    <row r="80">
      <c r="A80" s="18" t="inlineStr">
        <is>
          <t>건물 부속설비</t>
        </is>
      </c>
      <c r="C80" s="20" t="n">
        <v>388.635</v>
      </c>
      <c r="D80" s="20" t="n">
        <v>779.765</v>
      </c>
      <c r="E80" s="20" t="n">
        <v>838.817</v>
      </c>
      <c r="F80" s="20" t="n">
        <v>674.127</v>
      </c>
      <c r="G80" s="20" t="n">
        <v>670.0359999999999</v>
      </c>
      <c r="H80" s="20" t="n">
        <v>159.445</v>
      </c>
      <c r="I80" s="20" t="n">
        <v>179.208</v>
      </c>
      <c r="J80" s="20" t="n">
        <v>120.696</v>
      </c>
      <c r="K80" s="20" t="n">
        <v>129.207</v>
      </c>
      <c r="L80" s="20" t="n">
        <v>838.817</v>
      </c>
    </row>
    <row r="81">
      <c r="A81" s="18" t="inlineStr">
        <is>
          <t>감가상각누계액</t>
        </is>
      </c>
      <c r="C81" s="20" t="n">
        <v>-167.522</v>
      </c>
      <c r="D81" s="20" t="n">
        <v>-182.627</v>
      </c>
      <c r="E81" s="20" t="n">
        <v>-284.175</v>
      </c>
      <c r="F81" s="20" t="n">
        <v>-201.54</v>
      </c>
      <c r="G81" s="20" t="n">
        <v>-225.542</v>
      </c>
      <c r="H81" s="20" t="n">
        <v>-107.516</v>
      </c>
      <c r="I81" s="20" t="n">
        <v>-114.746</v>
      </c>
      <c r="J81" s="20" t="n">
        <v>-46.776</v>
      </c>
      <c r="K81" s="20" t="n">
        <v>-56.736</v>
      </c>
      <c r="L81" s="20" t="n">
        <v>-284.175</v>
      </c>
    </row>
    <row r="82">
      <c r="A82" s="18" t="inlineStr">
        <is>
          <t>건물부속설비(순액)</t>
        </is>
      </c>
      <c r="C82" s="20" t="n">
        <v>221.113</v>
      </c>
      <c r="D82" s="20" t="n">
        <v>597.1369999999999</v>
      </c>
      <c r="E82" s="20" t="n">
        <v>554.641</v>
      </c>
      <c r="F82" s="20" t="n">
        <v>472.586</v>
      </c>
      <c r="G82" s="20" t="n">
        <v>444.494</v>
      </c>
      <c r="H82" s="20" t="n">
        <v>51.929</v>
      </c>
      <c r="I82" s="20" t="n">
        <v>64.462</v>
      </c>
      <c r="J82" s="20" t="n">
        <v>73.919</v>
      </c>
      <c r="K82" s="20" t="n">
        <v>72.47</v>
      </c>
      <c r="L82" s="20" t="n">
        <v>554.641</v>
      </c>
    </row>
    <row r="83">
      <c r="A83" s="18" t="inlineStr">
        <is>
          <t>공구·기구·비품</t>
        </is>
      </c>
      <c r="C83" s="20" t="n">
        <v>365.981</v>
      </c>
      <c r="D83" s="20" t="n">
        <v>510.373</v>
      </c>
      <c r="E83" s="20" t="n">
        <v>456.736</v>
      </c>
      <c r="F83" s="20" t="n">
        <v>449.415</v>
      </c>
      <c r="G83" s="20" t="n">
        <v>449.501</v>
      </c>
      <c r="H83" s="20" t="n">
        <v>197.044</v>
      </c>
      <c r="I83" s="20" t="n">
        <v>200.935</v>
      </c>
      <c r="J83" s="20" t="n">
        <v>185.458</v>
      </c>
      <c r="K83" s="20" t="n">
        <v>190.956</v>
      </c>
      <c r="L83" s="20" t="n">
        <v>456.736</v>
      </c>
    </row>
    <row r="84">
      <c r="A84" s="18" t="inlineStr">
        <is>
          <t>사용권자산</t>
        </is>
      </c>
      <c r="H84" s="20" t="n">
        <v>69.089</v>
      </c>
    </row>
    <row r="85">
      <c r="A85" s="18" t="inlineStr">
        <is>
          <t>감가상각누계액</t>
        </is>
      </c>
      <c r="C85" s="20" t="n">
        <v>-307.913</v>
      </c>
      <c r="D85" s="20" t="n">
        <v>-391.952</v>
      </c>
      <c r="E85" s="20" t="n">
        <v>-355.922</v>
      </c>
      <c r="F85" s="20" t="n">
        <v>-362.461</v>
      </c>
      <c r="G85" s="20" t="n">
        <v>-375.129</v>
      </c>
      <c r="H85" s="20" t="n">
        <v>-168.111</v>
      </c>
      <c r="I85" s="20" t="n">
        <v>-172.908</v>
      </c>
      <c r="J85" s="20" t="n">
        <v>-161.9</v>
      </c>
      <c r="K85" s="20" t="n">
        <v>-170.829</v>
      </c>
      <c r="L85" s="20" t="n">
        <v>-355.922</v>
      </c>
    </row>
    <row r="86">
      <c r="A86" s="18" t="inlineStr">
        <is>
          <t>공구·기구·비품(순액)</t>
        </is>
      </c>
      <c r="C86" s="20" t="n">
        <v>58.068</v>
      </c>
      <c r="D86" s="20" t="n">
        <v>118.421</v>
      </c>
      <c r="E86" s="20" t="n">
        <v>100.813</v>
      </c>
      <c r="F86" s="20" t="n">
        <v>86.95399999999999</v>
      </c>
      <c r="G86" s="20" t="n">
        <v>74.372</v>
      </c>
      <c r="H86" s="20" t="n">
        <v>28.932</v>
      </c>
      <c r="I86" s="20" t="n">
        <v>28.027</v>
      </c>
      <c r="J86" s="20" t="n">
        <v>23.557</v>
      </c>
      <c r="K86" s="20" t="n">
        <v>20.127</v>
      </c>
      <c r="L86" s="20" t="n">
        <v>100.813</v>
      </c>
    </row>
    <row r="87">
      <c r="A87" s="18" t="inlineStr">
        <is>
          <t>사용권자산</t>
        </is>
      </c>
      <c r="C87" s="20" t="n">
        <v>129.156</v>
      </c>
      <c r="H87" s="20" t="n">
        <v>69.089</v>
      </c>
      <c r="I87" s="20" t="n">
        <v>253.288</v>
      </c>
      <c r="J87" s="20" t="n">
        <v>216.568</v>
      </c>
      <c r="K87" s="20" t="n">
        <v>175.866</v>
      </c>
    </row>
    <row r="88">
      <c r="A88" s="18" t="inlineStr">
        <is>
          <t>사용권자산(순액)</t>
        </is>
      </c>
      <c r="D88" s="20" t="n">
        <v>115.784</v>
      </c>
      <c r="J88" s="20" t="n">
        <v>216.568</v>
      </c>
      <c r="K88" s="20" t="n">
        <v>175.866</v>
      </c>
    </row>
    <row r="89">
      <c r="A89" s="18" t="inlineStr">
        <is>
          <t>사용권자산</t>
        </is>
      </c>
      <c r="E89" s="20" t="n">
        <v>103.456</v>
      </c>
      <c r="F89" s="20" t="n">
        <v>86.74299999999999</v>
      </c>
      <c r="G89" s="20" t="n">
        <v>68.56699999999999</v>
      </c>
      <c r="K89" s="20" t="n">
        <v>175.866</v>
      </c>
      <c r="L89" s="20" t="n">
        <v>103.456</v>
      </c>
    </row>
    <row r="90">
      <c r="A90" s="18" t="inlineStr">
        <is>
          <t>유형자산 합계</t>
        </is>
      </c>
      <c r="C90" s="20" t="n">
        <v>408.338</v>
      </c>
      <c r="D90" s="20" t="n">
        <v>831.343</v>
      </c>
      <c r="E90" s="20" t="n">
        <v>758.9109999999999</v>
      </c>
      <c r="F90" s="20" t="n">
        <v>646.284</v>
      </c>
      <c r="G90" s="20" t="n">
        <v>587.434</v>
      </c>
      <c r="H90" s="20" t="n">
        <v>149.951</v>
      </c>
      <c r="I90" s="20" t="n">
        <v>345.777</v>
      </c>
      <c r="J90" s="20" t="n">
        <v>314.046</v>
      </c>
      <c r="K90" s="20" t="n">
        <v>268.463</v>
      </c>
      <c r="L90" s="20" t="n">
        <v>758.9109999999999</v>
      </c>
    </row>
    <row r="91">
      <c r="A91" s="18" t="inlineStr">
        <is>
          <t>영업권</t>
        </is>
      </c>
      <c r="C91" s="20" t="n">
        <v>1492.859</v>
      </c>
      <c r="D91" s="20" t="n">
        <v>1489.123</v>
      </c>
      <c r="E91" s="20" t="n">
        <v>1504.551</v>
      </c>
      <c r="F91" s="20" t="n">
        <v>1494.936</v>
      </c>
      <c r="G91" s="20" t="n">
        <v>1479.904</v>
      </c>
      <c r="H91" s="20" t="n">
        <v>1786.713</v>
      </c>
      <c r="I91" s="20" t="n">
        <v>1676.585</v>
      </c>
      <c r="J91" s="20" t="n">
        <v>1633.229</v>
      </c>
      <c r="K91" s="20" t="n">
        <v>1625.593</v>
      </c>
      <c r="L91" s="20" t="n">
        <v>1504.551</v>
      </c>
    </row>
    <row r="92">
      <c r="A92" s="18" t="inlineStr">
        <is>
          <t>소프트웨어</t>
        </is>
      </c>
      <c r="C92" s="20" t="n">
        <v>695.556</v>
      </c>
      <c r="D92" s="20" t="n">
        <v>1234.52</v>
      </c>
      <c r="E92" s="20" t="n">
        <v>1010.421</v>
      </c>
      <c r="F92" s="20" t="n">
        <v>1010.917</v>
      </c>
      <c r="G92" s="20" t="n">
        <v>1060.37</v>
      </c>
      <c r="H92" s="20" t="n">
        <v>1076.849</v>
      </c>
      <c r="I92" s="20" t="n">
        <v>863.429</v>
      </c>
      <c r="J92" s="20" t="n">
        <v>986.883</v>
      </c>
      <c r="K92" s="20" t="n">
        <v>780.282</v>
      </c>
      <c r="L92" s="20" t="n">
        <v>1010.421</v>
      </c>
    </row>
    <row r="93">
      <c r="A93" s="18" t="inlineStr">
        <is>
          <t>기타</t>
        </is>
      </c>
      <c r="C93" s="20" t="n">
        <v>10.788</v>
      </c>
      <c r="D93" s="20" t="n">
        <v>14.018</v>
      </c>
      <c r="E93" s="20" t="n">
        <v>13.223</v>
      </c>
      <c r="F93" s="20" t="n">
        <v>13.372</v>
      </c>
      <c r="G93" s="20" t="n">
        <v>13.306</v>
      </c>
      <c r="H93" s="20" t="n">
        <v>282.05</v>
      </c>
      <c r="I93" s="20" t="n">
        <v>39.775</v>
      </c>
      <c r="J93" s="20" t="n">
        <v>9.124000000000001</v>
      </c>
      <c r="K93" s="20" t="n">
        <v>8.907</v>
      </c>
      <c r="L93" s="20" t="n">
        <v>13.223</v>
      </c>
    </row>
    <row r="94">
      <c r="A94" s="18" t="inlineStr">
        <is>
          <t>무형자산 합계</t>
        </is>
      </c>
      <c r="C94" s="20" t="n">
        <v>2199.204</v>
      </c>
      <c r="D94" s="20" t="n">
        <v>2737.662</v>
      </c>
      <c r="E94" s="20" t="n">
        <v>2528.197</v>
      </c>
      <c r="F94" s="20" t="n">
        <v>2519.226</v>
      </c>
      <c r="G94" s="20" t="n">
        <v>2553.581</v>
      </c>
      <c r="H94" s="20" t="n">
        <v>3145.612</v>
      </c>
      <c r="I94" s="20" t="n">
        <v>2579.79</v>
      </c>
      <c r="J94" s="20" t="n">
        <v>2629.237</v>
      </c>
      <c r="K94" s="20" t="n">
        <v>2414.784</v>
      </c>
      <c r="L94" s="20" t="n">
        <v>2528.197</v>
      </c>
    </row>
    <row r="95">
      <c r="A95" s="18" t="inlineStr">
        <is>
          <t>투자유가증권</t>
        </is>
      </c>
      <c r="C95" s="20" t="n">
        <v>10147.743</v>
      </c>
      <c r="D95" s="20" t="n">
        <v>10088.531</v>
      </c>
      <c r="E95" s="20" t="n">
        <v>10843.005</v>
      </c>
      <c r="F95" s="20" t="n">
        <v>11244.782</v>
      </c>
      <c r="G95" s="20" t="n">
        <v>10998.358</v>
      </c>
      <c r="H95" s="20" t="n">
        <v>2624.582</v>
      </c>
      <c r="I95" s="20" t="n">
        <v>3871.154</v>
      </c>
      <c r="J95" s="20" t="n">
        <v>8712.813</v>
      </c>
      <c r="K95" s="20" t="n">
        <v>7702.904</v>
      </c>
      <c r="L95" s="20" t="n">
        <v>10843.005</v>
      </c>
    </row>
    <row r="96">
      <c r="A96" s="18" t="inlineStr">
        <is>
          <t>이연법인세자산</t>
        </is>
      </c>
      <c r="C96" s="20" t="n">
        <v>492.604</v>
      </c>
      <c r="D96" s="20" t="n">
        <v>496.171</v>
      </c>
      <c r="E96" s="20" t="n">
        <v>397.837</v>
      </c>
      <c r="F96" s="20" t="n">
        <v>259.729</v>
      </c>
      <c r="G96" s="20" t="n">
        <v>357.093</v>
      </c>
      <c r="H96" s="20" t="n">
        <v>345.615</v>
      </c>
      <c r="I96" s="20" t="n">
        <v>416.769</v>
      </c>
      <c r="J96" s="20" t="n">
        <v>294.214</v>
      </c>
      <c r="K96" s="20" t="n">
        <v>559.984</v>
      </c>
      <c r="L96" s="20" t="n">
        <v>397.837</v>
      </c>
    </row>
    <row r="97">
      <c r="A97" s="18" t="inlineStr">
        <is>
          <t>퇴직급여자산</t>
        </is>
      </c>
      <c r="C97" s="20" t="n">
        <v>93.312</v>
      </c>
      <c r="D97" s="20" t="n">
        <v>98.236</v>
      </c>
      <c r="E97" s="20" t="n">
        <v>103.024</v>
      </c>
      <c r="F97" s="20" t="n">
        <v>107.58</v>
      </c>
      <c r="G97" s="20" t="n">
        <v>0</v>
      </c>
      <c r="K97" s="20" t="n">
        <v>0</v>
      </c>
      <c r="L97" s="20" t="n">
        <v>103.024</v>
      </c>
    </row>
    <row r="98">
      <c r="A98" s="18" t="inlineStr">
        <is>
          <t>기타</t>
        </is>
      </c>
      <c r="C98" s="20" t="n">
        <v>382.498</v>
      </c>
      <c r="D98" s="20" t="n">
        <v>566.866</v>
      </c>
      <c r="E98" s="20" t="n">
        <v>564.696</v>
      </c>
      <c r="F98" s="20" t="n">
        <v>564.528</v>
      </c>
      <c r="G98" s="20" t="n">
        <v>563.347</v>
      </c>
      <c r="H98" s="20" t="n">
        <v>166.511</v>
      </c>
      <c r="I98" s="20" t="n">
        <v>142.375</v>
      </c>
      <c r="J98" s="20" t="n">
        <v>126.228</v>
      </c>
      <c r="K98" s="20" t="n">
        <v>124.545</v>
      </c>
      <c r="L98" s="20" t="n">
        <v>564.696</v>
      </c>
    </row>
    <row r="99">
      <c r="A99" s="18" t="inlineStr">
        <is>
          <t>투자 및 기타자산 합계</t>
        </is>
      </c>
      <c r="C99" s="20" t="n">
        <v>11116.158</v>
      </c>
      <c r="D99" s="20" t="n">
        <v>11249.806</v>
      </c>
      <c r="E99" s="20" t="n">
        <v>11908.564</v>
      </c>
      <c r="F99" s="20" t="n">
        <v>12176.621</v>
      </c>
      <c r="G99" s="20" t="n">
        <v>11918.799</v>
      </c>
      <c r="H99" s="20" t="n">
        <v>3136.709</v>
      </c>
      <c r="I99" s="20" t="n">
        <v>4430.299</v>
      </c>
      <c r="J99" s="20" t="n">
        <v>9133.255999999999</v>
      </c>
      <c r="K99" s="20" t="n">
        <v>8387.434999999999</v>
      </c>
      <c r="L99" s="20" t="n">
        <v>11908.564</v>
      </c>
    </row>
    <row r="100">
      <c r="A100" s="9" t="inlineStr">
        <is>
          <t>비유동자산 합계</t>
        </is>
      </c>
      <c r="C100" s="12" t="n">
        <v>13723.701</v>
      </c>
      <c r="D100" s="12" t="n">
        <v>14818.812</v>
      </c>
      <c r="E100" s="12" t="n">
        <v>15195.673</v>
      </c>
      <c r="F100" s="12" t="n">
        <v>15342.131</v>
      </c>
      <c r="G100" s="12" t="n">
        <v>15059.815</v>
      </c>
      <c r="H100" s="12" t="n">
        <v>6432.274</v>
      </c>
      <c r="I100" s="12" t="n">
        <v>7355.867</v>
      </c>
      <c r="J100" s="12" t="n">
        <v>12076.54</v>
      </c>
      <c r="K100" s="12" t="n">
        <v>11070.683</v>
      </c>
      <c r="L100" s="12" t="n">
        <v>15195.673</v>
      </c>
    </row>
    <row r="101">
      <c r="A101" s="18" t="inlineStr">
        <is>
          <t>주식교부비</t>
        </is>
      </c>
      <c r="C101" s="20" t="n">
        <v>2.964</v>
      </c>
      <c r="D101" s="20" t="n">
        <v>2.541</v>
      </c>
      <c r="E101" s="20" t="n">
        <v>6.727</v>
      </c>
      <c r="F101" s="20" t="n">
        <v>6.073</v>
      </c>
      <c r="G101" s="20" t="n">
        <v>5.42</v>
      </c>
      <c r="H101" s="20" t="n">
        <v>19.003</v>
      </c>
      <c r="I101" s="20" t="n">
        <v>8.587</v>
      </c>
      <c r="J101" s="20" t="n">
        <v>1.632</v>
      </c>
      <c r="K101" s="20" t="n">
        <v>0.247</v>
      </c>
      <c r="L101" s="20" t="n">
        <v>6.727</v>
      </c>
    </row>
    <row r="102">
      <c r="A102" s="18" t="inlineStr">
        <is>
          <t>이연자산 합계</t>
        </is>
      </c>
      <c r="C102" s="20" t="n">
        <v>2.964</v>
      </c>
      <c r="D102" s="20" t="n">
        <v>2.541</v>
      </c>
      <c r="E102" s="20" t="n">
        <v>6.727</v>
      </c>
      <c r="F102" s="20" t="n">
        <v>6.073</v>
      </c>
      <c r="G102" s="20" t="n">
        <v>5.42</v>
      </c>
      <c r="H102" s="20" t="n">
        <v>19.003</v>
      </c>
      <c r="I102" s="20" t="n">
        <v>8.587</v>
      </c>
      <c r="J102" s="20" t="n">
        <v>1.632</v>
      </c>
      <c r="K102" s="20" t="n">
        <v>0.247</v>
      </c>
      <c r="L102" s="20" t="n">
        <v>6.727</v>
      </c>
    </row>
    <row r="103">
      <c r="A103" s="9" t="inlineStr">
        <is>
          <t>자산 합계</t>
        </is>
      </c>
      <c r="C103" s="12" t="n">
        <v>37286.109</v>
      </c>
      <c r="D103" s="12" t="n">
        <v>49753.644</v>
      </c>
      <c r="E103" s="12" t="n">
        <v>53027.575</v>
      </c>
      <c r="F103" s="12" t="n">
        <v>54136.57</v>
      </c>
      <c r="G103" s="12" t="n">
        <v>58380.806</v>
      </c>
      <c r="H103" s="12" t="n">
        <v>14055.358</v>
      </c>
      <c r="I103" s="12" t="n">
        <v>21356.365</v>
      </c>
      <c r="J103" s="12" t="n">
        <v>18625.643</v>
      </c>
      <c r="K103" s="12" t="n">
        <v>18258.642</v>
      </c>
      <c r="L103" s="12" t="n">
        <v>53027.575</v>
      </c>
    </row>
    <row r="104">
      <c r="A104" s="18" t="inlineStr">
        <is>
          <t>매입채무</t>
        </is>
      </c>
      <c r="C104" s="20" t="n">
        <v>14.437</v>
      </c>
      <c r="D104" s="20" t="n">
        <v>15.995</v>
      </c>
      <c r="E104" s="20" t="n">
        <v>23.471</v>
      </c>
      <c r="F104" s="20" t="n">
        <v>18.335</v>
      </c>
      <c r="G104" s="20" t="n">
        <v>26.365</v>
      </c>
      <c r="H104" s="20" t="n">
        <v>62.618</v>
      </c>
      <c r="I104" s="20" t="n">
        <v>62.753</v>
      </c>
      <c r="J104" s="20" t="n">
        <v>18.765</v>
      </c>
      <c r="K104" s="20" t="n">
        <v>20.467</v>
      </c>
      <c r="L104" s="20" t="n">
        <v>23.471</v>
      </c>
    </row>
    <row r="105">
      <c r="A105" s="18" t="inlineStr">
        <is>
          <t>미지급금</t>
        </is>
      </c>
      <c r="C105" s="20" t="n">
        <v>3205.431</v>
      </c>
      <c r="D105" s="20" t="n">
        <v>5608.773</v>
      </c>
      <c r="E105" s="20" t="n">
        <v>6571.247</v>
      </c>
      <c r="F105" s="20" t="n">
        <v>6584.036</v>
      </c>
      <c r="G105" s="20" t="n">
        <v>7646.886</v>
      </c>
      <c r="H105" s="20" t="n">
        <v>748.528</v>
      </c>
      <c r="I105" s="20" t="n">
        <v>1010.877</v>
      </c>
      <c r="J105" s="20" t="n">
        <v>1162.069</v>
      </c>
      <c r="K105" s="20" t="n">
        <v>1445.762</v>
      </c>
      <c r="L105" s="20" t="n">
        <v>6571.247</v>
      </c>
    </row>
    <row r="106">
      <c r="A106" s="18" t="inlineStr">
        <is>
          <t>리스부채</t>
        </is>
      </c>
      <c r="C106" s="20" t="n">
        <v>68.03</v>
      </c>
      <c r="D106" s="20" t="n">
        <v>71.376</v>
      </c>
      <c r="E106" s="20" t="n">
        <v>76.577</v>
      </c>
      <c r="F106" s="20" t="n">
        <v>79.82599999999999</v>
      </c>
      <c r="G106" s="20" t="n">
        <v>68.56699999999999</v>
      </c>
      <c r="H106" s="20" t="n">
        <v>69.089</v>
      </c>
      <c r="I106" s="20" t="n">
        <v>50.646</v>
      </c>
      <c r="J106" s="20" t="n">
        <v>58.881</v>
      </c>
      <c r="K106" s="20" t="n">
        <v>71.33199999999999</v>
      </c>
      <c r="L106" s="20" t="n">
        <v>76.577</v>
      </c>
    </row>
    <row r="107">
      <c r="A107" s="18" t="inlineStr">
        <is>
          <t>미지급법인세</t>
        </is>
      </c>
      <c r="C107" s="20" t="n">
        <v>878.78</v>
      </c>
      <c r="D107" s="20" t="n">
        <v>743.33</v>
      </c>
      <c r="E107" s="20" t="n">
        <v>1541.903</v>
      </c>
      <c r="F107" s="20" t="n">
        <v>857.706</v>
      </c>
      <c r="G107" s="20" t="n">
        <v>2350.313</v>
      </c>
      <c r="H107" s="20" t="n">
        <v>464.822</v>
      </c>
      <c r="I107" s="20" t="n">
        <v>2709.257</v>
      </c>
      <c r="J107" s="20" t="n">
        <v>430.601</v>
      </c>
      <c r="K107" s="20" t="n">
        <v>573.591</v>
      </c>
      <c r="L107" s="20" t="n">
        <v>1541.903</v>
      </c>
    </row>
    <row r="108">
      <c r="A108" s="18" t="inlineStr">
        <is>
          <t>미지급 소비세</t>
        </is>
      </c>
      <c r="C108" s="20" t="n">
        <v>163.292</v>
      </c>
      <c r="D108" s="20" t="n">
        <v>261.928</v>
      </c>
      <c r="E108" s="20" t="n">
        <v>399.334</v>
      </c>
      <c r="F108" s="20" t="n">
        <v>459.084</v>
      </c>
      <c r="G108" s="20" t="n">
        <v>521.283</v>
      </c>
      <c r="H108" s="20" t="n">
        <v>90.498</v>
      </c>
      <c r="I108" s="20" t="n">
        <v>12.179</v>
      </c>
      <c r="J108" s="20" t="n">
        <v>108.637</v>
      </c>
      <c r="K108" s="20" t="n">
        <v>140.71</v>
      </c>
      <c r="L108" s="20" t="n">
        <v>399.334</v>
      </c>
    </row>
    <row r="109">
      <c r="A109" s="18" t="inlineStr">
        <is>
          <t>상여충당금</t>
        </is>
      </c>
      <c r="C109" s="20" t="n">
        <v>55</v>
      </c>
      <c r="D109" s="20" t="n">
        <v>190.629</v>
      </c>
      <c r="E109" s="20" t="n">
        <v>367.155</v>
      </c>
      <c r="F109" s="20" t="n">
        <v>32.5</v>
      </c>
      <c r="G109" s="20" t="n">
        <v>87.5</v>
      </c>
      <c r="K109" s="20" t="n">
        <v>0</v>
      </c>
      <c r="L109" s="20" t="n">
        <v>367.155</v>
      </c>
    </row>
    <row r="110">
      <c r="A110" s="18" t="inlineStr">
        <is>
          <t>자산복구부채</t>
        </is>
      </c>
      <c r="E110" s="20" t="n">
        <v>61.446</v>
      </c>
      <c r="F110" s="20" t="n">
        <v>61.598</v>
      </c>
      <c r="G110" s="20" t="n">
        <v>61.75</v>
      </c>
      <c r="K110" s="20" t="n">
        <v>0</v>
      </c>
      <c r="L110" s="20" t="n">
        <v>61.446</v>
      </c>
    </row>
    <row r="111">
      <c r="A111" s="18" t="inlineStr">
        <is>
          <t>기타</t>
        </is>
      </c>
      <c r="C111" s="20" t="n">
        <v>502.417</v>
      </c>
      <c r="D111" s="20" t="n">
        <v>2521.395</v>
      </c>
      <c r="E111" s="20" t="n">
        <v>1450.206</v>
      </c>
      <c r="F111" s="20" t="n">
        <v>3437.193</v>
      </c>
      <c r="G111" s="20" t="n">
        <v>2653.815</v>
      </c>
      <c r="H111" s="20" t="n">
        <v>346.255</v>
      </c>
      <c r="I111" s="20" t="n">
        <v>508.107</v>
      </c>
      <c r="J111" s="20" t="n">
        <v>578.5940000000001</v>
      </c>
      <c r="K111" s="20" t="n">
        <v>491.888</v>
      </c>
      <c r="L111" s="20" t="n">
        <v>1450.206</v>
      </c>
    </row>
    <row r="112">
      <c r="A112" s="9" t="inlineStr">
        <is>
          <t>유동부채 합계</t>
        </is>
      </c>
      <c r="C112" s="12" t="n">
        <v>4887.389</v>
      </c>
      <c r="D112" s="12" t="n">
        <v>9413.431</v>
      </c>
      <c r="E112" s="12" t="n">
        <v>10491.344</v>
      </c>
      <c r="F112" s="12" t="n">
        <v>11530.281</v>
      </c>
      <c r="G112" s="12" t="n">
        <v>13416.482</v>
      </c>
      <c r="H112" s="12" t="n">
        <v>1781.813</v>
      </c>
      <c r="I112" s="12" t="n">
        <v>4353.822</v>
      </c>
      <c r="J112" s="12" t="n">
        <v>2357.55</v>
      </c>
      <c r="K112" s="12" t="n">
        <v>2743.751</v>
      </c>
      <c r="L112" s="12" t="n">
        <v>10491.344</v>
      </c>
    </row>
    <row r="113">
      <c r="A113" s="18" t="inlineStr">
        <is>
          <t>장기 리스부채</t>
        </is>
      </c>
      <c r="H113" s="20" t="n">
        <v>0</v>
      </c>
      <c r="I113" s="20" t="n">
        <v>202.641</v>
      </c>
    </row>
    <row r="114">
      <c r="A114" s="18" t="inlineStr">
        <is>
          <t>리스부채</t>
        </is>
      </c>
      <c r="C114" s="20" t="n">
        <v>61.125</v>
      </c>
      <c r="D114" s="20" t="n">
        <v>44.407</v>
      </c>
      <c r="E114" s="20" t="n">
        <v>26.879</v>
      </c>
      <c r="F114" s="20" t="n">
        <v>6.916</v>
      </c>
      <c r="G114" s="20" t="n">
        <v>0</v>
      </c>
      <c r="I114" s="20" t="n">
        <v>202.641</v>
      </c>
      <c r="J114" s="20" t="n">
        <v>157.686</v>
      </c>
      <c r="K114" s="20" t="n">
        <v>104.534</v>
      </c>
      <c r="L114" s="20" t="n">
        <v>26.879</v>
      </c>
    </row>
    <row r="115">
      <c r="A115" s="18" t="inlineStr">
        <is>
          <t>임원 퇴직위로 충당금</t>
        </is>
      </c>
      <c r="C115" s="20" t="n">
        <v>10.3</v>
      </c>
      <c r="D115" s="20" t="n">
        <v>10.77</v>
      </c>
      <c r="E115" s="20" t="n">
        <v>11.24</v>
      </c>
      <c r="F115" s="20" t="n">
        <v>11.7</v>
      </c>
      <c r="G115" s="20" t="n">
        <v>12.17</v>
      </c>
      <c r="K115" s="20" t="n">
        <v>0</v>
      </c>
      <c r="L115" s="20" t="n">
        <v>11.24</v>
      </c>
    </row>
    <row r="116">
      <c r="A116" s="18" t="inlineStr">
        <is>
          <t>이연법인세부채</t>
        </is>
      </c>
      <c r="C116" s="20" t="n">
        <v>137.494</v>
      </c>
      <c r="D116" s="20" t="n">
        <v>137.411</v>
      </c>
      <c r="E116" s="20" t="n">
        <v>111.698</v>
      </c>
      <c r="F116" s="20" t="n">
        <v>206.198</v>
      </c>
      <c r="G116" s="20" t="n">
        <v>75.63500000000001</v>
      </c>
      <c r="K116" s="20" t="n">
        <v>0</v>
      </c>
      <c r="L116" s="20" t="n">
        <v>111.698</v>
      </c>
    </row>
    <row r="117">
      <c r="A117" s="18" t="inlineStr">
        <is>
          <t>퇴직급여부채</t>
        </is>
      </c>
      <c r="C117" s="20" t="n">
        <v>213.672</v>
      </c>
      <c r="D117" s="20" t="n">
        <v>210.902</v>
      </c>
      <c r="E117" s="20" t="n">
        <v>152.365</v>
      </c>
      <c r="F117" s="20" t="n">
        <v>96.518</v>
      </c>
      <c r="G117" s="20" t="n">
        <v>12.11</v>
      </c>
      <c r="K117" s="20" t="n">
        <v>0</v>
      </c>
      <c r="L117" s="20" t="n">
        <v>152.365</v>
      </c>
    </row>
    <row r="118">
      <c r="A118" s="18" t="inlineStr">
        <is>
          <t>자산복구부채</t>
        </is>
      </c>
      <c r="C118" s="20" t="n">
        <v>95.83499999999999</v>
      </c>
      <c r="D118" s="20" t="n">
        <v>313.26</v>
      </c>
      <c r="E118" s="20" t="n">
        <v>248.327</v>
      </c>
      <c r="F118" s="20" t="n">
        <v>249.057</v>
      </c>
      <c r="G118" s="20" t="n">
        <v>249.787</v>
      </c>
      <c r="K118" s="20" t="n">
        <v>0</v>
      </c>
      <c r="L118" s="20" t="n">
        <v>248.327</v>
      </c>
    </row>
    <row r="119">
      <c r="A119" s="18" t="inlineStr">
        <is>
          <t>기타</t>
        </is>
      </c>
      <c r="D119" s="20" t="n">
        <v>64.48399999999999</v>
      </c>
      <c r="E119" s="20" t="n">
        <v>59.791</v>
      </c>
      <c r="F119" s="20" t="n">
        <v>29.717</v>
      </c>
      <c r="G119" s="20" t="n">
        <v>108.259</v>
      </c>
      <c r="K119" s="20" t="n">
        <v>0</v>
      </c>
      <c r="L119" s="20" t="n">
        <v>59.791</v>
      </c>
    </row>
    <row r="120">
      <c r="A120" s="9" t="inlineStr">
        <is>
          <t>비유동부채 합계</t>
        </is>
      </c>
      <c r="C120" s="12" t="n">
        <v>518.428</v>
      </c>
      <c r="D120" s="12" t="n">
        <v>781.236</v>
      </c>
      <c r="E120" s="12" t="n">
        <v>610.302</v>
      </c>
      <c r="F120" s="12" t="n">
        <v>600.1079999999999</v>
      </c>
      <c r="G120" s="12" t="n">
        <v>457.963</v>
      </c>
      <c r="H120" s="12" t="n">
        <v>0</v>
      </c>
      <c r="I120" s="12" t="n">
        <v>202.641</v>
      </c>
      <c r="J120" s="12" t="n">
        <v>157.686</v>
      </c>
      <c r="K120" s="12" t="n">
        <v>104.534</v>
      </c>
      <c r="L120" s="12" t="n">
        <v>610.302</v>
      </c>
    </row>
    <row r="121">
      <c r="A121" s="9" t="inlineStr">
        <is>
          <t>부채 합계</t>
        </is>
      </c>
      <c r="C121" s="12" t="n">
        <v>5405.817</v>
      </c>
      <c r="D121" s="12" t="n">
        <v>10194.668</v>
      </c>
      <c r="E121" s="12" t="n">
        <v>11101.646</v>
      </c>
      <c r="F121" s="12" t="n">
        <v>12130.389</v>
      </c>
      <c r="G121" s="12" t="n">
        <v>13874.445</v>
      </c>
      <c r="H121" s="12" t="n">
        <v>1781.813</v>
      </c>
      <c r="I121" s="12" t="n">
        <v>4556.464</v>
      </c>
      <c r="J121" s="12" t="n">
        <v>2515.237</v>
      </c>
      <c r="K121" s="12" t="n">
        <v>2848.285</v>
      </c>
      <c r="L121" s="12" t="n">
        <v>11101.646</v>
      </c>
    </row>
    <row r="122">
      <c r="A122" s="18" t="inlineStr">
        <is>
          <t>자본금</t>
        </is>
      </c>
      <c r="C122" s="20" t="n">
        <v>3363.635</v>
      </c>
      <c r="D122" s="20" t="n">
        <v>3723.221</v>
      </c>
      <c r="E122" s="20" t="n">
        <v>3739.398</v>
      </c>
      <c r="F122" s="20" t="n">
        <v>3774.245</v>
      </c>
      <c r="G122" s="20" t="n">
        <v>3792.81</v>
      </c>
      <c r="H122" s="20" t="n">
        <v>3363.635</v>
      </c>
      <c r="I122" s="20" t="n">
        <v>3363.635</v>
      </c>
      <c r="J122" s="20" t="n">
        <v>3363.635</v>
      </c>
      <c r="K122" s="20" t="n">
        <v>3363.635</v>
      </c>
      <c r="L122" s="20" t="n">
        <v>3739.398</v>
      </c>
    </row>
    <row r="123">
      <c r="A123" s="18" t="inlineStr">
        <is>
          <t>자본잉여금</t>
        </is>
      </c>
      <c r="C123" s="20" t="n">
        <v>13007.441</v>
      </c>
      <c r="D123" s="20" t="n">
        <v>13007.45</v>
      </c>
      <c r="E123" s="20" t="n">
        <v>13023.501</v>
      </c>
      <c r="F123" s="20" t="n">
        <v>13058.413</v>
      </c>
      <c r="G123" s="20" t="n">
        <v>13076.98</v>
      </c>
      <c r="H123" s="20" t="n">
        <v>4478.772</v>
      </c>
      <c r="I123" s="20" t="n">
        <v>4514.168</v>
      </c>
      <c r="J123" s="20" t="n">
        <v>4528.571</v>
      </c>
      <c r="K123" s="20" t="n">
        <v>4528.571</v>
      </c>
      <c r="L123" s="20" t="n">
        <v>13023.501</v>
      </c>
    </row>
    <row r="124">
      <c r="A124" s="18" t="inlineStr">
        <is>
          <t>이익잉여금</t>
        </is>
      </c>
      <c r="C124" s="20" t="n">
        <v>7580.612</v>
      </c>
      <c r="D124" s="20" t="n">
        <v>13913.917</v>
      </c>
      <c r="E124" s="20" t="n">
        <v>15227.325</v>
      </c>
      <c r="F124" s="20" t="n">
        <v>14718.104</v>
      </c>
      <c r="G124" s="20" t="n">
        <v>16911.753</v>
      </c>
      <c r="H124" s="20" t="n">
        <v>4439.392</v>
      </c>
      <c r="I124" s="20" t="n">
        <v>8335.546</v>
      </c>
      <c r="J124" s="20" t="n">
        <v>8019.263</v>
      </c>
      <c r="K124" s="20" t="n">
        <v>7715.801</v>
      </c>
      <c r="L124" s="20" t="n">
        <v>15227.325</v>
      </c>
    </row>
    <row r="125">
      <c r="A125" s="18" t="inlineStr">
        <is>
          <t>자기주식</t>
        </is>
      </c>
      <c r="C125" s="20" t="n">
        <v>-0.004</v>
      </c>
      <c r="D125" s="20" t="n">
        <v>-0.026</v>
      </c>
      <c r="E125" s="20" t="n">
        <v>-1.07</v>
      </c>
      <c r="F125" s="20" t="n">
        <v>-1.085</v>
      </c>
      <c r="G125" s="20" t="n">
        <v>-1.11</v>
      </c>
      <c r="H125" s="20" t="n">
        <v>-0.029</v>
      </c>
      <c r="I125" s="20" t="n">
        <v>-0.02</v>
      </c>
      <c r="J125" s="20" t="n">
        <v>-0.02</v>
      </c>
      <c r="K125" s="20" t="n">
        <v>-0.023</v>
      </c>
      <c r="L125" s="20" t="n">
        <v>-1.07</v>
      </c>
    </row>
    <row r="126">
      <c r="A126" s="9" t="inlineStr">
        <is>
          <t>주주자본 합계</t>
        </is>
      </c>
      <c r="C126" s="12" t="n">
        <v>23951.685</v>
      </c>
      <c r="D126" s="12" t="n">
        <v>30644.563</v>
      </c>
      <c r="E126" s="12" t="n">
        <v>31989.155</v>
      </c>
      <c r="F126" s="12" t="n">
        <v>31549.678</v>
      </c>
      <c r="G126" s="12" t="n">
        <v>33780.434</v>
      </c>
      <c r="H126" s="12" t="n">
        <v>12281.77</v>
      </c>
      <c r="I126" s="12" t="n">
        <v>16213.329</v>
      </c>
      <c r="J126" s="12" t="n">
        <v>15911.449</v>
      </c>
      <c r="K126" s="12" t="n">
        <v>15607.984</v>
      </c>
      <c r="L126" s="12" t="n">
        <v>31989.155</v>
      </c>
    </row>
    <row r="127">
      <c r="A127" s="18" t="inlineStr">
        <is>
          <t>기타유가증권 평가차액</t>
        </is>
      </c>
      <c r="C127" s="20" t="n">
        <v>-835.963</v>
      </c>
      <c r="D127" s="20" t="n">
        <v>-516.304</v>
      </c>
      <c r="E127" s="20" t="n">
        <v>-10.77</v>
      </c>
      <c r="F127" s="20" t="n">
        <v>48.775</v>
      </c>
      <c r="G127" s="20" t="n">
        <v>-15.646</v>
      </c>
      <c r="H127" s="20" t="n">
        <v>-513.787</v>
      </c>
      <c r="I127" s="20" t="n">
        <v>13.44</v>
      </c>
      <c r="J127" s="20" t="n">
        <v>-330.513</v>
      </c>
      <c r="K127" s="20" t="n">
        <v>-947.5359999999999</v>
      </c>
      <c r="L127" s="20" t="n">
        <v>-10.77</v>
      </c>
    </row>
    <row r="128">
      <c r="A128" s="18" t="inlineStr">
        <is>
          <t>이연헤지손익</t>
        </is>
      </c>
      <c r="K128" s="20" t="n">
        <v>0</v>
      </c>
    </row>
    <row r="129">
      <c r="A129" s="18" t="inlineStr">
        <is>
          <t>해외사업환산조정</t>
        </is>
      </c>
      <c r="C129" s="20" t="n">
        <v>417.98</v>
      </c>
      <c r="D129" s="20" t="n">
        <v>467.678</v>
      </c>
      <c r="E129" s="20" t="n">
        <v>564.649</v>
      </c>
      <c r="F129" s="20" t="n">
        <v>607.2670000000001</v>
      </c>
      <c r="G129" s="20" t="n">
        <v>639.3440000000001</v>
      </c>
      <c r="H129" s="20" t="n">
        <v>36.309</v>
      </c>
      <c r="I129" s="20" t="n">
        <v>254.273</v>
      </c>
      <c r="J129" s="20" t="n">
        <v>383.462</v>
      </c>
      <c r="K129" s="20" t="n">
        <v>582.1</v>
      </c>
      <c r="L129" s="20" t="n">
        <v>564.649</v>
      </c>
    </row>
    <row r="130">
      <c r="A130" s="18" t="inlineStr">
        <is>
          <t>퇴직급여 조정누계액</t>
        </is>
      </c>
      <c r="E130" s="20" t="n">
        <v>27.253</v>
      </c>
      <c r="F130" s="20" t="n">
        <v>50.832</v>
      </c>
      <c r="G130" s="20" t="n">
        <v>0</v>
      </c>
      <c r="K130" s="20" t="n">
        <v>0</v>
      </c>
      <c r="L130" s="20" t="n">
        <v>27.253</v>
      </c>
    </row>
    <row r="131">
      <c r="A131" s="18" t="inlineStr">
        <is>
          <t>기타포괄손익누계액 합계</t>
        </is>
      </c>
      <c r="C131" s="20" t="n">
        <v>-417.982</v>
      </c>
      <c r="D131" s="20" t="n">
        <v>-48.626</v>
      </c>
      <c r="E131" s="20" t="n">
        <v>581.1319999999999</v>
      </c>
      <c r="F131" s="20" t="n">
        <v>706.875</v>
      </c>
      <c r="G131" s="20" t="n">
        <v>623.697</v>
      </c>
      <c r="H131" s="20" t="n">
        <v>-477.478</v>
      </c>
      <c r="I131" s="20" t="n">
        <v>267.713</v>
      </c>
      <c r="J131" s="20" t="n">
        <v>52.948</v>
      </c>
      <c r="K131" s="20" t="n">
        <v>-365.436</v>
      </c>
      <c r="L131" s="20" t="n">
        <v>581.1319999999999</v>
      </c>
    </row>
    <row r="132">
      <c r="A132" s="18" t="inlineStr">
        <is>
          <t>신주예약권</t>
        </is>
      </c>
      <c r="D132" s="20" t="n">
        <v>10.059</v>
      </c>
      <c r="E132" s="20" t="n">
        <v>60.597</v>
      </c>
      <c r="F132" s="20" t="n">
        <v>62.281</v>
      </c>
      <c r="G132" s="20" t="n">
        <v>69.34999999999999</v>
      </c>
      <c r="K132" s="20" t="n">
        <v>0</v>
      </c>
      <c r="L132" s="20" t="n">
        <v>60.597</v>
      </c>
    </row>
    <row r="133">
      <c r="A133" s="18" t="inlineStr">
        <is>
          <t>비지배지분</t>
        </is>
      </c>
      <c r="C133" s="20" t="n">
        <v>8346.589</v>
      </c>
      <c r="D133" s="20" t="n">
        <v>8952.98</v>
      </c>
      <c r="E133" s="20" t="n">
        <v>9295.041999999999</v>
      </c>
      <c r="F133" s="20" t="n">
        <v>9687.344999999999</v>
      </c>
      <c r="G133" s="20" t="n">
        <v>10032.878</v>
      </c>
      <c r="H133" s="20" t="n">
        <v>469.252</v>
      </c>
      <c r="I133" s="20" t="n">
        <v>318.858</v>
      </c>
      <c r="J133" s="20" t="n">
        <v>146.008</v>
      </c>
      <c r="K133" s="20" t="n">
        <v>167.809</v>
      </c>
      <c r="L133" s="20" t="n">
        <v>9295.041999999999</v>
      </c>
    </row>
    <row r="134">
      <c r="A134" s="9" t="inlineStr">
        <is>
          <t>순자산 합계</t>
        </is>
      </c>
      <c r="C134" s="12" t="n">
        <v>31880.291</v>
      </c>
      <c r="D134" s="12" t="n">
        <v>39558.976</v>
      </c>
      <c r="E134" s="12" t="n">
        <v>41925.928</v>
      </c>
      <c r="F134" s="12" t="n">
        <v>42006.181</v>
      </c>
      <c r="G134" s="12" t="n">
        <v>44506.361</v>
      </c>
      <c r="H134" s="12" t="n">
        <v>12273.545</v>
      </c>
      <c r="I134" s="12" t="n">
        <v>16799.901</v>
      </c>
      <c r="J134" s="12" t="n">
        <v>16110.406</v>
      </c>
      <c r="K134" s="12" t="n">
        <v>15410.356</v>
      </c>
      <c r="L134" s="12" t="n">
        <v>41925.928</v>
      </c>
    </row>
    <row r="135">
      <c r="A135" s="9" t="inlineStr">
        <is>
          <t>부채·순자산 합계</t>
        </is>
      </c>
      <c r="C135" s="12" t="n">
        <v>37286.109</v>
      </c>
      <c r="D135" s="12" t="n">
        <v>49753.644</v>
      </c>
      <c r="E135" s="12" t="n">
        <v>53027.575</v>
      </c>
      <c r="F135" s="12" t="n">
        <v>54136.57</v>
      </c>
      <c r="G135" s="12" t="n">
        <v>58380.806</v>
      </c>
      <c r="H135" s="12" t="n">
        <v>14055.358</v>
      </c>
      <c r="I135" s="12" t="n">
        <v>21356.365</v>
      </c>
      <c r="J135" s="12" t="n">
        <v>18625.643</v>
      </c>
      <c r="K135" s="12" t="n">
        <v>18258.642</v>
      </c>
      <c r="L135" s="12" t="n">
        <v>53027.575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2026-10-27</t>
        </is>
      </c>
      <c r="B4" t="inlineStr">
        <is>
          <t>2027년 3월 결산기 ２분기 결산단신</t>
        </is>
      </c>
      <c r="C4" t="inlineStr">
        <is>
          <t>https://www2.jpx.co.jp/disc/47650/140120261026555884.pdf</t>
        </is>
      </c>
    </row>
    <row r="5">
      <c r="A5" t="inlineStr">
        <is>
          <t>2026-07-27</t>
        </is>
      </c>
      <c r="B5" t="inlineStr">
        <is>
          <t>2027년 3월 결산기 １분기 결산단신</t>
        </is>
      </c>
      <c r="C5" t="inlineStr">
        <is>
          <t>https://www2.jpx.co.jp/disc/47650/140120260710591432.pdf</t>
        </is>
      </c>
    </row>
    <row r="6">
      <c r="A6" t="inlineStr">
        <is>
          <t>2026-04-24</t>
        </is>
      </c>
      <c r="B6" t="inlineStr">
        <is>
          <t>2026년 3월 결산기 연간 결산단신</t>
        </is>
      </c>
      <c r="C6" t="inlineStr">
        <is>
          <t>https://www2.jpx.co.jp/disc/47650/140120260416505538.pdf</t>
        </is>
      </c>
    </row>
    <row r="7">
      <c r="A7" t="inlineStr">
        <is>
          <t>2026-01-29</t>
        </is>
      </c>
      <c r="B7" t="inlineStr">
        <is>
          <t>2026년 3월 결산기 ３분기 결산단신</t>
        </is>
      </c>
      <c r="C7" t="inlineStr">
        <is>
          <t>https://www2.jpx.co.jp/disc/47650/140120260119535401.pdf</t>
        </is>
      </c>
    </row>
    <row r="8">
      <c r="A8" t="inlineStr">
        <is>
          <t>2025-10-27</t>
        </is>
      </c>
      <c r="B8" t="inlineStr">
        <is>
          <t>2026년 3월 결산기 ２분기 결산단신</t>
        </is>
      </c>
      <c r="C8" t="inlineStr">
        <is>
          <t>https://www2.jpx.co.jp/disc/47650/140120251016574613.pdf</t>
        </is>
      </c>
    </row>
    <row r="9">
      <c r="A9" t="inlineStr">
        <is>
          <t>2025-07-25</t>
        </is>
      </c>
      <c r="B9" t="inlineStr">
        <is>
          <t>2026년 3월 결산기 １분기 결산단신</t>
        </is>
      </c>
      <c r="C9" t="inlineStr">
        <is>
          <t>https://www2.jpx.co.jp/disc/47650/140120250710511604.pdf</t>
        </is>
      </c>
    </row>
    <row r="10">
      <c r="A10" t="inlineStr">
        <is>
          <t>2025-04-24</t>
        </is>
      </c>
      <c r="B10" t="inlineStr">
        <is>
          <t>2025년 3월 결산기 연간 결산단신</t>
        </is>
      </c>
      <c r="C10" t="inlineStr">
        <is>
          <t>https://www2.jpx.co.jp/disc/47650/140120250418518495.pdf</t>
        </is>
      </c>
    </row>
    <row r="11">
      <c r="A11" t="inlineStr">
        <is>
          <t>2025-01-30</t>
        </is>
      </c>
      <c r="B11" t="inlineStr">
        <is>
          <t>2025년 3월 결산기 ３분기 결산단신</t>
        </is>
      </c>
      <c r="C11" t="inlineStr">
        <is>
          <t>https://www2.jpx.co.jp/disc/47650/140120250117552408.pdf</t>
        </is>
      </c>
    </row>
    <row r="12">
      <c r="A12" t="inlineStr">
        <is>
          <t>2024-10-24</t>
        </is>
      </c>
      <c r="B12" t="inlineStr">
        <is>
          <t>2025년 3월 결산기 ２분기 결산단신</t>
        </is>
      </c>
      <c r="C12" t="inlineStr">
        <is>
          <t>https://www2.jpx.co.jp/disc/47650/140120241016598669.pdf</t>
        </is>
      </c>
    </row>
    <row r="13">
      <c r="A13" t="inlineStr">
        <is>
          <t>2024-07-25</t>
        </is>
      </c>
      <c r="B13" t="inlineStr">
        <is>
          <t>2025년 3월 결산기 1분기 결산단신</t>
        </is>
      </c>
      <c r="C13" t="inlineStr">
        <is>
          <t>https://www2.jpx.co.jp/disc/47650/140120240717550137.pdf</t>
        </is>
      </c>
    </row>
    <row r="14">
      <c r="A14" t="inlineStr">
        <is>
          <t>2024-04-26</t>
        </is>
      </c>
      <c r="B14" t="inlineStr">
        <is>
          <t>2024년 3월 결산기 연간 결산단신</t>
        </is>
      </c>
      <c r="C14" t="inlineStr">
        <is>
          <t>https://www2.jpx.co.jp/disc/47650/140120240422574262.pdf</t>
        </is>
      </c>
    </row>
    <row r="15">
      <c r="A15" t="inlineStr">
        <is>
          <t>2024-01-30</t>
        </is>
      </c>
      <c r="B15" t="inlineStr">
        <is>
          <t>2024년 3월 결산기 3분기 결산단신</t>
        </is>
      </c>
      <c r="C15" t="inlineStr">
        <is>
          <t>https://www2.jpx.co.jp/disc/47650/140120240119517147.pdf</t>
        </is>
      </c>
    </row>
    <row r="16">
      <c r="A16" t="inlineStr">
        <is>
          <t>2023-10-26</t>
        </is>
      </c>
      <c r="B16" t="inlineStr">
        <is>
          <t>2024년 3월 결산기 2분기 결산단신</t>
        </is>
      </c>
      <c r="C16" t="inlineStr">
        <is>
          <t>https://www2.jpx.co.jp/disc/47650/140120231023569878.pdf</t>
        </is>
      </c>
    </row>
    <row r="17">
      <c r="A17" t="inlineStr">
        <is>
          <t>2023-07-27</t>
        </is>
      </c>
      <c r="B17" t="inlineStr">
        <is>
          <t>2024년 3월 결산기 １분기 결산단신</t>
        </is>
      </c>
      <c r="C17" t="inlineStr">
        <is>
          <t>https://www2.jpx.co.jp/disc/47650/140120230719524269.pdf</t>
        </is>
      </c>
    </row>
    <row r="18">
      <c r="A18" t="inlineStr">
        <is>
          <t>2023-05-09</t>
        </is>
      </c>
      <c r="B18" t="inlineStr">
        <is>
          <t>2023년 3월 결산기 연간 결산단신</t>
        </is>
      </c>
      <c r="C18" t="inlineStr">
        <is>
          <t>https://www2.jpx.co.jp/disc/47650/140120230424551477.pdf</t>
        </is>
      </c>
    </row>
    <row r="19">
      <c r="A19" t="inlineStr">
        <is>
          <t>2023-01-27</t>
        </is>
      </c>
      <c r="B19" t="inlineStr">
        <is>
          <t>2023년 3월 결산기 3분기 결산단신</t>
        </is>
      </c>
      <c r="C19" t="inlineStr">
        <is>
          <t>https://www2.jpx.co.jp/disc/47650/140120230113589487.pdf</t>
        </is>
      </c>
    </row>
    <row r="20">
      <c r="A20" t="inlineStr">
        <is>
          <t>2022-04-26</t>
        </is>
      </c>
      <c r="B20" t="inlineStr">
        <is>
          <t>2022년 3월 결산기 연간 결산단신</t>
        </is>
      </c>
      <c r="C20" t="inlineStr">
        <is>
          <t>https://www2.jpx.co.jp/disc/47650/140120220418523629.pdf</t>
        </is>
      </c>
    </row>
    <row r="21">
      <c r="A21" t="inlineStr">
        <is>
          <t>2021-04-23</t>
        </is>
      </c>
      <c r="B21" t="inlineStr">
        <is>
          <t>2021년 3월 결산기 연간 결산단신</t>
        </is>
      </c>
      <c r="C21" t="inlineStr">
        <is>
          <t>https://www2.jpx.co.jp/disc/47650/140120210415495091.pdf</t>
        </is>
      </c>
    </row>
    <row r="22">
      <c r="A22" t="inlineStr">
        <is>
          <t>2020-04-24</t>
        </is>
      </c>
      <c r="B22" t="inlineStr">
        <is>
          <t>2020년 3월 결산기 연간 결산단신</t>
        </is>
      </c>
      <c r="C22" t="inlineStr">
        <is>
          <t>https://www2.jpx.co.jp/disc/47650/140120200420496035.pdf</t>
        </is>
      </c>
    </row>
    <row r="23">
      <c r="A23" t="inlineStr">
        <is>
          <t>2019-04-19</t>
        </is>
      </c>
      <c r="B23" t="inlineStr">
        <is>
          <t>2019년 3월 결산기 연간 결산단신</t>
        </is>
      </c>
      <c r="C23" t="inlineStr">
        <is>
          <t>https://www2.jpx.co.jp/disc/47650/140120190412404357.pdf</t>
        </is>
      </c>
    </row>
    <row r="24">
      <c r="A24" t="inlineStr">
        <is>
          <t>2018-04-20</t>
        </is>
      </c>
      <c r="B24" t="inlineStr">
        <is>
          <t>2018년 3월 결산기 연간 결산단신</t>
        </is>
      </c>
      <c r="C24" t="inlineStr">
        <is>
          <t>https://www2.jpx.co.jp/disc/47650/140120180410408745.pdf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2026-10-28T07:03:28Z</dcterms:created>
  <dcterms:modified xmlns:dcterms="http://purl.org/dc/terms/" xmlns:xsi="http://www.w3.org/2001/XMLSchema-instance" xsi:type="dcterms:W3CDTF">2026-10-28T07:03:29Z</dcterms:modified>
</cp:coreProperties>
</file>