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4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4765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2543.098</v>
      </c>
      <c r="D4" s="12" t="n">
        <v>2586.882</v>
      </c>
      <c r="E4" s="12" t="n">
        <v>2561.588</v>
      </c>
      <c r="F4" s="12" t="n">
        <v>2843.521</v>
      </c>
      <c r="G4" s="12" t="n">
        <v>2895.06</v>
      </c>
      <c r="H4" s="12" t="n">
        <v>2913.672</v>
      </c>
      <c r="I4" s="12" t="n">
        <v>2916.737</v>
      </c>
      <c r="J4" s="12" t="n">
        <v>2844.585</v>
      </c>
      <c r="K4" s="12" t="n">
        <v>4429.028</v>
      </c>
      <c r="L4" s="12" t="n">
        <v>8551.204</v>
      </c>
      <c r="M4" s="12" t="n">
        <v>12034.829</v>
      </c>
      <c r="N4" s="12" t="n">
        <v>12823.074</v>
      </c>
      <c r="O4" s="11" t="n">
        <v>4790.853</v>
      </c>
      <c r="P4" s="12" t="n">
        <v>5967.012</v>
      </c>
      <c r="Q4" s="12" t="n">
        <v>6004.36</v>
      </c>
      <c r="R4" s="12" t="n">
        <v>6814.629</v>
      </c>
      <c r="S4" s="12" t="n">
        <v>7485.655</v>
      </c>
      <c r="T4" s="12" t="n">
        <v>8123.286</v>
      </c>
      <c r="U4" s="12" t="n">
        <v>8747.112999999999</v>
      </c>
      <c r="V4" s="12" t="n">
        <v>10137.596</v>
      </c>
      <c r="W4" s="12" t="n">
        <v>11568.99</v>
      </c>
      <c r="X4" s="12" t="n">
        <v>27859.646</v>
      </c>
      <c r="Y4" s="11">
        <f>IF(COUNT(Y7,Y10)=0,"",SUM(Y7,Y10))</f>
        <v/>
      </c>
      <c r="Z4" s="12">
        <f>IF(COUNT(Z7,Z10)=0,"",SUM(Z7,Z10))</f>
        <v/>
      </c>
      <c r="AA4" s="12">
        <f>IF(COUNT(AA7,AA10)=0,"",SUM(AA7,AA10))</f>
        <v/>
      </c>
      <c r="AB4" s="12">
        <f>IF(COUNT(AB7,AB10)=0,"",SUM(AB7,AB10))</f>
        <v/>
      </c>
      <c r="AC4" s="12">
        <f>IF(COUNT(AC7,AC10)=0,"",SUM(AC7,AC10))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자산운용 사업</t>
        </is>
      </c>
      <c r="B7" s="10" t="n"/>
      <c r="C7" s="19" t="n">
        <v>2038.517</v>
      </c>
      <c r="D7" s="20" t="n">
        <v>2064.177</v>
      </c>
      <c r="E7" s="20" t="n">
        <v>2166.642</v>
      </c>
      <c r="F7" s="20" t="n">
        <v>2353.816</v>
      </c>
      <c r="G7" s="20" t="n">
        <v>2413.963</v>
      </c>
      <c r="H7" s="20" t="n">
        <v>2444.705</v>
      </c>
      <c r="I7" s="20" t="n">
        <v>2539.425</v>
      </c>
      <c r="J7" s="20" t="n">
        <v>2334.561</v>
      </c>
      <c r="K7" s="20" t="n">
        <v>4020.99</v>
      </c>
      <c r="L7" s="20" t="n">
        <v>8165.582</v>
      </c>
      <c r="M7" s="20" t="n">
        <v>11811.583</v>
      </c>
      <c r="N7" s="20" t="n"/>
      <c r="O7" s="19" t="n"/>
      <c r="P7" s="20" t="n"/>
      <c r="Q7" s="20" t="n"/>
      <c r="R7" s="20" t="n"/>
      <c r="S7" s="20" t="n"/>
      <c r="T7" s="20" t="n"/>
      <c r="U7" s="20" t="n"/>
      <c r="V7" s="20" t="n">
        <v>8210.51</v>
      </c>
      <c r="W7" s="20" t="n">
        <v>9751.909</v>
      </c>
      <c r="X7" s="20" t="n">
        <v>26332.716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금융서비스 사업</t>
        </is>
      </c>
      <c r="B10" s="10" t="n"/>
      <c r="C10" s="19" t="n">
        <v>504.58</v>
      </c>
      <c r="D10" s="20" t="n">
        <v>522.706</v>
      </c>
      <c r="E10" s="20" t="n">
        <v>394.945</v>
      </c>
      <c r="F10" s="20" t="n">
        <v>489.705</v>
      </c>
      <c r="G10" s="20" t="n">
        <v>481.097</v>
      </c>
      <c r="H10" s="20" t="n">
        <v>468.967</v>
      </c>
      <c r="I10" s="20" t="n">
        <v>377.311</v>
      </c>
      <c r="J10" s="20" t="n">
        <v>510.024</v>
      </c>
      <c r="K10" s="20" t="n">
        <v>408.038</v>
      </c>
      <c r="L10" s="20" t="n">
        <v>385.621</v>
      </c>
      <c r="M10" s="20" t="n">
        <v>223.246</v>
      </c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>
        <v>1927.085</v>
      </c>
      <c r="W10" s="20" t="n">
        <v>1817.08</v>
      </c>
      <c r="X10" s="20" t="n">
        <v>1526.929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6" t="inlineStr">
        <is>
          <t>매출원가</t>
        </is>
      </c>
      <c r="B13" s="16" t="n"/>
      <c r="C13" s="17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7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7" t="n"/>
      <c r="Z13" s="16" t="n"/>
      <c r="AA13" s="16" t="n"/>
      <c r="AB13" s="16" t="n"/>
      <c r="AC13" s="16" t="n"/>
    </row>
    <row r="14">
      <c r="A14" s="18" t="inlineStr">
        <is>
          <t>전체 매출원가</t>
        </is>
      </c>
      <c r="B14" s="10" t="n"/>
      <c r="C14" s="19" t="n">
        <v>1235.236</v>
      </c>
      <c r="D14" s="20" t="n">
        <v>1256.681</v>
      </c>
      <c r="E14" s="20" t="n">
        <v>1275.094</v>
      </c>
      <c r="F14" s="20" t="n">
        <v>1380.277</v>
      </c>
      <c r="G14" s="20" t="n">
        <v>1429.1</v>
      </c>
      <c r="H14" s="20" t="n">
        <v>1471.078</v>
      </c>
      <c r="I14" s="20" t="n">
        <v>1590.538</v>
      </c>
      <c r="J14" s="20" t="n">
        <v>1421.832</v>
      </c>
      <c r="K14" s="20" t="n">
        <v>2442.735</v>
      </c>
      <c r="L14" s="20" t="n">
        <v>5346.505</v>
      </c>
      <c r="M14" s="20" t="n">
        <v>7024.44</v>
      </c>
      <c r="N14" s="20" t="n">
        <v>7602.585</v>
      </c>
      <c r="O14" s="19" t="n">
        <v>2428.56</v>
      </c>
      <c r="P14" s="20" t="n">
        <v>3540.539</v>
      </c>
      <c r="Q14" s="20" t="n">
        <v>3578.352</v>
      </c>
      <c r="R14" s="20" t="n">
        <v>3299.403</v>
      </c>
      <c r="S14" s="20" t="n">
        <v>3556.727</v>
      </c>
      <c r="T14" s="20" t="n">
        <v>3654.398</v>
      </c>
      <c r="U14" s="20" t="n">
        <v>4221.253</v>
      </c>
      <c r="V14" s="20" t="n">
        <v>4917.169</v>
      </c>
      <c r="W14" s="20" t="n">
        <v>5870.993</v>
      </c>
      <c r="X14" s="20" t="n">
        <v>16235.512</v>
      </c>
      <c r="Y14" s="19" t="n"/>
      <c r="Z14" s="20" t="n"/>
      <c r="AA14" s="20" t="n"/>
      <c r="AB14" s="20" t="n"/>
      <c r="AC14" s="20" t="n"/>
    </row>
    <row r="15">
      <c r="A15" s="18" t="inlineStr">
        <is>
          <t>매출총이익</t>
        </is>
      </c>
      <c r="B15" s="10" t="n"/>
      <c r="C15" s="19">
        <f>IF(OR(C4="",C14=""),"",IFERROR(C4-C14,""))</f>
        <v/>
      </c>
      <c r="D15" s="20">
        <f>IF(OR(D4="",D14=""),"",IFERROR(D4-D14,""))</f>
        <v/>
      </c>
      <c r="E15" s="20">
        <f>IF(OR(E4="",E14=""),"",IFERROR(E4-E14,""))</f>
        <v/>
      </c>
      <c r="F15" s="20">
        <f>IF(OR(F4="",F14=""),"",IFERROR(F4-F14,""))</f>
        <v/>
      </c>
      <c r="G15" s="20">
        <f>IF(OR(G4="",G14=""),"",IFERROR(G4-G14,""))</f>
        <v/>
      </c>
      <c r="H15" s="20">
        <f>IF(OR(H4="",H14=""),"",IFERROR(H4-H14,""))</f>
        <v/>
      </c>
      <c r="I15" s="20">
        <f>IF(OR(I4="",I14=""),"",IFERROR(I4-I14,""))</f>
        <v/>
      </c>
      <c r="J15" s="20">
        <f>IF(OR(J4="",J14=""),"",IFERROR(J4-J14,""))</f>
        <v/>
      </c>
      <c r="K15" s="20">
        <f>IF(OR(K4="",K14=""),"",IFERROR(K4-K14,""))</f>
        <v/>
      </c>
      <c r="L15" s="20">
        <f>IF(OR(L4="",L14=""),"",IFERROR(L4-L14,""))</f>
        <v/>
      </c>
      <c r="M15" s="20">
        <f>IF(OR(M4="",M14=""),"",IFERROR(M4-M14,""))</f>
        <v/>
      </c>
      <c r="N15" s="20">
        <f>IF(OR(N4="",N14=""),"",IFERROR(N4-N14,""))</f>
        <v/>
      </c>
      <c r="O15" s="19">
        <f>IF(OR(O4="",O14=""),"",IFERROR(O4-O14,""))</f>
        <v/>
      </c>
      <c r="P15" s="20">
        <f>IF(OR(P4="",P14=""),"",IFERROR(P4-P14,""))</f>
        <v/>
      </c>
      <c r="Q15" s="20">
        <f>IF(OR(Q4="",Q14=""),"",IFERROR(Q4-Q14,""))</f>
        <v/>
      </c>
      <c r="R15" s="20">
        <f>IF(OR(R4="",R14=""),"",IFERROR(R4-R14,""))</f>
        <v/>
      </c>
      <c r="S15" s="20">
        <f>IF(OR(S4="",S14=""),"",IFERROR(S4-S14,""))</f>
        <v/>
      </c>
      <c r="T15" s="20">
        <f>IF(OR(T4="",T14=""),"",IFERROR(T4-T14,""))</f>
        <v/>
      </c>
      <c r="U15" s="20">
        <f>IF(OR(U4="",U14=""),"",IFERROR(U4-U14,""))</f>
        <v/>
      </c>
      <c r="V15" s="20">
        <f>IF(OR(V4="",V14=""),"",IFERROR(V4-V14,""))</f>
        <v/>
      </c>
      <c r="W15" s="20">
        <f>IF(OR(W4="",W14=""),"",IFERROR(W4-W14,""))</f>
        <v/>
      </c>
      <c r="X15" s="20">
        <f>IF(OR(X4="",X14=""),"",IFERROR(X4-X14,""))</f>
        <v/>
      </c>
      <c r="Y15" s="19" t="n"/>
      <c r="Z15" s="20" t="n"/>
      <c r="AA15" s="20" t="n"/>
      <c r="AB15" s="20" t="n"/>
      <c r="AC15" s="20" t="n"/>
    </row>
    <row r="16">
      <c r="A16" s="13" t="inlineStr">
        <is>
          <t>GPM</t>
        </is>
      </c>
      <c r="B16" s="10" t="n"/>
      <c r="C16" s="14">
        <f>IF(OR(C15="",C4=""),"",IFERROR(C15/C4,""))</f>
        <v/>
      </c>
      <c r="D16" s="15">
        <f>IF(OR(D15="",D4=""),"",IFERROR(D15/D4,""))</f>
        <v/>
      </c>
      <c r="E16" s="15">
        <f>IF(OR(E15="",E4=""),"",IFERROR(E15/E4,""))</f>
        <v/>
      </c>
      <c r="F16" s="15">
        <f>IF(OR(F15="",F4=""),"",IFERROR(F15/F4,""))</f>
        <v/>
      </c>
      <c r="G16" s="15">
        <f>IF(OR(G15="",G4=""),"",IFERROR(G15/G4,""))</f>
        <v/>
      </c>
      <c r="H16" s="15">
        <f>IF(OR(H15="",H4=""),"",IFERROR(H15/H4,""))</f>
        <v/>
      </c>
      <c r="I16" s="15">
        <f>IF(OR(I15="",I4=""),"",IFERROR(I15/I4,""))</f>
        <v/>
      </c>
      <c r="J16" s="15">
        <f>IF(OR(J15="",J4=""),"",IFERROR(J15/J4,""))</f>
        <v/>
      </c>
      <c r="K16" s="15">
        <f>IF(OR(K15="",K4=""),"",IFERROR(K15/K4,""))</f>
        <v/>
      </c>
      <c r="L16" s="15">
        <f>IF(OR(L15="",L4=""),"",IFERROR(L15/L4,""))</f>
        <v/>
      </c>
      <c r="M16" s="15">
        <f>IF(OR(M15="",M4=""),"",IFERROR(M15/M4,""))</f>
        <v/>
      </c>
      <c r="N16" s="15">
        <f>IF(OR(N15="",N4=""),"",IFERROR(N15/N4,""))</f>
        <v/>
      </c>
      <c r="O16" s="14">
        <f>IF(OR(O15="",O4=""),"",IFERROR(O15/O4,""))</f>
        <v/>
      </c>
      <c r="P16" s="15">
        <f>IF(OR(P15="",P4=""),"",IFERROR(P15/P4,""))</f>
        <v/>
      </c>
      <c r="Q16" s="15">
        <f>IF(OR(Q15="",Q4=""),"",IFERROR(Q15/Q4,""))</f>
        <v/>
      </c>
      <c r="R16" s="15">
        <f>IF(OR(R15="",R4=""),"",IFERROR(R15/R4,""))</f>
        <v/>
      </c>
      <c r="S16" s="15">
        <f>IF(OR(S15="",S4=""),"",IFERROR(S15/S4,""))</f>
        <v/>
      </c>
      <c r="T16" s="15">
        <f>IF(OR(T15="",T4=""),"",IFERROR(T15/T4,""))</f>
        <v/>
      </c>
      <c r="U16" s="15">
        <f>IF(OR(U15="",U4=""),"",IFERROR(U15/U4,""))</f>
        <v/>
      </c>
      <c r="V16" s="15">
        <f>IF(OR(V15="",V4=""),"",IFERROR(V15/V4,""))</f>
        <v/>
      </c>
      <c r="W16" s="15">
        <f>IF(OR(W15="",W4=""),"",IFERROR(W15/W4,""))</f>
        <v/>
      </c>
      <c r="X16" s="15">
        <f>IF(OR(X15="",X4=""),"",IFERROR(X15/X4,""))</f>
        <v/>
      </c>
      <c r="Y16" s="14">
        <f>IF(OR(Y15="",Y4=""),"",IFERROR(Y15/Y4,""))</f>
        <v/>
      </c>
      <c r="Z16" s="15">
        <f>IF(OR(Z15="",Z4=""),"",IFERROR(Z15/Z4,""))</f>
        <v/>
      </c>
      <c r="AA16" s="15">
        <f>IF(OR(AA15="",AA4=""),"",IFERROR(AA15/AA4,""))</f>
        <v/>
      </c>
      <c r="AB16" s="15">
        <f>IF(OR(AB15="",AB4=""),"",IFERROR(AB15/AB4,""))</f>
        <v/>
      </c>
      <c r="AC16" s="15">
        <f>IF(OR(AC15="",AC4=""),"",IFERROR(AC15/AC4,""))</f>
        <v/>
      </c>
    </row>
    <row r="17">
      <c r="A17" s="23" t="inlineStr">
        <is>
          <t>판매관리비</t>
        </is>
      </c>
      <c r="B17" s="23" t="n"/>
      <c r="C17" s="24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4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4" t="n"/>
      <c r="Z17" s="23" t="n"/>
      <c r="AA17" s="23" t="n"/>
      <c r="AB17" s="23" t="n"/>
      <c r="AC17" s="23" t="n"/>
    </row>
    <row r="18">
      <c r="A18" s="18" t="inlineStr">
        <is>
          <t>전체 판관비</t>
        </is>
      </c>
      <c r="B18" s="10" t="n"/>
      <c r="C18" s="19" t="n">
        <v>721.679</v>
      </c>
      <c r="D18" s="20" t="n">
        <v>787.422</v>
      </c>
      <c r="E18" s="20" t="n">
        <v>845.672</v>
      </c>
      <c r="F18" s="20" t="n">
        <v>862.037</v>
      </c>
      <c r="G18" s="20" t="n">
        <v>848.588</v>
      </c>
      <c r="H18" s="20" t="n">
        <v>852.228</v>
      </c>
      <c r="I18" s="20" t="n">
        <v>865.869</v>
      </c>
      <c r="J18" s="20" t="n">
        <v>909.65</v>
      </c>
      <c r="K18" s="20" t="n">
        <v>1082.95</v>
      </c>
      <c r="L18" s="20" t="n">
        <v>1782.99</v>
      </c>
      <c r="M18" s="20" t="n">
        <v>2693.962</v>
      </c>
      <c r="N18" s="20" t="n">
        <v>2557.185</v>
      </c>
      <c r="O18" s="19" t="n">
        <v>801.867</v>
      </c>
      <c r="P18" s="20" t="n">
        <v>787.505</v>
      </c>
      <c r="Q18" s="20" t="n">
        <v>778.9109999999999</v>
      </c>
      <c r="R18" s="20" t="n">
        <v>1973.405</v>
      </c>
      <c r="S18" s="20" t="n">
        <v>2163.521</v>
      </c>
      <c r="T18" s="20" t="n">
        <v>2339.083</v>
      </c>
      <c r="U18" s="20" t="n">
        <v>2694.721</v>
      </c>
      <c r="V18" s="20" t="n">
        <v>3109.101</v>
      </c>
      <c r="W18" s="20" t="n">
        <v>3428.722</v>
      </c>
      <c r="X18" s="20" t="n">
        <v>6469.552</v>
      </c>
      <c r="Y18" s="19" t="n"/>
      <c r="Z18" s="20" t="n"/>
      <c r="AA18" s="20" t="n"/>
      <c r="AB18" s="20" t="n"/>
      <c r="AC18" s="20" t="n"/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586.183</v>
      </c>
      <c r="D19" s="12" t="n">
        <v>542.779</v>
      </c>
      <c r="E19" s="12" t="n">
        <v>440.822</v>
      </c>
      <c r="F19" s="12" t="n">
        <v>601.206</v>
      </c>
      <c r="G19" s="12" t="n">
        <v>617.372</v>
      </c>
      <c r="H19" s="12" t="n">
        <v>590.366</v>
      </c>
      <c r="I19" s="12" t="n">
        <v>460.33</v>
      </c>
      <c r="J19" s="12" t="n">
        <v>513.102</v>
      </c>
      <c r="K19" s="12" t="n">
        <v>903.343</v>
      </c>
      <c r="L19" s="12" t="n">
        <v>1421.708</v>
      </c>
      <c r="M19" s="12" t="n">
        <v>2316.428</v>
      </c>
      <c r="N19" s="12" t="n">
        <v>2663.303</v>
      </c>
      <c r="O19" s="11" t="n">
        <v>1560.426</v>
      </c>
      <c r="P19" s="12" t="n">
        <v>1638.968</v>
      </c>
      <c r="Q19" s="12" t="n">
        <v>1647.096</v>
      </c>
      <c r="R19" s="12" t="n">
        <v>1541.821</v>
      </c>
      <c r="S19" s="12" t="n">
        <v>1765.406</v>
      </c>
      <c r="T19" s="12" t="n">
        <v>2129.805</v>
      </c>
      <c r="U19" s="12" t="n">
        <v>1831.139</v>
      </c>
      <c r="V19" s="12" t="n">
        <v>2111.325</v>
      </c>
      <c r="W19" s="12" t="n">
        <v>2269.274</v>
      </c>
      <c r="X19" s="12" t="n">
        <v>5154.581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3" t="inlineStr">
        <is>
          <t>OPM</t>
        </is>
      </c>
      <c r="B20" s="10" t="inlineStr">
        <is>
          <t>MW 입력</t>
        </is>
      </c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25" t="n"/>
      <c r="Z20" s="26" t="n"/>
      <c r="AA20" s="26" t="n"/>
      <c r="AB20" s="26" t="n"/>
      <c r="AC20" s="26" t="n"/>
    </row>
    <row r="21">
      <c r="A21" s="13" t="inlineStr">
        <is>
          <t>증가율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비용의 성격별 분류</t>
        </is>
      </c>
      <c r="B22" s="16" t="inlineStr">
        <is>
          <t>참고 데이터</t>
        </is>
      </c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IF(O18="","",O18)</f>
        <v/>
      </c>
      <c r="P23" s="12">
        <f>IF(P18="","",P18)</f>
        <v/>
      </c>
      <c r="Q23" s="12">
        <f>IF(Q18="","",Q18)</f>
        <v/>
      </c>
      <c r="R23" s="12">
        <f>IF(R18="","",R18)</f>
        <v/>
      </c>
      <c r="S23" s="12">
        <f>IF(S18="","",S18)</f>
        <v/>
      </c>
      <c r="T23" s="12">
        <f>IF(T18="","",T18)</f>
        <v/>
      </c>
      <c r="U23" s="12">
        <f>IF(U18="","",U18)</f>
        <v/>
      </c>
      <c r="V23" s="12">
        <f>IF(V18="","",V18)</f>
        <v/>
      </c>
      <c r="W23" s="12">
        <f>IF(W18="","",W18)</f>
        <v/>
      </c>
      <c r="X23" s="12">
        <f>IF(X18="","",X18)</f>
        <v/>
      </c>
      <c r="Y23" s="11" t="n"/>
      <c r="Z23" s="12" t="n"/>
      <c r="AA23" s="12" t="n"/>
      <c r="AB23" s="12" t="n"/>
      <c r="AC23" s="12" t="n"/>
    </row>
    <row r="24">
      <c r="A24" s="18" t="inlineStr">
        <is>
          <t>급여</t>
        </is>
      </c>
      <c r="B24" s="10" t="inlineStr">
        <is>
          <t>고정비</t>
        </is>
      </c>
      <c r="C24" s="19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19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19" t="n"/>
      <c r="Z24" s="20" t="n"/>
      <c r="AA24" s="20" t="n"/>
      <c r="AB24" s="20" t="n"/>
      <c r="AC24" s="20" t="n"/>
    </row>
    <row r="25">
      <c r="A25" s="13" t="inlineStr">
        <is>
          <t>% of Sales</t>
        </is>
      </c>
      <c r="B25" s="10" t="n"/>
      <c r="C25" s="14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 t="n"/>
      <c r="Z25" s="15" t="n"/>
      <c r="AA25" s="15" t="n"/>
      <c r="AB25" s="15" t="n"/>
      <c r="AC25" s="15" t="n"/>
    </row>
    <row r="26">
      <c r="A26" s="18" t="inlineStr">
        <is>
          <t>감가상각비</t>
        </is>
      </c>
      <c r="B26" s="10" t="inlineStr">
        <is>
          <t>고정비</t>
        </is>
      </c>
      <c r="C26" s="19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19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19" t="n"/>
      <c r="Z26" s="20" t="n"/>
      <c r="AA26" s="20" t="n"/>
      <c r="AB26" s="20" t="n"/>
      <c r="AC26" s="20" t="n"/>
    </row>
    <row r="27">
      <c r="A27" s="13" t="inlineStr">
        <is>
          <t>% of Sales</t>
        </is>
      </c>
      <c r="B27" s="10" t="n"/>
      <c r="C27" s="14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4">
        <f>IF(OR(O26="",O4=""),"",IFERROR(O26/O4,""))</f>
        <v/>
      </c>
      <c r="P27" s="15">
        <f>IF(OR(P26="",P4=""),"",IFERROR(P26/P4,""))</f>
        <v/>
      </c>
      <c r="Q27" s="15">
        <f>IF(OR(Q26="",Q4=""),"",IFERROR(Q26/Q4,""))</f>
        <v/>
      </c>
      <c r="R27" s="15">
        <f>IF(OR(R26="",R4=""),"",IFERROR(R26/R4,""))</f>
        <v/>
      </c>
      <c r="S27" s="15">
        <f>IF(OR(S26="",S4=""),"",IFERROR(S26/S4,""))</f>
        <v/>
      </c>
      <c r="T27" s="15">
        <f>IF(OR(T26="",T4=""),"",IFERROR(T26/T4,""))</f>
        <v/>
      </c>
      <c r="U27" s="15">
        <f>IF(OR(U26="",U4=""),"",IFERROR(U26/U4,""))</f>
        <v/>
      </c>
      <c r="V27" s="15">
        <f>IF(OR(V26="",V4=""),"",IFERROR(V26/V4,""))</f>
        <v/>
      </c>
      <c r="W27" s="15">
        <f>IF(OR(W26="",W4=""),"",IFERROR(W26/W4,""))</f>
        <v/>
      </c>
      <c r="X27" s="15">
        <f>IF(OR(X26="",X4=""),"",IFERROR(X26/X4,""))</f>
        <v/>
      </c>
      <c r="Y27" s="14" t="n"/>
      <c r="Z27" s="15" t="n"/>
      <c r="AA27" s="15" t="n"/>
      <c r="AB27" s="15" t="n"/>
      <c r="AC27" s="15" t="n"/>
    </row>
    <row r="28">
      <c r="A28" s="18" t="inlineStr">
        <is>
          <t>지급수수료</t>
        </is>
      </c>
      <c r="B28" s="10" t="inlineStr">
        <is>
          <t>고정비</t>
        </is>
      </c>
      <c r="C28" s="19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19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19" t="n"/>
      <c r="Z28" s="20" t="n"/>
      <c r="AA28" s="20" t="n"/>
      <c r="AB28" s="20" t="n"/>
      <c r="AC28" s="20" t="n"/>
    </row>
    <row r="29">
      <c r="A29" s="13" t="inlineStr">
        <is>
          <t>% of Sales</t>
        </is>
      </c>
      <c r="B29" s="10" t="n"/>
      <c r="C29" s="14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14" t="n"/>
      <c r="Z29" s="15" t="n"/>
      <c r="AA29" s="15" t="n"/>
      <c r="AB29" s="15" t="n"/>
      <c r="AC29" s="15" t="n"/>
    </row>
    <row r="30">
      <c r="A30" s="18" t="inlineStr">
        <is>
          <t>연구개발비</t>
        </is>
      </c>
      <c r="B30" s="10" t="inlineStr">
        <is>
          <t>변동비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기타비용</t>
        </is>
      </c>
      <c r="B32" s="10" t="inlineStr">
        <is>
          <t>변동비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>
        <f>IF(OR(O23="",O24="",O26="",O28="",O30=""),"",IFERROR(O23-O24-O26-O28-O30,""))</f>
        <v/>
      </c>
      <c r="P32" s="20">
        <f>IF(OR(P23="",P24="",P26="",P28="",P30=""),"",IFERROR(P23-P24-P26-P28-P30,""))</f>
        <v/>
      </c>
      <c r="Q32" s="20">
        <f>IF(OR(Q23="",Q24="",Q26="",Q28="",Q30=""),"",IFERROR(Q23-Q24-Q26-Q28-Q30,""))</f>
        <v/>
      </c>
      <c r="R32" s="20">
        <f>IF(OR(R23="",R24="",R26="",R28="",R30=""),"",IFERROR(R23-R24-R26-R28-R30,""))</f>
        <v/>
      </c>
      <c r="S32" s="20">
        <f>IF(OR(S23="",S24="",S26="",S28="",S30=""),"",IFERROR(S23-S24-S26-S28-S30,""))</f>
        <v/>
      </c>
      <c r="T32" s="20">
        <f>IF(OR(T23="",T24="",T26="",T28="",T30=""),"",IFERROR(T23-T24-T26-T28-T30,""))</f>
        <v/>
      </c>
      <c r="U32" s="20">
        <f>IF(OR(U23="",U24="",U26="",U28="",U30=""),"",IFERROR(U23-U24-U26-U28-U30,""))</f>
        <v/>
      </c>
      <c r="V32" s="20">
        <f>IF(OR(V23="",V24="",V26="",V28="",V30=""),"",IFERROR(V23-V24-V26-V28-V30,""))</f>
        <v/>
      </c>
      <c r="W32" s="20">
        <f>IF(OR(W23="",W24="",W26="",W28="",W30=""),"",IFERROR(W23-W24-W26-W28-W30,""))</f>
        <v/>
      </c>
      <c r="X32" s="20">
        <f>IF(OR(X23="",X24="",X26="",X28="",X30=""),"",IFERROR(X23-X24-X26-X28-X30,""))</f>
        <v/>
      </c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6" t="inlineStr">
        <is>
          <t>당기순이익 추정</t>
        </is>
      </c>
      <c r="B34" s="16" t="n"/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18" t="inlineStr">
        <is>
          <t>특별이익</t>
        </is>
      </c>
      <c r="B35" s="10" t="n"/>
      <c r="C35" s="19" t="n"/>
      <c r="D35" s="20" t="n"/>
      <c r="E35" s="20" t="n"/>
      <c r="F35" s="20" t="n"/>
      <c r="G35" s="20" t="n"/>
      <c r="H35" s="20" t="n">
        <v>0</v>
      </c>
      <c r="I35" s="20" t="n">
        <v>0</v>
      </c>
      <c r="J35" s="20" t="n">
        <v>0</v>
      </c>
      <c r="K35" s="20" t="n">
        <v>12.845</v>
      </c>
      <c r="L35" s="20" t="n">
        <v>7.17</v>
      </c>
      <c r="M35" s="20" t="n">
        <v>0</v>
      </c>
      <c r="N35" s="20" t="n">
        <v>0.177</v>
      </c>
      <c r="O35" s="19" t="n">
        <v>617.941</v>
      </c>
      <c r="P35" s="20" t="n">
        <v>0</v>
      </c>
      <c r="Q35" s="20" t="n">
        <v>1.494</v>
      </c>
      <c r="R35" s="20" t="n">
        <v>14.1</v>
      </c>
      <c r="S35" s="20" t="n">
        <v>0</v>
      </c>
      <c r="T35" s="20" t="n">
        <v>594.466</v>
      </c>
      <c r="U35" s="20" t="n">
        <v>8000</v>
      </c>
      <c r="V35" s="20" t="n">
        <v>0</v>
      </c>
      <c r="W35" s="20" t="n">
        <v>0</v>
      </c>
      <c r="X35" s="20" t="n">
        <v>20.015</v>
      </c>
      <c r="Y35" s="19">
        <f>IF(OR(Y4="",Y36=""),"",IFERROR(Y4*Y36,""))</f>
        <v/>
      </c>
      <c r="Z35" s="20">
        <f>IF(OR(Z4="",Z36=""),"",IFERROR(Z4*Z36,""))</f>
        <v/>
      </c>
      <c r="AA35" s="20">
        <f>IF(OR(AA4="",AA36=""),"",IFERROR(AA4*AA36,""))</f>
        <v/>
      </c>
      <c r="AB35" s="20">
        <f>IF(OR(AB4="",AB36=""),"",IFERROR(AB4*AB36,""))</f>
        <v/>
      </c>
      <c r="AC35" s="20">
        <f>IF(OR(AC4="",AC36=""),"",IFERROR(AC4*AC36,""))</f>
        <v/>
      </c>
    </row>
    <row r="36">
      <c r="A36" s="13" t="inlineStr">
        <is>
          <t>% of Sales</t>
        </is>
      </c>
      <c r="B36" s="10" t="inlineStr">
        <is>
          <t>MW = 최근 3년 평균</t>
        </is>
      </c>
      <c r="C36" s="14">
        <f>IF(OR(C35="",C4=""),"",IFERROR(C35/C4,""))</f>
        <v/>
      </c>
      <c r="D36" s="15">
        <f>IF(OR(D35="",D4=""),"",IFERROR(D35/D4,""))</f>
        <v/>
      </c>
      <c r="E36" s="15">
        <f>IF(OR(E35="",E4=""),"",IFERROR(E35/E4,""))</f>
        <v/>
      </c>
      <c r="F36" s="15">
        <f>IF(OR(F35="",F4=""),"",IFERROR(F35/F4,""))</f>
        <v/>
      </c>
      <c r="G36" s="15">
        <f>IF(OR(G35="",G4=""),"",IFERROR(G35/G4,""))</f>
        <v/>
      </c>
      <c r="H36" s="15">
        <f>IF(OR(H35="",H4=""),"",IFERROR(H35/H4,""))</f>
        <v/>
      </c>
      <c r="I36" s="15">
        <f>IF(OR(I35="",I4=""),"",IFERROR(I35/I4,""))</f>
        <v/>
      </c>
      <c r="J36" s="15">
        <f>IF(OR(J35="",J4=""),"",IFERROR(J35/J4,""))</f>
        <v/>
      </c>
      <c r="K36" s="15">
        <f>IF(OR(K35="",K4=""),"",IFERROR(K35/K4,""))</f>
        <v/>
      </c>
      <c r="L36" s="15">
        <f>IF(OR(L35="",L4=""),"",IFERROR(L35/L4,""))</f>
        <v/>
      </c>
      <c r="M36" s="15">
        <f>IF(OR(M35="",M4=""),"",IFERROR(M35/M4,""))</f>
        <v/>
      </c>
      <c r="N36" s="15">
        <f>IF(OR(N35="",N4=""),"",IFERROR(N35/N4,""))</f>
        <v/>
      </c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25">
        <f>IFERROR(AVERAGE(V36,W36,X36),"")</f>
        <v/>
      </c>
      <c r="Z36" s="26">
        <f>Y36</f>
        <v/>
      </c>
      <c r="AA36" s="26">
        <f>Z36</f>
        <v/>
      </c>
      <c r="AB36" s="26">
        <f>AA36</f>
        <v/>
      </c>
      <c r="AC36" s="26">
        <f>AB36</f>
        <v/>
      </c>
    </row>
    <row r="37">
      <c r="A37" s="18" t="inlineStr">
        <is>
          <t>특별손실</t>
        </is>
      </c>
      <c r="B37" s="10" t="n"/>
      <c r="C37" s="19" t="n">
        <v>0</v>
      </c>
      <c r="D37" s="20" t="n">
        <v>0</v>
      </c>
      <c r="E37" s="20" t="n">
        <v>0</v>
      </c>
      <c r="F37" s="20" t="n"/>
      <c r="G37" s="20" t="n"/>
      <c r="H37" s="20" t="n">
        <v>0</v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66.98399999999999</v>
      </c>
      <c r="N37" s="20" t="n">
        <v>0.591</v>
      </c>
      <c r="O37" s="19" t="n">
        <v>470</v>
      </c>
      <c r="P37" s="20" t="n">
        <v>130.45</v>
      </c>
      <c r="Q37" s="20" t="n">
        <v>11.519</v>
      </c>
      <c r="R37" s="20" t="n">
        <v>0</v>
      </c>
      <c r="S37" s="20" t="n">
        <v>0</v>
      </c>
      <c r="T37" s="20" t="n">
        <v>520.11</v>
      </c>
      <c r="U37" s="20" t="n">
        <v>2339.352</v>
      </c>
      <c r="V37" s="20" t="n">
        <v>0</v>
      </c>
      <c r="W37" s="20" t="n">
        <v>0.522</v>
      </c>
      <c r="X37" s="20" t="n">
        <v>66.98399999999999</v>
      </c>
      <c r="Y37" s="19">
        <f>IF(OR(Y4="",Y38=""),"",IFERROR(Y4*Y38,""))</f>
        <v/>
      </c>
      <c r="Z37" s="20">
        <f>IF(OR(Z4="",Z38=""),"",IFERROR(Z4*Z38,""))</f>
        <v/>
      </c>
      <c r="AA37" s="20">
        <f>IF(OR(AA4="",AA38=""),"",IFERROR(AA4*AA38,""))</f>
        <v/>
      </c>
      <c r="AB37" s="20">
        <f>IF(OR(AB4="",AB38=""),"",IFERROR(AB4*AB38,""))</f>
        <v/>
      </c>
      <c r="AC37" s="20">
        <f>IF(OR(AC4="",AC38=""),"",IFERROR(AC4*AC38,""))</f>
        <v/>
      </c>
    </row>
    <row r="38">
      <c r="A38" s="13" t="inlineStr">
        <is>
          <t>% of Sales</t>
        </is>
      </c>
      <c r="B38" s="10" t="n"/>
      <c r="C38" s="14">
        <f>IF(OR(C37="",C4=""),"",IFERROR(C37/C4,""))</f>
        <v/>
      </c>
      <c r="D38" s="15">
        <f>IF(OR(D37="",D4=""),"",IFERROR(D37/D4,""))</f>
        <v/>
      </c>
      <c r="E38" s="15">
        <f>IF(OR(E37="",E4=""),"",IFERROR(E37/E4,""))</f>
        <v/>
      </c>
      <c r="F38" s="15">
        <f>IF(OR(F37="",F4=""),"",IFERROR(F37/F4,""))</f>
        <v/>
      </c>
      <c r="G38" s="15">
        <f>IF(OR(G37="",G4=""),"",IFERROR(G37/G4,""))</f>
        <v/>
      </c>
      <c r="H38" s="15">
        <f>IF(OR(H37="",H4=""),"",IFERROR(H37/H4,""))</f>
        <v/>
      </c>
      <c r="I38" s="15">
        <f>IF(OR(I37="",I4=""),"",IFERROR(I37/I4,""))</f>
        <v/>
      </c>
      <c r="J38" s="15">
        <f>IF(OR(J37="",J4=""),"",IFERROR(J37/J4,""))</f>
        <v/>
      </c>
      <c r="K38" s="15">
        <f>IF(OR(K37="",K4=""),"",IFERROR(K37/K4,""))</f>
        <v/>
      </c>
      <c r="L38" s="15">
        <f>IF(OR(L37="",L4=""),"",IFERROR(L37/L4,""))</f>
        <v/>
      </c>
      <c r="M38" s="15">
        <f>IF(OR(M37="",M4=""),"",IFERROR(M37/M4,""))</f>
        <v/>
      </c>
      <c r="N38" s="15">
        <f>IF(OR(N37="",N4=""),"",IFERROR(N37/N4,""))</f>
        <v/>
      </c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25">
        <f>IFERROR(AVERAGE(V38,W38,X38),"")</f>
        <v/>
      </c>
      <c r="Z38" s="26">
        <f>Y38</f>
        <v/>
      </c>
      <c r="AA38" s="26">
        <f>Z38</f>
        <v/>
      </c>
      <c r="AB38" s="26">
        <f>AA38</f>
        <v/>
      </c>
      <c r="AC38" s="26">
        <f>AB38</f>
        <v/>
      </c>
    </row>
    <row r="39">
      <c r="A39" s="18" t="inlineStr">
        <is>
          <t>영업외수익</t>
        </is>
      </c>
      <c r="B39" s="10" t="n"/>
      <c r="C39" s="19" t="n">
        <v>100.885</v>
      </c>
      <c r="D39" s="20" t="n">
        <v>103.179</v>
      </c>
      <c r="E39" s="20" t="n">
        <v>62.914</v>
      </c>
      <c r="F39" s="20" t="n">
        <v>135.041</v>
      </c>
      <c r="G39" s="20" t="n">
        <v>73.883</v>
      </c>
      <c r="H39" s="20" t="n">
        <v>49.543</v>
      </c>
      <c r="I39" s="20" t="n">
        <v>39.421</v>
      </c>
      <c r="J39" s="20" t="n">
        <v>281.712</v>
      </c>
      <c r="K39" s="20" t="n">
        <v>62.178</v>
      </c>
      <c r="L39" s="20" t="n">
        <v>25.688</v>
      </c>
      <c r="M39" s="20" t="n">
        <v>74.682</v>
      </c>
      <c r="N39" s="20" t="n">
        <v>38.499</v>
      </c>
      <c r="O39" s="19" t="n">
        <v>63.237</v>
      </c>
      <c r="P39" s="20" t="n">
        <v>123.19</v>
      </c>
      <c r="Q39" s="20" t="n">
        <v>135.122</v>
      </c>
      <c r="R39" s="20" t="n">
        <v>336.741</v>
      </c>
      <c r="S39" s="20" t="n">
        <v>409.706</v>
      </c>
      <c r="T39" s="20" t="n">
        <v>293.659</v>
      </c>
      <c r="U39" s="20" t="n">
        <v>647.285</v>
      </c>
      <c r="V39" s="20" t="n">
        <v>407.803</v>
      </c>
      <c r="W39" s="20" t="n">
        <v>297.888</v>
      </c>
      <c r="X39" s="20" t="n">
        <v>444.26</v>
      </c>
      <c r="Y39" s="19">
        <f>IF(OR(Y4="",Y40=""),"",IFERROR(Y4*Y40,""))</f>
        <v/>
      </c>
      <c r="Z39" s="20">
        <f>IF(OR(Z4="",Z40=""),"",IFERROR(Z4*Z40,""))</f>
        <v/>
      </c>
      <c r="AA39" s="20">
        <f>IF(OR(AA4="",AA40=""),"",IFERROR(AA4*AA40,""))</f>
        <v/>
      </c>
      <c r="AB39" s="20">
        <f>IF(OR(AB4="",AB40=""),"",IFERROR(AB4*AB40,""))</f>
        <v/>
      </c>
      <c r="AC39" s="20">
        <f>IF(OR(AC4="",AC40=""),"",IFERROR(AC4*AC40,""))</f>
        <v/>
      </c>
    </row>
    <row r="40">
      <c r="A40" s="13" t="inlineStr">
        <is>
          <t>% of Sales</t>
        </is>
      </c>
      <c r="B40" s="10" t="n"/>
      <c r="C40" s="14">
        <f>IF(OR(C39="",C4=""),"",IFERROR(C39/C4,""))</f>
        <v/>
      </c>
      <c r="D40" s="15">
        <f>IF(OR(D39="",D4=""),"",IFERROR(D39/D4,""))</f>
        <v/>
      </c>
      <c r="E40" s="15">
        <f>IF(OR(E39="",E4=""),"",IFERROR(E39/E4,""))</f>
        <v/>
      </c>
      <c r="F40" s="15">
        <f>IF(OR(F39="",F4=""),"",IFERROR(F39/F4,""))</f>
        <v/>
      </c>
      <c r="G40" s="15">
        <f>IF(OR(G39="",G4=""),"",IFERROR(G39/G4,""))</f>
        <v/>
      </c>
      <c r="H40" s="15">
        <f>IF(OR(H39="",H4=""),"",IFERROR(H39/H4,""))</f>
        <v/>
      </c>
      <c r="I40" s="15">
        <f>IF(OR(I39="",I4=""),"",IFERROR(I39/I4,""))</f>
        <v/>
      </c>
      <c r="J40" s="15">
        <f>IF(OR(J39="",J4=""),"",IFERROR(J39/J4,""))</f>
        <v/>
      </c>
      <c r="K40" s="15">
        <f>IF(OR(K39="",K4=""),"",IFERROR(K39/K4,""))</f>
        <v/>
      </c>
      <c r="L40" s="15">
        <f>IF(OR(L39="",L4=""),"",IFERROR(L39/L4,""))</f>
        <v/>
      </c>
      <c r="M40" s="15">
        <f>IF(OR(M39="",M4=""),"",IFERROR(M39/M4,""))</f>
        <v/>
      </c>
      <c r="N40" s="15">
        <f>IF(OR(N39="",N4=""),"",IFERROR(N39/N4,""))</f>
        <v/>
      </c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25">
        <f>IFERROR(AVERAGE(V40,W40,X40),"")</f>
        <v/>
      </c>
      <c r="Z40" s="26">
        <f>Y40</f>
        <v/>
      </c>
      <c r="AA40" s="26">
        <f>Z40</f>
        <v/>
      </c>
      <c r="AB40" s="26">
        <f>AA40</f>
        <v/>
      </c>
      <c r="AC40" s="26">
        <f>AB40</f>
        <v/>
      </c>
    </row>
    <row r="41">
      <c r="A41" s="18" t="inlineStr">
        <is>
          <t>영업외비용</t>
        </is>
      </c>
      <c r="B41" s="10" t="n"/>
      <c r="C41" s="19" t="n">
        <v>2.606</v>
      </c>
      <c r="D41" s="20" t="n">
        <v>2.025</v>
      </c>
      <c r="E41" s="20" t="n">
        <v>0.9399999999999999</v>
      </c>
      <c r="F41" s="20" t="n">
        <v>0.68</v>
      </c>
      <c r="G41" s="20" t="n">
        <v>1.893</v>
      </c>
      <c r="H41" s="20" t="n">
        <v>0.361</v>
      </c>
      <c r="I41" s="20" t="n">
        <v>-1.266</v>
      </c>
      <c r="J41" s="20" t="n">
        <v>0.901</v>
      </c>
      <c r="K41" s="20" t="n">
        <v>1.64</v>
      </c>
      <c r="L41" s="20" t="n">
        <v>2.979</v>
      </c>
      <c r="M41" s="20" t="n">
        <v>3.503</v>
      </c>
      <c r="N41" s="20" t="n">
        <v>0.793</v>
      </c>
      <c r="O41" s="19" t="n">
        <v>5.663</v>
      </c>
      <c r="P41" s="20" t="n">
        <v>4.414</v>
      </c>
      <c r="Q41" s="20" t="n">
        <v>4.981</v>
      </c>
      <c r="R41" s="20" t="n">
        <v>19.584</v>
      </c>
      <c r="S41" s="20" t="n">
        <v>19.414</v>
      </c>
      <c r="T41" s="20" t="n">
        <v>19.769</v>
      </c>
      <c r="U41" s="20" t="n">
        <v>19.481</v>
      </c>
      <c r="V41" s="20" t="n">
        <v>9.016999999999999</v>
      </c>
      <c r="W41" s="20" t="n">
        <v>1.668</v>
      </c>
      <c r="X41" s="20" t="n">
        <v>9.023</v>
      </c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n"/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684.463</v>
      </c>
      <c r="D43" s="12" t="n">
        <v>643.932</v>
      </c>
      <c r="E43" s="12" t="n">
        <v>502.795</v>
      </c>
      <c r="F43" s="12" t="n">
        <v>735.566</v>
      </c>
      <c r="G43" s="12" t="n">
        <v>688.841</v>
      </c>
      <c r="H43" s="12" t="n">
        <v>639.548</v>
      </c>
      <c r="I43" s="12" t="n">
        <v>501.016</v>
      </c>
      <c r="J43" s="12" t="n">
        <v>793.912</v>
      </c>
      <c r="K43" s="12" t="n">
        <v>976.728</v>
      </c>
      <c r="L43" s="12" t="n">
        <v>1451.586</v>
      </c>
      <c r="M43" s="12" t="n">
        <v>2320.623</v>
      </c>
      <c r="N43" s="12" t="n">
        <v>2700.594</v>
      </c>
      <c r="O43" s="11" t="n">
        <v>1765.941</v>
      </c>
      <c r="P43" s="12" t="n">
        <v>1627.294</v>
      </c>
      <c r="Q43" s="12" t="n">
        <v>1767.211</v>
      </c>
      <c r="R43" s="12" t="n">
        <v>1873.077</v>
      </c>
      <c r="S43" s="12" t="n">
        <v>2155.698</v>
      </c>
      <c r="T43" s="12" t="n">
        <v>2478.052</v>
      </c>
      <c r="U43" s="12" t="n">
        <v>8119.59</v>
      </c>
      <c r="V43" s="12" t="n">
        <v>2510.11</v>
      </c>
      <c r="W43" s="12" t="n">
        <v>2564.971</v>
      </c>
      <c r="X43" s="12" t="n">
        <v>5542.849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8" t="inlineStr">
        <is>
          <t>법인세비용(수익)</t>
        </is>
      </c>
      <c r="B44" s="10" t="n"/>
      <c r="C44" s="19" t="n">
        <v>253.408</v>
      </c>
      <c r="D44" s="20" t="n">
        <v>237.432</v>
      </c>
      <c r="E44" s="20" t="n">
        <v>169.044</v>
      </c>
      <c r="F44" s="20" t="n">
        <v>253.159</v>
      </c>
      <c r="G44" s="20" t="n">
        <v>258.551</v>
      </c>
      <c r="H44" s="20" t="n">
        <v>232.248</v>
      </c>
      <c r="I44" s="20" t="n">
        <v>150.688</v>
      </c>
      <c r="J44" s="20" t="n">
        <v>285.902</v>
      </c>
      <c r="K44" s="20" t="n">
        <v>355.921</v>
      </c>
      <c r="L44" s="20" t="n">
        <v>523.092</v>
      </c>
      <c r="M44" s="20" t="n">
        <v>703.423</v>
      </c>
      <c r="N44" s="20" t="n">
        <v>967.7670000000001</v>
      </c>
      <c r="O44" s="19" t="n">
        <v>740.307</v>
      </c>
      <c r="P44" s="20" t="n">
        <v>527.7859999999999</v>
      </c>
      <c r="Q44" s="20" t="n">
        <v>546.831</v>
      </c>
      <c r="R44" s="20" t="n">
        <v>609.02</v>
      </c>
      <c r="S44" s="20" t="n">
        <v>673.95</v>
      </c>
      <c r="T44" s="20" t="n">
        <v>762.535</v>
      </c>
      <c r="U44" s="20" t="n">
        <v>2552.811</v>
      </c>
      <c r="V44" s="20" t="n">
        <v>888.4589999999999</v>
      </c>
      <c r="W44" s="20" t="n">
        <v>894.646</v>
      </c>
      <c r="X44" s="20" t="n">
        <v>1868.338</v>
      </c>
      <c r="Y44" s="19">
        <f>IF(OR(Y43="",Y45=""),"",IFERROR(MAX(Y43,0)*Y45,""))</f>
        <v/>
      </c>
      <c r="Z44" s="20">
        <f>IF(OR(Z43="",Z45=""),"",IFERROR(MAX(Z43,0)*Z45,""))</f>
        <v/>
      </c>
      <c r="AA44" s="20">
        <f>IF(OR(AA43="",AA45=""),"",IFERROR(MAX(AA43,0)*AA45,""))</f>
        <v/>
      </c>
      <c r="AB44" s="20">
        <f>IF(OR(AB43="",AB45=""),"",IFERROR(MAX(AB43,0)*AB45,""))</f>
        <v/>
      </c>
      <c r="AC44" s="20">
        <f>IF(OR(AC43="",AC45=""),"",IFERROR(MAX(AC43,0)*AC45,""))</f>
        <v/>
      </c>
    </row>
    <row r="45">
      <c r="A45" s="13" t="inlineStr">
        <is>
          <t>법인세율</t>
        </is>
      </c>
      <c r="B45" s="10" t="inlineStr">
        <is>
          <t>MW 기본 30%</t>
        </is>
      </c>
      <c r="C45" s="14">
        <f>IF(OR(C44="",C43=""),"",IFERROR(C44/C43,""))</f>
        <v/>
      </c>
      <c r="D45" s="15">
        <f>IF(OR(D44="",D43=""),"",IFERROR(D44/D43,""))</f>
        <v/>
      </c>
      <c r="E45" s="15">
        <f>IF(OR(E44="",E43=""),"",IFERROR(E44/E43,""))</f>
        <v/>
      </c>
      <c r="F45" s="15">
        <f>IF(OR(F44="",F43=""),"",IFERROR(F44/F43,""))</f>
        <v/>
      </c>
      <c r="G45" s="15">
        <f>IF(OR(G44="",G43=""),"",IFERROR(G44/G43,""))</f>
        <v/>
      </c>
      <c r="H45" s="15">
        <f>IF(OR(H44="",H43=""),"",IFERROR(H44/H43,""))</f>
        <v/>
      </c>
      <c r="I45" s="15">
        <f>IF(OR(I44="",I43=""),"",IFERROR(I44/I43,""))</f>
        <v/>
      </c>
      <c r="J45" s="15">
        <f>IF(OR(J44="",J43=""),"",IFERROR(J44/J43,""))</f>
        <v/>
      </c>
      <c r="K45" s="15">
        <f>IF(OR(K44="",K43=""),"",IFERROR(K44/K43,""))</f>
        <v/>
      </c>
      <c r="L45" s="15">
        <f>IF(OR(L44="",L43=""),"",IFERROR(L44/L43,""))</f>
        <v/>
      </c>
      <c r="M45" s="15">
        <f>IF(OR(M44="",M43=""),"",IFERROR(M44/M43,""))</f>
        <v/>
      </c>
      <c r="N45" s="15">
        <f>IF(OR(N44="",N43=""),"",IFERROR(N44/N43,""))</f>
        <v/>
      </c>
      <c r="O45" s="14">
        <f>IF(OR(O44="",O43=""),"",IFERROR(O44/O43,""))</f>
        <v/>
      </c>
      <c r="P45" s="15">
        <f>IF(OR(P44="",P43=""),"",IFERROR(P44/P43,""))</f>
        <v/>
      </c>
      <c r="Q45" s="15">
        <f>IF(OR(Q44="",Q43=""),"",IFERROR(Q44/Q43,""))</f>
        <v/>
      </c>
      <c r="R45" s="15">
        <f>IF(OR(R44="",R43=""),"",IFERROR(R44/R43,""))</f>
        <v/>
      </c>
      <c r="S45" s="15">
        <f>IF(OR(S44="",S43=""),"",IFERROR(S44/S43,""))</f>
        <v/>
      </c>
      <c r="T45" s="15">
        <f>IF(OR(T44="",T43=""),"",IFERROR(T44/T43,""))</f>
        <v/>
      </c>
      <c r="U45" s="15">
        <f>IF(OR(U44="",U43=""),"",IFERROR(U44/U43,""))</f>
        <v/>
      </c>
      <c r="V45" s="15">
        <f>IF(OR(V44="",V43=""),"",IFERROR(V44/V43,""))</f>
        <v/>
      </c>
      <c r="W45" s="15">
        <f>IF(OR(W44="",W43=""),"",IFERROR(W44/W43,""))</f>
        <v/>
      </c>
      <c r="X45" s="15">
        <f>IF(OR(X44="",X43=""),"",IFERROR(X44/X43,""))</f>
        <v/>
      </c>
      <c r="Y45" s="25" t="n">
        <v>0.3</v>
      </c>
      <c r="Z45" s="26" t="n">
        <v>0.3</v>
      </c>
      <c r="AA45" s="26" t="n">
        <v>0.3</v>
      </c>
      <c r="AB45" s="26" t="n">
        <v>0.3</v>
      </c>
      <c r="AC45" s="26" t="n">
        <v>0.3</v>
      </c>
    </row>
    <row r="46">
      <c r="A46" s="9" t="inlineStr">
        <is>
          <t>당기순이익(손실)</t>
        </is>
      </c>
      <c r="B46" s="10" t="n"/>
      <c r="C46" s="11" t="n">
        <v>431.055</v>
      </c>
      <c r="D46" s="12" t="n">
        <v>406.5</v>
      </c>
      <c r="E46" s="12" t="n">
        <v>333.751</v>
      </c>
      <c r="F46" s="12" t="n">
        <v>482.407</v>
      </c>
      <c r="G46" s="12" t="n">
        <v>430.289</v>
      </c>
      <c r="H46" s="12" t="n">
        <v>407.301</v>
      </c>
      <c r="I46" s="12" t="n">
        <v>350.328</v>
      </c>
      <c r="J46" s="12" t="n">
        <v>508.01</v>
      </c>
      <c r="K46" s="12" t="n">
        <v>620.806</v>
      </c>
      <c r="L46" s="12" t="n">
        <v>928.495</v>
      </c>
      <c r="M46" s="12" t="n">
        <v>1617.199</v>
      </c>
      <c r="N46" s="12" t="n">
        <v>1732.826</v>
      </c>
      <c r="O46" s="11" t="n">
        <v>1025.634</v>
      </c>
      <c r="P46" s="12" t="n">
        <v>1099.508</v>
      </c>
      <c r="Q46" s="12" t="n">
        <v>1220.379</v>
      </c>
      <c r="R46" s="12" t="n">
        <v>1264.056</v>
      </c>
      <c r="S46" s="12" t="n">
        <v>1481.747</v>
      </c>
      <c r="T46" s="12" t="n">
        <v>1715.516</v>
      </c>
      <c r="U46" s="12" t="n">
        <v>5566.778</v>
      </c>
      <c r="V46" s="12" t="n">
        <v>1621.651</v>
      </c>
      <c r="W46" s="12" t="n">
        <v>1670.325</v>
      </c>
      <c r="X46" s="12" t="n">
        <v>3674.51</v>
      </c>
      <c r="Y46" s="11">
        <f>IF(OR(Y43=""),"",IFERROR(Y43-Y44,""))</f>
        <v/>
      </c>
      <c r="Z46" s="12">
        <f>IF(OR(Z43=""),"",IFERROR(Z43-Z44,""))</f>
        <v/>
      </c>
      <c r="AA46" s="12">
        <f>IF(OR(AA43=""),"",IFERROR(AA43-AA44,""))</f>
        <v/>
      </c>
      <c r="AB46" s="12">
        <f>IF(OR(AB43=""),"",IFERROR(AB43-AB44,""))</f>
        <v/>
      </c>
      <c r="AC46" s="12">
        <f>IF(OR(AC43=""),"",IFERROR(AC43-AC44,""))</f>
        <v/>
      </c>
    </row>
    <row r="47">
      <c r="A47" s="9" t="inlineStr">
        <is>
          <t>지배주주 순이익</t>
        </is>
      </c>
      <c r="B47" s="10" t="n"/>
      <c r="C47" s="11" t="n">
        <v>424.472</v>
      </c>
      <c r="D47" s="12" t="n">
        <v>399.713</v>
      </c>
      <c r="E47" s="12" t="n">
        <v>330.884</v>
      </c>
      <c r="F47" s="12" t="n">
        <v>473.887</v>
      </c>
      <c r="G47" s="12" t="n">
        <v>426.713</v>
      </c>
      <c r="H47" s="12" t="n">
        <v>399.649</v>
      </c>
      <c r="I47" s="12" t="n">
        <v>346.686</v>
      </c>
      <c r="J47" s="12" t="n">
        <v>501.078</v>
      </c>
      <c r="K47" s="12" t="n">
        <v>551.907</v>
      </c>
      <c r="L47" s="12" t="n">
        <v>706.836</v>
      </c>
      <c r="M47" s="12" t="n">
        <v>1313.456</v>
      </c>
      <c r="N47" s="12" t="n">
        <v>1389.138</v>
      </c>
      <c r="O47" s="11" t="n">
        <v>1025.634</v>
      </c>
      <c r="P47" s="12" t="n">
        <v>1099.508</v>
      </c>
      <c r="Q47" s="12" t="n">
        <v>1220.379</v>
      </c>
      <c r="R47" s="12" t="n">
        <v>1230.632</v>
      </c>
      <c r="S47" s="12" t="n">
        <v>1318.528</v>
      </c>
      <c r="T47" s="12" t="n">
        <v>1454.134</v>
      </c>
      <c r="U47" s="12" t="n">
        <v>5443.02</v>
      </c>
      <c r="V47" s="12" t="n">
        <v>1589.278</v>
      </c>
      <c r="W47" s="12" t="n">
        <v>1646.935</v>
      </c>
      <c r="X47" s="12" t="n">
        <v>3073.277</v>
      </c>
      <c r="Y47" s="11">
        <f>IF(OR(Y46="",Y48=""),"",IFERROR(Y46*Y48,""))</f>
        <v/>
      </c>
      <c r="Z47" s="12">
        <f>IF(OR(Z46="",Z48=""),"",IFERROR(Z46*Z48,""))</f>
        <v/>
      </c>
      <c r="AA47" s="12">
        <f>IF(OR(AA46="",AA48=""),"",IFERROR(AA46*AA48,""))</f>
        <v/>
      </c>
      <c r="AB47" s="12">
        <f>IF(OR(AB46="",AB48=""),"",IFERROR(AB46*AB48,""))</f>
        <v/>
      </c>
      <c r="AC47" s="12">
        <f>IF(OR(AC46="",AC48=""),"",IFERROR(AC46*AC48,""))</f>
        <v/>
      </c>
    </row>
    <row r="48">
      <c r="A48" s="13" t="inlineStr">
        <is>
          <t>지배주주 순이익률</t>
        </is>
      </c>
      <c r="B48" s="10" t="inlineStr">
        <is>
          <t>MW 기본 100%</t>
        </is>
      </c>
      <c r="C48" s="14">
        <f>IF(OR(C47="",C46=""),"",IFERROR(C47/C46,""))</f>
        <v/>
      </c>
      <c r="D48" s="15">
        <f>IF(OR(D47="",D46=""),"",IFERROR(D47/D46,""))</f>
        <v/>
      </c>
      <c r="E48" s="15">
        <f>IF(OR(E47="",E46=""),"",IFERROR(E47/E46,""))</f>
        <v/>
      </c>
      <c r="F48" s="15">
        <f>IF(OR(F47="",F46=""),"",IFERROR(F47/F46,""))</f>
        <v/>
      </c>
      <c r="G48" s="15">
        <f>IF(OR(G47="",G46=""),"",IFERROR(G47/G46,""))</f>
        <v/>
      </c>
      <c r="H48" s="15">
        <f>IF(OR(H47="",H46=""),"",IFERROR(H47/H46,""))</f>
        <v/>
      </c>
      <c r="I48" s="15">
        <f>IF(OR(I47="",I46=""),"",IFERROR(I47/I46,""))</f>
        <v/>
      </c>
      <c r="J48" s="15">
        <f>IF(OR(J47="",J46=""),"",IFERROR(J47/J46,""))</f>
        <v/>
      </c>
      <c r="K48" s="15">
        <f>IF(OR(K47="",K46=""),"",IFERROR(K47/K46,""))</f>
        <v/>
      </c>
      <c r="L48" s="15">
        <f>IF(OR(L47="",L46=""),"",IFERROR(L47/L46,""))</f>
        <v/>
      </c>
      <c r="M48" s="15">
        <f>IF(OR(M47="",M46=""),"",IFERROR(M47/M46,""))</f>
        <v/>
      </c>
      <c r="N48" s="15">
        <f>IF(OR(N47="",N46=""),"",IFERROR(N47/N46,""))</f>
        <v/>
      </c>
      <c r="O48" s="14">
        <f>IF(OR(O47="",O46=""),"",IFERROR(O47/O46,""))</f>
        <v/>
      </c>
      <c r="P48" s="15">
        <f>IF(OR(P47="",P46=""),"",IFERROR(P47/P46,""))</f>
        <v/>
      </c>
      <c r="Q48" s="15">
        <f>IF(OR(Q47="",Q46=""),"",IFERROR(Q47/Q46,""))</f>
        <v/>
      </c>
      <c r="R48" s="15">
        <f>IF(OR(R47="",R46=""),"",IFERROR(R47/R46,""))</f>
        <v/>
      </c>
      <c r="S48" s="15">
        <f>IF(OR(S47="",S46=""),"",IFERROR(S47/S46,""))</f>
        <v/>
      </c>
      <c r="T48" s="15">
        <f>IF(OR(T47="",T46=""),"",IFERROR(T47/T46,""))</f>
        <v/>
      </c>
      <c r="U48" s="15">
        <f>IF(OR(U47="",U46=""),"",IFERROR(U47/U46,""))</f>
        <v/>
      </c>
      <c r="V48" s="15">
        <f>IF(OR(V47="",V46=""),"",IFERROR(V47/V46,""))</f>
        <v/>
      </c>
      <c r="W48" s="15">
        <f>IF(OR(W47="",W46=""),"",IFERROR(W47/W46,""))</f>
        <v/>
      </c>
      <c r="X48" s="15">
        <f>IF(OR(X47="",X46=""),"",IFERROR(X47/X46,""))</f>
        <v/>
      </c>
      <c r="Y48" s="25" t="n">
        <v>1</v>
      </c>
      <c r="Z48" s="26" t="n">
        <v>1</v>
      </c>
      <c r="AA48" s="26" t="n">
        <v>1</v>
      </c>
      <c r="AB48" s="26" t="n">
        <v>1</v>
      </c>
      <c r="AC48" s="26" t="n">
        <v>1</v>
      </c>
    </row>
    <row r="49">
      <c r="A49" s="16" t="inlineStr">
        <is>
          <t>목표주가 산출</t>
        </is>
      </c>
      <c r="B49" s="16" t="n"/>
      <c r="C49" s="17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7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7" t="n"/>
      <c r="Z49" s="16" t="n"/>
      <c r="AA49" s="16" t="n"/>
      <c r="AB49" s="16" t="n"/>
      <c r="AC49" s="16" t="n"/>
    </row>
    <row r="50">
      <c r="A50" s="18" t="inlineStr">
        <is>
          <t>현재 주가 (2026.10.26)</t>
        </is>
      </c>
      <c r="B50" s="27" t="n">
        <v>601</v>
      </c>
      <c r="C50" s="28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8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8" t="n"/>
      <c r="Z50" s="29" t="n"/>
      <c r="AA50" s="29" t="n"/>
      <c r="AB50" s="29" t="n"/>
      <c r="AC50" s="29" t="n"/>
    </row>
    <row r="51">
      <c r="A51" s="18" t="inlineStr">
        <is>
          <t>발행주식수 (보통주)</t>
        </is>
      </c>
      <c r="B51" s="27" t="n">
        <v>138208023</v>
      </c>
      <c r="C51" s="28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8" t="n"/>
      <c r="P51" s="29" t="n"/>
      <c r="Q51" s="29" t="n"/>
      <c r="R51" s="29" t="n"/>
      <c r="S51" s="29" t="n"/>
      <c r="T51" s="29" t="n"/>
      <c r="U51" s="29" t="n"/>
      <c r="V51" s="29" t="n"/>
      <c r="W51" s="29" t="n"/>
      <c r="X51" s="29" t="n"/>
      <c r="Y51" s="28" t="n"/>
      <c r="Z51" s="29" t="n"/>
      <c r="AA51" s="29" t="n"/>
      <c r="AB51" s="29" t="n"/>
      <c r="AC51" s="29" t="n"/>
    </row>
    <row r="52">
      <c r="A52" s="18" t="inlineStr">
        <is>
          <t>시가총액 (백만엔)</t>
        </is>
      </c>
      <c r="B52" s="12">
        <f>IF(OR(B50="",B51=""),"",B50*B51/1000000.0)</f>
        <v/>
      </c>
      <c r="C52" s="19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19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19" t="n"/>
      <c r="Z52" s="20" t="n"/>
      <c r="AA52" s="20" t="n"/>
      <c r="AB52" s="20" t="n"/>
      <c r="AC52" s="20" t="n"/>
    </row>
    <row r="53">
      <c r="A53" s="13" t="inlineStr">
        <is>
          <t>OPM</t>
        </is>
      </c>
      <c r="B53" s="10" t="n"/>
      <c r="C53" s="14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4">
        <f>IF(O20="","",O20)</f>
        <v/>
      </c>
      <c r="P53" s="15">
        <f>IF(P20="","",P20)</f>
        <v/>
      </c>
      <c r="Q53" s="15">
        <f>IF(Q20="","",Q20)</f>
        <v/>
      </c>
      <c r="R53" s="15">
        <f>IF(R20="","",R20)</f>
        <v/>
      </c>
      <c r="S53" s="15">
        <f>IF(S20="","",S20)</f>
        <v/>
      </c>
      <c r="T53" s="15">
        <f>IF(T20="","",T20)</f>
        <v/>
      </c>
      <c r="U53" s="15">
        <f>IF(U20="","",U20)</f>
        <v/>
      </c>
      <c r="V53" s="15">
        <f>IF(V20="","",V20)</f>
        <v/>
      </c>
      <c r="W53" s="15">
        <f>IF(W20="","",W20)</f>
        <v/>
      </c>
      <c r="X53" s="15">
        <f>IF(X20="","",X20)</f>
        <v/>
      </c>
      <c r="Y53" s="14">
        <f>IF(Y20="","",Y20)</f>
        <v/>
      </c>
      <c r="Z53" s="15">
        <f>IF(Z20="","",Z20)</f>
        <v/>
      </c>
      <c r="AA53" s="15">
        <f>IF(AA20="","",AA20)</f>
        <v/>
      </c>
      <c r="AB53" s="15">
        <f>IF(AB20="","",AB20)</f>
        <v/>
      </c>
      <c r="AC53" s="15">
        <f>IF(AC20="","",AC20)</f>
        <v/>
      </c>
    </row>
    <row r="54">
      <c r="A54" s="13" t="inlineStr">
        <is>
          <t>지배주주 순이익 증가율</t>
        </is>
      </c>
      <c r="B54" s="10" t="n"/>
      <c r="C54" s="14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4" t="n"/>
      <c r="P54" s="15">
        <f>IF(OR(P47="",O47=""),"",IFERROR(P47/O47-1,""))</f>
        <v/>
      </c>
      <c r="Q54" s="15">
        <f>IF(OR(Q47="",P47=""),"",IFERROR(Q47/P47-1,""))</f>
        <v/>
      </c>
      <c r="R54" s="15">
        <f>IF(OR(R47="",Q47=""),"",IFERROR(R47/Q47-1,""))</f>
        <v/>
      </c>
      <c r="S54" s="15">
        <f>IF(OR(S47="",R47=""),"",IFERROR(S47/R47-1,""))</f>
        <v/>
      </c>
      <c r="T54" s="15">
        <f>IF(OR(T47="",S47=""),"",IFERROR(T47/S47-1,""))</f>
        <v/>
      </c>
      <c r="U54" s="15">
        <f>IF(OR(U47="",T47=""),"",IFERROR(U47/T47-1,""))</f>
        <v/>
      </c>
      <c r="V54" s="15">
        <f>IF(OR(V47="",U47=""),"",IFERROR(V47/U47-1,""))</f>
        <v/>
      </c>
      <c r="W54" s="15">
        <f>IF(OR(W47="",V47=""),"",IFERROR(W47/V47-1,""))</f>
        <v/>
      </c>
      <c r="X54" s="15">
        <f>IF(OR(X47="",W47=""),"",IFERROR(X47/W47-1,""))</f>
        <v/>
      </c>
      <c r="Y54" s="14">
        <f>IF(OR(Y47="",X47=""),"",IFERROR(Y47/X47-1,""))</f>
        <v/>
      </c>
      <c r="Z54" s="15">
        <f>IF(OR(Z47="",Y47=""),"",IFERROR(Z47/Y47-1,""))</f>
        <v/>
      </c>
      <c r="AA54" s="15">
        <f>IF(OR(AA47="",Z47=""),"",IFERROR(AA47/Z47-1,""))</f>
        <v/>
      </c>
      <c r="AB54" s="15">
        <f>IF(OR(AB47="",AA47=""),"",IFERROR(AB47/AA47-1,""))</f>
        <v/>
      </c>
      <c r="AC54" s="15">
        <f>IF(OR(AC47="",AB47=""),"",IFERROR(AC47/AB47-1,""))</f>
        <v/>
      </c>
    </row>
    <row r="55">
      <c r="A55" s="18" t="inlineStr">
        <is>
          <t>P/E (현재 주가)</t>
        </is>
      </c>
      <c r="B55" s="10" t="inlineStr">
        <is>
          <t>시총 ÷ 지배순이익</t>
        </is>
      </c>
      <c r="C55" s="30" t="n"/>
      <c r="D55" s="31" t="n"/>
      <c r="E55" s="31" t="n"/>
      <c r="F55" s="31" t="n"/>
      <c r="G55" s="31" t="n"/>
      <c r="H55" s="31" t="n"/>
      <c r="I55" s="31" t="n"/>
      <c r="J55" s="31" t="n"/>
      <c r="K55" s="31" t="n"/>
      <c r="L55" s="31" t="n"/>
      <c r="M55" s="31" t="n"/>
      <c r="N55" s="31" t="n"/>
      <c r="O55" s="30" t="n"/>
      <c r="P55" s="31" t="n"/>
      <c r="Q55" s="31" t="n"/>
      <c r="R55" s="31" t="n"/>
      <c r="S55" s="31" t="n"/>
      <c r="T55" s="31" t="n"/>
      <c r="U55" s="31" t="n"/>
      <c r="V55" s="31" t="n"/>
      <c r="W55" s="31" t="n"/>
      <c r="X55" s="31">
        <f>IF(OR($B$52="",X47=""),"",IFERROR($B$52/X47,""))</f>
        <v/>
      </c>
      <c r="Y55" s="30">
        <f>IF(OR($B$52="",Y47=""),"",IFERROR($B$52/Y47,""))</f>
        <v/>
      </c>
      <c r="Z55" s="31">
        <f>IF(OR($B$52="",Z47=""),"",IFERROR($B$52/Z47,""))</f>
        <v/>
      </c>
      <c r="AA55" s="31">
        <f>IF(OR($B$52="",AA47=""),"",IFERROR($B$52/AA47,""))</f>
        <v/>
      </c>
      <c r="AB55" s="31">
        <f>IF(OR($B$52="",AB47=""),"",IFERROR($B$52/AB47,""))</f>
        <v/>
      </c>
      <c r="AC55" s="31">
        <f>IF(OR($B$52="",AC47=""),"",IFERROR($B$52/AC47,""))</f>
        <v/>
      </c>
    </row>
    <row r="56">
      <c r="A56" s="18" t="inlineStr">
        <is>
          <t>Target P/E</t>
        </is>
      </c>
      <c r="B56" s="10" t="inlineStr">
        <is>
          <t>직접 입력</t>
        </is>
      </c>
      <c r="C56" s="30" t="n"/>
      <c r="D56" s="31" t="n"/>
      <c r="E56" s="31" t="n"/>
      <c r="F56" s="31" t="n"/>
      <c r="G56" s="31" t="n"/>
      <c r="H56" s="31" t="n"/>
      <c r="I56" s="31" t="n"/>
      <c r="J56" s="31" t="n"/>
      <c r="K56" s="31" t="n"/>
      <c r="L56" s="31" t="n"/>
      <c r="M56" s="31" t="n"/>
      <c r="N56" s="31" t="n"/>
      <c r="O56" s="30" t="n"/>
      <c r="P56" s="31" t="n"/>
      <c r="Q56" s="31" t="n"/>
      <c r="R56" s="31" t="n"/>
      <c r="S56" s="31" t="n"/>
      <c r="T56" s="31" t="n"/>
      <c r="U56" s="31" t="n"/>
      <c r="V56" s="31" t="n"/>
      <c r="W56" s="31" t="n"/>
      <c r="X56" s="31" t="n"/>
      <c r="Y56" s="32" t="n"/>
      <c r="Z56" s="33" t="n"/>
      <c r="AA56" s="33" t="n"/>
      <c r="AB56" s="33" t="n"/>
      <c r="AC56" s="33" t="n"/>
    </row>
    <row r="57">
      <c r="A57" s="18" t="inlineStr">
        <is>
          <t>EPS</t>
        </is>
      </c>
      <c r="B57" s="10" t="inlineStr">
        <is>
          <t>지배순이익 ÷ 주식수</t>
        </is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>
        <f>IF(OR(O47="",$B$51=""),"",IFERROR(O47*1000000.0/$B$51,""))</f>
        <v/>
      </c>
      <c r="P57" s="29">
        <f>IF(OR(P47="",$B$51=""),"",IFERROR(P47*1000000.0/$B$51,""))</f>
        <v/>
      </c>
      <c r="Q57" s="29">
        <f>IF(OR(Q47="",$B$51=""),"",IFERROR(Q47*1000000.0/$B$51,""))</f>
        <v/>
      </c>
      <c r="R57" s="29">
        <f>IF(OR(R47="",$B$51=""),"",IFERROR(R47*1000000.0/$B$51,""))</f>
        <v/>
      </c>
      <c r="S57" s="29">
        <f>IF(OR(S47="",$B$51=""),"",IFERROR(S47*1000000.0/$B$51,""))</f>
        <v/>
      </c>
      <c r="T57" s="29">
        <f>IF(OR(T47="",$B$51=""),"",IFERROR(T47*1000000.0/$B$51,""))</f>
        <v/>
      </c>
      <c r="U57" s="29">
        <f>IF(OR(U47="",$B$51=""),"",IFERROR(U47*1000000.0/$B$51,""))</f>
        <v/>
      </c>
      <c r="V57" s="29">
        <f>IF(OR(V47="",$B$51=""),"",IFERROR(V47*1000000.0/$B$51,""))</f>
        <v/>
      </c>
      <c r="W57" s="29">
        <f>IF(OR(W47="",$B$51=""),"",IFERROR(W47*1000000.0/$B$51,""))</f>
        <v/>
      </c>
      <c r="X57" s="29">
        <f>IF(OR(X47="",$B$51=""),"",IFERROR(X47*1000000.0/$B$51,""))</f>
        <v/>
      </c>
      <c r="Y57" s="28">
        <f>IF(OR(Y47="",$B$51=""),"",IFERROR(Y47*1000000.0/$B$51,""))</f>
        <v/>
      </c>
      <c r="Z57" s="29">
        <f>IF(OR(Z47="",$B$51=""),"",IFERROR(Z47*1000000.0/$B$51,""))</f>
        <v/>
      </c>
      <c r="AA57" s="29">
        <f>IF(OR(AA47="",$B$51=""),"",IFERROR(AA47*1000000.0/$B$51,""))</f>
        <v/>
      </c>
      <c r="AB57" s="29">
        <f>IF(OR(AB47="",$B$51=""),"",IFERROR(AB47*1000000.0/$B$51,""))</f>
        <v/>
      </c>
      <c r="AC57" s="29">
        <f>IF(OR(AC47="",$B$51=""),"",IFERROR(AC47*1000000.0/$B$51,""))</f>
        <v/>
      </c>
    </row>
    <row r="58">
      <c r="A58" s="9" t="inlineStr">
        <is>
          <t>목표주가</t>
        </is>
      </c>
      <c r="B58" s="10" t="n"/>
      <c r="C58" s="34" t="n"/>
      <c r="D58" s="27" t="n"/>
      <c r="E58" s="27" t="n"/>
      <c r="F58" s="27" t="n"/>
      <c r="G58" s="27" t="n"/>
      <c r="H58" s="27" t="n"/>
      <c r="I58" s="27" t="n"/>
      <c r="J58" s="27" t="n"/>
      <c r="K58" s="27" t="n"/>
      <c r="L58" s="27" t="n"/>
      <c r="M58" s="27" t="n"/>
      <c r="N58" s="27" t="n"/>
      <c r="O58" s="34" t="n"/>
      <c r="P58" s="27" t="n"/>
      <c r="Q58" s="27" t="n"/>
      <c r="R58" s="27" t="n"/>
      <c r="S58" s="27" t="n"/>
      <c r="T58" s="27" t="n"/>
      <c r="U58" s="27" t="n"/>
      <c r="V58" s="27" t="n"/>
      <c r="W58" s="27" t="n"/>
      <c r="X58" s="27" t="n"/>
      <c r="Y58" s="34">
        <f>IF(OR(Y57="",Y56=""),"",IFERROR(Y57*Y56,""))</f>
        <v/>
      </c>
      <c r="Z58" s="27">
        <f>IF(OR(Z57="",Z56=""),"",IFERROR(Z57*Z56,""))</f>
        <v/>
      </c>
      <c r="AA58" s="27">
        <f>IF(OR(AA57="",AA56=""),"",IFERROR(AA57*AA56,""))</f>
        <v/>
      </c>
      <c r="AB58" s="27">
        <f>IF(OR(AB57="",AB56=""),"",IFERROR(AB57*AB56,""))</f>
        <v/>
      </c>
      <c r="AC58" s="27">
        <f>IF(OR(AC57="",AC56=""),"",IFERROR(AC57*AC56,""))</f>
        <v/>
      </c>
    </row>
    <row r="59">
      <c r="A59" s="18" t="inlineStr">
        <is>
          <t>상승여력</t>
        </is>
      </c>
      <c r="B59" s="10" t="n"/>
      <c r="C59" s="35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5" t="n"/>
      <c r="P59" s="36" t="n"/>
      <c r="Q59" s="36" t="n"/>
      <c r="R59" s="36" t="n"/>
      <c r="S59" s="36" t="n"/>
      <c r="T59" s="36" t="n"/>
      <c r="U59" s="36" t="n"/>
      <c r="V59" s="36" t="n"/>
      <c r="W59" s="36" t="n"/>
      <c r="X59" s="36" t="n"/>
      <c r="Y59" s="37">
        <f>IF(OR(Y58="",$B$50=""),"",IFERROR(Y58/$B$50-1,""))</f>
        <v/>
      </c>
      <c r="Z59" s="38">
        <f>IF(OR(Z58="",$B$50=""),"",IFERROR(Z58/$B$50-1,""))</f>
        <v/>
      </c>
      <c r="AA59" s="38">
        <f>IF(OR(AA58="",$B$50=""),"",IFERROR(AA58/$B$50-1,""))</f>
        <v/>
      </c>
      <c r="AB59" s="38">
        <f>IF(OR(AB58="",$B$50=""),"",IFERROR(AB58/$B$50-1,""))</f>
        <v/>
      </c>
      <c r="AC59" s="38">
        <f>IF(OR(AC58="",$B$50=""),"",IFERROR(AC58/$B$50-1,""))</f>
        <v/>
      </c>
    </row>
    <row r="60">
      <c r="A60" s="16" t="inlineStr">
        <is>
          <t>자산가치 산출</t>
        </is>
      </c>
      <c r="B60" s="16" t="inlineStr">
        <is>
          <t>최신 분기 BS</t>
        </is>
      </c>
      <c r="C60" s="17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7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7" t="n"/>
      <c r="Z60" s="16" t="n"/>
      <c r="AA60" s="16" t="n"/>
      <c r="AB60" s="16" t="n"/>
      <c r="AC60" s="16" t="n"/>
    </row>
    <row r="61">
      <c r="A61" s="18" t="inlineStr">
        <is>
          <t>현금및현금성자산</t>
        </is>
      </c>
      <c r="B61" s="10" t="n"/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>
        <f>'재무상태표'!G6</f>
        <v/>
      </c>
      <c r="Y61" s="19">
        <f>'재무상태표'!G6</f>
        <v/>
      </c>
      <c r="Z61" s="20">
        <f>'재무상태표'!G6</f>
        <v/>
      </c>
      <c r="AA61" s="20">
        <f>'재무상태표'!G6</f>
        <v/>
      </c>
      <c r="AB61" s="20">
        <f>'재무상태표'!G6</f>
        <v/>
      </c>
      <c r="AC61" s="20">
        <f>'재무상태표'!G6</f>
        <v/>
      </c>
    </row>
    <row r="62">
      <c r="A62" s="18" t="inlineStr">
        <is>
          <t>단기금융상품</t>
        </is>
      </c>
      <c r="B62" s="10" t="n"/>
      <c r="C62" s="19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19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>
        <f>'재무상태표'!G7</f>
        <v/>
      </c>
      <c r="Y62" s="19">
        <f>'재무상태표'!G7</f>
        <v/>
      </c>
      <c r="Z62" s="20">
        <f>'재무상태표'!G7</f>
        <v/>
      </c>
      <c r="AA62" s="20">
        <f>'재무상태표'!G7</f>
        <v/>
      </c>
      <c r="AB62" s="20">
        <f>'재무상태표'!G7</f>
        <v/>
      </c>
      <c r="AC62" s="20">
        <f>'재무상태표'!G7</f>
        <v/>
      </c>
    </row>
    <row r="63">
      <c r="A63" s="18" t="inlineStr">
        <is>
          <t>투자부동산</t>
        </is>
      </c>
      <c r="B63" s="10" t="n"/>
      <c r="C63" s="19" t="n"/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19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>
        <f>'재무상태표'!G14</f>
        <v/>
      </c>
      <c r="Y63" s="19">
        <f>'재무상태표'!G14</f>
        <v/>
      </c>
      <c r="Z63" s="20">
        <f>'재무상태표'!G14</f>
        <v/>
      </c>
      <c r="AA63" s="20">
        <f>'재무상태표'!G14</f>
        <v/>
      </c>
      <c r="AB63" s="20">
        <f>'재무상태표'!G14</f>
        <v/>
      </c>
      <c r="AC63" s="20">
        <f>'재무상태표'!G14</f>
        <v/>
      </c>
    </row>
    <row r="64">
      <c r="A64" s="18" t="inlineStr">
        <is>
          <t>지배자본</t>
        </is>
      </c>
      <c r="B64" s="10" t="n"/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>
        <f>'재무상태표'!G31</f>
        <v/>
      </c>
      <c r="Y64" s="19">
        <f>'재무상태표'!G31</f>
        <v/>
      </c>
      <c r="Z64" s="20">
        <f>'재무상태표'!G31</f>
        <v/>
      </c>
      <c r="AA64" s="20">
        <f>'재무상태표'!G31</f>
        <v/>
      </c>
      <c r="AB64" s="20">
        <f>'재무상태표'!G31</f>
        <v/>
      </c>
      <c r="AC64" s="20">
        <f>'재무상태표'!G31</f>
        <v/>
      </c>
    </row>
    <row r="65">
      <c r="A65" s="18" t="inlineStr">
        <is>
          <t>부채</t>
        </is>
      </c>
      <c r="B65" s="10" t="n"/>
      <c r="C65" s="19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19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>
        <f>'재무상태표'!G27</f>
        <v/>
      </c>
      <c r="Y65" s="19">
        <f>'재무상태표'!G27</f>
        <v/>
      </c>
      <c r="Z65" s="20">
        <f>'재무상태표'!G27</f>
        <v/>
      </c>
      <c r="AA65" s="20">
        <f>'재무상태표'!G27</f>
        <v/>
      </c>
      <c r="AB65" s="20">
        <f>'재무상태표'!G27</f>
        <v/>
      </c>
      <c r="AC65" s="20">
        <f>'재무상태표'!G27</f>
        <v/>
      </c>
    </row>
    <row r="66">
      <c r="A66" s="13" t="inlineStr">
        <is>
          <t>부채비율</t>
        </is>
      </c>
      <c r="B66" s="10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4" t="n"/>
      <c r="P66" s="15" t="n"/>
      <c r="Q66" s="15" t="n"/>
      <c r="R66" s="15" t="n"/>
      <c r="S66" s="15" t="n"/>
      <c r="T66" s="15" t="n"/>
      <c r="U66" s="15" t="n"/>
      <c r="V66" s="15" t="n"/>
      <c r="W66" s="15" t="n"/>
      <c r="X66" s="15">
        <f>IF(OR(X65="",X64=""),"",IFERROR(X65/X64,""))</f>
        <v/>
      </c>
      <c r="Y66" s="14">
        <f>IF(OR(Y65="",Y64=""),"",IFERROR(Y65/Y64,""))</f>
        <v/>
      </c>
      <c r="Z66" s="15">
        <f>IF(OR(Z65="",Z64=""),"",IFERROR(Z65/Z64,""))</f>
        <v/>
      </c>
      <c r="AA66" s="15">
        <f>IF(OR(AA65="",AA64=""),"",IFERROR(AA65/AA64,""))</f>
        <v/>
      </c>
      <c r="AB66" s="15">
        <f>IF(OR(AB65="",AB64=""),"",IFERROR(AB65/AB64,""))</f>
        <v/>
      </c>
      <c r="AC66" s="15">
        <f>IF(OR(AC65="",AC64=""),"",IFERROR(AC65/AC64,""))</f>
        <v/>
      </c>
    </row>
    <row r="67">
      <c r="A67" s="9" t="inlineStr">
        <is>
          <t>자산가치</t>
        </is>
      </c>
      <c r="B67" s="10" t="inlineStr">
        <is>
          <t>현금+단기금융+투자부동산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>
        <f>SUM(X61,X62,X63)</f>
        <v/>
      </c>
      <c r="Y67" s="11">
        <f>SUM(Y61,Y62,Y63)</f>
        <v/>
      </c>
      <c r="Z67" s="12">
        <f>SUM(Z61,Z62,Z63)</f>
        <v/>
      </c>
      <c r="AA67" s="12">
        <f>SUM(AA61,AA62,AA63)</f>
        <v/>
      </c>
      <c r="AB67" s="12">
        <f>SUM(AB61,AB62,AB63)</f>
        <v/>
      </c>
      <c r="AC67" s="12">
        <f>SUM(AC61,AC62,AC63)</f>
        <v/>
      </c>
    </row>
    <row r="68">
      <c r="A68" s="16" t="inlineStr">
        <is>
          <t>기업가치 산출</t>
        </is>
      </c>
      <c r="B68" s="16" t="n"/>
      <c r="C68" s="17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7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7" t="n"/>
      <c r="Z68" s="16" t="n"/>
      <c r="AA68" s="16" t="n"/>
      <c r="AB68" s="16" t="n"/>
      <c r="AC68" s="16" t="n"/>
    </row>
    <row r="69">
      <c r="A69" s="18" t="inlineStr">
        <is>
          <t>목표 시가총액 (P/E)</t>
        </is>
      </c>
      <c r="B69" s="10" t="inlineStr">
        <is>
          <t>지배순이익 × Target P/E</t>
        </is>
      </c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19">
        <f>IF(OR(Y47="",Y56=""),"",IFERROR(Y47*Y56,""))</f>
        <v/>
      </c>
      <c r="Z69" s="20">
        <f>IF(OR(Z47="",Z56=""),"",IFERROR(Z47*Z56,""))</f>
        <v/>
      </c>
      <c r="AA69" s="20">
        <f>IF(OR(AA47="",AA56=""),"",IFERROR(AA47*AA56,""))</f>
        <v/>
      </c>
      <c r="AB69" s="20">
        <f>IF(OR(AB47="",AB56=""),"",IFERROR(AB47*AB56,""))</f>
        <v/>
      </c>
      <c r="AC69" s="20">
        <f>IF(OR(AC47="",AC56=""),"",IFERROR(AC47*AC56,""))</f>
        <v/>
      </c>
    </row>
    <row r="70">
      <c r="A70" s="9" t="inlineStr">
        <is>
          <t>기업가치</t>
        </is>
      </c>
      <c r="B70" s="10" t="inlineStr">
        <is>
          <t>목표시총 + 자산가치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1">
        <f>IF(OR(Y69=""),"",IFERROR(Y69+Y67,""))</f>
        <v/>
      </c>
      <c r="Z70" s="12">
        <f>IF(OR(Z69=""),"",IFERROR(Z69+Z67,""))</f>
        <v/>
      </c>
      <c r="AA70" s="12">
        <f>IF(OR(AA69=""),"",IFERROR(AA69+AA67,""))</f>
        <v/>
      </c>
      <c r="AB70" s="12">
        <f>IF(OR(AB69=""),"",IFERROR(AB69+AB67,""))</f>
        <v/>
      </c>
      <c r="AC70" s="12">
        <f>IF(OR(AC69=""),"",IFERROR(AC69+AC67,""))</f>
        <v/>
      </c>
    </row>
    <row r="71">
      <c r="A71" s="18" t="inlineStr">
        <is>
          <t>현재 시가총액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19">
        <f>$B$52</f>
        <v/>
      </c>
      <c r="Z71" s="20">
        <f>$B$52</f>
        <v/>
      </c>
      <c r="AA71" s="20">
        <f>$B$52</f>
        <v/>
      </c>
      <c r="AB71" s="20">
        <f>$B$52</f>
        <v/>
      </c>
      <c r="AC71" s="20">
        <f>$B$52</f>
        <v/>
      </c>
    </row>
    <row r="72">
      <c r="A72" s="18" t="inlineStr">
        <is>
          <t>상승여력</t>
        </is>
      </c>
      <c r="B72" s="10" t="n"/>
      <c r="C72" s="35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5" t="n"/>
      <c r="P72" s="36" t="n"/>
      <c r="Q72" s="36" t="n"/>
      <c r="R72" s="36" t="n"/>
      <c r="S72" s="36" t="n"/>
      <c r="T72" s="36" t="n"/>
      <c r="U72" s="36" t="n"/>
      <c r="V72" s="36" t="n"/>
      <c r="W72" s="36" t="n"/>
      <c r="X72" s="36" t="n"/>
      <c r="Y72" s="37">
        <f>IF(OR(Y70="",Y71=""),"",IFERROR(Y70/Y71-1,""))</f>
        <v/>
      </c>
      <c r="Z72" s="38">
        <f>IF(OR(Z70="",Z71=""),"",IFERROR(Z70/Z71-1,""))</f>
        <v/>
      </c>
      <c r="AA72" s="38">
        <f>IF(OR(AA70="",AA71=""),"",IFERROR(AA70/AA71-1,""))</f>
        <v/>
      </c>
      <c r="AB72" s="38">
        <f>IF(OR(AB70="",AB71=""),"",IFERROR(AB70/AB71-1,""))</f>
        <v/>
      </c>
      <c r="AC72" s="38">
        <f>IF(OR(AC70="",AC71=""),"",IFERROR(AC70/AC71-1,""))</f>
        <v/>
      </c>
    </row>
    <row r="73">
      <c r="C73" s="39" t="n"/>
      <c r="O73" s="39" t="n"/>
      <c r="Y73" s="39" t="n"/>
    </row>
    <row r="74">
      <c r="A74" s="40" t="inlineStr">
        <is>
          <t>출처</t>
        </is>
      </c>
      <c r="C74" s="39" t="n"/>
      <c r="O74" s="39" t="n"/>
      <c r="Y74" s="39" t="n"/>
    </row>
    <row r="75">
      <c r="A75" s="41" t="inlineStr">
        <is>
          <t>결산단신 XBRL(TDnet·JPX 보관소) — 쓴 문서는 '출처' 시트</t>
        </is>
      </c>
      <c r="C75" s="39" t="n"/>
      <c r="O75" s="39" t="n"/>
      <c r="Y75" s="39" t="n"/>
    </row>
    <row r="76">
      <c r="A76" s="41" t="inlineStr">
        <is>
          <t>분기 = 누계에서 앞 분기를 뺀 3개월 값</t>
        </is>
      </c>
      <c r="C76" s="39" t="n"/>
      <c r="O76" s="39" t="n"/>
      <c r="Y76" s="39" t="n"/>
    </row>
    <row r="77">
      <c r="A77" s="41" t="inlineStr">
        <is>
          <t>주가: 야후 파이낸스 일봉 2026.10.26</t>
        </is>
      </c>
      <c r="C77" s="39" t="n"/>
      <c r="O77" s="39" t="n"/>
      <c r="Y77" s="39" t="n"/>
    </row>
    <row r="79">
      <c r="A79" s="16" t="inlineStr">
        <is>
          <t>손익계산서 · 전 항목</t>
        </is>
      </c>
      <c r="B79" s="42" t="inlineStr">
        <is>
          <t>분기 = 3개월 단독</t>
        </is>
      </c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  <c r="AA79" s="16" t="n"/>
      <c r="AB79" s="16" t="n"/>
      <c r="AC79" s="16" t="n"/>
    </row>
    <row r="80">
      <c r="A80" s="5" t="inlineStr">
        <is>
          <t>항목</t>
        </is>
      </c>
      <c r="B80" s="5" t="inlineStr">
        <is>
          <t>참고</t>
        </is>
      </c>
      <c r="C80" s="5" t="inlineStr">
        <is>
          <t>2024.2Q</t>
        </is>
      </c>
      <c r="D80" s="5" t="inlineStr">
        <is>
          <t>2024.3Q</t>
        </is>
      </c>
      <c r="E80" s="5" t="inlineStr">
        <is>
          <t>2024.4Q</t>
        </is>
      </c>
      <c r="F80" s="5" t="inlineStr">
        <is>
          <t>2025.1Q</t>
        </is>
      </c>
      <c r="G80" s="5" t="inlineStr">
        <is>
          <t>2025.2Q</t>
        </is>
      </c>
      <c r="H80" s="5" t="inlineStr">
        <is>
          <t>2025.3Q</t>
        </is>
      </c>
      <c r="I80" s="5" t="inlineStr">
        <is>
          <t>2025.4Q</t>
        </is>
      </c>
      <c r="J80" s="5" t="inlineStr">
        <is>
          <t>2026.1Q</t>
        </is>
      </c>
      <c r="K80" s="5" t="inlineStr">
        <is>
          <t>2026.2Q</t>
        </is>
      </c>
      <c r="L80" s="5" t="inlineStr">
        <is>
          <t>2026.3Q</t>
        </is>
      </c>
      <c r="M80" s="5" t="inlineStr">
        <is>
          <t>2026.4Q</t>
        </is>
      </c>
      <c r="N80" s="5" t="inlineStr">
        <is>
          <t>2027.1Q</t>
        </is>
      </c>
      <c r="O80" s="5" t="inlineStr">
        <is>
          <t>2017</t>
        </is>
      </c>
      <c r="P80" s="5" t="inlineStr">
        <is>
          <t>2018</t>
        </is>
      </c>
      <c r="Q80" s="5" t="inlineStr">
        <is>
          <t>2019</t>
        </is>
      </c>
      <c r="R80" s="5" t="inlineStr">
        <is>
          <t>2020</t>
        </is>
      </c>
      <c r="S80" s="5" t="inlineStr">
        <is>
          <t>2021</t>
        </is>
      </c>
      <c r="T80" s="5" t="inlineStr">
        <is>
          <t>2022</t>
        </is>
      </c>
      <c r="U80" s="5" t="inlineStr">
        <is>
          <t>2023</t>
        </is>
      </c>
      <c r="V80" s="5" t="inlineStr">
        <is>
          <t>2024</t>
        </is>
      </c>
      <c r="W80" s="5" t="inlineStr">
        <is>
          <t>2025</t>
        </is>
      </c>
      <c r="X80" s="5" t="inlineStr">
        <is>
          <t>2026</t>
        </is>
      </c>
      <c r="Y80" s="5" t="inlineStr">
        <is>
          <t>2027(MW)</t>
        </is>
      </c>
      <c r="Z80" s="5" t="inlineStr">
        <is>
          <t>2028(MW)</t>
        </is>
      </c>
      <c r="AA80" s="5" t="inlineStr">
        <is>
          <t>2029(MW)</t>
        </is>
      </c>
      <c r="AB80" s="5" t="inlineStr">
        <is>
          <t>2030(MW)</t>
        </is>
      </c>
      <c r="AC80" s="5" t="inlineStr">
        <is>
          <t>2031(MW)</t>
        </is>
      </c>
    </row>
    <row r="81">
      <c r="A81" s="9" t="inlineStr">
        <is>
          <t>매출액</t>
        </is>
      </c>
      <c r="C81" s="12" t="n">
        <v>2543.098</v>
      </c>
      <c r="D81" s="12" t="n">
        <v>2586.882</v>
      </c>
      <c r="E81" s="12" t="n">
        <v>2561.588</v>
      </c>
      <c r="F81" s="12" t="n">
        <v>2843.521</v>
      </c>
      <c r="G81" s="12" t="n">
        <v>2895.06</v>
      </c>
      <c r="H81" s="12" t="n">
        <v>2913.672</v>
      </c>
      <c r="I81" s="12" t="n">
        <v>2916.737</v>
      </c>
      <c r="J81" s="12" t="n">
        <v>2844.585</v>
      </c>
      <c r="K81" s="12" t="n">
        <v>4429.028</v>
      </c>
      <c r="L81" s="12" t="n">
        <v>8551.204</v>
      </c>
      <c r="M81" s="12" t="n">
        <v>12034.829</v>
      </c>
      <c r="N81" s="12" t="n">
        <v>12823.074</v>
      </c>
      <c r="T81" s="12" t="n">
        <v>2129.55</v>
      </c>
      <c r="U81" s="12" t="n">
        <v>2220.425</v>
      </c>
      <c r="V81" s="12" t="n">
        <v>2561.588</v>
      </c>
      <c r="W81" s="12" t="n">
        <v>2916.737</v>
      </c>
      <c r="X81" s="12" t="n">
        <v>12034.829</v>
      </c>
    </row>
    <row r="82">
      <c r="A82" s="43" t="inlineStr">
        <is>
          <t>YoY</t>
        </is>
      </c>
      <c r="B82" s="3" t="inlineStr">
        <is>
          <t>전년 같은 분기·전년 대비</t>
        </is>
      </c>
      <c r="G82" s="15">
        <f>IF(OR(G81="",C81=""),"",IF(C81&lt;=0,"",IFERROR(G81/C81-1,"")))</f>
        <v/>
      </c>
      <c r="H82" s="15">
        <f>IF(OR(H81="",D81=""),"",IF(D81&lt;=0,"",IFERROR(H81/D81-1,"")))</f>
        <v/>
      </c>
      <c r="I82" s="15">
        <f>IF(OR(I81="",E81=""),"",IF(E81&lt;=0,"",IFERROR(I81/E81-1,"")))</f>
        <v/>
      </c>
      <c r="J82" s="15">
        <f>IF(OR(J81="",F81=""),"",IF(F81&lt;=0,"",IFERROR(J81/F81-1,"")))</f>
        <v/>
      </c>
      <c r="K82" s="15">
        <f>IF(OR(K81="",G81=""),"",IF(G81&lt;=0,"",IFERROR(K81/G81-1,"")))</f>
        <v/>
      </c>
      <c r="L82" s="15">
        <f>IF(OR(L81="",H81=""),"",IF(H81&lt;=0,"",IFERROR(L81/H81-1,"")))</f>
        <v/>
      </c>
      <c r="M82" s="15">
        <f>IF(OR(M81="",I81=""),"",IF(I81&lt;=0,"",IFERROR(M81/I81-1,"")))</f>
        <v/>
      </c>
      <c r="N82" s="15">
        <f>IF(OR(N81="",J81=""),"",IF(J81&lt;=0,"",IFERROR(N81/J81-1,"")))</f>
        <v/>
      </c>
      <c r="T82" s="15">
        <f>IF(OR(T81="",S81=""),"",IF(S81&lt;=0,"",IFERROR(T81/S81-1,"")))</f>
        <v/>
      </c>
      <c r="U82" s="15">
        <f>IF(OR(U81="",T81=""),"",IF(T81&lt;=0,"",IFERROR(U81/T81-1,"")))</f>
        <v/>
      </c>
      <c r="V82" s="15">
        <f>IF(OR(V81="",U81=""),"",IF(U81&lt;=0,"",IFERROR(V81/U81-1,"")))</f>
        <v/>
      </c>
      <c r="W82" s="15">
        <f>IF(OR(W81="",V81=""),"",IF(V81&lt;=0,"",IFERROR(W81/V81-1,"")))</f>
        <v/>
      </c>
      <c r="X82" s="15">
        <f>IF(OR(X81="",W81=""),"",IF(W81&lt;=0,"",IFERROR(X81/W81-1,"")))</f>
        <v/>
      </c>
    </row>
    <row r="83">
      <c r="A83" s="18" t="inlineStr">
        <is>
          <t>매출원가</t>
        </is>
      </c>
      <c r="C83" s="20" t="n">
        <v>1235.236</v>
      </c>
      <c r="D83" s="20" t="n">
        <v>1256.681</v>
      </c>
      <c r="E83" s="20" t="n">
        <v>1275.094</v>
      </c>
      <c r="F83" s="20" t="n">
        <v>1380.277</v>
      </c>
      <c r="G83" s="20" t="n">
        <v>1429.1</v>
      </c>
      <c r="H83" s="20" t="n">
        <v>1471.078</v>
      </c>
      <c r="I83" s="20" t="n">
        <v>1590.538</v>
      </c>
      <c r="J83" s="20" t="n">
        <v>1421.832</v>
      </c>
      <c r="K83" s="20" t="n">
        <v>2442.735</v>
      </c>
      <c r="L83" s="20" t="n">
        <v>5346.505</v>
      </c>
      <c r="M83" s="20" t="n">
        <v>7024.44</v>
      </c>
      <c r="N83" s="20" t="n">
        <v>7602.585</v>
      </c>
      <c r="T83" s="20" t="n">
        <v>904.155</v>
      </c>
      <c r="U83" s="20" t="n">
        <v>1166.928</v>
      </c>
      <c r="V83" s="20" t="n">
        <v>1275.094</v>
      </c>
      <c r="W83" s="20" t="n">
        <v>1590.538</v>
      </c>
      <c r="X83" s="20" t="n">
        <v>7024.44</v>
      </c>
    </row>
    <row r="84">
      <c r="A84" s="9" t="inlineStr">
        <is>
          <t>매출총이익</t>
        </is>
      </c>
      <c r="C84" s="12" t="n">
        <v>1307.862</v>
      </c>
      <c r="D84" s="12" t="n">
        <v>1330.201</v>
      </c>
      <c r="E84" s="12" t="n">
        <v>1286.493</v>
      </c>
      <c r="F84" s="12" t="n">
        <v>1463.243</v>
      </c>
      <c r="G84" s="12" t="n">
        <v>1465.961</v>
      </c>
      <c r="H84" s="12" t="n">
        <v>1442.593</v>
      </c>
      <c r="I84" s="12" t="n">
        <v>1326.2</v>
      </c>
      <c r="J84" s="12" t="n">
        <v>1422.753</v>
      </c>
      <c r="K84" s="12" t="n">
        <v>1986.293</v>
      </c>
      <c r="L84" s="12" t="n">
        <v>3204.698</v>
      </c>
      <c r="M84" s="12" t="n">
        <v>5010.389</v>
      </c>
      <c r="N84" s="12" t="n">
        <v>5220.489</v>
      </c>
      <c r="T84" s="12" t="n">
        <v>1225.395</v>
      </c>
      <c r="U84" s="12" t="n">
        <v>1053.498</v>
      </c>
      <c r="V84" s="12" t="n">
        <v>1286.493</v>
      </c>
      <c r="W84" s="12" t="n">
        <v>1326.2</v>
      </c>
      <c r="X84" s="12" t="n">
        <v>5010.389</v>
      </c>
    </row>
    <row r="85">
      <c r="A85" s="43" t="inlineStr">
        <is>
          <t>YoY</t>
        </is>
      </c>
      <c r="B85" s="3" t="inlineStr">
        <is>
          <t>전년 같은 분기·전년 대비</t>
        </is>
      </c>
      <c r="G85" s="15">
        <f>IF(OR(G84="",C84=""),"",IF(C84&lt;=0,"",IFERROR(G84/C84-1,"")))</f>
        <v/>
      </c>
      <c r="H85" s="15">
        <f>IF(OR(H84="",D84=""),"",IF(D84&lt;=0,"",IFERROR(H84/D84-1,"")))</f>
        <v/>
      </c>
      <c r="I85" s="15">
        <f>IF(OR(I84="",E84=""),"",IF(E84&lt;=0,"",IFERROR(I84/E84-1,"")))</f>
        <v/>
      </c>
      <c r="J85" s="15">
        <f>IF(OR(J84="",F84=""),"",IF(F84&lt;=0,"",IFERROR(J84/F84-1,"")))</f>
        <v/>
      </c>
      <c r="K85" s="15">
        <f>IF(OR(K84="",G84=""),"",IF(G84&lt;=0,"",IFERROR(K84/G84-1,"")))</f>
        <v/>
      </c>
      <c r="L85" s="15">
        <f>IF(OR(L84="",H84=""),"",IF(H84&lt;=0,"",IFERROR(L84/H84-1,"")))</f>
        <v/>
      </c>
      <c r="M85" s="15">
        <f>IF(OR(M84="",I84=""),"",IF(I84&lt;=0,"",IFERROR(M84/I84-1,"")))</f>
        <v/>
      </c>
      <c r="N85" s="15">
        <f>IF(OR(N84="",J84=""),"",IF(J84&lt;=0,"",IFERROR(N84/J84-1,"")))</f>
        <v/>
      </c>
      <c r="T85" s="15">
        <f>IF(OR(T84="",S84=""),"",IF(S84&lt;=0,"",IFERROR(T84/S84-1,"")))</f>
        <v/>
      </c>
      <c r="U85" s="15">
        <f>IF(OR(U84="",T84=""),"",IF(T84&lt;=0,"",IFERROR(U84/T84-1,"")))</f>
        <v/>
      </c>
      <c r="V85" s="15">
        <f>IF(OR(V84="",U84=""),"",IF(U84&lt;=0,"",IFERROR(V84/U84-1,"")))</f>
        <v/>
      </c>
      <c r="W85" s="15">
        <f>IF(OR(W84="",V84=""),"",IF(V84&lt;=0,"",IFERROR(W84/V84-1,"")))</f>
        <v/>
      </c>
      <c r="X85" s="15">
        <f>IF(OR(X84="",W84=""),"",IF(W84&lt;=0,"",IFERROR(X84/W84-1,"")))</f>
        <v/>
      </c>
    </row>
    <row r="86">
      <c r="A86" s="18" t="inlineStr">
        <is>
          <t>판매비와 관리비</t>
        </is>
      </c>
      <c r="C86" s="20" t="n">
        <v>721.679</v>
      </c>
      <c r="D86" s="20" t="n">
        <v>787.422</v>
      </c>
      <c r="E86" s="20" t="n">
        <v>845.672</v>
      </c>
      <c r="F86" s="20" t="n">
        <v>862.037</v>
      </c>
      <c r="G86" s="20" t="n">
        <v>848.588</v>
      </c>
      <c r="H86" s="20" t="n">
        <v>852.228</v>
      </c>
      <c r="I86" s="20" t="n">
        <v>865.869</v>
      </c>
      <c r="J86" s="20" t="n">
        <v>909.65</v>
      </c>
      <c r="K86" s="20" t="n">
        <v>1082.95</v>
      </c>
      <c r="L86" s="20" t="n">
        <v>1782.99</v>
      </c>
      <c r="M86" s="20" t="n">
        <v>2693.962</v>
      </c>
      <c r="N86" s="20" t="n">
        <v>2557.185</v>
      </c>
      <c r="T86" s="20" t="n">
        <v>609.26</v>
      </c>
      <c r="U86" s="20" t="n">
        <v>739.489</v>
      </c>
      <c r="V86" s="20" t="n">
        <v>845.672</v>
      </c>
      <c r="W86" s="20" t="n">
        <v>865.869</v>
      </c>
      <c r="X86" s="20" t="n">
        <v>2693.962</v>
      </c>
    </row>
    <row r="87">
      <c r="A87" s="9" t="inlineStr">
        <is>
          <t>영업이익</t>
        </is>
      </c>
      <c r="C87" s="12" t="n">
        <v>586.183</v>
      </c>
      <c r="D87" s="12" t="n">
        <v>542.779</v>
      </c>
      <c r="E87" s="12" t="n">
        <v>440.822</v>
      </c>
      <c r="F87" s="12" t="n">
        <v>601.206</v>
      </c>
      <c r="G87" s="12" t="n">
        <v>617.372</v>
      </c>
      <c r="H87" s="12" t="n">
        <v>590.366</v>
      </c>
      <c r="I87" s="12" t="n">
        <v>460.33</v>
      </c>
      <c r="J87" s="12" t="n">
        <v>513.102</v>
      </c>
      <c r="K87" s="12" t="n">
        <v>903.343</v>
      </c>
      <c r="L87" s="12" t="n">
        <v>1421.708</v>
      </c>
      <c r="M87" s="12" t="n">
        <v>2316.428</v>
      </c>
      <c r="N87" s="12" t="n">
        <v>2663.303</v>
      </c>
      <c r="T87" s="12" t="n">
        <v>616.136</v>
      </c>
      <c r="U87" s="12" t="n">
        <v>314.01</v>
      </c>
      <c r="V87" s="12" t="n">
        <v>440.822</v>
      </c>
      <c r="W87" s="12" t="n">
        <v>460.33</v>
      </c>
      <c r="X87" s="12" t="n">
        <v>2316.428</v>
      </c>
    </row>
    <row r="88">
      <c r="A88" s="43" t="inlineStr">
        <is>
          <t>OPM</t>
        </is>
      </c>
      <c r="B88" s="3" t="inlineStr">
        <is>
          <t>영업이익 ÷ 매출</t>
        </is>
      </c>
      <c r="C88" s="15">
        <f>IF(OR(C87="",C81=""),"",IF(C81&lt;=0,"",IFERROR(C87/C81,"")))</f>
        <v/>
      </c>
      <c r="D88" s="15">
        <f>IF(OR(D87="",D81=""),"",IF(D81&lt;=0,"",IFERROR(D87/D81,"")))</f>
        <v/>
      </c>
      <c r="E88" s="15">
        <f>IF(OR(E87="",E81=""),"",IF(E81&lt;=0,"",IFERROR(E87/E81,"")))</f>
        <v/>
      </c>
      <c r="F88" s="15">
        <f>IF(OR(F87="",F81=""),"",IF(F81&lt;=0,"",IFERROR(F87/F81,"")))</f>
        <v/>
      </c>
      <c r="G88" s="15">
        <f>IF(OR(G87="",G81=""),"",IF(G81&lt;=0,"",IFERROR(G87/G81,"")))</f>
        <v/>
      </c>
      <c r="H88" s="15">
        <f>IF(OR(H87="",H81=""),"",IF(H81&lt;=0,"",IFERROR(H87/H81,"")))</f>
        <v/>
      </c>
      <c r="I88" s="15">
        <f>IF(OR(I87="",I81=""),"",IF(I81&lt;=0,"",IFERROR(I87/I81,"")))</f>
        <v/>
      </c>
      <c r="J88" s="15">
        <f>IF(OR(J87="",J81=""),"",IF(J81&lt;=0,"",IFERROR(J87/J81,"")))</f>
        <v/>
      </c>
      <c r="K88" s="15">
        <f>IF(OR(K87="",K81=""),"",IF(K81&lt;=0,"",IFERROR(K87/K81,"")))</f>
        <v/>
      </c>
      <c r="L88" s="15">
        <f>IF(OR(L87="",L81=""),"",IF(L81&lt;=0,"",IFERROR(L87/L81,"")))</f>
        <v/>
      </c>
      <c r="M88" s="15">
        <f>IF(OR(M87="",M81=""),"",IF(M81&lt;=0,"",IFERROR(M87/M81,"")))</f>
        <v/>
      </c>
      <c r="N88" s="15">
        <f>IF(OR(N87="",N81=""),"",IF(N81&lt;=0,"",IFERROR(N87/N81,"")))</f>
        <v/>
      </c>
      <c r="T88" s="15">
        <f>IF(OR(T87="",T81=""),"",IF(T81&lt;=0,"",IFERROR(T87/T81,"")))</f>
        <v/>
      </c>
      <c r="U88" s="15">
        <f>IF(OR(U87="",U81=""),"",IF(U81&lt;=0,"",IFERROR(U87/U81,"")))</f>
        <v/>
      </c>
      <c r="V88" s="15">
        <f>IF(OR(V87="",V81=""),"",IF(V81&lt;=0,"",IFERROR(V87/V81,"")))</f>
        <v/>
      </c>
      <c r="W88" s="15">
        <f>IF(OR(W87="",W81=""),"",IF(W81&lt;=0,"",IFERROR(W87/W81,"")))</f>
        <v/>
      </c>
      <c r="X88" s="15">
        <f>IF(OR(X87="",X81=""),"",IF(X81&lt;=0,"",IFERROR(X87/X81,"")))</f>
        <v/>
      </c>
    </row>
    <row r="89">
      <c r="A89" s="43" t="inlineStr">
        <is>
          <t>YoY</t>
        </is>
      </c>
      <c r="B89" s="3" t="inlineStr">
        <is>
          <t>전년 같은 분기·전년 대비</t>
        </is>
      </c>
      <c r="G89" s="15">
        <f>IF(OR(G87="",C87=""),"",IF(C87&lt;=0,"",IFERROR(G87/C87-1,"")))</f>
        <v/>
      </c>
      <c r="H89" s="15">
        <f>IF(OR(H87="",D87=""),"",IF(D87&lt;=0,"",IFERROR(H87/D87-1,"")))</f>
        <v/>
      </c>
      <c r="I89" s="15">
        <f>IF(OR(I87="",E87=""),"",IF(E87&lt;=0,"",IFERROR(I87/E87-1,"")))</f>
        <v/>
      </c>
      <c r="J89" s="15">
        <f>IF(OR(J87="",F87=""),"",IF(F87&lt;=0,"",IFERROR(J87/F87-1,"")))</f>
        <v/>
      </c>
      <c r="K89" s="15">
        <f>IF(OR(K87="",G87=""),"",IF(G87&lt;=0,"",IFERROR(K87/G87-1,"")))</f>
        <v/>
      </c>
      <c r="L89" s="15">
        <f>IF(OR(L87="",H87=""),"",IF(H87&lt;=0,"",IFERROR(L87/H87-1,"")))</f>
        <v/>
      </c>
      <c r="M89" s="15">
        <f>IF(OR(M87="",I87=""),"",IF(I87&lt;=0,"",IFERROR(M87/I87-1,"")))</f>
        <v/>
      </c>
      <c r="N89" s="15">
        <f>IF(OR(N87="",J87=""),"",IF(J87&lt;=0,"",IFERROR(N87/J87-1,"")))</f>
        <v/>
      </c>
      <c r="T89" s="15">
        <f>IF(OR(T87="",S87=""),"",IF(S87&lt;=0,"",IFERROR(T87/S87-1,"")))</f>
        <v/>
      </c>
      <c r="U89" s="15">
        <f>IF(OR(U87="",T87=""),"",IF(T87&lt;=0,"",IFERROR(U87/T87-1,"")))</f>
        <v/>
      </c>
      <c r="V89" s="15">
        <f>IF(OR(V87="",U87=""),"",IF(U87&lt;=0,"",IFERROR(V87/U87-1,"")))</f>
        <v/>
      </c>
      <c r="W89" s="15">
        <f>IF(OR(W87="",V87=""),"",IF(V87&lt;=0,"",IFERROR(W87/V87-1,"")))</f>
        <v/>
      </c>
      <c r="X89" s="15">
        <f>IF(OR(X87="",W87=""),"",IF(W87&lt;=0,"",IFERROR(X87/W87-1,"")))</f>
        <v/>
      </c>
    </row>
    <row r="90">
      <c r="A90" s="18" t="inlineStr">
        <is>
          <t>이자수익</t>
        </is>
      </c>
      <c r="C90" s="20" t="n">
        <v>6.764</v>
      </c>
      <c r="D90" s="20" t="n">
        <v>52.432</v>
      </c>
      <c r="E90" s="20" t="n">
        <v>17.459</v>
      </c>
      <c r="F90" s="20" t="n">
        <v>21.478</v>
      </c>
      <c r="G90" s="20" t="n">
        <v>47.984</v>
      </c>
      <c r="H90" s="20" t="n">
        <v>28.54</v>
      </c>
      <c r="I90" s="20" t="n">
        <v>23.134</v>
      </c>
      <c r="J90" s="20" t="n">
        <v>43.857</v>
      </c>
      <c r="K90" s="20" t="n">
        <v>30.956</v>
      </c>
      <c r="L90" s="20" t="n">
        <v>22.614</v>
      </c>
      <c r="M90" s="20" t="n">
        <v>37.912</v>
      </c>
      <c r="N90" s="20" t="n">
        <v>30.962</v>
      </c>
      <c r="T90" s="20" t="n">
        <v>39.865</v>
      </c>
      <c r="U90" s="20" t="n">
        <v>27.514</v>
      </c>
      <c r="V90" s="20" t="n">
        <v>17.459</v>
      </c>
      <c r="W90" s="20" t="n">
        <v>23.134</v>
      </c>
      <c r="X90" s="20" t="n">
        <v>37.912</v>
      </c>
    </row>
    <row r="91">
      <c r="A91" s="18" t="inlineStr">
        <is>
          <t>배당금수익</t>
        </is>
      </c>
      <c r="C91" s="20" t="n">
        <v>0</v>
      </c>
      <c r="D91" s="20" t="n">
        <v>50.17</v>
      </c>
      <c r="E91" s="20" t="n">
        <v>31.214</v>
      </c>
      <c r="F91" s="20" t="n">
        <v>63.018</v>
      </c>
      <c r="G91" s="20" t="n">
        <v>25</v>
      </c>
      <c r="H91" s="20" t="n">
        <v>20.17</v>
      </c>
      <c r="I91" s="20" t="n">
        <v>15</v>
      </c>
      <c r="J91" s="20" t="n">
        <v>23.516</v>
      </c>
      <c r="K91" s="20" t="n">
        <v>18.123</v>
      </c>
      <c r="L91" s="20" t="n">
        <v>0.19</v>
      </c>
      <c r="M91" s="20" t="n">
        <v>31.864</v>
      </c>
      <c r="N91" s="20" t="n">
        <v>1.907</v>
      </c>
      <c r="T91" s="20" t="n">
        <v>2.784</v>
      </c>
      <c r="U91" s="20" t="n">
        <v>299.698</v>
      </c>
      <c r="V91" s="20" t="n">
        <v>31.214</v>
      </c>
      <c r="W91" s="20" t="n">
        <v>15</v>
      </c>
      <c r="X91" s="20" t="n">
        <v>31.864</v>
      </c>
    </row>
    <row r="92">
      <c r="A92" s="18" t="inlineStr">
        <is>
          <t>투자유가증권 매각이익</t>
        </is>
      </c>
      <c r="C92" s="20" t="n">
        <v>93.34999999999999</v>
      </c>
      <c r="D92" s="20" t="n">
        <v>0</v>
      </c>
      <c r="E92" s="20" t="n">
        <v>0</v>
      </c>
      <c r="F92" s="20" t="n">
        <v>49.1</v>
      </c>
      <c r="G92" s="20" t="n">
        <v>0</v>
      </c>
      <c r="H92" s="20" t="n">
        <v>0</v>
      </c>
      <c r="I92" s="20" t="n">
        <v>0</v>
      </c>
      <c r="J92" s="20" t="n">
        <v>0</v>
      </c>
      <c r="K92" s="20" t="n">
        <v>0.124</v>
      </c>
      <c r="L92" s="20" t="n">
        <v>0</v>
      </c>
      <c r="M92" s="20" t="n">
        <v>0.232</v>
      </c>
      <c r="T92" s="20" t="n">
        <v>0</v>
      </c>
      <c r="U92" s="20" t="n">
        <v>0</v>
      </c>
      <c r="V92" s="20" t="n">
        <v>0</v>
      </c>
      <c r="W92" s="20" t="n">
        <v>0</v>
      </c>
      <c r="X92" s="20" t="n">
        <v>0.232</v>
      </c>
    </row>
    <row r="93">
      <c r="A93" s="18" t="inlineStr">
        <is>
          <t>외환차익</t>
        </is>
      </c>
      <c r="J93" s="20" t="n">
        <v>0</v>
      </c>
      <c r="N93" s="20" t="n">
        <v>1.238</v>
      </c>
    </row>
    <row r="94">
      <c r="A94" s="18" t="inlineStr">
        <is>
          <t>암호자산 매각이익</t>
        </is>
      </c>
      <c r="F94" s="20" t="n">
        <v>0</v>
      </c>
      <c r="G94" s="20" t="n">
        <v>0</v>
      </c>
      <c r="H94" s="20" t="n">
        <v>0</v>
      </c>
      <c r="I94" s="20" t="n">
        <v>0</v>
      </c>
      <c r="J94" s="20" t="n">
        <v>213.501</v>
      </c>
      <c r="K94" s="20" t="n">
        <v>12</v>
      </c>
      <c r="L94" s="20" t="n">
        <v>0</v>
      </c>
      <c r="M94" s="20" t="n">
        <v>0</v>
      </c>
      <c r="N94" s="20" t="n">
        <v>0</v>
      </c>
      <c r="W94" s="20" t="n">
        <v>0</v>
      </c>
      <c r="X94" s="20" t="n">
        <v>0</v>
      </c>
    </row>
    <row r="95">
      <c r="A95" s="18" t="inlineStr">
        <is>
          <t>기타</t>
        </is>
      </c>
      <c r="C95" s="20" t="n">
        <v>0.771</v>
      </c>
      <c r="D95" s="20" t="n">
        <v>0.577</v>
      </c>
      <c r="E95" s="20" t="n">
        <v>14.24</v>
      </c>
      <c r="F95" s="20" t="n">
        <v>1.445</v>
      </c>
      <c r="G95" s="20" t="n">
        <v>0.898</v>
      </c>
      <c r="H95" s="20" t="n">
        <v>0.833</v>
      </c>
      <c r="I95" s="20" t="n">
        <v>1.286</v>
      </c>
      <c r="J95" s="20" t="n">
        <v>0.837</v>
      </c>
      <c r="K95" s="20" t="n">
        <v>0.975</v>
      </c>
      <c r="L95" s="20" t="n">
        <v>2.883</v>
      </c>
      <c r="M95" s="20" t="n">
        <v>4.674</v>
      </c>
      <c r="N95" s="20" t="n">
        <v>4.39</v>
      </c>
      <c r="T95" s="20" t="n">
        <v>-0.161</v>
      </c>
      <c r="U95" s="20" t="n">
        <v>18.966</v>
      </c>
      <c r="V95" s="20" t="n">
        <v>14.24</v>
      </c>
      <c r="W95" s="20" t="n">
        <v>1.286</v>
      </c>
      <c r="X95" s="20" t="n">
        <v>4.674</v>
      </c>
    </row>
    <row r="96">
      <c r="A96" s="18" t="inlineStr">
        <is>
          <t>영업외수익 합계</t>
        </is>
      </c>
      <c r="C96" s="20" t="n">
        <v>100.885</v>
      </c>
      <c r="D96" s="20" t="n">
        <v>103.179</v>
      </c>
      <c r="E96" s="20" t="n">
        <v>62.914</v>
      </c>
      <c r="F96" s="20" t="n">
        <v>135.041</v>
      </c>
      <c r="G96" s="20" t="n">
        <v>73.883</v>
      </c>
      <c r="H96" s="20" t="n">
        <v>49.543</v>
      </c>
      <c r="I96" s="20" t="n">
        <v>39.421</v>
      </c>
      <c r="J96" s="20" t="n">
        <v>281.712</v>
      </c>
      <c r="K96" s="20" t="n">
        <v>62.178</v>
      </c>
      <c r="L96" s="20" t="n">
        <v>25.688</v>
      </c>
      <c r="M96" s="20" t="n">
        <v>74.682</v>
      </c>
      <c r="N96" s="20" t="n">
        <v>38.499</v>
      </c>
      <c r="T96" s="20" t="n">
        <v>42.49</v>
      </c>
      <c r="U96" s="20" t="n">
        <v>346.177</v>
      </c>
      <c r="V96" s="20" t="n">
        <v>62.914</v>
      </c>
      <c r="W96" s="20" t="n">
        <v>39.421</v>
      </c>
      <c r="X96" s="20" t="n">
        <v>74.682</v>
      </c>
    </row>
    <row r="97">
      <c r="A97" s="18" t="inlineStr">
        <is>
          <t>외환차손</t>
        </is>
      </c>
      <c r="C97" s="20" t="n">
        <v>0.049</v>
      </c>
      <c r="D97" s="20" t="n">
        <v>0.101</v>
      </c>
      <c r="E97" s="20" t="n">
        <v>0.492</v>
      </c>
      <c r="F97" s="20" t="n">
        <v>0.239</v>
      </c>
      <c r="G97" s="20" t="n">
        <v>1.452</v>
      </c>
      <c r="H97" s="20" t="n">
        <v>-0.364</v>
      </c>
      <c r="I97" s="20" t="n">
        <v>-1.327</v>
      </c>
      <c r="J97" s="20" t="n">
        <v>0.839</v>
      </c>
      <c r="K97" s="20" t="n">
        <v>-0.338</v>
      </c>
      <c r="L97" s="20" t="n">
        <v>2.463</v>
      </c>
      <c r="M97" s="20" t="n">
        <v>-2.424</v>
      </c>
      <c r="N97" s="20" t="n">
        <v>0</v>
      </c>
      <c r="T97" s="20" t="n">
        <v>0.136</v>
      </c>
      <c r="U97" s="20" t="n">
        <v>-0.146</v>
      </c>
      <c r="V97" s="20" t="n">
        <v>0.492</v>
      </c>
      <c r="W97" s="20" t="n">
        <v>-1.327</v>
      </c>
      <c r="X97" s="20" t="n">
        <v>-2.424</v>
      </c>
    </row>
    <row r="98">
      <c r="A98" s="18" t="inlineStr">
        <is>
          <t>주식교부비 상각</t>
        </is>
      </c>
      <c r="C98" s="20" t="n">
        <v>2.666</v>
      </c>
      <c r="D98" s="20" t="n">
        <v>1.925</v>
      </c>
      <c r="F98" s="20" t="n">
        <v>0.441</v>
      </c>
      <c r="G98" s="20" t="n">
        <v>0.441</v>
      </c>
      <c r="H98" s="20" t="n">
        <v>0.441</v>
      </c>
      <c r="I98" s="20" t="n">
        <v>0.061</v>
      </c>
      <c r="J98" s="20" t="n">
        <v>0.061</v>
      </c>
      <c r="K98" s="20" t="n">
        <v>0.143</v>
      </c>
      <c r="L98" s="20" t="n">
        <v>0.423</v>
      </c>
      <c r="M98" s="20" t="n">
        <v>0.735</v>
      </c>
      <c r="N98" s="20" t="n">
        <v>0.653</v>
      </c>
      <c r="W98" s="20" t="n">
        <v>0.061</v>
      </c>
      <c r="X98" s="20" t="n">
        <v>0.735</v>
      </c>
    </row>
    <row r="99">
      <c r="A99" s="18" t="inlineStr">
        <is>
          <t>기타</t>
        </is>
      </c>
      <c r="C99" s="20" t="n">
        <v>-0.11</v>
      </c>
      <c r="D99" s="20" t="n">
        <v>0.001</v>
      </c>
      <c r="E99" s="20" t="n">
        <v>0.006</v>
      </c>
      <c r="F99" s="20" t="n">
        <v>0</v>
      </c>
      <c r="G99" s="20" t="n">
        <v>0</v>
      </c>
      <c r="H99" s="20" t="n">
        <v>0.283</v>
      </c>
      <c r="I99" s="20" t="n">
        <v>0</v>
      </c>
      <c r="J99" s="20" t="n">
        <v>0</v>
      </c>
      <c r="K99" s="20" t="n">
        <v>1.834</v>
      </c>
      <c r="L99" s="20" t="n">
        <v>0.093</v>
      </c>
      <c r="M99" s="20" t="n">
        <v>5.193</v>
      </c>
      <c r="N99" s="20" t="n">
        <v>0.14</v>
      </c>
      <c r="T99" s="20" t="n">
        <v>1.527</v>
      </c>
      <c r="U99" s="20" t="n">
        <v>-1.343</v>
      </c>
      <c r="V99" s="20" t="n">
        <v>0.006</v>
      </c>
      <c r="W99" s="20" t="n">
        <v>0</v>
      </c>
      <c r="X99" s="20" t="n">
        <v>5.193</v>
      </c>
    </row>
    <row r="100">
      <c r="A100" s="18" t="inlineStr">
        <is>
          <t>영업외비용 합계</t>
        </is>
      </c>
      <c r="C100" s="20" t="n">
        <v>2.606</v>
      </c>
      <c r="D100" s="20" t="n">
        <v>2.025</v>
      </c>
      <c r="E100" s="20" t="n">
        <v>0.9399999999999999</v>
      </c>
      <c r="F100" s="20" t="n">
        <v>0.68</v>
      </c>
      <c r="G100" s="20" t="n">
        <v>1.893</v>
      </c>
      <c r="H100" s="20" t="n">
        <v>0.361</v>
      </c>
      <c r="I100" s="20" t="n">
        <v>-1.266</v>
      </c>
      <c r="J100" s="20" t="n">
        <v>0.901</v>
      </c>
      <c r="K100" s="20" t="n">
        <v>1.64</v>
      </c>
      <c r="L100" s="20" t="n">
        <v>2.979</v>
      </c>
      <c r="M100" s="20" t="n">
        <v>3.503</v>
      </c>
      <c r="N100" s="20" t="n">
        <v>0.793</v>
      </c>
      <c r="T100" s="20" t="n">
        <v>4.268</v>
      </c>
      <c r="U100" s="20" t="n">
        <v>1.115</v>
      </c>
      <c r="V100" s="20" t="n">
        <v>0.9399999999999999</v>
      </c>
      <c r="W100" s="20" t="n">
        <v>-1.266</v>
      </c>
      <c r="X100" s="20" t="n">
        <v>3.503</v>
      </c>
    </row>
    <row r="101">
      <c r="A101" s="9" t="inlineStr">
        <is>
          <t>경상이익</t>
        </is>
      </c>
      <c r="C101" s="12" t="n">
        <v>684.463</v>
      </c>
      <c r="D101" s="12" t="n">
        <v>643.932</v>
      </c>
      <c r="E101" s="12" t="n">
        <v>502.795</v>
      </c>
      <c r="F101" s="12" t="n">
        <v>735.566</v>
      </c>
      <c r="G101" s="12" t="n">
        <v>689.3630000000001</v>
      </c>
      <c r="H101" s="12" t="n">
        <v>639.548</v>
      </c>
      <c r="I101" s="12" t="n">
        <v>501.017</v>
      </c>
      <c r="J101" s="12" t="n">
        <v>793.912</v>
      </c>
      <c r="K101" s="12" t="n">
        <v>963.8819999999999</v>
      </c>
      <c r="L101" s="12" t="n">
        <v>1444.417</v>
      </c>
      <c r="M101" s="12" t="n">
        <v>2387.607</v>
      </c>
      <c r="N101" s="12" t="n">
        <v>2701.009</v>
      </c>
      <c r="T101" s="12" t="n">
        <v>654.3579999999999</v>
      </c>
      <c r="U101" s="12" t="n">
        <v>659.0700000000001</v>
      </c>
      <c r="V101" s="12" t="n">
        <v>502.795</v>
      </c>
      <c r="W101" s="12" t="n">
        <v>501.017</v>
      </c>
      <c r="X101" s="12" t="n">
        <v>2387.607</v>
      </c>
    </row>
    <row r="102">
      <c r="A102" s="43" t="inlineStr">
        <is>
          <t>YoY</t>
        </is>
      </c>
      <c r="B102" s="3" t="inlineStr">
        <is>
          <t>전년 같은 분기·전년 대비</t>
        </is>
      </c>
      <c r="G102" s="15">
        <f>IF(OR(G101="",C101=""),"",IF(C101&lt;=0,"",IFERROR(G101/C101-1,"")))</f>
        <v/>
      </c>
      <c r="H102" s="15">
        <f>IF(OR(H101="",D101=""),"",IF(D101&lt;=0,"",IFERROR(H101/D101-1,"")))</f>
        <v/>
      </c>
      <c r="I102" s="15">
        <f>IF(OR(I101="",E101=""),"",IF(E101&lt;=0,"",IFERROR(I101/E101-1,"")))</f>
        <v/>
      </c>
      <c r="J102" s="15">
        <f>IF(OR(J101="",F101=""),"",IF(F101&lt;=0,"",IFERROR(J101/F101-1,"")))</f>
        <v/>
      </c>
      <c r="K102" s="15">
        <f>IF(OR(K101="",G101=""),"",IF(G101&lt;=0,"",IFERROR(K101/G101-1,"")))</f>
        <v/>
      </c>
      <c r="L102" s="15">
        <f>IF(OR(L101="",H101=""),"",IF(H101&lt;=0,"",IFERROR(L101/H101-1,"")))</f>
        <v/>
      </c>
      <c r="M102" s="15">
        <f>IF(OR(M101="",I101=""),"",IF(I101&lt;=0,"",IFERROR(M101/I101-1,"")))</f>
        <v/>
      </c>
      <c r="N102" s="15">
        <f>IF(OR(N101="",J101=""),"",IF(J101&lt;=0,"",IFERROR(N101/J101-1,"")))</f>
        <v/>
      </c>
      <c r="T102" s="15">
        <f>IF(OR(T101="",S101=""),"",IF(S101&lt;=0,"",IFERROR(T101/S101-1,"")))</f>
        <v/>
      </c>
      <c r="U102" s="15">
        <f>IF(OR(U101="",T101=""),"",IF(T101&lt;=0,"",IFERROR(U101/T101-1,"")))</f>
        <v/>
      </c>
      <c r="V102" s="15">
        <f>IF(OR(V101="",U101=""),"",IF(U101&lt;=0,"",IFERROR(V101/U101-1,"")))</f>
        <v/>
      </c>
      <c r="W102" s="15">
        <f>IF(OR(W101="",V101=""),"",IF(V101&lt;=0,"",IFERROR(W101/V101-1,"")))</f>
        <v/>
      </c>
      <c r="X102" s="15">
        <f>IF(OR(X101="",W101=""),"",IF(W101&lt;=0,"",IFERROR(X101/W101-1,"")))</f>
        <v/>
      </c>
    </row>
    <row r="103">
      <c r="A103" s="18" t="inlineStr">
        <is>
          <t>투자유가증권 상환이익</t>
        </is>
      </c>
      <c r="H103" s="20" t="n">
        <v>0</v>
      </c>
      <c r="I103" s="20" t="n">
        <v>0</v>
      </c>
      <c r="J103" s="20" t="n">
        <v>0</v>
      </c>
      <c r="K103" s="20" t="n">
        <v>12.845</v>
      </c>
      <c r="L103" s="20" t="n">
        <v>7.17</v>
      </c>
      <c r="M103" s="20" t="n">
        <v>0</v>
      </c>
      <c r="N103" s="20" t="n">
        <v>0.177</v>
      </c>
      <c r="W103" s="20" t="n">
        <v>0</v>
      </c>
      <c r="X103" s="20" t="n">
        <v>0</v>
      </c>
    </row>
    <row r="104">
      <c r="A104" s="18" t="inlineStr">
        <is>
          <t>특별이익 합계</t>
        </is>
      </c>
      <c r="H104" s="20" t="n">
        <v>0</v>
      </c>
      <c r="I104" s="20" t="n">
        <v>0</v>
      </c>
      <c r="J104" s="20" t="n">
        <v>0</v>
      </c>
      <c r="K104" s="20" t="n">
        <v>12.845</v>
      </c>
      <c r="L104" s="20" t="n">
        <v>7.17</v>
      </c>
      <c r="M104" s="20" t="n">
        <v>0</v>
      </c>
      <c r="N104" s="20" t="n">
        <v>0.177</v>
      </c>
      <c r="W104" s="20" t="n">
        <v>0</v>
      </c>
      <c r="X104" s="20" t="n">
        <v>0</v>
      </c>
    </row>
    <row r="105">
      <c r="A105" s="18" t="inlineStr">
        <is>
          <t>투자유가증권 평가손실</t>
        </is>
      </c>
      <c r="D105" s="20" t="n">
        <v>0</v>
      </c>
      <c r="E105" s="20" t="n">
        <v>0</v>
      </c>
      <c r="H105" s="20" t="n">
        <v>0</v>
      </c>
      <c r="I105" s="20" t="n">
        <v>0</v>
      </c>
      <c r="L105" s="20" t="n">
        <v>0</v>
      </c>
      <c r="M105" s="20" t="n">
        <v>13.999</v>
      </c>
      <c r="V105" s="20" t="n">
        <v>0</v>
      </c>
      <c r="W105" s="20" t="n">
        <v>0</v>
      </c>
      <c r="X105" s="20" t="n">
        <v>13.999</v>
      </c>
    </row>
    <row r="106">
      <c r="A106" s="18" t="inlineStr">
        <is>
          <t>사무소 이전비용</t>
        </is>
      </c>
      <c r="E106" s="20" t="n">
        <v>0</v>
      </c>
      <c r="T106" s="20" t="n">
        <v>0</v>
      </c>
      <c r="U106" s="20" t="n">
        <v>0.446</v>
      </c>
      <c r="V106" s="20" t="n">
        <v>0</v>
      </c>
    </row>
    <row r="107">
      <c r="A107" s="18" t="inlineStr">
        <is>
          <t>암호자산 평가손실</t>
        </is>
      </c>
      <c r="C107" s="20" t="n">
        <v>0</v>
      </c>
      <c r="D107" s="20" t="n">
        <v>0</v>
      </c>
    </row>
    <row r="108">
      <c r="A108" s="18" t="inlineStr">
        <is>
          <t>투자유가증권 매각손실</t>
        </is>
      </c>
      <c r="D108" s="20" t="n">
        <v>0</v>
      </c>
      <c r="E108" s="20" t="n">
        <v>0</v>
      </c>
      <c r="J108" s="20" t="n">
        <v>0</v>
      </c>
      <c r="N108" s="20" t="n">
        <v>0.003</v>
      </c>
      <c r="T108" s="20" t="n">
        <v>0</v>
      </c>
      <c r="U108" s="20" t="n">
        <v>1564.324</v>
      </c>
      <c r="V108" s="20" t="n">
        <v>0</v>
      </c>
    </row>
    <row r="109">
      <c r="A109" s="18" t="inlineStr">
        <is>
          <t>투자유가증권 상환손실</t>
        </is>
      </c>
      <c r="J109" s="20" t="n">
        <v>0</v>
      </c>
      <c r="N109" s="20" t="n">
        <v>0.588</v>
      </c>
    </row>
    <row r="110">
      <c r="A110" s="18" t="inlineStr">
        <is>
          <t>특별손실 합계</t>
        </is>
      </c>
      <c r="C110" s="20" t="n">
        <v>0</v>
      </c>
      <c r="D110" s="20" t="n">
        <v>0</v>
      </c>
      <c r="E110" s="20" t="n">
        <v>0</v>
      </c>
      <c r="H110" s="20" t="n">
        <v>0</v>
      </c>
      <c r="I110" s="20" t="n">
        <v>0</v>
      </c>
      <c r="J110" s="20" t="n">
        <v>0</v>
      </c>
      <c r="K110" s="20" t="n">
        <v>0</v>
      </c>
      <c r="L110" s="20" t="n">
        <v>0</v>
      </c>
      <c r="M110" s="20" t="n">
        <v>66.98399999999999</v>
      </c>
      <c r="N110" s="20" t="n">
        <v>0.591</v>
      </c>
      <c r="T110" s="20" t="n">
        <v>516.075</v>
      </c>
      <c r="U110" s="20" t="n">
        <v>2323.163</v>
      </c>
      <c r="V110" s="20" t="n">
        <v>0</v>
      </c>
      <c r="W110" s="20" t="n">
        <v>0</v>
      </c>
      <c r="X110" s="20" t="n">
        <v>66.98399999999999</v>
      </c>
    </row>
    <row r="111">
      <c r="A111" s="9" t="inlineStr">
        <is>
          <t>법인세차감전 순이익</t>
        </is>
      </c>
      <c r="C111" s="12" t="n">
        <v>684.463</v>
      </c>
      <c r="D111" s="12" t="n">
        <v>643.932</v>
      </c>
      <c r="E111" s="12" t="n">
        <v>502.795</v>
      </c>
      <c r="F111" s="12" t="n">
        <v>735.566</v>
      </c>
      <c r="G111" s="12" t="n">
        <v>688.841</v>
      </c>
      <c r="H111" s="12" t="n">
        <v>639.548</v>
      </c>
      <c r="I111" s="12" t="n">
        <v>501.016</v>
      </c>
      <c r="J111" s="12" t="n">
        <v>793.912</v>
      </c>
      <c r="K111" s="12" t="n">
        <v>976.728</v>
      </c>
      <c r="L111" s="12" t="n">
        <v>1451.586</v>
      </c>
      <c r="M111" s="12" t="n">
        <v>2320.623</v>
      </c>
      <c r="N111" s="12" t="n">
        <v>2700.594</v>
      </c>
      <c r="T111" s="12" t="n">
        <v>732.75</v>
      </c>
      <c r="U111" s="12" t="n">
        <v>6335.908</v>
      </c>
      <c r="V111" s="12" t="n">
        <v>502.795</v>
      </c>
      <c r="W111" s="12" t="n">
        <v>501.016</v>
      </c>
      <c r="X111" s="12" t="n">
        <v>2320.623</v>
      </c>
    </row>
    <row r="112">
      <c r="A112" s="18" t="inlineStr">
        <is>
          <t>법인세·주민세·사업세</t>
        </is>
      </c>
      <c r="C112" s="20" t="n">
        <v>26.728</v>
      </c>
      <c r="D112" s="20" t="n">
        <v>238.693</v>
      </c>
      <c r="E112" s="20" t="n">
        <v>159.259</v>
      </c>
      <c r="F112" s="20" t="n">
        <v>244.057</v>
      </c>
      <c r="G112" s="20" t="n">
        <v>238.003</v>
      </c>
      <c r="H112" s="20" t="n">
        <v>226.279</v>
      </c>
      <c r="I112" s="20" t="n">
        <v>160.704</v>
      </c>
      <c r="J112" s="20" t="n">
        <v>276.194</v>
      </c>
      <c r="K112" s="20" t="n">
        <v>358.773</v>
      </c>
      <c r="L112" s="20" t="n">
        <v>462.579</v>
      </c>
      <c r="M112" s="20" t="n">
        <v>896.665</v>
      </c>
      <c r="N112" s="20" t="n">
        <v>800.5839999999999</v>
      </c>
      <c r="T112" s="20" t="n">
        <v>381.671</v>
      </c>
      <c r="U112" s="20" t="n">
        <v>2398.347</v>
      </c>
      <c r="V112" s="20" t="n">
        <v>159.259</v>
      </c>
      <c r="W112" s="20" t="n">
        <v>160.704</v>
      </c>
      <c r="X112" s="20" t="n">
        <v>896.665</v>
      </c>
    </row>
    <row r="113">
      <c r="A113" s="18" t="inlineStr">
        <is>
          <t>법인세 조정액</t>
        </is>
      </c>
      <c r="C113" s="20" t="n">
        <v>226.68</v>
      </c>
      <c r="D113" s="20" t="n">
        <v>-1.261</v>
      </c>
      <c r="E113" s="20" t="n">
        <v>9.786</v>
      </c>
      <c r="F113" s="20" t="n">
        <v>9.101000000000001</v>
      </c>
      <c r="G113" s="20" t="n">
        <v>20.549</v>
      </c>
      <c r="H113" s="20" t="n">
        <v>5.968</v>
      </c>
      <c r="I113" s="20" t="n">
        <v>-10.015</v>
      </c>
      <c r="J113" s="20" t="n">
        <v>9.708</v>
      </c>
      <c r="K113" s="20" t="n">
        <v>-2.853</v>
      </c>
      <c r="L113" s="20" t="n">
        <v>60.514</v>
      </c>
      <c r="M113" s="20" t="n">
        <v>-193.241</v>
      </c>
      <c r="N113" s="20" t="n">
        <v>167.183</v>
      </c>
      <c r="T113" s="20" t="n">
        <v>-123.348</v>
      </c>
      <c r="U113" s="20" t="n">
        <v>-419.505</v>
      </c>
      <c r="V113" s="20" t="n">
        <v>9.786</v>
      </c>
      <c r="W113" s="20" t="n">
        <v>-10.015</v>
      </c>
      <c r="X113" s="20" t="n">
        <v>-193.241</v>
      </c>
    </row>
    <row r="114">
      <c r="A114" s="18" t="inlineStr">
        <is>
          <t>법인세 등 합계</t>
        </is>
      </c>
      <c r="C114" s="20" t="n">
        <v>253.408</v>
      </c>
      <c r="D114" s="20" t="n">
        <v>237.432</v>
      </c>
      <c r="E114" s="20" t="n">
        <v>169.044</v>
      </c>
      <c r="F114" s="20" t="n">
        <v>253.159</v>
      </c>
      <c r="G114" s="20" t="n">
        <v>258.551</v>
      </c>
      <c r="H114" s="20" t="n">
        <v>232.248</v>
      </c>
      <c r="I114" s="20" t="n">
        <v>150.688</v>
      </c>
      <c r="J114" s="20" t="n">
        <v>285.902</v>
      </c>
      <c r="K114" s="20" t="n">
        <v>355.921</v>
      </c>
      <c r="L114" s="20" t="n">
        <v>523.092</v>
      </c>
      <c r="M114" s="20" t="n">
        <v>703.423</v>
      </c>
      <c r="N114" s="20" t="n">
        <v>967.7670000000001</v>
      </c>
      <c r="T114" s="20" t="n">
        <v>258.322</v>
      </c>
      <c r="U114" s="20" t="n">
        <v>1978.841</v>
      </c>
      <c r="V114" s="20" t="n">
        <v>169.044</v>
      </c>
      <c r="W114" s="20" t="n">
        <v>150.688</v>
      </c>
      <c r="X114" s="20" t="n">
        <v>703.423</v>
      </c>
    </row>
    <row r="115">
      <c r="A115" s="9" t="inlineStr">
        <is>
          <t>순이익</t>
        </is>
      </c>
      <c r="C115" s="12" t="n">
        <v>431.055</v>
      </c>
      <c r="D115" s="12" t="n">
        <v>406.5</v>
      </c>
      <c r="E115" s="12" t="n">
        <v>333.751</v>
      </c>
      <c r="F115" s="12" t="n">
        <v>482.407</v>
      </c>
      <c r="G115" s="12" t="n">
        <v>430.289</v>
      </c>
      <c r="H115" s="12" t="n">
        <v>407.301</v>
      </c>
      <c r="I115" s="12" t="n">
        <v>350.328</v>
      </c>
      <c r="J115" s="12" t="n">
        <v>508.01</v>
      </c>
      <c r="K115" s="12" t="n">
        <v>620.806</v>
      </c>
      <c r="L115" s="12" t="n">
        <v>928.495</v>
      </c>
      <c r="M115" s="12" t="n">
        <v>1617.199</v>
      </c>
      <c r="N115" s="12" t="n">
        <v>1732.826</v>
      </c>
      <c r="T115" s="12" t="n">
        <v>474.428</v>
      </c>
      <c r="U115" s="12" t="n">
        <v>4357.067</v>
      </c>
      <c r="V115" s="12" t="n">
        <v>333.751</v>
      </c>
      <c r="W115" s="12" t="n">
        <v>350.328</v>
      </c>
      <c r="X115" s="12" t="n">
        <v>1617.199</v>
      </c>
    </row>
    <row r="116">
      <c r="A116" s="43" t="inlineStr">
        <is>
          <t>YoY</t>
        </is>
      </c>
      <c r="B116" s="3" t="inlineStr">
        <is>
          <t>전년 같은 분기·전년 대비</t>
        </is>
      </c>
      <c r="G116" s="15">
        <f>IF(OR(G115="",C115=""),"",IF(C115&lt;=0,"",IFERROR(G115/C115-1,"")))</f>
        <v/>
      </c>
      <c r="H116" s="15">
        <f>IF(OR(H115="",D115=""),"",IF(D115&lt;=0,"",IFERROR(H115/D115-1,"")))</f>
        <v/>
      </c>
      <c r="I116" s="15">
        <f>IF(OR(I115="",E115=""),"",IF(E115&lt;=0,"",IFERROR(I115/E115-1,"")))</f>
        <v/>
      </c>
      <c r="J116" s="15">
        <f>IF(OR(J115="",F115=""),"",IF(F115&lt;=0,"",IFERROR(J115/F115-1,"")))</f>
        <v/>
      </c>
      <c r="K116" s="15">
        <f>IF(OR(K115="",G115=""),"",IF(G115&lt;=0,"",IFERROR(K115/G115-1,"")))</f>
        <v/>
      </c>
      <c r="L116" s="15">
        <f>IF(OR(L115="",H115=""),"",IF(H115&lt;=0,"",IFERROR(L115/H115-1,"")))</f>
        <v/>
      </c>
      <c r="M116" s="15">
        <f>IF(OR(M115="",I115=""),"",IF(I115&lt;=0,"",IFERROR(M115/I115-1,"")))</f>
        <v/>
      </c>
      <c r="N116" s="15">
        <f>IF(OR(N115="",J115=""),"",IF(J115&lt;=0,"",IFERROR(N115/J115-1,"")))</f>
        <v/>
      </c>
      <c r="T116" s="15">
        <f>IF(OR(T115="",S115=""),"",IF(S115&lt;=0,"",IFERROR(T115/S115-1,"")))</f>
        <v/>
      </c>
      <c r="U116" s="15">
        <f>IF(OR(U115="",T115=""),"",IF(T115&lt;=0,"",IFERROR(U115/T115-1,"")))</f>
        <v/>
      </c>
      <c r="V116" s="15">
        <f>IF(OR(V115="",U115=""),"",IF(U115&lt;=0,"",IFERROR(V115/U115-1,"")))</f>
        <v/>
      </c>
      <c r="W116" s="15">
        <f>IF(OR(W115="",V115=""),"",IF(V115&lt;=0,"",IFERROR(W115/V115-1,"")))</f>
        <v/>
      </c>
      <c r="X116" s="15">
        <f>IF(OR(X115="",W115=""),"",IF(W115&lt;=0,"",IFERROR(X115/W115-1,"")))</f>
        <v/>
      </c>
    </row>
    <row r="117">
      <c r="A117" s="9" t="inlineStr">
        <is>
          <t>비지배주주 순이익</t>
        </is>
      </c>
      <c r="C117" s="12" t="n">
        <v>6.583</v>
      </c>
      <c r="D117" s="12" t="n">
        <v>6.787</v>
      </c>
      <c r="E117" s="12" t="n">
        <v>2.867</v>
      </c>
      <c r="F117" s="12" t="n">
        <v>8.52</v>
      </c>
      <c r="G117" s="12" t="n">
        <v>3.575</v>
      </c>
      <c r="H117" s="12" t="n">
        <v>7.652</v>
      </c>
      <c r="I117" s="12" t="n">
        <v>3.642</v>
      </c>
      <c r="J117" s="12" t="n">
        <v>6.931</v>
      </c>
      <c r="K117" s="12" t="n">
        <v>68.90000000000001</v>
      </c>
      <c r="L117" s="12" t="n">
        <v>221.659</v>
      </c>
      <c r="M117" s="12" t="n">
        <v>303.743</v>
      </c>
      <c r="N117" s="12" t="n">
        <v>343.688</v>
      </c>
      <c r="T117" s="12" t="n">
        <v>64.05200000000001</v>
      </c>
      <c r="U117" s="12" t="n">
        <v>5.993</v>
      </c>
      <c r="V117" s="12" t="n">
        <v>2.867</v>
      </c>
      <c r="W117" s="12" t="n">
        <v>3.642</v>
      </c>
      <c r="X117" s="12" t="n">
        <v>303.743</v>
      </c>
    </row>
    <row r="118">
      <c r="A118" s="9" t="inlineStr">
        <is>
          <t>지배주주 순이익</t>
        </is>
      </c>
      <c r="C118" s="12" t="n">
        <v>424.472</v>
      </c>
      <c r="D118" s="12" t="n">
        <v>399.713</v>
      </c>
      <c r="E118" s="12" t="n">
        <v>330.884</v>
      </c>
      <c r="F118" s="12" t="n">
        <v>473.887</v>
      </c>
      <c r="G118" s="12" t="n">
        <v>426.713</v>
      </c>
      <c r="H118" s="12" t="n">
        <v>399.649</v>
      </c>
      <c r="I118" s="12" t="n">
        <v>346.686</v>
      </c>
      <c r="J118" s="12" t="n">
        <v>501.078</v>
      </c>
      <c r="K118" s="12" t="n">
        <v>551.907</v>
      </c>
      <c r="L118" s="12" t="n">
        <v>706.836</v>
      </c>
      <c r="M118" s="12" t="n">
        <v>1313.456</v>
      </c>
      <c r="N118" s="12" t="n">
        <v>1389.138</v>
      </c>
      <c r="T118" s="12" t="n">
        <v>410.377</v>
      </c>
      <c r="U118" s="12" t="n">
        <v>4351.075</v>
      </c>
      <c r="V118" s="12" t="n">
        <v>330.884</v>
      </c>
      <c r="W118" s="12" t="n">
        <v>346.686</v>
      </c>
      <c r="X118" s="12" t="n">
        <v>1313.456</v>
      </c>
    </row>
    <row r="119">
      <c r="A119" s="43" t="inlineStr">
        <is>
          <t>YoY</t>
        </is>
      </c>
      <c r="B119" s="3" t="inlineStr">
        <is>
          <t>전년 같은 분기·전년 대비</t>
        </is>
      </c>
      <c r="G119" s="15">
        <f>IF(OR(G118="",C118=""),"",IF(C118&lt;=0,"",IFERROR(G118/C118-1,"")))</f>
        <v/>
      </c>
      <c r="H119" s="15">
        <f>IF(OR(H118="",D118=""),"",IF(D118&lt;=0,"",IFERROR(H118/D118-1,"")))</f>
        <v/>
      </c>
      <c r="I119" s="15">
        <f>IF(OR(I118="",E118=""),"",IF(E118&lt;=0,"",IFERROR(I118/E118-1,"")))</f>
        <v/>
      </c>
      <c r="J119" s="15">
        <f>IF(OR(J118="",F118=""),"",IF(F118&lt;=0,"",IFERROR(J118/F118-1,"")))</f>
        <v/>
      </c>
      <c r="K119" s="15">
        <f>IF(OR(K118="",G118=""),"",IF(G118&lt;=0,"",IFERROR(K118/G118-1,"")))</f>
        <v/>
      </c>
      <c r="L119" s="15">
        <f>IF(OR(L118="",H118=""),"",IF(H118&lt;=0,"",IFERROR(L118/H118-1,"")))</f>
        <v/>
      </c>
      <c r="M119" s="15">
        <f>IF(OR(M118="",I118=""),"",IF(I118&lt;=0,"",IFERROR(M118/I118-1,"")))</f>
        <v/>
      </c>
      <c r="N119" s="15">
        <f>IF(OR(N118="",J118=""),"",IF(J118&lt;=0,"",IFERROR(N118/J118-1,"")))</f>
        <v/>
      </c>
      <c r="T119" s="15">
        <f>IF(OR(T118="",S118=""),"",IF(S118&lt;=0,"",IFERROR(T118/S118-1,"")))</f>
        <v/>
      </c>
      <c r="U119" s="15">
        <f>IF(OR(U118="",T118=""),"",IF(T118&lt;=0,"",IFERROR(U118/T118-1,"")))</f>
        <v/>
      </c>
      <c r="V119" s="15">
        <f>IF(OR(V118="",U118=""),"",IF(U118&lt;=0,"",IFERROR(V118/U118-1,"")))</f>
        <v/>
      </c>
      <c r="W119" s="15">
        <f>IF(OR(W118="",V118=""),"",IF(V118&lt;=0,"",IFERROR(W118/V118-1,"")))</f>
        <v/>
      </c>
      <c r="X119" s="15">
        <f>IF(OR(X118="",W118=""),"",IF(W118&lt;=0,"",IFERROR(X118/W118-1,"")))</f>
        <v/>
      </c>
    </row>
    <row r="121">
      <c r="A121" s="16" t="inlineStr">
        <is>
          <t>포괄손익 · 전 항목</t>
        </is>
      </c>
      <c r="B121" s="42" t="inlineStr">
        <is>
          <t>분기 = 3개월 단독</t>
        </is>
      </c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  <c r="AA121" s="16" t="n"/>
      <c r="AB121" s="16" t="n"/>
      <c r="AC121" s="16" t="n"/>
    </row>
    <row r="122">
      <c r="A122" s="5" t="inlineStr">
        <is>
          <t>항목</t>
        </is>
      </c>
      <c r="B122" s="5" t="inlineStr">
        <is>
          <t>참고</t>
        </is>
      </c>
      <c r="C122" s="5" t="inlineStr">
        <is>
          <t>2024.2Q</t>
        </is>
      </c>
      <c r="D122" s="5" t="inlineStr">
        <is>
          <t>2024.3Q</t>
        </is>
      </c>
      <c r="E122" s="5" t="inlineStr">
        <is>
          <t>2024.4Q</t>
        </is>
      </c>
      <c r="F122" s="5" t="inlineStr">
        <is>
          <t>2025.1Q</t>
        </is>
      </c>
      <c r="G122" s="5" t="inlineStr">
        <is>
          <t>2025.2Q</t>
        </is>
      </c>
      <c r="H122" s="5" t="inlineStr">
        <is>
          <t>2025.3Q</t>
        </is>
      </c>
      <c r="I122" s="5" t="inlineStr">
        <is>
          <t>2025.4Q</t>
        </is>
      </c>
      <c r="J122" s="5" t="inlineStr">
        <is>
          <t>2026.1Q</t>
        </is>
      </c>
      <c r="K122" s="5" t="inlineStr">
        <is>
          <t>2026.2Q</t>
        </is>
      </c>
      <c r="L122" s="5" t="inlineStr">
        <is>
          <t>2026.3Q</t>
        </is>
      </c>
      <c r="M122" s="5" t="inlineStr">
        <is>
          <t>2026.4Q</t>
        </is>
      </c>
      <c r="N122" s="5" t="inlineStr">
        <is>
          <t>2027.1Q</t>
        </is>
      </c>
      <c r="O122" s="5" t="inlineStr">
        <is>
          <t>2017</t>
        </is>
      </c>
      <c r="P122" s="5" t="inlineStr">
        <is>
          <t>2018</t>
        </is>
      </c>
      <c r="Q122" s="5" t="inlineStr">
        <is>
          <t>2019</t>
        </is>
      </c>
      <c r="R122" s="5" t="inlineStr">
        <is>
          <t>2020</t>
        </is>
      </c>
      <c r="S122" s="5" t="inlineStr">
        <is>
          <t>2021</t>
        </is>
      </c>
      <c r="T122" s="5" t="inlineStr">
        <is>
          <t>2022</t>
        </is>
      </c>
      <c r="U122" s="5" t="inlineStr">
        <is>
          <t>2023</t>
        </is>
      </c>
      <c r="V122" s="5" t="inlineStr">
        <is>
          <t>2024</t>
        </is>
      </c>
      <c r="W122" s="5" t="inlineStr">
        <is>
          <t>2025</t>
        </is>
      </c>
      <c r="X122" s="5" t="inlineStr">
        <is>
          <t>2026</t>
        </is>
      </c>
      <c r="Y122" s="5" t="inlineStr">
        <is>
          <t>2027(MW)</t>
        </is>
      </c>
      <c r="Z122" s="5" t="inlineStr">
        <is>
          <t>2028(MW)</t>
        </is>
      </c>
      <c r="AA122" s="5" t="inlineStr">
        <is>
          <t>2029(MW)</t>
        </is>
      </c>
      <c r="AB122" s="5" t="inlineStr">
        <is>
          <t>2030(MW)</t>
        </is>
      </c>
      <c r="AC122" s="5" t="inlineStr">
        <is>
          <t>2031(MW)</t>
        </is>
      </c>
    </row>
    <row r="123">
      <c r="A123" s="9" t="inlineStr">
        <is>
          <t>순이익</t>
        </is>
      </c>
      <c r="C123" s="12" t="n">
        <v>431.055</v>
      </c>
      <c r="D123" s="12" t="n">
        <v>406.5</v>
      </c>
      <c r="E123" s="12" t="n">
        <v>333.751</v>
      </c>
      <c r="F123" s="12" t="n">
        <v>482.407</v>
      </c>
      <c r="G123" s="12" t="n">
        <v>430.289</v>
      </c>
      <c r="H123" s="12" t="n">
        <v>407.301</v>
      </c>
      <c r="I123" s="12" t="n">
        <v>350.328</v>
      </c>
      <c r="J123" s="12" t="n">
        <v>508.01</v>
      </c>
      <c r="K123" s="12" t="n">
        <v>620.806</v>
      </c>
      <c r="L123" s="12" t="n">
        <v>928.495</v>
      </c>
      <c r="M123" s="12" t="n">
        <v>1617.199</v>
      </c>
      <c r="N123" s="12" t="n">
        <v>1732.826</v>
      </c>
      <c r="T123" s="12" t="n">
        <v>474.428</v>
      </c>
      <c r="U123" s="12" t="n">
        <v>4357.067</v>
      </c>
      <c r="V123" s="12" t="n">
        <v>333.751</v>
      </c>
      <c r="W123" s="12" t="n">
        <v>350.328</v>
      </c>
      <c r="X123" s="12" t="n">
        <v>1617.199</v>
      </c>
    </row>
    <row r="124">
      <c r="A124" s="18" t="inlineStr">
        <is>
          <t>기타유가증권 평가차액</t>
        </is>
      </c>
      <c r="C124" s="20" t="n">
        <v>-223.178</v>
      </c>
      <c r="D124" s="20" t="n">
        <v>45.672</v>
      </c>
      <c r="E124" s="20" t="n">
        <v>32.628</v>
      </c>
      <c r="F124" s="20" t="n">
        <v>158.384</v>
      </c>
      <c r="G124" s="20" t="n">
        <v>-458.919</v>
      </c>
      <c r="H124" s="20" t="n">
        <v>-252.64</v>
      </c>
      <c r="I124" s="20" t="n">
        <v>-65.43600000000001</v>
      </c>
      <c r="J124" s="20" t="n">
        <v>-105.072</v>
      </c>
      <c r="K124" s="20" t="n">
        <v>205.667</v>
      </c>
      <c r="L124" s="20" t="n">
        <v>322.713</v>
      </c>
      <c r="M124" s="20" t="n">
        <v>524.1609999999999</v>
      </c>
      <c r="N124" s="20" t="n">
        <v>85.505</v>
      </c>
      <c r="T124" s="20" t="n">
        <v>-299.131</v>
      </c>
      <c r="U124" s="20" t="n">
        <v>807.079</v>
      </c>
      <c r="V124" s="20" t="n">
        <v>32.628</v>
      </c>
      <c r="W124" s="20" t="n">
        <v>-65.43600000000001</v>
      </c>
      <c r="X124" s="20" t="n">
        <v>524.1609999999999</v>
      </c>
    </row>
    <row r="125">
      <c r="A125" s="18" t="inlineStr">
        <is>
          <t>이연헤지손익</t>
        </is>
      </c>
      <c r="F125" s="20" t="n">
        <v>0</v>
      </c>
      <c r="J125" s="20" t="n">
        <v>2.766</v>
      </c>
      <c r="N125" s="20" t="n">
        <v>0</v>
      </c>
    </row>
    <row r="126">
      <c r="A126" s="18" t="inlineStr">
        <is>
          <t>해외사업환산조정</t>
        </is>
      </c>
      <c r="C126" s="20" t="n">
        <v>137.936</v>
      </c>
      <c r="D126" s="20" t="n">
        <v>54.274</v>
      </c>
      <c r="E126" s="20" t="n">
        <v>-92.03</v>
      </c>
      <c r="F126" s="20" t="n">
        <v>115.299</v>
      </c>
      <c r="G126" s="20" t="n">
        <v>117.559</v>
      </c>
      <c r="H126" s="20" t="n">
        <v>-220.696</v>
      </c>
      <c r="I126" s="20" t="n">
        <v>186.476</v>
      </c>
      <c r="J126" s="20" t="n">
        <v>-106.011</v>
      </c>
      <c r="K126" s="20" t="n">
        <v>-58.108</v>
      </c>
      <c r="L126" s="20" t="n">
        <v>49.698</v>
      </c>
      <c r="M126" s="20" t="n">
        <v>96.971</v>
      </c>
      <c r="N126" s="20" t="n">
        <v>42.618</v>
      </c>
      <c r="T126" s="20" t="n">
        <v>166.505</v>
      </c>
      <c r="U126" s="20" t="n">
        <v>-145.49</v>
      </c>
      <c r="V126" s="20" t="n">
        <v>-92.03</v>
      </c>
      <c r="W126" s="20" t="n">
        <v>186.476</v>
      </c>
      <c r="X126" s="20" t="n">
        <v>96.971</v>
      </c>
    </row>
    <row r="127">
      <c r="A127" s="18" t="inlineStr">
        <is>
          <t>퇴직급여 조정액</t>
        </is>
      </c>
      <c r="J127" s="20" t="n">
        <v>0</v>
      </c>
      <c r="N127" s="20" t="n">
        <v>46.233</v>
      </c>
    </row>
    <row r="128">
      <c r="A128" s="18" t="inlineStr">
        <is>
          <t>기타포괄손익 합계</t>
        </is>
      </c>
      <c r="C128" s="20" t="n">
        <v>-85.24299999999999</v>
      </c>
      <c r="D128" s="20" t="n">
        <v>99.946</v>
      </c>
      <c r="E128" s="20" t="n">
        <v>-59.401</v>
      </c>
      <c r="F128" s="20" t="n">
        <v>273.683</v>
      </c>
      <c r="G128" s="20" t="n">
        <v>-341.36</v>
      </c>
      <c r="H128" s="20" t="n">
        <v>-473.336</v>
      </c>
      <c r="I128" s="20" t="n">
        <v>121.04</v>
      </c>
      <c r="J128" s="20" t="n">
        <v>-208.318</v>
      </c>
      <c r="K128" s="20" t="n">
        <v>144.795</v>
      </c>
      <c r="L128" s="20" t="n">
        <v>372.41</v>
      </c>
      <c r="M128" s="20" t="n">
        <v>674.5700000000001</v>
      </c>
      <c r="N128" s="20" t="n">
        <v>174.356</v>
      </c>
      <c r="T128" s="20" t="n">
        <v>-132.627</v>
      </c>
      <c r="U128" s="20" t="n">
        <v>661.591</v>
      </c>
      <c r="V128" s="20" t="n">
        <v>-59.401</v>
      </c>
      <c r="W128" s="20" t="n">
        <v>121.04</v>
      </c>
      <c r="X128" s="20" t="n">
        <v>674.5700000000001</v>
      </c>
    </row>
    <row r="129">
      <c r="A129" s="9" t="inlineStr">
        <is>
          <t>포괄이익</t>
        </is>
      </c>
      <c r="C129" s="12" t="n">
        <v>345.812</v>
      </c>
      <c r="D129" s="12" t="n">
        <v>506.446</v>
      </c>
      <c r="E129" s="12" t="n">
        <v>274.351</v>
      </c>
      <c r="F129" s="12" t="n">
        <v>756.091</v>
      </c>
      <c r="G129" s="12" t="n">
        <v>88.928</v>
      </c>
      <c r="H129" s="12" t="n">
        <v>-66.035</v>
      </c>
      <c r="I129" s="12" t="n">
        <v>471.367</v>
      </c>
      <c r="J129" s="12" t="n">
        <v>299.692</v>
      </c>
      <c r="K129" s="12" t="n">
        <v>765.6</v>
      </c>
      <c r="L129" s="12" t="n">
        <v>1300.906</v>
      </c>
      <c r="M129" s="12" t="n">
        <v>2291.77</v>
      </c>
      <c r="N129" s="12" t="n">
        <v>1907.183</v>
      </c>
      <c r="T129" s="12" t="n">
        <v>341.802</v>
      </c>
      <c r="U129" s="12" t="n">
        <v>5018.658</v>
      </c>
      <c r="V129" s="12" t="n">
        <v>274.351</v>
      </c>
      <c r="W129" s="12" t="n">
        <v>471.367</v>
      </c>
      <c r="X129" s="12" t="n">
        <v>2291.77</v>
      </c>
    </row>
    <row r="130">
      <c r="A130" s="9" t="inlineStr">
        <is>
          <t>지배주주 포괄이익</t>
        </is>
      </c>
      <c r="C130" s="12" t="n">
        <v>340.25</v>
      </c>
      <c r="D130" s="12" t="n">
        <v>499.584</v>
      </c>
      <c r="E130" s="12" t="n">
        <v>271.129</v>
      </c>
      <c r="F130" s="12" t="n">
        <v>747.829</v>
      </c>
      <c r="G130" s="12" t="n">
        <v>86.17100000000001</v>
      </c>
      <c r="H130" s="12" t="n">
        <v>-73.288</v>
      </c>
      <c r="I130" s="12" t="n">
        <v>467.838</v>
      </c>
      <c r="J130" s="12" t="n">
        <v>292.896</v>
      </c>
      <c r="K130" s="12" t="n">
        <v>707.543</v>
      </c>
      <c r="L130" s="12" t="n">
        <v>1076.192</v>
      </c>
      <c r="M130" s="12" t="n">
        <v>1943.215</v>
      </c>
      <c r="N130" s="12" t="n">
        <v>1514.881</v>
      </c>
      <c r="T130" s="12" t="n">
        <v>272.751</v>
      </c>
      <c r="U130" s="12" t="n">
        <v>4989.284</v>
      </c>
      <c r="V130" s="12" t="n">
        <v>271.129</v>
      </c>
      <c r="W130" s="12" t="n">
        <v>467.838</v>
      </c>
      <c r="X130" s="12" t="n">
        <v>1943.215</v>
      </c>
    </row>
    <row r="131">
      <c r="A131" s="9" t="inlineStr">
        <is>
          <t>비지배주주 포괄이익</t>
        </is>
      </c>
      <c r="C131" s="12" t="n">
        <v>5.563</v>
      </c>
      <c r="D131" s="12" t="n">
        <v>6.861</v>
      </c>
      <c r="E131" s="12" t="n">
        <v>3.223</v>
      </c>
      <c r="F131" s="12" t="n">
        <v>8.260999999999999</v>
      </c>
      <c r="G131" s="12" t="n">
        <v>2.757</v>
      </c>
      <c r="H131" s="12" t="n">
        <v>7.253</v>
      </c>
      <c r="I131" s="12" t="n">
        <v>3.53</v>
      </c>
      <c r="J131" s="12" t="n">
        <v>6.796</v>
      </c>
      <c r="K131" s="12" t="n">
        <v>58.057</v>
      </c>
      <c r="L131" s="12" t="n">
        <v>224.714</v>
      </c>
      <c r="M131" s="12" t="n">
        <v>348.554</v>
      </c>
      <c r="N131" s="12" t="n">
        <v>392.302</v>
      </c>
      <c r="T131" s="12" t="n">
        <v>69.051</v>
      </c>
      <c r="U131" s="12" t="n">
        <v>29.375</v>
      </c>
      <c r="V131" s="12" t="n">
        <v>3.223</v>
      </c>
      <c r="W131" s="12" t="n">
        <v>3.53</v>
      </c>
      <c r="X131" s="12" t="n">
        <v>348.554</v>
      </c>
    </row>
    <row r="133">
      <c r="A133" s="16" t="inlineStr">
        <is>
          <t>부문 · 전 항목</t>
        </is>
      </c>
      <c r="B133" s="42" t="inlineStr">
        <is>
          <t>부문 · 항목</t>
        </is>
      </c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  <c r="AA133" s="16" t="n"/>
      <c r="AB133" s="16" t="n"/>
      <c r="AC133" s="16" t="n"/>
    </row>
    <row r="134">
      <c r="A134" s="5" t="inlineStr">
        <is>
          <t>항목</t>
        </is>
      </c>
      <c r="B134" s="5" t="inlineStr">
        <is>
          <t>참고</t>
        </is>
      </c>
      <c r="C134" s="5" t="inlineStr">
        <is>
          <t>2024.2Q</t>
        </is>
      </c>
      <c r="D134" s="5" t="inlineStr">
        <is>
          <t>2024.3Q</t>
        </is>
      </c>
      <c r="E134" s="5" t="inlineStr">
        <is>
          <t>2024.4Q</t>
        </is>
      </c>
      <c r="F134" s="5" t="inlineStr">
        <is>
          <t>2025.1Q</t>
        </is>
      </c>
      <c r="G134" s="5" t="inlineStr">
        <is>
          <t>2025.2Q</t>
        </is>
      </c>
      <c r="H134" s="5" t="inlineStr">
        <is>
          <t>2025.3Q</t>
        </is>
      </c>
      <c r="I134" s="5" t="inlineStr">
        <is>
          <t>2025.4Q</t>
        </is>
      </c>
      <c r="J134" s="5" t="inlineStr">
        <is>
          <t>2026.1Q</t>
        </is>
      </c>
      <c r="K134" s="5" t="inlineStr">
        <is>
          <t>2026.2Q</t>
        </is>
      </c>
      <c r="L134" s="5" t="inlineStr">
        <is>
          <t>2026.3Q</t>
        </is>
      </c>
      <c r="M134" s="5" t="inlineStr">
        <is>
          <t>2026.4Q</t>
        </is>
      </c>
      <c r="N134" s="5" t="inlineStr">
        <is>
          <t>2027.1Q</t>
        </is>
      </c>
      <c r="O134" s="5" t="inlineStr">
        <is>
          <t>2017</t>
        </is>
      </c>
      <c r="P134" s="5" t="inlineStr">
        <is>
          <t>2018</t>
        </is>
      </c>
      <c r="Q134" s="5" t="inlineStr">
        <is>
          <t>2019</t>
        </is>
      </c>
      <c r="R134" s="5" t="inlineStr">
        <is>
          <t>2020</t>
        </is>
      </c>
      <c r="S134" s="5" t="inlineStr">
        <is>
          <t>2021</t>
        </is>
      </c>
      <c r="T134" s="5" t="inlineStr">
        <is>
          <t>2022</t>
        </is>
      </c>
      <c r="U134" s="5" t="inlineStr">
        <is>
          <t>2023</t>
        </is>
      </c>
      <c r="V134" s="5" t="inlineStr">
        <is>
          <t>2024</t>
        </is>
      </c>
      <c r="W134" s="5" t="inlineStr">
        <is>
          <t>2025</t>
        </is>
      </c>
      <c r="X134" s="5" t="inlineStr">
        <is>
          <t>2026</t>
        </is>
      </c>
      <c r="Y134" s="5" t="inlineStr">
        <is>
          <t>2027(MW)</t>
        </is>
      </c>
      <c r="Z134" s="5" t="inlineStr">
        <is>
          <t>2028(MW)</t>
        </is>
      </c>
      <c r="AA134" s="5" t="inlineStr">
        <is>
          <t>2029(MW)</t>
        </is>
      </c>
      <c r="AB134" s="5" t="inlineStr">
        <is>
          <t>2030(MW)</t>
        </is>
      </c>
      <c r="AC134" s="5" t="inlineStr">
        <is>
          <t>2031(MW)</t>
        </is>
      </c>
    </row>
    <row r="135">
      <c r="A135" s="18" t="inlineStr">
        <is>
          <t>자산운용 사업 · 외부 고객 매출</t>
        </is>
      </c>
      <c r="C135" s="20" t="n">
        <v>2038.517</v>
      </c>
      <c r="D135" s="20" t="n">
        <v>2064.177</v>
      </c>
      <c r="E135" s="20" t="n">
        <v>2166.642</v>
      </c>
      <c r="F135" s="20" t="n">
        <v>2353.816</v>
      </c>
      <c r="G135" s="20" t="n">
        <v>2413.963</v>
      </c>
      <c r="H135" s="20" t="n">
        <v>2444.705</v>
      </c>
      <c r="I135" s="20" t="n">
        <v>2539.425</v>
      </c>
      <c r="J135" s="20" t="n">
        <v>2334.561</v>
      </c>
      <c r="K135" s="20" t="n">
        <v>4020.99</v>
      </c>
      <c r="L135" s="20" t="n">
        <v>8165.582</v>
      </c>
      <c r="M135" s="20" t="n">
        <v>11811.583</v>
      </c>
      <c r="V135" s="20" t="n">
        <v>2166.642</v>
      </c>
      <c r="W135" s="20" t="n">
        <v>2539.425</v>
      </c>
      <c r="X135" s="20" t="n">
        <v>11811.583</v>
      </c>
    </row>
    <row r="136">
      <c r="A136" s="43" t="inlineStr">
        <is>
          <t>YoY</t>
        </is>
      </c>
      <c r="B136" s="3" t="inlineStr">
        <is>
          <t>전년 같은 분기·전년 대비</t>
        </is>
      </c>
      <c r="G136" s="15">
        <f>IF(OR(G135="",C135=""),"",IF(C135&lt;=0,"",IFERROR(G135/C135-1,"")))</f>
        <v/>
      </c>
      <c r="H136" s="15">
        <f>IF(OR(H135="",D135=""),"",IF(D135&lt;=0,"",IFERROR(H135/D135-1,"")))</f>
        <v/>
      </c>
      <c r="I136" s="15">
        <f>IF(OR(I135="",E135=""),"",IF(E135&lt;=0,"",IFERROR(I135/E135-1,"")))</f>
        <v/>
      </c>
      <c r="J136" s="15">
        <f>IF(OR(J135="",F135=""),"",IF(F135&lt;=0,"",IFERROR(J135/F135-1,"")))</f>
        <v/>
      </c>
      <c r="K136" s="15">
        <f>IF(OR(K135="",G135=""),"",IF(G135&lt;=0,"",IFERROR(K135/G135-1,"")))</f>
        <v/>
      </c>
      <c r="L136" s="15">
        <f>IF(OR(L135="",H135=""),"",IF(H135&lt;=0,"",IFERROR(L135/H135-1,"")))</f>
        <v/>
      </c>
      <c r="M136" s="15">
        <f>IF(OR(M135="",I135=""),"",IF(I135&lt;=0,"",IFERROR(M135/I135-1,"")))</f>
        <v/>
      </c>
      <c r="V136" s="15">
        <f>IF(OR(V135="",U135=""),"",IF(U135&lt;=0,"",IFERROR(V135/U135-1,"")))</f>
        <v/>
      </c>
      <c r="W136" s="15">
        <f>IF(OR(W135="",V135=""),"",IF(V135&lt;=0,"",IFERROR(W135/V135-1,"")))</f>
        <v/>
      </c>
      <c r="X136" s="15">
        <f>IF(OR(X135="",W135=""),"",IF(W135&lt;=0,"",IFERROR(X135/W135-1,"")))</f>
        <v/>
      </c>
    </row>
    <row r="137">
      <c r="A137" s="18" t="inlineStr">
        <is>
          <t>금융서비스 사업 · 외부 고객 매출</t>
        </is>
      </c>
      <c r="C137" s="20" t="n">
        <v>504.58</v>
      </c>
      <c r="D137" s="20" t="n">
        <v>522.706</v>
      </c>
      <c r="E137" s="20" t="n">
        <v>394.945</v>
      </c>
      <c r="F137" s="20" t="n">
        <v>489.705</v>
      </c>
      <c r="G137" s="20" t="n">
        <v>481.097</v>
      </c>
      <c r="H137" s="20" t="n">
        <v>468.967</v>
      </c>
      <c r="I137" s="20" t="n">
        <v>377.311</v>
      </c>
      <c r="J137" s="20" t="n">
        <v>510.024</v>
      </c>
      <c r="K137" s="20" t="n">
        <v>408.038</v>
      </c>
      <c r="L137" s="20" t="n">
        <v>385.621</v>
      </c>
      <c r="M137" s="20" t="n">
        <v>223.246</v>
      </c>
      <c r="V137" s="20" t="n">
        <v>394.945</v>
      </c>
      <c r="W137" s="20" t="n">
        <v>377.311</v>
      </c>
      <c r="X137" s="20" t="n">
        <v>223.246</v>
      </c>
    </row>
    <row r="138">
      <c r="A138" s="43" t="inlineStr">
        <is>
          <t>YoY</t>
        </is>
      </c>
      <c r="B138" s="3" t="inlineStr">
        <is>
          <t>전년 같은 분기·전년 대비</t>
        </is>
      </c>
      <c r="G138" s="15">
        <f>IF(OR(G137="",C137=""),"",IF(C137&lt;=0,"",IFERROR(G137/C137-1,"")))</f>
        <v/>
      </c>
      <c r="H138" s="15">
        <f>IF(OR(H137="",D137=""),"",IF(D137&lt;=0,"",IFERROR(H137/D137-1,"")))</f>
        <v/>
      </c>
      <c r="I138" s="15">
        <f>IF(OR(I137="",E137=""),"",IF(E137&lt;=0,"",IFERROR(I137/E137-1,"")))</f>
        <v/>
      </c>
      <c r="J138" s="15">
        <f>IF(OR(J137="",F137=""),"",IF(F137&lt;=0,"",IFERROR(J137/F137-1,"")))</f>
        <v/>
      </c>
      <c r="K138" s="15">
        <f>IF(OR(K137="",G137=""),"",IF(G137&lt;=0,"",IFERROR(K137/G137-1,"")))</f>
        <v/>
      </c>
      <c r="L138" s="15">
        <f>IF(OR(L137="",H137=""),"",IF(H137&lt;=0,"",IFERROR(L137/H137-1,"")))</f>
        <v/>
      </c>
      <c r="M138" s="15">
        <f>IF(OR(M137="",I137=""),"",IF(I137&lt;=0,"",IFERROR(M137/I137-1,"")))</f>
        <v/>
      </c>
      <c r="V138" s="15">
        <f>IF(OR(V137="",U137=""),"",IF(U137&lt;=0,"",IFERROR(V137/U137-1,"")))</f>
        <v/>
      </c>
      <c r="W138" s="15">
        <f>IF(OR(W137="",V137=""),"",IF(V137&lt;=0,"",IFERROR(W137/V137-1,"")))</f>
        <v/>
      </c>
      <c r="X138" s="15">
        <f>IF(OR(X137="",W137=""),"",IF(W137&lt;=0,"",IFERROR(X137/W137-1,"")))</f>
        <v/>
      </c>
    </row>
    <row r="139">
      <c r="A139" s="18" t="inlineStr">
        <is>
          <t>보고부문 합계 · 외부 고객 매출</t>
        </is>
      </c>
      <c r="C139" s="20" t="n">
        <v>2543.098</v>
      </c>
      <c r="D139" s="20" t="n">
        <v>2586.882</v>
      </c>
      <c r="E139" s="20" t="n">
        <v>2561.588</v>
      </c>
      <c r="F139" s="20" t="n">
        <v>2843.521</v>
      </c>
      <c r="G139" s="20" t="n">
        <v>2895.06</v>
      </c>
      <c r="H139" s="20" t="n">
        <v>2913.672</v>
      </c>
      <c r="I139" s="20" t="n">
        <v>2916.737</v>
      </c>
      <c r="J139" s="20" t="n">
        <v>2844.585</v>
      </c>
      <c r="K139" s="20" t="n">
        <v>4429.028</v>
      </c>
      <c r="L139" s="20" t="n">
        <v>8551.204</v>
      </c>
      <c r="M139" s="20" t="n">
        <v>12034.829</v>
      </c>
      <c r="V139" s="20" t="n">
        <v>2561.588</v>
      </c>
      <c r="W139" s="20" t="n">
        <v>2916.737</v>
      </c>
      <c r="X139" s="20" t="n">
        <v>12034.829</v>
      </c>
    </row>
    <row r="140">
      <c r="A140" s="43" t="inlineStr">
        <is>
          <t>YoY</t>
        </is>
      </c>
      <c r="B140" s="3" t="inlineStr">
        <is>
          <t>전년 같은 분기·전년 대비</t>
        </is>
      </c>
      <c r="G140" s="15">
        <f>IF(OR(G139="",C139=""),"",IF(C139&lt;=0,"",IFERROR(G139/C139-1,"")))</f>
        <v/>
      </c>
      <c r="H140" s="15">
        <f>IF(OR(H139="",D139=""),"",IF(D139&lt;=0,"",IFERROR(H139/D139-1,"")))</f>
        <v/>
      </c>
      <c r="I140" s="15">
        <f>IF(OR(I139="",E139=""),"",IF(E139&lt;=0,"",IFERROR(I139/E139-1,"")))</f>
        <v/>
      </c>
      <c r="J140" s="15">
        <f>IF(OR(J139="",F139=""),"",IF(F139&lt;=0,"",IFERROR(J139/F139-1,"")))</f>
        <v/>
      </c>
      <c r="K140" s="15">
        <f>IF(OR(K139="",G139=""),"",IF(G139&lt;=0,"",IFERROR(K139/G139-1,"")))</f>
        <v/>
      </c>
      <c r="L140" s="15">
        <f>IF(OR(L139="",H139=""),"",IF(H139&lt;=0,"",IFERROR(L139/H139-1,"")))</f>
        <v/>
      </c>
      <c r="M140" s="15">
        <f>IF(OR(M139="",I139=""),"",IF(I139&lt;=0,"",IFERROR(M139/I139-1,"")))</f>
        <v/>
      </c>
      <c r="V140" s="15">
        <f>IF(OR(V139="",U139=""),"",IF(U139&lt;=0,"",IFERROR(V139/U139-1,"")))</f>
        <v/>
      </c>
      <c r="W140" s="15">
        <f>IF(OR(W139="",V139=""),"",IF(V139&lt;=0,"",IFERROR(W139/V139-1,"")))</f>
        <v/>
      </c>
      <c r="X140" s="15">
        <f>IF(OR(X139="",W139=""),"",IF(W139&lt;=0,"",IFERROR(X139/W139-1,"")))</f>
        <v/>
      </c>
    </row>
    <row r="141">
      <c r="A141" s="18" t="inlineStr">
        <is>
          <t>조정액 · 외부 고객 매출</t>
        </is>
      </c>
      <c r="C141" s="20" t="n">
        <v>0</v>
      </c>
      <c r="D141" s="20" t="n">
        <v>0</v>
      </c>
      <c r="E141" s="20" t="n">
        <v>0</v>
      </c>
      <c r="F141" s="20" t="n">
        <v>0</v>
      </c>
      <c r="G141" s="20" t="n">
        <v>0</v>
      </c>
      <c r="H141" s="20" t="n">
        <v>0</v>
      </c>
      <c r="I141" s="20" t="n">
        <v>0</v>
      </c>
      <c r="J141" s="20" t="n">
        <v>0</v>
      </c>
      <c r="K141" s="20" t="n">
        <v>0</v>
      </c>
      <c r="L141" s="20" t="n">
        <v>0</v>
      </c>
      <c r="M141" s="20" t="n">
        <v>0</v>
      </c>
      <c r="V141" s="20" t="n">
        <v>0</v>
      </c>
      <c r="W141" s="20" t="n">
        <v>0</v>
      </c>
      <c r="X141" s="20" t="n">
        <v>0</v>
      </c>
    </row>
    <row r="142">
      <c r="A142" s="9" t="inlineStr">
        <is>
          <t>외부 고객 매출</t>
        </is>
      </c>
      <c r="C142" s="12" t="n">
        <v>2543.098</v>
      </c>
      <c r="D142" s="12" t="n">
        <v>2586.882</v>
      </c>
      <c r="E142" s="12" t="n">
        <v>2561.588</v>
      </c>
      <c r="F142" s="12" t="n">
        <v>2843.521</v>
      </c>
      <c r="G142" s="12" t="n">
        <v>2895.06</v>
      </c>
      <c r="H142" s="12" t="n">
        <v>2913.672</v>
      </c>
      <c r="I142" s="12" t="n">
        <v>2916.737</v>
      </c>
      <c r="J142" s="12" t="n">
        <v>2844.585</v>
      </c>
      <c r="K142" s="12" t="n">
        <v>4429.028</v>
      </c>
      <c r="L142" s="12" t="n">
        <v>8551.204</v>
      </c>
      <c r="M142" s="12" t="n">
        <v>12034.829</v>
      </c>
      <c r="V142" s="12" t="n">
        <v>2561.588</v>
      </c>
      <c r="W142" s="12" t="n">
        <v>2916.737</v>
      </c>
      <c r="X142" s="12" t="n">
        <v>12034.829</v>
      </c>
    </row>
    <row r="143">
      <c r="A143" s="43" t="inlineStr">
        <is>
          <t>YoY</t>
        </is>
      </c>
      <c r="B143" s="3" t="inlineStr">
        <is>
          <t>전년 같은 분기·전년 대비</t>
        </is>
      </c>
      <c r="G143" s="15">
        <f>IF(OR(G142="",C142=""),"",IF(C142&lt;=0,"",IFERROR(G142/C142-1,"")))</f>
        <v/>
      </c>
      <c r="H143" s="15">
        <f>IF(OR(H142="",D142=""),"",IF(D142&lt;=0,"",IFERROR(H142/D142-1,"")))</f>
        <v/>
      </c>
      <c r="I143" s="15">
        <f>IF(OR(I142="",E142=""),"",IF(E142&lt;=0,"",IFERROR(I142/E142-1,"")))</f>
        <v/>
      </c>
      <c r="J143" s="15">
        <f>IF(OR(J142="",F142=""),"",IF(F142&lt;=0,"",IFERROR(J142/F142-1,"")))</f>
        <v/>
      </c>
      <c r="K143" s="15">
        <f>IF(OR(K142="",G142=""),"",IF(G142&lt;=0,"",IFERROR(K142/G142-1,"")))</f>
        <v/>
      </c>
      <c r="L143" s="15">
        <f>IF(OR(L142="",H142=""),"",IF(H142&lt;=0,"",IFERROR(L142/H142-1,"")))</f>
        <v/>
      </c>
      <c r="M143" s="15">
        <f>IF(OR(M142="",I142=""),"",IF(I142&lt;=0,"",IFERROR(M142/I142-1,"")))</f>
        <v/>
      </c>
      <c r="V143" s="15">
        <f>IF(OR(V142="",U142=""),"",IF(U142&lt;=0,"",IFERROR(V142/U142-1,"")))</f>
        <v/>
      </c>
      <c r="W143" s="15">
        <f>IF(OR(W142="",V142=""),"",IF(V142&lt;=0,"",IFERROR(W142/V142-1,"")))</f>
        <v/>
      </c>
      <c r="X143" s="15">
        <f>IF(OR(X142="",W142=""),"",IF(W142&lt;=0,"",IFERROR(X142/W142-1,"")))</f>
        <v/>
      </c>
    </row>
    <row r="144">
      <c r="A144" s="18" t="inlineStr">
        <is>
          <t>자산운용 사업 · 부문 간 내부매출·대체</t>
        </is>
      </c>
      <c r="C144" s="20" t="n">
        <v>0.175</v>
      </c>
      <c r="D144" s="20" t="n">
        <v>0.172</v>
      </c>
      <c r="E144" s="20" t="n">
        <v>0.174</v>
      </c>
      <c r="F144" s="20" t="n">
        <v>0.187</v>
      </c>
      <c r="G144" s="20" t="n">
        <v>0.18</v>
      </c>
      <c r="H144" s="20" t="n">
        <v>0.173</v>
      </c>
      <c r="I144" s="20" t="n">
        <v>0.161</v>
      </c>
      <c r="J144" s="20" t="n">
        <v>0.163</v>
      </c>
      <c r="K144" s="20" t="n">
        <v>0.167</v>
      </c>
      <c r="L144" s="20" t="n">
        <v>0.177</v>
      </c>
      <c r="M144" s="20" t="n">
        <v>0.199</v>
      </c>
      <c r="V144" s="20" t="n">
        <v>0.174</v>
      </c>
      <c r="W144" s="20" t="n">
        <v>0.161</v>
      </c>
      <c r="X144" s="20" t="n">
        <v>0.199</v>
      </c>
    </row>
    <row r="145">
      <c r="A145" s="18" t="inlineStr">
        <is>
          <t>금융서비스 사업 · 부문 간 내부매출·대체</t>
        </is>
      </c>
      <c r="C145" s="20" t="n">
        <v>1.149</v>
      </c>
      <c r="D145" s="20" t="n">
        <v>1.149</v>
      </c>
      <c r="E145" s="20" t="n">
        <v>1.149</v>
      </c>
      <c r="F145" s="20" t="n">
        <v>1.149</v>
      </c>
      <c r="G145" s="20" t="n">
        <v>1.149</v>
      </c>
      <c r="H145" s="20" t="n">
        <v>1.149</v>
      </c>
      <c r="I145" s="20" t="n">
        <v>1.149</v>
      </c>
      <c r="J145" s="20" t="n">
        <v>1.149</v>
      </c>
      <c r="K145" s="20" t="n">
        <v>1.649</v>
      </c>
      <c r="L145" s="20" t="n">
        <v>2.379</v>
      </c>
      <c r="M145" s="20" t="n">
        <v>2.499</v>
      </c>
      <c r="V145" s="20" t="n">
        <v>1.149</v>
      </c>
      <c r="W145" s="20" t="n">
        <v>1.149</v>
      </c>
      <c r="X145" s="20" t="n">
        <v>2.499</v>
      </c>
    </row>
    <row r="146">
      <c r="A146" s="18" t="inlineStr">
        <is>
          <t>보고부문 합계 · 부문 간 내부매출·대체</t>
        </is>
      </c>
      <c r="C146" s="20" t="n">
        <v>1.324</v>
      </c>
      <c r="D146" s="20" t="n">
        <v>1.321</v>
      </c>
      <c r="E146" s="20" t="n">
        <v>1.323</v>
      </c>
      <c r="F146" s="20" t="n">
        <v>1.336</v>
      </c>
      <c r="G146" s="20" t="n">
        <v>1.329</v>
      </c>
      <c r="H146" s="20" t="n">
        <v>1.322</v>
      </c>
      <c r="I146" s="20" t="n">
        <v>1.31</v>
      </c>
      <c r="J146" s="20" t="n">
        <v>1.312</v>
      </c>
      <c r="K146" s="20" t="n">
        <v>1.816</v>
      </c>
      <c r="L146" s="20" t="n">
        <v>2.556</v>
      </c>
      <c r="M146" s="20" t="n">
        <v>2.698</v>
      </c>
      <c r="V146" s="20" t="n">
        <v>1.323</v>
      </c>
      <c r="W146" s="20" t="n">
        <v>1.31</v>
      </c>
      <c r="X146" s="20" t="n">
        <v>2.698</v>
      </c>
    </row>
    <row r="147">
      <c r="A147" s="18" t="inlineStr">
        <is>
          <t>조정액 · 부문 간 내부매출·대체</t>
        </is>
      </c>
      <c r="C147" s="20" t="n">
        <v>-1.324</v>
      </c>
      <c r="D147" s="20" t="n">
        <v>-1.321</v>
      </c>
      <c r="E147" s="20" t="n">
        <v>-1.323</v>
      </c>
      <c r="F147" s="20" t="n">
        <v>-1.336</v>
      </c>
      <c r="G147" s="20" t="n">
        <v>-1.329</v>
      </c>
      <c r="H147" s="20" t="n">
        <v>-1.322</v>
      </c>
      <c r="I147" s="20" t="n">
        <v>-1.31</v>
      </c>
      <c r="J147" s="20" t="n">
        <v>-1.312</v>
      </c>
      <c r="K147" s="20" t="n">
        <v>-1.816</v>
      </c>
      <c r="L147" s="20" t="n">
        <v>-2.556</v>
      </c>
      <c r="M147" s="20" t="n">
        <v>-2.698</v>
      </c>
      <c r="V147" s="20" t="n">
        <v>-1.323</v>
      </c>
      <c r="W147" s="20" t="n">
        <v>-1.31</v>
      </c>
      <c r="X147" s="20" t="n">
        <v>-2.698</v>
      </c>
    </row>
    <row r="148">
      <c r="A148" s="18" t="inlineStr">
        <is>
          <t>부문 간 내부매출·대체</t>
        </is>
      </c>
      <c r="C148" s="20" t="n">
        <v>0</v>
      </c>
      <c r="D148" s="20" t="n">
        <v>0</v>
      </c>
      <c r="E148" s="20" t="n">
        <v>0</v>
      </c>
      <c r="F148" s="20" t="n">
        <v>0</v>
      </c>
      <c r="G148" s="20" t="n">
        <v>0</v>
      </c>
      <c r="H148" s="20" t="n">
        <v>0</v>
      </c>
      <c r="I148" s="20" t="n">
        <v>0</v>
      </c>
      <c r="J148" s="20" t="n">
        <v>0</v>
      </c>
      <c r="K148" s="20" t="n">
        <v>0</v>
      </c>
      <c r="L148" s="20" t="n">
        <v>0</v>
      </c>
      <c r="M148" s="20" t="n">
        <v>0</v>
      </c>
      <c r="V148" s="20" t="n">
        <v>0</v>
      </c>
      <c r="W148" s="20" t="n">
        <v>0</v>
      </c>
      <c r="X148" s="20" t="n">
        <v>0</v>
      </c>
    </row>
    <row r="149">
      <c r="A149" s="18" t="inlineStr">
        <is>
          <t>자산운용 사업 · 계</t>
        </is>
      </c>
      <c r="C149" s="20" t="n">
        <v>2038.693</v>
      </c>
      <c r="D149" s="20" t="n">
        <v>2064.348</v>
      </c>
      <c r="E149" s="20" t="n">
        <v>2166.817</v>
      </c>
      <c r="F149" s="20" t="n">
        <v>2354.003</v>
      </c>
      <c r="G149" s="20" t="n">
        <v>2414.143</v>
      </c>
      <c r="H149" s="20" t="n">
        <v>2444.879</v>
      </c>
      <c r="I149" s="20" t="n">
        <v>2539.586</v>
      </c>
      <c r="J149" s="20" t="n">
        <v>2334.725</v>
      </c>
      <c r="K149" s="20" t="n">
        <v>4021.156</v>
      </c>
      <c r="L149" s="20" t="n">
        <v>8165.76</v>
      </c>
      <c r="M149" s="20" t="n">
        <v>11811.781</v>
      </c>
      <c r="V149" s="20" t="n">
        <v>2166.817</v>
      </c>
      <c r="W149" s="20" t="n">
        <v>2539.586</v>
      </c>
      <c r="X149" s="20" t="n">
        <v>11811.781</v>
      </c>
    </row>
    <row r="150">
      <c r="A150" s="43" t="inlineStr">
        <is>
          <t>YoY</t>
        </is>
      </c>
      <c r="B150" s="3" t="inlineStr">
        <is>
          <t>전년 같은 분기·전년 대비</t>
        </is>
      </c>
      <c r="G150" s="15">
        <f>IF(OR(G149="",C149=""),"",IF(C149&lt;=0,"",IFERROR(G149/C149-1,"")))</f>
        <v/>
      </c>
      <c r="H150" s="15">
        <f>IF(OR(H149="",D149=""),"",IF(D149&lt;=0,"",IFERROR(H149/D149-1,"")))</f>
        <v/>
      </c>
      <c r="I150" s="15">
        <f>IF(OR(I149="",E149=""),"",IF(E149&lt;=0,"",IFERROR(I149/E149-1,"")))</f>
        <v/>
      </c>
      <c r="J150" s="15">
        <f>IF(OR(J149="",F149=""),"",IF(F149&lt;=0,"",IFERROR(J149/F149-1,"")))</f>
        <v/>
      </c>
      <c r="K150" s="15">
        <f>IF(OR(K149="",G149=""),"",IF(G149&lt;=0,"",IFERROR(K149/G149-1,"")))</f>
        <v/>
      </c>
      <c r="L150" s="15">
        <f>IF(OR(L149="",H149=""),"",IF(H149&lt;=0,"",IFERROR(L149/H149-1,"")))</f>
        <v/>
      </c>
      <c r="M150" s="15">
        <f>IF(OR(M149="",I149=""),"",IF(I149&lt;=0,"",IFERROR(M149/I149-1,"")))</f>
        <v/>
      </c>
      <c r="V150" s="15">
        <f>IF(OR(V149="",U149=""),"",IF(U149&lt;=0,"",IFERROR(V149/U149-1,"")))</f>
        <v/>
      </c>
      <c r="W150" s="15">
        <f>IF(OR(W149="",V149=""),"",IF(V149&lt;=0,"",IFERROR(W149/V149-1,"")))</f>
        <v/>
      </c>
      <c r="X150" s="15">
        <f>IF(OR(X149="",W149=""),"",IF(W149&lt;=0,"",IFERROR(X149/W149-1,"")))</f>
        <v/>
      </c>
    </row>
    <row r="151">
      <c r="A151" s="18" t="inlineStr">
        <is>
          <t>금융서비스 사업 · 계</t>
        </is>
      </c>
      <c r="C151" s="20" t="n">
        <v>505.729</v>
      </c>
      <c r="D151" s="20" t="n">
        <v>523.855</v>
      </c>
      <c r="E151" s="20" t="n">
        <v>396.094</v>
      </c>
      <c r="F151" s="20" t="n">
        <v>490.854</v>
      </c>
      <c r="G151" s="20" t="n">
        <v>482.246</v>
      </c>
      <c r="H151" s="20" t="n">
        <v>470.116</v>
      </c>
      <c r="I151" s="20" t="n">
        <v>378.46</v>
      </c>
      <c r="J151" s="20" t="n">
        <v>511.173</v>
      </c>
      <c r="K151" s="20" t="n">
        <v>409.687</v>
      </c>
      <c r="L151" s="20" t="n">
        <v>388</v>
      </c>
      <c r="M151" s="20" t="n">
        <v>225.745</v>
      </c>
      <c r="V151" s="20" t="n">
        <v>396.094</v>
      </c>
      <c r="W151" s="20" t="n">
        <v>378.46</v>
      </c>
      <c r="X151" s="20" t="n">
        <v>225.745</v>
      </c>
    </row>
    <row r="152">
      <c r="A152" s="43" t="inlineStr">
        <is>
          <t>YoY</t>
        </is>
      </c>
      <c r="B152" s="3" t="inlineStr">
        <is>
          <t>전년 같은 분기·전년 대비</t>
        </is>
      </c>
      <c r="G152" s="15">
        <f>IF(OR(G151="",C151=""),"",IF(C151&lt;=0,"",IFERROR(G151/C151-1,"")))</f>
        <v/>
      </c>
      <c r="H152" s="15">
        <f>IF(OR(H151="",D151=""),"",IF(D151&lt;=0,"",IFERROR(H151/D151-1,"")))</f>
        <v/>
      </c>
      <c r="I152" s="15">
        <f>IF(OR(I151="",E151=""),"",IF(E151&lt;=0,"",IFERROR(I151/E151-1,"")))</f>
        <v/>
      </c>
      <c r="J152" s="15">
        <f>IF(OR(J151="",F151=""),"",IF(F151&lt;=0,"",IFERROR(J151/F151-1,"")))</f>
        <v/>
      </c>
      <c r="K152" s="15">
        <f>IF(OR(K151="",G151=""),"",IF(G151&lt;=0,"",IFERROR(K151/G151-1,"")))</f>
        <v/>
      </c>
      <c r="L152" s="15">
        <f>IF(OR(L151="",H151=""),"",IF(H151&lt;=0,"",IFERROR(L151/H151-1,"")))</f>
        <v/>
      </c>
      <c r="M152" s="15">
        <f>IF(OR(M151="",I151=""),"",IF(I151&lt;=0,"",IFERROR(M151/I151-1,"")))</f>
        <v/>
      </c>
      <c r="V152" s="15">
        <f>IF(OR(V151="",U151=""),"",IF(U151&lt;=0,"",IFERROR(V151/U151-1,"")))</f>
        <v/>
      </c>
      <c r="W152" s="15">
        <f>IF(OR(W151="",V151=""),"",IF(V151&lt;=0,"",IFERROR(W151/V151-1,"")))</f>
        <v/>
      </c>
      <c r="X152" s="15">
        <f>IF(OR(X151="",W151=""),"",IF(W151&lt;=0,"",IFERROR(X151/W151-1,"")))</f>
        <v/>
      </c>
    </row>
    <row r="153">
      <c r="A153" s="18" t="inlineStr">
        <is>
          <t>보고부문 합계 · 계</t>
        </is>
      </c>
      <c r="C153" s="20" t="n">
        <v>2544.422</v>
      </c>
      <c r="D153" s="20" t="n">
        <v>2588.203</v>
      </c>
      <c r="E153" s="20" t="n">
        <v>2562.911</v>
      </c>
      <c r="F153" s="20" t="n">
        <v>2844.857</v>
      </c>
      <c r="G153" s="20" t="n">
        <v>2896.389</v>
      </c>
      <c r="H153" s="20" t="n">
        <v>2914.995</v>
      </c>
      <c r="I153" s="20" t="n">
        <v>2918.047</v>
      </c>
      <c r="J153" s="20" t="n">
        <v>2845.898</v>
      </c>
      <c r="K153" s="20" t="n">
        <v>4430.843</v>
      </c>
      <c r="L153" s="20" t="n">
        <v>8553.76</v>
      </c>
      <c r="M153" s="20" t="n">
        <v>12037.527</v>
      </c>
      <c r="V153" s="20" t="n">
        <v>2562.911</v>
      </c>
      <c r="W153" s="20" t="n">
        <v>2918.047</v>
      </c>
      <c r="X153" s="20" t="n">
        <v>12037.527</v>
      </c>
    </row>
    <row r="154">
      <c r="A154" s="43" t="inlineStr">
        <is>
          <t>YoY</t>
        </is>
      </c>
      <c r="B154" s="3" t="inlineStr">
        <is>
          <t>전년 같은 분기·전년 대비</t>
        </is>
      </c>
      <c r="G154" s="15">
        <f>IF(OR(G153="",C153=""),"",IF(C153&lt;=0,"",IFERROR(G153/C153-1,"")))</f>
        <v/>
      </c>
      <c r="H154" s="15">
        <f>IF(OR(H153="",D153=""),"",IF(D153&lt;=0,"",IFERROR(H153/D153-1,"")))</f>
        <v/>
      </c>
      <c r="I154" s="15">
        <f>IF(OR(I153="",E153=""),"",IF(E153&lt;=0,"",IFERROR(I153/E153-1,"")))</f>
        <v/>
      </c>
      <c r="J154" s="15">
        <f>IF(OR(J153="",F153=""),"",IF(F153&lt;=0,"",IFERROR(J153/F153-1,"")))</f>
        <v/>
      </c>
      <c r="K154" s="15">
        <f>IF(OR(K153="",G153=""),"",IF(G153&lt;=0,"",IFERROR(K153/G153-1,"")))</f>
        <v/>
      </c>
      <c r="L154" s="15">
        <f>IF(OR(L153="",H153=""),"",IF(H153&lt;=0,"",IFERROR(L153/H153-1,"")))</f>
        <v/>
      </c>
      <c r="M154" s="15">
        <f>IF(OR(M153="",I153=""),"",IF(I153&lt;=0,"",IFERROR(M153/I153-1,"")))</f>
        <v/>
      </c>
      <c r="V154" s="15">
        <f>IF(OR(V153="",U153=""),"",IF(U153&lt;=0,"",IFERROR(V153/U153-1,"")))</f>
        <v/>
      </c>
      <c r="W154" s="15">
        <f>IF(OR(W153="",V153=""),"",IF(V153&lt;=0,"",IFERROR(W153/V153-1,"")))</f>
        <v/>
      </c>
      <c r="X154" s="15">
        <f>IF(OR(X153="",W153=""),"",IF(W153&lt;=0,"",IFERROR(X153/W153-1,"")))</f>
        <v/>
      </c>
    </row>
    <row r="155">
      <c r="A155" s="18" t="inlineStr">
        <is>
          <t>조정액 · 계</t>
        </is>
      </c>
      <c r="C155" s="20" t="n">
        <v>-1.324</v>
      </c>
      <c r="D155" s="20" t="n">
        <v>-1.321</v>
      </c>
      <c r="E155" s="20" t="n">
        <v>-1.323</v>
      </c>
      <c r="F155" s="20" t="n">
        <v>-1.336</v>
      </c>
      <c r="G155" s="20" t="n">
        <v>-1.329</v>
      </c>
      <c r="H155" s="20" t="n">
        <v>-1.322</v>
      </c>
      <c r="I155" s="20" t="n">
        <v>-1.31</v>
      </c>
      <c r="J155" s="20" t="n">
        <v>-1.312</v>
      </c>
      <c r="K155" s="20" t="n">
        <v>-1.816</v>
      </c>
      <c r="L155" s="20" t="n">
        <v>-2.556</v>
      </c>
      <c r="M155" s="20" t="n">
        <v>-2.698</v>
      </c>
      <c r="V155" s="20" t="n">
        <v>-1.323</v>
      </c>
      <c r="W155" s="20" t="n">
        <v>-1.31</v>
      </c>
      <c r="X155" s="20" t="n">
        <v>-2.698</v>
      </c>
    </row>
    <row r="156">
      <c r="A156" s="9" t="inlineStr">
        <is>
          <t>계</t>
        </is>
      </c>
      <c r="C156" s="12" t="n">
        <v>2543.098</v>
      </c>
      <c r="D156" s="12" t="n">
        <v>2586.882</v>
      </c>
      <c r="E156" s="12" t="n">
        <v>2561.588</v>
      </c>
      <c r="F156" s="12" t="n">
        <v>2843.521</v>
      </c>
      <c r="G156" s="12" t="n">
        <v>2895.06</v>
      </c>
      <c r="H156" s="12" t="n">
        <v>2913.672</v>
      </c>
      <c r="I156" s="12" t="n">
        <v>2916.737</v>
      </c>
      <c r="J156" s="12" t="n">
        <v>2844.585</v>
      </c>
      <c r="K156" s="12" t="n">
        <v>4429.028</v>
      </c>
      <c r="L156" s="12" t="n">
        <v>8551.204</v>
      </c>
      <c r="M156" s="12" t="n">
        <v>12034.829</v>
      </c>
      <c r="V156" s="12" t="n">
        <v>2561.588</v>
      </c>
      <c r="W156" s="12" t="n">
        <v>2916.737</v>
      </c>
      <c r="X156" s="12" t="n">
        <v>12034.829</v>
      </c>
    </row>
    <row r="157">
      <c r="A157" s="43" t="inlineStr">
        <is>
          <t>YoY</t>
        </is>
      </c>
      <c r="B157" s="3" t="inlineStr">
        <is>
          <t>전년 같은 분기·전년 대비</t>
        </is>
      </c>
      <c r="G157" s="15">
        <f>IF(OR(G156="",C156=""),"",IF(C156&lt;=0,"",IFERROR(G156/C156-1,"")))</f>
        <v/>
      </c>
      <c r="H157" s="15">
        <f>IF(OR(H156="",D156=""),"",IF(D156&lt;=0,"",IFERROR(H156/D156-1,"")))</f>
        <v/>
      </c>
      <c r="I157" s="15">
        <f>IF(OR(I156="",E156=""),"",IF(E156&lt;=0,"",IFERROR(I156/E156-1,"")))</f>
        <v/>
      </c>
      <c r="J157" s="15">
        <f>IF(OR(J156="",F156=""),"",IF(F156&lt;=0,"",IFERROR(J156/F156-1,"")))</f>
        <v/>
      </c>
      <c r="K157" s="15">
        <f>IF(OR(K156="",G156=""),"",IF(G156&lt;=0,"",IFERROR(K156/G156-1,"")))</f>
        <v/>
      </c>
      <c r="L157" s="15">
        <f>IF(OR(L156="",H156=""),"",IF(H156&lt;=0,"",IFERROR(L156/H156-1,"")))</f>
        <v/>
      </c>
      <c r="M157" s="15">
        <f>IF(OR(M156="",I156=""),"",IF(I156&lt;=0,"",IFERROR(M156/I156-1,"")))</f>
        <v/>
      </c>
      <c r="V157" s="15">
        <f>IF(OR(V156="",U156=""),"",IF(U156&lt;=0,"",IFERROR(V156/U156-1,"")))</f>
        <v/>
      </c>
      <c r="W157" s="15">
        <f>IF(OR(W156="",V156=""),"",IF(V156&lt;=0,"",IFERROR(W156/V156-1,"")))</f>
        <v/>
      </c>
      <c r="X157" s="15">
        <f>IF(OR(X156="",W156=""),"",IF(W156&lt;=0,"",IFERROR(X156/W156-1,"")))</f>
        <v/>
      </c>
    </row>
    <row r="158">
      <c r="A158" s="18" t="inlineStr">
        <is>
          <t>자산운용 사업 · 부문 이익</t>
        </is>
      </c>
      <c r="C158" s="20" t="n">
        <v>426.635</v>
      </c>
      <c r="D158" s="20" t="n">
        <v>451.494</v>
      </c>
      <c r="E158" s="20" t="n">
        <v>481.032</v>
      </c>
      <c r="F158" s="20" t="n">
        <v>512.478</v>
      </c>
      <c r="G158" s="20" t="n">
        <v>537.938</v>
      </c>
      <c r="H158" s="20" t="n">
        <v>519.83</v>
      </c>
      <c r="I158" s="20" t="n">
        <v>551.551</v>
      </c>
      <c r="J158" s="20" t="n">
        <v>445.585</v>
      </c>
      <c r="K158" s="20" t="n">
        <v>869.7910000000001</v>
      </c>
      <c r="L158" s="20" t="n">
        <v>1451.942</v>
      </c>
      <c r="M158" s="20" t="n">
        <v>2921.9</v>
      </c>
      <c r="V158" s="20" t="n">
        <v>481.032</v>
      </c>
      <c r="W158" s="20" t="n">
        <v>551.551</v>
      </c>
      <c r="X158" s="20" t="n">
        <v>2921.9</v>
      </c>
    </row>
    <row r="159">
      <c r="A159" s="43" t="inlineStr">
        <is>
          <t>OPM</t>
        </is>
      </c>
      <c r="B159" s="3" t="inlineStr">
        <is>
          <t>영업이익 ÷ 매출</t>
        </is>
      </c>
      <c r="C159" s="15">
        <f>IF(OR(C158="",C149=""),"",IF(C149&lt;=0,"",IFERROR(C158/C149,"")))</f>
        <v/>
      </c>
      <c r="D159" s="15">
        <f>IF(OR(D158="",D149=""),"",IF(D149&lt;=0,"",IFERROR(D158/D149,"")))</f>
        <v/>
      </c>
      <c r="E159" s="15">
        <f>IF(OR(E158="",E149=""),"",IF(E149&lt;=0,"",IFERROR(E158/E149,"")))</f>
        <v/>
      </c>
      <c r="F159" s="15">
        <f>IF(OR(F158="",F149=""),"",IF(F149&lt;=0,"",IFERROR(F158/F149,"")))</f>
        <v/>
      </c>
      <c r="G159" s="15">
        <f>IF(OR(G158="",G149=""),"",IF(G149&lt;=0,"",IFERROR(G158/G149,"")))</f>
        <v/>
      </c>
      <c r="H159" s="15">
        <f>IF(OR(H158="",H149=""),"",IF(H149&lt;=0,"",IFERROR(H158/H149,"")))</f>
        <v/>
      </c>
      <c r="I159" s="15">
        <f>IF(OR(I158="",I149=""),"",IF(I149&lt;=0,"",IFERROR(I158/I149,"")))</f>
        <v/>
      </c>
      <c r="J159" s="15">
        <f>IF(OR(J158="",J149=""),"",IF(J149&lt;=0,"",IFERROR(J158/J149,"")))</f>
        <v/>
      </c>
      <c r="K159" s="15">
        <f>IF(OR(K158="",K149=""),"",IF(K149&lt;=0,"",IFERROR(K158/K149,"")))</f>
        <v/>
      </c>
      <c r="L159" s="15">
        <f>IF(OR(L158="",L149=""),"",IF(L149&lt;=0,"",IFERROR(L158/L149,"")))</f>
        <v/>
      </c>
      <c r="M159" s="15">
        <f>IF(OR(M158="",M149=""),"",IF(M149&lt;=0,"",IFERROR(M158/M149,"")))</f>
        <v/>
      </c>
      <c r="V159" s="15">
        <f>IF(OR(V158="",V149=""),"",IF(V149&lt;=0,"",IFERROR(V158/V149,"")))</f>
        <v/>
      </c>
      <c r="W159" s="15">
        <f>IF(OR(W158="",W149=""),"",IF(W149&lt;=0,"",IFERROR(W158/W149,"")))</f>
        <v/>
      </c>
      <c r="X159" s="15">
        <f>IF(OR(X158="",X149=""),"",IF(X149&lt;=0,"",IFERROR(X158/X149,"")))</f>
        <v/>
      </c>
    </row>
    <row r="160">
      <c r="A160" s="43" t="inlineStr">
        <is>
          <t>YoY</t>
        </is>
      </c>
      <c r="B160" s="3" t="inlineStr">
        <is>
          <t>전년 같은 분기·전년 대비</t>
        </is>
      </c>
      <c r="G160" s="15">
        <f>IF(OR(G158="",C158=""),"",IF(C158&lt;=0,"",IFERROR(G158/C158-1,"")))</f>
        <v/>
      </c>
      <c r="H160" s="15">
        <f>IF(OR(H158="",D158=""),"",IF(D158&lt;=0,"",IFERROR(H158/D158-1,"")))</f>
        <v/>
      </c>
      <c r="I160" s="15">
        <f>IF(OR(I158="",E158=""),"",IF(E158&lt;=0,"",IFERROR(I158/E158-1,"")))</f>
        <v/>
      </c>
      <c r="J160" s="15">
        <f>IF(OR(J158="",F158=""),"",IF(F158&lt;=0,"",IFERROR(J158/F158-1,"")))</f>
        <v/>
      </c>
      <c r="K160" s="15">
        <f>IF(OR(K158="",G158=""),"",IF(G158&lt;=0,"",IFERROR(K158/G158-1,"")))</f>
        <v/>
      </c>
      <c r="L160" s="15">
        <f>IF(OR(L158="",H158=""),"",IF(H158&lt;=0,"",IFERROR(L158/H158-1,"")))</f>
        <v/>
      </c>
      <c r="M160" s="15">
        <f>IF(OR(M158="",I158=""),"",IF(I158&lt;=0,"",IFERROR(M158/I158-1,"")))</f>
        <v/>
      </c>
      <c r="V160" s="15">
        <f>IF(OR(V158="",U158=""),"",IF(U158&lt;=0,"",IFERROR(V158/U158-1,"")))</f>
        <v/>
      </c>
      <c r="W160" s="15">
        <f>IF(OR(W158="",V158=""),"",IF(V158&lt;=0,"",IFERROR(W158/V158-1,"")))</f>
        <v/>
      </c>
      <c r="X160" s="15">
        <f>IF(OR(X158="",W158=""),"",IF(W158&lt;=0,"",IFERROR(X158/W158-1,"")))</f>
        <v/>
      </c>
    </row>
    <row r="161">
      <c r="A161" s="18" t="inlineStr">
        <is>
          <t>금융서비스 사업 · 부문 이익</t>
        </is>
      </c>
      <c r="C161" s="20" t="n">
        <v>159.548</v>
      </c>
      <c r="D161" s="20" t="n">
        <v>91.28400000000001</v>
      </c>
      <c r="E161" s="20" t="n">
        <v>-40.21</v>
      </c>
      <c r="F161" s="20" t="n">
        <v>88.72799999999999</v>
      </c>
      <c r="G161" s="20" t="n">
        <v>79.43300000000001</v>
      </c>
      <c r="H161" s="20" t="n">
        <v>443.955</v>
      </c>
      <c r="I161" s="20" t="n">
        <v>25.588</v>
      </c>
      <c r="J161" s="20" t="n">
        <v>67.51600000000001</v>
      </c>
      <c r="K161" s="20" t="n">
        <v>33.553</v>
      </c>
      <c r="L161" s="20" t="n">
        <v>438.926</v>
      </c>
      <c r="M161" s="20" t="n">
        <v>-265.551</v>
      </c>
      <c r="V161" s="20" t="n">
        <v>-40.21</v>
      </c>
      <c r="W161" s="20" t="n">
        <v>25.588</v>
      </c>
      <c r="X161" s="20" t="n">
        <v>-265.551</v>
      </c>
    </row>
    <row r="162">
      <c r="A162" s="43" t="inlineStr">
        <is>
          <t>OPM</t>
        </is>
      </c>
      <c r="B162" s="3" t="inlineStr">
        <is>
          <t>영업이익 ÷ 매출</t>
        </is>
      </c>
      <c r="C162" s="15">
        <f>IF(OR(C161="",C151=""),"",IF(C151&lt;=0,"",IFERROR(C161/C151,"")))</f>
        <v/>
      </c>
      <c r="D162" s="15">
        <f>IF(OR(D161="",D151=""),"",IF(D151&lt;=0,"",IFERROR(D161/D151,"")))</f>
        <v/>
      </c>
      <c r="E162" s="15">
        <f>IF(OR(E161="",E151=""),"",IF(E151&lt;=0,"",IFERROR(E161/E151,"")))</f>
        <v/>
      </c>
      <c r="F162" s="15">
        <f>IF(OR(F161="",F151=""),"",IF(F151&lt;=0,"",IFERROR(F161/F151,"")))</f>
        <v/>
      </c>
      <c r="G162" s="15">
        <f>IF(OR(G161="",G151=""),"",IF(G151&lt;=0,"",IFERROR(G161/G151,"")))</f>
        <v/>
      </c>
      <c r="H162" s="15">
        <f>IF(OR(H161="",H151=""),"",IF(H151&lt;=0,"",IFERROR(H161/H151,"")))</f>
        <v/>
      </c>
      <c r="I162" s="15">
        <f>IF(OR(I161="",I151=""),"",IF(I151&lt;=0,"",IFERROR(I161/I151,"")))</f>
        <v/>
      </c>
      <c r="J162" s="15">
        <f>IF(OR(J161="",J151=""),"",IF(J151&lt;=0,"",IFERROR(J161/J151,"")))</f>
        <v/>
      </c>
      <c r="K162" s="15">
        <f>IF(OR(K161="",K151=""),"",IF(K151&lt;=0,"",IFERROR(K161/K151,"")))</f>
        <v/>
      </c>
      <c r="L162" s="15">
        <f>IF(OR(L161="",L151=""),"",IF(L151&lt;=0,"",IFERROR(L161/L151,"")))</f>
        <v/>
      </c>
      <c r="M162" s="15">
        <f>IF(OR(M161="",M151=""),"",IF(M151&lt;=0,"",IFERROR(M161/M151,"")))</f>
        <v/>
      </c>
      <c r="V162" s="15">
        <f>IF(OR(V161="",V151=""),"",IF(V151&lt;=0,"",IFERROR(V161/V151,"")))</f>
        <v/>
      </c>
      <c r="W162" s="15">
        <f>IF(OR(W161="",W151=""),"",IF(W151&lt;=0,"",IFERROR(W161/W151,"")))</f>
        <v/>
      </c>
      <c r="X162" s="15">
        <f>IF(OR(X161="",X151=""),"",IF(X151&lt;=0,"",IFERROR(X161/X151,"")))</f>
        <v/>
      </c>
    </row>
    <row r="163">
      <c r="A163" s="43" t="inlineStr">
        <is>
          <t>YoY</t>
        </is>
      </c>
      <c r="B163" s="3" t="inlineStr">
        <is>
          <t>전년 같은 분기·전년 대비</t>
        </is>
      </c>
      <c r="G163" s="15">
        <f>IF(OR(G161="",C161=""),"",IF(C161&lt;=0,"",IFERROR(G161/C161-1,"")))</f>
        <v/>
      </c>
      <c r="H163" s="15">
        <f>IF(OR(H161="",D161=""),"",IF(D161&lt;=0,"",IFERROR(H161/D161-1,"")))</f>
        <v/>
      </c>
      <c r="I163" s="15">
        <f>IF(OR(I161="",E161=""),"",IF(E161&lt;=0,"",IFERROR(I161/E161-1,"")))</f>
        <v/>
      </c>
      <c r="J163" s="15">
        <f>IF(OR(J161="",F161=""),"",IF(F161&lt;=0,"",IFERROR(J161/F161-1,"")))</f>
        <v/>
      </c>
      <c r="K163" s="15">
        <f>IF(OR(K161="",G161=""),"",IF(G161&lt;=0,"",IFERROR(K161/G161-1,"")))</f>
        <v/>
      </c>
      <c r="L163" s="15">
        <f>IF(OR(L161="",H161=""),"",IF(H161&lt;=0,"",IFERROR(L161/H161-1,"")))</f>
        <v/>
      </c>
      <c r="M163" s="15">
        <f>IF(OR(M161="",I161=""),"",IF(I161&lt;=0,"",IFERROR(M161/I161-1,"")))</f>
        <v/>
      </c>
      <c r="V163" s="15">
        <f>IF(OR(V161="",U161=""),"",IF(U161&lt;=0,"",IFERROR(V161/U161-1,"")))</f>
        <v/>
      </c>
      <c r="W163" s="15">
        <f>IF(OR(W161="",V161=""),"",IF(V161&lt;=0,"",IFERROR(W161/V161-1,"")))</f>
        <v/>
      </c>
      <c r="X163" s="15">
        <f>IF(OR(X161="",W161=""),"",IF(W161&lt;=0,"",IFERROR(X161/W161-1,"")))</f>
        <v/>
      </c>
    </row>
    <row r="164">
      <c r="A164" s="18" t="inlineStr">
        <is>
          <t>보고부문 합계 · 부문 이익</t>
        </is>
      </c>
      <c r="C164" s="20" t="n">
        <v>586.183</v>
      </c>
      <c r="D164" s="20" t="n">
        <v>542.779</v>
      </c>
      <c r="E164" s="20" t="n">
        <v>440.822</v>
      </c>
      <c r="F164" s="20" t="n">
        <v>601.206</v>
      </c>
      <c r="G164" s="20" t="n">
        <v>617.372</v>
      </c>
      <c r="H164" s="20" t="n">
        <v>963.784</v>
      </c>
      <c r="I164" s="20" t="n">
        <v>577.14</v>
      </c>
      <c r="J164" s="20" t="n">
        <v>513.102</v>
      </c>
      <c r="K164" s="20" t="n">
        <v>903.343</v>
      </c>
      <c r="L164" s="20" t="n">
        <v>1890.868</v>
      </c>
      <c r="M164" s="20" t="n">
        <v>2656.35</v>
      </c>
      <c r="V164" s="20" t="n">
        <v>440.822</v>
      </c>
      <c r="W164" s="20" t="n">
        <v>577.14</v>
      </c>
      <c r="X164" s="20" t="n">
        <v>2656.35</v>
      </c>
    </row>
    <row r="165">
      <c r="A165" s="43" t="inlineStr">
        <is>
          <t>OPM</t>
        </is>
      </c>
      <c r="B165" s="3" t="inlineStr">
        <is>
          <t>영업이익 ÷ 매출</t>
        </is>
      </c>
      <c r="C165" s="15">
        <f>IF(OR(C164="",C153=""),"",IF(C153&lt;=0,"",IFERROR(C164/C153,"")))</f>
        <v/>
      </c>
      <c r="D165" s="15">
        <f>IF(OR(D164="",D153=""),"",IF(D153&lt;=0,"",IFERROR(D164/D153,"")))</f>
        <v/>
      </c>
      <c r="E165" s="15">
        <f>IF(OR(E164="",E153=""),"",IF(E153&lt;=0,"",IFERROR(E164/E153,"")))</f>
        <v/>
      </c>
      <c r="F165" s="15">
        <f>IF(OR(F164="",F153=""),"",IF(F153&lt;=0,"",IFERROR(F164/F153,"")))</f>
        <v/>
      </c>
      <c r="G165" s="15">
        <f>IF(OR(G164="",G153=""),"",IF(G153&lt;=0,"",IFERROR(G164/G153,"")))</f>
        <v/>
      </c>
      <c r="H165" s="15">
        <f>IF(OR(H164="",H153=""),"",IF(H153&lt;=0,"",IFERROR(H164/H153,"")))</f>
        <v/>
      </c>
      <c r="I165" s="15">
        <f>IF(OR(I164="",I153=""),"",IF(I153&lt;=0,"",IFERROR(I164/I153,"")))</f>
        <v/>
      </c>
      <c r="J165" s="15">
        <f>IF(OR(J164="",J153=""),"",IF(J153&lt;=0,"",IFERROR(J164/J153,"")))</f>
        <v/>
      </c>
      <c r="K165" s="15">
        <f>IF(OR(K164="",K153=""),"",IF(K153&lt;=0,"",IFERROR(K164/K153,"")))</f>
        <v/>
      </c>
      <c r="L165" s="15">
        <f>IF(OR(L164="",L153=""),"",IF(L153&lt;=0,"",IFERROR(L164/L153,"")))</f>
        <v/>
      </c>
      <c r="M165" s="15">
        <f>IF(OR(M164="",M153=""),"",IF(M153&lt;=0,"",IFERROR(M164/M153,"")))</f>
        <v/>
      </c>
      <c r="V165" s="15">
        <f>IF(OR(V164="",V153=""),"",IF(V153&lt;=0,"",IFERROR(V164/V153,"")))</f>
        <v/>
      </c>
      <c r="W165" s="15">
        <f>IF(OR(W164="",W153=""),"",IF(W153&lt;=0,"",IFERROR(W164/W153,"")))</f>
        <v/>
      </c>
      <c r="X165" s="15">
        <f>IF(OR(X164="",X153=""),"",IF(X153&lt;=0,"",IFERROR(X164/X153,"")))</f>
        <v/>
      </c>
    </row>
    <row r="166">
      <c r="A166" s="43" t="inlineStr">
        <is>
          <t>YoY</t>
        </is>
      </c>
      <c r="B166" s="3" t="inlineStr">
        <is>
          <t>전년 같은 분기·전년 대비</t>
        </is>
      </c>
      <c r="G166" s="15">
        <f>IF(OR(G164="",C164=""),"",IF(C164&lt;=0,"",IFERROR(G164/C164-1,"")))</f>
        <v/>
      </c>
      <c r="H166" s="15">
        <f>IF(OR(H164="",D164=""),"",IF(D164&lt;=0,"",IFERROR(H164/D164-1,"")))</f>
        <v/>
      </c>
      <c r="I166" s="15">
        <f>IF(OR(I164="",E164=""),"",IF(E164&lt;=0,"",IFERROR(I164/E164-1,"")))</f>
        <v/>
      </c>
      <c r="J166" s="15">
        <f>IF(OR(J164="",F164=""),"",IF(F164&lt;=0,"",IFERROR(J164/F164-1,"")))</f>
        <v/>
      </c>
      <c r="K166" s="15">
        <f>IF(OR(K164="",G164=""),"",IF(G164&lt;=0,"",IFERROR(K164/G164-1,"")))</f>
        <v/>
      </c>
      <c r="L166" s="15">
        <f>IF(OR(L164="",H164=""),"",IF(H164&lt;=0,"",IFERROR(L164/H164-1,"")))</f>
        <v/>
      </c>
      <c r="M166" s="15">
        <f>IF(OR(M164="",I164=""),"",IF(I164&lt;=0,"",IFERROR(M164/I164-1,"")))</f>
        <v/>
      </c>
      <c r="V166" s="15">
        <f>IF(OR(V164="",U164=""),"",IF(U164&lt;=0,"",IFERROR(V164/U164-1,"")))</f>
        <v/>
      </c>
      <c r="W166" s="15">
        <f>IF(OR(W164="",V164=""),"",IF(V164&lt;=0,"",IFERROR(W164/V164-1,"")))</f>
        <v/>
      </c>
      <c r="X166" s="15">
        <f>IF(OR(X164="",W164=""),"",IF(W164&lt;=0,"",IFERROR(X164/W164-1,"")))</f>
        <v/>
      </c>
    </row>
    <row r="167">
      <c r="A167" s="18" t="inlineStr">
        <is>
          <t>조정액 · 부문 이익</t>
        </is>
      </c>
      <c r="C167" s="20" t="n">
        <v>0</v>
      </c>
      <c r="D167" s="20" t="n">
        <v>0</v>
      </c>
      <c r="E167" s="20" t="n">
        <v>0</v>
      </c>
      <c r="F167" s="20" t="n">
        <v>0</v>
      </c>
      <c r="G167" s="20" t="n">
        <v>0</v>
      </c>
      <c r="H167" s="20" t="n">
        <v>-373.418</v>
      </c>
      <c r="I167" s="20" t="n">
        <v>-116.81</v>
      </c>
      <c r="J167" s="20" t="n">
        <v>0</v>
      </c>
      <c r="K167" s="20" t="n">
        <v>0</v>
      </c>
      <c r="L167" s="20" t="n">
        <v>-469.16</v>
      </c>
      <c r="M167" s="20" t="n">
        <v>-339.922</v>
      </c>
      <c r="V167" s="20" t="n">
        <v>0</v>
      </c>
      <c r="W167" s="20" t="n">
        <v>-116.81</v>
      </c>
      <c r="X167" s="20" t="n">
        <v>-339.922</v>
      </c>
    </row>
    <row r="168">
      <c r="A168" s="9" t="inlineStr">
        <is>
          <t>부문 이익</t>
        </is>
      </c>
      <c r="C168" s="12" t="n">
        <v>586.183</v>
      </c>
      <c r="D168" s="12" t="n">
        <v>542.779</v>
      </c>
      <c r="E168" s="12" t="n">
        <v>440.822</v>
      </c>
      <c r="F168" s="12" t="n">
        <v>601.206</v>
      </c>
      <c r="G168" s="12" t="n">
        <v>617.372</v>
      </c>
      <c r="H168" s="12" t="n">
        <v>590.366</v>
      </c>
      <c r="I168" s="12" t="n">
        <v>460.33</v>
      </c>
      <c r="J168" s="12" t="n">
        <v>513.102</v>
      </c>
      <c r="K168" s="12" t="n">
        <v>903.343</v>
      </c>
      <c r="L168" s="12" t="n">
        <v>1421.708</v>
      </c>
      <c r="M168" s="12" t="n">
        <v>2316.428</v>
      </c>
      <c r="V168" s="12" t="n">
        <v>440.822</v>
      </c>
      <c r="W168" s="12" t="n">
        <v>460.33</v>
      </c>
      <c r="X168" s="12" t="n">
        <v>2316.428</v>
      </c>
    </row>
    <row r="169">
      <c r="A169" s="43" t="inlineStr">
        <is>
          <t>OPM</t>
        </is>
      </c>
      <c r="B169" s="3" t="inlineStr">
        <is>
          <t>영업이익 ÷ 매출</t>
        </is>
      </c>
      <c r="C169" s="15">
        <f>IF(OR(C168="",C142=""),"",IF(C142&lt;=0,"",IFERROR(C168/C142,"")))</f>
        <v/>
      </c>
      <c r="D169" s="15">
        <f>IF(OR(D168="",D142=""),"",IF(D142&lt;=0,"",IFERROR(D168/D142,"")))</f>
        <v/>
      </c>
      <c r="E169" s="15">
        <f>IF(OR(E168="",E142=""),"",IF(E142&lt;=0,"",IFERROR(E168/E142,"")))</f>
        <v/>
      </c>
      <c r="F169" s="15">
        <f>IF(OR(F168="",F142=""),"",IF(F142&lt;=0,"",IFERROR(F168/F142,"")))</f>
        <v/>
      </c>
      <c r="G169" s="15">
        <f>IF(OR(G168="",G142=""),"",IF(G142&lt;=0,"",IFERROR(G168/G142,"")))</f>
        <v/>
      </c>
      <c r="H169" s="15">
        <f>IF(OR(H168="",H142=""),"",IF(H142&lt;=0,"",IFERROR(H168/H142,"")))</f>
        <v/>
      </c>
      <c r="I169" s="15">
        <f>IF(OR(I168="",I142=""),"",IF(I142&lt;=0,"",IFERROR(I168/I142,"")))</f>
        <v/>
      </c>
      <c r="J169" s="15">
        <f>IF(OR(J168="",J142=""),"",IF(J142&lt;=0,"",IFERROR(J168/J142,"")))</f>
        <v/>
      </c>
      <c r="K169" s="15">
        <f>IF(OR(K168="",K142=""),"",IF(K142&lt;=0,"",IFERROR(K168/K142,"")))</f>
        <v/>
      </c>
      <c r="L169" s="15">
        <f>IF(OR(L168="",L142=""),"",IF(L142&lt;=0,"",IFERROR(L168/L142,"")))</f>
        <v/>
      </c>
      <c r="M169" s="15">
        <f>IF(OR(M168="",M142=""),"",IF(M142&lt;=0,"",IFERROR(M168/M142,"")))</f>
        <v/>
      </c>
      <c r="V169" s="15">
        <f>IF(OR(V168="",V142=""),"",IF(V142&lt;=0,"",IFERROR(V168/V142,"")))</f>
        <v/>
      </c>
      <c r="W169" s="15">
        <f>IF(OR(W168="",W142=""),"",IF(W142&lt;=0,"",IFERROR(W168/W142,"")))</f>
        <v/>
      </c>
      <c r="X169" s="15">
        <f>IF(OR(X168="",X142=""),"",IF(X142&lt;=0,"",IFERROR(X168/X142,"")))</f>
        <v/>
      </c>
    </row>
    <row r="170">
      <c r="A170" s="43" t="inlineStr">
        <is>
          <t>YoY</t>
        </is>
      </c>
      <c r="B170" s="3" t="inlineStr">
        <is>
          <t>전년 같은 분기·전년 대비</t>
        </is>
      </c>
      <c r="G170" s="15">
        <f>IF(OR(G168="",C168=""),"",IF(C168&lt;=0,"",IFERROR(G168/C168-1,"")))</f>
        <v/>
      </c>
      <c r="H170" s="15">
        <f>IF(OR(H168="",D168=""),"",IF(D168&lt;=0,"",IFERROR(H168/D168-1,"")))</f>
        <v/>
      </c>
      <c r="I170" s="15">
        <f>IF(OR(I168="",E168=""),"",IF(E168&lt;=0,"",IFERROR(I168/E168-1,"")))</f>
        <v/>
      </c>
      <c r="J170" s="15">
        <f>IF(OR(J168="",F168=""),"",IF(F168&lt;=0,"",IFERROR(J168/F168-1,"")))</f>
        <v/>
      </c>
      <c r="K170" s="15">
        <f>IF(OR(K168="",G168=""),"",IF(G168&lt;=0,"",IFERROR(K168/G168-1,"")))</f>
        <v/>
      </c>
      <c r="L170" s="15">
        <f>IF(OR(L168="",H168=""),"",IF(H168&lt;=0,"",IFERROR(L168/H168-1,"")))</f>
        <v/>
      </c>
      <c r="M170" s="15">
        <f>IF(OR(M168="",I168=""),"",IF(I168&lt;=0,"",IFERROR(M168/I168-1,"")))</f>
        <v/>
      </c>
      <c r="V170" s="15">
        <f>IF(OR(V168="",U168=""),"",IF(U168&lt;=0,"",IFERROR(V168/U168-1,"")))</f>
        <v/>
      </c>
      <c r="W170" s="15">
        <f>IF(OR(W168="",V168=""),"",IF(V168&lt;=0,"",IFERROR(W168/V168-1,"")))</f>
        <v/>
      </c>
      <c r="X170" s="15">
        <f>IF(OR(X168="",W168=""),"",IF(W168&lt;=0,"",IFERROR(X168/W168-1,"")))</f>
        <v/>
      </c>
    </row>
    <row r="172">
      <c r="A172" s="16" t="inlineStr">
        <is>
          <t>현금흐름표 · 전 항목</t>
        </is>
      </c>
      <c r="B172" s="42" t="inlineStr">
        <is>
          <t>분기 = 결산기 첫날부터 누계(공시 그대로)</t>
        </is>
      </c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  <c r="AA172" s="16" t="n"/>
      <c r="AB172" s="16" t="n"/>
      <c r="AC172" s="16" t="n"/>
    </row>
    <row r="173">
      <c r="A173" s="5" t="inlineStr">
        <is>
          <t>항목</t>
        </is>
      </c>
      <c r="B173" s="5" t="inlineStr">
        <is>
          <t>참고</t>
        </is>
      </c>
      <c r="C173" s="5" t="inlineStr">
        <is>
          <t>2024.2Q</t>
        </is>
      </c>
      <c r="D173" s="5" t="inlineStr">
        <is>
          <t>2024.3Q</t>
        </is>
      </c>
      <c r="E173" s="5" t="inlineStr">
        <is>
          <t>2024.4Q</t>
        </is>
      </c>
      <c r="F173" s="5" t="inlineStr">
        <is>
          <t>2025.1Q</t>
        </is>
      </c>
      <c r="G173" s="5" t="inlineStr">
        <is>
          <t>2025.2Q</t>
        </is>
      </c>
      <c r="H173" s="5" t="inlineStr">
        <is>
          <t>2025.3Q</t>
        </is>
      </c>
      <c r="I173" s="5" t="inlineStr">
        <is>
          <t>2025.4Q</t>
        </is>
      </c>
      <c r="J173" s="5" t="inlineStr">
        <is>
          <t>2026.1Q</t>
        </is>
      </c>
      <c r="K173" s="5" t="inlineStr">
        <is>
          <t>2026.2Q</t>
        </is>
      </c>
      <c r="L173" s="5" t="inlineStr">
        <is>
          <t>2026.3Q</t>
        </is>
      </c>
      <c r="M173" s="5" t="inlineStr">
        <is>
          <t>2026.4Q</t>
        </is>
      </c>
      <c r="N173" s="5" t="inlineStr">
        <is>
          <t>2027.1Q</t>
        </is>
      </c>
      <c r="O173" s="5" t="inlineStr">
        <is>
          <t>2017</t>
        </is>
      </c>
      <c r="P173" s="5" t="inlineStr">
        <is>
          <t>2018</t>
        </is>
      </c>
      <c r="Q173" s="5" t="inlineStr">
        <is>
          <t>2019</t>
        </is>
      </c>
      <c r="R173" s="5" t="inlineStr">
        <is>
          <t>2020</t>
        </is>
      </c>
      <c r="S173" s="5" t="inlineStr">
        <is>
          <t>2021</t>
        </is>
      </c>
      <c r="T173" s="5" t="inlineStr">
        <is>
          <t>2022</t>
        </is>
      </c>
      <c r="U173" s="5" t="inlineStr">
        <is>
          <t>2023</t>
        </is>
      </c>
      <c r="V173" s="5" t="inlineStr">
        <is>
          <t>2024</t>
        </is>
      </c>
      <c r="W173" s="5" t="inlineStr">
        <is>
          <t>2025</t>
        </is>
      </c>
      <c r="X173" s="5" t="inlineStr">
        <is>
          <t>2026</t>
        </is>
      </c>
      <c r="Y173" s="5" t="inlineStr">
        <is>
          <t>2027(MW)</t>
        </is>
      </c>
      <c r="Z173" s="5" t="inlineStr">
        <is>
          <t>2028(MW)</t>
        </is>
      </c>
      <c r="AA173" s="5" t="inlineStr">
        <is>
          <t>2029(MW)</t>
        </is>
      </c>
      <c r="AB173" s="5" t="inlineStr">
        <is>
          <t>2030(MW)</t>
        </is>
      </c>
      <c r="AC173" s="5" t="inlineStr">
        <is>
          <t>2031(MW)</t>
        </is>
      </c>
    </row>
    <row r="174">
      <c r="A174" s="9" t="inlineStr">
        <is>
          <t>법인세차감전 순이익</t>
        </is>
      </c>
      <c r="C174" s="12" t="n">
        <v>1363.383</v>
      </c>
      <c r="E174" s="12" t="n">
        <v>2510.11</v>
      </c>
      <c r="G174" s="12" t="n">
        <v>1424.407</v>
      </c>
      <c r="I174" s="12" t="n">
        <v>2564.971</v>
      </c>
      <c r="K174" s="12" t="n">
        <v>1770.64</v>
      </c>
      <c r="M174" s="12" t="n">
        <v>5542.849</v>
      </c>
      <c r="O174" s="12" t="n">
        <v>1765.941</v>
      </c>
      <c r="P174" s="12" t="n">
        <v>1627.294</v>
      </c>
      <c r="Q174" s="12" t="n">
        <v>1767.211</v>
      </c>
      <c r="R174" s="12" t="n">
        <v>1873.077</v>
      </c>
      <c r="S174" s="12" t="n">
        <v>2155.698</v>
      </c>
      <c r="T174" s="12" t="n">
        <v>2478.052</v>
      </c>
      <c r="U174" s="12" t="n">
        <v>8119.59</v>
      </c>
      <c r="V174" s="12" t="n">
        <v>2510.11</v>
      </c>
      <c r="W174" s="12" t="n">
        <v>2564.971</v>
      </c>
      <c r="X174" s="12" t="n">
        <v>5542.849</v>
      </c>
    </row>
    <row r="175">
      <c r="A175" s="18" t="inlineStr">
        <is>
          <t>감가상각비</t>
        </is>
      </c>
      <c r="C175" s="20" t="n">
        <v>155.32</v>
      </c>
      <c r="E175" s="20" t="n">
        <v>399.544</v>
      </c>
      <c r="G175" s="20" t="n">
        <v>210.324</v>
      </c>
      <c r="I175" s="20" t="n">
        <v>432.823</v>
      </c>
      <c r="K175" s="20" t="n">
        <v>197.634</v>
      </c>
      <c r="M175" s="20" t="n">
        <v>712.4640000000001</v>
      </c>
      <c r="O175" s="20" t="n">
        <v>122.685</v>
      </c>
      <c r="P175" s="20" t="n">
        <v>143.603</v>
      </c>
      <c r="Q175" s="20" t="n">
        <v>212.96</v>
      </c>
      <c r="R175" s="20" t="n">
        <v>299.304</v>
      </c>
      <c r="S175" s="20" t="n">
        <v>400.741</v>
      </c>
      <c r="T175" s="20" t="n">
        <v>449.754</v>
      </c>
      <c r="U175" s="20" t="n">
        <v>433.967</v>
      </c>
      <c r="V175" s="20" t="n">
        <v>399.544</v>
      </c>
      <c r="W175" s="20" t="n">
        <v>432.823</v>
      </c>
      <c r="X175" s="20" t="n">
        <v>712.4640000000001</v>
      </c>
    </row>
    <row r="176">
      <c r="A176" s="18" t="inlineStr">
        <is>
          <t>장기선급비용 상각액</t>
        </is>
      </c>
      <c r="C176" s="20" t="n">
        <v>0</v>
      </c>
      <c r="E176" s="20" t="n">
        <v>0</v>
      </c>
      <c r="I176" s="20" t="n">
        <v>0</v>
      </c>
      <c r="M176" s="20" t="n">
        <v>0.066</v>
      </c>
      <c r="O176" s="20" t="n">
        <v>6.253</v>
      </c>
      <c r="P176" s="20" t="n">
        <v>6.152</v>
      </c>
      <c r="Q176" s="20" t="n">
        <v>4.13</v>
      </c>
      <c r="R176" s="20" t="n">
        <v>4.801</v>
      </c>
      <c r="S176" s="20" t="n">
        <v>5.12</v>
      </c>
      <c r="T176" s="20" t="n">
        <v>4.927</v>
      </c>
      <c r="U176" s="20" t="n">
        <v>4.54</v>
      </c>
      <c r="V176" s="20" t="n">
        <v>0</v>
      </c>
      <c r="W176" s="20" t="n">
        <v>0</v>
      </c>
      <c r="X176" s="20" t="n">
        <v>0.066</v>
      </c>
    </row>
    <row r="177">
      <c r="A177" s="18" t="inlineStr">
        <is>
          <t>주식보상비용</t>
        </is>
      </c>
      <c r="I177" s="20" t="n">
        <v>0</v>
      </c>
      <c r="M177" s="20" t="n">
        <v>51.68</v>
      </c>
      <c r="W177" s="20" t="n">
        <v>0</v>
      </c>
      <c r="X177" s="20" t="n">
        <v>51.68</v>
      </c>
    </row>
    <row r="178">
      <c r="A178" s="18" t="inlineStr">
        <is>
          <t>영업권 상각</t>
        </is>
      </c>
      <c r="C178" s="20" t="n">
        <v>51.645</v>
      </c>
      <c r="E178" s="20" t="n">
        <v>105.743</v>
      </c>
      <c r="G178" s="20" t="n">
        <v>55.4</v>
      </c>
      <c r="I178" s="20" t="n">
        <v>110.509</v>
      </c>
      <c r="K178" s="20" t="n">
        <v>54.547</v>
      </c>
      <c r="M178" s="20" t="n">
        <v>109.769</v>
      </c>
      <c r="O178" s="20" t="n">
        <v>52.807</v>
      </c>
      <c r="P178" s="20" t="n">
        <v>22.7</v>
      </c>
      <c r="Q178" s="20" t="n">
        <v>22.7</v>
      </c>
      <c r="R178" s="20" t="n">
        <v>84.462</v>
      </c>
      <c r="S178" s="20" t="n">
        <v>115.064</v>
      </c>
      <c r="T178" s="20" t="n">
        <v>111.904</v>
      </c>
      <c r="U178" s="20" t="n">
        <v>117.304</v>
      </c>
      <c r="V178" s="20" t="n">
        <v>105.743</v>
      </c>
      <c r="W178" s="20" t="n">
        <v>110.509</v>
      </c>
      <c r="X178" s="20" t="n">
        <v>109.769</v>
      </c>
    </row>
    <row r="179">
      <c r="A179" s="18" t="inlineStr">
        <is>
          <t>신주예약권 환입이익</t>
        </is>
      </c>
      <c r="P179" s="20" t="n">
        <v>0</v>
      </c>
      <c r="Q179" s="20" t="n">
        <v>-1.494</v>
      </c>
      <c r="R179" s="20" t="n">
        <v>0</v>
      </c>
    </row>
    <row r="180">
      <c r="A180" s="18" t="inlineStr">
        <is>
          <t>주식교부비 상각</t>
        </is>
      </c>
      <c r="C180" s="20" t="n">
        <v>5.331</v>
      </c>
      <c r="E180" s="20" t="n">
        <v>7.697</v>
      </c>
      <c r="G180" s="20" t="n">
        <v>0.882</v>
      </c>
      <c r="I180" s="20" t="n">
        <v>1.384</v>
      </c>
      <c r="K180" s="20" t="n">
        <v>0.204</v>
      </c>
      <c r="M180" s="20" t="n">
        <v>1.362</v>
      </c>
      <c r="R180" s="20" t="n">
        <v>0</v>
      </c>
      <c r="S180" s="20" t="n">
        <v>2.966</v>
      </c>
      <c r="T180" s="20" t="n">
        <v>9.278</v>
      </c>
      <c r="U180" s="20" t="n">
        <v>10.416</v>
      </c>
      <c r="V180" s="20" t="n">
        <v>7.697</v>
      </c>
      <c r="W180" s="20" t="n">
        <v>1.384</v>
      </c>
      <c r="X180" s="20" t="n">
        <v>1.362</v>
      </c>
    </row>
    <row r="181">
      <c r="A181" s="18" t="inlineStr">
        <is>
          <t>이자·배당금 수익</t>
        </is>
      </c>
      <c r="C181" s="20" t="n">
        <v>-108.193</v>
      </c>
      <c r="E181" s="20" t="n">
        <v>-259.469</v>
      </c>
      <c r="G181" s="20" t="n">
        <v>-157.48</v>
      </c>
      <c r="I181" s="20" t="n">
        <v>-244.325</v>
      </c>
      <c r="K181" s="20" t="n">
        <v>-116.452</v>
      </c>
      <c r="M181" s="20" t="n">
        <v>-208.963</v>
      </c>
      <c r="O181" s="20" t="n">
        <v>-60.259</v>
      </c>
      <c r="P181" s="20" t="n">
        <v>-122.453</v>
      </c>
      <c r="Q181" s="20" t="n">
        <v>-132.08</v>
      </c>
      <c r="R181" s="20" t="n">
        <v>-333.781</v>
      </c>
      <c r="S181" s="20" t="n">
        <v>-365.336</v>
      </c>
      <c r="T181" s="20" t="n">
        <v>-259.407</v>
      </c>
      <c r="U181" s="20" t="n">
        <v>-605.412</v>
      </c>
      <c r="V181" s="20" t="n">
        <v>-259.469</v>
      </c>
      <c r="W181" s="20" t="n">
        <v>-244.325</v>
      </c>
      <c r="X181" s="20" t="n">
        <v>-208.963</v>
      </c>
    </row>
    <row r="182">
      <c r="A182" s="18" t="inlineStr">
        <is>
          <t>투자유가증권 매각손익</t>
        </is>
      </c>
      <c r="C182" s="20" t="n">
        <v>-131.942</v>
      </c>
      <c r="E182" s="20" t="n">
        <v>-131.942</v>
      </c>
      <c r="G182" s="20" t="n">
        <v>-49.1</v>
      </c>
      <c r="I182" s="20" t="n">
        <v>-49.1</v>
      </c>
      <c r="K182" s="20" t="n">
        <v>-12.969</v>
      </c>
      <c r="M182" s="20" t="n">
        <v>5.772</v>
      </c>
      <c r="O182" s="20" t="n">
        <v>0</v>
      </c>
      <c r="P182" s="20" t="n">
        <v>119.87</v>
      </c>
      <c r="Q182" s="20" t="n">
        <v>0</v>
      </c>
      <c r="R182" s="20" t="n">
        <v>-1.154</v>
      </c>
      <c r="S182" s="20" t="n">
        <v>-26.295</v>
      </c>
      <c r="T182" s="20" t="n">
        <v>-617.349</v>
      </c>
      <c r="U182" s="20" t="n">
        <v>1546.803</v>
      </c>
      <c r="V182" s="20" t="n">
        <v>-131.942</v>
      </c>
      <c r="W182" s="20" t="n">
        <v>-49.1</v>
      </c>
      <c r="X182" s="20" t="n">
        <v>5.772</v>
      </c>
    </row>
    <row r="183">
      <c r="A183" s="18" t="inlineStr">
        <is>
          <t>단계적 취득 차손익</t>
        </is>
      </c>
      <c r="Q183" s="20" t="n">
        <v>0</v>
      </c>
      <c r="R183" s="20" t="n">
        <v>-14.1</v>
      </c>
      <c r="S183" s="20" t="n">
        <v>0</v>
      </c>
    </row>
    <row r="184">
      <c r="A184" s="18" t="inlineStr">
        <is>
          <t>사업정리 손실</t>
        </is>
      </c>
      <c r="O184" s="20" t="n">
        <v>0</v>
      </c>
      <c r="P184" s="20" t="n">
        <v>10.579</v>
      </c>
      <c r="Q184" s="20" t="n">
        <v>8.455</v>
      </c>
      <c r="R184" s="20" t="n">
        <v>0</v>
      </c>
    </row>
    <row r="185">
      <c r="A185" s="18" t="inlineStr">
        <is>
          <t>사업양도 손익</t>
        </is>
      </c>
      <c r="O185" s="20" t="n">
        <v>-617.941</v>
      </c>
      <c r="P185" s="20" t="n">
        <v>0</v>
      </c>
    </row>
    <row r="186">
      <c r="A186" s="18" t="inlineStr">
        <is>
          <t>신탁운용이익</t>
        </is>
      </c>
      <c r="O186" s="20" t="n">
        <v>-2.018</v>
      </c>
      <c r="P186" s="20" t="n">
        <v>0</v>
      </c>
    </row>
    <row r="187">
      <c r="A187" s="18" t="inlineStr">
        <is>
          <t>이전비용</t>
        </is>
      </c>
      <c r="P187" s="20" t="n">
        <v>0</v>
      </c>
      <c r="Q187" s="20" t="n">
        <v>3.064</v>
      </c>
      <c r="R187" s="20" t="n">
        <v>0</v>
      </c>
    </row>
    <row r="188">
      <c r="A188" s="18" t="inlineStr">
        <is>
          <t>투자유가증권 평가손익</t>
        </is>
      </c>
      <c r="C188" s="20" t="n">
        <v>0</v>
      </c>
      <c r="E188" s="20" t="n">
        <v>0</v>
      </c>
      <c r="G188" s="20" t="n">
        <v>0.522</v>
      </c>
      <c r="I188" s="20" t="n">
        <v>0.522</v>
      </c>
      <c r="K188" s="20" t="n">
        <v>0</v>
      </c>
      <c r="M188" s="20" t="n">
        <v>13.999</v>
      </c>
      <c r="S188" s="20" t="n">
        <v>0</v>
      </c>
      <c r="T188" s="20" t="n">
        <v>326.3</v>
      </c>
      <c r="U188" s="20" t="n">
        <v>2.562</v>
      </c>
      <c r="V188" s="20" t="n">
        <v>0</v>
      </c>
      <c r="W188" s="20" t="n">
        <v>0.522</v>
      </c>
      <c r="X188" s="20" t="n">
        <v>13.999</v>
      </c>
    </row>
    <row r="189">
      <c r="A189" s="18" t="inlineStr">
        <is>
          <t>고정자산 제각손실</t>
        </is>
      </c>
      <c r="S189" s="20" t="n">
        <v>0</v>
      </c>
      <c r="T189" s="20" t="n">
        <v>139.365</v>
      </c>
    </row>
    <row r="190">
      <c r="A190" s="18" t="inlineStr">
        <is>
          <t>암호자산 평가손실</t>
        </is>
      </c>
      <c r="T190" s="20" t="n">
        <v>0</v>
      </c>
      <c r="U190" s="20" t="n">
        <v>5.924</v>
      </c>
    </row>
    <row r="191">
      <c r="A191" s="18" t="inlineStr">
        <is>
          <t>암호자산 평가손실</t>
        </is>
      </c>
      <c r="E191" s="20" t="n">
        <v>0</v>
      </c>
      <c r="U191" s="20" t="n">
        <v>5.924</v>
      </c>
      <c r="V191" s="20" t="n">
        <v>0</v>
      </c>
    </row>
    <row r="192">
      <c r="A192" s="18" t="inlineStr">
        <is>
          <t>암호자산 매각손익</t>
        </is>
      </c>
      <c r="G192" s="20" t="n">
        <v>0</v>
      </c>
      <c r="K192" s="20" t="n">
        <v>-225.501</v>
      </c>
    </row>
    <row r="193">
      <c r="A193" s="18" t="inlineStr">
        <is>
          <t>암호자산 매각손익</t>
        </is>
      </c>
      <c r="E193" s="20" t="n">
        <v>-13.717</v>
      </c>
      <c r="I193" s="20" t="n">
        <v>0</v>
      </c>
      <c r="M193" s="20" t="n">
        <v>-225.501</v>
      </c>
      <c r="U193" s="20" t="n">
        <v>0</v>
      </c>
      <c r="V193" s="20" t="n">
        <v>-13.717</v>
      </c>
      <c r="W193" s="20" t="n">
        <v>0</v>
      </c>
      <c r="X193" s="20" t="n">
        <v>-225.501</v>
      </c>
    </row>
    <row r="194">
      <c r="A194" s="18" t="inlineStr">
        <is>
          <t>무형자산 제각손실</t>
        </is>
      </c>
      <c r="E194" s="20" t="n">
        <v>0</v>
      </c>
      <c r="T194" s="20" t="n">
        <v>139.365</v>
      </c>
      <c r="U194" s="20" t="n">
        <v>98.289</v>
      </c>
      <c r="V194" s="20" t="n">
        <v>0</v>
      </c>
    </row>
    <row r="195">
      <c r="A195" s="18" t="inlineStr">
        <is>
          <t>손상차손</t>
        </is>
      </c>
      <c r="E195" s="20" t="n">
        <v>0</v>
      </c>
      <c r="I195" s="20" t="n">
        <v>0</v>
      </c>
      <c r="M195" s="20" t="n">
        <v>23.584</v>
      </c>
      <c r="O195" s="20" t="n">
        <v>470</v>
      </c>
      <c r="P195" s="20" t="n">
        <v>0</v>
      </c>
      <c r="S195" s="20" t="n">
        <v>0</v>
      </c>
      <c r="T195" s="20" t="n">
        <v>50.408</v>
      </c>
      <c r="U195" s="20" t="n">
        <v>433.072</v>
      </c>
      <c r="V195" s="20" t="n">
        <v>0</v>
      </c>
      <c r="W195" s="20" t="n">
        <v>0</v>
      </c>
      <c r="X195" s="20" t="n">
        <v>23.584</v>
      </c>
    </row>
    <row r="196">
      <c r="A196" s="18" t="inlineStr">
        <is>
          <t>사무소 이전비용</t>
        </is>
      </c>
      <c r="E196" s="20" t="n">
        <v>0</v>
      </c>
      <c r="T196" s="20" t="n">
        <v>0</v>
      </c>
      <c r="U196" s="20" t="n">
        <v>9.736000000000001</v>
      </c>
      <c r="V196" s="20" t="n">
        <v>0</v>
      </c>
    </row>
    <row r="197">
      <c r="A197" s="18" t="inlineStr">
        <is>
          <t>조직재편비용</t>
        </is>
      </c>
      <c r="T197" s="20" t="n">
        <v>0</v>
      </c>
      <c r="U197" s="20" t="n">
        <v>224.468</v>
      </c>
    </row>
    <row r="198">
      <c r="A198" s="18" t="inlineStr">
        <is>
          <t>브랜드 반환 수입</t>
        </is>
      </c>
      <c r="T198" s="20" t="n">
        <v>0</v>
      </c>
      <c r="U198" s="20" t="n">
        <v>-8000</v>
      </c>
    </row>
    <row r="199">
      <c r="A199" s="18" t="inlineStr">
        <is>
          <t>조직재편비용</t>
        </is>
      </c>
      <c r="E199" s="20" t="n">
        <v>0</v>
      </c>
      <c r="U199" s="20" t="n">
        <v>224.468</v>
      </c>
      <c r="V199" s="20" t="n">
        <v>0</v>
      </c>
    </row>
    <row r="200">
      <c r="A200" s="18" t="inlineStr">
        <is>
          <t>브랜드 반환 수입</t>
        </is>
      </c>
      <c r="E200" s="20" t="n">
        <v>0</v>
      </c>
      <c r="U200" s="20" t="n">
        <v>-8000</v>
      </c>
      <c r="V200" s="20" t="n">
        <v>0</v>
      </c>
    </row>
    <row r="201">
      <c r="A201" s="18" t="inlineStr">
        <is>
          <t>외환차손익</t>
        </is>
      </c>
      <c r="C201" s="20" t="n">
        <v>-0.5620000000000001</v>
      </c>
      <c r="E201" s="20" t="n">
        <v>-0.642</v>
      </c>
      <c r="G201" s="20" t="n">
        <v>1.387</v>
      </c>
      <c r="I201" s="20" t="n">
        <v>-0.5679999999999999</v>
      </c>
      <c r="K201" s="20" t="n">
        <v>0.581</v>
      </c>
      <c r="M201" s="20" t="n">
        <v>1.014</v>
      </c>
      <c r="O201" s="20" t="n">
        <v>0.802</v>
      </c>
      <c r="P201" s="20" t="n">
        <v>-0.019</v>
      </c>
      <c r="Q201" s="20" t="n">
        <v>0.629</v>
      </c>
      <c r="R201" s="20" t="n">
        <v>-0.386</v>
      </c>
      <c r="S201" s="20" t="n">
        <v>-10.38</v>
      </c>
      <c r="T201" s="20" t="n">
        <v>7.185</v>
      </c>
      <c r="U201" s="20" t="n">
        <v>-0.25</v>
      </c>
      <c r="V201" s="20" t="n">
        <v>-0.642</v>
      </c>
      <c r="W201" s="20" t="n">
        <v>-0.5679999999999999</v>
      </c>
      <c r="X201" s="20" t="n">
        <v>1.014</v>
      </c>
    </row>
    <row r="202">
      <c r="A202" s="18" t="inlineStr">
        <is>
          <t>이자비용</t>
        </is>
      </c>
      <c r="O202" s="20" t="n">
        <v>0.013</v>
      </c>
      <c r="P202" s="20" t="n">
        <v>0</v>
      </c>
      <c r="Q202" s="20" t="n">
        <v>0</v>
      </c>
      <c r="R202" s="20" t="n">
        <v>17.295</v>
      </c>
      <c r="S202" s="20" t="n">
        <v>16.447</v>
      </c>
      <c r="T202" s="20" t="n">
        <v>0</v>
      </c>
    </row>
    <row r="203">
      <c r="A203" s="18" t="inlineStr">
        <is>
          <t>지분법손익</t>
        </is>
      </c>
      <c r="O203" s="20" t="n">
        <v>2.567</v>
      </c>
      <c r="P203" s="20" t="n">
        <v>3.814</v>
      </c>
      <c r="Q203" s="20" t="n">
        <v>4.497</v>
      </c>
      <c r="R203" s="20" t="n">
        <v>1.63</v>
      </c>
      <c r="S203" s="20" t="n">
        <v>-5.688</v>
      </c>
      <c r="T203" s="20" t="n">
        <v>0</v>
      </c>
    </row>
    <row r="204">
      <c r="A204" s="18" t="inlineStr">
        <is>
          <t>매출채권 증감</t>
        </is>
      </c>
      <c r="C204" s="20" t="n">
        <v>-399.414</v>
      </c>
      <c r="E204" s="20" t="n">
        <v>-445.915</v>
      </c>
      <c r="G204" s="20" t="n">
        <v>-445.04</v>
      </c>
      <c r="I204" s="20" t="n">
        <v>-281.58</v>
      </c>
      <c r="K204" s="20" t="n">
        <v>573.8339999999999</v>
      </c>
      <c r="M204" s="20" t="n">
        <v>-2897.406</v>
      </c>
      <c r="O204" s="20" t="n">
        <v>2.501</v>
      </c>
      <c r="P204" s="20" t="n">
        <v>-323.419</v>
      </c>
      <c r="Q204" s="20" t="n">
        <v>-19.329</v>
      </c>
      <c r="R204" s="20" t="n">
        <v>24.009</v>
      </c>
      <c r="S204" s="20" t="n">
        <v>-8.859999999999999</v>
      </c>
      <c r="T204" s="20" t="n">
        <v>-349.493</v>
      </c>
      <c r="U204" s="20" t="n">
        <v>250.212</v>
      </c>
      <c r="V204" s="20" t="n">
        <v>-445.915</v>
      </c>
      <c r="W204" s="20" t="n">
        <v>-281.58</v>
      </c>
      <c r="X204" s="20" t="n">
        <v>-2897.406</v>
      </c>
    </row>
    <row r="205">
      <c r="A205" s="18" t="inlineStr">
        <is>
          <t>재고자산 증감</t>
        </is>
      </c>
      <c r="C205" s="20" t="n">
        <v>0.018</v>
      </c>
      <c r="E205" s="20" t="n">
        <v>-2.311</v>
      </c>
      <c r="G205" s="20" t="n">
        <v>1.347</v>
      </c>
      <c r="I205" s="20" t="n">
        <v>1.829</v>
      </c>
      <c r="K205" s="20" t="n">
        <v>0.885</v>
      </c>
      <c r="M205" s="20" t="n">
        <v>4.035</v>
      </c>
      <c r="O205" s="20" t="n">
        <v>19.673</v>
      </c>
      <c r="P205" s="20" t="n">
        <v>-2.088</v>
      </c>
      <c r="Q205" s="20" t="n">
        <v>-2.528</v>
      </c>
      <c r="R205" s="20" t="n">
        <v>5.21</v>
      </c>
      <c r="S205" s="20" t="n">
        <v>0.931</v>
      </c>
      <c r="T205" s="20" t="n">
        <v>-0.005</v>
      </c>
      <c r="U205" s="20" t="n">
        <v>-0.122</v>
      </c>
      <c r="V205" s="20" t="n">
        <v>-2.311</v>
      </c>
      <c r="W205" s="20" t="n">
        <v>1.829</v>
      </c>
      <c r="X205" s="20" t="n">
        <v>4.035</v>
      </c>
    </row>
    <row r="206">
      <c r="A206" s="18" t="inlineStr">
        <is>
          <t>매입채무 증감</t>
        </is>
      </c>
      <c r="C206" s="20" t="n">
        <v>-46.826</v>
      </c>
      <c r="E206" s="20" t="n">
        <v>-43.987</v>
      </c>
      <c r="G206" s="20" t="n">
        <v>4.071</v>
      </c>
      <c r="I206" s="20" t="n">
        <v>1.701</v>
      </c>
      <c r="K206" s="20" t="n">
        <v>-6.03</v>
      </c>
      <c r="M206" s="20" t="n">
        <v>3.004</v>
      </c>
      <c r="O206" s="20" t="n">
        <v>-23.775</v>
      </c>
      <c r="P206" s="20" t="n">
        <v>-11.777</v>
      </c>
      <c r="Q206" s="20" t="n">
        <v>3.16</v>
      </c>
      <c r="R206" s="20" t="n">
        <v>-29.644</v>
      </c>
      <c r="S206" s="20" t="n">
        <v>34.65</v>
      </c>
      <c r="T206" s="20" t="n">
        <v>-0.219</v>
      </c>
      <c r="U206" s="20" t="n">
        <v>0.135</v>
      </c>
      <c r="V206" s="20" t="n">
        <v>-43.987</v>
      </c>
      <c r="W206" s="20" t="n">
        <v>1.701</v>
      </c>
      <c r="X206" s="20" t="n">
        <v>3.004</v>
      </c>
    </row>
    <row r="207">
      <c r="A207" s="18" t="inlineStr">
        <is>
          <t>영업투자유가증권 증감액</t>
        </is>
      </c>
      <c r="I207" s="20" t="n">
        <v>0</v>
      </c>
      <c r="M207" s="20" t="n">
        <v>165.749</v>
      </c>
      <c r="W207" s="20" t="n">
        <v>0</v>
      </c>
      <c r="X207" s="20" t="n">
        <v>165.749</v>
      </c>
    </row>
    <row r="208">
      <c r="A208" s="18" t="inlineStr">
        <is>
          <t>미지급금 증감</t>
        </is>
      </c>
      <c r="C208" s="20" t="n">
        <v>139.372</v>
      </c>
      <c r="E208" s="20" t="n">
        <v>5.313</v>
      </c>
      <c r="G208" s="20" t="n">
        <v>109.562</v>
      </c>
      <c r="I208" s="20" t="n">
        <v>253.317</v>
      </c>
      <c r="K208" s="20" t="n">
        <v>-570.098</v>
      </c>
      <c r="M208" s="20" t="n">
        <v>1229.039</v>
      </c>
      <c r="O208" s="20" t="n">
        <v>35.7</v>
      </c>
      <c r="P208" s="20" t="n">
        <v>193.956</v>
      </c>
      <c r="Q208" s="20" t="n">
        <v>-176.897</v>
      </c>
      <c r="R208" s="20" t="n">
        <v>-630.009</v>
      </c>
      <c r="S208" s="20" t="n">
        <v>60.78</v>
      </c>
      <c r="T208" s="20" t="n">
        <v>-57.116</v>
      </c>
      <c r="U208" s="20" t="n">
        <v>73.21599999999999</v>
      </c>
      <c r="V208" s="20" t="n">
        <v>5.313</v>
      </c>
      <c r="W208" s="20" t="n">
        <v>253.317</v>
      </c>
      <c r="X208" s="20" t="n">
        <v>1229.039</v>
      </c>
    </row>
    <row r="209">
      <c r="A209" s="18" t="inlineStr">
        <is>
          <t>미수금 증감</t>
        </is>
      </c>
      <c r="C209" s="20" t="n">
        <v>9296.964</v>
      </c>
      <c r="E209" s="20" t="n">
        <v>9314.853999999999</v>
      </c>
      <c r="G209" s="20" t="n">
        <v>0</v>
      </c>
      <c r="I209" s="20" t="n">
        <v>-12.134</v>
      </c>
      <c r="K209" s="20" t="n">
        <v>-13.665</v>
      </c>
      <c r="M209" s="20" t="n">
        <v>-157.697</v>
      </c>
      <c r="S209" s="20" t="n">
        <v>-35.347</v>
      </c>
      <c r="T209" s="20" t="n">
        <v>-586.958</v>
      </c>
      <c r="U209" s="20" t="n">
        <v>-4.164</v>
      </c>
      <c r="V209" s="20" t="n">
        <v>9314.853999999999</v>
      </c>
      <c r="W209" s="20" t="n">
        <v>-12.134</v>
      </c>
      <c r="X209" s="20" t="n">
        <v>-157.697</v>
      </c>
    </row>
    <row r="210">
      <c r="A210" s="18" t="inlineStr">
        <is>
          <t>기타 유동자산 증감</t>
        </is>
      </c>
      <c r="C210" s="20" t="n">
        <v>-164.817</v>
      </c>
      <c r="E210" s="20" t="n">
        <v>-173.393</v>
      </c>
      <c r="G210" s="20" t="n">
        <v>-66.17100000000001</v>
      </c>
      <c r="I210" s="20" t="n">
        <v>-66.179</v>
      </c>
      <c r="K210" s="20" t="n">
        <v>2.598</v>
      </c>
      <c r="M210" s="20" t="n">
        <v>55.73</v>
      </c>
      <c r="O210" s="20" t="n">
        <v>-8.606</v>
      </c>
      <c r="P210" s="20" t="n">
        <v>-44.05</v>
      </c>
      <c r="Q210" s="20" t="n">
        <v>-7.779</v>
      </c>
      <c r="R210" s="20" t="n">
        <v>40.695</v>
      </c>
      <c r="S210" s="20" t="n">
        <v>15.683</v>
      </c>
      <c r="T210" s="20" t="n">
        <v>136.35</v>
      </c>
      <c r="U210" s="20" t="n">
        <v>-81.26000000000001</v>
      </c>
      <c r="V210" s="20" t="n">
        <v>-173.393</v>
      </c>
      <c r="W210" s="20" t="n">
        <v>-66.179</v>
      </c>
      <c r="X210" s="20" t="n">
        <v>55.73</v>
      </c>
    </row>
    <row r="211">
      <c r="A211" s="18" t="inlineStr">
        <is>
          <t>기타 유동부채 증감</t>
        </is>
      </c>
      <c r="C211" s="20" t="n">
        <v>-125.586</v>
      </c>
      <c r="E211" s="20" t="n">
        <v>165.649</v>
      </c>
      <c r="G211" s="20" t="n">
        <v>-33.583</v>
      </c>
      <c r="I211" s="20" t="n">
        <v>-71.435</v>
      </c>
      <c r="K211" s="20" t="n">
        <v>-9.727</v>
      </c>
      <c r="M211" s="20" t="n">
        <v>-431.38</v>
      </c>
      <c r="O211" s="20" t="n">
        <v>-13.367</v>
      </c>
      <c r="P211" s="20" t="n">
        <v>27.797</v>
      </c>
      <c r="Q211" s="20" t="n">
        <v>-21.707</v>
      </c>
      <c r="R211" s="20" t="n">
        <v>100.786</v>
      </c>
      <c r="S211" s="20" t="n">
        <v>114.307</v>
      </c>
      <c r="T211" s="20" t="n">
        <v>-123.566</v>
      </c>
      <c r="U211" s="20" t="n">
        <v>-105.788</v>
      </c>
      <c r="V211" s="20" t="n">
        <v>165.649</v>
      </c>
      <c r="W211" s="20" t="n">
        <v>-71.435</v>
      </c>
      <c r="X211" s="20" t="n">
        <v>-431.38</v>
      </c>
    </row>
    <row r="212">
      <c r="A212" s="18" t="inlineStr">
        <is>
          <t>소계</t>
        </is>
      </c>
      <c r="C212" s="20" t="n">
        <v>10034.693</v>
      </c>
      <c r="E212" s="20" t="n">
        <v>11437.534</v>
      </c>
      <c r="G212" s="20" t="n">
        <v>1056.528</v>
      </c>
      <c r="I212" s="20" t="n">
        <v>2641.737</v>
      </c>
      <c r="K212" s="20" t="n">
        <v>1646.482</v>
      </c>
      <c r="M212" s="20" t="n">
        <v>3999.176</v>
      </c>
      <c r="O212" s="20" t="n">
        <v>1752.978</v>
      </c>
      <c r="P212" s="20" t="n">
        <v>1651.959</v>
      </c>
      <c r="Q212" s="20" t="n">
        <v>1664.99</v>
      </c>
      <c r="R212" s="20" t="n">
        <v>1442.197</v>
      </c>
      <c r="S212" s="20" t="n">
        <v>2470.481</v>
      </c>
      <c r="T212" s="20" t="n">
        <v>1719.409</v>
      </c>
      <c r="U212" s="20" t="n">
        <v>2533.242</v>
      </c>
      <c r="V212" s="20" t="n">
        <v>11437.534</v>
      </c>
      <c r="W212" s="20" t="n">
        <v>2641.737</v>
      </c>
      <c r="X212" s="20" t="n">
        <v>3999.176</v>
      </c>
    </row>
    <row r="213">
      <c r="A213" s="18" t="inlineStr">
        <is>
          <t>이자·배당금 수취</t>
        </is>
      </c>
      <c r="C213" s="20" t="n">
        <v>3.691</v>
      </c>
      <c r="E213" s="20" t="n">
        <v>14.089</v>
      </c>
      <c r="G213" s="20" t="n">
        <v>9.497</v>
      </c>
      <c r="I213" s="20" t="n">
        <v>22.639</v>
      </c>
      <c r="K213" s="20" t="n">
        <v>14.018</v>
      </c>
      <c r="M213" s="20" t="n">
        <v>71.79300000000001</v>
      </c>
      <c r="O213" s="20" t="n">
        <v>0.126</v>
      </c>
      <c r="P213" s="20" t="n">
        <v>73.40600000000001</v>
      </c>
      <c r="Q213" s="20" t="n">
        <v>0.165</v>
      </c>
      <c r="R213" s="20" t="n">
        <v>94.854</v>
      </c>
      <c r="S213" s="20" t="n">
        <v>61.464</v>
      </c>
      <c r="T213" s="20" t="n">
        <v>70.03700000000001</v>
      </c>
      <c r="U213" s="20" t="n">
        <v>149.945</v>
      </c>
      <c r="V213" s="20" t="n">
        <v>14.089</v>
      </c>
      <c r="W213" s="20" t="n">
        <v>22.639</v>
      </c>
      <c r="X213" s="20" t="n">
        <v>71.79300000000001</v>
      </c>
    </row>
    <row r="214">
      <c r="A214" s="18" t="inlineStr">
        <is>
          <t>이자 지급</t>
        </is>
      </c>
      <c r="O214" s="20" t="n">
        <v>-0.013</v>
      </c>
      <c r="P214" s="20" t="n">
        <v>0</v>
      </c>
      <c r="Q214" s="20" t="n">
        <v>0</v>
      </c>
      <c r="R214" s="20" t="n">
        <v>-29.54</v>
      </c>
      <c r="S214" s="20" t="n">
        <v>-4.202</v>
      </c>
      <c r="T214" s="20" t="n">
        <v>0</v>
      </c>
    </row>
    <row r="215">
      <c r="A215" s="18" t="inlineStr">
        <is>
          <t>법인세 납부</t>
        </is>
      </c>
      <c r="C215" s="20" t="n">
        <v>-2523.959</v>
      </c>
      <c r="E215" s="20" t="n">
        <v>-2710.625</v>
      </c>
      <c r="G215" s="20" t="n">
        <v>-372.4</v>
      </c>
      <c r="I215" s="20" t="n">
        <v>-676.343</v>
      </c>
      <c r="K215" s="20" t="n">
        <v>-541.702</v>
      </c>
      <c r="M215" s="20" t="n">
        <v>-1389.081</v>
      </c>
      <c r="O215" s="20" t="n">
        <v>-518.49</v>
      </c>
      <c r="P215" s="20" t="n">
        <v>-771.91</v>
      </c>
      <c r="Q215" s="20" t="n">
        <v>-528.251</v>
      </c>
      <c r="R215" s="20" t="n">
        <v>-535.101</v>
      </c>
      <c r="S215" s="20" t="n">
        <v>-428.961</v>
      </c>
      <c r="T215" s="20" t="n">
        <v>-667.271</v>
      </c>
      <c r="U215" s="20" t="n">
        <v>-744.449</v>
      </c>
      <c r="V215" s="20" t="n">
        <v>-2710.625</v>
      </c>
      <c r="W215" s="20" t="n">
        <v>-676.343</v>
      </c>
      <c r="X215" s="20" t="n">
        <v>-1389.081</v>
      </c>
    </row>
    <row r="216">
      <c r="A216" s="18" t="inlineStr">
        <is>
          <t>법인세 환급</t>
        </is>
      </c>
      <c r="C216" s="20" t="n">
        <v>21.222</v>
      </c>
      <c r="E216" s="20" t="n">
        <v>21.222</v>
      </c>
      <c r="G216" s="20" t="n">
        <v>19.115</v>
      </c>
      <c r="I216" s="20" t="n">
        <v>19.115</v>
      </c>
      <c r="K216" s="20" t="n">
        <v>0</v>
      </c>
      <c r="M216" s="20" t="n">
        <v>0</v>
      </c>
      <c r="P216" s="20" t="n">
        <v>0</v>
      </c>
      <c r="Q216" s="20" t="n">
        <v>0.864</v>
      </c>
      <c r="R216" s="20" t="n">
        <v>6.144</v>
      </c>
      <c r="S216" s="20" t="n">
        <v>6.177</v>
      </c>
      <c r="T216" s="20" t="n">
        <v>5.955</v>
      </c>
      <c r="U216" s="20" t="n">
        <v>669.777</v>
      </c>
      <c r="V216" s="20" t="n">
        <v>21.222</v>
      </c>
      <c r="W216" s="20" t="n">
        <v>19.115</v>
      </c>
      <c r="X216" s="20" t="n">
        <v>0</v>
      </c>
    </row>
    <row r="217">
      <c r="A217" s="9" t="inlineStr">
        <is>
          <t>영업활동 현금흐름</t>
        </is>
      </c>
      <c r="C217" s="12" t="n">
        <v>7535.647</v>
      </c>
      <c r="E217" s="12" t="n">
        <v>8762.219999999999</v>
      </c>
      <c r="G217" s="12" t="n">
        <v>712.74</v>
      </c>
      <c r="I217" s="12" t="n">
        <v>2007.148</v>
      </c>
      <c r="K217" s="12" t="n">
        <v>1118.797</v>
      </c>
      <c r="M217" s="12" t="n">
        <v>2681.887</v>
      </c>
      <c r="O217" s="12" t="n">
        <v>1234.601</v>
      </c>
      <c r="P217" s="12" t="n">
        <v>953.455</v>
      </c>
      <c r="Q217" s="12" t="n">
        <v>1137.768</v>
      </c>
      <c r="R217" s="12" t="n">
        <v>978.554</v>
      </c>
      <c r="S217" s="12" t="n">
        <v>2104.959</v>
      </c>
      <c r="T217" s="12" t="n">
        <v>1128.13</v>
      </c>
      <c r="U217" s="12" t="n">
        <v>2608.515</v>
      </c>
      <c r="V217" s="12" t="n">
        <v>8762.219999999999</v>
      </c>
      <c r="W217" s="12" t="n">
        <v>2007.148</v>
      </c>
      <c r="X217" s="12" t="n">
        <v>2681.887</v>
      </c>
    </row>
    <row r="218">
      <c r="A218" s="18" t="inlineStr">
        <is>
          <t>정기예금 예입</t>
        </is>
      </c>
      <c r="O218" s="20" t="n">
        <v>0</v>
      </c>
      <c r="P218" s="20" t="n">
        <v>-200</v>
      </c>
      <c r="Q218" s="20" t="n">
        <v>0</v>
      </c>
    </row>
    <row r="219">
      <c r="A219" s="18" t="inlineStr">
        <is>
          <t>정기예금 인출</t>
        </is>
      </c>
      <c r="O219" s="20" t="n">
        <v>0</v>
      </c>
      <c r="P219" s="20" t="n">
        <v>400.11</v>
      </c>
      <c r="Q219" s="20" t="n">
        <v>0</v>
      </c>
    </row>
    <row r="220">
      <c r="A220" s="18" t="inlineStr">
        <is>
          <t>유형자산 취득(설비투자)</t>
        </is>
      </c>
      <c r="C220" s="20" t="n">
        <v>-9.558</v>
      </c>
      <c r="E220" s="20" t="n">
        <v>-11.561</v>
      </c>
      <c r="G220" s="20" t="n">
        <v>-2.436</v>
      </c>
      <c r="I220" s="20" t="n">
        <v>-3.016</v>
      </c>
      <c r="K220" s="20" t="n">
        <v>-11.104</v>
      </c>
      <c r="M220" s="20" t="n">
        <v>-37.168</v>
      </c>
      <c r="O220" s="20" t="n">
        <v>-5.309</v>
      </c>
      <c r="P220" s="20" t="n">
        <v>-16.688</v>
      </c>
      <c r="Q220" s="20" t="n">
        <v>-30.653</v>
      </c>
      <c r="R220" s="20" t="n">
        <v>-13.519</v>
      </c>
      <c r="S220" s="20" t="n">
        <v>-25.323</v>
      </c>
      <c r="T220" s="20" t="n">
        <v>-11.695</v>
      </c>
      <c r="U220" s="20" t="n">
        <v>-19.198</v>
      </c>
      <c r="V220" s="20" t="n">
        <v>-11.561</v>
      </c>
      <c r="W220" s="20" t="n">
        <v>-3.016</v>
      </c>
      <c r="X220" s="20" t="n">
        <v>-37.168</v>
      </c>
    </row>
    <row r="221">
      <c r="A221" s="18" t="inlineStr">
        <is>
          <t>무형자산 취득</t>
        </is>
      </c>
      <c r="C221" s="20" t="n">
        <v>-136.081</v>
      </c>
      <c r="E221" s="20" t="n">
        <v>-409.229</v>
      </c>
      <c r="G221" s="20" t="n">
        <v>-71.982</v>
      </c>
      <c r="I221" s="20" t="n">
        <v>-143.226</v>
      </c>
      <c r="K221" s="20" t="n">
        <v>-38.94</v>
      </c>
      <c r="M221" s="20" t="n">
        <v>-452.209</v>
      </c>
      <c r="O221" s="20" t="n">
        <v>-245.197</v>
      </c>
      <c r="P221" s="20" t="n">
        <v>-337.545</v>
      </c>
      <c r="Q221" s="20" t="n">
        <v>-483.766</v>
      </c>
      <c r="R221" s="20" t="n">
        <v>-609.047</v>
      </c>
      <c r="S221" s="20" t="n">
        <v>-585.4349999999999</v>
      </c>
      <c r="T221" s="20" t="n">
        <v>-311.807</v>
      </c>
      <c r="U221" s="20" t="n">
        <v>-314.428</v>
      </c>
      <c r="V221" s="20" t="n">
        <v>-409.229</v>
      </c>
      <c r="W221" s="20" t="n">
        <v>-143.226</v>
      </c>
      <c r="X221" s="20" t="n">
        <v>-452.209</v>
      </c>
    </row>
    <row r="222">
      <c r="A222" s="18" t="inlineStr">
        <is>
          <t>투자유가증권 매각</t>
        </is>
      </c>
      <c r="C222" s="20" t="n">
        <v>884.947</v>
      </c>
      <c r="E222" s="20" t="n">
        <v>1186.244</v>
      </c>
      <c r="G222" s="20" t="n">
        <v>445.031</v>
      </c>
      <c r="I222" s="20" t="n">
        <v>1361.123</v>
      </c>
      <c r="K222" s="20" t="n">
        <v>410.4</v>
      </c>
      <c r="M222" s="20" t="n">
        <v>1078.748</v>
      </c>
      <c r="O222" s="20" t="n">
        <v>301.007</v>
      </c>
      <c r="P222" s="20" t="n">
        <v>3928.987</v>
      </c>
      <c r="Q222" s="20" t="n">
        <v>85.749</v>
      </c>
      <c r="R222" s="20" t="n">
        <v>2017.418</v>
      </c>
      <c r="S222" s="20" t="n">
        <v>42.128</v>
      </c>
      <c r="T222" s="20" t="n">
        <v>1609.199</v>
      </c>
      <c r="U222" s="20" t="n">
        <v>2534.716</v>
      </c>
      <c r="V222" s="20" t="n">
        <v>1186.244</v>
      </c>
      <c r="W222" s="20" t="n">
        <v>1361.123</v>
      </c>
      <c r="X222" s="20" t="n">
        <v>1078.748</v>
      </c>
    </row>
    <row r="223">
      <c r="A223" s="18" t="inlineStr">
        <is>
          <t>투자유가증권 취득</t>
        </is>
      </c>
      <c r="C223" s="20" t="n">
        <v>-5437.007</v>
      </c>
      <c r="E223" s="20" t="n">
        <v>-6253.027</v>
      </c>
      <c r="G223" s="20" t="n">
        <v>-339.4</v>
      </c>
      <c r="I223" s="20" t="n">
        <v>-860.301</v>
      </c>
      <c r="K223" s="20" t="n">
        <v>-368.728</v>
      </c>
      <c r="M223" s="20" t="n">
        <v>-832.225</v>
      </c>
      <c r="O223" s="20" t="n">
        <v>-4328.013</v>
      </c>
      <c r="P223" s="20" t="n">
        <v>-2165.925</v>
      </c>
      <c r="Q223" s="20" t="n">
        <v>-1023.331</v>
      </c>
      <c r="R223" s="20" t="n">
        <v>-2249.1</v>
      </c>
      <c r="S223" s="20" t="n">
        <v>-613.9299999999999</v>
      </c>
      <c r="T223" s="20" t="n">
        <v>0</v>
      </c>
      <c r="U223" s="20" t="n">
        <v>-5495.591</v>
      </c>
      <c r="V223" s="20" t="n">
        <v>-6253.027</v>
      </c>
      <c r="W223" s="20" t="n">
        <v>-860.301</v>
      </c>
      <c r="X223" s="20" t="n">
        <v>-832.225</v>
      </c>
    </row>
    <row r="224">
      <c r="A224" s="18" t="inlineStr">
        <is>
          <t>연결범위 변경 자회사 주식 취득(수입)</t>
        </is>
      </c>
      <c r="G224" s="20" t="n">
        <v>0</v>
      </c>
      <c r="I224" s="20" t="n">
        <v>0</v>
      </c>
      <c r="K224" s="20" t="n">
        <v>23.861</v>
      </c>
      <c r="M224" s="20" t="n">
        <v>23.861</v>
      </c>
      <c r="R224" s="20" t="n">
        <v>0</v>
      </c>
      <c r="S224" s="20" t="n">
        <v>8.757</v>
      </c>
      <c r="T224" s="20" t="n">
        <v>0</v>
      </c>
      <c r="U224" s="20" t="n">
        <v>-183.301</v>
      </c>
      <c r="W224" s="20" t="n">
        <v>0</v>
      </c>
      <c r="X224" s="20" t="n">
        <v>23.861</v>
      </c>
    </row>
    <row r="225">
      <c r="A225" s="18" t="inlineStr">
        <is>
          <t>연결범위 변경 자회사 주식 취득</t>
        </is>
      </c>
      <c r="E225" s="20" t="n">
        <v>0</v>
      </c>
      <c r="G225" s="20" t="n">
        <v>0</v>
      </c>
      <c r="I225" s="20" t="n">
        <v>0</v>
      </c>
      <c r="K225" s="20" t="n">
        <v>-696.491</v>
      </c>
      <c r="M225" s="20" t="n">
        <v>-696.491</v>
      </c>
      <c r="P225" s="20" t="n">
        <v>0</v>
      </c>
      <c r="Q225" s="20" t="n">
        <v>-541.2089999999999</v>
      </c>
      <c r="R225" s="20" t="n">
        <v>-684.119</v>
      </c>
      <c r="S225" s="20" t="n">
        <v>0</v>
      </c>
      <c r="U225" s="20" t="n">
        <v>-183.301</v>
      </c>
      <c r="V225" s="20" t="n">
        <v>0</v>
      </c>
      <c r="W225" s="20" t="n">
        <v>0</v>
      </c>
      <c r="X225" s="20" t="n">
        <v>-696.491</v>
      </c>
    </row>
    <row r="226">
      <c r="A226" s="18" t="inlineStr">
        <is>
          <t>자회사 청산 지출</t>
        </is>
      </c>
      <c r="P226" s="20" t="n">
        <v>0</v>
      </c>
      <c r="Q226" s="20" t="n">
        <v>-10.993</v>
      </c>
      <c r="R226" s="20" t="n">
        <v>0</v>
      </c>
    </row>
    <row r="227">
      <c r="A227" s="18" t="inlineStr">
        <is>
          <t>임차보증금·보증금 회수</t>
        </is>
      </c>
      <c r="C227" s="20" t="n">
        <v>61.725</v>
      </c>
      <c r="G227" s="20" t="n">
        <v>5</v>
      </c>
      <c r="K227" s="20" t="n">
        <v>19.138</v>
      </c>
    </row>
    <row r="228">
      <c r="A228" s="18" t="inlineStr">
        <is>
          <t>임차보증금·보증금 납입</t>
        </is>
      </c>
      <c r="C228" s="20" t="n">
        <v>-66.91800000000001</v>
      </c>
      <c r="G228" s="20" t="n">
        <v>0</v>
      </c>
      <c r="K228" s="20" t="n">
        <v>-17.417</v>
      </c>
    </row>
    <row r="229">
      <c r="A229" s="18" t="inlineStr">
        <is>
          <t>보증금 회수</t>
        </is>
      </c>
      <c r="E229" s="20" t="n">
        <v>61.725</v>
      </c>
      <c r="I229" s="20" t="n">
        <v>5</v>
      </c>
      <c r="M229" s="20" t="n">
        <v>26.912</v>
      </c>
      <c r="O229" s="20" t="n">
        <v>0.254</v>
      </c>
      <c r="P229" s="20" t="n">
        <v>1.914</v>
      </c>
      <c r="Q229" s="20" t="n">
        <v>9.407</v>
      </c>
      <c r="R229" s="20" t="n">
        <v>0</v>
      </c>
      <c r="S229" s="20" t="n">
        <v>28.566</v>
      </c>
      <c r="T229" s="20" t="n">
        <v>38.75</v>
      </c>
      <c r="U229" s="20" t="n">
        <v>36.059</v>
      </c>
      <c r="V229" s="20" t="n">
        <v>61.725</v>
      </c>
      <c r="W229" s="20" t="n">
        <v>5</v>
      </c>
      <c r="X229" s="20" t="n">
        <v>26.912</v>
      </c>
    </row>
    <row r="230">
      <c r="A230" s="18" t="inlineStr">
        <is>
          <t>보증금 납입</t>
        </is>
      </c>
      <c r="E230" s="20" t="n">
        <v>-66.91800000000001</v>
      </c>
      <c r="I230" s="20" t="n">
        <v>0</v>
      </c>
      <c r="M230" s="20" t="n">
        <v>-21.607</v>
      </c>
      <c r="O230" s="20" t="n">
        <v>0</v>
      </c>
      <c r="P230" s="20" t="n">
        <v>-7.095</v>
      </c>
      <c r="Q230" s="20" t="n">
        <v>-19.292</v>
      </c>
      <c r="R230" s="20" t="n">
        <v>-10</v>
      </c>
      <c r="S230" s="20" t="n">
        <v>-21.75</v>
      </c>
      <c r="T230" s="20" t="n">
        <v>0</v>
      </c>
      <c r="U230" s="20" t="n">
        <v>-29.779</v>
      </c>
      <c r="V230" s="20" t="n">
        <v>-66.91800000000001</v>
      </c>
      <c r="W230" s="20" t="n">
        <v>0</v>
      </c>
      <c r="X230" s="20" t="n">
        <v>-21.607</v>
      </c>
    </row>
    <row r="231">
      <c r="A231" s="18" t="inlineStr">
        <is>
          <t>사업양도 수입</t>
        </is>
      </c>
      <c r="O231" s="20" t="n">
        <v>699.008</v>
      </c>
      <c r="P231" s="20" t="n">
        <v>0</v>
      </c>
    </row>
    <row r="232">
      <c r="A232" s="9" t="inlineStr">
        <is>
          <t>투자활동 현금흐름</t>
        </is>
      </c>
      <c r="C232" s="12" t="n">
        <v>-4702.893</v>
      </c>
      <c r="E232" s="12" t="n">
        <v>-5492.766</v>
      </c>
      <c r="G232" s="12" t="n">
        <v>36.211</v>
      </c>
      <c r="I232" s="12" t="n">
        <v>359.579</v>
      </c>
      <c r="K232" s="12" t="n">
        <v>-679.282</v>
      </c>
      <c r="M232" s="12" t="n">
        <v>-910.1799999999999</v>
      </c>
      <c r="O232" s="12" t="n">
        <v>-3578.25</v>
      </c>
      <c r="P232" s="12" t="n">
        <v>1603.756</v>
      </c>
      <c r="Q232" s="12" t="n">
        <v>-2014.09</v>
      </c>
      <c r="R232" s="12" t="n">
        <v>-1548.367</v>
      </c>
      <c r="S232" s="12" t="n">
        <v>-1166.987</v>
      </c>
      <c r="T232" s="12" t="n">
        <v>1324.447</v>
      </c>
      <c r="U232" s="12" t="n">
        <v>-3471.524</v>
      </c>
      <c r="V232" s="12" t="n">
        <v>-5492.766</v>
      </c>
      <c r="W232" s="12" t="n">
        <v>359.579</v>
      </c>
      <c r="X232" s="12" t="n">
        <v>-910.1799999999999</v>
      </c>
    </row>
    <row r="233">
      <c r="A233" s="18" t="inlineStr">
        <is>
          <t>스톡옵션 행사 수입</t>
        </is>
      </c>
      <c r="O233" s="20" t="n">
        <v>2.937</v>
      </c>
      <c r="P233" s="20" t="n">
        <v>203.534</v>
      </c>
      <c r="Q233" s="20" t="n">
        <v>119.509</v>
      </c>
      <c r="R233" s="20" t="n">
        <v>0</v>
      </c>
    </row>
    <row r="234">
      <c r="A234" s="18" t="inlineStr">
        <is>
          <t>신주예약권 행사에 따른 주식 발행</t>
        </is>
      </c>
      <c r="I234" s="20" t="n">
        <v>0</v>
      </c>
      <c r="M234" s="20" t="n">
        <v>32.284</v>
      </c>
      <c r="W234" s="20" t="n">
        <v>0</v>
      </c>
      <c r="X234" s="20" t="n">
        <v>32.284</v>
      </c>
    </row>
    <row r="235">
      <c r="A235" s="18" t="inlineStr">
        <is>
          <t>배당금 지급</t>
        </is>
      </c>
      <c r="C235" s="20" t="n">
        <v>-1143.336</v>
      </c>
      <c r="E235" s="20" t="n">
        <v>-1905.561</v>
      </c>
      <c r="G235" s="20" t="n">
        <v>-1165.755</v>
      </c>
      <c r="I235" s="20" t="n">
        <v>-1950.398</v>
      </c>
      <c r="K235" s="20" t="n">
        <v>-1188.173</v>
      </c>
      <c r="M235" s="20" t="n">
        <v>-2113.389</v>
      </c>
      <c r="O235" s="20" t="n">
        <v>-593.712</v>
      </c>
      <c r="P235" s="20" t="n">
        <v>-693.854</v>
      </c>
      <c r="Q235" s="20" t="n">
        <v>-1444.388</v>
      </c>
      <c r="R235" s="20" t="n">
        <v>-1202.535</v>
      </c>
      <c r="S235" s="20" t="n">
        <v>-1284.832</v>
      </c>
      <c r="T235" s="20" t="n">
        <v>-1479.612</v>
      </c>
      <c r="U235" s="20" t="n">
        <v>-1546.866</v>
      </c>
      <c r="V235" s="20" t="n">
        <v>-1905.561</v>
      </c>
      <c r="W235" s="20" t="n">
        <v>-1950.398</v>
      </c>
      <c r="X235" s="20" t="n">
        <v>-2113.389</v>
      </c>
    </row>
    <row r="236">
      <c r="A236" s="18" t="inlineStr">
        <is>
          <t>단기차입</t>
        </is>
      </c>
      <c r="Q236" s="20" t="n">
        <v>0</v>
      </c>
      <c r="R236" s="20" t="n">
        <v>2000</v>
      </c>
      <c r="S236" s="20" t="n">
        <v>1000</v>
      </c>
      <c r="T236" s="20" t="n">
        <v>0</v>
      </c>
    </row>
    <row r="237">
      <c r="A237" s="18" t="inlineStr">
        <is>
          <t>단기차입금 상환</t>
        </is>
      </c>
      <c r="R237" s="20" t="n">
        <v>0</v>
      </c>
      <c r="S237" s="20" t="n">
        <v>-3000</v>
      </c>
      <c r="T237" s="20" t="n">
        <v>0</v>
      </c>
    </row>
    <row r="238">
      <c r="A238" s="18" t="inlineStr">
        <is>
          <t>주식 발행</t>
        </is>
      </c>
      <c r="R238" s="20" t="n">
        <v>0</v>
      </c>
      <c r="S238" s="20" t="n">
        <v>2467.534</v>
      </c>
      <c r="T238" s="20" t="n">
        <v>0</v>
      </c>
    </row>
    <row r="239">
      <c r="A239" s="18" t="inlineStr">
        <is>
          <t>비지배주주 배당금 지급</t>
        </is>
      </c>
      <c r="G239" s="20" t="n">
        <v>0</v>
      </c>
      <c r="I239" s="20" t="n">
        <v>0</v>
      </c>
      <c r="K239" s="20" t="n">
        <v>-32.457</v>
      </c>
      <c r="M239" s="20" t="n">
        <v>-38.949</v>
      </c>
      <c r="W239" s="20" t="n">
        <v>0</v>
      </c>
      <c r="X239" s="20" t="n">
        <v>-38.949</v>
      </c>
    </row>
    <row r="240">
      <c r="A240" s="18" t="inlineStr">
        <is>
          <t>자기주식 취득</t>
        </is>
      </c>
      <c r="C240" s="20" t="n">
        <v>0</v>
      </c>
      <c r="E240" s="20" t="n">
        <v>0</v>
      </c>
      <c r="G240" s="20" t="n">
        <v>-0.002</v>
      </c>
      <c r="I240" s="20" t="n">
        <v>-0.002</v>
      </c>
      <c r="K240" s="20" t="n">
        <v>0</v>
      </c>
      <c r="M240" s="20" t="n">
        <v>-0.44</v>
      </c>
      <c r="O240" s="20" t="n">
        <v>0</v>
      </c>
      <c r="P240" s="20" t="n">
        <v>-0.027</v>
      </c>
      <c r="Q240" s="20" t="n">
        <v>0</v>
      </c>
      <c r="V240" s="20" t="n">
        <v>0</v>
      </c>
      <c r="W240" s="20" t="n">
        <v>-0.002</v>
      </c>
      <c r="X240" s="20" t="n">
        <v>-0.44</v>
      </c>
    </row>
    <row r="241">
      <c r="A241" s="18" t="inlineStr">
        <is>
          <t>자기주식 처분</t>
        </is>
      </c>
      <c r="E241" s="20" t="n">
        <v>0</v>
      </c>
      <c r="I241" s="20" t="n">
        <v>0</v>
      </c>
      <c r="M241" s="20" t="n">
        <v>0.075</v>
      </c>
      <c r="R241" s="20" t="n">
        <v>0</v>
      </c>
      <c r="S241" s="20" t="n">
        <v>473.369</v>
      </c>
      <c r="T241" s="20" t="n">
        <v>0</v>
      </c>
      <c r="U241" s="20" t="n">
        <v>0.023</v>
      </c>
      <c r="V241" s="20" t="n">
        <v>0</v>
      </c>
      <c r="W241" s="20" t="n">
        <v>0</v>
      </c>
      <c r="X241" s="20" t="n">
        <v>0.075</v>
      </c>
    </row>
    <row r="242">
      <c r="A242" s="18" t="inlineStr">
        <is>
          <t>연결범위 변동 없는 자회사 주식 매각 수입</t>
        </is>
      </c>
      <c r="Q242" s="20" t="n">
        <v>0</v>
      </c>
      <c r="R242" s="20" t="n">
        <v>3</v>
      </c>
      <c r="S242" s="20" t="n">
        <v>3</v>
      </c>
      <c r="T242" s="20" t="n">
        <v>0</v>
      </c>
    </row>
    <row r="243">
      <c r="A243" s="18" t="inlineStr">
        <is>
          <t>연결범위 변경 없는 자회사 주식 취득</t>
        </is>
      </c>
      <c r="C243" s="20" t="n">
        <v>-189.46</v>
      </c>
      <c r="E243" s="20" t="n">
        <v>-189.46</v>
      </c>
      <c r="G243" s="20" t="n">
        <v>0</v>
      </c>
      <c r="I243" s="20" t="n">
        <v>0</v>
      </c>
      <c r="M243" s="20" t="n">
        <v>-0.049</v>
      </c>
      <c r="S243" s="20" t="n">
        <v>0</v>
      </c>
      <c r="T243" s="20" t="n">
        <v>-609.154</v>
      </c>
      <c r="U243" s="20" t="n">
        <v>-273.674</v>
      </c>
      <c r="V243" s="20" t="n">
        <v>-189.46</v>
      </c>
      <c r="W243" s="20" t="n">
        <v>0</v>
      </c>
      <c r="X243" s="20" t="n">
        <v>-0.049</v>
      </c>
    </row>
    <row r="244">
      <c r="A244" s="18" t="inlineStr">
        <is>
          <t>리스부채 상환</t>
        </is>
      </c>
      <c r="C244" s="20" t="n">
        <v>-25.399</v>
      </c>
      <c r="E244" s="20" t="n">
        <v>-53.947</v>
      </c>
      <c r="G244" s="20" t="n">
        <v>-31.201</v>
      </c>
      <c r="I244" s="20" t="n">
        <v>-63.214</v>
      </c>
      <c r="K244" s="20" t="n">
        <v>-37.201</v>
      </c>
      <c r="M244" s="20" t="n">
        <v>-67.474</v>
      </c>
      <c r="O244" s="20" t="n">
        <v>-0.353</v>
      </c>
      <c r="P244" s="20" t="n">
        <v>0</v>
      </c>
      <c r="R244" s="20" t="n">
        <v>0</v>
      </c>
      <c r="S244" s="20" t="n">
        <v>-50.374</v>
      </c>
      <c r="T244" s="20" t="n">
        <v>-60.446</v>
      </c>
      <c r="U244" s="20" t="n">
        <v>-68.663</v>
      </c>
      <c r="V244" s="20" t="n">
        <v>-53.947</v>
      </c>
      <c r="W244" s="20" t="n">
        <v>-63.214</v>
      </c>
      <c r="X244" s="20" t="n">
        <v>-67.474</v>
      </c>
    </row>
    <row r="245">
      <c r="A245" s="9" t="inlineStr">
        <is>
          <t>재무활동 현금흐름</t>
        </is>
      </c>
      <c r="C245" s="12" t="n">
        <v>-1358.197</v>
      </c>
      <c r="E245" s="12" t="n">
        <v>-2148.969</v>
      </c>
      <c r="G245" s="12" t="n">
        <v>-1196.959</v>
      </c>
      <c r="I245" s="12" t="n">
        <v>-2013.615</v>
      </c>
      <c r="K245" s="12" t="n">
        <v>-1257.832</v>
      </c>
      <c r="M245" s="12" t="n">
        <v>-2187.943</v>
      </c>
      <c r="O245" s="12" t="n">
        <v>-591.128</v>
      </c>
      <c r="P245" s="12" t="n">
        <v>-490.348</v>
      </c>
      <c r="Q245" s="12" t="n">
        <v>-1324.879</v>
      </c>
      <c r="R245" s="12" t="n">
        <v>800.4640000000001</v>
      </c>
      <c r="S245" s="12" t="n">
        <v>-391.302</v>
      </c>
      <c r="T245" s="12" t="n">
        <v>-2149.212</v>
      </c>
      <c r="U245" s="12" t="n">
        <v>-1889.18</v>
      </c>
      <c r="V245" s="12" t="n">
        <v>-2148.969</v>
      </c>
      <c r="W245" s="12" t="n">
        <v>-2013.615</v>
      </c>
      <c r="X245" s="12" t="n">
        <v>-2187.943</v>
      </c>
    </row>
    <row r="246">
      <c r="A246" s="18" t="inlineStr">
        <is>
          <t>현금성자산 환산차이</t>
        </is>
      </c>
      <c r="C246" s="20" t="n">
        <v>17.816</v>
      </c>
      <c r="E246" s="20" t="n">
        <v>32.108</v>
      </c>
      <c r="G246" s="20" t="n">
        <v>20.447</v>
      </c>
      <c r="I246" s="20" t="n">
        <v>17.232</v>
      </c>
      <c r="K246" s="20" t="n">
        <v>-18.303</v>
      </c>
      <c r="M246" s="20" t="n">
        <v>3.39</v>
      </c>
      <c r="O246" s="20" t="n">
        <v>-0.802</v>
      </c>
      <c r="P246" s="20" t="n">
        <v>0.019</v>
      </c>
      <c r="Q246" s="20" t="n">
        <v>-0.629</v>
      </c>
      <c r="R246" s="20" t="n">
        <v>-8.77</v>
      </c>
      <c r="S246" s="20" t="n">
        <v>-11.348</v>
      </c>
      <c r="T246" s="20" t="n">
        <v>-31.416</v>
      </c>
      <c r="U246" s="20" t="n">
        <v>60.831</v>
      </c>
      <c r="V246" s="20" t="n">
        <v>32.108</v>
      </c>
      <c r="W246" s="20" t="n">
        <v>17.232</v>
      </c>
      <c r="X246" s="20" t="n">
        <v>3.39</v>
      </c>
    </row>
    <row r="247">
      <c r="A247" s="18" t="inlineStr">
        <is>
          <t>현금성자산 증감</t>
        </is>
      </c>
      <c r="C247" s="20" t="n">
        <v>1492.373</v>
      </c>
      <c r="E247" s="20" t="n">
        <v>1152.593</v>
      </c>
      <c r="G247" s="20" t="n">
        <v>-427.56</v>
      </c>
      <c r="I247" s="20" t="n">
        <v>370.344</v>
      </c>
      <c r="K247" s="20" t="n">
        <v>-836.621</v>
      </c>
      <c r="M247" s="20" t="n">
        <v>-412.844</v>
      </c>
      <c r="O247" s="20" t="n">
        <v>-2935.581</v>
      </c>
      <c r="P247" s="20" t="n">
        <v>2066.883</v>
      </c>
      <c r="Q247" s="20" t="n">
        <v>-2201.83</v>
      </c>
      <c r="R247" s="20" t="n">
        <v>221.881</v>
      </c>
      <c r="S247" s="20" t="n">
        <v>535.321</v>
      </c>
      <c r="T247" s="20" t="n">
        <v>271.948</v>
      </c>
      <c r="U247" s="20" t="n">
        <v>-2691.356</v>
      </c>
      <c r="V247" s="20" t="n">
        <v>1152.593</v>
      </c>
      <c r="W247" s="20" t="n">
        <v>370.344</v>
      </c>
      <c r="X247" s="20" t="n">
        <v>-412.844</v>
      </c>
    </row>
    <row r="248">
      <c r="A248" s="18" t="inlineStr">
        <is>
          <t>주식교부에 따른 현금성자산 증가액</t>
        </is>
      </c>
      <c r="G248" s="20" t="n">
        <v>0</v>
      </c>
      <c r="K248" s="20" t="n">
        <v>14193.38</v>
      </c>
    </row>
    <row r="249">
      <c r="A249" s="18" t="inlineStr">
        <is>
          <t>신규 연결 현금성자산 증가</t>
        </is>
      </c>
      <c r="I249" s="20" t="n">
        <v>0</v>
      </c>
      <c r="M249" s="20" t="n">
        <v>18253.335</v>
      </c>
      <c r="W249" s="20" t="n">
        <v>0</v>
      </c>
      <c r="X249" s="20" t="n">
        <v>18253.335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4765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6050.279</v>
      </c>
      <c r="D5" s="12" t="n">
        <v>23559.442</v>
      </c>
      <c r="E5" s="12" t="n">
        <v>34932.29</v>
      </c>
      <c r="F5" s="12" t="n">
        <v>37825.174</v>
      </c>
      <c r="G5" s="12" t="n">
        <v>38788.365</v>
      </c>
      <c r="H5" s="11" t="n">
        <v>7604.08</v>
      </c>
      <c r="I5" s="12" t="n">
        <v>13991.911</v>
      </c>
      <c r="J5" s="12" t="n">
        <v>6547.47</v>
      </c>
      <c r="K5" s="12" t="n">
        <v>7187.711</v>
      </c>
      <c r="L5" s="12" t="n">
        <v>37825.174</v>
      </c>
    </row>
    <row r="6">
      <c r="A6" s="18" t="inlineStr">
        <is>
          <t>현금및현금성자산</t>
        </is>
      </c>
      <c r="B6" s="10" t="n"/>
      <c r="C6" s="19" t="n">
        <v>2907.198</v>
      </c>
      <c r="D6" s="20" t="n">
        <v>17364.951</v>
      </c>
      <c r="E6" s="20" t="n">
        <v>20881.762</v>
      </c>
      <c r="F6" s="20" t="n">
        <v>21848.683</v>
      </c>
      <c r="G6" s="20" t="n">
        <v>23775.923</v>
      </c>
      <c r="H6" s="19" t="n">
        <v>5176.612</v>
      </c>
      <c r="I6" s="20" t="n">
        <v>2137.894</v>
      </c>
      <c r="J6" s="20" t="n">
        <v>3637.848</v>
      </c>
      <c r="K6" s="20" t="n">
        <v>4008.192</v>
      </c>
      <c r="L6" s="20" t="n">
        <v>21848.683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2605.783</v>
      </c>
      <c r="D8" s="20" t="n">
        <v>5253.375</v>
      </c>
      <c r="E8" s="20" t="n">
        <v>9768.789000000001</v>
      </c>
      <c r="F8" s="20" t="n">
        <v>11791.018</v>
      </c>
      <c r="G8" s="20" t="n">
        <v>11066.438</v>
      </c>
      <c r="H8" s="19" t="n">
        <v>1611.378</v>
      </c>
      <c r="I8" s="20" t="n">
        <v>1483.903</v>
      </c>
      <c r="J8" s="20" t="n">
        <v>2273.701</v>
      </c>
      <c r="K8" s="20" t="n">
        <v>2606.942</v>
      </c>
      <c r="L8" s="20" t="n">
        <v>11791.018</v>
      </c>
    </row>
    <row r="9">
      <c r="A9" s="18" t="inlineStr">
        <is>
          <t>재고자산</t>
        </is>
      </c>
      <c r="B9" s="10" t="n"/>
      <c r="C9" s="19" t="n">
        <v>0.725</v>
      </c>
      <c r="D9" s="20" t="n">
        <v>2.763</v>
      </c>
      <c r="E9" s="20" t="n">
        <v>8.122999999999999</v>
      </c>
      <c r="F9" s="20" t="n">
        <v>8.231</v>
      </c>
      <c r="G9" s="20" t="n">
        <v>7.187</v>
      </c>
      <c r="H9" s="19" t="n">
        <v>1.263</v>
      </c>
      <c r="I9" s="20" t="n">
        <v>1.386</v>
      </c>
      <c r="J9" s="20" t="n">
        <v>3.698</v>
      </c>
      <c r="K9" s="20" t="n">
        <v>1.868</v>
      </c>
      <c r="L9" s="20" t="n">
        <v>8.231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10837.865</v>
      </c>
      <c r="D11" s="12" t="n">
        <v>13723.701</v>
      </c>
      <c r="E11" s="12" t="n">
        <v>14818.812</v>
      </c>
      <c r="F11" s="12" t="n">
        <v>15195.673</v>
      </c>
      <c r="G11" s="12" t="n">
        <v>15342.131</v>
      </c>
      <c r="H11" s="11" t="n">
        <v>6432.274</v>
      </c>
      <c r="I11" s="12" t="n">
        <v>7355.867</v>
      </c>
      <c r="J11" s="12" t="n">
        <v>12076.54</v>
      </c>
      <c r="K11" s="12" t="n">
        <v>11070.683</v>
      </c>
      <c r="L11" s="12" t="n">
        <v>15195.673</v>
      </c>
    </row>
    <row r="12">
      <c r="A12" s="18" t="inlineStr">
        <is>
          <t>유형자산</t>
        </is>
      </c>
      <c r="B12" s="10" t="n"/>
      <c r="C12" s="19" t="n">
        <v>238.219</v>
      </c>
      <c r="D12" s="20" t="n">
        <v>408.338</v>
      </c>
      <c r="E12" s="20" t="n">
        <v>831.343</v>
      </c>
      <c r="F12" s="20" t="n">
        <v>758.9109999999999</v>
      </c>
      <c r="G12" s="20" t="n">
        <v>646.284</v>
      </c>
      <c r="H12" s="19" t="n">
        <v>149.951</v>
      </c>
      <c r="I12" s="20" t="n">
        <v>345.777</v>
      </c>
      <c r="J12" s="20" t="n">
        <v>314.046</v>
      </c>
      <c r="K12" s="20" t="n">
        <v>268.463</v>
      </c>
      <c r="L12" s="20" t="n">
        <v>758.9109999999999</v>
      </c>
    </row>
    <row r="13">
      <c r="A13" s="18" t="inlineStr">
        <is>
          <t>무형자산</t>
        </is>
      </c>
      <c r="B13" s="10" t="n"/>
      <c r="C13" s="19" t="n">
        <v>2276.335</v>
      </c>
      <c r="D13" s="20" t="n">
        <v>2199.204</v>
      </c>
      <c r="E13" s="20" t="n">
        <v>2737.662</v>
      </c>
      <c r="F13" s="20" t="n">
        <v>2528.197</v>
      </c>
      <c r="G13" s="20" t="n">
        <v>2519.226</v>
      </c>
      <c r="H13" s="19" t="n">
        <v>3145.612</v>
      </c>
      <c r="I13" s="20" t="n">
        <v>2579.79</v>
      </c>
      <c r="J13" s="20" t="n">
        <v>2629.237</v>
      </c>
      <c r="K13" s="20" t="n">
        <v>2414.784</v>
      </c>
      <c r="L13" s="20" t="n">
        <v>2528.197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16888.33</v>
      </c>
      <c r="D16" s="12" t="n">
        <v>37286.109</v>
      </c>
      <c r="E16" s="12" t="n">
        <v>49753.644</v>
      </c>
      <c r="F16" s="12" t="n">
        <v>53027.575</v>
      </c>
      <c r="G16" s="12" t="n">
        <v>54136.57</v>
      </c>
      <c r="H16" s="11" t="n">
        <v>14055.358</v>
      </c>
      <c r="I16" s="12" t="n">
        <v>21356.365</v>
      </c>
      <c r="J16" s="12" t="n">
        <v>18625.643</v>
      </c>
      <c r="K16" s="12" t="n">
        <v>18258.642</v>
      </c>
      <c r="L16" s="12" t="n">
        <v>53027.575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2317.81</v>
      </c>
      <c r="D18" s="12" t="n">
        <v>4887.389</v>
      </c>
      <c r="E18" s="12" t="n">
        <v>9413.431</v>
      </c>
      <c r="F18" s="12" t="n">
        <v>10491.344</v>
      </c>
      <c r="G18" s="12" t="n">
        <v>11530.281</v>
      </c>
      <c r="H18" s="11" t="n">
        <v>1781.813</v>
      </c>
      <c r="I18" s="12" t="n">
        <v>4353.822</v>
      </c>
      <c r="J18" s="12" t="n">
        <v>2357.55</v>
      </c>
      <c r="K18" s="12" t="n">
        <v>2743.751</v>
      </c>
      <c r="L18" s="12" t="n">
        <v>10491.344</v>
      </c>
    </row>
    <row r="19">
      <c r="A19" s="18" t="inlineStr">
        <is>
          <t>매입채무</t>
        </is>
      </c>
      <c r="B19" s="10" t="n"/>
      <c r="C19" s="19" t="n">
        <v>22.247</v>
      </c>
      <c r="D19" s="20" t="n">
        <v>14.437</v>
      </c>
      <c r="E19" s="20" t="n">
        <v>15.995</v>
      </c>
      <c r="F19" s="20" t="n">
        <v>23.471</v>
      </c>
      <c r="G19" s="20" t="n">
        <v>18.335</v>
      </c>
      <c r="H19" s="19" t="n">
        <v>62.618</v>
      </c>
      <c r="I19" s="20" t="n">
        <v>62.753</v>
      </c>
      <c r="J19" s="20" t="n">
        <v>18.765</v>
      </c>
      <c r="K19" s="20" t="n">
        <v>20.467</v>
      </c>
      <c r="L19" s="20" t="n">
        <v>23.471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/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81.102</v>
      </c>
      <c r="D23" s="12" t="n">
        <v>518.428</v>
      </c>
      <c r="E23" s="12" t="n">
        <v>781.236</v>
      </c>
      <c r="F23" s="12" t="n">
        <v>610.302</v>
      </c>
      <c r="G23" s="12" t="n">
        <v>600.1079999999999</v>
      </c>
      <c r="H23" s="11" t="n">
        <v>0</v>
      </c>
      <c r="I23" s="12" t="n">
        <v>202.641</v>
      </c>
      <c r="J23" s="12" t="n">
        <v>157.686</v>
      </c>
      <c r="K23" s="12" t="n">
        <v>104.534</v>
      </c>
      <c r="L23" s="12" t="n">
        <v>610.302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/>
      <c r="I24" s="20" t="n"/>
      <c r="J24" s="20" t="n"/>
      <c r="K24" s="20" t="n"/>
      <c r="L24" s="20" t="n"/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2398.912</v>
      </c>
      <c r="D27" s="12" t="n">
        <v>5405.817</v>
      </c>
      <c r="E27" s="12" t="n">
        <v>10194.668</v>
      </c>
      <c r="F27" s="12" t="n">
        <v>11101.646</v>
      </c>
      <c r="G27" s="12" t="n">
        <v>12130.389</v>
      </c>
      <c r="H27" s="11" t="n">
        <v>1781.813</v>
      </c>
      <c r="I27" s="12" t="n">
        <v>4556.464</v>
      </c>
      <c r="J27" s="12" t="n">
        <v>2515.237</v>
      </c>
      <c r="K27" s="12" t="n">
        <v>2848.285</v>
      </c>
      <c r="L27" s="12" t="n">
        <v>11101.646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14347.27</v>
      </c>
      <c r="D31" s="12" t="n">
        <v>23533.702</v>
      </c>
      <c r="E31" s="12" t="n">
        <v>30595.937</v>
      </c>
      <c r="F31" s="12" t="n">
        <v>32570.289</v>
      </c>
      <c r="G31" s="12" t="n">
        <v>32256.555</v>
      </c>
      <c r="H31" s="11" t="n">
        <v>11804.293</v>
      </c>
      <c r="I31" s="12" t="n">
        <v>16481.043</v>
      </c>
      <c r="J31" s="12" t="n">
        <v>15964.398</v>
      </c>
      <c r="K31" s="12" t="n">
        <v>15242.547</v>
      </c>
      <c r="L31" s="12" t="n">
        <v>32570.289</v>
      </c>
    </row>
    <row r="32">
      <c r="A32" s="18" t="inlineStr">
        <is>
          <t>자본금</t>
        </is>
      </c>
      <c r="B32" s="10" t="n"/>
      <c r="C32" s="19" t="n">
        <v>3363.635</v>
      </c>
      <c r="D32" s="20" t="n">
        <v>3363.635</v>
      </c>
      <c r="E32" s="20" t="n">
        <v>3723.221</v>
      </c>
      <c r="F32" s="20" t="n">
        <v>3739.398</v>
      </c>
      <c r="G32" s="20" t="n">
        <v>3774.245</v>
      </c>
      <c r="H32" s="19" t="n">
        <v>3363.635</v>
      </c>
      <c r="I32" s="20" t="n">
        <v>3363.635</v>
      </c>
      <c r="J32" s="20" t="n">
        <v>3363.635</v>
      </c>
      <c r="K32" s="20" t="n">
        <v>3363.635</v>
      </c>
      <c r="L32" s="20" t="n">
        <v>3739.398</v>
      </c>
    </row>
    <row r="33">
      <c r="A33" s="18" t="inlineStr">
        <is>
          <t>이익잉여금</t>
        </is>
      </c>
      <c r="B33" s="10" t="n"/>
      <c r="C33" s="19" t="n">
        <v>7028.706</v>
      </c>
      <c r="D33" s="20" t="n">
        <v>7580.612</v>
      </c>
      <c r="E33" s="20" t="n">
        <v>13913.917</v>
      </c>
      <c r="F33" s="20" t="n">
        <v>15227.325</v>
      </c>
      <c r="G33" s="20" t="n">
        <v>14718.104</v>
      </c>
      <c r="H33" s="19" t="n">
        <v>4439.392</v>
      </c>
      <c r="I33" s="20" t="n">
        <v>8335.546</v>
      </c>
      <c r="J33" s="20" t="n">
        <v>8019.263</v>
      </c>
      <c r="K33" s="20" t="n">
        <v>7715.801</v>
      </c>
      <c r="L33" s="20" t="n">
        <v>15227.325</v>
      </c>
    </row>
    <row r="34">
      <c r="A34" s="18" t="inlineStr">
        <is>
          <t>비지배지분</t>
        </is>
      </c>
      <c r="B34" s="10" t="n"/>
      <c r="C34" s="19" t="n">
        <v>142.147</v>
      </c>
      <c r="D34" s="20" t="n">
        <v>8346.589</v>
      </c>
      <c r="E34" s="20" t="n">
        <v>8952.98</v>
      </c>
      <c r="F34" s="20" t="n">
        <v>9295.041999999999</v>
      </c>
      <c r="G34" s="20" t="n">
        <v>9687.344999999999</v>
      </c>
      <c r="H34" s="19" t="n">
        <v>469.252</v>
      </c>
      <c r="I34" s="20" t="n">
        <v>318.858</v>
      </c>
      <c r="J34" s="20" t="n">
        <v>146.008</v>
      </c>
      <c r="K34" s="20" t="n">
        <v>167.809</v>
      </c>
      <c r="L34" s="20" t="n">
        <v>9295.041999999999</v>
      </c>
    </row>
    <row r="35">
      <c r="A35" s="9" t="inlineStr">
        <is>
          <t>자본총계</t>
        </is>
      </c>
      <c r="B35" s="10" t="n"/>
      <c r="C35" s="11" t="n">
        <v>14489.417</v>
      </c>
      <c r="D35" s="12" t="n">
        <v>31880.291</v>
      </c>
      <c r="E35" s="12" t="n">
        <v>39558.976</v>
      </c>
      <c r="F35" s="12" t="n">
        <v>41925.928</v>
      </c>
      <c r="G35" s="12" t="n">
        <v>42006.181</v>
      </c>
      <c r="H35" s="11" t="n">
        <v>12273.545</v>
      </c>
      <c r="I35" s="12" t="n">
        <v>16799.901</v>
      </c>
      <c r="J35" s="12" t="n">
        <v>16110.406</v>
      </c>
      <c r="K35" s="12" t="n">
        <v>15410.356</v>
      </c>
      <c r="L35" s="12" t="n">
        <v>41925.928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2413.205</v>
      </c>
      <c r="E37" s="12" t="n"/>
      <c r="F37" s="12" t="n">
        <v>2681.887</v>
      </c>
      <c r="G37" s="12" t="n"/>
      <c r="H37" s="11" t="n">
        <v>1128.13</v>
      </c>
      <c r="I37" s="12" t="n">
        <v>2608.515</v>
      </c>
      <c r="J37" s="12" t="n">
        <v>8762.219999999999</v>
      </c>
      <c r="K37" s="12" t="n">
        <v>2007.148</v>
      </c>
      <c r="L37" s="12" t="n">
        <v>2681.887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121.868</v>
      </c>
      <c r="E38" s="20" t="n"/>
      <c r="F38" s="20" t="n">
        <v>489.377</v>
      </c>
      <c r="G38" s="20" t="n"/>
      <c r="H38" s="19" t="n">
        <v>323.502</v>
      </c>
      <c r="I38" s="20" t="n">
        <v>333.626</v>
      </c>
      <c r="J38" s="20" t="n">
        <v>420.79</v>
      </c>
      <c r="K38" s="20" t="n">
        <v>146.242</v>
      </c>
      <c r="L38" s="20" t="n">
        <v>489.377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1972.816</v>
      </c>
      <c r="E40" s="20" t="n"/>
      <c r="F40" s="20" t="n">
        <v>2113.389</v>
      </c>
      <c r="G40" s="20" t="n"/>
      <c r="H40" s="19" t="n">
        <v>1479.612</v>
      </c>
      <c r="I40" s="20" t="n">
        <v>1546.866</v>
      </c>
      <c r="J40" s="20" t="n">
        <v>1905.561</v>
      </c>
      <c r="K40" s="20" t="n">
        <v>1950.398</v>
      </c>
      <c r="L40" s="20" t="n">
        <v>2113.389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IFERROR((IF(COUNT('연간'!G19:J19)&lt;4,"",SUM('연간'!G19:J19)))/(IF(COUNT('연간'!G41:J41)&lt;4,"",SUM('연간'!G41:J41))),"")</f>
        <v/>
      </c>
      <c r="D48" s="31">
        <f>IFERROR((IF(COUNT('연간'!H19:K19)&lt;4,"",SUM('연간'!H19:K19)))/(IF(COUNT('연간'!H41:K41)&lt;4,"",SUM('연간'!H41:K41))),"")</f>
        <v/>
      </c>
      <c r="E48" s="31">
        <f>IFERROR((IF(COUNT('연간'!I19:L19)&lt;4,"",SUM('연간'!I19:L19)))/(IF(COUNT('연간'!I41:L41)&lt;4,"",SUM('연간'!I41:L41))),"")</f>
        <v/>
      </c>
      <c r="F48" s="31">
        <f>IFERROR((IF(COUNT('연간'!J19:M19)&lt;4,"",SUM('연간'!J19:M19)))/(IF(COUNT('연간'!J41:M41)&lt;4,"",SUM('연간'!J41:M41))),"")</f>
        <v/>
      </c>
      <c r="G48" s="31">
        <f>IFERROR((IF(COUNT('연간'!K19:N19)&lt;4,"",SUM('연간'!K19:N19)))/(IF(COUNT('연간'!K41:N41)&lt;4,"",SUM('연간'!K41:N41))),"")</f>
        <v/>
      </c>
      <c r="H48" s="30">
        <f>IFERROR(('연간'!T19)/('연간'!T41),"")</f>
        <v/>
      </c>
      <c r="I48" s="31">
        <f>IFERROR(('연간'!U19)/('연간'!U41),"")</f>
        <v/>
      </c>
      <c r="J48" s="31">
        <f>IFERROR(('연간'!V19)/('연간'!V41),"")</f>
        <v/>
      </c>
      <c r="K48" s="31">
        <f>IFERROR(('연간'!W19)/('연간'!W41),"")</f>
        <v/>
      </c>
      <c r="L48" s="31">
        <f>IFERROR(('연간'!X19)/('연간'!X41),"")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IFERROR(IF((IF(COUNT('연간'!G47:J47)&lt;4,"",SUM('연간'!G47:J47)))&lt;=0,"적자",C28/(IF(COUNT('연간'!G47:J47)&lt;4,"",SUM('연간'!G47:J47)))),"")</f>
        <v/>
      </c>
      <c r="D49" s="47">
        <f>IFERROR(IF((IF(COUNT('연간'!H47:K47)&lt;4,"",SUM('연간'!H47:K47)))&lt;=0,"적자",D28/(IF(COUNT('연간'!H47:K47)&lt;4,"",SUM('연간'!H47:K47)))),"")</f>
        <v/>
      </c>
      <c r="E49" s="47">
        <f>IFERROR(IF((IF(COUNT('연간'!I47:L47)&lt;4,"",SUM('연간'!I47:L47)))&lt;=0,"적자",E28/(IF(COUNT('연간'!I47:L47)&lt;4,"",SUM('연간'!I47:L47)))),"")</f>
        <v/>
      </c>
      <c r="F49" s="47">
        <f>IFERROR(IF((IF(COUNT('연간'!J47:M47)&lt;4,"",SUM('연간'!J47:M47)))&lt;=0,"적자",F28/(IF(COUNT('연간'!J47:M47)&lt;4,"",SUM('연간'!J47:M47)))),"")</f>
        <v/>
      </c>
      <c r="G49" s="47">
        <f>IFERROR(IF((IF(COUNT('연간'!K47:N47)&lt;4,"",SUM('연간'!K47:N47)))&lt;=0,"적자",G28/(IF(COUNT('연간'!K47:N47)&lt;4,"",SUM('연간'!K47:N47)))),"")</f>
        <v/>
      </c>
      <c r="H49" s="46">
        <f>IFERROR(IF(('연간'!T47)&lt;=0,"적자",H28/('연간'!T47)),"")</f>
        <v/>
      </c>
      <c r="I49" s="47">
        <f>IFERROR(IF(('연간'!U47)&lt;=0,"적자",I28/('연간'!U47)),"")</f>
        <v/>
      </c>
      <c r="J49" s="47">
        <f>IFERROR(IF(('연간'!V47)&lt;=0,"적자",J28/('연간'!V47)),"")</f>
        <v/>
      </c>
      <c r="K49" s="47">
        <f>IFERROR(IF(('연간'!W47)&lt;=0,"적자",K28/('연간'!W47)),"")</f>
        <v/>
      </c>
      <c r="L49" s="47">
        <f>IFERROR(IF(('연간'!X47)&lt;=0,"적자",L28/('연간'!X47)),"")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IFERROR((IF(COUNT('연간'!G47:J47)&lt;4,"",SUM('연간'!G47:J47)))/C31,"")</f>
        <v/>
      </c>
      <c r="D51" s="36">
        <f>IFERROR((IF(COUNT('연간'!H47:K47)&lt;4,"",SUM('연간'!H47:K47)))/D31,"")</f>
        <v/>
      </c>
      <c r="E51" s="36">
        <f>IFERROR((IF(COUNT('연간'!I47:L47)&lt;4,"",SUM('연간'!I47:L47)))/E31,"")</f>
        <v/>
      </c>
      <c r="F51" s="36">
        <f>IFERROR((IF(COUNT('연간'!J47:M47)&lt;4,"",SUM('연간'!J47:M47)))/F31,"")</f>
        <v/>
      </c>
      <c r="G51" s="36">
        <f>IFERROR((IF(COUNT('연간'!K47:N47)&lt;4,"",SUM('연간'!K47:N47)))/G31,"")</f>
        <v/>
      </c>
      <c r="H51" s="35">
        <f>IFERROR(('연간'!T47)/H31,"")</f>
        <v/>
      </c>
      <c r="I51" s="36">
        <f>IFERROR(('연간'!U47)/I31,"")</f>
        <v/>
      </c>
      <c r="J51" s="36">
        <f>IFERROR(('연간'!V47)/J31,"")</f>
        <v/>
      </c>
      <c r="K51" s="36">
        <f>IFERROR(('연간'!W47)/K31,"")</f>
        <v/>
      </c>
      <c r="L51" s="36">
        <f>IFERROR(('연간'!X47)/L31,"")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IFERROR((IF(COUNT('연간'!G46:J46)&lt;4,"",SUM('연간'!G46:J46)))/C16,"")</f>
        <v/>
      </c>
      <c r="D52" s="36">
        <f>IFERROR((IF(COUNT('연간'!H46:K46)&lt;4,"",SUM('연간'!H46:K46)))/D16,"")</f>
        <v/>
      </c>
      <c r="E52" s="36">
        <f>IFERROR((IF(COUNT('연간'!I46:L46)&lt;4,"",SUM('연간'!I46:L46)))/E16,"")</f>
        <v/>
      </c>
      <c r="F52" s="36">
        <f>IFERROR((IF(COUNT('연간'!J46:M46)&lt;4,"",SUM('연간'!J46:M46)))/F16,"")</f>
        <v/>
      </c>
      <c r="G52" s="36">
        <f>IFERROR((IF(COUNT('연간'!K46:N46)&lt;4,"",SUM('연간'!K46:N46)))/G16,"")</f>
        <v/>
      </c>
      <c r="H52" s="35">
        <f>IFERROR(('연간'!T46)/H16,"")</f>
        <v/>
      </c>
      <c r="I52" s="36">
        <f>IFERROR(('연간'!U46)/I16,"")</f>
        <v/>
      </c>
      <c r="J52" s="36">
        <f>IFERROR(('연간'!V46)/J16,"")</f>
        <v/>
      </c>
      <c r="K52" s="36">
        <f>IFERROR(('연간'!W46)/K16,"")</f>
        <v/>
      </c>
      <c r="L52" s="36">
        <f>IFERROR(('연간'!X46)/L16,"")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IFERROR((IF(COUNT('연간'!G19:J19)&lt;4,"",SUM('연간'!G19:J19)))*(1-0.3)/(C35+C29),"")</f>
        <v/>
      </c>
      <c r="D53" s="36">
        <f>IFERROR((IF(COUNT('연간'!H19:K19)&lt;4,"",SUM('연간'!H19:K19)))*(1-0.3)/(D35+D29),"")</f>
        <v/>
      </c>
      <c r="E53" s="36">
        <f>IFERROR((IF(COUNT('연간'!I19:L19)&lt;4,"",SUM('연간'!I19:L19)))*(1-0.3)/(E35+E29),"")</f>
        <v/>
      </c>
      <c r="F53" s="36">
        <f>IFERROR((IF(COUNT('연간'!J19:M19)&lt;4,"",SUM('연간'!J19:M19)))*(1-0.3)/(F35+F29),"")</f>
        <v/>
      </c>
      <c r="G53" s="36">
        <f>IFERROR((IF(COUNT('연간'!K19:N19)&lt;4,"",SUM('연간'!K19:N19)))*(1-0.3)/(G35+G29),"")</f>
        <v/>
      </c>
      <c r="H53" s="35">
        <f>IFERROR(('연간'!T19)*(1-0.3)/(H35+H29),"")</f>
        <v/>
      </c>
      <c r="I53" s="36">
        <f>IFERROR(('연간'!U19)*(1-0.3)/(I35+I29),"")</f>
        <v/>
      </c>
      <c r="J53" s="36">
        <f>IFERROR(('연간'!V19)*(1-0.3)/(J35+J29),"")</f>
        <v/>
      </c>
      <c r="K53" s="36">
        <f>IFERROR(('연간'!W19)*(1-0.3)/(K35+K29),"")</f>
        <v/>
      </c>
      <c r="L53" s="36">
        <f>IFERROR(('연간'!X19)*(1-0.3)/(L35+L29),"")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IFERROR((IF(COUNT('연간'!G15:J15)&lt;4,"",SUM('연간'!G15:J15)))/(IF(COUNT('연간'!G4:J4)&lt;4,"",SUM('연간'!G4:J4))),"")</f>
        <v/>
      </c>
      <c r="D54" s="36">
        <f>IFERROR((IF(COUNT('연간'!H15:K15)&lt;4,"",SUM('연간'!H15:K15)))/(IF(COUNT('연간'!H4:K4)&lt;4,"",SUM('연간'!H4:K4))),"")</f>
        <v/>
      </c>
      <c r="E54" s="36">
        <f>IFERROR((IF(COUNT('연간'!I15:L15)&lt;4,"",SUM('연간'!I15:L15)))/(IF(COUNT('연간'!I4:L4)&lt;4,"",SUM('연간'!I4:L4))),"")</f>
        <v/>
      </c>
      <c r="F54" s="36">
        <f>IFERROR((IF(COUNT('연간'!J15:M15)&lt;4,"",SUM('연간'!J15:M15)))/(IF(COUNT('연간'!J4:M4)&lt;4,"",SUM('연간'!J4:M4))),"")</f>
        <v/>
      </c>
      <c r="G54" s="36">
        <f>IFERROR((IF(COUNT('연간'!K15:N15)&lt;4,"",SUM('연간'!K15:N15)))/(IF(COUNT('연간'!K4:N4)&lt;4,"",SUM('연간'!K4:N4))),"")</f>
        <v/>
      </c>
      <c r="H54" s="35">
        <f>IFERROR(('연간'!T15)/('연간'!T4),"")</f>
        <v/>
      </c>
      <c r="I54" s="36">
        <f>IFERROR(('연간'!U15)/('연간'!U4),"")</f>
        <v/>
      </c>
      <c r="J54" s="36">
        <f>IFERROR(('연간'!V15)/('연간'!V4),"")</f>
        <v/>
      </c>
      <c r="K54" s="36">
        <f>IFERROR(('연간'!W15)/('연간'!W4),"")</f>
        <v/>
      </c>
      <c r="L54" s="36">
        <f>IFERROR(('연간'!X15)/('연간'!X4),"")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IFERROR((IF(COUNT('연간'!G19:J19)&lt;4,"",SUM('연간'!G19:J19)))/(IF(COUNT('연간'!G4:J4)&lt;4,"",SUM('연간'!G4:J4))),"")</f>
        <v/>
      </c>
      <c r="D55" s="36">
        <f>IFERROR((IF(COUNT('연간'!H19:K19)&lt;4,"",SUM('연간'!H19:K19)))/(IF(COUNT('연간'!H4:K4)&lt;4,"",SUM('연간'!H4:K4))),"")</f>
        <v/>
      </c>
      <c r="E55" s="36">
        <f>IFERROR((IF(COUNT('연간'!I19:L19)&lt;4,"",SUM('연간'!I19:L19)))/(IF(COUNT('연간'!I4:L4)&lt;4,"",SUM('연간'!I4:L4))),"")</f>
        <v/>
      </c>
      <c r="F55" s="36">
        <f>IFERROR((IF(COUNT('연간'!J19:M19)&lt;4,"",SUM('연간'!J19:M19)))/(IF(COUNT('연간'!J4:M4)&lt;4,"",SUM('연간'!J4:M4))),"")</f>
        <v/>
      </c>
      <c r="G55" s="36">
        <f>IFERROR((IF(COUNT('연간'!K19:N19)&lt;4,"",SUM('연간'!K19:N19)))/(IF(COUNT('연간'!K4:N4)&lt;4,"",SUM('연간'!K4:N4))),"")</f>
        <v/>
      </c>
      <c r="H55" s="35">
        <f>IFERROR(('연간'!T19)/('연간'!T4),"")</f>
        <v/>
      </c>
      <c r="I55" s="36">
        <f>IFERROR(('연간'!U19)/('연간'!U4),"")</f>
        <v/>
      </c>
      <c r="J55" s="36">
        <f>IFERROR(('연간'!V19)/('연간'!V4),"")</f>
        <v/>
      </c>
      <c r="K55" s="36">
        <f>IFERROR(('연간'!W19)/('연간'!W4),"")</f>
        <v/>
      </c>
      <c r="L55" s="36">
        <f>IFERROR(('연간'!X19)/('연간'!X4),"")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IFERROR((IF(COUNT('연간'!G46:J46)&lt;4,"",SUM('연간'!G46:J46)))/(IF(COUNT('연간'!G4:J4)&lt;4,"",SUM('연간'!G4:J4))),"")</f>
        <v/>
      </c>
      <c r="D56" s="36">
        <f>IFERROR((IF(COUNT('연간'!H46:K46)&lt;4,"",SUM('연간'!H46:K46)))/(IF(COUNT('연간'!H4:K4)&lt;4,"",SUM('연간'!H4:K4))),"")</f>
        <v/>
      </c>
      <c r="E56" s="36">
        <f>IFERROR((IF(COUNT('연간'!I46:L46)&lt;4,"",SUM('연간'!I46:L46)))/(IF(COUNT('연간'!I4:L4)&lt;4,"",SUM('연간'!I4:L4))),"")</f>
        <v/>
      </c>
      <c r="F56" s="36">
        <f>IFERROR((IF(COUNT('연간'!J46:M46)&lt;4,"",SUM('연간'!J46:M46)))/(IF(COUNT('연간'!J4:M4)&lt;4,"",SUM('연간'!J4:M4))),"")</f>
        <v/>
      </c>
      <c r="G56" s="36">
        <f>IFERROR((IF(COUNT('연간'!K46:N46)&lt;4,"",SUM('연간'!K46:N46)))/(IF(COUNT('연간'!K4:N4)&lt;4,"",SUM('연간'!K4:N4))),"")</f>
        <v/>
      </c>
      <c r="H56" s="35">
        <f>IFERROR(('연간'!T46)/('연간'!T4),"")</f>
        <v/>
      </c>
      <c r="I56" s="36">
        <f>IFERROR(('연간'!U46)/('연간'!U4),"")</f>
        <v/>
      </c>
      <c r="J56" s="36">
        <f>IFERROR(('연간'!V46)/('연간'!V4),"")</f>
        <v/>
      </c>
      <c r="K56" s="36">
        <f>IFERROR(('연간'!W46)/('연간'!W4),"")</f>
        <v/>
      </c>
      <c r="L56" s="36">
        <f>IFERROR(('연간'!X46)/('연간'!X4),"")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IFERROR(C9/(IF(COUNT('연간'!G14:J14)&lt;4,"",SUM('연간'!G14:J14)))*365,"")</f>
        <v/>
      </c>
      <c r="D60" s="49">
        <f>IFERROR(D9/(IF(COUNT('연간'!H14:K14)&lt;4,"",SUM('연간'!H14:K14)))*365,"")</f>
        <v/>
      </c>
      <c r="E60" s="49">
        <f>IFERROR(E9/(IF(COUNT('연간'!I14:L14)&lt;4,"",SUM('연간'!I14:L14)))*365,"")</f>
        <v/>
      </c>
      <c r="F60" s="49">
        <f>IFERROR(F9/(IF(COUNT('연간'!J14:M14)&lt;4,"",SUM('연간'!J14:M14)))*365,"")</f>
        <v/>
      </c>
      <c r="G60" s="49">
        <f>IFERROR(G9/(IF(COUNT('연간'!K14:N14)&lt;4,"",SUM('연간'!K14:N14)))*365,"")</f>
        <v/>
      </c>
      <c r="H60" s="48">
        <f>IFERROR(H9/('연간'!T14)*365,"")</f>
        <v/>
      </c>
      <c r="I60" s="49">
        <f>IFERROR(I9/('연간'!U14)*365,"")</f>
        <v/>
      </c>
      <c r="J60" s="49">
        <f>IFERROR(J9/('연간'!V14)*365,"")</f>
        <v/>
      </c>
      <c r="K60" s="49">
        <f>IFERROR(K9/('연간'!W14)*365,"")</f>
        <v/>
      </c>
      <c r="L60" s="49">
        <f>IFERROR(L9/('연간'!X14)*365,"")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IFERROR(C19/(IF(COUNT('연간'!G14:J14)&lt;4,"",SUM('연간'!G14:J14)))*365,"")</f>
        <v/>
      </c>
      <c r="D61" s="49">
        <f>IFERROR(D19/(IF(COUNT('연간'!H14:K14)&lt;4,"",SUM('연간'!H14:K14)))*365,"")</f>
        <v/>
      </c>
      <c r="E61" s="49">
        <f>IFERROR(E19/(IF(COUNT('연간'!I14:L14)&lt;4,"",SUM('연간'!I14:L14)))*365,"")</f>
        <v/>
      </c>
      <c r="F61" s="49">
        <f>IFERROR(F19/(IF(COUNT('연간'!J14:M14)&lt;4,"",SUM('연간'!J14:M14)))*365,"")</f>
        <v/>
      </c>
      <c r="G61" s="49">
        <f>IFERROR(G19/(IF(COUNT('연간'!K14:N14)&lt;4,"",SUM('연간'!K14:N14)))*365,"")</f>
        <v/>
      </c>
      <c r="H61" s="48">
        <f>IFERROR(H19/('연간'!T14)*365,"")</f>
        <v/>
      </c>
      <c r="I61" s="49">
        <f>IFERROR(I19/('연간'!U14)*365,"")</f>
        <v/>
      </c>
      <c r="J61" s="49">
        <f>IFERROR(J19/('연간'!V14)*365,"")</f>
        <v/>
      </c>
      <c r="K61" s="49">
        <f>IFERROR(K19/('연간'!W14)*365,"")</f>
        <v/>
      </c>
      <c r="L61" s="49">
        <f>IFERROR(L19/('연간'!X14)*365,"")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IF(C37="","",IFERROR(C37/(IF(COUNT('연간'!G46:J46)&lt;4,"",SUM('연간'!G46:J46))),""))</f>
        <v/>
      </c>
      <c r="D64" s="31">
        <f>IF(D37="","",IFERROR(D37/(IF(COUNT('연간'!H46:K46)&lt;4,"",SUM('연간'!H46:K46))),""))</f>
        <v/>
      </c>
      <c r="E64" s="31">
        <f>IF(E37="","",IFERROR(E37/(IF(COUNT('연간'!I46:L46)&lt;4,"",SUM('연간'!I46:L46))),""))</f>
        <v/>
      </c>
      <c r="F64" s="31">
        <f>IF(F37="","",IFERROR(F37/(IF(COUNT('연간'!J46:M46)&lt;4,"",SUM('연간'!J46:M46))),""))</f>
        <v/>
      </c>
      <c r="G64" s="31">
        <f>IF(G37="","",IFERROR(G37/(IF(COUNT('연간'!K46:N46)&lt;4,"",SUM('연간'!K46:N46))),""))</f>
        <v/>
      </c>
      <c r="H64" s="30">
        <f>IF(H37="","",IFERROR(H37/('연간'!T46),""))</f>
        <v/>
      </c>
      <c r="I64" s="31">
        <f>IF(I37="","",IFERROR(I37/('연간'!U46),""))</f>
        <v/>
      </c>
      <c r="J64" s="31">
        <f>IF(J37="","",IFERROR(J37/('연간'!V46),""))</f>
        <v/>
      </c>
      <c r="K64" s="31">
        <f>IF(K37="","",IFERROR(K37/('연간'!W46),""))</f>
        <v/>
      </c>
      <c r="L64" s="31">
        <f>IF(L37="","",IFERROR(L37/('연간'!X46),""))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IF(C40="","",IFERROR(C40/(IF(COUNT('연간'!G47:J47)&lt;4,"",SUM('연간'!G47:J47))),""))</f>
        <v/>
      </c>
      <c r="D67" s="36">
        <f>IF(D40="","",IFERROR(D40/(IF(COUNT('연간'!H47:K47)&lt;4,"",SUM('연간'!H47:K47))),""))</f>
        <v/>
      </c>
      <c r="E67" s="36">
        <f>IF(E40="","",IFERROR(E40/(IF(COUNT('연간'!I47:L47)&lt;4,"",SUM('연간'!I47:L47))),""))</f>
        <v/>
      </c>
      <c r="F67" s="36">
        <f>IF(F40="","",IFERROR(F40/(IF(COUNT('연간'!J47:M47)&lt;4,"",SUM('연간'!J47:M47))),""))</f>
        <v/>
      </c>
      <c r="G67" s="36">
        <f>IF(G40="","",IFERROR(G40/(IF(COUNT('연간'!K47:N47)&lt;4,"",SUM('연간'!K47:N47))),""))</f>
        <v/>
      </c>
      <c r="H67" s="35">
        <f>IF(H40="","",IFERROR(H40/('연간'!T47),""))</f>
        <v/>
      </c>
      <c r="I67" s="36">
        <f>IF(I40="","",IFERROR(I40/('연간'!U47),""))</f>
        <v/>
      </c>
      <c r="J67" s="36">
        <f>IF(J40="","",IFERROR(J40/('연간'!V47),""))</f>
        <v/>
      </c>
      <c r="K67" s="36">
        <f>IF(K40="","",IFERROR(K40/('연간'!W47),""))</f>
        <v/>
      </c>
      <c r="L67" s="36">
        <f>IF(L40="","",IFERROR(L40/('연간'!X47),""))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2907.198</v>
      </c>
      <c r="D71" s="20" t="n">
        <v>17364.951</v>
      </c>
      <c r="E71" s="20" t="n">
        <v>20881.762</v>
      </c>
      <c r="F71" s="20" t="n">
        <v>21848.683</v>
      </c>
      <c r="G71" s="20" t="n">
        <v>23775.923</v>
      </c>
      <c r="H71" s="20" t="n">
        <v>5176.612</v>
      </c>
      <c r="I71" s="20" t="n">
        <v>2137.894</v>
      </c>
      <c r="J71" s="20" t="n">
        <v>3637.848</v>
      </c>
      <c r="K71" s="20" t="n">
        <v>4008.192</v>
      </c>
      <c r="L71" s="20" t="n">
        <v>21848.683</v>
      </c>
    </row>
    <row r="72">
      <c r="A72" s="18" t="inlineStr">
        <is>
          <t>매출채권</t>
        </is>
      </c>
      <c r="C72" s="20" t="n">
        <v>2605.783</v>
      </c>
      <c r="D72" s="20" t="n">
        <v>5253.375</v>
      </c>
      <c r="E72" s="20" t="n">
        <v>9768.789000000001</v>
      </c>
      <c r="F72" s="20" t="n">
        <v>11791.018</v>
      </c>
      <c r="G72" s="20" t="n">
        <v>11066.438</v>
      </c>
      <c r="H72" s="20" t="n">
        <v>1611.378</v>
      </c>
      <c r="I72" s="20" t="n">
        <v>1483.903</v>
      </c>
      <c r="J72" s="20" t="n">
        <v>2273.701</v>
      </c>
      <c r="K72" s="20" t="n">
        <v>2606.942</v>
      </c>
      <c r="L72" s="20" t="n">
        <v>11791.018</v>
      </c>
    </row>
    <row r="73">
      <c r="A73" s="18" t="inlineStr">
        <is>
          <t>재고자산</t>
        </is>
      </c>
      <c r="C73" s="20" t="n">
        <v>0.725</v>
      </c>
      <c r="D73" s="20" t="n">
        <v>2.763</v>
      </c>
      <c r="E73" s="20" t="n">
        <v>8.122999999999999</v>
      </c>
      <c r="F73" s="20" t="n">
        <v>8.231</v>
      </c>
      <c r="G73" s="20" t="n">
        <v>7.187</v>
      </c>
      <c r="H73" s="20" t="n">
        <v>1.263</v>
      </c>
      <c r="I73" s="20" t="n">
        <v>1.386</v>
      </c>
      <c r="J73" s="20" t="n">
        <v>3.698</v>
      </c>
      <c r="K73" s="20" t="n">
        <v>1.868</v>
      </c>
      <c r="L73" s="20" t="n">
        <v>8.231</v>
      </c>
    </row>
    <row r="74">
      <c r="A74" s="18" t="inlineStr">
        <is>
          <t>미수금</t>
        </is>
      </c>
      <c r="D74" s="20" t="n">
        <v>192.78</v>
      </c>
      <c r="I74" s="20" t="n">
        <v>9409.529</v>
      </c>
      <c r="J74" s="20" t="n">
        <v>146.925</v>
      </c>
      <c r="K74" s="20" t="n">
        <v>176.517</v>
      </c>
    </row>
    <row r="75">
      <c r="A75" s="18" t="inlineStr">
        <is>
          <t>미수금</t>
        </is>
      </c>
      <c r="C75" s="20" t="n">
        <v>164.632</v>
      </c>
      <c r="E75" s="20" t="n">
        <v>171.223</v>
      </c>
      <c r="F75" s="20" t="n">
        <v>185.343</v>
      </c>
      <c r="G75" s="20" t="n">
        <v>0</v>
      </c>
      <c r="H75" s="20" t="n">
        <v>627.76</v>
      </c>
      <c r="I75" s="20" t="n">
        <v>9409.529</v>
      </c>
      <c r="J75" s="20" t="n">
        <v>146.925</v>
      </c>
      <c r="K75" s="20" t="n">
        <v>176.517</v>
      </c>
      <c r="L75" s="20" t="n">
        <v>185.343</v>
      </c>
    </row>
    <row r="76">
      <c r="A76" s="18" t="inlineStr">
        <is>
          <t>영업투자유가증권</t>
        </is>
      </c>
      <c r="E76" s="20" t="n">
        <v>960.082</v>
      </c>
      <c r="F76" s="20" t="n">
        <v>852.722</v>
      </c>
      <c r="G76" s="20" t="n">
        <v>835.909</v>
      </c>
      <c r="K76" s="20" t="n">
        <v>0</v>
      </c>
      <c r="L76" s="20" t="n">
        <v>852.722</v>
      </c>
    </row>
    <row r="77">
      <c r="A77" s="18" t="inlineStr">
        <is>
          <t>고객 분별금 신탁</t>
        </is>
      </c>
      <c r="E77" s="20" t="n">
        <v>2100</v>
      </c>
      <c r="F77" s="20" t="n">
        <v>2100</v>
      </c>
      <c r="G77" s="20" t="n">
        <v>2100</v>
      </c>
      <c r="K77" s="20" t="n">
        <v>0</v>
      </c>
      <c r="L77" s="20" t="n">
        <v>2100</v>
      </c>
    </row>
    <row r="78">
      <c r="A78" s="18" t="inlineStr">
        <is>
          <t>기타</t>
        </is>
      </c>
      <c r="C78" s="20" t="n">
        <v>371.938</v>
      </c>
      <c r="D78" s="20" t="n">
        <v>745.572</v>
      </c>
      <c r="E78" s="20" t="n">
        <v>1042.307</v>
      </c>
      <c r="F78" s="20" t="n">
        <v>1039.174</v>
      </c>
      <c r="G78" s="20" t="n">
        <v>1002.907</v>
      </c>
      <c r="H78" s="20" t="n">
        <v>187.065</v>
      </c>
      <c r="I78" s="20" t="n">
        <v>959.197</v>
      </c>
      <c r="J78" s="20" t="n">
        <v>485.296</v>
      </c>
      <c r="K78" s="20" t="n">
        <v>394.189</v>
      </c>
      <c r="L78" s="20" t="n">
        <v>1039.174</v>
      </c>
    </row>
    <row r="79">
      <c r="A79" s="9" t="inlineStr">
        <is>
          <t>유동자산 합계</t>
        </is>
      </c>
      <c r="C79" s="12" t="n">
        <v>6050.279</v>
      </c>
      <c r="D79" s="12" t="n">
        <v>23559.442</v>
      </c>
      <c r="E79" s="12" t="n">
        <v>34932.29</v>
      </c>
      <c r="F79" s="12" t="n">
        <v>37825.174</v>
      </c>
      <c r="G79" s="12" t="n">
        <v>38788.365</v>
      </c>
      <c r="H79" s="12" t="n">
        <v>7604.08</v>
      </c>
      <c r="I79" s="12" t="n">
        <v>13991.911</v>
      </c>
      <c r="J79" s="12" t="n">
        <v>6547.47</v>
      </c>
      <c r="K79" s="12" t="n">
        <v>7187.711</v>
      </c>
      <c r="L79" s="12" t="n">
        <v>37825.174</v>
      </c>
    </row>
    <row r="80">
      <c r="A80" s="18" t="inlineStr">
        <is>
          <t>건물 부속설비</t>
        </is>
      </c>
      <c r="C80" s="20" t="n">
        <v>129.537</v>
      </c>
      <c r="D80" s="20" t="n">
        <v>388.635</v>
      </c>
      <c r="E80" s="20" t="n">
        <v>779.765</v>
      </c>
      <c r="F80" s="20" t="n">
        <v>838.817</v>
      </c>
      <c r="G80" s="20" t="n">
        <v>674.127</v>
      </c>
      <c r="H80" s="20" t="n">
        <v>159.445</v>
      </c>
      <c r="I80" s="20" t="n">
        <v>179.208</v>
      </c>
      <c r="J80" s="20" t="n">
        <v>120.696</v>
      </c>
      <c r="K80" s="20" t="n">
        <v>129.207</v>
      </c>
      <c r="L80" s="20" t="n">
        <v>838.817</v>
      </c>
    </row>
    <row r="81">
      <c r="A81" s="18" t="inlineStr">
        <is>
          <t>감가상각누계액</t>
        </is>
      </c>
      <c r="C81" s="20" t="n">
        <v>-59.439</v>
      </c>
      <c r="D81" s="20" t="n">
        <v>-167.522</v>
      </c>
      <c r="E81" s="20" t="n">
        <v>-182.627</v>
      </c>
      <c r="F81" s="20" t="n">
        <v>-284.175</v>
      </c>
      <c r="G81" s="20" t="n">
        <v>-201.54</v>
      </c>
      <c r="H81" s="20" t="n">
        <v>-107.516</v>
      </c>
      <c r="I81" s="20" t="n">
        <v>-114.746</v>
      </c>
      <c r="J81" s="20" t="n">
        <v>-46.776</v>
      </c>
      <c r="K81" s="20" t="n">
        <v>-56.736</v>
      </c>
      <c r="L81" s="20" t="n">
        <v>-284.175</v>
      </c>
    </row>
    <row r="82">
      <c r="A82" s="18" t="inlineStr">
        <is>
          <t>건물부속설비(순액)</t>
        </is>
      </c>
      <c r="C82" s="20" t="n">
        <v>70.098</v>
      </c>
      <c r="D82" s="20" t="n">
        <v>221.113</v>
      </c>
      <c r="E82" s="20" t="n">
        <v>597.1369999999999</v>
      </c>
      <c r="F82" s="20" t="n">
        <v>554.641</v>
      </c>
      <c r="G82" s="20" t="n">
        <v>472.586</v>
      </c>
      <c r="H82" s="20" t="n">
        <v>51.929</v>
      </c>
      <c r="I82" s="20" t="n">
        <v>64.462</v>
      </c>
      <c r="J82" s="20" t="n">
        <v>73.919</v>
      </c>
      <c r="K82" s="20" t="n">
        <v>72.47</v>
      </c>
      <c r="L82" s="20" t="n">
        <v>554.641</v>
      </c>
    </row>
    <row r="83">
      <c r="A83" s="18" t="inlineStr">
        <is>
          <t>공구·기구·비품</t>
        </is>
      </c>
      <c r="C83" s="20" t="n">
        <v>190.3</v>
      </c>
      <c r="D83" s="20" t="n">
        <v>365.981</v>
      </c>
      <c r="E83" s="20" t="n">
        <v>510.373</v>
      </c>
      <c r="F83" s="20" t="n">
        <v>456.736</v>
      </c>
      <c r="G83" s="20" t="n">
        <v>449.415</v>
      </c>
      <c r="H83" s="20" t="n">
        <v>197.044</v>
      </c>
      <c r="I83" s="20" t="n">
        <v>200.935</v>
      </c>
      <c r="J83" s="20" t="n">
        <v>185.458</v>
      </c>
      <c r="K83" s="20" t="n">
        <v>190.956</v>
      </c>
      <c r="L83" s="20" t="n">
        <v>456.736</v>
      </c>
    </row>
    <row r="84">
      <c r="A84" s="18" t="inlineStr">
        <is>
          <t>사용권자산</t>
        </is>
      </c>
      <c r="H84" s="20" t="n">
        <v>69.089</v>
      </c>
    </row>
    <row r="85">
      <c r="A85" s="18" t="inlineStr">
        <is>
          <t>감가상각누계액</t>
        </is>
      </c>
      <c r="C85" s="20" t="n">
        <v>-172.111</v>
      </c>
      <c r="D85" s="20" t="n">
        <v>-307.913</v>
      </c>
      <c r="E85" s="20" t="n">
        <v>-391.952</v>
      </c>
      <c r="F85" s="20" t="n">
        <v>-355.922</v>
      </c>
      <c r="G85" s="20" t="n">
        <v>-362.461</v>
      </c>
      <c r="H85" s="20" t="n">
        <v>-168.111</v>
      </c>
      <c r="I85" s="20" t="n">
        <v>-172.908</v>
      </c>
      <c r="J85" s="20" t="n">
        <v>-161.9</v>
      </c>
      <c r="K85" s="20" t="n">
        <v>-170.829</v>
      </c>
      <c r="L85" s="20" t="n">
        <v>-355.922</v>
      </c>
    </row>
    <row r="86">
      <c r="A86" s="18" t="inlineStr">
        <is>
          <t>공구·기구·비품(순액)</t>
        </is>
      </c>
      <c r="C86" s="20" t="n">
        <v>18.189</v>
      </c>
      <c r="D86" s="20" t="n">
        <v>58.068</v>
      </c>
      <c r="E86" s="20" t="n">
        <v>118.421</v>
      </c>
      <c r="F86" s="20" t="n">
        <v>100.813</v>
      </c>
      <c r="G86" s="20" t="n">
        <v>86.95399999999999</v>
      </c>
      <c r="H86" s="20" t="n">
        <v>28.932</v>
      </c>
      <c r="I86" s="20" t="n">
        <v>28.027</v>
      </c>
      <c r="J86" s="20" t="n">
        <v>23.557</v>
      </c>
      <c r="K86" s="20" t="n">
        <v>20.127</v>
      </c>
      <c r="L86" s="20" t="n">
        <v>100.813</v>
      </c>
    </row>
    <row r="87">
      <c r="A87" s="18" t="inlineStr">
        <is>
          <t>사용권자산</t>
        </is>
      </c>
      <c r="C87" s="20" t="n">
        <v>149.931</v>
      </c>
      <c r="D87" s="20" t="n">
        <v>129.156</v>
      </c>
      <c r="H87" s="20" t="n">
        <v>69.089</v>
      </c>
      <c r="I87" s="20" t="n">
        <v>253.288</v>
      </c>
      <c r="J87" s="20" t="n">
        <v>216.568</v>
      </c>
      <c r="K87" s="20" t="n">
        <v>175.866</v>
      </c>
    </row>
    <row r="88">
      <c r="A88" s="18" t="inlineStr">
        <is>
          <t>사용권자산(순액)</t>
        </is>
      </c>
      <c r="E88" s="20" t="n">
        <v>115.784</v>
      </c>
      <c r="J88" s="20" t="n">
        <v>216.568</v>
      </c>
      <c r="K88" s="20" t="n">
        <v>175.866</v>
      </c>
    </row>
    <row r="89">
      <c r="A89" s="18" t="inlineStr">
        <is>
          <t>사용권자산</t>
        </is>
      </c>
      <c r="F89" s="20" t="n">
        <v>103.456</v>
      </c>
      <c r="G89" s="20" t="n">
        <v>86.74299999999999</v>
      </c>
      <c r="K89" s="20" t="n">
        <v>175.866</v>
      </c>
      <c r="L89" s="20" t="n">
        <v>103.456</v>
      </c>
    </row>
    <row r="90">
      <c r="A90" s="18" t="inlineStr">
        <is>
          <t>유형자산 합계</t>
        </is>
      </c>
      <c r="C90" s="20" t="n">
        <v>238.219</v>
      </c>
      <c r="D90" s="20" t="n">
        <v>408.338</v>
      </c>
      <c r="E90" s="20" t="n">
        <v>831.343</v>
      </c>
      <c r="F90" s="20" t="n">
        <v>758.9109999999999</v>
      </c>
      <c r="G90" s="20" t="n">
        <v>646.284</v>
      </c>
      <c r="H90" s="20" t="n">
        <v>149.951</v>
      </c>
      <c r="I90" s="20" t="n">
        <v>345.777</v>
      </c>
      <c r="J90" s="20" t="n">
        <v>314.046</v>
      </c>
      <c r="K90" s="20" t="n">
        <v>268.463</v>
      </c>
      <c r="L90" s="20" t="n">
        <v>758.9109999999999</v>
      </c>
    </row>
    <row r="91">
      <c r="A91" s="18" t="inlineStr">
        <is>
          <t>영업권</t>
        </is>
      </c>
      <c r="C91" s="20" t="n">
        <v>1546.09</v>
      </c>
      <c r="D91" s="20" t="n">
        <v>1492.859</v>
      </c>
      <c r="E91" s="20" t="n">
        <v>1489.123</v>
      </c>
      <c r="F91" s="20" t="n">
        <v>1504.551</v>
      </c>
      <c r="G91" s="20" t="n">
        <v>1494.936</v>
      </c>
      <c r="H91" s="20" t="n">
        <v>1786.713</v>
      </c>
      <c r="I91" s="20" t="n">
        <v>1676.585</v>
      </c>
      <c r="J91" s="20" t="n">
        <v>1633.229</v>
      </c>
      <c r="K91" s="20" t="n">
        <v>1625.593</v>
      </c>
      <c r="L91" s="20" t="n">
        <v>1504.551</v>
      </c>
    </row>
    <row r="92">
      <c r="A92" s="18" t="inlineStr">
        <is>
          <t>소프트웨어</t>
        </is>
      </c>
      <c r="C92" s="20" t="n">
        <v>721.457</v>
      </c>
      <c r="D92" s="20" t="n">
        <v>695.556</v>
      </c>
      <c r="E92" s="20" t="n">
        <v>1234.52</v>
      </c>
      <c r="F92" s="20" t="n">
        <v>1010.421</v>
      </c>
      <c r="G92" s="20" t="n">
        <v>1010.917</v>
      </c>
      <c r="H92" s="20" t="n">
        <v>1076.849</v>
      </c>
      <c r="I92" s="20" t="n">
        <v>863.429</v>
      </c>
      <c r="J92" s="20" t="n">
        <v>986.883</v>
      </c>
      <c r="K92" s="20" t="n">
        <v>780.282</v>
      </c>
      <c r="L92" s="20" t="n">
        <v>1010.421</v>
      </c>
    </row>
    <row r="93">
      <c r="A93" s="18" t="inlineStr">
        <is>
          <t>기타</t>
        </is>
      </c>
      <c r="C93" s="20" t="n">
        <v>8.786</v>
      </c>
      <c r="D93" s="20" t="n">
        <v>10.788</v>
      </c>
      <c r="E93" s="20" t="n">
        <v>14.018</v>
      </c>
      <c r="F93" s="20" t="n">
        <v>13.223</v>
      </c>
      <c r="G93" s="20" t="n">
        <v>13.372</v>
      </c>
      <c r="H93" s="20" t="n">
        <v>282.05</v>
      </c>
      <c r="I93" s="20" t="n">
        <v>39.775</v>
      </c>
      <c r="J93" s="20" t="n">
        <v>9.124000000000001</v>
      </c>
      <c r="K93" s="20" t="n">
        <v>8.907</v>
      </c>
      <c r="L93" s="20" t="n">
        <v>13.223</v>
      </c>
    </row>
    <row r="94">
      <c r="A94" s="18" t="inlineStr">
        <is>
          <t>무형자산 합계</t>
        </is>
      </c>
      <c r="C94" s="20" t="n">
        <v>2276.335</v>
      </c>
      <c r="D94" s="20" t="n">
        <v>2199.204</v>
      </c>
      <c r="E94" s="20" t="n">
        <v>2737.662</v>
      </c>
      <c r="F94" s="20" t="n">
        <v>2528.197</v>
      </c>
      <c r="G94" s="20" t="n">
        <v>2519.226</v>
      </c>
      <c r="H94" s="20" t="n">
        <v>3145.612</v>
      </c>
      <c r="I94" s="20" t="n">
        <v>2579.79</v>
      </c>
      <c r="J94" s="20" t="n">
        <v>2629.237</v>
      </c>
      <c r="K94" s="20" t="n">
        <v>2414.784</v>
      </c>
      <c r="L94" s="20" t="n">
        <v>2528.197</v>
      </c>
    </row>
    <row r="95">
      <c r="A95" s="18" t="inlineStr">
        <is>
          <t>투자유가증권</t>
        </is>
      </c>
      <c r="C95" s="20" t="n">
        <v>7606.371</v>
      </c>
      <c r="D95" s="20" t="n">
        <v>10147.743</v>
      </c>
      <c r="E95" s="20" t="n">
        <v>10088.531</v>
      </c>
      <c r="F95" s="20" t="n">
        <v>10843.005</v>
      </c>
      <c r="G95" s="20" t="n">
        <v>11244.782</v>
      </c>
      <c r="H95" s="20" t="n">
        <v>2624.582</v>
      </c>
      <c r="I95" s="20" t="n">
        <v>3871.154</v>
      </c>
      <c r="J95" s="20" t="n">
        <v>8712.813</v>
      </c>
      <c r="K95" s="20" t="n">
        <v>7702.904</v>
      </c>
      <c r="L95" s="20" t="n">
        <v>10843.005</v>
      </c>
    </row>
    <row r="96">
      <c r="A96" s="18" t="inlineStr">
        <is>
          <t>이연법인세자산</t>
        </is>
      </c>
      <c r="C96" s="20" t="n">
        <v>597.0940000000001</v>
      </c>
      <c r="D96" s="20" t="n">
        <v>492.604</v>
      </c>
      <c r="E96" s="20" t="n">
        <v>496.171</v>
      </c>
      <c r="F96" s="20" t="n">
        <v>397.837</v>
      </c>
      <c r="G96" s="20" t="n">
        <v>259.729</v>
      </c>
      <c r="H96" s="20" t="n">
        <v>345.615</v>
      </c>
      <c r="I96" s="20" t="n">
        <v>416.769</v>
      </c>
      <c r="J96" s="20" t="n">
        <v>294.214</v>
      </c>
      <c r="K96" s="20" t="n">
        <v>559.984</v>
      </c>
      <c r="L96" s="20" t="n">
        <v>397.837</v>
      </c>
    </row>
    <row r="97">
      <c r="A97" s="18" t="inlineStr">
        <is>
          <t>퇴직급여자산</t>
        </is>
      </c>
      <c r="D97" s="20" t="n">
        <v>93.312</v>
      </c>
      <c r="E97" s="20" t="n">
        <v>98.236</v>
      </c>
      <c r="F97" s="20" t="n">
        <v>103.024</v>
      </c>
      <c r="G97" s="20" t="n">
        <v>107.58</v>
      </c>
      <c r="K97" s="20" t="n">
        <v>0</v>
      </c>
      <c r="L97" s="20" t="n">
        <v>103.024</v>
      </c>
    </row>
    <row r="98">
      <c r="A98" s="18" t="inlineStr">
        <is>
          <t>기타</t>
        </is>
      </c>
      <c r="C98" s="20" t="n">
        <v>119.845</v>
      </c>
      <c r="D98" s="20" t="n">
        <v>382.498</v>
      </c>
      <c r="E98" s="20" t="n">
        <v>566.866</v>
      </c>
      <c r="F98" s="20" t="n">
        <v>564.696</v>
      </c>
      <c r="G98" s="20" t="n">
        <v>564.528</v>
      </c>
      <c r="H98" s="20" t="n">
        <v>166.511</v>
      </c>
      <c r="I98" s="20" t="n">
        <v>142.375</v>
      </c>
      <c r="J98" s="20" t="n">
        <v>126.228</v>
      </c>
      <c r="K98" s="20" t="n">
        <v>124.545</v>
      </c>
      <c r="L98" s="20" t="n">
        <v>564.696</v>
      </c>
    </row>
    <row r="99">
      <c r="A99" s="18" t="inlineStr">
        <is>
          <t>투자 및 기타자산 합계</t>
        </is>
      </c>
      <c r="C99" s="20" t="n">
        <v>8323.311</v>
      </c>
      <c r="D99" s="20" t="n">
        <v>11116.158</v>
      </c>
      <c r="E99" s="20" t="n">
        <v>11249.806</v>
      </c>
      <c r="F99" s="20" t="n">
        <v>11908.564</v>
      </c>
      <c r="G99" s="20" t="n">
        <v>12176.621</v>
      </c>
      <c r="H99" s="20" t="n">
        <v>3136.709</v>
      </c>
      <c r="I99" s="20" t="n">
        <v>4430.299</v>
      </c>
      <c r="J99" s="20" t="n">
        <v>9133.255999999999</v>
      </c>
      <c r="K99" s="20" t="n">
        <v>8387.434999999999</v>
      </c>
      <c r="L99" s="20" t="n">
        <v>11908.564</v>
      </c>
    </row>
    <row r="100">
      <c r="A100" s="9" t="inlineStr">
        <is>
          <t>비유동자산 합계</t>
        </is>
      </c>
      <c r="C100" s="12" t="n">
        <v>10837.865</v>
      </c>
      <c r="D100" s="12" t="n">
        <v>13723.701</v>
      </c>
      <c r="E100" s="12" t="n">
        <v>14818.812</v>
      </c>
      <c r="F100" s="12" t="n">
        <v>15195.673</v>
      </c>
      <c r="G100" s="12" t="n">
        <v>15342.131</v>
      </c>
      <c r="H100" s="12" t="n">
        <v>6432.274</v>
      </c>
      <c r="I100" s="12" t="n">
        <v>7355.867</v>
      </c>
      <c r="J100" s="12" t="n">
        <v>12076.54</v>
      </c>
      <c r="K100" s="12" t="n">
        <v>11070.683</v>
      </c>
      <c r="L100" s="12" t="n">
        <v>15195.673</v>
      </c>
    </row>
    <row r="101">
      <c r="A101" s="18" t="inlineStr">
        <is>
          <t>주식교부비</t>
        </is>
      </c>
      <c r="C101" s="20" t="n">
        <v>0.185</v>
      </c>
      <c r="D101" s="20" t="n">
        <v>2.964</v>
      </c>
      <c r="E101" s="20" t="n">
        <v>2.541</v>
      </c>
      <c r="F101" s="20" t="n">
        <v>6.727</v>
      </c>
      <c r="G101" s="20" t="n">
        <v>6.073</v>
      </c>
      <c r="H101" s="20" t="n">
        <v>19.003</v>
      </c>
      <c r="I101" s="20" t="n">
        <v>8.587</v>
      </c>
      <c r="J101" s="20" t="n">
        <v>1.632</v>
      </c>
      <c r="K101" s="20" t="n">
        <v>0.247</v>
      </c>
      <c r="L101" s="20" t="n">
        <v>6.727</v>
      </c>
    </row>
    <row r="102">
      <c r="A102" s="18" t="inlineStr">
        <is>
          <t>이연자산 합계</t>
        </is>
      </c>
      <c r="C102" s="20" t="n">
        <v>0.185</v>
      </c>
      <c r="D102" s="20" t="n">
        <v>2.964</v>
      </c>
      <c r="E102" s="20" t="n">
        <v>2.541</v>
      </c>
      <c r="F102" s="20" t="n">
        <v>6.727</v>
      </c>
      <c r="G102" s="20" t="n">
        <v>6.073</v>
      </c>
      <c r="H102" s="20" t="n">
        <v>19.003</v>
      </c>
      <c r="I102" s="20" t="n">
        <v>8.587</v>
      </c>
      <c r="J102" s="20" t="n">
        <v>1.632</v>
      </c>
      <c r="K102" s="20" t="n">
        <v>0.247</v>
      </c>
      <c r="L102" s="20" t="n">
        <v>6.727</v>
      </c>
    </row>
    <row r="103">
      <c r="A103" s="9" t="inlineStr">
        <is>
          <t>자산 합계</t>
        </is>
      </c>
      <c r="C103" s="12" t="n">
        <v>16888.33</v>
      </c>
      <c r="D103" s="12" t="n">
        <v>37286.109</v>
      </c>
      <c r="E103" s="12" t="n">
        <v>49753.644</v>
      </c>
      <c r="F103" s="12" t="n">
        <v>53027.575</v>
      </c>
      <c r="G103" s="12" t="n">
        <v>54136.57</v>
      </c>
      <c r="H103" s="12" t="n">
        <v>14055.358</v>
      </c>
      <c r="I103" s="12" t="n">
        <v>21356.365</v>
      </c>
      <c r="J103" s="12" t="n">
        <v>18625.643</v>
      </c>
      <c r="K103" s="12" t="n">
        <v>18258.642</v>
      </c>
      <c r="L103" s="12" t="n">
        <v>53027.575</v>
      </c>
    </row>
    <row r="104">
      <c r="A104" s="18" t="inlineStr">
        <is>
          <t>매입채무</t>
        </is>
      </c>
      <c r="C104" s="20" t="n">
        <v>22.247</v>
      </c>
      <c r="D104" s="20" t="n">
        <v>14.437</v>
      </c>
      <c r="E104" s="20" t="n">
        <v>15.995</v>
      </c>
      <c r="F104" s="20" t="n">
        <v>23.471</v>
      </c>
      <c r="G104" s="20" t="n">
        <v>18.335</v>
      </c>
      <c r="H104" s="20" t="n">
        <v>62.618</v>
      </c>
      <c r="I104" s="20" t="n">
        <v>62.753</v>
      </c>
      <c r="J104" s="20" t="n">
        <v>18.765</v>
      </c>
      <c r="K104" s="20" t="n">
        <v>20.467</v>
      </c>
      <c r="L104" s="20" t="n">
        <v>23.471</v>
      </c>
    </row>
    <row r="105">
      <c r="A105" s="18" t="inlineStr">
        <is>
          <t>미지급금</t>
        </is>
      </c>
      <c r="C105" s="20" t="n">
        <v>1312.287</v>
      </c>
      <c r="D105" s="20" t="n">
        <v>3205.431</v>
      </c>
      <c r="E105" s="20" t="n">
        <v>5608.773</v>
      </c>
      <c r="F105" s="20" t="n">
        <v>6571.247</v>
      </c>
      <c r="G105" s="20" t="n">
        <v>6584.036</v>
      </c>
      <c r="H105" s="20" t="n">
        <v>748.528</v>
      </c>
      <c r="I105" s="20" t="n">
        <v>1010.877</v>
      </c>
      <c r="J105" s="20" t="n">
        <v>1162.069</v>
      </c>
      <c r="K105" s="20" t="n">
        <v>1445.762</v>
      </c>
      <c r="L105" s="20" t="n">
        <v>6571.247</v>
      </c>
    </row>
    <row r="106">
      <c r="A106" s="18" t="inlineStr">
        <is>
          <t>리스부채</t>
        </is>
      </c>
      <c r="C106" s="20" t="n">
        <v>68.828</v>
      </c>
      <c r="D106" s="20" t="n">
        <v>68.03</v>
      </c>
      <c r="E106" s="20" t="n">
        <v>71.376</v>
      </c>
      <c r="F106" s="20" t="n">
        <v>76.577</v>
      </c>
      <c r="G106" s="20" t="n">
        <v>79.82599999999999</v>
      </c>
      <c r="H106" s="20" t="n">
        <v>69.089</v>
      </c>
      <c r="I106" s="20" t="n">
        <v>50.646</v>
      </c>
      <c r="J106" s="20" t="n">
        <v>58.881</v>
      </c>
      <c r="K106" s="20" t="n">
        <v>71.33199999999999</v>
      </c>
      <c r="L106" s="20" t="n">
        <v>76.577</v>
      </c>
    </row>
    <row r="107">
      <c r="A107" s="18" t="inlineStr">
        <is>
          <t>미지급법인세</t>
        </is>
      </c>
      <c r="C107" s="20" t="n">
        <v>314.33</v>
      </c>
      <c r="D107" s="20" t="n">
        <v>878.78</v>
      </c>
      <c r="E107" s="20" t="n">
        <v>743.33</v>
      </c>
      <c r="F107" s="20" t="n">
        <v>1541.903</v>
      </c>
      <c r="G107" s="20" t="n">
        <v>857.706</v>
      </c>
      <c r="H107" s="20" t="n">
        <v>464.822</v>
      </c>
      <c r="I107" s="20" t="n">
        <v>2709.257</v>
      </c>
      <c r="J107" s="20" t="n">
        <v>430.601</v>
      </c>
      <c r="K107" s="20" t="n">
        <v>573.591</v>
      </c>
      <c r="L107" s="20" t="n">
        <v>1541.903</v>
      </c>
    </row>
    <row r="108">
      <c r="A108" s="18" t="inlineStr">
        <is>
          <t>미지급 소비세</t>
        </is>
      </c>
      <c r="C108" s="20" t="n">
        <v>103.346</v>
      </c>
      <c r="D108" s="20" t="n">
        <v>163.292</v>
      </c>
      <c r="E108" s="20" t="n">
        <v>261.928</v>
      </c>
      <c r="F108" s="20" t="n">
        <v>399.334</v>
      </c>
      <c r="G108" s="20" t="n">
        <v>459.084</v>
      </c>
      <c r="H108" s="20" t="n">
        <v>90.498</v>
      </c>
      <c r="I108" s="20" t="n">
        <v>12.179</v>
      </c>
      <c r="J108" s="20" t="n">
        <v>108.637</v>
      </c>
      <c r="K108" s="20" t="n">
        <v>140.71</v>
      </c>
      <c r="L108" s="20" t="n">
        <v>399.334</v>
      </c>
    </row>
    <row r="109">
      <c r="A109" s="18" t="inlineStr">
        <is>
          <t>상여충당금</t>
        </is>
      </c>
      <c r="D109" s="20" t="n">
        <v>55</v>
      </c>
      <c r="E109" s="20" t="n">
        <v>190.629</v>
      </c>
      <c r="F109" s="20" t="n">
        <v>367.155</v>
      </c>
      <c r="G109" s="20" t="n">
        <v>32.5</v>
      </c>
      <c r="K109" s="20" t="n">
        <v>0</v>
      </c>
      <c r="L109" s="20" t="n">
        <v>367.155</v>
      </c>
    </row>
    <row r="110">
      <c r="A110" s="18" t="inlineStr">
        <is>
          <t>자산복구부채</t>
        </is>
      </c>
      <c r="F110" s="20" t="n">
        <v>61.446</v>
      </c>
      <c r="G110" s="20" t="n">
        <v>61.598</v>
      </c>
      <c r="K110" s="20" t="n">
        <v>0</v>
      </c>
      <c r="L110" s="20" t="n">
        <v>61.446</v>
      </c>
    </row>
    <row r="111">
      <c r="A111" s="18" t="inlineStr">
        <is>
          <t>기타</t>
        </is>
      </c>
      <c r="C111" s="20" t="n">
        <v>496.769</v>
      </c>
      <c r="D111" s="20" t="n">
        <v>502.417</v>
      </c>
      <c r="E111" s="20" t="n">
        <v>2521.395</v>
      </c>
      <c r="F111" s="20" t="n">
        <v>1450.206</v>
      </c>
      <c r="G111" s="20" t="n">
        <v>3437.193</v>
      </c>
      <c r="H111" s="20" t="n">
        <v>346.255</v>
      </c>
      <c r="I111" s="20" t="n">
        <v>508.107</v>
      </c>
      <c r="J111" s="20" t="n">
        <v>578.5940000000001</v>
      </c>
      <c r="K111" s="20" t="n">
        <v>491.888</v>
      </c>
      <c r="L111" s="20" t="n">
        <v>1450.206</v>
      </c>
    </row>
    <row r="112">
      <c r="A112" s="9" t="inlineStr">
        <is>
          <t>유동부채 합계</t>
        </is>
      </c>
      <c r="C112" s="12" t="n">
        <v>2317.81</v>
      </c>
      <c r="D112" s="12" t="n">
        <v>4887.389</v>
      </c>
      <c r="E112" s="12" t="n">
        <v>9413.431</v>
      </c>
      <c r="F112" s="12" t="n">
        <v>10491.344</v>
      </c>
      <c r="G112" s="12" t="n">
        <v>11530.281</v>
      </c>
      <c r="H112" s="12" t="n">
        <v>1781.813</v>
      </c>
      <c r="I112" s="12" t="n">
        <v>4353.822</v>
      </c>
      <c r="J112" s="12" t="n">
        <v>2357.55</v>
      </c>
      <c r="K112" s="12" t="n">
        <v>2743.751</v>
      </c>
      <c r="L112" s="12" t="n">
        <v>10491.344</v>
      </c>
    </row>
    <row r="113">
      <c r="A113" s="18" t="inlineStr">
        <is>
          <t>장기 리스부채</t>
        </is>
      </c>
      <c r="H113" s="20" t="n">
        <v>0</v>
      </c>
      <c r="I113" s="20" t="n">
        <v>202.641</v>
      </c>
    </row>
    <row r="114">
      <c r="A114" s="18" t="inlineStr">
        <is>
          <t>리스부채</t>
        </is>
      </c>
      <c r="C114" s="20" t="n">
        <v>81.102</v>
      </c>
      <c r="D114" s="20" t="n">
        <v>61.125</v>
      </c>
      <c r="E114" s="20" t="n">
        <v>44.407</v>
      </c>
      <c r="F114" s="20" t="n">
        <v>26.879</v>
      </c>
      <c r="G114" s="20" t="n">
        <v>6.916</v>
      </c>
      <c r="I114" s="20" t="n">
        <v>202.641</v>
      </c>
      <c r="J114" s="20" t="n">
        <v>157.686</v>
      </c>
      <c r="K114" s="20" t="n">
        <v>104.534</v>
      </c>
      <c r="L114" s="20" t="n">
        <v>26.879</v>
      </c>
    </row>
    <row r="115">
      <c r="A115" s="18" t="inlineStr">
        <is>
          <t>임원 퇴직위로 충당금</t>
        </is>
      </c>
      <c r="D115" s="20" t="n">
        <v>10.3</v>
      </c>
      <c r="E115" s="20" t="n">
        <v>10.77</v>
      </c>
      <c r="F115" s="20" t="n">
        <v>11.24</v>
      </c>
      <c r="G115" s="20" t="n">
        <v>11.7</v>
      </c>
      <c r="K115" s="20" t="n">
        <v>0</v>
      </c>
      <c r="L115" s="20" t="n">
        <v>11.24</v>
      </c>
    </row>
    <row r="116">
      <c r="A116" s="18" t="inlineStr">
        <is>
          <t>이연법인세부채</t>
        </is>
      </c>
      <c r="D116" s="20" t="n">
        <v>137.494</v>
      </c>
      <c r="E116" s="20" t="n">
        <v>137.411</v>
      </c>
      <c r="F116" s="20" t="n">
        <v>111.698</v>
      </c>
      <c r="G116" s="20" t="n">
        <v>206.198</v>
      </c>
      <c r="K116" s="20" t="n">
        <v>0</v>
      </c>
      <c r="L116" s="20" t="n">
        <v>111.698</v>
      </c>
    </row>
    <row r="117">
      <c r="A117" s="18" t="inlineStr">
        <is>
          <t>퇴직급여부채</t>
        </is>
      </c>
      <c r="D117" s="20" t="n">
        <v>213.672</v>
      </c>
      <c r="E117" s="20" t="n">
        <v>210.902</v>
      </c>
      <c r="F117" s="20" t="n">
        <v>152.365</v>
      </c>
      <c r="G117" s="20" t="n">
        <v>96.518</v>
      </c>
      <c r="K117" s="20" t="n">
        <v>0</v>
      </c>
      <c r="L117" s="20" t="n">
        <v>152.365</v>
      </c>
    </row>
    <row r="118">
      <c r="A118" s="18" t="inlineStr">
        <is>
          <t>자산복구부채</t>
        </is>
      </c>
      <c r="D118" s="20" t="n">
        <v>95.83499999999999</v>
      </c>
      <c r="E118" s="20" t="n">
        <v>313.26</v>
      </c>
      <c r="F118" s="20" t="n">
        <v>248.327</v>
      </c>
      <c r="G118" s="20" t="n">
        <v>249.057</v>
      </c>
      <c r="K118" s="20" t="n">
        <v>0</v>
      </c>
      <c r="L118" s="20" t="n">
        <v>248.327</v>
      </c>
    </row>
    <row r="119">
      <c r="A119" s="18" t="inlineStr">
        <is>
          <t>기타</t>
        </is>
      </c>
      <c r="E119" s="20" t="n">
        <v>64.48399999999999</v>
      </c>
      <c r="F119" s="20" t="n">
        <v>59.791</v>
      </c>
      <c r="G119" s="20" t="n">
        <v>29.717</v>
      </c>
      <c r="K119" s="20" t="n">
        <v>0</v>
      </c>
      <c r="L119" s="20" t="n">
        <v>59.791</v>
      </c>
    </row>
    <row r="120">
      <c r="A120" s="9" t="inlineStr">
        <is>
          <t>비유동부채 합계</t>
        </is>
      </c>
      <c r="C120" s="12" t="n">
        <v>81.102</v>
      </c>
      <c r="D120" s="12" t="n">
        <v>518.428</v>
      </c>
      <c r="E120" s="12" t="n">
        <v>781.236</v>
      </c>
      <c r="F120" s="12" t="n">
        <v>610.302</v>
      </c>
      <c r="G120" s="12" t="n">
        <v>600.1079999999999</v>
      </c>
      <c r="H120" s="12" t="n">
        <v>0</v>
      </c>
      <c r="I120" s="12" t="n">
        <v>202.641</v>
      </c>
      <c r="J120" s="12" t="n">
        <v>157.686</v>
      </c>
      <c r="K120" s="12" t="n">
        <v>104.534</v>
      </c>
      <c r="L120" s="12" t="n">
        <v>610.302</v>
      </c>
    </row>
    <row r="121">
      <c r="A121" s="9" t="inlineStr">
        <is>
          <t>부채 합계</t>
        </is>
      </c>
      <c r="C121" s="12" t="n">
        <v>2398.912</v>
      </c>
      <c r="D121" s="12" t="n">
        <v>5405.817</v>
      </c>
      <c r="E121" s="12" t="n">
        <v>10194.668</v>
      </c>
      <c r="F121" s="12" t="n">
        <v>11101.646</v>
      </c>
      <c r="G121" s="12" t="n">
        <v>12130.389</v>
      </c>
      <c r="H121" s="12" t="n">
        <v>1781.813</v>
      </c>
      <c r="I121" s="12" t="n">
        <v>4556.464</v>
      </c>
      <c r="J121" s="12" t="n">
        <v>2515.237</v>
      </c>
      <c r="K121" s="12" t="n">
        <v>2848.285</v>
      </c>
      <c r="L121" s="12" t="n">
        <v>11101.646</v>
      </c>
    </row>
    <row r="122">
      <c r="A122" s="18" t="inlineStr">
        <is>
          <t>자본금</t>
        </is>
      </c>
      <c r="C122" s="20" t="n">
        <v>3363.635</v>
      </c>
      <c r="D122" s="20" t="n">
        <v>3363.635</v>
      </c>
      <c r="E122" s="20" t="n">
        <v>3723.221</v>
      </c>
      <c r="F122" s="20" t="n">
        <v>3739.398</v>
      </c>
      <c r="G122" s="20" t="n">
        <v>3774.245</v>
      </c>
      <c r="H122" s="20" t="n">
        <v>3363.635</v>
      </c>
      <c r="I122" s="20" t="n">
        <v>3363.635</v>
      </c>
      <c r="J122" s="20" t="n">
        <v>3363.635</v>
      </c>
      <c r="K122" s="20" t="n">
        <v>3363.635</v>
      </c>
      <c r="L122" s="20" t="n">
        <v>3739.398</v>
      </c>
    </row>
    <row r="123">
      <c r="A123" s="18" t="inlineStr">
        <is>
          <t>자본잉여금</t>
        </is>
      </c>
      <c r="C123" s="20" t="n">
        <v>4528.571</v>
      </c>
      <c r="D123" s="20" t="n">
        <v>13007.441</v>
      </c>
      <c r="E123" s="20" t="n">
        <v>13007.45</v>
      </c>
      <c r="F123" s="20" t="n">
        <v>13023.501</v>
      </c>
      <c r="G123" s="20" t="n">
        <v>13058.413</v>
      </c>
      <c r="H123" s="20" t="n">
        <v>4478.772</v>
      </c>
      <c r="I123" s="20" t="n">
        <v>4514.168</v>
      </c>
      <c r="J123" s="20" t="n">
        <v>4528.571</v>
      </c>
      <c r="K123" s="20" t="n">
        <v>4528.571</v>
      </c>
      <c r="L123" s="20" t="n">
        <v>13023.501</v>
      </c>
    </row>
    <row r="124">
      <c r="A124" s="18" t="inlineStr">
        <is>
          <t>이익잉여금</t>
        </is>
      </c>
      <c r="C124" s="20" t="n">
        <v>7028.706</v>
      </c>
      <c r="D124" s="20" t="n">
        <v>7580.612</v>
      </c>
      <c r="E124" s="20" t="n">
        <v>13913.917</v>
      </c>
      <c r="F124" s="20" t="n">
        <v>15227.325</v>
      </c>
      <c r="G124" s="20" t="n">
        <v>14718.104</v>
      </c>
      <c r="H124" s="20" t="n">
        <v>4439.392</v>
      </c>
      <c r="I124" s="20" t="n">
        <v>8335.546</v>
      </c>
      <c r="J124" s="20" t="n">
        <v>8019.263</v>
      </c>
      <c r="K124" s="20" t="n">
        <v>7715.801</v>
      </c>
      <c r="L124" s="20" t="n">
        <v>15227.325</v>
      </c>
    </row>
    <row r="125">
      <c r="A125" s="18" t="inlineStr">
        <is>
          <t>자기주식</t>
        </is>
      </c>
      <c r="C125" s="20" t="n">
        <v>-0.023</v>
      </c>
      <c r="D125" s="20" t="n">
        <v>-0.004</v>
      </c>
      <c r="E125" s="20" t="n">
        <v>-0.026</v>
      </c>
      <c r="F125" s="20" t="n">
        <v>-1.07</v>
      </c>
      <c r="G125" s="20" t="n">
        <v>-1.085</v>
      </c>
      <c r="H125" s="20" t="n">
        <v>-0.029</v>
      </c>
      <c r="I125" s="20" t="n">
        <v>-0.02</v>
      </c>
      <c r="J125" s="20" t="n">
        <v>-0.02</v>
      </c>
      <c r="K125" s="20" t="n">
        <v>-0.023</v>
      </c>
      <c r="L125" s="20" t="n">
        <v>-1.07</v>
      </c>
    </row>
    <row r="126">
      <c r="A126" s="9" t="inlineStr">
        <is>
          <t>주주자본 합계</t>
        </is>
      </c>
      <c r="C126" s="12" t="n">
        <v>14920.888</v>
      </c>
      <c r="D126" s="12" t="n">
        <v>23951.685</v>
      </c>
      <c r="E126" s="12" t="n">
        <v>30644.563</v>
      </c>
      <c r="F126" s="12" t="n">
        <v>31989.155</v>
      </c>
      <c r="G126" s="12" t="n">
        <v>31549.678</v>
      </c>
      <c r="H126" s="12" t="n">
        <v>12281.77</v>
      </c>
      <c r="I126" s="12" t="n">
        <v>16213.329</v>
      </c>
      <c r="J126" s="12" t="n">
        <v>15911.449</v>
      </c>
      <c r="K126" s="12" t="n">
        <v>15607.984</v>
      </c>
      <c r="L126" s="12" t="n">
        <v>31989.155</v>
      </c>
    </row>
    <row r="127">
      <c r="A127" s="18" t="inlineStr">
        <is>
          <t>기타유가증권 평가차액</t>
        </is>
      </c>
      <c r="C127" s="20" t="n">
        <v>-1052.415</v>
      </c>
      <c r="D127" s="20" t="n">
        <v>-835.963</v>
      </c>
      <c r="E127" s="20" t="n">
        <v>-516.304</v>
      </c>
      <c r="F127" s="20" t="n">
        <v>-10.77</v>
      </c>
      <c r="G127" s="20" t="n">
        <v>48.775</v>
      </c>
      <c r="H127" s="20" t="n">
        <v>-513.787</v>
      </c>
      <c r="I127" s="20" t="n">
        <v>13.44</v>
      </c>
      <c r="J127" s="20" t="n">
        <v>-330.513</v>
      </c>
      <c r="K127" s="20" t="n">
        <v>-947.5359999999999</v>
      </c>
      <c r="L127" s="20" t="n">
        <v>-10.77</v>
      </c>
    </row>
    <row r="128">
      <c r="A128" s="18" t="inlineStr">
        <is>
          <t>이연헤지손익</t>
        </is>
      </c>
      <c r="C128" s="20" t="n">
        <v>2.707</v>
      </c>
      <c r="K128" s="20" t="n">
        <v>0</v>
      </c>
    </row>
    <row r="129">
      <c r="A129" s="18" t="inlineStr">
        <is>
          <t>해외사업환산조정</t>
        </is>
      </c>
      <c r="C129" s="20" t="n">
        <v>476.088</v>
      </c>
      <c r="D129" s="20" t="n">
        <v>417.98</v>
      </c>
      <c r="E129" s="20" t="n">
        <v>467.678</v>
      </c>
      <c r="F129" s="20" t="n">
        <v>564.649</v>
      </c>
      <c r="G129" s="20" t="n">
        <v>607.2670000000001</v>
      </c>
      <c r="H129" s="20" t="n">
        <v>36.309</v>
      </c>
      <c r="I129" s="20" t="n">
        <v>254.273</v>
      </c>
      <c r="J129" s="20" t="n">
        <v>383.462</v>
      </c>
      <c r="K129" s="20" t="n">
        <v>582.1</v>
      </c>
      <c r="L129" s="20" t="n">
        <v>564.649</v>
      </c>
    </row>
    <row r="130">
      <c r="A130" s="18" t="inlineStr">
        <is>
          <t>퇴직급여 조정누계액</t>
        </is>
      </c>
      <c r="F130" s="20" t="n">
        <v>27.253</v>
      </c>
      <c r="G130" s="20" t="n">
        <v>50.832</v>
      </c>
      <c r="K130" s="20" t="n">
        <v>0</v>
      </c>
      <c r="L130" s="20" t="n">
        <v>27.253</v>
      </c>
    </row>
    <row r="131">
      <c r="A131" s="18" t="inlineStr">
        <is>
          <t>기타포괄손익누계액 합계</t>
        </is>
      </c>
      <c r="C131" s="20" t="n">
        <v>-573.6180000000001</v>
      </c>
      <c r="D131" s="20" t="n">
        <v>-417.982</v>
      </c>
      <c r="E131" s="20" t="n">
        <v>-48.626</v>
      </c>
      <c r="F131" s="20" t="n">
        <v>581.1319999999999</v>
      </c>
      <c r="G131" s="20" t="n">
        <v>706.875</v>
      </c>
      <c r="H131" s="20" t="n">
        <v>-477.478</v>
      </c>
      <c r="I131" s="20" t="n">
        <v>267.713</v>
      </c>
      <c r="J131" s="20" t="n">
        <v>52.948</v>
      </c>
      <c r="K131" s="20" t="n">
        <v>-365.436</v>
      </c>
      <c r="L131" s="20" t="n">
        <v>581.1319999999999</v>
      </c>
    </row>
    <row r="132">
      <c r="A132" s="18" t="inlineStr">
        <is>
          <t>신주예약권</t>
        </is>
      </c>
      <c r="E132" s="20" t="n">
        <v>10.059</v>
      </c>
      <c r="F132" s="20" t="n">
        <v>60.597</v>
      </c>
      <c r="G132" s="20" t="n">
        <v>62.281</v>
      </c>
      <c r="K132" s="20" t="n">
        <v>0</v>
      </c>
      <c r="L132" s="20" t="n">
        <v>60.597</v>
      </c>
    </row>
    <row r="133">
      <c r="A133" s="18" t="inlineStr">
        <is>
          <t>비지배지분</t>
        </is>
      </c>
      <c r="C133" s="20" t="n">
        <v>142.147</v>
      </c>
      <c r="D133" s="20" t="n">
        <v>8346.589</v>
      </c>
      <c r="E133" s="20" t="n">
        <v>8952.98</v>
      </c>
      <c r="F133" s="20" t="n">
        <v>9295.041999999999</v>
      </c>
      <c r="G133" s="20" t="n">
        <v>9687.344999999999</v>
      </c>
      <c r="H133" s="20" t="n">
        <v>469.252</v>
      </c>
      <c r="I133" s="20" t="n">
        <v>318.858</v>
      </c>
      <c r="J133" s="20" t="n">
        <v>146.008</v>
      </c>
      <c r="K133" s="20" t="n">
        <v>167.809</v>
      </c>
      <c r="L133" s="20" t="n">
        <v>9295.041999999999</v>
      </c>
    </row>
    <row r="134">
      <c r="A134" s="9" t="inlineStr">
        <is>
          <t>순자산 합계</t>
        </is>
      </c>
      <c r="C134" s="12" t="n">
        <v>14489.417</v>
      </c>
      <c r="D134" s="12" t="n">
        <v>31880.291</v>
      </c>
      <c r="E134" s="12" t="n">
        <v>39558.976</v>
      </c>
      <c r="F134" s="12" t="n">
        <v>41925.928</v>
      </c>
      <c r="G134" s="12" t="n">
        <v>42006.181</v>
      </c>
      <c r="H134" s="12" t="n">
        <v>12273.545</v>
      </c>
      <c r="I134" s="12" t="n">
        <v>16799.901</v>
      </c>
      <c r="J134" s="12" t="n">
        <v>16110.406</v>
      </c>
      <c r="K134" s="12" t="n">
        <v>15410.356</v>
      </c>
      <c r="L134" s="12" t="n">
        <v>41925.928</v>
      </c>
    </row>
    <row r="135">
      <c r="A135" s="9" t="inlineStr">
        <is>
          <t>부채·순자산 합계</t>
        </is>
      </c>
      <c r="C135" s="12" t="n">
        <v>16888.33</v>
      </c>
      <c r="D135" s="12" t="n">
        <v>37286.109</v>
      </c>
      <c r="E135" s="12" t="n">
        <v>49753.644</v>
      </c>
      <c r="F135" s="12" t="n">
        <v>53027.575</v>
      </c>
      <c r="G135" s="12" t="n">
        <v>54136.57</v>
      </c>
      <c r="H135" s="12" t="n">
        <v>14055.358</v>
      </c>
      <c r="I135" s="12" t="n">
        <v>21356.365</v>
      </c>
      <c r="J135" s="12" t="n">
        <v>18625.643</v>
      </c>
      <c r="K135" s="12" t="n">
        <v>18258.642</v>
      </c>
      <c r="L135" s="12" t="n">
        <v>53027.575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2026-07-27</t>
        </is>
      </c>
      <c r="B4" t="inlineStr">
        <is>
          <t>2027년 3월 결산기 １분기 결산단신</t>
        </is>
      </c>
      <c r="C4" t="inlineStr">
        <is>
          <t>https://www2.jpx.co.jp/disc/47650/140120260710591432.pdf</t>
        </is>
      </c>
    </row>
    <row r="5">
      <c r="A5" t="inlineStr">
        <is>
          <t>2026-04-24</t>
        </is>
      </c>
      <c r="B5" t="inlineStr">
        <is>
          <t>2026년 3월 결산기 연간 결산단신</t>
        </is>
      </c>
      <c r="C5" t="inlineStr">
        <is>
          <t>https://www2.jpx.co.jp/disc/47650/140120260416505538.pdf</t>
        </is>
      </c>
    </row>
    <row r="6">
      <c r="A6" t="inlineStr">
        <is>
          <t>2026-01-29</t>
        </is>
      </c>
      <c r="B6" t="inlineStr">
        <is>
          <t>2026년 3월 결산기 ３분기 결산단신</t>
        </is>
      </c>
      <c r="C6" t="inlineStr">
        <is>
          <t>https://www2.jpx.co.jp/disc/47650/140120260119535401.pdf</t>
        </is>
      </c>
    </row>
    <row r="7">
      <c r="A7" t="inlineStr">
        <is>
          <t>2025-10-27</t>
        </is>
      </c>
      <c r="B7" t="inlineStr">
        <is>
          <t>2026년 3월 결산기 ２분기 결산단신</t>
        </is>
      </c>
      <c r="C7" t="inlineStr">
        <is>
          <t>https://www2.jpx.co.jp/disc/47650/140120251016574613.pdf</t>
        </is>
      </c>
    </row>
    <row r="8">
      <c r="A8" t="inlineStr">
        <is>
          <t>2025-07-25</t>
        </is>
      </c>
      <c r="B8" t="inlineStr">
        <is>
          <t>2026년 3월 결산기 １분기 결산단신</t>
        </is>
      </c>
      <c r="C8" t="inlineStr">
        <is>
          <t>https://www2.jpx.co.jp/disc/47650/140120250710511604.pdf</t>
        </is>
      </c>
    </row>
    <row r="9">
      <c r="A9" t="inlineStr">
        <is>
          <t>2025-04-24</t>
        </is>
      </c>
      <c r="B9" t="inlineStr">
        <is>
          <t>2025년 3월 결산기 연간 결산단신</t>
        </is>
      </c>
      <c r="C9" t="inlineStr">
        <is>
          <t>https://www2.jpx.co.jp/disc/47650/140120250418518495.pdf</t>
        </is>
      </c>
    </row>
    <row r="10">
      <c r="A10" t="inlineStr">
        <is>
          <t>2025-01-30</t>
        </is>
      </c>
      <c r="B10" t="inlineStr">
        <is>
          <t>2025년 3월 결산기 ３분기 결산단신</t>
        </is>
      </c>
      <c r="C10" t="inlineStr">
        <is>
          <t>https://www2.jpx.co.jp/disc/47650/140120250117552408.pdf</t>
        </is>
      </c>
    </row>
    <row r="11">
      <c r="A11" t="inlineStr">
        <is>
          <t>2024-10-24</t>
        </is>
      </c>
      <c r="B11" t="inlineStr">
        <is>
          <t>2025년 3월 결산기 ２분기 결산단신</t>
        </is>
      </c>
      <c r="C11" t="inlineStr">
        <is>
          <t>https://www2.jpx.co.jp/disc/47650/140120241016598669.pdf</t>
        </is>
      </c>
    </row>
    <row r="12">
      <c r="A12" t="inlineStr">
        <is>
          <t>2024-07-25</t>
        </is>
      </c>
      <c r="B12" t="inlineStr">
        <is>
          <t>2025년 3월 결산기 1분기 결산단신</t>
        </is>
      </c>
      <c r="C12" t="inlineStr">
        <is>
          <t>https://www2.jpx.co.jp/disc/47650/140120240717550137.pdf</t>
        </is>
      </c>
    </row>
    <row r="13">
      <c r="A13" t="inlineStr">
        <is>
          <t>2024-04-26</t>
        </is>
      </c>
      <c r="B13" t="inlineStr">
        <is>
          <t>2024년 3월 결산기 연간 결산단신</t>
        </is>
      </c>
      <c r="C13" t="inlineStr">
        <is>
          <t>https://www2.jpx.co.jp/disc/47650/140120240422574262.pdf</t>
        </is>
      </c>
    </row>
    <row r="14">
      <c r="A14" t="inlineStr">
        <is>
          <t>2024-01-30</t>
        </is>
      </c>
      <c r="B14" t="inlineStr">
        <is>
          <t>2024년 3월 결산기 3분기 결산단신</t>
        </is>
      </c>
      <c r="C14" t="inlineStr">
        <is>
          <t>https://www2.jpx.co.jp/disc/47650/140120240119517147.pdf</t>
        </is>
      </c>
    </row>
    <row r="15">
      <c r="A15" t="inlineStr">
        <is>
          <t>2023-10-26</t>
        </is>
      </c>
      <c r="B15" t="inlineStr">
        <is>
          <t>2024년 3월 결산기 2분기 결산단신</t>
        </is>
      </c>
      <c r="C15" t="inlineStr">
        <is>
          <t>https://www2.jpx.co.jp/disc/47650/140120231023569878.pdf</t>
        </is>
      </c>
    </row>
    <row r="16">
      <c r="A16" t="inlineStr">
        <is>
          <t>2023-07-27</t>
        </is>
      </c>
      <c r="B16" t="inlineStr">
        <is>
          <t>2024년 3월 결산기 １분기 결산단신</t>
        </is>
      </c>
      <c r="C16" t="inlineStr">
        <is>
          <t>https://www2.jpx.co.jp/disc/47650/140120230719524269.pdf</t>
        </is>
      </c>
    </row>
    <row r="17">
      <c r="A17" t="inlineStr">
        <is>
          <t>2023-05-09</t>
        </is>
      </c>
      <c r="B17" t="inlineStr">
        <is>
          <t>2023년 3월 결산기 연간 결산단신</t>
        </is>
      </c>
      <c r="C17" t="inlineStr">
        <is>
          <t>https://www2.jpx.co.jp/disc/47650/140120230424551477.pdf</t>
        </is>
      </c>
    </row>
    <row r="18">
      <c r="A18" t="inlineStr">
        <is>
          <t>2023-01-27</t>
        </is>
      </c>
      <c r="B18" t="inlineStr">
        <is>
          <t>2023년 3월 결산기 3분기 결산단신</t>
        </is>
      </c>
      <c r="C18" t="inlineStr">
        <is>
          <t>https://www2.jpx.co.jp/disc/47650/140120230113589487.pdf</t>
        </is>
      </c>
    </row>
    <row r="19">
      <c r="A19" t="inlineStr">
        <is>
          <t>2022-10-26</t>
        </is>
      </c>
      <c r="B19" t="inlineStr">
        <is>
          <t>2023년 3월 결산기 2분기 결산단신</t>
        </is>
      </c>
      <c r="C19" t="inlineStr">
        <is>
          <t>https://www2.jpx.co.jp/disc/47650/140120221019546260.pdf</t>
        </is>
      </c>
    </row>
    <row r="20">
      <c r="A20" t="inlineStr">
        <is>
          <t>2022-04-26</t>
        </is>
      </c>
      <c r="B20" t="inlineStr">
        <is>
          <t>2022년 3월 결산기 연간 결산단신</t>
        </is>
      </c>
      <c r="C20" t="inlineStr">
        <is>
          <t>https://www2.jpx.co.jp/disc/47650/140120220418523629.pdf</t>
        </is>
      </c>
    </row>
    <row r="21">
      <c r="A21" t="inlineStr">
        <is>
          <t>2021-04-23</t>
        </is>
      </c>
      <c r="B21" t="inlineStr">
        <is>
          <t>2021년 3월 결산기 연간 결산단신</t>
        </is>
      </c>
      <c r="C21" t="inlineStr">
        <is>
          <t>https://www2.jpx.co.jp/disc/47650/140120210415495091.pdf</t>
        </is>
      </c>
    </row>
    <row r="22">
      <c r="A22" t="inlineStr">
        <is>
          <t>2020-04-24</t>
        </is>
      </c>
      <c r="B22" t="inlineStr">
        <is>
          <t>2020년 3월 결산기 연간 결산단신</t>
        </is>
      </c>
      <c r="C22" t="inlineStr">
        <is>
          <t>https://www2.jpx.co.jp/disc/47650/140120200420496035.pdf</t>
        </is>
      </c>
    </row>
    <row r="23">
      <c r="A23" t="inlineStr">
        <is>
          <t>2019-04-19</t>
        </is>
      </c>
      <c r="B23" t="inlineStr">
        <is>
          <t>2019년 3월 결산기 연간 결산단신</t>
        </is>
      </c>
      <c r="C23" t="inlineStr">
        <is>
          <t>https://www2.jpx.co.jp/disc/47650/140120190412404357.pdf</t>
        </is>
      </c>
    </row>
    <row r="24">
      <c r="A24" t="inlineStr">
        <is>
          <t>2018-04-20</t>
        </is>
      </c>
      <c r="B24" t="inlineStr">
        <is>
          <t>2018년 3월 결산기 연간 결산단신</t>
        </is>
      </c>
      <c r="C24" t="inlineStr">
        <is>
          <t>https://www2.jpx.co.jp/disc/47650/140120180410408745.pdf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2026-10-26T10:54:40Z</dcterms:created>
  <dcterms:modified xmlns:dcterms="http://purl.org/dc/terms/" xmlns:xsi="http://www.w3.org/2001/XMLSchema-instance" xsi:type="dcterms:W3CDTF">2026-10-26T10:54:41Z</dcterms:modified>
</cp:coreProperties>
</file>