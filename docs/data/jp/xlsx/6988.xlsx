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243"/>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6988 Model</t>
        </is>
      </c>
    </row>
    <row r="2">
      <c r="A2" s="2" t="inlineStr">
        <is>
          <t>모를 땐 보수적으로</t>
        </is>
      </c>
      <c r="B2" s="3" t="inlineStr">
        <is>
          <t>(단위: 백만엔)</t>
        </is>
      </c>
      <c r="C2" s="3" t="inlineStr">
        <is>
          <t>3월 결산 · IFRS · 2027.2Q = 2027년 3월 결산기 2분기</t>
        </is>
      </c>
      <c r="Y2" s="4" t="inlineStr">
        <is>
          <t>(추정: 파란 글씨 = 직접 입력)</t>
        </is>
      </c>
    </row>
    <row r="3">
      <c r="A3" s="5" t="inlineStr">
        <is>
          <t>항목</t>
        </is>
      </c>
      <c r="B3" s="5" t="inlineStr">
        <is>
          <t>참고</t>
        </is>
      </c>
      <c r="C3" s="6" t="inlineStr">
        <is>
          <t>2024.3Q</t>
        </is>
      </c>
      <c r="D3" s="5" t="inlineStr">
        <is>
          <t>2024.4Q</t>
        </is>
      </c>
      <c r="E3" s="5" t="inlineStr">
        <is>
          <t>2025.1Q</t>
        </is>
      </c>
      <c r="F3" s="5" t="inlineStr">
        <is>
          <t>2025.2Q</t>
        </is>
      </c>
      <c r="G3" s="5" t="inlineStr">
        <is>
          <t>2025.3Q</t>
        </is>
      </c>
      <c r="H3" s="5" t="inlineStr">
        <is>
          <t>2025.4Q</t>
        </is>
      </c>
      <c r="I3" s="5" t="inlineStr">
        <is>
          <t>2026.1Q</t>
        </is>
      </c>
      <c r="J3" s="5" t="inlineStr">
        <is>
          <t>2026.2Q</t>
        </is>
      </c>
      <c r="K3" s="5" t="inlineStr">
        <is>
          <t>2026.3Q</t>
        </is>
      </c>
      <c r="L3" s="5" t="inlineStr">
        <is>
          <t>2026.4Q</t>
        </is>
      </c>
      <c r="M3" s="5" t="inlineStr">
        <is>
          <t>2027.1Q</t>
        </is>
      </c>
      <c r="N3" s="5" t="inlineStr">
        <is>
          <t>2027.2Q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244556</v>
      </c>
      <c r="D4" s="12" t="n">
        <v>221239</v>
      </c>
      <c r="E4" s="12" t="n">
        <v>249310</v>
      </c>
      <c r="F4" s="12" t="n">
        <v>272413</v>
      </c>
      <c r="G4" s="12" t="n">
        <v>256562</v>
      </c>
      <c r="H4" s="12" t="n">
        <v>235593</v>
      </c>
      <c r="I4" s="12" t="n">
        <v>246192</v>
      </c>
      <c r="J4" s="12" t="n">
        <v>267377</v>
      </c>
      <c r="K4" s="12" t="n">
        <v>272626</v>
      </c>
      <c r="L4" s="12" t="n">
        <v>241976</v>
      </c>
      <c r="M4" s="12" t="n">
        <v>271672</v>
      </c>
      <c r="N4" s="12" t="n">
        <v>286691</v>
      </c>
      <c r="O4" s="11" t="n"/>
      <c r="P4" s="12" t="n">
        <v>857376</v>
      </c>
      <c r="Q4" s="12" t="n">
        <v>806495</v>
      </c>
      <c r="R4" s="12" t="n">
        <v>741018</v>
      </c>
      <c r="S4" s="12" t="n">
        <v>761321</v>
      </c>
      <c r="T4" s="12" t="n">
        <v>853448</v>
      </c>
      <c r="U4" s="12" t="n">
        <v>929036</v>
      </c>
      <c r="V4" s="12" t="n">
        <v>915139</v>
      </c>
      <c r="W4" s="12" t="n">
        <v>1013878</v>
      </c>
      <c r="X4" s="12" t="n">
        <v>1028171</v>
      </c>
      <c r="Y4" s="11">
        <f>IF(COUNT(Y7,Y10,Y13,Y16)=0,"",SUM(Y7,Y10,Y13,Y16))</f>
        <v/>
      </c>
      <c r="Z4" s="12">
        <f>IF(COUNT(Z7,Z10,Z13,Z16)=0,"",SUM(Z7,Z10,Z13,Z16))</f>
        <v/>
      </c>
      <c r="AA4" s="12">
        <f>IF(COUNT(AA7,AA10,AA13,AA16)=0,"",SUM(AA7,AA10,AA13,AA16))</f>
        <v/>
      </c>
      <c r="AB4" s="12">
        <f>IF(COUNT(AB7,AB10,AB13,AB16)=0,"",SUM(AB7,AB10,AB13,AB16))</f>
        <v/>
      </c>
      <c r="AC4" s="12">
        <f>IF(COUNT(AC7,AC10,AC13,AC16)=0,"",SUM(AC7,AC10,AC13,AC16))</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인더스트리얼 테이프</t>
        </is>
      </c>
      <c r="B7" s="10" t="n"/>
      <c r="C7" s="19" t="n">
        <v>88069</v>
      </c>
      <c r="D7" s="20" t="n">
        <v>81246</v>
      </c>
      <c r="E7" s="20" t="n">
        <v>84544</v>
      </c>
      <c r="F7" s="20" t="n">
        <v>90556</v>
      </c>
      <c r="G7" s="20" t="n">
        <v>89479</v>
      </c>
      <c r="H7" s="20" t="n">
        <v>84381</v>
      </c>
      <c r="I7" s="20" t="n">
        <v>85193</v>
      </c>
      <c r="J7" s="20" t="n">
        <v>92995</v>
      </c>
      <c r="K7" s="20" t="n">
        <v>95431</v>
      </c>
      <c r="L7" s="20" t="n">
        <v>91208</v>
      </c>
      <c r="M7" s="20" t="n">
        <v>100687</v>
      </c>
      <c r="N7" s="20" t="n">
        <v>106622</v>
      </c>
      <c r="O7" s="19" t="n"/>
      <c r="P7" s="20" t="n"/>
      <c r="Q7" s="20" t="n"/>
      <c r="R7" s="20" t="n"/>
      <c r="S7" s="20" t="n"/>
      <c r="T7" s="20" t="n"/>
      <c r="U7" s="20" t="n"/>
      <c r="V7" s="20" t="n">
        <v>333282</v>
      </c>
      <c r="W7" s="20" t="n">
        <v>348960</v>
      </c>
      <c r="X7" s="20" t="n">
        <v>364827</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옵트로닉스</t>
        </is>
      </c>
      <c r="B10" s="10" t="n"/>
      <c r="C10" s="19" t="n">
        <v>126145</v>
      </c>
      <c r="D10" s="20" t="n">
        <v>110433</v>
      </c>
      <c r="E10" s="20" t="n">
        <v>134546</v>
      </c>
      <c r="F10" s="20" t="n">
        <v>149410</v>
      </c>
      <c r="G10" s="20" t="n">
        <v>134956</v>
      </c>
      <c r="H10" s="20" t="n">
        <v>118940</v>
      </c>
      <c r="I10" s="20" t="n">
        <v>129821</v>
      </c>
      <c r="J10" s="20" t="n">
        <v>138370</v>
      </c>
      <c r="K10" s="20" t="n">
        <v>141332</v>
      </c>
      <c r="L10" s="20" t="n">
        <v>115075</v>
      </c>
      <c r="M10" s="20" t="n">
        <v>131483</v>
      </c>
      <c r="N10" s="20" t="n">
        <v>137775</v>
      </c>
      <c r="O10" s="19" t="n"/>
      <c r="P10" s="20" t="n"/>
      <c r="Q10" s="20" t="n"/>
      <c r="R10" s="20" t="n"/>
      <c r="S10" s="20" t="n"/>
      <c r="T10" s="20" t="n"/>
      <c r="U10" s="20" t="n"/>
      <c r="V10" s="20" t="n">
        <v>463890</v>
      </c>
      <c r="W10" s="20" t="n">
        <v>537852</v>
      </c>
      <c r="X10" s="20" t="n">
        <v>524598</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휴먼라이프</t>
        </is>
      </c>
      <c r="B13" s="10" t="n"/>
      <c r="C13" s="19" t="n">
        <v>30022</v>
      </c>
      <c r="D13" s="20" t="n">
        <v>29154</v>
      </c>
      <c r="E13" s="20" t="n">
        <v>29943</v>
      </c>
      <c r="F13" s="20" t="n">
        <v>32036</v>
      </c>
      <c r="G13" s="20" t="n">
        <v>31780</v>
      </c>
      <c r="H13" s="20" t="n">
        <v>31811</v>
      </c>
      <c r="I13" s="20" t="n">
        <v>30902</v>
      </c>
      <c r="J13" s="20" t="n">
        <v>35617</v>
      </c>
      <c r="K13" s="20" t="n">
        <v>35448</v>
      </c>
      <c r="L13" s="20" t="n">
        <v>35279</v>
      </c>
      <c r="M13" s="20" t="n">
        <v>39236</v>
      </c>
      <c r="N13" s="20" t="n">
        <v>41861</v>
      </c>
      <c r="O13" s="19" t="n"/>
      <c r="P13" s="20" t="n"/>
      <c r="Q13" s="20" t="n"/>
      <c r="R13" s="20" t="n"/>
      <c r="S13" s="20" t="n"/>
      <c r="T13" s="20" t="n"/>
      <c r="U13" s="20" t="n"/>
      <c r="V13" s="20" t="n">
        <v>116629</v>
      </c>
      <c r="W13" s="20" t="n">
        <v>125570</v>
      </c>
      <c r="X13" s="20" t="n">
        <v>137246</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기타</t>
        </is>
      </c>
      <c r="B16" s="10" t="n"/>
      <c r="C16" s="19" t="n">
        <v>4</v>
      </c>
      <c r="D16" s="20" t="n">
        <v>2</v>
      </c>
      <c r="E16" s="20" t="n">
        <v>1</v>
      </c>
      <c r="F16" s="20" t="n">
        <v>0</v>
      </c>
      <c r="G16" s="20" t="n">
        <v>2</v>
      </c>
      <c r="H16" s="20" t="n">
        <v>16</v>
      </c>
      <c r="I16" s="20" t="n">
        <v>3</v>
      </c>
      <c r="J16" s="20" t="n">
        <v>5</v>
      </c>
      <c r="K16" s="20" t="n">
        <v>2</v>
      </c>
      <c r="L16" s="20" t="n">
        <v>1</v>
      </c>
      <c r="M16" s="20" t="n">
        <v>1</v>
      </c>
      <c r="N16" s="20" t="n">
        <v>3</v>
      </c>
      <c r="O16" s="19" t="n"/>
      <c r="P16" s="20" t="n"/>
      <c r="Q16" s="20" t="n"/>
      <c r="R16" s="20" t="n"/>
      <c r="S16" s="20" t="n"/>
      <c r="T16" s="20" t="n"/>
      <c r="U16" s="20" t="n"/>
      <c r="V16" s="20" t="n">
        <v>12</v>
      </c>
      <c r="W16" s="20" t="n">
        <v>19</v>
      </c>
      <c r="X16" s="20" t="n">
        <v>11</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6" t="inlineStr">
        <is>
          <t>매출원가</t>
        </is>
      </c>
      <c r="B19" s="16" t="n"/>
      <c r="C19" s="17" t="n"/>
      <c r="D19" s="16" t="n"/>
      <c r="E19" s="16" t="n"/>
      <c r="F19" s="16" t="n"/>
      <c r="G19" s="16" t="n"/>
      <c r="H19" s="16" t="n"/>
      <c r="I19" s="16" t="n"/>
      <c r="J19" s="16" t="n"/>
      <c r="K19" s="16" t="n"/>
      <c r="L19" s="16" t="n"/>
      <c r="M19" s="16" t="n"/>
      <c r="N19" s="16" t="n"/>
      <c r="O19" s="17" t="n"/>
      <c r="P19" s="16" t="n"/>
      <c r="Q19" s="16" t="n"/>
      <c r="R19" s="16" t="n"/>
      <c r="S19" s="16" t="n"/>
      <c r="T19" s="16" t="n"/>
      <c r="U19" s="16" t="n"/>
      <c r="V19" s="16" t="n"/>
      <c r="W19" s="16" t="n"/>
      <c r="X19" s="16" t="n"/>
      <c r="Y19" s="17" t="n"/>
      <c r="Z19" s="16" t="n"/>
      <c r="AA19" s="16" t="n"/>
      <c r="AB19" s="16" t="n"/>
      <c r="AC19" s="16" t="n"/>
    </row>
    <row r="20">
      <c r="A20" s="18" t="inlineStr">
        <is>
          <t>전체 매출원가</t>
        </is>
      </c>
      <c r="B20" s="10" t="n"/>
      <c r="C20" s="19" t="n">
        <v>146065</v>
      </c>
      <c r="D20" s="20" t="n">
        <v>146243</v>
      </c>
      <c r="E20" s="20" t="n">
        <v>150849</v>
      </c>
      <c r="F20" s="20" t="n">
        <v>161673</v>
      </c>
      <c r="G20" s="20" t="n">
        <v>157807</v>
      </c>
      <c r="H20" s="20" t="n">
        <v>148036</v>
      </c>
      <c r="I20" s="20" t="n">
        <v>153671</v>
      </c>
      <c r="J20" s="20" t="n">
        <v>162575</v>
      </c>
      <c r="K20" s="20" t="n">
        <v>167419</v>
      </c>
      <c r="L20" s="20" t="n">
        <v>153743</v>
      </c>
      <c r="M20" s="20" t="n">
        <v>169489</v>
      </c>
      <c r="N20" s="20" t="n">
        <v>176686</v>
      </c>
      <c r="O20" s="19" t="n"/>
      <c r="P20" s="20" t="n">
        <v>574879</v>
      </c>
      <c r="Q20" s="20" t="n">
        <v>564608</v>
      </c>
      <c r="R20" s="20" t="n">
        <v>519090</v>
      </c>
      <c r="S20" s="20" t="n">
        <v>517872</v>
      </c>
      <c r="T20" s="20" t="n">
        <v>551059</v>
      </c>
      <c r="U20" s="20" t="n">
        <v>591592</v>
      </c>
      <c r="V20" s="20" t="n">
        <v>584280</v>
      </c>
      <c r="W20" s="20" t="n">
        <v>618365</v>
      </c>
      <c r="X20" s="20" t="n">
        <v>637408</v>
      </c>
      <c r="Y20" s="19" t="n"/>
      <c r="Z20" s="20" t="n"/>
      <c r="AA20" s="20" t="n"/>
      <c r="AB20" s="20" t="n"/>
      <c r="AC20" s="20" t="n"/>
    </row>
    <row r="21">
      <c r="A21" s="13" t="inlineStr">
        <is>
          <t>YoY</t>
        </is>
      </c>
      <c r="B21" s="10" t="n"/>
      <c r="C21" s="14" t="n"/>
      <c r="D21" s="15" t="n"/>
      <c r="E21" s="15" t="n"/>
      <c r="F21" s="15" t="n"/>
      <c r="G21" s="15">
        <f>IF(OR(G20="",C20=""),"",IF(C20&lt;=0,"",IFERROR(G20/C20-1,"")))</f>
        <v/>
      </c>
      <c r="H21" s="15">
        <f>IF(OR(H20="",D20=""),"",IF(D20&lt;=0,"",IFERROR(H20/D20-1,"")))</f>
        <v/>
      </c>
      <c r="I21" s="15">
        <f>IF(OR(I20="",E20=""),"",IF(E20&lt;=0,"",IFERROR(I20/E20-1,"")))</f>
        <v/>
      </c>
      <c r="J21" s="15">
        <f>IF(OR(J20="",F20=""),"",IF(F20&lt;=0,"",IFERROR(J20/F20-1,"")))</f>
        <v/>
      </c>
      <c r="K21" s="15">
        <f>IF(OR(K20="",G20=""),"",IF(G20&lt;=0,"",IFERROR(K20/G20-1,"")))</f>
        <v/>
      </c>
      <c r="L21" s="15">
        <f>IF(OR(L20="",H20=""),"",IF(H20&lt;=0,"",IFERROR(L20/H20-1,"")))</f>
        <v/>
      </c>
      <c r="M21" s="15">
        <f>IF(OR(M20="",I20=""),"",IF(I20&lt;=0,"",IFERROR(M20/I20-1,"")))</f>
        <v/>
      </c>
      <c r="N21" s="15">
        <f>IF(OR(N20="",J20=""),"",IF(J20&lt;=0,"",IFERROR(N20/J20-1,"")))</f>
        <v/>
      </c>
      <c r="O21" s="14" t="n"/>
      <c r="P21" s="15">
        <f>IF(OR(P20="",O20=""),"",IF(O20&lt;=0,"",IFERROR(P20/O20-1,"")))</f>
        <v/>
      </c>
      <c r="Q21" s="15">
        <f>IF(OR(Q20="",P20=""),"",IF(P20&lt;=0,"",IFERROR(Q20/P20-1,"")))</f>
        <v/>
      </c>
      <c r="R21" s="15">
        <f>IF(OR(R20="",Q20=""),"",IF(Q20&lt;=0,"",IFERROR(R20/Q20-1,"")))</f>
        <v/>
      </c>
      <c r="S21" s="15">
        <f>IF(OR(S20="",R20=""),"",IF(R20&lt;=0,"",IFERROR(S20/R20-1,"")))</f>
        <v/>
      </c>
      <c r="T21" s="15">
        <f>IF(OR(T20="",S20=""),"",IF(S20&lt;=0,"",IFERROR(T20/S20-1,"")))</f>
        <v/>
      </c>
      <c r="U21" s="15">
        <f>IF(OR(U20="",T20=""),"",IF(T20&lt;=0,"",IFERROR(U20/T20-1,"")))</f>
        <v/>
      </c>
      <c r="V21" s="15">
        <f>IF(OR(V20="",U20=""),"",IF(U20&lt;=0,"",IFERROR(V20/U20-1,"")))</f>
        <v/>
      </c>
      <c r="W21" s="15">
        <f>IF(OR(W20="",V20=""),"",IF(V20&lt;=0,"",IFERROR(W20/V20-1,"")))</f>
        <v/>
      </c>
      <c r="X21" s="15">
        <f>IF(OR(X20="",W20=""),"",IF(W20&lt;=0,"",IFERROR(X20/W20-1,"")))</f>
        <v/>
      </c>
      <c r="Y21" s="14">
        <f>IF(OR(Y20="",X20=""),"",IF(X20&lt;=0,"",IFERROR(Y20/X20-1,"")))</f>
        <v/>
      </c>
      <c r="Z21" s="15">
        <f>IF(OR(Z20="",Y20=""),"",IF(Y20&lt;=0,"",IFERROR(Z20/Y20-1,"")))</f>
        <v/>
      </c>
      <c r="AA21" s="15">
        <f>IF(OR(AA20="",Z20=""),"",IF(Z20&lt;=0,"",IFERROR(AA20/Z20-1,"")))</f>
        <v/>
      </c>
      <c r="AB21" s="15">
        <f>IF(OR(AB20="",AA20=""),"",IF(AA20&lt;=0,"",IFERROR(AB20/AA20-1,"")))</f>
        <v/>
      </c>
      <c r="AC21" s="15">
        <f>IF(OR(AC20="",AB20=""),"",IF(AB20&lt;=0,"",IFERROR(AC20/AB20-1,"")))</f>
        <v/>
      </c>
    </row>
    <row r="22">
      <c r="A22" s="18" t="inlineStr">
        <is>
          <t>매출총이익</t>
        </is>
      </c>
      <c r="B22" s="10" t="n"/>
      <c r="C22" s="19">
        <f>IF(OR(C4="",C20=""),"",IFERROR(C4-C20,""))</f>
        <v/>
      </c>
      <c r="D22" s="20">
        <f>IF(OR(D4="",D20=""),"",IFERROR(D4-D20,""))</f>
        <v/>
      </c>
      <c r="E22" s="20">
        <f>IF(OR(E4="",E20=""),"",IFERROR(E4-E20,""))</f>
        <v/>
      </c>
      <c r="F22" s="20">
        <f>IF(OR(F4="",F20=""),"",IFERROR(F4-F20,""))</f>
        <v/>
      </c>
      <c r="G22" s="20">
        <f>IF(OR(G4="",G20=""),"",IFERROR(G4-G20,""))</f>
        <v/>
      </c>
      <c r="H22" s="20">
        <f>IF(OR(H4="",H20=""),"",IFERROR(H4-H20,""))</f>
        <v/>
      </c>
      <c r="I22" s="20">
        <f>IF(OR(I4="",I20=""),"",IFERROR(I4-I20,""))</f>
        <v/>
      </c>
      <c r="J22" s="20">
        <f>IF(OR(J4="",J20=""),"",IFERROR(J4-J20,""))</f>
        <v/>
      </c>
      <c r="K22" s="20">
        <f>IF(OR(K4="",K20=""),"",IFERROR(K4-K20,""))</f>
        <v/>
      </c>
      <c r="L22" s="20">
        <f>IF(OR(L4="",L20=""),"",IFERROR(L4-L20,""))</f>
        <v/>
      </c>
      <c r="M22" s="20">
        <f>IF(OR(M4="",M20=""),"",IFERROR(M4-M20,""))</f>
        <v/>
      </c>
      <c r="N22" s="20">
        <f>IF(OR(N4="",N20=""),"",IFERROR(N4-N20,""))</f>
        <v/>
      </c>
      <c r="O22" s="19">
        <f>IF(OR(O4="",O20=""),"",IFERROR(O4-O20,""))</f>
        <v/>
      </c>
      <c r="P22" s="20">
        <f>IF(OR(P4="",P20=""),"",IFERROR(P4-P20,""))</f>
        <v/>
      </c>
      <c r="Q22" s="20">
        <f>IF(OR(Q4="",Q20=""),"",IFERROR(Q4-Q20,""))</f>
        <v/>
      </c>
      <c r="R22" s="20">
        <f>IF(OR(R4="",R20=""),"",IFERROR(R4-R20,""))</f>
        <v/>
      </c>
      <c r="S22" s="20">
        <f>IF(OR(S4="",S20=""),"",IFERROR(S4-S20,""))</f>
        <v/>
      </c>
      <c r="T22" s="20">
        <f>IF(OR(T4="",T20=""),"",IFERROR(T4-T20,""))</f>
        <v/>
      </c>
      <c r="U22" s="20">
        <f>IF(OR(U4="",U20=""),"",IFERROR(U4-U20,""))</f>
        <v/>
      </c>
      <c r="V22" s="20">
        <f>IF(OR(V4="",V20=""),"",IFERROR(V4-V20,""))</f>
        <v/>
      </c>
      <c r="W22" s="20">
        <f>IF(OR(W4="",W20=""),"",IFERROR(W4-W20,""))</f>
        <v/>
      </c>
      <c r="X22" s="20">
        <f>IF(OR(X4="",X20=""),"",IFERROR(X4-X20,""))</f>
        <v/>
      </c>
      <c r="Y22" s="19" t="n"/>
      <c r="Z22" s="20" t="n"/>
      <c r="AA22" s="20" t="n"/>
      <c r="AB22" s="20" t="n"/>
      <c r="AC22" s="20" t="n"/>
    </row>
    <row r="23">
      <c r="A23" s="13" t="inlineStr">
        <is>
          <t>GPM</t>
        </is>
      </c>
      <c r="B23" s="10" t="n"/>
      <c r="C23" s="14">
        <f>IF(OR(C22="",C4=""),"",IFERROR(C22/C4,""))</f>
        <v/>
      </c>
      <c r="D23" s="15">
        <f>IF(OR(D22="",D4=""),"",IFERROR(D22/D4,""))</f>
        <v/>
      </c>
      <c r="E23" s="15">
        <f>IF(OR(E22="",E4=""),"",IFERROR(E22/E4,""))</f>
        <v/>
      </c>
      <c r="F23" s="15">
        <f>IF(OR(F22="",F4=""),"",IFERROR(F22/F4,""))</f>
        <v/>
      </c>
      <c r="G23" s="15">
        <f>IF(OR(G22="",G4=""),"",IFERROR(G22/G4,""))</f>
        <v/>
      </c>
      <c r="H23" s="15">
        <f>IF(OR(H22="",H4=""),"",IFERROR(H22/H4,""))</f>
        <v/>
      </c>
      <c r="I23" s="15">
        <f>IF(OR(I22="",I4=""),"",IFERROR(I22/I4,""))</f>
        <v/>
      </c>
      <c r="J23" s="15">
        <f>IF(OR(J22="",J4=""),"",IFERROR(J22/J4,""))</f>
        <v/>
      </c>
      <c r="K23" s="15">
        <f>IF(OR(K22="",K4=""),"",IFERROR(K22/K4,""))</f>
        <v/>
      </c>
      <c r="L23" s="15">
        <f>IF(OR(L22="",L4=""),"",IFERROR(L22/L4,""))</f>
        <v/>
      </c>
      <c r="M23" s="15">
        <f>IF(OR(M22="",M4=""),"",IFERROR(M22/M4,""))</f>
        <v/>
      </c>
      <c r="N23" s="15">
        <f>IF(OR(N22="",N4=""),"",IFERROR(N22/N4,""))</f>
        <v/>
      </c>
      <c r="O23" s="14">
        <f>IF(OR(O22="",O4=""),"",IFERROR(O22/O4,""))</f>
        <v/>
      </c>
      <c r="P23" s="15">
        <f>IF(OR(P22="",P4=""),"",IFERROR(P22/P4,""))</f>
        <v/>
      </c>
      <c r="Q23" s="15">
        <f>IF(OR(Q22="",Q4=""),"",IFERROR(Q22/Q4,""))</f>
        <v/>
      </c>
      <c r="R23" s="15">
        <f>IF(OR(R22="",R4=""),"",IFERROR(R22/R4,""))</f>
        <v/>
      </c>
      <c r="S23" s="15">
        <f>IF(OR(S22="",S4=""),"",IFERROR(S22/S4,""))</f>
        <v/>
      </c>
      <c r="T23" s="15">
        <f>IF(OR(T22="",T4=""),"",IFERROR(T22/T4,""))</f>
        <v/>
      </c>
      <c r="U23" s="15">
        <f>IF(OR(U22="",U4=""),"",IFERROR(U22/U4,""))</f>
        <v/>
      </c>
      <c r="V23" s="15">
        <f>IF(OR(V22="",V4=""),"",IFERROR(V22/V4,""))</f>
        <v/>
      </c>
      <c r="W23" s="15">
        <f>IF(OR(W22="",W4=""),"",IFERROR(W22/W4,""))</f>
        <v/>
      </c>
      <c r="X23" s="15">
        <f>IF(OR(X22="",X4=""),"",IFERROR(X22/X4,""))</f>
        <v/>
      </c>
      <c r="Y23" s="14">
        <f>IF(OR(Y22="",Y4=""),"",IFERROR(Y22/Y4,""))</f>
        <v/>
      </c>
      <c r="Z23" s="15">
        <f>IF(OR(Z22="",Z4=""),"",IFERROR(Z22/Z4,""))</f>
        <v/>
      </c>
      <c r="AA23" s="15">
        <f>IF(OR(AA22="",AA4=""),"",IFERROR(AA22/AA4,""))</f>
        <v/>
      </c>
      <c r="AB23" s="15">
        <f>IF(OR(AB22="",AB4=""),"",IFERROR(AB22/AB4,""))</f>
        <v/>
      </c>
      <c r="AC23" s="15">
        <f>IF(OR(AC22="",AC4=""),"",IFERROR(AC22/AC4,""))</f>
        <v/>
      </c>
    </row>
    <row r="24">
      <c r="A24" s="13" t="inlineStr">
        <is>
          <t>YoY</t>
        </is>
      </c>
      <c r="B24" s="10" t="n"/>
      <c r="C24" s="14" t="n"/>
      <c r="D24" s="15" t="n"/>
      <c r="E24" s="15" t="n"/>
      <c r="F24" s="15" t="n"/>
      <c r="G24" s="15">
        <f>IF(OR(G22="",C22=""),"",IF(C22&lt;=0,"",IFERROR(G22/C22-1,"")))</f>
        <v/>
      </c>
      <c r="H24" s="15">
        <f>IF(OR(H22="",D22=""),"",IF(D22&lt;=0,"",IFERROR(H22/D22-1,"")))</f>
        <v/>
      </c>
      <c r="I24" s="15">
        <f>IF(OR(I22="",E22=""),"",IF(E22&lt;=0,"",IFERROR(I22/E22-1,"")))</f>
        <v/>
      </c>
      <c r="J24" s="15">
        <f>IF(OR(J22="",F22=""),"",IF(F22&lt;=0,"",IFERROR(J22/F22-1,"")))</f>
        <v/>
      </c>
      <c r="K24" s="15">
        <f>IF(OR(K22="",G22=""),"",IF(G22&lt;=0,"",IFERROR(K22/G22-1,"")))</f>
        <v/>
      </c>
      <c r="L24" s="15">
        <f>IF(OR(L22="",H22=""),"",IF(H22&lt;=0,"",IFERROR(L22/H22-1,"")))</f>
        <v/>
      </c>
      <c r="M24" s="15">
        <f>IF(OR(M22="",I22=""),"",IF(I22&lt;=0,"",IFERROR(M22/I22-1,"")))</f>
        <v/>
      </c>
      <c r="N24" s="15">
        <f>IF(OR(N22="",J22=""),"",IF(J22&lt;=0,"",IFERROR(N22/J22-1,"")))</f>
        <v/>
      </c>
      <c r="O24" s="14" t="n"/>
      <c r="P24" s="15">
        <f>IF(OR(P22="",O22=""),"",IF(O22&lt;=0,"",IFERROR(P22/O22-1,"")))</f>
        <v/>
      </c>
      <c r="Q24" s="15">
        <f>IF(OR(Q22="",P22=""),"",IF(P22&lt;=0,"",IFERROR(Q22/P22-1,"")))</f>
        <v/>
      </c>
      <c r="R24" s="15">
        <f>IF(OR(R22="",Q22=""),"",IF(Q22&lt;=0,"",IFERROR(R22/Q22-1,"")))</f>
        <v/>
      </c>
      <c r="S24" s="15">
        <f>IF(OR(S22="",R22=""),"",IF(R22&lt;=0,"",IFERROR(S22/R22-1,"")))</f>
        <v/>
      </c>
      <c r="T24" s="15">
        <f>IF(OR(T22="",S22=""),"",IF(S22&lt;=0,"",IFERROR(T22/S22-1,"")))</f>
        <v/>
      </c>
      <c r="U24" s="15">
        <f>IF(OR(U22="",T22=""),"",IF(T22&lt;=0,"",IFERROR(U22/T22-1,"")))</f>
        <v/>
      </c>
      <c r="V24" s="15">
        <f>IF(OR(V22="",U22=""),"",IF(U22&lt;=0,"",IFERROR(V22/U22-1,"")))</f>
        <v/>
      </c>
      <c r="W24" s="15">
        <f>IF(OR(W22="",V22=""),"",IF(V22&lt;=0,"",IFERROR(W22/V22-1,"")))</f>
        <v/>
      </c>
      <c r="X24" s="15">
        <f>IF(OR(X22="",W22=""),"",IF(W22&lt;=0,"",IFERROR(X22/W22-1,"")))</f>
        <v/>
      </c>
      <c r="Y24" s="14">
        <f>IF(OR(Y22="",X22=""),"",IF(X22&lt;=0,"",IFERROR(Y22/X22-1,"")))</f>
        <v/>
      </c>
      <c r="Z24" s="15">
        <f>IF(OR(Z22="",Y22=""),"",IF(Y22&lt;=0,"",IFERROR(Z22/Y22-1,"")))</f>
        <v/>
      </c>
      <c r="AA24" s="15">
        <f>IF(OR(AA22="",Z22=""),"",IF(Z22&lt;=0,"",IFERROR(AA22/Z22-1,"")))</f>
        <v/>
      </c>
      <c r="AB24" s="15">
        <f>IF(OR(AB22="",AA22=""),"",IF(AA22&lt;=0,"",IFERROR(AB22/AA22-1,"")))</f>
        <v/>
      </c>
      <c r="AC24" s="15">
        <f>IF(OR(AC22="",AB22=""),"",IF(AB22&lt;=0,"",IFERROR(AC22/AB22-1,"")))</f>
        <v/>
      </c>
    </row>
    <row r="25">
      <c r="A25" s="23" t="inlineStr">
        <is>
          <t>판매관리비</t>
        </is>
      </c>
      <c r="B25" s="23" t="n"/>
      <c r="C25" s="24" t="n"/>
      <c r="D25" s="23" t="n"/>
      <c r="E25" s="23" t="n"/>
      <c r="F25" s="23" t="n"/>
      <c r="G25" s="23" t="n"/>
      <c r="H25" s="23" t="n"/>
      <c r="I25" s="23" t="n"/>
      <c r="J25" s="23" t="n"/>
      <c r="K25" s="23" t="n"/>
      <c r="L25" s="23" t="n"/>
      <c r="M25" s="23" t="n"/>
      <c r="N25" s="23" t="n"/>
      <c r="O25" s="24" t="n"/>
      <c r="P25" s="23" t="n"/>
      <c r="Q25" s="23" t="n"/>
      <c r="R25" s="23" t="n"/>
      <c r="S25" s="23" t="n"/>
      <c r="T25" s="23" t="n"/>
      <c r="U25" s="23" t="n"/>
      <c r="V25" s="23" t="n"/>
      <c r="W25" s="23" t="n"/>
      <c r="X25" s="23" t="n"/>
      <c r="Y25" s="24" t="n"/>
      <c r="Z25" s="23" t="n"/>
      <c r="AA25" s="23" t="n"/>
      <c r="AB25" s="23" t="n"/>
      <c r="AC25" s="23" t="n"/>
    </row>
    <row r="26">
      <c r="A26" s="18" t="inlineStr">
        <is>
          <t>전체 판관비</t>
        </is>
      </c>
      <c r="B26" s="10" t="n"/>
      <c r="C26" s="19" t="n">
        <v>38766</v>
      </c>
      <c r="D26" s="20" t="n">
        <v>35646</v>
      </c>
      <c r="E26" s="20" t="n">
        <v>37194</v>
      </c>
      <c r="F26" s="20" t="n">
        <v>38107</v>
      </c>
      <c r="G26" s="20" t="n">
        <v>39818</v>
      </c>
      <c r="H26" s="20" t="n">
        <v>36716</v>
      </c>
      <c r="I26" s="20" t="n">
        <v>37079</v>
      </c>
      <c r="J26" s="20" t="n">
        <v>38272</v>
      </c>
      <c r="K26" s="20" t="n">
        <v>41903</v>
      </c>
      <c r="L26" s="20" t="n">
        <v>39068</v>
      </c>
      <c r="M26" s="20" t="n">
        <v>39502</v>
      </c>
      <c r="N26" s="20" t="n">
        <v>40853</v>
      </c>
      <c r="O26" s="19" t="n"/>
      <c r="P26" s="20" t="n">
        <v>118421</v>
      </c>
      <c r="Q26" s="20" t="n">
        <v>120576</v>
      </c>
      <c r="R26" s="20" t="n">
        <v>111368</v>
      </c>
      <c r="S26" s="20" t="n">
        <v>107722</v>
      </c>
      <c r="T26" s="20" t="n">
        <v>129625</v>
      </c>
      <c r="U26" s="20" t="n">
        <v>145436</v>
      </c>
      <c r="V26" s="20" t="n">
        <v>146143</v>
      </c>
      <c r="W26" s="20" t="n">
        <v>151835</v>
      </c>
      <c r="X26" s="20" t="n">
        <v>156322</v>
      </c>
      <c r="Y26" s="19" t="n"/>
      <c r="Z26" s="20" t="n"/>
      <c r="AA26" s="20" t="n"/>
      <c r="AB26" s="20" t="n"/>
      <c r="AC26" s="20" t="n"/>
    </row>
    <row r="27">
      <c r="A27" s="13" t="inlineStr">
        <is>
          <t>YoY</t>
        </is>
      </c>
      <c r="B27" s="10" t="n"/>
      <c r="C27" s="14" t="n"/>
      <c r="D27" s="15" t="n"/>
      <c r="E27" s="15" t="n"/>
      <c r="F27" s="15" t="n"/>
      <c r="G27" s="15">
        <f>IF(OR(G26="",C26=""),"",IF(C26&lt;=0,"",IFERROR(G26/C26-1,"")))</f>
        <v/>
      </c>
      <c r="H27" s="15">
        <f>IF(OR(H26="",D26=""),"",IF(D26&lt;=0,"",IFERROR(H26/D26-1,"")))</f>
        <v/>
      </c>
      <c r="I27" s="15">
        <f>IF(OR(I26="",E26=""),"",IF(E26&lt;=0,"",IFERROR(I26/E26-1,"")))</f>
        <v/>
      </c>
      <c r="J27" s="15">
        <f>IF(OR(J26="",F26=""),"",IF(F26&lt;=0,"",IFERROR(J26/F26-1,"")))</f>
        <v/>
      </c>
      <c r="K27" s="15">
        <f>IF(OR(K26="",G26=""),"",IF(G26&lt;=0,"",IFERROR(K26/G26-1,"")))</f>
        <v/>
      </c>
      <c r="L27" s="15">
        <f>IF(OR(L26="",H26=""),"",IF(H26&lt;=0,"",IFERROR(L26/H26-1,"")))</f>
        <v/>
      </c>
      <c r="M27" s="15">
        <f>IF(OR(M26="",I26=""),"",IF(I26&lt;=0,"",IFERROR(M26/I26-1,"")))</f>
        <v/>
      </c>
      <c r="N27" s="15">
        <f>IF(OR(N26="",J26=""),"",IF(J26&lt;=0,"",IFERROR(N26/J26-1,"")))</f>
        <v/>
      </c>
      <c r="O27" s="14" t="n"/>
      <c r="P27" s="15">
        <f>IF(OR(P26="",O26=""),"",IF(O26&lt;=0,"",IFERROR(P26/O26-1,"")))</f>
        <v/>
      </c>
      <c r="Q27" s="15">
        <f>IF(OR(Q26="",P26=""),"",IF(P26&lt;=0,"",IFERROR(Q26/P26-1,"")))</f>
        <v/>
      </c>
      <c r="R27" s="15">
        <f>IF(OR(R26="",Q26=""),"",IF(Q26&lt;=0,"",IFERROR(R26/Q26-1,"")))</f>
        <v/>
      </c>
      <c r="S27" s="15">
        <f>IF(OR(S26="",R26=""),"",IF(R26&lt;=0,"",IFERROR(S26/R26-1,"")))</f>
        <v/>
      </c>
      <c r="T27" s="15">
        <f>IF(OR(T26="",S26=""),"",IF(S26&lt;=0,"",IFERROR(T26/S26-1,"")))</f>
        <v/>
      </c>
      <c r="U27" s="15">
        <f>IF(OR(U26="",T26=""),"",IF(T26&lt;=0,"",IFERROR(U26/T26-1,"")))</f>
        <v/>
      </c>
      <c r="V27" s="15">
        <f>IF(OR(V26="",U26=""),"",IF(U26&lt;=0,"",IFERROR(V26/U26-1,"")))</f>
        <v/>
      </c>
      <c r="W27" s="15">
        <f>IF(OR(W26="",V26=""),"",IF(V26&lt;=0,"",IFERROR(W26/V26-1,"")))</f>
        <v/>
      </c>
      <c r="X27" s="15">
        <f>IF(OR(X26="",W26=""),"",IF(W26&lt;=0,"",IFERROR(X26/W26-1,"")))</f>
        <v/>
      </c>
      <c r="Y27" s="14">
        <f>IF(OR(Y26="",X26=""),"",IF(X26&lt;=0,"",IFERROR(Y26/X26-1,"")))</f>
        <v/>
      </c>
      <c r="Z27" s="15">
        <f>IF(OR(Z26="",Y26=""),"",IF(Y26&lt;=0,"",IFERROR(Z26/Y26-1,"")))</f>
        <v/>
      </c>
      <c r="AA27" s="15">
        <f>IF(OR(AA26="",Z26=""),"",IF(Z26&lt;=0,"",IFERROR(AA26/Z26-1,"")))</f>
        <v/>
      </c>
      <c r="AB27" s="15">
        <f>IF(OR(AB26="",AA26=""),"",IF(AA26&lt;=0,"",IFERROR(AB26/AA26-1,"")))</f>
        <v/>
      </c>
      <c r="AC27" s="15">
        <f>IF(OR(AC26="",AB26=""),"",IF(AB26&lt;=0,"",IFERROR(AC26/AB26-1,"")))</f>
        <v/>
      </c>
    </row>
    <row r="28">
      <c r="A28" s="9" t="inlineStr">
        <is>
          <t>영업이익</t>
        </is>
      </c>
      <c r="B28" s="10" t="inlineStr">
        <is>
          <t>MW = 매출 × OPM</t>
        </is>
      </c>
      <c r="C28" s="11" t="n">
        <v>47857</v>
      </c>
      <c r="D28" s="12" t="n">
        <v>26803</v>
      </c>
      <c r="E28" s="12" t="n">
        <v>50696</v>
      </c>
      <c r="F28" s="12" t="n">
        <v>58571</v>
      </c>
      <c r="G28" s="12" t="n">
        <v>43668</v>
      </c>
      <c r="H28" s="12" t="n">
        <v>32732</v>
      </c>
      <c r="I28" s="12" t="n">
        <v>42645</v>
      </c>
      <c r="J28" s="12" t="n">
        <v>51859</v>
      </c>
      <c r="K28" s="12" t="n">
        <v>53356</v>
      </c>
      <c r="L28" s="12" t="n">
        <v>35755</v>
      </c>
      <c r="M28" s="12" t="n">
        <v>49210</v>
      </c>
      <c r="N28" s="12" t="n">
        <v>56631</v>
      </c>
      <c r="O28" s="11" t="n"/>
      <c r="P28" s="12" t="n">
        <v>125722</v>
      </c>
      <c r="Q28" s="12" t="n">
        <v>92777</v>
      </c>
      <c r="R28" s="12" t="n">
        <v>69733</v>
      </c>
      <c r="S28" s="12" t="n">
        <v>93809</v>
      </c>
      <c r="T28" s="12" t="n">
        <v>132260</v>
      </c>
      <c r="U28" s="12" t="n">
        <v>147173</v>
      </c>
      <c r="V28" s="12" t="n">
        <v>139132</v>
      </c>
      <c r="W28" s="12" t="n">
        <v>185667</v>
      </c>
      <c r="X28" s="12" t="n">
        <v>183615</v>
      </c>
      <c r="Y28" s="11">
        <f>IF(OR(Y4="",Y29=""),"",IFERROR(Y4*Y29,""))</f>
        <v/>
      </c>
      <c r="Z28" s="12">
        <f>IF(OR(Z4="",Z29=""),"",IFERROR(Z4*Z29,""))</f>
        <v/>
      </c>
      <c r="AA28" s="12">
        <f>IF(OR(AA4="",AA29=""),"",IFERROR(AA4*AA29,""))</f>
        <v/>
      </c>
      <c r="AB28" s="12">
        <f>IF(OR(AB4="",AB29=""),"",IFERROR(AB4*AB29,""))</f>
        <v/>
      </c>
      <c r="AC28" s="12">
        <f>IF(OR(AC4="",AC29=""),"",IFERROR(AC4*AC29,""))</f>
        <v/>
      </c>
    </row>
    <row r="29">
      <c r="A29" s="13" t="inlineStr">
        <is>
          <t>OPM</t>
        </is>
      </c>
      <c r="B29" s="10" t="inlineStr">
        <is>
          <t>MW 입력</t>
        </is>
      </c>
      <c r="C29" s="14">
        <f>IF(OR(C28="",C4=""),"",IFERROR(C28/C4,""))</f>
        <v/>
      </c>
      <c r="D29" s="15">
        <f>IF(OR(D28="",D4=""),"",IFERROR(D28/D4,""))</f>
        <v/>
      </c>
      <c r="E29" s="15">
        <f>IF(OR(E28="",E4=""),"",IFERROR(E28/E4,""))</f>
        <v/>
      </c>
      <c r="F29" s="15">
        <f>IF(OR(F28="",F4=""),"",IFERROR(F28/F4,""))</f>
        <v/>
      </c>
      <c r="G29" s="15">
        <f>IF(OR(G28="",G4=""),"",IFERROR(G28/G4,""))</f>
        <v/>
      </c>
      <c r="H29" s="15">
        <f>IF(OR(H28="",H4=""),"",IFERROR(H28/H4,""))</f>
        <v/>
      </c>
      <c r="I29" s="15">
        <f>IF(OR(I28="",I4=""),"",IFERROR(I28/I4,""))</f>
        <v/>
      </c>
      <c r="J29" s="15">
        <f>IF(OR(J28="",J4=""),"",IFERROR(J28/J4,""))</f>
        <v/>
      </c>
      <c r="K29" s="15">
        <f>IF(OR(K28="",K4=""),"",IFERROR(K28/K4,""))</f>
        <v/>
      </c>
      <c r="L29" s="15">
        <f>IF(OR(L28="",L4=""),"",IFERROR(L28/L4,""))</f>
        <v/>
      </c>
      <c r="M29" s="15">
        <f>IF(OR(M28="",M4=""),"",IFERROR(M28/M4,""))</f>
        <v/>
      </c>
      <c r="N29" s="15">
        <f>IF(OR(N28="",N4=""),"",IFERROR(N28/N4,""))</f>
        <v/>
      </c>
      <c r="O29" s="14">
        <f>IF(OR(O28="",O4=""),"",IFERROR(O28/O4,""))</f>
        <v/>
      </c>
      <c r="P29" s="15">
        <f>IF(OR(P28="",P4=""),"",IFERROR(P28/P4,""))</f>
        <v/>
      </c>
      <c r="Q29" s="15">
        <f>IF(OR(Q28="",Q4=""),"",IFERROR(Q28/Q4,""))</f>
        <v/>
      </c>
      <c r="R29" s="15">
        <f>IF(OR(R28="",R4=""),"",IFERROR(R28/R4,""))</f>
        <v/>
      </c>
      <c r="S29" s="15">
        <f>IF(OR(S28="",S4=""),"",IFERROR(S28/S4,""))</f>
        <v/>
      </c>
      <c r="T29" s="15">
        <f>IF(OR(T28="",T4=""),"",IFERROR(T28/T4,""))</f>
        <v/>
      </c>
      <c r="U29" s="15">
        <f>IF(OR(U28="",U4=""),"",IFERROR(U28/U4,""))</f>
        <v/>
      </c>
      <c r="V29" s="15">
        <f>IF(OR(V28="",V4=""),"",IFERROR(V28/V4,""))</f>
        <v/>
      </c>
      <c r="W29" s="15">
        <f>IF(OR(W28="",W4=""),"",IFERROR(W28/W4,""))</f>
        <v/>
      </c>
      <c r="X29" s="15">
        <f>IF(OR(X28="",X4=""),"",IFERROR(X28/X4,""))</f>
        <v/>
      </c>
      <c r="Y29" s="25" t="n"/>
      <c r="Z29" s="26" t="n"/>
      <c r="AA29" s="26" t="n"/>
      <c r="AB29" s="26" t="n"/>
      <c r="AC29" s="26" t="n"/>
    </row>
    <row r="30">
      <c r="A30" s="13" t="inlineStr">
        <is>
          <t>증가율</t>
        </is>
      </c>
      <c r="B30" s="10" t="n"/>
      <c r="C30" s="14" t="n"/>
      <c r="D30" s="15" t="n"/>
      <c r="E30" s="15" t="n"/>
      <c r="F30" s="15" t="n"/>
      <c r="G30" s="15">
        <f>IF(OR(G28="",C28=""),"",IFERROR(G28/C28-1,""))</f>
        <v/>
      </c>
      <c r="H30" s="15">
        <f>IF(OR(H28="",D28=""),"",IFERROR(H28/D28-1,""))</f>
        <v/>
      </c>
      <c r="I30" s="15">
        <f>IF(OR(I28="",E28=""),"",IFERROR(I28/E28-1,""))</f>
        <v/>
      </c>
      <c r="J30" s="15">
        <f>IF(OR(J28="",F28=""),"",IFERROR(J28/F28-1,""))</f>
        <v/>
      </c>
      <c r="K30" s="15">
        <f>IF(OR(K28="",G28=""),"",IFERROR(K28/G28-1,""))</f>
        <v/>
      </c>
      <c r="L30" s="15">
        <f>IF(OR(L28="",H28=""),"",IFERROR(L28/H28-1,""))</f>
        <v/>
      </c>
      <c r="M30" s="15">
        <f>IF(OR(M28="",I28=""),"",IFERROR(M28/I28-1,""))</f>
        <v/>
      </c>
      <c r="N30" s="15">
        <f>IF(OR(N28="",J28=""),"",IFERROR(N28/J28-1,""))</f>
        <v/>
      </c>
      <c r="O30" s="14" t="n"/>
      <c r="P30" s="15">
        <f>IF(OR(P28="",O28=""),"",IFERROR(P28/O28-1,""))</f>
        <v/>
      </c>
      <c r="Q30" s="15">
        <f>IF(OR(Q28="",P28=""),"",IFERROR(Q28/P28-1,""))</f>
        <v/>
      </c>
      <c r="R30" s="15">
        <f>IF(OR(R28="",Q28=""),"",IFERROR(R28/Q28-1,""))</f>
        <v/>
      </c>
      <c r="S30" s="15">
        <f>IF(OR(S28="",R28=""),"",IFERROR(S28/R28-1,""))</f>
        <v/>
      </c>
      <c r="T30" s="15">
        <f>IF(OR(T28="",S28=""),"",IFERROR(T28/S28-1,""))</f>
        <v/>
      </c>
      <c r="U30" s="15">
        <f>IF(OR(U28="",T28=""),"",IFERROR(U28/T28-1,""))</f>
        <v/>
      </c>
      <c r="V30" s="15">
        <f>IF(OR(V28="",U28=""),"",IFERROR(V28/U28-1,""))</f>
        <v/>
      </c>
      <c r="W30" s="15">
        <f>IF(OR(W28="",V28=""),"",IFERROR(W28/V28-1,""))</f>
        <v/>
      </c>
      <c r="X30" s="15">
        <f>IF(OR(X28="",W28=""),"",IFERROR(X28/W28-1,""))</f>
        <v/>
      </c>
      <c r="Y30" s="14">
        <f>IF(OR(Y28="",X28=""),"",IFERROR(Y28/X28-1,""))</f>
        <v/>
      </c>
      <c r="Z30" s="15">
        <f>IF(OR(Z28="",Y28=""),"",IFERROR(Z28/Y28-1,""))</f>
        <v/>
      </c>
      <c r="AA30" s="15">
        <f>IF(OR(AA28="",Z28=""),"",IFERROR(AA28/Z28-1,""))</f>
        <v/>
      </c>
      <c r="AB30" s="15">
        <f>IF(OR(AB28="",AA28=""),"",IFERROR(AB28/AA28-1,""))</f>
        <v/>
      </c>
      <c r="AC30" s="15">
        <f>IF(OR(AC28="",AB28=""),"",IFERROR(AC28/AB28-1,""))</f>
        <v/>
      </c>
    </row>
    <row r="31">
      <c r="A31" s="16" t="inlineStr">
        <is>
          <t>비용의 성격별 분류</t>
        </is>
      </c>
      <c r="B31" s="16" t="inlineStr">
        <is>
          <t>참고 데이터</t>
        </is>
      </c>
      <c r="C31" s="17" t="n"/>
      <c r="D31" s="16" t="n"/>
      <c r="E31" s="16" t="n"/>
      <c r="F31" s="16" t="n"/>
      <c r="G31" s="16" t="n"/>
      <c r="H31" s="16" t="n"/>
      <c r="I31" s="16" t="n"/>
      <c r="J31" s="16" t="n"/>
      <c r="K31" s="16" t="n"/>
      <c r="L31" s="16" t="n"/>
      <c r="M31" s="16" t="n"/>
      <c r="N31" s="16" t="n"/>
      <c r="O31" s="17" t="n"/>
      <c r="P31" s="16" t="n"/>
      <c r="Q31" s="16" t="n"/>
      <c r="R31" s="16" t="n"/>
      <c r="S31" s="16" t="n"/>
      <c r="T31" s="16" t="n"/>
      <c r="U31" s="16" t="n"/>
      <c r="V31" s="16" t="n"/>
      <c r="W31" s="16" t="n"/>
      <c r="X31" s="16" t="n"/>
      <c r="Y31" s="17" t="n"/>
      <c r="Z31" s="16" t="n"/>
      <c r="AA31" s="16" t="n"/>
      <c r="AB31" s="16" t="n"/>
      <c r="AC31" s="16" t="n"/>
    </row>
    <row r="32">
      <c r="A32" s="9" t="inlineStr">
        <is>
          <t>총 판관비</t>
        </is>
      </c>
      <c r="B32" s="10" t="n"/>
      <c r="C32" s="11" t="n"/>
      <c r="D32" s="12" t="n"/>
      <c r="E32" s="12" t="n"/>
      <c r="F32" s="12" t="n"/>
      <c r="G32" s="12" t="n"/>
      <c r="H32" s="12" t="n"/>
      <c r="I32" s="12" t="n"/>
      <c r="J32" s="12" t="n"/>
      <c r="K32" s="12" t="n"/>
      <c r="L32" s="12" t="n"/>
      <c r="M32" s="12" t="n"/>
      <c r="N32" s="12" t="n"/>
      <c r="O32" s="11">
        <f>IF(O26="","",O26)</f>
        <v/>
      </c>
      <c r="P32" s="12">
        <f>IF(P26="","",P26)</f>
        <v/>
      </c>
      <c r="Q32" s="12">
        <f>IF(Q26="","",Q26)</f>
        <v/>
      </c>
      <c r="R32" s="12">
        <f>IF(R26="","",R26)</f>
        <v/>
      </c>
      <c r="S32" s="12">
        <f>IF(S26="","",S26)</f>
        <v/>
      </c>
      <c r="T32" s="12">
        <f>IF(T26="","",T26)</f>
        <v/>
      </c>
      <c r="U32" s="12">
        <f>IF(U26="","",U26)</f>
        <v/>
      </c>
      <c r="V32" s="12">
        <f>IF(V26="","",V26)</f>
        <v/>
      </c>
      <c r="W32" s="12">
        <f>IF(W26="","",W26)</f>
        <v/>
      </c>
      <c r="X32" s="12">
        <f>IF(X26="","",X26)</f>
        <v/>
      </c>
      <c r="Y32" s="11" t="n"/>
      <c r="Z32" s="12" t="n"/>
      <c r="AA32" s="12" t="n"/>
      <c r="AB32" s="12" t="n"/>
      <c r="AC32" s="12" t="n"/>
    </row>
    <row r="33">
      <c r="A33" s="18" t="inlineStr">
        <is>
          <t>급여</t>
        </is>
      </c>
      <c r="B33" s="10" t="inlineStr">
        <is>
          <t>고정비</t>
        </is>
      </c>
      <c r="C33" s="19" t="n"/>
      <c r="D33" s="20" t="n"/>
      <c r="E33" s="20" t="n"/>
      <c r="F33" s="20" t="n"/>
      <c r="G33" s="20" t="n"/>
      <c r="H33" s="20" t="n"/>
      <c r="I33" s="20" t="n"/>
      <c r="J33" s="20" t="n"/>
      <c r="K33" s="20" t="n"/>
      <c r="L33" s="20" t="n"/>
      <c r="M33" s="20" t="n"/>
      <c r="N33" s="20" t="n"/>
      <c r="O33" s="19" t="n"/>
      <c r="P33" s="20" t="n"/>
      <c r="Q33" s="20" t="n"/>
      <c r="R33" s="20" t="n"/>
      <c r="S33" s="20" t="n"/>
      <c r="T33" s="20" t="n"/>
      <c r="U33" s="20" t="n"/>
      <c r="V33" s="20" t="n"/>
      <c r="W33" s="20" t="n"/>
      <c r="X33" s="20" t="n"/>
      <c r="Y33" s="19" t="n"/>
      <c r="Z33" s="20" t="n"/>
      <c r="AA33" s="20" t="n"/>
      <c r="AB33" s="20" t="n"/>
      <c r="AC33" s="20" t="n"/>
    </row>
    <row r="34">
      <c r="A34" s="13" t="inlineStr">
        <is>
          <t>% of Sales</t>
        </is>
      </c>
      <c r="B34" s="10" t="n"/>
      <c r="C34" s="14" t="n"/>
      <c r="D34" s="15" t="n"/>
      <c r="E34" s="15" t="n"/>
      <c r="F34" s="15" t="n"/>
      <c r="G34" s="15" t="n"/>
      <c r="H34" s="15" t="n"/>
      <c r="I34" s="15" t="n"/>
      <c r="J34" s="15" t="n"/>
      <c r="K34" s="15" t="n"/>
      <c r="L34" s="15" t="n"/>
      <c r="M34" s="15" t="n"/>
      <c r="N34" s="15" t="n"/>
      <c r="O34" s="14">
        <f>IF(OR(O33="",O4=""),"",IFERROR(O33/O4,""))</f>
        <v/>
      </c>
      <c r="P34" s="15">
        <f>IF(OR(P33="",P4=""),"",IFERROR(P33/P4,""))</f>
        <v/>
      </c>
      <c r="Q34" s="15">
        <f>IF(OR(Q33="",Q4=""),"",IFERROR(Q33/Q4,""))</f>
        <v/>
      </c>
      <c r="R34" s="15">
        <f>IF(OR(R33="",R4=""),"",IFERROR(R33/R4,""))</f>
        <v/>
      </c>
      <c r="S34" s="15">
        <f>IF(OR(S33="",S4=""),"",IFERROR(S33/S4,""))</f>
        <v/>
      </c>
      <c r="T34" s="15">
        <f>IF(OR(T33="",T4=""),"",IFERROR(T33/T4,""))</f>
        <v/>
      </c>
      <c r="U34" s="15">
        <f>IF(OR(U33="",U4=""),"",IFERROR(U33/U4,""))</f>
        <v/>
      </c>
      <c r="V34" s="15">
        <f>IF(OR(V33="",V4=""),"",IFERROR(V33/V4,""))</f>
        <v/>
      </c>
      <c r="W34" s="15">
        <f>IF(OR(W33="",W4=""),"",IFERROR(W33/W4,""))</f>
        <v/>
      </c>
      <c r="X34" s="15">
        <f>IF(OR(X33="",X4=""),"",IFERROR(X33/X4,""))</f>
        <v/>
      </c>
      <c r="Y34" s="14" t="n"/>
      <c r="Z34" s="15" t="n"/>
      <c r="AA34" s="15" t="n"/>
      <c r="AB34" s="15" t="n"/>
      <c r="AC34" s="15" t="n"/>
    </row>
    <row r="35">
      <c r="A35" s="18" t="inlineStr">
        <is>
          <t>감가상각비</t>
        </is>
      </c>
      <c r="B35" s="10" t="inlineStr">
        <is>
          <t>고정비</t>
        </is>
      </c>
      <c r="C35" s="19" t="n"/>
      <c r="D35" s="20" t="n"/>
      <c r="E35" s="20" t="n"/>
      <c r="F35" s="20" t="n"/>
      <c r="G35" s="20" t="n"/>
      <c r="H35" s="20" t="n"/>
      <c r="I35" s="20" t="n"/>
      <c r="J35" s="20" t="n"/>
      <c r="K35" s="20" t="n"/>
      <c r="L35" s="20" t="n"/>
      <c r="M35" s="20" t="n"/>
      <c r="N35" s="20" t="n"/>
      <c r="O35" s="19" t="n"/>
      <c r="P35" s="20" t="n"/>
      <c r="Q35" s="20" t="n"/>
      <c r="R35" s="20" t="n"/>
      <c r="S35" s="20" t="n"/>
      <c r="T35" s="20" t="n"/>
      <c r="U35" s="20" t="n"/>
      <c r="V35" s="20" t="n"/>
      <c r="W35" s="20" t="n"/>
      <c r="X35" s="20" t="n"/>
      <c r="Y35" s="19" t="n"/>
      <c r="Z35" s="20" t="n"/>
      <c r="AA35" s="20" t="n"/>
      <c r="AB35" s="20" t="n"/>
      <c r="AC35" s="20" t="n"/>
    </row>
    <row r="36">
      <c r="A36" s="13" t="inlineStr">
        <is>
          <t>% of Sales</t>
        </is>
      </c>
      <c r="B36" s="10" t="n"/>
      <c r="C36" s="14" t="n"/>
      <c r="D36" s="15" t="n"/>
      <c r="E36" s="15" t="n"/>
      <c r="F36" s="15" t="n"/>
      <c r="G36" s="15" t="n"/>
      <c r="H36" s="15" t="n"/>
      <c r="I36" s="15" t="n"/>
      <c r="J36" s="15" t="n"/>
      <c r="K36" s="15" t="n"/>
      <c r="L36" s="15" t="n"/>
      <c r="M36" s="15" t="n"/>
      <c r="N36" s="15" t="n"/>
      <c r="O36" s="14">
        <f>IF(OR(O35="",O4=""),"",IFERROR(O35/O4,""))</f>
        <v/>
      </c>
      <c r="P36" s="15">
        <f>IF(OR(P35="",P4=""),"",IFERROR(P35/P4,""))</f>
        <v/>
      </c>
      <c r="Q36" s="15">
        <f>IF(OR(Q35="",Q4=""),"",IFERROR(Q35/Q4,""))</f>
        <v/>
      </c>
      <c r="R36" s="15">
        <f>IF(OR(R35="",R4=""),"",IFERROR(R35/R4,""))</f>
        <v/>
      </c>
      <c r="S36" s="15">
        <f>IF(OR(S35="",S4=""),"",IFERROR(S35/S4,""))</f>
        <v/>
      </c>
      <c r="T36" s="15">
        <f>IF(OR(T35="",T4=""),"",IFERROR(T35/T4,""))</f>
        <v/>
      </c>
      <c r="U36" s="15">
        <f>IF(OR(U35="",U4=""),"",IFERROR(U35/U4,""))</f>
        <v/>
      </c>
      <c r="V36" s="15">
        <f>IF(OR(V35="",V4=""),"",IFERROR(V35/V4,""))</f>
        <v/>
      </c>
      <c r="W36" s="15">
        <f>IF(OR(W35="",W4=""),"",IFERROR(W35/W4,""))</f>
        <v/>
      </c>
      <c r="X36" s="15">
        <f>IF(OR(X35="",X4=""),"",IFERROR(X35/X4,""))</f>
        <v/>
      </c>
      <c r="Y36" s="14" t="n"/>
      <c r="Z36" s="15" t="n"/>
      <c r="AA36" s="15" t="n"/>
      <c r="AB36" s="15" t="n"/>
      <c r="AC36" s="15" t="n"/>
    </row>
    <row r="37">
      <c r="A37" s="18" t="inlineStr">
        <is>
          <t>지급수수료</t>
        </is>
      </c>
      <c r="B37" s="10" t="inlineStr">
        <is>
          <t>고정비</t>
        </is>
      </c>
      <c r="C37" s="19" t="n"/>
      <c r="D37" s="20" t="n"/>
      <c r="E37" s="20" t="n"/>
      <c r="F37" s="20" t="n"/>
      <c r="G37" s="20" t="n"/>
      <c r="H37" s="20" t="n"/>
      <c r="I37" s="20" t="n"/>
      <c r="J37" s="20" t="n"/>
      <c r="K37" s="20" t="n"/>
      <c r="L37" s="20" t="n"/>
      <c r="M37" s="20" t="n"/>
      <c r="N37" s="20" t="n"/>
      <c r="O37" s="19" t="n"/>
      <c r="P37" s="20" t="n"/>
      <c r="Q37" s="20" t="n"/>
      <c r="R37" s="20" t="n"/>
      <c r="S37" s="20" t="n"/>
      <c r="T37" s="20" t="n"/>
      <c r="U37" s="20" t="n"/>
      <c r="V37" s="20" t="n"/>
      <c r="W37" s="20" t="n"/>
      <c r="X37" s="20" t="n"/>
      <c r="Y37" s="19" t="n"/>
      <c r="Z37" s="20" t="n"/>
      <c r="AA37" s="20" t="n"/>
      <c r="AB37" s="20" t="n"/>
      <c r="AC37" s="20" t="n"/>
    </row>
    <row r="38">
      <c r="A38" s="13" t="inlineStr">
        <is>
          <t>% of Sales</t>
        </is>
      </c>
      <c r="B38" s="10" t="n"/>
      <c r="C38" s="14" t="n"/>
      <c r="D38" s="15" t="n"/>
      <c r="E38" s="15" t="n"/>
      <c r="F38" s="15" t="n"/>
      <c r="G38" s="15" t="n"/>
      <c r="H38" s="15" t="n"/>
      <c r="I38" s="15" t="n"/>
      <c r="J38" s="15" t="n"/>
      <c r="K38" s="15" t="n"/>
      <c r="L38" s="15" t="n"/>
      <c r="M38" s="15" t="n"/>
      <c r="N38" s="15" t="n"/>
      <c r="O38" s="14">
        <f>IF(OR(O37="",O4=""),"",IFERROR(O37/O4,""))</f>
        <v/>
      </c>
      <c r="P38" s="15">
        <f>IF(OR(P37="",P4=""),"",IFERROR(P37/P4,""))</f>
        <v/>
      </c>
      <c r="Q38" s="15">
        <f>IF(OR(Q37="",Q4=""),"",IFERROR(Q37/Q4,""))</f>
        <v/>
      </c>
      <c r="R38" s="15">
        <f>IF(OR(R37="",R4=""),"",IFERROR(R37/R4,""))</f>
        <v/>
      </c>
      <c r="S38" s="15">
        <f>IF(OR(S37="",S4=""),"",IFERROR(S37/S4,""))</f>
        <v/>
      </c>
      <c r="T38" s="15">
        <f>IF(OR(T37="",T4=""),"",IFERROR(T37/T4,""))</f>
        <v/>
      </c>
      <c r="U38" s="15">
        <f>IF(OR(U37="",U4=""),"",IFERROR(U37/U4,""))</f>
        <v/>
      </c>
      <c r="V38" s="15">
        <f>IF(OR(V37="",V4=""),"",IFERROR(V37/V4,""))</f>
        <v/>
      </c>
      <c r="W38" s="15">
        <f>IF(OR(W37="",W4=""),"",IFERROR(W37/W4,""))</f>
        <v/>
      </c>
      <c r="X38" s="15">
        <f>IF(OR(X37="",X4=""),"",IFERROR(X37/X4,""))</f>
        <v/>
      </c>
      <c r="Y38" s="14" t="n"/>
      <c r="Z38" s="15" t="n"/>
      <c r="AA38" s="15" t="n"/>
      <c r="AB38" s="15" t="n"/>
      <c r="AC38" s="15" t="n"/>
    </row>
    <row r="39">
      <c r="A39" s="18" t="inlineStr">
        <is>
          <t>연구개발비</t>
        </is>
      </c>
      <c r="B39" s="10" t="inlineStr">
        <is>
          <t>변동비</t>
        </is>
      </c>
      <c r="C39" s="19" t="n"/>
      <c r="D39" s="20" t="n"/>
      <c r="E39" s="20" t="n"/>
      <c r="F39" s="20" t="n"/>
      <c r="G39" s="20" t="n"/>
      <c r="H39" s="20" t="n"/>
      <c r="I39" s="20" t="n"/>
      <c r="J39" s="20" t="n"/>
      <c r="K39" s="20" t="n"/>
      <c r="L39" s="20" t="n"/>
      <c r="M39" s="20" t="n"/>
      <c r="N39" s="20" t="n"/>
      <c r="O39" s="19" t="n"/>
      <c r="P39" s="20" t="n"/>
      <c r="Q39" s="20" t="n"/>
      <c r="R39" s="20" t="n"/>
      <c r="S39" s="20" t="n"/>
      <c r="T39" s="20" t="n"/>
      <c r="U39" s="20" t="n"/>
      <c r="V39" s="20" t="n"/>
      <c r="W39" s="20" t="n"/>
      <c r="X39" s="20" t="n"/>
      <c r="Y39" s="19" t="n"/>
      <c r="Z39" s="20" t="n"/>
      <c r="AA39" s="20" t="n"/>
      <c r="AB39" s="20" t="n"/>
      <c r="AC39" s="20" t="n"/>
    </row>
    <row r="40">
      <c r="A40" s="13" t="inlineStr">
        <is>
          <t>% of Sales</t>
        </is>
      </c>
      <c r="B40" s="10" t="n"/>
      <c r="C40" s="14" t="n"/>
      <c r="D40" s="15" t="n"/>
      <c r="E40" s="15" t="n"/>
      <c r="F40" s="15" t="n"/>
      <c r="G40" s="15" t="n"/>
      <c r="H40" s="15" t="n"/>
      <c r="I40" s="15" t="n"/>
      <c r="J40" s="15" t="n"/>
      <c r="K40" s="15" t="n"/>
      <c r="L40" s="15" t="n"/>
      <c r="M40" s="15" t="n"/>
      <c r="N40" s="15" t="n"/>
      <c r="O40" s="14">
        <f>IF(OR(O39="",O4=""),"",IFERROR(O39/O4,""))</f>
        <v/>
      </c>
      <c r="P40" s="15">
        <f>IF(OR(P39="",P4=""),"",IFERROR(P39/P4,""))</f>
        <v/>
      </c>
      <c r="Q40" s="15">
        <f>IF(OR(Q39="",Q4=""),"",IFERROR(Q39/Q4,""))</f>
        <v/>
      </c>
      <c r="R40" s="15">
        <f>IF(OR(R39="",R4=""),"",IFERROR(R39/R4,""))</f>
        <v/>
      </c>
      <c r="S40" s="15">
        <f>IF(OR(S39="",S4=""),"",IFERROR(S39/S4,""))</f>
        <v/>
      </c>
      <c r="T40" s="15">
        <f>IF(OR(T39="",T4=""),"",IFERROR(T39/T4,""))</f>
        <v/>
      </c>
      <c r="U40" s="15">
        <f>IF(OR(U39="",U4=""),"",IFERROR(U39/U4,""))</f>
        <v/>
      </c>
      <c r="V40" s="15">
        <f>IF(OR(V39="",V4=""),"",IFERROR(V39/V4,""))</f>
        <v/>
      </c>
      <c r="W40" s="15">
        <f>IF(OR(W39="",W4=""),"",IFERROR(W39/W4,""))</f>
        <v/>
      </c>
      <c r="X40" s="15">
        <f>IF(OR(X39="",X4=""),"",IFERROR(X39/X4,""))</f>
        <v/>
      </c>
      <c r="Y40" s="14" t="n"/>
      <c r="Z40" s="15" t="n"/>
      <c r="AA40" s="15" t="n"/>
      <c r="AB40" s="15" t="n"/>
      <c r="AC40" s="15" t="n"/>
    </row>
    <row r="41">
      <c r="A41" s="18" t="inlineStr">
        <is>
          <t>기타비용</t>
        </is>
      </c>
      <c r="B41" s="10" t="inlineStr">
        <is>
          <t>변동비</t>
        </is>
      </c>
      <c r="C41" s="19" t="n"/>
      <c r="D41" s="20" t="n"/>
      <c r="E41" s="20" t="n"/>
      <c r="F41" s="20" t="n"/>
      <c r="G41" s="20" t="n"/>
      <c r="H41" s="20" t="n"/>
      <c r="I41" s="20" t="n"/>
      <c r="J41" s="20" t="n"/>
      <c r="K41" s="20" t="n"/>
      <c r="L41" s="20" t="n"/>
      <c r="M41" s="20" t="n"/>
      <c r="N41" s="20" t="n"/>
      <c r="O41" s="19">
        <f>IF(OR(O32="",O33="",O35="",O37="",O39=""),"",IFERROR(O32-O33-O35-O37-O39,""))</f>
        <v/>
      </c>
      <c r="P41" s="20">
        <f>IF(OR(P32="",P33="",P35="",P37="",P39=""),"",IFERROR(P32-P33-P35-P37-P39,""))</f>
        <v/>
      </c>
      <c r="Q41" s="20">
        <f>IF(OR(Q32="",Q33="",Q35="",Q37="",Q39=""),"",IFERROR(Q32-Q33-Q35-Q37-Q39,""))</f>
        <v/>
      </c>
      <c r="R41" s="20">
        <f>IF(OR(R32="",R33="",R35="",R37="",R39=""),"",IFERROR(R32-R33-R35-R37-R39,""))</f>
        <v/>
      </c>
      <c r="S41" s="20">
        <f>IF(OR(S32="",S33="",S35="",S37="",S39=""),"",IFERROR(S32-S33-S35-S37-S39,""))</f>
        <v/>
      </c>
      <c r="T41" s="20">
        <f>IF(OR(T32="",T33="",T35="",T37="",T39=""),"",IFERROR(T32-T33-T35-T37-T39,""))</f>
        <v/>
      </c>
      <c r="U41" s="20">
        <f>IF(OR(U32="",U33="",U35="",U37="",U39=""),"",IFERROR(U32-U33-U35-U37-U39,""))</f>
        <v/>
      </c>
      <c r="V41" s="20">
        <f>IF(OR(V32="",V33="",V35="",V37="",V39=""),"",IFERROR(V32-V33-V35-V37-V39,""))</f>
        <v/>
      </c>
      <c r="W41" s="20">
        <f>IF(OR(W32="",W33="",W35="",W37="",W39=""),"",IFERROR(W32-W33-W35-W37-W39,""))</f>
        <v/>
      </c>
      <c r="X41" s="20">
        <f>IF(OR(X32="",X33="",X35="",X37="",X39=""),"",IFERROR(X32-X33-X35-X37-X39,""))</f>
        <v/>
      </c>
      <c r="Y41" s="19" t="n"/>
      <c r="Z41" s="20" t="n"/>
      <c r="AA41" s="20" t="n"/>
      <c r="AB41" s="20" t="n"/>
      <c r="AC41" s="20" t="n"/>
    </row>
    <row r="42">
      <c r="A42" s="13" t="inlineStr">
        <is>
          <t>% of Sales</t>
        </is>
      </c>
      <c r="B42" s="10" t="n"/>
      <c r="C42" s="14" t="n"/>
      <c r="D42" s="15" t="n"/>
      <c r="E42" s="15" t="n"/>
      <c r="F42" s="15" t="n"/>
      <c r="G42" s="15" t="n"/>
      <c r="H42" s="15" t="n"/>
      <c r="I42" s="15" t="n"/>
      <c r="J42" s="15" t="n"/>
      <c r="K42" s="15" t="n"/>
      <c r="L42" s="15" t="n"/>
      <c r="M42" s="15" t="n"/>
      <c r="N42" s="15" t="n"/>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14" t="n"/>
      <c r="Z42" s="15" t="n"/>
      <c r="AA42" s="15" t="n"/>
      <c r="AB42" s="15" t="n"/>
      <c r="AC42" s="15" t="n"/>
    </row>
    <row r="43">
      <c r="A43" s="16" t="inlineStr">
        <is>
          <t>당기순이익 추정</t>
        </is>
      </c>
      <c r="B43" s="16" t="n"/>
      <c r="C43" s="17" t="n"/>
      <c r="D43" s="16" t="n"/>
      <c r="E43" s="16" t="n"/>
      <c r="F43" s="16" t="n"/>
      <c r="G43" s="16" t="n"/>
      <c r="H43" s="16" t="n"/>
      <c r="I43" s="16" t="n"/>
      <c r="J43" s="16" t="n"/>
      <c r="K43" s="16" t="n"/>
      <c r="L43" s="16" t="n"/>
      <c r="M43" s="16" t="n"/>
      <c r="N43" s="16" t="n"/>
      <c r="O43" s="17" t="n"/>
      <c r="P43" s="16" t="n"/>
      <c r="Q43" s="16" t="n"/>
      <c r="R43" s="16" t="n"/>
      <c r="S43" s="16" t="n"/>
      <c r="T43" s="16" t="n"/>
      <c r="U43" s="16" t="n"/>
      <c r="V43" s="16" t="n"/>
      <c r="W43" s="16" t="n"/>
      <c r="X43" s="16" t="n"/>
      <c r="Y43" s="17" t="n"/>
      <c r="Z43" s="16" t="n"/>
      <c r="AA43" s="16" t="n"/>
      <c r="AB43" s="16" t="n"/>
      <c r="AC43" s="16" t="n"/>
    </row>
    <row r="44">
      <c r="A44" s="18" t="inlineStr">
        <is>
          <t>기타이익</t>
        </is>
      </c>
      <c r="B44" s="10" t="n"/>
      <c r="C44" s="19" t="n">
        <v>1670</v>
      </c>
      <c r="D44" s="20" t="n">
        <v>1868</v>
      </c>
      <c r="E44" s="20" t="n">
        <v>2806</v>
      </c>
      <c r="F44" s="20" t="n">
        <v>1406</v>
      </c>
      <c r="G44" s="20" t="n">
        <v>4972</v>
      </c>
      <c r="H44" s="20" t="n">
        <v>2643</v>
      </c>
      <c r="I44" s="20" t="n">
        <v>2118</v>
      </c>
      <c r="J44" s="20" t="n">
        <v>2039</v>
      </c>
      <c r="K44" s="20" t="n">
        <v>5635</v>
      </c>
      <c r="L44" s="20" t="n">
        <v>2779</v>
      </c>
      <c r="M44" s="20" t="n">
        <v>2364</v>
      </c>
      <c r="N44" s="20" t="n">
        <v>2904</v>
      </c>
      <c r="O44" s="19" t="n"/>
      <c r="P44" s="20" t="n">
        <v>4594</v>
      </c>
      <c r="Q44" s="20" t="n">
        <v>8594</v>
      </c>
      <c r="R44" s="20" t="n">
        <v>5423</v>
      </c>
      <c r="S44" s="20" t="n">
        <v>4466</v>
      </c>
      <c r="T44" s="20" t="n">
        <v>6707</v>
      </c>
      <c r="U44" s="20" t="n">
        <v>8103</v>
      </c>
      <c r="V44" s="20" t="n">
        <v>9914</v>
      </c>
      <c r="W44" s="20" t="n">
        <v>11827</v>
      </c>
      <c r="X44" s="20" t="n">
        <v>12571</v>
      </c>
      <c r="Y44" s="19">
        <f>IF(OR(Y4="",Y45=""),"",IFERROR(Y4*Y45,""))</f>
        <v/>
      </c>
      <c r="Z44" s="20">
        <f>IF(OR(Z4="",Z45=""),"",IFERROR(Z4*Z45,""))</f>
        <v/>
      </c>
      <c r="AA44" s="20">
        <f>IF(OR(AA4="",AA45=""),"",IFERROR(AA4*AA45,""))</f>
        <v/>
      </c>
      <c r="AB44" s="20">
        <f>IF(OR(AB4="",AB45=""),"",IFERROR(AB4*AB45,""))</f>
        <v/>
      </c>
      <c r="AC44" s="20">
        <f>IF(OR(AC4="",AC45=""),"",IFERROR(AC4*AC45,""))</f>
        <v/>
      </c>
    </row>
    <row r="45">
      <c r="A45" s="13" t="inlineStr">
        <is>
          <t>% of Sales</t>
        </is>
      </c>
      <c r="B45" s="10" t="inlineStr">
        <is>
          <t>MW = 최근 3년 평균</t>
        </is>
      </c>
      <c r="C45" s="14">
        <f>IF(OR(C44="",C4=""),"",IFERROR(C44/C4,""))</f>
        <v/>
      </c>
      <c r="D45" s="15">
        <f>IF(OR(D44="",D4=""),"",IFERROR(D44/D4,""))</f>
        <v/>
      </c>
      <c r="E45" s="15">
        <f>IF(OR(E44="",E4=""),"",IFERROR(E44/E4,""))</f>
        <v/>
      </c>
      <c r="F45" s="15">
        <f>IF(OR(F44="",F4=""),"",IFERROR(F44/F4,""))</f>
        <v/>
      </c>
      <c r="G45" s="15">
        <f>IF(OR(G44="",G4=""),"",IFERROR(G44/G4,""))</f>
        <v/>
      </c>
      <c r="H45" s="15">
        <f>IF(OR(H44="",H4=""),"",IFERROR(H44/H4,""))</f>
        <v/>
      </c>
      <c r="I45" s="15">
        <f>IF(OR(I44="",I4=""),"",IFERROR(I44/I4,""))</f>
        <v/>
      </c>
      <c r="J45" s="15">
        <f>IF(OR(J44="",J4=""),"",IFERROR(J44/J4,""))</f>
        <v/>
      </c>
      <c r="K45" s="15">
        <f>IF(OR(K44="",K4=""),"",IFERROR(K44/K4,""))</f>
        <v/>
      </c>
      <c r="L45" s="15">
        <f>IF(OR(L44="",L4=""),"",IFERROR(L44/L4,""))</f>
        <v/>
      </c>
      <c r="M45" s="15">
        <f>IF(OR(M44="",M4=""),"",IFERROR(M44/M4,""))</f>
        <v/>
      </c>
      <c r="N45" s="15">
        <f>IF(OR(N44="",N4=""),"",IFERROR(N44/N4,""))</f>
        <v/>
      </c>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25">
        <f>IFERROR(AVERAGE(V45,W45,X45),"")</f>
        <v/>
      </c>
      <c r="Z45" s="26">
        <f>Y45</f>
        <v/>
      </c>
      <c r="AA45" s="26">
        <f>Z45</f>
        <v/>
      </c>
      <c r="AB45" s="26">
        <f>AA45</f>
        <v/>
      </c>
      <c r="AC45" s="26">
        <f>AB45</f>
        <v/>
      </c>
    </row>
    <row r="46">
      <c r="A46" s="18" t="inlineStr">
        <is>
          <t>기타손실</t>
        </is>
      </c>
      <c r="B46" s="10" t="n"/>
      <c r="C46" s="19" t="n">
        <v>2701</v>
      </c>
      <c r="D46" s="20" t="n">
        <v>3638</v>
      </c>
      <c r="E46" s="20" t="n">
        <v>2251</v>
      </c>
      <c r="F46" s="20" t="n">
        <v>3571</v>
      </c>
      <c r="G46" s="20" t="n">
        <v>8224</v>
      </c>
      <c r="H46" s="20" t="n">
        <v>9020</v>
      </c>
      <c r="I46" s="20" t="n">
        <v>3669</v>
      </c>
      <c r="J46" s="20" t="n">
        <v>4669</v>
      </c>
      <c r="K46" s="20" t="n">
        <v>3579</v>
      </c>
      <c r="L46" s="20" t="n">
        <v>3454</v>
      </c>
      <c r="M46" s="20" t="n">
        <v>2745</v>
      </c>
      <c r="N46" s="20" t="n">
        <v>2494</v>
      </c>
      <c r="O46" s="19" t="n"/>
      <c r="P46" s="20" t="n">
        <v>11703</v>
      </c>
      <c r="Q46" s="20" t="n">
        <v>5137</v>
      </c>
      <c r="R46" s="20" t="n">
        <v>12483</v>
      </c>
      <c r="S46" s="20" t="n">
        <v>11122</v>
      </c>
      <c r="T46" s="20" t="n">
        <v>9938</v>
      </c>
      <c r="U46" s="20" t="n">
        <v>12761</v>
      </c>
      <c r="V46" s="20" t="n">
        <v>12012</v>
      </c>
      <c r="W46" s="20" t="n">
        <v>23066</v>
      </c>
      <c r="X46" s="20" t="n">
        <v>15371</v>
      </c>
      <c r="Y46" s="19">
        <f>IF(OR(Y4="",Y47=""),"",IFERROR(Y4*Y47,""))</f>
        <v/>
      </c>
      <c r="Z46" s="20">
        <f>IF(OR(Z4="",Z47=""),"",IFERROR(Z4*Z47,""))</f>
        <v/>
      </c>
      <c r="AA46" s="20">
        <f>IF(OR(AA4="",AA47=""),"",IFERROR(AA4*AA47,""))</f>
        <v/>
      </c>
      <c r="AB46" s="20">
        <f>IF(OR(AB4="",AB47=""),"",IFERROR(AB4*AB47,""))</f>
        <v/>
      </c>
      <c r="AC46" s="20">
        <f>IF(OR(AC4="",AC47=""),"",IFERROR(AC4*AC47,""))</f>
        <v/>
      </c>
    </row>
    <row r="47">
      <c r="A47" s="13" t="inlineStr">
        <is>
          <t>% of Sales</t>
        </is>
      </c>
      <c r="B47" s="10" t="n"/>
      <c r="C47" s="14">
        <f>IF(OR(C46="",C4=""),"",IFERROR(C46/C4,""))</f>
        <v/>
      </c>
      <c r="D47" s="15">
        <f>IF(OR(D46="",D4=""),"",IFERROR(D46/D4,""))</f>
        <v/>
      </c>
      <c r="E47" s="15">
        <f>IF(OR(E46="",E4=""),"",IFERROR(E46/E4,""))</f>
        <v/>
      </c>
      <c r="F47" s="15">
        <f>IF(OR(F46="",F4=""),"",IFERROR(F46/F4,""))</f>
        <v/>
      </c>
      <c r="G47" s="15">
        <f>IF(OR(G46="",G4=""),"",IFERROR(G46/G4,""))</f>
        <v/>
      </c>
      <c r="H47" s="15">
        <f>IF(OR(H46="",H4=""),"",IFERROR(H46/H4,""))</f>
        <v/>
      </c>
      <c r="I47" s="15">
        <f>IF(OR(I46="",I4=""),"",IFERROR(I46/I4,""))</f>
        <v/>
      </c>
      <c r="J47" s="15">
        <f>IF(OR(J46="",J4=""),"",IFERROR(J46/J4,""))</f>
        <v/>
      </c>
      <c r="K47" s="15">
        <f>IF(OR(K46="",K4=""),"",IFERROR(K46/K4,""))</f>
        <v/>
      </c>
      <c r="L47" s="15">
        <f>IF(OR(L46="",L4=""),"",IFERROR(L46/L4,""))</f>
        <v/>
      </c>
      <c r="M47" s="15">
        <f>IF(OR(M46="",M4=""),"",IFERROR(M46/M4,""))</f>
        <v/>
      </c>
      <c r="N47" s="15">
        <f>IF(OR(N46="",N4=""),"",IFERROR(N46/N4,""))</f>
        <v/>
      </c>
      <c r="O47" s="14">
        <f>IF(OR(O46="",O4=""),"",IFERROR(O46/O4,""))</f>
        <v/>
      </c>
      <c r="P47" s="15">
        <f>IF(OR(P46="",P4=""),"",IFERROR(P46/P4,""))</f>
        <v/>
      </c>
      <c r="Q47" s="15">
        <f>IF(OR(Q46="",Q4=""),"",IFERROR(Q46/Q4,""))</f>
        <v/>
      </c>
      <c r="R47" s="15">
        <f>IF(OR(R46="",R4=""),"",IFERROR(R46/R4,""))</f>
        <v/>
      </c>
      <c r="S47" s="15">
        <f>IF(OR(S46="",S4=""),"",IFERROR(S46/S4,""))</f>
        <v/>
      </c>
      <c r="T47" s="15">
        <f>IF(OR(T46="",T4=""),"",IFERROR(T46/T4,""))</f>
        <v/>
      </c>
      <c r="U47" s="15">
        <f>IF(OR(U46="",U4=""),"",IFERROR(U46/U4,""))</f>
        <v/>
      </c>
      <c r="V47" s="15">
        <f>IF(OR(V46="",V4=""),"",IFERROR(V46/V4,""))</f>
        <v/>
      </c>
      <c r="W47" s="15">
        <f>IF(OR(W46="",W4=""),"",IFERROR(W46/W4,""))</f>
        <v/>
      </c>
      <c r="X47" s="15">
        <f>IF(OR(X46="",X4=""),"",IFERROR(X46/X4,""))</f>
        <v/>
      </c>
      <c r="Y47" s="25">
        <f>IFERROR(AVERAGE(V47,W47,X47),"")</f>
        <v/>
      </c>
      <c r="Z47" s="26">
        <f>Y47</f>
        <v/>
      </c>
      <c r="AA47" s="26">
        <f>Z47</f>
        <v/>
      </c>
      <c r="AB47" s="26">
        <f>AA47</f>
        <v/>
      </c>
      <c r="AC47" s="26">
        <f>AB47</f>
        <v/>
      </c>
    </row>
    <row r="48">
      <c r="A48" s="18" t="inlineStr">
        <is>
          <t>금융수익</t>
        </is>
      </c>
      <c r="B48" s="10" t="n"/>
      <c r="C48" s="19" t="n">
        <v>558</v>
      </c>
      <c r="D48" s="20" t="n">
        <v>608</v>
      </c>
      <c r="E48" s="20" t="n">
        <v>728</v>
      </c>
      <c r="F48" s="20" t="n">
        <v>754</v>
      </c>
      <c r="G48" s="20" t="n">
        <v>658</v>
      </c>
      <c r="H48" s="20" t="n">
        <v>761</v>
      </c>
      <c r="I48" s="20" t="n">
        <v>1058</v>
      </c>
      <c r="J48" s="20" t="n">
        <v>525</v>
      </c>
      <c r="K48" s="20" t="n">
        <v>848</v>
      </c>
      <c r="L48" s="20" t="n">
        <v>827</v>
      </c>
      <c r="M48" s="20" t="n">
        <v>1060</v>
      </c>
      <c r="N48" s="20" t="n">
        <v>1047</v>
      </c>
      <c r="O48" s="19" t="n"/>
      <c r="P48" s="20" t="n">
        <v>1185</v>
      </c>
      <c r="Q48" s="20" t="n">
        <v>1195</v>
      </c>
      <c r="R48" s="20" t="n">
        <v>886</v>
      </c>
      <c r="S48" s="20" t="n">
        <v>559</v>
      </c>
      <c r="T48" s="20" t="n">
        <v>1459</v>
      </c>
      <c r="U48" s="20" t="n">
        <v>1574</v>
      </c>
      <c r="V48" s="20" t="n">
        <v>2195</v>
      </c>
      <c r="W48" s="20" t="n">
        <v>2901</v>
      </c>
      <c r="X48" s="20" t="n">
        <v>3258</v>
      </c>
      <c r="Y48" s="19">
        <f>IF(OR(Y4="",Y49=""),"",IFERROR(Y4*Y49,""))</f>
        <v/>
      </c>
      <c r="Z48" s="20">
        <f>IF(OR(Z4="",Z49=""),"",IFERROR(Z4*Z49,""))</f>
        <v/>
      </c>
      <c r="AA48" s="20">
        <f>IF(OR(AA4="",AA49=""),"",IFERROR(AA4*AA49,""))</f>
        <v/>
      </c>
      <c r="AB48" s="20">
        <f>IF(OR(AB4="",AB49=""),"",IFERROR(AB4*AB49,""))</f>
        <v/>
      </c>
      <c r="AC48" s="20">
        <f>IF(OR(AC4="",AC49=""),"",IFERROR(AC4*AC49,""))</f>
        <v/>
      </c>
    </row>
    <row r="49">
      <c r="A49" s="13" t="inlineStr">
        <is>
          <t>% of Sales</t>
        </is>
      </c>
      <c r="B49" s="10" t="n"/>
      <c r="C49" s="14">
        <f>IF(OR(C48="",C4=""),"",IFERROR(C48/C4,""))</f>
        <v/>
      </c>
      <c r="D49" s="15">
        <f>IF(OR(D48="",D4=""),"",IFERROR(D48/D4,""))</f>
        <v/>
      </c>
      <c r="E49" s="15">
        <f>IF(OR(E48="",E4=""),"",IFERROR(E48/E4,""))</f>
        <v/>
      </c>
      <c r="F49" s="15">
        <f>IF(OR(F48="",F4=""),"",IFERROR(F48/F4,""))</f>
        <v/>
      </c>
      <c r="G49" s="15">
        <f>IF(OR(G48="",G4=""),"",IFERROR(G48/G4,""))</f>
        <v/>
      </c>
      <c r="H49" s="15">
        <f>IF(OR(H48="",H4=""),"",IFERROR(H48/H4,""))</f>
        <v/>
      </c>
      <c r="I49" s="15">
        <f>IF(OR(I48="",I4=""),"",IFERROR(I48/I4,""))</f>
        <v/>
      </c>
      <c r="J49" s="15">
        <f>IF(OR(J48="",J4=""),"",IFERROR(J48/J4,""))</f>
        <v/>
      </c>
      <c r="K49" s="15">
        <f>IF(OR(K48="",K4=""),"",IFERROR(K48/K4,""))</f>
        <v/>
      </c>
      <c r="L49" s="15">
        <f>IF(OR(L48="",L4=""),"",IFERROR(L48/L4,""))</f>
        <v/>
      </c>
      <c r="M49" s="15">
        <f>IF(OR(M48="",M4=""),"",IFERROR(M48/M4,""))</f>
        <v/>
      </c>
      <c r="N49" s="15">
        <f>IF(OR(N48="",N4=""),"",IFERROR(N48/N4,""))</f>
        <v/>
      </c>
      <c r="O49" s="14">
        <f>IF(OR(O48="",O4=""),"",IFERROR(O48/O4,""))</f>
        <v/>
      </c>
      <c r="P49" s="15">
        <f>IF(OR(P48="",P4=""),"",IFERROR(P48/P4,""))</f>
        <v/>
      </c>
      <c r="Q49" s="15">
        <f>IF(OR(Q48="",Q4=""),"",IFERROR(Q48/Q4,""))</f>
        <v/>
      </c>
      <c r="R49" s="15">
        <f>IF(OR(R48="",R4=""),"",IFERROR(R48/R4,""))</f>
        <v/>
      </c>
      <c r="S49" s="15">
        <f>IF(OR(S48="",S4=""),"",IFERROR(S48/S4,""))</f>
        <v/>
      </c>
      <c r="T49" s="15">
        <f>IF(OR(T48="",T4=""),"",IFERROR(T48/T4,""))</f>
        <v/>
      </c>
      <c r="U49" s="15">
        <f>IF(OR(U48="",U4=""),"",IFERROR(U48/U4,""))</f>
        <v/>
      </c>
      <c r="V49" s="15">
        <f>IF(OR(V48="",V4=""),"",IFERROR(V48/V4,""))</f>
        <v/>
      </c>
      <c r="W49" s="15">
        <f>IF(OR(W48="",W4=""),"",IFERROR(W48/W4,""))</f>
        <v/>
      </c>
      <c r="X49" s="15">
        <f>IF(OR(X48="",X4=""),"",IFERROR(X48/X4,""))</f>
        <v/>
      </c>
      <c r="Y49" s="25">
        <f>IFERROR(AVERAGE(V49,W49,X49),"")</f>
        <v/>
      </c>
      <c r="Z49" s="26">
        <f>Y49</f>
        <v/>
      </c>
      <c r="AA49" s="26">
        <f>Z49</f>
        <v/>
      </c>
      <c r="AB49" s="26">
        <f>AA49</f>
        <v/>
      </c>
      <c r="AC49" s="26">
        <f>AB49</f>
        <v/>
      </c>
    </row>
    <row r="50">
      <c r="A50" s="18" t="inlineStr">
        <is>
          <t>금융원가</t>
        </is>
      </c>
      <c r="B50" s="10" t="n"/>
      <c r="C50" s="19" t="n">
        <v>658</v>
      </c>
      <c r="D50" s="20" t="n">
        <v>534</v>
      </c>
      <c r="E50" s="20" t="n">
        <v>709</v>
      </c>
      <c r="F50" s="20" t="n">
        <v>1000</v>
      </c>
      <c r="G50" s="20" t="n">
        <v>431</v>
      </c>
      <c r="H50" s="20" t="n">
        <v>991</v>
      </c>
      <c r="I50" s="20" t="n">
        <v>429</v>
      </c>
      <c r="J50" s="20" t="n">
        <v>565</v>
      </c>
      <c r="K50" s="20" t="n">
        <v>722</v>
      </c>
      <c r="L50" s="20" t="n">
        <v>329</v>
      </c>
      <c r="M50" s="20" t="n">
        <v>689</v>
      </c>
      <c r="N50" s="20" t="n">
        <v>829</v>
      </c>
      <c r="O50" s="19" t="n"/>
      <c r="P50" s="20" t="n">
        <v>752</v>
      </c>
      <c r="Q50" s="20" t="n">
        <v>1917</v>
      </c>
      <c r="R50" s="20" t="n">
        <v>1620</v>
      </c>
      <c r="S50" s="20" t="n">
        <v>1073</v>
      </c>
      <c r="T50" s="20" t="n">
        <v>1384</v>
      </c>
      <c r="U50" s="20" t="n">
        <v>1936</v>
      </c>
      <c r="V50" s="20" t="n">
        <v>2460</v>
      </c>
      <c r="W50" s="20" t="n">
        <v>3131</v>
      </c>
      <c r="X50" s="20" t="n">
        <v>2045</v>
      </c>
      <c r="Y50" s="19">
        <f>IF(OR(Y4="",Y51=""),"",IFERROR(Y4*Y51,""))</f>
        <v/>
      </c>
      <c r="Z50" s="20">
        <f>IF(OR(Z4="",Z51=""),"",IFERROR(Z4*Z51,""))</f>
        <v/>
      </c>
      <c r="AA50" s="20">
        <f>IF(OR(AA4="",AA51=""),"",IFERROR(AA4*AA51,""))</f>
        <v/>
      </c>
      <c r="AB50" s="20">
        <f>IF(OR(AB4="",AB51=""),"",IFERROR(AB4*AB51,""))</f>
        <v/>
      </c>
      <c r="AC50" s="20">
        <f>IF(OR(AC4="",AC51=""),"",IFERROR(AC4*AC51,""))</f>
        <v/>
      </c>
    </row>
    <row r="51">
      <c r="A51" s="13" t="inlineStr">
        <is>
          <t>% of Sales</t>
        </is>
      </c>
      <c r="B51" s="10" t="n"/>
      <c r="C51" s="14">
        <f>IF(OR(C50="",C4=""),"",IFERROR(C50/C4,""))</f>
        <v/>
      </c>
      <c r="D51" s="15">
        <f>IF(OR(D50="",D4=""),"",IFERROR(D50/D4,""))</f>
        <v/>
      </c>
      <c r="E51" s="15">
        <f>IF(OR(E50="",E4=""),"",IFERROR(E50/E4,""))</f>
        <v/>
      </c>
      <c r="F51" s="15">
        <f>IF(OR(F50="",F4=""),"",IFERROR(F50/F4,""))</f>
        <v/>
      </c>
      <c r="G51" s="15">
        <f>IF(OR(G50="",G4=""),"",IFERROR(G50/G4,""))</f>
        <v/>
      </c>
      <c r="H51" s="15">
        <f>IF(OR(H50="",H4=""),"",IFERROR(H50/H4,""))</f>
        <v/>
      </c>
      <c r="I51" s="15">
        <f>IF(OR(I50="",I4=""),"",IFERROR(I50/I4,""))</f>
        <v/>
      </c>
      <c r="J51" s="15">
        <f>IF(OR(J50="",J4=""),"",IFERROR(J50/J4,""))</f>
        <v/>
      </c>
      <c r="K51" s="15">
        <f>IF(OR(K50="",K4=""),"",IFERROR(K50/K4,""))</f>
        <v/>
      </c>
      <c r="L51" s="15">
        <f>IF(OR(L50="",L4=""),"",IFERROR(L50/L4,""))</f>
        <v/>
      </c>
      <c r="M51" s="15">
        <f>IF(OR(M50="",M4=""),"",IFERROR(M50/M4,""))</f>
        <v/>
      </c>
      <c r="N51" s="15">
        <f>IF(OR(N50="",N4=""),"",IFERROR(N50/N4,""))</f>
        <v/>
      </c>
      <c r="O51" s="14">
        <f>IF(OR(O50="",O4=""),"",IFERROR(O50/O4,""))</f>
        <v/>
      </c>
      <c r="P51" s="15">
        <f>IF(OR(P50="",P4=""),"",IFERROR(P50/P4,""))</f>
        <v/>
      </c>
      <c r="Q51" s="15">
        <f>IF(OR(Q50="",Q4=""),"",IFERROR(Q50/Q4,""))</f>
        <v/>
      </c>
      <c r="R51" s="15">
        <f>IF(OR(R50="",R4=""),"",IFERROR(R50/R4,""))</f>
        <v/>
      </c>
      <c r="S51" s="15">
        <f>IF(OR(S50="",S4=""),"",IFERROR(S50/S4,""))</f>
        <v/>
      </c>
      <c r="T51" s="15">
        <f>IF(OR(T50="",T4=""),"",IFERROR(T50/T4,""))</f>
        <v/>
      </c>
      <c r="U51" s="15">
        <f>IF(OR(U50="",U4=""),"",IFERROR(U50/U4,""))</f>
        <v/>
      </c>
      <c r="V51" s="15">
        <f>IF(OR(V50="",V4=""),"",IFERROR(V50/V4,""))</f>
        <v/>
      </c>
      <c r="W51" s="15">
        <f>IF(OR(W50="",W4=""),"",IFERROR(W50/W4,""))</f>
        <v/>
      </c>
      <c r="X51" s="15">
        <f>IF(OR(X50="",X4=""),"",IFERROR(X50/X4,""))</f>
        <v/>
      </c>
      <c r="Y51" s="25">
        <f>IFERROR(AVERAGE(V51,W51,X51),"")</f>
        <v/>
      </c>
      <c r="Z51" s="26">
        <f>Y51</f>
        <v/>
      </c>
      <c r="AA51" s="26">
        <f>Z51</f>
        <v/>
      </c>
      <c r="AB51" s="26">
        <f>AA51</f>
        <v/>
      </c>
      <c r="AC51" s="26">
        <f>AB51</f>
        <v/>
      </c>
    </row>
    <row r="52">
      <c r="A52" s="9" t="inlineStr">
        <is>
          <t>법인세비용차감전순이익(손실)</t>
        </is>
      </c>
      <c r="B52" s="10" t="n"/>
      <c r="C52" s="11" t="n">
        <v>47785</v>
      </c>
      <c r="D52" s="12" t="n">
        <v>26876</v>
      </c>
      <c r="E52" s="12" t="n">
        <v>50599</v>
      </c>
      <c r="F52" s="12" t="n">
        <v>58333</v>
      </c>
      <c r="G52" s="12" t="n">
        <v>43913</v>
      </c>
      <c r="H52" s="12" t="n">
        <v>32484</v>
      </c>
      <c r="I52" s="12" t="n">
        <v>43307</v>
      </c>
      <c r="J52" s="12" t="n">
        <v>51860</v>
      </c>
      <c r="K52" s="12" t="n">
        <v>53515</v>
      </c>
      <c r="L52" s="12" t="n">
        <v>36294</v>
      </c>
      <c r="M52" s="12" t="n">
        <v>49581</v>
      </c>
      <c r="N52" s="12" t="n">
        <v>56849</v>
      </c>
      <c r="O52" s="11" t="n"/>
      <c r="P52" s="12" t="n">
        <v>126168</v>
      </c>
      <c r="Q52" s="12" t="n">
        <v>91910</v>
      </c>
      <c r="R52" s="12" t="n">
        <v>69013</v>
      </c>
      <c r="S52" s="12" t="n">
        <v>93320</v>
      </c>
      <c r="T52" s="12" t="n">
        <v>132378</v>
      </c>
      <c r="U52" s="12" t="n">
        <v>146840</v>
      </c>
      <c r="V52" s="12" t="n">
        <v>138901</v>
      </c>
      <c r="W52" s="12" t="n">
        <v>185329</v>
      </c>
      <c r="X52" s="12" t="n">
        <v>184976</v>
      </c>
      <c r="Y52" s="11">
        <f>IF(OR(Y28=""),"",IFERROR(Y28+N(Y44)-N(Y46)+N(Y48)-N(Y50),""))</f>
        <v/>
      </c>
      <c r="Z52" s="12">
        <f>IF(OR(Z28=""),"",IFERROR(Z28+N(Z44)-N(Z46)+N(Z48)-N(Z50),""))</f>
        <v/>
      </c>
      <c r="AA52" s="12">
        <f>IF(OR(AA28=""),"",IFERROR(AA28+N(AA44)-N(AA46)+N(AA48)-N(AA50),""))</f>
        <v/>
      </c>
      <c r="AB52" s="12">
        <f>IF(OR(AB28=""),"",IFERROR(AB28+N(AB44)-N(AB46)+N(AB48)-N(AB50),""))</f>
        <v/>
      </c>
      <c r="AC52" s="12">
        <f>IF(OR(AC28=""),"",IFERROR(AC28+N(AC44)-N(AC46)+N(AC48)-N(AC50),""))</f>
        <v/>
      </c>
    </row>
    <row r="53">
      <c r="A53" s="13" t="inlineStr">
        <is>
          <t>YoY</t>
        </is>
      </c>
      <c r="B53" s="10" t="n"/>
      <c r="C53" s="14" t="n"/>
      <c r="D53" s="15" t="n"/>
      <c r="E53" s="15" t="n"/>
      <c r="F53" s="15" t="n"/>
      <c r="G53" s="15">
        <f>IF(OR(G52="",C52=""),"",IF(C52&lt;=0,"",IFERROR(G52/C52-1,"")))</f>
        <v/>
      </c>
      <c r="H53" s="15">
        <f>IF(OR(H52="",D52=""),"",IF(D52&lt;=0,"",IFERROR(H52/D52-1,"")))</f>
        <v/>
      </c>
      <c r="I53" s="15">
        <f>IF(OR(I52="",E52=""),"",IF(E52&lt;=0,"",IFERROR(I52/E52-1,"")))</f>
        <v/>
      </c>
      <c r="J53" s="15">
        <f>IF(OR(J52="",F52=""),"",IF(F52&lt;=0,"",IFERROR(J52/F52-1,"")))</f>
        <v/>
      </c>
      <c r="K53" s="15">
        <f>IF(OR(K52="",G52=""),"",IF(G52&lt;=0,"",IFERROR(K52/G52-1,"")))</f>
        <v/>
      </c>
      <c r="L53" s="15">
        <f>IF(OR(L52="",H52=""),"",IF(H52&lt;=0,"",IFERROR(L52/H52-1,"")))</f>
        <v/>
      </c>
      <c r="M53" s="15">
        <f>IF(OR(M52="",I52=""),"",IF(I52&lt;=0,"",IFERROR(M52/I52-1,"")))</f>
        <v/>
      </c>
      <c r="N53" s="15">
        <f>IF(OR(N52="",J52=""),"",IF(J52&lt;=0,"",IFERROR(N52/J52-1,"")))</f>
        <v/>
      </c>
      <c r="O53" s="14" t="n"/>
      <c r="P53" s="15">
        <f>IF(OR(P52="",O52=""),"",IF(O52&lt;=0,"",IFERROR(P52/O52-1,"")))</f>
        <v/>
      </c>
      <c r="Q53" s="15">
        <f>IF(OR(Q52="",P52=""),"",IF(P52&lt;=0,"",IFERROR(Q52/P52-1,"")))</f>
        <v/>
      </c>
      <c r="R53" s="15">
        <f>IF(OR(R52="",Q52=""),"",IF(Q52&lt;=0,"",IFERROR(R52/Q52-1,"")))</f>
        <v/>
      </c>
      <c r="S53" s="15">
        <f>IF(OR(S52="",R52=""),"",IF(R52&lt;=0,"",IFERROR(S52/R52-1,"")))</f>
        <v/>
      </c>
      <c r="T53" s="15">
        <f>IF(OR(T52="",S52=""),"",IF(S52&lt;=0,"",IFERROR(T52/S52-1,"")))</f>
        <v/>
      </c>
      <c r="U53" s="15">
        <f>IF(OR(U52="",T52=""),"",IF(T52&lt;=0,"",IFERROR(U52/T52-1,"")))</f>
        <v/>
      </c>
      <c r="V53" s="15">
        <f>IF(OR(V52="",U52=""),"",IF(U52&lt;=0,"",IFERROR(V52/U52-1,"")))</f>
        <v/>
      </c>
      <c r="W53" s="15">
        <f>IF(OR(W52="",V52=""),"",IF(V52&lt;=0,"",IFERROR(W52/V52-1,"")))</f>
        <v/>
      </c>
      <c r="X53" s="15">
        <f>IF(OR(X52="",W52=""),"",IF(W52&lt;=0,"",IFERROR(X52/W52-1,"")))</f>
        <v/>
      </c>
      <c r="Y53" s="14">
        <f>IF(OR(Y52="",X52=""),"",IF(X52&lt;=0,"",IFERROR(Y52/X52-1,"")))</f>
        <v/>
      </c>
      <c r="Z53" s="15">
        <f>IF(OR(Z52="",Y52=""),"",IF(Y52&lt;=0,"",IFERROR(Z52/Y52-1,"")))</f>
        <v/>
      </c>
      <c r="AA53" s="15">
        <f>IF(OR(AA52="",Z52=""),"",IF(Z52&lt;=0,"",IFERROR(AA52/Z52-1,"")))</f>
        <v/>
      </c>
      <c r="AB53" s="15">
        <f>IF(OR(AB52="",AA52=""),"",IF(AA52&lt;=0,"",IFERROR(AB52/AA52-1,"")))</f>
        <v/>
      </c>
      <c r="AC53" s="15">
        <f>IF(OR(AC52="",AB52=""),"",IF(AB52&lt;=0,"",IFERROR(AC52/AB52-1,"")))</f>
        <v/>
      </c>
    </row>
    <row r="54">
      <c r="A54" s="18" t="inlineStr">
        <is>
          <t>법인세비용(수익)</t>
        </is>
      </c>
      <c r="B54" s="10" t="n"/>
      <c r="C54" s="19" t="n">
        <v>10384</v>
      </c>
      <c r="D54" s="20" t="n">
        <v>5786</v>
      </c>
      <c r="E54" s="20" t="n">
        <v>14454</v>
      </c>
      <c r="F54" s="20" t="n">
        <v>14468</v>
      </c>
      <c r="G54" s="20" t="n">
        <v>15181</v>
      </c>
      <c r="H54" s="20" t="n">
        <v>3918</v>
      </c>
      <c r="I54" s="20" t="n">
        <v>11985</v>
      </c>
      <c r="J54" s="20" t="n">
        <v>14227</v>
      </c>
      <c r="K54" s="20" t="n">
        <v>16735</v>
      </c>
      <c r="L54" s="20" t="n">
        <v>8491</v>
      </c>
      <c r="M54" s="20" t="n">
        <v>15694</v>
      </c>
      <c r="N54" s="20" t="n">
        <v>14203</v>
      </c>
      <c r="O54" s="19" t="n"/>
      <c r="P54" s="20" t="n">
        <v>38704</v>
      </c>
      <c r="Q54" s="20" t="n">
        <v>25293</v>
      </c>
      <c r="R54" s="20" t="n">
        <v>21788</v>
      </c>
      <c r="S54" s="20" t="n">
        <v>23012</v>
      </c>
      <c r="T54" s="20" t="n">
        <v>35143</v>
      </c>
      <c r="U54" s="20" t="n">
        <v>37576</v>
      </c>
      <c r="V54" s="20" t="n">
        <v>36146</v>
      </c>
      <c r="W54" s="20" t="n">
        <v>48021</v>
      </c>
      <c r="X54" s="20" t="n">
        <v>51438</v>
      </c>
      <c r="Y54" s="19">
        <f>IF(OR(Y52="",Y55=""),"",IFERROR(MAX(Y52,0)*Y55,""))</f>
        <v/>
      </c>
      <c r="Z54" s="20">
        <f>IF(OR(Z52="",Z55=""),"",IFERROR(MAX(Z52,0)*Z55,""))</f>
        <v/>
      </c>
      <c r="AA54" s="20">
        <f>IF(OR(AA52="",AA55=""),"",IFERROR(MAX(AA52,0)*AA55,""))</f>
        <v/>
      </c>
      <c r="AB54" s="20">
        <f>IF(OR(AB52="",AB55=""),"",IFERROR(MAX(AB52,0)*AB55,""))</f>
        <v/>
      </c>
      <c r="AC54" s="20">
        <f>IF(OR(AC52="",AC55=""),"",IFERROR(MAX(AC52,0)*AC55,""))</f>
        <v/>
      </c>
    </row>
    <row r="55">
      <c r="A55" s="13" t="inlineStr">
        <is>
          <t>법인세율</t>
        </is>
      </c>
      <c r="B55" s="10" t="inlineStr">
        <is>
          <t>MW 기본 30%</t>
        </is>
      </c>
      <c r="C55" s="14">
        <f>IF(OR(C54="",C52=""),"",IFERROR(C54/C52,""))</f>
        <v/>
      </c>
      <c r="D55" s="15">
        <f>IF(OR(D54="",D52=""),"",IFERROR(D54/D52,""))</f>
        <v/>
      </c>
      <c r="E55" s="15">
        <f>IF(OR(E54="",E52=""),"",IFERROR(E54/E52,""))</f>
        <v/>
      </c>
      <c r="F55" s="15">
        <f>IF(OR(F54="",F52=""),"",IFERROR(F54/F52,""))</f>
        <v/>
      </c>
      <c r="G55" s="15">
        <f>IF(OR(G54="",G52=""),"",IFERROR(G54/G52,""))</f>
        <v/>
      </c>
      <c r="H55" s="15">
        <f>IF(OR(H54="",H52=""),"",IFERROR(H54/H52,""))</f>
        <v/>
      </c>
      <c r="I55" s="15">
        <f>IF(OR(I54="",I52=""),"",IFERROR(I54/I52,""))</f>
        <v/>
      </c>
      <c r="J55" s="15">
        <f>IF(OR(J54="",J52=""),"",IFERROR(J54/J52,""))</f>
        <v/>
      </c>
      <c r="K55" s="15">
        <f>IF(OR(K54="",K52=""),"",IFERROR(K54/K52,""))</f>
        <v/>
      </c>
      <c r="L55" s="15">
        <f>IF(OR(L54="",L52=""),"",IFERROR(L54/L52,""))</f>
        <v/>
      </c>
      <c r="M55" s="15">
        <f>IF(OR(M54="",M52=""),"",IFERROR(M54/M52,""))</f>
        <v/>
      </c>
      <c r="N55" s="15">
        <f>IF(OR(N54="",N52=""),"",IFERROR(N54/N52,""))</f>
        <v/>
      </c>
      <c r="O55" s="14">
        <f>IF(OR(O54="",O52=""),"",IFERROR(O54/O52,""))</f>
        <v/>
      </c>
      <c r="P55" s="15">
        <f>IF(OR(P54="",P52=""),"",IFERROR(P54/P52,""))</f>
        <v/>
      </c>
      <c r="Q55" s="15">
        <f>IF(OR(Q54="",Q52=""),"",IFERROR(Q54/Q52,""))</f>
        <v/>
      </c>
      <c r="R55" s="15">
        <f>IF(OR(R54="",R52=""),"",IFERROR(R54/R52,""))</f>
        <v/>
      </c>
      <c r="S55" s="15">
        <f>IF(OR(S54="",S52=""),"",IFERROR(S54/S52,""))</f>
        <v/>
      </c>
      <c r="T55" s="15">
        <f>IF(OR(T54="",T52=""),"",IFERROR(T54/T52,""))</f>
        <v/>
      </c>
      <c r="U55" s="15">
        <f>IF(OR(U54="",U52=""),"",IFERROR(U54/U52,""))</f>
        <v/>
      </c>
      <c r="V55" s="15">
        <f>IF(OR(V54="",V52=""),"",IFERROR(V54/V52,""))</f>
        <v/>
      </c>
      <c r="W55" s="15">
        <f>IF(OR(W54="",W52=""),"",IFERROR(W54/W52,""))</f>
        <v/>
      </c>
      <c r="X55" s="15">
        <f>IF(OR(X54="",X52=""),"",IFERROR(X54/X52,""))</f>
        <v/>
      </c>
      <c r="Y55" s="25" t="n">
        <v>0.3</v>
      </c>
      <c r="Z55" s="26" t="n">
        <v>0.3</v>
      </c>
      <c r="AA55" s="26" t="n">
        <v>0.3</v>
      </c>
      <c r="AB55" s="26" t="n">
        <v>0.3</v>
      </c>
      <c r="AC55" s="26" t="n">
        <v>0.3</v>
      </c>
    </row>
    <row r="56">
      <c r="A56" s="9" t="inlineStr">
        <is>
          <t>당기순이익(손실)</t>
        </is>
      </c>
      <c r="B56" s="10" t="n"/>
      <c r="C56" s="11" t="n">
        <v>37401</v>
      </c>
      <c r="D56" s="12" t="n">
        <v>21090</v>
      </c>
      <c r="E56" s="12" t="n">
        <v>36145</v>
      </c>
      <c r="F56" s="12" t="n">
        <v>43864</v>
      </c>
      <c r="G56" s="12" t="n">
        <v>28732</v>
      </c>
      <c r="H56" s="12" t="n">
        <v>28566</v>
      </c>
      <c r="I56" s="12" t="n">
        <v>31322</v>
      </c>
      <c r="J56" s="12" t="n">
        <v>37633</v>
      </c>
      <c r="K56" s="12" t="n">
        <v>36780</v>
      </c>
      <c r="L56" s="12" t="n">
        <v>27802</v>
      </c>
      <c r="M56" s="12" t="n">
        <v>33887</v>
      </c>
      <c r="N56" s="12" t="n">
        <v>42646</v>
      </c>
      <c r="O56" s="11" t="n"/>
      <c r="P56" s="12" t="n">
        <v>87463</v>
      </c>
      <c r="Q56" s="12" t="n">
        <v>66616</v>
      </c>
      <c r="R56" s="12" t="n">
        <v>47224</v>
      </c>
      <c r="S56" s="12" t="n">
        <v>70308</v>
      </c>
      <c r="T56" s="12" t="n">
        <v>97234</v>
      </c>
      <c r="U56" s="12" t="n">
        <v>109264</v>
      </c>
      <c r="V56" s="12" t="n">
        <v>102755</v>
      </c>
      <c r="W56" s="12" t="n">
        <v>137307</v>
      </c>
      <c r="X56" s="12" t="n">
        <v>133537</v>
      </c>
      <c r="Y56" s="11">
        <f>IF(OR(Y52=""),"",IFERROR(Y52-Y54,""))</f>
        <v/>
      </c>
      <c r="Z56" s="12">
        <f>IF(OR(Z52=""),"",IFERROR(Z52-Z54,""))</f>
        <v/>
      </c>
      <c r="AA56" s="12">
        <f>IF(OR(AA52=""),"",IFERROR(AA52-AA54,""))</f>
        <v/>
      </c>
      <c r="AB56" s="12">
        <f>IF(OR(AB52=""),"",IFERROR(AB52-AB54,""))</f>
        <v/>
      </c>
      <c r="AC56" s="12">
        <f>IF(OR(AC52=""),"",IFERROR(AC52-AC54,""))</f>
        <v/>
      </c>
    </row>
    <row r="57">
      <c r="A57" s="13" t="inlineStr">
        <is>
          <t>YoY</t>
        </is>
      </c>
      <c r="B57" s="10" t="n"/>
      <c r="C57" s="14" t="n"/>
      <c r="D57" s="15" t="n"/>
      <c r="E57" s="15" t="n"/>
      <c r="F57" s="15" t="n"/>
      <c r="G57" s="15">
        <f>IF(OR(G56="",C56=""),"",IF(C56&lt;=0,"",IFERROR(G56/C56-1,"")))</f>
        <v/>
      </c>
      <c r="H57" s="15">
        <f>IF(OR(H56="",D56=""),"",IF(D56&lt;=0,"",IFERROR(H56/D56-1,"")))</f>
        <v/>
      </c>
      <c r="I57" s="15">
        <f>IF(OR(I56="",E56=""),"",IF(E56&lt;=0,"",IFERROR(I56/E56-1,"")))</f>
        <v/>
      </c>
      <c r="J57" s="15">
        <f>IF(OR(J56="",F56=""),"",IF(F56&lt;=0,"",IFERROR(J56/F56-1,"")))</f>
        <v/>
      </c>
      <c r="K57" s="15">
        <f>IF(OR(K56="",G56=""),"",IF(G56&lt;=0,"",IFERROR(K56/G56-1,"")))</f>
        <v/>
      </c>
      <c r="L57" s="15">
        <f>IF(OR(L56="",H56=""),"",IF(H56&lt;=0,"",IFERROR(L56/H56-1,"")))</f>
        <v/>
      </c>
      <c r="M57" s="15">
        <f>IF(OR(M56="",I56=""),"",IF(I56&lt;=0,"",IFERROR(M56/I56-1,"")))</f>
        <v/>
      </c>
      <c r="N57" s="15">
        <f>IF(OR(N56="",J56=""),"",IF(J56&lt;=0,"",IFERROR(N56/J56-1,"")))</f>
        <v/>
      </c>
      <c r="O57" s="14" t="n"/>
      <c r="P57" s="15">
        <f>IF(OR(P56="",O56=""),"",IF(O56&lt;=0,"",IFERROR(P56/O56-1,"")))</f>
        <v/>
      </c>
      <c r="Q57" s="15">
        <f>IF(OR(Q56="",P56=""),"",IF(P56&lt;=0,"",IFERROR(Q56/P56-1,"")))</f>
        <v/>
      </c>
      <c r="R57" s="15">
        <f>IF(OR(R56="",Q56=""),"",IF(Q56&lt;=0,"",IFERROR(R56/Q56-1,"")))</f>
        <v/>
      </c>
      <c r="S57" s="15">
        <f>IF(OR(S56="",R56=""),"",IF(R56&lt;=0,"",IFERROR(S56/R56-1,"")))</f>
        <v/>
      </c>
      <c r="T57" s="15">
        <f>IF(OR(T56="",S56=""),"",IF(S56&lt;=0,"",IFERROR(T56/S56-1,"")))</f>
        <v/>
      </c>
      <c r="U57" s="15">
        <f>IF(OR(U56="",T56=""),"",IF(T56&lt;=0,"",IFERROR(U56/T56-1,"")))</f>
        <v/>
      </c>
      <c r="V57" s="15">
        <f>IF(OR(V56="",U56=""),"",IF(U56&lt;=0,"",IFERROR(V56/U56-1,"")))</f>
        <v/>
      </c>
      <c r="W57" s="15">
        <f>IF(OR(W56="",V56=""),"",IF(V56&lt;=0,"",IFERROR(W56/V56-1,"")))</f>
        <v/>
      </c>
      <c r="X57" s="15">
        <f>IF(OR(X56="",W56=""),"",IF(W56&lt;=0,"",IFERROR(X56/W56-1,"")))</f>
        <v/>
      </c>
      <c r="Y57" s="14">
        <f>IF(OR(Y56="",X56=""),"",IF(X56&lt;=0,"",IFERROR(Y56/X56-1,"")))</f>
        <v/>
      </c>
      <c r="Z57" s="15">
        <f>IF(OR(Z56="",Y56=""),"",IF(Y56&lt;=0,"",IFERROR(Z56/Y56-1,"")))</f>
        <v/>
      </c>
      <c r="AA57" s="15">
        <f>IF(OR(AA56="",Z56=""),"",IF(Z56&lt;=0,"",IFERROR(AA56/Z56-1,"")))</f>
        <v/>
      </c>
      <c r="AB57" s="15">
        <f>IF(OR(AB56="",AA56=""),"",IF(AA56&lt;=0,"",IFERROR(AB56/AA56-1,"")))</f>
        <v/>
      </c>
      <c r="AC57" s="15">
        <f>IF(OR(AC56="",AB56=""),"",IF(AB56&lt;=0,"",IFERROR(AC56/AB56-1,"")))</f>
        <v/>
      </c>
    </row>
    <row r="58">
      <c r="A58" s="9" t="inlineStr">
        <is>
          <t>지배주주 순이익</t>
        </is>
      </c>
      <c r="B58" s="10" t="n"/>
      <c r="C58" s="11" t="n">
        <v>37384</v>
      </c>
      <c r="D58" s="12" t="n">
        <v>21079</v>
      </c>
      <c r="E58" s="12" t="n">
        <v>36128</v>
      </c>
      <c r="F58" s="12" t="n">
        <v>43847</v>
      </c>
      <c r="G58" s="12" t="n">
        <v>28714</v>
      </c>
      <c r="H58" s="12" t="n">
        <v>28548</v>
      </c>
      <c r="I58" s="12" t="n">
        <v>31303</v>
      </c>
      <c r="J58" s="12" t="n">
        <v>37623</v>
      </c>
      <c r="K58" s="12" t="n">
        <v>36777</v>
      </c>
      <c r="L58" s="12" t="n">
        <v>27795</v>
      </c>
      <c r="M58" s="12" t="n">
        <v>33872</v>
      </c>
      <c r="N58" s="12" t="n">
        <v>42630</v>
      </c>
      <c r="O58" s="11" t="n"/>
      <c r="P58" s="12" t="n">
        <v>87377</v>
      </c>
      <c r="Q58" s="12" t="n">
        <v>66560</v>
      </c>
      <c r="R58" s="12" t="n">
        <v>47156</v>
      </c>
      <c r="S58" s="12" t="n">
        <v>70235</v>
      </c>
      <c r="T58" s="12" t="n">
        <v>97132</v>
      </c>
      <c r="U58" s="12" t="n">
        <v>109173</v>
      </c>
      <c r="V58" s="12" t="n">
        <v>102679</v>
      </c>
      <c r="W58" s="12" t="n">
        <v>137237</v>
      </c>
      <c r="X58" s="12" t="n">
        <v>133498</v>
      </c>
      <c r="Y58" s="11">
        <f>IF(OR(Y56="",Y59=""),"",IFERROR(Y56*Y59,""))</f>
        <v/>
      </c>
      <c r="Z58" s="12">
        <f>IF(OR(Z56="",Z59=""),"",IFERROR(Z56*Z59,""))</f>
        <v/>
      </c>
      <c r="AA58" s="12">
        <f>IF(OR(AA56="",AA59=""),"",IFERROR(AA56*AA59,""))</f>
        <v/>
      </c>
      <c r="AB58" s="12">
        <f>IF(OR(AB56="",AB59=""),"",IFERROR(AB56*AB59,""))</f>
        <v/>
      </c>
      <c r="AC58" s="12">
        <f>IF(OR(AC56="",AC59=""),"",IFERROR(AC56*AC59,""))</f>
        <v/>
      </c>
    </row>
    <row r="59">
      <c r="A59" s="13" t="inlineStr">
        <is>
          <t>지배주주 순이익률</t>
        </is>
      </c>
      <c r="B59" s="10" t="inlineStr">
        <is>
          <t>MW 기본 100%</t>
        </is>
      </c>
      <c r="C59" s="14">
        <f>IF(OR(C58="",C56=""),"",IFERROR(C58/C56,""))</f>
        <v/>
      </c>
      <c r="D59" s="15">
        <f>IF(OR(D58="",D56=""),"",IFERROR(D58/D56,""))</f>
        <v/>
      </c>
      <c r="E59" s="15">
        <f>IF(OR(E58="",E56=""),"",IFERROR(E58/E56,""))</f>
        <v/>
      </c>
      <c r="F59" s="15">
        <f>IF(OR(F58="",F56=""),"",IFERROR(F58/F56,""))</f>
        <v/>
      </c>
      <c r="G59" s="15">
        <f>IF(OR(G58="",G56=""),"",IFERROR(G58/G56,""))</f>
        <v/>
      </c>
      <c r="H59" s="15">
        <f>IF(OR(H58="",H56=""),"",IFERROR(H58/H56,""))</f>
        <v/>
      </c>
      <c r="I59" s="15">
        <f>IF(OR(I58="",I56=""),"",IFERROR(I58/I56,""))</f>
        <v/>
      </c>
      <c r="J59" s="15">
        <f>IF(OR(J58="",J56=""),"",IFERROR(J58/J56,""))</f>
        <v/>
      </c>
      <c r="K59" s="15">
        <f>IF(OR(K58="",K56=""),"",IFERROR(K58/K56,""))</f>
        <v/>
      </c>
      <c r="L59" s="15">
        <f>IF(OR(L58="",L56=""),"",IFERROR(L58/L56,""))</f>
        <v/>
      </c>
      <c r="M59" s="15">
        <f>IF(OR(M58="",M56=""),"",IFERROR(M58/M56,""))</f>
        <v/>
      </c>
      <c r="N59" s="15">
        <f>IF(OR(N58="",N56=""),"",IFERROR(N58/N56,""))</f>
        <v/>
      </c>
      <c r="O59" s="14">
        <f>IF(OR(O58="",O56=""),"",IFERROR(O58/O56,""))</f>
        <v/>
      </c>
      <c r="P59" s="15">
        <f>IF(OR(P58="",P56=""),"",IFERROR(P58/P56,""))</f>
        <v/>
      </c>
      <c r="Q59" s="15">
        <f>IF(OR(Q58="",Q56=""),"",IFERROR(Q58/Q56,""))</f>
        <v/>
      </c>
      <c r="R59" s="15">
        <f>IF(OR(R58="",R56=""),"",IFERROR(R58/R56,""))</f>
        <v/>
      </c>
      <c r="S59" s="15">
        <f>IF(OR(S58="",S56=""),"",IFERROR(S58/S56,""))</f>
        <v/>
      </c>
      <c r="T59" s="15">
        <f>IF(OR(T58="",T56=""),"",IFERROR(T58/T56,""))</f>
        <v/>
      </c>
      <c r="U59" s="15">
        <f>IF(OR(U58="",U56=""),"",IFERROR(U58/U56,""))</f>
        <v/>
      </c>
      <c r="V59" s="15">
        <f>IF(OR(V58="",V56=""),"",IFERROR(V58/V56,""))</f>
        <v/>
      </c>
      <c r="W59" s="15">
        <f>IF(OR(W58="",W56=""),"",IFERROR(W58/W56,""))</f>
        <v/>
      </c>
      <c r="X59" s="15">
        <f>IF(OR(X58="",X56=""),"",IFERROR(X58/X56,""))</f>
        <v/>
      </c>
      <c r="Y59" s="25" t="n">
        <v>1</v>
      </c>
      <c r="Z59" s="26" t="n">
        <v>1</v>
      </c>
      <c r="AA59" s="26" t="n">
        <v>1</v>
      </c>
      <c r="AB59" s="26" t="n">
        <v>1</v>
      </c>
      <c r="AC59" s="26" t="n">
        <v>1</v>
      </c>
    </row>
    <row r="60">
      <c r="A60" s="13" t="inlineStr">
        <is>
          <t>지배주주 순이익 YoY</t>
        </is>
      </c>
      <c r="B60" s="10" t="n"/>
      <c r="C60" s="14" t="n"/>
      <c r="D60" s="15" t="n"/>
      <c r="E60" s="15" t="n"/>
      <c r="F60" s="15" t="n"/>
      <c r="G60" s="15">
        <f>IF(OR(G58="",C58=""),"",IF(C58&lt;=0,"",IFERROR(G58/C58-1,"")))</f>
        <v/>
      </c>
      <c r="H60" s="15">
        <f>IF(OR(H58="",D58=""),"",IF(D58&lt;=0,"",IFERROR(H58/D58-1,"")))</f>
        <v/>
      </c>
      <c r="I60" s="15">
        <f>IF(OR(I58="",E58=""),"",IF(E58&lt;=0,"",IFERROR(I58/E58-1,"")))</f>
        <v/>
      </c>
      <c r="J60" s="15">
        <f>IF(OR(J58="",F58=""),"",IF(F58&lt;=0,"",IFERROR(J58/F58-1,"")))</f>
        <v/>
      </c>
      <c r="K60" s="15">
        <f>IF(OR(K58="",G58=""),"",IF(G58&lt;=0,"",IFERROR(K58/G58-1,"")))</f>
        <v/>
      </c>
      <c r="L60" s="15">
        <f>IF(OR(L58="",H58=""),"",IF(H58&lt;=0,"",IFERROR(L58/H58-1,"")))</f>
        <v/>
      </c>
      <c r="M60" s="15">
        <f>IF(OR(M58="",I58=""),"",IF(I58&lt;=0,"",IFERROR(M58/I58-1,"")))</f>
        <v/>
      </c>
      <c r="N60" s="15">
        <f>IF(OR(N58="",J58=""),"",IF(J58&lt;=0,"",IFERROR(N58/J58-1,"")))</f>
        <v/>
      </c>
      <c r="O60" s="14" t="n"/>
      <c r="P60" s="15">
        <f>IF(OR(P58="",O58=""),"",IF(O58&lt;=0,"",IFERROR(P58/O58-1,"")))</f>
        <v/>
      </c>
      <c r="Q60" s="15">
        <f>IF(OR(Q58="",P58=""),"",IF(P58&lt;=0,"",IFERROR(Q58/P58-1,"")))</f>
        <v/>
      </c>
      <c r="R60" s="15">
        <f>IF(OR(R58="",Q58=""),"",IF(Q58&lt;=0,"",IFERROR(R58/Q58-1,"")))</f>
        <v/>
      </c>
      <c r="S60" s="15">
        <f>IF(OR(S58="",R58=""),"",IF(R58&lt;=0,"",IFERROR(S58/R58-1,"")))</f>
        <v/>
      </c>
      <c r="T60" s="15">
        <f>IF(OR(T58="",S58=""),"",IF(S58&lt;=0,"",IFERROR(T58/S58-1,"")))</f>
        <v/>
      </c>
      <c r="U60" s="15">
        <f>IF(OR(U58="",T58=""),"",IF(T58&lt;=0,"",IFERROR(U58/T58-1,"")))</f>
        <v/>
      </c>
      <c r="V60" s="15">
        <f>IF(OR(V58="",U58=""),"",IF(U58&lt;=0,"",IFERROR(V58/U58-1,"")))</f>
        <v/>
      </c>
      <c r="W60" s="15">
        <f>IF(OR(W58="",V58=""),"",IF(V58&lt;=0,"",IFERROR(W58/V58-1,"")))</f>
        <v/>
      </c>
      <c r="X60" s="15">
        <f>IF(OR(X58="",W58=""),"",IF(W58&lt;=0,"",IFERROR(X58/W58-1,"")))</f>
        <v/>
      </c>
      <c r="Y60" s="14">
        <f>IF(OR(Y58="",X58=""),"",IF(X58&lt;=0,"",IFERROR(Y58/X58-1,"")))</f>
        <v/>
      </c>
      <c r="Z60" s="15">
        <f>IF(OR(Z58="",Y58=""),"",IF(Y58&lt;=0,"",IFERROR(Z58/Y58-1,"")))</f>
        <v/>
      </c>
      <c r="AA60" s="15">
        <f>IF(OR(AA58="",Z58=""),"",IF(Z58&lt;=0,"",IFERROR(AA58/Z58-1,"")))</f>
        <v/>
      </c>
      <c r="AB60" s="15">
        <f>IF(OR(AB58="",AA58=""),"",IF(AA58&lt;=0,"",IFERROR(AB58/AA58-1,"")))</f>
        <v/>
      </c>
      <c r="AC60" s="15">
        <f>IF(OR(AC58="",AB58=""),"",IF(AB58&lt;=0,"",IFERROR(AC58/AB58-1,"")))</f>
        <v/>
      </c>
    </row>
    <row r="61">
      <c r="A61" s="16" t="inlineStr">
        <is>
          <t>목표주가 산출</t>
        </is>
      </c>
      <c r="B61" s="16" t="n"/>
      <c r="C61" s="17" t="n"/>
      <c r="D61" s="16" t="n"/>
      <c r="E61" s="16" t="n"/>
      <c r="F61" s="16" t="n"/>
      <c r="G61" s="16" t="n"/>
      <c r="H61" s="16" t="n"/>
      <c r="I61" s="16" t="n"/>
      <c r="J61" s="16" t="n"/>
      <c r="K61" s="16" t="n"/>
      <c r="L61" s="16" t="n"/>
      <c r="M61" s="16" t="n"/>
      <c r="N61" s="16" t="n"/>
      <c r="O61" s="17" t="n"/>
      <c r="P61" s="16" t="n"/>
      <c r="Q61" s="16" t="n"/>
      <c r="R61" s="16" t="n"/>
      <c r="S61" s="16" t="n"/>
      <c r="T61" s="16" t="n"/>
      <c r="U61" s="16" t="n"/>
      <c r="V61" s="16" t="n"/>
      <c r="W61" s="16" t="n"/>
      <c r="X61" s="16" t="n"/>
      <c r="Y61" s="17" t="n"/>
      <c r="Z61" s="16" t="n"/>
      <c r="AA61" s="16" t="n"/>
      <c r="AB61" s="16" t="n"/>
      <c r="AC61" s="16" t="n"/>
    </row>
    <row r="62">
      <c r="A62" s="18" t="inlineStr">
        <is>
          <t>현재 주가 (2026.10.28)</t>
        </is>
      </c>
      <c r="B62" s="27" t="n">
        <v>3400</v>
      </c>
      <c r="C62" s="28" t="n"/>
      <c r="D62" s="29" t="n"/>
      <c r="E62" s="29" t="n"/>
      <c r="F62" s="29" t="n"/>
      <c r="G62" s="29" t="n"/>
      <c r="H62" s="29" t="n"/>
      <c r="I62" s="29" t="n"/>
      <c r="J62" s="29" t="n"/>
      <c r="K62" s="29" t="n"/>
      <c r="L62" s="29" t="n"/>
      <c r="M62" s="29" t="n"/>
      <c r="N62" s="29" t="n"/>
      <c r="O62" s="28" t="n"/>
      <c r="P62" s="29" t="n"/>
      <c r="Q62" s="29" t="n"/>
      <c r="R62" s="29" t="n"/>
      <c r="S62" s="29" t="n"/>
      <c r="T62" s="29" t="n"/>
      <c r="U62" s="29" t="n"/>
      <c r="V62" s="29" t="n"/>
      <c r="W62" s="29" t="n"/>
      <c r="X62" s="29" t="n"/>
      <c r="Y62" s="28" t="n"/>
      <c r="Z62" s="29" t="n"/>
      <c r="AA62" s="29" t="n"/>
      <c r="AB62" s="29" t="n"/>
      <c r="AC62" s="29" t="n"/>
    </row>
    <row r="63">
      <c r="A63" s="18" t="inlineStr">
        <is>
          <t>발행주식수 (보통주)</t>
        </is>
      </c>
      <c r="B63" s="27" t="n">
        <v>678659700</v>
      </c>
      <c r="C63" s="28" t="n"/>
      <c r="D63" s="29" t="n"/>
      <c r="E63" s="29" t="n"/>
      <c r="F63" s="29" t="n"/>
      <c r="G63" s="29" t="n"/>
      <c r="H63" s="29" t="n"/>
      <c r="I63" s="29" t="n"/>
      <c r="J63" s="29" t="n"/>
      <c r="K63" s="29" t="n"/>
      <c r="L63" s="29" t="n"/>
      <c r="M63" s="29" t="n"/>
      <c r="N63" s="29" t="n"/>
      <c r="O63" s="28" t="n"/>
      <c r="P63" s="29" t="n"/>
      <c r="Q63" s="29" t="n"/>
      <c r="R63" s="29" t="n"/>
      <c r="S63" s="29" t="n"/>
      <c r="T63" s="29" t="n"/>
      <c r="U63" s="29" t="n"/>
      <c r="V63" s="29" t="n"/>
      <c r="W63" s="29" t="n"/>
      <c r="X63" s="29" t="n"/>
      <c r="Y63" s="28" t="n"/>
      <c r="Z63" s="29" t="n"/>
      <c r="AA63" s="29" t="n"/>
      <c r="AB63" s="29" t="n"/>
      <c r="AC63" s="29" t="n"/>
    </row>
    <row r="64">
      <c r="A64" s="18" t="inlineStr">
        <is>
          <t>시가총액 (백만엔)</t>
        </is>
      </c>
      <c r="B64" s="12">
        <f>IF(OR(B62="",B63=""),"",B62*B63/1000000.0)</f>
        <v/>
      </c>
      <c r="C64" s="19" t="n"/>
      <c r="D64" s="20" t="n"/>
      <c r="E64" s="20" t="n"/>
      <c r="F64" s="20" t="n"/>
      <c r="G64" s="20" t="n"/>
      <c r="H64" s="20" t="n"/>
      <c r="I64" s="20" t="n"/>
      <c r="J64" s="20" t="n"/>
      <c r="K64" s="20" t="n"/>
      <c r="L64" s="20" t="n"/>
      <c r="M64" s="20" t="n"/>
      <c r="N64" s="20" t="n"/>
      <c r="O64" s="19" t="n"/>
      <c r="P64" s="20" t="n"/>
      <c r="Q64" s="20" t="n"/>
      <c r="R64" s="20" t="n"/>
      <c r="S64" s="20" t="n"/>
      <c r="T64" s="20" t="n"/>
      <c r="U64" s="20" t="n"/>
      <c r="V64" s="20" t="n"/>
      <c r="W64" s="20" t="n"/>
      <c r="X64" s="20" t="n"/>
      <c r="Y64" s="19" t="n"/>
      <c r="Z64" s="20" t="n"/>
      <c r="AA64" s="20" t="n"/>
      <c r="AB64" s="20" t="n"/>
      <c r="AC64" s="20" t="n"/>
    </row>
    <row r="65">
      <c r="A65" s="13" t="inlineStr">
        <is>
          <t>OPM</t>
        </is>
      </c>
      <c r="B65" s="10" t="n"/>
      <c r="C65" s="14" t="n"/>
      <c r="D65" s="15" t="n"/>
      <c r="E65" s="15" t="n"/>
      <c r="F65" s="15" t="n"/>
      <c r="G65" s="15" t="n"/>
      <c r="H65" s="15" t="n"/>
      <c r="I65" s="15" t="n"/>
      <c r="J65" s="15" t="n"/>
      <c r="K65" s="15" t="n"/>
      <c r="L65" s="15" t="n"/>
      <c r="M65" s="15" t="n"/>
      <c r="N65" s="15" t="n"/>
      <c r="O65" s="14">
        <f>IF(O29="","",O29)</f>
        <v/>
      </c>
      <c r="P65" s="15">
        <f>IF(P29="","",P29)</f>
        <v/>
      </c>
      <c r="Q65" s="15">
        <f>IF(Q29="","",Q29)</f>
        <v/>
      </c>
      <c r="R65" s="15">
        <f>IF(R29="","",R29)</f>
        <v/>
      </c>
      <c r="S65" s="15">
        <f>IF(S29="","",S29)</f>
        <v/>
      </c>
      <c r="T65" s="15">
        <f>IF(T29="","",T29)</f>
        <v/>
      </c>
      <c r="U65" s="15">
        <f>IF(U29="","",U29)</f>
        <v/>
      </c>
      <c r="V65" s="15">
        <f>IF(V29="","",V29)</f>
        <v/>
      </c>
      <c r="W65" s="15">
        <f>IF(W29="","",W29)</f>
        <v/>
      </c>
      <c r="X65" s="15">
        <f>IF(X29="","",X29)</f>
        <v/>
      </c>
      <c r="Y65" s="14">
        <f>IF(Y29="","",Y29)</f>
        <v/>
      </c>
      <c r="Z65" s="15">
        <f>IF(Z29="","",Z29)</f>
        <v/>
      </c>
      <c r="AA65" s="15">
        <f>IF(AA29="","",AA29)</f>
        <v/>
      </c>
      <c r="AB65" s="15">
        <f>IF(AB29="","",AB29)</f>
        <v/>
      </c>
      <c r="AC65" s="15">
        <f>IF(AC29="","",AC29)</f>
        <v/>
      </c>
    </row>
    <row r="66">
      <c r="A66" s="13" t="inlineStr">
        <is>
          <t>지배주주 순이익 증가율</t>
        </is>
      </c>
      <c r="B66" s="10" t="n"/>
      <c r="C66" s="14" t="n"/>
      <c r="D66" s="15" t="n"/>
      <c r="E66" s="15" t="n"/>
      <c r="F66" s="15" t="n"/>
      <c r="G66" s="15" t="n"/>
      <c r="H66" s="15" t="n"/>
      <c r="I66" s="15" t="n"/>
      <c r="J66" s="15" t="n"/>
      <c r="K66" s="15" t="n"/>
      <c r="L66" s="15" t="n"/>
      <c r="M66" s="15" t="n"/>
      <c r="N66" s="15" t="n"/>
      <c r="O66" s="14" t="n"/>
      <c r="P66" s="15">
        <f>IF(OR(P58="",O58=""),"",IFERROR(P58/O58-1,""))</f>
        <v/>
      </c>
      <c r="Q66" s="15">
        <f>IF(OR(Q58="",P58=""),"",IFERROR(Q58/P58-1,""))</f>
        <v/>
      </c>
      <c r="R66" s="15">
        <f>IF(OR(R58="",Q58=""),"",IFERROR(R58/Q58-1,""))</f>
        <v/>
      </c>
      <c r="S66" s="15">
        <f>IF(OR(S58="",R58=""),"",IFERROR(S58/R58-1,""))</f>
        <v/>
      </c>
      <c r="T66" s="15">
        <f>IF(OR(T58="",S58=""),"",IFERROR(T58/S58-1,""))</f>
        <v/>
      </c>
      <c r="U66" s="15">
        <f>IF(OR(U58="",T58=""),"",IFERROR(U58/T58-1,""))</f>
        <v/>
      </c>
      <c r="V66" s="15">
        <f>IF(OR(V58="",U58=""),"",IFERROR(V58/U58-1,""))</f>
        <v/>
      </c>
      <c r="W66" s="15">
        <f>IF(OR(W58="",V58=""),"",IFERROR(W58/V58-1,""))</f>
        <v/>
      </c>
      <c r="X66" s="15">
        <f>IF(OR(X58="",W58=""),"",IFERROR(X58/W58-1,""))</f>
        <v/>
      </c>
      <c r="Y66" s="14">
        <f>IF(OR(Y58="",X58=""),"",IFERROR(Y58/X58-1,""))</f>
        <v/>
      </c>
      <c r="Z66" s="15">
        <f>IF(OR(Z58="",Y58=""),"",IFERROR(Z58/Y58-1,""))</f>
        <v/>
      </c>
      <c r="AA66" s="15">
        <f>IF(OR(AA58="",Z58=""),"",IFERROR(AA58/Z58-1,""))</f>
        <v/>
      </c>
      <c r="AB66" s="15">
        <f>IF(OR(AB58="",AA58=""),"",IFERROR(AB58/AA58-1,""))</f>
        <v/>
      </c>
      <c r="AC66" s="15">
        <f>IF(OR(AC58="",AB58=""),"",IFERROR(AC58/AB58-1,""))</f>
        <v/>
      </c>
    </row>
    <row r="67">
      <c r="A67" s="18" t="inlineStr">
        <is>
          <t>P/E (현재 주가)</t>
        </is>
      </c>
      <c r="B67" s="10" t="inlineStr">
        <is>
          <t>시총 ÷ 지배순이익</t>
        </is>
      </c>
      <c r="C67" s="30" t="n"/>
      <c r="D67" s="31" t="n"/>
      <c r="E67" s="31" t="n"/>
      <c r="F67" s="31" t="n"/>
      <c r="G67" s="31" t="n"/>
      <c r="H67" s="31" t="n"/>
      <c r="I67" s="31" t="n"/>
      <c r="J67" s="31" t="n"/>
      <c r="K67" s="31" t="n"/>
      <c r="L67" s="31" t="n"/>
      <c r="M67" s="31" t="n"/>
      <c r="N67" s="31" t="n"/>
      <c r="O67" s="30" t="n"/>
      <c r="P67" s="31" t="n"/>
      <c r="Q67" s="31" t="n"/>
      <c r="R67" s="31" t="n"/>
      <c r="S67" s="31" t="n"/>
      <c r="T67" s="31" t="n"/>
      <c r="U67" s="31" t="n"/>
      <c r="V67" s="31" t="n"/>
      <c r="W67" s="31" t="n"/>
      <c r="X67" s="31">
        <f>IF(OR($B$64="",X58=""),"",IFERROR($B$64/X58,""))</f>
        <v/>
      </c>
      <c r="Y67" s="30">
        <f>IF(OR($B$64="",Y58=""),"",IFERROR($B$64/Y58,""))</f>
        <v/>
      </c>
      <c r="Z67" s="31">
        <f>IF(OR($B$64="",Z58=""),"",IFERROR($B$64/Z58,""))</f>
        <v/>
      </c>
      <c r="AA67" s="31">
        <f>IF(OR($B$64="",AA58=""),"",IFERROR($B$64/AA58,""))</f>
        <v/>
      </c>
      <c r="AB67" s="31">
        <f>IF(OR($B$64="",AB58=""),"",IFERROR($B$64/AB58,""))</f>
        <v/>
      </c>
      <c r="AC67" s="31">
        <f>IF(OR($B$64="",AC58=""),"",IFERROR($B$64/AC58,""))</f>
        <v/>
      </c>
    </row>
    <row r="68">
      <c r="A68" s="18" t="inlineStr">
        <is>
          <t>Target P/E</t>
        </is>
      </c>
      <c r="B68" s="10" t="inlineStr">
        <is>
          <t>직접 입력</t>
        </is>
      </c>
      <c r="C68" s="30" t="n"/>
      <c r="D68" s="31" t="n"/>
      <c r="E68" s="31" t="n"/>
      <c r="F68" s="31" t="n"/>
      <c r="G68" s="31" t="n"/>
      <c r="H68" s="31" t="n"/>
      <c r="I68" s="31" t="n"/>
      <c r="J68" s="31" t="n"/>
      <c r="K68" s="31" t="n"/>
      <c r="L68" s="31" t="n"/>
      <c r="M68" s="31" t="n"/>
      <c r="N68" s="31" t="n"/>
      <c r="O68" s="30" t="n"/>
      <c r="P68" s="31" t="n"/>
      <c r="Q68" s="31" t="n"/>
      <c r="R68" s="31" t="n"/>
      <c r="S68" s="31" t="n"/>
      <c r="T68" s="31" t="n"/>
      <c r="U68" s="31" t="n"/>
      <c r="V68" s="31" t="n"/>
      <c r="W68" s="31" t="n"/>
      <c r="X68" s="31" t="n"/>
      <c r="Y68" s="32" t="n"/>
      <c r="Z68" s="33" t="n"/>
      <c r="AA68" s="33" t="n"/>
      <c r="AB68" s="33" t="n"/>
      <c r="AC68" s="33" t="n"/>
    </row>
    <row r="69">
      <c r="A69" s="18" t="inlineStr">
        <is>
          <t>EPS</t>
        </is>
      </c>
      <c r="B69" s="10" t="inlineStr">
        <is>
          <t>지배순이익 ÷ 주식수</t>
        </is>
      </c>
      <c r="C69" s="28" t="n"/>
      <c r="D69" s="29" t="n"/>
      <c r="E69" s="29" t="n"/>
      <c r="F69" s="29" t="n"/>
      <c r="G69" s="29" t="n"/>
      <c r="H69" s="29" t="n"/>
      <c r="I69" s="29" t="n"/>
      <c r="J69" s="29" t="n"/>
      <c r="K69" s="29" t="n"/>
      <c r="L69" s="29" t="n"/>
      <c r="M69" s="29" t="n"/>
      <c r="N69" s="29" t="n"/>
      <c r="O69" s="28">
        <f>IF(OR(O58="",$B$63=""),"",IFERROR(O58*1000000.0/$B$63,""))</f>
        <v/>
      </c>
      <c r="P69" s="29">
        <f>IF(OR(P58="",$B$63=""),"",IFERROR(P58*1000000.0/$B$63,""))</f>
        <v/>
      </c>
      <c r="Q69" s="29">
        <f>IF(OR(Q58="",$B$63=""),"",IFERROR(Q58*1000000.0/$B$63,""))</f>
        <v/>
      </c>
      <c r="R69" s="29">
        <f>IF(OR(R58="",$B$63=""),"",IFERROR(R58*1000000.0/$B$63,""))</f>
        <v/>
      </c>
      <c r="S69" s="29">
        <f>IF(OR(S58="",$B$63=""),"",IFERROR(S58*1000000.0/$B$63,""))</f>
        <v/>
      </c>
      <c r="T69" s="29">
        <f>IF(OR(T58="",$B$63=""),"",IFERROR(T58*1000000.0/$B$63,""))</f>
        <v/>
      </c>
      <c r="U69" s="29">
        <f>IF(OR(U58="",$B$63=""),"",IFERROR(U58*1000000.0/$B$63,""))</f>
        <v/>
      </c>
      <c r="V69" s="29">
        <f>IF(OR(V58="",$B$63=""),"",IFERROR(V58*1000000.0/$B$63,""))</f>
        <v/>
      </c>
      <c r="W69" s="29">
        <f>IF(OR(W58="",$B$63=""),"",IFERROR(W58*1000000.0/$B$63,""))</f>
        <v/>
      </c>
      <c r="X69" s="29">
        <f>IF(OR(X58="",$B$63=""),"",IFERROR(X58*1000000.0/$B$63,""))</f>
        <v/>
      </c>
      <c r="Y69" s="28">
        <f>IF(OR(Y58="",$B$63=""),"",IFERROR(Y58*1000000.0/$B$63,""))</f>
        <v/>
      </c>
      <c r="Z69" s="29">
        <f>IF(OR(Z58="",$B$63=""),"",IFERROR(Z58*1000000.0/$B$63,""))</f>
        <v/>
      </c>
      <c r="AA69" s="29">
        <f>IF(OR(AA58="",$B$63=""),"",IFERROR(AA58*1000000.0/$B$63,""))</f>
        <v/>
      </c>
      <c r="AB69" s="29">
        <f>IF(OR(AB58="",$B$63=""),"",IFERROR(AB58*1000000.0/$B$63,""))</f>
        <v/>
      </c>
      <c r="AC69" s="29">
        <f>IF(OR(AC58="",$B$63=""),"",IFERROR(AC58*1000000.0/$B$63,""))</f>
        <v/>
      </c>
    </row>
    <row r="70">
      <c r="A70" s="9" t="inlineStr">
        <is>
          <t>목표주가</t>
        </is>
      </c>
      <c r="B70" s="10" t="n"/>
      <c r="C70" s="34" t="n"/>
      <c r="D70" s="27" t="n"/>
      <c r="E70" s="27" t="n"/>
      <c r="F70" s="27" t="n"/>
      <c r="G70" s="27" t="n"/>
      <c r="H70" s="27" t="n"/>
      <c r="I70" s="27" t="n"/>
      <c r="J70" s="27" t="n"/>
      <c r="K70" s="27" t="n"/>
      <c r="L70" s="27" t="n"/>
      <c r="M70" s="27" t="n"/>
      <c r="N70" s="27" t="n"/>
      <c r="O70" s="34" t="n"/>
      <c r="P70" s="27" t="n"/>
      <c r="Q70" s="27" t="n"/>
      <c r="R70" s="27" t="n"/>
      <c r="S70" s="27" t="n"/>
      <c r="T70" s="27" t="n"/>
      <c r="U70" s="27" t="n"/>
      <c r="V70" s="27" t="n"/>
      <c r="W70" s="27" t="n"/>
      <c r="X70" s="27" t="n"/>
      <c r="Y70" s="34">
        <f>IF(OR(Y69="",Y68=""),"",IFERROR(Y69*Y68,""))</f>
        <v/>
      </c>
      <c r="Z70" s="27">
        <f>IF(OR(Z69="",Z68=""),"",IFERROR(Z69*Z68,""))</f>
        <v/>
      </c>
      <c r="AA70" s="27">
        <f>IF(OR(AA69="",AA68=""),"",IFERROR(AA69*AA68,""))</f>
        <v/>
      </c>
      <c r="AB70" s="27">
        <f>IF(OR(AB69="",AB68=""),"",IFERROR(AB69*AB68,""))</f>
        <v/>
      </c>
      <c r="AC70" s="27">
        <f>IF(OR(AC69="",AC68=""),"",IFERROR(AC69*AC68,""))</f>
        <v/>
      </c>
    </row>
    <row r="71">
      <c r="A71" s="18" t="inlineStr">
        <is>
          <t>상승여력</t>
        </is>
      </c>
      <c r="B71" s="10" t="n"/>
      <c r="C71" s="35" t="n"/>
      <c r="D71" s="36" t="n"/>
      <c r="E71" s="36" t="n"/>
      <c r="F71" s="36" t="n"/>
      <c r="G71" s="36" t="n"/>
      <c r="H71" s="36" t="n"/>
      <c r="I71" s="36" t="n"/>
      <c r="J71" s="36" t="n"/>
      <c r="K71" s="36" t="n"/>
      <c r="L71" s="36" t="n"/>
      <c r="M71" s="36" t="n"/>
      <c r="N71" s="36" t="n"/>
      <c r="O71" s="35" t="n"/>
      <c r="P71" s="36" t="n"/>
      <c r="Q71" s="36" t="n"/>
      <c r="R71" s="36" t="n"/>
      <c r="S71" s="36" t="n"/>
      <c r="T71" s="36" t="n"/>
      <c r="U71" s="36" t="n"/>
      <c r="V71" s="36" t="n"/>
      <c r="W71" s="36" t="n"/>
      <c r="X71" s="36" t="n"/>
      <c r="Y71" s="37">
        <f>IF(OR(Y70="",$B$62=""),"",IFERROR(Y70/$B$62-1,""))</f>
        <v/>
      </c>
      <c r="Z71" s="38">
        <f>IF(OR(Z70="",$B$62=""),"",IFERROR(Z70/$B$62-1,""))</f>
        <v/>
      </c>
      <c r="AA71" s="38">
        <f>IF(OR(AA70="",$B$62=""),"",IFERROR(AA70/$B$62-1,""))</f>
        <v/>
      </c>
      <c r="AB71" s="38">
        <f>IF(OR(AB70="",$B$62=""),"",IFERROR(AB70/$B$62-1,""))</f>
        <v/>
      </c>
      <c r="AC71" s="38">
        <f>IF(OR(AC70="",$B$62=""),"",IFERROR(AC70/$B$62-1,""))</f>
        <v/>
      </c>
    </row>
    <row r="72">
      <c r="A72" s="16" t="inlineStr">
        <is>
          <t>자산가치 산출</t>
        </is>
      </c>
      <c r="B72" s="16" t="inlineStr">
        <is>
          <t>최신 분기 BS</t>
        </is>
      </c>
      <c r="C72" s="17" t="n"/>
      <c r="D72" s="16" t="n"/>
      <c r="E72" s="16" t="n"/>
      <c r="F72" s="16" t="n"/>
      <c r="G72" s="16" t="n"/>
      <c r="H72" s="16" t="n"/>
      <c r="I72" s="16" t="n"/>
      <c r="J72" s="16" t="n"/>
      <c r="K72" s="16" t="n"/>
      <c r="L72" s="16" t="n"/>
      <c r="M72" s="16" t="n"/>
      <c r="N72" s="16" t="n"/>
      <c r="O72" s="17" t="n"/>
      <c r="P72" s="16" t="n"/>
      <c r="Q72" s="16" t="n"/>
      <c r="R72" s="16" t="n"/>
      <c r="S72" s="16" t="n"/>
      <c r="T72" s="16" t="n"/>
      <c r="U72" s="16" t="n"/>
      <c r="V72" s="16" t="n"/>
      <c r="W72" s="16" t="n"/>
      <c r="X72" s="16" t="n"/>
      <c r="Y72" s="17" t="n"/>
      <c r="Z72" s="16" t="n"/>
      <c r="AA72" s="16" t="n"/>
      <c r="AB72" s="16" t="n"/>
      <c r="AC72" s="16" t="n"/>
    </row>
    <row r="73">
      <c r="A73" s="18" t="inlineStr">
        <is>
          <t>현금및현금성자산</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'재무상태표'!G6</f>
        <v/>
      </c>
      <c r="Y73" s="19">
        <f>'재무상태표'!G6</f>
        <v/>
      </c>
      <c r="Z73" s="20">
        <f>'재무상태표'!G6</f>
        <v/>
      </c>
      <c r="AA73" s="20">
        <f>'재무상태표'!G6</f>
        <v/>
      </c>
      <c r="AB73" s="20">
        <f>'재무상태표'!G6</f>
        <v/>
      </c>
      <c r="AC73" s="20">
        <f>'재무상태표'!G6</f>
        <v/>
      </c>
    </row>
    <row r="74">
      <c r="A74" s="18" t="inlineStr">
        <is>
          <t>단기금융상품</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'재무상태표'!G7</f>
        <v/>
      </c>
      <c r="Y74" s="19">
        <f>'재무상태표'!G7</f>
        <v/>
      </c>
      <c r="Z74" s="20">
        <f>'재무상태표'!G7</f>
        <v/>
      </c>
      <c r="AA74" s="20">
        <f>'재무상태표'!G7</f>
        <v/>
      </c>
      <c r="AB74" s="20">
        <f>'재무상태표'!G7</f>
        <v/>
      </c>
      <c r="AC74" s="20">
        <f>'재무상태표'!G7</f>
        <v/>
      </c>
    </row>
    <row r="75">
      <c r="A75" s="18" t="inlineStr">
        <is>
          <t>투자부동산</t>
        </is>
      </c>
      <c r="B75" s="10" t="n"/>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f>'재무상태표'!G14</f>
        <v/>
      </c>
      <c r="Y75" s="19">
        <f>'재무상태표'!G14</f>
        <v/>
      </c>
      <c r="Z75" s="20">
        <f>'재무상태표'!G14</f>
        <v/>
      </c>
      <c r="AA75" s="20">
        <f>'재무상태표'!G14</f>
        <v/>
      </c>
      <c r="AB75" s="20">
        <f>'재무상태표'!G14</f>
        <v/>
      </c>
      <c r="AC75" s="20">
        <f>'재무상태표'!G14</f>
        <v/>
      </c>
    </row>
    <row r="76">
      <c r="A76" s="18" t="inlineStr">
        <is>
          <t>지배자본</t>
        </is>
      </c>
      <c r="B76" s="10" t="n"/>
      <c r="C76" s="19" t="n"/>
      <c r="D76" s="20" t="n"/>
      <c r="E76" s="20" t="n"/>
      <c r="F76" s="20" t="n"/>
      <c r="G76" s="20" t="n"/>
      <c r="H76" s="20" t="n"/>
      <c r="I76" s="20" t="n"/>
      <c r="J76" s="20" t="n"/>
      <c r="K76" s="20" t="n"/>
      <c r="L76" s="20" t="n"/>
      <c r="M76" s="20" t="n"/>
      <c r="N76" s="20" t="n"/>
      <c r="O76" s="19" t="n"/>
      <c r="P76" s="20" t="n"/>
      <c r="Q76" s="20" t="n"/>
      <c r="R76" s="20" t="n"/>
      <c r="S76" s="20" t="n"/>
      <c r="T76" s="20" t="n"/>
      <c r="U76" s="20" t="n"/>
      <c r="V76" s="20" t="n"/>
      <c r="W76" s="20" t="n"/>
      <c r="X76" s="20">
        <f>'재무상태표'!G31</f>
        <v/>
      </c>
      <c r="Y76" s="19">
        <f>'재무상태표'!G31</f>
        <v/>
      </c>
      <c r="Z76" s="20">
        <f>'재무상태표'!G31</f>
        <v/>
      </c>
      <c r="AA76" s="20">
        <f>'재무상태표'!G31</f>
        <v/>
      </c>
      <c r="AB76" s="20">
        <f>'재무상태표'!G31</f>
        <v/>
      </c>
      <c r="AC76" s="20">
        <f>'재무상태표'!G31</f>
        <v/>
      </c>
    </row>
    <row r="77">
      <c r="A77" s="18" t="inlineStr">
        <is>
          <t>부채</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f>'재무상태표'!G27</f>
        <v/>
      </c>
      <c r="Y77" s="19">
        <f>'재무상태표'!G27</f>
        <v/>
      </c>
      <c r="Z77" s="20">
        <f>'재무상태표'!G27</f>
        <v/>
      </c>
      <c r="AA77" s="20">
        <f>'재무상태표'!G27</f>
        <v/>
      </c>
      <c r="AB77" s="20">
        <f>'재무상태표'!G27</f>
        <v/>
      </c>
      <c r="AC77" s="20">
        <f>'재무상태표'!G27</f>
        <v/>
      </c>
    </row>
    <row r="78">
      <c r="A78" s="13" t="inlineStr">
        <is>
          <t>부채비율</t>
        </is>
      </c>
      <c r="B78" s="10" t="n"/>
      <c r="C78" s="14" t="n"/>
      <c r="D78" s="15" t="n"/>
      <c r="E78" s="15" t="n"/>
      <c r="F78" s="15" t="n"/>
      <c r="G78" s="15" t="n"/>
      <c r="H78" s="15" t="n"/>
      <c r="I78" s="15" t="n"/>
      <c r="J78" s="15" t="n"/>
      <c r="K78" s="15" t="n"/>
      <c r="L78" s="15" t="n"/>
      <c r="M78" s="15" t="n"/>
      <c r="N78" s="15" t="n"/>
      <c r="O78" s="14" t="n"/>
      <c r="P78" s="15" t="n"/>
      <c r="Q78" s="15" t="n"/>
      <c r="R78" s="15" t="n"/>
      <c r="S78" s="15" t="n"/>
      <c r="T78" s="15" t="n"/>
      <c r="U78" s="15" t="n"/>
      <c r="V78" s="15" t="n"/>
      <c r="W78" s="15" t="n"/>
      <c r="X78" s="15">
        <f>IF(OR(X77="",X76=""),"",IFERROR(X77/X76,""))</f>
        <v/>
      </c>
      <c r="Y78" s="14">
        <f>IF(OR(Y77="",Y76=""),"",IFERROR(Y77/Y76,""))</f>
        <v/>
      </c>
      <c r="Z78" s="15">
        <f>IF(OR(Z77="",Z76=""),"",IFERROR(Z77/Z76,""))</f>
        <v/>
      </c>
      <c r="AA78" s="15">
        <f>IF(OR(AA77="",AA76=""),"",IFERROR(AA77/AA76,""))</f>
        <v/>
      </c>
      <c r="AB78" s="15">
        <f>IF(OR(AB77="",AB76=""),"",IFERROR(AB77/AB76,""))</f>
        <v/>
      </c>
      <c r="AC78" s="15">
        <f>IF(OR(AC77="",AC76=""),"",IFERROR(AC77/AC76,""))</f>
        <v/>
      </c>
    </row>
    <row r="79">
      <c r="A79" s="9" t="inlineStr">
        <is>
          <t>자산가치</t>
        </is>
      </c>
      <c r="B79" s="10" t="inlineStr">
        <is>
          <t>현금+단기금융+투자부동산</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f>SUM(X73,X74,X75)</f>
        <v/>
      </c>
      <c r="Y79" s="11">
        <f>SUM(Y73,Y74,Y75)</f>
        <v/>
      </c>
      <c r="Z79" s="12">
        <f>SUM(Z73,Z74,Z75)</f>
        <v/>
      </c>
      <c r="AA79" s="12">
        <f>SUM(AA73,AA74,AA75)</f>
        <v/>
      </c>
      <c r="AB79" s="12">
        <f>SUM(AB73,AB74,AB75)</f>
        <v/>
      </c>
      <c r="AC79" s="12">
        <f>SUM(AC73,AC74,AC75)</f>
        <v/>
      </c>
    </row>
    <row r="80">
      <c r="A80" s="16" t="inlineStr">
        <is>
          <t>기업가치 산출</t>
        </is>
      </c>
      <c r="B80" s="16" t="n"/>
      <c r="C80" s="17" t="n"/>
      <c r="D80" s="16" t="n"/>
      <c r="E80" s="16" t="n"/>
      <c r="F80" s="16" t="n"/>
      <c r="G80" s="16" t="n"/>
      <c r="H80" s="16" t="n"/>
      <c r="I80" s="16" t="n"/>
      <c r="J80" s="16" t="n"/>
      <c r="K80" s="16" t="n"/>
      <c r="L80" s="16" t="n"/>
      <c r="M80" s="16" t="n"/>
      <c r="N80" s="16" t="n"/>
      <c r="O80" s="17" t="n"/>
      <c r="P80" s="16" t="n"/>
      <c r="Q80" s="16" t="n"/>
      <c r="R80" s="16" t="n"/>
      <c r="S80" s="16" t="n"/>
      <c r="T80" s="16" t="n"/>
      <c r="U80" s="16" t="n"/>
      <c r="V80" s="16" t="n"/>
      <c r="W80" s="16" t="n"/>
      <c r="X80" s="16" t="n"/>
      <c r="Y80" s="17" t="n"/>
      <c r="Z80" s="16" t="n"/>
      <c r="AA80" s="16" t="n"/>
      <c r="AB80" s="16" t="n"/>
      <c r="AC80" s="16" t="n"/>
    </row>
    <row r="81">
      <c r="A81" s="18" t="inlineStr">
        <is>
          <t>목표 시가총액 (P/E)</t>
        </is>
      </c>
      <c r="B81" s="10" t="inlineStr">
        <is>
          <t>지배순이익 × Target P/E</t>
        </is>
      </c>
      <c r="C81" s="19" t="n"/>
      <c r="D81" s="20" t="n"/>
      <c r="E81" s="20" t="n"/>
      <c r="F81" s="20" t="n"/>
      <c r="G81" s="20" t="n"/>
      <c r="H81" s="20" t="n"/>
      <c r="I81" s="20" t="n"/>
      <c r="J81" s="20" t="n"/>
      <c r="K81" s="20" t="n"/>
      <c r="L81" s="20" t="n"/>
      <c r="M81" s="20" t="n"/>
      <c r="N81" s="20" t="n"/>
      <c r="O81" s="19" t="n"/>
      <c r="P81" s="20" t="n"/>
      <c r="Q81" s="20" t="n"/>
      <c r="R81" s="20" t="n"/>
      <c r="S81" s="20" t="n"/>
      <c r="T81" s="20" t="n"/>
      <c r="U81" s="20" t="n"/>
      <c r="V81" s="20" t="n"/>
      <c r="W81" s="20" t="n"/>
      <c r="X81" s="20" t="n"/>
      <c r="Y81" s="19">
        <f>IF(OR(Y58="",Y68=""),"",IFERROR(Y58*Y68,""))</f>
        <v/>
      </c>
      <c r="Z81" s="20">
        <f>IF(OR(Z58="",Z68=""),"",IFERROR(Z58*Z68,""))</f>
        <v/>
      </c>
      <c r="AA81" s="20">
        <f>IF(OR(AA58="",AA68=""),"",IFERROR(AA58*AA68,""))</f>
        <v/>
      </c>
      <c r="AB81" s="20">
        <f>IF(OR(AB58="",AB68=""),"",IFERROR(AB58*AB68,""))</f>
        <v/>
      </c>
      <c r="AC81" s="20">
        <f>IF(OR(AC58="",AC68=""),"",IFERROR(AC58*AC68,""))</f>
        <v/>
      </c>
    </row>
    <row r="82">
      <c r="A82" s="9" t="inlineStr">
        <is>
          <t>기업가치</t>
        </is>
      </c>
      <c r="B82" s="10" t="inlineStr">
        <is>
          <t>목표시총 + 자산가치</t>
        </is>
      </c>
      <c r="C82" s="11" t="n"/>
      <c r="D82" s="12" t="n"/>
      <c r="E82" s="12" t="n"/>
      <c r="F82" s="12" t="n"/>
      <c r="G82" s="12" t="n"/>
      <c r="H82" s="12" t="n"/>
      <c r="I82" s="12" t="n"/>
      <c r="J82" s="12" t="n"/>
      <c r="K82" s="12" t="n"/>
      <c r="L82" s="12" t="n"/>
      <c r="M82" s="12" t="n"/>
      <c r="N82" s="12" t="n"/>
      <c r="O82" s="11" t="n"/>
      <c r="P82" s="12" t="n"/>
      <c r="Q82" s="12" t="n"/>
      <c r="R82" s="12" t="n"/>
      <c r="S82" s="12" t="n"/>
      <c r="T82" s="12" t="n"/>
      <c r="U82" s="12" t="n"/>
      <c r="V82" s="12" t="n"/>
      <c r="W82" s="12" t="n"/>
      <c r="X82" s="12" t="n"/>
      <c r="Y82" s="11">
        <f>IF(OR(Y81=""),"",IFERROR(Y81+Y79,""))</f>
        <v/>
      </c>
      <c r="Z82" s="12">
        <f>IF(OR(Z81=""),"",IFERROR(Z81+Z79,""))</f>
        <v/>
      </c>
      <c r="AA82" s="12">
        <f>IF(OR(AA81=""),"",IFERROR(AA81+AA79,""))</f>
        <v/>
      </c>
      <c r="AB82" s="12">
        <f>IF(OR(AB81=""),"",IFERROR(AB81+AB79,""))</f>
        <v/>
      </c>
      <c r="AC82" s="12">
        <f>IF(OR(AC81=""),"",IFERROR(AC81+AC79,""))</f>
        <v/>
      </c>
    </row>
    <row r="83">
      <c r="A83" s="18" t="inlineStr">
        <is>
          <t>현재 시가총액</t>
        </is>
      </c>
      <c r="B83" s="10" t="n"/>
      <c r="C83" s="19" t="n"/>
      <c r="D83" s="20" t="n"/>
      <c r="E83" s="20" t="n"/>
      <c r="F83" s="20" t="n"/>
      <c r="G83" s="20" t="n"/>
      <c r="H83" s="20" t="n"/>
      <c r="I83" s="20" t="n"/>
      <c r="J83" s="20" t="n"/>
      <c r="K83" s="20" t="n"/>
      <c r="L83" s="20" t="n"/>
      <c r="M83" s="20" t="n"/>
      <c r="N83" s="20" t="n"/>
      <c r="O83" s="19" t="n"/>
      <c r="P83" s="20" t="n"/>
      <c r="Q83" s="20" t="n"/>
      <c r="R83" s="20" t="n"/>
      <c r="S83" s="20" t="n"/>
      <c r="T83" s="20" t="n"/>
      <c r="U83" s="20" t="n"/>
      <c r="V83" s="20" t="n"/>
      <c r="W83" s="20" t="n"/>
      <c r="X83" s="20" t="n"/>
      <c r="Y83" s="19">
        <f>$B$64</f>
        <v/>
      </c>
      <c r="Z83" s="20">
        <f>$B$64</f>
        <v/>
      </c>
      <c r="AA83" s="20">
        <f>$B$64</f>
        <v/>
      </c>
      <c r="AB83" s="20">
        <f>$B$64</f>
        <v/>
      </c>
      <c r="AC83" s="20">
        <f>$B$64</f>
        <v/>
      </c>
    </row>
    <row r="84">
      <c r="A84" s="18" t="inlineStr">
        <is>
          <t>상승여력</t>
        </is>
      </c>
      <c r="B84" s="10" t="n"/>
      <c r="C84" s="35" t="n"/>
      <c r="D84" s="36" t="n"/>
      <c r="E84" s="36" t="n"/>
      <c r="F84" s="36" t="n"/>
      <c r="G84" s="36" t="n"/>
      <c r="H84" s="36" t="n"/>
      <c r="I84" s="36" t="n"/>
      <c r="J84" s="36" t="n"/>
      <c r="K84" s="36" t="n"/>
      <c r="L84" s="36" t="n"/>
      <c r="M84" s="36" t="n"/>
      <c r="N84" s="36" t="n"/>
      <c r="O84" s="35" t="n"/>
      <c r="P84" s="36" t="n"/>
      <c r="Q84" s="36" t="n"/>
      <c r="R84" s="36" t="n"/>
      <c r="S84" s="36" t="n"/>
      <c r="T84" s="36" t="n"/>
      <c r="U84" s="36" t="n"/>
      <c r="V84" s="36" t="n"/>
      <c r="W84" s="36" t="n"/>
      <c r="X84" s="36" t="n"/>
      <c r="Y84" s="37">
        <f>IF(OR(Y82="",Y83=""),"",IFERROR(Y82/Y83-1,""))</f>
        <v/>
      </c>
      <c r="Z84" s="38">
        <f>IF(OR(Z82="",Z83=""),"",IFERROR(Z82/Z83-1,""))</f>
        <v/>
      </c>
      <c r="AA84" s="38">
        <f>IF(OR(AA82="",AA83=""),"",IFERROR(AA82/AA83-1,""))</f>
        <v/>
      </c>
      <c r="AB84" s="38">
        <f>IF(OR(AB82="",AB83=""),"",IFERROR(AB82/AB83-1,""))</f>
        <v/>
      </c>
      <c r="AC84" s="38">
        <f>IF(OR(AC82="",AC83=""),"",IFERROR(AC82/AC83-1,""))</f>
        <v/>
      </c>
    </row>
    <row r="85">
      <c r="C85" s="39" t="n"/>
      <c r="O85" s="39" t="n"/>
      <c r="Y85" s="39" t="n"/>
    </row>
    <row r="86">
      <c r="A86" s="40" t="inlineStr">
        <is>
          <t>출처</t>
        </is>
      </c>
      <c r="C86" s="39" t="n"/>
      <c r="O86" s="39" t="n"/>
      <c r="Y86" s="39" t="n"/>
    </row>
    <row r="87">
      <c r="A87" s="41" t="inlineStr">
        <is>
          <t>결산단신 XBRL(TDnet·JPX 보관소) — 쓴 문서는 '출처' 시트</t>
        </is>
      </c>
      <c r="C87" s="39" t="n"/>
      <c r="O87" s="39" t="n"/>
      <c r="Y87" s="39" t="n"/>
    </row>
    <row r="88">
      <c r="A88" s="41" t="inlineStr">
        <is>
          <t>분기 = 누계에서 앞 분기를 뺀 3개월 값</t>
        </is>
      </c>
      <c r="C88" s="39" t="n"/>
      <c r="O88" s="39" t="n"/>
      <c r="Y88" s="39" t="n"/>
    </row>
    <row r="89">
      <c r="A89" s="41" t="inlineStr">
        <is>
          <t>주가: 야후 파이낸스 일봉 2026.10.28</t>
        </is>
      </c>
      <c r="C89" s="39" t="n"/>
      <c r="O89" s="39" t="n"/>
      <c r="Y89" s="39" t="n"/>
    </row>
    <row r="91">
      <c r="A91" s="16" t="inlineStr">
        <is>
          <t>손익계산서 · 전 항목</t>
        </is>
      </c>
      <c r="B91" s="42" t="inlineStr">
        <is>
          <t>분기 = 3개월 단독</t>
        </is>
      </c>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row>
    <row r="92">
      <c r="A92" s="5" t="inlineStr">
        <is>
          <t>항목</t>
        </is>
      </c>
      <c r="B92" s="5" t="inlineStr">
        <is>
          <t>참고</t>
        </is>
      </c>
      <c r="C92" s="5" t="inlineStr">
        <is>
          <t>2024.3Q</t>
        </is>
      </c>
      <c r="D92" s="5" t="inlineStr">
        <is>
          <t>2024.4Q</t>
        </is>
      </c>
      <c r="E92" s="5" t="inlineStr">
        <is>
          <t>2025.1Q</t>
        </is>
      </c>
      <c r="F92" s="5" t="inlineStr">
        <is>
          <t>2025.2Q</t>
        </is>
      </c>
      <c r="G92" s="5" t="inlineStr">
        <is>
          <t>2025.3Q</t>
        </is>
      </c>
      <c r="H92" s="5" t="inlineStr">
        <is>
          <t>2025.4Q</t>
        </is>
      </c>
      <c r="I92" s="5" t="inlineStr">
        <is>
          <t>2026.1Q</t>
        </is>
      </c>
      <c r="J92" s="5" t="inlineStr">
        <is>
          <t>2026.2Q</t>
        </is>
      </c>
      <c r="K92" s="5" t="inlineStr">
        <is>
          <t>2026.3Q</t>
        </is>
      </c>
      <c r="L92" s="5" t="inlineStr">
        <is>
          <t>2026.4Q</t>
        </is>
      </c>
      <c r="M92" s="5" t="inlineStr">
        <is>
          <t>2027.1Q</t>
        </is>
      </c>
      <c r="N92" s="5" t="inlineStr">
        <is>
          <t>2027.2Q</t>
        </is>
      </c>
      <c r="O92" s="5" t="inlineStr">
        <is>
          <t>2017</t>
        </is>
      </c>
      <c r="P92" s="5" t="inlineStr">
        <is>
          <t>2018</t>
        </is>
      </c>
      <c r="Q92" s="5" t="inlineStr">
        <is>
          <t>2019</t>
        </is>
      </c>
      <c r="R92" s="5" t="inlineStr">
        <is>
          <t>2020</t>
        </is>
      </c>
      <c r="S92" s="5" t="inlineStr">
        <is>
          <t>2021</t>
        </is>
      </c>
      <c r="T92" s="5" t="inlineStr">
        <is>
          <t>2022</t>
        </is>
      </c>
      <c r="U92" s="5" t="inlineStr">
        <is>
          <t>2023</t>
        </is>
      </c>
      <c r="V92" s="5" t="inlineStr">
        <is>
          <t>2024</t>
        </is>
      </c>
      <c r="W92" s="5" t="inlineStr">
        <is>
          <t>2025</t>
        </is>
      </c>
      <c r="X92" s="5" t="inlineStr">
        <is>
          <t>2026</t>
        </is>
      </c>
      <c r="Y92" s="5" t="inlineStr">
        <is>
          <t>2027(MW)</t>
        </is>
      </c>
      <c r="Z92" s="5" t="inlineStr">
        <is>
          <t>2028(MW)</t>
        </is>
      </c>
      <c r="AA92" s="5" t="inlineStr">
        <is>
          <t>2029(MW)</t>
        </is>
      </c>
      <c r="AB92" s="5" t="inlineStr">
        <is>
          <t>2030(MW)</t>
        </is>
      </c>
      <c r="AC92" s="5" t="inlineStr">
        <is>
          <t>2031(MW)</t>
        </is>
      </c>
    </row>
    <row r="93">
      <c r="A93" s="9" t="inlineStr">
        <is>
          <t>매출수익</t>
        </is>
      </c>
      <c r="C93" s="12" t="n">
        <v>244556</v>
      </c>
      <c r="D93" s="12" t="n">
        <v>221239</v>
      </c>
      <c r="E93" s="12" t="n">
        <v>249310</v>
      </c>
      <c r="F93" s="12" t="n">
        <v>272413</v>
      </c>
      <c r="G93" s="12" t="n">
        <v>256562</v>
      </c>
      <c r="H93" s="12" t="n">
        <v>235593</v>
      </c>
      <c r="I93" s="12" t="n">
        <v>246192</v>
      </c>
      <c r="J93" s="12" t="n">
        <v>267377</v>
      </c>
      <c r="K93" s="12" t="n">
        <v>272626</v>
      </c>
      <c r="L93" s="12" t="n">
        <v>241976</v>
      </c>
      <c r="M93" s="12" t="n">
        <v>271672</v>
      </c>
      <c r="N93" s="12" t="n">
        <v>286691</v>
      </c>
      <c r="T93" s="12" t="n">
        <v>207177</v>
      </c>
      <c r="U93" s="12" t="n">
        <v>190057</v>
      </c>
      <c r="V93" s="12" t="n">
        <v>221239</v>
      </c>
      <c r="W93" s="12" t="n">
        <v>235593</v>
      </c>
      <c r="X93" s="12" t="n">
        <v>241976</v>
      </c>
    </row>
    <row r="94">
      <c r="A94" s="43" t="inlineStr">
        <is>
          <t>YoY</t>
        </is>
      </c>
      <c r="B94" s="3" t="inlineStr">
        <is>
          <t>전년 같은 분기·전년 대비</t>
        </is>
      </c>
      <c r="G94" s="15">
        <f>IF(OR(G93="",C93=""),"",IF(C93&lt;=0,"",IFERROR(G93/C93-1,"")))</f>
        <v/>
      </c>
      <c r="H94" s="15">
        <f>IF(OR(H93="",D93=""),"",IF(D93&lt;=0,"",IFERROR(H93/D93-1,"")))</f>
        <v/>
      </c>
      <c r="I94" s="15">
        <f>IF(OR(I93="",E93=""),"",IF(E93&lt;=0,"",IFERROR(I93/E93-1,"")))</f>
        <v/>
      </c>
      <c r="J94" s="15">
        <f>IF(OR(J93="",F93=""),"",IF(F93&lt;=0,"",IFERROR(J93/F93-1,"")))</f>
        <v/>
      </c>
      <c r="K94" s="15">
        <f>IF(OR(K93="",G93=""),"",IF(G93&lt;=0,"",IFERROR(K93/G93-1,"")))</f>
        <v/>
      </c>
      <c r="L94" s="15">
        <f>IF(OR(L93="",H93=""),"",IF(H93&lt;=0,"",IFERROR(L93/H93-1,"")))</f>
        <v/>
      </c>
      <c r="M94" s="15">
        <f>IF(OR(M93="",I93=""),"",IF(I93&lt;=0,"",IFERROR(M93/I93-1,"")))</f>
        <v/>
      </c>
      <c r="N94" s="15">
        <f>IF(OR(N93="",J93=""),"",IF(J93&lt;=0,"",IFERROR(N93/J93-1,"")))</f>
        <v/>
      </c>
      <c r="T94" s="15">
        <f>IF(OR(T93="",S93=""),"",IF(S93&lt;=0,"",IFERROR(T93/S93-1,"")))</f>
        <v/>
      </c>
      <c r="U94" s="15">
        <f>IF(OR(U93="",T93=""),"",IF(T93&lt;=0,"",IFERROR(U93/T93-1,"")))</f>
        <v/>
      </c>
      <c r="V94" s="15">
        <f>IF(OR(V93="",U93=""),"",IF(U93&lt;=0,"",IFERROR(V93/U93-1,"")))</f>
        <v/>
      </c>
      <c r="W94" s="15">
        <f>IF(OR(W93="",V93=""),"",IF(V93&lt;=0,"",IFERROR(W93/V93-1,"")))</f>
        <v/>
      </c>
      <c r="X94" s="15">
        <f>IF(OR(X93="",W93=""),"",IF(W93&lt;=0,"",IFERROR(X93/W93-1,"")))</f>
        <v/>
      </c>
    </row>
    <row r="95">
      <c r="A95" s="18" t="inlineStr">
        <is>
          <t>매출원가</t>
        </is>
      </c>
      <c r="C95" s="20" t="n">
        <v>146065</v>
      </c>
      <c r="D95" s="20" t="n">
        <v>146243</v>
      </c>
      <c r="E95" s="20" t="n">
        <v>150849</v>
      </c>
      <c r="F95" s="20" t="n">
        <v>161673</v>
      </c>
      <c r="G95" s="20" t="n">
        <v>157807</v>
      </c>
      <c r="H95" s="20" t="n">
        <v>148036</v>
      </c>
      <c r="I95" s="20" t="n">
        <v>153671</v>
      </c>
      <c r="J95" s="20" t="n">
        <v>162575</v>
      </c>
      <c r="K95" s="20" t="n">
        <v>167419</v>
      </c>
      <c r="L95" s="20" t="n">
        <v>153743</v>
      </c>
      <c r="M95" s="20" t="n">
        <v>169489</v>
      </c>
      <c r="N95" s="20" t="n">
        <v>176686</v>
      </c>
      <c r="T95" s="20" t="n">
        <v>136389</v>
      </c>
      <c r="U95" s="20" t="n">
        <v>137232</v>
      </c>
      <c r="V95" s="20" t="n">
        <v>146243</v>
      </c>
      <c r="W95" s="20" t="n">
        <v>148036</v>
      </c>
      <c r="X95" s="20" t="n">
        <v>153743</v>
      </c>
    </row>
    <row r="96">
      <c r="A96" s="43" t="inlineStr">
        <is>
          <t>YoY</t>
        </is>
      </c>
      <c r="B96" s="3" t="inlineStr">
        <is>
          <t>전년 같은 분기·전년 대비</t>
        </is>
      </c>
      <c r="G96" s="15">
        <f>IF(OR(G95="",C95=""),"",IF(G95*C95&lt;=0,"",IFERROR(G95/C95-1,"")))</f>
        <v/>
      </c>
      <c r="H96" s="15">
        <f>IF(OR(H95="",D95=""),"",IF(H95*D95&lt;=0,"",IFERROR(H95/D95-1,"")))</f>
        <v/>
      </c>
      <c r="I96" s="15">
        <f>IF(OR(I95="",E95=""),"",IF(I95*E95&lt;=0,"",IFERROR(I95/E95-1,"")))</f>
        <v/>
      </c>
      <c r="J96" s="15">
        <f>IF(OR(J95="",F95=""),"",IF(J95*F95&lt;=0,"",IFERROR(J95/F95-1,"")))</f>
        <v/>
      </c>
      <c r="K96" s="15">
        <f>IF(OR(K95="",G95=""),"",IF(K95*G95&lt;=0,"",IFERROR(K95/G95-1,"")))</f>
        <v/>
      </c>
      <c r="L96" s="15">
        <f>IF(OR(L95="",H95=""),"",IF(L95*H95&lt;=0,"",IFERROR(L95/H95-1,"")))</f>
        <v/>
      </c>
      <c r="M96" s="15">
        <f>IF(OR(M95="",I95=""),"",IF(M95*I95&lt;=0,"",IFERROR(M95/I95-1,"")))</f>
        <v/>
      </c>
      <c r="N96" s="15">
        <f>IF(OR(N95="",J95=""),"",IF(N95*J95&lt;=0,"",IFERROR(N95/J95-1,"")))</f>
        <v/>
      </c>
      <c r="T96" s="15">
        <f>IF(OR(T95="",S95=""),"",IF(T95*S95&lt;=0,"",IFERROR(T95/S95-1,"")))</f>
        <v/>
      </c>
      <c r="U96" s="15">
        <f>IF(OR(U95="",T95=""),"",IF(U95*T95&lt;=0,"",IFERROR(U95/T95-1,"")))</f>
        <v/>
      </c>
      <c r="V96" s="15">
        <f>IF(OR(V95="",U95=""),"",IF(V95*U95&lt;=0,"",IFERROR(V95/U95-1,"")))</f>
        <v/>
      </c>
      <c r="W96" s="15">
        <f>IF(OR(W95="",V95=""),"",IF(W95*V95&lt;=0,"",IFERROR(W95/V95-1,"")))</f>
        <v/>
      </c>
      <c r="X96" s="15">
        <f>IF(OR(X95="",W95=""),"",IF(X95*W95&lt;=0,"",IFERROR(X95/W95-1,"")))</f>
        <v/>
      </c>
    </row>
    <row r="97">
      <c r="A97" s="9" t="inlineStr">
        <is>
          <t>매출총이익</t>
        </is>
      </c>
      <c r="C97" s="12" t="n">
        <v>98492</v>
      </c>
      <c r="D97" s="12" t="n">
        <v>74995</v>
      </c>
      <c r="E97" s="12" t="n">
        <v>98460</v>
      </c>
      <c r="F97" s="12" t="n">
        <v>110740</v>
      </c>
      <c r="G97" s="12" t="n">
        <v>98756</v>
      </c>
      <c r="H97" s="12" t="n">
        <v>87557</v>
      </c>
      <c r="I97" s="12" t="n">
        <v>92521</v>
      </c>
      <c r="J97" s="12" t="n">
        <v>104802</v>
      </c>
      <c r="K97" s="12" t="n">
        <v>105207</v>
      </c>
      <c r="L97" s="12" t="n">
        <v>88233</v>
      </c>
      <c r="M97" s="12" t="n">
        <v>102182</v>
      </c>
      <c r="N97" s="12" t="n">
        <v>110006</v>
      </c>
      <c r="T97" s="12" t="n">
        <v>70788</v>
      </c>
      <c r="U97" s="12" t="n">
        <v>52824</v>
      </c>
      <c r="V97" s="12" t="n">
        <v>74995</v>
      </c>
      <c r="W97" s="12" t="n">
        <v>87557</v>
      </c>
      <c r="X97" s="12" t="n">
        <v>88233</v>
      </c>
    </row>
    <row r="98">
      <c r="A98" s="43" t="inlineStr">
        <is>
          <t>YoY</t>
        </is>
      </c>
      <c r="B98" s="3" t="inlineStr">
        <is>
          <t>전년 같은 분기·전년 대비</t>
        </is>
      </c>
      <c r="G98" s="15">
        <f>IF(OR(G97="",C97=""),"",IF(C97&lt;=0,"",IFERROR(G97/C97-1,"")))</f>
        <v/>
      </c>
      <c r="H98" s="15">
        <f>IF(OR(H97="",D97=""),"",IF(D97&lt;=0,"",IFERROR(H97/D97-1,"")))</f>
        <v/>
      </c>
      <c r="I98" s="15">
        <f>IF(OR(I97="",E97=""),"",IF(E97&lt;=0,"",IFERROR(I97/E97-1,"")))</f>
        <v/>
      </c>
      <c r="J98" s="15">
        <f>IF(OR(J97="",F97=""),"",IF(F97&lt;=0,"",IFERROR(J97/F97-1,"")))</f>
        <v/>
      </c>
      <c r="K98" s="15">
        <f>IF(OR(K97="",G97=""),"",IF(G97&lt;=0,"",IFERROR(K97/G97-1,"")))</f>
        <v/>
      </c>
      <c r="L98" s="15">
        <f>IF(OR(L97="",H97=""),"",IF(H97&lt;=0,"",IFERROR(L97/H97-1,"")))</f>
        <v/>
      </c>
      <c r="M98" s="15">
        <f>IF(OR(M97="",I97=""),"",IF(I97&lt;=0,"",IFERROR(M97/I97-1,"")))</f>
        <v/>
      </c>
      <c r="N98" s="15">
        <f>IF(OR(N97="",J97=""),"",IF(J97&lt;=0,"",IFERROR(N97/J97-1,"")))</f>
        <v/>
      </c>
      <c r="T98" s="15">
        <f>IF(OR(T97="",S97=""),"",IF(S97&lt;=0,"",IFERROR(T97/S97-1,"")))</f>
        <v/>
      </c>
      <c r="U98" s="15">
        <f>IF(OR(U97="",T97=""),"",IF(T97&lt;=0,"",IFERROR(U97/T97-1,"")))</f>
        <v/>
      </c>
      <c r="V98" s="15">
        <f>IF(OR(V97="",U97=""),"",IF(U97&lt;=0,"",IFERROR(V97/U97-1,"")))</f>
        <v/>
      </c>
      <c r="W98" s="15">
        <f>IF(OR(W97="",V97=""),"",IF(V97&lt;=0,"",IFERROR(W97/V97-1,"")))</f>
        <v/>
      </c>
      <c r="X98" s="15">
        <f>IF(OR(X97="",W97=""),"",IF(W97&lt;=0,"",IFERROR(X97/W97-1,"")))</f>
        <v/>
      </c>
    </row>
    <row r="99">
      <c r="A99" s="18" t="inlineStr">
        <is>
          <t>판매비와 관리비</t>
        </is>
      </c>
      <c r="C99" s="20" t="n">
        <v>38766</v>
      </c>
      <c r="D99" s="20" t="n">
        <v>35646</v>
      </c>
      <c r="E99" s="20" t="n">
        <v>37194</v>
      </c>
      <c r="F99" s="20" t="n">
        <v>38107</v>
      </c>
      <c r="G99" s="20" t="n">
        <v>39818</v>
      </c>
      <c r="H99" s="20" t="n">
        <v>36716</v>
      </c>
      <c r="I99" s="20" t="n">
        <v>37079</v>
      </c>
      <c r="J99" s="20" t="n">
        <v>38272</v>
      </c>
      <c r="K99" s="20" t="n">
        <v>41903</v>
      </c>
      <c r="L99" s="20" t="n">
        <v>39068</v>
      </c>
      <c r="M99" s="20" t="n">
        <v>39502</v>
      </c>
      <c r="N99" s="20" t="n">
        <v>40853</v>
      </c>
      <c r="T99" s="20" t="n">
        <v>33047</v>
      </c>
      <c r="U99" s="20" t="n">
        <v>34951</v>
      </c>
      <c r="V99" s="20" t="n">
        <v>35646</v>
      </c>
      <c r="W99" s="20" t="n">
        <v>36716</v>
      </c>
      <c r="X99" s="20" t="n">
        <v>39068</v>
      </c>
    </row>
    <row r="100">
      <c r="A100" s="43" t="inlineStr">
        <is>
          <t>YoY</t>
        </is>
      </c>
      <c r="B100" s="3" t="inlineStr">
        <is>
          <t>전년 같은 분기·전년 대비</t>
        </is>
      </c>
      <c r="G100" s="15">
        <f>IF(OR(G99="",C99=""),"",IF(G99*C99&lt;=0,"",IFERROR(G99/C99-1,"")))</f>
        <v/>
      </c>
      <c r="H100" s="15">
        <f>IF(OR(H99="",D99=""),"",IF(H99*D99&lt;=0,"",IFERROR(H99/D99-1,"")))</f>
        <v/>
      </c>
      <c r="I100" s="15">
        <f>IF(OR(I99="",E99=""),"",IF(I99*E99&lt;=0,"",IFERROR(I99/E99-1,"")))</f>
        <v/>
      </c>
      <c r="J100" s="15">
        <f>IF(OR(J99="",F99=""),"",IF(J99*F99&lt;=0,"",IFERROR(J99/F99-1,"")))</f>
        <v/>
      </c>
      <c r="K100" s="15">
        <f>IF(OR(K99="",G99=""),"",IF(K99*G99&lt;=0,"",IFERROR(K99/G99-1,"")))</f>
        <v/>
      </c>
      <c r="L100" s="15">
        <f>IF(OR(L99="",H99=""),"",IF(L99*H99&lt;=0,"",IFERROR(L99/H99-1,"")))</f>
        <v/>
      </c>
      <c r="M100" s="15">
        <f>IF(OR(M99="",I99=""),"",IF(M99*I99&lt;=0,"",IFERROR(M99/I99-1,"")))</f>
        <v/>
      </c>
      <c r="N100" s="15">
        <f>IF(OR(N99="",J99=""),"",IF(N99*J99&lt;=0,"",IFERROR(N99/J99-1,"")))</f>
        <v/>
      </c>
      <c r="T100" s="15">
        <f>IF(OR(T99="",S99=""),"",IF(T99*S99&lt;=0,"",IFERROR(T99/S99-1,"")))</f>
        <v/>
      </c>
      <c r="U100" s="15">
        <f>IF(OR(U99="",T99=""),"",IF(U99*T99&lt;=0,"",IFERROR(U99/T99-1,"")))</f>
        <v/>
      </c>
      <c r="V100" s="15">
        <f>IF(OR(V99="",U99=""),"",IF(V99*U99&lt;=0,"",IFERROR(V99/U99-1,"")))</f>
        <v/>
      </c>
      <c r="W100" s="15">
        <f>IF(OR(W99="",V99=""),"",IF(W99*V99&lt;=0,"",IFERROR(W99/V99-1,"")))</f>
        <v/>
      </c>
      <c r="X100" s="15">
        <f>IF(OR(X99="",W99=""),"",IF(X99*W99&lt;=0,"",IFERROR(X99/W99-1,"")))</f>
        <v/>
      </c>
    </row>
    <row r="101">
      <c r="A101" s="18" t="inlineStr">
        <is>
          <t>연구개발비</t>
        </is>
      </c>
      <c r="C101" s="20" t="n">
        <v>10838</v>
      </c>
      <c r="D101" s="20" t="n">
        <v>10777</v>
      </c>
      <c r="E101" s="20" t="n">
        <v>11123</v>
      </c>
      <c r="F101" s="20" t="n">
        <v>11898</v>
      </c>
      <c r="G101" s="20" t="n">
        <v>12018</v>
      </c>
      <c r="H101" s="20" t="n">
        <v>11732</v>
      </c>
      <c r="I101" s="20" t="n">
        <v>11245</v>
      </c>
      <c r="J101" s="20" t="n">
        <v>12041</v>
      </c>
      <c r="K101" s="20" t="n">
        <v>12004</v>
      </c>
      <c r="L101" s="20" t="n">
        <v>12735</v>
      </c>
      <c r="M101" s="20" t="n">
        <v>13089</v>
      </c>
      <c r="N101" s="20" t="n">
        <v>12931</v>
      </c>
      <c r="T101" s="20" t="n">
        <v>9773</v>
      </c>
      <c r="U101" s="20" t="n">
        <v>9457</v>
      </c>
      <c r="V101" s="20" t="n">
        <v>10777</v>
      </c>
      <c r="W101" s="20" t="n">
        <v>11732</v>
      </c>
      <c r="X101" s="20" t="n">
        <v>12735</v>
      </c>
    </row>
    <row r="102">
      <c r="A102" s="18" t="inlineStr">
        <is>
          <t>기타수익</t>
        </is>
      </c>
      <c r="C102" s="20" t="n">
        <v>1670</v>
      </c>
      <c r="D102" s="20" t="n">
        <v>1868</v>
      </c>
      <c r="E102" s="20" t="n">
        <v>2806</v>
      </c>
      <c r="F102" s="20" t="n">
        <v>1406</v>
      </c>
      <c r="G102" s="20" t="n">
        <v>4972</v>
      </c>
      <c r="H102" s="20" t="n">
        <v>2643</v>
      </c>
      <c r="I102" s="20" t="n">
        <v>2118</v>
      </c>
      <c r="J102" s="20" t="n">
        <v>2039</v>
      </c>
      <c r="K102" s="20" t="n">
        <v>5635</v>
      </c>
      <c r="L102" s="20" t="n">
        <v>2779</v>
      </c>
      <c r="M102" s="20" t="n">
        <v>2364</v>
      </c>
      <c r="N102" s="20" t="n">
        <v>2904</v>
      </c>
      <c r="T102" s="20" t="n">
        <v>1954</v>
      </c>
      <c r="U102" s="20" t="n">
        <v>3897</v>
      </c>
      <c r="V102" s="20" t="n">
        <v>1868</v>
      </c>
      <c r="W102" s="20" t="n">
        <v>2643</v>
      </c>
      <c r="X102" s="20" t="n">
        <v>2779</v>
      </c>
    </row>
    <row r="103">
      <c r="A103" s="18" t="inlineStr">
        <is>
          <t>기타비용</t>
        </is>
      </c>
      <c r="C103" s="20" t="n">
        <v>2701</v>
      </c>
      <c r="D103" s="20" t="n">
        <v>3638</v>
      </c>
      <c r="E103" s="20" t="n">
        <v>2251</v>
      </c>
      <c r="F103" s="20" t="n">
        <v>3571</v>
      </c>
      <c r="G103" s="20" t="n">
        <v>8224</v>
      </c>
      <c r="H103" s="20" t="n">
        <v>9020</v>
      </c>
      <c r="I103" s="20" t="n">
        <v>3669</v>
      </c>
      <c r="J103" s="20" t="n">
        <v>4669</v>
      </c>
      <c r="K103" s="20" t="n">
        <v>3579</v>
      </c>
      <c r="L103" s="20" t="n">
        <v>3454</v>
      </c>
      <c r="M103" s="20" t="n">
        <v>2745</v>
      </c>
      <c r="N103" s="20" t="n">
        <v>2494</v>
      </c>
      <c r="T103" s="20" t="n">
        <v>5996</v>
      </c>
      <c r="U103" s="20" t="n">
        <v>2858</v>
      </c>
      <c r="V103" s="20" t="n">
        <v>3638</v>
      </c>
      <c r="W103" s="20" t="n">
        <v>9020</v>
      </c>
      <c r="X103" s="20" t="n">
        <v>3454</v>
      </c>
    </row>
    <row r="104">
      <c r="A104" s="18" t="inlineStr">
        <is>
          <t>영업이익</t>
        </is>
      </c>
      <c r="C104" s="20" t="n">
        <v>47857</v>
      </c>
      <c r="D104" s="20" t="n">
        <v>26803</v>
      </c>
      <c r="E104" s="20" t="n">
        <v>50696</v>
      </c>
      <c r="F104" s="20" t="n">
        <v>58571</v>
      </c>
      <c r="G104" s="20" t="n">
        <v>43668</v>
      </c>
      <c r="H104" s="20" t="n">
        <v>32732</v>
      </c>
      <c r="I104" s="20" t="n">
        <v>42645</v>
      </c>
      <c r="J104" s="20" t="n">
        <v>51859</v>
      </c>
      <c r="K104" s="20" t="n">
        <v>53356</v>
      </c>
      <c r="L104" s="20" t="n">
        <v>35755</v>
      </c>
      <c r="M104" s="20" t="n">
        <v>49210</v>
      </c>
      <c r="N104" s="20" t="n">
        <v>56631</v>
      </c>
      <c r="T104" s="20" t="n">
        <v>23926</v>
      </c>
      <c r="U104" s="20" t="n">
        <v>9455</v>
      </c>
      <c r="V104" s="20" t="n">
        <v>26803</v>
      </c>
      <c r="W104" s="20" t="n">
        <v>32732</v>
      </c>
      <c r="X104" s="20" t="n">
        <v>35755</v>
      </c>
    </row>
    <row r="105">
      <c r="A105" s="43" t="inlineStr">
        <is>
          <t>OPM</t>
        </is>
      </c>
      <c r="B105" s="3" t="inlineStr">
        <is>
          <t>영업이익 ÷ 매출</t>
        </is>
      </c>
      <c r="C105" s="15">
        <f>IF(OR(C104="",C93=""),"",IF(C93&lt;=0,"",IFERROR(C104/C93,"")))</f>
        <v/>
      </c>
      <c r="D105" s="15">
        <f>IF(OR(D104="",D93=""),"",IF(D93&lt;=0,"",IFERROR(D104/D93,"")))</f>
        <v/>
      </c>
      <c r="E105" s="15">
        <f>IF(OR(E104="",E93=""),"",IF(E93&lt;=0,"",IFERROR(E104/E93,"")))</f>
        <v/>
      </c>
      <c r="F105" s="15">
        <f>IF(OR(F104="",F93=""),"",IF(F93&lt;=0,"",IFERROR(F104/F93,"")))</f>
        <v/>
      </c>
      <c r="G105" s="15">
        <f>IF(OR(G104="",G93=""),"",IF(G93&lt;=0,"",IFERROR(G104/G93,"")))</f>
        <v/>
      </c>
      <c r="H105" s="15">
        <f>IF(OR(H104="",H93=""),"",IF(H93&lt;=0,"",IFERROR(H104/H93,"")))</f>
        <v/>
      </c>
      <c r="I105" s="15">
        <f>IF(OR(I104="",I93=""),"",IF(I93&lt;=0,"",IFERROR(I104/I93,"")))</f>
        <v/>
      </c>
      <c r="J105" s="15">
        <f>IF(OR(J104="",J93=""),"",IF(J93&lt;=0,"",IFERROR(J104/J93,"")))</f>
        <v/>
      </c>
      <c r="K105" s="15">
        <f>IF(OR(K104="",K93=""),"",IF(K93&lt;=0,"",IFERROR(K104/K93,"")))</f>
        <v/>
      </c>
      <c r="L105" s="15">
        <f>IF(OR(L104="",L93=""),"",IF(L93&lt;=0,"",IFERROR(L104/L93,"")))</f>
        <v/>
      </c>
      <c r="M105" s="15">
        <f>IF(OR(M104="",M93=""),"",IF(M93&lt;=0,"",IFERROR(M104/M93,"")))</f>
        <v/>
      </c>
      <c r="N105" s="15">
        <f>IF(OR(N104="",N93=""),"",IF(N93&lt;=0,"",IFERROR(N104/N93,"")))</f>
        <v/>
      </c>
      <c r="T105" s="15">
        <f>IF(OR(T104="",T93=""),"",IF(T93&lt;=0,"",IFERROR(T104/T93,"")))</f>
        <v/>
      </c>
      <c r="U105" s="15">
        <f>IF(OR(U104="",U93=""),"",IF(U93&lt;=0,"",IFERROR(U104/U93,"")))</f>
        <v/>
      </c>
      <c r="V105" s="15">
        <f>IF(OR(V104="",V93=""),"",IF(V93&lt;=0,"",IFERROR(V104/V93,"")))</f>
        <v/>
      </c>
      <c r="W105" s="15">
        <f>IF(OR(W104="",W93=""),"",IF(W93&lt;=0,"",IFERROR(W104/W93,"")))</f>
        <v/>
      </c>
      <c r="X105" s="15">
        <f>IF(OR(X104="",X93=""),"",IF(X93&lt;=0,"",IFERROR(X104/X93,"")))</f>
        <v/>
      </c>
    </row>
    <row r="106">
      <c r="A106" s="43" t="inlineStr">
        <is>
          <t>YoY</t>
        </is>
      </c>
      <c r="B106" s="3" t="inlineStr">
        <is>
          <t>전년 같은 분기·전년 대비</t>
        </is>
      </c>
      <c r="G106" s="15">
        <f>IF(OR(G104="",C104=""),"",IF(C104&lt;=0,"",IFERROR(G104/C104-1,"")))</f>
        <v/>
      </c>
      <c r="H106" s="15">
        <f>IF(OR(H104="",D104=""),"",IF(D104&lt;=0,"",IFERROR(H104/D104-1,"")))</f>
        <v/>
      </c>
      <c r="I106" s="15">
        <f>IF(OR(I104="",E104=""),"",IF(E104&lt;=0,"",IFERROR(I104/E104-1,"")))</f>
        <v/>
      </c>
      <c r="J106" s="15">
        <f>IF(OR(J104="",F104=""),"",IF(F104&lt;=0,"",IFERROR(J104/F104-1,"")))</f>
        <v/>
      </c>
      <c r="K106" s="15">
        <f>IF(OR(K104="",G104=""),"",IF(G104&lt;=0,"",IFERROR(K104/G104-1,"")))</f>
        <v/>
      </c>
      <c r="L106" s="15">
        <f>IF(OR(L104="",H104=""),"",IF(H104&lt;=0,"",IFERROR(L104/H104-1,"")))</f>
        <v/>
      </c>
      <c r="M106" s="15">
        <f>IF(OR(M104="",I104=""),"",IF(I104&lt;=0,"",IFERROR(M104/I104-1,"")))</f>
        <v/>
      </c>
      <c r="N106" s="15">
        <f>IF(OR(N104="",J104=""),"",IF(J104&lt;=0,"",IFERROR(N104/J104-1,"")))</f>
        <v/>
      </c>
      <c r="T106" s="15">
        <f>IF(OR(T104="",S104=""),"",IF(S104&lt;=0,"",IFERROR(T104/S104-1,"")))</f>
        <v/>
      </c>
      <c r="U106" s="15">
        <f>IF(OR(U104="",T104=""),"",IF(T104&lt;=0,"",IFERROR(U104/T104-1,"")))</f>
        <v/>
      </c>
      <c r="V106" s="15">
        <f>IF(OR(V104="",U104=""),"",IF(U104&lt;=0,"",IFERROR(V104/U104-1,"")))</f>
        <v/>
      </c>
      <c r="W106" s="15">
        <f>IF(OR(W104="",V104=""),"",IF(V104&lt;=0,"",IFERROR(W104/V104-1,"")))</f>
        <v/>
      </c>
      <c r="X106" s="15">
        <f>IF(OR(X104="",W104=""),"",IF(W104&lt;=0,"",IFERROR(X104/W104-1,"")))</f>
        <v/>
      </c>
    </row>
    <row r="107">
      <c r="A107" s="18" t="inlineStr">
        <is>
          <t>금융수익</t>
        </is>
      </c>
      <c r="C107" s="20" t="n">
        <v>558</v>
      </c>
      <c r="D107" s="20" t="n">
        <v>608</v>
      </c>
      <c r="E107" s="20" t="n">
        <v>728</v>
      </c>
      <c r="F107" s="20" t="n">
        <v>754</v>
      </c>
      <c r="G107" s="20" t="n">
        <v>658</v>
      </c>
      <c r="H107" s="20" t="n">
        <v>761</v>
      </c>
      <c r="I107" s="20" t="n">
        <v>1058</v>
      </c>
      <c r="J107" s="20" t="n">
        <v>525</v>
      </c>
      <c r="K107" s="20" t="n">
        <v>848</v>
      </c>
      <c r="L107" s="20" t="n">
        <v>827</v>
      </c>
      <c r="M107" s="20" t="n">
        <v>1060</v>
      </c>
      <c r="N107" s="20" t="n">
        <v>1047</v>
      </c>
      <c r="T107" s="20" t="n">
        <v>46</v>
      </c>
      <c r="U107" s="20" t="n">
        <v>504</v>
      </c>
      <c r="V107" s="20" t="n">
        <v>608</v>
      </c>
      <c r="W107" s="20" t="n">
        <v>761</v>
      </c>
      <c r="X107" s="20" t="n">
        <v>827</v>
      </c>
    </row>
    <row r="108">
      <c r="A108" s="43" t="inlineStr">
        <is>
          <t>YoY</t>
        </is>
      </c>
      <c r="B108" s="3" t="inlineStr">
        <is>
          <t>전년 같은 분기·전년 대비</t>
        </is>
      </c>
      <c r="G108" s="15">
        <f>IF(OR(G107="",C107=""),"",IF(G107*C107&lt;=0,"",IFERROR(G107/C107-1,"")))</f>
        <v/>
      </c>
      <c r="H108" s="15">
        <f>IF(OR(H107="",D107=""),"",IF(H107*D107&lt;=0,"",IFERROR(H107/D107-1,"")))</f>
        <v/>
      </c>
      <c r="I108" s="15">
        <f>IF(OR(I107="",E107=""),"",IF(I107*E107&lt;=0,"",IFERROR(I107/E107-1,"")))</f>
        <v/>
      </c>
      <c r="J108" s="15">
        <f>IF(OR(J107="",F107=""),"",IF(J107*F107&lt;=0,"",IFERROR(J107/F107-1,"")))</f>
        <v/>
      </c>
      <c r="K108" s="15">
        <f>IF(OR(K107="",G107=""),"",IF(K107*G107&lt;=0,"",IFERROR(K107/G107-1,"")))</f>
        <v/>
      </c>
      <c r="L108" s="15">
        <f>IF(OR(L107="",H107=""),"",IF(L107*H107&lt;=0,"",IFERROR(L107/H107-1,"")))</f>
        <v/>
      </c>
      <c r="M108" s="15">
        <f>IF(OR(M107="",I107=""),"",IF(M107*I107&lt;=0,"",IFERROR(M107/I107-1,"")))</f>
        <v/>
      </c>
      <c r="N108" s="15">
        <f>IF(OR(N107="",J107=""),"",IF(N107*J107&lt;=0,"",IFERROR(N107/J107-1,"")))</f>
        <v/>
      </c>
      <c r="T108" s="15">
        <f>IF(OR(T107="",S107=""),"",IF(T107*S107&lt;=0,"",IFERROR(T107/S107-1,"")))</f>
        <v/>
      </c>
      <c r="U108" s="15">
        <f>IF(OR(U107="",T107=""),"",IF(U107*T107&lt;=0,"",IFERROR(U107/T107-1,"")))</f>
        <v/>
      </c>
      <c r="V108" s="15">
        <f>IF(OR(V107="",U107=""),"",IF(V107*U107&lt;=0,"",IFERROR(V107/U107-1,"")))</f>
        <v/>
      </c>
      <c r="W108" s="15">
        <f>IF(OR(W107="",V107=""),"",IF(W107*V107&lt;=0,"",IFERROR(W107/V107-1,"")))</f>
        <v/>
      </c>
      <c r="X108" s="15">
        <f>IF(OR(X107="",W107=""),"",IF(X107*W107&lt;=0,"",IFERROR(X107/W107-1,"")))</f>
        <v/>
      </c>
    </row>
    <row r="109">
      <c r="A109" s="18" t="inlineStr">
        <is>
          <t>금융비용</t>
        </is>
      </c>
      <c r="C109" s="20" t="n">
        <v>658</v>
      </c>
      <c r="D109" s="20" t="n">
        <v>534</v>
      </c>
      <c r="E109" s="20" t="n">
        <v>709</v>
      </c>
      <c r="F109" s="20" t="n">
        <v>1000</v>
      </c>
      <c r="G109" s="20" t="n">
        <v>431</v>
      </c>
      <c r="H109" s="20" t="n">
        <v>991</v>
      </c>
      <c r="I109" s="20" t="n">
        <v>429</v>
      </c>
      <c r="J109" s="20" t="n">
        <v>565</v>
      </c>
      <c r="K109" s="20" t="n">
        <v>722</v>
      </c>
      <c r="L109" s="20" t="n">
        <v>329</v>
      </c>
      <c r="M109" s="20" t="n">
        <v>689</v>
      </c>
      <c r="N109" s="20" t="n">
        <v>829</v>
      </c>
      <c r="T109" s="20" t="n">
        <v>252</v>
      </c>
      <c r="U109" s="20" t="n">
        <v>503</v>
      </c>
      <c r="V109" s="20" t="n">
        <v>534</v>
      </c>
      <c r="W109" s="20" t="n">
        <v>991</v>
      </c>
      <c r="X109" s="20" t="n">
        <v>329</v>
      </c>
    </row>
    <row r="110">
      <c r="A110" s="43" t="inlineStr">
        <is>
          <t>YoY</t>
        </is>
      </c>
      <c r="B110" s="3" t="inlineStr">
        <is>
          <t>전년 같은 분기·전년 대비</t>
        </is>
      </c>
      <c r="G110" s="15">
        <f>IF(OR(G109="",C109=""),"",IF(G109*C109&lt;=0,"",IFERROR(G109/C109-1,"")))</f>
        <v/>
      </c>
      <c r="H110" s="15">
        <f>IF(OR(H109="",D109=""),"",IF(H109*D109&lt;=0,"",IFERROR(H109/D109-1,"")))</f>
        <v/>
      </c>
      <c r="I110" s="15">
        <f>IF(OR(I109="",E109=""),"",IF(I109*E109&lt;=0,"",IFERROR(I109/E109-1,"")))</f>
        <v/>
      </c>
      <c r="J110" s="15">
        <f>IF(OR(J109="",F109=""),"",IF(J109*F109&lt;=0,"",IFERROR(J109/F109-1,"")))</f>
        <v/>
      </c>
      <c r="K110" s="15">
        <f>IF(OR(K109="",G109=""),"",IF(K109*G109&lt;=0,"",IFERROR(K109/G109-1,"")))</f>
        <v/>
      </c>
      <c r="L110" s="15">
        <f>IF(OR(L109="",H109=""),"",IF(L109*H109&lt;=0,"",IFERROR(L109/H109-1,"")))</f>
        <v/>
      </c>
      <c r="M110" s="15">
        <f>IF(OR(M109="",I109=""),"",IF(M109*I109&lt;=0,"",IFERROR(M109/I109-1,"")))</f>
        <v/>
      </c>
      <c r="N110" s="15">
        <f>IF(OR(N109="",J109=""),"",IF(N109*J109&lt;=0,"",IFERROR(N109/J109-1,"")))</f>
        <v/>
      </c>
      <c r="T110" s="15">
        <f>IF(OR(T109="",S109=""),"",IF(T109*S109&lt;=0,"",IFERROR(T109/S109-1,"")))</f>
        <v/>
      </c>
      <c r="U110" s="15">
        <f>IF(OR(U109="",T109=""),"",IF(U109*T109&lt;=0,"",IFERROR(U109/T109-1,"")))</f>
        <v/>
      </c>
      <c r="V110" s="15">
        <f>IF(OR(V109="",U109=""),"",IF(V109*U109&lt;=0,"",IFERROR(V109/U109-1,"")))</f>
        <v/>
      </c>
      <c r="W110" s="15">
        <f>IF(OR(W109="",V109=""),"",IF(W109*V109&lt;=0,"",IFERROR(W109/V109-1,"")))</f>
        <v/>
      </c>
      <c r="X110" s="15">
        <f>IF(OR(X109="",W109=""),"",IF(X109*W109&lt;=0,"",IFERROR(X109/W109-1,"")))</f>
        <v/>
      </c>
    </row>
    <row r="111">
      <c r="A111" s="18" t="inlineStr">
        <is>
          <t>지분법 투자손익(△ 손실)</t>
        </is>
      </c>
      <c r="C111" s="20" t="n">
        <v>28</v>
      </c>
      <c r="D111" s="20" t="n">
        <v>-1</v>
      </c>
      <c r="E111" s="20" t="n">
        <v>-115</v>
      </c>
      <c r="F111" s="20" t="n">
        <v>8</v>
      </c>
      <c r="G111" s="20" t="n">
        <v>18</v>
      </c>
      <c r="H111" s="20" t="n">
        <v>-19</v>
      </c>
      <c r="I111" s="20" t="n">
        <v>32</v>
      </c>
      <c r="J111" s="20" t="n">
        <v>42</v>
      </c>
      <c r="K111" s="20" t="n">
        <v>33</v>
      </c>
      <c r="L111" s="20" t="n">
        <v>40</v>
      </c>
      <c r="M111" s="20" t="n">
        <v>0</v>
      </c>
      <c r="N111" s="20" t="n">
        <v>0</v>
      </c>
      <c r="T111" s="20" t="n">
        <v>-12</v>
      </c>
      <c r="U111" s="20" t="n">
        <v>-13</v>
      </c>
      <c r="V111" s="20" t="n">
        <v>-1</v>
      </c>
      <c r="W111" s="20" t="n">
        <v>-19</v>
      </c>
      <c r="X111" s="20" t="n">
        <v>40</v>
      </c>
    </row>
    <row r="112">
      <c r="A112" s="9" t="inlineStr">
        <is>
          <t>법인세비용차감전 중간이익</t>
        </is>
      </c>
      <c r="C112" s="12" t="n">
        <v>47785</v>
      </c>
      <c r="D112" s="12" t="n">
        <v>26876</v>
      </c>
      <c r="E112" s="12" t="n">
        <v>50599</v>
      </c>
      <c r="F112" s="12" t="n">
        <v>58333</v>
      </c>
      <c r="G112" s="12" t="n">
        <v>43913</v>
      </c>
      <c r="H112" s="12" t="n">
        <v>32484</v>
      </c>
      <c r="I112" s="12" t="n">
        <v>43307</v>
      </c>
      <c r="J112" s="12" t="n">
        <v>51860</v>
      </c>
      <c r="K112" s="12" t="n">
        <v>53515</v>
      </c>
      <c r="L112" s="12" t="n">
        <v>36294</v>
      </c>
      <c r="M112" s="12" t="n">
        <v>49581</v>
      </c>
      <c r="N112" s="12" t="n">
        <v>56849</v>
      </c>
      <c r="T112" s="12" t="n">
        <v>23709</v>
      </c>
      <c r="U112" s="12" t="n">
        <v>9443</v>
      </c>
      <c r="V112" s="12" t="n">
        <v>26876</v>
      </c>
      <c r="W112" s="12" t="n">
        <v>32484</v>
      </c>
      <c r="X112" s="12" t="n">
        <v>36294</v>
      </c>
    </row>
    <row r="113">
      <c r="A113" s="18" t="inlineStr">
        <is>
          <t>법인소득세 비용</t>
        </is>
      </c>
      <c r="C113" s="20" t="n">
        <v>10384</v>
      </c>
      <c r="D113" s="20" t="n">
        <v>5786</v>
      </c>
      <c r="E113" s="20" t="n">
        <v>14454</v>
      </c>
      <c r="F113" s="20" t="n">
        <v>14468</v>
      </c>
      <c r="G113" s="20" t="n">
        <v>15181</v>
      </c>
      <c r="H113" s="20" t="n">
        <v>3918</v>
      </c>
      <c r="I113" s="20" t="n">
        <v>11985</v>
      </c>
      <c r="J113" s="20" t="n">
        <v>14227</v>
      </c>
      <c r="K113" s="20" t="n">
        <v>16735</v>
      </c>
      <c r="L113" s="20" t="n">
        <v>8491</v>
      </c>
      <c r="M113" s="20" t="n">
        <v>15694</v>
      </c>
      <c r="N113" s="20" t="n">
        <v>14203</v>
      </c>
      <c r="T113" s="20" t="n">
        <v>4451</v>
      </c>
      <c r="U113" s="20" t="n">
        <v>-3983</v>
      </c>
      <c r="V113" s="20" t="n">
        <v>5786</v>
      </c>
      <c r="W113" s="20" t="n">
        <v>3918</v>
      </c>
      <c r="X113" s="20" t="n">
        <v>8491</v>
      </c>
    </row>
    <row r="114">
      <c r="A114" s="43" t="inlineStr">
        <is>
          <t>YoY</t>
        </is>
      </c>
      <c r="B114" s="3" t="inlineStr">
        <is>
          <t>전년 같은 분기·전년 대비</t>
        </is>
      </c>
      <c r="G114" s="15">
        <f>IF(OR(G113="",C113=""),"",IF(G113*C113&lt;=0,"",IFERROR(G113/C113-1,"")))</f>
        <v/>
      </c>
      <c r="H114" s="15">
        <f>IF(OR(H113="",D113=""),"",IF(H113*D113&lt;=0,"",IFERROR(H113/D113-1,"")))</f>
        <v/>
      </c>
      <c r="I114" s="15">
        <f>IF(OR(I113="",E113=""),"",IF(I113*E113&lt;=0,"",IFERROR(I113/E113-1,"")))</f>
        <v/>
      </c>
      <c r="J114" s="15">
        <f>IF(OR(J113="",F113=""),"",IF(J113*F113&lt;=0,"",IFERROR(J113/F113-1,"")))</f>
        <v/>
      </c>
      <c r="K114" s="15">
        <f>IF(OR(K113="",G113=""),"",IF(K113*G113&lt;=0,"",IFERROR(K113/G113-1,"")))</f>
        <v/>
      </c>
      <c r="L114" s="15">
        <f>IF(OR(L113="",H113=""),"",IF(L113*H113&lt;=0,"",IFERROR(L113/H113-1,"")))</f>
        <v/>
      </c>
      <c r="M114" s="15">
        <f>IF(OR(M113="",I113=""),"",IF(M113*I113&lt;=0,"",IFERROR(M113/I113-1,"")))</f>
        <v/>
      </c>
      <c r="N114" s="15">
        <f>IF(OR(N113="",J113=""),"",IF(N113*J113&lt;=0,"",IFERROR(N113/J113-1,"")))</f>
        <v/>
      </c>
      <c r="T114" s="15">
        <f>IF(OR(T113="",S113=""),"",IF(T113*S113&lt;=0,"",IFERROR(T113/S113-1,"")))</f>
        <v/>
      </c>
      <c r="U114" s="15">
        <f>IF(OR(U113="",T113=""),"",IF(U113*T113&lt;=0,"",IFERROR(U113/T113-1,"")))</f>
        <v/>
      </c>
      <c r="V114" s="15">
        <f>IF(OR(V113="",U113=""),"",IF(V113*U113&lt;=0,"",IFERROR(V113/U113-1,"")))</f>
        <v/>
      </c>
      <c r="W114" s="15">
        <f>IF(OR(W113="",V113=""),"",IF(W113*V113&lt;=0,"",IFERROR(W113/V113-1,"")))</f>
        <v/>
      </c>
      <c r="X114" s="15">
        <f>IF(OR(X113="",W113=""),"",IF(X113*W113&lt;=0,"",IFERROR(X113/W113-1,"")))</f>
        <v/>
      </c>
    </row>
    <row r="115">
      <c r="A115" s="9" t="inlineStr">
        <is>
          <t>중간이익</t>
        </is>
      </c>
      <c r="C115" s="12" t="n">
        <v>37401</v>
      </c>
      <c r="D115" s="12" t="n">
        <v>21090</v>
      </c>
      <c r="E115" s="12" t="n">
        <v>36145</v>
      </c>
      <c r="F115" s="12" t="n">
        <v>43864</v>
      </c>
      <c r="G115" s="12" t="n">
        <v>28732</v>
      </c>
      <c r="H115" s="12" t="n">
        <v>28566</v>
      </c>
      <c r="I115" s="12" t="n">
        <v>31322</v>
      </c>
      <c r="J115" s="12" t="n">
        <v>37633</v>
      </c>
      <c r="K115" s="12" t="n">
        <v>36780</v>
      </c>
      <c r="L115" s="12" t="n">
        <v>27802</v>
      </c>
      <c r="M115" s="12" t="n">
        <v>33887</v>
      </c>
      <c r="N115" s="12" t="n">
        <v>42646</v>
      </c>
      <c r="T115" s="12" t="n">
        <v>19258</v>
      </c>
      <c r="U115" s="12" t="n">
        <v>13426</v>
      </c>
      <c r="V115" s="12" t="n">
        <v>21090</v>
      </c>
      <c r="W115" s="12" t="n">
        <v>28566</v>
      </c>
      <c r="X115" s="12" t="n">
        <v>27802</v>
      </c>
    </row>
    <row r="116">
      <c r="A116" s="43" t="inlineStr">
        <is>
          <t>YoY</t>
        </is>
      </c>
      <c r="B116" s="3" t="inlineStr">
        <is>
          <t>전년 같은 분기·전년 대비</t>
        </is>
      </c>
      <c r="G116" s="15">
        <f>IF(OR(G115="",C115=""),"",IF(C115&lt;=0,"",IFERROR(G115/C115-1,"")))</f>
        <v/>
      </c>
      <c r="H116" s="15">
        <f>IF(OR(H115="",D115=""),"",IF(D115&lt;=0,"",IFERROR(H115/D115-1,"")))</f>
        <v/>
      </c>
      <c r="I116" s="15">
        <f>IF(OR(I115="",E115=""),"",IF(E115&lt;=0,"",IFERROR(I115/E115-1,"")))</f>
        <v/>
      </c>
      <c r="J116" s="15">
        <f>IF(OR(J115="",F115=""),"",IF(F115&lt;=0,"",IFERROR(J115/F115-1,"")))</f>
        <v/>
      </c>
      <c r="K116" s="15">
        <f>IF(OR(K115="",G115=""),"",IF(G115&lt;=0,"",IFERROR(K115/G115-1,"")))</f>
        <v/>
      </c>
      <c r="L116" s="15">
        <f>IF(OR(L115="",H115=""),"",IF(H115&lt;=0,"",IFERROR(L115/H115-1,"")))</f>
        <v/>
      </c>
      <c r="M116" s="15">
        <f>IF(OR(M115="",I115=""),"",IF(I115&lt;=0,"",IFERROR(M115/I115-1,"")))</f>
        <v/>
      </c>
      <c r="N116" s="15">
        <f>IF(OR(N115="",J115=""),"",IF(J115&lt;=0,"",IFERROR(N115/J115-1,"")))</f>
        <v/>
      </c>
      <c r="T116" s="15">
        <f>IF(OR(T115="",S115=""),"",IF(S115&lt;=0,"",IFERROR(T115/S115-1,"")))</f>
        <v/>
      </c>
      <c r="U116" s="15">
        <f>IF(OR(U115="",T115=""),"",IF(T115&lt;=0,"",IFERROR(U115/T115-1,"")))</f>
        <v/>
      </c>
      <c r="V116" s="15">
        <f>IF(OR(V115="",U115=""),"",IF(U115&lt;=0,"",IFERROR(V115/U115-1,"")))</f>
        <v/>
      </c>
      <c r="W116" s="15">
        <f>IF(OR(W115="",V115=""),"",IF(V115&lt;=0,"",IFERROR(W115/V115-1,"")))</f>
        <v/>
      </c>
      <c r="X116" s="15">
        <f>IF(OR(X115="",W115=""),"",IF(W115&lt;=0,"",IFERROR(X115/W115-1,"")))</f>
        <v/>
      </c>
    </row>
    <row r="117">
      <c r="A117" s="18" t="inlineStr">
        <is>
          <t>기본 주당 중간이익(엔)</t>
        </is>
      </c>
      <c r="C117" s="20" t="n">
        <v>5.239e-05</v>
      </c>
      <c r="D117" s="20" t="n">
        <v>2.974e-05</v>
      </c>
      <c r="E117" s="20" t="n">
        <v>5.145e-05</v>
      </c>
      <c r="F117" s="20" t="n">
        <v>6.247e-05</v>
      </c>
      <c r="G117" s="20" t="n">
        <v>4.092e-05</v>
      </c>
      <c r="H117" s="20" t="n">
        <v>4.09e-05</v>
      </c>
      <c r="I117" s="20" t="n">
        <v>4.568e-05</v>
      </c>
      <c r="J117" s="20" t="n">
        <v>5.564e-05</v>
      </c>
      <c r="K117" s="20" t="n">
        <v>5.456999999999999e-05</v>
      </c>
      <c r="L117" s="20" t="n">
        <v>4.131e-05</v>
      </c>
      <c r="M117" s="20" t="n">
        <v>5.075e-05</v>
      </c>
      <c r="N117" s="20" t="n">
        <v>6.456999999999999e-05</v>
      </c>
      <c r="T117" s="20" t="n">
        <v>0.0001299399999999999</v>
      </c>
      <c r="U117" s="20" t="n">
        <v>9.182999999999993e-05</v>
      </c>
      <c r="V117" s="20" t="n">
        <v>2.974e-05</v>
      </c>
      <c r="W117" s="20" t="n">
        <v>4.09e-05</v>
      </c>
      <c r="X117" s="20" t="n">
        <v>4.131e-05</v>
      </c>
    </row>
    <row r="118">
      <c r="A118" s="18" t="inlineStr">
        <is>
          <t>희석 주당 중간이익(엔)</t>
        </is>
      </c>
      <c r="C118" s="20" t="n">
        <v>5.237e-05</v>
      </c>
      <c r="D118" s="20" t="n">
        <v>2.974000000000001e-05</v>
      </c>
      <c r="E118" s="20" t="n">
        <v>5.143e-05</v>
      </c>
      <c r="F118" s="20" t="n">
        <v>6.245e-05</v>
      </c>
      <c r="G118" s="20" t="n">
        <v>4.09e-05</v>
      </c>
      <c r="H118" s="20" t="n">
        <v>4.087000000000001e-05</v>
      </c>
      <c r="I118" s="20" t="n">
        <v>4.566e-05</v>
      </c>
      <c r="J118" s="20" t="n">
        <v>5.562000000000001e-05</v>
      </c>
      <c r="K118" s="20" t="n">
        <v>5.453999999999999e-05</v>
      </c>
      <c r="L118" s="20" t="n">
        <v>4.129000000000002e-05</v>
      </c>
      <c r="M118" s="20" t="n">
        <v>5.073e-05</v>
      </c>
      <c r="N118" s="20" t="n">
        <v>6.453999999999999e-05</v>
      </c>
      <c r="T118" s="20" t="n">
        <v>0.0001299</v>
      </c>
      <c r="U118" s="20" t="n">
        <v>9.178999999999996e-05</v>
      </c>
      <c r="V118" s="20" t="n">
        <v>2.974000000000001e-05</v>
      </c>
      <c r="W118" s="20" t="n">
        <v>4.087000000000001e-05</v>
      </c>
      <c r="X118" s="20" t="n">
        <v>4.129000000000002e-05</v>
      </c>
    </row>
    <row r="119">
      <c r="A119" s="9" t="inlineStr">
        <is>
          <t>지배기업 소유주</t>
        </is>
      </c>
      <c r="C119" s="12" t="n">
        <v>37384</v>
      </c>
      <c r="D119" s="12" t="n">
        <v>21079</v>
      </c>
      <c r="E119" s="12" t="n">
        <v>36128</v>
      </c>
      <c r="F119" s="12" t="n">
        <v>43847</v>
      </c>
      <c r="G119" s="12" t="n">
        <v>28714</v>
      </c>
      <c r="H119" s="12" t="n">
        <v>28548</v>
      </c>
      <c r="I119" s="12" t="n">
        <v>31303</v>
      </c>
      <c r="J119" s="12" t="n">
        <v>37623</v>
      </c>
      <c r="K119" s="12" t="n">
        <v>36777</v>
      </c>
      <c r="L119" s="12" t="n">
        <v>27795</v>
      </c>
      <c r="M119" s="12" t="n">
        <v>33872</v>
      </c>
      <c r="N119" s="12" t="n">
        <v>42630</v>
      </c>
      <c r="T119" s="12" t="n">
        <v>19234</v>
      </c>
      <c r="U119" s="12" t="n">
        <v>13407</v>
      </c>
      <c r="V119" s="12" t="n">
        <v>21079</v>
      </c>
      <c r="W119" s="12" t="n">
        <v>28548</v>
      </c>
      <c r="X119" s="12" t="n">
        <v>27795</v>
      </c>
    </row>
    <row r="120">
      <c r="A120" s="43" t="inlineStr">
        <is>
          <t>YoY</t>
        </is>
      </c>
      <c r="B120" s="3" t="inlineStr">
        <is>
          <t>전년 같은 분기·전년 대비</t>
        </is>
      </c>
      <c r="G120" s="15">
        <f>IF(OR(G119="",C119=""),"",IF(C119&lt;=0,"",IFERROR(G119/C119-1,"")))</f>
        <v/>
      </c>
      <c r="H120" s="15">
        <f>IF(OR(H119="",D119=""),"",IF(D119&lt;=0,"",IFERROR(H119/D119-1,"")))</f>
        <v/>
      </c>
      <c r="I120" s="15">
        <f>IF(OR(I119="",E119=""),"",IF(E119&lt;=0,"",IFERROR(I119/E119-1,"")))</f>
        <v/>
      </c>
      <c r="J120" s="15">
        <f>IF(OR(J119="",F119=""),"",IF(F119&lt;=0,"",IFERROR(J119/F119-1,"")))</f>
        <v/>
      </c>
      <c r="K120" s="15">
        <f>IF(OR(K119="",G119=""),"",IF(G119&lt;=0,"",IFERROR(K119/G119-1,"")))</f>
        <v/>
      </c>
      <c r="L120" s="15">
        <f>IF(OR(L119="",H119=""),"",IF(H119&lt;=0,"",IFERROR(L119/H119-1,"")))</f>
        <v/>
      </c>
      <c r="M120" s="15">
        <f>IF(OR(M119="",I119=""),"",IF(I119&lt;=0,"",IFERROR(M119/I119-1,"")))</f>
        <v/>
      </c>
      <c r="N120" s="15">
        <f>IF(OR(N119="",J119=""),"",IF(J119&lt;=0,"",IFERROR(N119/J119-1,"")))</f>
        <v/>
      </c>
      <c r="T120" s="15">
        <f>IF(OR(T119="",S119=""),"",IF(S119&lt;=0,"",IFERROR(T119/S119-1,"")))</f>
        <v/>
      </c>
      <c r="U120" s="15">
        <f>IF(OR(U119="",T119=""),"",IF(T119&lt;=0,"",IFERROR(U119/T119-1,"")))</f>
        <v/>
      </c>
      <c r="V120" s="15">
        <f>IF(OR(V119="",U119=""),"",IF(U119&lt;=0,"",IFERROR(V119/U119-1,"")))</f>
        <v/>
      </c>
      <c r="W120" s="15">
        <f>IF(OR(W119="",V119=""),"",IF(V119&lt;=0,"",IFERROR(W119/V119-1,"")))</f>
        <v/>
      </c>
      <c r="X120" s="15">
        <f>IF(OR(X119="",W119=""),"",IF(W119&lt;=0,"",IFERROR(X119/W119-1,"")))</f>
        <v/>
      </c>
    </row>
    <row r="121">
      <c r="A121" s="9" t="inlineStr">
        <is>
          <t>비지배지분</t>
        </is>
      </c>
      <c r="C121" s="12" t="n">
        <v>16</v>
      </c>
      <c r="D121" s="12" t="n">
        <v>11</v>
      </c>
      <c r="E121" s="12" t="n">
        <v>17</v>
      </c>
      <c r="F121" s="12" t="n">
        <v>16</v>
      </c>
      <c r="G121" s="12" t="n">
        <v>19</v>
      </c>
      <c r="H121" s="12" t="n">
        <v>18</v>
      </c>
      <c r="I121" s="12" t="n">
        <v>18</v>
      </c>
      <c r="J121" s="12" t="n">
        <v>10</v>
      </c>
      <c r="K121" s="12" t="n">
        <v>3</v>
      </c>
      <c r="L121" s="12" t="n">
        <v>7</v>
      </c>
      <c r="M121" s="12" t="n">
        <v>15</v>
      </c>
      <c r="N121" s="12" t="n">
        <v>16</v>
      </c>
      <c r="T121" s="12" t="n">
        <v>24</v>
      </c>
      <c r="U121" s="12" t="n">
        <v>19</v>
      </c>
      <c r="V121" s="12" t="n">
        <v>11</v>
      </c>
      <c r="W121" s="12" t="n">
        <v>18</v>
      </c>
      <c r="X121" s="12" t="n">
        <v>7</v>
      </c>
    </row>
    <row r="123">
      <c r="A123" s="16" t="inlineStr">
        <is>
          <t>포괄손익 · 전 항목</t>
        </is>
      </c>
      <c r="B123" s="42" t="inlineStr">
        <is>
          <t>분기 = 3개월 단독</t>
        </is>
      </c>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row>
    <row r="124">
      <c r="A124" s="5" t="inlineStr">
        <is>
          <t>항목</t>
        </is>
      </c>
      <c r="B124" s="5" t="inlineStr">
        <is>
          <t>참고</t>
        </is>
      </c>
      <c r="C124" s="5" t="inlineStr">
        <is>
          <t>2024.3Q</t>
        </is>
      </c>
      <c r="D124" s="5" t="inlineStr">
        <is>
          <t>2024.4Q</t>
        </is>
      </c>
      <c r="E124" s="5" t="inlineStr">
        <is>
          <t>2025.1Q</t>
        </is>
      </c>
      <c r="F124" s="5" t="inlineStr">
        <is>
          <t>2025.2Q</t>
        </is>
      </c>
      <c r="G124" s="5" t="inlineStr">
        <is>
          <t>2025.3Q</t>
        </is>
      </c>
      <c r="H124" s="5" t="inlineStr">
        <is>
          <t>2025.4Q</t>
        </is>
      </c>
      <c r="I124" s="5" t="inlineStr">
        <is>
          <t>2026.1Q</t>
        </is>
      </c>
      <c r="J124" s="5" t="inlineStr">
        <is>
          <t>2026.2Q</t>
        </is>
      </c>
      <c r="K124" s="5" t="inlineStr">
        <is>
          <t>2026.3Q</t>
        </is>
      </c>
      <c r="L124" s="5" t="inlineStr">
        <is>
          <t>2026.4Q</t>
        </is>
      </c>
      <c r="M124" s="5" t="inlineStr">
        <is>
          <t>2027.1Q</t>
        </is>
      </c>
      <c r="N124" s="5" t="inlineStr">
        <is>
          <t>2027.2Q</t>
        </is>
      </c>
      <c r="O124" s="5" t="inlineStr">
        <is>
          <t>2017</t>
        </is>
      </c>
      <c r="P124" s="5" t="inlineStr">
        <is>
          <t>2018</t>
        </is>
      </c>
      <c r="Q124" s="5" t="inlineStr">
        <is>
          <t>2019</t>
        </is>
      </c>
      <c r="R124" s="5" t="inlineStr">
        <is>
          <t>2020</t>
        </is>
      </c>
      <c r="S124" s="5" t="inlineStr">
        <is>
          <t>2021</t>
        </is>
      </c>
      <c r="T124" s="5" t="inlineStr">
        <is>
          <t>2022</t>
        </is>
      </c>
      <c r="U124" s="5" t="inlineStr">
        <is>
          <t>2023</t>
        </is>
      </c>
      <c r="V124" s="5" t="inlineStr">
        <is>
          <t>2024</t>
        </is>
      </c>
      <c r="W124" s="5" t="inlineStr">
        <is>
          <t>2025</t>
        </is>
      </c>
      <c r="X124" s="5" t="inlineStr">
        <is>
          <t>2026</t>
        </is>
      </c>
      <c r="Y124" s="5" t="inlineStr">
        <is>
          <t>2027(MW)</t>
        </is>
      </c>
      <c r="Z124" s="5" t="inlineStr">
        <is>
          <t>2028(MW)</t>
        </is>
      </c>
      <c r="AA124" s="5" t="inlineStr">
        <is>
          <t>2029(MW)</t>
        </is>
      </c>
      <c r="AB124" s="5" t="inlineStr">
        <is>
          <t>2030(MW)</t>
        </is>
      </c>
      <c r="AC124" s="5" t="inlineStr">
        <is>
          <t>2031(MW)</t>
        </is>
      </c>
    </row>
    <row r="125">
      <c r="A125" s="9" t="inlineStr">
        <is>
          <t>중간이익</t>
        </is>
      </c>
      <c r="C125" s="12" t="n">
        <v>37401</v>
      </c>
      <c r="D125" s="12" t="n">
        <v>21090</v>
      </c>
      <c r="E125" s="12" t="n">
        <v>36145</v>
      </c>
      <c r="F125" s="12" t="n">
        <v>43864</v>
      </c>
      <c r="G125" s="12" t="n">
        <v>28732</v>
      </c>
      <c r="H125" s="12" t="n">
        <v>28566</v>
      </c>
      <c r="I125" s="12" t="n">
        <v>31322</v>
      </c>
      <c r="J125" s="12" t="n">
        <v>37633</v>
      </c>
      <c r="K125" s="12" t="n">
        <v>36780</v>
      </c>
      <c r="L125" s="12" t="n">
        <v>27802</v>
      </c>
      <c r="M125" s="12" t="n">
        <v>33887</v>
      </c>
      <c r="N125" s="12" t="n">
        <v>42646</v>
      </c>
      <c r="T125" s="12" t="n">
        <v>19258</v>
      </c>
      <c r="U125" s="12" t="n">
        <v>13426</v>
      </c>
      <c r="V125" s="12" t="n">
        <v>21090</v>
      </c>
      <c r="W125" s="12" t="n">
        <v>28566</v>
      </c>
      <c r="X125" s="12" t="n">
        <v>27802</v>
      </c>
    </row>
    <row r="126">
      <c r="A126" s="18" t="inlineStr">
        <is>
          <t>Net Change In Fair Value Of Equity Instruments Designated As Measured At Fair Value Through Other Comprehensive Income Net Of Tax Items That Will Not Be Reclassified To Profit Or Loss OCI</t>
        </is>
      </c>
      <c r="C126" s="20" t="n">
        <v>113</v>
      </c>
      <c r="D126" s="20" t="n">
        <v>-44</v>
      </c>
      <c r="E126" s="20" t="n">
        <v>-6</v>
      </c>
      <c r="F126" s="20" t="n">
        <v>-19</v>
      </c>
      <c r="G126" s="20" t="n">
        <v>14</v>
      </c>
      <c r="H126" s="20" t="n">
        <v>-1</v>
      </c>
      <c r="I126" s="20" t="n">
        <v>-0</v>
      </c>
      <c r="J126" s="20" t="n">
        <v>50</v>
      </c>
      <c r="K126" s="20" t="n">
        <v>75</v>
      </c>
      <c r="L126" s="20" t="n">
        <v>-22</v>
      </c>
      <c r="M126" s="20" t="n">
        <v>27</v>
      </c>
      <c r="N126" s="20" t="n">
        <v>-54</v>
      </c>
      <c r="T126" s="20" t="n">
        <v>215</v>
      </c>
      <c r="U126" s="20" t="n">
        <v>60</v>
      </c>
      <c r="V126" s="20" t="n">
        <v>-44</v>
      </c>
      <c r="W126" s="20" t="n">
        <v>-1</v>
      </c>
      <c r="X126" s="20" t="n">
        <v>-22</v>
      </c>
    </row>
    <row r="127">
      <c r="A127" s="18" t="inlineStr">
        <is>
          <t>해외사업 환산차액</t>
        </is>
      </c>
      <c r="C127" s="20" t="n">
        <v>-17971</v>
      </c>
      <c r="D127" s="20" t="n">
        <v>27350</v>
      </c>
      <c r="E127" s="20" t="n">
        <v>34539</v>
      </c>
      <c r="F127" s="20" t="n">
        <v>-56591</v>
      </c>
      <c r="G127" s="20" t="n">
        <v>42726</v>
      </c>
      <c r="H127" s="20" t="n">
        <v>-34127</v>
      </c>
      <c r="I127" s="20" t="n">
        <v>-3331</v>
      </c>
      <c r="J127" s="20" t="n">
        <v>18081</v>
      </c>
      <c r="K127" s="20" t="n">
        <v>38385</v>
      </c>
      <c r="L127" s="20" t="n">
        <v>10588</v>
      </c>
      <c r="M127" s="20" t="n">
        <v>14709</v>
      </c>
      <c r="N127" s="20" t="n">
        <v>-18401</v>
      </c>
      <c r="T127" s="20" t="n">
        <v>21890</v>
      </c>
      <c r="U127" s="20" t="n">
        <v>6329</v>
      </c>
      <c r="V127" s="20" t="n">
        <v>27350</v>
      </c>
      <c r="W127" s="20" t="n">
        <v>-34127</v>
      </c>
      <c r="X127" s="20" t="n">
        <v>10588</v>
      </c>
    </row>
    <row r="128">
      <c r="A128" s="18" t="inlineStr">
        <is>
          <t>Effective Portion Of Cash Flow Hedges Net Of Tax Items That May Be Reclassified To Profit Or Loss OCI</t>
        </is>
      </c>
      <c r="C128" s="20" t="n">
        <v>0</v>
      </c>
      <c r="D128" s="20" t="n">
        <v>0</v>
      </c>
      <c r="E128" s="20" t="n">
        <v>-0</v>
      </c>
      <c r="F128" s="20" t="n">
        <v>0</v>
      </c>
      <c r="G128" s="20" t="n">
        <v>-0</v>
      </c>
      <c r="H128" s="20" t="n">
        <v>0</v>
      </c>
      <c r="I128" s="20" t="n">
        <v>-0</v>
      </c>
      <c r="J128" s="20" t="n">
        <v>0</v>
      </c>
      <c r="K128" s="20" t="n">
        <v>0</v>
      </c>
      <c r="L128" s="20" t="n">
        <v>0</v>
      </c>
      <c r="M128" s="20" t="n">
        <v>-0</v>
      </c>
      <c r="N128" s="20" t="n">
        <v>0</v>
      </c>
      <c r="T128" s="20" t="n">
        <v>1998</v>
      </c>
      <c r="U128" s="20" t="n">
        <v>-2</v>
      </c>
      <c r="V128" s="20" t="n">
        <v>0</v>
      </c>
      <c r="W128" s="20" t="n">
        <v>0</v>
      </c>
      <c r="X128" s="20" t="n">
        <v>0</v>
      </c>
    </row>
    <row r="129">
      <c r="A129" s="18" t="inlineStr">
        <is>
          <t>Share Of Other Comprehensive Income Of Investments Accounted For Using Equity Method Net Of Tax Items That May Be Reclassified To Profit Or Loss OCI</t>
        </is>
      </c>
      <c r="C129" s="20" t="n">
        <v>-31</v>
      </c>
      <c r="D129" s="20" t="n">
        <v>44</v>
      </c>
      <c r="E129" s="20" t="n">
        <v>204</v>
      </c>
      <c r="F129" s="20" t="n">
        <v>-482</v>
      </c>
      <c r="G129" s="20" t="n">
        <v>496</v>
      </c>
      <c r="H129" s="20" t="n">
        <v>-257</v>
      </c>
      <c r="I129" s="20" t="n">
        <v>-12</v>
      </c>
      <c r="J129" s="20" t="n">
        <v>-134</v>
      </c>
      <c r="K129" s="20" t="n">
        <v>478</v>
      </c>
      <c r="L129" s="20" t="n">
        <v>-30</v>
      </c>
      <c r="M129" s="20" t="n">
        <v>128</v>
      </c>
      <c r="N129" s="20" t="n">
        <v>-217</v>
      </c>
      <c r="T129" s="20" t="n">
        <v>3</v>
      </c>
      <c r="U129" s="20" t="n">
        <v>-4</v>
      </c>
      <c r="V129" s="20" t="n">
        <v>44</v>
      </c>
      <c r="W129" s="20" t="n">
        <v>-257</v>
      </c>
      <c r="X129" s="20" t="n">
        <v>-30</v>
      </c>
    </row>
    <row r="130">
      <c r="A130" s="18" t="inlineStr">
        <is>
          <t>기타포괄손익 합계</t>
        </is>
      </c>
      <c r="C130" s="20" t="n">
        <v>-17888</v>
      </c>
      <c r="D130" s="20" t="n">
        <v>33349</v>
      </c>
      <c r="E130" s="20" t="n">
        <v>34737</v>
      </c>
      <c r="F130" s="20" t="n">
        <v>-57093</v>
      </c>
      <c r="G130" s="20" t="n">
        <v>43236</v>
      </c>
      <c r="H130" s="20" t="n">
        <v>-25318</v>
      </c>
      <c r="I130" s="20" t="n">
        <v>-3344</v>
      </c>
      <c r="J130" s="20" t="n">
        <v>17997</v>
      </c>
      <c r="K130" s="20" t="n">
        <v>38939</v>
      </c>
      <c r="L130" s="20" t="n">
        <v>16500</v>
      </c>
      <c r="M130" s="20" t="n">
        <v>14864</v>
      </c>
      <c r="N130" s="20" t="n">
        <v>-18673</v>
      </c>
      <c r="T130" s="20" t="n">
        <v>27238</v>
      </c>
      <c r="U130" s="20" t="n">
        <v>10347</v>
      </c>
      <c r="V130" s="20" t="n">
        <v>33349</v>
      </c>
      <c r="W130" s="20" t="n">
        <v>-25318</v>
      </c>
      <c r="X130" s="20" t="n">
        <v>16500</v>
      </c>
    </row>
    <row r="131">
      <c r="A131" s="9" t="inlineStr">
        <is>
          <t>Comprehensive Income</t>
        </is>
      </c>
      <c r="C131" s="12" t="n">
        <v>19512</v>
      </c>
      <c r="D131" s="12" t="n">
        <v>54440</v>
      </c>
      <c r="E131" s="12" t="n">
        <v>70883</v>
      </c>
      <c r="F131" s="12" t="n">
        <v>-13231</v>
      </c>
      <c r="G131" s="12" t="n">
        <v>71970</v>
      </c>
      <c r="H131" s="12" t="n">
        <v>3247</v>
      </c>
      <c r="I131" s="12" t="n">
        <v>27978</v>
      </c>
      <c r="J131" s="12" t="n">
        <v>55630</v>
      </c>
      <c r="K131" s="12" t="n">
        <v>75719</v>
      </c>
      <c r="L131" s="12" t="n">
        <v>44302</v>
      </c>
      <c r="M131" s="12" t="n">
        <v>48752</v>
      </c>
      <c r="N131" s="12" t="n">
        <v>23972</v>
      </c>
      <c r="T131" s="12" t="n">
        <v>46496</v>
      </c>
      <c r="U131" s="12" t="n">
        <v>23772</v>
      </c>
      <c r="V131" s="12" t="n">
        <v>54440</v>
      </c>
      <c r="W131" s="12" t="n">
        <v>3247</v>
      </c>
      <c r="X131" s="12" t="n">
        <v>44302</v>
      </c>
    </row>
    <row r="132">
      <c r="A132" s="9" t="inlineStr">
        <is>
          <t>지배기업 소유주</t>
        </is>
      </c>
      <c r="C132" s="12" t="n">
        <v>19497</v>
      </c>
      <c r="D132" s="12" t="n">
        <v>54412</v>
      </c>
      <c r="E132" s="12" t="n">
        <v>70862</v>
      </c>
      <c r="F132" s="12" t="n">
        <v>-13242</v>
      </c>
      <c r="G132" s="12" t="n">
        <v>71947</v>
      </c>
      <c r="H132" s="12" t="n">
        <v>3216</v>
      </c>
      <c r="I132" s="12" t="n">
        <v>27960</v>
      </c>
      <c r="J132" s="12" t="n">
        <v>55619</v>
      </c>
      <c r="K132" s="12" t="n">
        <v>75710</v>
      </c>
      <c r="L132" s="12" t="n">
        <v>44277</v>
      </c>
      <c r="M132" s="12" t="n">
        <v>48734</v>
      </c>
      <c r="N132" s="12" t="n">
        <v>23957</v>
      </c>
      <c r="T132" s="12" t="n">
        <v>46461</v>
      </c>
      <c r="U132" s="12" t="n">
        <v>23744</v>
      </c>
      <c r="V132" s="12" t="n">
        <v>54412</v>
      </c>
      <c r="W132" s="12" t="n">
        <v>3216</v>
      </c>
      <c r="X132" s="12" t="n">
        <v>44277</v>
      </c>
    </row>
    <row r="133">
      <c r="A133" s="9" t="inlineStr">
        <is>
          <t>비지배지분</t>
        </is>
      </c>
      <c r="C133" s="12" t="n">
        <v>15</v>
      </c>
      <c r="D133" s="12" t="n">
        <v>27</v>
      </c>
      <c r="E133" s="12" t="n">
        <v>20</v>
      </c>
      <c r="F133" s="12" t="n">
        <v>12</v>
      </c>
      <c r="G133" s="12" t="n">
        <v>23</v>
      </c>
      <c r="H133" s="12" t="n">
        <v>31</v>
      </c>
      <c r="I133" s="12" t="n">
        <v>17</v>
      </c>
      <c r="J133" s="12" t="n">
        <v>12</v>
      </c>
      <c r="K133" s="12" t="n">
        <v>8</v>
      </c>
      <c r="L133" s="12" t="n">
        <v>26</v>
      </c>
      <c r="M133" s="12" t="n">
        <v>17</v>
      </c>
      <c r="N133" s="12" t="n">
        <v>15</v>
      </c>
      <c r="T133" s="12" t="n">
        <v>34</v>
      </c>
      <c r="U133" s="12" t="n">
        <v>28</v>
      </c>
      <c r="V133" s="12" t="n">
        <v>27</v>
      </c>
      <c r="W133" s="12" t="n">
        <v>31</v>
      </c>
      <c r="X133" s="12" t="n">
        <v>26</v>
      </c>
    </row>
    <row r="135">
      <c r="A135" s="16" t="inlineStr">
        <is>
          <t>부문 · 전 항목</t>
        </is>
      </c>
      <c r="B135" s="42" t="inlineStr">
        <is>
          <t>부문 · 항목</t>
        </is>
      </c>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row>
    <row r="136">
      <c r="A136" s="5" t="inlineStr">
        <is>
          <t>항목</t>
        </is>
      </c>
      <c r="B136" s="5" t="inlineStr">
        <is>
          <t>참고</t>
        </is>
      </c>
      <c r="C136" s="5" t="inlineStr">
        <is>
          <t>2024.3Q</t>
        </is>
      </c>
      <c r="D136" s="5" t="inlineStr">
        <is>
          <t>2024.4Q</t>
        </is>
      </c>
      <c r="E136" s="5" t="inlineStr">
        <is>
          <t>2025.1Q</t>
        </is>
      </c>
      <c r="F136" s="5" t="inlineStr">
        <is>
          <t>2025.2Q</t>
        </is>
      </c>
      <c r="G136" s="5" t="inlineStr">
        <is>
          <t>2025.3Q</t>
        </is>
      </c>
      <c r="H136" s="5" t="inlineStr">
        <is>
          <t>2025.4Q</t>
        </is>
      </c>
      <c r="I136" s="5" t="inlineStr">
        <is>
          <t>2026.1Q</t>
        </is>
      </c>
      <c r="J136" s="5" t="inlineStr">
        <is>
          <t>2026.2Q</t>
        </is>
      </c>
      <c r="K136" s="5" t="inlineStr">
        <is>
          <t>2026.3Q</t>
        </is>
      </c>
      <c r="L136" s="5" t="inlineStr">
        <is>
          <t>2026.4Q</t>
        </is>
      </c>
      <c r="M136" s="5" t="inlineStr">
        <is>
          <t>2027.1Q</t>
        </is>
      </c>
      <c r="N136" s="5" t="inlineStr">
        <is>
          <t>2027.2Q</t>
        </is>
      </c>
      <c r="O136" s="5" t="inlineStr">
        <is>
          <t>2017</t>
        </is>
      </c>
      <c r="P136" s="5" t="inlineStr">
        <is>
          <t>2018</t>
        </is>
      </c>
      <c r="Q136" s="5" t="inlineStr">
        <is>
          <t>2019</t>
        </is>
      </c>
      <c r="R136" s="5" t="inlineStr">
        <is>
          <t>2020</t>
        </is>
      </c>
      <c r="S136" s="5" t="inlineStr">
        <is>
          <t>2021</t>
        </is>
      </c>
      <c r="T136" s="5" t="inlineStr">
        <is>
          <t>2022</t>
        </is>
      </c>
      <c r="U136" s="5" t="inlineStr">
        <is>
          <t>2023</t>
        </is>
      </c>
      <c r="V136" s="5" t="inlineStr">
        <is>
          <t>2024</t>
        </is>
      </c>
      <c r="W136" s="5" t="inlineStr">
        <is>
          <t>2025</t>
        </is>
      </c>
      <c r="X136" s="5" t="inlineStr">
        <is>
          <t>2026</t>
        </is>
      </c>
      <c r="Y136" s="5" t="inlineStr">
        <is>
          <t>2027(MW)</t>
        </is>
      </c>
      <c r="Z136" s="5" t="inlineStr">
        <is>
          <t>2028(MW)</t>
        </is>
      </c>
      <c r="AA136" s="5" t="inlineStr">
        <is>
          <t>2029(MW)</t>
        </is>
      </c>
      <c r="AB136" s="5" t="inlineStr">
        <is>
          <t>2030(MW)</t>
        </is>
      </c>
      <c r="AC136" s="5" t="inlineStr">
        <is>
          <t>2031(MW)</t>
        </is>
      </c>
    </row>
    <row r="137">
      <c r="A137" s="18" t="inlineStr">
        <is>
          <t>인더스트리얼 테이프 · Revenue From External Customers</t>
        </is>
      </c>
      <c r="C137" s="20" t="n">
        <v>88069</v>
      </c>
      <c r="D137" s="20" t="n">
        <v>81246</v>
      </c>
      <c r="E137" s="20" t="n">
        <v>84544</v>
      </c>
      <c r="F137" s="20" t="n">
        <v>90556</v>
      </c>
      <c r="G137" s="20" t="n">
        <v>89479</v>
      </c>
      <c r="H137" s="20" t="n">
        <v>84381</v>
      </c>
      <c r="I137" s="20" t="n">
        <v>85193</v>
      </c>
      <c r="J137" s="20" t="n">
        <v>92995</v>
      </c>
      <c r="K137" s="20" t="n">
        <v>95431</v>
      </c>
      <c r="L137" s="20" t="n">
        <v>91208</v>
      </c>
      <c r="M137" s="20" t="n">
        <v>100687</v>
      </c>
      <c r="N137" s="20" t="n">
        <v>106622</v>
      </c>
      <c r="V137" s="20" t="n">
        <v>81246</v>
      </c>
      <c r="W137" s="20" t="n">
        <v>84381</v>
      </c>
      <c r="X137" s="20" t="n">
        <v>91208</v>
      </c>
    </row>
    <row r="138">
      <c r="A138" s="43" t="inlineStr">
        <is>
          <t>YoY</t>
        </is>
      </c>
      <c r="B138" s="3" t="inlineStr">
        <is>
          <t>전년 같은 분기·전년 대비</t>
        </is>
      </c>
      <c r="G138" s="15">
        <f>IF(OR(G137="",C137=""),"",IF(C137&lt;=0,"",IFERROR(G137/C137-1,"")))</f>
        <v/>
      </c>
      <c r="H138" s="15">
        <f>IF(OR(H137="",D137=""),"",IF(D137&lt;=0,"",IFERROR(H137/D137-1,"")))</f>
        <v/>
      </c>
      <c r="I138" s="15">
        <f>IF(OR(I137="",E137=""),"",IF(E137&lt;=0,"",IFERROR(I137/E137-1,"")))</f>
        <v/>
      </c>
      <c r="J138" s="15">
        <f>IF(OR(J137="",F137=""),"",IF(F137&lt;=0,"",IFERROR(J137/F137-1,"")))</f>
        <v/>
      </c>
      <c r="K138" s="15">
        <f>IF(OR(K137="",G137=""),"",IF(G137&lt;=0,"",IFERROR(K137/G137-1,"")))</f>
        <v/>
      </c>
      <c r="L138" s="15">
        <f>IF(OR(L137="",H137=""),"",IF(H137&lt;=0,"",IFERROR(L137/H137-1,"")))</f>
        <v/>
      </c>
      <c r="M138" s="15">
        <f>IF(OR(M137="",I137=""),"",IF(I137&lt;=0,"",IFERROR(M137/I137-1,"")))</f>
        <v/>
      </c>
      <c r="N138" s="15">
        <f>IF(OR(N137="",J137=""),"",IF(J137&lt;=0,"",IFERROR(N137/J137-1,"")))</f>
        <v/>
      </c>
      <c r="V138" s="15">
        <f>IF(OR(V137="",U137=""),"",IF(U137&lt;=0,"",IFERROR(V137/U137-1,"")))</f>
        <v/>
      </c>
      <c r="W138" s="15">
        <f>IF(OR(W137="",V137=""),"",IF(V137&lt;=0,"",IFERROR(W137/V137-1,"")))</f>
        <v/>
      </c>
      <c r="X138" s="15">
        <f>IF(OR(X137="",W137=""),"",IF(W137&lt;=0,"",IFERROR(X137/W137-1,"")))</f>
        <v/>
      </c>
    </row>
    <row r="139">
      <c r="A139" s="18" t="inlineStr">
        <is>
          <t>옵트로닉스 · Revenue From External Customers</t>
        </is>
      </c>
      <c r="C139" s="20" t="n">
        <v>126145</v>
      </c>
      <c r="D139" s="20" t="n">
        <v>110433</v>
      </c>
      <c r="E139" s="20" t="n">
        <v>134546</v>
      </c>
      <c r="F139" s="20" t="n">
        <v>149410</v>
      </c>
      <c r="G139" s="20" t="n">
        <v>134956</v>
      </c>
      <c r="H139" s="20" t="n">
        <v>118940</v>
      </c>
      <c r="I139" s="20" t="n">
        <v>129821</v>
      </c>
      <c r="J139" s="20" t="n">
        <v>138370</v>
      </c>
      <c r="K139" s="20" t="n">
        <v>141332</v>
      </c>
      <c r="L139" s="20" t="n">
        <v>115075</v>
      </c>
      <c r="M139" s="20" t="n">
        <v>131483</v>
      </c>
      <c r="N139" s="20" t="n">
        <v>137775</v>
      </c>
      <c r="V139" s="20" t="n">
        <v>110433</v>
      </c>
      <c r="W139" s="20" t="n">
        <v>118940</v>
      </c>
      <c r="X139" s="20" t="n">
        <v>115075</v>
      </c>
    </row>
    <row r="140">
      <c r="A140" s="43" t="inlineStr">
        <is>
          <t>YoY</t>
        </is>
      </c>
      <c r="B140" s="3" t="inlineStr">
        <is>
          <t>전년 같은 분기·전년 대비</t>
        </is>
      </c>
      <c r="G140" s="15">
        <f>IF(OR(G139="",C139=""),"",IF(C139&lt;=0,"",IFERROR(G139/C139-1,"")))</f>
        <v/>
      </c>
      <c r="H140" s="15">
        <f>IF(OR(H139="",D139=""),"",IF(D139&lt;=0,"",IFERROR(H139/D139-1,"")))</f>
        <v/>
      </c>
      <c r="I140" s="15">
        <f>IF(OR(I139="",E139=""),"",IF(E139&lt;=0,"",IFERROR(I139/E139-1,"")))</f>
        <v/>
      </c>
      <c r="J140" s="15">
        <f>IF(OR(J139="",F139=""),"",IF(F139&lt;=0,"",IFERROR(J139/F139-1,"")))</f>
        <v/>
      </c>
      <c r="K140" s="15">
        <f>IF(OR(K139="",G139=""),"",IF(G139&lt;=0,"",IFERROR(K139/G139-1,"")))</f>
        <v/>
      </c>
      <c r="L140" s="15">
        <f>IF(OR(L139="",H139=""),"",IF(H139&lt;=0,"",IFERROR(L139/H139-1,"")))</f>
        <v/>
      </c>
      <c r="M140" s="15">
        <f>IF(OR(M139="",I139=""),"",IF(I139&lt;=0,"",IFERROR(M139/I139-1,"")))</f>
        <v/>
      </c>
      <c r="N140" s="15">
        <f>IF(OR(N139="",J139=""),"",IF(J139&lt;=0,"",IFERROR(N139/J139-1,"")))</f>
        <v/>
      </c>
      <c r="V140" s="15">
        <f>IF(OR(V139="",U139=""),"",IF(U139&lt;=0,"",IFERROR(V139/U139-1,"")))</f>
        <v/>
      </c>
      <c r="W140" s="15">
        <f>IF(OR(W139="",V139=""),"",IF(V139&lt;=0,"",IFERROR(W139/V139-1,"")))</f>
        <v/>
      </c>
      <c r="X140" s="15">
        <f>IF(OR(X139="",W139=""),"",IF(W139&lt;=0,"",IFERROR(X139/W139-1,"")))</f>
        <v/>
      </c>
    </row>
    <row r="141">
      <c r="A141" s="18" t="inlineStr">
        <is>
          <t>휴먼라이프 · Revenue From External Customers</t>
        </is>
      </c>
      <c r="C141" s="20" t="n">
        <v>30022</v>
      </c>
      <c r="D141" s="20" t="n">
        <v>29154</v>
      </c>
      <c r="E141" s="20" t="n">
        <v>29943</v>
      </c>
      <c r="F141" s="20" t="n">
        <v>32036</v>
      </c>
      <c r="G141" s="20" t="n">
        <v>31780</v>
      </c>
      <c r="H141" s="20" t="n">
        <v>31811</v>
      </c>
      <c r="I141" s="20" t="n">
        <v>30902</v>
      </c>
      <c r="J141" s="20" t="n">
        <v>35617</v>
      </c>
      <c r="K141" s="20" t="n">
        <v>35448</v>
      </c>
      <c r="L141" s="20" t="n">
        <v>35279</v>
      </c>
      <c r="M141" s="20" t="n">
        <v>39236</v>
      </c>
      <c r="N141" s="20" t="n">
        <v>41861</v>
      </c>
      <c r="V141" s="20" t="n">
        <v>29154</v>
      </c>
      <c r="W141" s="20" t="n">
        <v>31811</v>
      </c>
      <c r="X141" s="20" t="n">
        <v>35279</v>
      </c>
    </row>
    <row r="142">
      <c r="A142" s="43" t="inlineStr">
        <is>
          <t>YoY</t>
        </is>
      </c>
      <c r="B142" s="3" t="inlineStr">
        <is>
          <t>전년 같은 분기·전년 대비</t>
        </is>
      </c>
      <c r="G142" s="15">
        <f>IF(OR(G141="",C141=""),"",IF(C141&lt;=0,"",IFERROR(G141/C141-1,"")))</f>
        <v/>
      </c>
      <c r="H142" s="15">
        <f>IF(OR(H141="",D141=""),"",IF(D141&lt;=0,"",IFERROR(H141/D141-1,"")))</f>
        <v/>
      </c>
      <c r="I142" s="15">
        <f>IF(OR(I141="",E141=""),"",IF(E141&lt;=0,"",IFERROR(I141/E141-1,"")))</f>
        <v/>
      </c>
      <c r="J142" s="15">
        <f>IF(OR(J141="",F141=""),"",IF(F141&lt;=0,"",IFERROR(J141/F141-1,"")))</f>
        <v/>
      </c>
      <c r="K142" s="15">
        <f>IF(OR(K141="",G141=""),"",IF(G141&lt;=0,"",IFERROR(K141/G141-1,"")))</f>
        <v/>
      </c>
      <c r="L142" s="15">
        <f>IF(OR(L141="",H141=""),"",IF(H141&lt;=0,"",IFERROR(L141/H141-1,"")))</f>
        <v/>
      </c>
      <c r="M142" s="15">
        <f>IF(OR(M141="",I141=""),"",IF(I141&lt;=0,"",IFERROR(M141/I141-1,"")))</f>
        <v/>
      </c>
      <c r="N142" s="15">
        <f>IF(OR(N141="",J141=""),"",IF(J141&lt;=0,"",IFERROR(N141/J141-1,"")))</f>
        <v/>
      </c>
      <c r="V142" s="15">
        <f>IF(OR(V141="",U141=""),"",IF(U141&lt;=0,"",IFERROR(V141/U141-1,"")))</f>
        <v/>
      </c>
      <c r="W142" s="15">
        <f>IF(OR(W141="",V141=""),"",IF(V141&lt;=0,"",IFERROR(W141/V141-1,"")))</f>
        <v/>
      </c>
      <c r="X142" s="15">
        <f>IF(OR(X141="",W141=""),"",IF(W141&lt;=0,"",IFERROR(X141/W141-1,"")))</f>
        <v/>
      </c>
    </row>
    <row r="143">
      <c r="A143" s="18" t="inlineStr">
        <is>
          <t>보고부문 합계 · Revenue From External Customers</t>
        </is>
      </c>
      <c r="C143" s="20" t="n">
        <v>244236</v>
      </c>
      <c r="D143" s="20" t="n">
        <v>220833</v>
      </c>
      <c r="E143" s="20" t="n">
        <v>249034</v>
      </c>
      <c r="F143" s="20" t="n">
        <v>272003</v>
      </c>
      <c r="G143" s="20" t="n">
        <v>256213</v>
      </c>
      <c r="H143" s="20" t="n">
        <v>235133</v>
      </c>
      <c r="I143" s="20" t="n">
        <v>245917</v>
      </c>
      <c r="J143" s="20" t="n">
        <v>266981</v>
      </c>
      <c r="K143" s="20" t="n">
        <v>272212</v>
      </c>
      <c r="L143" s="20" t="n">
        <v>241562</v>
      </c>
      <c r="M143" s="20" t="n">
        <v>271407</v>
      </c>
      <c r="N143" s="20" t="n">
        <v>286259</v>
      </c>
      <c r="V143" s="20" t="n">
        <v>220833</v>
      </c>
      <c r="W143" s="20" t="n">
        <v>235133</v>
      </c>
      <c r="X143" s="20" t="n">
        <v>241562</v>
      </c>
    </row>
    <row r="144">
      <c r="A144" s="43" t="inlineStr">
        <is>
          <t>YoY</t>
        </is>
      </c>
      <c r="B144" s="3" t="inlineStr">
        <is>
          <t>전년 같은 분기·전년 대비</t>
        </is>
      </c>
      <c r="G144" s="15">
        <f>IF(OR(G143="",C143=""),"",IF(C143&lt;=0,"",IFERROR(G143/C143-1,"")))</f>
        <v/>
      </c>
      <c r="H144" s="15">
        <f>IF(OR(H143="",D143=""),"",IF(D143&lt;=0,"",IFERROR(H143/D143-1,"")))</f>
        <v/>
      </c>
      <c r="I144" s="15">
        <f>IF(OR(I143="",E143=""),"",IF(E143&lt;=0,"",IFERROR(I143/E143-1,"")))</f>
        <v/>
      </c>
      <c r="J144" s="15">
        <f>IF(OR(J143="",F143=""),"",IF(F143&lt;=0,"",IFERROR(J143/F143-1,"")))</f>
        <v/>
      </c>
      <c r="K144" s="15">
        <f>IF(OR(K143="",G143=""),"",IF(G143&lt;=0,"",IFERROR(K143/G143-1,"")))</f>
        <v/>
      </c>
      <c r="L144" s="15">
        <f>IF(OR(L143="",H143=""),"",IF(H143&lt;=0,"",IFERROR(L143/H143-1,"")))</f>
        <v/>
      </c>
      <c r="M144" s="15">
        <f>IF(OR(M143="",I143=""),"",IF(I143&lt;=0,"",IFERROR(M143/I143-1,"")))</f>
        <v/>
      </c>
      <c r="N144" s="15">
        <f>IF(OR(N143="",J143=""),"",IF(J143&lt;=0,"",IFERROR(N143/J143-1,"")))</f>
        <v/>
      </c>
      <c r="V144" s="15">
        <f>IF(OR(V143="",U143=""),"",IF(U143&lt;=0,"",IFERROR(V143/U143-1,"")))</f>
        <v/>
      </c>
      <c r="W144" s="15">
        <f>IF(OR(W143="",V143=""),"",IF(V143&lt;=0,"",IFERROR(W143/V143-1,"")))</f>
        <v/>
      </c>
      <c r="X144" s="15">
        <f>IF(OR(X143="",W143=""),"",IF(W143&lt;=0,"",IFERROR(X143/W143-1,"")))</f>
        <v/>
      </c>
    </row>
    <row r="145">
      <c r="A145" s="18" t="inlineStr">
        <is>
          <t>기타 · Revenue From External Customers</t>
        </is>
      </c>
      <c r="C145" s="20" t="n">
        <v>4</v>
      </c>
      <c r="D145" s="20" t="n">
        <v>2</v>
      </c>
      <c r="E145" s="20" t="n">
        <v>1</v>
      </c>
      <c r="F145" s="20" t="n">
        <v>0</v>
      </c>
      <c r="G145" s="20" t="n">
        <v>2</v>
      </c>
      <c r="H145" s="20" t="n">
        <v>16</v>
      </c>
      <c r="I145" s="20" t="n">
        <v>3</v>
      </c>
      <c r="J145" s="20" t="n">
        <v>5</v>
      </c>
      <c r="K145" s="20" t="n">
        <v>2</v>
      </c>
      <c r="L145" s="20" t="n">
        <v>1</v>
      </c>
      <c r="M145" s="20" t="n">
        <v>1</v>
      </c>
      <c r="N145" s="20" t="n">
        <v>3</v>
      </c>
      <c r="V145" s="20" t="n">
        <v>2</v>
      </c>
      <c r="W145" s="20" t="n">
        <v>16</v>
      </c>
      <c r="X145" s="20" t="n">
        <v>1</v>
      </c>
    </row>
    <row r="146">
      <c r="A146" s="43" t="inlineStr">
        <is>
          <t>YoY</t>
        </is>
      </c>
      <c r="B146" s="3" t="inlineStr">
        <is>
          <t>전년 같은 분기·전년 대비</t>
        </is>
      </c>
      <c r="G146" s="15">
        <f>IF(OR(G145="",C145=""),"",IF(C145&lt;=0,"",IFERROR(G145/C145-1,"")))</f>
        <v/>
      </c>
      <c r="H146" s="15">
        <f>IF(OR(H145="",D145=""),"",IF(D145&lt;=0,"",IFERROR(H145/D145-1,"")))</f>
        <v/>
      </c>
      <c r="I146" s="15">
        <f>IF(OR(I145="",E145=""),"",IF(E145&lt;=0,"",IFERROR(I145/E145-1,"")))</f>
        <v/>
      </c>
      <c r="J146" s="15">
        <f>IF(OR(J145="",F145=""),"",IF(F145&lt;=0,"",IFERROR(J145/F145-1,"")))</f>
        <v/>
      </c>
      <c r="K146" s="15">
        <f>IF(OR(K145="",G145=""),"",IF(G145&lt;=0,"",IFERROR(K145/G145-1,"")))</f>
        <v/>
      </c>
      <c r="L146" s="15">
        <f>IF(OR(L145="",H145=""),"",IF(H145&lt;=0,"",IFERROR(L145/H145-1,"")))</f>
        <v/>
      </c>
      <c r="M146" s="15">
        <f>IF(OR(M145="",I145=""),"",IF(I145&lt;=0,"",IFERROR(M145/I145-1,"")))</f>
        <v/>
      </c>
      <c r="N146" s="15">
        <f>IF(OR(N145="",J145=""),"",IF(J145&lt;=0,"",IFERROR(N145/J145-1,"")))</f>
        <v/>
      </c>
      <c r="V146" s="15">
        <f>IF(OR(V145="",U145=""),"",IF(U145&lt;=0,"",IFERROR(V145/U145-1,"")))</f>
        <v/>
      </c>
      <c r="W146" s="15">
        <f>IF(OR(W145="",V145=""),"",IF(V145&lt;=0,"",IFERROR(W145/V145-1,"")))</f>
        <v/>
      </c>
      <c r="X146" s="15">
        <f>IF(OR(X145="",W145=""),"",IF(W145&lt;=0,"",IFERROR(X145/W145-1,"")))</f>
        <v/>
      </c>
    </row>
    <row r="147">
      <c r="A147" s="18" t="inlineStr">
        <is>
          <t>합계 · Revenue From External Customers</t>
        </is>
      </c>
      <c r="C147" s="20" t="n">
        <v>244241</v>
      </c>
      <c r="D147" s="20" t="n">
        <v>220835</v>
      </c>
      <c r="E147" s="20" t="n">
        <v>249036</v>
      </c>
      <c r="F147" s="20" t="n">
        <v>272002</v>
      </c>
      <c r="G147" s="20" t="n">
        <v>256216</v>
      </c>
      <c r="H147" s="20" t="n">
        <v>235149</v>
      </c>
      <c r="I147" s="20" t="n">
        <v>245920</v>
      </c>
      <c r="J147" s="20" t="n">
        <v>266987</v>
      </c>
      <c r="K147" s="20" t="n">
        <v>272213</v>
      </c>
      <c r="L147" s="20" t="n">
        <v>241564</v>
      </c>
      <c r="M147" s="20" t="n">
        <v>271408</v>
      </c>
      <c r="N147" s="20" t="n">
        <v>286262</v>
      </c>
      <c r="V147" s="20" t="n">
        <v>220835</v>
      </c>
      <c r="W147" s="20" t="n">
        <v>235149</v>
      </c>
      <c r="X147" s="20" t="n">
        <v>241564</v>
      </c>
    </row>
    <row r="148">
      <c r="A148" s="43" t="inlineStr">
        <is>
          <t>YoY</t>
        </is>
      </c>
      <c r="B148" s="3" t="inlineStr">
        <is>
          <t>전년 같은 분기·전년 대비</t>
        </is>
      </c>
      <c r="G148" s="15">
        <f>IF(OR(G147="",C147=""),"",IF(C147&lt;=0,"",IFERROR(G147/C147-1,"")))</f>
        <v/>
      </c>
      <c r="H148" s="15">
        <f>IF(OR(H147="",D147=""),"",IF(D147&lt;=0,"",IFERROR(H147/D147-1,"")))</f>
        <v/>
      </c>
      <c r="I148" s="15">
        <f>IF(OR(I147="",E147=""),"",IF(E147&lt;=0,"",IFERROR(I147/E147-1,"")))</f>
        <v/>
      </c>
      <c r="J148" s="15">
        <f>IF(OR(J147="",F147=""),"",IF(F147&lt;=0,"",IFERROR(J147/F147-1,"")))</f>
        <v/>
      </c>
      <c r="K148" s="15">
        <f>IF(OR(K147="",G147=""),"",IF(G147&lt;=0,"",IFERROR(K147/G147-1,"")))</f>
        <v/>
      </c>
      <c r="L148" s="15">
        <f>IF(OR(L147="",H147=""),"",IF(H147&lt;=0,"",IFERROR(L147/H147-1,"")))</f>
        <v/>
      </c>
      <c r="M148" s="15">
        <f>IF(OR(M147="",I147=""),"",IF(I147&lt;=0,"",IFERROR(M147/I147-1,"")))</f>
        <v/>
      </c>
      <c r="N148" s="15">
        <f>IF(OR(N147="",J147=""),"",IF(J147&lt;=0,"",IFERROR(N147/J147-1,"")))</f>
        <v/>
      </c>
      <c r="V148" s="15">
        <f>IF(OR(V147="",U147=""),"",IF(U147&lt;=0,"",IFERROR(V147/U147-1,"")))</f>
        <v/>
      </c>
      <c r="W148" s="15">
        <f>IF(OR(W147="",V147=""),"",IF(V147&lt;=0,"",IFERROR(W147/V147-1,"")))</f>
        <v/>
      </c>
      <c r="X148" s="15">
        <f>IF(OR(X147="",W147=""),"",IF(W147&lt;=0,"",IFERROR(X147/W147-1,"")))</f>
        <v/>
      </c>
    </row>
    <row r="149">
      <c r="A149" s="18" t="inlineStr">
        <is>
          <t>조정액 · Revenue From External Customers</t>
        </is>
      </c>
      <c r="C149" s="20" t="n">
        <v>316</v>
      </c>
      <c r="D149" s="20" t="n">
        <v>403</v>
      </c>
      <c r="E149" s="20" t="n">
        <v>274</v>
      </c>
      <c r="F149" s="20" t="n">
        <v>410</v>
      </c>
      <c r="G149" s="20" t="n">
        <v>347</v>
      </c>
      <c r="H149" s="20" t="n">
        <v>444</v>
      </c>
      <c r="I149" s="20" t="n">
        <v>271</v>
      </c>
      <c r="J149" s="20" t="n">
        <v>391</v>
      </c>
      <c r="K149" s="20" t="n">
        <v>413</v>
      </c>
      <c r="L149" s="20" t="n">
        <v>412</v>
      </c>
      <c r="M149" s="20" t="n">
        <v>263</v>
      </c>
      <c r="N149" s="20" t="n">
        <v>430</v>
      </c>
      <c r="V149" s="20" t="n">
        <v>403</v>
      </c>
      <c r="W149" s="20" t="n">
        <v>444</v>
      </c>
      <c r="X149" s="20" t="n">
        <v>412</v>
      </c>
    </row>
    <row r="150">
      <c r="A150" s="9" t="inlineStr">
        <is>
          <t>Revenue From External Customers</t>
        </is>
      </c>
      <c r="C150" s="12" t="n">
        <v>244556</v>
      </c>
      <c r="D150" s="12" t="n">
        <v>221239</v>
      </c>
      <c r="E150" s="12" t="n">
        <v>249310</v>
      </c>
      <c r="F150" s="12" t="n">
        <v>272413</v>
      </c>
      <c r="G150" s="12" t="n">
        <v>256562</v>
      </c>
      <c r="H150" s="12" t="n">
        <v>235593</v>
      </c>
      <c r="I150" s="12" t="n">
        <v>246192</v>
      </c>
      <c r="J150" s="12" t="n">
        <v>267377</v>
      </c>
      <c r="K150" s="12" t="n">
        <v>272626</v>
      </c>
      <c r="L150" s="12" t="n">
        <v>241976</v>
      </c>
      <c r="M150" s="12" t="n">
        <v>271672</v>
      </c>
      <c r="N150" s="12" t="n">
        <v>286691</v>
      </c>
      <c r="V150" s="12" t="n">
        <v>221239</v>
      </c>
      <c r="W150" s="12" t="n">
        <v>235593</v>
      </c>
      <c r="X150" s="12" t="n">
        <v>241976</v>
      </c>
    </row>
    <row r="151">
      <c r="A151" s="43" t="inlineStr">
        <is>
          <t>YoY</t>
        </is>
      </c>
      <c r="B151" s="3" t="inlineStr">
        <is>
          <t>전년 같은 분기·전년 대비</t>
        </is>
      </c>
      <c r="G151" s="15">
        <f>IF(OR(G150="",C150=""),"",IF(C150&lt;=0,"",IFERROR(G150/C150-1,"")))</f>
        <v/>
      </c>
      <c r="H151" s="15">
        <f>IF(OR(H150="",D150=""),"",IF(D150&lt;=0,"",IFERROR(H150/D150-1,"")))</f>
        <v/>
      </c>
      <c r="I151" s="15">
        <f>IF(OR(I150="",E150=""),"",IF(E150&lt;=0,"",IFERROR(I150/E150-1,"")))</f>
        <v/>
      </c>
      <c r="J151" s="15">
        <f>IF(OR(J150="",F150=""),"",IF(F150&lt;=0,"",IFERROR(J150/F150-1,"")))</f>
        <v/>
      </c>
      <c r="K151" s="15">
        <f>IF(OR(K150="",G150=""),"",IF(G150&lt;=0,"",IFERROR(K150/G150-1,"")))</f>
        <v/>
      </c>
      <c r="L151" s="15">
        <f>IF(OR(L150="",H150=""),"",IF(H150&lt;=0,"",IFERROR(L150/H150-1,"")))</f>
        <v/>
      </c>
      <c r="M151" s="15">
        <f>IF(OR(M150="",I150=""),"",IF(I150&lt;=0,"",IFERROR(M150/I150-1,"")))</f>
        <v/>
      </c>
      <c r="N151" s="15">
        <f>IF(OR(N150="",J150=""),"",IF(J150&lt;=0,"",IFERROR(N150/J150-1,"")))</f>
        <v/>
      </c>
      <c r="V151" s="15">
        <f>IF(OR(V150="",U150=""),"",IF(U150&lt;=0,"",IFERROR(V150/U150-1,"")))</f>
        <v/>
      </c>
      <c r="W151" s="15">
        <f>IF(OR(W150="",V150=""),"",IF(V150&lt;=0,"",IFERROR(W150/V150-1,"")))</f>
        <v/>
      </c>
      <c r="X151" s="15">
        <f>IF(OR(X150="",W150=""),"",IF(W150&lt;=0,"",IFERROR(X150/W150-1,"")))</f>
        <v/>
      </c>
    </row>
    <row r="152">
      <c r="A152" s="18" t="inlineStr">
        <is>
          <t>인더스트리얼 테이프 · Intersegment Revenue</t>
        </is>
      </c>
      <c r="C152" s="20" t="n">
        <v>1194</v>
      </c>
      <c r="D152" s="20" t="n">
        <v>1141</v>
      </c>
      <c r="E152" s="20" t="n">
        <v>795</v>
      </c>
      <c r="F152" s="20" t="n">
        <v>805</v>
      </c>
      <c r="G152" s="20" t="n">
        <v>756</v>
      </c>
      <c r="H152" s="20" t="n">
        <v>513</v>
      </c>
      <c r="I152" s="20" t="n">
        <v>587</v>
      </c>
      <c r="J152" s="20" t="n">
        <v>414</v>
      </c>
      <c r="K152" s="20" t="n">
        <v>454</v>
      </c>
      <c r="L152" s="20" t="n">
        <v>325</v>
      </c>
      <c r="M152" s="20" t="n">
        <v>389</v>
      </c>
      <c r="N152" s="20" t="n">
        <v>413</v>
      </c>
      <c r="V152" s="20" t="n">
        <v>1141</v>
      </c>
      <c r="W152" s="20" t="n">
        <v>513</v>
      </c>
      <c r="X152" s="20" t="n">
        <v>325</v>
      </c>
    </row>
    <row r="153">
      <c r="A153" s="18" t="inlineStr">
        <is>
          <t>옵트로닉스 · Intersegment Revenue</t>
        </is>
      </c>
      <c r="C153" s="20" t="n">
        <v>2080</v>
      </c>
      <c r="D153" s="20" t="n">
        <v>1665</v>
      </c>
      <c r="E153" s="20" t="n">
        <v>1216</v>
      </c>
      <c r="F153" s="20" t="n">
        <v>1045</v>
      </c>
      <c r="G153" s="20" t="n">
        <v>1014</v>
      </c>
      <c r="H153" s="20" t="n">
        <v>866</v>
      </c>
      <c r="I153" s="20" t="n">
        <v>720</v>
      </c>
      <c r="J153" s="20" t="n">
        <v>948</v>
      </c>
      <c r="K153" s="20" t="n">
        <v>808</v>
      </c>
      <c r="L153" s="20" t="n">
        <v>737</v>
      </c>
      <c r="M153" s="20" t="n">
        <v>715</v>
      </c>
      <c r="N153" s="20" t="n">
        <v>742</v>
      </c>
      <c r="V153" s="20" t="n">
        <v>1665</v>
      </c>
      <c r="W153" s="20" t="n">
        <v>866</v>
      </c>
      <c r="X153" s="20" t="n">
        <v>737</v>
      </c>
    </row>
    <row r="154">
      <c r="A154" s="18" t="inlineStr">
        <is>
          <t>휴먼라이프 · Intersegment Revenue</t>
        </is>
      </c>
      <c r="C154" s="20" t="n">
        <v>2047</v>
      </c>
      <c r="D154" s="20" t="n">
        <v>2144</v>
      </c>
      <c r="E154" s="20" t="n">
        <v>1627</v>
      </c>
      <c r="F154" s="20" t="n">
        <v>1790</v>
      </c>
      <c r="G154" s="20" t="n">
        <v>1839</v>
      </c>
      <c r="H154" s="20" t="n">
        <v>1585</v>
      </c>
      <c r="I154" s="20" t="n">
        <v>1574</v>
      </c>
      <c r="J154" s="20" t="n">
        <v>1526</v>
      </c>
      <c r="K154" s="20" t="n">
        <v>1854</v>
      </c>
      <c r="L154" s="20" t="n">
        <v>1501</v>
      </c>
      <c r="M154" s="20" t="n">
        <v>1540</v>
      </c>
      <c r="N154" s="20" t="n">
        <v>1633</v>
      </c>
      <c r="V154" s="20" t="n">
        <v>2144</v>
      </c>
      <c r="W154" s="20" t="n">
        <v>1585</v>
      </c>
      <c r="X154" s="20" t="n">
        <v>1501</v>
      </c>
    </row>
    <row r="155">
      <c r="A155" s="18" t="inlineStr">
        <is>
          <t>보고부문 합계 · Intersegment Revenue</t>
        </is>
      </c>
      <c r="C155" s="20" t="n">
        <v>5321</v>
      </c>
      <c r="D155" s="20" t="n">
        <v>4950</v>
      </c>
      <c r="E155" s="20" t="n">
        <v>3639</v>
      </c>
      <c r="F155" s="20" t="n">
        <v>3639</v>
      </c>
      <c r="G155" s="20" t="n">
        <v>3610</v>
      </c>
      <c r="H155" s="20" t="n">
        <v>2963</v>
      </c>
      <c r="I155" s="20" t="n">
        <v>2881</v>
      </c>
      <c r="J155" s="20" t="n">
        <v>2889</v>
      </c>
      <c r="K155" s="20" t="n">
        <v>3116</v>
      </c>
      <c r="L155" s="20" t="n">
        <v>2562</v>
      </c>
      <c r="M155" s="20" t="n">
        <v>2645</v>
      </c>
      <c r="N155" s="20" t="n">
        <v>2788</v>
      </c>
      <c r="V155" s="20" t="n">
        <v>4950</v>
      </c>
      <c r="W155" s="20" t="n">
        <v>2963</v>
      </c>
      <c r="X155" s="20" t="n">
        <v>2562</v>
      </c>
    </row>
    <row r="156">
      <c r="A156" s="18" t="inlineStr">
        <is>
          <t>기타 · Intersegment Revenue</t>
        </is>
      </c>
      <c r="C156" s="20" t="n">
        <v>0</v>
      </c>
      <c r="D156" s="20" t="n">
        <v>0</v>
      </c>
      <c r="E156" s="20" t="n">
        <v>0</v>
      </c>
      <c r="F156" s="20" t="n">
        <v>0</v>
      </c>
      <c r="G156" s="20" t="n">
        <v>0</v>
      </c>
      <c r="H156" s="20" t="n">
        <v>0</v>
      </c>
      <c r="I156" s="20" t="n">
        <v>0</v>
      </c>
      <c r="J156" s="20" t="n">
        <v>0</v>
      </c>
      <c r="K156" s="20" t="n">
        <v>0</v>
      </c>
      <c r="L156" s="20" t="n">
        <v>0</v>
      </c>
      <c r="M156" s="20" t="n">
        <v>13</v>
      </c>
      <c r="N156" s="20" t="n">
        <v>0</v>
      </c>
      <c r="V156" s="20" t="n">
        <v>0</v>
      </c>
      <c r="W156" s="20" t="n">
        <v>0</v>
      </c>
      <c r="X156" s="20" t="n">
        <v>0</v>
      </c>
    </row>
    <row r="157">
      <c r="A157" s="18" t="inlineStr">
        <is>
          <t>합계 · Intersegment Revenue</t>
        </is>
      </c>
      <c r="C157" s="20" t="n">
        <v>5321</v>
      </c>
      <c r="D157" s="20" t="n">
        <v>4950</v>
      </c>
      <c r="E157" s="20" t="n">
        <v>3639</v>
      </c>
      <c r="F157" s="20" t="n">
        <v>3639</v>
      </c>
      <c r="G157" s="20" t="n">
        <v>3610</v>
      </c>
      <c r="H157" s="20" t="n">
        <v>2963</v>
      </c>
      <c r="I157" s="20" t="n">
        <v>2881</v>
      </c>
      <c r="J157" s="20" t="n">
        <v>2889</v>
      </c>
      <c r="K157" s="20" t="n">
        <v>3116</v>
      </c>
      <c r="L157" s="20" t="n">
        <v>2562</v>
      </c>
      <c r="M157" s="20" t="n">
        <v>2658</v>
      </c>
      <c r="N157" s="20" t="n">
        <v>2789</v>
      </c>
      <c r="V157" s="20" t="n">
        <v>4950</v>
      </c>
      <c r="W157" s="20" t="n">
        <v>2963</v>
      </c>
      <c r="X157" s="20" t="n">
        <v>2562</v>
      </c>
    </row>
    <row r="158">
      <c r="A158" s="18" t="inlineStr">
        <is>
          <t>조정액 · Intersegment Revenue</t>
        </is>
      </c>
      <c r="C158" s="20" t="n">
        <v>-5321</v>
      </c>
      <c r="D158" s="20" t="n">
        <v>-4950</v>
      </c>
      <c r="E158" s="20" t="n">
        <v>-3639</v>
      </c>
      <c r="F158" s="20" t="n">
        <v>-3639</v>
      </c>
      <c r="G158" s="20" t="n">
        <v>-3610</v>
      </c>
      <c r="H158" s="20" t="n">
        <v>-2963</v>
      </c>
      <c r="I158" s="20" t="n">
        <v>-2881</v>
      </c>
      <c r="J158" s="20" t="n">
        <v>-2889</v>
      </c>
      <c r="K158" s="20" t="n">
        <v>-3116</v>
      </c>
      <c r="L158" s="20" t="n">
        <v>-2562</v>
      </c>
      <c r="M158" s="20" t="n">
        <v>-2658</v>
      </c>
      <c r="N158" s="20" t="n">
        <v>-2789</v>
      </c>
      <c r="V158" s="20" t="n">
        <v>-4950</v>
      </c>
      <c r="W158" s="20" t="n">
        <v>-2963</v>
      </c>
      <c r="X158" s="20" t="n">
        <v>-2562</v>
      </c>
    </row>
    <row r="159">
      <c r="A159" s="18" t="inlineStr">
        <is>
          <t>Intersegment Revenue</t>
        </is>
      </c>
      <c r="C159" s="20" t="n">
        <v>0</v>
      </c>
      <c r="D159" s="20" t="n">
        <v>0</v>
      </c>
      <c r="E159" s="20" t="n">
        <v>0</v>
      </c>
      <c r="F159" s="20" t="n">
        <v>0</v>
      </c>
      <c r="G159" s="20" t="n">
        <v>0</v>
      </c>
      <c r="H159" s="20" t="n">
        <v>0</v>
      </c>
      <c r="I159" s="20" t="n">
        <v>0</v>
      </c>
      <c r="J159" s="20" t="n">
        <v>0</v>
      </c>
      <c r="K159" s="20" t="n">
        <v>0</v>
      </c>
      <c r="L159" s="20" t="n">
        <v>0</v>
      </c>
      <c r="M159" s="20" t="n">
        <v>0</v>
      </c>
      <c r="N159" s="20" t="n">
        <v>0</v>
      </c>
      <c r="V159" s="20" t="n">
        <v>0</v>
      </c>
      <c r="W159" s="20" t="n">
        <v>0</v>
      </c>
      <c r="X159" s="20" t="n">
        <v>0</v>
      </c>
    </row>
    <row r="160">
      <c r="A160" s="18" t="inlineStr">
        <is>
          <t>인더스트리얼 테이프 · Revenue</t>
        </is>
      </c>
      <c r="C160" s="20" t="n">
        <v>89263</v>
      </c>
      <c r="D160" s="20" t="n">
        <v>82388</v>
      </c>
      <c r="E160" s="20" t="n">
        <v>85339</v>
      </c>
      <c r="F160" s="20" t="n">
        <v>91362</v>
      </c>
      <c r="G160" s="20" t="n">
        <v>90234</v>
      </c>
      <c r="H160" s="20" t="n">
        <v>84894</v>
      </c>
      <c r="I160" s="20" t="n">
        <v>85780</v>
      </c>
      <c r="J160" s="20" t="n">
        <v>93409</v>
      </c>
      <c r="K160" s="20" t="n">
        <v>95885</v>
      </c>
      <c r="L160" s="20" t="n">
        <v>91533</v>
      </c>
      <c r="M160" s="20" t="n">
        <v>101076</v>
      </c>
      <c r="N160" s="20" t="n">
        <v>107036</v>
      </c>
      <c r="V160" s="20" t="n">
        <v>82388</v>
      </c>
      <c r="W160" s="20" t="n">
        <v>84894</v>
      </c>
      <c r="X160" s="20" t="n">
        <v>91533</v>
      </c>
    </row>
    <row r="161">
      <c r="A161" s="43" t="inlineStr">
        <is>
          <t>YoY</t>
        </is>
      </c>
      <c r="B161" s="3" t="inlineStr">
        <is>
          <t>전년 같은 분기·전년 대비</t>
        </is>
      </c>
      <c r="G161" s="15">
        <f>IF(OR(G160="",C160=""),"",IF(C160&lt;=0,"",IFERROR(G160/C160-1,"")))</f>
        <v/>
      </c>
      <c r="H161" s="15">
        <f>IF(OR(H160="",D160=""),"",IF(D160&lt;=0,"",IFERROR(H160/D160-1,"")))</f>
        <v/>
      </c>
      <c r="I161" s="15">
        <f>IF(OR(I160="",E160=""),"",IF(E160&lt;=0,"",IFERROR(I160/E160-1,"")))</f>
        <v/>
      </c>
      <c r="J161" s="15">
        <f>IF(OR(J160="",F160=""),"",IF(F160&lt;=0,"",IFERROR(J160/F160-1,"")))</f>
        <v/>
      </c>
      <c r="K161" s="15">
        <f>IF(OR(K160="",G160=""),"",IF(G160&lt;=0,"",IFERROR(K160/G160-1,"")))</f>
        <v/>
      </c>
      <c r="L161" s="15">
        <f>IF(OR(L160="",H160=""),"",IF(H160&lt;=0,"",IFERROR(L160/H160-1,"")))</f>
        <v/>
      </c>
      <c r="M161" s="15">
        <f>IF(OR(M160="",I160=""),"",IF(I160&lt;=0,"",IFERROR(M160/I160-1,"")))</f>
        <v/>
      </c>
      <c r="N161" s="15">
        <f>IF(OR(N160="",J160=""),"",IF(J160&lt;=0,"",IFERROR(N160/J160-1,"")))</f>
        <v/>
      </c>
      <c r="V161" s="15">
        <f>IF(OR(V160="",U160=""),"",IF(U160&lt;=0,"",IFERROR(V160/U160-1,"")))</f>
        <v/>
      </c>
      <c r="W161" s="15">
        <f>IF(OR(W160="",V160=""),"",IF(V160&lt;=0,"",IFERROR(W160/V160-1,"")))</f>
        <v/>
      </c>
      <c r="X161" s="15">
        <f>IF(OR(X160="",W160=""),"",IF(W160&lt;=0,"",IFERROR(X160/W160-1,"")))</f>
        <v/>
      </c>
    </row>
    <row r="162">
      <c r="A162" s="18" t="inlineStr">
        <is>
          <t>옵트로닉스 · Revenue</t>
        </is>
      </c>
      <c r="C162" s="20" t="n">
        <v>128225</v>
      </c>
      <c r="D162" s="20" t="n">
        <v>112099</v>
      </c>
      <c r="E162" s="20" t="n">
        <v>135763</v>
      </c>
      <c r="F162" s="20" t="n">
        <v>150454</v>
      </c>
      <c r="G162" s="20" t="n">
        <v>135970</v>
      </c>
      <c r="H162" s="20" t="n">
        <v>119806</v>
      </c>
      <c r="I162" s="20" t="n">
        <v>130541</v>
      </c>
      <c r="J162" s="20" t="n">
        <v>139318</v>
      </c>
      <c r="K162" s="20" t="n">
        <v>142141</v>
      </c>
      <c r="L162" s="20" t="n">
        <v>115812</v>
      </c>
      <c r="M162" s="20" t="n">
        <v>132199</v>
      </c>
      <c r="N162" s="20" t="n">
        <v>138516</v>
      </c>
      <c r="V162" s="20" t="n">
        <v>112099</v>
      </c>
      <c r="W162" s="20" t="n">
        <v>119806</v>
      </c>
      <c r="X162" s="20" t="n">
        <v>115812</v>
      </c>
    </row>
    <row r="163">
      <c r="A163" s="43" t="inlineStr">
        <is>
          <t>YoY</t>
        </is>
      </c>
      <c r="B163" s="3" t="inlineStr">
        <is>
          <t>전년 같은 분기·전년 대비</t>
        </is>
      </c>
      <c r="G163" s="15">
        <f>IF(OR(G162="",C162=""),"",IF(C162&lt;=0,"",IFERROR(G162/C162-1,"")))</f>
        <v/>
      </c>
      <c r="H163" s="15">
        <f>IF(OR(H162="",D162=""),"",IF(D162&lt;=0,"",IFERROR(H162/D162-1,"")))</f>
        <v/>
      </c>
      <c r="I163" s="15">
        <f>IF(OR(I162="",E162=""),"",IF(E162&lt;=0,"",IFERROR(I162/E162-1,"")))</f>
        <v/>
      </c>
      <c r="J163" s="15">
        <f>IF(OR(J162="",F162=""),"",IF(F162&lt;=0,"",IFERROR(J162/F162-1,"")))</f>
        <v/>
      </c>
      <c r="K163" s="15">
        <f>IF(OR(K162="",G162=""),"",IF(G162&lt;=0,"",IFERROR(K162/G162-1,"")))</f>
        <v/>
      </c>
      <c r="L163" s="15">
        <f>IF(OR(L162="",H162=""),"",IF(H162&lt;=0,"",IFERROR(L162/H162-1,"")))</f>
        <v/>
      </c>
      <c r="M163" s="15">
        <f>IF(OR(M162="",I162=""),"",IF(I162&lt;=0,"",IFERROR(M162/I162-1,"")))</f>
        <v/>
      </c>
      <c r="N163" s="15">
        <f>IF(OR(N162="",J162=""),"",IF(J162&lt;=0,"",IFERROR(N162/J162-1,"")))</f>
        <v/>
      </c>
      <c r="V163" s="15">
        <f>IF(OR(V162="",U162=""),"",IF(U162&lt;=0,"",IFERROR(V162/U162-1,"")))</f>
        <v/>
      </c>
      <c r="W163" s="15">
        <f>IF(OR(W162="",V162=""),"",IF(V162&lt;=0,"",IFERROR(W162/V162-1,"")))</f>
        <v/>
      </c>
      <c r="X163" s="15">
        <f>IF(OR(X162="",W162=""),"",IF(W162&lt;=0,"",IFERROR(X162/W162-1,"")))</f>
        <v/>
      </c>
    </row>
    <row r="164">
      <c r="A164" s="18" t="inlineStr">
        <is>
          <t>휴먼라이프 · Revenue</t>
        </is>
      </c>
      <c r="C164" s="20" t="n">
        <v>32069</v>
      </c>
      <c r="D164" s="20" t="n">
        <v>31297</v>
      </c>
      <c r="E164" s="20" t="n">
        <v>31571</v>
      </c>
      <c r="F164" s="20" t="n">
        <v>33826</v>
      </c>
      <c r="G164" s="20" t="n">
        <v>33618</v>
      </c>
      <c r="H164" s="20" t="n">
        <v>33396</v>
      </c>
      <c r="I164" s="20" t="n">
        <v>32476</v>
      </c>
      <c r="J164" s="20" t="n">
        <v>37143</v>
      </c>
      <c r="K164" s="20" t="n">
        <v>37303</v>
      </c>
      <c r="L164" s="20" t="n">
        <v>36780</v>
      </c>
      <c r="M164" s="20" t="n">
        <v>40776</v>
      </c>
      <c r="N164" s="20" t="n">
        <v>43495</v>
      </c>
      <c r="V164" s="20" t="n">
        <v>31297</v>
      </c>
      <c r="W164" s="20" t="n">
        <v>33396</v>
      </c>
      <c r="X164" s="20" t="n">
        <v>36780</v>
      </c>
    </row>
    <row r="165">
      <c r="A165" s="43" t="inlineStr">
        <is>
          <t>YoY</t>
        </is>
      </c>
      <c r="B165" s="3" t="inlineStr">
        <is>
          <t>전년 같은 분기·전년 대비</t>
        </is>
      </c>
      <c r="G165" s="15">
        <f>IF(OR(G164="",C164=""),"",IF(C164&lt;=0,"",IFERROR(G164/C164-1,"")))</f>
        <v/>
      </c>
      <c r="H165" s="15">
        <f>IF(OR(H164="",D164=""),"",IF(D164&lt;=0,"",IFERROR(H164/D164-1,"")))</f>
        <v/>
      </c>
      <c r="I165" s="15">
        <f>IF(OR(I164="",E164=""),"",IF(E164&lt;=0,"",IFERROR(I164/E164-1,"")))</f>
        <v/>
      </c>
      <c r="J165" s="15">
        <f>IF(OR(J164="",F164=""),"",IF(F164&lt;=0,"",IFERROR(J164/F164-1,"")))</f>
        <v/>
      </c>
      <c r="K165" s="15">
        <f>IF(OR(K164="",G164=""),"",IF(G164&lt;=0,"",IFERROR(K164/G164-1,"")))</f>
        <v/>
      </c>
      <c r="L165" s="15">
        <f>IF(OR(L164="",H164=""),"",IF(H164&lt;=0,"",IFERROR(L164/H164-1,"")))</f>
        <v/>
      </c>
      <c r="M165" s="15">
        <f>IF(OR(M164="",I164=""),"",IF(I164&lt;=0,"",IFERROR(M164/I164-1,"")))</f>
        <v/>
      </c>
      <c r="N165" s="15">
        <f>IF(OR(N164="",J164=""),"",IF(J164&lt;=0,"",IFERROR(N164/J164-1,"")))</f>
        <v/>
      </c>
      <c r="V165" s="15">
        <f>IF(OR(V164="",U164=""),"",IF(U164&lt;=0,"",IFERROR(V164/U164-1,"")))</f>
        <v/>
      </c>
      <c r="W165" s="15">
        <f>IF(OR(W164="",V164=""),"",IF(V164&lt;=0,"",IFERROR(W164/V164-1,"")))</f>
        <v/>
      </c>
      <c r="X165" s="15">
        <f>IF(OR(X164="",W164=""),"",IF(W164&lt;=0,"",IFERROR(X164/W164-1,"")))</f>
        <v/>
      </c>
    </row>
    <row r="166">
      <c r="A166" s="18" t="inlineStr">
        <is>
          <t>보고부문 합계 · Revenue</t>
        </is>
      </c>
      <c r="C166" s="20" t="n">
        <v>249558</v>
      </c>
      <c r="D166" s="20" t="n">
        <v>225782</v>
      </c>
      <c r="E166" s="20" t="n">
        <v>252674</v>
      </c>
      <c r="F166" s="20" t="n">
        <v>275642</v>
      </c>
      <c r="G166" s="20" t="n">
        <v>259823</v>
      </c>
      <c r="H166" s="20" t="n">
        <v>238095</v>
      </c>
      <c r="I166" s="20" t="n">
        <v>248799</v>
      </c>
      <c r="J166" s="20" t="n">
        <v>269870</v>
      </c>
      <c r="K166" s="20" t="n">
        <v>275327</v>
      </c>
      <c r="L166" s="20" t="n">
        <v>244125</v>
      </c>
      <c r="M166" s="20" t="n">
        <v>274052</v>
      </c>
      <c r="N166" s="20" t="n">
        <v>289047</v>
      </c>
      <c r="V166" s="20" t="n">
        <v>225782</v>
      </c>
      <c r="W166" s="20" t="n">
        <v>238095</v>
      </c>
      <c r="X166" s="20" t="n">
        <v>244125</v>
      </c>
    </row>
    <row r="167">
      <c r="A167" s="43" t="inlineStr">
        <is>
          <t>YoY</t>
        </is>
      </c>
      <c r="B167" s="3" t="inlineStr">
        <is>
          <t>전년 같은 분기·전년 대비</t>
        </is>
      </c>
      <c r="G167" s="15">
        <f>IF(OR(G166="",C166=""),"",IF(C166&lt;=0,"",IFERROR(G166/C166-1,"")))</f>
        <v/>
      </c>
      <c r="H167" s="15">
        <f>IF(OR(H166="",D166=""),"",IF(D166&lt;=0,"",IFERROR(H166/D166-1,"")))</f>
        <v/>
      </c>
      <c r="I167" s="15">
        <f>IF(OR(I166="",E166=""),"",IF(E166&lt;=0,"",IFERROR(I166/E166-1,"")))</f>
        <v/>
      </c>
      <c r="J167" s="15">
        <f>IF(OR(J166="",F166=""),"",IF(F166&lt;=0,"",IFERROR(J166/F166-1,"")))</f>
        <v/>
      </c>
      <c r="K167" s="15">
        <f>IF(OR(K166="",G166=""),"",IF(G166&lt;=0,"",IFERROR(K166/G166-1,"")))</f>
        <v/>
      </c>
      <c r="L167" s="15">
        <f>IF(OR(L166="",H166=""),"",IF(H166&lt;=0,"",IFERROR(L166/H166-1,"")))</f>
        <v/>
      </c>
      <c r="M167" s="15">
        <f>IF(OR(M166="",I166=""),"",IF(I166&lt;=0,"",IFERROR(M166/I166-1,"")))</f>
        <v/>
      </c>
      <c r="N167" s="15">
        <f>IF(OR(N166="",J166=""),"",IF(J166&lt;=0,"",IFERROR(N166/J166-1,"")))</f>
        <v/>
      </c>
      <c r="V167" s="15">
        <f>IF(OR(V166="",U166=""),"",IF(U166&lt;=0,"",IFERROR(V166/U166-1,"")))</f>
        <v/>
      </c>
      <c r="W167" s="15">
        <f>IF(OR(W166="",V166=""),"",IF(V166&lt;=0,"",IFERROR(W166/V166-1,"")))</f>
        <v/>
      </c>
      <c r="X167" s="15">
        <f>IF(OR(X166="",W166=""),"",IF(W166&lt;=0,"",IFERROR(X166/W166-1,"")))</f>
        <v/>
      </c>
    </row>
    <row r="168">
      <c r="A168" s="18" t="inlineStr">
        <is>
          <t>기타 · Revenue</t>
        </is>
      </c>
      <c r="C168" s="20" t="n">
        <v>4</v>
      </c>
      <c r="D168" s="20" t="n">
        <v>2</v>
      </c>
      <c r="E168" s="20" t="n">
        <v>1</v>
      </c>
      <c r="F168" s="20" t="n">
        <v>0</v>
      </c>
      <c r="G168" s="20" t="n">
        <v>2</v>
      </c>
      <c r="H168" s="20" t="n">
        <v>16</v>
      </c>
      <c r="I168" s="20" t="n">
        <v>3</v>
      </c>
      <c r="J168" s="20" t="n">
        <v>5</v>
      </c>
      <c r="K168" s="20" t="n">
        <v>2</v>
      </c>
      <c r="L168" s="20" t="n">
        <v>1</v>
      </c>
      <c r="M168" s="20" t="n">
        <v>14</v>
      </c>
      <c r="N168" s="20" t="n">
        <v>4</v>
      </c>
      <c r="V168" s="20" t="n">
        <v>2</v>
      </c>
      <c r="W168" s="20" t="n">
        <v>16</v>
      </c>
      <c r="X168" s="20" t="n">
        <v>1</v>
      </c>
    </row>
    <row r="169">
      <c r="A169" s="43" t="inlineStr">
        <is>
          <t>YoY</t>
        </is>
      </c>
      <c r="B169" s="3" t="inlineStr">
        <is>
          <t>전년 같은 분기·전년 대비</t>
        </is>
      </c>
      <c r="G169" s="15">
        <f>IF(OR(G168="",C168=""),"",IF(C168&lt;=0,"",IFERROR(G168/C168-1,"")))</f>
        <v/>
      </c>
      <c r="H169" s="15">
        <f>IF(OR(H168="",D168=""),"",IF(D168&lt;=0,"",IFERROR(H168/D168-1,"")))</f>
        <v/>
      </c>
      <c r="I169" s="15">
        <f>IF(OR(I168="",E168=""),"",IF(E168&lt;=0,"",IFERROR(I168/E168-1,"")))</f>
        <v/>
      </c>
      <c r="J169" s="15">
        <f>IF(OR(J168="",F168=""),"",IF(F168&lt;=0,"",IFERROR(J168/F168-1,"")))</f>
        <v/>
      </c>
      <c r="K169" s="15">
        <f>IF(OR(K168="",G168=""),"",IF(G168&lt;=0,"",IFERROR(K168/G168-1,"")))</f>
        <v/>
      </c>
      <c r="L169" s="15">
        <f>IF(OR(L168="",H168=""),"",IF(H168&lt;=0,"",IFERROR(L168/H168-1,"")))</f>
        <v/>
      </c>
      <c r="M169" s="15">
        <f>IF(OR(M168="",I168=""),"",IF(I168&lt;=0,"",IFERROR(M168/I168-1,"")))</f>
        <v/>
      </c>
      <c r="N169" s="15">
        <f>IF(OR(N168="",J168=""),"",IF(J168&lt;=0,"",IFERROR(N168/J168-1,"")))</f>
        <v/>
      </c>
      <c r="V169" s="15">
        <f>IF(OR(V168="",U168=""),"",IF(U168&lt;=0,"",IFERROR(V168/U168-1,"")))</f>
        <v/>
      </c>
      <c r="W169" s="15">
        <f>IF(OR(W168="",V168=""),"",IF(V168&lt;=0,"",IFERROR(W168/V168-1,"")))</f>
        <v/>
      </c>
      <c r="X169" s="15">
        <f>IF(OR(X168="",W168=""),"",IF(W168&lt;=0,"",IFERROR(X168/W168-1,"")))</f>
        <v/>
      </c>
    </row>
    <row r="170">
      <c r="A170" s="18" t="inlineStr">
        <is>
          <t>합계 · Revenue</t>
        </is>
      </c>
      <c r="C170" s="20" t="n">
        <v>249562</v>
      </c>
      <c r="D170" s="20" t="n">
        <v>225785</v>
      </c>
      <c r="E170" s="20" t="n">
        <v>252675</v>
      </c>
      <c r="F170" s="20" t="n">
        <v>275642</v>
      </c>
      <c r="G170" s="20" t="n">
        <v>259826</v>
      </c>
      <c r="H170" s="20" t="n">
        <v>238111</v>
      </c>
      <c r="I170" s="20" t="n">
        <v>248802</v>
      </c>
      <c r="J170" s="20" t="n">
        <v>269875</v>
      </c>
      <c r="K170" s="20" t="n">
        <v>275330</v>
      </c>
      <c r="L170" s="20" t="n">
        <v>244125</v>
      </c>
      <c r="M170" s="20" t="n">
        <v>274067</v>
      </c>
      <c r="N170" s="20" t="n">
        <v>289050</v>
      </c>
      <c r="V170" s="20" t="n">
        <v>225785</v>
      </c>
      <c r="W170" s="20" t="n">
        <v>238111</v>
      </c>
      <c r="X170" s="20" t="n">
        <v>244125</v>
      </c>
    </row>
    <row r="171">
      <c r="A171" s="43" t="inlineStr">
        <is>
          <t>YoY</t>
        </is>
      </c>
      <c r="B171" s="3" t="inlineStr">
        <is>
          <t>전년 같은 분기·전년 대비</t>
        </is>
      </c>
      <c r="G171" s="15">
        <f>IF(OR(G170="",C170=""),"",IF(C170&lt;=0,"",IFERROR(G170/C170-1,"")))</f>
        <v/>
      </c>
      <c r="H171" s="15">
        <f>IF(OR(H170="",D170=""),"",IF(D170&lt;=0,"",IFERROR(H170/D170-1,"")))</f>
        <v/>
      </c>
      <c r="I171" s="15">
        <f>IF(OR(I170="",E170=""),"",IF(E170&lt;=0,"",IFERROR(I170/E170-1,"")))</f>
        <v/>
      </c>
      <c r="J171" s="15">
        <f>IF(OR(J170="",F170=""),"",IF(F170&lt;=0,"",IFERROR(J170/F170-1,"")))</f>
        <v/>
      </c>
      <c r="K171" s="15">
        <f>IF(OR(K170="",G170=""),"",IF(G170&lt;=0,"",IFERROR(K170/G170-1,"")))</f>
        <v/>
      </c>
      <c r="L171" s="15">
        <f>IF(OR(L170="",H170=""),"",IF(H170&lt;=0,"",IFERROR(L170/H170-1,"")))</f>
        <v/>
      </c>
      <c r="M171" s="15">
        <f>IF(OR(M170="",I170=""),"",IF(I170&lt;=0,"",IFERROR(M170/I170-1,"")))</f>
        <v/>
      </c>
      <c r="N171" s="15">
        <f>IF(OR(N170="",J170=""),"",IF(J170&lt;=0,"",IFERROR(N170/J170-1,"")))</f>
        <v/>
      </c>
      <c r="V171" s="15">
        <f>IF(OR(V170="",U170=""),"",IF(U170&lt;=0,"",IFERROR(V170/U170-1,"")))</f>
        <v/>
      </c>
      <c r="W171" s="15">
        <f>IF(OR(W170="",V170=""),"",IF(V170&lt;=0,"",IFERROR(W170/V170-1,"")))</f>
        <v/>
      </c>
      <c r="X171" s="15">
        <f>IF(OR(X170="",W170=""),"",IF(W170&lt;=0,"",IFERROR(X170/W170-1,"")))</f>
        <v/>
      </c>
    </row>
    <row r="172">
      <c r="A172" s="18" t="inlineStr">
        <is>
          <t>조정액 · Revenue</t>
        </is>
      </c>
      <c r="C172" s="20" t="n">
        <v>-5005</v>
      </c>
      <c r="D172" s="20" t="n">
        <v>-4547</v>
      </c>
      <c r="E172" s="20" t="n">
        <v>-3364</v>
      </c>
      <c r="F172" s="20" t="n">
        <v>-3230</v>
      </c>
      <c r="G172" s="20" t="n">
        <v>-3263</v>
      </c>
      <c r="H172" s="20" t="n">
        <v>-2519</v>
      </c>
      <c r="I172" s="20" t="n">
        <v>-2609</v>
      </c>
      <c r="J172" s="20" t="n">
        <v>-2498</v>
      </c>
      <c r="K172" s="20" t="n">
        <v>-2704</v>
      </c>
      <c r="L172" s="20" t="n">
        <v>-2150</v>
      </c>
      <c r="M172" s="20" t="n">
        <v>-2395</v>
      </c>
      <c r="N172" s="20" t="n">
        <v>-2358</v>
      </c>
      <c r="V172" s="20" t="n">
        <v>-4547</v>
      </c>
      <c r="W172" s="20" t="n">
        <v>-2519</v>
      </c>
      <c r="X172" s="20" t="n">
        <v>-2150</v>
      </c>
    </row>
    <row r="173">
      <c r="A173" s="9" t="inlineStr">
        <is>
          <t>Revenue</t>
        </is>
      </c>
      <c r="C173" s="12" t="n">
        <v>244556</v>
      </c>
      <c r="D173" s="12" t="n">
        <v>221239</v>
      </c>
      <c r="E173" s="12" t="n">
        <v>249310</v>
      </c>
      <c r="F173" s="12" t="n">
        <v>272413</v>
      </c>
      <c r="G173" s="12" t="n">
        <v>256562</v>
      </c>
      <c r="H173" s="12" t="n">
        <v>235593</v>
      </c>
      <c r="I173" s="12" t="n">
        <v>246192</v>
      </c>
      <c r="J173" s="12" t="n">
        <v>267377</v>
      </c>
      <c r="K173" s="12" t="n">
        <v>272626</v>
      </c>
      <c r="L173" s="12" t="n">
        <v>241976</v>
      </c>
      <c r="M173" s="12" t="n">
        <v>271672</v>
      </c>
      <c r="N173" s="12" t="n">
        <v>286691</v>
      </c>
      <c r="V173" s="12" t="n">
        <v>221239</v>
      </c>
      <c r="W173" s="12" t="n">
        <v>235593</v>
      </c>
      <c r="X173" s="12" t="n">
        <v>241976</v>
      </c>
    </row>
    <row r="174">
      <c r="A174" s="43" t="inlineStr">
        <is>
          <t>YoY</t>
        </is>
      </c>
      <c r="B174" s="3" t="inlineStr">
        <is>
          <t>전년 같은 분기·전년 대비</t>
        </is>
      </c>
      <c r="G174" s="15">
        <f>IF(OR(G173="",C173=""),"",IF(C173&lt;=0,"",IFERROR(G173/C173-1,"")))</f>
        <v/>
      </c>
      <c r="H174" s="15">
        <f>IF(OR(H173="",D173=""),"",IF(D173&lt;=0,"",IFERROR(H173/D173-1,"")))</f>
        <v/>
      </c>
      <c r="I174" s="15">
        <f>IF(OR(I173="",E173=""),"",IF(E173&lt;=0,"",IFERROR(I173/E173-1,"")))</f>
        <v/>
      </c>
      <c r="J174" s="15">
        <f>IF(OR(J173="",F173=""),"",IF(F173&lt;=0,"",IFERROR(J173/F173-1,"")))</f>
        <v/>
      </c>
      <c r="K174" s="15">
        <f>IF(OR(K173="",G173=""),"",IF(G173&lt;=0,"",IFERROR(K173/G173-1,"")))</f>
        <v/>
      </c>
      <c r="L174" s="15">
        <f>IF(OR(L173="",H173=""),"",IF(H173&lt;=0,"",IFERROR(L173/H173-1,"")))</f>
        <v/>
      </c>
      <c r="M174" s="15">
        <f>IF(OR(M173="",I173=""),"",IF(I173&lt;=0,"",IFERROR(M173/I173-1,"")))</f>
        <v/>
      </c>
      <c r="N174" s="15">
        <f>IF(OR(N173="",J173=""),"",IF(J173&lt;=0,"",IFERROR(N173/J173-1,"")))</f>
        <v/>
      </c>
      <c r="V174" s="15">
        <f>IF(OR(V173="",U173=""),"",IF(U173&lt;=0,"",IFERROR(V173/U173-1,"")))</f>
        <v/>
      </c>
      <c r="W174" s="15">
        <f>IF(OR(W173="",V173=""),"",IF(V173&lt;=0,"",IFERROR(W173/V173-1,"")))</f>
        <v/>
      </c>
      <c r="X174" s="15">
        <f>IF(OR(X173="",W173=""),"",IF(W173&lt;=0,"",IFERROR(X173/W173-1,"")))</f>
        <v/>
      </c>
    </row>
    <row r="175">
      <c r="A175" s="18" t="inlineStr">
        <is>
          <t>인더스트리얼 테이프 · 영업이익</t>
        </is>
      </c>
      <c r="C175" s="20" t="n">
        <v>12524</v>
      </c>
      <c r="D175" s="20" t="n">
        <v>8782</v>
      </c>
      <c r="E175" s="20" t="n">
        <v>11260</v>
      </c>
      <c r="F175" s="20" t="n">
        <v>14015</v>
      </c>
      <c r="G175" s="20" t="n">
        <v>12436</v>
      </c>
      <c r="H175" s="20" t="n">
        <v>8153</v>
      </c>
      <c r="I175" s="20" t="n">
        <v>9871</v>
      </c>
      <c r="J175" s="20" t="n">
        <v>13812</v>
      </c>
      <c r="K175" s="20" t="n">
        <v>15164</v>
      </c>
      <c r="L175" s="20" t="n">
        <v>12815</v>
      </c>
      <c r="M175" s="20" t="n">
        <v>16280</v>
      </c>
      <c r="N175" s="20" t="n">
        <v>19552</v>
      </c>
      <c r="V175" s="20" t="n">
        <v>8782</v>
      </c>
      <c r="W175" s="20" t="n">
        <v>8153</v>
      </c>
      <c r="X175" s="20" t="n">
        <v>12815</v>
      </c>
    </row>
    <row r="176">
      <c r="A176" s="43" t="inlineStr">
        <is>
          <t>OPM</t>
        </is>
      </c>
      <c r="B176" s="3" t="inlineStr">
        <is>
          <t>영업이익 ÷ 매출</t>
        </is>
      </c>
      <c r="C176" s="15">
        <f>IF(OR(C175="",C160=""),"",IF(C160&lt;=0,"",IFERROR(C175/C160,"")))</f>
        <v/>
      </c>
      <c r="D176" s="15">
        <f>IF(OR(D175="",D160=""),"",IF(D160&lt;=0,"",IFERROR(D175/D160,"")))</f>
        <v/>
      </c>
      <c r="E176" s="15">
        <f>IF(OR(E175="",E160=""),"",IF(E160&lt;=0,"",IFERROR(E175/E160,"")))</f>
        <v/>
      </c>
      <c r="F176" s="15">
        <f>IF(OR(F175="",F160=""),"",IF(F160&lt;=0,"",IFERROR(F175/F160,"")))</f>
        <v/>
      </c>
      <c r="G176" s="15">
        <f>IF(OR(G175="",G160=""),"",IF(G160&lt;=0,"",IFERROR(G175/G160,"")))</f>
        <v/>
      </c>
      <c r="H176" s="15">
        <f>IF(OR(H175="",H160=""),"",IF(H160&lt;=0,"",IFERROR(H175/H160,"")))</f>
        <v/>
      </c>
      <c r="I176" s="15">
        <f>IF(OR(I175="",I160=""),"",IF(I160&lt;=0,"",IFERROR(I175/I160,"")))</f>
        <v/>
      </c>
      <c r="J176" s="15">
        <f>IF(OR(J175="",J160=""),"",IF(J160&lt;=0,"",IFERROR(J175/J160,"")))</f>
        <v/>
      </c>
      <c r="K176" s="15">
        <f>IF(OR(K175="",K160=""),"",IF(K160&lt;=0,"",IFERROR(K175/K160,"")))</f>
        <v/>
      </c>
      <c r="L176" s="15">
        <f>IF(OR(L175="",L160=""),"",IF(L160&lt;=0,"",IFERROR(L175/L160,"")))</f>
        <v/>
      </c>
      <c r="M176" s="15">
        <f>IF(OR(M175="",M160=""),"",IF(M160&lt;=0,"",IFERROR(M175/M160,"")))</f>
        <v/>
      </c>
      <c r="N176" s="15">
        <f>IF(OR(N175="",N160=""),"",IF(N160&lt;=0,"",IFERROR(N175/N160,"")))</f>
        <v/>
      </c>
      <c r="V176" s="15">
        <f>IF(OR(V175="",V160=""),"",IF(V160&lt;=0,"",IFERROR(V175/V160,"")))</f>
        <v/>
      </c>
      <c r="W176" s="15">
        <f>IF(OR(W175="",W160=""),"",IF(W160&lt;=0,"",IFERROR(W175/W160,"")))</f>
        <v/>
      </c>
      <c r="X176" s="15">
        <f>IF(OR(X175="",X160=""),"",IF(X160&lt;=0,"",IFERROR(X175/X160,"")))</f>
        <v/>
      </c>
    </row>
    <row r="177">
      <c r="A177" s="43" t="inlineStr">
        <is>
          <t>YoY</t>
        </is>
      </c>
      <c r="B177" s="3" t="inlineStr">
        <is>
          <t>전년 같은 분기·전년 대비</t>
        </is>
      </c>
      <c r="G177" s="15">
        <f>IF(OR(G175="",C175=""),"",IF(C175&lt;=0,"",IFERROR(G175/C175-1,"")))</f>
        <v/>
      </c>
      <c r="H177" s="15">
        <f>IF(OR(H175="",D175=""),"",IF(D175&lt;=0,"",IFERROR(H175/D175-1,"")))</f>
        <v/>
      </c>
      <c r="I177" s="15">
        <f>IF(OR(I175="",E175=""),"",IF(E175&lt;=0,"",IFERROR(I175/E175-1,"")))</f>
        <v/>
      </c>
      <c r="J177" s="15">
        <f>IF(OR(J175="",F175=""),"",IF(F175&lt;=0,"",IFERROR(J175/F175-1,"")))</f>
        <v/>
      </c>
      <c r="K177" s="15">
        <f>IF(OR(K175="",G175=""),"",IF(G175&lt;=0,"",IFERROR(K175/G175-1,"")))</f>
        <v/>
      </c>
      <c r="L177" s="15">
        <f>IF(OR(L175="",H175=""),"",IF(H175&lt;=0,"",IFERROR(L175/H175-1,"")))</f>
        <v/>
      </c>
      <c r="M177" s="15">
        <f>IF(OR(M175="",I175=""),"",IF(I175&lt;=0,"",IFERROR(M175/I175-1,"")))</f>
        <v/>
      </c>
      <c r="N177" s="15">
        <f>IF(OR(N175="",J175=""),"",IF(J175&lt;=0,"",IFERROR(N175/J175-1,"")))</f>
        <v/>
      </c>
      <c r="V177" s="15">
        <f>IF(OR(V175="",U175=""),"",IF(U175&lt;=0,"",IFERROR(V175/U175-1,"")))</f>
        <v/>
      </c>
      <c r="W177" s="15">
        <f>IF(OR(W175="",V175=""),"",IF(V175&lt;=0,"",IFERROR(W175/V175-1,"")))</f>
        <v/>
      </c>
      <c r="X177" s="15">
        <f>IF(OR(X175="",W175=""),"",IF(W175&lt;=0,"",IFERROR(X175/W175-1,"")))</f>
        <v/>
      </c>
    </row>
    <row r="178">
      <c r="A178" s="18" t="inlineStr">
        <is>
          <t>옵트로닉스 · 영업이익</t>
        </is>
      </c>
      <c r="C178" s="20" t="n">
        <v>42128</v>
      </c>
      <c r="D178" s="20" t="n">
        <v>24554</v>
      </c>
      <c r="E178" s="20" t="n">
        <v>45609</v>
      </c>
      <c r="F178" s="20" t="n">
        <v>50527</v>
      </c>
      <c r="G178" s="20" t="n">
        <v>41759</v>
      </c>
      <c r="H178" s="20" t="n">
        <v>35222</v>
      </c>
      <c r="I178" s="20" t="n">
        <v>36755</v>
      </c>
      <c r="J178" s="20" t="n">
        <v>40331</v>
      </c>
      <c r="K178" s="20" t="n">
        <v>43420</v>
      </c>
      <c r="L178" s="20" t="n">
        <v>29365</v>
      </c>
      <c r="M178" s="20" t="n">
        <v>35375</v>
      </c>
      <c r="N178" s="20" t="n">
        <v>38575</v>
      </c>
      <c r="V178" s="20" t="n">
        <v>24554</v>
      </c>
      <c r="W178" s="20" t="n">
        <v>35222</v>
      </c>
      <c r="X178" s="20" t="n">
        <v>29365</v>
      </c>
    </row>
    <row r="179">
      <c r="A179" s="43" t="inlineStr">
        <is>
          <t>OPM</t>
        </is>
      </c>
      <c r="B179" s="3" t="inlineStr">
        <is>
          <t>영업이익 ÷ 매출</t>
        </is>
      </c>
      <c r="C179" s="15">
        <f>IF(OR(C178="",C162=""),"",IF(C162&lt;=0,"",IFERROR(C178/C162,"")))</f>
        <v/>
      </c>
      <c r="D179" s="15">
        <f>IF(OR(D178="",D162=""),"",IF(D162&lt;=0,"",IFERROR(D178/D162,"")))</f>
        <v/>
      </c>
      <c r="E179" s="15">
        <f>IF(OR(E178="",E162=""),"",IF(E162&lt;=0,"",IFERROR(E178/E162,"")))</f>
        <v/>
      </c>
      <c r="F179" s="15">
        <f>IF(OR(F178="",F162=""),"",IF(F162&lt;=0,"",IFERROR(F178/F162,"")))</f>
        <v/>
      </c>
      <c r="G179" s="15">
        <f>IF(OR(G178="",G162=""),"",IF(G162&lt;=0,"",IFERROR(G178/G162,"")))</f>
        <v/>
      </c>
      <c r="H179" s="15">
        <f>IF(OR(H178="",H162=""),"",IF(H162&lt;=0,"",IFERROR(H178/H162,"")))</f>
        <v/>
      </c>
      <c r="I179" s="15">
        <f>IF(OR(I178="",I162=""),"",IF(I162&lt;=0,"",IFERROR(I178/I162,"")))</f>
        <v/>
      </c>
      <c r="J179" s="15">
        <f>IF(OR(J178="",J162=""),"",IF(J162&lt;=0,"",IFERROR(J178/J162,"")))</f>
        <v/>
      </c>
      <c r="K179" s="15">
        <f>IF(OR(K178="",K162=""),"",IF(K162&lt;=0,"",IFERROR(K178/K162,"")))</f>
        <v/>
      </c>
      <c r="L179" s="15">
        <f>IF(OR(L178="",L162=""),"",IF(L162&lt;=0,"",IFERROR(L178/L162,"")))</f>
        <v/>
      </c>
      <c r="M179" s="15">
        <f>IF(OR(M178="",M162=""),"",IF(M162&lt;=0,"",IFERROR(M178/M162,"")))</f>
        <v/>
      </c>
      <c r="N179" s="15">
        <f>IF(OR(N178="",N162=""),"",IF(N162&lt;=0,"",IFERROR(N178/N162,"")))</f>
        <v/>
      </c>
      <c r="V179" s="15">
        <f>IF(OR(V178="",V162=""),"",IF(V162&lt;=0,"",IFERROR(V178/V162,"")))</f>
        <v/>
      </c>
      <c r="W179" s="15">
        <f>IF(OR(W178="",W162=""),"",IF(W162&lt;=0,"",IFERROR(W178/W162,"")))</f>
        <v/>
      </c>
      <c r="X179" s="15">
        <f>IF(OR(X178="",X162=""),"",IF(X162&lt;=0,"",IFERROR(X178/X162,"")))</f>
        <v/>
      </c>
    </row>
    <row r="180">
      <c r="A180" s="43" t="inlineStr">
        <is>
          <t>YoY</t>
        </is>
      </c>
      <c r="B180" s="3" t="inlineStr">
        <is>
          <t>전년 같은 분기·전년 대비</t>
        </is>
      </c>
      <c r="G180" s="15">
        <f>IF(OR(G178="",C178=""),"",IF(C178&lt;=0,"",IFERROR(G178/C178-1,"")))</f>
        <v/>
      </c>
      <c r="H180" s="15">
        <f>IF(OR(H178="",D178=""),"",IF(D178&lt;=0,"",IFERROR(H178/D178-1,"")))</f>
        <v/>
      </c>
      <c r="I180" s="15">
        <f>IF(OR(I178="",E178=""),"",IF(E178&lt;=0,"",IFERROR(I178/E178-1,"")))</f>
        <v/>
      </c>
      <c r="J180" s="15">
        <f>IF(OR(J178="",F178=""),"",IF(F178&lt;=0,"",IFERROR(J178/F178-1,"")))</f>
        <v/>
      </c>
      <c r="K180" s="15">
        <f>IF(OR(K178="",G178=""),"",IF(G178&lt;=0,"",IFERROR(K178/G178-1,"")))</f>
        <v/>
      </c>
      <c r="L180" s="15">
        <f>IF(OR(L178="",H178=""),"",IF(H178&lt;=0,"",IFERROR(L178/H178-1,"")))</f>
        <v/>
      </c>
      <c r="M180" s="15">
        <f>IF(OR(M178="",I178=""),"",IF(I178&lt;=0,"",IFERROR(M178/I178-1,"")))</f>
        <v/>
      </c>
      <c r="N180" s="15">
        <f>IF(OR(N178="",J178=""),"",IF(J178&lt;=0,"",IFERROR(N178/J178-1,"")))</f>
        <v/>
      </c>
      <c r="V180" s="15">
        <f>IF(OR(V178="",U178=""),"",IF(U178&lt;=0,"",IFERROR(V178/U178-1,"")))</f>
        <v/>
      </c>
      <c r="W180" s="15">
        <f>IF(OR(W178="",V178=""),"",IF(V178&lt;=0,"",IFERROR(W178/V178-1,"")))</f>
        <v/>
      </c>
      <c r="X180" s="15">
        <f>IF(OR(X178="",W178=""),"",IF(W178&lt;=0,"",IFERROR(X178/W178-1,"")))</f>
        <v/>
      </c>
    </row>
    <row r="181">
      <c r="A181" s="18" t="inlineStr">
        <is>
          <t>휴먼라이프 · 영업이익</t>
        </is>
      </c>
      <c r="C181" s="20" t="n">
        <v>-961</v>
      </c>
      <c r="D181" s="20" t="n">
        <v>-3102</v>
      </c>
      <c r="E181" s="20" t="n">
        <v>-3140</v>
      </c>
      <c r="F181" s="20" t="n">
        <v>-1342</v>
      </c>
      <c r="G181" s="20" t="n">
        <v>-1241</v>
      </c>
      <c r="H181" s="20" t="n">
        <v>-5995</v>
      </c>
      <c r="I181" s="20" t="n">
        <v>-1630</v>
      </c>
      <c r="J181" s="20" t="n">
        <v>32</v>
      </c>
      <c r="K181" s="20" t="n">
        <v>-937</v>
      </c>
      <c r="L181" s="20" t="n">
        <v>-2506</v>
      </c>
      <c r="M181" s="20" t="n">
        <v>-317</v>
      </c>
      <c r="N181" s="20" t="n">
        <v>1337</v>
      </c>
      <c r="V181" s="20" t="n">
        <v>-3102</v>
      </c>
      <c r="W181" s="20" t="n">
        <v>-5995</v>
      </c>
      <c r="X181" s="20" t="n">
        <v>-2506</v>
      </c>
    </row>
    <row r="182">
      <c r="A182" s="43" t="inlineStr">
        <is>
          <t>OPM</t>
        </is>
      </c>
      <c r="B182" s="3" t="inlineStr">
        <is>
          <t>영업이익 ÷ 매출</t>
        </is>
      </c>
      <c r="C182" s="15">
        <f>IF(OR(C181="",C164=""),"",IF(C164&lt;=0,"",IFERROR(C181/C164,"")))</f>
        <v/>
      </c>
      <c r="D182" s="15">
        <f>IF(OR(D181="",D164=""),"",IF(D164&lt;=0,"",IFERROR(D181/D164,"")))</f>
        <v/>
      </c>
      <c r="E182" s="15">
        <f>IF(OR(E181="",E164=""),"",IF(E164&lt;=0,"",IFERROR(E181/E164,"")))</f>
        <v/>
      </c>
      <c r="F182" s="15">
        <f>IF(OR(F181="",F164=""),"",IF(F164&lt;=0,"",IFERROR(F181/F164,"")))</f>
        <v/>
      </c>
      <c r="G182" s="15">
        <f>IF(OR(G181="",G164=""),"",IF(G164&lt;=0,"",IFERROR(G181/G164,"")))</f>
        <v/>
      </c>
      <c r="H182" s="15">
        <f>IF(OR(H181="",H164=""),"",IF(H164&lt;=0,"",IFERROR(H181/H164,"")))</f>
        <v/>
      </c>
      <c r="I182" s="15">
        <f>IF(OR(I181="",I164=""),"",IF(I164&lt;=0,"",IFERROR(I181/I164,"")))</f>
        <v/>
      </c>
      <c r="J182" s="15">
        <f>IF(OR(J181="",J164=""),"",IF(J164&lt;=0,"",IFERROR(J181/J164,"")))</f>
        <v/>
      </c>
      <c r="K182" s="15">
        <f>IF(OR(K181="",K164=""),"",IF(K164&lt;=0,"",IFERROR(K181/K164,"")))</f>
        <v/>
      </c>
      <c r="L182" s="15">
        <f>IF(OR(L181="",L164=""),"",IF(L164&lt;=0,"",IFERROR(L181/L164,"")))</f>
        <v/>
      </c>
      <c r="M182" s="15">
        <f>IF(OR(M181="",M164=""),"",IF(M164&lt;=0,"",IFERROR(M181/M164,"")))</f>
        <v/>
      </c>
      <c r="N182" s="15">
        <f>IF(OR(N181="",N164=""),"",IF(N164&lt;=0,"",IFERROR(N181/N164,"")))</f>
        <v/>
      </c>
      <c r="V182" s="15">
        <f>IF(OR(V181="",V164=""),"",IF(V164&lt;=0,"",IFERROR(V181/V164,"")))</f>
        <v/>
      </c>
      <c r="W182" s="15">
        <f>IF(OR(W181="",W164=""),"",IF(W164&lt;=0,"",IFERROR(W181/W164,"")))</f>
        <v/>
      </c>
      <c r="X182" s="15">
        <f>IF(OR(X181="",X164=""),"",IF(X164&lt;=0,"",IFERROR(X181/X164,"")))</f>
        <v/>
      </c>
    </row>
    <row r="183">
      <c r="A183" s="43" t="inlineStr">
        <is>
          <t>YoY</t>
        </is>
      </c>
      <c r="B183" s="3" t="inlineStr">
        <is>
          <t>전년 같은 분기·전년 대비</t>
        </is>
      </c>
      <c r="G183" s="15">
        <f>IF(OR(G181="",C181=""),"",IF(C181&lt;=0,"",IFERROR(G181/C181-1,"")))</f>
        <v/>
      </c>
      <c r="H183" s="15">
        <f>IF(OR(H181="",D181=""),"",IF(D181&lt;=0,"",IFERROR(H181/D181-1,"")))</f>
        <v/>
      </c>
      <c r="I183" s="15">
        <f>IF(OR(I181="",E181=""),"",IF(E181&lt;=0,"",IFERROR(I181/E181-1,"")))</f>
        <v/>
      </c>
      <c r="J183" s="15">
        <f>IF(OR(J181="",F181=""),"",IF(F181&lt;=0,"",IFERROR(J181/F181-1,"")))</f>
        <v/>
      </c>
      <c r="K183" s="15">
        <f>IF(OR(K181="",G181=""),"",IF(G181&lt;=0,"",IFERROR(K181/G181-1,"")))</f>
        <v/>
      </c>
      <c r="L183" s="15">
        <f>IF(OR(L181="",H181=""),"",IF(H181&lt;=0,"",IFERROR(L181/H181-1,"")))</f>
        <v/>
      </c>
      <c r="M183" s="15">
        <f>IF(OR(M181="",I181=""),"",IF(I181&lt;=0,"",IFERROR(M181/I181-1,"")))</f>
        <v/>
      </c>
      <c r="N183" s="15">
        <f>IF(OR(N181="",J181=""),"",IF(J181&lt;=0,"",IFERROR(N181/J181-1,"")))</f>
        <v/>
      </c>
      <c r="V183" s="15">
        <f>IF(OR(V181="",U181=""),"",IF(U181&lt;=0,"",IFERROR(V181/U181-1,"")))</f>
        <v/>
      </c>
      <c r="W183" s="15">
        <f>IF(OR(W181="",V181=""),"",IF(V181&lt;=0,"",IFERROR(W181/V181-1,"")))</f>
        <v/>
      </c>
      <c r="X183" s="15">
        <f>IF(OR(X181="",W181=""),"",IF(W181&lt;=0,"",IFERROR(X181/W181-1,"")))</f>
        <v/>
      </c>
    </row>
    <row r="184">
      <c r="A184" s="18" t="inlineStr">
        <is>
          <t>보고부문 합계 · 영업이익</t>
        </is>
      </c>
      <c r="C184" s="20" t="n">
        <v>53690</v>
      </c>
      <c r="D184" s="20" t="n">
        <v>30235</v>
      </c>
      <c r="E184" s="20" t="n">
        <v>53730</v>
      </c>
      <c r="F184" s="20" t="n">
        <v>63200</v>
      </c>
      <c r="G184" s="20" t="n">
        <v>52954</v>
      </c>
      <c r="H184" s="20" t="n">
        <v>37378</v>
      </c>
      <c r="I184" s="20" t="n">
        <v>44996</v>
      </c>
      <c r="J184" s="20" t="n">
        <v>54175</v>
      </c>
      <c r="K184" s="20" t="n">
        <v>57647</v>
      </c>
      <c r="L184" s="20" t="n">
        <v>39674</v>
      </c>
      <c r="M184" s="20" t="n">
        <v>51339</v>
      </c>
      <c r="N184" s="20" t="n">
        <v>59464</v>
      </c>
      <c r="V184" s="20" t="n">
        <v>30235</v>
      </c>
      <c r="W184" s="20" t="n">
        <v>37378</v>
      </c>
      <c r="X184" s="20" t="n">
        <v>39674</v>
      </c>
    </row>
    <row r="185">
      <c r="A185" s="43" t="inlineStr">
        <is>
          <t>OPM</t>
        </is>
      </c>
      <c r="B185" s="3" t="inlineStr">
        <is>
          <t>영업이익 ÷ 매출</t>
        </is>
      </c>
      <c r="C185" s="15">
        <f>IF(OR(C184="",C166=""),"",IF(C166&lt;=0,"",IFERROR(C184/C166,"")))</f>
        <v/>
      </c>
      <c r="D185" s="15">
        <f>IF(OR(D184="",D166=""),"",IF(D166&lt;=0,"",IFERROR(D184/D166,"")))</f>
        <v/>
      </c>
      <c r="E185" s="15">
        <f>IF(OR(E184="",E166=""),"",IF(E166&lt;=0,"",IFERROR(E184/E166,"")))</f>
        <v/>
      </c>
      <c r="F185" s="15">
        <f>IF(OR(F184="",F166=""),"",IF(F166&lt;=0,"",IFERROR(F184/F166,"")))</f>
        <v/>
      </c>
      <c r="G185" s="15">
        <f>IF(OR(G184="",G166=""),"",IF(G166&lt;=0,"",IFERROR(G184/G166,"")))</f>
        <v/>
      </c>
      <c r="H185" s="15">
        <f>IF(OR(H184="",H166=""),"",IF(H166&lt;=0,"",IFERROR(H184/H166,"")))</f>
        <v/>
      </c>
      <c r="I185" s="15">
        <f>IF(OR(I184="",I166=""),"",IF(I166&lt;=0,"",IFERROR(I184/I166,"")))</f>
        <v/>
      </c>
      <c r="J185" s="15">
        <f>IF(OR(J184="",J166=""),"",IF(J166&lt;=0,"",IFERROR(J184/J166,"")))</f>
        <v/>
      </c>
      <c r="K185" s="15">
        <f>IF(OR(K184="",K166=""),"",IF(K166&lt;=0,"",IFERROR(K184/K166,"")))</f>
        <v/>
      </c>
      <c r="L185" s="15">
        <f>IF(OR(L184="",L166=""),"",IF(L166&lt;=0,"",IFERROR(L184/L166,"")))</f>
        <v/>
      </c>
      <c r="M185" s="15">
        <f>IF(OR(M184="",M166=""),"",IF(M166&lt;=0,"",IFERROR(M184/M166,"")))</f>
        <v/>
      </c>
      <c r="N185" s="15">
        <f>IF(OR(N184="",N166=""),"",IF(N166&lt;=0,"",IFERROR(N184/N166,"")))</f>
        <v/>
      </c>
      <c r="V185" s="15">
        <f>IF(OR(V184="",V166=""),"",IF(V166&lt;=0,"",IFERROR(V184/V166,"")))</f>
        <v/>
      </c>
      <c r="W185" s="15">
        <f>IF(OR(W184="",W166=""),"",IF(W166&lt;=0,"",IFERROR(W184/W166,"")))</f>
        <v/>
      </c>
      <c r="X185" s="15">
        <f>IF(OR(X184="",X166=""),"",IF(X166&lt;=0,"",IFERROR(X184/X166,"")))</f>
        <v/>
      </c>
    </row>
    <row r="186">
      <c r="A186" s="43" t="inlineStr">
        <is>
          <t>YoY</t>
        </is>
      </c>
      <c r="B186" s="3" t="inlineStr">
        <is>
          <t>전년 같은 분기·전년 대비</t>
        </is>
      </c>
      <c r="G186" s="15">
        <f>IF(OR(G184="",C184=""),"",IF(C184&lt;=0,"",IFERROR(G184/C184-1,"")))</f>
        <v/>
      </c>
      <c r="H186" s="15">
        <f>IF(OR(H184="",D184=""),"",IF(D184&lt;=0,"",IFERROR(H184/D184-1,"")))</f>
        <v/>
      </c>
      <c r="I186" s="15">
        <f>IF(OR(I184="",E184=""),"",IF(E184&lt;=0,"",IFERROR(I184/E184-1,"")))</f>
        <v/>
      </c>
      <c r="J186" s="15">
        <f>IF(OR(J184="",F184=""),"",IF(F184&lt;=0,"",IFERROR(J184/F184-1,"")))</f>
        <v/>
      </c>
      <c r="K186" s="15">
        <f>IF(OR(K184="",G184=""),"",IF(G184&lt;=0,"",IFERROR(K184/G184-1,"")))</f>
        <v/>
      </c>
      <c r="L186" s="15">
        <f>IF(OR(L184="",H184=""),"",IF(H184&lt;=0,"",IFERROR(L184/H184-1,"")))</f>
        <v/>
      </c>
      <c r="M186" s="15">
        <f>IF(OR(M184="",I184=""),"",IF(I184&lt;=0,"",IFERROR(M184/I184-1,"")))</f>
        <v/>
      </c>
      <c r="N186" s="15">
        <f>IF(OR(N184="",J184=""),"",IF(J184&lt;=0,"",IFERROR(N184/J184-1,"")))</f>
        <v/>
      </c>
      <c r="V186" s="15">
        <f>IF(OR(V184="",U184=""),"",IF(U184&lt;=0,"",IFERROR(V184/U184-1,"")))</f>
        <v/>
      </c>
      <c r="W186" s="15">
        <f>IF(OR(W184="",V184=""),"",IF(V184&lt;=0,"",IFERROR(W184/V184-1,"")))</f>
        <v/>
      </c>
      <c r="X186" s="15">
        <f>IF(OR(X184="",W184=""),"",IF(W184&lt;=0,"",IFERROR(X184/W184-1,"")))</f>
        <v/>
      </c>
    </row>
    <row r="187">
      <c r="A187" s="18" t="inlineStr">
        <is>
          <t>기타 · 영업이익</t>
        </is>
      </c>
      <c r="C187" s="20" t="n">
        <v>-1380</v>
      </c>
      <c r="D187" s="20" t="n">
        <v>-1375</v>
      </c>
      <c r="E187" s="20" t="n">
        <v>-1756</v>
      </c>
      <c r="F187" s="20" t="n">
        <v>-1831</v>
      </c>
      <c r="G187" s="20" t="n">
        <v>-6897</v>
      </c>
      <c r="H187" s="20" t="n">
        <v>-1745</v>
      </c>
      <c r="I187" s="20" t="n">
        <v>-1700</v>
      </c>
      <c r="J187" s="20" t="n">
        <v>-1790</v>
      </c>
      <c r="K187" s="20" t="n">
        <v>-1843</v>
      </c>
      <c r="L187" s="20" t="n">
        <v>-1638</v>
      </c>
      <c r="M187" s="20" t="n">
        <v>-1843</v>
      </c>
      <c r="N187" s="20" t="n">
        <v>-2259</v>
      </c>
      <c r="V187" s="20" t="n">
        <v>-1375</v>
      </c>
      <c r="W187" s="20" t="n">
        <v>-1745</v>
      </c>
      <c r="X187" s="20" t="n">
        <v>-1638</v>
      </c>
    </row>
    <row r="188">
      <c r="A188" s="43" t="inlineStr">
        <is>
          <t>OPM</t>
        </is>
      </c>
      <c r="B188" s="3" t="inlineStr">
        <is>
          <t>영업이익 ÷ 매출</t>
        </is>
      </c>
      <c r="C188" s="15">
        <f>IF(OR(C187="",C168=""),"",IF(C168&lt;=0,"",IFERROR(C187/C168,"")))</f>
        <v/>
      </c>
      <c r="D188" s="15">
        <f>IF(OR(D187="",D168=""),"",IF(D168&lt;=0,"",IFERROR(D187/D168,"")))</f>
        <v/>
      </c>
      <c r="E188" s="15">
        <f>IF(OR(E187="",E168=""),"",IF(E168&lt;=0,"",IFERROR(E187/E168,"")))</f>
        <v/>
      </c>
      <c r="F188" s="15">
        <f>IF(OR(F187="",F168=""),"",IF(F168&lt;=0,"",IFERROR(F187/F168,"")))</f>
        <v/>
      </c>
      <c r="G188" s="15">
        <f>IF(OR(G187="",G168=""),"",IF(G168&lt;=0,"",IFERROR(G187/G168,"")))</f>
        <v/>
      </c>
      <c r="H188" s="15">
        <f>IF(OR(H187="",H168=""),"",IF(H168&lt;=0,"",IFERROR(H187/H168,"")))</f>
        <v/>
      </c>
      <c r="I188" s="15">
        <f>IF(OR(I187="",I168=""),"",IF(I168&lt;=0,"",IFERROR(I187/I168,"")))</f>
        <v/>
      </c>
      <c r="J188" s="15">
        <f>IF(OR(J187="",J168=""),"",IF(J168&lt;=0,"",IFERROR(J187/J168,"")))</f>
        <v/>
      </c>
      <c r="K188" s="15">
        <f>IF(OR(K187="",K168=""),"",IF(K168&lt;=0,"",IFERROR(K187/K168,"")))</f>
        <v/>
      </c>
      <c r="L188" s="15">
        <f>IF(OR(L187="",L168=""),"",IF(L168&lt;=0,"",IFERROR(L187/L168,"")))</f>
        <v/>
      </c>
      <c r="M188" s="15">
        <f>IF(OR(M187="",M168=""),"",IF(M168&lt;=0,"",IFERROR(M187/M168,"")))</f>
        <v/>
      </c>
      <c r="N188" s="15">
        <f>IF(OR(N187="",N168=""),"",IF(N168&lt;=0,"",IFERROR(N187/N168,"")))</f>
        <v/>
      </c>
      <c r="V188" s="15">
        <f>IF(OR(V187="",V168=""),"",IF(V168&lt;=0,"",IFERROR(V187/V168,"")))</f>
        <v/>
      </c>
      <c r="W188" s="15">
        <f>IF(OR(W187="",W168=""),"",IF(W168&lt;=0,"",IFERROR(W187/W168,"")))</f>
        <v/>
      </c>
      <c r="X188" s="15">
        <f>IF(OR(X187="",X168=""),"",IF(X168&lt;=0,"",IFERROR(X187/X168,"")))</f>
        <v/>
      </c>
    </row>
    <row r="189">
      <c r="A189" s="43" t="inlineStr">
        <is>
          <t>YoY</t>
        </is>
      </c>
      <c r="B189" s="3" t="inlineStr">
        <is>
          <t>전년 같은 분기·전년 대비</t>
        </is>
      </c>
      <c r="G189" s="15">
        <f>IF(OR(G187="",C187=""),"",IF(C187&lt;=0,"",IFERROR(G187/C187-1,"")))</f>
        <v/>
      </c>
      <c r="H189" s="15">
        <f>IF(OR(H187="",D187=""),"",IF(D187&lt;=0,"",IFERROR(H187/D187-1,"")))</f>
        <v/>
      </c>
      <c r="I189" s="15">
        <f>IF(OR(I187="",E187=""),"",IF(E187&lt;=0,"",IFERROR(I187/E187-1,"")))</f>
        <v/>
      </c>
      <c r="J189" s="15">
        <f>IF(OR(J187="",F187=""),"",IF(F187&lt;=0,"",IFERROR(J187/F187-1,"")))</f>
        <v/>
      </c>
      <c r="K189" s="15">
        <f>IF(OR(K187="",G187=""),"",IF(G187&lt;=0,"",IFERROR(K187/G187-1,"")))</f>
        <v/>
      </c>
      <c r="L189" s="15">
        <f>IF(OR(L187="",H187=""),"",IF(H187&lt;=0,"",IFERROR(L187/H187-1,"")))</f>
        <v/>
      </c>
      <c r="M189" s="15">
        <f>IF(OR(M187="",I187=""),"",IF(I187&lt;=0,"",IFERROR(M187/I187-1,"")))</f>
        <v/>
      </c>
      <c r="N189" s="15">
        <f>IF(OR(N187="",J187=""),"",IF(J187&lt;=0,"",IFERROR(N187/J187-1,"")))</f>
        <v/>
      </c>
      <c r="V189" s="15">
        <f>IF(OR(V187="",U187=""),"",IF(U187&lt;=0,"",IFERROR(V187/U187-1,"")))</f>
        <v/>
      </c>
      <c r="W189" s="15">
        <f>IF(OR(W187="",V187=""),"",IF(V187&lt;=0,"",IFERROR(W187/V187-1,"")))</f>
        <v/>
      </c>
      <c r="X189" s="15">
        <f>IF(OR(X187="",W187=""),"",IF(W187&lt;=0,"",IFERROR(X187/W187-1,"")))</f>
        <v/>
      </c>
    </row>
    <row r="190">
      <c r="A190" s="18" t="inlineStr">
        <is>
          <t>합계 · 영업이익</t>
        </is>
      </c>
      <c r="C190" s="20" t="n">
        <v>52311</v>
      </c>
      <c r="D190" s="20" t="n">
        <v>28859</v>
      </c>
      <c r="E190" s="20" t="n">
        <v>51973</v>
      </c>
      <c r="F190" s="20" t="n">
        <v>61369</v>
      </c>
      <c r="G190" s="20" t="n">
        <v>46057</v>
      </c>
      <c r="H190" s="20" t="n">
        <v>35634</v>
      </c>
      <c r="I190" s="20" t="n">
        <v>43295</v>
      </c>
      <c r="J190" s="20" t="n">
        <v>52386</v>
      </c>
      <c r="K190" s="20" t="n">
        <v>55803</v>
      </c>
      <c r="L190" s="20" t="n">
        <v>38037</v>
      </c>
      <c r="M190" s="20" t="n">
        <v>49495</v>
      </c>
      <c r="N190" s="20" t="n">
        <v>57205</v>
      </c>
      <c r="V190" s="20" t="n">
        <v>28859</v>
      </c>
      <c r="W190" s="20" t="n">
        <v>35634</v>
      </c>
      <c r="X190" s="20" t="n">
        <v>38037</v>
      </c>
    </row>
    <row r="191">
      <c r="A191" s="43" t="inlineStr">
        <is>
          <t>OPM</t>
        </is>
      </c>
      <c r="B191" s="3" t="inlineStr">
        <is>
          <t>영업이익 ÷ 매출</t>
        </is>
      </c>
      <c r="C191" s="15">
        <f>IF(OR(C190="",C170=""),"",IF(C170&lt;=0,"",IFERROR(C190/C170,"")))</f>
        <v/>
      </c>
      <c r="D191" s="15">
        <f>IF(OR(D190="",D170=""),"",IF(D170&lt;=0,"",IFERROR(D190/D170,"")))</f>
        <v/>
      </c>
      <c r="E191" s="15">
        <f>IF(OR(E190="",E170=""),"",IF(E170&lt;=0,"",IFERROR(E190/E170,"")))</f>
        <v/>
      </c>
      <c r="F191" s="15">
        <f>IF(OR(F190="",F170=""),"",IF(F170&lt;=0,"",IFERROR(F190/F170,"")))</f>
        <v/>
      </c>
      <c r="G191" s="15">
        <f>IF(OR(G190="",G170=""),"",IF(G170&lt;=0,"",IFERROR(G190/G170,"")))</f>
        <v/>
      </c>
      <c r="H191" s="15">
        <f>IF(OR(H190="",H170=""),"",IF(H170&lt;=0,"",IFERROR(H190/H170,"")))</f>
        <v/>
      </c>
      <c r="I191" s="15">
        <f>IF(OR(I190="",I170=""),"",IF(I170&lt;=0,"",IFERROR(I190/I170,"")))</f>
        <v/>
      </c>
      <c r="J191" s="15">
        <f>IF(OR(J190="",J170=""),"",IF(J170&lt;=0,"",IFERROR(J190/J170,"")))</f>
        <v/>
      </c>
      <c r="K191" s="15">
        <f>IF(OR(K190="",K170=""),"",IF(K170&lt;=0,"",IFERROR(K190/K170,"")))</f>
        <v/>
      </c>
      <c r="L191" s="15">
        <f>IF(OR(L190="",L170=""),"",IF(L170&lt;=0,"",IFERROR(L190/L170,"")))</f>
        <v/>
      </c>
      <c r="M191" s="15">
        <f>IF(OR(M190="",M170=""),"",IF(M170&lt;=0,"",IFERROR(M190/M170,"")))</f>
        <v/>
      </c>
      <c r="N191" s="15">
        <f>IF(OR(N190="",N170=""),"",IF(N170&lt;=0,"",IFERROR(N190/N170,"")))</f>
        <v/>
      </c>
      <c r="V191" s="15">
        <f>IF(OR(V190="",V170=""),"",IF(V170&lt;=0,"",IFERROR(V190/V170,"")))</f>
        <v/>
      </c>
      <c r="W191" s="15">
        <f>IF(OR(W190="",W170=""),"",IF(W170&lt;=0,"",IFERROR(W190/W170,"")))</f>
        <v/>
      </c>
      <c r="X191" s="15">
        <f>IF(OR(X190="",X170=""),"",IF(X170&lt;=0,"",IFERROR(X190/X170,"")))</f>
        <v/>
      </c>
    </row>
    <row r="192">
      <c r="A192" s="43" t="inlineStr">
        <is>
          <t>YoY</t>
        </is>
      </c>
      <c r="B192" s="3" t="inlineStr">
        <is>
          <t>전년 같은 분기·전년 대비</t>
        </is>
      </c>
      <c r="G192" s="15">
        <f>IF(OR(G190="",C190=""),"",IF(C190&lt;=0,"",IFERROR(G190/C190-1,"")))</f>
        <v/>
      </c>
      <c r="H192" s="15">
        <f>IF(OR(H190="",D190=""),"",IF(D190&lt;=0,"",IFERROR(H190/D190-1,"")))</f>
        <v/>
      </c>
      <c r="I192" s="15">
        <f>IF(OR(I190="",E190=""),"",IF(E190&lt;=0,"",IFERROR(I190/E190-1,"")))</f>
        <v/>
      </c>
      <c r="J192" s="15">
        <f>IF(OR(J190="",F190=""),"",IF(F190&lt;=0,"",IFERROR(J190/F190-1,"")))</f>
        <v/>
      </c>
      <c r="K192" s="15">
        <f>IF(OR(K190="",G190=""),"",IF(G190&lt;=0,"",IFERROR(K190/G190-1,"")))</f>
        <v/>
      </c>
      <c r="L192" s="15">
        <f>IF(OR(L190="",H190=""),"",IF(H190&lt;=0,"",IFERROR(L190/H190-1,"")))</f>
        <v/>
      </c>
      <c r="M192" s="15">
        <f>IF(OR(M190="",I190=""),"",IF(I190&lt;=0,"",IFERROR(M190/I190-1,"")))</f>
        <v/>
      </c>
      <c r="N192" s="15">
        <f>IF(OR(N190="",J190=""),"",IF(J190&lt;=0,"",IFERROR(N190/J190-1,"")))</f>
        <v/>
      </c>
      <c r="V192" s="15">
        <f>IF(OR(V190="",U190=""),"",IF(U190&lt;=0,"",IFERROR(V190/U190-1,"")))</f>
        <v/>
      </c>
      <c r="W192" s="15">
        <f>IF(OR(W190="",V190=""),"",IF(V190&lt;=0,"",IFERROR(W190/V190-1,"")))</f>
        <v/>
      </c>
      <c r="X192" s="15">
        <f>IF(OR(X190="",W190=""),"",IF(W190&lt;=0,"",IFERROR(X190/W190-1,"")))</f>
        <v/>
      </c>
    </row>
    <row r="193">
      <c r="A193" s="18" t="inlineStr">
        <is>
          <t>조정액 · 영업이익</t>
        </is>
      </c>
      <c r="C193" s="20" t="n">
        <v>-4454</v>
      </c>
      <c r="D193" s="20" t="n">
        <v>-2056</v>
      </c>
      <c r="E193" s="20" t="n">
        <v>-1277</v>
      </c>
      <c r="F193" s="20" t="n">
        <v>-2798</v>
      </c>
      <c r="G193" s="20" t="n">
        <v>-2389</v>
      </c>
      <c r="H193" s="20" t="n">
        <v>-2901</v>
      </c>
      <c r="I193" s="20" t="n">
        <v>-650</v>
      </c>
      <c r="J193" s="20" t="n">
        <v>-526</v>
      </c>
      <c r="K193" s="20" t="n">
        <v>-2448</v>
      </c>
      <c r="L193" s="20" t="n">
        <v>-2281</v>
      </c>
      <c r="M193" s="20" t="n">
        <v>-285</v>
      </c>
      <c r="N193" s="20" t="n">
        <v>-574</v>
      </c>
      <c r="V193" s="20" t="n">
        <v>-2056</v>
      </c>
      <c r="W193" s="20" t="n">
        <v>-2901</v>
      </c>
      <c r="X193" s="20" t="n">
        <v>-2281</v>
      </c>
    </row>
    <row r="194">
      <c r="A194" s="18" t="inlineStr">
        <is>
          <t>영업이익</t>
        </is>
      </c>
      <c r="C194" s="20" t="n">
        <v>47857</v>
      </c>
      <c r="D194" s="20" t="n">
        <v>26803</v>
      </c>
      <c r="E194" s="20" t="n">
        <v>50696</v>
      </c>
      <c r="F194" s="20" t="n">
        <v>58571</v>
      </c>
      <c r="G194" s="20" t="n">
        <v>43668</v>
      </c>
      <c r="H194" s="20" t="n">
        <v>32732</v>
      </c>
      <c r="I194" s="20" t="n">
        <v>42645</v>
      </c>
      <c r="J194" s="20" t="n">
        <v>51859</v>
      </c>
      <c r="K194" s="20" t="n">
        <v>53356</v>
      </c>
      <c r="L194" s="20" t="n">
        <v>35755</v>
      </c>
      <c r="M194" s="20" t="n">
        <v>49210</v>
      </c>
      <c r="N194" s="20" t="n">
        <v>56631</v>
      </c>
      <c r="V194" s="20" t="n">
        <v>26803</v>
      </c>
      <c r="W194" s="20" t="n">
        <v>32732</v>
      </c>
      <c r="X194" s="20" t="n">
        <v>35755</v>
      </c>
    </row>
    <row r="195">
      <c r="A195" s="43" t="inlineStr">
        <is>
          <t>OPM</t>
        </is>
      </c>
      <c r="B195" s="3" t="inlineStr">
        <is>
          <t>영업이익 ÷ 매출</t>
        </is>
      </c>
      <c r="C195" s="15">
        <f>IF(OR(C194="",C150=""),"",IF(C150&lt;=0,"",IFERROR(C194/C150,"")))</f>
        <v/>
      </c>
      <c r="D195" s="15">
        <f>IF(OR(D194="",D150=""),"",IF(D150&lt;=0,"",IFERROR(D194/D150,"")))</f>
        <v/>
      </c>
      <c r="E195" s="15">
        <f>IF(OR(E194="",E150=""),"",IF(E150&lt;=0,"",IFERROR(E194/E150,"")))</f>
        <v/>
      </c>
      <c r="F195" s="15">
        <f>IF(OR(F194="",F150=""),"",IF(F150&lt;=0,"",IFERROR(F194/F150,"")))</f>
        <v/>
      </c>
      <c r="G195" s="15">
        <f>IF(OR(G194="",G150=""),"",IF(G150&lt;=0,"",IFERROR(G194/G150,"")))</f>
        <v/>
      </c>
      <c r="H195" s="15">
        <f>IF(OR(H194="",H150=""),"",IF(H150&lt;=0,"",IFERROR(H194/H150,"")))</f>
        <v/>
      </c>
      <c r="I195" s="15">
        <f>IF(OR(I194="",I150=""),"",IF(I150&lt;=0,"",IFERROR(I194/I150,"")))</f>
        <v/>
      </c>
      <c r="J195" s="15">
        <f>IF(OR(J194="",J150=""),"",IF(J150&lt;=0,"",IFERROR(J194/J150,"")))</f>
        <v/>
      </c>
      <c r="K195" s="15">
        <f>IF(OR(K194="",K150=""),"",IF(K150&lt;=0,"",IFERROR(K194/K150,"")))</f>
        <v/>
      </c>
      <c r="L195" s="15">
        <f>IF(OR(L194="",L150=""),"",IF(L150&lt;=0,"",IFERROR(L194/L150,"")))</f>
        <v/>
      </c>
      <c r="M195" s="15">
        <f>IF(OR(M194="",M150=""),"",IF(M150&lt;=0,"",IFERROR(M194/M150,"")))</f>
        <v/>
      </c>
      <c r="N195" s="15">
        <f>IF(OR(N194="",N150=""),"",IF(N150&lt;=0,"",IFERROR(N194/N150,"")))</f>
        <v/>
      </c>
      <c r="V195" s="15">
        <f>IF(OR(V194="",V150=""),"",IF(V150&lt;=0,"",IFERROR(V194/V150,"")))</f>
        <v/>
      </c>
      <c r="W195" s="15">
        <f>IF(OR(W194="",W150=""),"",IF(W150&lt;=0,"",IFERROR(W194/W150,"")))</f>
        <v/>
      </c>
      <c r="X195" s="15">
        <f>IF(OR(X194="",X150=""),"",IF(X150&lt;=0,"",IFERROR(X194/X150,"")))</f>
        <v/>
      </c>
    </row>
    <row r="196">
      <c r="A196" s="43" t="inlineStr">
        <is>
          <t>YoY</t>
        </is>
      </c>
      <c r="B196" s="3" t="inlineStr">
        <is>
          <t>전년 같은 분기·전년 대비</t>
        </is>
      </c>
      <c r="G196" s="15">
        <f>IF(OR(G194="",C194=""),"",IF(C194&lt;=0,"",IFERROR(G194/C194-1,"")))</f>
        <v/>
      </c>
      <c r="H196" s="15">
        <f>IF(OR(H194="",D194=""),"",IF(D194&lt;=0,"",IFERROR(H194/D194-1,"")))</f>
        <v/>
      </c>
      <c r="I196" s="15">
        <f>IF(OR(I194="",E194=""),"",IF(E194&lt;=0,"",IFERROR(I194/E194-1,"")))</f>
        <v/>
      </c>
      <c r="J196" s="15">
        <f>IF(OR(J194="",F194=""),"",IF(F194&lt;=0,"",IFERROR(J194/F194-1,"")))</f>
        <v/>
      </c>
      <c r="K196" s="15">
        <f>IF(OR(K194="",G194=""),"",IF(G194&lt;=0,"",IFERROR(K194/G194-1,"")))</f>
        <v/>
      </c>
      <c r="L196" s="15">
        <f>IF(OR(L194="",H194=""),"",IF(H194&lt;=0,"",IFERROR(L194/H194-1,"")))</f>
        <v/>
      </c>
      <c r="M196" s="15">
        <f>IF(OR(M194="",I194=""),"",IF(I194&lt;=0,"",IFERROR(M194/I194-1,"")))</f>
        <v/>
      </c>
      <c r="N196" s="15">
        <f>IF(OR(N194="",J194=""),"",IF(J194&lt;=0,"",IFERROR(N194/J194-1,"")))</f>
        <v/>
      </c>
      <c r="V196" s="15">
        <f>IF(OR(V194="",U194=""),"",IF(U194&lt;=0,"",IFERROR(V194/U194-1,"")))</f>
        <v/>
      </c>
      <c r="W196" s="15">
        <f>IF(OR(W194="",V194=""),"",IF(V194&lt;=0,"",IFERROR(W194/V194-1,"")))</f>
        <v/>
      </c>
      <c r="X196" s="15">
        <f>IF(OR(X194="",W194=""),"",IF(W194&lt;=0,"",IFERROR(X194/W194-1,"")))</f>
        <v/>
      </c>
    </row>
    <row r="197">
      <c r="A197" s="18" t="inlineStr">
        <is>
          <t>금융수익</t>
        </is>
      </c>
      <c r="C197" s="20" t="n">
        <v>558</v>
      </c>
      <c r="D197" s="20" t="n">
        <v>608</v>
      </c>
      <c r="E197" s="20" t="n">
        <v>728</v>
      </c>
      <c r="F197" s="20" t="n">
        <v>754</v>
      </c>
      <c r="G197" s="20" t="n">
        <v>658</v>
      </c>
      <c r="H197" s="20" t="n">
        <v>761</v>
      </c>
      <c r="I197" s="20" t="n">
        <v>1058</v>
      </c>
      <c r="J197" s="20" t="n">
        <v>525</v>
      </c>
      <c r="K197" s="20" t="n">
        <v>848</v>
      </c>
      <c r="L197" s="20" t="n">
        <v>827</v>
      </c>
      <c r="M197" s="20" t="n">
        <v>1060</v>
      </c>
      <c r="N197" s="20" t="n">
        <v>1047</v>
      </c>
      <c r="V197" s="20" t="n">
        <v>608</v>
      </c>
      <c r="W197" s="20" t="n">
        <v>761</v>
      </c>
      <c r="X197" s="20" t="n">
        <v>827</v>
      </c>
    </row>
    <row r="198">
      <c r="A198" s="43" t="inlineStr">
        <is>
          <t>YoY</t>
        </is>
      </c>
      <c r="B198" s="3" t="inlineStr">
        <is>
          <t>전년 같은 분기·전년 대비</t>
        </is>
      </c>
      <c r="G198" s="15">
        <f>IF(OR(G197="",C197=""),"",IF(G197*C197&lt;=0,"",IFERROR(G197/C197-1,"")))</f>
        <v/>
      </c>
      <c r="H198" s="15">
        <f>IF(OR(H197="",D197=""),"",IF(H197*D197&lt;=0,"",IFERROR(H197/D197-1,"")))</f>
        <v/>
      </c>
      <c r="I198" s="15">
        <f>IF(OR(I197="",E197=""),"",IF(I197*E197&lt;=0,"",IFERROR(I197/E197-1,"")))</f>
        <v/>
      </c>
      <c r="J198" s="15">
        <f>IF(OR(J197="",F197=""),"",IF(J197*F197&lt;=0,"",IFERROR(J197/F197-1,"")))</f>
        <v/>
      </c>
      <c r="K198" s="15">
        <f>IF(OR(K197="",G197=""),"",IF(K197*G197&lt;=0,"",IFERROR(K197/G197-1,"")))</f>
        <v/>
      </c>
      <c r="L198" s="15">
        <f>IF(OR(L197="",H197=""),"",IF(L197*H197&lt;=0,"",IFERROR(L197/H197-1,"")))</f>
        <v/>
      </c>
      <c r="M198" s="15">
        <f>IF(OR(M197="",I197=""),"",IF(M197*I197&lt;=0,"",IFERROR(M197/I197-1,"")))</f>
        <v/>
      </c>
      <c r="N198" s="15">
        <f>IF(OR(N197="",J197=""),"",IF(N197*J197&lt;=0,"",IFERROR(N197/J197-1,"")))</f>
        <v/>
      </c>
      <c r="V198" s="15">
        <f>IF(OR(V197="",U197=""),"",IF(V197*U197&lt;=0,"",IFERROR(V197/U197-1,"")))</f>
        <v/>
      </c>
      <c r="W198" s="15">
        <f>IF(OR(W197="",V197=""),"",IF(W197*V197&lt;=0,"",IFERROR(W197/V197-1,"")))</f>
        <v/>
      </c>
      <c r="X198" s="15">
        <f>IF(OR(X197="",W197=""),"",IF(X197*W197&lt;=0,"",IFERROR(X197/W197-1,"")))</f>
        <v/>
      </c>
    </row>
    <row r="199">
      <c r="A199" s="18" t="inlineStr">
        <is>
          <t>금융비용</t>
        </is>
      </c>
      <c r="C199" s="20" t="n">
        <v>658</v>
      </c>
      <c r="D199" s="20" t="n">
        <v>534</v>
      </c>
      <c r="E199" s="20" t="n">
        <v>709</v>
      </c>
      <c r="F199" s="20" t="n">
        <v>1000</v>
      </c>
      <c r="G199" s="20" t="n">
        <v>431</v>
      </c>
      <c r="H199" s="20" t="n">
        <v>991</v>
      </c>
      <c r="I199" s="20" t="n">
        <v>429</v>
      </c>
      <c r="J199" s="20" t="n">
        <v>565</v>
      </c>
      <c r="K199" s="20" t="n">
        <v>722</v>
      </c>
      <c r="L199" s="20" t="n">
        <v>329</v>
      </c>
      <c r="M199" s="20" t="n">
        <v>689</v>
      </c>
      <c r="N199" s="20" t="n">
        <v>829</v>
      </c>
      <c r="V199" s="20" t="n">
        <v>534</v>
      </c>
      <c r="W199" s="20" t="n">
        <v>991</v>
      </c>
      <c r="X199" s="20" t="n">
        <v>329</v>
      </c>
    </row>
    <row r="200">
      <c r="A200" s="43" t="inlineStr">
        <is>
          <t>YoY</t>
        </is>
      </c>
      <c r="B200" s="3" t="inlineStr">
        <is>
          <t>전년 같은 분기·전년 대비</t>
        </is>
      </c>
      <c r="G200" s="15">
        <f>IF(OR(G199="",C199=""),"",IF(G199*C199&lt;=0,"",IFERROR(G199/C199-1,"")))</f>
        <v/>
      </c>
      <c r="H200" s="15">
        <f>IF(OR(H199="",D199=""),"",IF(H199*D199&lt;=0,"",IFERROR(H199/D199-1,"")))</f>
        <v/>
      </c>
      <c r="I200" s="15">
        <f>IF(OR(I199="",E199=""),"",IF(I199*E199&lt;=0,"",IFERROR(I199/E199-1,"")))</f>
        <v/>
      </c>
      <c r="J200" s="15">
        <f>IF(OR(J199="",F199=""),"",IF(J199*F199&lt;=0,"",IFERROR(J199/F199-1,"")))</f>
        <v/>
      </c>
      <c r="K200" s="15">
        <f>IF(OR(K199="",G199=""),"",IF(K199*G199&lt;=0,"",IFERROR(K199/G199-1,"")))</f>
        <v/>
      </c>
      <c r="L200" s="15">
        <f>IF(OR(L199="",H199=""),"",IF(L199*H199&lt;=0,"",IFERROR(L199/H199-1,"")))</f>
        <v/>
      </c>
      <c r="M200" s="15">
        <f>IF(OR(M199="",I199=""),"",IF(M199*I199&lt;=0,"",IFERROR(M199/I199-1,"")))</f>
        <v/>
      </c>
      <c r="N200" s="15">
        <f>IF(OR(N199="",J199=""),"",IF(N199*J199&lt;=0,"",IFERROR(N199/J199-1,"")))</f>
        <v/>
      </c>
      <c r="V200" s="15">
        <f>IF(OR(V199="",U199=""),"",IF(V199*U199&lt;=0,"",IFERROR(V199/U199-1,"")))</f>
        <v/>
      </c>
      <c r="W200" s="15">
        <f>IF(OR(W199="",V199=""),"",IF(W199*V199&lt;=0,"",IFERROR(W199/V199-1,"")))</f>
        <v/>
      </c>
      <c r="X200" s="15">
        <f>IF(OR(X199="",W199=""),"",IF(X199*W199&lt;=0,"",IFERROR(X199/W199-1,"")))</f>
        <v/>
      </c>
    </row>
    <row r="201">
      <c r="A201" s="18" t="inlineStr">
        <is>
          <t>지분법 투자손익(△ 손실)</t>
        </is>
      </c>
      <c r="C201" s="20" t="n">
        <v>28</v>
      </c>
      <c r="D201" s="20" t="n">
        <v>-1</v>
      </c>
      <c r="E201" s="20" t="n">
        <v>-115</v>
      </c>
      <c r="F201" s="20" t="n">
        <v>8</v>
      </c>
      <c r="G201" s="20" t="n">
        <v>18</v>
      </c>
      <c r="H201" s="20" t="n">
        <v>-19</v>
      </c>
      <c r="I201" s="20" t="n">
        <v>32</v>
      </c>
      <c r="J201" s="20" t="n">
        <v>42</v>
      </c>
      <c r="K201" s="20" t="n">
        <v>33</v>
      </c>
      <c r="L201" s="20" t="n">
        <v>40</v>
      </c>
      <c r="M201" s="20" t="n">
        <v>0</v>
      </c>
      <c r="N201" s="20" t="n">
        <v>0</v>
      </c>
      <c r="V201" s="20" t="n">
        <v>-1</v>
      </c>
      <c r="W201" s="20" t="n">
        <v>-19</v>
      </c>
      <c r="X201" s="20" t="n">
        <v>40</v>
      </c>
    </row>
    <row r="202">
      <c r="A202" s="9" t="inlineStr">
        <is>
          <t>법인세비용차감전 중간이익</t>
        </is>
      </c>
      <c r="C202" s="12" t="n">
        <v>47785</v>
      </c>
      <c r="D202" s="12" t="n">
        <v>26876</v>
      </c>
      <c r="E202" s="12" t="n">
        <v>50599</v>
      </c>
      <c r="F202" s="12" t="n">
        <v>58333</v>
      </c>
      <c r="G202" s="12" t="n">
        <v>43913</v>
      </c>
      <c r="H202" s="12" t="n">
        <v>32484</v>
      </c>
      <c r="I202" s="12" t="n">
        <v>43307</v>
      </c>
      <c r="J202" s="12" t="n">
        <v>51860</v>
      </c>
      <c r="K202" s="12" t="n">
        <v>53515</v>
      </c>
      <c r="L202" s="12" t="n">
        <v>36294</v>
      </c>
      <c r="M202" s="12" t="n">
        <v>49581</v>
      </c>
      <c r="N202" s="12" t="n">
        <v>56849</v>
      </c>
      <c r="V202" s="12" t="n">
        <v>26876</v>
      </c>
      <c r="W202" s="12" t="n">
        <v>32484</v>
      </c>
      <c r="X202" s="12" t="n">
        <v>36294</v>
      </c>
    </row>
    <row r="204">
      <c r="A204" s="16" t="inlineStr">
        <is>
          <t>현금흐름표 · 전 항목</t>
        </is>
      </c>
      <c r="B204" s="42" t="inlineStr">
        <is>
          <t>분기 = 결산기 첫날부터 누계(공시 그대로)</t>
        </is>
      </c>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row>
    <row r="205">
      <c r="A205" s="5" t="inlineStr">
        <is>
          <t>항목</t>
        </is>
      </c>
      <c r="B205" s="5" t="inlineStr">
        <is>
          <t>참고</t>
        </is>
      </c>
      <c r="C205" s="5" t="inlineStr">
        <is>
          <t>2024.3Q</t>
        </is>
      </c>
      <c r="D205" s="5" t="inlineStr">
        <is>
          <t>2024.4Q</t>
        </is>
      </c>
      <c r="E205" s="5" t="inlineStr">
        <is>
          <t>2025.1Q</t>
        </is>
      </c>
      <c r="F205" s="5" t="inlineStr">
        <is>
          <t>2025.2Q</t>
        </is>
      </c>
      <c r="G205" s="5" t="inlineStr">
        <is>
          <t>2025.3Q</t>
        </is>
      </c>
      <c r="H205" s="5" t="inlineStr">
        <is>
          <t>2025.4Q</t>
        </is>
      </c>
      <c r="I205" s="5" t="inlineStr">
        <is>
          <t>2026.1Q</t>
        </is>
      </c>
      <c r="J205" s="5" t="inlineStr">
        <is>
          <t>2026.2Q</t>
        </is>
      </c>
      <c r="K205" s="5" t="inlineStr">
        <is>
          <t>2026.3Q</t>
        </is>
      </c>
      <c r="L205" s="5" t="inlineStr">
        <is>
          <t>2026.4Q</t>
        </is>
      </c>
      <c r="M205" s="5" t="inlineStr">
        <is>
          <t>2027.1Q</t>
        </is>
      </c>
      <c r="N205" s="5" t="inlineStr">
        <is>
          <t>2027.2Q</t>
        </is>
      </c>
      <c r="O205" s="5" t="inlineStr">
        <is>
          <t>2017</t>
        </is>
      </c>
      <c r="P205" s="5" t="inlineStr">
        <is>
          <t>2018</t>
        </is>
      </c>
      <c r="Q205" s="5" t="inlineStr">
        <is>
          <t>2019</t>
        </is>
      </c>
      <c r="R205" s="5" t="inlineStr">
        <is>
          <t>2020</t>
        </is>
      </c>
      <c r="S205" s="5" t="inlineStr">
        <is>
          <t>2021</t>
        </is>
      </c>
      <c r="T205" s="5" t="inlineStr">
        <is>
          <t>2022</t>
        </is>
      </c>
      <c r="U205" s="5" t="inlineStr">
        <is>
          <t>2023</t>
        </is>
      </c>
      <c r="V205" s="5" t="inlineStr">
        <is>
          <t>2024</t>
        </is>
      </c>
      <c r="W205" s="5" t="inlineStr">
        <is>
          <t>2025</t>
        </is>
      </c>
      <c r="X205" s="5" t="inlineStr">
        <is>
          <t>2026</t>
        </is>
      </c>
      <c r="Y205" s="5" t="inlineStr">
        <is>
          <t>2027(MW)</t>
        </is>
      </c>
      <c r="Z205" s="5" t="inlineStr">
        <is>
          <t>2028(MW)</t>
        </is>
      </c>
      <c r="AA205" s="5" t="inlineStr">
        <is>
          <t>2029(MW)</t>
        </is>
      </c>
      <c r="AB205" s="5" t="inlineStr">
        <is>
          <t>2030(MW)</t>
        </is>
      </c>
      <c r="AC205" s="5" t="inlineStr">
        <is>
          <t>2031(MW)</t>
        </is>
      </c>
    </row>
    <row r="206">
      <c r="A206" s="9" t="inlineStr">
        <is>
          <t>법인세비용차감전 중간이익</t>
        </is>
      </c>
      <c r="C206" s="12" t="n">
        <v>112025</v>
      </c>
      <c r="D206" s="12" t="n">
        <v>138901</v>
      </c>
      <c r="E206" s="12" t="n">
        <v>50599</v>
      </c>
      <c r="F206" s="12" t="n">
        <v>108932</v>
      </c>
      <c r="G206" s="12" t="n">
        <v>152845</v>
      </c>
      <c r="H206" s="12" t="n">
        <v>185329</v>
      </c>
      <c r="I206" s="12" t="n">
        <v>43307</v>
      </c>
      <c r="J206" s="12" t="n">
        <v>95167</v>
      </c>
      <c r="K206" s="12" t="n">
        <v>148682</v>
      </c>
      <c r="L206" s="12" t="n">
        <v>184976</v>
      </c>
      <c r="M206" s="12" t="n">
        <v>49581</v>
      </c>
      <c r="N206" s="12" t="n">
        <v>106430</v>
      </c>
      <c r="P206" s="12" t="n">
        <v>126168</v>
      </c>
      <c r="Q206" s="12" t="n">
        <v>91910</v>
      </c>
      <c r="R206" s="12" t="n">
        <v>69013</v>
      </c>
      <c r="S206" s="12" t="n">
        <v>93320</v>
      </c>
      <c r="T206" s="12" t="n">
        <v>132378</v>
      </c>
      <c r="U206" s="12" t="n">
        <v>146840</v>
      </c>
      <c r="V206" s="12" t="n">
        <v>138901</v>
      </c>
      <c r="W206" s="12" t="n">
        <v>185329</v>
      </c>
      <c r="X206" s="12" t="n">
        <v>184976</v>
      </c>
    </row>
    <row r="207">
      <c r="A207" s="18" t="inlineStr">
        <is>
          <t>감가상각비 및 상각비</t>
        </is>
      </c>
      <c r="C207" s="20" t="n">
        <v>45272</v>
      </c>
      <c r="D207" s="20" t="n">
        <v>60811</v>
      </c>
      <c r="E207" s="20" t="n">
        <v>15839</v>
      </c>
      <c r="F207" s="20" t="n">
        <v>32302</v>
      </c>
      <c r="G207" s="20" t="n">
        <v>48854</v>
      </c>
      <c r="H207" s="20" t="n">
        <v>65595</v>
      </c>
      <c r="I207" s="20" t="n">
        <v>17029</v>
      </c>
      <c r="J207" s="20" t="n">
        <v>34481</v>
      </c>
      <c r="K207" s="20" t="n">
        <v>52191</v>
      </c>
      <c r="L207" s="20" t="n">
        <v>70677</v>
      </c>
      <c r="M207" s="20" t="n">
        <v>19406</v>
      </c>
      <c r="N207" s="20" t="n">
        <v>39493</v>
      </c>
      <c r="P207" s="20" t="n">
        <v>49283</v>
      </c>
      <c r="Q207" s="20" t="n">
        <v>45904</v>
      </c>
      <c r="R207" s="20" t="n">
        <v>49390</v>
      </c>
      <c r="S207" s="20" t="n">
        <v>47950</v>
      </c>
      <c r="T207" s="20" t="n">
        <v>50211</v>
      </c>
      <c r="U207" s="20" t="n">
        <v>57362</v>
      </c>
      <c r="V207" s="20" t="n">
        <v>60811</v>
      </c>
      <c r="W207" s="20" t="n">
        <v>65595</v>
      </c>
      <c r="X207" s="20" t="n">
        <v>70677</v>
      </c>
    </row>
    <row r="208">
      <c r="A208" s="18" t="inlineStr">
        <is>
          <t>손상차손</t>
        </is>
      </c>
      <c r="C208" s="20" t="n">
        <v>343</v>
      </c>
      <c r="D208" s="20" t="n">
        <v>1651</v>
      </c>
      <c r="E208" s="20" t="n">
        <v>29</v>
      </c>
      <c r="F208" s="20" t="n">
        <v>193</v>
      </c>
      <c r="G208" s="20" t="n">
        <v>7352</v>
      </c>
      <c r="H208" s="20" t="n">
        <v>12339</v>
      </c>
      <c r="I208" s="20" t="n">
        <v>459</v>
      </c>
      <c r="J208" s="20" t="n">
        <v>2153</v>
      </c>
      <c r="K208" s="20" t="n">
        <v>3759</v>
      </c>
      <c r="L208" s="20" t="n">
        <v>4717</v>
      </c>
      <c r="M208" s="20" t="n">
        <v>641</v>
      </c>
      <c r="N208" s="20" t="n">
        <v>1056</v>
      </c>
      <c r="P208" s="20" t="n">
        <v>52</v>
      </c>
      <c r="Q208" s="20" t="n">
        <v>41</v>
      </c>
      <c r="R208" s="20" t="n">
        <v>7327</v>
      </c>
      <c r="S208" s="20" t="n">
        <v>6011</v>
      </c>
      <c r="T208" s="20" t="n">
        <v>5986</v>
      </c>
      <c r="U208" s="20" t="n">
        <v>4036</v>
      </c>
      <c r="V208" s="20" t="n">
        <v>1651</v>
      </c>
      <c r="W208" s="20" t="n">
        <v>12339</v>
      </c>
      <c r="X208" s="20" t="n">
        <v>4717</v>
      </c>
    </row>
    <row r="209">
      <c r="A209" s="18" t="inlineStr">
        <is>
          <t>확정급여부채 증감액</t>
        </is>
      </c>
      <c r="P209" s="20" t="n">
        <v>2338</v>
      </c>
      <c r="Q209" s="20" t="n">
        <v>725</v>
      </c>
    </row>
    <row r="210">
      <c r="A210" s="18" t="inlineStr">
        <is>
          <t>확정급여부채 증감액</t>
        </is>
      </c>
      <c r="C210" s="20" t="n">
        <v>1114</v>
      </c>
      <c r="D210" s="20" t="n">
        <v>1371</v>
      </c>
      <c r="E210" s="20" t="n">
        <v>515</v>
      </c>
      <c r="F210" s="20" t="n">
        <v>713</v>
      </c>
      <c r="G210" s="20" t="n">
        <v>1124</v>
      </c>
      <c r="H210" s="20" t="n">
        <v>1048</v>
      </c>
      <c r="I210" s="20" t="n">
        <v>224</v>
      </c>
      <c r="J210" s="20" t="n">
        <v>512</v>
      </c>
      <c r="K210" s="20" t="n">
        <v>361</v>
      </c>
      <c r="L210" s="20" t="n">
        <v>-1196</v>
      </c>
      <c r="M210" s="20" t="n">
        <v>126</v>
      </c>
      <c r="N210" s="20" t="n">
        <v>249</v>
      </c>
      <c r="Q210" s="20" t="n">
        <v>725</v>
      </c>
      <c r="R210" s="20" t="n">
        <v>2677</v>
      </c>
      <c r="S210" s="20" t="n">
        <v>1878</v>
      </c>
      <c r="T210" s="20" t="n">
        <v>691</v>
      </c>
      <c r="U210" s="20" t="n">
        <v>1270</v>
      </c>
      <c r="V210" s="20" t="n">
        <v>1371</v>
      </c>
      <c r="W210" s="20" t="n">
        <v>1048</v>
      </c>
      <c r="X210" s="20" t="n">
        <v>-1196</v>
      </c>
    </row>
    <row r="211">
      <c r="A211" s="18" t="inlineStr">
        <is>
          <t>매출채권 및 기타채권 증감액</t>
        </is>
      </c>
      <c r="C211" s="20" t="n">
        <v>-27244</v>
      </c>
      <c r="D211" s="20" t="n">
        <v>-19033</v>
      </c>
      <c r="E211" s="20" t="n">
        <v>-14612</v>
      </c>
      <c r="F211" s="20" t="n">
        <v>-18524</v>
      </c>
      <c r="G211" s="20" t="n">
        <v>-14576</v>
      </c>
      <c r="H211" s="20" t="n">
        <v>-3791</v>
      </c>
      <c r="I211" s="20" t="n">
        <v>-7861</v>
      </c>
      <c r="J211" s="20" t="n">
        <v>-22222</v>
      </c>
      <c r="K211" s="20" t="n">
        <v>-12531</v>
      </c>
      <c r="L211" s="20" t="n">
        <v>-4670</v>
      </c>
      <c r="M211" s="20" t="n">
        <v>-15984</v>
      </c>
      <c r="N211" s="20" t="n">
        <v>-20397</v>
      </c>
      <c r="P211" s="20" t="n">
        <v>-18493</v>
      </c>
      <c r="Q211" s="20" t="n">
        <v>23148</v>
      </c>
      <c r="R211" s="20" t="n">
        <v>12805</v>
      </c>
      <c r="S211" s="20" t="n">
        <v>-21058</v>
      </c>
      <c r="T211" s="20" t="n">
        <v>-10118</v>
      </c>
      <c r="U211" s="20" t="n">
        <v>44492</v>
      </c>
      <c r="V211" s="20" t="n">
        <v>-19033</v>
      </c>
      <c r="W211" s="20" t="n">
        <v>-3791</v>
      </c>
      <c r="X211" s="20" t="n">
        <v>-4670</v>
      </c>
    </row>
    <row r="212">
      <c r="A212" s="18" t="inlineStr">
        <is>
          <t>재고자산 증감액</t>
        </is>
      </c>
      <c r="C212" s="20" t="n">
        <v>4878</v>
      </c>
      <c r="D212" s="20" t="n">
        <v>11769</v>
      </c>
      <c r="E212" s="20" t="n">
        <v>-4009</v>
      </c>
      <c r="F212" s="20" t="n">
        <v>-9557</v>
      </c>
      <c r="G212" s="20" t="n">
        <v>-7796</v>
      </c>
      <c r="H212" s="20" t="n">
        <v>-8526</v>
      </c>
      <c r="I212" s="20" t="n">
        <v>-3905</v>
      </c>
      <c r="J212" s="20" t="n">
        <v>-6353</v>
      </c>
      <c r="K212" s="20" t="n">
        <v>-4814</v>
      </c>
      <c r="L212" s="20" t="n">
        <v>-5957</v>
      </c>
      <c r="M212" s="20" t="n">
        <v>-3158</v>
      </c>
      <c r="N212" s="20" t="n">
        <v>-5583</v>
      </c>
      <c r="P212" s="20" t="n">
        <v>-6860</v>
      </c>
      <c r="Q212" s="20" t="n">
        <v>362</v>
      </c>
      <c r="R212" s="20" t="n">
        <v>-5132</v>
      </c>
      <c r="S212" s="20" t="n">
        <v>-7607</v>
      </c>
      <c r="T212" s="20" t="n">
        <v>-14000</v>
      </c>
      <c r="U212" s="20" t="n">
        <v>-2230</v>
      </c>
      <c r="V212" s="20" t="n">
        <v>11769</v>
      </c>
      <c r="W212" s="20" t="n">
        <v>-8526</v>
      </c>
      <c r="X212" s="20" t="n">
        <v>-5957</v>
      </c>
    </row>
    <row r="213">
      <c r="A213" s="18" t="inlineStr">
        <is>
          <t>매입채무 및 기타채무 증감액</t>
        </is>
      </c>
      <c r="C213" s="20" t="n">
        <v>5685</v>
      </c>
      <c r="D213" s="20" t="n">
        <v>3804</v>
      </c>
      <c r="E213" s="20" t="n">
        <v>5622</v>
      </c>
      <c r="F213" s="20" t="n">
        <v>11836</v>
      </c>
      <c r="G213" s="20" t="n">
        <v>8850</v>
      </c>
      <c r="H213" s="20" t="n">
        <v>2369</v>
      </c>
      <c r="I213" s="20" t="n">
        <v>7389</v>
      </c>
      <c r="J213" s="20" t="n">
        <v>12479</v>
      </c>
      <c r="K213" s="20" t="n">
        <v>8774</v>
      </c>
      <c r="L213" s="20" t="n">
        <v>332</v>
      </c>
      <c r="M213" s="20" t="n">
        <v>1285</v>
      </c>
      <c r="N213" s="20" t="n">
        <v>4085</v>
      </c>
      <c r="P213" s="20" t="n">
        <v>-4471</v>
      </c>
      <c r="Q213" s="20" t="n">
        <v>-14227</v>
      </c>
      <c r="R213" s="20" t="n">
        <v>-4899</v>
      </c>
      <c r="S213" s="20" t="n">
        <v>9234</v>
      </c>
      <c r="T213" s="20" t="n">
        <v>440</v>
      </c>
      <c r="U213" s="20" t="n">
        <v>-15779</v>
      </c>
      <c r="V213" s="20" t="n">
        <v>3804</v>
      </c>
      <c r="W213" s="20" t="n">
        <v>2369</v>
      </c>
      <c r="X213" s="20" t="n">
        <v>332</v>
      </c>
    </row>
    <row r="214">
      <c r="A214" s="18" t="inlineStr">
        <is>
          <t>선수금 증감액</t>
        </is>
      </c>
      <c r="S214" s="20" t="n">
        <v>3560</v>
      </c>
      <c r="T214" s="20" t="n">
        <v>13897</v>
      </c>
      <c r="U214" s="20" t="n">
        <v>-17420</v>
      </c>
    </row>
    <row r="215">
      <c r="A215" s="18" t="inlineStr">
        <is>
          <t>선수금 증감액</t>
        </is>
      </c>
      <c r="D215" s="20" t="n">
        <v>-1312</v>
      </c>
      <c r="H215" s="20" t="n">
        <v>-413</v>
      </c>
      <c r="L215" s="20" t="n">
        <v>540</v>
      </c>
      <c r="U215" s="20" t="n">
        <v>-17420</v>
      </c>
      <c r="V215" s="20" t="n">
        <v>-1312</v>
      </c>
      <c r="W215" s="20" t="n">
        <v>-413</v>
      </c>
      <c r="X215" s="20" t="n">
        <v>540</v>
      </c>
    </row>
    <row r="216">
      <c r="A216" s="18" t="inlineStr">
        <is>
          <t>선수금 증감액</t>
        </is>
      </c>
      <c r="C216" s="20" t="n">
        <v>-631</v>
      </c>
      <c r="E216" s="20" t="n">
        <v>2137</v>
      </c>
      <c r="F216" s="20" t="n">
        <v>1096</v>
      </c>
      <c r="G216" s="20" t="n">
        <v>-947</v>
      </c>
      <c r="I216" s="20" t="n">
        <v>-219</v>
      </c>
      <c r="J216" s="20" t="n">
        <v>-166</v>
      </c>
      <c r="K216" s="20" t="n">
        <v>521</v>
      </c>
      <c r="M216" s="20" t="n">
        <v>3855</v>
      </c>
      <c r="N216" s="20" t="n">
        <v>8757</v>
      </c>
    </row>
    <row r="217">
      <c r="A217" s="18" t="inlineStr">
        <is>
          <t>이자 및 배당금 수령액</t>
        </is>
      </c>
      <c r="C217" s="20" t="n">
        <v>1366</v>
      </c>
      <c r="D217" s="20" t="n">
        <v>2065</v>
      </c>
      <c r="E217" s="20" t="n">
        <v>619</v>
      </c>
      <c r="F217" s="20" t="n">
        <v>1449</v>
      </c>
      <c r="G217" s="20" t="n">
        <v>1937</v>
      </c>
      <c r="H217" s="20" t="n">
        <v>2849</v>
      </c>
      <c r="I217" s="20" t="n">
        <v>687</v>
      </c>
      <c r="J217" s="20" t="n">
        <v>1483</v>
      </c>
      <c r="K217" s="20" t="n">
        <v>2036</v>
      </c>
      <c r="L217" s="20" t="n">
        <v>3214</v>
      </c>
      <c r="M217" s="20" t="n">
        <v>929</v>
      </c>
      <c r="N217" s="20" t="n">
        <v>2039</v>
      </c>
      <c r="P217" s="20" t="n">
        <v>1047</v>
      </c>
      <c r="Q217" s="20" t="n">
        <v>1089</v>
      </c>
      <c r="R217" s="20" t="n">
        <v>822</v>
      </c>
      <c r="S217" s="20" t="n">
        <v>587</v>
      </c>
      <c r="T217" s="20" t="n">
        <v>569</v>
      </c>
      <c r="U217" s="20" t="n">
        <v>1283</v>
      </c>
      <c r="V217" s="20" t="n">
        <v>2065</v>
      </c>
      <c r="W217" s="20" t="n">
        <v>2849</v>
      </c>
      <c r="X217" s="20" t="n">
        <v>3214</v>
      </c>
    </row>
    <row r="218">
      <c r="A218" s="18" t="inlineStr">
        <is>
          <t>이자 지급</t>
        </is>
      </c>
      <c r="C218" s="20" t="n">
        <v>-445</v>
      </c>
      <c r="D218" s="20" t="n">
        <v>-609</v>
      </c>
      <c r="E218" s="20" t="n">
        <v>-151</v>
      </c>
      <c r="F218" s="20" t="n">
        <v>-407</v>
      </c>
      <c r="G218" s="20" t="n">
        <v>-494</v>
      </c>
      <c r="H218" s="20" t="n">
        <v>-809</v>
      </c>
      <c r="I218" s="20" t="n">
        <v>-289</v>
      </c>
      <c r="J218" s="20" t="n">
        <v>-538</v>
      </c>
      <c r="K218" s="20" t="n">
        <v>-720</v>
      </c>
      <c r="L218" s="20" t="n">
        <v>-1036</v>
      </c>
      <c r="M218" s="20" t="n">
        <v>-343</v>
      </c>
      <c r="N218" s="20" t="n">
        <v>-671</v>
      </c>
      <c r="P218" s="20" t="n">
        <v>-419</v>
      </c>
      <c r="Q218" s="20" t="n">
        <v>-357</v>
      </c>
      <c r="R218" s="20" t="n">
        <v>-650</v>
      </c>
      <c r="S218" s="20" t="n">
        <v>-617</v>
      </c>
      <c r="T218" s="20" t="n">
        <v>-535</v>
      </c>
      <c r="U218" s="20" t="n">
        <v>-538</v>
      </c>
      <c r="V218" s="20" t="n">
        <v>-609</v>
      </c>
      <c r="W218" s="20" t="n">
        <v>-809</v>
      </c>
      <c r="X218" s="20" t="n">
        <v>-1036</v>
      </c>
    </row>
    <row r="219">
      <c r="A219" s="18" t="inlineStr">
        <is>
          <t>법인세 등 지급액 또는 환급액</t>
        </is>
      </c>
      <c r="C219" s="20" t="n">
        <v>-37117</v>
      </c>
      <c r="D219" s="20" t="n">
        <v>-41030</v>
      </c>
      <c r="E219" s="20" t="n">
        <v>-10872</v>
      </c>
      <c r="F219" s="20" t="n">
        <v>-15815</v>
      </c>
      <c r="G219" s="20" t="n">
        <v>-31085</v>
      </c>
      <c r="H219" s="20" t="n">
        <v>-34304</v>
      </c>
      <c r="I219" s="20" t="n">
        <v>-25699</v>
      </c>
      <c r="J219" s="20" t="n">
        <v>-31734</v>
      </c>
      <c r="K219" s="20" t="n">
        <v>-53419</v>
      </c>
      <c r="L219" s="20" t="n">
        <v>-57302</v>
      </c>
      <c r="M219" s="20" t="n">
        <v>-15131</v>
      </c>
      <c r="N219" s="20" t="n">
        <v>-19676</v>
      </c>
      <c r="P219" s="20" t="n">
        <v>-35153</v>
      </c>
      <c r="Q219" s="20" t="n">
        <v>-41835</v>
      </c>
      <c r="R219" s="20" t="n">
        <v>-13332</v>
      </c>
      <c r="S219" s="20" t="n">
        <v>-24560</v>
      </c>
      <c r="T219" s="20" t="n">
        <v>-30445</v>
      </c>
      <c r="U219" s="20" t="n">
        <v>-38748</v>
      </c>
      <c r="V219" s="20" t="n">
        <v>-41030</v>
      </c>
      <c r="W219" s="20" t="n">
        <v>-34304</v>
      </c>
      <c r="X219" s="20" t="n">
        <v>-57302</v>
      </c>
    </row>
    <row r="220">
      <c r="A220" s="18" t="inlineStr">
        <is>
          <t>기타</t>
        </is>
      </c>
      <c r="C220" s="20" t="n">
        <v>-7398</v>
      </c>
      <c r="D220" s="20" t="n">
        <v>-2868</v>
      </c>
      <c r="E220" s="20" t="n">
        <v>-14157</v>
      </c>
      <c r="F220" s="20" t="n">
        <v>-5727</v>
      </c>
      <c r="G220" s="20" t="n">
        <v>-8012</v>
      </c>
      <c r="H220" s="20" t="n">
        <v>-3779</v>
      </c>
      <c r="I220" s="20" t="n">
        <v>-12706</v>
      </c>
      <c r="J220" s="20" t="n">
        <v>-10258</v>
      </c>
      <c r="K220" s="20" t="n">
        <v>-11775</v>
      </c>
      <c r="L220" s="20" t="n">
        <v>-2111</v>
      </c>
      <c r="M220" s="20" t="n">
        <v>-18017</v>
      </c>
      <c r="N220" s="20" t="n">
        <v>-6937</v>
      </c>
      <c r="P220" s="20" t="n">
        <v>9059</v>
      </c>
      <c r="Q220" s="20" t="n">
        <v>-8192</v>
      </c>
      <c r="R220" s="20" t="n">
        <v>5619</v>
      </c>
      <c r="S220" s="20" t="n">
        <v>7610</v>
      </c>
      <c r="T220" s="20" t="n">
        <v>-4587</v>
      </c>
      <c r="U220" s="20" t="n">
        <v>1133</v>
      </c>
      <c r="V220" s="20" t="n">
        <v>-2868</v>
      </c>
      <c r="W220" s="20" t="n">
        <v>-3779</v>
      </c>
      <c r="X220" s="20" t="n">
        <v>-2111</v>
      </c>
    </row>
    <row r="221">
      <c r="A221" s="9" t="inlineStr">
        <is>
          <t>영업활동 현금흐름</t>
        </is>
      </c>
      <c r="C221" s="12" t="n">
        <v>97849</v>
      </c>
      <c r="D221" s="12" t="n">
        <v>155521</v>
      </c>
      <c r="E221" s="12" t="n">
        <v>31559</v>
      </c>
      <c r="F221" s="12" t="n">
        <v>106490</v>
      </c>
      <c r="G221" s="12" t="n">
        <v>158052</v>
      </c>
      <c r="H221" s="12" t="n">
        <v>217908</v>
      </c>
      <c r="I221" s="12" t="n">
        <v>18417</v>
      </c>
      <c r="J221" s="12" t="n">
        <v>75003</v>
      </c>
      <c r="K221" s="12" t="n">
        <v>133065</v>
      </c>
      <c r="L221" s="12" t="n">
        <v>192183</v>
      </c>
      <c r="M221" s="12" t="n">
        <v>23190</v>
      </c>
      <c r="N221" s="12" t="n">
        <v>108847</v>
      </c>
      <c r="P221" s="12" t="n">
        <v>122551</v>
      </c>
      <c r="Q221" s="12" t="n">
        <v>98569</v>
      </c>
      <c r="R221" s="12" t="n">
        <v>123641</v>
      </c>
      <c r="S221" s="12" t="n">
        <v>116309</v>
      </c>
      <c r="T221" s="12" t="n">
        <v>144489</v>
      </c>
      <c r="U221" s="12" t="n">
        <v>181702</v>
      </c>
      <c r="V221" s="12" t="n">
        <v>155521</v>
      </c>
      <c r="W221" s="12" t="n">
        <v>217908</v>
      </c>
      <c r="X221" s="12" t="n">
        <v>192183</v>
      </c>
    </row>
    <row r="222">
      <c r="A222" s="18" t="inlineStr">
        <is>
          <t>유형·무형자산 취득 지출</t>
        </is>
      </c>
      <c r="C222" s="20" t="n">
        <v>-51114</v>
      </c>
      <c r="D222" s="20" t="n">
        <v>-67774</v>
      </c>
      <c r="E222" s="20" t="n">
        <v>-22662</v>
      </c>
      <c r="F222" s="20" t="n">
        <v>-56787</v>
      </c>
      <c r="G222" s="20" t="n">
        <v>-79596</v>
      </c>
      <c r="H222" s="20" t="n">
        <v>-106003</v>
      </c>
      <c r="I222" s="20" t="n">
        <v>-31622</v>
      </c>
      <c r="J222" s="20" t="n">
        <v>-51088</v>
      </c>
      <c r="K222" s="20" t="n">
        <v>-75640</v>
      </c>
      <c r="L222" s="20" t="n">
        <v>-96607</v>
      </c>
      <c r="M222" s="20" t="n">
        <v>-28122</v>
      </c>
      <c r="N222" s="20" t="n">
        <v>-56502</v>
      </c>
      <c r="P222" s="20" t="n">
        <v>-48466</v>
      </c>
      <c r="Q222" s="20" t="n">
        <v>-59628</v>
      </c>
      <c r="R222" s="20" t="n">
        <v>-59797</v>
      </c>
      <c r="S222" s="20" t="n">
        <v>-57724</v>
      </c>
      <c r="T222" s="20" t="n">
        <v>-58958</v>
      </c>
      <c r="U222" s="20" t="n">
        <v>-65921</v>
      </c>
      <c r="V222" s="20" t="n">
        <v>-67774</v>
      </c>
      <c r="W222" s="20" t="n">
        <v>-106003</v>
      </c>
      <c r="X222" s="20" t="n">
        <v>-96607</v>
      </c>
    </row>
    <row r="223">
      <c r="A223" s="18" t="inlineStr">
        <is>
          <t>유형·무형자산 처분 수입</t>
        </is>
      </c>
      <c r="C223" s="20" t="n">
        <v>545</v>
      </c>
      <c r="D223" s="20" t="n">
        <v>602</v>
      </c>
      <c r="E223" s="20" t="n">
        <v>69</v>
      </c>
      <c r="F223" s="20" t="n">
        <v>85</v>
      </c>
      <c r="G223" s="20" t="n">
        <v>112</v>
      </c>
      <c r="H223" s="20" t="n">
        <v>208</v>
      </c>
      <c r="I223" s="20" t="n">
        <v>90</v>
      </c>
      <c r="J223" s="20" t="n">
        <v>630</v>
      </c>
      <c r="K223" s="20" t="n">
        <v>3132</v>
      </c>
      <c r="L223" s="20" t="n">
        <v>4534</v>
      </c>
      <c r="M223" s="20" t="n">
        <v>511</v>
      </c>
      <c r="N223" s="20" t="n">
        <v>1702</v>
      </c>
      <c r="P223" s="20" t="n">
        <v>99</v>
      </c>
      <c r="Q223" s="20" t="n">
        <v>331</v>
      </c>
      <c r="R223" s="20" t="n">
        <v>1444</v>
      </c>
      <c r="S223" s="20" t="n">
        <v>341</v>
      </c>
      <c r="T223" s="20" t="n">
        <v>881</v>
      </c>
      <c r="U223" s="20" t="n">
        <v>350</v>
      </c>
      <c r="V223" s="20" t="n">
        <v>602</v>
      </c>
      <c r="W223" s="20" t="n">
        <v>208</v>
      </c>
      <c r="X223" s="20" t="n">
        <v>4534</v>
      </c>
    </row>
    <row r="224">
      <c r="A224" s="18" t="inlineStr">
        <is>
          <t>정기예금 증감액</t>
        </is>
      </c>
      <c r="C224" s="20" t="n">
        <v>-2078</v>
      </c>
      <c r="D224" s="20" t="n">
        <v>-2465</v>
      </c>
      <c r="E224" s="20" t="n">
        <v>-2928</v>
      </c>
      <c r="F224" s="20" t="n">
        <v>-3877</v>
      </c>
      <c r="G224" s="20" t="n">
        <v>-2516</v>
      </c>
      <c r="H224" s="20" t="n">
        <v>-2371</v>
      </c>
      <c r="I224" s="20" t="n">
        <v>-3667</v>
      </c>
      <c r="J224" s="20" t="n">
        <v>-3550</v>
      </c>
      <c r="K224" s="20" t="n">
        <v>-8940</v>
      </c>
      <c r="L224" s="20" t="n">
        <v>-12110</v>
      </c>
      <c r="M224" s="20" t="n">
        <v>-7940</v>
      </c>
      <c r="N224" s="20" t="n">
        <v>-6809</v>
      </c>
      <c r="P224" s="20" t="n">
        <v>-2811</v>
      </c>
      <c r="Q224" s="20" t="n">
        <v>6689</v>
      </c>
      <c r="R224" s="20" t="n">
        <v>-1941</v>
      </c>
      <c r="S224" s="20" t="n">
        <v>769</v>
      </c>
      <c r="T224" s="20" t="n">
        <v>-398</v>
      </c>
      <c r="U224" s="20" t="n">
        <v>81</v>
      </c>
      <c r="V224" s="20" t="n">
        <v>-2465</v>
      </c>
      <c r="W224" s="20" t="n">
        <v>-2371</v>
      </c>
      <c r="X224" s="20" t="n">
        <v>-12110</v>
      </c>
    </row>
    <row r="225">
      <c r="A225" s="18" t="inlineStr">
        <is>
          <t>투자유가증권 취득</t>
        </is>
      </c>
      <c r="C225" s="20" t="n">
        <v>-612</v>
      </c>
      <c r="D225" s="20" t="n">
        <v>-723</v>
      </c>
      <c r="E225" s="20" t="n">
        <v>-343</v>
      </c>
      <c r="F225" s="20" t="n">
        <v>-498</v>
      </c>
      <c r="G225" s="20" t="n">
        <v>-647</v>
      </c>
      <c r="H225" s="20" t="n">
        <v>-762</v>
      </c>
      <c r="I225" s="20" t="n">
        <v>-1981</v>
      </c>
      <c r="J225" s="20" t="n">
        <v>-2353</v>
      </c>
      <c r="K225" s="20" t="n">
        <v>-2529</v>
      </c>
      <c r="L225" s="20" t="n">
        <v>-3123</v>
      </c>
      <c r="M225" s="20" t="n">
        <v>-663</v>
      </c>
      <c r="N225" s="20" t="n">
        <v>-989</v>
      </c>
      <c r="Q225" s="20" t="n">
        <v>-9</v>
      </c>
      <c r="R225" s="20" t="n">
        <v>-1236</v>
      </c>
      <c r="S225" s="20" t="n">
        <v>-507</v>
      </c>
      <c r="T225" s="20" t="n">
        <v>-596</v>
      </c>
      <c r="U225" s="20" t="n">
        <v>-177</v>
      </c>
      <c r="V225" s="20" t="n">
        <v>-723</v>
      </c>
      <c r="W225" s="20" t="n">
        <v>-762</v>
      </c>
      <c r="X225" s="20" t="n">
        <v>-3123</v>
      </c>
    </row>
    <row r="226">
      <c r="A226" s="18" t="inlineStr">
        <is>
          <t>투자유가증권 매각</t>
        </is>
      </c>
      <c r="C226" s="20" t="n">
        <v>551</v>
      </c>
      <c r="D226" s="20" t="n">
        <v>551</v>
      </c>
      <c r="G226" s="20" t="n">
        <v>55</v>
      </c>
      <c r="H226" s="20" t="n">
        <v>55</v>
      </c>
      <c r="K226" s="20" t="n">
        <v>8</v>
      </c>
      <c r="L226" s="20" t="n">
        <v>8</v>
      </c>
      <c r="Q226" s="20" t="n">
        <v>0</v>
      </c>
      <c r="R226" s="20" t="n">
        <v>1531</v>
      </c>
      <c r="S226" s="20" t="n">
        <v>292</v>
      </c>
      <c r="T226" s="20" t="n">
        <v>764</v>
      </c>
      <c r="U226" s="20" t="n">
        <v>2675</v>
      </c>
      <c r="V226" s="20" t="n">
        <v>551</v>
      </c>
      <c r="W226" s="20" t="n">
        <v>55</v>
      </c>
      <c r="X226" s="20" t="n">
        <v>8</v>
      </c>
    </row>
    <row r="227">
      <c r="A227" s="18" t="inlineStr">
        <is>
          <t>관계회사 주식 취득</t>
        </is>
      </c>
      <c r="C227" s="20" t="n">
        <v>0</v>
      </c>
      <c r="D227" s="20" t="n">
        <v>0</v>
      </c>
      <c r="E227" s="20" t="n">
        <v>-6256</v>
      </c>
      <c r="F227" s="20" t="n">
        <v>-6256</v>
      </c>
      <c r="G227" s="20" t="n">
        <v>-6256</v>
      </c>
      <c r="H227" s="20" t="n">
        <v>-6256</v>
      </c>
      <c r="I227" s="20" t="n">
        <v>0</v>
      </c>
      <c r="J227" s="20" t="n">
        <v>0</v>
      </c>
      <c r="K227" s="20" t="n">
        <v>-206</v>
      </c>
      <c r="L227" s="20" t="n">
        <v>-206</v>
      </c>
      <c r="R227" s="20" t="n">
        <v>0</v>
      </c>
      <c r="S227" s="20" t="n">
        <v>-880</v>
      </c>
      <c r="T227" s="20" t="n">
        <v>-269</v>
      </c>
      <c r="U227" s="20" t="n">
        <v>-1703</v>
      </c>
      <c r="V227" s="20" t="n">
        <v>0</v>
      </c>
      <c r="W227" s="20" t="n">
        <v>-6256</v>
      </c>
      <c r="X227" s="20" t="n">
        <v>-206</v>
      </c>
    </row>
    <row r="228">
      <c r="A228" s="18" t="inlineStr">
        <is>
          <t>연결범위 변경 자회사 주식 취득</t>
        </is>
      </c>
      <c r="C228" s="20" t="n">
        <v>0</v>
      </c>
      <c r="D228" s="20" t="n">
        <v>0</v>
      </c>
      <c r="T228" s="20" t="n">
        <v>0</v>
      </c>
      <c r="U228" s="20" t="n">
        <v>-95263</v>
      </c>
      <c r="V228" s="20" t="n">
        <v>0</v>
      </c>
    </row>
    <row r="229">
      <c r="A229" s="18" t="inlineStr">
        <is>
          <t>연결범위 변경 자회사 주식 매각</t>
        </is>
      </c>
      <c r="C229" s="20" t="n">
        <v>1871</v>
      </c>
      <c r="D229" s="20" t="n">
        <v>1871</v>
      </c>
      <c r="E229" s="20" t="n">
        <v>0</v>
      </c>
      <c r="F229" s="20" t="n">
        <v>0</v>
      </c>
      <c r="G229" s="20" t="n">
        <v>0</v>
      </c>
      <c r="H229" s="20" t="n">
        <v>0</v>
      </c>
      <c r="P229" s="20" t="n">
        <v>0</v>
      </c>
      <c r="Q229" s="20" t="n">
        <v>2634</v>
      </c>
      <c r="R229" s="20" t="n">
        <v>0</v>
      </c>
      <c r="U229" s="20" t="n">
        <v>0</v>
      </c>
      <c r="V229" s="20" t="n">
        <v>1871</v>
      </c>
      <c r="W229" s="20" t="n">
        <v>0</v>
      </c>
    </row>
    <row r="230">
      <c r="A230" s="18" t="inlineStr">
        <is>
          <t>기타</t>
        </is>
      </c>
      <c r="C230" s="20" t="n">
        <v>5</v>
      </c>
      <c r="D230" s="20" t="n">
        <v>10</v>
      </c>
      <c r="E230" s="20" t="n">
        <v>-7</v>
      </c>
      <c r="F230" s="20" t="n">
        <v>5</v>
      </c>
      <c r="G230" s="20" t="n">
        <v>25</v>
      </c>
      <c r="H230" s="20" t="n">
        <v>23</v>
      </c>
      <c r="I230" s="20" t="n">
        <v>10</v>
      </c>
      <c r="J230" s="20" t="n">
        <v>13</v>
      </c>
      <c r="K230" s="20" t="n">
        <v>26</v>
      </c>
      <c r="L230" s="20" t="n">
        <v>68</v>
      </c>
      <c r="M230" s="20" t="n">
        <v>5</v>
      </c>
      <c r="N230" s="20" t="n">
        <v>9</v>
      </c>
      <c r="P230" s="20" t="n">
        <v>963</v>
      </c>
      <c r="Q230" s="20" t="n">
        <v>26</v>
      </c>
      <c r="R230" s="20" t="n">
        <v>7</v>
      </c>
      <c r="S230" s="20" t="n">
        <v>170</v>
      </c>
      <c r="T230" s="20" t="n">
        <v>982</v>
      </c>
      <c r="U230" s="20" t="n">
        <v>51</v>
      </c>
      <c r="V230" s="20" t="n">
        <v>10</v>
      </c>
      <c r="W230" s="20" t="n">
        <v>23</v>
      </c>
      <c r="X230" s="20" t="n">
        <v>68</v>
      </c>
    </row>
    <row r="231">
      <c r="A231" s="9" t="inlineStr">
        <is>
          <t>투자활동 현금흐름</t>
        </is>
      </c>
      <c r="C231" s="12" t="n">
        <v>-50831</v>
      </c>
      <c r="D231" s="12" t="n">
        <v>-67927</v>
      </c>
      <c r="E231" s="12" t="n">
        <v>-32130</v>
      </c>
      <c r="F231" s="12" t="n">
        <v>-67328</v>
      </c>
      <c r="G231" s="12" t="n">
        <v>-88824</v>
      </c>
      <c r="H231" s="12" t="n">
        <v>-115105</v>
      </c>
      <c r="I231" s="12" t="n">
        <v>-37170</v>
      </c>
      <c r="J231" s="12" t="n">
        <v>-56348</v>
      </c>
      <c r="K231" s="12" t="n">
        <v>-84149</v>
      </c>
      <c r="L231" s="12" t="n">
        <v>-107436</v>
      </c>
      <c r="M231" s="12" t="n">
        <v>-36210</v>
      </c>
      <c r="N231" s="12" t="n">
        <v>-62589</v>
      </c>
      <c r="P231" s="12" t="n">
        <v>-50215</v>
      </c>
      <c r="Q231" s="12" t="n">
        <v>-49955</v>
      </c>
      <c r="R231" s="12" t="n">
        <v>-59991</v>
      </c>
      <c r="S231" s="12" t="n">
        <v>-57538</v>
      </c>
      <c r="T231" s="12" t="n">
        <v>-57594</v>
      </c>
      <c r="U231" s="12" t="n">
        <v>-159906</v>
      </c>
      <c r="V231" s="12" t="n">
        <v>-67927</v>
      </c>
      <c r="W231" s="12" t="n">
        <v>-115105</v>
      </c>
      <c r="X231" s="12" t="n">
        <v>-107436</v>
      </c>
    </row>
    <row r="232">
      <c r="A232" s="18" t="inlineStr">
        <is>
          <t>단기차입금 순증감액</t>
        </is>
      </c>
      <c r="C232" s="20" t="n">
        <v>28</v>
      </c>
      <c r="D232" s="20" t="n">
        <v>72</v>
      </c>
      <c r="E232" s="20" t="n">
        <v>-6</v>
      </c>
      <c r="F232" s="20" t="n">
        <v>51</v>
      </c>
      <c r="G232" s="20" t="n">
        <v>97</v>
      </c>
      <c r="H232" s="20" t="n">
        <v>109</v>
      </c>
      <c r="I232" s="20" t="n">
        <v>13</v>
      </c>
      <c r="J232" s="20" t="n">
        <v>59</v>
      </c>
      <c r="K232" s="20" t="n">
        <v>49</v>
      </c>
      <c r="L232" s="20" t="n">
        <v>0</v>
      </c>
      <c r="M232" s="20" t="n">
        <v>0</v>
      </c>
      <c r="N232" s="20" t="n">
        <v>0</v>
      </c>
      <c r="P232" s="20" t="n">
        <v>74</v>
      </c>
      <c r="Q232" s="20" t="n">
        <v>-374</v>
      </c>
      <c r="R232" s="20" t="n">
        <v>-336</v>
      </c>
      <c r="S232" s="20" t="n">
        <v>428</v>
      </c>
      <c r="T232" s="20" t="n">
        <v>-315</v>
      </c>
      <c r="U232" s="20" t="n">
        <v>29</v>
      </c>
      <c r="V232" s="20" t="n">
        <v>72</v>
      </c>
      <c r="W232" s="20" t="n">
        <v>109</v>
      </c>
      <c r="X232" s="20" t="n">
        <v>0</v>
      </c>
    </row>
    <row r="233">
      <c r="A233" s="18" t="inlineStr">
        <is>
          <t>장기차입금 상환</t>
        </is>
      </c>
      <c r="P233" s="20" t="n">
        <v>0</v>
      </c>
      <c r="Q233" s="20" t="n">
        <v>-3000</v>
      </c>
      <c r="R233" s="20" t="n">
        <v>0</v>
      </c>
    </row>
    <row r="234">
      <c r="A234" s="18" t="inlineStr">
        <is>
          <t>리스부채 상환 지출</t>
        </is>
      </c>
      <c r="C234" s="20" t="n">
        <v>-4698</v>
      </c>
      <c r="D234" s="20" t="n">
        <v>-7631</v>
      </c>
      <c r="E234" s="20" t="n">
        <v>-2074</v>
      </c>
      <c r="F234" s="20" t="n">
        <v>-3207</v>
      </c>
      <c r="G234" s="20" t="n">
        <v>-4756</v>
      </c>
      <c r="H234" s="20" t="n">
        <v>-5822</v>
      </c>
      <c r="I234" s="20" t="n">
        <v>-1909</v>
      </c>
      <c r="J234" s="20" t="n">
        <v>-3330</v>
      </c>
      <c r="K234" s="20" t="n">
        <v>-5035</v>
      </c>
      <c r="L234" s="20" t="n">
        <v>-6626</v>
      </c>
      <c r="M234" s="20" t="n">
        <v>-2309</v>
      </c>
      <c r="N234" s="20" t="n">
        <v>-3853</v>
      </c>
      <c r="Q234" s="20" t="n">
        <v>0</v>
      </c>
      <c r="R234" s="20" t="n">
        <v>-4735</v>
      </c>
      <c r="S234" s="20" t="n">
        <v>-5199</v>
      </c>
      <c r="T234" s="20" t="n">
        <v>-5228</v>
      </c>
      <c r="U234" s="20" t="n">
        <v>-5567</v>
      </c>
      <c r="V234" s="20" t="n">
        <v>-7631</v>
      </c>
      <c r="W234" s="20" t="n">
        <v>-5822</v>
      </c>
      <c r="X234" s="20" t="n">
        <v>-6626</v>
      </c>
    </row>
    <row r="235">
      <c r="A235" s="18" t="inlineStr">
        <is>
          <t>자기주식 증감액</t>
        </is>
      </c>
      <c r="C235" s="20" t="n">
        <v>-32134</v>
      </c>
      <c r="D235" s="20" t="n">
        <v>-47167</v>
      </c>
      <c r="E235" s="20" t="n">
        <v>-15014</v>
      </c>
      <c r="F235" s="20" t="n">
        <v>-15016</v>
      </c>
      <c r="G235" s="20" t="n">
        <v>-15018</v>
      </c>
      <c r="H235" s="20" t="n">
        <v>-35062</v>
      </c>
      <c r="I235" s="20" t="n">
        <v>-32198</v>
      </c>
      <c r="J235" s="20" t="n">
        <v>-60287</v>
      </c>
      <c r="K235" s="20" t="n">
        <v>-60287</v>
      </c>
      <c r="L235" s="20" t="n">
        <v>-60287</v>
      </c>
      <c r="M235" s="20" t="n">
        <v>-29488</v>
      </c>
      <c r="N235" s="20" t="n">
        <v>-50183</v>
      </c>
      <c r="P235" s="20" t="n">
        <v>-19354</v>
      </c>
      <c r="Q235" s="20" t="n">
        <v>-28547</v>
      </c>
      <c r="R235" s="20" t="n">
        <v>-16701</v>
      </c>
      <c r="S235" s="20" t="n">
        <v>-33312</v>
      </c>
      <c r="T235" s="20" t="n">
        <v>-0</v>
      </c>
      <c r="U235" s="20" t="n">
        <v>-18008</v>
      </c>
      <c r="V235" s="20" t="n">
        <v>-47167</v>
      </c>
      <c r="W235" s="20" t="n">
        <v>-35062</v>
      </c>
      <c r="X235" s="20" t="n">
        <v>-60287</v>
      </c>
    </row>
    <row r="236">
      <c r="A236" s="18" t="inlineStr">
        <is>
          <t>배당금 지급</t>
        </is>
      </c>
      <c r="C236" s="20" t="n">
        <v>-36041</v>
      </c>
      <c r="D236" s="20" t="n">
        <v>-36041</v>
      </c>
      <c r="E236" s="20" t="n">
        <v>-18388</v>
      </c>
      <c r="F236" s="20" t="n">
        <v>-18388</v>
      </c>
      <c r="G236" s="20" t="n">
        <v>-38040</v>
      </c>
      <c r="H236" s="20" t="n">
        <v>-38040</v>
      </c>
      <c r="I236" s="20" t="n">
        <v>-19458</v>
      </c>
      <c r="J236" s="20" t="n">
        <v>-19458</v>
      </c>
      <c r="K236" s="20" t="n">
        <v>-39667</v>
      </c>
      <c r="L236" s="20" t="n">
        <v>-39667</v>
      </c>
      <c r="M236" s="20" t="n">
        <v>-20209</v>
      </c>
      <c r="N236" s="20" t="n">
        <v>-20209</v>
      </c>
      <c r="P236" s="20" t="n">
        <v>-25166</v>
      </c>
      <c r="Q236" s="20" t="n">
        <v>-26928</v>
      </c>
      <c r="R236" s="20" t="n">
        <v>-29820</v>
      </c>
      <c r="S236" s="20" t="n">
        <v>-30188</v>
      </c>
      <c r="T236" s="20" t="n">
        <v>-31076</v>
      </c>
      <c r="U236" s="20" t="n">
        <v>-34046</v>
      </c>
      <c r="V236" s="20" t="n">
        <v>-36041</v>
      </c>
      <c r="W236" s="20" t="n">
        <v>-38040</v>
      </c>
      <c r="X236" s="20" t="n">
        <v>-39667</v>
      </c>
    </row>
    <row r="237">
      <c r="A237" s="18" t="inlineStr">
        <is>
          <t>기타</t>
        </is>
      </c>
      <c r="C237" s="20" t="n">
        <v>-7</v>
      </c>
      <c r="D237" s="20" t="n">
        <v>-16</v>
      </c>
      <c r="E237" s="20" t="n">
        <v>-28</v>
      </c>
      <c r="F237" s="20" t="n">
        <v>-80</v>
      </c>
      <c r="G237" s="20" t="n">
        <v>-83</v>
      </c>
      <c r="H237" s="20" t="n">
        <v>-75</v>
      </c>
      <c r="I237" s="20" t="n">
        <v>-22</v>
      </c>
      <c r="J237" s="20" t="n">
        <v>-15</v>
      </c>
      <c r="K237" s="20" t="n">
        <v>-21</v>
      </c>
      <c r="L237" s="20" t="n">
        <v>-15</v>
      </c>
      <c r="M237" s="20" t="n">
        <v>-17</v>
      </c>
      <c r="N237" s="20" t="n">
        <v>-8</v>
      </c>
      <c r="P237" s="20" t="n">
        <v>-472</v>
      </c>
      <c r="Q237" s="20" t="n">
        <v>430</v>
      </c>
      <c r="R237" s="20" t="n">
        <v>-44</v>
      </c>
      <c r="S237" s="20" t="n">
        <v>-25</v>
      </c>
      <c r="T237" s="20" t="n">
        <v>-18</v>
      </c>
      <c r="U237" s="20" t="n">
        <v>-35</v>
      </c>
      <c r="V237" s="20" t="n">
        <v>-16</v>
      </c>
      <c r="W237" s="20" t="n">
        <v>-75</v>
      </c>
      <c r="X237" s="20" t="n">
        <v>-15</v>
      </c>
    </row>
    <row r="238">
      <c r="A238" s="9" t="inlineStr">
        <is>
          <t>재무활동 현금흐름</t>
        </is>
      </c>
      <c r="C238" s="12" t="n">
        <v>-72852</v>
      </c>
      <c r="D238" s="12" t="n">
        <v>-90784</v>
      </c>
      <c r="E238" s="12" t="n">
        <v>-35511</v>
      </c>
      <c r="F238" s="12" t="n">
        <v>-36640</v>
      </c>
      <c r="G238" s="12" t="n">
        <v>-57800</v>
      </c>
      <c r="H238" s="12" t="n">
        <v>-78890</v>
      </c>
      <c r="I238" s="12" t="n">
        <v>-53575</v>
      </c>
      <c r="J238" s="12" t="n">
        <v>-83031</v>
      </c>
      <c r="K238" s="12" t="n">
        <v>-104962</v>
      </c>
      <c r="L238" s="12" t="n">
        <v>-106597</v>
      </c>
      <c r="M238" s="12" t="n">
        <v>-52024</v>
      </c>
      <c r="N238" s="12" t="n">
        <v>-74255</v>
      </c>
      <c r="P238" s="12" t="n">
        <v>-44919</v>
      </c>
      <c r="Q238" s="12" t="n">
        <v>-58419</v>
      </c>
      <c r="R238" s="12" t="n">
        <v>-51637</v>
      </c>
      <c r="S238" s="12" t="n">
        <v>-68297</v>
      </c>
      <c r="T238" s="12" t="n">
        <v>-36639</v>
      </c>
      <c r="U238" s="12" t="n">
        <v>-57627</v>
      </c>
      <c r="V238" s="12" t="n">
        <v>-90784</v>
      </c>
      <c r="W238" s="12" t="n">
        <v>-78890</v>
      </c>
      <c r="X238" s="12" t="n">
        <v>-106597</v>
      </c>
    </row>
    <row r="239">
      <c r="A239" s="18" t="inlineStr">
        <is>
          <t>현금및현금성자산 외화환산 영향액</t>
        </is>
      </c>
      <c r="C239" s="20" t="n">
        <v>5608</v>
      </c>
      <c r="D239" s="20" t="n">
        <v>13573</v>
      </c>
      <c r="E239" s="20" t="n">
        <v>9595</v>
      </c>
      <c r="F239" s="20" t="n">
        <v>-4492</v>
      </c>
      <c r="G239" s="20" t="n">
        <v>5958</v>
      </c>
      <c r="H239" s="20" t="n">
        <v>-2837</v>
      </c>
      <c r="I239" s="20" t="n">
        <v>-58</v>
      </c>
      <c r="J239" s="20" t="n">
        <v>4217</v>
      </c>
      <c r="K239" s="20" t="n">
        <v>15463</v>
      </c>
      <c r="L239" s="20" t="n">
        <v>18311</v>
      </c>
      <c r="M239" s="20" t="n">
        <v>4294</v>
      </c>
      <c r="N239" s="20" t="n">
        <v>550</v>
      </c>
      <c r="P239" s="20" t="n">
        <v>-270</v>
      </c>
      <c r="Q239" s="20" t="n">
        <v>-1</v>
      </c>
      <c r="R239" s="20" t="n">
        <v>-4771</v>
      </c>
      <c r="S239" s="20" t="n">
        <v>5492</v>
      </c>
      <c r="T239" s="20" t="n">
        <v>10901</v>
      </c>
      <c r="U239" s="20" t="n">
        <v>5671</v>
      </c>
      <c r="V239" s="20" t="n">
        <v>13573</v>
      </c>
      <c r="W239" s="20" t="n">
        <v>-2837</v>
      </c>
      <c r="X239" s="20" t="n">
        <v>18311</v>
      </c>
    </row>
    <row r="240">
      <c r="A240" s="18" t="inlineStr">
        <is>
          <t>매각예정 자산에 포함된 현금및현금성자산</t>
        </is>
      </c>
      <c r="P240" s="20" t="n">
        <v>-2780</v>
      </c>
      <c r="Q240" s="20" t="n">
        <v>0</v>
      </c>
    </row>
    <row r="241">
      <c r="A241" s="18" t="inlineStr">
        <is>
          <t>매각예정 자산 포함 현금및현금성자산 환입액</t>
        </is>
      </c>
      <c r="C241" s="20" t="n">
        <v>0</v>
      </c>
      <c r="D241" s="20" t="n">
        <v>0</v>
      </c>
      <c r="E241" s="20" t="n">
        <v>0</v>
      </c>
      <c r="F241" s="20" t="n">
        <v>0</v>
      </c>
      <c r="T241" s="20" t="n">
        <v>0</v>
      </c>
      <c r="U241" s="20" t="n">
        <v>-1920</v>
      </c>
      <c r="V241" s="20" t="n">
        <v>0</v>
      </c>
    </row>
    <row r="242">
      <c r="A242" s="18" t="inlineStr">
        <is>
          <t>매각예정 자산 포함 현금및현금성자산 환입액</t>
        </is>
      </c>
      <c r="C242" s="20" t="n">
        <v>1920</v>
      </c>
      <c r="D242" s="20" t="n">
        <v>1920</v>
      </c>
      <c r="G242" s="20" t="n">
        <v>0</v>
      </c>
      <c r="H242" s="20" t="n">
        <v>0</v>
      </c>
      <c r="P242" s="20" t="n">
        <v>0</v>
      </c>
      <c r="Q242" s="20" t="n">
        <v>2780</v>
      </c>
      <c r="R242" s="20" t="n">
        <v>0</v>
      </c>
      <c r="U242" s="20" t="n">
        <v>0</v>
      </c>
      <c r="V242" s="20" t="n">
        <v>1920</v>
      </c>
      <c r="W242" s="20" t="n">
        <v>0</v>
      </c>
    </row>
    <row r="243">
      <c r="A243" s="18" t="inlineStr">
        <is>
          <t>현금및현금성자산 증감액</t>
        </is>
      </c>
      <c r="C243" s="20" t="n">
        <v>-18306</v>
      </c>
      <c r="D243" s="20" t="n">
        <v>12302</v>
      </c>
      <c r="E243" s="20" t="n">
        <v>-26487</v>
      </c>
      <c r="F243" s="20" t="n">
        <v>-1970</v>
      </c>
      <c r="G243" s="20" t="n">
        <v>17386</v>
      </c>
      <c r="H243" s="20" t="n">
        <v>21074</v>
      </c>
      <c r="I243" s="20" t="n">
        <v>-72387</v>
      </c>
      <c r="J243" s="20" t="n">
        <v>-60158</v>
      </c>
      <c r="K243" s="20" t="n">
        <v>-40582</v>
      </c>
      <c r="L243" s="20" t="n">
        <v>-3538</v>
      </c>
      <c r="M243" s="20" t="n">
        <v>-60749</v>
      </c>
      <c r="N243" s="20" t="n">
        <v>-27446</v>
      </c>
      <c r="P243" s="20" t="n">
        <v>24365</v>
      </c>
      <c r="Q243" s="20" t="n">
        <v>-7027</v>
      </c>
      <c r="R243" s="20" t="n">
        <v>7240</v>
      </c>
      <c r="S243" s="20" t="n">
        <v>-4034</v>
      </c>
      <c r="T243" s="20" t="n">
        <v>61157</v>
      </c>
      <c r="U243" s="20" t="n">
        <v>-32079</v>
      </c>
      <c r="V243" s="20" t="n">
        <v>12302</v>
      </c>
      <c r="W243" s="20" t="n">
        <v>21074</v>
      </c>
      <c r="X243" s="20" t="n">
        <v>-3538</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2"/>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6988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2026.2Q</t>
        </is>
      </c>
      <c r="D3" s="5" t="inlineStr">
        <is>
          <t>2026.3Q</t>
        </is>
      </c>
      <c r="E3" s="5" t="inlineStr">
        <is>
          <t>2026.4Q</t>
        </is>
      </c>
      <c r="F3" s="5" t="inlineStr">
        <is>
          <t>2027.1Q</t>
        </is>
      </c>
      <c r="G3" s="5" t="inlineStr">
        <is>
          <t>2027.2Q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734060</v>
      </c>
      <c r="D5" s="12" t="n">
        <v>762003</v>
      </c>
      <c r="E5" s="12" t="n">
        <v>797294</v>
      </c>
      <c r="F5" s="12" t="n">
        <v>787107</v>
      </c>
      <c r="G5" s="12" t="n">
        <v>807133</v>
      </c>
      <c r="H5" s="11" t="n">
        <v>722738</v>
      </c>
      <c r="I5" s="12" t="n">
        <v>677189</v>
      </c>
      <c r="J5" s="12" t="n">
        <v>717957</v>
      </c>
      <c r="K5" s="12" t="n">
        <v>750209</v>
      </c>
      <c r="L5" s="12" t="n">
        <v>797294</v>
      </c>
    </row>
    <row r="6">
      <c r="A6" s="18" t="inlineStr">
        <is>
          <t>현금및현금성자산</t>
        </is>
      </c>
      <c r="B6" s="10" t="n"/>
      <c r="C6" s="19" t="n">
        <v>303185</v>
      </c>
      <c r="D6" s="20" t="n">
        <v>322761</v>
      </c>
      <c r="E6" s="20" t="n">
        <v>359805</v>
      </c>
      <c r="F6" s="20" t="n">
        <v>299056</v>
      </c>
      <c r="G6" s="20" t="n">
        <v>332359</v>
      </c>
      <c r="H6" s="19" t="n">
        <v>362046</v>
      </c>
      <c r="I6" s="20" t="n">
        <v>329966</v>
      </c>
      <c r="J6" s="20" t="n">
        <v>342269</v>
      </c>
      <c r="K6" s="20" t="n">
        <v>363344</v>
      </c>
      <c r="L6" s="20" t="n">
        <v>359805</v>
      </c>
    </row>
    <row r="7">
      <c r="A7" s="18" t="inlineStr">
        <is>
          <t>단기금융상품</t>
        </is>
      </c>
      <c r="B7" s="10" t="n"/>
      <c r="C7" s="19" t="n">
        <v>10885</v>
      </c>
      <c r="D7" s="20" t="n">
        <v>16907</v>
      </c>
      <c r="E7" s="20" t="n">
        <v>19436</v>
      </c>
      <c r="F7" s="20" t="n">
        <v>27588</v>
      </c>
      <c r="G7" s="20" t="n">
        <v>26022</v>
      </c>
      <c r="H7" s="19" t="n">
        <v>4939</v>
      </c>
      <c r="I7" s="20" t="n">
        <v>2141</v>
      </c>
      <c r="J7" s="20" t="n">
        <v>5220</v>
      </c>
      <c r="K7" s="20" t="n">
        <v>7732</v>
      </c>
      <c r="L7" s="20" t="n">
        <v>19436</v>
      </c>
    </row>
    <row r="8">
      <c r="A8" s="18" t="inlineStr">
        <is>
          <t>매출채권</t>
        </is>
      </c>
      <c r="B8" s="10" t="n"/>
      <c r="C8" s="19" t="n"/>
      <c r="D8" s="20" t="n"/>
      <c r="E8" s="20" t="n"/>
      <c r="F8" s="20" t="n"/>
      <c r="G8" s="20" t="n"/>
      <c r="H8" s="19" t="n"/>
      <c r="I8" s="20" t="n"/>
      <c r="J8" s="20" t="n"/>
      <c r="K8" s="20" t="n"/>
      <c r="L8" s="20" t="n"/>
    </row>
    <row r="9">
      <c r="A9" s="18" t="inlineStr">
        <is>
          <t>재고자산</t>
        </is>
      </c>
      <c r="B9" s="10" t="n"/>
      <c r="C9" s="19" t="n">
        <v>151711</v>
      </c>
      <c r="D9" s="20" t="n">
        <v>155593</v>
      </c>
      <c r="E9" s="20" t="n">
        <v>157870</v>
      </c>
      <c r="F9" s="20" t="n">
        <v>162965</v>
      </c>
      <c r="G9" s="20" t="n">
        <v>163274</v>
      </c>
      <c r="H9" s="19" t="n">
        <v>128318</v>
      </c>
      <c r="I9" s="20" t="n">
        <v>141101</v>
      </c>
      <c r="J9" s="20" t="n">
        <v>136804</v>
      </c>
      <c r="K9" s="20" t="n">
        <v>142932</v>
      </c>
      <c r="L9" s="20" t="n">
        <v>157870</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592801</v>
      </c>
      <c r="D11" s="12" t="n">
        <v>615789</v>
      </c>
      <c r="E11" s="12" t="n">
        <v>644463</v>
      </c>
      <c r="F11" s="12" t="n">
        <v>655496</v>
      </c>
      <c r="G11" s="12" t="n">
        <v>651989</v>
      </c>
      <c r="H11" s="11" t="n">
        <v>371730</v>
      </c>
      <c r="I11" s="12" t="n">
        <v>476457</v>
      </c>
      <c r="J11" s="12" t="n">
        <v>533130</v>
      </c>
      <c r="K11" s="12" t="n">
        <v>571711</v>
      </c>
      <c r="L11" s="12" t="n">
        <v>644463</v>
      </c>
    </row>
    <row r="12">
      <c r="A12" s="18" t="inlineStr">
        <is>
          <t>유형자산</t>
        </is>
      </c>
      <c r="B12" s="10" t="n"/>
      <c r="C12" s="19" t="n">
        <v>431938</v>
      </c>
      <c r="D12" s="20" t="n">
        <v>449960</v>
      </c>
      <c r="E12" s="20" t="n">
        <v>466960</v>
      </c>
      <c r="F12" s="20" t="n">
        <v>475735</v>
      </c>
      <c r="G12" s="20" t="n">
        <v>474435</v>
      </c>
      <c r="H12" s="19" t="n">
        <v>286949</v>
      </c>
      <c r="I12" s="20" t="n">
        <v>333103</v>
      </c>
      <c r="J12" s="20" t="n">
        <v>378535</v>
      </c>
      <c r="K12" s="20" t="n">
        <v>417636</v>
      </c>
      <c r="L12" s="20" t="n">
        <v>466960</v>
      </c>
    </row>
    <row r="13">
      <c r="A13" s="18" t="inlineStr">
        <is>
          <t>무형자산</t>
        </is>
      </c>
      <c r="B13" s="10" t="n"/>
      <c r="C13" s="19" t="n">
        <v>16194</v>
      </c>
      <c r="D13" s="20" t="n">
        <v>16605</v>
      </c>
      <c r="E13" s="20" t="n">
        <v>16942</v>
      </c>
      <c r="F13" s="20" t="n">
        <v>16731</v>
      </c>
      <c r="G13" s="20" t="n">
        <v>17728</v>
      </c>
      <c r="H13" s="19" t="n">
        <v>13707</v>
      </c>
      <c r="I13" s="20" t="n">
        <v>21469</v>
      </c>
      <c r="J13" s="20" t="n">
        <v>20674</v>
      </c>
      <c r="K13" s="20" t="n">
        <v>17026</v>
      </c>
      <c r="L13" s="20" t="n">
        <v>16942</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1326861</v>
      </c>
      <c r="D16" s="12" t="n">
        <v>1377793</v>
      </c>
      <c r="E16" s="12" t="n">
        <v>1441757</v>
      </c>
      <c r="F16" s="12" t="n">
        <v>1442604</v>
      </c>
      <c r="G16" s="12" t="n">
        <v>1459122</v>
      </c>
      <c r="H16" s="11" t="n">
        <v>1094469</v>
      </c>
      <c r="I16" s="12" t="n">
        <v>1153647</v>
      </c>
      <c r="J16" s="12" t="n">
        <v>1251087</v>
      </c>
      <c r="K16" s="12" t="n">
        <v>1321920</v>
      </c>
      <c r="L16" s="12" t="n">
        <v>1441757</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221695</v>
      </c>
      <c r="D18" s="12" t="n">
        <v>214262</v>
      </c>
      <c r="E18" s="12" t="n">
        <v>225970</v>
      </c>
      <c r="F18" s="12" t="n">
        <v>225997</v>
      </c>
      <c r="G18" s="12" t="n">
        <v>236506</v>
      </c>
      <c r="H18" s="11" t="n">
        <v>208489</v>
      </c>
      <c r="I18" s="12" t="n">
        <v>188248</v>
      </c>
      <c r="J18" s="12" t="n">
        <v>206856</v>
      </c>
      <c r="K18" s="12" t="n">
        <v>221735</v>
      </c>
      <c r="L18" s="12" t="n">
        <v>225970</v>
      </c>
    </row>
    <row r="19">
      <c r="A19" s="18" t="inlineStr">
        <is>
          <t>매입채무</t>
        </is>
      </c>
      <c r="B19" s="10" t="n"/>
      <c r="C19" s="19" t="n"/>
      <c r="D19" s="20" t="n"/>
      <c r="E19" s="20" t="n"/>
      <c r="F19" s="20" t="n"/>
      <c r="G19" s="20" t="n"/>
      <c r="H19" s="19" t="n"/>
      <c r="I19" s="20" t="n"/>
      <c r="J19" s="20" t="n"/>
      <c r="K19" s="20" t="n"/>
      <c r="L19" s="20" t="n"/>
    </row>
    <row r="20">
      <c r="A20" s="18" t="inlineStr">
        <is>
          <t>단기차입금</t>
        </is>
      </c>
      <c r="B20" s="10" t="n"/>
      <c r="C20" s="19" t="n"/>
      <c r="D20" s="20" t="n"/>
      <c r="E20" s="20" t="n"/>
      <c r="F20" s="20" t="n"/>
      <c r="G20" s="20" t="n"/>
      <c r="H20" s="19" t="n"/>
      <c r="I20" s="20" t="n"/>
      <c r="J20" s="20" t="n"/>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56073</v>
      </c>
      <c r="D23" s="12" t="n">
        <v>58857</v>
      </c>
      <c r="E23" s="12" t="n">
        <v>66683</v>
      </c>
      <c r="F23" s="12" t="n">
        <v>68374</v>
      </c>
      <c r="G23" s="12" t="n">
        <v>70902</v>
      </c>
      <c r="H23" s="11" t="n">
        <v>63873</v>
      </c>
      <c r="I23" s="12" t="n">
        <v>62204</v>
      </c>
      <c r="J23" s="12" t="n">
        <v>59182</v>
      </c>
      <c r="K23" s="12" t="n">
        <v>55070</v>
      </c>
      <c r="L23" s="12" t="n">
        <v>66683</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c r="D25" s="20" t="n"/>
      <c r="E25" s="20" t="n"/>
      <c r="F25" s="20" t="n"/>
      <c r="G25" s="20" t="n"/>
      <c r="H25" s="19" t="n"/>
      <c r="I25" s="20" t="n"/>
      <c r="J25" s="20" t="n"/>
      <c r="K25" s="20" t="n"/>
      <c r="L25" s="20" t="n"/>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277768</v>
      </c>
      <c r="D27" s="12" t="n">
        <v>273120</v>
      </c>
      <c r="E27" s="12" t="n">
        <v>292653</v>
      </c>
      <c r="F27" s="12" t="n">
        <v>294371</v>
      </c>
      <c r="G27" s="12" t="n">
        <v>307409</v>
      </c>
      <c r="H27" s="11" t="n">
        <v>272363</v>
      </c>
      <c r="I27" s="12" t="n">
        <v>250452</v>
      </c>
      <c r="J27" s="12" t="n">
        <v>266038</v>
      </c>
      <c r="K27" s="12" t="n">
        <v>276806</v>
      </c>
      <c r="L27" s="12" t="n">
        <v>292653</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1048051</v>
      </c>
      <c r="D31" s="12" t="n">
        <v>1103623</v>
      </c>
      <c r="E31" s="12" t="n">
        <v>1148027</v>
      </c>
      <c r="F31" s="12" t="n">
        <v>1147147</v>
      </c>
      <c r="G31" s="12" t="n">
        <v>1150613</v>
      </c>
      <c r="H31" s="11" t="n">
        <v>821192</v>
      </c>
      <c r="I31" s="12" t="n">
        <v>902211</v>
      </c>
      <c r="J31" s="12" t="n">
        <v>984020</v>
      </c>
      <c r="K31" s="12" t="n">
        <v>1044083</v>
      </c>
      <c r="L31" s="12" t="n">
        <v>1148027</v>
      </c>
    </row>
    <row r="32">
      <c r="A32" s="18" t="inlineStr">
        <is>
          <t>자본금</t>
        </is>
      </c>
      <c r="B32" s="10" t="n"/>
      <c r="C32" s="19" t="n">
        <v>26783</v>
      </c>
      <c r="D32" s="20" t="n">
        <v>26783</v>
      </c>
      <c r="E32" s="20" t="n">
        <v>26783</v>
      </c>
      <c r="F32" s="20" t="n">
        <v>26783</v>
      </c>
      <c r="G32" s="20" t="n">
        <v>26783</v>
      </c>
      <c r="H32" s="19" t="n">
        <v>26783</v>
      </c>
      <c r="I32" s="20" t="n">
        <v>26783</v>
      </c>
      <c r="J32" s="20" t="n">
        <v>26783</v>
      </c>
      <c r="K32" s="20" t="n">
        <v>26783</v>
      </c>
      <c r="L32" s="20" t="n">
        <v>26783</v>
      </c>
    </row>
    <row r="33">
      <c r="A33" s="18" t="inlineStr">
        <is>
          <t>이익잉여금</t>
        </is>
      </c>
      <c r="B33" s="10" t="n"/>
      <c r="C33" s="19" t="n">
        <v>939508</v>
      </c>
      <c r="D33" s="20" t="n">
        <v>878264</v>
      </c>
      <c r="E33" s="20" t="n">
        <v>912008</v>
      </c>
      <c r="F33" s="20" t="n">
        <v>925670</v>
      </c>
      <c r="G33" s="20" t="n">
        <v>968300</v>
      </c>
      <c r="H33" s="19" t="n">
        <v>705910</v>
      </c>
      <c r="I33" s="20" t="n">
        <v>786269</v>
      </c>
      <c r="J33" s="20" t="n">
        <v>808062</v>
      </c>
      <c r="K33" s="20" t="n">
        <v>890040</v>
      </c>
      <c r="L33" s="20" t="n">
        <v>912008</v>
      </c>
    </row>
    <row r="34">
      <c r="A34" s="18" t="inlineStr">
        <is>
          <t>비지배지분</t>
        </is>
      </c>
      <c r="B34" s="10" t="n"/>
      <c r="C34" s="19" t="n">
        <v>1041</v>
      </c>
      <c r="D34" s="20" t="n">
        <v>1049</v>
      </c>
      <c r="E34" s="20" t="n">
        <v>1075</v>
      </c>
      <c r="F34" s="20" t="n">
        <v>1084</v>
      </c>
      <c r="G34" s="20" t="n">
        <v>1099</v>
      </c>
      <c r="H34" s="19" t="n">
        <v>913</v>
      </c>
      <c r="I34" s="20" t="n">
        <v>983</v>
      </c>
      <c r="J34" s="20" t="n">
        <v>1028</v>
      </c>
      <c r="K34" s="20" t="n">
        <v>1031</v>
      </c>
      <c r="L34" s="20" t="n">
        <v>1075</v>
      </c>
    </row>
    <row r="35">
      <c r="A35" s="9" t="inlineStr">
        <is>
          <t>자본총계</t>
        </is>
      </c>
      <c r="B35" s="10" t="n"/>
      <c r="C35" s="11" t="n">
        <v>1049092</v>
      </c>
      <c r="D35" s="12" t="n">
        <v>1104672</v>
      </c>
      <c r="E35" s="12" t="n">
        <v>1149103</v>
      </c>
      <c r="F35" s="12" t="n">
        <v>1148232</v>
      </c>
      <c r="G35" s="12" t="n">
        <v>1151713</v>
      </c>
      <c r="H35" s="11" t="n">
        <v>822105</v>
      </c>
      <c r="I35" s="12" t="n">
        <v>903194</v>
      </c>
      <c r="J35" s="12" t="n">
        <v>985048</v>
      </c>
      <c r="K35" s="12" t="n">
        <v>1045114</v>
      </c>
      <c r="L35" s="12" t="n">
        <v>1149103</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186421</v>
      </c>
      <c r="D37" s="12" t="n">
        <v>192921</v>
      </c>
      <c r="E37" s="12" t="n">
        <v>192183</v>
      </c>
      <c r="F37" s="12" t="n">
        <v>196956</v>
      </c>
      <c r="G37" s="12" t="n">
        <v>226027</v>
      </c>
      <c r="H37" s="11" t="n">
        <v>144489</v>
      </c>
      <c r="I37" s="12" t="n">
        <v>181702</v>
      </c>
      <c r="J37" s="12" t="n">
        <v>155521</v>
      </c>
      <c r="K37" s="12" t="n">
        <v>217908</v>
      </c>
      <c r="L37" s="12" t="n">
        <v>192183</v>
      </c>
    </row>
    <row r="38">
      <c r="A38" s="18" t="inlineStr">
        <is>
          <t>CAPEX (유·무형 취득)</t>
        </is>
      </c>
      <c r="B38" s="10" t="inlineStr">
        <is>
          <t>양수로 입력</t>
        </is>
      </c>
      <c r="C38" s="19" t="n"/>
      <c r="D38" s="20" t="n"/>
      <c r="E38" s="20" t="n"/>
      <c r="F38" s="20" t="n"/>
      <c r="G38" s="20" t="n"/>
      <c r="H38" s="19" t="n"/>
      <c r="I38" s="20" t="n"/>
      <c r="J38" s="20" t="n"/>
      <c r="K38" s="20" t="n"/>
      <c r="L38" s="20" t="n"/>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39110</v>
      </c>
      <c r="D40" s="20" t="n">
        <v>39667</v>
      </c>
      <c r="E40" s="20" t="n">
        <v>39667</v>
      </c>
      <c r="F40" s="20" t="n">
        <v>40418</v>
      </c>
      <c r="G40" s="20" t="n">
        <v>40418</v>
      </c>
      <c r="H40" s="19" t="n">
        <v>31076</v>
      </c>
      <c r="I40" s="20" t="n">
        <v>34046</v>
      </c>
      <c r="J40" s="20" t="n">
        <v>36041</v>
      </c>
      <c r="K40" s="20" t="n">
        <v>38040</v>
      </c>
      <c r="L40" s="20" t="n">
        <v>39667</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IFERROR((IF(COUNT('연간'!G28:J28)&lt;4,"",SUM('연간'!G28:J28)))/(IF(COUNT('연간'!G50:J50)&lt;4,"",SUM('연간'!G50:J50))),"")</f>
        <v/>
      </c>
      <c r="D48" s="31">
        <f>IFERROR((IF(COUNT('연간'!H28:K28)&lt;4,"",SUM('연간'!H28:K28)))/(IF(COUNT('연간'!H50:K50)&lt;4,"",SUM('연간'!H50:K50))),"")</f>
        <v/>
      </c>
      <c r="E48" s="31">
        <f>IFERROR((IF(COUNT('연간'!I28:L28)&lt;4,"",SUM('연간'!I28:L28)))/(IF(COUNT('연간'!I50:L50)&lt;4,"",SUM('연간'!I50:L50))),"")</f>
        <v/>
      </c>
      <c r="F48" s="31">
        <f>IFERROR((IF(COUNT('연간'!J28:M28)&lt;4,"",SUM('연간'!J28:M28)))/(IF(COUNT('연간'!J50:M50)&lt;4,"",SUM('연간'!J50:M50))),"")</f>
        <v/>
      </c>
      <c r="G48" s="31">
        <f>IFERROR((IF(COUNT('연간'!K28:N28)&lt;4,"",SUM('연간'!K28:N28)))/(IF(COUNT('연간'!K50:N50)&lt;4,"",SUM('연간'!K50:N50))),"")</f>
        <v/>
      </c>
      <c r="H48" s="30">
        <f>IFERROR(('연간'!T28)/('연간'!T50),"")</f>
        <v/>
      </c>
      <c r="I48" s="31">
        <f>IFERROR(('연간'!U28)/('연간'!U50),"")</f>
        <v/>
      </c>
      <c r="J48" s="31">
        <f>IFERROR(('연간'!V28)/('연간'!V50),"")</f>
        <v/>
      </c>
      <c r="K48" s="31">
        <f>IFERROR(('연간'!W28)/('연간'!W50),"")</f>
        <v/>
      </c>
      <c r="L48" s="31">
        <f>IFERROR(('연간'!X28)/('연간'!X50),"")</f>
        <v/>
      </c>
    </row>
    <row r="49">
      <c r="A49" s="45" t="inlineStr">
        <is>
          <t>차입금 상환연수</t>
        </is>
      </c>
      <c r="B49" s="10" t="inlineStr">
        <is>
          <t>4년↓ (버핏)</t>
        </is>
      </c>
      <c r="C49" s="46">
        <f>IFERROR(IF((IF(COUNT('연간'!G58:J58)&lt;4,"",SUM('연간'!G58:J58)))&lt;=0,"적자",C28/(IF(COUNT('연간'!G58:J58)&lt;4,"",SUM('연간'!G58:J58)))),"")</f>
        <v/>
      </c>
      <c r="D49" s="47">
        <f>IFERROR(IF((IF(COUNT('연간'!H58:K58)&lt;4,"",SUM('연간'!H58:K58)))&lt;=0,"적자",D28/(IF(COUNT('연간'!H58:K58)&lt;4,"",SUM('연간'!H58:K58)))),"")</f>
        <v/>
      </c>
      <c r="E49" s="47">
        <f>IFERROR(IF((IF(COUNT('연간'!I58:L58)&lt;4,"",SUM('연간'!I58:L58)))&lt;=0,"적자",E28/(IF(COUNT('연간'!I58:L58)&lt;4,"",SUM('연간'!I58:L58)))),"")</f>
        <v/>
      </c>
      <c r="F49" s="47">
        <f>IFERROR(IF((IF(COUNT('연간'!J58:M58)&lt;4,"",SUM('연간'!J58:M58)))&lt;=0,"적자",F28/(IF(COUNT('연간'!J58:M58)&lt;4,"",SUM('연간'!J58:M58)))),"")</f>
        <v/>
      </c>
      <c r="G49" s="47">
        <f>IFERROR(IF((IF(COUNT('연간'!K58:N58)&lt;4,"",SUM('연간'!K58:N58)))&lt;=0,"적자",G28/(IF(COUNT('연간'!K58:N58)&lt;4,"",SUM('연간'!K58:N58)))),"")</f>
        <v/>
      </c>
      <c r="H49" s="46">
        <f>IFERROR(IF(('연간'!T58)&lt;=0,"적자",H28/('연간'!T58)),"")</f>
        <v/>
      </c>
      <c r="I49" s="47">
        <f>IFERROR(IF(('연간'!U58)&lt;=0,"적자",I28/('연간'!U58)),"")</f>
        <v/>
      </c>
      <c r="J49" s="47">
        <f>IFERROR(IF(('연간'!V58)&lt;=0,"적자",J28/('연간'!V58)),"")</f>
        <v/>
      </c>
      <c r="K49" s="47">
        <f>IFERROR(IF(('연간'!W58)&lt;=0,"적자",K28/('연간'!W58)),"")</f>
        <v/>
      </c>
      <c r="L49" s="47">
        <f>IFERROR(IF(('연간'!X58)&lt;=0,"적자",L28/('연간'!X58)),"")</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IFERROR((IF(COUNT('연간'!G58:J58)&lt;4,"",SUM('연간'!G58:J58)))/C31,"")</f>
        <v/>
      </c>
      <c r="D51" s="36">
        <f>IFERROR((IF(COUNT('연간'!H58:K58)&lt;4,"",SUM('연간'!H58:K58)))/D31,"")</f>
        <v/>
      </c>
      <c r="E51" s="36">
        <f>IFERROR((IF(COUNT('연간'!I58:L58)&lt;4,"",SUM('연간'!I58:L58)))/E31,"")</f>
        <v/>
      </c>
      <c r="F51" s="36">
        <f>IFERROR((IF(COUNT('연간'!J58:M58)&lt;4,"",SUM('연간'!J58:M58)))/F31,"")</f>
        <v/>
      </c>
      <c r="G51" s="36">
        <f>IFERROR((IF(COUNT('연간'!K58:N58)&lt;4,"",SUM('연간'!K58:N58)))/G31,"")</f>
        <v/>
      </c>
      <c r="H51" s="35">
        <f>IFERROR(('연간'!T58)/H31,"")</f>
        <v/>
      </c>
      <c r="I51" s="36">
        <f>IFERROR(('연간'!U58)/I31,"")</f>
        <v/>
      </c>
      <c r="J51" s="36">
        <f>IFERROR(('연간'!V58)/J31,"")</f>
        <v/>
      </c>
      <c r="K51" s="36">
        <f>IFERROR(('연간'!W58)/K31,"")</f>
        <v/>
      </c>
      <c r="L51" s="36">
        <f>IFERROR(('연간'!X58)/L31,"")</f>
        <v/>
      </c>
    </row>
    <row r="52">
      <c r="A52" s="45" t="inlineStr">
        <is>
          <t>ROA</t>
        </is>
      </c>
      <c r="B52" s="10" t="inlineStr">
        <is>
          <t>5%↑</t>
        </is>
      </c>
      <c r="C52" s="35">
        <f>IFERROR((IF(COUNT('연간'!G56:J56)&lt;4,"",SUM('연간'!G56:J56)))/C16,"")</f>
        <v/>
      </c>
      <c r="D52" s="36">
        <f>IFERROR((IF(COUNT('연간'!H56:K56)&lt;4,"",SUM('연간'!H56:K56)))/D16,"")</f>
        <v/>
      </c>
      <c r="E52" s="36">
        <f>IFERROR((IF(COUNT('연간'!I56:L56)&lt;4,"",SUM('연간'!I56:L56)))/E16,"")</f>
        <v/>
      </c>
      <c r="F52" s="36">
        <f>IFERROR((IF(COUNT('연간'!J56:M56)&lt;4,"",SUM('연간'!J56:M56)))/F16,"")</f>
        <v/>
      </c>
      <c r="G52" s="36">
        <f>IFERROR((IF(COUNT('연간'!K56:N56)&lt;4,"",SUM('연간'!K56:N56)))/G16,"")</f>
        <v/>
      </c>
      <c r="H52" s="35">
        <f>IFERROR(('연간'!T56)/H16,"")</f>
        <v/>
      </c>
      <c r="I52" s="36">
        <f>IFERROR(('연간'!U56)/I16,"")</f>
        <v/>
      </c>
      <c r="J52" s="36">
        <f>IFERROR(('연간'!V56)/J16,"")</f>
        <v/>
      </c>
      <c r="K52" s="36">
        <f>IFERROR(('연간'!W56)/K16,"")</f>
        <v/>
      </c>
      <c r="L52" s="36">
        <f>IFERROR(('연간'!X56)/L16,"")</f>
        <v/>
      </c>
    </row>
    <row r="53">
      <c r="A53" s="45" t="inlineStr">
        <is>
          <t>ROIC</t>
        </is>
      </c>
      <c r="B53" s="10" t="inlineStr">
        <is>
          <t>10%↑ (세후영업이익 기준)</t>
        </is>
      </c>
      <c r="C53" s="35">
        <f>IFERROR((IF(COUNT('연간'!G28:J28)&lt;4,"",SUM('연간'!G28:J28)))*(1-0.3)/(C35+C29),"")</f>
        <v/>
      </c>
      <c r="D53" s="36">
        <f>IFERROR((IF(COUNT('연간'!H28:K28)&lt;4,"",SUM('연간'!H28:K28)))*(1-0.3)/(D35+D29),"")</f>
        <v/>
      </c>
      <c r="E53" s="36">
        <f>IFERROR((IF(COUNT('연간'!I28:L28)&lt;4,"",SUM('연간'!I28:L28)))*(1-0.3)/(E35+E29),"")</f>
        <v/>
      </c>
      <c r="F53" s="36">
        <f>IFERROR((IF(COUNT('연간'!J28:M28)&lt;4,"",SUM('연간'!J28:M28)))*(1-0.3)/(F35+F29),"")</f>
        <v/>
      </c>
      <c r="G53" s="36">
        <f>IFERROR((IF(COUNT('연간'!K28:N28)&lt;4,"",SUM('연간'!K28:N28)))*(1-0.3)/(G35+G29),"")</f>
        <v/>
      </c>
      <c r="H53" s="35">
        <f>IFERROR(('연간'!T28)*(1-0.3)/(H35+H29),"")</f>
        <v/>
      </c>
      <c r="I53" s="36">
        <f>IFERROR(('연간'!U28)*(1-0.3)/(I35+I29),"")</f>
        <v/>
      </c>
      <c r="J53" s="36">
        <f>IFERROR(('연간'!V28)*(1-0.3)/(J35+J29),"")</f>
        <v/>
      </c>
      <c r="K53" s="36">
        <f>IFERROR(('연간'!W28)*(1-0.3)/(K35+K29),"")</f>
        <v/>
      </c>
      <c r="L53" s="36">
        <f>IFERROR(('연간'!X28)*(1-0.3)/(L35+L29),"")</f>
        <v/>
      </c>
    </row>
    <row r="54">
      <c r="A54" s="45" t="inlineStr">
        <is>
          <t>매출총이익률 (GPM)</t>
        </is>
      </c>
      <c r="B54" s="10" t="inlineStr">
        <is>
          <t>40%↑ (해자 신호)</t>
        </is>
      </c>
      <c r="C54" s="35">
        <f>IFERROR((IF(COUNT('연간'!G22:J22)&lt;4,"",SUM('연간'!G22:J22)))/(IF(COUNT('연간'!G4:J4)&lt;4,"",SUM('연간'!G4:J4))),"")</f>
        <v/>
      </c>
      <c r="D54" s="36">
        <f>IFERROR((IF(COUNT('연간'!H22:K22)&lt;4,"",SUM('연간'!H22:K22)))/(IF(COUNT('연간'!H4:K4)&lt;4,"",SUM('연간'!H4:K4))),"")</f>
        <v/>
      </c>
      <c r="E54" s="36">
        <f>IFERROR((IF(COUNT('연간'!I22:L22)&lt;4,"",SUM('연간'!I22:L22)))/(IF(COUNT('연간'!I4:L4)&lt;4,"",SUM('연간'!I4:L4))),"")</f>
        <v/>
      </c>
      <c r="F54" s="36">
        <f>IFERROR((IF(COUNT('연간'!J22:M22)&lt;4,"",SUM('연간'!J22:M22)))/(IF(COUNT('연간'!J4:M4)&lt;4,"",SUM('연간'!J4:M4))),"")</f>
        <v/>
      </c>
      <c r="G54" s="36">
        <f>IFERROR((IF(COUNT('연간'!K22:N22)&lt;4,"",SUM('연간'!K22:N22)))/(IF(COUNT('연간'!K4:N4)&lt;4,"",SUM('연간'!K4:N4))),"")</f>
        <v/>
      </c>
      <c r="H54" s="35">
        <f>IFERROR(('연간'!T22)/('연간'!T4),"")</f>
        <v/>
      </c>
      <c r="I54" s="36">
        <f>IFERROR(('연간'!U22)/('연간'!U4),"")</f>
        <v/>
      </c>
      <c r="J54" s="36">
        <f>IFERROR(('연간'!V22)/('연간'!V4),"")</f>
        <v/>
      </c>
      <c r="K54" s="36">
        <f>IFERROR(('연간'!W22)/('연간'!W4),"")</f>
        <v/>
      </c>
      <c r="L54" s="36">
        <f>IFERROR(('연간'!X22)/('연간'!X4),"")</f>
        <v/>
      </c>
    </row>
    <row r="55">
      <c r="A55" s="45" t="inlineStr">
        <is>
          <t>영업이익률 (OPM)</t>
        </is>
      </c>
      <c r="B55" s="10" t="inlineStr">
        <is>
          <t>15%↑</t>
        </is>
      </c>
      <c r="C55" s="35">
        <f>IFERROR((IF(COUNT('연간'!G28:J28)&lt;4,"",SUM('연간'!G28:J28)))/(IF(COUNT('연간'!G4:J4)&lt;4,"",SUM('연간'!G4:J4))),"")</f>
        <v/>
      </c>
      <c r="D55" s="36">
        <f>IFERROR((IF(COUNT('연간'!H28:K28)&lt;4,"",SUM('연간'!H28:K28)))/(IF(COUNT('연간'!H4:K4)&lt;4,"",SUM('연간'!H4:K4))),"")</f>
        <v/>
      </c>
      <c r="E55" s="36">
        <f>IFERROR((IF(COUNT('연간'!I28:L28)&lt;4,"",SUM('연간'!I28:L28)))/(IF(COUNT('연간'!I4:L4)&lt;4,"",SUM('연간'!I4:L4))),"")</f>
        <v/>
      </c>
      <c r="F55" s="36">
        <f>IFERROR((IF(COUNT('연간'!J28:M28)&lt;4,"",SUM('연간'!J28:M28)))/(IF(COUNT('연간'!J4:M4)&lt;4,"",SUM('연간'!J4:M4))),"")</f>
        <v/>
      </c>
      <c r="G55" s="36">
        <f>IFERROR((IF(COUNT('연간'!K28:N28)&lt;4,"",SUM('연간'!K28:N28)))/(IF(COUNT('연간'!K4:N4)&lt;4,"",SUM('연간'!K4:N4))),"")</f>
        <v/>
      </c>
      <c r="H55" s="35">
        <f>IFERROR(('연간'!T28)/('연간'!T4),"")</f>
        <v/>
      </c>
      <c r="I55" s="36">
        <f>IFERROR(('연간'!U28)/('연간'!U4),"")</f>
        <v/>
      </c>
      <c r="J55" s="36">
        <f>IFERROR(('연간'!V28)/('연간'!V4),"")</f>
        <v/>
      </c>
      <c r="K55" s="36">
        <f>IFERROR(('연간'!W28)/('연간'!W4),"")</f>
        <v/>
      </c>
      <c r="L55" s="36">
        <f>IFERROR(('연간'!X28)/('연간'!X4),"")</f>
        <v/>
      </c>
    </row>
    <row r="56">
      <c r="A56" s="45" t="inlineStr">
        <is>
          <t>순이익률</t>
        </is>
      </c>
      <c r="B56" s="10" t="inlineStr">
        <is>
          <t>10%↑</t>
        </is>
      </c>
      <c r="C56" s="35">
        <f>IFERROR((IF(COUNT('연간'!G56:J56)&lt;4,"",SUM('연간'!G56:J56)))/(IF(COUNT('연간'!G4:J4)&lt;4,"",SUM('연간'!G4:J4))),"")</f>
        <v/>
      </c>
      <c r="D56" s="36">
        <f>IFERROR((IF(COUNT('연간'!H56:K56)&lt;4,"",SUM('연간'!H56:K56)))/(IF(COUNT('연간'!H4:K4)&lt;4,"",SUM('연간'!H4:K4))),"")</f>
        <v/>
      </c>
      <c r="E56" s="36">
        <f>IFERROR((IF(COUNT('연간'!I56:L56)&lt;4,"",SUM('연간'!I56:L56)))/(IF(COUNT('연간'!I4:L4)&lt;4,"",SUM('연간'!I4:L4))),"")</f>
        <v/>
      </c>
      <c r="F56" s="36">
        <f>IFERROR((IF(COUNT('연간'!J56:M56)&lt;4,"",SUM('연간'!J56:M56)))/(IF(COUNT('연간'!J4:M4)&lt;4,"",SUM('연간'!J4:M4))),"")</f>
        <v/>
      </c>
      <c r="G56" s="36">
        <f>IFERROR((IF(COUNT('연간'!K56:N56)&lt;4,"",SUM('연간'!K56:N56)))/(IF(COUNT('연간'!K4:N4)&lt;4,"",SUM('연간'!K4:N4))),"")</f>
        <v/>
      </c>
      <c r="H56" s="35">
        <f>IFERROR(('연간'!T56)/('연간'!T4),"")</f>
        <v/>
      </c>
      <c r="I56" s="36">
        <f>IFERROR(('연간'!U56)/('연간'!U4),"")</f>
        <v/>
      </c>
      <c r="J56" s="36">
        <f>IFERROR(('연간'!V56)/('연간'!V4),"")</f>
        <v/>
      </c>
      <c r="K56" s="36">
        <f>IFERROR(('연간'!W56)/('연간'!W4),"")</f>
        <v/>
      </c>
      <c r="L56" s="36">
        <f>IFERROR(('연간'!X56)/('연간'!X4),"")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IFERROR(C9/(IF(COUNT('연간'!G20:J20)&lt;4,"",SUM('연간'!G20:J20)))*365,"")</f>
        <v/>
      </c>
      <c r="D60" s="49">
        <f>IFERROR(D9/(IF(COUNT('연간'!H20:K20)&lt;4,"",SUM('연간'!H20:K20)))*365,"")</f>
        <v/>
      </c>
      <c r="E60" s="49">
        <f>IFERROR(E9/(IF(COUNT('연간'!I20:L20)&lt;4,"",SUM('연간'!I20:L20)))*365,"")</f>
        <v/>
      </c>
      <c r="F60" s="49">
        <f>IFERROR(F9/(IF(COUNT('연간'!J20:M20)&lt;4,"",SUM('연간'!J20:M20)))*365,"")</f>
        <v/>
      </c>
      <c r="G60" s="49">
        <f>IFERROR(G9/(IF(COUNT('연간'!K20:N20)&lt;4,"",SUM('연간'!K20:N20)))*365,"")</f>
        <v/>
      </c>
      <c r="H60" s="48">
        <f>IFERROR(H9/('연간'!T20)*365,"")</f>
        <v/>
      </c>
      <c r="I60" s="49">
        <f>IFERROR(I9/('연간'!U20)*365,"")</f>
        <v/>
      </c>
      <c r="J60" s="49">
        <f>IFERROR(J9/('연간'!V20)*365,"")</f>
        <v/>
      </c>
      <c r="K60" s="49">
        <f>IFERROR(K9/('연간'!W20)*365,"")</f>
        <v/>
      </c>
      <c r="L60" s="49">
        <f>IFERROR(L9/('연간'!X20)*365,"")</f>
        <v/>
      </c>
    </row>
    <row r="61">
      <c r="A61" s="45" t="inlineStr">
        <is>
          <t>매입채무회전일수</t>
        </is>
      </c>
      <c r="B61" s="10" t="inlineStr">
        <is>
          <t>길수록 유리</t>
        </is>
      </c>
      <c r="C61" s="48">
        <f>IFERROR(C19/(IF(COUNT('연간'!G20:J20)&lt;4,"",SUM('연간'!G20:J20)))*365,"")</f>
        <v/>
      </c>
      <c r="D61" s="49">
        <f>IFERROR(D19/(IF(COUNT('연간'!H20:K20)&lt;4,"",SUM('연간'!H20:K20)))*365,"")</f>
        <v/>
      </c>
      <c r="E61" s="49">
        <f>IFERROR(E19/(IF(COUNT('연간'!I20:L20)&lt;4,"",SUM('연간'!I20:L20)))*365,"")</f>
        <v/>
      </c>
      <c r="F61" s="49">
        <f>IFERROR(F19/(IF(COUNT('연간'!J20:M20)&lt;4,"",SUM('연간'!J20:M20)))*365,"")</f>
        <v/>
      </c>
      <c r="G61" s="49">
        <f>IFERROR(G19/(IF(COUNT('연간'!K20:N20)&lt;4,"",SUM('연간'!K20:N20)))*365,"")</f>
        <v/>
      </c>
      <c r="H61" s="48">
        <f>IFERROR(H19/('연간'!T20)*365,"")</f>
        <v/>
      </c>
      <c r="I61" s="49">
        <f>IFERROR(I19/('연간'!U20)*365,"")</f>
        <v/>
      </c>
      <c r="J61" s="49">
        <f>IFERROR(J19/('연간'!V20)*365,"")</f>
        <v/>
      </c>
      <c r="K61" s="49">
        <f>IFERROR(K19/('연간'!W20)*365,"")</f>
        <v/>
      </c>
      <c r="L61" s="49">
        <f>IFERROR(L19/('연간'!X20)*365,"")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IF(C37="","",IFERROR(C37/(IF(COUNT('연간'!G56:J56)&lt;4,"",SUM('연간'!G56:J56))),""))</f>
        <v/>
      </c>
      <c r="D64" s="31">
        <f>IF(D37="","",IFERROR(D37/(IF(COUNT('연간'!H56:K56)&lt;4,"",SUM('연간'!H56:K56))),""))</f>
        <v/>
      </c>
      <c r="E64" s="31">
        <f>IF(E37="","",IFERROR(E37/(IF(COUNT('연간'!I56:L56)&lt;4,"",SUM('연간'!I56:L56))),""))</f>
        <v/>
      </c>
      <c r="F64" s="31">
        <f>IF(F37="","",IFERROR(F37/(IF(COUNT('연간'!J56:M56)&lt;4,"",SUM('연간'!J56:M56))),""))</f>
        <v/>
      </c>
      <c r="G64" s="31">
        <f>IF(G37="","",IFERROR(G37/(IF(COUNT('연간'!K56:N56)&lt;4,"",SUM('연간'!K56:N56))),""))</f>
        <v/>
      </c>
      <c r="H64" s="30">
        <f>IF(H37="","",IFERROR(H37/('연간'!T56),""))</f>
        <v/>
      </c>
      <c r="I64" s="31">
        <f>IF(I37="","",IFERROR(I37/('연간'!U56),""))</f>
        <v/>
      </c>
      <c r="J64" s="31">
        <f>IF(J37="","",IFERROR(J37/('연간'!V56),""))</f>
        <v/>
      </c>
      <c r="K64" s="31">
        <f>IF(K37="","",IFERROR(K37/('연간'!W56),""))</f>
        <v/>
      </c>
      <c r="L64" s="31">
        <f>IF(L37="","",IFERROR(L37/('연간'!X56),""))</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IF(C40="","",IFERROR(C40/(IF(COUNT('연간'!G58:J58)&lt;4,"",SUM('연간'!G58:J58))),""))</f>
        <v/>
      </c>
      <c r="D67" s="36">
        <f>IF(D40="","",IFERROR(D40/(IF(COUNT('연간'!H58:K58)&lt;4,"",SUM('연간'!H58:K58))),""))</f>
        <v/>
      </c>
      <c r="E67" s="36">
        <f>IF(E40="","",IFERROR(E40/(IF(COUNT('연간'!I58:L58)&lt;4,"",SUM('연간'!I58:L58))),""))</f>
        <v/>
      </c>
      <c r="F67" s="36">
        <f>IF(F40="","",IFERROR(F40/(IF(COUNT('연간'!J58:M58)&lt;4,"",SUM('연간'!J58:M58))),""))</f>
        <v/>
      </c>
      <c r="G67" s="36">
        <f>IF(G40="","",IFERROR(G40/(IF(COUNT('연간'!K58:N58)&lt;4,"",SUM('연간'!K58:N58))),""))</f>
        <v/>
      </c>
      <c r="H67" s="35">
        <f>IF(H40="","",IFERROR(H40/('연간'!T58),""))</f>
        <v/>
      </c>
      <c r="I67" s="36">
        <f>IF(I40="","",IFERROR(I40/('연간'!U58),""))</f>
        <v/>
      </c>
      <c r="J67" s="36">
        <f>IF(J40="","",IFERROR(J40/('연간'!V58),""))</f>
        <v/>
      </c>
      <c r="K67" s="36">
        <f>IF(K40="","",IFERROR(K40/('연간'!W58),""))</f>
        <v/>
      </c>
      <c r="L67" s="36">
        <f>IF(L40="","",IFERROR(L40/('연간'!X58),""))</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2026.2Q</t>
        </is>
      </c>
      <c r="D70" s="5" t="inlineStr">
        <is>
          <t>2026.3Q</t>
        </is>
      </c>
      <c r="E70" s="5" t="inlineStr">
        <is>
          <t>2026.4Q</t>
        </is>
      </c>
      <c r="F70" s="5" t="inlineStr">
        <is>
          <t>2027.1Q</t>
        </is>
      </c>
      <c r="G70" s="5" t="inlineStr">
        <is>
          <t>2027.2Q</t>
        </is>
      </c>
      <c r="H70" s="5" t="inlineStr">
        <is>
          <t>2022</t>
        </is>
      </c>
      <c r="I70" s="5" t="inlineStr">
        <is>
          <t>2023</t>
        </is>
      </c>
      <c r="J70" s="5" t="inlineStr">
        <is>
          <t>2024</t>
        </is>
      </c>
      <c r="K70" s="5" t="inlineStr">
        <is>
          <t>2025</t>
        </is>
      </c>
      <c r="L70" s="5" t="inlineStr">
        <is>
          <t>2026</t>
        </is>
      </c>
    </row>
    <row r="71">
      <c r="A71" s="18" t="inlineStr">
        <is>
          <t>현금및현금성자산</t>
        </is>
      </c>
      <c r="C71" s="20" t="n">
        <v>303185</v>
      </c>
      <c r="D71" s="20" t="n">
        <v>322761</v>
      </c>
      <c r="E71" s="20" t="n">
        <v>359805</v>
      </c>
      <c r="F71" s="20" t="n">
        <v>299056</v>
      </c>
      <c r="G71" s="20" t="n">
        <v>332359</v>
      </c>
      <c r="H71" s="20" t="n">
        <v>362046</v>
      </c>
      <c r="I71" s="20" t="n">
        <v>329966</v>
      </c>
      <c r="J71" s="20" t="n">
        <v>342269</v>
      </c>
      <c r="K71" s="20" t="n">
        <v>363344</v>
      </c>
      <c r="L71" s="20" t="n">
        <v>359805</v>
      </c>
    </row>
    <row r="72">
      <c r="A72" s="18" t="inlineStr">
        <is>
          <t>매출채권 및 기타채권</t>
        </is>
      </c>
      <c r="C72" s="20" t="n">
        <v>236275</v>
      </c>
      <c r="D72" s="20" t="n">
        <v>236743</v>
      </c>
      <c r="E72" s="20" t="n">
        <v>231880</v>
      </c>
      <c r="F72" s="20" t="n">
        <v>252228</v>
      </c>
      <c r="G72" s="20" t="n">
        <v>251217</v>
      </c>
      <c r="H72" s="20" t="n">
        <v>206084</v>
      </c>
      <c r="I72" s="20" t="n">
        <v>178388</v>
      </c>
      <c r="J72" s="20" t="n">
        <v>209341</v>
      </c>
      <c r="K72" s="20" t="n">
        <v>210418</v>
      </c>
      <c r="L72" s="20" t="n">
        <v>231880</v>
      </c>
    </row>
    <row r="73">
      <c r="A73" s="18" t="inlineStr">
        <is>
          <t>재고자산</t>
        </is>
      </c>
      <c r="C73" s="20" t="n">
        <v>151711</v>
      </c>
      <c r="D73" s="20" t="n">
        <v>155593</v>
      </c>
      <c r="E73" s="20" t="n">
        <v>157870</v>
      </c>
      <c r="F73" s="20" t="n">
        <v>162965</v>
      </c>
      <c r="G73" s="20" t="n">
        <v>163274</v>
      </c>
      <c r="H73" s="20" t="n">
        <v>128318</v>
      </c>
      <c r="I73" s="20" t="n">
        <v>141101</v>
      </c>
      <c r="J73" s="20" t="n">
        <v>136804</v>
      </c>
      <c r="K73" s="20" t="n">
        <v>142932</v>
      </c>
      <c r="L73" s="20" t="n">
        <v>157870</v>
      </c>
    </row>
    <row r="74">
      <c r="A74" s="18" t="inlineStr">
        <is>
          <t>기타금융자산</t>
        </is>
      </c>
      <c r="C74" s="20" t="n">
        <v>10885</v>
      </c>
      <c r="D74" s="20" t="n">
        <v>16907</v>
      </c>
      <c r="E74" s="20" t="n">
        <v>19436</v>
      </c>
      <c r="F74" s="20" t="n">
        <v>27588</v>
      </c>
      <c r="G74" s="20" t="n">
        <v>26022</v>
      </c>
      <c r="H74" s="20" t="n">
        <v>4939</v>
      </c>
      <c r="I74" s="20" t="n">
        <v>2141</v>
      </c>
      <c r="J74" s="20" t="n">
        <v>5220</v>
      </c>
      <c r="K74" s="20" t="n">
        <v>7732</v>
      </c>
      <c r="L74" s="20" t="n">
        <v>19436</v>
      </c>
    </row>
    <row r="75">
      <c r="A75" s="18" t="inlineStr">
        <is>
          <t>기타유동자산</t>
        </is>
      </c>
      <c r="C75" s="20" t="n">
        <v>32002</v>
      </c>
      <c r="D75" s="20" t="n">
        <v>29997</v>
      </c>
      <c r="E75" s="20" t="n">
        <v>28301</v>
      </c>
      <c r="F75" s="20" t="n">
        <v>45268</v>
      </c>
      <c r="G75" s="20" t="n">
        <v>34259</v>
      </c>
      <c r="H75" s="20" t="n">
        <v>21349</v>
      </c>
      <c r="I75" s="20" t="n">
        <v>20358</v>
      </c>
      <c r="J75" s="20" t="n">
        <v>24321</v>
      </c>
      <c r="K75" s="20" t="n">
        <v>25781</v>
      </c>
      <c r="L75" s="20" t="n">
        <v>28301</v>
      </c>
    </row>
    <row r="76">
      <c r="A76" s="9" t="inlineStr">
        <is>
          <t>소계</t>
        </is>
      </c>
      <c r="H76" s="12" t="n">
        <v>722738</v>
      </c>
      <c r="I76" s="12" t="n">
        <v>671956</v>
      </c>
      <c r="J76" s="12" t="n">
        <v>717957</v>
      </c>
    </row>
    <row r="77">
      <c r="A77" s="18" t="inlineStr">
        <is>
          <t>매각예정 자산</t>
        </is>
      </c>
      <c r="H77" s="20" t="n">
        <v>0</v>
      </c>
      <c r="I77" s="20" t="n">
        <v>5232</v>
      </c>
      <c r="J77" s="20" t="n">
        <v>0</v>
      </c>
    </row>
    <row r="78">
      <c r="A78" s="9" t="inlineStr">
        <is>
          <t>유동자산 합계</t>
        </is>
      </c>
      <c r="C78" s="12" t="n">
        <v>734060</v>
      </c>
      <c r="D78" s="12" t="n">
        <v>762003</v>
      </c>
      <c r="E78" s="12" t="n">
        <v>797294</v>
      </c>
      <c r="F78" s="12" t="n">
        <v>787107</v>
      </c>
      <c r="G78" s="12" t="n">
        <v>807133</v>
      </c>
      <c r="H78" s="12" t="n">
        <v>722738</v>
      </c>
      <c r="I78" s="12" t="n">
        <v>677189</v>
      </c>
      <c r="J78" s="12" t="n">
        <v>717957</v>
      </c>
      <c r="K78" s="12" t="n">
        <v>750209</v>
      </c>
      <c r="L78" s="12" t="n">
        <v>797294</v>
      </c>
    </row>
    <row r="79">
      <c r="A79" s="18" t="inlineStr">
        <is>
          <t>유형자산</t>
        </is>
      </c>
      <c r="C79" s="20" t="n">
        <v>431938</v>
      </c>
      <c r="D79" s="20" t="n">
        <v>449960</v>
      </c>
      <c r="E79" s="20" t="n">
        <v>466960</v>
      </c>
      <c r="F79" s="20" t="n">
        <v>475735</v>
      </c>
      <c r="G79" s="20" t="n">
        <v>474435</v>
      </c>
      <c r="H79" s="20" t="n">
        <v>286949</v>
      </c>
      <c r="I79" s="20" t="n">
        <v>333103</v>
      </c>
      <c r="J79" s="20" t="n">
        <v>378535</v>
      </c>
      <c r="K79" s="20" t="n">
        <v>417636</v>
      </c>
      <c r="L79" s="20" t="n">
        <v>466960</v>
      </c>
    </row>
    <row r="80">
      <c r="A80" s="18" t="inlineStr">
        <is>
          <t>사용권자산</t>
        </is>
      </c>
      <c r="C80" s="20" t="n">
        <v>18156</v>
      </c>
      <c r="D80" s="20" t="n">
        <v>17267</v>
      </c>
      <c r="E80" s="20" t="n">
        <v>20608</v>
      </c>
      <c r="F80" s="20" t="n">
        <v>20880</v>
      </c>
      <c r="G80" s="20" t="n">
        <v>21239</v>
      </c>
      <c r="H80" s="20" t="n">
        <v>13681</v>
      </c>
      <c r="I80" s="20" t="n">
        <v>12959</v>
      </c>
      <c r="J80" s="20" t="n">
        <v>19321</v>
      </c>
      <c r="K80" s="20" t="n">
        <v>19058</v>
      </c>
      <c r="L80" s="20" t="n">
        <v>20608</v>
      </c>
    </row>
    <row r="81">
      <c r="A81" s="18" t="inlineStr">
        <is>
          <t>영업권</t>
        </is>
      </c>
      <c r="C81" s="20" t="n">
        <v>60844</v>
      </c>
      <c r="D81" s="20" t="n">
        <v>64207</v>
      </c>
      <c r="E81" s="20" t="n">
        <v>64125</v>
      </c>
      <c r="F81" s="20" t="n">
        <v>64849</v>
      </c>
      <c r="G81" s="20" t="n">
        <v>62471</v>
      </c>
      <c r="H81" s="20" t="n">
        <v>4809</v>
      </c>
      <c r="I81" s="20" t="n">
        <v>58822</v>
      </c>
      <c r="J81" s="20" t="n">
        <v>66056</v>
      </c>
      <c r="K81" s="20" t="n">
        <v>57167</v>
      </c>
      <c r="L81" s="20" t="n">
        <v>64125</v>
      </c>
    </row>
    <row r="82">
      <c r="A82" s="18" t="inlineStr">
        <is>
          <t>무형자산</t>
        </is>
      </c>
      <c r="C82" s="20" t="n">
        <v>16194</v>
      </c>
      <c r="D82" s="20" t="n">
        <v>16605</v>
      </c>
      <c r="E82" s="20" t="n">
        <v>16942</v>
      </c>
      <c r="F82" s="20" t="n">
        <v>16731</v>
      </c>
      <c r="G82" s="20" t="n">
        <v>17728</v>
      </c>
      <c r="H82" s="20" t="n">
        <v>13707</v>
      </c>
      <c r="I82" s="20" t="n">
        <v>21469</v>
      </c>
      <c r="J82" s="20" t="n">
        <v>20674</v>
      </c>
      <c r="K82" s="20" t="n">
        <v>17026</v>
      </c>
      <c r="L82" s="20" t="n">
        <v>16942</v>
      </c>
    </row>
    <row r="83">
      <c r="A83" s="18" t="inlineStr">
        <is>
          <t>지분법 투자</t>
        </is>
      </c>
      <c r="C83" s="20" t="n">
        <v>6458</v>
      </c>
      <c r="D83" s="20" t="n">
        <v>7195</v>
      </c>
      <c r="E83" s="20" t="n">
        <v>6687</v>
      </c>
      <c r="F83" s="20" t="n">
        <v>6791</v>
      </c>
      <c r="G83" s="20" t="n">
        <v>6488</v>
      </c>
      <c r="H83" s="20" t="n">
        <v>547</v>
      </c>
      <c r="I83" s="20" t="n">
        <v>2140</v>
      </c>
      <c r="J83" s="20" t="n">
        <v>2115</v>
      </c>
      <c r="K83" s="20" t="n">
        <v>7319</v>
      </c>
      <c r="L83" s="20" t="n">
        <v>6687</v>
      </c>
    </row>
    <row r="84">
      <c r="A84" s="18" t="inlineStr">
        <is>
          <t>금융자산</t>
        </is>
      </c>
      <c r="E84" s="20" t="n">
        <v>13516</v>
      </c>
      <c r="H84" s="20" t="n">
        <v>12131</v>
      </c>
      <c r="I84" s="20" t="n">
        <v>8860</v>
      </c>
      <c r="J84" s="20" t="n">
        <v>9192</v>
      </c>
      <c r="K84" s="20" t="n">
        <v>11096</v>
      </c>
      <c r="L84" s="20" t="n">
        <v>13516</v>
      </c>
    </row>
    <row r="85">
      <c r="A85" s="18" t="inlineStr">
        <is>
          <t>금융자산</t>
        </is>
      </c>
      <c r="C85" s="20" t="n">
        <v>14435</v>
      </c>
      <c r="D85" s="20" t="n">
        <v>14805</v>
      </c>
      <c r="E85" s="20" t="n">
        <v>13516</v>
      </c>
      <c r="F85" s="20" t="n">
        <v>14092</v>
      </c>
      <c r="G85" s="20" t="n">
        <v>14785</v>
      </c>
      <c r="H85" s="20" t="n">
        <v>12131</v>
      </c>
      <c r="I85" s="20" t="n">
        <v>8860</v>
      </c>
      <c r="J85" s="20" t="n">
        <v>9192</v>
      </c>
      <c r="K85" s="20" t="n">
        <v>11096</v>
      </c>
      <c r="L85" s="20" t="n">
        <v>13516</v>
      </c>
    </row>
    <row r="86">
      <c r="A86" s="18" t="inlineStr">
        <is>
          <t>이연법인세자산</t>
        </is>
      </c>
      <c r="C86" s="20" t="n">
        <v>18154</v>
      </c>
      <c r="D86" s="20" t="n">
        <v>18914</v>
      </c>
      <c r="E86" s="20" t="n">
        <v>19095</v>
      </c>
      <c r="F86" s="20" t="n">
        <v>19613</v>
      </c>
      <c r="G86" s="20" t="n">
        <v>17922</v>
      </c>
      <c r="H86" s="20" t="n">
        <v>24131</v>
      </c>
      <c r="I86" s="20" t="n">
        <v>23420</v>
      </c>
      <c r="J86" s="20" t="n">
        <v>20985</v>
      </c>
      <c r="K86" s="20" t="n">
        <v>17873</v>
      </c>
      <c r="L86" s="20" t="n">
        <v>19095</v>
      </c>
    </row>
    <row r="87">
      <c r="A87" s="18" t="inlineStr">
        <is>
          <t>기타비유동자산</t>
        </is>
      </c>
      <c r="C87" s="20" t="n">
        <v>26620</v>
      </c>
      <c r="D87" s="20" t="n">
        <v>26833</v>
      </c>
      <c r="E87" s="20" t="n">
        <v>36526</v>
      </c>
      <c r="F87" s="20" t="n">
        <v>36803</v>
      </c>
      <c r="G87" s="20" t="n">
        <v>36917</v>
      </c>
      <c r="H87" s="20" t="n">
        <v>15772</v>
      </c>
      <c r="I87" s="20" t="n">
        <v>15682</v>
      </c>
      <c r="J87" s="20" t="n">
        <v>16248</v>
      </c>
      <c r="K87" s="20" t="n">
        <v>24533</v>
      </c>
      <c r="L87" s="20" t="n">
        <v>36526</v>
      </c>
    </row>
    <row r="88">
      <c r="A88" s="18" t="inlineStr">
        <is>
          <t>비유동자산 합계</t>
        </is>
      </c>
      <c r="C88" s="20" t="n">
        <v>592801</v>
      </c>
      <c r="D88" s="20" t="n">
        <v>615789</v>
      </c>
      <c r="E88" s="20" t="n">
        <v>644463</v>
      </c>
      <c r="F88" s="20" t="n">
        <v>655496</v>
      </c>
      <c r="G88" s="20" t="n">
        <v>651989</v>
      </c>
      <c r="H88" s="20" t="n">
        <v>371730</v>
      </c>
      <c r="I88" s="20" t="n">
        <v>476457</v>
      </c>
      <c r="J88" s="20" t="n">
        <v>533130</v>
      </c>
      <c r="K88" s="20" t="n">
        <v>571711</v>
      </c>
      <c r="L88" s="20" t="n">
        <v>644463</v>
      </c>
    </row>
    <row r="89">
      <c r="A89" s="18" t="inlineStr">
        <is>
          <t>자산 합계</t>
        </is>
      </c>
      <c r="C89" s="20" t="n">
        <v>1326861</v>
      </c>
      <c r="D89" s="20" t="n">
        <v>1377793</v>
      </c>
      <c r="E89" s="20" t="n">
        <v>1441757</v>
      </c>
      <c r="F89" s="20" t="n">
        <v>1442604</v>
      </c>
      <c r="G89" s="20" t="n">
        <v>1459122</v>
      </c>
      <c r="H89" s="20" t="n">
        <v>1094469</v>
      </c>
      <c r="I89" s="20" t="n">
        <v>1153647</v>
      </c>
      <c r="J89" s="20" t="n">
        <v>1251087</v>
      </c>
      <c r="K89" s="20" t="n">
        <v>1321920</v>
      </c>
      <c r="L89" s="20" t="n">
        <v>1441757</v>
      </c>
    </row>
    <row r="90">
      <c r="A90" s="18" t="inlineStr">
        <is>
          <t>매입채무 및 기타채무</t>
        </is>
      </c>
      <c r="C90" s="20" t="n">
        <v>113917</v>
      </c>
      <c r="D90" s="20" t="n">
        <v>111865</v>
      </c>
      <c r="E90" s="20" t="n">
        <v>103605</v>
      </c>
      <c r="F90" s="20" t="n">
        <v>105612</v>
      </c>
      <c r="G90" s="20" t="n">
        <v>107402</v>
      </c>
      <c r="H90" s="20" t="n">
        <v>102798</v>
      </c>
      <c r="I90" s="20" t="n">
        <v>91834</v>
      </c>
      <c r="J90" s="20" t="n">
        <v>98965</v>
      </c>
      <c r="K90" s="20" t="n">
        <v>100508</v>
      </c>
      <c r="L90" s="20" t="n">
        <v>103605</v>
      </c>
    </row>
    <row r="91">
      <c r="A91" s="18" t="inlineStr">
        <is>
          <t>차입금</t>
        </is>
      </c>
      <c r="C91" s="20" t="n">
        <v>515</v>
      </c>
      <c r="D91" s="20" t="n">
        <v>504</v>
      </c>
      <c r="E91" s="20" t="n">
        <v>0</v>
      </c>
      <c r="H91" s="20" t="n">
        <v>241</v>
      </c>
      <c r="I91" s="20" t="n">
        <v>272</v>
      </c>
      <c r="J91" s="20" t="n">
        <v>345</v>
      </c>
      <c r="K91" s="20" t="n">
        <v>455</v>
      </c>
      <c r="L91" s="20" t="n">
        <v>0</v>
      </c>
    </row>
    <row r="92">
      <c r="A92" s="18" t="inlineStr">
        <is>
          <t>미지급법인세 등</t>
        </is>
      </c>
      <c r="C92" s="20" t="n">
        <v>22294</v>
      </c>
      <c r="D92" s="20" t="n">
        <v>15053</v>
      </c>
      <c r="E92" s="20" t="n">
        <v>17932</v>
      </c>
      <c r="F92" s="20" t="n">
        <v>16624</v>
      </c>
      <c r="G92" s="20" t="n">
        <v>23497</v>
      </c>
      <c r="H92" s="20" t="n">
        <v>18138</v>
      </c>
      <c r="I92" s="20" t="n">
        <v>18488</v>
      </c>
      <c r="J92" s="20" t="n">
        <v>13402</v>
      </c>
      <c r="K92" s="20" t="n">
        <v>28183</v>
      </c>
      <c r="L92" s="20" t="n">
        <v>17932</v>
      </c>
    </row>
    <row r="93">
      <c r="A93" s="18" t="inlineStr">
        <is>
          <t>기타금융부채</t>
        </is>
      </c>
      <c r="C93" s="20" t="n">
        <v>28315</v>
      </c>
      <c r="D93" s="20" t="n">
        <v>27895</v>
      </c>
      <c r="E93" s="20" t="n">
        <v>39828</v>
      </c>
      <c r="F93" s="20" t="n">
        <v>34707</v>
      </c>
      <c r="G93" s="20" t="n">
        <v>30168</v>
      </c>
      <c r="H93" s="20" t="n">
        <v>19979</v>
      </c>
      <c r="I93" s="20" t="n">
        <v>22162</v>
      </c>
      <c r="J93" s="20" t="n">
        <v>38396</v>
      </c>
      <c r="K93" s="20" t="n">
        <v>36102</v>
      </c>
      <c r="L93" s="20" t="n">
        <v>39828</v>
      </c>
    </row>
    <row r="94">
      <c r="A94" s="18" t="inlineStr">
        <is>
          <t>기타유동부채</t>
        </is>
      </c>
      <c r="C94" s="20" t="n">
        <v>56652</v>
      </c>
      <c r="D94" s="20" t="n">
        <v>58943</v>
      </c>
      <c r="E94" s="20" t="n">
        <v>64604</v>
      </c>
      <c r="F94" s="20" t="n">
        <v>69052</v>
      </c>
      <c r="G94" s="20" t="n">
        <v>75438</v>
      </c>
      <c r="H94" s="20" t="n">
        <v>67330</v>
      </c>
      <c r="I94" s="20" t="n">
        <v>54053</v>
      </c>
      <c r="J94" s="20" t="n">
        <v>55746</v>
      </c>
      <c r="K94" s="20" t="n">
        <v>56485</v>
      </c>
      <c r="L94" s="20" t="n">
        <v>64604</v>
      </c>
    </row>
    <row r="95">
      <c r="A95" s="18" t="inlineStr">
        <is>
          <t>소계</t>
        </is>
      </c>
      <c r="H95" s="20" t="n">
        <v>208489</v>
      </c>
      <c r="I95" s="20" t="n">
        <v>186811</v>
      </c>
      <c r="J95" s="20" t="n">
        <v>206856</v>
      </c>
    </row>
    <row r="96">
      <c r="A96" s="18" t="inlineStr">
        <is>
          <t>매각예정 자산 직접 관련 부채</t>
        </is>
      </c>
      <c r="H96" s="20" t="n">
        <v>0</v>
      </c>
      <c r="I96" s="20" t="n">
        <v>1436</v>
      </c>
      <c r="J96" s="20" t="n">
        <v>0</v>
      </c>
    </row>
    <row r="97">
      <c r="A97" s="18" t="inlineStr">
        <is>
          <t>유동부채 합계</t>
        </is>
      </c>
      <c r="C97" s="20" t="n">
        <v>221695</v>
      </c>
      <c r="D97" s="20" t="n">
        <v>214262</v>
      </c>
      <c r="E97" s="20" t="n">
        <v>225970</v>
      </c>
      <c r="F97" s="20" t="n">
        <v>225997</v>
      </c>
      <c r="G97" s="20" t="n">
        <v>236506</v>
      </c>
      <c r="H97" s="20" t="n">
        <v>208489</v>
      </c>
      <c r="I97" s="20" t="n">
        <v>188248</v>
      </c>
      <c r="J97" s="20" t="n">
        <v>206856</v>
      </c>
      <c r="K97" s="20" t="n">
        <v>221735</v>
      </c>
      <c r="L97" s="20" t="n">
        <v>225970</v>
      </c>
    </row>
    <row r="98">
      <c r="A98" s="18" t="inlineStr">
        <is>
          <t>기타금융부채</t>
        </is>
      </c>
      <c r="C98" s="20" t="n">
        <v>19043</v>
      </c>
      <c r="D98" s="20" t="n">
        <v>18297</v>
      </c>
      <c r="E98" s="20" t="n">
        <v>21711</v>
      </c>
      <c r="F98" s="20" t="n">
        <v>21519</v>
      </c>
      <c r="G98" s="20" t="n">
        <v>22506</v>
      </c>
      <c r="H98" s="20" t="n">
        <v>16941</v>
      </c>
      <c r="I98" s="20" t="n">
        <v>15729</v>
      </c>
      <c r="J98" s="20" t="n">
        <v>20843</v>
      </c>
      <c r="K98" s="20" t="n">
        <v>20160</v>
      </c>
      <c r="L98" s="20" t="n">
        <v>21711</v>
      </c>
    </row>
    <row r="99">
      <c r="A99" s="18" t="inlineStr">
        <is>
          <t>확정급여부채</t>
        </is>
      </c>
      <c r="C99" s="20" t="n">
        <v>29707</v>
      </c>
      <c r="D99" s="20" t="n">
        <v>29966</v>
      </c>
      <c r="E99" s="20" t="n">
        <v>29809</v>
      </c>
      <c r="F99" s="20" t="n">
        <v>30116</v>
      </c>
      <c r="G99" s="20" t="n">
        <v>30273</v>
      </c>
      <c r="H99" s="20" t="n">
        <v>44125</v>
      </c>
      <c r="I99" s="20" t="n">
        <v>40015</v>
      </c>
      <c r="J99" s="20" t="n">
        <v>33130</v>
      </c>
      <c r="K99" s="20" t="n">
        <v>28991</v>
      </c>
      <c r="L99" s="20" t="n">
        <v>29809</v>
      </c>
    </row>
    <row r="100">
      <c r="A100" s="18" t="inlineStr">
        <is>
          <t>이연법인세부채</t>
        </is>
      </c>
      <c r="C100" s="20" t="n">
        <v>5068</v>
      </c>
      <c r="D100" s="20" t="n">
        <v>8136</v>
      </c>
      <c r="E100" s="20" t="n">
        <v>11780</v>
      </c>
      <c r="F100" s="20" t="n">
        <v>13619</v>
      </c>
      <c r="G100" s="20" t="n">
        <v>14557</v>
      </c>
      <c r="H100" s="20" t="n">
        <v>326</v>
      </c>
      <c r="I100" s="20" t="n">
        <v>4173</v>
      </c>
      <c r="J100" s="20" t="n">
        <v>3427</v>
      </c>
      <c r="K100" s="20" t="n">
        <v>3856</v>
      </c>
      <c r="L100" s="20" t="n">
        <v>11780</v>
      </c>
    </row>
    <row r="101">
      <c r="A101" s="18" t="inlineStr">
        <is>
          <t>기타비유동부채</t>
        </is>
      </c>
      <c r="C101" s="20" t="n">
        <v>2254</v>
      </c>
      <c r="D101" s="20" t="n">
        <v>2457</v>
      </c>
      <c r="E101" s="20" t="n">
        <v>3381</v>
      </c>
      <c r="F101" s="20" t="n">
        <v>3118</v>
      </c>
      <c r="G101" s="20" t="n">
        <v>3565</v>
      </c>
      <c r="H101" s="20" t="n">
        <v>2480</v>
      </c>
      <c r="I101" s="20" t="n">
        <v>2286</v>
      </c>
      <c r="J101" s="20" t="n">
        <v>1779</v>
      </c>
      <c r="K101" s="20" t="n">
        <v>2062</v>
      </c>
      <c r="L101" s="20" t="n">
        <v>3381</v>
      </c>
    </row>
    <row r="102">
      <c r="A102" s="18" t="inlineStr">
        <is>
          <t>비유동부채 합계</t>
        </is>
      </c>
      <c r="C102" s="20" t="n">
        <v>56073</v>
      </c>
      <c r="D102" s="20" t="n">
        <v>58857</v>
      </c>
      <c r="E102" s="20" t="n">
        <v>66683</v>
      </c>
      <c r="F102" s="20" t="n">
        <v>68374</v>
      </c>
      <c r="G102" s="20" t="n">
        <v>70902</v>
      </c>
      <c r="H102" s="20" t="n">
        <v>63873</v>
      </c>
      <c r="I102" s="20" t="n">
        <v>62204</v>
      </c>
      <c r="J102" s="20" t="n">
        <v>59182</v>
      </c>
      <c r="K102" s="20" t="n">
        <v>55070</v>
      </c>
      <c r="L102" s="20" t="n">
        <v>66683</v>
      </c>
    </row>
    <row r="103">
      <c r="A103" s="18" t="inlineStr">
        <is>
          <t>부채 합계</t>
        </is>
      </c>
      <c r="C103" s="20" t="n">
        <v>277768</v>
      </c>
      <c r="D103" s="20" t="n">
        <v>273120</v>
      </c>
      <c r="E103" s="20" t="n">
        <v>292653</v>
      </c>
      <c r="F103" s="20" t="n">
        <v>294371</v>
      </c>
      <c r="G103" s="20" t="n">
        <v>307409</v>
      </c>
      <c r="H103" s="20" t="n">
        <v>272363</v>
      </c>
      <c r="I103" s="20" t="n">
        <v>250452</v>
      </c>
      <c r="J103" s="20" t="n">
        <v>266038</v>
      </c>
      <c r="K103" s="20" t="n">
        <v>276806</v>
      </c>
      <c r="L103" s="20" t="n">
        <v>292653</v>
      </c>
    </row>
    <row r="104">
      <c r="A104" s="18" t="inlineStr">
        <is>
          <t>자본금</t>
        </is>
      </c>
      <c r="C104" s="20" t="n">
        <v>26783</v>
      </c>
      <c r="D104" s="20" t="n">
        <v>26783</v>
      </c>
      <c r="E104" s="20" t="n">
        <v>26783</v>
      </c>
      <c r="F104" s="20" t="n">
        <v>26783</v>
      </c>
      <c r="G104" s="20" t="n">
        <v>26783</v>
      </c>
      <c r="H104" s="20" t="n">
        <v>26783</v>
      </c>
      <c r="I104" s="20" t="n">
        <v>26783</v>
      </c>
      <c r="J104" s="20" t="n">
        <v>26783</v>
      </c>
      <c r="K104" s="20" t="n">
        <v>26783</v>
      </c>
      <c r="L104" s="20" t="n">
        <v>26783</v>
      </c>
    </row>
    <row r="105">
      <c r="A105" s="18" t="inlineStr">
        <is>
          <t>자본잉여금</t>
        </is>
      </c>
      <c r="C105" s="20" t="n">
        <v>49953</v>
      </c>
      <c r="D105" s="20" t="n">
        <v>49934</v>
      </c>
      <c r="E105" s="20" t="n">
        <v>49934</v>
      </c>
      <c r="F105" s="20" t="n">
        <v>49908</v>
      </c>
      <c r="G105" s="20" t="n">
        <v>49910</v>
      </c>
      <c r="H105" s="20" t="n">
        <v>49992</v>
      </c>
      <c r="I105" s="20" t="n">
        <v>50047</v>
      </c>
      <c r="J105" s="20" t="n">
        <v>49928</v>
      </c>
      <c r="K105" s="20" t="n">
        <v>49934</v>
      </c>
      <c r="L105" s="20" t="n">
        <v>49934</v>
      </c>
    </row>
    <row r="106">
      <c r="A106" s="18" t="inlineStr">
        <is>
          <t>이익잉여금</t>
        </is>
      </c>
      <c r="C106" s="20" t="n">
        <v>939508</v>
      </c>
      <c r="D106" s="20" t="n">
        <v>878264</v>
      </c>
      <c r="E106" s="20" t="n">
        <v>912008</v>
      </c>
      <c r="F106" s="20" t="n">
        <v>925670</v>
      </c>
      <c r="G106" s="20" t="n">
        <v>968300</v>
      </c>
      <c r="H106" s="20" t="n">
        <v>705910</v>
      </c>
      <c r="I106" s="20" t="n">
        <v>786269</v>
      </c>
      <c r="J106" s="20" t="n">
        <v>808062</v>
      </c>
      <c r="K106" s="20" t="n">
        <v>890040</v>
      </c>
      <c r="L106" s="20" t="n">
        <v>912008</v>
      </c>
    </row>
    <row r="107">
      <c r="A107" s="18" t="inlineStr">
        <is>
          <t>자기주식</t>
        </is>
      </c>
      <c r="C107" s="20" t="n">
        <v>-91684</v>
      </c>
      <c r="D107" s="20" t="n">
        <v>-13849</v>
      </c>
      <c r="E107" s="20" t="n">
        <v>-13849</v>
      </c>
      <c r="F107" s="20" t="n">
        <v>-43311</v>
      </c>
      <c r="G107" s="20" t="n">
        <v>-63940</v>
      </c>
      <c r="H107" s="20" t="n">
        <v>-9771</v>
      </c>
      <c r="I107" s="20" t="n">
        <v>-27631</v>
      </c>
      <c r="J107" s="20" t="n">
        <v>-23298</v>
      </c>
      <c r="K107" s="20" t="n">
        <v>-31799</v>
      </c>
      <c r="L107" s="20" t="n">
        <v>-13849</v>
      </c>
    </row>
    <row r="108">
      <c r="A108" s="18" t="inlineStr">
        <is>
          <t>기타자본구성요소</t>
        </is>
      </c>
      <c r="C108" s="20" t="n">
        <v>123489</v>
      </c>
      <c r="D108" s="20" t="n">
        <v>162489</v>
      </c>
      <c r="E108" s="20" t="n">
        <v>173150</v>
      </c>
      <c r="F108" s="20" t="n">
        <v>188095</v>
      </c>
      <c r="G108" s="20" t="n">
        <v>169559</v>
      </c>
      <c r="H108" s="20" t="n">
        <v>48276</v>
      </c>
      <c r="I108" s="20" t="n">
        <v>66741</v>
      </c>
      <c r="J108" s="20" t="n">
        <v>122544</v>
      </c>
      <c r="K108" s="20" t="n">
        <v>109124</v>
      </c>
      <c r="L108" s="20" t="n">
        <v>173150</v>
      </c>
    </row>
    <row r="109">
      <c r="A109" s="18" t="inlineStr">
        <is>
          <t>지배기업 소유주 귀속 지분 합계</t>
        </is>
      </c>
      <c r="C109" s="20" t="n">
        <v>1048051</v>
      </c>
      <c r="D109" s="20" t="n">
        <v>1103623</v>
      </c>
      <c r="E109" s="20" t="n">
        <v>1148027</v>
      </c>
      <c r="F109" s="20" t="n">
        <v>1147147</v>
      </c>
      <c r="G109" s="20" t="n">
        <v>1150613</v>
      </c>
      <c r="H109" s="20" t="n">
        <v>821192</v>
      </c>
      <c r="I109" s="20" t="n">
        <v>902211</v>
      </c>
      <c r="J109" s="20" t="n">
        <v>984020</v>
      </c>
      <c r="K109" s="20" t="n">
        <v>1044083</v>
      </c>
      <c r="L109" s="20" t="n">
        <v>1148027</v>
      </c>
    </row>
    <row r="110">
      <c r="A110" s="18" t="inlineStr">
        <is>
          <t>비지배지분</t>
        </is>
      </c>
      <c r="C110" s="20" t="n">
        <v>1041</v>
      </c>
      <c r="D110" s="20" t="n">
        <v>1049</v>
      </c>
      <c r="E110" s="20" t="n">
        <v>1075</v>
      </c>
      <c r="F110" s="20" t="n">
        <v>1084</v>
      </c>
      <c r="G110" s="20" t="n">
        <v>1099</v>
      </c>
      <c r="H110" s="20" t="n">
        <v>913</v>
      </c>
      <c r="I110" s="20" t="n">
        <v>983</v>
      </c>
      <c r="J110" s="20" t="n">
        <v>1028</v>
      </c>
      <c r="K110" s="20" t="n">
        <v>1031</v>
      </c>
      <c r="L110" s="20" t="n">
        <v>1075</v>
      </c>
    </row>
    <row r="111">
      <c r="A111" s="18" t="inlineStr">
        <is>
          <t>자본 합계</t>
        </is>
      </c>
      <c r="C111" s="20" t="n">
        <v>1049092</v>
      </c>
      <c r="D111" s="20" t="n">
        <v>1104672</v>
      </c>
      <c r="E111" s="20" t="n">
        <v>1149103</v>
      </c>
      <c r="F111" s="20" t="n">
        <v>1148232</v>
      </c>
      <c r="G111" s="20" t="n">
        <v>1151713</v>
      </c>
      <c r="H111" s="20" t="n">
        <v>822105</v>
      </c>
      <c r="I111" s="20" t="n">
        <v>903194</v>
      </c>
      <c r="J111" s="20" t="n">
        <v>985048</v>
      </c>
      <c r="K111" s="20" t="n">
        <v>1045114</v>
      </c>
      <c r="L111" s="20" t="n">
        <v>1149103</v>
      </c>
    </row>
    <row r="112">
      <c r="A112" s="18" t="inlineStr">
        <is>
          <t>부채및자본 합계</t>
        </is>
      </c>
      <c r="C112" s="20" t="n">
        <v>1326861</v>
      </c>
      <c r="D112" s="20" t="n">
        <v>1377793</v>
      </c>
      <c r="E112" s="20" t="n">
        <v>1441757</v>
      </c>
      <c r="F112" s="20" t="n">
        <v>1442604</v>
      </c>
      <c r="G112" s="20" t="n">
        <v>1459122</v>
      </c>
      <c r="H112" s="20" t="n">
        <v>1094469</v>
      </c>
      <c r="I112" s="20" t="n">
        <v>1153647</v>
      </c>
      <c r="J112" s="20" t="n">
        <v>1251087</v>
      </c>
      <c r="K112" s="20" t="n">
        <v>1321920</v>
      </c>
      <c r="L112" s="20" t="n">
        <v>1441757</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2026-10-27</t>
        </is>
      </c>
      <c r="B4" t="inlineStr">
        <is>
          <t>2027년 3월 결산기 ２분기 결산단신</t>
        </is>
      </c>
      <c r="C4" t="inlineStr">
        <is>
          <t>https://www2.jpx.co.jp/disc/69880/140120261026556326.pdf</t>
        </is>
      </c>
    </row>
    <row r="5">
      <c r="A5" t="inlineStr">
        <is>
          <t>2026-07-28</t>
        </is>
      </c>
      <c r="B5" t="inlineStr">
        <is>
          <t>2027년 3월 결산기 １분기 결산단신</t>
        </is>
      </c>
      <c r="C5" t="inlineStr">
        <is>
          <t>https://www2.jpx.co.jp/disc/69880/140120260727599980.pdf</t>
        </is>
      </c>
    </row>
    <row r="6">
      <c r="A6" t="inlineStr">
        <is>
          <t>2026-04-27</t>
        </is>
      </c>
      <c r="B6" t="inlineStr">
        <is>
          <t>2026년 3월 결산기 연간 결산단신</t>
        </is>
      </c>
      <c r="C6" t="inlineStr">
        <is>
          <t>https://www2.jpx.co.jp/disc/69880/140120260424510818.pdf</t>
        </is>
      </c>
    </row>
    <row r="7">
      <c r="A7" t="inlineStr">
        <is>
          <t>2026-01-26</t>
        </is>
      </c>
      <c r="B7" t="inlineStr">
        <is>
          <t>2026년 3월 결산기 ３분기 결산단신</t>
        </is>
      </c>
      <c r="C7" t="inlineStr">
        <is>
          <t>https://www2.jpx.co.jp/disc/69880/140120260123537848.pdf</t>
        </is>
      </c>
    </row>
    <row r="8">
      <c r="A8" t="inlineStr">
        <is>
          <t>2025-10-27</t>
        </is>
      </c>
      <c r="B8" t="inlineStr">
        <is>
          <t>2026년 3월 결산기 ２분기 결산단신</t>
        </is>
      </c>
      <c r="C8" t="inlineStr">
        <is>
          <t>https://www2.jpx.co.jp/disc/69880/140120251024578795.pdf</t>
        </is>
      </c>
    </row>
    <row r="9">
      <c r="A9" t="inlineStr">
        <is>
          <t>2025-07-28</t>
        </is>
      </c>
      <c r="B9" t="inlineStr">
        <is>
          <t>2026년 3월 결산기 １분기 결산단신</t>
        </is>
      </c>
      <c r="C9" t="inlineStr">
        <is>
          <t>https://www2.jpx.co.jp/disc/69880/140120250725520894.pdf</t>
        </is>
      </c>
    </row>
    <row r="10">
      <c r="A10" t="inlineStr">
        <is>
          <t>2025-04-25</t>
        </is>
      </c>
      <c r="B10" t="inlineStr">
        <is>
          <t>2025년 3월 결산기 연간 결산단신</t>
        </is>
      </c>
      <c r="C10" t="inlineStr">
        <is>
          <t>https://www2.jpx.co.jp/disc/69880/140120250424522909.pdf</t>
        </is>
      </c>
    </row>
    <row r="11">
      <c r="A11" t="inlineStr">
        <is>
          <t>2025-01-27</t>
        </is>
      </c>
      <c r="B11" t="inlineStr">
        <is>
          <t>2025년 3월 결산기 ３분기 결산단신</t>
        </is>
      </c>
      <c r="C11" t="inlineStr">
        <is>
          <t>https://www2.jpx.co.jp/disc/69880/140120250124554981.pdf</t>
        </is>
      </c>
    </row>
    <row r="12">
      <c r="A12" t="inlineStr">
        <is>
          <t>2024-10-28</t>
        </is>
      </c>
      <c r="B12" t="inlineStr">
        <is>
          <t>2025년 3월 결산기 ２분기 결산단신</t>
        </is>
      </c>
      <c r="C12" t="inlineStr">
        <is>
          <t>https://www2.jpx.co.jp/disc/69880/140120241025503104.pdf</t>
        </is>
      </c>
    </row>
    <row r="13">
      <c r="A13" t="inlineStr">
        <is>
          <t>2024-07-26</t>
        </is>
      </c>
      <c r="B13" t="inlineStr">
        <is>
          <t>2025년 3월 결산기 １분기 결산단신</t>
        </is>
      </c>
      <c r="C13" t="inlineStr">
        <is>
          <t>https://www2.jpx.co.jp/disc/69880/140120240725555093.pdf</t>
        </is>
      </c>
    </row>
    <row r="14">
      <c r="A14" t="inlineStr">
        <is>
          <t>2024-04-26</t>
        </is>
      </c>
      <c r="B14" t="inlineStr">
        <is>
          <t>2024년 3월 결산기 연간 결산단신</t>
        </is>
      </c>
      <c r="C14" t="inlineStr">
        <is>
          <t>https://www2.jpx.co.jp/disc/69880/140120240425577442.pdf</t>
        </is>
      </c>
    </row>
    <row r="15">
      <c r="A15" t="inlineStr">
        <is>
          <t>2024-01-26</t>
        </is>
      </c>
      <c r="B15" t="inlineStr">
        <is>
          <t>2024년 3월 결산기 ３분기 결산단신</t>
        </is>
      </c>
      <c r="C15" t="inlineStr">
        <is>
          <t>https://www2.jpx.co.jp/disc/69880/140120240125519516.pdf</t>
        </is>
      </c>
    </row>
    <row r="16">
      <c r="A16" t="inlineStr">
        <is>
          <t>2023-10-26</t>
        </is>
      </c>
      <c r="B16" t="inlineStr">
        <is>
          <t>2024년 3월 결산기 ２분기 결산단신</t>
        </is>
      </c>
      <c r="C16" t="inlineStr">
        <is>
          <t>https://www2.jpx.co.jp/disc/69880/140120231025571586.pdf</t>
        </is>
      </c>
    </row>
    <row r="17">
      <c r="A17" t="inlineStr">
        <is>
          <t>2023-07-26</t>
        </is>
      </c>
      <c r="B17" t="inlineStr">
        <is>
          <t>2024년 3월 결산기 １분기 결산단신</t>
        </is>
      </c>
      <c r="C17" t="inlineStr">
        <is>
          <t>https://www2.jpx.co.jp/disc/69880/140120230725526823.pdf</t>
        </is>
      </c>
    </row>
    <row r="18">
      <c r="A18" t="inlineStr">
        <is>
          <t>2023-04-26</t>
        </is>
      </c>
      <c r="B18" t="inlineStr">
        <is>
          <t>2023년 3월 결산기 연간 결산단신</t>
        </is>
      </c>
      <c r="C18" t="inlineStr">
        <is>
          <t>https://www2.jpx.co.jp/disc/69880/140120230425552700.pdf</t>
        </is>
      </c>
    </row>
    <row r="19">
      <c r="A19" t="inlineStr">
        <is>
          <t>2023-01-26</t>
        </is>
      </c>
      <c r="B19" t="inlineStr">
        <is>
          <t>2023년 3월 결산기 ３분기 결산단신</t>
        </is>
      </c>
      <c r="C19" t="inlineStr">
        <is>
          <t>https://www2.jpx.co.jp/disc/69880/140120230125593513.pdf</t>
        </is>
      </c>
    </row>
    <row r="20">
      <c r="A20" t="inlineStr">
        <is>
          <t>2022-04-26</t>
        </is>
      </c>
      <c r="B20" t="inlineStr">
        <is>
          <t>2022년 3월 결산기 연간 결산단신</t>
        </is>
      </c>
      <c r="C20" t="inlineStr">
        <is>
          <t>https://www2.jpx.co.jp/disc/69880/140120220425527123.pdf</t>
        </is>
      </c>
    </row>
    <row r="21">
      <c r="A21" t="inlineStr">
        <is>
          <t>2021-04-26</t>
        </is>
      </c>
      <c r="B21" t="inlineStr">
        <is>
          <t>2021년 3월 결산기 연간 결산단신</t>
        </is>
      </c>
      <c r="C21" t="inlineStr">
        <is>
          <t>https://www2.jpx.co.jp/disc/69880/140120210423499434.pdf</t>
        </is>
      </c>
    </row>
    <row r="22">
      <c r="A22" t="inlineStr">
        <is>
          <t>2020-04-27</t>
        </is>
      </c>
      <c r="B22" t="inlineStr">
        <is>
          <t>2020년 3월 결산기 연간 결산단신</t>
        </is>
      </c>
      <c r="C22" t="inlineStr">
        <is>
          <t>https://www2.jpx.co.jp/disc/69880/140120200423498532.pdf</t>
        </is>
      </c>
    </row>
    <row r="23">
      <c r="A23" t="inlineStr">
        <is>
          <t>2019-04-26</t>
        </is>
      </c>
      <c r="B23" t="inlineStr">
        <is>
          <t>2019년 3월 결산기 연간 결산단신</t>
        </is>
      </c>
      <c r="C23" t="inlineStr">
        <is>
          <t>https://www2.jpx.co.jp/disc/69880/140120190422408361.pdf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2026-10-28T06:59:29Z</dcterms:created>
  <dcterms:modified xmlns:dcterms="http://purl.org/dc/terms/" xmlns:xsi="http://www.w3.org/2001/XMLSchema-instance" xsi:type="dcterms:W3CDTF">2026-10-28T06:59:29Z</dcterms:modified>
</cp:coreProperties>
</file>