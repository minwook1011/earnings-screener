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연간" sheetId="1" state="visible" r:id="rId1"/>
    <sheet xmlns:r="http://schemas.openxmlformats.org/officeDocument/2006/relationships" name="재무상태표" sheetId="2" state="visible" r:id="rId2"/>
    <sheet xmlns:r="http://schemas.openxmlformats.org/officeDocument/2006/relationships" name="출처" sheetId="3" state="visible" r:id="rId3"/>
  </sheets>
  <definedNames>
    <definedName name="_xlnm.Print_Titles" localSheetId="0">'연간'!$3:$3</definedName>
    <definedName name="_xlnm.Print_Titles" localSheetId="1">'재무상태표'!$3:$3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.0%;-0.0%;&quot;-&quot;"/>
    <numFmt numFmtId="165" formatCode="#,##0;(#,##0);&quot;-&quot;"/>
    <numFmt numFmtId="166" formatCode="0.0&quot;x&quot;;-0.0&quot;x&quot;;&quot;-&quot;"/>
    <numFmt numFmtId="167" formatCode="0.0&quot;년&quot;;-0.0&quot;년&quot;;&quot;-&quot;"/>
    <numFmt numFmtId="168" formatCode="0&quot;일&quot;;-0&quot;일&quot;;&quot;-&quot;"/>
  </numFmts>
  <fonts count="17">
    <font>
      <name val="Calibri"/>
      <family val="2"/>
      <color theme="1"/>
      <sz val="11"/>
      <scheme val="minor"/>
    </font>
    <font>
      <name val="맑은 고딕"/>
      <b val="1"/>
      <color rgb="00000000"/>
      <sz val="20"/>
    </font>
    <font>
      <name val="맑은 고딕"/>
      <color rgb="00FF0000"/>
      <sz val="11"/>
    </font>
    <font>
      <name val="맑은 고딕"/>
      <color rgb="00808080"/>
      <sz val="9"/>
    </font>
    <font>
      <name val="맑은 고딕"/>
      <color rgb="000000FF"/>
      <sz val="9"/>
    </font>
    <font>
      <name val="맑은 고딕"/>
      <b val="1"/>
      <color rgb="00000000"/>
      <sz val="10"/>
    </font>
    <font>
      <name val="맑은 고딕"/>
      <color rgb="00808080"/>
      <sz val="11"/>
    </font>
    <font>
      <name val="맑은 고딕"/>
      <b val="1"/>
      <color rgb="00FFFFFF"/>
      <sz val="11"/>
    </font>
    <font>
      <name val="맑은 고딕"/>
      <color rgb="00000000"/>
      <sz val="11"/>
    </font>
    <font>
      <name val="맑은 고딕"/>
      <color rgb="000000FF"/>
      <sz val="11"/>
    </font>
    <font>
      <name val="맑은 고딕"/>
      <b val="1"/>
      <color rgb="00000000"/>
      <sz val="11"/>
    </font>
    <font>
      <name val="맑은 고딕"/>
      <b val="1"/>
      <color rgb="00FF0000"/>
      <sz val="11"/>
    </font>
    <font>
      <name val="맑은 고딕"/>
      <b val="1"/>
      <color rgb="00808080"/>
      <sz val="9"/>
    </font>
    <font>
      <name val="맑은 고딕"/>
      <color rgb="00FF0000"/>
      <sz val="9"/>
    </font>
    <font>
      <name val="맑은 고딕"/>
      <b val="1"/>
      <color rgb="00FFFFFF"/>
      <sz val="9"/>
    </font>
    <font>
      <name val="맑은 고딕"/>
      <b val="1"/>
      <sz val="20"/>
    </font>
    <font>
      <name val="맑은 고딕"/>
      <b val="1"/>
      <sz val="10"/>
    </font>
  </fonts>
  <fills count="7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808080"/>
      </patternFill>
    </fill>
    <fill>
      <patternFill patternType="solid">
        <fgColor rgb="00A6A6A6"/>
      </patternFill>
    </fill>
    <fill>
      <patternFill patternType="solid">
        <fgColor rgb="00DDEBF7"/>
      </patternFill>
    </fill>
    <fill>
      <patternFill patternType="solid">
        <fgColor rgb="FFD9D9D9"/>
      </patternFill>
    </fill>
  </fills>
  <borders count="4">
    <border>
      <left/>
      <right/>
      <top/>
      <bottom/>
      <diagonal/>
    </border>
    <border>
      <top style="thin">
        <color rgb="007F7F7F"/>
      </top>
      <bottom style="thin">
        <color rgb="007F7F7F"/>
      </bottom>
    </border>
    <border>
      <left style="thin">
        <color rgb="007F7F7F"/>
      </left>
      <top style="thin">
        <color rgb="007F7F7F"/>
      </top>
      <bottom style="thin">
        <color rgb="007F7F7F"/>
      </bottom>
    </border>
    <border>
      <left style="thin">
        <color rgb="007F7F7F"/>
      </left>
      <top/>
      <bottom/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5" fontId="10" fillId="0" borderId="3" applyAlignment="1" pivotButton="0" quotePrefix="0" xfId="0">
      <alignment horizontal="center" vertical="center"/>
    </xf>
    <xf numFmtId="165" fontId="10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indent="1"/>
    </xf>
    <xf numFmtId="164" fontId="6" fillId="0" borderId="3" applyAlignment="1" pivotButton="0" quotePrefix="0" xfId="0">
      <alignment horizontal="center" vertical="center"/>
    </xf>
    <xf numFmtId="164" fontId="6" fillId="0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3" borderId="3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165" fontId="8" fillId="0" borderId="3" applyAlignment="1" pivotButton="0" quotePrefix="0" xfId="0">
      <alignment horizontal="center" vertical="center"/>
    </xf>
    <xf numFmtId="165" fontId="8" fillId="0" borderId="0" applyAlignment="1" pivotButton="0" quotePrefix="0" xfId="0">
      <alignment horizontal="center" vertical="center"/>
    </xf>
    <xf numFmtId="165" fontId="9" fillId="0" borderId="3" applyAlignment="1" pivotButton="0" quotePrefix="0" xfId="0">
      <alignment horizontal="center" vertical="center"/>
    </xf>
    <xf numFmtId="165" fontId="9" fillId="0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164" fontId="9" fillId="0" borderId="3" applyAlignment="1" pivotButton="0" quotePrefix="0" xfId="0">
      <alignment horizontal="center" vertical="center"/>
    </xf>
    <xf numFmtId="164" fontId="9" fillId="0" borderId="0" applyAlignment="1" pivotButton="0" quotePrefix="0" xfId="0">
      <alignment horizontal="center" vertical="center"/>
    </xf>
    <xf numFmtId="3" fontId="10" fillId="0" borderId="0" applyAlignment="1" pivotButton="0" quotePrefix="0" xfId="0">
      <alignment horizontal="center" vertical="center"/>
    </xf>
    <xf numFmtId="3" fontId="8" fillId="0" borderId="3" applyAlignment="1" pivotButton="0" quotePrefix="0" xfId="0">
      <alignment horizontal="center" vertical="center"/>
    </xf>
    <xf numFmtId="3" fontId="8" fillId="0" borderId="0" applyAlignment="1" pivotButton="0" quotePrefix="0" xfId="0">
      <alignment horizontal="center" vertical="center"/>
    </xf>
    <xf numFmtId="166" fontId="8" fillId="0" borderId="3" applyAlignment="1" pivotButton="0" quotePrefix="0" xfId="0">
      <alignment horizontal="center" vertical="center"/>
    </xf>
    <xf numFmtId="166" fontId="8" fillId="0" borderId="0" applyAlignment="1" pivotButton="0" quotePrefix="0" xfId="0">
      <alignment horizontal="center" vertical="center"/>
    </xf>
    <xf numFmtId="166" fontId="9" fillId="0" borderId="3" applyAlignment="1" pivotButton="0" quotePrefix="0" xfId="0">
      <alignment horizontal="center" vertical="center"/>
    </xf>
    <xf numFmtId="166" fontId="9" fillId="0" borderId="0" applyAlignment="1" pivotButton="0" quotePrefix="0" xfId="0">
      <alignment horizontal="center" vertical="center"/>
    </xf>
    <xf numFmtId="3" fontId="10" fillId="0" borderId="3" applyAlignment="1" pivotButton="0" quotePrefix="0" xfId="0">
      <alignment horizontal="center" vertical="center"/>
    </xf>
    <xf numFmtId="164" fontId="8" fillId="0" borderId="3" applyAlignment="1" pivotButton="0" quotePrefix="0" xfId="0">
      <alignment horizontal="center" vertical="center"/>
    </xf>
    <xf numFmtId="164" fontId="8" fillId="0" borderId="0" applyAlignment="1" pivotButton="0" quotePrefix="0" xfId="0">
      <alignment horizontal="center" vertical="center"/>
    </xf>
    <xf numFmtId="164" fontId="11" fillId="0" borderId="3" applyAlignment="1" pivotButton="0" quotePrefix="0" xfId="0">
      <alignment horizontal="center" vertical="center"/>
    </xf>
    <xf numFmtId="164" fontId="11" fillId="0" borderId="0" applyAlignment="1" pivotButton="0" quotePrefix="0" xfId="0">
      <alignment horizontal="center" vertical="center"/>
    </xf>
    <xf numFmtId="0" fontId="0" fillId="0" borderId="3" pivotButton="0" quotePrefix="0" xfId="0"/>
    <xf numFmtId="0" fontId="12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4" fillId="3" borderId="0" applyAlignment="1" pivotButton="0" quotePrefix="0" xfId="0">
      <alignment horizontal="center" vertical="center"/>
    </xf>
    <xf numFmtId="0" fontId="13" fillId="0" borderId="0" pivotButton="0" quotePrefix="0" xfId="0"/>
    <xf numFmtId="0" fontId="8" fillId="0" borderId="0" applyAlignment="1" pivotButton="0" quotePrefix="0" xfId="0">
      <alignment horizontal="left" vertical="center" indent="1"/>
    </xf>
    <xf numFmtId="167" fontId="8" fillId="0" borderId="3" applyAlignment="1" pivotButton="0" quotePrefix="0" xfId="0">
      <alignment horizontal="center" vertical="center"/>
    </xf>
    <xf numFmtId="167" fontId="8" fillId="0" borderId="0" applyAlignment="1" pivotButton="0" quotePrefix="0" xfId="0">
      <alignment horizontal="center" vertical="center"/>
    </xf>
    <xf numFmtId="168" fontId="8" fillId="0" borderId="3" applyAlignment="1" pivotButton="0" quotePrefix="0" xfId="0">
      <alignment horizontal="center" vertical="center"/>
    </xf>
    <xf numFmtId="168" fontId="8" fillId="0" borderId="0" applyAlignment="1" pivotButton="0" quotePrefix="0" xfId="0">
      <alignment horizontal="center" vertical="center"/>
    </xf>
    <xf numFmtId="0" fontId="15" fillId="0" borderId="0" pivotButton="0" quotePrefix="0" xfId="0"/>
    <xf numFmtId="0" fontId="16" fillId="6" borderId="0" pivotButton="0" quotePrefix="0" xfId="0"/>
  </cellXfs>
  <cellStyles count="1">
    <cellStyle name="Normal" xfId="0" builtinId="0" hidden="0"/>
  </cellStyles>
  <dxfs count="1">
    <dxf>
      <font>
        <name val="맑은 고딕"/>
        <b val="1"/>
        <color rgb="00FF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C123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4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outlineLevel="1" width="11" customWidth="1" min="8" max="8"/>
    <col outlineLevel="1" width="11" customWidth="1" min="9" max="9"/>
    <col outlineLevel="1" width="11" customWidth="1" min="10" max="10"/>
    <col outlineLevel="1" width="11" customWidth="1" min="11" max="11"/>
    <col outlineLevel="1" width="11" customWidth="1" min="12" max="12"/>
    <col outlineLevel="1" width="11" customWidth="1" min="13" max="13"/>
    <col outlineLevel="1"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</cols>
  <sheetData>
    <row r="1" ht="30" customHeight="1">
      <c r="A1" s="1" t="inlineStr">
        <is>
          <t>6988 Model</t>
        </is>
      </c>
    </row>
    <row r="2">
      <c r="A2" s="2" t="inlineStr">
        <is>
          <t>모를 땐 보수적으로</t>
        </is>
      </c>
      <c r="B2" s="3" t="inlineStr">
        <is>
          <t>(단위: 백만엔)</t>
        </is>
      </c>
      <c r="C2" s="3" t="inlineStr">
        <is>
          <t>3월 결산 · IFRS · 2026.4Q = 2026년 3월 결산기 4분기</t>
        </is>
      </c>
      <c r="Y2" s="4" t="inlineStr">
        <is>
          <t>(추정: 파란 글씨 = 직접 입력)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2024.1Q</t>
        </is>
      </c>
      <c r="D3" s="5" t="inlineStr">
        <is>
          <t>2024.2Q</t>
        </is>
      </c>
      <c r="E3" s="5" t="inlineStr">
        <is>
          <t>2024.3Q</t>
        </is>
      </c>
      <c r="F3" s="5" t="inlineStr">
        <is>
          <t>2024.4Q</t>
        </is>
      </c>
      <c r="G3" s="5" t="inlineStr">
        <is>
          <t>2025.1Q</t>
        </is>
      </c>
      <c r="H3" s="5" t="inlineStr">
        <is>
          <t>2025.2Q</t>
        </is>
      </c>
      <c r="I3" s="5" t="inlineStr">
        <is>
          <t>2025.3Q</t>
        </is>
      </c>
      <c r="J3" s="5" t="inlineStr">
        <is>
          <t>2025.4Q</t>
        </is>
      </c>
      <c r="K3" s="5" t="inlineStr">
        <is>
          <t>2026.1Q</t>
        </is>
      </c>
      <c r="L3" s="5" t="inlineStr">
        <is>
          <t>2026.2Q</t>
        </is>
      </c>
      <c r="M3" s="5" t="inlineStr">
        <is>
          <t>2026.3Q</t>
        </is>
      </c>
      <c r="N3" s="5" t="inlineStr">
        <is>
          <t>2026.4Q</t>
        </is>
      </c>
      <c r="O3" s="6" t="inlineStr">
        <is>
          <t>2017</t>
        </is>
      </c>
      <c r="P3" s="5" t="inlineStr">
        <is>
          <t>2018</t>
        </is>
      </c>
      <c r="Q3" s="5" t="inlineStr">
        <is>
          <t>2019</t>
        </is>
      </c>
      <c r="R3" s="5" t="inlineStr">
        <is>
          <t>2020</t>
        </is>
      </c>
      <c r="S3" s="5" t="inlineStr">
        <is>
          <t>2021</t>
        </is>
      </c>
      <c r="T3" s="5" t="inlineStr">
        <is>
          <t>2022</t>
        </is>
      </c>
      <c r="U3" s="5" t="inlineStr">
        <is>
          <t>2023</t>
        </is>
      </c>
      <c r="V3" s="5" t="inlineStr">
        <is>
          <t>2024</t>
        </is>
      </c>
      <c r="W3" s="5" t="inlineStr">
        <is>
          <t>2025</t>
        </is>
      </c>
      <c r="X3" s="5" t="inlineStr">
        <is>
          <t>2026</t>
        </is>
      </c>
      <c r="Y3" s="7" t="inlineStr">
        <is>
          <t>2027(MW)</t>
        </is>
      </c>
      <c r="Z3" s="8" t="inlineStr">
        <is>
          <t>2028(MW)</t>
        </is>
      </c>
      <c r="AA3" s="8" t="inlineStr">
        <is>
          <t>2029(MW)</t>
        </is>
      </c>
      <c r="AB3" s="8" t="inlineStr">
        <is>
          <t>2030(MW)</t>
        </is>
      </c>
      <c r="AC3" s="8" t="inlineStr">
        <is>
          <t>2031(MW)</t>
        </is>
      </c>
    </row>
    <row r="4">
      <c r="A4" s="9" t="inlineStr">
        <is>
          <t>매출액</t>
        </is>
      </c>
      <c r="B4" s="10" t="inlineStr">
        <is>
          <t>MW = 제품 합계</t>
        </is>
      </c>
      <c r="C4" s="11" t="n"/>
      <c r="D4" s="12" t="n"/>
      <c r="E4" s="12" t="n"/>
      <c r="F4" s="12" t="n"/>
      <c r="G4" s="12" t="n"/>
      <c r="H4" s="12" t="n"/>
      <c r="I4" s="12" t="n"/>
      <c r="J4" s="12" t="n"/>
      <c r="K4" s="12" t="n"/>
      <c r="L4" s="12" t="n"/>
      <c r="M4" s="12" t="n"/>
      <c r="N4" s="12" t="n"/>
      <c r="O4" s="11" t="n"/>
      <c r="P4" s="12" t="n">
        <v>857376</v>
      </c>
      <c r="Q4" s="12" t="n">
        <v>806495</v>
      </c>
      <c r="R4" s="12" t="n">
        <v>741018</v>
      </c>
      <c r="S4" s="12" t="n">
        <v>761321</v>
      </c>
      <c r="T4" s="12" t="n">
        <v>853448</v>
      </c>
      <c r="U4" s="12" t="n">
        <v>929036</v>
      </c>
      <c r="V4" s="12" t="n">
        <v>915139</v>
      </c>
      <c r="W4" s="12" t="n">
        <v>1013878</v>
      </c>
      <c r="X4" s="12" t="n">
        <v>1028171</v>
      </c>
      <c r="Y4" s="11">
        <f>IF(COUNT(Y7,Y10,Y13,Y16)=0,"",SUM(Y7,Y10,Y13,Y16))</f>
        <v/>
      </c>
      <c r="Z4" s="12">
        <f>IF(COUNT(Z7,Z10,Z13,Z16)=0,"",SUM(Z7,Z10,Z13,Z16))</f>
        <v/>
      </c>
      <c r="AA4" s="12">
        <f>IF(COUNT(AA7,AA10,AA13,AA16)=0,"",SUM(AA7,AA10,AA13,AA16))</f>
        <v/>
      </c>
      <c r="AB4" s="12">
        <f>IF(COUNT(AB7,AB10,AB13,AB16)=0,"",SUM(AB7,AB10,AB13,AB16))</f>
        <v/>
      </c>
      <c r="AC4" s="12">
        <f>IF(COUNT(AC7,AC10,AC13,AC16)=0,"",SUM(AC7,AC10,AC13,AC16))</f>
        <v/>
      </c>
    </row>
    <row r="5">
      <c r="A5" s="13" t="inlineStr">
        <is>
          <t>YoY</t>
        </is>
      </c>
      <c r="B5" s="10" t="n"/>
      <c r="C5" s="14" t="n"/>
      <c r="D5" s="15" t="n"/>
      <c r="E5" s="15" t="n"/>
      <c r="F5" s="15" t="n"/>
      <c r="G5" s="15">
        <f>IF(OR(G4="",C4=""),"",IFERROR(G4/C4-1,""))</f>
        <v/>
      </c>
      <c r="H5" s="15">
        <f>IF(OR(H4="",D4=""),"",IFERROR(H4/D4-1,""))</f>
        <v/>
      </c>
      <c r="I5" s="15">
        <f>IF(OR(I4="",E4=""),"",IFERROR(I4/E4-1,""))</f>
        <v/>
      </c>
      <c r="J5" s="15">
        <f>IF(OR(J4="",F4=""),"",IFERROR(J4/F4-1,""))</f>
        <v/>
      </c>
      <c r="K5" s="15">
        <f>IF(OR(K4="",G4=""),"",IFERROR(K4/G4-1,""))</f>
        <v/>
      </c>
      <c r="L5" s="15">
        <f>IF(OR(L4="",H4=""),"",IFERROR(L4/H4-1,""))</f>
        <v/>
      </c>
      <c r="M5" s="15">
        <f>IF(OR(M4="",I4=""),"",IFERROR(M4/I4-1,""))</f>
        <v/>
      </c>
      <c r="N5" s="15">
        <f>IF(OR(N4="",J4=""),"",IFERROR(N4/J4-1,""))</f>
        <v/>
      </c>
      <c r="O5" s="14" t="n"/>
      <c r="P5" s="15">
        <f>IF(OR(P4="",O4=""),"",IFERROR(P4/O4-1,""))</f>
        <v/>
      </c>
      <c r="Q5" s="15">
        <f>IF(OR(Q4="",P4=""),"",IFERROR(Q4/P4-1,""))</f>
        <v/>
      </c>
      <c r="R5" s="15">
        <f>IF(OR(R4="",Q4=""),"",IFERROR(R4/Q4-1,""))</f>
        <v/>
      </c>
      <c r="S5" s="15">
        <f>IF(OR(S4="",R4=""),"",IFERROR(S4/R4-1,""))</f>
        <v/>
      </c>
      <c r="T5" s="15">
        <f>IF(OR(T4="",S4=""),"",IFERROR(T4/S4-1,""))</f>
        <v/>
      </c>
      <c r="U5" s="15">
        <f>IF(OR(U4="",T4=""),"",IFERROR(U4/T4-1,""))</f>
        <v/>
      </c>
      <c r="V5" s="15">
        <f>IF(OR(V4="",U4=""),"",IFERROR(V4/U4-1,""))</f>
        <v/>
      </c>
      <c r="W5" s="15">
        <f>IF(OR(W4="",V4=""),"",IFERROR(W4/V4-1,""))</f>
        <v/>
      </c>
      <c r="X5" s="15">
        <f>IF(OR(X4="",W4=""),"",IFERROR(X4/W4-1,""))</f>
        <v/>
      </c>
      <c r="Y5" s="14">
        <f>IF(OR(Y4="",X4=""),"",IFERROR(Y4/X4-1,""))</f>
        <v/>
      </c>
      <c r="Z5" s="15">
        <f>IF(OR(Z4="",Y4=""),"",IFERROR(Z4/Y4-1,""))</f>
        <v/>
      </c>
      <c r="AA5" s="15">
        <f>IF(OR(AA4="",Z4=""),"",IFERROR(AA4/Z4-1,""))</f>
        <v/>
      </c>
      <c r="AB5" s="15">
        <f>IF(OR(AB4="",AA4=""),"",IFERROR(AB4/AA4-1,""))</f>
        <v/>
      </c>
      <c r="AC5" s="15">
        <f>IF(OR(AC4="",AB4=""),"",IFERROR(AC4/AB4-1,""))</f>
        <v/>
      </c>
    </row>
    <row r="6">
      <c r="A6" s="16" t="inlineStr">
        <is>
          <t>제품별 매출 분류</t>
        </is>
      </c>
      <c r="B6" s="16" t="inlineStr">
        <is>
          <t>사업보고서 매출실적</t>
        </is>
      </c>
      <c r="C6" s="17" t="n"/>
      <c r="D6" s="16" t="n"/>
      <c r="E6" s="16" t="n"/>
      <c r="F6" s="16" t="n"/>
      <c r="G6" s="16" t="n"/>
      <c r="H6" s="16" t="n"/>
      <c r="I6" s="16" t="n"/>
      <c r="J6" s="16" t="n"/>
      <c r="K6" s="16" t="n"/>
      <c r="L6" s="16" t="n"/>
      <c r="M6" s="16" t="n"/>
      <c r="N6" s="16" t="n"/>
      <c r="O6" s="17" t="n"/>
      <c r="P6" s="16" t="n"/>
      <c r="Q6" s="16" t="n"/>
      <c r="R6" s="16" t="n"/>
      <c r="S6" s="16" t="n"/>
      <c r="T6" s="16" t="n"/>
      <c r="U6" s="16" t="n"/>
      <c r="V6" s="16" t="n"/>
      <c r="W6" s="16" t="n"/>
      <c r="X6" s="16" t="n"/>
      <c r="Y6" s="17" t="n"/>
      <c r="Z6" s="16" t="n"/>
      <c r="AA6" s="16" t="n"/>
      <c r="AB6" s="16" t="n"/>
      <c r="AC6" s="16" t="n"/>
    </row>
    <row r="7">
      <c r="A7" s="18" t="inlineStr">
        <is>
          <t>인더스트리얼 테이프</t>
        </is>
      </c>
      <c r="B7" s="10" t="n"/>
      <c r="C7" s="19" t="n"/>
      <c r="D7" s="20" t="n"/>
      <c r="E7" s="20" t="n"/>
      <c r="F7" s="20" t="n"/>
      <c r="G7" s="20" t="n"/>
      <c r="H7" s="20" t="n"/>
      <c r="I7" s="20" t="n"/>
      <c r="J7" s="20" t="n"/>
      <c r="K7" s="20" t="n"/>
      <c r="L7" s="20" t="n"/>
      <c r="M7" s="20" t="n"/>
      <c r="N7" s="20" t="n"/>
      <c r="O7" s="19" t="n"/>
      <c r="P7" s="20" t="n"/>
      <c r="Q7" s="20" t="n"/>
      <c r="R7" s="20" t="n"/>
      <c r="S7" s="20" t="n"/>
      <c r="T7" s="20" t="n"/>
      <c r="U7" s="20" t="n"/>
      <c r="V7" s="20" t="n">
        <v>333282</v>
      </c>
      <c r="W7" s="20" t="n">
        <v>348960</v>
      </c>
      <c r="X7" s="20" t="n">
        <v>364827</v>
      </c>
      <c r="Y7" s="21" t="n"/>
      <c r="Z7" s="22" t="n"/>
      <c r="AA7" s="22" t="n"/>
      <c r="AB7" s="22" t="n"/>
      <c r="AC7" s="22" t="n"/>
    </row>
    <row r="8">
      <c r="A8" s="13" t="inlineStr">
        <is>
          <t>비중</t>
        </is>
      </c>
      <c r="B8" s="10" t="n"/>
      <c r="C8" s="14">
        <f>IF(OR(C7="",C4=""),"",IFERROR(C7/C4,""))</f>
        <v/>
      </c>
      <c r="D8" s="15">
        <f>IF(OR(D7="",D4=""),"",IFERROR(D7/D4,""))</f>
        <v/>
      </c>
      <c r="E8" s="15">
        <f>IF(OR(E7="",E4=""),"",IFERROR(E7/E4,""))</f>
        <v/>
      </c>
      <c r="F8" s="15">
        <f>IF(OR(F7="",F4=""),"",IFERROR(F7/F4,""))</f>
        <v/>
      </c>
      <c r="G8" s="15">
        <f>IF(OR(G7="",G4=""),"",IFERROR(G7/G4,""))</f>
        <v/>
      </c>
      <c r="H8" s="15">
        <f>IF(OR(H7="",H4=""),"",IFERROR(H7/H4,""))</f>
        <v/>
      </c>
      <c r="I8" s="15">
        <f>IF(OR(I7="",I4=""),"",IFERROR(I7/I4,""))</f>
        <v/>
      </c>
      <c r="J8" s="15">
        <f>IF(OR(J7="",J4=""),"",IFERROR(J7/J4,""))</f>
        <v/>
      </c>
      <c r="K8" s="15">
        <f>IF(OR(K7="",K4=""),"",IFERROR(K7/K4,""))</f>
        <v/>
      </c>
      <c r="L8" s="15">
        <f>IF(OR(L7="",L4=""),"",IFERROR(L7/L4,""))</f>
        <v/>
      </c>
      <c r="M8" s="15">
        <f>IF(OR(M7="",M4=""),"",IFERROR(M7/M4,""))</f>
        <v/>
      </c>
      <c r="N8" s="15">
        <f>IF(OR(N7="",N4=""),"",IFERROR(N7/N4,""))</f>
        <v/>
      </c>
      <c r="O8" s="14">
        <f>IF(OR(O7="",O4=""),"",IFERROR(O7/O4,""))</f>
        <v/>
      </c>
      <c r="P8" s="15">
        <f>IF(OR(P7="",P4=""),"",IFERROR(P7/P4,""))</f>
        <v/>
      </c>
      <c r="Q8" s="15">
        <f>IF(OR(Q7="",Q4=""),"",IFERROR(Q7/Q4,""))</f>
        <v/>
      </c>
      <c r="R8" s="15">
        <f>IF(OR(R7="",R4=""),"",IFERROR(R7/R4,""))</f>
        <v/>
      </c>
      <c r="S8" s="15">
        <f>IF(OR(S7="",S4=""),"",IFERROR(S7/S4,""))</f>
        <v/>
      </c>
      <c r="T8" s="15">
        <f>IF(OR(T7="",T4=""),"",IFERROR(T7/T4,""))</f>
        <v/>
      </c>
      <c r="U8" s="15">
        <f>IF(OR(U7="",U4=""),"",IFERROR(U7/U4,""))</f>
        <v/>
      </c>
      <c r="V8" s="15">
        <f>IF(OR(V7="",V4=""),"",IFERROR(V7/V4,""))</f>
        <v/>
      </c>
      <c r="W8" s="15">
        <f>IF(OR(W7="",W4=""),"",IFERROR(W7/W4,""))</f>
        <v/>
      </c>
      <c r="X8" s="15">
        <f>IF(OR(X7="",X4=""),"",IFERROR(X7/X4,""))</f>
        <v/>
      </c>
      <c r="Y8" s="14">
        <f>IF(OR(Y7="",Y4=""),"",IFERROR(Y7/Y4,""))</f>
        <v/>
      </c>
      <c r="Z8" s="15">
        <f>IF(OR(Z7="",Z4=""),"",IFERROR(Z7/Z4,""))</f>
        <v/>
      </c>
      <c r="AA8" s="15">
        <f>IF(OR(AA7="",AA4=""),"",IFERROR(AA7/AA4,""))</f>
        <v/>
      </c>
      <c r="AB8" s="15">
        <f>IF(OR(AB7="",AB4=""),"",IFERROR(AB7/AB4,""))</f>
        <v/>
      </c>
      <c r="AC8" s="15">
        <f>IF(OR(AC7="",AC4=""),"",IFERROR(AC7/AC4,""))</f>
        <v/>
      </c>
    </row>
    <row r="9">
      <c r="A9" s="13" t="inlineStr">
        <is>
          <t>YoY</t>
        </is>
      </c>
      <c r="B9" s="10" t="n"/>
      <c r="C9" s="14" t="n"/>
      <c r="D9" s="15" t="n"/>
      <c r="E9" s="15" t="n"/>
      <c r="F9" s="15" t="n"/>
      <c r="G9" s="15">
        <f>IF(OR(G7="",C7=""),"",IFERROR(G7/C7-1,""))</f>
        <v/>
      </c>
      <c r="H9" s="15">
        <f>IF(OR(H7="",D7=""),"",IFERROR(H7/D7-1,""))</f>
        <v/>
      </c>
      <c r="I9" s="15">
        <f>IF(OR(I7="",E7=""),"",IFERROR(I7/E7-1,""))</f>
        <v/>
      </c>
      <c r="J9" s="15">
        <f>IF(OR(J7="",F7=""),"",IFERROR(J7/F7-1,""))</f>
        <v/>
      </c>
      <c r="K9" s="15">
        <f>IF(OR(K7="",G7=""),"",IFERROR(K7/G7-1,""))</f>
        <v/>
      </c>
      <c r="L9" s="15">
        <f>IF(OR(L7="",H7=""),"",IFERROR(L7/H7-1,""))</f>
        <v/>
      </c>
      <c r="M9" s="15">
        <f>IF(OR(M7="",I7=""),"",IFERROR(M7/I7-1,""))</f>
        <v/>
      </c>
      <c r="N9" s="15">
        <f>IF(OR(N7="",J7=""),"",IFERROR(N7/J7-1,""))</f>
        <v/>
      </c>
      <c r="O9" s="14" t="n"/>
      <c r="P9" s="15">
        <f>IF(OR(P7="",O7=""),"",IFERROR(P7/O7-1,""))</f>
        <v/>
      </c>
      <c r="Q9" s="15">
        <f>IF(OR(Q7="",P7=""),"",IFERROR(Q7/P7-1,""))</f>
        <v/>
      </c>
      <c r="R9" s="15">
        <f>IF(OR(R7="",Q7=""),"",IFERROR(R7/Q7-1,""))</f>
        <v/>
      </c>
      <c r="S9" s="15">
        <f>IF(OR(S7="",R7=""),"",IFERROR(S7/R7-1,""))</f>
        <v/>
      </c>
      <c r="T9" s="15">
        <f>IF(OR(T7="",S7=""),"",IFERROR(T7/S7-1,""))</f>
        <v/>
      </c>
      <c r="U9" s="15">
        <f>IF(OR(U7="",T7=""),"",IFERROR(U7/T7-1,""))</f>
        <v/>
      </c>
      <c r="V9" s="15">
        <f>IF(OR(V7="",U7=""),"",IFERROR(V7/U7-1,""))</f>
        <v/>
      </c>
      <c r="W9" s="15">
        <f>IF(OR(W7="",V7=""),"",IFERROR(W7/V7-1,""))</f>
        <v/>
      </c>
      <c r="X9" s="15">
        <f>IF(OR(X7="",W7=""),"",IFERROR(X7/W7-1,""))</f>
        <v/>
      </c>
      <c r="Y9" s="14">
        <f>IF(OR(Y7="",X7=""),"",IFERROR(Y7/X7-1,""))</f>
        <v/>
      </c>
      <c r="Z9" s="15">
        <f>IF(OR(Z7="",Y7=""),"",IFERROR(Z7/Y7-1,""))</f>
        <v/>
      </c>
      <c r="AA9" s="15">
        <f>IF(OR(AA7="",Z7=""),"",IFERROR(AA7/Z7-1,""))</f>
        <v/>
      </c>
      <c r="AB9" s="15">
        <f>IF(OR(AB7="",AA7=""),"",IFERROR(AB7/AA7-1,""))</f>
        <v/>
      </c>
      <c r="AC9" s="15">
        <f>IF(OR(AC7="",AB7=""),"",IFERROR(AC7/AB7-1,""))</f>
        <v/>
      </c>
    </row>
    <row r="10">
      <c r="A10" s="18" t="inlineStr">
        <is>
          <t>옵트로닉스</t>
        </is>
      </c>
      <c r="B10" s="10" t="n"/>
      <c r="C10" s="19" t="n"/>
      <c r="D10" s="20" t="n"/>
      <c r="E10" s="20" t="n"/>
      <c r="F10" s="20" t="n"/>
      <c r="G10" s="20" t="n"/>
      <c r="H10" s="20" t="n"/>
      <c r="I10" s="20" t="n"/>
      <c r="J10" s="20" t="n"/>
      <c r="K10" s="20" t="n"/>
      <c r="L10" s="20" t="n"/>
      <c r="M10" s="20" t="n"/>
      <c r="N10" s="20" t="n"/>
      <c r="O10" s="19" t="n"/>
      <c r="P10" s="20" t="n"/>
      <c r="Q10" s="20" t="n"/>
      <c r="R10" s="20" t="n"/>
      <c r="S10" s="20" t="n"/>
      <c r="T10" s="20" t="n"/>
      <c r="U10" s="20" t="n"/>
      <c r="V10" s="20" t="n">
        <v>463890</v>
      </c>
      <c r="W10" s="20" t="n">
        <v>537852</v>
      </c>
      <c r="X10" s="20" t="n">
        <v>524598</v>
      </c>
      <c r="Y10" s="21" t="n"/>
      <c r="Z10" s="22" t="n"/>
      <c r="AA10" s="22" t="n"/>
      <c r="AB10" s="22" t="n"/>
      <c r="AC10" s="22" t="n"/>
    </row>
    <row r="11">
      <c r="A11" s="13" t="inlineStr">
        <is>
          <t>비중</t>
        </is>
      </c>
      <c r="B11" s="10" t="n"/>
      <c r="C11" s="14">
        <f>IF(OR(C10="",C4=""),"",IFERROR(C10/C4,""))</f>
        <v/>
      </c>
      <c r="D11" s="15">
        <f>IF(OR(D10="",D4=""),"",IFERROR(D10/D4,""))</f>
        <v/>
      </c>
      <c r="E11" s="15">
        <f>IF(OR(E10="",E4=""),"",IFERROR(E10/E4,""))</f>
        <v/>
      </c>
      <c r="F11" s="15">
        <f>IF(OR(F10="",F4=""),"",IFERROR(F10/F4,""))</f>
        <v/>
      </c>
      <c r="G11" s="15">
        <f>IF(OR(G10="",G4=""),"",IFERROR(G10/G4,""))</f>
        <v/>
      </c>
      <c r="H11" s="15">
        <f>IF(OR(H10="",H4=""),"",IFERROR(H10/H4,""))</f>
        <v/>
      </c>
      <c r="I11" s="15">
        <f>IF(OR(I10="",I4=""),"",IFERROR(I10/I4,""))</f>
        <v/>
      </c>
      <c r="J11" s="15">
        <f>IF(OR(J10="",J4=""),"",IFERROR(J10/J4,""))</f>
        <v/>
      </c>
      <c r="K11" s="15">
        <f>IF(OR(K10="",K4=""),"",IFERROR(K10/K4,""))</f>
        <v/>
      </c>
      <c r="L11" s="15">
        <f>IF(OR(L10="",L4=""),"",IFERROR(L10/L4,""))</f>
        <v/>
      </c>
      <c r="M11" s="15">
        <f>IF(OR(M10="",M4=""),"",IFERROR(M10/M4,""))</f>
        <v/>
      </c>
      <c r="N11" s="15">
        <f>IF(OR(N10="",N4=""),"",IFERROR(N10/N4,""))</f>
        <v/>
      </c>
      <c r="O11" s="14">
        <f>IF(OR(O10="",O4=""),"",IFERROR(O10/O4,""))</f>
        <v/>
      </c>
      <c r="P11" s="15">
        <f>IF(OR(P10="",P4=""),"",IFERROR(P10/P4,""))</f>
        <v/>
      </c>
      <c r="Q11" s="15">
        <f>IF(OR(Q10="",Q4=""),"",IFERROR(Q10/Q4,""))</f>
        <v/>
      </c>
      <c r="R11" s="15">
        <f>IF(OR(R10="",R4=""),"",IFERROR(R10/R4,""))</f>
        <v/>
      </c>
      <c r="S11" s="15">
        <f>IF(OR(S10="",S4=""),"",IFERROR(S10/S4,""))</f>
        <v/>
      </c>
      <c r="T11" s="15">
        <f>IF(OR(T10="",T4=""),"",IFERROR(T10/T4,""))</f>
        <v/>
      </c>
      <c r="U11" s="15">
        <f>IF(OR(U10="",U4=""),"",IFERROR(U10/U4,""))</f>
        <v/>
      </c>
      <c r="V11" s="15">
        <f>IF(OR(V10="",V4=""),"",IFERROR(V10/V4,""))</f>
        <v/>
      </c>
      <c r="W11" s="15">
        <f>IF(OR(W10="",W4=""),"",IFERROR(W10/W4,""))</f>
        <v/>
      </c>
      <c r="X11" s="15">
        <f>IF(OR(X10="",X4=""),"",IFERROR(X10/X4,""))</f>
        <v/>
      </c>
      <c r="Y11" s="14">
        <f>IF(OR(Y10="",Y4=""),"",IFERROR(Y10/Y4,""))</f>
        <v/>
      </c>
      <c r="Z11" s="15">
        <f>IF(OR(Z10="",Z4=""),"",IFERROR(Z10/Z4,""))</f>
        <v/>
      </c>
      <c r="AA11" s="15">
        <f>IF(OR(AA10="",AA4=""),"",IFERROR(AA10/AA4,""))</f>
        <v/>
      </c>
      <c r="AB11" s="15">
        <f>IF(OR(AB10="",AB4=""),"",IFERROR(AB10/AB4,""))</f>
        <v/>
      </c>
      <c r="AC11" s="15">
        <f>IF(OR(AC10="",AC4=""),"",IFERROR(AC10/AC4,""))</f>
        <v/>
      </c>
    </row>
    <row r="12">
      <c r="A12" s="13" t="inlineStr">
        <is>
          <t>YoY</t>
        </is>
      </c>
      <c r="B12" s="10" t="n"/>
      <c r="C12" s="14" t="n"/>
      <c r="D12" s="15" t="n"/>
      <c r="E12" s="15" t="n"/>
      <c r="F12" s="15" t="n"/>
      <c r="G12" s="15">
        <f>IF(OR(G10="",C10=""),"",IFERROR(G10/C10-1,""))</f>
        <v/>
      </c>
      <c r="H12" s="15">
        <f>IF(OR(H10="",D10=""),"",IFERROR(H10/D10-1,""))</f>
        <v/>
      </c>
      <c r="I12" s="15">
        <f>IF(OR(I10="",E10=""),"",IFERROR(I10/E10-1,""))</f>
        <v/>
      </c>
      <c r="J12" s="15">
        <f>IF(OR(J10="",F10=""),"",IFERROR(J10/F10-1,""))</f>
        <v/>
      </c>
      <c r="K12" s="15">
        <f>IF(OR(K10="",G10=""),"",IFERROR(K10/G10-1,""))</f>
        <v/>
      </c>
      <c r="L12" s="15">
        <f>IF(OR(L10="",H10=""),"",IFERROR(L10/H10-1,""))</f>
        <v/>
      </c>
      <c r="M12" s="15">
        <f>IF(OR(M10="",I10=""),"",IFERROR(M10/I10-1,""))</f>
        <v/>
      </c>
      <c r="N12" s="15">
        <f>IF(OR(N10="",J10=""),"",IFERROR(N10/J10-1,""))</f>
        <v/>
      </c>
      <c r="O12" s="14" t="n"/>
      <c r="P12" s="15">
        <f>IF(OR(P10="",O10=""),"",IFERROR(P10/O10-1,""))</f>
        <v/>
      </c>
      <c r="Q12" s="15">
        <f>IF(OR(Q10="",P10=""),"",IFERROR(Q10/P10-1,""))</f>
        <v/>
      </c>
      <c r="R12" s="15">
        <f>IF(OR(R10="",Q10=""),"",IFERROR(R10/Q10-1,""))</f>
        <v/>
      </c>
      <c r="S12" s="15">
        <f>IF(OR(S10="",R10=""),"",IFERROR(S10/R10-1,""))</f>
        <v/>
      </c>
      <c r="T12" s="15">
        <f>IF(OR(T10="",S10=""),"",IFERROR(T10/S10-1,""))</f>
        <v/>
      </c>
      <c r="U12" s="15">
        <f>IF(OR(U10="",T10=""),"",IFERROR(U10/T10-1,""))</f>
        <v/>
      </c>
      <c r="V12" s="15">
        <f>IF(OR(V10="",U10=""),"",IFERROR(V10/U10-1,""))</f>
        <v/>
      </c>
      <c r="W12" s="15">
        <f>IF(OR(W10="",V10=""),"",IFERROR(W10/V10-1,""))</f>
        <v/>
      </c>
      <c r="X12" s="15">
        <f>IF(OR(X10="",W10=""),"",IFERROR(X10/W10-1,""))</f>
        <v/>
      </c>
      <c r="Y12" s="14">
        <f>IF(OR(Y10="",X10=""),"",IFERROR(Y10/X10-1,""))</f>
        <v/>
      </c>
      <c r="Z12" s="15">
        <f>IF(OR(Z10="",Y10=""),"",IFERROR(Z10/Y10-1,""))</f>
        <v/>
      </c>
      <c r="AA12" s="15">
        <f>IF(OR(AA10="",Z10=""),"",IFERROR(AA10/Z10-1,""))</f>
        <v/>
      </c>
      <c r="AB12" s="15">
        <f>IF(OR(AB10="",AA10=""),"",IFERROR(AB10/AA10-1,""))</f>
        <v/>
      </c>
      <c r="AC12" s="15">
        <f>IF(OR(AC10="",AB10=""),"",IFERROR(AC10/AB10-1,""))</f>
        <v/>
      </c>
    </row>
    <row r="13">
      <c r="A13" s="18" t="inlineStr">
        <is>
          <t>휴먼라이프</t>
        </is>
      </c>
      <c r="B13" s="10" t="n"/>
      <c r="C13" s="19" t="n"/>
      <c r="D13" s="20" t="n"/>
      <c r="E13" s="20" t="n"/>
      <c r="F13" s="20" t="n"/>
      <c r="G13" s="20" t="n"/>
      <c r="H13" s="20" t="n"/>
      <c r="I13" s="20" t="n"/>
      <c r="J13" s="20" t="n"/>
      <c r="K13" s="20" t="n"/>
      <c r="L13" s="20" t="n"/>
      <c r="M13" s="20" t="n"/>
      <c r="N13" s="20" t="n"/>
      <c r="O13" s="19" t="n"/>
      <c r="P13" s="20" t="n"/>
      <c r="Q13" s="20" t="n"/>
      <c r="R13" s="20" t="n"/>
      <c r="S13" s="20" t="n"/>
      <c r="T13" s="20" t="n"/>
      <c r="U13" s="20" t="n"/>
      <c r="V13" s="20" t="n">
        <v>116629</v>
      </c>
      <c r="W13" s="20" t="n">
        <v>125570</v>
      </c>
      <c r="X13" s="20" t="n">
        <v>137246</v>
      </c>
      <c r="Y13" s="21" t="n"/>
      <c r="Z13" s="22" t="n"/>
      <c r="AA13" s="22" t="n"/>
      <c r="AB13" s="22" t="n"/>
      <c r="AC13" s="22" t="n"/>
    </row>
    <row r="14">
      <c r="A14" s="13" t="inlineStr">
        <is>
          <t>비중</t>
        </is>
      </c>
      <c r="B14" s="10" t="n"/>
      <c r="C14" s="14">
        <f>IF(OR(C13="",C4=""),"",IFERROR(C13/C4,""))</f>
        <v/>
      </c>
      <c r="D14" s="15">
        <f>IF(OR(D13="",D4=""),"",IFERROR(D13/D4,""))</f>
        <v/>
      </c>
      <c r="E14" s="15">
        <f>IF(OR(E13="",E4=""),"",IFERROR(E13/E4,""))</f>
        <v/>
      </c>
      <c r="F14" s="15">
        <f>IF(OR(F13="",F4=""),"",IFERROR(F13/F4,""))</f>
        <v/>
      </c>
      <c r="G14" s="15">
        <f>IF(OR(G13="",G4=""),"",IFERROR(G13/G4,""))</f>
        <v/>
      </c>
      <c r="H14" s="15">
        <f>IF(OR(H13="",H4=""),"",IFERROR(H13/H4,""))</f>
        <v/>
      </c>
      <c r="I14" s="15">
        <f>IF(OR(I13="",I4=""),"",IFERROR(I13/I4,""))</f>
        <v/>
      </c>
      <c r="J14" s="15">
        <f>IF(OR(J13="",J4=""),"",IFERROR(J13/J4,""))</f>
        <v/>
      </c>
      <c r="K14" s="15">
        <f>IF(OR(K13="",K4=""),"",IFERROR(K13/K4,""))</f>
        <v/>
      </c>
      <c r="L14" s="15">
        <f>IF(OR(L13="",L4=""),"",IFERROR(L13/L4,""))</f>
        <v/>
      </c>
      <c r="M14" s="15">
        <f>IF(OR(M13="",M4=""),"",IFERROR(M13/M4,""))</f>
        <v/>
      </c>
      <c r="N14" s="15">
        <f>IF(OR(N13="",N4=""),"",IFERROR(N13/N4,""))</f>
        <v/>
      </c>
      <c r="O14" s="14">
        <f>IF(OR(O13="",O4=""),"",IFERROR(O13/O4,""))</f>
        <v/>
      </c>
      <c r="P14" s="15">
        <f>IF(OR(P13="",P4=""),"",IFERROR(P13/P4,""))</f>
        <v/>
      </c>
      <c r="Q14" s="15">
        <f>IF(OR(Q13="",Q4=""),"",IFERROR(Q13/Q4,""))</f>
        <v/>
      </c>
      <c r="R14" s="15">
        <f>IF(OR(R13="",R4=""),"",IFERROR(R13/R4,""))</f>
        <v/>
      </c>
      <c r="S14" s="15">
        <f>IF(OR(S13="",S4=""),"",IFERROR(S13/S4,""))</f>
        <v/>
      </c>
      <c r="T14" s="15">
        <f>IF(OR(T13="",T4=""),"",IFERROR(T13/T4,""))</f>
        <v/>
      </c>
      <c r="U14" s="15">
        <f>IF(OR(U13="",U4=""),"",IFERROR(U13/U4,""))</f>
        <v/>
      </c>
      <c r="V14" s="15">
        <f>IF(OR(V13="",V4=""),"",IFERROR(V13/V4,""))</f>
        <v/>
      </c>
      <c r="W14" s="15">
        <f>IF(OR(W13="",W4=""),"",IFERROR(W13/W4,""))</f>
        <v/>
      </c>
      <c r="X14" s="15">
        <f>IF(OR(X13="",X4=""),"",IFERROR(X13/X4,""))</f>
        <v/>
      </c>
      <c r="Y14" s="14">
        <f>IF(OR(Y13="",Y4=""),"",IFERROR(Y13/Y4,""))</f>
        <v/>
      </c>
      <c r="Z14" s="15">
        <f>IF(OR(Z13="",Z4=""),"",IFERROR(Z13/Z4,""))</f>
        <v/>
      </c>
      <c r="AA14" s="15">
        <f>IF(OR(AA13="",AA4=""),"",IFERROR(AA13/AA4,""))</f>
        <v/>
      </c>
      <c r="AB14" s="15">
        <f>IF(OR(AB13="",AB4=""),"",IFERROR(AB13/AB4,""))</f>
        <v/>
      </c>
      <c r="AC14" s="15">
        <f>IF(OR(AC13="",AC4=""),"",IFERROR(AC13/AC4,""))</f>
        <v/>
      </c>
    </row>
    <row r="15">
      <c r="A15" s="13" t="inlineStr">
        <is>
          <t>YoY</t>
        </is>
      </c>
      <c r="B15" s="10" t="n"/>
      <c r="C15" s="14" t="n"/>
      <c r="D15" s="15" t="n"/>
      <c r="E15" s="15" t="n"/>
      <c r="F15" s="15" t="n"/>
      <c r="G15" s="15">
        <f>IF(OR(G13="",C13=""),"",IFERROR(G13/C13-1,""))</f>
        <v/>
      </c>
      <c r="H15" s="15">
        <f>IF(OR(H13="",D13=""),"",IFERROR(H13/D13-1,""))</f>
        <v/>
      </c>
      <c r="I15" s="15">
        <f>IF(OR(I13="",E13=""),"",IFERROR(I13/E13-1,""))</f>
        <v/>
      </c>
      <c r="J15" s="15">
        <f>IF(OR(J13="",F13=""),"",IFERROR(J13/F13-1,""))</f>
        <v/>
      </c>
      <c r="K15" s="15">
        <f>IF(OR(K13="",G13=""),"",IFERROR(K13/G13-1,""))</f>
        <v/>
      </c>
      <c r="L15" s="15">
        <f>IF(OR(L13="",H13=""),"",IFERROR(L13/H13-1,""))</f>
        <v/>
      </c>
      <c r="M15" s="15">
        <f>IF(OR(M13="",I13=""),"",IFERROR(M13/I13-1,""))</f>
        <v/>
      </c>
      <c r="N15" s="15">
        <f>IF(OR(N13="",J13=""),"",IFERROR(N13/J13-1,""))</f>
        <v/>
      </c>
      <c r="O15" s="14" t="n"/>
      <c r="P15" s="15">
        <f>IF(OR(P13="",O13=""),"",IFERROR(P13/O13-1,""))</f>
        <v/>
      </c>
      <c r="Q15" s="15">
        <f>IF(OR(Q13="",P13=""),"",IFERROR(Q13/P13-1,""))</f>
        <v/>
      </c>
      <c r="R15" s="15">
        <f>IF(OR(R13="",Q13=""),"",IFERROR(R13/Q13-1,""))</f>
        <v/>
      </c>
      <c r="S15" s="15">
        <f>IF(OR(S13="",R13=""),"",IFERROR(S13/R13-1,""))</f>
        <v/>
      </c>
      <c r="T15" s="15">
        <f>IF(OR(T13="",S13=""),"",IFERROR(T13/S13-1,""))</f>
        <v/>
      </c>
      <c r="U15" s="15">
        <f>IF(OR(U13="",T13=""),"",IFERROR(U13/T13-1,""))</f>
        <v/>
      </c>
      <c r="V15" s="15">
        <f>IF(OR(V13="",U13=""),"",IFERROR(V13/U13-1,""))</f>
        <v/>
      </c>
      <c r="W15" s="15">
        <f>IF(OR(W13="",V13=""),"",IFERROR(W13/V13-1,""))</f>
        <v/>
      </c>
      <c r="X15" s="15">
        <f>IF(OR(X13="",W13=""),"",IFERROR(X13/W13-1,""))</f>
        <v/>
      </c>
      <c r="Y15" s="14">
        <f>IF(OR(Y13="",X13=""),"",IFERROR(Y13/X13-1,""))</f>
        <v/>
      </c>
      <c r="Z15" s="15">
        <f>IF(OR(Z13="",Y13=""),"",IFERROR(Z13/Y13-1,""))</f>
        <v/>
      </c>
      <c r="AA15" s="15">
        <f>IF(OR(AA13="",Z13=""),"",IFERROR(AA13/Z13-1,""))</f>
        <v/>
      </c>
      <c r="AB15" s="15">
        <f>IF(OR(AB13="",AA13=""),"",IFERROR(AB13/AA13-1,""))</f>
        <v/>
      </c>
      <c r="AC15" s="15">
        <f>IF(OR(AC13="",AB13=""),"",IFERROR(AC13/AB13-1,""))</f>
        <v/>
      </c>
    </row>
    <row r="16">
      <c r="A16" s="18" t="inlineStr">
        <is>
          <t>기타</t>
        </is>
      </c>
      <c r="B16" s="10" t="n"/>
      <c r="C16" s="19" t="n"/>
      <c r="D16" s="20" t="n"/>
      <c r="E16" s="20" t="n"/>
      <c r="F16" s="20" t="n"/>
      <c r="G16" s="20" t="n"/>
      <c r="H16" s="20" t="n"/>
      <c r="I16" s="20" t="n"/>
      <c r="J16" s="20" t="n"/>
      <c r="K16" s="20" t="n"/>
      <c r="L16" s="20" t="n"/>
      <c r="M16" s="20" t="n"/>
      <c r="N16" s="20" t="n"/>
      <c r="O16" s="19" t="n"/>
      <c r="P16" s="20" t="n"/>
      <c r="Q16" s="20" t="n"/>
      <c r="R16" s="20" t="n"/>
      <c r="S16" s="20" t="n"/>
      <c r="T16" s="20" t="n"/>
      <c r="U16" s="20" t="n"/>
      <c r="V16" s="20" t="n">
        <v>12</v>
      </c>
      <c r="W16" s="20" t="n">
        <v>19</v>
      </c>
      <c r="X16" s="20" t="n">
        <v>11</v>
      </c>
      <c r="Y16" s="21" t="n"/>
      <c r="Z16" s="22" t="n"/>
      <c r="AA16" s="22" t="n"/>
      <c r="AB16" s="22" t="n"/>
      <c r="AC16" s="22" t="n"/>
    </row>
    <row r="17">
      <c r="A17" s="13" t="inlineStr">
        <is>
          <t>비중</t>
        </is>
      </c>
      <c r="B17" s="10" t="n"/>
      <c r="C17" s="14">
        <f>IF(OR(C16="",C4=""),"",IFERROR(C16/C4,""))</f>
        <v/>
      </c>
      <c r="D17" s="15">
        <f>IF(OR(D16="",D4=""),"",IFERROR(D16/D4,""))</f>
        <v/>
      </c>
      <c r="E17" s="15">
        <f>IF(OR(E16="",E4=""),"",IFERROR(E16/E4,""))</f>
        <v/>
      </c>
      <c r="F17" s="15">
        <f>IF(OR(F16="",F4=""),"",IFERROR(F16/F4,""))</f>
        <v/>
      </c>
      <c r="G17" s="15">
        <f>IF(OR(G16="",G4=""),"",IFERROR(G16/G4,""))</f>
        <v/>
      </c>
      <c r="H17" s="15">
        <f>IF(OR(H16="",H4=""),"",IFERROR(H16/H4,""))</f>
        <v/>
      </c>
      <c r="I17" s="15">
        <f>IF(OR(I16="",I4=""),"",IFERROR(I16/I4,""))</f>
        <v/>
      </c>
      <c r="J17" s="15">
        <f>IF(OR(J16="",J4=""),"",IFERROR(J16/J4,""))</f>
        <v/>
      </c>
      <c r="K17" s="15">
        <f>IF(OR(K16="",K4=""),"",IFERROR(K16/K4,""))</f>
        <v/>
      </c>
      <c r="L17" s="15">
        <f>IF(OR(L16="",L4=""),"",IFERROR(L16/L4,""))</f>
        <v/>
      </c>
      <c r="M17" s="15">
        <f>IF(OR(M16="",M4=""),"",IFERROR(M16/M4,""))</f>
        <v/>
      </c>
      <c r="N17" s="15">
        <f>IF(OR(N16="",N4=""),"",IFERROR(N16/N4,""))</f>
        <v/>
      </c>
      <c r="O17" s="14">
        <f>IF(OR(O16="",O4=""),"",IFERROR(O16/O4,""))</f>
        <v/>
      </c>
      <c r="P17" s="15">
        <f>IF(OR(P16="",P4=""),"",IFERROR(P16/P4,""))</f>
        <v/>
      </c>
      <c r="Q17" s="15">
        <f>IF(OR(Q16="",Q4=""),"",IFERROR(Q16/Q4,""))</f>
        <v/>
      </c>
      <c r="R17" s="15">
        <f>IF(OR(R16="",R4=""),"",IFERROR(R16/R4,""))</f>
        <v/>
      </c>
      <c r="S17" s="15">
        <f>IF(OR(S16="",S4=""),"",IFERROR(S16/S4,""))</f>
        <v/>
      </c>
      <c r="T17" s="15">
        <f>IF(OR(T16="",T4=""),"",IFERROR(T16/T4,""))</f>
        <v/>
      </c>
      <c r="U17" s="15">
        <f>IF(OR(U16="",U4=""),"",IFERROR(U16/U4,""))</f>
        <v/>
      </c>
      <c r="V17" s="15">
        <f>IF(OR(V16="",V4=""),"",IFERROR(V16/V4,""))</f>
        <v/>
      </c>
      <c r="W17" s="15">
        <f>IF(OR(W16="",W4=""),"",IFERROR(W16/W4,""))</f>
        <v/>
      </c>
      <c r="X17" s="15">
        <f>IF(OR(X16="",X4=""),"",IFERROR(X16/X4,""))</f>
        <v/>
      </c>
      <c r="Y17" s="14">
        <f>IF(OR(Y16="",Y4=""),"",IFERROR(Y16/Y4,""))</f>
        <v/>
      </c>
      <c r="Z17" s="15">
        <f>IF(OR(Z16="",Z4=""),"",IFERROR(Z16/Z4,""))</f>
        <v/>
      </c>
      <c r="AA17" s="15">
        <f>IF(OR(AA16="",AA4=""),"",IFERROR(AA16/AA4,""))</f>
        <v/>
      </c>
      <c r="AB17" s="15">
        <f>IF(OR(AB16="",AB4=""),"",IFERROR(AB16/AB4,""))</f>
        <v/>
      </c>
      <c r="AC17" s="15">
        <f>IF(OR(AC16="",AC4=""),"",IFERROR(AC16/AC4,""))</f>
        <v/>
      </c>
    </row>
    <row r="18">
      <c r="A18" s="13" t="inlineStr">
        <is>
          <t>YoY</t>
        </is>
      </c>
      <c r="B18" s="10" t="n"/>
      <c r="C18" s="14" t="n"/>
      <c r="D18" s="15" t="n"/>
      <c r="E18" s="15" t="n"/>
      <c r="F18" s="15" t="n"/>
      <c r="G18" s="15">
        <f>IF(OR(G16="",C16=""),"",IFERROR(G16/C16-1,""))</f>
        <v/>
      </c>
      <c r="H18" s="15">
        <f>IF(OR(H16="",D16=""),"",IFERROR(H16/D16-1,""))</f>
        <v/>
      </c>
      <c r="I18" s="15">
        <f>IF(OR(I16="",E16=""),"",IFERROR(I16/E16-1,""))</f>
        <v/>
      </c>
      <c r="J18" s="15">
        <f>IF(OR(J16="",F16=""),"",IFERROR(J16/F16-1,""))</f>
        <v/>
      </c>
      <c r="K18" s="15">
        <f>IF(OR(K16="",G16=""),"",IFERROR(K16/G16-1,""))</f>
        <v/>
      </c>
      <c r="L18" s="15">
        <f>IF(OR(L16="",H16=""),"",IFERROR(L16/H16-1,""))</f>
        <v/>
      </c>
      <c r="M18" s="15">
        <f>IF(OR(M16="",I16=""),"",IFERROR(M16/I16-1,""))</f>
        <v/>
      </c>
      <c r="N18" s="15">
        <f>IF(OR(N16="",J16=""),"",IFERROR(N16/J16-1,""))</f>
        <v/>
      </c>
      <c r="O18" s="14" t="n"/>
      <c r="P18" s="15">
        <f>IF(OR(P16="",O16=""),"",IFERROR(P16/O16-1,""))</f>
        <v/>
      </c>
      <c r="Q18" s="15">
        <f>IF(OR(Q16="",P16=""),"",IFERROR(Q16/P16-1,""))</f>
        <v/>
      </c>
      <c r="R18" s="15">
        <f>IF(OR(R16="",Q16=""),"",IFERROR(R16/Q16-1,""))</f>
        <v/>
      </c>
      <c r="S18" s="15">
        <f>IF(OR(S16="",R16=""),"",IFERROR(S16/R16-1,""))</f>
        <v/>
      </c>
      <c r="T18" s="15">
        <f>IF(OR(T16="",S16=""),"",IFERROR(T16/S16-1,""))</f>
        <v/>
      </c>
      <c r="U18" s="15">
        <f>IF(OR(U16="",T16=""),"",IFERROR(U16/T16-1,""))</f>
        <v/>
      </c>
      <c r="V18" s="15">
        <f>IF(OR(V16="",U16=""),"",IFERROR(V16/U16-1,""))</f>
        <v/>
      </c>
      <c r="W18" s="15">
        <f>IF(OR(W16="",V16=""),"",IFERROR(W16/V16-1,""))</f>
        <v/>
      </c>
      <c r="X18" s="15">
        <f>IF(OR(X16="",W16=""),"",IFERROR(X16/W16-1,""))</f>
        <v/>
      </c>
      <c r="Y18" s="14">
        <f>IF(OR(Y16="",X16=""),"",IFERROR(Y16/X16-1,""))</f>
        <v/>
      </c>
      <c r="Z18" s="15">
        <f>IF(OR(Z16="",Y16=""),"",IFERROR(Z16/Y16-1,""))</f>
        <v/>
      </c>
      <c r="AA18" s="15">
        <f>IF(OR(AA16="",Z16=""),"",IFERROR(AA16/Z16-1,""))</f>
        <v/>
      </c>
      <c r="AB18" s="15">
        <f>IF(OR(AB16="",AA16=""),"",IFERROR(AB16/AA16-1,""))</f>
        <v/>
      </c>
      <c r="AC18" s="15">
        <f>IF(OR(AC16="",AB16=""),"",IFERROR(AC16/AB16-1,""))</f>
        <v/>
      </c>
    </row>
    <row r="19">
      <c r="A19" s="16" t="inlineStr">
        <is>
          <t>매출원가</t>
        </is>
      </c>
      <c r="B19" s="16" t="n"/>
      <c r="C19" s="17" t="n"/>
      <c r="D19" s="16" t="n"/>
      <c r="E19" s="16" t="n"/>
      <c r="F19" s="16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7" t="n"/>
      <c r="P19" s="16" t="n"/>
      <c r="Q19" s="16" t="n"/>
      <c r="R19" s="16" t="n"/>
      <c r="S19" s="16" t="n"/>
      <c r="T19" s="16" t="n"/>
      <c r="U19" s="16" t="n"/>
      <c r="V19" s="16" t="n"/>
      <c r="W19" s="16" t="n"/>
      <c r="X19" s="16" t="n"/>
      <c r="Y19" s="17" t="n"/>
      <c r="Z19" s="16" t="n"/>
      <c r="AA19" s="16" t="n"/>
      <c r="AB19" s="16" t="n"/>
      <c r="AC19" s="16" t="n"/>
    </row>
    <row r="20">
      <c r="A20" s="18" t="inlineStr">
        <is>
          <t>전체 매출원가</t>
        </is>
      </c>
      <c r="B20" s="10" t="n"/>
      <c r="C20" s="19" t="n"/>
      <c r="D20" s="20" t="n"/>
      <c r="E20" s="20" t="n"/>
      <c r="F20" s="20" t="n"/>
      <c r="G20" s="20" t="n"/>
      <c r="H20" s="20" t="n"/>
      <c r="I20" s="20" t="n"/>
      <c r="J20" s="20" t="n"/>
      <c r="K20" s="20" t="n"/>
      <c r="L20" s="20" t="n"/>
      <c r="M20" s="20" t="n"/>
      <c r="N20" s="20" t="n"/>
      <c r="O20" s="19" t="n"/>
      <c r="P20" s="20" t="n">
        <v>574879</v>
      </c>
      <c r="Q20" s="20" t="n">
        <v>564608</v>
      </c>
      <c r="R20" s="20" t="n">
        <v>519090</v>
      </c>
      <c r="S20" s="20" t="n">
        <v>517872</v>
      </c>
      <c r="T20" s="20" t="n">
        <v>551059</v>
      </c>
      <c r="U20" s="20" t="n">
        <v>591592</v>
      </c>
      <c r="V20" s="20" t="n">
        <v>584280</v>
      </c>
      <c r="W20" s="20" t="n">
        <v>618365</v>
      </c>
      <c r="X20" s="20" t="n">
        <v>637408</v>
      </c>
      <c r="Y20" s="19" t="n"/>
      <c r="Z20" s="20" t="n"/>
      <c r="AA20" s="20" t="n"/>
      <c r="AB20" s="20" t="n"/>
      <c r="AC20" s="20" t="n"/>
    </row>
    <row r="21">
      <c r="A21" s="18" t="inlineStr">
        <is>
          <t>매출총이익</t>
        </is>
      </c>
      <c r="B21" s="10" t="n"/>
      <c r="C21" s="19">
        <f>IF(OR(C4="",C20=""),"",IFERROR(C4-C20,""))</f>
        <v/>
      </c>
      <c r="D21" s="20">
        <f>IF(OR(D4="",D20=""),"",IFERROR(D4-D20,""))</f>
        <v/>
      </c>
      <c r="E21" s="20">
        <f>IF(OR(E4="",E20=""),"",IFERROR(E4-E20,""))</f>
        <v/>
      </c>
      <c r="F21" s="20">
        <f>IF(OR(F4="",F20=""),"",IFERROR(F4-F20,""))</f>
        <v/>
      </c>
      <c r="G21" s="20">
        <f>IF(OR(G4="",G20=""),"",IFERROR(G4-G20,""))</f>
        <v/>
      </c>
      <c r="H21" s="20">
        <f>IF(OR(H4="",H20=""),"",IFERROR(H4-H20,""))</f>
        <v/>
      </c>
      <c r="I21" s="20">
        <f>IF(OR(I4="",I20=""),"",IFERROR(I4-I20,""))</f>
        <v/>
      </c>
      <c r="J21" s="20">
        <f>IF(OR(J4="",J20=""),"",IFERROR(J4-J20,""))</f>
        <v/>
      </c>
      <c r="K21" s="20">
        <f>IF(OR(K4="",K20=""),"",IFERROR(K4-K20,""))</f>
        <v/>
      </c>
      <c r="L21" s="20">
        <f>IF(OR(L4="",L20=""),"",IFERROR(L4-L20,""))</f>
        <v/>
      </c>
      <c r="M21" s="20">
        <f>IF(OR(M4="",M20=""),"",IFERROR(M4-M20,""))</f>
        <v/>
      </c>
      <c r="N21" s="20">
        <f>IF(OR(N4="",N20=""),"",IFERROR(N4-N20,""))</f>
        <v/>
      </c>
      <c r="O21" s="19">
        <f>IF(OR(O4="",O20=""),"",IFERROR(O4-O20,""))</f>
        <v/>
      </c>
      <c r="P21" s="20">
        <f>IF(OR(P4="",P20=""),"",IFERROR(P4-P20,""))</f>
        <v/>
      </c>
      <c r="Q21" s="20">
        <f>IF(OR(Q4="",Q20=""),"",IFERROR(Q4-Q20,""))</f>
        <v/>
      </c>
      <c r="R21" s="20">
        <f>IF(OR(R4="",R20=""),"",IFERROR(R4-R20,""))</f>
        <v/>
      </c>
      <c r="S21" s="20">
        <f>IF(OR(S4="",S20=""),"",IFERROR(S4-S20,""))</f>
        <v/>
      </c>
      <c r="T21" s="20">
        <f>IF(OR(T4="",T20=""),"",IFERROR(T4-T20,""))</f>
        <v/>
      </c>
      <c r="U21" s="20">
        <f>IF(OR(U4="",U20=""),"",IFERROR(U4-U20,""))</f>
        <v/>
      </c>
      <c r="V21" s="20">
        <f>IF(OR(V4="",V20=""),"",IFERROR(V4-V20,""))</f>
        <v/>
      </c>
      <c r="W21" s="20">
        <f>IF(OR(W4="",W20=""),"",IFERROR(W4-W20,""))</f>
        <v/>
      </c>
      <c r="X21" s="20">
        <f>IF(OR(X4="",X20=""),"",IFERROR(X4-X20,""))</f>
        <v/>
      </c>
      <c r="Y21" s="19" t="n"/>
      <c r="Z21" s="20" t="n"/>
      <c r="AA21" s="20" t="n"/>
      <c r="AB21" s="20" t="n"/>
      <c r="AC21" s="20" t="n"/>
    </row>
    <row r="22">
      <c r="A22" s="13" t="inlineStr">
        <is>
          <t>GPM</t>
        </is>
      </c>
      <c r="B22" s="10" t="n"/>
      <c r="C22" s="14">
        <f>IF(OR(C21="",C4=""),"",IFERROR(C21/C4,""))</f>
        <v/>
      </c>
      <c r="D22" s="15">
        <f>IF(OR(D21="",D4=""),"",IFERROR(D21/D4,""))</f>
        <v/>
      </c>
      <c r="E22" s="15">
        <f>IF(OR(E21="",E4=""),"",IFERROR(E21/E4,""))</f>
        <v/>
      </c>
      <c r="F22" s="15">
        <f>IF(OR(F21="",F4=""),"",IFERROR(F21/F4,""))</f>
        <v/>
      </c>
      <c r="G22" s="15">
        <f>IF(OR(G21="",G4=""),"",IFERROR(G21/G4,""))</f>
        <v/>
      </c>
      <c r="H22" s="15">
        <f>IF(OR(H21="",H4=""),"",IFERROR(H21/H4,""))</f>
        <v/>
      </c>
      <c r="I22" s="15">
        <f>IF(OR(I21="",I4=""),"",IFERROR(I21/I4,""))</f>
        <v/>
      </c>
      <c r="J22" s="15">
        <f>IF(OR(J21="",J4=""),"",IFERROR(J21/J4,""))</f>
        <v/>
      </c>
      <c r="K22" s="15">
        <f>IF(OR(K21="",K4=""),"",IFERROR(K21/K4,""))</f>
        <v/>
      </c>
      <c r="L22" s="15">
        <f>IF(OR(L21="",L4=""),"",IFERROR(L21/L4,""))</f>
        <v/>
      </c>
      <c r="M22" s="15">
        <f>IF(OR(M21="",M4=""),"",IFERROR(M21/M4,""))</f>
        <v/>
      </c>
      <c r="N22" s="15">
        <f>IF(OR(N21="",N4=""),"",IFERROR(N21/N4,""))</f>
        <v/>
      </c>
      <c r="O22" s="14">
        <f>IF(OR(O21="",O4=""),"",IFERROR(O21/O4,""))</f>
        <v/>
      </c>
      <c r="P22" s="15">
        <f>IF(OR(P21="",P4=""),"",IFERROR(P21/P4,""))</f>
        <v/>
      </c>
      <c r="Q22" s="15">
        <f>IF(OR(Q21="",Q4=""),"",IFERROR(Q21/Q4,""))</f>
        <v/>
      </c>
      <c r="R22" s="15">
        <f>IF(OR(R21="",R4=""),"",IFERROR(R21/R4,""))</f>
        <v/>
      </c>
      <c r="S22" s="15">
        <f>IF(OR(S21="",S4=""),"",IFERROR(S21/S4,""))</f>
        <v/>
      </c>
      <c r="T22" s="15">
        <f>IF(OR(T21="",T4=""),"",IFERROR(T21/T4,""))</f>
        <v/>
      </c>
      <c r="U22" s="15">
        <f>IF(OR(U21="",U4=""),"",IFERROR(U21/U4,""))</f>
        <v/>
      </c>
      <c r="V22" s="15">
        <f>IF(OR(V21="",V4=""),"",IFERROR(V21/V4,""))</f>
        <v/>
      </c>
      <c r="W22" s="15">
        <f>IF(OR(W21="",W4=""),"",IFERROR(W21/W4,""))</f>
        <v/>
      </c>
      <c r="X22" s="15">
        <f>IF(OR(X21="",X4=""),"",IFERROR(X21/X4,""))</f>
        <v/>
      </c>
      <c r="Y22" s="14">
        <f>IF(OR(Y21="",Y4=""),"",IFERROR(Y21/Y4,""))</f>
        <v/>
      </c>
      <c r="Z22" s="15">
        <f>IF(OR(Z21="",Z4=""),"",IFERROR(Z21/Z4,""))</f>
        <v/>
      </c>
      <c r="AA22" s="15">
        <f>IF(OR(AA21="",AA4=""),"",IFERROR(AA21/AA4,""))</f>
        <v/>
      </c>
      <c r="AB22" s="15">
        <f>IF(OR(AB21="",AB4=""),"",IFERROR(AB21/AB4,""))</f>
        <v/>
      </c>
      <c r="AC22" s="15">
        <f>IF(OR(AC21="",AC4=""),"",IFERROR(AC21/AC4,""))</f>
        <v/>
      </c>
    </row>
    <row r="23">
      <c r="A23" s="23" t="inlineStr">
        <is>
          <t>판매관리비</t>
        </is>
      </c>
      <c r="B23" s="23" t="n"/>
      <c r="C23" s="24" t="n"/>
      <c r="D23" s="23" t="n"/>
      <c r="E23" s="23" t="n"/>
      <c r="F23" s="23" t="n"/>
      <c r="G23" s="23" t="n"/>
      <c r="H23" s="23" t="n"/>
      <c r="I23" s="23" t="n"/>
      <c r="J23" s="23" t="n"/>
      <c r="K23" s="23" t="n"/>
      <c r="L23" s="23" t="n"/>
      <c r="M23" s="23" t="n"/>
      <c r="N23" s="23" t="n"/>
      <c r="O23" s="24" t="n"/>
      <c r="P23" s="23" t="n"/>
      <c r="Q23" s="23" t="n"/>
      <c r="R23" s="23" t="n"/>
      <c r="S23" s="23" t="n"/>
      <c r="T23" s="23" t="n"/>
      <c r="U23" s="23" t="n"/>
      <c r="V23" s="23" t="n"/>
      <c r="W23" s="23" t="n"/>
      <c r="X23" s="23" t="n"/>
      <c r="Y23" s="24" t="n"/>
      <c r="Z23" s="23" t="n"/>
      <c r="AA23" s="23" t="n"/>
      <c r="AB23" s="23" t="n"/>
      <c r="AC23" s="23" t="n"/>
    </row>
    <row r="24">
      <c r="A24" s="18" t="inlineStr">
        <is>
          <t>전체 판관비</t>
        </is>
      </c>
      <c r="B24" s="10" t="n"/>
      <c r="C24" s="19" t="n"/>
      <c r="D24" s="20" t="n"/>
      <c r="E24" s="20" t="n"/>
      <c r="F24" s="20" t="n"/>
      <c r="G24" s="20" t="n"/>
      <c r="H24" s="20" t="n"/>
      <c r="I24" s="20" t="n"/>
      <c r="J24" s="20" t="n"/>
      <c r="K24" s="20" t="n"/>
      <c r="L24" s="20" t="n"/>
      <c r="M24" s="20" t="n"/>
      <c r="N24" s="20" t="n"/>
      <c r="O24" s="19" t="n"/>
      <c r="P24" s="20" t="n">
        <v>118421</v>
      </c>
      <c r="Q24" s="20" t="n">
        <v>120576</v>
      </c>
      <c r="R24" s="20" t="n">
        <v>111368</v>
      </c>
      <c r="S24" s="20" t="n">
        <v>107722</v>
      </c>
      <c r="T24" s="20" t="n">
        <v>129625</v>
      </c>
      <c r="U24" s="20" t="n">
        <v>145436</v>
      </c>
      <c r="V24" s="20" t="n">
        <v>146143</v>
      </c>
      <c r="W24" s="20" t="n">
        <v>151835</v>
      </c>
      <c r="X24" s="20" t="n">
        <v>156322</v>
      </c>
      <c r="Y24" s="19" t="n"/>
      <c r="Z24" s="20" t="n"/>
      <c r="AA24" s="20" t="n"/>
      <c r="AB24" s="20" t="n"/>
      <c r="AC24" s="20" t="n"/>
    </row>
    <row r="25">
      <c r="A25" s="9" t="inlineStr">
        <is>
          <t>영업이익</t>
        </is>
      </c>
      <c r="B25" s="10" t="inlineStr">
        <is>
          <t>MW = 매출 × OPM</t>
        </is>
      </c>
      <c r="C25" s="11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  <c r="M25" s="12" t="n"/>
      <c r="N25" s="12" t="n"/>
      <c r="O25" s="11" t="n"/>
      <c r="P25" s="12" t="n">
        <v>125722</v>
      </c>
      <c r="Q25" s="12" t="n">
        <v>92777</v>
      </c>
      <c r="R25" s="12" t="n">
        <v>69733</v>
      </c>
      <c r="S25" s="12" t="n">
        <v>93809</v>
      </c>
      <c r="T25" s="12" t="n">
        <v>132260</v>
      </c>
      <c r="U25" s="12" t="n">
        <v>147173</v>
      </c>
      <c r="V25" s="12" t="n">
        <v>139132</v>
      </c>
      <c r="W25" s="12" t="n">
        <v>185667</v>
      </c>
      <c r="X25" s="12" t="n">
        <v>183615</v>
      </c>
      <c r="Y25" s="11">
        <f>IF(OR(Y4="",Y26=""),"",IFERROR(Y4*Y26,""))</f>
        <v/>
      </c>
      <c r="Z25" s="12">
        <f>IF(OR(Z4="",Z26=""),"",IFERROR(Z4*Z26,""))</f>
        <v/>
      </c>
      <c r="AA25" s="12">
        <f>IF(OR(AA4="",AA26=""),"",IFERROR(AA4*AA26,""))</f>
        <v/>
      </c>
      <c r="AB25" s="12">
        <f>IF(OR(AB4="",AB26=""),"",IFERROR(AB4*AB26,""))</f>
        <v/>
      </c>
      <c r="AC25" s="12">
        <f>IF(OR(AC4="",AC26=""),"",IFERROR(AC4*AC26,""))</f>
        <v/>
      </c>
    </row>
    <row r="26">
      <c r="A26" s="13" t="inlineStr">
        <is>
          <t>OPM</t>
        </is>
      </c>
      <c r="B26" s="10" t="inlineStr">
        <is>
          <t>MW 입력</t>
        </is>
      </c>
      <c r="C26" s="14">
        <f>IF(OR(C25="",C4=""),"",IFERROR(C25/C4,""))</f>
        <v/>
      </c>
      <c r="D26" s="15">
        <f>IF(OR(D25="",D4=""),"",IFERROR(D25/D4,""))</f>
        <v/>
      </c>
      <c r="E26" s="15">
        <f>IF(OR(E25="",E4=""),"",IFERROR(E25/E4,""))</f>
        <v/>
      </c>
      <c r="F26" s="15">
        <f>IF(OR(F25="",F4=""),"",IFERROR(F25/F4,""))</f>
        <v/>
      </c>
      <c r="G26" s="15">
        <f>IF(OR(G25="",G4=""),"",IFERROR(G25/G4,""))</f>
        <v/>
      </c>
      <c r="H26" s="15">
        <f>IF(OR(H25="",H4=""),"",IFERROR(H25/H4,""))</f>
        <v/>
      </c>
      <c r="I26" s="15">
        <f>IF(OR(I25="",I4=""),"",IFERROR(I25/I4,""))</f>
        <v/>
      </c>
      <c r="J26" s="15">
        <f>IF(OR(J25="",J4=""),"",IFERROR(J25/J4,""))</f>
        <v/>
      </c>
      <c r="K26" s="15">
        <f>IF(OR(K25="",K4=""),"",IFERROR(K25/K4,""))</f>
        <v/>
      </c>
      <c r="L26" s="15">
        <f>IF(OR(L25="",L4=""),"",IFERROR(L25/L4,""))</f>
        <v/>
      </c>
      <c r="M26" s="15">
        <f>IF(OR(M25="",M4=""),"",IFERROR(M25/M4,""))</f>
        <v/>
      </c>
      <c r="N26" s="15">
        <f>IF(OR(N25="",N4=""),"",IFERROR(N25/N4,""))</f>
        <v/>
      </c>
      <c r="O26" s="14">
        <f>IF(OR(O25="",O4=""),"",IFERROR(O25/O4,""))</f>
        <v/>
      </c>
      <c r="P26" s="15">
        <f>IF(OR(P25="",P4=""),"",IFERROR(P25/P4,""))</f>
        <v/>
      </c>
      <c r="Q26" s="15">
        <f>IF(OR(Q25="",Q4=""),"",IFERROR(Q25/Q4,""))</f>
        <v/>
      </c>
      <c r="R26" s="15">
        <f>IF(OR(R25="",R4=""),"",IFERROR(R25/R4,""))</f>
        <v/>
      </c>
      <c r="S26" s="15">
        <f>IF(OR(S25="",S4=""),"",IFERROR(S25/S4,""))</f>
        <v/>
      </c>
      <c r="T26" s="15">
        <f>IF(OR(T25="",T4=""),"",IFERROR(T25/T4,""))</f>
        <v/>
      </c>
      <c r="U26" s="15">
        <f>IF(OR(U25="",U4=""),"",IFERROR(U25/U4,""))</f>
        <v/>
      </c>
      <c r="V26" s="15">
        <f>IF(OR(V25="",V4=""),"",IFERROR(V25/V4,""))</f>
        <v/>
      </c>
      <c r="W26" s="15">
        <f>IF(OR(W25="",W4=""),"",IFERROR(W25/W4,""))</f>
        <v/>
      </c>
      <c r="X26" s="15">
        <f>IF(OR(X25="",X4=""),"",IFERROR(X25/X4,""))</f>
        <v/>
      </c>
      <c r="Y26" s="25" t="n"/>
      <c r="Z26" s="26" t="n"/>
      <c r="AA26" s="26" t="n"/>
      <c r="AB26" s="26" t="n"/>
      <c r="AC26" s="26" t="n"/>
    </row>
    <row r="27">
      <c r="A27" s="13" t="inlineStr">
        <is>
          <t>증가율</t>
        </is>
      </c>
      <c r="B27" s="10" t="n"/>
      <c r="C27" s="14" t="n"/>
      <c r="D27" s="15" t="n"/>
      <c r="E27" s="15" t="n"/>
      <c r="F27" s="15" t="n"/>
      <c r="G27" s="15">
        <f>IF(OR(G25="",C25=""),"",IFERROR(G25/C25-1,""))</f>
        <v/>
      </c>
      <c r="H27" s="15">
        <f>IF(OR(H25="",D25=""),"",IFERROR(H25/D25-1,""))</f>
        <v/>
      </c>
      <c r="I27" s="15">
        <f>IF(OR(I25="",E25=""),"",IFERROR(I25/E25-1,""))</f>
        <v/>
      </c>
      <c r="J27" s="15">
        <f>IF(OR(J25="",F25=""),"",IFERROR(J25/F25-1,""))</f>
        <v/>
      </c>
      <c r="K27" s="15">
        <f>IF(OR(K25="",G25=""),"",IFERROR(K25/G25-1,""))</f>
        <v/>
      </c>
      <c r="L27" s="15">
        <f>IF(OR(L25="",H25=""),"",IFERROR(L25/H25-1,""))</f>
        <v/>
      </c>
      <c r="M27" s="15">
        <f>IF(OR(M25="",I25=""),"",IFERROR(M25/I25-1,""))</f>
        <v/>
      </c>
      <c r="N27" s="15">
        <f>IF(OR(N25="",J25=""),"",IFERROR(N25/J25-1,""))</f>
        <v/>
      </c>
      <c r="O27" s="14" t="n"/>
      <c r="P27" s="15">
        <f>IF(OR(P25="",O25=""),"",IFERROR(P25/O25-1,""))</f>
        <v/>
      </c>
      <c r="Q27" s="15">
        <f>IF(OR(Q25="",P25=""),"",IFERROR(Q25/P25-1,""))</f>
        <v/>
      </c>
      <c r="R27" s="15">
        <f>IF(OR(R25="",Q25=""),"",IFERROR(R25/Q25-1,""))</f>
        <v/>
      </c>
      <c r="S27" s="15">
        <f>IF(OR(S25="",R25=""),"",IFERROR(S25/R25-1,""))</f>
        <v/>
      </c>
      <c r="T27" s="15">
        <f>IF(OR(T25="",S25=""),"",IFERROR(T25/S25-1,""))</f>
        <v/>
      </c>
      <c r="U27" s="15">
        <f>IF(OR(U25="",T25=""),"",IFERROR(U25/T25-1,""))</f>
        <v/>
      </c>
      <c r="V27" s="15">
        <f>IF(OR(V25="",U25=""),"",IFERROR(V25/U25-1,""))</f>
        <v/>
      </c>
      <c r="W27" s="15">
        <f>IF(OR(W25="",V25=""),"",IFERROR(W25/V25-1,""))</f>
        <v/>
      </c>
      <c r="X27" s="15">
        <f>IF(OR(X25="",W25=""),"",IFERROR(X25/W25-1,""))</f>
        <v/>
      </c>
      <c r="Y27" s="14">
        <f>IF(OR(Y25="",X25=""),"",IFERROR(Y25/X25-1,""))</f>
        <v/>
      </c>
      <c r="Z27" s="15">
        <f>IF(OR(Z25="",Y25=""),"",IFERROR(Z25/Y25-1,""))</f>
        <v/>
      </c>
      <c r="AA27" s="15">
        <f>IF(OR(AA25="",Z25=""),"",IFERROR(AA25/Z25-1,""))</f>
        <v/>
      </c>
      <c r="AB27" s="15">
        <f>IF(OR(AB25="",AA25=""),"",IFERROR(AB25/AA25-1,""))</f>
        <v/>
      </c>
      <c r="AC27" s="15">
        <f>IF(OR(AC25="",AB25=""),"",IFERROR(AC25/AB25-1,""))</f>
        <v/>
      </c>
    </row>
    <row r="28">
      <c r="A28" s="16" t="inlineStr">
        <is>
          <t>비용의 성격별 분류</t>
        </is>
      </c>
      <c r="B28" s="16" t="inlineStr">
        <is>
          <t>참고 데이터</t>
        </is>
      </c>
      <c r="C28" s="17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7" t="n"/>
      <c r="P28" s="16" t="n"/>
      <c r="Q28" s="16" t="n"/>
      <c r="R28" s="16" t="n"/>
      <c r="S28" s="16" t="n"/>
      <c r="T28" s="16" t="n"/>
      <c r="U28" s="16" t="n"/>
      <c r="V28" s="16" t="n"/>
      <c r="W28" s="16" t="n"/>
      <c r="X28" s="16" t="n"/>
      <c r="Y28" s="17" t="n"/>
      <c r="Z28" s="16" t="n"/>
      <c r="AA28" s="16" t="n"/>
      <c r="AB28" s="16" t="n"/>
      <c r="AC28" s="16" t="n"/>
    </row>
    <row r="29">
      <c r="A29" s="9" t="inlineStr">
        <is>
          <t>총 판관비</t>
        </is>
      </c>
      <c r="B29" s="10" t="n"/>
      <c r="C29" s="11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  <c r="O29" s="11">
        <f>IF(O24="","",O24)</f>
        <v/>
      </c>
      <c r="P29" s="12">
        <f>IF(P24="","",P24)</f>
        <v/>
      </c>
      <c r="Q29" s="12">
        <f>IF(Q24="","",Q24)</f>
        <v/>
      </c>
      <c r="R29" s="12">
        <f>IF(R24="","",R24)</f>
        <v/>
      </c>
      <c r="S29" s="12">
        <f>IF(S24="","",S24)</f>
        <v/>
      </c>
      <c r="T29" s="12">
        <f>IF(T24="","",T24)</f>
        <v/>
      </c>
      <c r="U29" s="12">
        <f>IF(U24="","",U24)</f>
        <v/>
      </c>
      <c r="V29" s="12">
        <f>IF(V24="","",V24)</f>
        <v/>
      </c>
      <c r="W29" s="12">
        <f>IF(W24="","",W24)</f>
        <v/>
      </c>
      <c r="X29" s="12">
        <f>IF(X24="","",X24)</f>
        <v/>
      </c>
      <c r="Y29" s="11" t="n"/>
      <c r="Z29" s="12" t="n"/>
      <c r="AA29" s="12" t="n"/>
      <c r="AB29" s="12" t="n"/>
      <c r="AC29" s="12" t="n"/>
    </row>
    <row r="30">
      <c r="A30" s="18" t="inlineStr">
        <is>
          <t>급여</t>
        </is>
      </c>
      <c r="B30" s="10" t="inlineStr">
        <is>
          <t>고정비</t>
        </is>
      </c>
      <c r="C30" s="19" t="n"/>
      <c r="D30" s="20" t="n"/>
      <c r="E30" s="20" t="n"/>
      <c r="F30" s="20" t="n"/>
      <c r="G30" s="20" t="n"/>
      <c r="H30" s="20" t="n"/>
      <c r="I30" s="20" t="n"/>
      <c r="J30" s="20" t="n"/>
      <c r="K30" s="20" t="n"/>
      <c r="L30" s="20" t="n"/>
      <c r="M30" s="20" t="n"/>
      <c r="N30" s="20" t="n"/>
      <c r="O30" s="19" t="n"/>
      <c r="P30" s="20" t="n"/>
      <c r="Q30" s="20" t="n"/>
      <c r="R30" s="20" t="n"/>
      <c r="S30" s="20" t="n"/>
      <c r="T30" s="20" t="n"/>
      <c r="U30" s="20" t="n"/>
      <c r="V30" s="20" t="n"/>
      <c r="W30" s="20" t="n"/>
      <c r="X30" s="20" t="n"/>
      <c r="Y30" s="19" t="n"/>
      <c r="Z30" s="20" t="n"/>
      <c r="AA30" s="20" t="n"/>
      <c r="AB30" s="20" t="n"/>
      <c r="AC30" s="20" t="n"/>
    </row>
    <row r="31">
      <c r="A31" s="13" t="inlineStr">
        <is>
          <t>% of Sales</t>
        </is>
      </c>
      <c r="B31" s="10" t="n"/>
      <c r="C31" s="14" t="n"/>
      <c r="D31" s="15" t="n"/>
      <c r="E31" s="15" t="n"/>
      <c r="F31" s="15" t="n"/>
      <c r="G31" s="15" t="n"/>
      <c r="H31" s="15" t="n"/>
      <c r="I31" s="15" t="n"/>
      <c r="J31" s="15" t="n"/>
      <c r="K31" s="15" t="n"/>
      <c r="L31" s="15" t="n"/>
      <c r="M31" s="15" t="n"/>
      <c r="N31" s="15" t="n"/>
      <c r="O31" s="14">
        <f>IF(OR(O30="",O4=""),"",IFERROR(O30/O4,""))</f>
        <v/>
      </c>
      <c r="P31" s="15">
        <f>IF(OR(P30="",P4=""),"",IFERROR(P30/P4,""))</f>
        <v/>
      </c>
      <c r="Q31" s="15">
        <f>IF(OR(Q30="",Q4=""),"",IFERROR(Q30/Q4,""))</f>
        <v/>
      </c>
      <c r="R31" s="15">
        <f>IF(OR(R30="",R4=""),"",IFERROR(R30/R4,""))</f>
        <v/>
      </c>
      <c r="S31" s="15">
        <f>IF(OR(S30="",S4=""),"",IFERROR(S30/S4,""))</f>
        <v/>
      </c>
      <c r="T31" s="15">
        <f>IF(OR(T30="",T4=""),"",IFERROR(T30/T4,""))</f>
        <v/>
      </c>
      <c r="U31" s="15">
        <f>IF(OR(U30="",U4=""),"",IFERROR(U30/U4,""))</f>
        <v/>
      </c>
      <c r="V31" s="15">
        <f>IF(OR(V30="",V4=""),"",IFERROR(V30/V4,""))</f>
        <v/>
      </c>
      <c r="W31" s="15">
        <f>IF(OR(W30="",W4=""),"",IFERROR(W30/W4,""))</f>
        <v/>
      </c>
      <c r="X31" s="15">
        <f>IF(OR(X30="",X4=""),"",IFERROR(X30/X4,""))</f>
        <v/>
      </c>
      <c r="Y31" s="14" t="n"/>
      <c r="Z31" s="15" t="n"/>
      <c r="AA31" s="15" t="n"/>
      <c r="AB31" s="15" t="n"/>
      <c r="AC31" s="15" t="n"/>
    </row>
    <row r="32">
      <c r="A32" s="18" t="inlineStr">
        <is>
          <t>감가상각비</t>
        </is>
      </c>
      <c r="B32" s="10" t="inlineStr">
        <is>
          <t>고정비</t>
        </is>
      </c>
      <c r="C32" s="19" t="n"/>
      <c r="D32" s="20" t="n"/>
      <c r="E32" s="20" t="n"/>
      <c r="F32" s="20" t="n"/>
      <c r="G32" s="20" t="n"/>
      <c r="H32" s="20" t="n"/>
      <c r="I32" s="20" t="n"/>
      <c r="J32" s="20" t="n"/>
      <c r="K32" s="20" t="n"/>
      <c r="L32" s="20" t="n"/>
      <c r="M32" s="20" t="n"/>
      <c r="N32" s="20" t="n"/>
      <c r="O32" s="19" t="n"/>
      <c r="P32" s="20" t="n"/>
      <c r="Q32" s="20" t="n"/>
      <c r="R32" s="20" t="n"/>
      <c r="S32" s="20" t="n"/>
      <c r="T32" s="20" t="n"/>
      <c r="U32" s="20" t="n"/>
      <c r="V32" s="20" t="n"/>
      <c r="W32" s="20" t="n"/>
      <c r="X32" s="20" t="n"/>
      <c r="Y32" s="19" t="n"/>
      <c r="Z32" s="20" t="n"/>
      <c r="AA32" s="20" t="n"/>
      <c r="AB32" s="20" t="n"/>
      <c r="AC32" s="20" t="n"/>
    </row>
    <row r="33">
      <c r="A33" s="13" t="inlineStr">
        <is>
          <t>% of Sales</t>
        </is>
      </c>
      <c r="B33" s="10" t="n"/>
      <c r="C33" s="14" t="n"/>
      <c r="D33" s="15" t="n"/>
      <c r="E33" s="15" t="n"/>
      <c r="F33" s="15" t="n"/>
      <c r="G33" s="15" t="n"/>
      <c r="H33" s="15" t="n"/>
      <c r="I33" s="15" t="n"/>
      <c r="J33" s="15" t="n"/>
      <c r="K33" s="15" t="n"/>
      <c r="L33" s="15" t="n"/>
      <c r="M33" s="15" t="n"/>
      <c r="N33" s="15" t="n"/>
      <c r="O33" s="14">
        <f>IF(OR(O32="",O4=""),"",IFERROR(O32/O4,""))</f>
        <v/>
      </c>
      <c r="P33" s="15">
        <f>IF(OR(P32="",P4=""),"",IFERROR(P32/P4,""))</f>
        <v/>
      </c>
      <c r="Q33" s="15">
        <f>IF(OR(Q32="",Q4=""),"",IFERROR(Q32/Q4,""))</f>
        <v/>
      </c>
      <c r="R33" s="15">
        <f>IF(OR(R32="",R4=""),"",IFERROR(R32/R4,""))</f>
        <v/>
      </c>
      <c r="S33" s="15">
        <f>IF(OR(S32="",S4=""),"",IFERROR(S32/S4,""))</f>
        <v/>
      </c>
      <c r="T33" s="15">
        <f>IF(OR(T32="",T4=""),"",IFERROR(T32/T4,""))</f>
        <v/>
      </c>
      <c r="U33" s="15">
        <f>IF(OR(U32="",U4=""),"",IFERROR(U32/U4,""))</f>
        <v/>
      </c>
      <c r="V33" s="15">
        <f>IF(OR(V32="",V4=""),"",IFERROR(V32/V4,""))</f>
        <v/>
      </c>
      <c r="W33" s="15">
        <f>IF(OR(W32="",W4=""),"",IFERROR(W32/W4,""))</f>
        <v/>
      </c>
      <c r="X33" s="15">
        <f>IF(OR(X32="",X4=""),"",IFERROR(X32/X4,""))</f>
        <v/>
      </c>
      <c r="Y33" s="14" t="n"/>
      <c r="Z33" s="15" t="n"/>
      <c r="AA33" s="15" t="n"/>
      <c r="AB33" s="15" t="n"/>
      <c r="AC33" s="15" t="n"/>
    </row>
    <row r="34">
      <c r="A34" s="18" t="inlineStr">
        <is>
          <t>지급수수료</t>
        </is>
      </c>
      <c r="B34" s="10" t="inlineStr">
        <is>
          <t>고정비</t>
        </is>
      </c>
      <c r="C34" s="19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19" t="n"/>
      <c r="P34" s="20" t="n"/>
      <c r="Q34" s="20" t="n"/>
      <c r="R34" s="20" t="n"/>
      <c r="S34" s="20" t="n"/>
      <c r="T34" s="20" t="n"/>
      <c r="U34" s="20" t="n"/>
      <c r="V34" s="20" t="n"/>
      <c r="W34" s="20" t="n"/>
      <c r="X34" s="20" t="n"/>
      <c r="Y34" s="19" t="n"/>
      <c r="Z34" s="20" t="n"/>
      <c r="AA34" s="20" t="n"/>
      <c r="AB34" s="20" t="n"/>
      <c r="AC34" s="20" t="n"/>
    </row>
    <row r="35">
      <c r="A35" s="13" t="inlineStr">
        <is>
          <t>% of Sales</t>
        </is>
      </c>
      <c r="B35" s="10" t="n"/>
      <c r="C35" s="14" t="n"/>
      <c r="D35" s="15" t="n"/>
      <c r="E35" s="15" t="n"/>
      <c r="F35" s="15" t="n"/>
      <c r="G35" s="15" t="n"/>
      <c r="H35" s="15" t="n"/>
      <c r="I35" s="15" t="n"/>
      <c r="J35" s="15" t="n"/>
      <c r="K35" s="15" t="n"/>
      <c r="L35" s="15" t="n"/>
      <c r="M35" s="15" t="n"/>
      <c r="N35" s="15" t="n"/>
      <c r="O35" s="14">
        <f>IF(OR(O34="",O4=""),"",IFERROR(O34/O4,""))</f>
        <v/>
      </c>
      <c r="P35" s="15">
        <f>IF(OR(P34="",P4=""),"",IFERROR(P34/P4,""))</f>
        <v/>
      </c>
      <c r="Q35" s="15">
        <f>IF(OR(Q34="",Q4=""),"",IFERROR(Q34/Q4,""))</f>
        <v/>
      </c>
      <c r="R35" s="15">
        <f>IF(OR(R34="",R4=""),"",IFERROR(R34/R4,""))</f>
        <v/>
      </c>
      <c r="S35" s="15">
        <f>IF(OR(S34="",S4=""),"",IFERROR(S34/S4,""))</f>
        <v/>
      </c>
      <c r="T35" s="15">
        <f>IF(OR(T34="",T4=""),"",IFERROR(T34/T4,""))</f>
        <v/>
      </c>
      <c r="U35" s="15">
        <f>IF(OR(U34="",U4=""),"",IFERROR(U34/U4,""))</f>
        <v/>
      </c>
      <c r="V35" s="15">
        <f>IF(OR(V34="",V4=""),"",IFERROR(V34/V4,""))</f>
        <v/>
      </c>
      <c r="W35" s="15">
        <f>IF(OR(W34="",W4=""),"",IFERROR(W34/W4,""))</f>
        <v/>
      </c>
      <c r="X35" s="15">
        <f>IF(OR(X34="",X4=""),"",IFERROR(X34/X4,""))</f>
        <v/>
      </c>
      <c r="Y35" s="14" t="n"/>
      <c r="Z35" s="15" t="n"/>
      <c r="AA35" s="15" t="n"/>
      <c r="AB35" s="15" t="n"/>
      <c r="AC35" s="15" t="n"/>
    </row>
    <row r="36">
      <c r="A36" s="18" t="inlineStr">
        <is>
          <t>연구개발비</t>
        </is>
      </c>
      <c r="B36" s="10" t="inlineStr">
        <is>
          <t>변동비</t>
        </is>
      </c>
      <c r="C36" s="19" t="n"/>
      <c r="D36" s="20" t="n"/>
      <c r="E36" s="20" t="n"/>
      <c r="F36" s="20" t="n"/>
      <c r="G36" s="20" t="n"/>
      <c r="H36" s="20" t="n"/>
      <c r="I36" s="20" t="n"/>
      <c r="J36" s="20" t="n"/>
      <c r="K36" s="20" t="n"/>
      <c r="L36" s="20" t="n"/>
      <c r="M36" s="20" t="n"/>
      <c r="N36" s="20" t="n"/>
      <c r="O36" s="19" t="n"/>
      <c r="P36" s="20" t="n"/>
      <c r="Q36" s="20" t="n"/>
      <c r="R36" s="20" t="n"/>
      <c r="S36" s="20" t="n"/>
      <c r="T36" s="20" t="n"/>
      <c r="U36" s="20" t="n"/>
      <c r="V36" s="20" t="n"/>
      <c r="W36" s="20" t="n"/>
      <c r="X36" s="20" t="n"/>
      <c r="Y36" s="19" t="n"/>
      <c r="Z36" s="20" t="n"/>
      <c r="AA36" s="20" t="n"/>
      <c r="AB36" s="20" t="n"/>
      <c r="AC36" s="20" t="n"/>
    </row>
    <row r="37">
      <c r="A37" s="13" t="inlineStr">
        <is>
          <t>% of Sales</t>
        </is>
      </c>
      <c r="B37" s="10" t="n"/>
      <c r="C37" s="14" t="n"/>
      <c r="D37" s="15" t="n"/>
      <c r="E37" s="15" t="n"/>
      <c r="F37" s="15" t="n"/>
      <c r="G37" s="15" t="n"/>
      <c r="H37" s="15" t="n"/>
      <c r="I37" s="15" t="n"/>
      <c r="J37" s="15" t="n"/>
      <c r="K37" s="15" t="n"/>
      <c r="L37" s="15" t="n"/>
      <c r="M37" s="15" t="n"/>
      <c r="N37" s="15" t="n"/>
      <c r="O37" s="14">
        <f>IF(OR(O36="",O4=""),"",IFERROR(O36/O4,""))</f>
        <v/>
      </c>
      <c r="P37" s="15">
        <f>IF(OR(P36="",P4=""),"",IFERROR(P36/P4,""))</f>
        <v/>
      </c>
      <c r="Q37" s="15">
        <f>IF(OR(Q36="",Q4=""),"",IFERROR(Q36/Q4,""))</f>
        <v/>
      </c>
      <c r="R37" s="15">
        <f>IF(OR(R36="",R4=""),"",IFERROR(R36/R4,""))</f>
        <v/>
      </c>
      <c r="S37" s="15">
        <f>IF(OR(S36="",S4=""),"",IFERROR(S36/S4,""))</f>
        <v/>
      </c>
      <c r="T37" s="15">
        <f>IF(OR(T36="",T4=""),"",IFERROR(T36/T4,""))</f>
        <v/>
      </c>
      <c r="U37" s="15">
        <f>IF(OR(U36="",U4=""),"",IFERROR(U36/U4,""))</f>
        <v/>
      </c>
      <c r="V37" s="15">
        <f>IF(OR(V36="",V4=""),"",IFERROR(V36/V4,""))</f>
        <v/>
      </c>
      <c r="W37" s="15">
        <f>IF(OR(W36="",W4=""),"",IFERROR(W36/W4,""))</f>
        <v/>
      </c>
      <c r="X37" s="15">
        <f>IF(OR(X36="",X4=""),"",IFERROR(X36/X4,""))</f>
        <v/>
      </c>
      <c r="Y37" s="14" t="n"/>
      <c r="Z37" s="15" t="n"/>
      <c r="AA37" s="15" t="n"/>
      <c r="AB37" s="15" t="n"/>
      <c r="AC37" s="15" t="n"/>
    </row>
    <row r="38">
      <c r="A38" s="18" t="inlineStr">
        <is>
          <t>기타비용</t>
        </is>
      </c>
      <c r="B38" s="10" t="inlineStr">
        <is>
          <t>변동비</t>
        </is>
      </c>
      <c r="C38" s="19" t="n"/>
      <c r="D38" s="20" t="n"/>
      <c r="E38" s="20" t="n"/>
      <c r="F38" s="20" t="n"/>
      <c r="G38" s="20" t="n"/>
      <c r="H38" s="20" t="n"/>
      <c r="I38" s="20" t="n"/>
      <c r="J38" s="20" t="n"/>
      <c r="K38" s="20" t="n"/>
      <c r="L38" s="20" t="n"/>
      <c r="M38" s="20" t="n"/>
      <c r="N38" s="20" t="n"/>
      <c r="O38" s="19">
        <f>IF(OR(O29="",O30="",O32="",O34="",O36=""),"",IFERROR(O29-O30-O32-O34-O36,""))</f>
        <v/>
      </c>
      <c r="P38" s="20">
        <f>IF(OR(P29="",P30="",P32="",P34="",P36=""),"",IFERROR(P29-P30-P32-P34-P36,""))</f>
        <v/>
      </c>
      <c r="Q38" s="20">
        <f>IF(OR(Q29="",Q30="",Q32="",Q34="",Q36=""),"",IFERROR(Q29-Q30-Q32-Q34-Q36,""))</f>
        <v/>
      </c>
      <c r="R38" s="20">
        <f>IF(OR(R29="",R30="",R32="",R34="",R36=""),"",IFERROR(R29-R30-R32-R34-R36,""))</f>
        <v/>
      </c>
      <c r="S38" s="20">
        <f>IF(OR(S29="",S30="",S32="",S34="",S36=""),"",IFERROR(S29-S30-S32-S34-S36,""))</f>
        <v/>
      </c>
      <c r="T38" s="20">
        <f>IF(OR(T29="",T30="",T32="",T34="",T36=""),"",IFERROR(T29-T30-T32-T34-T36,""))</f>
        <v/>
      </c>
      <c r="U38" s="20">
        <f>IF(OR(U29="",U30="",U32="",U34="",U36=""),"",IFERROR(U29-U30-U32-U34-U36,""))</f>
        <v/>
      </c>
      <c r="V38" s="20">
        <f>IF(OR(V29="",V30="",V32="",V34="",V36=""),"",IFERROR(V29-V30-V32-V34-V36,""))</f>
        <v/>
      </c>
      <c r="W38" s="20">
        <f>IF(OR(W29="",W30="",W32="",W34="",W36=""),"",IFERROR(W29-W30-W32-W34-W36,""))</f>
        <v/>
      </c>
      <c r="X38" s="20">
        <f>IF(OR(X29="",X30="",X32="",X34="",X36=""),"",IFERROR(X29-X30-X32-X34-X36,""))</f>
        <v/>
      </c>
      <c r="Y38" s="19" t="n"/>
      <c r="Z38" s="20" t="n"/>
      <c r="AA38" s="20" t="n"/>
      <c r="AB38" s="20" t="n"/>
      <c r="AC38" s="20" t="n"/>
    </row>
    <row r="39">
      <c r="A39" s="13" t="inlineStr">
        <is>
          <t>% of Sales</t>
        </is>
      </c>
      <c r="B39" s="10" t="n"/>
      <c r="C39" s="14" t="n"/>
      <c r="D39" s="15" t="n"/>
      <c r="E39" s="15" t="n"/>
      <c r="F39" s="15" t="n"/>
      <c r="G39" s="15" t="n"/>
      <c r="H39" s="15" t="n"/>
      <c r="I39" s="15" t="n"/>
      <c r="J39" s="15" t="n"/>
      <c r="K39" s="15" t="n"/>
      <c r="L39" s="15" t="n"/>
      <c r="M39" s="15" t="n"/>
      <c r="N39" s="15" t="n"/>
      <c r="O39" s="14">
        <f>IF(OR(O38="",O4=""),"",IFERROR(O38/O4,""))</f>
        <v/>
      </c>
      <c r="P39" s="15">
        <f>IF(OR(P38="",P4=""),"",IFERROR(P38/P4,""))</f>
        <v/>
      </c>
      <c r="Q39" s="15">
        <f>IF(OR(Q38="",Q4=""),"",IFERROR(Q38/Q4,""))</f>
        <v/>
      </c>
      <c r="R39" s="15">
        <f>IF(OR(R38="",R4=""),"",IFERROR(R38/R4,""))</f>
        <v/>
      </c>
      <c r="S39" s="15">
        <f>IF(OR(S38="",S4=""),"",IFERROR(S38/S4,""))</f>
        <v/>
      </c>
      <c r="T39" s="15">
        <f>IF(OR(T38="",T4=""),"",IFERROR(T38/T4,""))</f>
        <v/>
      </c>
      <c r="U39" s="15">
        <f>IF(OR(U38="",U4=""),"",IFERROR(U38/U4,""))</f>
        <v/>
      </c>
      <c r="V39" s="15">
        <f>IF(OR(V38="",V4=""),"",IFERROR(V38/V4,""))</f>
        <v/>
      </c>
      <c r="W39" s="15">
        <f>IF(OR(W38="",W4=""),"",IFERROR(W38/W4,""))</f>
        <v/>
      </c>
      <c r="X39" s="15">
        <f>IF(OR(X38="",X4=""),"",IFERROR(X38/X4,""))</f>
        <v/>
      </c>
      <c r="Y39" s="14" t="n"/>
      <c r="Z39" s="15" t="n"/>
      <c r="AA39" s="15" t="n"/>
      <c r="AB39" s="15" t="n"/>
      <c r="AC39" s="15" t="n"/>
    </row>
    <row r="40">
      <c r="A40" s="16" t="inlineStr">
        <is>
          <t>당기순이익 추정</t>
        </is>
      </c>
      <c r="B40" s="16" t="n"/>
      <c r="C40" s="17" t="n"/>
      <c r="D40" s="16" t="n"/>
      <c r="E40" s="16" t="n"/>
      <c r="F40" s="16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7" t="n"/>
      <c r="P40" s="16" t="n"/>
      <c r="Q40" s="16" t="n"/>
      <c r="R40" s="16" t="n"/>
      <c r="S40" s="16" t="n"/>
      <c r="T40" s="16" t="n"/>
      <c r="U40" s="16" t="n"/>
      <c r="V40" s="16" t="n"/>
      <c r="W40" s="16" t="n"/>
      <c r="X40" s="16" t="n"/>
      <c r="Y40" s="17" t="n"/>
      <c r="Z40" s="16" t="n"/>
      <c r="AA40" s="16" t="n"/>
      <c r="AB40" s="16" t="n"/>
      <c r="AC40" s="16" t="n"/>
    </row>
    <row r="41">
      <c r="A41" s="18" t="inlineStr">
        <is>
          <t>기타이익</t>
        </is>
      </c>
      <c r="B41" s="10" t="n"/>
      <c r="C41" s="19" t="n"/>
      <c r="D41" s="20" t="n"/>
      <c r="E41" s="20" t="n"/>
      <c r="F41" s="20" t="n"/>
      <c r="G41" s="20" t="n"/>
      <c r="H41" s="20" t="n"/>
      <c r="I41" s="20" t="n"/>
      <c r="J41" s="20" t="n"/>
      <c r="K41" s="20" t="n"/>
      <c r="L41" s="20" t="n"/>
      <c r="M41" s="20" t="n"/>
      <c r="N41" s="20" t="n"/>
      <c r="O41" s="19" t="n"/>
      <c r="P41" s="20" t="n">
        <v>4594</v>
      </c>
      <c r="Q41" s="20" t="n">
        <v>8594</v>
      </c>
      <c r="R41" s="20" t="n">
        <v>5423</v>
      </c>
      <c r="S41" s="20" t="n">
        <v>4466</v>
      </c>
      <c r="T41" s="20" t="n">
        <v>6707</v>
      </c>
      <c r="U41" s="20" t="n">
        <v>8103</v>
      </c>
      <c r="V41" s="20" t="n">
        <v>9914</v>
      </c>
      <c r="W41" s="20" t="n">
        <v>11827</v>
      </c>
      <c r="X41" s="20" t="n">
        <v>12571</v>
      </c>
      <c r="Y41" s="19">
        <f>IF(OR(Y4="",Y42=""),"",IFERROR(Y4*Y42,""))</f>
        <v/>
      </c>
      <c r="Z41" s="20">
        <f>IF(OR(Z4="",Z42=""),"",IFERROR(Z4*Z42,""))</f>
        <v/>
      </c>
      <c r="AA41" s="20">
        <f>IF(OR(AA4="",AA42=""),"",IFERROR(AA4*AA42,""))</f>
        <v/>
      </c>
      <c r="AB41" s="20">
        <f>IF(OR(AB4="",AB42=""),"",IFERROR(AB4*AB42,""))</f>
        <v/>
      </c>
      <c r="AC41" s="20">
        <f>IF(OR(AC4="",AC42=""),"",IFERROR(AC4*AC42,""))</f>
        <v/>
      </c>
    </row>
    <row r="42">
      <c r="A42" s="13" t="inlineStr">
        <is>
          <t>% of Sales</t>
        </is>
      </c>
      <c r="B42" s="10" t="inlineStr">
        <is>
          <t>MW = 최근 3년 평균</t>
        </is>
      </c>
      <c r="C42" s="14">
        <f>IF(OR(C41="",C4=""),"",IFERROR(C41/C4,""))</f>
        <v/>
      </c>
      <c r="D42" s="15">
        <f>IF(OR(D41="",D4=""),"",IFERROR(D41/D4,""))</f>
        <v/>
      </c>
      <c r="E42" s="15">
        <f>IF(OR(E41="",E4=""),"",IFERROR(E41/E4,""))</f>
        <v/>
      </c>
      <c r="F42" s="15">
        <f>IF(OR(F41="",F4=""),"",IFERROR(F41/F4,""))</f>
        <v/>
      </c>
      <c r="G42" s="15">
        <f>IF(OR(G41="",G4=""),"",IFERROR(G41/G4,""))</f>
        <v/>
      </c>
      <c r="H42" s="15">
        <f>IF(OR(H41="",H4=""),"",IFERROR(H41/H4,""))</f>
        <v/>
      </c>
      <c r="I42" s="15">
        <f>IF(OR(I41="",I4=""),"",IFERROR(I41/I4,""))</f>
        <v/>
      </c>
      <c r="J42" s="15">
        <f>IF(OR(J41="",J4=""),"",IFERROR(J41/J4,""))</f>
        <v/>
      </c>
      <c r="K42" s="15">
        <f>IF(OR(K41="",K4=""),"",IFERROR(K41/K4,""))</f>
        <v/>
      </c>
      <c r="L42" s="15">
        <f>IF(OR(L41="",L4=""),"",IFERROR(L41/L4,""))</f>
        <v/>
      </c>
      <c r="M42" s="15">
        <f>IF(OR(M41="",M4=""),"",IFERROR(M41/M4,""))</f>
        <v/>
      </c>
      <c r="N42" s="15">
        <f>IF(OR(N41="",N4=""),"",IFERROR(N41/N4,""))</f>
        <v/>
      </c>
      <c r="O42" s="14">
        <f>IF(OR(O41="",O4=""),"",IFERROR(O41/O4,""))</f>
        <v/>
      </c>
      <c r="P42" s="15">
        <f>IF(OR(P41="",P4=""),"",IFERROR(P41/P4,""))</f>
        <v/>
      </c>
      <c r="Q42" s="15">
        <f>IF(OR(Q41="",Q4=""),"",IFERROR(Q41/Q4,""))</f>
        <v/>
      </c>
      <c r="R42" s="15">
        <f>IF(OR(R41="",R4=""),"",IFERROR(R41/R4,""))</f>
        <v/>
      </c>
      <c r="S42" s="15">
        <f>IF(OR(S41="",S4=""),"",IFERROR(S41/S4,""))</f>
        <v/>
      </c>
      <c r="T42" s="15">
        <f>IF(OR(T41="",T4=""),"",IFERROR(T41/T4,""))</f>
        <v/>
      </c>
      <c r="U42" s="15">
        <f>IF(OR(U41="",U4=""),"",IFERROR(U41/U4,""))</f>
        <v/>
      </c>
      <c r="V42" s="15">
        <f>IF(OR(V41="",V4=""),"",IFERROR(V41/V4,""))</f>
        <v/>
      </c>
      <c r="W42" s="15">
        <f>IF(OR(W41="",W4=""),"",IFERROR(W41/W4,""))</f>
        <v/>
      </c>
      <c r="X42" s="15">
        <f>IF(OR(X41="",X4=""),"",IFERROR(X41/X4,""))</f>
        <v/>
      </c>
      <c r="Y42" s="25">
        <f>IFERROR(AVERAGE(V42,W42,X42),"")</f>
        <v/>
      </c>
      <c r="Z42" s="26">
        <f>Y42</f>
        <v/>
      </c>
      <c r="AA42" s="26">
        <f>Z42</f>
        <v/>
      </c>
      <c r="AB42" s="26">
        <f>AA42</f>
        <v/>
      </c>
      <c r="AC42" s="26">
        <f>AB42</f>
        <v/>
      </c>
    </row>
    <row r="43">
      <c r="A43" s="18" t="inlineStr">
        <is>
          <t>기타손실</t>
        </is>
      </c>
      <c r="B43" s="10" t="n"/>
      <c r="C43" s="19" t="n"/>
      <c r="D43" s="20" t="n"/>
      <c r="E43" s="20" t="n"/>
      <c r="F43" s="20" t="n"/>
      <c r="G43" s="20" t="n"/>
      <c r="H43" s="20" t="n"/>
      <c r="I43" s="20" t="n"/>
      <c r="J43" s="20" t="n"/>
      <c r="K43" s="20" t="n"/>
      <c r="L43" s="20" t="n"/>
      <c r="M43" s="20" t="n"/>
      <c r="N43" s="20" t="n"/>
      <c r="O43" s="19" t="n"/>
      <c r="P43" s="20" t="n">
        <v>11703</v>
      </c>
      <c r="Q43" s="20" t="n">
        <v>5137</v>
      </c>
      <c r="R43" s="20" t="n">
        <v>12483</v>
      </c>
      <c r="S43" s="20" t="n">
        <v>11122</v>
      </c>
      <c r="T43" s="20" t="n">
        <v>9938</v>
      </c>
      <c r="U43" s="20" t="n">
        <v>12761</v>
      </c>
      <c r="V43" s="20" t="n">
        <v>12012</v>
      </c>
      <c r="W43" s="20" t="n">
        <v>23066</v>
      </c>
      <c r="X43" s="20" t="n">
        <v>15371</v>
      </c>
      <c r="Y43" s="19">
        <f>IF(OR(Y4="",Y44=""),"",IFERROR(Y4*Y44,""))</f>
        <v/>
      </c>
      <c r="Z43" s="20">
        <f>IF(OR(Z4="",Z44=""),"",IFERROR(Z4*Z44,""))</f>
        <v/>
      </c>
      <c r="AA43" s="20">
        <f>IF(OR(AA4="",AA44=""),"",IFERROR(AA4*AA44,""))</f>
        <v/>
      </c>
      <c r="AB43" s="20">
        <f>IF(OR(AB4="",AB44=""),"",IFERROR(AB4*AB44,""))</f>
        <v/>
      </c>
      <c r="AC43" s="20">
        <f>IF(OR(AC4="",AC44=""),"",IFERROR(AC4*AC44,""))</f>
        <v/>
      </c>
    </row>
    <row r="44">
      <c r="A44" s="13" t="inlineStr">
        <is>
          <t>% of Sales</t>
        </is>
      </c>
      <c r="B44" s="10" t="n"/>
      <c r="C44" s="14">
        <f>IF(OR(C43="",C4=""),"",IFERROR(C43/C4,""))</f>
        <v/>
      </c>
      <c r="D44" s="15">
        <f>IF(OR(D43="",D4=""),"",IFERROR(D43/D4,""))</f>
        <v/>
      </c>
      <c r="E44" s="15">
        <f>IF(OR(E43="",E4=""),"",IFERROR(E43/E4,""))</f>
        <v/>
      </c>
      <c r="F44" s="15">
        <f>IF(OR(F43="",F4=""),"",IFERROR(F43/F4,""))</f>
        <v/>
      </c>
      <c r="G44" s="15">
        <f>IF(OR(G43="",G4=""),"",IFERROR(G43/G4,""))</f>
        <v/>
      </c>
      <c r="H44" s="15">
        <f>IF(OR(H43="",H4=""),"",IFERROR(H43/H4,""))</f>
        <v/>
      </c>
      <c r="I44" s="15">
        <f>IF(OR(I43="",I4=""),"",IFERROR(I43/I4,""))</f>
        <v/>
      </c>
      <c r="J44" s="15">
        <f>IF(OR(J43="",J4=""),"",IFERROR(J43/J4,""))</f>
        <v/>
      </c>
      <c r="K44" s="15">
        <f>IF(OR(K43="",K4=""),"",IFERROR(K43/K4,""))</f>
        <v/>
      </c>
      <c r="L44" s="15">
        <f>IF(OR(L43="",L4=""),"",IFERROR(L43/L4,""))</f>
        <v/>
      </c>
      <c r="M44" s="15">
        <f>IF(OR(M43="",M4=""),"",IFERROR(M43/M4,""))</f>
        <v/>
      </c>
      <c r="N44" s="15">
        <f>IF(OR(N43="",N4=""),"",IFERROR(N43/N4,""))</f>
        <v/>
      </c>
      <c r="O44" s="14">
        <f>IF(OR(O43="",O4=""),"",IFERROR(O43/O4,""))</f>
        <v/>
      </c>
      <c r="P44" s="15">
        <f>IF(OR(P43="",P4=""),"",IFERROR(P43/P4,""))</f>
        <v/>
      </c>
      <c r="Q44" s="15">
        <f>IF(OR(Q43="",Q4=""),"",IFERROR(Q43/Q4,""))</f>
        <v/>
      </c>
      <c r="R44" s="15">
        <f>IF(OR(R43="",R4=""),"",IFERROR(R43/R4,""))</f>
        <v/>
      </c>
      <c r="S44" s="15">
        <f>IF(OR(S43="",S4=""),"",IFERROR(S43/S4,""))</f>
        <v/>
      </c>
      <c r="T44" s="15">
        <f>IF(OR(T43="",T4=""),"",IFERROR(T43/T4,""))</f>
        <v/>
      </c>
      <c r="U44" s="15">
        <f>IF(OR(U43="",U4=""),"",IFERROR(U43/U4,""))</f>
        <v/>
      </c>
      <c r="V44" s="15">
        <f>IF(OR(V43="",V4=""),"",IFERROR(V43/V4,""))</f>
        <v/>
      </c>
      <c r="W44" s="15">
        <f>IF(OR(W43="",W4=""),"",IFERROR(W43/W4,""))</f>
        <v/>
      </c>
      <c r="X44" s="15">
        <f>IF(OR(X43="",X4=""),"",IFERROR(X43/X4,""))</f>
        <v/>
      </c>
      <c r="Y44" s="25">
        <f>IFERROR(AVERAGE(V44,W44,X44),"")</f>
        <v/>
      </c>
      <c r="Z44" s="26">
        <f>Y44</f>
        <v/>
      </c>
      <c r="AA44" s="26">
        <f>Z44</f>
        <v/>
      </c>
      <c r="AB44" s="26">
        <f>AA44</f>
        <v/>
      </c>
      <c r="AC44" s="26">
        <f>AB44</f>
        <v/>
      </c>
    </row>
    <row r="45">
      <c r="A45" s="18" t="inlineStr">
        <is>
          <t>금융수익</t>
        </is>
      </c>
      <c r="B45" s="10" t="n"/>
      <c r="C45" s="19" t="n"/>
      <c r="D45" s="20" t="n"/>
      <c r="E45" s="20" t="n"/>
      <c r="F45" s="20" t="n"/>
      <c r="G45" s="20" t="n"/>
      <c r="H45" s="20" t="n"/>
      <c r="I45" s="20" t="n"/>
      <c r="J45" s="20" t="n"/>
      <c r="K45" s="20" t="n"/>
      <c r="L45" s="20" t="n"/>
      <c r="M45" s="20" t="n"/>
      <c r="N45" s="20" t="n"/>
      <c r="O45" s="19" t="n"/>
      <c r="P45" s="20" t="n">
        <v>1185</v>
      </c>
      <c r="Q45" s="20" t="n">
        <v>1195</v>
      </c>
      <c r="R45" s="20" t="n">
        <v>886</v>
      </c>
      <c r="S45" s="20" t="n">
        <v>559</v>
      </c>
      <c r="T45" s="20" t="n">
        <v>1459</v>
      </c>
      <c r="U45" s="20" t="n">
        <v>1574</v>
      </c>
      <c r="V45" s="20" t="n">
        <v>2195</v>
      </c>
      <c r="W45" s="20" t="n">
        <v>2901</v>
      </c>
      <c r="X45" s="20" t="n">
        <v>3258</v>
      </c>
      <c r="Y45" s="19">
        <f>IF(OR(Y4="",Y46=""),"",IFERROR(Y4*Y46,""))</f>
        <v/>
      </c>
      <c r="Z45" s="20">
        <f>IF(OR(Z4="",Z46=""),"",IFERROR(Z4*Z46,""))</f>
        <v/>
      </c>
      <c r="AA45" s="20">
        <f>IF(OR(AA4="",AA46=""),"",IFERROR(AA4*AA46,""))</f>
        <v/>
      </c>
      <c r="AB45" s="20">
        <f>IF(OR(AB4="",AB46=""),"",IFERROR(AB4*AB46,""))</f>
        <v/>
      </c>
      <c r="AC45" s="20">
        <f>IF(OR(AC4="",AC46=""),"",IFERROR(AC4*AC46,""))</f>
        <v/>
      </c>
    </row>
    <row r="46">
      <c r="A46" s="13" t="inlineStr">
        <is>
          <t>% of Sales</t>
        </is>
      </c>
      <c r="B46" s="10" t="n"/>
      <c r="C46" s="14">
        <f>IF(OR(C45="",C4=""),"",IFERROR(C45/C4,""))</f>
        <v/>
      </c>
      <c r="D46" s="15">
        <f>IF(OR(D45="",D4=""),"",IFERROR(D45/D4,""))</f>
        <v/>
      </c>
      <c r="E46" s="15">
        <f>IF(OR(E45="",E4=""),"",IFERROR(E45/E4,""))</f>
        <v/>
      </c>
      <c r="F46" s="15">
        <f>IF(OR(F45="",F4=""),"",IFERROR(F45/F4,""))</f>
        <v/>
      </c>
      <c r="G46" s="15">
        <f>IF(OR(G45="",G4=""),"",IFERROR(G45/G4,""))</f>
        <v/>
      </c>
      <c r="H46" s="15">
        <f>IF(OR(H45="",H4=""),"",IFERROR(H45/H4,""))</f>
        <v/>
      </c>
      <c r="I46" s="15">
        <f>IF(OR(I45="",I4=""),"",IFERROR(I45/I4,""))</f>
        <v/>
      </c>
      <c r="J46" s="15">
        <f>IF(OR(J45="",J4=""),"",IFERROR(J45/J4,""))</f>
        <v/>
      </c>
      <c r="K46" s="15">
        <f>IF(OR(K45="",K4=""),"",IFERROR(K45/K4,""))</f>
        <v/>
      </c>
      <c r="L46" s="15">
        <f>IF(OR(L45="",L4=""),"",IFERROR(L45/L4,""))</f>
        <v/>
      </c>
      <c r="M46" s="15">
        <f>IF(OR(M45="",M4=""),"",IFERROR(M45/M4,""))</f>
        <v/>
      </c>
      <c r="N46" s="15">
        <f>IF(OR(N45="",N4=""),"",IFERROR(N45/N4,""))</f>
        <v/>
      </c>
      <c r="O46" s="14">
        <f>IF(OR(O45="",O4=""),"",IFERROR(O45/O4,""))</f>
        <v/>
      </c>
      <c r="P46" s="15">
        <f>IF(OR(P45="",P4=""),"",IFERROR(P45/P4,""))</f>
        <v/>
      </c>
      <c r="Q46" s="15">
        <f>IF(OR(Q45="",Q4=""),"",IFERROR(Q45/Q4,""))</f>
        <v/>
      </c>
      <c r="R46" s="15">
        <f>IF(OR(R45="",R4=""),"",IFERROR(R45/R4,""))</f>
        <v/>
      </c>
      <c r="S46" s="15">
        <f>IF(OR(S45="",S4=""),"",IFERROR(S45/S4,""))</f>
        <v/>
      </c>
      <c r="T46" s="15">
        <f>IF(OR(T45="",T4=""),"",IFERROR(T45/T4,""))</f>
        <v/>
      </c>
      <c r="U46" s="15">
        <f>IF(OR(U45="",U4=""),"",IFERROR(U45/U4,""))</f>
        <v/>
      </c>
      <c r="V46" s="15">
        <f>IF(OR(V45="",V4=""),"",IFERROR(V45/V4,""))</f>
        <v/>
      </c>
      <c r="W46" s="15">
        <f>IF(OR(W45="",W4=""),"",IFERROR(W45/W4,""))</f>
        <v/>
      </c>
      <c r="X46" s="15">
        <f>IF(OR(X45="",X4=""),"",IFERROR(X45/X4,""))</f>
        <v/>
      </c>
      <c r="Y46" s="25">
        <f>IFERROR(AVERAGE(V46,W46,X46),"")</f>
        <v/>
      </c>
      <c r="Z46" s="26">
        <f>Y46</f>
        <v/>
      </c>
      <c r="AA46" s="26">
        <f>Z46</f>
        <v/>
      </c>
      <c r="AB46" s="26">
        <f>AA46</f>
        <v/>
      </c>
      <c r="AC46" s="26">
        <f>AB46</f>
        <v/>
      </c>
    </row>
    <row r="47">
      <c r="A47" s="18" t="inlineStr">
        <is>
          <t>금융원가</t>
        </is>
      </c>
      <c r="B47" s="10" t="n"/>
      <c r="C47" s="19" t="n"/>
      <c r="D47" s="20" t="n"/>
      <c r="E47" s="20" t="n"/>
      <c r="F47" s="20" t="n"/>
      <c r="G47" s="20" t="n"/>
      <c r="H47" s="20" t="n"/>
      <c r="I47" s="20" t="n"/>
      <c r="J47" s="20" t="n"/>
      <c r="K47" s="20" t="n"/>
      <c r="L47" s="20" t="n"/>
      <c r="M47" s="20" t="n"/>
      <c r="N47" s="20" t="n"/>
      <c r="O47" s="19" t="n"/>
      <c r="P47" s="20" t="n">
        <v>752</v>
      </c>
      <c r="Q47" s="20" t="n">
        <v>1917</v>
      </c>
      <c r="R47" s="20" t="n">
        <v>1620</v>
      </c>
      <c r="S47" s="20" t="n">
        <v>1073</v>
      </c>
      <c r="T47" s="20" t="n">
        <v>1384</v>
      </c>
      <c r="U47" s="20" t="n">
        <v>1936</v>
      </c>
      <c r="V47" s="20" t="n">
        <v>2460</v>
      </c>
      <c r="W47" s="20" t="n">
        <v>3131</v>
      </c>
      <c r="X47" s="20" t="n">
        <v>2045</v>
      </c>
      <c r="Y47" s="19">
        <f>IF(OR(Y4="",Y48=""),"",IFERROR(Y4*Y48,""))</f>
        <v/>
      </c>
      <c r="Z47" s="20">
        <f>IF(OR(Z4="",Z48=""),"",IFERROR(Z4*Z48,""))</f>
        <v/>
      </c>
      <c r="AA47" s="20">
        <f>IF(OR(AA4="",AA48=""),"",IFERROR(AA4*AA48,""))</f>
        <v/>
      </c>
      <c r="AB47" s="20">
        <f>IF(OR(AB4="",AB48=""),"",IFERROR(AB4*AB48,""))</f>
        <v/>
      </c>
      <c r="AC47" s="20">
        <f>IF(OR(AC4="",AC48=""),"",IFERROR(AC4*AC48,""))</f>
        <v/>
      </c>
    </row>
    <row r="48">
      <c r="A48" s="13" t="inlineStr">
        <is>
          <t>% of Sales</t>
        </is>
      </c>
      <c r="B48" s="10" t="n"/>
      <c r="C48" s="14">
        <f>IF(OR(C47="",C4=""),"",IFERROR(C47/C4,""))</f>
        <v/>
      </c>
      <c r="D48" s="15">
        <f>IF(OR(D47="",D4=""),"",IFERROR(D47/D4,""))</f>
        <v/>
      </c>
      <c r="E48" s="15">
        <f>IF(OR(E47="",E4=""),"",IFERROR(E47/E4,""))</f>
        <v/>
      </c>
      <c r="F48" s="15">
        <f>IF(OR(F47="",F4=""),"",IFERROR(F47/F4,""))</f>
        <v/>
      </c>
      <c r="G48" s="15">
        <f>IF(OR(G47="",G4=""),"",IFERROR(G47/G4,""))</f>
        <v/>
      </c>
      <c r="H48" s="15">
        <f>IF(OR(H47="",H4=""),"",IFERROR(H47/H4,""))</f>
        <v/>
      </c>
      <c r="I48" s="15">
        <f>IF(OR(I47="",I4=""),"",IFERROR(I47/I4,""))</f>
        <v/>
      </c>
      <c r="J48" s="15">
        <f>IF(OR(J47="",J4=""),"",IFERROR(J47/J4,""))</f>
        <v/>
      </c>
      <c r="K48" s="15">
        <f>IF(OR(K47="",K4=""),"",IFERROR(K47/K4,""))</f>
        <v/>
      </c>
      <c r="L48" s="15">
        <f>IF(OR(L47="",L4=""),"",IFERROR(L47/L4,""))</f>
        <v/>
      </c>
      <c r="M48" s="15">
        <f>IF(OR(M47="",M4=""),"",IFERROR(M47/M4,""))</f>
        <v/>
      </c>
      <c r="N48" s="15">
        <f>IF(OR(N47="",N4=""),"",IFERROR(N47/N4,""))</f>
        <v/>
      </c>
      <c r="O48" s="14">
        <f>IF(OR(O47="",O4=""),"",IFERROR(O47/O4,""))</f>
        <v/>
      </c>
      <c r="P48" s="15">
        <f>IF(OR(P47="",P4=""),"",IFERROR(P47/P4,""))</f>
        <v/>
      </c>
      <c r="Q48" s="15">
        <f>IF(OR(Q47="",Q4=""),"",IFERROR(Q47/Q4,""))</f>
        <v/>
      </c>
      <c r="R48" s="15">
        <f>IF(OR(R47="",R4=""),"",IFERROR(R47/R4,""))</f>
        <v/>
      </c>
      <c r="S48" s="15">
        <f>IF(OR(S47="",S4=""),"",IFERROR(S47/S4,""))</f>
        <v/>
      </c>
      <c r="T48" s="15">
        <f>IF(OR(T47="",T4=""),"",IFERROR(T47/T4,""))</f>
        <v/>
      </c>
      <c r="U48" s="15">
        <f>IF(OR(U47="",U4=""),"",IFERROR(U47/U4,""))</f>
        <v/>
      </c>
      <c r="V48" s="15">
        <f>IF(OR(V47="",V4=""),"",IFERROR(V47/V4,""))</f>
        <v/>
      </c>
      <c r="W48" s="15">
        <f>IF(OR(W47="",W4=""),"",IFERROR(W47/W4,""))</f>
        <v/>
      </c>
      <c r="X48" s="15">
        <f>IF(OR(X47="",X4=""),"",IFERROR(X47/X4,""))</f>
        <v/>
      </c>
      <c r="Y48" s="25">
        <f>IFERROR(AVERAGE(V48,W48,X48),"")</f>
        <v/>
      </c>
      <c r="Z48" s="26">
        <f>Y48</f>
        <v/>
      </c>
      <c r="AA48" s="26">
        <f>Z48</f>
        <v/>
      </c>
      <c r="AB48" s="26">
        <f>AA48</f>
        <v/>
      </c>
      <c r="AC48" s="26">
        <f>AB48</f>
        <v/>
      </c>
    </row>
    <row r="49">
      <c r="A49" s="9" t="inlineStr">
        <is>
          <t>법인세비용차감전순이익(손실)</t>
        </is>
      </c>
      <c r="B49" s="10" t="n"/>
      <c r="C49" s="11" t="n"/>
      <c r="D49" s="12" t="n"/>
      <c r="E49" s="12" t="n"/>
      <c r="F49" s="12" t="n"/>
      <c r="G49" s="12" t="n"/>
      <c r="H49" s="12" t="n"/>
      <c r="I49" s="12" t="n"/>
      <c r="J49" s="12" t="n"/>
      <c r="K49" s="12" t="n"/>
      <c r="L49" s="12" t="n"/>
      <c r="M49" s="12" t="n"/>
      <c r="N49" s="12" t="n"/>
      <c r="O49" s="11" t="n"/>
      <c r="P49" s="12" t="n">
        <v>126168</v>
      </c>
      <c r="Q49" s="12" t="n">
        <v>91910</v>
      </c>
      <c r="R49" s="12" t="n">
        <v>69013</v>
      </c>
      <c r="S49" s="12" t="n">
        <v>93320</v>
      </c>
      <c r="T49" s="12" t="n">
        <v>132378</v>
      </c>
      <c r="U49" s="12" t="n">
        <v>146840</v>
      </c>
      <c r="V49" s="12" t="n">
        <v>138901</v>
      </c>
      <c r="W49" s="12" t="n">
        <v>185329</v>
      </c>
      <c r="X49" s="12" t="n">
        <v>184976</v>
      </c>
      <c r="Y49" s="11">
        <f>IF(OR(Y25=""),"",IFERROR(Y25+N(Y41)-N(Y43)+N(Y45)-N(Y47),""))</f>
        <v/>
      </c>
      <c r="Z49" s="12">
        <f>IF(OR(Z25=""),"",IFERROR(Z25+N(Z41)-N(Z43)+N(Z45)-N(Z47),""))</f>
        <v/>
      </c>
      <c r="AA49" s="12">
        <f>IF(OR(AA25=""),"",IFERROR(AA25+N(AA41)-N(AA43)+N(AA45)-N(AA47),""))</f>
        <v/>
      </c>
      <c r="AB49" s="12">
        <f>IF(OR(AB25=""),"",IFERROR(AB25+N(AB41)-N(AB43)+N(AB45)-N(AB47),""))</f>
        <v/>
      </c>
      <c r="AC49" s="12">
        <f>IF(OR(AC25=""),"",IFERROR(AC25+N(AC41)-N(AC43)+N(AC45)-N(AC47),""))</f>
        <v/>
      </c>
    </row>
    <row r="50">
      <c r="A50" s="18" t="inlineStr">
        <is>
          <t>법인세비용(수익)</t>
        </is>
      </c>
      <c r="B50" s="10" t="n"/>
      <c r="C50" s="19" t="n"/>
      <c r="D50" s="20" t="n"/>
      <c r="E50" s="20" t="n"/>
      <c r="F50" s="20" t="n"/>
      <c r="G50" s="20" t="n"/>
      <c r="H50" s="20" t="n"/>
      <c r="I50" s="20" t="n"/>
      <c r="J50" s="20" t="n"/>
      <c r="K50" s="20" t="n"/>
      <c r="L50" s="20" t="n"/>
      <c r="M50" s="20" t="n"/>
      <c r="N50" s="20" t="n"/>
      <c r="O50" s="19" t="n"/>
      <c r="P50" s="20" t="n">
        <v>38704</v>
      </c>
      <c r="Q50" s="20" t="n">
        <v>25293</v>
      </c>
      <c r="R50" s="20" t="n">
        <v>21788</v>
      </c>
      <c r="S50" s="20" t="n">
        <v>23012</v>
      </c>
      <c r="T50" s="20" t="n">
        <v>35143</v>
      </c>
      <c r="U50" s="20" t="n">
        <v>37576</v>
      </c>
      <c r="V50" s="20" t="n">
        <v>36146</v>
      </c>
      <c r="W50" s="20" t="n">
        <v>48021</v>
      </c>
      <c r="X50" s="20" t="n">
        <v>51438</v>
      </c>
      <c r="Y50" s="19">
        <f>IF(OR(Y49="",Y51=""),"",IFERROR(MAX(Y49,0)*Y51,""))</f>
        <v/>
      </c>
      <c r="Z50" s="20">
        <f>IF(OR(Z49="",Z51=""),"",IFERROR(MAX(Z49,0)*Z51,""))</f>
        <v/>
      </c>
      <c r="AA50" s="20">
        <f>IF(OR(AA49="",AA51=""),"",IFERROR(MAX(AA49,0)*AA51,""))</f>
        <v/>
      </c>
      <c r="AB50" s="20">
        <f>IF(OR(AB49="",AB51=""),"",IFERROR(MAX(AB49,0)*AB51,""))</f>
        <v/>
      </c>
      <c r="AC50" s="20">
        <f>IF(OR(AC49="",AC51=""),"",IFERROR(MAX(AC49,0)*AC51,""))</f>
        <v/>
      </c>
    </row>
    <row r="51">
      <c r="A51" s="13" t="inlineStr">
        <is>
          <t>법인세율</t>
        </is>
      </c>
      <c r="B51" s="10" t="inlineStr">
        <is>
          <t>MW 기본 30%</t>
        </is>
      </c>
      <c r="C51" s="14">
        <f>IF(OR(C50="",C49=""),"",IFERROR(C50/C49,""))</f>
        <v/>
      </c>
      <c r="D51" s="15">
        <f>IF(OR(D50="",D49=""),"",IFERROR(D50/D49,""))</f>
        <v/>
      </c>
      <c r="E51" s="15">
        <f>IF(OR(E50="",E49=""),"",IFERROR(E50/E49,""))</f>
        <v/>
      </c>
      <c r="F51" s="15">
        <f>IF(OR(F50="",F49=""),"",IFERROR(F50/F49,""))</f>
        <v/>
      </c>
      <c r="G51" s="15">
        <f>IF(OR(G50="",G49=""),"",IFERROR(G50/G49,""))</f>
        <v/>
      </c>
      <c r="H51" s="15">
        <f>IF(OR(H50="",H49=""),"",IFERROR(H50/H49,""))</f>
        <v/>
      </c>
      <c r="I51" s="15">
        <f>IF(OR(I50="",I49=""),"",IFERROR(I50/I49,""))</f>
        <v/>
      </c>
      <c r="J51" s="15">
        <f>IF(OR(J50="",J49=""),"",IFERROR(J50/J49,""))</f>
        <v/>
      </c>
      <c r="K51" s="15">
        <f>IF(OR(K50="",K49=""),"",IFERROR(K50/K49,""))</f>
        <v/>
      </c>
      <c r="L51" s="15">
        <f>IF(OR(L50="",L49=""),"",IFERROR(L50/L49,""))</f>
        <v/>
      </c>
      <c r="M51" s="15">
        <f>IF(OR(M50="",M49=""),"",IFERROR(M50/M49,""))</f>
        <v/>
      </c>
      <c r="N51" s="15">
        <f>IF(OR(N50="",N49=""),"",IFERROR(N50/N49,""))</f>
        <v/>
      </c>
      <c r="O51" s="14">
        <f>IF(OR(O50="",O49=""),"",IFERROR(O50/O49,""))</f>
        <v/>
      </c>
      <c r="P51" s="15">
        <f>IF(OR(P50="",P49=""),"",IFERROR(P50/P49,""))</f>
        <v/>
      </c>
      <c r="Q51" s="15">
        <f>IF(OR(Q50="",Q49=""),"",IFERROR(Q50/Q49,""))</f>
        <v/>
      </c>
      <c r="R51" s="15">
        <f>IF(OR(R50="",R49=""),"",IFERROR(R50/R49,""))</f>
        <v/>
      </c>
      <c r="S51" s="15">
        <f>IF(OR(S50="",S49=""),"",IFERROR(S50/S49,""))</f>
        <v/>
      </c>
      <c r="T51" s="15">
        <f>IF(OR(T50="",T49=""),"",IFERROR(T50/T49,""))</f>
        <v/>
      </c>
      <c r="U51" s="15">
        <f>IF(OR(U50="",U49=""),"",IFERROR(U50/U49,""))</f>
        <v/>
      </c>
      <c r="V51" s="15">
        <f>IF(OR(V50="",V49=""),"",IFERROR(V50/V49,""))</f>
        <v/>
      </c>
      <c r="W51" s="15">
        <f>IF(OR(W50="",W49=""),"",IFERROR(W50/W49,""))</f>
        <v/>
      </c>
      <c r="X51" s="15">
        <f>IF(OR(X50="",X49=""),"",IFERROR(X50/X49,""))</f>
        <v/>
      </c>
      <c r="Y51" s="25" t="n">
        <v>0.3</v>
      </c>
      <c r="Z51" s="26" t="n">
        <v>0.3</v>
      </c>
      <c r="AA51" s="26" t="n">
        <v>0.3</v>
      </c>
      <c r="AB51" s="26" t="n">
        <v>0.3</v>
      </c>
      <c r="AC51" s="26" t="n">
        <v>0.3</v>
      </c>
    </row>
    <row r="52">
      <c r="A52" s="9" t="inlineStr">
        <is>
          <t>당기순이익(손실)</t>
        </is>
      </c>
      <c r="B52" s="10" t="n"/>
      <c r="C52" s="11" t="n"/>
      <c r="D52" s="12" t="n"/>
      <c r="E52" s="12" t="n"/>
      <c r="F52" s="12" t="n"/>
      <c r="G52" s="12" t="n"/>
      <c r="H52" s="12" t="n"/>
      <c r="I52" s="12" t="n"/>
      <c r="J52" s="12" t="n"/>
      <c r="K52" s="12" t="n"/>
      <c r="L52" s="12" t="n"/>
      <c r="M52" s="12" t="n"/>
      <c r="N52" s="12" t="n"/>
      <c r="O52" s="11" t="n"/>
      <c r="P52" s="12" t="n">
        <v>87463</v>
      </c>
      <c r="Q52" s="12" t="n">
        <v>66616</v>
      </c>
      <c r="R52" s="12" t="n">
        <v>47224</v>
      </c>
      <c r="S52" s="12" t="n">
        <v>70308</v>
      </c>
      <c r="T52" s="12" t="n">
        <v>97234</v>
      </c>
      <c r="U52" s="12" t="n">
        <v>109264</v>
      </c>
      <c r="V52" s="12" t="n">
        <v>102755</v>
      </c>
      <c r="W52" s="12" t="n">
        <v>137307</v>
      </c>
      <c r="X52" s="12" t="n">
        <v>133537</v>
      </c>
      <c r="Y52" s="11">
        <f>IF(OR(Y49=""),"",IFERROR(Y49-Y50,""))</f>
        <v/>
      </c>
      <c r="Z52" s="12">
        <f>IF(OR(Z49=""),"",IFERROR(Z49-Z50,""))</f>
        <v/>
      </c>
      <c r="AA52" s="12">
        <f>IF(OR(AA49=""),"",IFERROR(AA49-AA50,""))</f>
        <v/>
      </c>
      <c r="AB52" s="12">
        <f>IF(OR(AB49=""),"",IFERROR(AB49-AB50,""))</f>
        <v/>
      </c>
      <c r="AC52" s="12">
        <f>IF(OR(AC49=""),"",IFERROR(AC49-AC50,""))</f>
        <v/>
      </c>
    </row>
    <row r="53">
      <c r="A53" s="9" t="inlineStr">
        <is>
          <t>지배주주 순이익</t>
        </is>
      </c>
      <c r="B53" s="10" t="n"/>
      <c r="C53" s="11" t="n"/>
      <c r="D53" s="12" t="n"/>
      <c r="E53" s="12" t="n"/>
      <c r="F53" s="12" t="n"/>
      <c r="G53" s="12" t="n"/>
      <c r="H53" s="12" t="n"/>
      <c r="I53" s="12" t="n"/>
      <c r="J53" s="12" t="n"/>
      <c r="K53" s="12" t="n"/>
      <c r="L53" s="12" t="n"/>
      <c r="M53" s="12" t="n"/>
      <c r="N53" s="12" t="n"/>
      <c r="O53" s="11" t="n"/>
      <c r="P53" s="12" t="n">
        <v>87377</v>
      </c>
      <c r="Q53" s="12" t="n">
        <v>66560</v>
      </c>
      <c r="R53" s="12" t="n">
        <v>47156</v>
      </c>
      <c r="S53" s="12" t="n">
        <v>70235</v>
      </c>
      <c r="T53" s="12" t="n">
        <v>97132</v>
      </c>
      <c r="U53" s="12" t="n">
        <v>109173</v>
      </c>
      <c r="V53" s="12" t="n">
        <v>102679</v>
      </c>
      <c r="W53" s="12" t="n">
        <v>137237</v>
      </c>
      <c r="X53" s="12" t="n">
        <v>133498</v>
      </c>
      <c r="Y53" s="11">
        <f>IF(OR(Y52="",Y54=""),"",IFERROR(Y52*Y54,""))</f>
        <v/>
      </c>
      <c r="Z53" s="12">
        <f>IF(OR(Z52="",Z54=""),"",IFERROR(Z52*Z54,""))</f>
        <v/>
      </c>
      <c r="AA53" s="12">
        <f>IF(OR(AA52="",AA54=""),"",IFERROR(AA52*AA54,""))</f>
        <v/>
      </c>
      <c r="AB53" s="12">
        <f>IF(OR(AB52="",AB54=""),"",IFERROR(AB52*AB54,""))</f>
        <v/>
      </c>
      <c r="AC53" s="12">
        <f>IF(OR(AC52="",AC54=""),"",IFERROR(AC52*AC54,""))</f>
        <v/>
      </c>
    </row>
    <row r="54">
      <c r="A54" s="13" t="inlineStr">
        <is>
          <t>지배주주 순이익률</t>
        </is>
      </c>
      <c r="B54" s="10" t="inlineStr">
        <is>
          <t>MW 기본 100%</t>
        </is>
      </c>
      <c r="C54" s="14">
        <f>IF(OR(C53="",C52=""),"",IFERROR(C53/C52,""))</f>
        <v/>
      </c>
      <c r="D54" s="15">
        <f>IF(OR(D53="",D52=""),"",IFERROR(D53/D52,""))</f>
        <v/>
      </c>
      <c r="E54" s="15">
        <f>IF(OR(E53="",E52=""),"",IFERROR(E53/E52,""))</f>
        <v/>
      </c>
      <c r="F54" s="15">
        <f>IF(OR(F53="",F52=""),"",IFERROR(F53/F52,""))</f>
        <v/>
      </c>
      <c r="G54" s="15">
        <f>IF(OR(G53="",G52=""),"",IFERROR(G53/G52,""))</f>
        <v/>
      </c>
      <c r="H54" s="15">
        <f>IF(OR(H53="",H52=""),"",IFERROR(H53/H52,""))</f>
        <v/>
      </c>
      <c r="I54" s="15">
        <f>IF(OR(I53="",I52=""),"",IFERROR(I53/I52,""))</f>
        <v/>
      </c>
      <c r="J54" s="15">
        <f>IF(OR(J53="",J52=""),"",IFERROR(J53/J52,""))</f>
        <v/>
      </c>
      <c r="K54" s="15">
        <f>IF(OR(K53="",K52=""),"",IFERROR(K53/K52,""))</f>
        <v/>
      </c>
      <c r="L54" s="15">
        <f>IF(OR(L53="",L52=""),"",IFERROR(L53/L52,""))</f>
        <v/>
      </c>
      <c r="M54" s="15">
        <f>IF(OR(M53="",M52=""),"",IFERROR(M53/M52,""))</f>
        <v/>
      </c>
      <c r="N54" s="15">
        <f>IF(OR(N53="",N52=""),"",IFERROR(N53/N52,""))</f>
        <v/>
      </c>
      <c r="O54" s="14">
        <f>IF(OR(O53="",O52=""),"",IFERROR(O53/O52,""))</f>
        <v/>
      </c>
      <c r="P54" s="15">
        <f>IF(OR(P53="",P52=""),"",IFERROR(P53/P52,""))</f>
        <v/>
      </c>
      <c r="Q54" s="15">
        <f>IF(OR(Q53="",Q52=""),"",IFERROR(Q53/Q52,""))</f>
        <v/>
      </c>
      <c r="R54" s="15">
        <f>IF(OR(R53="",R52=""),"",IFERROR(R53/R52,""))</f>
        <v/>
      </c>
      <c r="S54" s="15">
        <f>IF(OR(S53="",S52=""),"",IFERROR(S53/S52,""))</f>
        <v/>
      </c>
      <c r="T54" s="15">
        <f>IF(OR(T53="",T52=""),"",IFERROR(T53/T52,""))</f>
        <v/>
      </c>
      <c r="U54" s="15">
        <f>IF(OR(U53="",U52=""),"",IFERROR(U53/U52,""))</f>
        <v/>
      </c>
      <c r="V54" s="15">
        <f>IF(OR(V53="",V52=""),"",IFERROR(V53/V52,""))</f>
        <v/>
      </c>
      <c r="W54" s="15">
        <f>IF(OR(W53="",W52=""),"",IFERROR(W53/W52,""))</f>
        <v/>
      </c>
      <c r="X54" s="15">
        <f>IF(OR(X53="",X52=""),"",IFERROR(X53/X52,""))</f>
        <v/>
      </c>
      <c r="Y54" s="25" t="n">
        <v>1</v>
      </c>
      <c r="Z54" s="26" t="n">
        <v>1</v>
      </c>
      <c r="AA54" s="26" t="n">
        <v>1</v>
      </c>
      <c r="AB54" s="26" t="n">
        <v>1</v>
      </c>
      <c r="AC54" s="26" t="n">
        <v>1</v>
      </c>
    </row>
    <row r="55">
      <c r="A55" s="16" t="inlineStr">
        <is>
          <t>목표주가 산출</t>
        </is>
      </c>
      <c r="B55" s="16" t="n"/>
      <c r="C55" s="17" t="n"/>
      <c r="D55" s="16" t="n"/>
      <c r="E55" s="16" t="n"/>
      <c r="F55" s="16" t="n"/>
      <c r="G55" s="16" t="n"/>
      <c r="H55" s="16" t="n"/>
      <c r="I55" s="16" t="n"/>
      <c r="J55" s="16" t="n"/>
      <c r="K55" s="16" t="n"/>
      <c r="L55" s="16" t="n"/>
      <c r="M55" s="16" t="n"/>
      <c r="N55" s="16" t="n"/>
      <c r="O55" s="17" t="n"/>
      <c r="P55" s="16" t="n"/>
      <c r="Q55" s="16" t="n"/>
      <c r="R55" s="16" t="n"/>
      <c r="S55" s="16" t="n"/>
      <c r="T55" s="16" t="n"/>
      <c r="U55" s="16" t="n"/>
      <c r="V55" s="16" t="n"/>
      <c r="W55" s="16" t="n"/>
      <c r="X55" s="16" t="n"/>
      <c r="Y55" s="17" t="n"/>
      <c r="Z55" s="16" t="n"/>
      <c r="AA55" s="16" t="n"/>
      <c r="AB55" s="16" t="n"/>
      <c r="AC55" s="16" t="n"/>
    </row>
    <row r="56">
      <c r="A56" s="18" t="inlineStr">
        <is>
          <t>현재 주가 ()</t>
        </is>
      </c>
      <c r="B56" s="27" t="n"/>
      <c r="C56" s="28" t="n"/>
      <c r="D56" s="29" t="n"/>
      <c r="E56" s="29" t="n"/>
      <c r="F56" s="29" t="n"/>
      <c r="G56" s="29" t="n"/>
      <c r="H56" s="29" t="n"/>
      <c r="I56" s="29" t="n"/>
      <c r="J56" s="29" t="n"/>
      <c r="K56" s="29" t="n"/>
      <c r="L56" s="29" t="n"/>
      <c r="M56" s="29" t="n"/>
      <c r="N56" s="29" t="n"/>
      <c r="O56" s="28" t="n"/>
      <c r="P56" s="29" t="n"/>
      <c r="Q56" s="29" t="n"/>
      <c r="R56" s="29" t="n"/>
      <c r="S56" s="29" t="n"/>
      <c r="T56" s="29" t="n"/>
      <c r="U56" s="29" t="n"/>
      <c r="V56" s="29" t="n"/>
      <c r="W56" s="29" t="n"/>
      <c r="X56" s="29" t="n"/>
      <c r="Y56" s="28" t="n"/>
      <c r="Z56" s="29" t="n"/>
      <c r="AA56" s="29" t="n"/>
      <c r="AB56" s="29" t="n"/>
      <c r="AC56" s="29" t="n"/>
    </row>
    <row r="57">
      <c r="A57" s="18" t="inlineStr">
        <is>
          <t>발행주식수 (보통주)</t>
        </is>
      </c>
      <c r="B57" s="27" t="n"/>
      <c r="C57" s="28" t="n"/>
      <c r="D57" s="29" t="n"/>
      <c r="E57" s="29" t="n"/>
      <c r="F57" s="29" t="n"/>
      <c r="G57" s="29" t="n"/>
      <c r="H57" s="29" t="n"/>
      <c r="I57" s="29" t="n"/>
      <c r="J57" s="29" t="n"/>
      <c r="K57" s="29" t="n"/>
      <c r="L57" s="29" t="n"/>
      <c r="M57" s="29" t="n"/>
      <c r="N57" s="29" t="n"/>
      <c r="O57" s="28" t="n"/>
      <c r="P57" s="29" t="n"/>
      <c r="Q57" s="29" t="n"/>
      <c r="R57" s="29" t="n"/>
      <c r="S57" s="29" t="n"/>
      <c r="T57" s="29" t="n"/>
      <c r="U57" s="29" t="n"/>
      <c r="V57" s="29" t="n"/>
      <c r="W57" s="29" t="n"/>
      <c r="X57" s="29" t="n"/>
      <c r="Y57" s="28" t="n"/>
      <c r="Z57" s="29" t="n"/>
      <c r="AA57" s="29" t="n"/>
      <c r="AB57" s="29" t="n"/>
      <c r="AC57" s="29" t="n"/>
    </row>
    <row r="58">
      <c r="A58" s="18" t="inlineStr">
        <is>
          <t>시가총액 (백만엔)</t>
        </is>
      </c>
      <c r="B58" s="12">
        <f>IF(OR(B56="",B57=""),"",B56*B57/1000000.0)</f>
        <v/>
      </c>
      <c r="C58" s="19" t="n"/>
      <c r="D58" s="20" t="n"/>
      <c r="E58" s="20" t="n"/>
      <c r="F58" s="20" t="n"/>
      <c r="G58" s="20" t="n"/>
      <c r="H58" s="20" t="n"/>
      <c r="I58" s="20" t="n"/>
      <c r="J58" s="20" t="n"/>
      <c r="K58" s="20" t="n"/>
      <c r="L58" s="20" t="n"/>
      <c r="M58" s="20" t="n"/>
      <c r="N58" s="20" t="n"/>
      <c r="O58" s="19" t="n"/>
      <c r="P58" s="20" t="n"/>
      <c r="Q58" s="20" t="n"/>
      <c r="R58" s="20" t="n"/>
      <c r="S58" s="20" t="n"/>
      <c r="T58" s="20" t="n"/>
      <c r="U58" s="20" t="n"/>
      <c r="V58" s="20" t="n"/>
      <c r="W58" s="20" t="n"/>
      <c r="X58" s="20" t="n"/>
      <c r="Y58" s="19" t="n"/>
      <c r="Z58" s="20" t="n"/>
      <c r="AA58" s="20" t="n"/>
      <c r="AB58" s="20" t="n"/>
      <c r="AC58" s="20" t="n"/>
    </row>
    <row r="59">
      <c r="A59" s="13" t="inlineStr">
        <is>
          <t>OPM</t>
        </is>
      </c>
      <c r="B59" s="10" t="n"/>
      <c r="C59" s="14" t="n"/>
      <c r="D59" s="15" t="n"/>
      <c r="E59" s="15" t="n"/>
      <c r="F59" s="15" t="n"/>
      <c r="G59" s="15" t="n"/>
      <c r="H59" s="15" t="n"/>
      <c r="I59" s="15" t="n"/>
      <c r="J59" s="15" t="n"/>
      <c r="K59" s="15" t="n"/>
      <c r="L59" s="15" t="n"/>
      <c r="M59" s="15" t="n"/>
      <c r="N59" s="15" t="n"/>
      <c r="O59" s="14">
        <f>IF(O26="","",O26)</f>
        <v/>
      </c>
      <c r="P59" s="15">
        <f>IF(P26="","",P26)</f>
        <v/>
      </c>
      <c r="Q59" s="15">
        <f>IF(Q26="","",Q26)</f>
        <v/>
      </c>
      <c r="R59" s="15">
        <f>IF(R26="","",R26)</f>
        <v/>
      </c>
      <c r="S59" s="15">
        <f>IF(S26="","",S26)</f>
        <v/>
      </c>
      <c r="T59" s="15">
        <f>IF(T26="","",T26)</f>
        <v/>
      </c>
      <c r="U59" s="15">
        <f>IF(U26="","",U26)</f>
        <v/>
      </c>
      <c r="V59" s="15">
        <f>IF(V26="","",V26)</f>
        <v/>
      </c>
      <c r="W59" s="15">
        <f>IF(W26="","",W26)</f>
        <v/>
      </c>
      <c r="X59" s="15">
        <f>IF(X26="","",X26)</f>
        <v/>
      </c>
      <c r="Y59" s="14">
        <f>IF(Y26="","",Y26)</f>
        <v/>
      </c>
      <c r="Z59" s="15">
        <f>IF(Z26="","",Z26)</f>
        <v/>
      </c>
      <c r="AA59" s="15">
        <f>IF(AA26="","",AA26)</f>
        <v/>
      </c>
      <c r="AB59" s="15">
        <f>IF(AB26="","",AB26)</f>
        <v/>
      </c>
      <c r="AC59" s="15">
        <f>IF(AC26="","",AC26)</f>
        <v/>
      </c>
    </row>
    <row r="60">
      <c r="A60" s="13" t="inlineStr">
        <is>
          <t>지배주주 순이익 증가율</t>
        </is>
      </c>
      <c r="B60" s="10" t="n"/>
      <c r="C60" s="14" t="n"/>
      <c r="D60" s="15" t="n"/>
      <c r="E60" s="15" t="n"/>
      <c r="F60" s="15" t="n"/>
      <c r="G60" s="15" t="n"/>
      <c r="H60" s="15" t="n"/>
      <c r="I60" s="15" t="n"/>
      <c r="J60" s="15" t="n"/>
      <c r="K60" s="15" t="n"/>
      <c r="L60" s="15" t="n"/>
      <c r="M60" s="15" t="n"/>
      <c r="N60" s="15" t="n"/>
      <c r="O60" s="14" t="n"/>
      <c r="P60" s="15">
        <f>IF(OR(P53="",O53=""),"",IFERROR(P53/O53-1,""))</f>
        <v/>
      </c>
      <c r="Q60" s="15">
        <f>IF(OR(Q53="",P53=""),"",IFERROR(Q53/P53-1,""))</f>
        <v/>
      </c>
      <c r="R60" s="15">
        <f>IF(OR(R53="",Q53=""),"",IFERROR(R53/Q53-1,""))</f>
        <v/>
      </c>
      <c r="S60" s="15">
        <f>IF(OR(S53="",R53=""),"",IFERROR(S53/R53-1,""))</f>
        <v/>
      </c>
      <c r="T60" s="15">
        <f>IF(OR(T53="",S53=""),"",IFERROR(T53/S53-1,""))</f>
        <v/>
      </c>
      <c r="U60" s="15">
        <f>IF(OR(U53="",T53=""),"",IFERROR(U53/T53-1,""))</f>
        <v/>
      </c>
      <c r="V60" s="15">
        <f>IF(OR(V53="",U53=""),"",IFERROR(V53/U53-1,""))</f>
        <v/>
      </c>
      <c r="W60" s="15">
        <f>IF(OR(W53="",V53=""),"",IFERROR(W53/V53-1,""))</f>
        <v/>
      </c>
      <c r="X60" s="15">
        <f>IF(OR(X53="",W53=""),"",IFERROR(X53/W53-1,""))</f>
        <v/>
      </c>
      <c r="Y60" s="14">
        <f>IF(OR(Y53="",X53=""),"",IFERROR(Y53/X53-1,""))</f>
        <v/>
      </c>
      <c r="Z60" s="15">
        <f>IF(OR(Z53="",Y53=""),"",IFERROR(Z53/Y53-1,""))</f>
        <v/>
      </c>
      <c r="AA60" s="15">
        <f>IF(OR(AA53="",Z53=""),"",IFERROR(AA53/Z53-1,""))</f>
        <v/>
      </c>
      <c r="AB60" s="15">
        <f>IF(OR(AB53="",AA53=""),"",IFERROR(AB53/AA53-1,""))</f>
        <v/>
      </c>
      <c r="AC60" s="15">
        <f>IF(OR(AC53="",AB53=""),"",IFERROR(AC53/AB53-1,""))</f>
        <v/>
      </c>
    </row>
    <row r="61">
      <c r="A61" s="18" t="inlineStr">
        <is>
          <t>P/E (현재 주가)</t>
        </is>
      </c>
      <c r="B61" s="10" t="inlineStr">
        <is>
          <t>시총 ÷ 지배순이익</t>
        </is>
      </c>
      <c r="C61" s="30" t="n"/>
      <c r="D61" s="31" t="n"/>
      <c r="E61" s="31" t="n"/>
      <c r="F61" s="31" t="n"/>
      <c r="G61" s="31" t="n"/>
      <c r="H61" s="31" t="n"/>
      <c r="I61" s="31" t="n"/>
      <c r="J61" s="31" t="n"/>
      <c r="K61" s="31" t="n"/>
      <c r="L61" s="31" t="n"/>
      <c r="M61" s="31" t="n"/>
      <c r="N61" s="31" t="n"/>
      <c r="O61" s="30" t="n"/>
      <c r="P61" s="31" t="n"/>
      <c r="Q61" s="31" t="n"/>
      <c r="R61" s="31" t="n"/>
      <c r="S61" s="31" t="n"/>
      <c r="T61" s="31" t="n"/>
      <c r="U61" s="31" t="n"/>
      <c r="V61" s="31" t="n"/>
      <c r="W61" s="31" t="n"/>
      <c r="X61" s="31">
        <f>IF(OR($B$58="",X53=""),"",IFERROR($B$58/X53,""))</f>
        <v/>
      </c>
      <c r="Y61" s="30">
        <f>IF(OR($B$58="",Y53=""),"",IFERROR($B$58/Y53,""))</f>
        <v/>
      </c>
      <c r="Z61" s="31">
        <f>IF(OR($B$58="",Z53=""),"",IFERROR($B$58/Z53,""))</f>
        <v/>
      </c>
      <c r="AA61" s="31">
        <f>IF(OR($B$58="",AA53=""),"",IFERROR($B$58/AA53,""))</f>
        <v/>
      </c>
      <c r="AB61" s="31">
        <f>IF(OR($B$58="",AB53=""),"",IFERROR($B$58/AB53,""))</f>
        <v/>
      </c>
      <c r="AC61" s="31">
        <f>IF(OR($B$58="",AC53=""),"",IFERROR($B$58/AC53,""))</f>
        <v/>
      </c>
    </row>
    <row r="62">
      <c r="A62" s="18" t="inlineStr">
        <is>
          <t>Target P/E</t>
        </is>
      </c>
      <c r="B62" s="10" t="inlineStr">
        <is>
          <t>직접 입력</t>
        </is>
      </c>
      <c r="C62" s="30" t="n"/>
      <c r="D62" s="31" t="n"/>
      <c r="E62" s="31" t="n"/>
      <c r="F62" s="31" t="n"/>
      <c r="G62" s="31" t="n"/>
      <c r="H62" s="31" t="n"/>
      <c r="I62" s="31" t="n"/>
      <c r="J62" s="31" t="n"/>
      <c r="K62" s="31" t="n"/>
      <c r="L62" s="31" t="n"/>
      <c r="M62" s="31" t="n"/>
      <c r="N62" s="31" t="n"/>
      <c r="O62" s="30" t="n"/>
      <c r="P62" s="31" t="n"/>
      <c r="Q62" s="31" t="n"/>
      <c r="R62" s="31" t="n"/>
      <c r="S62" s="31" t="n"/>
      <c r="T62" s="31" t="n"/>
      <c r="U62" s="31" t="n"/>
      <c r="V62" s="31" t="n"/>
      <c r="W62" s="31" t="n"/>
      <c r="X62" s="31" t="n"/>
      <c r="Y62" s="32" t="n"/>
      <c r="Z62" s="33" t="n"/>
      <c r="AA62" s="33" t="n"/>
      <c r="AB62" s="33" t="n"/>
      <c r="AC62" s="33" t="n"/>
    </row>
    <row r="63">
      <c r="A63" s="18" t="inlineStr">
        <is>
          <t>EPS</t>
        </is>
      </c>
      <c r="B63" s="10" t="inlineStr">
        <is>
          <t>지배순이익 ÷ 주식수</t>
        </is>
      </c>
      <c r="C63" s="28" t="n"/>
      <c r="D63" s="29" t="n"/>
      <c r="E63" s="29" t="n"/>
      <c r="F63" s="29" t="n"/>
      <c r="G63" s="29" t="n"/>
      <c r="H63" s="29" t="n"/>
      <c r="I63" s="29" t="n"/>
      <c r="J63" s="29" t="n"/>
      <c r="K63" s="29" t="n"/>
      <c r="L63" s="29" t="n"/>
      <c r="M63" s="29" t="n"/>
      <c r="N63" s="29" t="n"/>
      <c r="O63" s="28">
        <f>IF(OR(O53="",$B$57=""),"",IFERROR(O53*1000000.0/$B$57,""))</f>
        <v/>
      </c>
      <c r="P63" s="29">
        <f>IF(OR(P53="",$B$57=""),"",IFERROR(P53*1000000.0/$B$57,""))</f>
        <v/>
      </c>
      <c r="Q63" s="29">
        <f>IF(OR(Q53="",$B$57=""),"",IFERROR(Q53*1000000.0/$B$57,""))</f>
        <v/>
      </c>
      <c r="R63" s="29">
        <f>IF(OR(R53="",$B$57=""),"",IFERROR(R53*1000000.0/$B$57,""))</f>
        <v/>
      </c>
      <c r="S63" s="29">
        <f>IF(OR(S53="",$B$57=""),"",IFERROR(S53*1000000.0/$B$57,""))</f>
        <v/>
      </c>
      <c r="T63" s="29">
        <f>IF(OR(T53="",$B$57=""),"",IFERROR(T53*1000000.0/$B$57,""))</f>
        <v/>
      </c>
      <c r="U63" s="29">
        <f>IF(OR(U53="",$B$57=""),"",IFERROR(U53*1000000.0/$B$57,""))</f>
        <v/>
      </c>
      <c r="V63" s="29">
        <f>IF(OR(V53="",$B$57=""),"",IFERROR(V53*1000000.0/$B$57,""))</f>
        <v/>
      </c>
      <c r="W63" s="29">
        <f>IF(OR(W53="",$B$57=""),"",IFERROR(W53*1000000.0/$B$57,""))</f>
        <v/>
      </c>
      <c r="X63" s="29">
        <f>IF(OR(X53="",$B$57=""),"",IFERROR(X53*1000000.0/$B$57,""))</f>
        <v/>
      </c>
      <c r="Y63" s="28">
        <f>IF(OR(Y53="",$B$57=""),"",IFERROR(Y53*1000000.0/$B$57,""))</f>
        <v/>
      </c>
      <c r="Z63" s="29">
        <f>IF(OR(Z53="",$B$57=""),"",IFERROR(Z53*1000000.0/$B$57,""))</f>
        <v/>
      </c>
      <c r="AA63" s="29">
        <f>IF(OR(AA53="",$B$57=""),"",IFERROR(AA53*1000000.0/$B$57,""))</f>
        <v/>
      </c>
      <c r="AB63" s="29">
        <f>IF(OR(AB53="",$B$57=""),"",IFERROR(AB53*1000000.0/$B$57,""))</f>
        <v/>
      </c>
      <c r="AC63" s="29">
        <f>IF(OR(AC53="",$B$57=""),"",IFERROR(AC53*1000000.0/$B$57,""))</f>
        <v/>
      </c>
    </row>
    <row r="64">
      <c r="A64" s="9" t="inlineStr">
        <is>
          <t>목표주가</t>
        </is>
      </c>
      <c r="B64" s="10" t="n"/>
      <c r="C64" s="34" t="n"/>
      <c r="D64" s="27" t="n"/>
      <c r="E64" s="27" t="n"/>
      <c r="F64" s="27" t="n"/>
      <c r="G64" s="27" t="n"/>
      <c r="H64" s="27" t="n"/>
      <c r="I64" s="27" t="n"/>
      <c r="J64" s="27" t="n"/>
      <c r="K64" s="27" t="n"/>
      <c r="L64" s="27" t="n"/>
      <c r="M64" s="27" t="n"/>
      <c r="N64" s="27" t="n"/>
      <c r="O64" s="34" t="n"/>
      <c r="P64" s="27" t="n"/>
      <c r="Q64" s="27" t="n"/>
      <c r="R64" s="27" t="n"/>
      <c r="S64" s="27" t="n"/>
      <c r="T64" s="27" t="n"/>
      <c r="U64" s="27" t="n"/>
      <c r="V64" s="27" t="n"/>
      <c r="W64" s="27" t="n"/>
      <c r="X64" s="27" t="n"/>
      <c r="Y64" s="34">
        <f>IF(OR(Y63="",Y62=""),"",IFERROR(Y63*Y62,""))</f>
        <v/>
      </c>
      <c r="Z64" s="27">
        <f>IF(OR(Z63="",Z62=""),"",IFERROR(Z63*Z62,""))</f>
        <v/>
      </c>
      <c r="AA64" s="27">
        <f>IF(OR(AA63="",AA62=""),"",IFERROR(AA63*AA62,""))</f>
        <v/>
      </c>
      <c r="AB64" s="27">
        <f>IF(OR(AB63="",AB62=""),"",IFERROR(AB63*AB62,""))</f>
        <v/>
      </c>
      <c r="AC64" s="27">
        <f>IF(OR(AC63="",AC62=""),"",IFERROR(AC63*AC62,""))</f>
        <v/>
      </c>
    </row>
    <row r="65">
      <c r="A65" s="18" t="inlineStr">
        <is>
          <t>상승여력</t>
        </is>
      </c>
      <c r="B65" s="10" t="n"/>
      <c r="C65" s="35" t="n"/>
      <c r="D65" s="36" t="n"/>
      <c r="E65" s="36" t="n"/>
      <c r="F65" s="36" t="n"/>
      <c r="G65" s="36" t="n"/>
      <c r="H65" s="36" t="n"/>
      <c r="I65" s="36" t="n"/>
      <c r="J65" s="36" t="n"/>
      <c r="K65" s="36" t="n"/>
      <c r="L65" s="36" t="n"/>
      <c r="M65" s="36" t="n"/>
      <c r="N65" s="36" t="n"/>
      <c r="O65" s="35" t="n"/>
      <c r="P65" s="36" t="n"/>
      <c r="Q65" s="36" t="n"/>
      <c r="R65" s="36" t="n"/>
      <c r="S65" s="36" t="n"/>
      <c r="T65" s="36" t="n"/>
      <c r="U65" s="36" t="n"/>
      <c r="V65" s="36" t="n"/>
      <c r="W65" s="36" t="n"/>
      <c r="X65" s="36" t="n"/>
      <c r="Y65" s="37">
        <f>IF(OR(Y64="",$B$56=""),"",IFERROR(Y64/$B$56-1,""))</f>
        <v/>
      </c>
      <c r="Z65" s="38">
        <f>IF(OR(Z64="",$B$56=""),"",IFERROR(Z64/$B$56-1,""))</f>
        <v/>
      </c>
      <c r="AA65" s="38">
        <f>IF(OR(AA64="",$B$56=""),"",IFERROR(AA64/$B$56-1,""))</f>
        <v/>
      </c>
      <c r="AB65" s="38">
        <f>IF(OR(AB64="",$B$56=""),"",IFERROR(AB64/$B$56-1,""))</f>
        <v/>
      </c>
      <c r="AC65" s="38">
        <f>IF(OR(AC64="",$B$56=""),"",IFERROR(AC64/$B$56-1,""))</f>
        <v/>
      </c>
    </row>
    <row r="66">
      <c r="A66" s="16" t="inlineStr">
        <is>
          <t>자산가치 산출</t>
        </is>
      </c>
      <c r="B66" s="16" t="inlineStr">
        <is>
          <t>최신 분기 BS</t>
        </is>
      </c>
      <c r="C66" s="17" t="n"/>
      <c r="D66" s="16" t="n"/>
      <c r="E66" s="16" t="n"/>
      <c r="F66" s="16" t="n"/>
      <c r="G66" s="16" t="n"/>
      <c r="H66" s="16" t="n"/>
      <c r="I66" s="16" t="n"/>
      <c r="J66" s="16" t="n"/>
      <c r="K66" s="16" t="n"/>
      <c r="L66" s="16" t="n"/>
      <c r="M66" s="16" t="n"/>
      <c r="N66" s="16" t="n"/>
      <c r="O66" s="17" t="n"/>
      <c r="P66" s="16" t="n"/>
      <c r="Q66" s="16" t="n"/>
      <c r="R66" s="16" t="n"/>
      <c r="S66" s="16" t="n"/>
      <c r="T66" s="16" t="n"/>
      <c r="U66" s="16" t="n"/>
      <c r="V66" s="16" t="n"/>
      <c r="W66" s="16" t="n"/>
      <c r="X66" s="16" t="n"/>
      <c r="Y66" s="17" t="n"/>
      <c r="Z66" s="16" t="n"/>
      <c r="AA66" s="16" t="n"/>
      <c r="AB66" s="16" t="n"/>
      <c r="AC66" s="16" t="n"/>
    </row>
    <row r="67">
      <c r="A67" s="18" t="inlineStr">
        <is>
          <t>현금및현금성자산</t>
        </is>
      </c>
      <c r="B67" s="10" t="n"/>
      <c r="C67" s="19" t="n"/>
      <c r="D67" s="20" t="n"/>
      <c r="E67" s="20" t="n"/>
      <c r="F67" s="20" t="n"/>
      <c r="G67" s="20" t="n"/>
      <c r="H67" s="20" t="n"/>
      <c r="I67" s="20" t="n"/>
      <c r="J67" s="20" t="n"/>
      <c r="K67" s="20" t="n"/>
      <c r="L67" s="20" t="n"/>
      <c r="M67" s="20" t="n"/>
      <c r="N67" s="20" t="n"/>
      <c r="O67" s="19" t="n"/>
      <c r="P67" s="20" t="n"/>
      <c r="Q67" s="20" t="n"/>
      <c r="R67" s="20" t="n"/>
      <c r="S67" s="20" t="n"/>
      <c r="T67" s="20" t="n"/>
      <c r="U67" s="20" t="n"/>
      <c r="V67" s="20" t="n"/>
      <c r="W67" s="20" t="n"/>
      <c r="X67" s="20">
        <f>'재무상태표'!G6</f>
        <v/>
      </c>
      <c r="Y67" s="19">
        <f>'재무상태표'!G6</f>
        <v/>
      </c>
      <c r="Z67" s="20">
        <f>'재무상태표'!G6</f>
        <v/>
      </c>
      <c r="AA67" s="20">
        <f>'재무상태표'!G6</f>
        <v/>
      </c>
      <c r="AB67" s="20">
        <f>'재무상태표'!G6</f>
        <v/>
      </c>
      <c r="AC67" s="20">
        <f>'재무상태표'!G6</f>
        <v/>
      </c>
    </row>
    <row r="68">
      <c r="A68" s="18" t="inlineStr">
        <is>
          <t>단기금융상품</t>
        </is>
      </c>
      <c r="B68" s="10" t="n"/>
      <c r="C68" s="19" t="n"/>
      <c r="D68" s="20" t="n"/>
      <c r="E68" s="20" t="n"/>
      <c r="F68" s="20" t="n"/>
      <c r="G68" s="20" t="n"/>
      <c r="H68" s="20" t="n"/>
      <c r="I68" s="20" t="n"/>
      <c r="J68" s="20" t="n"/>
      <c r="K68" s="20" t="n"/>
      <c r="L68" s="20" t="n"/>
      <c r="M68" s="20" t="n"/>
      <c r="N68" s="20" t="n"/>
      <c r="O68" s="19" t="n"/>
      <c r="P68" s="20" t="n"/>
      <c r="Q68" s="20" t="n"/>
      <c r="R68" s="20" t="n"/>
      <c r="S68" s="20" t="n"/>
      <c r="T68" s="20" t="n"/>
      <c r="U68" s="20" t="n"/>
      <c r="V68" s="20" t="n"/>
      <c r="W68" s="20" t="n"/>
      <c r="X68" s="20">
        <f>'재무상태표'!G7</f>
        <v/>
      </c>
      <c r="Y68" s="19">
        <f>'재무상태표'!G7</f>
        <v/>
      </c>
      <c r="Z68" s="20">
        <f>'재무상태표'!G7</f>
        <v/>
      </c>
      <c r="AA68" s="20">
        <f>'재무상태표'!G7</f>
        <v/>
      </c>
      <c r="AB68" s="20">
        <f>'재무상태표'!G7</f>
        <v/>
      </c>
      <c r="AC68" s="20">
        <f>'재무상태표'!G7</f>
        <v/>
      </c>
    </row>
    <row r="69">
      <c r="A69" s="18" t="inlineStr">
        <is>
          <t>투자부동산</t>
        </is>
      </c>
      <c r="B69" s="10" t="n"/>
      <c r="C69" s="19" t="n"/>
      <c r="D69" s="20" t="n"/>
      <c r="E69" s="20" t="n"/>
      <c r="F69" s="20" t="n"/>
      <c r="G69" s="20" t="n"/>
      <c r="H69" s="20" t="n"/>
      <c r="I69" s="20" t="n"/>
      <c r="J69" s="20" t="n"/>
      <c r="K69" s="20" t="n"/>
      <c r="L69" s="20" t="n"/>
      <c r="M69" s="20" t="n"/>
      <c r="N69" s="20" t="n"/>
      <c r="O69" s="19" t="n"/>
      <c r="P69" s="20" t="n"/>
      <c r="Q69" s="20" t="n"/>
      <c r="R69" s="20" t="n"/>
      <c r="S69" s="20" t="n"/>
      <c r="T69" s="20" t="n"/>
      <c r="U69" s="20" t="n"/>
      <c r="V69" s="20" t="n"/>
      <c r="W69" s="20" t="n"/>
      <c r="X69" s="20">
        <f>'재무상태표'!G14</f>
        <v/>
      </c>
      <c r="Y69" s="19">
        <f>'재무상태표'!G14</f>
        <v/>
      </c>
      <c r="Z69" s="20">
        <f>'재무상태표'!G14</f>
        <v/>
      </c>
      <c r="AA69" s="20">
        <f>'재무상태표'!G14</f>
        <v/>
      </c>
      <c r="AB69" s="20">
        <f>'재무상태표'!G14</f>
        <v/>
      </c>
      <c r="AC69" s="20">
        <f>'재무상태표'!G14</f>
        <v/>
      </c>
    </row>
    <row r="70">
      <c r="A70" s="18" t="inlineStr">
        <is>
          <t>지배자본</t>
        </is>
      </c>
      <c r="B70" s="10" t="n"/>
      <c r="C70" s="19" t="n"/>
      <c r="D70" s="20" t="n"/>
      <c r="E70" s="20" t="n"/>
      <c r="F70" s="20" t="n"/>
      <c r="G70" s="20" t="n"/>
      <c r="H70" s="20" t="n"/>
      <c r="I70" s="20" t="n"/>
      <c r="J70" s="20" t="n"/>
      <c r="K70" s="20" t="n"/>
      <c r="L70" s="20" t="n"/>
      <c r="M70" s="20" t="n"/>
      <c r="N70" s="20" t="n"/>
      <c r="O70" s="19" t="n"/>
      <c r="P70" s="20" t="n"/>
      <c r="Q70" s="20" t="n"/>
      <c r="R70" s="20" t="n"/>
      <c r="S70" s="20" t="n"/>
      <c r="T70" s="20" t="n"/>
      <c r="U70" s="20" t="n"/>
      <c r="V70" s="20" t="n"/>
      <c r="W70" s="20" t="n"/>
      <c r="X70" s="20">
        <f>'재무상태표'!G31</f>
        <v/>
      </c>
      <c r="Y70" s="19">
        <f>'재무상태표'!G31</f>
        <v/>
      </c>
      <c r="Z70" s="20">
        <f>'재무상태표'!G31</f>
        <v/>
      </c>
      <c r="AA70" s="20">
        <f>'재무상태표'!G31</f>
        <v/>
      </c>
      <c r="AB70" s="20">
        <f>'재무상태표'!G31</f>
        <v/>
      </c>
      <c r="AC70" s="20">
        <f>'재무상태표'!G31</f>
        <v/>
      </c>
    </row>
    <row r="71">
      <c r="A71" s="18" t="inlineStr">
        <is>
          <t>부채</t>
        </is>
      </c>
      <c r="B71" s="10" t="n"/>
      <c r="C71" s="19" t="n"/>
      <c r="D71" s="20" t="n"/>
      <c r="E71" s="20" t="n"/>
      <c r="F71" s="20" t="n"/>
      <c r="G71" s="20" t="n"/>
      <c r="H71" s="20" t="n"/>
      <c r="I71" s="20" t="n"/>
      <c r="J71" s="20" t="n"/>
      <c r="K71" s="20" t="n"/>
      <c r="L71" s="20" t="n"/>
      <c r="M71" s="20" t="n"/>
      <c r="N71" s="20" t="n"/>
      <c r="O71" s="19" t="n"/>
      <c r="P71" s="20" t="n"/>
      <c r="Q71" s="20" t="n"/>
      <c r="R71" s="20" t="n"/>
      <c r="S71" s="20" t="n"/>
      <c r="T71" s="20" t="n"/>
      <c r="U71" s="20" t="n"/>
      <c r="V71" s="20" t="n"/>
      <c r="W71" s="20" t="n"/>
      <c r="X71" s="20">
        <f>'재무상태표'!G27</f>
        <v/>
      </c>
      <c r="Y71" s="19">
        <f>'재무상태표'!G27</f>
        <v/>
      </c>
      <c r="Z71" s="20">
        <f>'재무상태표'!G27</f>
        <v/>
      </c>
      <c r="AA71" s="20">
        <f>'재무상태표'!G27</f>
        <v/>
      </c>
      <c r="AB71" s="20">
        <f>'재무상태표'!G27</f>
        <v/>
      </c>
      <c r="AC71" s="20">
        <f>'재무상태표'!G27</f>
        <v/>
      </c>
    </row>
    <row r="72">
      <c r="A72" s="13" t="inlineStr">
        <is>
          <t>부채비율</t>
        </is>
      </c>
      <c r="B72" s="10" t="n"/>
      <c r="C72" s="14" t="n"/>
      <c r="D72" s="15" t="n"/>
      <c r="E72" s="15" t="n"/>
      <c r="F72" s="15" t="n"/>
      <c r="G72" s="15" t="n"/>
      <c r="H72" s="15" t="n"/>
      <c r="I72" s="15" t="n"/>
      <c r="J72" s="15" t="n"/>
      <c r="K72" s="15" t="n"/>
      <c r="L72" s="15" t="n"/>
      <c r="M72" s="15" t="n"/>
      <c r="N72" s="15" t="n"/>
      <c r="O72" s="14" t="n"/>
      <c r="P72" s="15" t="n"/>
      <c r="Q72" s="15" t="n"/>
      <c r="R72" s="15" t="n"/>
      <c r="S72" s="15" t="n"/>
      <c r="T72" s="15" t="n"/>
      <c r="U72" s="15" t="n"/>
      <c r="V72" s="15" t="n"/>
      <c r="W72" s="15" t="n"/>
      <c r="X72" s="15">
        <f>IF(OR(X71="",X70=""),"",IFERROR(X71/X70,""))</f>
        <v/>
      </c>
      <c r="Y72" s="14">
        <f>IF(OR(Y71="",Y70=""),"",IFERROR(Y71/Y70,""))</f>
        <v/>
      </c>
      <c r="Z72" s="15">
        <f>IF(OR(Z71="",Z70=""),"",IFERROR(Z71/Z70,""))</f>
        <v/>
      </c>
      <c r="AA72" s="15">
        <f>IF(OR(AA71="",AA70=""),"",IFERROR(AA71/AA70,""))</f>
        <v/>
      </c>
      <c r="AB72" s="15">
        <f>IF(OR(AB71="",AB70=""),"",IFERROR(AB71/AB70,""))</f>
        <v/>
      </c>
      <c r="AC72" s="15">
        <f>IF(OR(AC71="",AC70=""),"",IFERROR(AC71/AC70,""))</f>
        <v/>
      </c>
    </row>
    <row r="73">
      <c r="A73" s="9" t="inlineStr">
        <is>
          <t>자산가치</t>
        </is>
      </c>
      <c r="B73" s="10" t="inlineStr">
        <is>
          <t>현금+단기금융+투자부동산</t>
        </is>
      </c>
      <c r="C73" s="11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  <c r="O73" s="11" t="n"/>
      <c r="P73" s="12" t="n"/>
      <c r="Q73" s="12" t="n"/>
      <c r="R73" s="12" t="n"/>
      <c r="S73" s="12" t="n"/>
      <c r="T73" s="12" t="n"/>
      <c r="U73" s="12" t="n"/>
      <c r="V73" s="12" t="n"/>
      <c r="W73" s="12" t="n"/>
      <c r="X73" s="12">
        <f>SUM(X67,X68,X69)</f>
        <v/>
      </c>
      <c r="Y73" s="11">
        <f>SUM(Y67,Y68,Y69)</f>
        <v/>
      </c>
      <c r="Z73" s="12">
        <f>SUM(Z67,Z68,Z69)</f>
        <v/>
      </c>
      <c r="AA73" s="12">
        <f>SUM(AA67,AA68,AA69)</f>
        <v/>
      </c>
      <c r="AB73" s="12">
        <f>SUM(AB67,AB68,AB69)</f>
        <v/>
      </c>
      <c r="AC73" s="12">
        <f>SUM(AC67,AC68,AC69)</f>
        <v/>
      </c>
    </row>
    <row r="74">
      <c r="A74" s="16" t="inlineStr">
        <is>
          <t>기업가치 산출</t>
        </is>
      </c>
      <c r="B74" s="16" t="n"/>
      <c r="C74" s="17" t="n"/>
      <c r="D74" s="16" t="n"/>
      <c r="E74" s="16" t="n"/>
      <c r="F74" s="16" t="n"/>
      <c r="G74" s="16" t="n"/>
      <c r="H74" s="16" t="n"/>
      <c r="I74" s="16" t="n"/>
      <c r="J74" s="16" t="n"/>
      <c r="K74" s="16" t="n"/>
      <c r="L74" s="16" t="n"/>
      <c r="M74" s="16" t="n"/>
      <c r="N74" s="16" t="n"/>
      <c r="O74" s="17" t="n"/>
      <c r="P74" s="16" t="n"/>
      <c r="Q74" s="16" t="n"/>
      <c r="R74" s="16" t="n"/>
      <c r="S74" s="16" t="n"/>
      <c r="T74" s="16" t="n"/>
      <c r="U74" s="16" t="n"/>
      <c r="V74" s="16" t="n"/>
      <c r="W74" s="16" t="n"/>
      <c r="X74" s="16" t="n"/>
      <c r="Y74" s="17" t="n"/>
      <c r="Z74" s="16" t="n"/>
      <c r="AA74" s="16" t="n"/>
      <c r="AB74" s="16" t="n"/>
      <c r="AC74" s="16" t="n"/>
    </row>
    <row r="75">
      <c r="A75" s="18" t="inlineStr">
        <is>
          <t>목표 시가총액 (P/E)</t>
        </is>
      </c>
      <c r="B75" s="10" t="inlineStr">
        <is>
          <t>지배순이익 × Target P/E</t>
        </is>
      </c>
      <c r="C75" s="19" t="n"/>
      <c r="D75" s="20" t="n"/>
      <c r="E75" s="20" t="n"/>
      <c r="F75" s="20" t="n"/>
      <c r="G75" s="20" t="n"/>
      <c r="H75" s="20" t="n"/>
      <c r="I75" s="20" t="n"/>
      <c r="J75" s="20" t="n"/>
      <c r="K75" s="20" t="n"/>
      <c r="L75" s="20" t="n"/>
      <c r="M75" s="20" t="n"/>
      <c r="N75" s="20" t="n"/>
      <c r="O75" s="19" t="n"/>
      <c r="P75" s="20" t="n"/>
      <c r="Q75" s="20" t="n"/>
      <c r="R75" s="20" t="n"/>
      <c r="S75" s="20" t="n"/>
      <c r="T75" s="20" t="n"/>
      <c r="U75" s="20" t="n"/>
      <c r="V75" s="20" t="n"/>
      <c r="W75" s="20" t="n"/>
      <c r="X75" s="20" t="n"/>
      <c r="Y75" s="19">
        <f>IF(OR(Y53="",Y62=""),"",IFERROR(Y53*Y62,""))</f>
        <v/>
      </c>
      <c r="Z75" s="20">
        <f>IF(OR(Z53="",Z62=""),"",IFERROR(Z53*Z62,""))</f>
        <v/>
      </c>
      <c r="AA75" s="20">
        <f>IF(OR(AA53="",AA62=""),"",IFERROR(AA53*AA62,""))</f>
        <v/>
      </c>
      <c r="AB75" s="20">
        <f>IF(OR(AB53="",AB62=""),"",IFERROR(AB53*AB62,""))</f>
        <v/>
      </c>
      <c r="AC75" s="20">
        <f>IF(OR(AC53="",AC62=""),"",IFERROR(AC53*AC62,""))</f>
        <v/>
      </c>
    </row>
    <row r="76">
      <c r="A76" s="9" t="inlineStr">
        <is>
          <t>기업가치</t>
        </is>
      </c>
      <c r="B76" s="10" t="inlineStr">
        <is>
          <t>목표시총 + 자산가치</t>
        </is>
      </c>
      <c r="C76" s="11" t="n"/>
      <c r="D76" s="12" t="n"/>
      <c r="E76" s="12" t="n"/>
      <c r="F76" s="12" t="n"/>
      <c r="G76" s="12" t="n"/>
      <c r="H76" s="12" t="n"/>
      <c r="I76" s="12" t="n"/>
      <c r="J76" s="12" t="n"/>
      <c r="K76" s="12" t="n"/>
      <c r="L76" s="12" t="n"/>
      <c r="M76" s="12" t="n"/>
      <c r="N76" s="12" t="n"/>
      <c r="O76" s="11" t="n"/>
      <c r="P76" s="12" t="n"/>
      <c r="Q76" s="12" t="n"/>
      <c r="R76" s="12" t="n"/>
      <c r="S76" s="12" t="n"/>
      <c r="T76" s="12" t="n"/>
      <c r="U76" s="12" t="n"/>
      <c r="V76" s="12" t="n"/>
      <c r="W76" s="12" t="n"/>
      <c r="X76" s="12" t="n"/>
      <c r="Y76" s="11">
        <f>IF(OR(Y75=""),"",IFERROR(Y75+Y73,""))</f>
        <v/>
      </c>
      <c r="Z76" s="12">
        <f>IF(OR(Z75=""),"",IFERROR(Z75+Z73,""))</f>
        <v/>
      </c>
      <c r="AA76" s="12">
        <f>IF(OR(AA75=""),"",IFERROR(AA75+AA73,""))</f>
        <v/>
      </c>
      <c r="AB76" s="12">
        <f>IF(OR(AB75=""),"",IFERROR(AB75+AB73,""))</f>
        <v/>
      </c>
      <c r="AC76" s="12">
        <f>IF(OR(AC75=""),"",IFERROR(AC75+AC73,""))</f>
        <v/>
      </c>
    </row>
    <row r="77">
      <c r="A77" s="18" t="inlineStr">
        <is>
          <t>현재 시가총액</t>
        </is>
      </c>
      <c r="B77" s="10" t="n"/>
      <c r="C77" s="19" t="n"/>
      <c r="D77" s="20" t="n"/>
      <c r="E77" s="20" t="n"/>
      <c r="F77" s="20" t="n"/>
      <c r="G77" s="20" t="n"/>
      <c r="H77" s="20" t="n"/>
      <c r="I77" s="20" t="n"/>
      <c r="J77" s="20" t="n"/>
      <c r="K77" s="20" t="n"/>
      <c r="L77" s="20" t="n"/>
      <c r="M77" s="20" t="n"/>
      <c r="N77" s="20" t="n"/>
      <c r="O77" s="19" t="n"/>
      <c r="P77" s="20" t="n"/>
      <c r="Q77" s="20" t="n"/>
      <c r="R77" s="20" t="n"/>
      <c r="S77" s="20" t="n"/>
      <c r="T77" s="20" t="n"/>
      <c r="U77" s="20" t="n"/>
      <c r="V77" s="20" t="n"/>
      <c r="W77" s="20" t="n"/>
      <c r="X77" s="20" t="n"/>
      <c r="Y77" s="19">
        <f>$B$58</f>
        <v/>
      </c>
      <c r="Z77" s="20">
        <f>$B$58</f>
        <v/>
      </c>
      <c r="AA77" s="20">
        <f>$B$58</f>
        <v/>
      </c>
      <c r="AB77" s="20">
        <f>$B$58</f>
        <v/>
      </c>
      <c r="AC77" s="20">
        <f>$B$58</f>
        <v/>
      </c>
    </row>
    <row r="78">
      <c r="A78" s="18" t="inlineStr">
        <is>
          <t>상승여력</t>
        </is>
      </c>
      <c r="B78" s="10" t="n"/>
      <c r="C78" s="35" t="n"/>
      <c r="D78" s="36" t="n"/>
      <c r="E78" s="36" t="n"/>
      <c r="F78" s="36" t="n"/>
      <c r="G78" s="36" t="n"/>
      <c r="H78" s="36" t="n"/>
      <c r="I78" s="36" t="n"/>
      <c r="J78" s="36" t="n"/>
      <c r="K78" s="36" t="n"/>
      <c r="L78" s="36" t="n"/>
      <c r="M78" s="36" t="n"/>
      <c r="N78" s="36" t="n"/>
      <c r="O78" s="35" t="n"/>
      <c r="P78" s="36" t="n"/>
      <c r="Q78" s="36" t="n"/>
      <c r="R78" s="36" t="n"/>
      <c r="S78" s="36" t="n"/>
      <c r="T78" s="36" t="n"/>
      <c r="U78" s="36" t="n"/>
      <c r="V78" s="36" t="n"/>
      <c r="W78" s="36" t="n"/>
      <c r="X78" s="36" t="n"/>
      <c r="Y78" s="37">
        <f>IF(OR(Y76="",Y77=""),"",IFERROR(Y76/Y77-1,""))</f>
        <v/>
      </c>
      <c r="Z78" s="38">
        <f>IF(OR(Z76="",Z77=""),"",IFERROR(Z76/Z77-1,""))</f>
        <v/>
      </c>
      <c r="AA78" s="38">
        <f>IF(OR(AA76="",AA77=""),"",IFERROR(AA76/AA77-1,""))</f>
        <v/>
      </c>
      <c r="AB78" s="38">
        <f>IF(OR(AB76="",AB77=""),"",IFERROR(AB76/AB77-1,""))</f>
        <v/>
      </c>
      <c r="AC78" s="38">
        <f>IF(OR(AC76="",AC77=""),"",IFERROR(AC76/AC77-1,""))</f>
        <v/>
      </c>
    </row>
    <row r="79">
      <c r="C79" s="39" t="n"/>
      <c r="O79" s="39" t="n"/>
      <c r="Y79" s="39" t="n"/>
    </row>
    <row r="80">
      <c r="A80" s="40" t="inlineStr">
        <is>
          <t>출처</t>
        </is>
      </c>
      <c r="C80" s="39" t="n"/>
      <c r="O80" s="39" t="n"/>
      <c r="Y80" s="39" t="n"/>
    </row>
    <row r="81">
      <c r="A81" s="41" t="inlineStr">
        <is>
          <t>결산단신 XBRL(TDnet·JPX 보관소) — 쓴 문서는 '출처' 시트</t>
        </is>
      </c>
      <c r="C81" s="39" t="n"/>
      <c r="O81" s="39" t="n"/>
      <c r="Y81" s="39" t="n"/>
    </row>
    <row r="82">
      <c r="A82" s="41" t="inlineStr">
        <is>
          <t>분기 = 누계에서 앞 분기를 뺀 3개월 값</t>
        </is>
      </c>
      <c r="C82" s="39" t="n"/>
      <c r="O82" s="39" t="n"/>
      <c r="Y82" s="39" t="n"/>
    </row>
    <row r="83">
      <c r="A83" s="41" t="inlineStr">
        <is>
          <t>주가: 야후 파이낸스 일봉</t>
        </is>
      </c>
      <c r="C83" s="39" t="n"/>
      <c r="O83" s="39" t="n"/>
      <c r="Y83" s="39" t="n"/>
    </row>
    <row r="85">
      <c r="A85" s="16" t="inlineStr">
        <is>
          <t>현금흐름표 · 전 항목</t>
        </is>
      </c>
      <c r="B85" s="42" t="inlineStr">
        <is>
          <t>분기 = 결산기 첫날부터 누계(공시 그대로)</t>
        </is>
      </c>
      <c r="C85" s="16" t="n"/>
      <c r="D85" s="16" t="n"/>
      <c r="E85" s="16" t="n"/>
      <c r="F85" s="16" t="n"/>
      <c r="G85" s="16" t="n"/>
      <c r="H85" s="16" t="n"/>
      <c r="I85" s="16" t="n"/>
      <c r="J85" s="16" t="n"/>
      <c r="K85" s="16" t="n"/>
      <c r="L85" s="16" t="n"/>
      <c r="M85" s="16" t="n"/>
      <c r="N85" s="16" t="n"/>
      <c r="O85" s="16" t="n"/>
      <c r="P85" s="16" t="n"/>
      <c r="Q85" s="16" t="n"/>
      <c r="R85" s="16" t="n"/>
      <c r="S85" s="16" t="n"/>
      <c r="T85" s="16" t="n"/>
      <c r="U85" s="16" t="n"/>
      <c r="V85" s="16" t="n"/>
      <c r="W85" s="16" t="n"/>
      <c r="X85" s="16" t="n"/>
      <c r="Y85" s="16" t="n"/>
      <c r="Z85" s="16" t="n"/>
      <c r="AA85" s="16" t="n"/>
      <c r="AB85" s="16" t="n"/>
      <c r="AC85" s="16" t="n"/>
    </row>
    <row r="86">
      <c r="A86" s="5" t="inlineStr">
        <is>
          <t>항목</t>
        </is>
      </c>
      <c r="B86" s="5" t="inlineStr">
        <is>
          <t>참고</t>
        </is>
      </c>
      <c r="C86" s="5" t="inlineStr">
        <is>
          <t>2024.1Q</t>
        </is>
      </c>
      <c r="D86" s="5" t="inlineStr">
        <is>
          <t>2024.2Q</t>
        </is>
      </c>
      <c r="E86" s="5" t="inlineStr">
        <is>
          <t>2024.3Q</t>
        </is>
      </c>
      <c r="F86" s="5" t="inlineStr">
        <is>
          <t>2024.4Q</t>
        </is>
      </c>
      <c r="G86" s="5" t="inlineStr">
        <is>
          <t>2025.1Q</t>
        </is>
      </c>
      <c r="H86" s="5" t="inlineStr">
        <is>
          <t>2025.2Q</t>
        </is>
      </c>
      <c r="I86" s="5" t="inlineStr">
        <is>
          <t>2025.3Q</t>
        </is>
      </c>
      <c r="J86" s="5" t="inlineStr">
        <is>
          <t>2025.4Q</t>
        </is>
      </c>
      <c r="K86" s="5" t="inlineStr">
        <is>
          <t>2026.1Q</t>
        </is>
      </c>
      <c r="L86" s="5" t="inlineStr">
        <is>
          <t>2026.2Q</t>
        </is>
      </c>
      <c r="M86" s="5" t="inlineStr">
        <is>
          <t>2026.3Q</t>
        </is>
      </c>
      <c r="N86" s="5" t="inlineStr">
        <is>
          <t>2026.4Q</t>
        </is>
      </c>
      <c r="O86" s="5" t="inlineStr">
        <is>
          <t>2017</t>
        </is>
      </c>
      <c r="P86" s="5" t="inlineStr">
        <is>
          <t>2018</t>
        </is>
      </c>
      <c r="Q86" s="5" t="inlineStr">
        <is>
          <t>2019</t>
        </is>
      </c>
      <c r="R86" s="5" t="inlineStr">
        <is>
          <t>2020</t>
        </is>
      </c>
      <c r="S86" s="5" t="inlineStr">
        <is>
          <t>2021</t>
        </is>
      </c>
      <c r="T86" s="5" t="inlineStr">
        <is>
          <t>2022</t>
        </is>
      </c>
      <c r="U86" s="5" t="inlineStr">
        <is>
          <t>2023</t>
        </is>
      </c>
      <c r="V86" s="5" t="inlineStr">
        <is>
          <t>2024</t>
        </is>
      </c>
      <c r="W86" s="5" t="inlineStr">
        <is>
          <t>2025</t>
        </is>
      </c>
      <c r="X86" s="5" t="inlineStr">
        <is>
          <t>2026</t>
        </is>
      </c>
      <c r="Y86" s="5" t="inlineStr">
        <is>
          <t>2027(MW)</t>
        </is>
      </c>
      <c r="Z86" s="5" t="inlineStr">
        <is>
          <t>2028(MW)</t>
        </is>
      </c>
      <c r="AA86" s="5" t="inlineStr">
        <is>
          <t>2029(MW)</t>
        </is>
      </c>
      <c r="AB86" s="5" t="inlineStr">
        <is>
          <t>2030(MW)</t>
        </is>
      </c>
      <c r="AC86" s="5" t="inlineStr">
        <is>
          <t>2031(MW)</t>
        </is>
      </c>
    </row>
    <row r="87">
      <c r="A87" s="9" t="inlineStr">
        <is>
          <t>법인세비용차감전 당기이익</t>
        </is>
      </c>
      <c r="F87" s="12" t="n">
        <v>138901</v>
      </c>
      <c r="J87" s="12" t="n">
        <v>185329</v>
      </c>
      <c r="N87" s="12" t="n">
        <v>184976</v>
      </c>
      <c r="P87" s="12" t="n">
        <v>126168</v>
      </c>
      <c r="Q87" s="12" t="n">
        <v>91910</v>
      </c>
      <c r="R87" s="12" t="n">
        <v>69013</v>
      </c>
      <c r="S87" s="12" t="n">
        <v>93320</v>
      </c>
      <c r="T87" s="12" t="n">
        <v>132378</v>
      </c>
      <c r="U87" s="12" t="n">
        <v>146840</v>
      </c>
      <c r="V87" s="12" t="n">
        <v>138901</v>
      </c>
      <c r="W87" s="12" t="n">
        <v>185329</v>
      </c>
      <c r="X87" s="12" t="n">
        <v>184976</v>
      </c>
    </row>
    <row r="88">
      <c r="A88" s="18" t="inlineStr">
        <is>
          <t>감가상각비 및 상각비</t>
        </is>
      </c>
      <c r="F88" s="20" t="n">
        <v>60811</v>
      </c>
      <c r="J88" s="20" t="n">
        <v>65595</v>
      </c>
      <c r="N88" s="20" t="n">
        <v>70677</v>
      </c>
      <c r="P88" s="20" t="n">
        <v>49283</v>
      </c>
      <c r="Q88" s="20" t="n">
        <v>45904</v>
      </c>
      <c r="R88" s="20" t="n">
        <v>49390</v>
      </c>
      <c r="S88" s="20" t="n">
        <v>47950</v>
      </c>
      <c r="T88" s="20" t="n">
        <v>50211</v>
      </c>
      <c r="U88" s="20" t="n">
        <v>57362</v>
      </c>
      <c r="V88" s="20" t="n">
        <v>60811</v>
      </c>
      <c r="W88" s="20" t="n">
        <v>65595</v>
      </c>
      <c r="X88" s="20" t="n">
        <v>70677</v>
      </c>
    </row>
    <row r="89">
      <c r="A89" s="18" t="inlineStr">
        <is>
          <t>손상차손</t>
        </is>
      </c>
      <c r="F89" s="20" t="n">
        <v>1651</v>
      </c>
      <c r="J89" s="20" t="n">
        <v>12339</v>
      </c>
      <c r="N89" s="20" t="n">
        <v>4717</v>
      </c>
      <c r="P89" s="20" t="n">
        <v>52</v>
      </c>
      <c r="Q89" s="20" t="n">
        <v>41</v>
      </c>
      <c r="R89" s="20" t="n">
        <v>7327</v>
      </c>
      <c r="S89" s="20" t="n">
        <v>6011</v>
      </c>
      <c r="T89" s="20" t="n">
        <v>5986</v>
      </c>
      <c r="U89" s="20" t="n">
        <v>4036</v>
      </c>
      <c r="V89" s="20" t="n">
        <v>1651</v>
      </c>
      <c r="W89" s="20" t="n">
        <v>12339</v>
      </c>
      <c r="X89" s="20" t="n">
        <v>4717</v>
      </c>
    </row>
    <row r="90">
      <c r="A90" s="18" t="inlineStr">
        <is>
          <t>확정급여부채 증감액</t>
        </is>
      </c>
      <c r="P90" s="20" t="n">
        <v>2338</v>
      </c>
      <c r="Q90" s="20" t="n">
        <v>725</v>
      </c>
    </row>
    <row r="91">
      <c r="A91" s="18" t="inlineStr">
        <is>
          <t>확정급여부채 증감액</t>
        </is>
      </c>
      <c r="F91" s="20" t="n">
        <v>1371</v>
      </c>
      <c r="J91" s="20" t="n">
        <v>1048</v>
      </c>
      <c r="N91" s="20" t="n">
        <v>-1196</v>
      </c>
      <c r="Q91" s="20" t="n">
        <v>725</v>
      </c>
      <c r="R91" s="20" t="n">
        <v>2677</v>
      </c>
      <c r="S91" s="20" t="n">
        <v>1878</v>
      </c>
      <c r="T91" s="20" t="n">
        <v>691</v>
      </c>
      <c r="U91" s="20" t="n">
        <v>1270</v>
      </c>
      <c r="V91" s="20" t="n">
        <v>1371</v>
      </c>
      <c r="W91" s="20" t="n">
        <v>1048</v>
      </c>
      <c r="X91" s="20" t="n">
        <v>-1196</v>
      </c>
    </row>
    <row r="92">
      <c r="A92" s="18" t="inlineStr">
        <is>
          <t>매출채권 및 기타채권 증감액</t>
        </is>
      </c>
      <c r="F92" s="20" t="n">
        <v>-19033</v>
      </c>
      <c r="J92" s="20" t="n">
        <v>-3791</v>
      </c>
      <c r="N92" s="20" t="n">
        <v>-4670</v>
      </c>
      <c r="P92" s="20" t="n">
        <v>-18493</v>
      </c>
      <c r="Q92" s="20" t="n">
        <v>23148</v>
      </c>
      <c r="R92" s="20" t="n">
        <v>12805</v>
      </c>
      <c r="S92" s="20" t="n">
        <v>-21058</v>
      </c>
      <c r="T92" s="20" t="n">
        <v>-10118</v>
      </c>
      <c r="U92" s="20" t="n">
        <v>44492</v>
      </c>
      <c r="V92" s="20" t="n">
        <v>-19033</v>
      </c>
      <c r="W92" s="20" t="n">
        <v>-3791</v>
      </c>
      <c r="X92" s="20" t="n">
        <v>-4670</v>
      </c>
    </row>
    <row r="93">
      <c r="A93" s="18" t="inlineStr">
        <is>
          <t>재고자산 증감액</t>
        </is>
      </c>
      <c r="F93" s="20" t="n">
        <v>11769</v>
      </c>
      <c r="J93" s="20" t="n">
        <v>-8526</v>
      </c>
      <c r="N93" s="20" t="n">
        <v>-5957</v>
      </c>
      <c r="P93" s="20" t="n">
        <v>-6860</v>
      </c>
      <c r="Q93" s="20" t="n">
        <v>362</v>
      </c>
      <c r="R93" s="20" t="n">
        <v>-5132</v>
      </c>
      <c r="S93" s="20" t="n">
        <v>-7607</v>
      </c>
      <c r="T93" s="20" t="n">
        <v>-14000</v>
      </c>
      <c r="U93" s="20" t="n">
        <v>-2230</v>
      </c>
      <c r="V93" s="20" t="n">
        <v>11769</v>
      </c>
      <c r="W93" s="20" t="n">
        <v>-8526</v>
      </c>
      <c r="X93" s="20" t="n">
        <v>-5957</v>
      </c>
    </row>
    <row r="94">
      <c r="A94" s="18" t="inlineStr">
        <is>
          <t>매입채무 및 기타채무 증감액</t>
        </is>
      </c>
      <c r="F94" s="20" t="n">
        <v>3804</v>
      </c>
      <c r="J94" s="20" t="n">
        <v>2369</v>
      </c>
      <c r="N94" s="20" t="n">
        <v>332</v>
      </c>
      <c r="P94" s="20" t="n">
        <v>-4471</v>
      </c>
      <c r="Q94" s="20" t="n">
        <v>-14227</v>
      </c>
      <c r="R94" s="20" t="n">
        <v>-4899</v>
      </c>
      <c r="S94" s="20" t="n">
        <v>9234</v>
      </c>
      <c r="T94" s="20" t="n">
        <v>440</v>
      </c>
      <c r="U94" s="20" t="n">
        <v>-15779</v>
      </c>
      <c r="V94" s="20" t="n">
        <v>3804</v>
      </c>
      <c r="W94" s="20" t="n">
        <v>2369</v>
      </c>
      <c r="X94" s="20" t="n">
        <v>332</v>
      </c>
    </row>
    <row r="95">
      <c r="A95" s="18" t="inlineStr">
        <is>
          <t>선수금 증감액</t>
        </is>
      </c>
      <c r="S95" s="20" t="n">
        <v>3560</v>
      </c>
      <c r="T95" s="20" t="n">
        <v>13897</v>
      </c>
      <c r="U95" s="20" t="n">
        <v>-17420</v>
      </c>
    </row>
    <row r="96">
      <c r="A96" s="18" t="inlineStr">
        <is>
          <t>선수금 증감액</t>
        </is>
      </c>
      <c r="F96" s="20" t="n">
        <v>-1312</v>
      </c>
      <c r="J96" s="20" t="n">
        <v>-413</v>
      </c>
      <c r="N96" s="20" t="n">
        <v>540</v>
      </c>
      <c r="U96" s="20" t="n">
        <v>-17420</v>
      </c>
      <c r="V96" s="20" t="n">
        <v>-1312</v>
      </c>
      <c r="W96" s="20" t="n">
        <v>-413</v>
      </c>
      <c r="X96" s="20" t="n">
        <v>540</v>
      </c>
    </row>
    <row r="97">
      <c r="A97" s="18" t="inlineStr">
        <is>
          <t>이자 및 배당금 수령액</t>
        </is>
      </c>
      <c r="F97" s="20" t="n">
        <v>2065</v>
      </c>
      <c r="J97" s="20" t="n">
        <v>2849</v>
      </c>
      <c r="N97" s="20" t="n">
        <v>3214</v>
      </c>
      <c r="P97" s="20" t="n">
        <v>1047</v>
      </c>
      <c r="Q97" s="20" t="n">
        <v>1089</v>
      </c>
      <c r="R97" s="20" t="n">
        <v>822</v>
      </c>
      <c r="S97" s="20" t="n">
        <v>587</v>
      </c>
      <c r="T97" s="20" t="n">
        <v>569</v>
      </c>
      <c r="U97" s="20" t="n">
        <v>1283</v>
      </c>
      <c r="V97" s="20" t="n">
        <v>2065</v>
      </c>
      <c r="W97" s="20" t="n">
        <v>2849</v>
      </c>
      <c r="X97" s="20" t="n">
        <v>3214</v>
      </c>
    </row>
    <row r="98">
      <c r="A98" s="18" t="inlineStr">
        <is>
          <t>이자 지급</t>
        </is>
      </c>
      <c r="F98" s="20" t="n">
        <v>-609</v>
      </c>
      <c r="J98" s="20" t="n">
        <v>-809</v>
      </c>
      <c r="N98" s="20" t="n">
        <v>-1036</v>
      </c>
      <c r="P98" s="20" t="n">
        <v>-419</v>
      </c>
      <c r="Q98" s="20" t="n">
        <v>-357</v>
      </c>
      <c r="R98" s="20" t="n">
        <v>-650</v>
      </c>
      <c r="S98" s="20" t="n">
        <v>-617</v>
      </c>
      <c r="T98" s="20" t="n">
        <v>-535</v>
      </c>
      <c r="U98" s="20" t="n">
        <v>-538</v>
      </c>
      <c r="V98" s="20" t="n">
        <v>-609</v>
      </c>
      <c r="W98" s="20" t="n">
        <v>-809</v>
      </c>
      <c r="X98" s="20" t="n">
        <v>-1036</v>
      </c>
    </row>
    <row r="99">
      <c r="A99" s="18" t="inlineStr">
        <is>
          <t>법인세 등 지급액 또는 환급액</t>
        </is>
      </c>
      <c r="F99" s="20" t="n">
        <v>-41030</v>
      </c>
      <c r="J99" s="20" t="n">
        <v>-34304</v>
      </c>
      <c r="N99" s="20" t="n">
        <v>-57302</v>
      </c>
      <c r="P99" s="20" t="n">
        <v>-35153</v>
      </c>
      <c r="Q99" s="20" t="n">
        <v>-41835</v>
      </c>
      <c r="R99" s="20" t="n">
        <v>-13332</v>
      </c>
      <c r="S99" s="20" t="n">
        <v>-24560</v>
      </c>
      <c r="T99" s="20" t="n">
        <v>-30445</v>
      </c>
      <c r="U99" s="20" t="n">
        <v>-38748</v>
      </c>
      <c r="V99" s="20" t="n">
        <v>-41030</v>
      </c>
      <c r="W99" s="20" t="n">
        <v>-34304</v>
      </c>
      <c r="X99" s="20" t="n">
        <v>-57302</v>
      </c>
    </row>
    <row r="100">
      <c r="A100" s="18" t="inlineStr">
        <is>
          <t>기타</t>
        </is>
      </c>
      <c r="F100" s="20" t="n">
        <v>-2868</v>
      </c>
      <c r="J100" s="20" t="n">
        <v>-3779</v>
      </c>
      <c r="N100" s="20" t="n">
        <v>-2111</v>
      </c>
      <c r="P100" s="20" t="n">
        <v>9059</v>
      </c>
      <c r="Q100" s="20" t="n">
        <v>-8192</v>
      </c>
      <c r="R100" s="20" t="n">
        <v>5619</v>
      </c>
      <c r="S100" s="20" t="n">
        <v>7610</v>
      </c>
      <c r="T100" s="20" t="n">
        <v>-4587</v>
      </c>
      <c r="U100" s="20" t="n">
        <v>1133</v>
      </c>
      <c r="V100" s="20" t="n">
        <v>-2868</v>
      </c>
      <c r="W100" s="20" t="n">
        <v>-3779</v>
      </c>
      <c r="X100" s="20" t="n">
        <v>-2111</v>
      </c>
    </row>
    <row r="101">
      <c r="A101" s="9" t="inlineStr">
        <is>
          <t>영업활동 현금흐름</t>
        </is>
      </c>
      <c r="F101" s="12" t="n">
        <v>155521</v>
      </c>
      <c r="J101" s="12" t="n">
        <v>217908</v>
      </c>
      <c r="N101" s="12" t="n">
        <v>192183</v>
      </c>
      <c r="P101" s="12" t="n">
        <v>122551</v>
      </c>
      <c r="Q101" s="12" t="n">
        <v>98569</v>
      </c>
      <c r="R101" s="12" t="n">
        <v>123641</v>
      </c>
      <c r="S101" s="12" t="n">
        <v>116309</v>
      </c>
      <c r="T101" s="12" t="n">
        <v>144489</v>
      </c>
      <c r="U101" s="12" t="n">
        <v>181702</v>
      </c>
      <c r="V101" s="12" t="n">
        <v>155521</v>
      </c>
      <c r="W101" s="12" t="n">
        <v>217908</v>
      </c>
      <c r="X101" s="12" t="n">
        <v>192183</v>
      </c>
    </row>
    <row r="102">
      <c r="A102" s="18" t="inlineStr">
        <is>
          <t>유형·무형자산 취득 지출</t>
        </is>
      </c>
      <c r="F102" s="20" t="n">
        <v>-67774</v>
      </c>
      <c r="J102" s="20" t="n">
        <v>-106003</v>
      </c>
      <c r="N102" s="20" t="n">
        <v>-96607</v>
      </c>
      <c r="P102" s="20" t="n">
        <v>-48466</v>
      </c>
      <c r="Q102" s="20" t="n">
        <v>-59628</v>
      </c>
      <c r="R102" s="20" t="n">
        <v>-59797</v>
      </c>
      <c r="S102" s="20" t="n">
        <v>-57724</v>
      </c>
      <c r="T102" s="20" t="n">
        <v>-58958</v>
      </c>
      <c r="U102" s="20" t="n">
        <v>-65921</v>
      </c>
      <c r="V102" s="20" t="n">
        <v>-67774</v>
      </c>
      <c r="W102" s="20" t="n">
        <v>-106003</v>
      </c>
      <c r="X102" s="20" t="n">
        <v>-96607</v>
      </c>
    </row>
    <row r="103">
      <c r="A103" s="18" t="inlineStr">
        <is>
          <t>유형·무형자산 처분 수입</t>
        </is>
      </c>
      <c r="F103" s="20" t="n">
        <v>602</v>
      </c>
      <c r="J103" s="20" t="n">
        <v>208</v>
      </c>
      <c r="N103" s="20" t="n">
        <v>4534</v>
      </c>
      <c r="P103" s="20" t="n">
        <v>99</v>
      </c>
      <c r="Q103" s="20" t="n">
        <v>331</v>
      </c>
      <c r="R103" s="20" t="n">
        <v>1444</v>
      </c>
      <c r="S103" s="20" t="n">
        <v>341</v>
      </c>
      <c r="T103" s="20" t="n">
        <v>881</v>
      </c>
      <c r="U103" s="20" t="n">
        <v>350</v>
      </c>
      <c r="V103" s="20" t="n">
        <v>602</v>
      </c>
      <c r="W103" s="20" t="n">
        <v>208</v>
      </c>
      <c r="X103" s="20" t="n">
        <v>4534</v>
      </c>
    </row>
    <row r="104">
      <c r="A104" s="18" t="inlineStr">
        <is>
          <t>정기예금 증감액</t>
        </is>
      </c>
      <c r="F104" s="20" t="n">
        <v>-2465</v>
      </c>
      <c r="J104" s="20" t="n">
        <v>-2371</v>
      </c>
      <c r="N104" s="20" t="n">
        <v>-12110</v>
      </c>
      <c r="P104" s="20" t="n">
        <v>-2811</v>
      </c>
      <c r="Q104" s="20" t="n">
        <v>6689</v>
      </c>
      <c r="R104" s="20" t="n">
        <v>-1941</v>
      </c>
      <c r="S104" s="20" t="n">
        <v>769</v>
      </c>
      <c r="T104" s="20" t="n">
        <v>-398</v>
      </c>
      <c r="U104" s="20" t="n">
        <v>81</v>
      </c>
      <c r="V104" s="20" t="n">
        <v>-2465</v>
      </c>
      <c r="W104" s="20" t="n">
        <v>-2371</v>
      </c>
      <c r="X104" s="20" t="n">
        <v>-12110</v>
      </c>
    </row>
    <row r="105">
      <c r="A105" s="18" t="inlineStr">
        <is>
          <t>투자유가증권 취득</t>
        </is>
      </c>
      <c r="F105" s="20" t="n">
        <v>-723</v>
      </c>
      <c r="J105" s="20" t="n">
        <v>-762</v>
      </c>
      <c r="N105" s="20" t="n">
        <v>-3123</v>
      </c>
      <c r="Q105" s="20" t="n">
        <v>-9</v>
      </c>
      <c r="R105" s="20" t="n">
        <v>-1236</v>
      </c>
      <c r="S105" s="20" t="n">
        <v>-507</v>
      </c>
      <c r="T105" s="20" t="n">
        <v>-596</v>
      </c>
      <c r="U105" s="20" t="n">
        <v>-177</v>
      </c>
      <c r="V105" s="20" t="n">
        <v>-723</v>
      </c>
      <c r="W105" s="20" t="n">
        <v>-762</v>
      </c>
      <c r="X105" s="20" t="n">
        <v>-3123</v>
      </c>
    </row>
    <row r="106">
      <c r="A106" s="18" t="inlineStr">
        <is>
          <t>투자유가증권 매각</t>
        </is>
      </c>
      <c r="F106" s="20" t="n">
        <v>551</v>
      </c>
      <c r="J106" s="20" t="n">
        <v>55</v>
      </c>
      <c r="N106" s="20" t="n">
        <v>8</v>
      </c>
      <c r="Q106" s="20" t="n">
        <v>0</v>
      </c>
      <c r="R106" s="20" t="n">
        <v>1531</v>
      </c>
      <c r="S106" s="20" t="n">
        <v>292</v>
      </c>
      <c r="T106" s="20" t="n">
        <v>764</v>
      </c>
      <c r="U106" s="20" t="n">
        <v>2675</v>
      </c>
      <c r="V106" s="20" t="n">
        <v>551</v>
      </c>
      <c r="W106" s="20" t="n">
        <v>55</v>
      </c>
      <c r="X106" s="20" t="n">
        <v>8</v>
      </c>
    </row>
    <row r="107">
      <c r="A107" s="18" t="inlineStr">
        <is>
          <t>관계회사 주식 취득</t>
        </is>
      </c>
      <c r="F107" s="20" t="n">
        <v>0</v>
      </c>
      <c r="J107" s="20" t="n">
        <v>-6256</v>
      </c>
      <c r="N107" s="20" t="n">
        <v>-206</v>
      </c>
      <c r="R107" s="20" t="n">
        <v>0</v>
      </c>
      <c r="S107" s="20" t="n">
        <v>-880</v>
      </c>
      <c r="T107" s="20" t="n">
        <v>-269</v>
      </c>
      <c r="U107" s="20" t="n">
        <v>-1703</v>
      </c>
      <c r="V107" s="20" t="n">
        <v>0</v>
      </c>
      <c r="W107" s="20" t="n">
        <v>-6256</v>
      </c>
      <c r="X107" s="20" t="n">
        <v>-206</v>
      </c>
    </row>
    <row r="108">
      <c r="A108" s="18" t="inlineStr">
        <is>
          <t>연결범위 변경 자회사 주식 취득</t>
        </is>
      </c>
      <c r="F108" s="20" t="n">
        <v>0</v>
      </c>
      <c r="T108" s="20" t="n">
        <v>0</v>
      </c>
      <c r="U108" s="20" t="n">
        <v>-95263</v>
      </c>
      <c r="V108" s="20" t="n">
        <v>0</v>
      </c>
    </row>
    <row r="109">
      <c r="A109" s="18" t="inlineStr">
        <is>
          <t>연결범위 변경 자회사 주식 매각</t>
        </is>
      </c>
      <c r="F109" s="20" t="n">
        <v>1871</v>
      </c>
      <c r="J109" s="20" t="n">
        <v>0</v>
      </c>
      <c r="P109" s="20" t="n">
        <v>0</v>
      </c>
      <c r="Q109" s="20" t="n">
        <v>2634</v>
      </c>
      <c r="R109" s="20" t="n">
        <v>0</v>
      </c>
      <c r="U109" s="20" t="n">
        <v>0</v>
      </c>
      <c r="V109" s="20" t="n">
        <v>1871</v>
      </c>
      <c r="W109" s="20" t="n">
        <v>0</v>
      </c>
    </row>
    <row r="110">
      <c r="A110" s="18" t="inlineStr">
        <is>
          <t>기타</t>
        </is>
      </c>
      <c r="F110" s="20" t="n">
        <v>10</v>
      </c>
      <c r="J110" s="20" t="n">
        <v>23</v>
      </c>
      <c r="N110" s="20" t="n">
        <v>68</v>
      </c>
      <c r="P110" s="20" t="n">
        <v>963</v>
      </c>
      <c r="Q110" s="20" t="n">
        <v>26</v>
      </c>
      <c r="R110" s="20" t="n">
        <v>7</v>
      </c>
      <c r="S110" s="20" t="n">
        <v>170</v>
      </c>
      <c r="T110" s="20" t="n">
        <v>982</v>
      </c>
      <c r="U110" s="20" t="n">
        <v>51</v>
      </c>
      <c r="V110" s="20" t="n">
        <v>10</v>
      </c>
      <c r="W110" s="20" t="n">
        <v>23</v>
      </c>
      <c r="X110" s="20" t="n">
        <v>68</v>
      </c>
    </row>
    <row r="111">
      <c r="A111" s="9" t="inlineStr">
        <is>
          <t>투자활동 현금흐름</t>
        </is>
      </c>
      <c r="F111" s="12" t="n">
        <v>-67927</v>
      </c>
      <c r="J111" s="12" t="n">
        <v>-115105</v>
      </c>
      <c r="N111" s="12" t="n">
        <v>-107436</v>
      </c>
      <c r="P111" s="12" t="n">
        <v>-50215</v>
      </c>
      <c r="Q111" s="12" t="n">
        <v>-49955</v>
      </c>
      <c r="R111" s="12" t="n">
        <v>-59991</v>
      </c>
      <c r="S111" s="12" t="n">
        <v>-57538</v>
      </c>
      <c r="T111" s="12" t="n">
        <v>-57594</v>
      </c>
      <c r="U111" s="12" t="n">
        <v>-159906</v>
      </c>
      <c r="V111" s="12" t="n">
        <v>-67927</v>
      </c>
      <c r="W111" s="12" t="n">
        <v>-115105</v>
      </c>
      <c r="X111" s="12" t="n">
        <v>-107436</v>
      </c>
    </row>
    <row r="112">
      <c r="A112" s="18" t="inlineStr">
        <is>
          <t>단기차입금 순증감액</t>
        </is>
      </c>
      <c r="F112" s="20" t="n">
        <v>72</v>
      </c>
      <c r="J112" s="20" t="n">
        <v>109</v>
      </c>
      <c r="N112" s="20" t="n">
        <v>0</v>
      </c>
      <c r="P112" s="20" t="n">
        <v>74</v>
      </c>
      <c r="Q112" s="20" t="n">
        <v>-374</v>
      </c>
      <c r="R112" s="20" t="n">
        <v>-336</v>
      </c>
      <c r="S112" s="20" t="n">
        <v>428</v>
      </c>
      <c r="T112" s="20" t="n">
        <v>-315</v>
      </c>
      <c r="U112" s="20" t="n">
        <v>29</v>
      </c>
      <c r="V112" s="20" t="n">
        <v>72</v>
      </c>
      <c r="W112" s="20" t="n">
        <v>109</v>
      </c>
      <c r="X112" s="20" t="n">
        <v>0</v>
      </c>
    </row>
    <row r="113">
      <c r="A113" s="18" t="inlineStr">
        <is>
          <t>장기차입금 상환</t>
        </is>
      </c>
      <c r="P113" s="20" t="n">
        <v>0</v>
      </c>
      <c r="Q113" s="20" t="n">
        <v>-3000</v>
      </c>
      <c r="R113" s="20" t="n">
        <v>0</v>
      </c>
    </row>
    <row r="114">
      <c r="A114" s="18" t="inlineStr">
        <is>
          <t>리스부채 상환 지출</t>
        </is>
      </c>
      <c r="F114" s="20" t="n">
        <v>-7631</v>
      </c>
      <c r="J114" s="20" t="n">
        <v>-5822</v>
      </c>
      <c r="N114" s="20" t="n">
        <v>-6626</v>
      </c>
      <c r="Q114" s="20" t="n">
        <v>0</v>
      </c>
      <c r="R114" s="20" t="n">
        <v>-4735</v>
      </c>
      <c r="S114" s="20" t="n">
        <v>-5199</v>
      </c>
      <c r="T114" s="20" t="n">
        <v>-5228</v>
      </c>
      <c r="U114" s="20" t="n">
        <v>-5567</v>
      </c>
      <c r="V114" s="20" t="n">
        <v>-7631</v>
      </c>
      <c r="W114" s="20" t="n">
        <v>-5822</v>
      </c>
      <c r="X114" s="20" t="n">
        <v>-6626</v>
      </c>
    </row>
    <row r="115">
      <c r="A115" s="18" t="inlineStr">
        <is>
          <t>자기주식 증감액</t>
        </is>
      </c>
      <c r="F115" s="20" t="n">
        <v>-47167</v>
      </c>
      <c r="J115" s="20" t="n">
        <v>-35062</v>
      </c>
      <c r="N115" s="20" t="n">
        <v>-60287</v>
      </c>
      <c r="P115" s="20" t="n">
        <v>-19354</v>
      </c>
      <c r="Q115" s="20" t="n">
        <v>-28547</v>
      </c>
      <c r="R115" s="20" t="n">
        <v>-16701</v>
      </c>
      <c r="S115" s="20" t="n">
        <v>-33312</v>
      </c>
      <c r="T115" s="20" t="n">
        <v>-0</v>
      </c>
      <c r="U115" s="20" t="n">
        <v>-18008</v>
      </c>
      <c r="V115" s="20" t="n">
        <v>-47167</v>
      </c>
      <c r="W115" s="20" t="n">
        <v>-35062</v>
      </c>
      <c r="X115" s="20" t="n">
        <v>-60287</v>
      </c>
    </row>
    <row r="116">
      <c r="A116" s="18" t="inlineStr">
        <is>
          <t>배당금 지급</t>
        </is>
      </c>
      <c r="F116" s="20" t="n">
        <v>-36041</v>
      </c>
      <c r="J116" s="20" t="n">
        <v>-38040</v>
      </c>
      <c r="N116" s="20" t="n">
        <v>-39667</v>
      </c>
      <c r="P116" s="20" t="n">
        <v>-25166</v>
      </c>
      <c r="Q116" s="20" t="n">
        <v>-26928</v>
      </c>
      <c r="R116" s="20" t="n">
        <v>-29820</v>
      </c>
      <c r="S116" s="20" t="n">
        <v>-30188</v>
      </c>
      <c r="T116" s="20" t="n">
        <v>-31076</v>
      </c>
      <c r="U116" s="20" t="n">
        <v>-34046</v>
      </c>
      <c r="V116" s="20" t="n">
        <v>-36041</v>
      </c>
      <c r="W116" s="20" t="n">
        <v>-38040</v>
      </c>
      <c r="X116" s="20" t="n">
        <v>-39667</v>
      </c>
    </row>
    <row r="117">
      <c r="A117" s="18" t="inlineStr">
        <is>
          <t>기타</t>
        </is>
      </c>
      <c r="F117" s="20" t="n">
        <v>-16</v>
      </c>
      <c r="J117" s="20" t="n">
        <v>-75</v>
      </c>
      <c r="N117" s="20" t="n">
        <v>-15</v>
      </c>
      <c r="P117" s="20" t="n">
        <v>-472</v>
      </c>
      <c r="Q117" s="20" t="n">
        <v>430</v>
      </c>
      <c r="R117" s="20" t="n">
        <v>-44</v>
      </c>
      <c r="S117" s="20" t="n">
        <v>-25</v>
      </c>
      <c r="T117" s="20" t="n">
        <v>-18</v>
      </c>
      <c r="U117" s="20" t="n">
        <v>-35</v>
      </c>
      <c r="V117" s="20" t="n">
        <v>-16</v>
      </c>
      <c r="W117" s="20" t="n">
        <v>-75</v>
      </c>
      <c r="X117" s="20" t="n">
        <v>-15</v>
      </c>
    </row>
    <row r="118">
      <c r="A118" s="9" t="inlineStr">
        <is>
          <t>재무활동 현금흐름</t>
        </is>
      </c>
      <c r="F118" s="12" t="n">
        <v>-90784</v>
      </c>
      <c r="J118" s="12" t="n">
        <v>-78890</v>
      </c>
      <c r="N118" s="12" t="n">
        <v>-106597</v>
      </c>
      <c r="P118" s="12" t="n">
        <v>-44919</v>
      </c>
      <c r="Q118" s="12" t="n">
        <v>-58419</v>
      </c>
      <c r="R118" s="12" t="n">
        <v>-51637</v>
      </c>
      <c r="S118" s="12" t="n">
        <v>-68297</v>
      </c>
      <c r="T118" s="12" t="n">
        <v>-36639</v>
      </c>
      <c r="U118" s="12" t="n">
        <v>-57627</v>
      </c>
      <c r="V118" s="12" t="n">
        <v>-90784</v>
      </c>
      <c r="W118" s="12" t="n">
        <v>-78890</v>
      </c>
      <c r="X118" s="12" t="n">
        <v>-106597</v>
      </c>
    </row>
    <row r="119">
      <c r="A119" s="18" t="inlineStr">
        <is>
          <t>현금및현금성자산 외화환산 영향액</t>
        </is>
      </c>
      <c r="F119" s="20" t="n">
        <v>13573</v>
      </c>
      <c r="J119" s="20" t="n">
        <v>-2837</v>
      </c>
      <c r="N119" s="20" t="n">
        <v>18311</v>
      </c>
      <c r="P119" s="20" t="n">
        <v>-270</v>
      </c>
      <c r="Q119" s="20" t="n">
        <v>-1</v>
      </c>
      <c r="R119" s="20" t="n">
        <v>-4771</v>
      </c>
      <c r="S119" s="20" t="n">
        <v>5492</v>
      </c>
      <c r="T119" s="20" t="n">
        <v>10901</v>
      </c>
      <c r="U119" s="20" t="n">
        <v>5671</v>
      </c>
      <c r="V119" s="20" t="n">
        <v>13573</v>
      </c>
      <c r="W119" s="20" t="n">
        <v>-2837</v>
      </c>
      <c r="X119" s="20" t="n">
        <v>18311</v>
      </c>
    </row>
    <row r="120">
      <c r="A120" s="18" t="inlineStr">
        <is>
          <t>매각예정 자산에 포함된 현금및현금성자산</t>
        </is>
      </c>
      <c r="P120" s="20" t="n">
        <v>-2780</v>
      </c>
      <c r="Q120" s="20" t="n">
        <v>0</v>
      </c>
    </row>
    <row r="121">
      <c r="A121" s="18" t="inlineStr">
        <is>
          <t>매각예정 자산에 포함된 현금및현금성자산</t>
        </is>
      </c>
      <c r="F121" s="20" t="n">
        <v>0</v>
      </c>
      <c r="T121" s="20" t="n">
        <v>0</v>
      </c>
      <c r="U121" s="20" t="n">
        <v>-1920</v>
      </c>
      <c r="V121" s="20" t="n">
        <v>0</v>
      </c>
    </row>
    <row r="122">
      <c r="A122" s="18" t="inlineStr">
        <is>
          <t>매각예정 자산 포함 현금및현금성자산 환입액</t>
        </is>
      </c>
      <c r="F122" s="20" t="n">
        <v>1920</v>
      </c>
      <c r="J122" s="20" t="n">
        <v>0</v>
      </c>
      <c r="P122" s="20" t="n">
        <v>0</v>
      </c>
      <c r="Q122" s="20" t="n">
        <v>2780</v>
      </c>
      <c r="R122" s="20" t="n">
        <v>0</v>
      </c>
      <c r="U122" s="20" t="n">
        <v>0</v>
      </c>
      <c r="V122" s="20" t="n">
        <v>1920</v>
      </c>
      <c r="W122" s="20" t="n">
        <v>0</v>
      </c>
    </row>
    <row r="123">
      <c r="A123" s="18" t="inlineStr">
        <is>
          <t>현금및현금성자산 증감액</t>
        </is>
      </c>
      <c r="F123" s="20" t="n">
        <v>12302</v>
      </c>
      <c r="J123" s="20" t="n">
        <v>21074</v>
      </c>
      <c r="N123" s="20" t="n">
        <v>-3538</v>
      </c>
      <c r="P123" s="20" t="n">
        <v>24365</v>
      </c>
      <c r="Q123" s="20" t="n">
        <v>-7027</v>
      </c>
      <c r="R123" s="20" t="n">
        <v>7240</v>
      </c>
      <c r="S123" s="20" t="n">
        <v>-4034</v>
      </c>
      <c r="T123" s="20" t="n">
        <v>61157</v>
      </c>
      <c r="U123" s="20" t="n">
        <v>-32079</v>
      </c>
      <c r="V123" s="20" t="n">
        <v>12302</v>
      </c>
      <c r="W123" s="20" t="n">
        <v>21074</v>
      </c>
      <c r="X123" s="20" t="n">
        <v>-3538</v>
      </c>
    </row>
  </sheetData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111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0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30" customHeight="1">
      <c r="A1" s="1" t="inlineStr">
        <is>
          <t>6988 재무상태표</t>
        </is>
      </c>
    </row>
    <row r="2">
      <c r="A2" s="43" t="inlineStr">
        <is>
          <t>재무비율은 기말 잔액 기준 · 분기 손익은 최근 4분기 합산(TTM)</t>
        </is>
      </c>
      <c r="B2" s="3" t="inlineStr">
        <is>
          <t>(단위: 백만엔)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2025.4Q</t>
        </is>
      </c>
      <c r="D3" s="5" t="inlineStr">
        <is>
          <t>2026.1Q</t>
        </is>
      </c>
      <c r="E3" s="5" t="inlineStr">
        <is>
          <t>2026.2Q</t>
        </is>
      </c>
      <c r="F3" s="5" t="inlineStr">
        <is>
          <t>2026.3Q</t>
        </is>
      </c>
      <c r="G3" s="5" t="inlineStr">
        <is>
          <t>2026.4Q</t>
        </is>
      </c>
      <c r="H3" s="6" t="inlineStr">
        <is>
          <t>2022</t>
        </is>
      </c>
      <c r="I3" s="5" t="inlineStr">
        <is>
          <t>2023</t>
        </is>
      </c>
      <c r="J3" s="5" t="inlineStr">
        <is>
          <t>2024</t>
        </is>
      </c>
      <c r="K3" s="5" t="inlineStr">
        <is>
          <t>2025</t>
        </is>
      </c>
      <c r="L3" s="5" t="inlineStr">
        <is>
          <t>2026</t>
        </is>
      </c>
    </row>
    <row r="4">
      <c r="A4" s="16" t="inlineStr">
        <is>
          <t>자산</t>
        </is>
      </c>
      <c r="B4" s="16" t="n"/>
      <c r="C4" s="17" t="n"/>
      <c r="D4" s="16" t="n"/>
      <c r="E4" s="16" t="n"/>
      <c r="F4" s="16" t="n"/>
      <c r="G4" s="16" t="n"/>
      <c r="H4" s="17" t="n"/>
      <c r="I4" s="16" t="n"/>
      <c r="J4" s="16" t="n"/>
      <c r="K4" s="16" t="n"/>
      <c r="L4" s="16" t="n"/>
    </row>
    <row r="5">
      <c r="A5" s="9" t="inlineStr">
        <is>
          <t>유동자산</t>
        </is>
      </c>
      <c r="B5" s="10" t="n"/>
      <c r="C5" s="11" t="n">
        <v>750209</v>
      </c>
      <c r="D5" s="12" t="n"/>
      <c r="E5" s="12" t="n"/>
      <c r="F5" s="12" t="n"/>
      <c r="G5" s="12" t="n">
        <v>797294</v>
      </c>
      <c r="H5" s="11" t="n">
        <v>722738</v>
      </c>
      <c r="I5" s="12" t="n">
        <v>677189</v>
      </c>
      <c r="J5" s="12" t="n">
        <v>717957</v>
      </c>
      <c r="K5" s="12" t="n">
        <v>750209</v>
      </c>
      <c r="L5" s="12" t="n">
        <v>797294</v>
      </c>
    </row>
    <row r="6">
      <c r="A6" s="18" t="inlineStr">
        <is>
          <t>현금및현금성자산</t>
        </is>
      </c>
      <c r="B6" s="10" t="n"/>
      <c r="C6" s="19" t="n">
        <v>363344</v>
      </c>
      <c r="D6" s="20" t="n"/>
      <c r="E6" s="20" t="n"/>
      <c r="F6" s="20" t="n"/>
      <c r="G6" s="20" t="n">
        <v>359805</v>
      </c>
      <c r="H6" s="19" t="n">
        <v>362046</v>
      </c>
      <c r="I6" s="20" t="n">
        <v>329966</v>
      </c>
      <c r="J6" s="20" t="n">
        <v>342269</v>
      </c>
      <c r="K6" s="20" t="n">
        <v>363344</v>
      </c>
      <c r="L6" s="20" t="n">
        <v>359805</v>
      </c>
    </row>
    <row r="7">
      <c r="A7" s="18" t="inlineStr">
        <is>
          <t>단기금융상품</t>
        </is>
      </c>
      <c r="B7" s="10" t="n"/>
      <c r="C7" s="19" t="n">
        <v>7732</v>
      </c>
      <c r="D7" s="20" t="n"/>
      <c r="E7" s="20" t="n"/>
      <c r="F7" s="20" t="n"/>
      <c r="G7" s="20" t="n">
        <v>19436</v>
      </c>
      <c r="H7" s="19" t="n">
        <v>4939</v>
      </c>
      <c r="I7" s="20" t="n">
        <v>2141</v>
      </c>
      <c r="J7" s="20" t="n">
        <v>5220</v>
      </c>
      <c r="K7" s="20" t="n">
        <v>7732</v>
      </c>
      <c r="L7" s="20" t="n">
        <v>19436</v>
      </c>
    </row>
    <row r="8">
      <c r="A8" s="18" t="inlineStr">
        <is>
          <t>매출채권</t>
        </is>
      </c>
      <c r="B8" s="10" t="n"/>
      <c r="C8" s="19" t="n"/>
      <c r="D8" s="20" t="n"/>
      <c r="E8" s="20" t="n"/>
      <c r="F8" s="20" t="n"/>
      <c r="G8" s="20" t="n"/>
      <c r="H8" s="19" t="n"/>
      <c r="I8" s="20" t="n"/>
      <c r="J8" s="20" t="n"/>
      <c r="K8" s="20" t="n"/>
      <c r="L8" s="20" t="n"/>
    </row>
    <row r="9">
      <c r="A9" s="18" t="inlineStr">
        <is>
          <t>재고자산</t>
        </is>
      </c>
      <c r="B9" s="10" t="n"/>
      <c r="C9" s="19" t="n">
        <v>142932</v>
      </c>
      <c r="D9" s="20" t="n"/>
      <c r="E9" s="20" t="n"/>
      <c r="F9" s="20" t="n"/>
      <c r="G9" s="20" t="n">
        <v>157870</v>
      </c>
      <c r="H9" s="19" t="n">
        <v>128318</v>
      </c>
      <c r="I9" s="20" t="n">
        <v>141101</v>
      </c>
      <c r="J9" s="20" t="n">
        <v>136804</v>
      </c>
      <c r="K9" s="20" t="n">
        <v>142932</v>
      </c>
      <c r="L9" s="20" t="n">
        <v>157870</v>
      </c>
    </row>
    <row r="10">
      <c r="A10" s="18" t="inlineStr">
        <is>
          <t>기타유동자산</t>
        </is>
      </c>
      <c r="B10" s="10" t="inlineStr">
        <is>
          <t>총계 − 위 항목</t>
        </is>
      </c>
      <c r="C10" s="19">
        <f>IF(OR(C5=""),"",IFERROR(C5-SUM(C6,C7,C8,C9),""))</f>
        <v/>
      </c>
      <c r="D10" s="20">
        <f>IF(OR(D5=""),"",IFERROR(D5-SUM(D6,D7,D8,D9),""))</f>
        <v/>
      </c>
      <c r="E10" s="20">
        <f>IF(OR(E5=""),"",IFERROR(E5-SUM(E6,E7,E8,E9),""))</f>
        <v/>
      </c>
      <c r="F10" s="20">
        <f>IF(OR(F5=""),"",IFERROR(F5-SUM(F6,F7,F8,F9),""))</f>
        <v/>
      </c>
      <c r="G10" s="20">
        <f>IF(OR(G5=""),"",IFERROR(G5-SUM(G6,G7,G8,G9),""))</f>
        <v/>
      </c>
      <c r="H10" s="19">
        <f>IF(OR(H5=""),"",IFERROR(H5-SUM(H6,H7,H8,H9),""))</f>
        <v/>
      </c>
      <c r="I10" s="20">
        <f>IF(OR(I5=""),"",IFERROR(I5-SUM(I6,I7,I8,I9),""))</f>
        <v/>
      </c>
      <c r="J10" s="20">
        <f>IF(OR(J5=""),"",IFERROR(J5-SUM(J6,J7,J8,J9),""))</f>
        <v/>
      </c>
      <c r="K10" s="20">
        <f>IF(OR(K5=""),"",IFERROR(K5-SUM(K6,K7,K8,K9),""))</f>
        <v/>
      </c>
      <c r="L10" s="20">
        <f>IF(OR(L5=""),"",IFERROR(L5-SUM(L6,L7,L8,L9),""))</f>
        <v/>
      </c>
    </row>
    <row r="11">
      <c r="A11" s="9" t="inlineStr">
        <is>
          <t>비유동자산</t>
        </is>
      </c>
      <c r="B11" s="10" t="n"/>
      <c r="C11" s="11" t="n">
        <v>571711</v>
      </c>
      <c r="D11" s="12" t="n"/>
      <c r="E11" s="12" t="n"/>
      <c r="F11" s="12" t="n"/>
      <c r="G11" s="12" t="n">
        <v>644463</v>
      </c>
      <c r="H11" s="11" t="n">
        <v>371730</v>
      </c>
      <c r="I11" s="12" t="n">
        <v>476457</v>
      </c>
      <c r="J11" s="12" t="n">
        <v>533130</v>
      </c>
      <c r="K11" s="12" t="n">
        <v>571711</v>
      </c>
      <c r="L11" s="12" t="n">
        <v>644463</v>
      </c>
    </row>
    <row r="12">
      <c r="A12" s="18" t="inlineStr">
        <is>
          <t>유형자산</t>
        </is>
      </c>
      <c r="B12" s="10" t="n"/>
      <c r="C12" s="19" t="n">
        <v>417636</v>
      </c>
      <c r="D12" s="20" t="n"/>
      <c r="E12" s="20" t="n"/>
      <c r="F12" s="20" t="n"/>
      <c r="G12" s="20" t="n">
        <v>466960</v>
      </c>
      <c r="H12" s="19" t="n">
        <v>286949</v>
      </c>
      <c r="I12" s="20" t="n">
        <v>333103</v>
      </c>
      <c r="J12" s="20" t="n">
        <v>378535</v>
      </c>
      <c r="K12" s="20" t="n">
        <v>417636</v>
      </c>
      <c r="L12" s="20" t="n">
        <v>466960</v>
      </c>
    </row>
    <row r="13">
      <c r="A13" s="18" t="inlineStr">
        <is>
          <t>무형자산</t>
        </is>
      </c>
      <c r="B13" s="10" t="n"/>
      <c r="C13" s="19" t="n">
        <v>17026</v>
      </c>
      <c r="D13" s="20" t="n"/>
      <c r="E13" s="20" t="n"/>
      <c r="F13" s="20" t="n"/>
      <c r="G13" s="20" t="n">
        <v>16942</v>
      </c>
      <c r="H13" s="19" t="n">
        <v>13707</v>
      </c>
      <c r="I13" s="20" t="n">
        <v>21469</v>
      </c>
      <c r="J13" s="20" t="n">
        <v>20674</v>
      </c>
      <c r="K13" s="20" t="n">
        <v>17026</v>
      </c>
      <c r="L13" s="20" t="n">
        <v>16942</v>
      </c>
    </row>
    <row r="14">
      <c r="A14" s="18" t="inlineStr">
        <is>
          <t>투자부동산</t>
        </is>
      </c>
      <c r="B14" s="10" t="n"/>
      <c r="C14" s="19" t="n"/>
      <c r="D14" s="20" t="n"/>
      <c r="E14" s="20" t="n"/>
      <c r="F14" s="20" t="n"/>
      <c r="G14" s="20" t="n"/>
      <c r="H14" s="19" t="n"/>
      <c r="I14" s="20" t="n"/>
      <c r="J14" s="20" t="n"/>
      <c r="K14" s="20" t="n"/>
      <c r="L14" s="20" t="n"/>
    </row>
    <row r="15">
      <c r="A15" s="18" t="inlineStr">
        <is>
          <t>기타비유동자산</t>
        </is>
      </c>
      <c r="B15" s="10" t="inlineStr">
        <is>
          <t>총계 − 위 항목</t>
        </is>
      </c>
      <c r="C15" s="19">
        <f>IF(OR(C11=""),"",IFERROR(C11-SUM(C12,C13,C14),""))</f>
        <v/>
      </c>
      <c r="D15" s="20">
        <f>IF(OR(D11=""),"",IFERROR(D11-SUM(D12,D13,D14),""))</f>
        <v/>
      </c>
      <c r="E15" s="20">
        <f>IF(OR(E11=""),"",IFERROR(E11-SUM(E12,E13,E14),""))</f>
        <v/>
      </c>
      <c r="F15" s="20">
        <f>IF(OR(F11=""),"",IFERROR(F11-SUM(F12,F13,F14),""))</f>
        <v/>
      </c>
      <c r="G15" s="20">
        <f>IF(OR(G11=""),"",IFERROR(G11-SUM(G12,G13,G14),""))</f>
        <v/>
      </c>
      <c r="H15" s="19">
        <f>IF(OR(H11=""),"",IFERROR(H11-SUM(H12,H13,H14),""))</f>
        <v/>
      </c>
      <c r="I15" s="20">
        <f>IF(OR(I11=""),"",IFERROR(I11-SUM(I12,I13,I14),""))</f>
        <v/>
      </c>
      <c r="J15" s="20">
        <f>IF(OR(J11=""),"",IFERROR(J11-SUM(J12,J13,J14),""))</f>
        <v/>
      </c>
      <c r="K15" s="20">
        <f>IF(OR(K11=""),"",IFERROR(K11-SUM(K12,K13,K14),""))</f>
        <v/>
      </c>
      <c r="L15" s="20">
        <f>IF(OR(L11=""),"",IFERROR(L11-SUM(L12,L13,L14),""))</f>
        <v/>
      </c>
    </row>
    <row r="16">
      <c r="A16" s="9" t="inlineStr">
        <is>
          <t>자산총계</t>
        </is>
      </c>
      <c r="B16" s="10" t="n"/>
      <c r="C16" s="11" t="n">
        <v>1321920</v>
      </c>
      <c r="D16" s="12" t="n"/>
      <c r="E16" s="12" t="n"/>
      <c r="F16" s="12" t="n"/>
      <c r="G16" s="12" t="n">
        <v>1441757</v>
      </c>
      <c r="H16" s="11" t="n">
        <v>1094469</v>
      </c>
      <c r="I16" s="12" t="n">
        <v>1153647</v>
      </c>
      <c r="J16" s="12" t="n">
        <v>1251087</v>
      </c>
      <c r="K16" s="12" t="n">
        <v>1321920</v>
      </c>
      <c r="L16" s="12" t="n">
        <v>1441757</v>
      </c>
    </row>
    <row r="17">
      <c r="A17" s="16" t="inlineStr">
        <is>
          <t>부채</t>
        </is>
      </c>
      <c r="B17" s="16" t="n"/>
      <c r="C17" s="17" t="n"/>
      <c r="D17" s="16" t="n"/>
      <c r="E17" s="16" t="n"/>
      <c r="F17" s="16" t="n"/>
      <c r="G17" s="16" t="n"/>
      <c r="H17" s="17" t="n"/>
      <c r="I17" s="16" t="n"/>
      <c r="J17" s="16" t="n"/>
      <c r="K17" s="16" t="n"/>
      <c r="L17" s="16" t="n"/>
    </row>
    <row r="18">
      <c r="A18" s="9" t="inlineStr">
        <is>
          <t>유동부채</t>
        </is>
      </c>
      <c r="B18" s="10" t="n"/>
      <c r="C18" s="11" t="n">
        <v>221735</v>
      </c>
      <c r="D18" s="12" t="n"/>
      <c r="E18" s="12" t="n"/>
      <c r="F18" s="12" t="n"/>
      <c r="G18" s="12" t="n">
        <v>225970</v>
      </c>
      <c r="H18" s="11" t="n">
        <v>208489</v>
      </c>
      <c r="I18" s="12" t="n">
        <v>188248</v>
      </c>
      <c r="J18" s="12" t="n">
        <v>206856</v>
      </c>
      <c r="K18" s="12" t="n">
        <v>221735</v>
      </c>
      <c r="L18" s="12" t="n">
        <v>225970</v>
      </c>
    </row>
    <row r="19">
      <c r="A19" s="18" t="inlineStr">
        <is>
          <t>매입채무</t>
        </is>
      </c>
      <c r="B19" s="10" t="n"/>
      <c r="C19" s="19" t="n"/>
      <c r="D19" s="20" t="n"/>
      <c r="E19" s="20" t="n"/>
      <c r="F19" s="20" t="n"/>
      <c r="G19" s="20" t="n"/>
      <c r="H19" s="19" t="n"/>
      <c r="I19" s="20" t="n"/>
      <c r="J19" s="20" t="n"/>
      <c r="K19" s="20" t="n"/>
      <c r="L19" s="20" t="n"/>
    </row>
    <row r="20">
      <c r="A20" s="18" t="inlineStr">
        <is>
          <t>단기차입금</t>
        </is>
      </c>
      <c r="B20" s="10" t="n"/>
      <c r="C20" s="19" t="n"/>
      <c r="D20" s="20" t="n"/>
      <c r="E20" s="20" t="n"/>
      <c r="F20" s="20" t="n"/>
      <c r="G20" s="20" t="n"/>
      <c r="H20" s="19" t="n"/>
      <c r="I20" s="20" t="n"/>
      <c r="J20" s="20" t="n"/>
      <c r="K20" s="20" t="n"/>
      <c r="L20" s="20" t="n"/>
    </row>
    <row r="21">
      <c r="A21" s="18" t="inlineStr">
        <is>
          <t>유동성장기부채</t>
        </is>
      </c>
      <c r="B21" s="10" t="n"/>
      <c r="C21" s="19" t="n"/>
      <c r="D21" s="20" t="n"/>
      <c r="E21" s="20" t="n"/>
      <c r="F21" s="20" t="n"/>
      <c r="G21" s="20" t="n"/>
      <c r="H21" s="19" t="n"/>
      <c r="I21" s="20" t="n"/>
      <c r="J21" s="20" t="n"/>
      <c r="K21" s="20" t="n"/>
      <c r="L21" s="20" t="n"/>
    </row>
    <row r="22">
      <c r="A22" s="18" t="inlineStr">
        <is>
          <t>기타유동부채</t>
        </is>
      </c>
      <c r="B22" s="10" t="inlineStr">
        <is>
          <t>총계 − 위 항목</t>
        </is>
      </c>
      <c r="C22" s="19">
        <f>IF(OR(C18=""),"",IFERROR(C18-SUM(C19,C20,C21),""))</f>
        <v/>
      </c>
      <c r="D22" s="20">
        <f>IF(OR(D18=""),"",IFERROR(D18-SUM(D19,D20,D21),""))</f>
        <v/>
      </c>
      <c r="E22" s="20">
        <f>IF(OR(E18=""),"",IFERROR(E18-SUM(E19,E20,E21),""))</f>
        <v/>
      </c>
      <c r="F22" s="20">
        <f>IF(OR(F18=""),"",IFERROR(F18-SUM(F19,F20,F21),""))</f>
        <v/>
      </c>
      <c r="G22" s="20">
        <f>IF(OR(G18=""),"",IFERROR(G18-SUM(G19,G20,G21),""))</f>
        <v/>
      </c>
      <c r="H22" s="19">
        <f>IF(OR(H18=""),"",IFERROR(H18-SUM(H19,H20,H21),""))</f>
        <v/>
      </c>
      <c r="I22" s="20">
        <f>IF(OR(I18=""),"",IFERROR(I18-SUM(I19,I20,I21),""))</f>
        <v/>
      </c>
      <c r="J22" s="20">
        <f>IF(OR(J18=""),"",IFERROR(J18-SUM(J19,J20,J21),""))</f>
        <v/>
      </c>
      <c r="K22" s="20">
        <f>IF(OR(K18=""),"",IFERROR(K18-SUM(K19,K20,K21),""))</f>
        <v/>
      </c>
      <c r="L22" s="20">
        <f>IF(OR(L18=""),"",IFERROR(L18-SUM(L19,L20,L21),""))</f>
        <v/>
      </c>
    </row>
    <row r="23">
      <c r="A23" s="9" t="inlineStr">
        <is>
          <t>비유동부채</t>
        </is>
      </c>
      <c r="B23" s="10" t="n"/>
      <c r="C23" s="11" t="n">
        <v>55070</v>
      </c>
      <c r="D23" s="12" t="n"/>
      <c r="E23" s="12" t="n"/>
      <c r="F23" s="12" t="n"/>
      <c r="G23" s="12" t="n">
        <v>66683</v>
      </c>
      <c r="H23" s="11" t="n">
        <v>63873</v>
      </c>
      <c r="I23" s="12" t="n">
        <v>62204</v>
      </c>
      <c r="J23" s="12" t="n">
        <v>59182</v>
      </c>
      <c r="K23" s="12" t="n">
        <v>55070</v>
      </c>
      <c r="L23" s="12" t="n">
        <v>66683</v>
      </c>
    </row>
    <row r="24">
      <c r="A24" s="18" t="inlineStr">
        <is>
          <t>장기차입금</t>
        </is>
      </c>
      <c r="B24" s="10" t="n"/>
      <c r="C24" s="19" t="n"/>
      <c r="D24" s="20" t="n"/>
      <c r="E24" s="20" t="n"/>
      <c r="F24" s="20" t="n"/>
      <c r="G24" s="20" t="n"/>
      <c r="H24" s="19" t="n"/>
      <c r="I24" s="20" t="n"/>
      <c r="J24" s="20" t="n"/>
      <c r="K24" s="20" t="n"/>
      <c r="L24" s="20" t="n"/>
    </row>
    <row r="25">
      <c r="A25" s="18" t="inlineStr">
        <is>
          <t>사채</t>
        </is>
      </c>
      <c r="B25" s="10" t="n"/>
      <c r="C25" s="19" t="n"/>
      <c r="D25" s="20" t="n"/>
      <c r="E25" s="20" t="n"/>
      <c r="F25" s="20" t="n"/>
      <c r="G25" s="20" t="n"/>
      <c r="H25" s="19" t="n"/>
      <c r="I25" s="20" t="n"/>
      <c r="J25" s="20" t="n"/>
      <c r="K25" s="20" t="n"/>
      <c r="L25" s="20" t="n"/>
    </row>
    <row r="26">
      <c r="A26" s="18" t="inlineStr">
        <is>
          <t>기타비유동부채</t>
        </is>
      </c>
      <c r="B26" s="10" t="inlineStr">
        <is>
          <t>총계 − 위 항목</t>
        </is>
      </c>
      <c r="C26" s="19">
        <f>IF(OR(C23=""),"",IFERROR(C23-SUM(C24,C25),""))</f>
        <v/>
      </c>
      <c r="D26" s="20">
        <f>IF(OR(D23=""),"",IFERROR(D23-SUM(D24,D25),""))</f>
        <v/>
      </c>
      <c r="E26" s="20">
        <f>IF(OR(E23=""),"",IFERROR(E23-SUM(E24,E25),""))</f>
        <v/>
      </c>
      <c r="F26" s="20">
        <f>IF(OR(F23=""),"",IFERROR(F23-SUM(F24,F25),""))</f>
        <v/>
      </c>
      <c r="G26" s="20">
        <f>IF(OR(G23=""),"",IFERROR(G23-SUM(G24,G25),""))</f>
        <v/>
      </c>
      <c r="H26" s="19">
        <f>IF(OR(H23=""),"",IFERROR(H23-SUM(H24,H25),""))</f>
        <v/>
      </c>
      <c r="I26" s="20">
        <f>IF(OR(I23=""),"",IFERROR(I23-SUM(I24,I25),""))</f>
        <v/>
      </c>
      <c r="J26" s="20">
        <f>IF(OR(J23=""),"",IFERROR(J23-SUM(J24,J25),""))</f>
        <v/>
      </c>
      <c r="K26" s="20">
        <f>IF(OR(K23=""),"",IFERROR(K23-SUM(K24,K25),""))</f>
        <v/>
      </c>
      <c r="L26" s="20">
        <f>IF(OR(L23=""),"",IFERROR(L23-SUM(L24,L25),""))</f>
        <v/>
      </c>
    </row>
    <row r="27">
      <c r="A27" s="9" t="inlineStr">
        <is>
          <t>부채총계</t>
        </is>
      </c>
      <c r="B27" s="10" t="n"/>
      <c r="C27" s="11" t="n">
        <v>276806</v>
      </c>
      <c r="D27" s="12" t="n"/>
      <c r="E27" s="12" t="n"/>
      <c r="F27" s="12" t="n"/>
      <c r="G27" s="12" t="n">
        <v>292653</v>
      </c>
      <c r="H27" s="11" t="n">
        <v>272363</v>
      </c>
      <c r="I27" s="12" t="n">
        <v>250452</v>
      </c>
      <c r="J27" s="12" t="n">
        <v>266038</v>
      </c>
      <c r="K27" s="12" t="n">
        <v>276806</v>
      </c>
      <c r="L27" s="12" t="n">
        <v>292653</v>
      </c>
    </row>
    <row r="28">
      <c r="A28" s="18" t="inlineStr">
        <is>
          <t>총차입금</t>
        </is>
      </c>
      <c r="B28" s="10" t="inlineStr">
        <is>
          <t>단기+유동성장기+장기+사채</t>
        </is>
      </c>
      <c r="C28" s="19">
        <f>SUM(C20,C21,C24,C25)</f>
        <v/>
      </c>
      <c r="D28" s="20">
        <f>SUM(D20,D21,D24,D25)</f>
        <v/>
      </c>
      <c r="E28" s="20">
        <f>SUM(E20,E21,E24,E25)</f>
        <v/>
      </c>
      <c r="F28" s="20">
        <f>SUM(F20,F21,F24,F25)</f>
        <v/>
      </c>
      <c r="G28" s="20">
        <f>SUM(G20,G21,G24,G25)</f>
        <v/>
      </c>
      <c r="H28" s="19">
        <f>SUM(H20,H21,H24,H25)</f>
        <v/>
      </c>
      <c r="I28" s="20">
        <f>SUM(I20,I21,I24,I25)</f>
        <v/>
      </c>
      <c r="J28" s="20">
        <f>SUM(J20,J21,J24,J25)</f>
        <v/>
      </c>
      <c r="K28" s="20">
        <f>SUM(K20,K21,K24,K25)</f>
        <v/>
      </c>
      <c r="L28" s="20">
        <f>SUM(L20,L21,L24,L25)</f>
        <v/>
      </c>
    </row>
    <row r="29">
      <c r="A29" s="18" t="inlineStr">
        <is>
          <t>순차입금</t>
        </is>
      </c>
      <c r="B29" s="10" t="inlineStr">
        <is>
          <t>음수 = 순현금</t>
        </is>
      </c>
      <c r="C29" s="19">
        <f>C28-C6-N(C7)</f>
        <v/>
      </c>
      <c r="D29" s="20">
        <f>D28-D6-N(D7)</f>
        <v/>
      </c>
      <c r="E29" s="20">
        <f>E28-E6-N(E7)</f>
        <v/>
      </c>
      <c r="F29" s="20">
        <f>F28-F6-N(F7)</f>
        <v/>
      </c>
      <c r="G29" s="20">
        <f>G28-G6-N(G7)</f>
        <v/>
      </c>
      <c r="H29" s="19">
        <f>H28-H6-N(H7)</f>
        <v/>
      </c>
      <c r="I29" s="20">
        <f>I28-I6-N(I7)</f>
        <v/>
      </c>
      <c r="J29" s="20">
        <f>J28-J6-N(J7)</f>
        <v/>
      </c>
      <c r="K29" s="20">
        <f>K28-K6-N(K7)</f>
        <v/>
      </c>
      <c r="L29" s="20">
        <f>L28-L6-N(L7)</f>
        <v/>
      </c>
    </row>
    <row r="30">
      <c r="A30" s="16" t="inlineStr">
        <is>
          <t>자본</t>
        </is>
      </c>
      <c r="B30" s="16" t="n"/>
      <c r="C30" s="17" t="n"/>
      <c r="D30" s="16" t="n"/>
      <c r="E30" s="16" t="n"/>
      <c r="F30" s="16" t="n"/>
      <c r="G30" s="16" t="n"/>
      <c r="H30" s="17" t="n"/>
      <c r="I30" s="16" t="n"/>
      <c r="J30" s="16" t="n"/>
      <c r="K30" s="16" t="n"/>
      <c r="L30" s="16" t="n"/>
    </row>
    <row r="31">
      <c r="A31" s="9" t="inlineStr">
        <is>
          <t>지배주주지분</t>
        </is>
      </c>
      <c r="B31" s="10" t="n"/>
      <c r="C31" s="11" t="n">
        <v>1044083</v>
      </c>
      <c r="D31" s="12" t="n"/>
      <c r="E31" s="12" t="n"/>
      <c r="F31" s="12" t="n"/>
      <c r="G31" s="12" t="n">
        <v>1148027</v>
      </c>
      <c r="H31" s="11" t="n">
        <v>821192</v>
      </c>
      <c r="I31" s="12" t="n">
        <v>902211</v>
      </c>
      <c r="J31" s="12" t="n">
        <v>984020</v>
      </c>
      <c r="K31" s="12" t="n">
        <v>1044083</v>
      </c>
      <c r="L31" s="12" t="n">
        <v>1148027</v>
      </c>
    </row>
    <row r="32">
      <c r="A32" s="18" t="inlineStr">
        <is>
          <t>자본금</t>
        </is>
      </c>
      <c r="B32" s="10" t="n"/>
      <c r="C32" s="19" t="n">
        <v>26783</v>
      </c>
      <c r="D32" s="20" t="n"/>
      <c r="E32" s="20" t="n"/>
      <c r="F32" s="20" t="n"/>
      <c r="G32" s="20" t="n">
        <v>26783</v>
      </c>
      <c r="H32" s="19" t="n">
        <v>26783</v>
      </c>
      <c r="I32" s="20" t="n">
        <v>26783</v>
      </c>
      <c r="J32" s="20" t="n">
        <v>26783</v>
      </c>
      <c r="K32" s="20" t="n">
        <v>26783</v>
      </c>
      <c r="L32" s="20" t="n">
        <v>26783</v>
      </c>
    </row>
    <row r="33">
      <c r="A33" s="18" t="inlineStr">
        <is>
          <t>이익잉여금</t>
        </is>
      </c>
      <c r="B33" s="10" t="n"/>
      <c r="C33" s="19" t="n">
        <v>890040</v>
      </c>
      <c r="D33" s="20" t="n"/>
      <c r="E33" s="20" t="n"/>
      <c r="F33" s="20" t="n"/>
      <c r="G33" s="20" t="n">
        <v>912008</v>
      </c>
      <c r="H33" s="19" t="n">
        <v>705910</v>
      </c>
      <c r="I33" s="20" t="n">
        <v>786269</v>
      </c>
      <c r="J33" s="20" t="n">
        <v>808062</v>
      </c>
      <c r="K33" s="20" t="n">
        <v>890040</v>
      </c>
      <c r="L33" s="20" t="n">
        <v>912008</v>
      </c>
    </row>
    <row r="34">
      <c r="A34" s="18" t="inlineStr">
        <is>
          <t>비지배지분</t>
        </is>
      </c>
      <c r="B34" s="10" t="n"/>
      <c r="C34" s="19" t="n">
        <v>1031</v>
      </c>
      <c r="D34" s="20" t="n"/>
      <c r="E34" s="20" t="n"/>
      <c r="F34" s="20" t="n"/>
      <c r="G34" s="20" t="n">
        <v>1075</v>
      </c>
      <c r="H34" s="19" t="n">
        <v>913</v>
      </c>
      <c r="I34" s="20" t="n">
        <v>983</v>
      </c>
      <c r="J34" s="20" t="n">
        <v>1028</v>
      </c>
      <c r="K34" s="20" t="n">
        <v>1031</v>
      </c>
      <c r="L34" s="20" t="n">
        <v>1075</v>
      </c>
    </row>
    <row r="35">
      <c r="A35" s="9" t="inlineStr">
        <is>
          <t>자본총계</t>
        </is>
      </c>
      <c r="B35" s="10" t="n"/>
      <c r="C35" s="11" t="n">
        <v>1045114</v>
      </c>
      <c r="D35" s="12" t="n"/>
      <c r="E35" s="12" t="n"/>
      <c r="F35" s="12" t="n"/>
      <c r="G35" s="12" t="n">
        <v>1149103</v>
      </c>
      <c r="H35" s="11" t="n">
        <v>822105</v>
      </c>
      <c r="I35" s="12" t="n">
        <v>903194</v>
      </c>
      <c r="J35" s="12" t="n">
        <v>985048</v>
      </c>
      <c r="K35" s="12" t="n">
        <v>1045114</v>
      </c>
      <c r="L35" s="12" t="n">
        <v>1149103</v>
      </c>
    </row>
    <row r="36">
      <c r="A36" s="16" t="inlineStr">
        <is>
          <t>현금흐름 요약</t>
        </is>
      </c>
      <c r="B36" s="16" t="inlineStr">
        <is>
          <t>분기 = TTM (있을 때만)</t>
        </is>
      </c>
      <c r="C36" s="17" t="n"/>
      <c r="D36" s="16" t="n"/>
      <c r="E36" s="16" t="n"/>
      <c r="F36" s="16" t="n"/>
      <c r="G36" s="16" t="n"/>
      <c r="H36" s="17" t="n"/>
      <c r="I36" s="16" t="n"/>
      <c r="J36" s="16" t="n"/>
      <c r="K36" s="16" t="n"/>
      <c r="L36" s="16" t="n"/>
    </row>
    <row r="37">
      <c r="A37" s="9" t="inlineStr">
        <is>
          <t>영업활동현금흐름</t>
        </is>
      </c>
      <c r="B37" s="10" t="n"/>
      <c r="C37" s="11" t="n">
        <v>217908</v>
      </c>
      <c r="D37" s="12" t="n"/>
      <c r="E37" s="12" t="n"/>
      <c r="F37" s="12" t="n"/>
      <c r="G37" s="12" t="n">
        <v>192183</v>
      </c>
      <c r="H37" s="11" t="n">
        <v>144489</v>
      </c>
      <c r="I37" s="12" t="n">
        <v>181702</v>
      </c>
      <c r="J37" s="12" t="n">
        <v>155521</v>
      </c>
      <c r="K37" s="12" t="n">
        <v>217908</v>
      </c>
      <c r="L37" s="12" t="n">
        <v>192183</v>
      </c>
    </row>
    <row r="38">
      <c r="A38" s="18" t="inlineStr">
        <is>
          <t>CAPEX (유·무형 취득)</t>
        </is>
      </c>
      <c r="B38" s="10" t="inlineStr">
        <is>
          <t>양수로 입력</t>
        </is>
      </c>
      <c r="C38" s="19" t="n"/>
      <c r="D38" s="20" t="n"/>
      <c r="E38" s="20" t="n"/>
      <c r="F38" s="20" t="n"/>
      <c r="G38" s="20" t="n"/>
      <c r="H38" s="19" t="n"/>
      <c r="I38" s="20" t="n"/>
      <c r="J38" s="20" t="n"/>
      <c r="K38" s="20" t="n"/>
      <c r="L38" s="20" t="n"/>
    </row>
    <row r="39">
      <c r="A39" s="9" t="inlineStr">
        <is>
          <t>FCF</t>
        </is>
      </c>
      <c r="B39" s="10" t="n"/>
      <c r="C39" s="11">
        <f>IF(OR(C37="",C38=""),"",IFERROR(C37-C38,""))</f>
        <v/>
      </c>
      <c r="D39" s="12">
        <f>IF(OR(D37="",D38=""),"",IFERROR(D37-D38,""))</f>
        <v/>
      </c>
      <c r="E39" s="12">
        <f>IF(OR(E37="",E38=""),"",IFERROR(E37-E38,""))</f>
        <v/>
      </c>
      <c r="F39" s="12">
        <f>IF(OR(F37="",F38=""),"",IFERROR(F37-F38,""))</f>
        <v/>
      </c>
      <c r="G39" s="12">
        <f>IF(OR(G37="",G38=""),"",IFERROR(G37-G38,""))</f>
        <v/>
      </c>
      <c r="H39" s="11">
        <f>IF(OR(H37="",H38=""),"",IFERROR(H37-H38,""))</f>
        <v/>
      </c>
      <c r="I39" s="12">
        <f>IF(OR(I37="",I38=""),"",IFERROR(I37-I38,""))</f>
        <v/>
      </c>
      <c r="J39" s="12">
        <f>IF(OR(J37="",J38=""),"",IFERROR(J37-J38,""))</f>
        <v/>
      </c>
      <c r="K39" s="12">
        <f>IF(OR(K37="",K38=""),"",IFERROR(K37-K38,""))</f>
        <v/>
      </c>
      <c r="L39" s="12">
        <f>IF(OR(L37="",L38=""),"",IFERROR(L37-L38,""))</f>
        <v/>
      </c>
    </row>
    <row r="40">
      <c r="A40" s="18" t="inlineStr">
        <is>
          <t>배당금 지급</t>
        </is>
      </c>
      <c r="B40" s="10" t="inlineStr">
        <is>
          <t>양수로 입력</t>
        </is>
      </c>
      <c r="C40" s="19" t="n">
        <v>38040</v>
      </c>
      <c r="D40" s="20" t="n"/>
      <c r="E40" s="20" t="n"/>
      <c r="F40" s="20" t="n"/>
      <c r="G40" s="20" t="n">
        <v>39667</v>
      </c>
      <c r="H40" s="19" t="n">
        <v>31076</v>
      </c>
      <c r="I40" s="20" t="n">
        <v>34046</v>
      </c>
      <c r="J40" s="20" t="n">
        <v>36041</v>
      </c>
      <c r="K40" s="20" t="n">
        <v>38040</v>
      </c>
      <c r="L40" s="20" t="n">
        <v>39667</v>
      </c>
    </row>
    <row r="41">
      <c r="A41" s="16" t="inlineStr">
        <is>
          <t>주요 재무 비율</t>
        </is>
      </c>
      <c r="B41" s="16" t="inlineStr">
        <is>
          <t>기준 (빨간 글씨 = 미달)</t>
        </is>
      </c>
      <c r="C41" s="17" t="n"/>
      <c r="D41" s="16" t="n"/>
      <c r="E41" s="16" t="n"/>
      <c r="F41" s="16" t="n"/>
      <c r="G41" s="16" t="n"/>
      <c r="H41" s="17" t="n"/>
      <c r="I41" s="16" t="n"/>
      <c r="J41" s="16" t="n"/>
      <c r="K41" s="16" t="n"/>
      <c r="L41" s="16" t="n"/>
    </row>
    <row r="42">
      <c r="A42" s="23" t="inlineStr">
        <is>
          <t>안정성</t>
        </is>
      </c>
      <c r="B42" s="23" t="n"/>
      <c r="C42" s="24" t="n"/>
      <c r="D42" s="23" t="n"/>
      <c r="E42" s="23" t="n"/>
      <c r="F42" s="23" t="n"/>
      <c r="G42" s="23" t="n"/>
      <c r="H42" s="24" t="n"/>
      <c r="I42" s="23" t="n"/>
      <c r="J42" s="23" t="n"/>
      <c r="K42" s="23" t="n"/>
      <c r="L42" s="23" t="n"/>
    </row>
    <row r="43">
      <c r="A43" s="44" t="inlineStr">
        <is>
          <t>부채비율</t>
        </is>
      </c>
      <c r="B43" s="10" t="inlineStr">
        <is>
          <t>100%↓</t>
        </is>
      </c>
      <c r="C43" s="35">
        <f>IF(OR(C27="",C35=""),"",IFERROR(C27/C35,""))</f>
        <v/>
      </c>
      <c r="D43" s="36">
        <f>IF(OR(D27="",D35=""),"",IFERROR(D27/D35,""))</f>
        <v/>
      </c>
      <c r="E43" s="36">
        <f>IF(OR(E27="",E35=""),"",IFERROR(E27/E35,""))</f>
        <v/>
      </c>
      <c r="F43" s="36">
        <f>IF(OR(F27="",F35=""),"",IFERROR(F27/F35,""))</f>
        <v/>
      </c>
      <c r="G43" s="36">
        <f>IF(OR(G27="",G35=""),"",IFERROR(G27/G35,""))</f>
        <v/>
      </c>
      <c r="H43" s="35">
        <f>IF(OR(H27="",H35=""),"",IFERROR(H27/H35,""))</f>
        <v/>
      </c>
      <c r="I43" s="36">
        <f>IF(OR(I27="",I35=""),"",IFERROR(I27/I35,""))</f>
        <v/>
      </c>
      <c r="J43" s="36">
        <f>IF(OR(J27="",J35=""),"",IFERROR(J27/J35,""))</f>
        <v/>
      </c>
      <c r="K43" s="36">
        <f>IF(OR(K27="",K35=""),"",IFERROR(K27/K35,""))</f>
        <v/>
      </c>
      <c r="L43" s="36">
        <f>IF(OR(L27="",L35=""),"",IFERROR(L27/L35,""))</f>
        <v/>
      </c>
    </row>
    <row r="44">
      <c r="A44" s="44" t="inlineStr">
        <is>
          <t>순차입금비율</t>
        </is>
      </c>
      <c r="B44" s="10" t="inlineStr">
        <is>
          <t>0%↓ 순현금</t>
        </is>
      </c>
      <c r="C44" s="35">
        <f>IF(OR(C29="",C35=""),"",IFERROR(C29/C35,""))</f>
        <v/>
      </c>
      <c r="D44" s="36">
        <f>IF(OR(D29="",D35=""),"",IFERROR(D29/D35,""))</f>
        <v/>
      </c>
      <c r="E44" s="36">
        <f>IF(OR(E29="",E35=""),"",IFERROR(E29/E35,""))</f>
        <v/>
      </c>
      <c r="F44" s="36">
        <f>IF(OR(F29="",F35=""),"",IFERROR(F29/F35,""))</f>
        <v/>
      </c>
      <c r="G44" s="36">
        <f>IF(OR(G29="",G35=""),"",IFERROR(G29/G35,""))</f>
        <v/>
      </c>
      <c r="H44" s="35">
        <f>IF(OR(H29="",H35=""),"",IFERROR(H29/H35,""))</f>
        <v/>
      </c>
      <c r="I44" s="36">
        <f>IF(OR(I29="",I35=""),"",IFERROR(I29/I35,""))</f>
        <v/>
      </c>
      <c r="J44" s="36">
        <f>IF(OR(J29="",J35=""),"",IFERROR(J29/J35,""))</f>
        <v/>
      </c>
      <c r="K44" s="36">
        <f>IF(OR(K29="",K35=""),"",IFERROR(K29/K35,""))</f>
        <v/>
      </c>
      <c r="L44" s="36">
        <f>IF(OR(L29="",L35=""),"",IFERROR(L29/L35,""))</f>
        <v/>
      </c>
    </row>
    <row r="45">
      <c r="A45" s="44" t="inlineStr">
        <is>
          <t>자기자본비율</t>
        </is>
      </c>
      <c r="B45" s="10" t="inlineStr">
        <is>
          <t>50%↑</t>
        </is>
      </c>
      <c r="C45" s="35">
        <f>IF(OR(C35="",C16=""),"",IFERROR(C35/C16,""))</f>
        <v/>
      </c>
      <c r="D45" s="36">
        <f>IF(OR(D35="",D16=""),"",IFERROR(D35/D16,""))</f>
        <v/>
      </c>
      <c r="E45" s="36">
        <f>IF(OR(E35="",E16=""),"",IFERROR(E35/E16,""))</f>
        <v/>
      </c>
      <c r="F45" s="36">
        <f>IF(OR(F35="",F16=""),"",IFERROR(F35/F16,""))</f>
        <v/>
      </c>
      <c r="G45" s="36">
        <f>IF(OR(G35="",G16=""),"",IFERROR(G35/G16,""))</f>
        <v/>
      </c>
      <c r="H45" s="35">
        <f>IF(OR(H35="",H16=""),"",IFERROR(H35/H16,""))</f>
        <v/>
      </c>
      <c r="I45" s="36">
        <f>IF(OR(I35="",I16=""),"",IFERROR(I35/I16,""))</f>
        <v/>
      </c>
      <c r="J45" s="36">
        <f>IF(OR(J35="",J16=""),"",IFERROR(J35/J16,""))</f>
        <v/>
      </c>
      <c r="K45" s="36">
        <f>IF(OR(K35="",K16=""),"",IFERROR(K35/K16,""))</f>
        <v/>
      </c>
      <c r="L45" s="36">
        <f>IF(OR(L35="",L16=""),"",IFERROR(L35/L16,""))</f>
        <v/>
      </c>
    </row>
    <row r="46">
      <c r="A46" s="44" t="inlineStr">
        <is>
          <t>유동비율</t>
        </is>
      </c>
      <c r="B46" s="10" t="inlineStr">
        <is>
          <t>150%↑</t>
        </is>
      </c>
      <c r="C46" s="35">
        <f>IF(OR(C5="",C18=""),"",IFERROR(C5/C18,""))</f>
        <v/>
      </c>
      <c r="D46" s="36">
        <f>IF(OR(D5="",D18=""),"",IFERROR(D5/D18,""))</f>
        <v/>
      </c>
      <c r="E46" s="36">
        <f>IF(OR(E5="",E18=""),"",IFERROR(E5/E18,""))</f>
        <v/>
      </c>
      <c r="F46" s="36">
        <f>IF(OR(F5="",F18=""),"",IFERROR(F5/F18,""))</f>
        <v/>
      </c>
      <c r="G46" s="36">
        <f>IF(OR(G5="",G18=""),"",IFERROR(G5/G18,""))</f>
        <v/>
      </c>
      <c r="H46" s="35">
        <f>IF(OR(H5="",H18=""),"",IFERROR(H5/H18,""))</f>
        <v/>
      </c>
      <c r="I46" s="36">
        <f>IF(OR(I5="",I18=""),"",IFERROR(I5/I18,""))</f>
        <v/>
      </c>
      <c r="J46" s="36">
        <f>IF(OR(J5="",J18=""),"",IFERROR(J5/J18,""))</f>
        <v/>
      </c>
      <c r="K46" s="36">
        <f>IF(OR(K5="",K18=""),"",IFERROR(K5/K18,""))</f>
        <v/>
      </c>
      <c r="L46" s="36">
        <f>IF(OR(L5="",L18=""),"",IFERROR(L5/L18,""))</f>
        <v/>
      </c>
    </row>
    <row r="47">
      <c r="A47" s="44" t="inlineStr">
        <is>
          <t>당좌비율</t>
        </is>
      </c>
      <c r="B47" s="10" t="inlineStr">
        <is>
          <t>100%↑</t>
        </is>
      </c>
      <c r="C47" s="35">
        <f>IF(OR(C5="",C18=""),"",IFERROR((C5-N(C9))/C18,""))</f>
        <v/>
      </c>
      <c r="D47" s="36">
        <f>IF(OR(D5="",D18=""),"",IFERROR((D5-N(D9))/D18,""))</f>
        <v/>
      </c>
      <c r="E47" s="36">
        <f>IF(OR(E5="",E18=""),"",IFERROR((E5-N(E9))/E18,""))</f>
        <v/>
      </c>
      <c r="F47" s="36">
        <f>IF(OR(F5="",F18=""),"",IFERROR((F5-N(F9))/F18,""))</f>
        <v/>
      </c>
      <c r="G47" s="36">
        <f>IF(OR(G5="",G18=""),"",IFERROR((G5-N(G9))/G18,""))</f>
        <v/>
      </c>
      <c r="H47" s="35">
        <f>IF(OR(H5="",H18=""),"",IFERROR((H5-N(H9))/H18,""))</f>
        <v/>
      </c>
      <c r="I47" s="36">
        <f>IF(OR(I5="",I18=""),"",IFERROR((I5-N(I9))/I18,""))</f>
        <v/>
      </c>
      <c r="J47" s="36">
        <f>IF(OR(J5="",J18=""),"",IFERROR((J5-N(J9))/J18,""))</f>
        <v/>
      </c>
      <c r="K47" s="36">
        <f>IF(OR(K5="",K18=""),"",IFERROR((K5-N(K9))/K18,""))</f>
        <v/>
      </c>
      <c r="L47" s="36">
        <f>IF(OR(L5="",L18=""),"",IFERROR((L5-N(L9))/L18,""))</f>
        <v/>
      </c>
    </row>
    <row r="48">
      <c r="A48" s="44" t="inlineStr">
        <is>
          <t>이자보상배율</t>
        </is>
      </c>
      <c r="B48" s="10" t="inlineStr">
        <is>
          <t>5x↑ (금융원가 기준)</t>
        </is>
      </c>
      <c r="C48" s="30">
        <f>IFERROR((IF(COUNT('연간'!G25:J25)&lt;4,"",SUM('연간'!G25:J25)))/(IF(COUNT('연간'!G47:J47)&lt;4,"",SUM('연간'!G47:J47))),"")</f>
        <v/>
      </c>
      <c r="D48" s="31">
        <f>IFERROR((IF(COUNT('연간'!H25:K25)&lt;4,"",SUM('연간'!H25:K25)))/(IF(COUNT('연간'!H47:K47)&lt;4,"",SUM('연간'!H47:K47))),"")</f>
        <v/>
      </c>
      <c r="E48" s="31">
        <f>IFERROR((IF(COUNT('연간'!I25:L25)&lt;4,"",SUM('연간'!I25:L25)))/(IF(COUNT('연간'!I47:L47)&lt;4,"",SUM('연간'!I47:L47))),"")</f>
        <v/>
      </c>
      <c r="F48" s="31">
        <f>IFERROR((IF(COUNT('연간'!J25:M25)&lt;4,"",SUM('연간'!J25:M25)))/(IF(COUNT('연간'!J47:M47)&lt;4,"",SUM('연간'!J47:M47))),"")</f>
        <v/>
      </c>
      <c r="G48" s="31">
        <f>IFERROR((IF(COUNT('연간'!K25:N25)&lt;4,"",SUM('연간'!K25:N25)))/(IF(COUNT('연간'!K47:N47)&lt;4,"",SUM('연간'!K47:N47))),"")</f>
        <v/>
      </c>
      <c r="H48" s="30">
        <f>IFERROR(('연간'!T25)/('연간'!T47),"")</f>
        <v/>
      </c>
      <c r="I48" s="31">
        <f>IFERROR(('연간'!U25)/('연간'!U47),"")</f>
        <v/>
      </c>
      <c r="J48" s="31">
        <f>IFERROR(('연간'!V25)/('연간'!V47),"")</f>
        <v/>
      </c>
      <c r="K48" s="31">
        <f>IFERROR(('연간'!W25)/('연간'!W47),"")</f>
        <v/>
      </c>
      <c r="L48" s="31">
        <f>IFERROR(('연간'!X25)/('연간'!X47),"")</f>
        <v/>
      </c>
    </row>
    <row r="49">
      <c r="A49" s="44" t="inlineStr">
        <is>
          <t>차입금 상환연수</t>
        </is>
      </c>
      <c r="B49" s="10" t="inlineStr">
        <is>
          <t>4년↓ (버핏)</t>
        </is>
      </c>
      <c r="C49" s="45">
        <f>IFERROR(IF((IF(COUNT('연간'!G53:J53)&lt;4,"",SUM('연간'!G53:J53)))&lt;=0,"적자",C28/(IF(COUNT('연간'!G53:J53)&lt;4,"",SUM('연간'!G53:J53)))),"")</f>
        <v/>
      </c>
      <c r="D49" s="46">
        <f>IFERROR(IF((IF(COUNT('연간'!H53:K53)&lt;4,"",SUM('연간'!H53:K53)))&lt;=0,"적자",D28/(IF(COUNT('연간'!H53:K53)&lt;4,"",SUM('연간'!H53:K53)))),"")</f>
        <v/>
      </c>
      <c r="E49" s="46">
        <f>IFERROR(IF((IF(COUNT('연간'!I53:L53)&lt;4,"",SUM('연간'!I53:L53)))&lt;=0,"적자",E28/(IF(COUNT('연간'!I53:L53)&lt;4,"",SUM('연간'!I53:L53)))),"")</f>
        <v/>
      </c>
      <c r="F49" s="46">
        <f>IFERROR(IF((IF(COUNT('연간'!J53:M53)&lt;4,"",SUM('연간'!J53:M53)))&lt;=0,"적자",F28/(IF(COUNT('연간'!J53:M53)&lt;4,"",SUM('연간'!J53:M53)))),"")</f>
        <v/>
      </c>
      <c r="G49" s="46">
        <f>IFERROR(IF((IF(COUNT('연간'!K53:N53)&lt;4,"",SUM('연간'!K53:N53)))&lt;=0,"적자",G28/(IF(COUNT('연간'!K53:N53)&lt;4,"",SUM('연간'!K53:N53)))),"")</f>
        <v/>
      </c>
      <c r="H49" s="45">
        <f>IFERROR(IF(('연간'!T53)&lt;=0,"적자",H28/('연간'!T53)),"")</f>
        <v/>
      </c>
      <c r="I49" s="46">
        <f>IFERROR(IF(('연간'!U53)&lt;=0,"적자",I28/('연간'!U53)),"")</f>
        <v/>
      </c>
      <c r="J49" s="46">
        <f>IFERROR(IF(('연간'!V53)&lt;=0,"적자",J28/('연간'!V53)),"")</f>
        <v/>
      </c>
      <c r="K49" s="46">
        <f>IFERROR(IF(('연간'!W53)&lt;=0,"적자",K28/('연간'!W53)),"")</f>
        <v/>
      </c>
      <c r="L49" s="46">
        <f>IFERROR(IF(('연간'!X53)&lt;=0,"적자",L28/('연간'!X53)),"")</f>
        <v/>
      </c>
    </row>
    <row r="50">
      <c r="A50" s="23" t="inlineStr">
        <is>
          <t>수익성</t>
        </is>
      </c>
      <c r="B50" s="23" t="n"/>
      <c r="C50" s="24" t="n"/>
      <c r="D50" s="23" t="n"/>
      <c r="E50" s="23" t="n"/>
      <c r="F50" s="23" t="n"/>
      <c r="G50" s="23" t="n"/>
      <c r="H50" s="24" t="n"/>
      <c r="I50" s="23" t="n"/>
      <c r="J50" s="23" t="n"/>
      <c r="K50" s="23" t="n"/>
      <c r="L50" s="23" t="n"/>
    </row>
    <row r="51">
      <c r="A51" s="44" t="inlineStr">
        <is>
          <t>ROE</t>
        </is>
      </c>
      <c r="B51" s="10" t="inlineStr">
        <is>
          <t>15%↑ (버핏)</t>
        </is>
      </c>
      <c r="C51" s="35">
        <f>IFERROR((IF(COUNT('연간'!G53:J53)&lt;4,"",SUM('연간'!G53:J53)))/C31,"")</f>
        <v/>
      </c>
      <c r="D51" s="36">
        <f>IFERROR((IF(COUNT('연간'!H53:K53)&lt;4,"",SUM('연간'!H53:K53)))/D31,"")</f>
        <v/>
      </c>
      <c r="E51" s="36">
        <f>IFERROR((IF(COUNT('연간'!I53:L53)&lt;4,"",SUM('연간'!I53:L53)))/E31,"")</f>
        <v/>
      </c>
      <c r="F51" s="36">
        <f>IFERROR((IF(COUNT('연간'!J53:M53)&lt;4,"",SUM('연간'!J53:M53)))/F31,"")</f>
        <v/>
      </c>
      <c r="G51" s="36">
        <f>IFERROR((IF(COUNT('연간'!K53:N53)&lt;4,"",SUM('연간'!K53:N53)))/G31,"")</f>
        <v/>
      </c>
      <c r="H51" s="35">
        <f>IFERROR(('연간'!T53)/H31,"")</f>
        <v/>
      </c>
      <c r="I51" s="36">
        <f>IFERROR(('연간'!U53)/I31,"")</f>
        <v/>
      </c>
      <c r="J51" s="36">
        <f>IFERROR(('연간'!V53)/J31,"")</f>
        <v/>
      </c>
      <c r="K51" s="36">
        <f>IFERROR(('연간'!W53)/K31,"")</f>
        <v/>
      </c>
      <c r="L51" s="36">
        <f>IFERROR(('연간'!X53)/L31,"")</f>
        <v/>
      </c>
    </row>
    <row r="52">
      <c r="A52" s="44" t="inlineStr">
        <is>
          <t>ROA</t>
        </is>
      </c>
      <c r="B52" s="10" t="inlineStr">
        <is>
          <t>5%↑</t>
        </is>
      </c>
      <c r="C52" s="35">
        <f>IFERROR((IF(COUNT('연간'!G52:J52)&lt;4,"",SUM('연간'!G52:J52)))/C16,"")</f>
        <v/>
      </c>
      <c r="D52" s="36">
        <f>IFERROR((IF(COUNT('연간'!H52:K52)&lt;4,"",SUM('연간'!H52:K52)))/D16,"")</f>
        <v/>
      </c>
      <c r="E52" s="36">
        <f>IFERROR((IF(COUNT('연간'!I52:L52)&lt;4,"",SUM('연간'!I52:L52)))/E16,"")</f>
        <v/>
      </c>
      <c r="F52" s="36">
        <f>IFERROR((IF(COUNT('연간'!J52:M52)&lt;4,"",SUM('연간'!J52:M52)))/F16,"")</f>
        <v/>
      </c>
      <c r="G52" s="36">
        <f>IFERROR((IF(COUNT('연간'!K52:N52)&lt;4,"",SUM('연간'!K52:N52)))/G16,"")</f>
        <v/>
      </c>
      <c r="H52" s="35">
        <f>IFERROR(('연간'!T52)/H16,"")</f>
        <v/>
      </c>
      <c r="I52" s="36">
        <f>IFERROR(('연간'!U52)/I16,"")</f>
        <v/>
      </c>
      <c r="J52" s="36">
        <f>IFERROR(('연간'!V52)/J16,"")</f>
        <v/>
      </c>
      <c r="K52" s="36">
        <f>IFERROR(('연간'!W52)/K16,"")</f>
        <v/>
      </c>
      <c r="L52" s="36">
        <f>IFERROR(('연간'!X52)/L16,"")</f>
        <v/>
      </c>
    </row>
    <row r="53">
      <c r="A53" s="44" t="inlineStr">
        <is>
          <t>ROIC</t>
        </is>
      </c>
      <c r="B53" s="10" t="inlineStr">
        <is>
          <t>10%↑ (세후영업이익 기준)</t>
        </is>
      </c>
      <c r="C53" s="35">
        <f>IFERROR((IF(COUNT('연간'!G25:J25)&lt;4,"",SUM('연간'!G25:J25)))*(1-0.3)/(C35+C29),"")</f>
        <v/>
      </c>
      <c r="D53" s="36">
        <f>IFERROR((IF(COUNT('연간'!H25:K25)&lt;4,"",SUM('연간'!H25:K25)))*(1-0.3)/(D35+D29),"")</f>
        <v/>
      </c>
      <c r="E53" s="36">
        <f>IFERROR((IF(COUNT('연간'!I25:L25)&lt;4,"",SUM('연간'!I25:L25)))*(1-0.3)/(E35+E29),"")</f>
        <v/>
      </c>
      <c r="F53" s="36">
        <f>IFERROR((IF(COUNT('연간'!J25:M25)&lt;4,"",SUM('연간'!J25:M25)))*(1-0.3)/(F35+F29),"")</f>
        <v/>
      </c>
      <c r="G53" s="36">
        <f>IFERROR((IF(COUNT('연간'!K25:N25)&lt;4,"",SUM('연간'!K25:N25)))*(1-0.3)/(G35+G29),"")</f>
        <v/>
      </c>
      <c r="H53" s="35">
        <f>IFERROR(('연간'!T25)*(1-0.3)/(H35+H29),"")</f>
        <v/>
      </c>
      <c r="I53" s="36">
        <f>IFERROR(('연간'!U25)*(1-0.3)/(I35+I29),"")</f>
        <v/>
      </c>
      <c r="J53" s="36">
        <f>IFERROR(('연간'!V25)*(1-0.3)/(J35+J29),"")</f>
        <v/>
      </c>
      <c r="K53" s="36">
        <f>IFERROR(('연간'!W25)*(1-0.3)/(K35+K29),"")</f>
        <v/>
      </c>
      <c r="L53" s="36">
        <f>IFERROR(('연간'!X25)*(1-0.3)/(L35+L29),"")</f>
        <v/>
      </c>
    </row>
    <row r="54">
      <c r="A54" s="44" t="inlineStr">
        <is>
          <t>매출총이익률 (GPM)</t>
        </is>
      </c>
      <c r="B54" s="10" t="inlineStr">
        <is>
          <t>40%↑ (해자 신호)</t>
        </is>
      </c>
      <c r="C54" s="35">
        <f>IFERROR((IF(COUNT('연간'!G21:J21)&lt;4,"",SUM('연간'!G21:J21)))/(IF(COUNT('연간'!G4:J4)&lt;4,"",SUM('연간'!G4:J4))),"")</f>
        <v/>
      </c>
      <c r="D54" s="36">
        <f>IFERROR((IF(COUNT('연간'!H21:K21)&lt;4,"",SUM('연간'!H21:K21)))/(IF(COUNT('연간'!H4:K4)&lt;4,"",SUM('연간'!H4:K4))),"")</f>
        <v/>
      </c>
      <c r="E54" s="36">
        <f>IFERROR((IF(COUNT('연간'!I21:L21)&lt;4,"",SUM('연간'!I21:L21)))/(IF(COUNT('연간'!I4:L4)&lt;4,"",SUM('연간'!I4:L4))),"")</f>
        <v/>
      </c>
      <c r="F54" s="36">
        <f>IFERROR((IF(COUNT('연간'!J21:M21)&lt;4,"",SUM('연간'!J21:M21)))/(IF(COUNT('연간'!J4:M4)&lt;4,"",SUM('연간'!J4:M4))),"")</f>
        <v/>
      </c>
      <c r="G54" s="36">
        <f>IFERROR((IF(COUNT('연간'!K21:N21)&lt;4,"",SUM('연간'!K21:N21)))/(IF(COUNT('연간'!K4:N4)&lt;4,"",SUM('연간'!K4:N4))),"")</f>
        <v/>
      </c>
      <c r="H54" s="35">
        <f>IFERROR(('연간'!T21)/('연간'!T4),"")</f>
        <v/>
      </c>
      <c r="I54" s="36">
        <f>IFERROR(('연간'!U21)/('연간'!U4),"")</f>
        <v/>
      </c>
      <c r="J54" s="36">
        <f>IFERROR(('연간'!V21)/('연간'!V4),"")</f>
        <v/>
      </c>
      <c r="K54" s="36">
        <f>IFERROR(('연간'!W21)/('연간'!W4),"")</f>
        <v/>
      </c>
      <c r="L54" s="36">
        <f>IFERROR(('연간'!X21)/('연간'!X4),"")</f>
        <v/>
      </c>
    </row>
    <row r="55">
      <c r="A55" s="44" t="inlineStr">
        <is>
          <t>영업이익률 (OPM)</t>
        </is>
      </c>
      <c r="B55" s="10" t="inlineStr">
        <is>
          <t>15%↑</t>
        </is>
      </c>
      <c r="C55" s="35">
        <f>IFERROR((IF(COUNT('연간'!G25:J25)&lt;4,"",SUM('연간'!G25:J25)))/(IF(COUNT('연간'!G4:J4)&lt;4,"",SUM('연간'!G4:J4))),"")</f>
        <v/>
      </c>
      <c r="D55" s="36">
        <f>IFERROR((IF(COUNT('연간'!H25:K25)&lt;4,"",SUM('연간'!H25:K25)))/(IF(COUNT('연간'!H4:K4)&lt;4,"",SUM('연간'!H4:K4))),"")</f>
        <v/>
      </c>
      <c r="E55" s="36">
        <f>IFERROR((IF(COUNT('연간'!I25:L25)&lt;4,"",SUM('연간'!I25:L25)))/(IF(COUNT('연간'!I4:L4)&lt;4,"",SUM('연간'!I4:L4))),"")</f>
        <v/>
      </c>
      <c r="F55" s="36">
        <f>IFERROR((IF(COUNT('연간'!J25:M25)&lt;4,"",SUM('연간'!J25:M25)))/(IF(COUNT('연간'!J4:M4)&lt;4,"",SUM('연간'!J4:M4))),"")</f>
        <v/>
      </c>
      <c r="G55" s="36">
        <f>IFERROR((IF(COUNT('연간'!K25:N25)&lt;4,"",SUM('연간'!K25:N25)))/(IF(COUNT('연간'!K4:N4)&lt;4,"",SUM('연간'!K4:N4))),"")</f>
        <v/>
      </c>
      <c r="H55" s="35">
        <f>IFERROR(('연간'!T25)/('연간'!T4),"")</f>
        <v/>
      </c>
      <c r="I55" s="36">
        <f>IFERROR(('연간'!U25)/('연간'!U4),"")</f>
        <v/>
      </c>
      <c r="J55" s="36">
        <f>IFERROR(('연간'!V25)/('연간'!V4),"")</f>
        <v/>
      </c>
      <c r="K55" s="36">
        <f>IFERROR(('연간'!W25)/('연간'!W4),"")</f>
        <v/>
      </c>
      <c r="L55" s="36">
        <f>IFERROR(('연간'!X25)/('연간'!X4),"")</f>
        <v/>
      </c>
    </row>
    <row r="56">
      <c r="A56" s="44" t="inlineStr">
        <is>
          <t>순이익률</t>
        </is>
      </c>
      <c r="B56" s="10" t="inlineStr">
        <is>
          <t>10%↑</t>
        </is>
      </c>
      <c r="C56" s="35">
        <f>IFERROR((IF(COUNT('연간'!G52:J52)&lt;4,"",SUM('연간'!G52:J52)))/(IF(COUNT('연간'!G4:J4)&lt;4,"",SUM('연간'!G4:J4))),"")</f>
        <v/>
      </c>
      <c r="D56" s="36">
        <f>IFERROR((IF(COUNT('연간'!H52:K52)&lt;4,"",SUM('연간'!H52:K52)))/(IF(COUNT('연간'!H4:K4)&lt;4,"",SUM('연간'!H4:K4))),"")</f>
        <v/>
      </c>
      <c r="E56" s="36">
        <f>IFERROR((IF(COUNT('연간'!I52:L52)&lt;4,"",SUM('연간'!I52:L52)))/(IF(COUNT('연간'!I4:L4)&lt;4,"",SUM('연간'!I4:L4))),"")</f>
        <v/>
      </c>
      <c r="F56" s="36">
        <f>IFERROR((IF(COUNT('연간'!J52:M52)&lt;4,"",SUM('연간'!J52:M52)))/(IF(COUNT('연간'!J4:M4)&lt;4,"",SUM('연간'!J4:M4))),"")</f>
        <v/>
      </c>
      <c r="G56" s="36">
        <f>IFERROR((IF(COUNT('연간'!K52:N52)&lt;4,"",SUM('연간'!K52:N52)))/(IF(COUNT('연간'!K4:N4)&lt;4,"",SUM('연간'!K4:N4))),"")</f>
        <v/>
      </c>
      <c r="H56" s="35">
        <f>IFERROR(('연간'!T52)/('연간'!T4),"")</f>
        <v/>
      </c>
      <c r="I56" s="36">
        <f>IFERROR(('연간'!U52)/('연간'!U4),"")</f>
        <v/>
      </c>
      <c r="J56" s="36">
        <f>IFERROR(('연간'!V52)/('연간'!V4),"")</f>
        <v/>
      </c>
      <c r="K56" s="36">
        <f>IFERROR(('연간'!W52)/('연간'!W4),"")</f>
        <v/>
      </c>
      <c r="L56" s="36">
        <f>IFERROR(('연간'!X52)/('연간'!X4),"")</f>
        <v/>
      </c>
    </row>
    <row r="57">
      <c r="A57" s="23" t="inlineStr">
        <is>
          <t>효율성 (회전율)</t>
        </is>
      </c>
      <c r="B57" s="23" t="n"/>
      <c r="C57" s="24" t="n"/>
      <c r="D57" s="23" t="n"/>
      <c r="E57" s="23" t="n"/>
      <c r="F57" s="23" t="n"/>
      <c r="G57" s="23" t="n"/>
      <c r="H57" s="24" t="n"/>
      <c r="I57" s="23" t="n"/>
      <c r="J57" s="23" t="n"/>
      <c r="K57" s="23" t="n"/>
      <c r="L57" s="23" t="n"/>
    </row>
    <row r="58">
      <c r="A58" s="44" t="inlineStr">
        <is>
          <t>총자산회전율</t>
        </is>
      </c>
      <c r="B58" s="10" t="inlineStr">
        <is>
          <t>높을수록↑</t>
        </is>
      </c>
      <c r="C58" s="30">
        <f>IFERROR((IF(COUNT('연간'!G4:J4)&lt;4,"",SUM('연간'!G4:J4)))/C16,"")</f>
        <v/>
      </c>
      <c r="D58" s="31">
        <f>IFERROR((IF(COUNT('연간'!H4:K4)&lt;4,"",SUM('연간'!H4:K4)))/D16,"")</f>
        <v/>
      </c>
      <c r="E58" s="31">
        <f>IFERROR((IF(COUNT('연간'!I4:L4)&lt;4,"",SUM('연간'!I4:L4)))/E16,"")</f>
        <v/>
      </c>
      <c r="F58" s="31">
        <f>IFERROR((IF(COUNT('연간'!J4:M4)&lt;4,"",SUM('연간'!J4:M4)))/F16,"")</f>
        <v/>
      </c>
      <c r="G58" s="31">
        <f>IFERROR((IF(COUNT('연간'!K4:N4)&lt;4,"",SUM('연간'!K4:N4)))/G16,"")</f>
        <v/>
      </c>
      <c r="H58" s="30">
        <f>IFERROR(('연간'!T4)/H16,"")</f>
        <v/>
      </c>
      <c r="I58" s="31">
        <f>IFERROR(('연간'!U4)/I16,"")</f>
        <v/>
      </c>
      <c r="J58" s="31">
        <f>IFERROR(('연간'!V4)/J16,"")</f>
        <v/>
      </c>
      <c r="K58" s="31">
        <f>IFERROR(('연간'!W4)/K16,"")</f>
        <v/>
      </c>
      <c r="L58" s="31">
        <f>IFERROR(('연간'!X4)/L16,"")</f>
        <v/>
      </c>
    </row>
    <row r="59">
      <c r="A59" s="44" t="inlineStr">
        <is>
          <t>매출채권회전일수</t>
        </is>
      </c>
      <c r="B59" s="10" t="inlineStr">
        <is>
          <t>짧을수록↑</t>
        </is>
      </c>
      <c r="C59" s="47">
        <f>IFERROR(C8/(IF(COUNT('연간'!G4:J4)&lt;4,"",SUM('연간'!G4:J4)))*365,"")</f>
        <v/>
      </c>
      <c r="D59" s="48">
        <f>IFERROR(D8/(IF(COUNT('연간'!H4:K4)&lt;4,"",SUM('연간'!H4:K4)))*365,"")</f>
        <v/>
      </c>
      <c r="E59" s="48">
        <f>IFERROR(E8/(IF(COUNT('연간'!I4:L4)&lt;4,"",SUM('연간'!I4:L4)))*365,"")</f>
        <v/>
      </c>
      <c r="F59" s="48">
        <f>IFERROR(F8/(IF(COUNT('연간'!J4:M4)&lt;4,"",SUM('연간'!J4:M4)))*365,"")</f>
        <v/>
      </c>
      <c r="G59" s="48">
        <f>IFERROR(G8/(IF(COUNT('연간'!K4:N4)&lt;4,"",SUM('연간'!K4:N4)))*365,"")</f>
        <v/>
      </c>
      <c r="H59" s="47">
        <f>IFERROR(H8/('연간'!T4)*365,"")</f>
        <v/>
      </c>
      <c r="I59" s="48">
        <f>IFERROR(I8/('연간'!U4)*365,"")</f>
        <v/>
      </c>
      <c r="J59" s="48">
        <f>IFERROR(J8/('연간'!V4)*365,"")</f>
        <v/>
      </c>
      <c r="K59" s="48">
        <f>IFERROR(K8/('연간'!W4)*365,"")</f>
        <v/>
      </c>
      <c r="L59" s="48">
        <f>IFERROR(L8/('연간'!X4)*365,"")</f>
        <v/>
      </c>
    </row>
    <row r="60">
      <c r="A60" s="44" t="inlineStr">
        <is>
          <t>재고자산회전일수</t>
        </is>
      </c>
      <c r="B60" s="10" t="inlineStr">
        <is>
          <t>짧을수록↑</t>
        </is>
      </c>
      <c r="C60" s="47">
        <f>IFERROR(C9/(IF(COUNT('연간'!G20:J20)&lt;4,"",SUM('연간'!G20:J20)))*365,"")</f>
        <v/>
      </c>
      <c r="D60" s="48">
        <f>IFERROR(D9/(IF(COUNT('연간'!H20:K20)&lt;4,"",SUM('연간'!H20:K20)))*365,"")</f>
        <v/>
      </c>
      <c r="E60" s="48">
        <f>IFERROR(E9/(IF(COUNT('연간'!I20:L20)&lt;4,"",SUM('연간'!I20:L20)))*365,"")</f>
        <v/>
      </c>
      <c r="F60" s="48">
        <f>IFERROR(F9/(IF(COUNT('연간'!J20:M20)&lt;4,"",SUM('연간'!J20:M20)))*365,"")</f>
        <v/>
      </c>
      <c r="G60" s="48">
        <f>IFERROR(G9/(IF(COUNT('연간'!K20:N20)&lt;4,"",SUM('연간'!K20:N20)))*365,"")</f>
        <v/>
      </c>
      <c r="H60" s="47">
        <f>IFERROR(H9/('연간'!T20)*365,"")</f>
        <v/>
      </c>
      <c r="I60" s="48">
        <f>IFERROR(I9/('연간'!U20)*365,"")</f>
        <v/>
      </c>
      <c r="J60" s="48">
        <f>IFERROR(J9/('연간'!V20)*365,"")</f>
        <v/>
      </c>
      <c r="K60" s="48">
        <f>IFERROR(K9/('연간'!W20)*365,"")</f>
        <v/>
      </c>
      <c r="L60" s="48">
        <f>IFERROR(L9/('연간'!X20)*365,"")</f>
        <v/>
      </c>
    </row>
    <row r="61">
      <c r="A61" s="44" t="inlineStr">
        <is>
          <t>매입채무회전일수</t>
        </is>
      </c>
      <c r="B61" s="10" t="inlineStr">
        <is>
          <t>길수록 유리</t>
        </is>
      </c>
      <c r="C61" s="47">
        <f>IFERROR(C19/(IF(COUNT('연간'!G20:J20)&lt;4,"",SUM('연간'!G20:J20)))*365,"")</f>
        <v/>
      </c>
      <c r="D61" s="48">
        <f>IFERROR(D19/(IF(COUNT('연간'!H20:K20)&lt;4,"",SUM('연간'!H20:K20)))*365,"")</f>
        <v/>
      </c>
      <c r="E61" s="48">
        <f>IFERROR(E19/(IF(COUNT('연간'!I20:L20)&lt;4,"",SUM('연간'!I20:L20)))*365,"")</f>
        <v/>
      </c>
      <c r="F61" s="48">
        <f>IFERROR(F19/(IF(COUNT('연간'!J20:M20)&lt;4,"",SUM('연간'!J20:M20)))*365,"")</f>
        <v/>
      </c>
      <c r="G61" s="48">
        <f>IFERROR(G19/(IF(COUNT('연간'!K20:N20)&lt;4,"",SUM('연간'!K20:N20)))*365,"")</f>
        <v/>
      </c>
      <c r="H61" s="47">
        <f>IFERROR(H19/('연간'!T20)*365,"")</f>
        <v/>
      </c>
      <c r="I61" s="48">
        <f>IFERROR(I19/('연간'!U20)*365,"")</f>
        <v/>
      </c>
      <c r="J61" s="48">
        <f>IFERROR(J19/('연간'!V20)*365,"")</f>
        <v/>
      </c>
      <c r="K61" s="48">
        <f>IFERROR(K19/('연간'!W20)*365,"")</f>
        <v/>
      </c>
      <c r="L61" s="48">
        <f>IFERROR(L19/('연간'!X20)*365,"")</f>
        <v/>
      </c>
    </row>
    <row r="62">
      <c r="A62" s="44" t="inlineStr">
        <is>
          <t>현금전환주기 (CCC)</t>
        </is>
      </c>
      <c r="B62" s="10" t="inlineStr">
        <is>
          <t>짧을수록↑</t>
        </is>
      </c>
      <c r="C62" s="47">
        <f>IF(OR(C59="",C60="",C61=""),"",IFERROR(C59+C60-C61,""))</f>
        <v/>
      </c>
      <c r="D62" s="48">
        <f>IF(OR(D59="",D60="",D61=""),"",IFERROR(D59+D60-D61,""))</f>
        <v/>
      </c>
      <c r="E62" s="48">
        <f>IF(OR(E59="",E60="",E61=""),"",IFERROR(E59+E60-E61,""))</f>
        <v/>
      </c>
      <c r="F62" s="48">
        <f>IF(OR(F59="",F60="",F61=""),"",IFERROR(F59+F60-F61,""))</f>
        <v/>
      </c>
      <c r="G62" s="48">
        <f>IF(OR(G59="",G60="",G61=""),"",IFERROR(G59+G60-G61,""))</f>
        <v/>
      </c>
      <c r="H62" s="47">
        <f>IF(OR(H59="",H60="",H61=""),"",IFERROR(H59+H60-H61,""))</f>
        <v/>
      </c>
      <c r="I62" s="48">
        <f>IF(OR(I59="",I60="",I61=""),"",IFERROR(I59+I60-I61,""))</f>
        <v/>
      </c>
      <c r="J62" s="48">
        <f>IF(OR(J59="",J60="",J61=""),"",IFERROR(J59+J60-J61,""))</f>
        <v/>
      </c>
      <c r="K62" s="48">
        <f>IF(OR(K59="",K60="",K61=""),"",IFERROR(K59+K60-K61,""))</f>
        <v/>
      </c>
      <c r="L62" s="48">
        <f>IF(OR(L59="",L60="",L61=""),"",IFERROR(L59+L60-L61,""))</f>
        <v/>
      </c>
    </row>
    <row r="63">
      <c r="A63" s="23" t="inlineStr">
        <is>
          <t>현금흐름</t>
        </is>
      </c>
      <c r="B63" s="23" t="n"/>
      <c r="C63" s="24" t="n"/>
      <c r="D63" s="23" t="n"/>
      <c r="E63" s="23" t="n"/>
      <c r="F63" s="23" t="n"/>
      <c r="G63" s="23" t="n"/>
      <c r="H63" s="24" t="n"/>
      <c r="I63" s="23" t="n"/>
      <c r="J63" s="23" t="n"/>
      <c r="K63" s="23" t="n"/>
      <c r="L63" s="23" t="n"/>
    </row>
    <row r="64">
      <c r="A64" s="44" t="inlineStr">
        <is>
          <t>영업현금흐름 / 순이익</t>
        </is>
      </c>
      <c r="B64" s="10" t="inlineStr">
        <is>
          <t>1x↑ (이익의 질)</t>
        </is>
      </c>
      <c r="C64" s="30">
        <f>IF(C37="","",IFERROR(C37/(IF(COUNT('연간'!G52:J52)&lt;4,"",SUM('연간'!G52:J52))),""))</f>
        <v/>
      </c>
      <c r="D64" s="31">
        <f>IF(D37="","",IFERROR(D37/(IF(COUNT('연간'!H52:K52)&lt;4,"",SUM('연간'!H52:K52))),""))</f>
        <v/>
      </c>
      <c r="E64" s="31">
        <f>IF(E37="","",IFERROR(E37/(IF(COUNT('연간'!I52:L52)&lt;4,"",SUM('연간'!I52:L52))),""))</f>
        <v/>
      </c>
      <c r="F64" s="31">
        <f>IF(F37="","",IFERROR(F37/(IF(COUNT('연간'!J52:M52)&lt;4,"",SUM('연간'!J52:M52))),""))</f>
        <v/>
      </c>
      <c r="G64" s="31">
        <f>IF(G37="","",IFERROR(G37/(IF(COUNT('연간'!K52:N52)&lt;4,"",SUM('연간'!K52:N52))),""))</f>
        <v/>
      </c>
      <c r="H64" s="30">
        <f>IF(H37="","",IFERROR(H37/('연간'!T52),""))</f>
        <v/>
      </c>
      <c r="I64" s="31">
        <f>IF(I37="","",IFERROR(I37/('연간'!U52),""))</f>
        <v/>
      </c>
      <c r="J64" s="31">
        <f>IF(J37="","",IFERROR(J37/('연간'!V52),""))</f>
        <v/>
      </c>
      <c r="K64" s="31">
        <f>IF(K37="","",IFERROR(K37/('연간'!W52),""))</f>
        <v/>
      </c>
      <c r="L64" s="31">
        <f>IF(L37="","",IFERROR(L37/('연간'!X52),""))</f>
        <v/>
      </c>
    </row>
    <row r="65">
      <c r="A65" s="44" t="inlineStr">
        <is>
          <t>FCF 마진</t>
        </is>
      </c>
      <c r="B65" s="10" t="inlineStr">
        <is>
          <t>5%↑</t>
        </is>
      </c>
      <c r="C65" s="35">
        <f>IF(C39="","",IFERROR(C39/(IF(COUNT('연간'!G4:J4)&lt;4,"",SUM('연간'!G4:J4))),""))</f>
        <v/>
      </c>
      <c r="D65" s="36">
        <f>IF(D39="","",IFERROR(D39/(IF(COUNT('연간'!H4:K4)&lt;4,"",SUM('연간'!H4:K4))),""))</f>
        <v/>
      </c>
      <c r="E65" s="36">
        <f>IF(E39="","",IFERROR(E39/(IF(COUNT('연간'!I4:L4)&lt;4,"",SUM('연간'!I4:L4))),""))</f>
        <v/>
      </c>
      <c r="F65" s="36">
        <f>IF(F39="","",IFERROR(F39/(IF(COUNT('연간'!J4:M4)&lt;4,"",SUM('연간'!J4:M4))),""))</f>
        <v/>
      </c>
      <c r="G65" s="36">
        <f>IF(G39="","",IFERROR(G39/(IF(COUNT('연간'!K4:N4)&lt;4,"",SUM('연간'!K4:N4))),""))</f>
        <v/>
      </c>
      <c r="H65" s="35">
        <f>IF(H39="","",IFERROR(H39/('연간'!T4),""))</f>
        <v/>
      </c>
      <c r="I65" s="36">
        <f>IF(I39="","",IFERROR(I39/('연간'!U4),""))</f>
        <v/>
      </c>
      <c r="J65" s="36">
        <f>IF(J39="","",IFERROR(J39/('연간'!V4),""))</f>
        <v/>
      </c>
      <c r="K65" s="36">
        <f>IF(K39="","",IFERROR(K39/('연간'!W4),""))</f>
        <v/>
      </c>
      <c r="L65" s="36">
        <f>IF(L39="","",IFERROR(L39/('연간'!X4),""))</f>
        <v/>
      </c>
    </row>
    <row r="66">
      <c r="A66" s="44" t="inlineStr">
        <is>
          <t>CAPEX / 매출</t>
        </is>
      </c>
      <c r="B66" s="10" t="inlineStr">
        <is>
          <t>낮을수록↑ (자본 가벼움)</t>
        </is>
      </c>
      <c r="C66" s="35">
        <f>IF(C38="","",IFERROR(C38/(IF(COUNT('연간'!G4:J4)&lt;4,"",SUM('연간'!G4:J4))),""))</f>
        <v/>
      </c>
      <c r="D66" s="36">
        <f>IF(D38="","",IFERROR(D38/(IF(COUNT('연간'!H4:K4)&lt;4,"",SUM('연간'!H4:K4))),""))</f>
        <v/>
      </c>
      <c r="E66" s="36">
        <f>IF(E38="","",IFERROR(E38/(IF(COUNT('연간'!I4:L4)&lt;4,"",SUM('연간'!I4:L4))),""))</f>
        <v/>
      </c>
      <c r="F66" s="36">
        <f>IF(F38="","",IFERROR(F38/(IF(COUNT('연간'!J4:M4)&lt;4,"",SUM('연간'!J4:M4))),""))</f>
        <v/>
      </c>
      <c r="G66" s="36">
        <f>IF(G38="","",IFERROR(G38/(IF(COUNT('연간'!K4:N4)&lt;4,"",SUM('연간'!K4:N4))),""))</f>
        <v/>
      </c>
      <c r="H66" s="35">
        <f>IF(H38="","",IFERROR(H38/('연간'!T4),""))</f>
        <v/>
      </c>
      <c r="I66" s="36">
        <f>IF(I38="","",IFERROR(I38/('연간'!U4),""))</f>
        <v/>
      </c>
      <c r="J66" s="36">
        <f>IF(J38="","",IFERROR(J38/('연간'!V4),""))</f>
        <v/>
      </c>
      <c r="K66" s="36">
        <f>IF(K38="","",IFERROR(K38/('연간'!W4),""))</f>
        <v/>
      </c>
      <c r="L66" s="36">
        <f>IF(L38="","",IFERROR(L38/('연간'!X4),""))</f>
        <v/>
      </c>
    </row>
    <row r="67">
      <c r="A67" s="44" t="inlineStr">
        <is>
          <t>배당성향</t>
        </is>
      </c>
      <c r="B67" s="10" t="inlineStr">
        <is>
          <t>참고</t>
        </is>
      </c>
      <c r="C67" s="35">
        <f>IF(C40="","",IFERROR(C40/(IF(COUNT('연간'!G53:J53)&lt;4,"",SUM('연간'!G53:J53))),""))</f>
        <v/>
      </c>
      <c r="D67" s="36">
        <f>IF(D40="","",IFERROR(D40/(IF(COUNT('연간'!H53:K53)&lt;4,"",SUM('연간'!H53:K53))),""))</f>
        <v/>
      </c>
      <c r="E67" s="36">
        <f>IF(E40="","",IFERROR(E40/(IF(COUNT('연간'!I53:L53)&lt;4,"",SUM('연간'!I53:L53))),""))</f>
        <v/>
      </c>
      <c r="F67" s="36">
        <f>IF(F40="","",IFERROR(F40/(IF(COUNT('연간'!J53:M53)&lt;4,"",SUM('연간'!J53:M53))),""))</f>
        <v/>
      </c>
      <c r="G67" s="36">
        <f>IF(G40="","",IFERROR(G40/(IF(COUNT('연간'!K53:N53)&lt;4,"",SUM('연간'!K53:N53))),""))</f>
        <v/>
      </c>
      <c r="H67" s="35">
        <f>IF(H40="","",IFERROR(H40/('연간'!T53),""))</f>
        <v/>
      </c>
      <c r="I67" s="36">
        <f>IF(I40="","",IFERROR(I40/('연간'!U53),""))</f>
        <v/>
      </c>
      <c r="J67" s="36">
        <f>IF(J40="","",IFERROR(J40/('연간'!V53),""))</f>
        <v/>
      </c>
      <c r="K67" s="36">
        <f>IF(K40="","",IFERROR(K40/('연간'!W53),""))</f>
        <v/>
      </c>
      <c r="L67" s="36">
        <f>IF(L40="","",IFERROR(L40/('연간'!X53),""))</f>
        <v/>
      </c>
    </row>
    <row r="69">
      <c r="A69" s="16" t="inlineStr">
        <is>
          <t>재무상태표 · 전 항목</t>
        </is>
      </c>
      <c r="B69" s="42" t="inlineStr">
        <is>
          <t>분기 말 잔액</t>
        </is>
      </c>
      <c r="C69" s="16" t="n"/>
      <c r="D69" s="16" t="n"/>
      <c r="E69" s="16" t="n"/>
      <c r="F69" s="16" t="n"/>
      <c r="G69" s="16" t="n"/>
      <c r="H69" s="16" t="n"/>
      <c r="I69" s="16" t="n"/>
      <c r="J69" s="16" t="n"/>
      <c r="K69" s="16" t="n"/>
      <c r="L69" s="16" t="n"/>
    </row>
    <row r="70">
      <c r="A70" s="5" t="inlineStr">
        <is>
          <t>항목</t>
        </is>
      </c>
      <c r="B70" s="5" t="inlineStr">
        <is>
          <t>참고</t>
        </is>
      </c>
      <c r="C70" s="5" t="inlineStr">
        <is>
          <t>2025.4Q</t>
        </is>
      </c>
      <c r="D70" s="5" t="inlineStr">
        <is>
          <t>2026.1Q</t>
        </is>
      </c>
      <c r="E70" s="5" t="inlineStr">
        <is>
          <t>2026.2Q</t>
        </is>
      </c>
      <c r="F70" s="5" t="inlineStr">
        <is>
          <t>2026.3Q</t>
        </is>
      </c>
      <c r="G70" s="5" t="inlineStr">
        <is>
          <t>2026.4Q</t>
        </is>
      </c>
      <c r="H70" s="5" t="inlineStr">
        <is>
          <t>2022</t>
        </is>
      </c>
      <c r="I70" s="5" t="inlineStr">
        <is>
          <t>2023</t>
        </is>
      </c>
      <c r="J70" s="5" t="inlineStr">
        <is>
          <t>2024</t>
        </is>
      </c>
      <c r="K70" s="5" t="inlineStr">
        <is>
          <t>2025</t>
        </is>
      </c>
      <c r="L70" s="5" t="inlineStr">
        <is>
          <t>2026</t>
        </is>
      </c>
    </row>
    <row r="71">
      <c r="A71" s="18" t="inlineStr">
        <is>
          <t>현금및현금성자산</t>
        </is>
      </c>
      <c r="C71" s="20" t="n">
        <v>363344</v>
      </c>
      <c r="G71" s="20" t="n">
        <v>359805</v>
      </c>
      <c r="H71" s="20" t="n">
        <v>362046</v>
      </c>
      <c r="I71" s="20" t="n">
        <v>329966</v>
      </c>
      <c r="J71" s="20" t="n">
        <v>342269</v>
      </c>
      <c r="K71" s="20" t="n">
        <v>363344</v>
      </c>
      <c r="L71" s="20" t="n">
        <v>359805</v>
      </c>
    </row>
    <row r="72">
      <c r="A72" s="18" t="inlineStr">
        <is>
          <t>매출채권 및 기타채권</t>
        </is>
      </c>
      <c r="C72" s="20" t="n">
        <v>210418</v>
      </c>
      <c r="G72" s="20" t="n">
        <v>231880</v>
      </c>
      <c r="H72" s="20" t="n">
        <v>206084</v>
      </c>
      <c r="I72" s="20" t="n">
        <v>178388</v>
      </c>
      <c r="J72" s="20" t="n">
        <v>209341</v>
      </c>
      <c r="K72" s="20" t="n">
        <v>210418</v>
      </c>
      <c r="L72" s="20" t="n">
        <v>231880</v>
      </c>
    </row>
    <row r="73">
      <c r="A73" s="18" t="inlineStr">
        <is>
          <t>재고자산</t>
        </is>
      </c>
      <c r="C73" s="20" t="n">
        <v>142932</v>
      </c>
      <c r="G73" s="20" t="n">
        <v>157870</v>
      </c>
      <c r="H73" s="20" t="n">
        <v>128318</v>
      </c>
      <c r="I73" s="20" t="n">
        <v>141101</v>
      </c>
      <c r="J73" s="20" t="n">
        <v>136804</v>
      </c>
      <c r="K73" s="20" t="n">
        <v>142932</v>
      </c>
      <c r="L73" s="20" t="n">
        <v>157870</v>
      </c>
    </row>
    <row r="74">
      <c r="A74" s="18" t="inlineStr">
        <is>
          <t>기타금융자산</t>
        </is>
      </c>
      <c r="C74" s="20" t="n">
        <v>7732</v>
      </c>
      <c r="G74" s="20" t="n">
        <v>19436</v>
      </c>
      <c r="H74" s="20" t="n">
        <v>4939</v>
      </c>
      <c r="I74" s="20" t="n">
        <v>2141</v>
      </c>
      <c r="J74" s="20" t="n">
        <v>5220</v>
      </c>
      <c r="K74" s="20" t="n">
        <v>7732</v>
      </c>
      <c r="L74" s="20" t="n">
        <v>19436</v>
      </c>
    </row>
    <row r="75">
      <c r="A75" s="18" t="inlineStr">
        <is>
          <t>기타유동자산</t>
        </is>
      </c>
      <c r="C75" s="20" t="n">
        <v>25781</v>
      </c>
      <c r="G75" s="20" t="n">
        <v>28301</v>
      </c>
      <c r="H75" s="20" t="n">
        <v>21349</v>
      </c>
      <c r="I75" s="20" t="n">
        <v>20358</v>
      </c>
      <c r="J75" s="20" t="n">
        <v>24321</v>
      </c>
      <c r="K75" s="20" t="n">
        <v>25781</v>
      </c>
      <c r="L75" s="20" t="n">
        <v>28301</v>
      </c>
    </row>
    <row r="76">
      <c r="A76" s="9" t="inlineStr">
        <is>
          <t>소계</t>
        </is>
      </c>
      <c r="H76" s="12" t="n">
        <v>722738</v>
      </c>
      <c r="I76" s="12" t="n">
        <v>671956</v>
      </c>
      <c r="J76" s="12" t="n">
        <v>717957</v>
      </c>
    </row>
    <row r="77">
      <c r="A77" s="18" t="inlineStr">
        <is>
          <t>매각예정 자산</t>
        </is>
      </c>
      <c r="H77" s="20" t="n">
        <v>0</v>
      </c>
      <c r="I77" s="20" t="n">
        <v>5232</v>
      </c>
      <c r="J77" s="20" t="n">
        <v>0</v>
      </c>
    </row>
    <row r="78">
      <c r="A78" s="9" t="inlineStr">
        <is>
          <t>유동자산 합계</t>
        </is>
      </c>
      <c r="C78" s="12" t="n">
        <v>750209</v>
      </c>
      <c r="G78" s="12" t="n">
        <v>797294</v>
      </c>
      <c r="H78" s="12" t="n">
        <v>722738</v>
      </c>
      <c r="I78" s="12" t="n">
        <v>677189</v>
      </c>
      <c r="J78" s="12" t="n">
        <v>717957</v>
      </c>
      <c r="K78" s="12" t="n">
        <v>750209</v>
      </c>
      <c r="L78" s="12" t="n">
        <v>797294</v>
      </c>
    </row>
    <row r="79">
      <c r="A79" s="18" t="inlineStr">
        <is>
          <t>유형자산</t>
        </is>
      </c>
      <c r="C79" s="20" t="n">
        <v>417636</v>
      </c>
      <c r="G79" s="20" t="n">
        <v>466960</v>
      </c>
      <c r="H79" s="20" t="n">
        <v>286949</v>
      </c>
      <c r="I79" s="20" t="n">
        <v>333103</v>
      </c>
      <c r="J79" s="20" t="n">
        <v>378535</v>
      </c>
      <c r="K79" s="20" t="n">
        <v>417636</v>
      </c>
      <c r="L79" s="20" t="n">
        <v>466960</v>
      </c>
    </row>
    <row r="80">
      <c r="A80" s="18" t="inlineStr">
        <is>
          <t>사용권자산</t>
        </is>
      </c>
      <c r="C80" s="20" t="n">
        <v>19058</v>
      </c>
      <c r="G80" s="20" t="n">
        <v>20608</v>
      </c>
      <c r="H80" s="20" t="n">
        <v>13681</v>
      </c>
      <c r="I80" s="20" t="n">
        <v>12959</v>
      </c>
      <c r="J80" s="20" t="n">
        <v>19321</v>
      </c>
      <c r="K80" s="20" t="n">
        <v>19058</v>
      </c>
      <c r="L80" s="20" t="n">
        <v>20608</v>
      </c>
    </row>
    <row r="81">
      <c r="A81" s="18" t="inlineStr">
        <is>
          <t>영업권</t>
        </is>
      </c>
      <c r="C81" s="20" t="n">
        <v>57167</v>
      </c>
      <c r="G81" s="20" t="n">
        <v>64125</v>
      </c>
      <c r="H81" s="20" t="n">
        <v>4809</v>
      </c>
      <c r="I81" s="20" t="n">
        <v>58822</v>
      </c>
      <c r="J81" s="20" t="n">
        <v>66056</v>
      </c>
      <c r="K81" s="20" t="n">
        <v>57167</v>
      </c>
      <c r="L81" s="20" t="n">
        <v>64125</v>
      </c>
    </row>
    <row r="82">
      <c r="A82" s="18" t="inlineStr">
        <is>
          <t>무형자산</t>
        </is>
      </c>
      <c r="C82" s="20" t="n">
        <v>17026</v>
      </c>
      <c r="G82" s="20" t="n">
        <v>16942</v>
      </c>
      <c r="H82" s="20" t="n">
        <v>13707</v>
      </c>
      <c r="I82" s="20" t="n">
        <v>21469</v>
      </c>
      <c r="J82" s="20" t="n">
        <v>20674</v>
      </c>
      <c r="K82" s="20" t="n">
        <v>17026</v>
      </c>
      <c r="L82" s="20" t="n">
        <v>16942</v>
      </c>
    </row>
    <row r="83">
      <c r="A83" s="18" t="inlineStr">
        <is>
          <t>지분법 투자</t>
        </is>
      </c>
      <c r="C83" s="20" t="n">
        <v>7319</v>
      </c>
      <c r="G83" s="20" t="n">
        <v>6687</v>
      </c>
      <c r="H83" s="20" t="n">
        <v>547</v>
      </c>
      <c r="I83" s="20" t="n">
        <v>2140</v>
      </c>
      <c r="J83" s="20" t="n">
        <v>2115</v>
      </c>
      <c r="K83" s="20" t="n">
        <v>7319</v>
      </c>
      <c r="L83" s="20" t="n">
        <v>6687</v>
      </c>
    </row>
    <row r="84">
      <c r="A84" s="18" t="inlineStr">
        <is>
          <t>금융자산</t>
        </is>
      </c>
      <c r="C84" s="20" t="n">
        <v>11096</v>
      </c>
      <c r="G84" s="20" t="n">
        <v>13516</v>
      </c>
      <c r="H84" s="20" t="n">
        <v>12131</v>
      </c>
      <c r="I84" s="20" t="n">
        <v>8860</v>
      </c>
      <c r="J84" s="20" t="n">
        <v>9192</v>
      </c>
      <c r="K84" s="20" t="n">
        <v>11096</v>
      </c>
      <c r="L84" s="20" t="n">
        <v>13516</v>
      </c>
    </row>
    <row r="85">
      <c r="A85" s="18" t="inlineStr">
        <is>
          <t>이연법인세자산</t>
        </is>
      </c>
      <c r="C85" s="20" t="n">
        <v>17873</v>
      </c>
      <c r="G85" s="20" t="n">
        <v>19095</v>
      </c>
      <c r="H85" s="20" t="n">
        <v>24131</v>
      </c>
      <c r="I85" s="20" t="n">
        <v>23420</v>
      </c>
      <c r="J85" s="20" t="n">
        <v>20985</v>
      </c>
      <c r="K85" s="20" t="n">
        <v>17873</v>
      </c>
      <c r="L85" s="20" t="n">
        <v>19095</v>
      </c>
    </row>
    <row r="86">
      <c r="A86" s="18" t="inlineStr">
        <is>
          <t>기타비유동자산</t>
        </is>
      </c>
      <c r="C86" s="20" t="n">
        <v>24533</v>
      </c>
      <c r="G86" s="20" t="n">
        <v>36526</v>
      </c>
      <c r="H86" s="20" t="n">
        <v>15772</v>
      </c>
      <c r="I86" s="20" t="n">
        <v>15682</v>
      </c>
      <c r="J86" s="20" t="n">
        <v>16248</v>
      </c>
      <c r="K86" s="20" t="n">
        <v>24533</v>
      </c>
      <c r="L86" s="20" t="n">
        <v>36526</v>
      </c>
    </row>
    <row r="87">
      <c r="A87" s="18" t="inlineStr">
        <is>
          <t>비유동자산 합계</t>
        </is>
      </c>
      <c r="C87" s="20" t="n">
        <v>571711</v>
      </c>
      <c r="G87" s="20" t="n">
        <v>644463</v>
      </c>
      <c r="H87" s="20" t="n">
        <v>371730</v>
      </c>
      <c r="I87" s="20" t="n">
        <v>476457</v>
      </c>
      <c r="J87" s="20" t="n">
        <v>533130</v>
      </c>
      <c r="K87" s="20" t="n">
        <v>571711</v>
      </c>
      <c r="L87" s="20" t="n">
        <v>644463</v>
      </c>
    </row>
    <row r="88">
      <c r="A88" s="18" t="inlineStr">
        <is>
          <t>자산 합계</t>
        </is>
      </c>
      <c r="C88" s="20" t="n">
        <v>1321920</v>
      </c>
      <c r="G88" s="20" t="n">
        <v>1441757</v>
      </c>
      <c r="H88" s="20" t="n">
        <v>1094469</v>
      </c>
      <c r="I88" s="20" t="n">
        <v>1153647</v>
      </c>
      <c r="J88" s="20" t="n">
        <v>1251087</v>
      </c>
      <c r="K88" s="20" t="n">
        <v>1321920</v>
      </c>
      <c r="L88" s="20" t="n">
        <v>1441757</v>
      </c>
    </row>
    <row r="89">
      <c r="A89" s="18" t="inlineStr">
        <is>
          <t>매입채무 및 기타채무</t>
        </is>
      </c>
      <c r="C89" s="20" t="n">
        <v>100508</v>
      </c>
      <c r="G89" s="20" t="n">
        <v>103605</v>
      </c>
      <c r="H89" s="20" t="n">
        <v>102798</v>
      </c>
      <c r="I89" s="20" t="n">
        <v>91834</v>
      </c>
      <c r="J89" s="20" t="n">
        <v>98965</v>
      </c>
      <c r="K89" s="20" t="n">
        <v>100508</v>
      </c>
      <c r="L89" s="20" t="n">
        <v>103605</v>
      </c>
    </row>
    <row r="90">
      <c r="A90" s="18" t="inlineStr">
        <is>
          <t>차입금</t>
        </is>
      </c>
      <c r="C90" s="20" t="n">
        <v>455</v>
      </c>
      <c r="G90" s="20" t="n">
        <v>0</v>
      </c>
      <c r="H90" s="20" t="n">
        <v>241</v>
      </c>
      <c r="I90" s="20" t="n">
        <v>272</v>
      </c>
      <c r="J90" s="20" t="n">
        <v>345</v>
      </c>
      <c r="K90" s="20" t="n">
        <v>455</v>
      </c>
      <c r="L90" s="20" t="n">
        <v>0</v>
      </c>
    </row>
    <row r="91">
      <c r="A91" s="18" t="inlineStr">
        <is>
          <t>미지급법인세 등</t>
        </is>
      </c>
      <c r="C91" s="20" t="n">
        <v>28183</v>
      </c>
      <c r="G91" s="20" t="n">
        <v>17932</v>
      </c>
      <c r="H91" s="20" t="n">
        <v>18138</v>
      </c>
      <c r="I91" s="20" t="n">
        <v>18488</v>
      </c>
      <c r="J91" s="20" t="n">
        <v>13402</v>
      </c>
      <c r="K91" s="20" t="n">
        <v>28183</v>
      </c>
      <c r="L91" s="20" t="n">
        <v>17932</v>
      </c>
    </row>
    <row r="92">
      <c r="A92" s="18" t="inlineStr">
        <is>
          <t>기타금융부채</t>
        </is>
      </c>
      <c r="C92" s="20" t="n">
        <v>36102</v>
      </c>
      <c r="G92" s="20" t="n">
        <v>39828</v>
      </c>
      <c r="H92" s="20" t="n">
        <v>19979</v>
      </c>
      <c r="I92" s="20" t="n">
        <v>22162</v>
      </c>
      <c r="J92" s="20" t="n">
        <v>38396</v>
      </c>
      <c r="K92" s="20" t="n">
        <v>36102</v>
      </c>
      <c r="L92" s="20" t="n">
        <v>39828</v>
      </c>
    </row>
    <row r="93">
      <c r="A93" s="18" t="inlineStr">
        <is>
          <t>기타유동부채</t>
        </is>
      </c>
      <c r="C93" s="20" t="n">
        <v>56485</v>
      </c>
      <c r="G93" s="20" t="n">
        <v>64604</v>
      </c>
      <c r="H93" s="20" t="n">
        <v>67330</v>
      </c>
      <c r="I93" s="20" t="n">
        <v>54053</v>
      </c>
      <c r="J93" s="20" t="n">
        <v>55746</v>
      </c>
      <c r="K93" s="20" t="n">
        <v>56485</v>
      </c>
      <c r="L93" s="20" t="n">
        <v>64604</v>
      </c>
    </row>
    <row r="94">
      <c r="A94" s="18" t="inlineStr">
        <is>
          <t>소계</t>
        </is>
      </c>
      <c r="H94" s="20" t="n">
        <v>208489</v>
      </c>
      <c r="I94" s="20" t="n">
        <v>186811</v>
      </c>
      <c r="J94" s="20" t="n">
        <v>206856</v>
      </c>
    </row>
    <row r="95">
      <c r="A95" s="18" t="inlineStr">
        <is>
          <t>매각예정 자산 직접 관련 부채</t>
        </is>
      </c>
      <c r="H95" s="20" t="n">
        <v>0</v>
      </c>
      <c r="I95" s="20" t="n">
        <v>1436</v>
      </c>
      <c r="J95" s="20" t="n">
        <v>0</v>
      </c>
    </row>
    <row r="96">
      <c r="A96" s="18" t="inlineStr">
        <is>
          <t>유동부채 합계</t>
        </is>
      </c>
      <c r="C96" s="20" t="n">
        <v>221735</v>
      </c>
      <c r="G96" s="20" t="n">
        <v>225970</v>
      </c>
      <c r="H96" s="20" t="n">
        <v>208489</v>
      </c>
      <c r="I96" s="20" t="n">
        <v>188248</v>
      </c>
      <c r="J96" s="20" t="n">
        <v>206856</v>
      </c>
      <c r="K96" s="20" t="n">
        <v>221735</v>
      </c>
      <c r="L96" s="20" t="n">
        <v>225970</v>
      </c>
    </row>
    <row r="97">
      <c r="A97" s="18" t="inlineStr">
        <is>
          <t>기타금융부채</t>
        </is>
      </c>
      <c r="C97" s="20" t="n">
        <v>20160</v>
      </c>
      <c r="G97" s="20" t="n">
        <v>21711</v>
      </c>
      <c r="H97" s="20" t="n">
        <v>16941</v>
      </c>
      <c r="I97" s="20" t="n">
        <v>15729</v>
      </c>
      <c r="J97" s="20" t="n">
        <v>20843</v>
      </c>
      <c r="K97" s="20" t="n">
        <v>20160</v>
      </c>
      <c r="L97" s="20" t="n">
        <v>21711</v>
      </c>
    </row>
    <row r="98">
      <c r="A98" s="18" t="inlineStr">
        <is>
          <t>확정급여부채</t>
        </is>
      </c>
      <c r="C98" s="20" t="n">
        <v>28991</v>
      </c>
      <c r="G98" s="20" t="n">
        <v>29809</v>
      </c>
      <c r="H98" s="20" t="n">
        <v>44125</v>
      </c>
      <c r="I98" s="20" t="n">
        <v>40015</v>
      </c>
      <c r="J98" s="20" t="n">
        <v>33130</v>
      </c>
      <c r="K98" s="20" t="n">
        <v>28991</v>
      </c>
      <c r="L98" s="20" t="n">
        <v>29809</v>
      </c>
    </row>
    <row r="99">
      <c r="A99" s="18" t="inlineStr">
        <is>
          <t>이연법인세부채</t>
        </is>
      </c>
      <c r="C99" s="20" t="n">
        <v>3856</v>
      </c>
      <c r="G99" s="20" t="n">
        <v>11780</v>
      </c>
      <c r="H99" s="20" t="n">
        <v>326</v>
      </c>
      <c r="I99" s="20" t="n">
        <v>4173</v>
      </c>
      <c r="J99" s="20" t="n">
        <v>3427</v>
      </c>
      <c r="K99" s="20" t="n">
        <v>3856</v>
      </c>
      <c r="L99" s="20" t="n">
        <v>11780</v>
      </c>
    </row>
    <row r="100">
      <c r="A100" s="18" t="inlineStr">
        <is>
          <t>기타비유동부채</t>
        </is>
      </c>
      <c r="C100" s="20" t="n">
        <v>2062</v>
      </c>
      <c r="G100" s="20" t="n">
        <v>3381</v>
      </c>
      <c r="H100" s="20" t="n">
        <v>2480</v>
      </c>
      <c r="I100" s="20" t="n">
        <v>2286</v>
      </c>
      <c r="J100" s="20" t="n">
        <v>1779</v>
      </c>
      <c r="K100" s="20" t="n">
        <v>2062</v>
      </c>
      <c r="L100" s="20" t="n">
        <v>3381</v>
      </c>
    </row>
    <row r="101">
      <c r="A101" s="18" t="inlineStr">
        <is>
          <t>비유동부채 합계</t>
        </is>
      </c>
      <c r="C101" s="20" t="n">
        <v>55070</v>
      </c>
      <c r="G101" s="20" t="n">
        <v>66683</v>
      </c>
      <c r="H101" s="20" t="n">
        <v>63873</v>
      </c>
      <c r="I101" s="20" t="n">
        <v>62204</v>
      </c>
      <c r="J101" s="20" t="n">
        <v>59182</v>
      </c>
      <c r="K101" s="20" t="n">
        <v>55070</v>
      </c>
      <c r="L101" s="20" t="n">
        <v>66683</v>
      </c>
    </row>
    <row r="102">
      <c r="A102" s="18" t="inlineStr">
        <is>
          <t>부채 합계</t>
        </is>
      </c>
      <c r="C102" s="20" t="n">
        <v>276806</v>
      </c>
      <c r="G102" s="20" t="n">
        <v>292653</v>
      </c>
      <c r="H102" s="20" t="n">
        <v>272363</v>
      </c>
      <c r="I102" s="20" t="n">
        <v>250452</v>
      </c>
      <c r="J102" s="20" t="n">
        <v>266038</v>
      </c>
      <c r="K102" s="20" t="n">
        <v>276806</v>
      </c>
      <c r="L102" s="20" t="n">
        <v>292653</v>
      </c>
    </row>
    <row r="103">
      <c r="A103" s="18" t="inlineStr">
        <is>
          <t>자본금</t>
        </is>
      </c>
      <c r="C103" s="20" t="n">
        <v>26783</v>
      </c>
      <c r="G103" s="20" t="n">
        <v>26783</v>
      </c>
      <c r="H103" s="20" t="n">
        <v>26783</v>
      </c>
      <c r="I103" s="20" t="n">
        <v>26783</v>
      </c>
      <c r="J103" s="20" t="n">
        <v>26783</v>
      </c>
      <c r="K103" s="20" t="n">
        <v>26783</v>
      </c>
      <c r="L103" s="20" t="n">
        <v>26783</v>
      </c>
    </row>
    <row r="104">
      <c r="A104" s="18" t="inlineStr">
        <is>
          <t>자본잉여금</t>
        </is>
      </c>
      <c r="C104" s="20" t="n">
        <v>49934</v>
      </c>
      <c r="G104" s="20" t="n">
        <v>49934</v>
      </c>
      <c r="H104" s="20" t="n">
        <v>49992</v>
      </c>
      <c r="I104" s="20" t="n">
        <v>50047</v>
      </c>
      <c r="J104" s="20" t="n">
        <v>49928</v>
      </c>
      <c r="K104" s="20" t="n">
        <v>49934</v>
      </c>
      <c r="L104" s="20" t="n">
        <v>49934</v>
      </c>
    </row>
    <row r="105">
      <c r="A105" s="18" t="inlineStr">
        <is>
          <t>이익잉여금</t>
        </is>
      </c>
      <c r="C105" s="20" t="n">
        <v>890040</v>
      </c>
      <c r="G105" s="20" t="n">
        <v>912008</v>
      </c>
      <c r="H105" s="20" t="n">
        <v>705910</v>
      </c>
      <c r="I105" s="20" t="n">
        <v>786269</v>
      </c>
      <c r="J105" s="20" t="n">
        <v>808062</v>
      </c>
      <c r="K105" s="20" t="n">
        <v>890040</v>
      </c>
      <c r="L105" s="20" t="n">
        <v>912008</v>
      </c>
    </row>
    <row r="106">
      <c r="A106" s="18" t="inlineStr">
        <is>
          <t>자기주식</t>
        </is>
      </c>
      <c r="C106" s="20" t="n">
        <v>-31799</v>
      </c>
      <c r="G106" s="20" t="n">
        <v>-13849</v>
      </c>
      <c r="H106" s="20" t="n">
        <v>-9771</v>
      </c>
      <c r="I106" s="20" t="n">
        <v>-27631</v>
      </c>
      <c r="J106" s="20" t="n">
        <v>-23298</v>
      </c>
      <c r="K106" s="20" t="n">
        <v>-31799</v>
      </c>
      <c r="L106" s="20" t="n">
        <v>-13849</v>
      </c>
    </row>
    <row r="107">
      <c r="A107" s="18" t="inlineStr">
        <is>
          <t>기타자본구성요소</t>
        </is>
      </c>
      <c r="C107" s="20" t="n">
        <v>109124</v>
      </c>
      <c r="G107" s="20" t="n">
        <v>173150</v>
      </c>
      <c r="H107" s="20" t="n">
        <v>48276</v>
      </c>
      <c r="I107" s="20" t="n">
        <v>66741</v>
      </c>
      <c r="J107" s="20" t="n">
        <v>122544</v>
      </c>
      <c r="K107" s="20" t="n">
        <v>109124</v>
      </c>
      <c r="L107" s="20" t="n">
        <v>173150</v>
      </c>
    </row>
    <row r="108">
      <c r="A108" s="18" t="inlineStr">
        <is>
          <t>지배기업 소유주 귀속 지분 합계</t>
        </is>
      </c>
      <c r="C108" s="20" t="n">
        <v>1044083</v>
      </c>
      <c r="G108" s="20" t="n">
        <v>1148027</v>
      </c>
      <c r="H108" s="20" t="n">
        <v>821192</v>
      </c>
      <c r="I108" s="20" t="n">
        <v>902211</v>
      </c>
      <c r="J108" s="20" t="n">
        <v>984020</v>
      </c>
      <c r="K108" s="20" t="n">
        <v>1044083</v>
      </c>
      <c r="L108" s="20" t="n">
        <v>1148027</v>
      </c>
    </row>
    <row r="109">
      <c r="A109" s="18" t="inlineStr">
        <is>
          <t>비지배지분</t>
        </is>
      </c>
      <c r="C109" s="20" t="n">
        <v>1031</v>
      </c>
      <c r="G109" s="20" t="n">
        <v>1075</v>
      </c>
      <c r="H109" s="20" t="n">
        <v>913</v>
      </c>
      <c r="I109" s="20" t="n">
        <v>983</v>
      </c>
      <c r="J109" s="20" t="n">
        <v>1028</v>
      </c>
      <c r="K109" s="20" t="n">
        <v>1031</v>
      </c>
      <c r="L109" s="20" t="n">
        <v>1075</v>
      </c>
    </row>
    <row r="110">
      <c r="A110" s="18" t="inlineStr">
        <is>
          <t>자본 합계</t>
        </is>
      </c>
      <c r="C110" s="20" t="n">
        <v>1045114</v>
      </c>
      <c r="G110" s="20" t="n">
        <v>1149103</v>
      </c>
      <c r="H110" s="20" t="n">
        <v>822105</v>
      </c>
      <c r="I110" s="20" t="n">
        <v>903194</v>
      </c>
      <c r="J110" s="20" t="n">
        <v>985048</v>
      </c>
      <c r="K110" s="20" t="n">
        <v>1045114</v>
      </c>
      <c r="L110" s="20" t="n">
        <v>1149103</v>
      </c>
    </row>
    <row r="111">
      <c r="A111" s="18" t="inlineStr">
        <is>
          <t>부채및자본 합계</t>
        </is>
      </c>
      <c r="C111" s="20" t="n">
        <v>1321920</v>
      </c>
      <c r="G111" s="20" t="n">
        <v>1441757</v>
      </c>
      <c r="H111" s="20" t="n">
        <v>1094469</v>
      </c>
      <c r="I111" s="20" t="n">
        <v>1153647</v>
      </c>
      <c r="J111" s="20" t="n">
        <v>1251087</v>
      </c>
      <c r="K111" s="20" t="n">
        <v>1321920</v>
      </c>
      <c r="L111" s="20" t="n">
        <v>1441757</v>
      </c>
    </row>
  </sheetData>
  <conditionalFormatting sqref="C43:L43">
    <cfRule type="expression" priority="1" dxfId="0">
      <formula>AND(ISNUMBER(C43),C43&gt;1.0)</formula>
    </cfRule>
  </conditionalFormatting>
  <conditionalFormatting sqref="C44:L44">
    <cfRule type="expression" priority="2" dxfId="0">
      <formula>AND(ISNUMBER(C44),C44&gt;0.5)</formula>
    </cfRule>
  </conditionalFormatting>
  <conditionalFormatting sqref="C45:L45">
    <cfRule type="expression" priority="3" dxfId="0">
      <formula>AND(ISNUMBER(C45),C45&lt;0.5)</formula>
    </cfRule>
  </conditionalFormatting>
  <conditionalFormatting sqref="C46:L46">
    <cfRule type="expression" priority="4" dxfId="0">
      <formula>AND(ISNUMBER(C46),C46&lt;1.5)</formula>
    </cfRule>
  </conditionalFormatting>
  <conditionalFormatting sqref="C47:L47">
    <cfRule type="expression" priority="5" dxfId="0">
      <formula>AND(ISNUMBER(C47),C47&lt;1.0)</formula>
    </cfRule>
  </conditionalFormatting>
  <conditionalFormatting sqref="C48:L48">
    <cfRule type="expression" priority="6" dxfId="0">
      <formula>AND(ISNUMBER(C48),C48&lt;5)</formula>
    </cfRule>
  </conditionalFormatting>
  <conditionalFormatting sqref="C49:L49">
    <cfRule type="expression" priority="7" dxfId="0">
      <formula>AND(ISNUMBER(C49),C49&gt;4)</formula>
    </cfRule>
  </conditionalFormatting>
  <conditionalFormatting sqref="C51:L51">
    <cfRule type="expression" priority="8" dxfId="0">
      <formula>AND(ISNUMBER(C51),C51&lt;0.15)</formula>
    </cfRule>
  </conditionalFormatting>
  <conditionalFormatting sqref="C52:L52">
    <cfRule type="expression" priority="9" dxfId="0">
      <formula>AND(ISNUMBER(C52),C52&lt;0.05)</formula>
    </cfRule>
  </conditionalFormatting>
  <conditionalFormatting sqref="C53:L53">
    <cfRule type="expression" priority="10" dxfId="0">
      <formula>AND(ISNUMBER(C53),C53&lt;0.1)</formula>
    </cfRule>
  </conditionalFormatting>
  <conditionalFormatting sqref="C54:L54">
    <cfRule type="expression" priority="11" dxfId="0">
      <formula>AND(ISNUMBER(C54),C54&lt;0.4)</formula>
    </cfRule>
  </conditionalFormatting>
  <conditionalFormatting sqref="C55:L55">
    <cfRule type="expression" priority="12" dxfId="0">
      <formula>AND(ISNUMBER(C55),C55&lt;0.15)</formula>
    </cfRule>
  </conditionalFormatting>
  <conditionalFormatting sqref="C56:L56">
    <cfRule type="expression" priority="13" dxfId="0">
      <formula>AND(ISNUMBER(C56),C56&lt;0.1)</formula>
    </cfRule>
  </conditionalFormatting>
  <conditionalFormatting sqref="C64:L64">
    <cfRule type="expression" priority="14" dxfId="0">
      <formula>AND(ISNUMBER(C64),C64&lt;1.0)</formula>
    </cfRule>
  </conditionalFormatting>
  <conditionalFormatting sqref="C65:L65">
    <cfRule type="expression" priority="15" dxfId="0">
      <formula>AND(ISNUMBER(C65),C65&lt;0.05)</formula>
    </cfRule>
  </conditionalFormatting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60" customWidth="1" min="3" max="3"/>
  </cols>
  <sheetData>
    <row r="1">
      <c r="A1" s="49" t="inlineStr">
        <is>
          <t>출처 · 쓴 결산단신</t>
        </is>
      </c>
    </row>
    <row r="3">
      <c r="A3" s="50" t="inlineStr">
        <is>
          <t>공시일</t>
        </is>
      </c>
      <c r="B3" s="50" t="inlineStr">
        <is>
          <t>문서</t>
        </is>
      </c>
      <c r="C3" s="50" t="inlineStr">
        <is>
          <t>PDF</t>
        </is>
      </c>
    </row>
    <row r="4">
      <c r="A4" t="inlineStr">
        <is>
          <t>2026-04-27</t>
        </is>
      </c>
      <c r="B4" t="inlineStr">
        <is>
          <t>2026년 3월 결산기 연간 결산단신</t>
        </is>
      </c>
      <c r="C4" t="inlineStr">
        <is>
          <t>https://www2.jpx.co.jp/disc/69880/140120260424510818.pdf</t>
        </is>
      </c>
    </row>
    <row r="5">
      <c r="A5" t="inlineStr">
        <is>
          <t>2025-04-25</t>
        </is>
      </c>
      <c r="B5" t="inlineStr">
        <is>
          <t>2025년 3월 결산기 연간 결산단신</t>
        </is>
      </c>
      <c r="C5" t="inlineStr">
        <is>
          <t>https://www2.jpx.co.jp/disc/69880/140120250424522909.pdf</t>
        </is>
      </c>
    </row>
    <row r="6">
      <c r="A6" t="inlineStr">
        <is>
          <t>2024-04-26</t>
        </is>
      </c>
      <c r="B6" t="inlineStr">
        <is>
          <t>2024년 3월 결산기 연간 결산단신</t>
        </is>
      </c>
      <c r="C6" t="inlineStr">
        <is>
          <t>https://www2.jpx.co.jp/disc/69880/140120240425577442.pdf</t>
        </is>
      </c>
    </row>
    <row r="7">
      <c r="A7" t="inlineStr">
        <is>
          <t>2023-04-26</t>
        </is>
      </c>
      <c r="B7" t="inlineStr">
        <is>
          <t>2023년 3월 결산기 연간 결산단신</t>
        </is>
      </c>
      <c r="C7" t="inlineStr">
        <is>
          <t>https://www2.jpx.co.jp/disc/69880/140120230425552700.pdf</t>
        </is>
      </c>
    </row>
    <row r="8">
      <c r="A8" t="inlineStr">
        <is>
          <t>2022-04-26</t>
        </is>
      </c>
      <c r="B8" t="inlineStr">
        <is>
          <t>2022년 3월 결산기 연간 결산단신</t>
        </is>
      </c>
      <c r="C8" t="inlineStr">
        <is>
          <t>https://www2.jpx.co.jp/disc/69880/140120220425527123.pdf</t>
        </is>
      </c>
    </row>
    <row r="9">
      <c r="A9" t="inlineStr">
        <is>
          <t>2021-04-26</t>
        </is>
      </c>
      <c r="B9" t="inlineStr">
        <is>
          <t>2021년 3월 결산기 연간 결산단신</t>
        </is>
      </c>
      <c r="C9" t="inlineStr">
        <is>
          <t>https://www2.jpx.co.jp/disc/69880/140120210423499434.pdf</t>
        </is>
      </c>
    </row>
    <row r="10">
      <c r="A10" t="inlineStr">
        <is>
          <t>2020-04-27</t>
        </is>
      </c>
      <c r="B10" t="inlineStr">
        <is>
          <t>2020년 3월 결산기 연간 결산단신</t>
        </is>
      </c>
      <c r="C10" t="inlineStr">
        <is>
          <t>https://www2.jpx.co.jp/disc/69880/140120200423498532.pdf</t>
        </is>
      </c>
    </row>
    <row r="11">
      <c r="A11" t="inlineStr">
        <is>
          <t>2019-04-26</t>
        </is>
      </c>
      <c r="B11" t="inlineStr">
        <is>
          <t>2019년 3월 결산기 연간 결산단신</t>
        </is>
      </c>
      <c r="C11" t="inlineStr">
        <is>
          <t>https://www2.jpx.co.jp/disc/69880/140120190422408361.pdf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2026-10-25T09:27:21Z</dcterms:created>
  <dcterms:modified xmlns:dcterms="http://purl.org/dc/terms/" xmlns:xsi="http://www.w3.org/2001/XMLSchema-instance" xsi:type="dcterms:W3CDTF">2026-10-25T09:27:21Z</dcterms:modified>
</cp:coreProperties>
</file>