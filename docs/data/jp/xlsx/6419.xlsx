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6419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10028.999</v>
      </c>
      <c r="D4" s="12" t="n">
        <v>9196.508</v>
      </c>
      <c r="E4" s="12" t="n">
        <v>13563.129</v>
      </c>
      <c r="F4" s="12" t="n">
        <v>11989.377</v>
      </c>
      <c r="G4" s="12" t="n">
        <v>9211.923000000001</v>
      </c>
      <c r="H4" s="12" t="n">
        <v>7486.342</v>
      </c>
      <c r="I4" s="12" t="n">
        <v>8678.239</v>
      </c>
      <c r="J4" s="12" t="n">
        <v>8080.206</v>
      </c>
      <c r="K4" s="12" t="n">
        <v>8452.513999999999</v>
      </c>
      <c r="L4" s="12" t="n">
        <v>7070.198</v>
      </c>
      <c r="M4" s="12" t="n">
        <v>6794.742</v>
      </c>
      <c r="N4" s="12" t="n">
        <v>7693.447</v>
      </c>
      <c r="O4" s="11" t="n">
        <v>14515.846</v>
      </c>
      <c r="P4" s="12" t="n">
        <v>23427.69</v>
      </c>
      <c r="Q4" s="12" t="n">
        <v>24345.651</v>
      </c>
      <c r="R4" s="12" t="n">
        <v>22562.827</v>
      </c>
      <c r="S4" s="12" t="n">
        <v>14760.826</v>
      </c>
      <c r="T4" s="12" t="n">
        <v>15103.447</v>
      </c>
      <c r="U4" s="12" t="n">
        <v>20346.659</v>
      </c>
      <c r="V4" s="12" t="n">
        <v>36575.14</v>
      </c>
      <c r="W4" s="12" t="n">
        <v>42250.771</v>
      </c>
      <c r="X4" s="12" t="n">
        <v>32281.157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Amusement Related Business Reportable Segments</t>
        </is>
      </c>
      <c r="B7" s="10" t="n"/>
      <c r="C7" s="19" t="n">
        <v>8102.217</v>
      </c>
      <c r="D7" s="20" t="n">
        <v>6922.985</v>
      </c>
      <c r="E7" s="20" t="n">
        <v>11727.491</v>
      </c>
      <c r="F7" s="20" t="n">
        <v>9946.52</v>
      </c>
      <c r="G7" s="20" t="n">
        <v>7120.039</v>
      </c>
      <c r="H7" s="20" t="n">
        <v>4717.504</v>
      </c>
      <c r="I7" s="20" t="n">
        <v>6674.015</v>
      </c>
      <c r="J7" s="20" t="n">
        <v>6026.463</v>
      </c>
      <c r="K7" s="20" t="n">
        <v>6088.277</v>
      </c>
      <c r="L7" s="20" t="n">
        <v>4715.022</v>
      </c>
      <c r="M7" s="20" t="n">
        <v>4897.49</v>
      </c>
      <c r="N7" s="20" t="n">
        <v>5388.368</v>
      </c>
      <c r="O7" s="19" t="n"/>
      <c r="P7" s="20" t="n"/>
      <c r="Q7" s="20" t="n"/>
      <c r="R7" s="20" t="n"/>
      <c r="S7" s="20" t="n"/>
      <c r="T7" s="20" t="n"/>
      <c r="U7" s="20" t="n"/>
      <c r="V7" s="20" t="n">
        <v>28611.423</v>
      </c>
      <c r="W7" s="20" t="n">
        <v>33511.554</v>
      </c>
      <c r="X7" s="20" t="n">
        <v>23503.777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Smart Solution System Related Business</t>
        </is>
      </c>
      <c r="B10" s="10" t="n"/>
      <c r="C10" s="19" t="n"/>
      <c r="D10" s="20" t="n">
        <v>1707.346</v>
      </c>
      <c r="E10" s="20" t="n">
        <v>1208.153</v>
      </c>
      <c r="F10" s="20" t="n"/>
      <c r="G10" s="20" t="n"/>
      <c r="H10" s="20" t="n">
        <v>2124.063</v>
      </c>
      <c r="I10" s="20" t="n">
        <v>1324.724</v>
      </c>
      <c r="J10" s="20" t="n"/>
      <c r="K10" s="20" t="n"/>
      <c r="L10" s="20" t="n">
        <v>1695.826</v>
      </c>
      <c r="M10" s="20" t="n">
        <v>1188.959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5712.381</v>
      </c>
      <c r="W10" s="20" t="n">
        <v>6118.427</v>
      </c>
      <c r="X10" s="20" t="n">
        <v>6022.688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Hotel Related Business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2251.335</v>
      </c>
      <c r="W13" s="20" t="n">
        <v>2620.789</v>
      </c>
      <c r="X13" s="20" t="n">
        <v>2754.691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Smart Solution System Related Business Reportable Segments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Hotel Related Business Reportable Segments</t>
        </is>
      </c>
      <c r="B19" s="10" t="n"/>
      <c r="C19" s="19" t="n">
        <v>635.872</v>
      </c>
      <c r="D19" s="20" t="n"/>
      <c r="E19" s="20" t="n">
        <v>627.484</v>
      </c>
      <c r="F19" s="20" t="n">
        <v>600.159</v>
      </c>
      <c r="G19" s="20" t="n">
        <v>748.37</v>
      </c>
      <c r="H19" s="20" t="n"/>
      <c r="I19" s="20" t="n">
        <v>679.499</v>
      </c>
      <c r="J19" s="20" t="n">
        <v>624.556</v>
      </c>
      <c r="K19" s="20" t="n">
        <v>791.2859999999999</v>
      </c>
      <c r="L19" s="20" t="n"/>
      <c r="M19" s="20" t="n">
        <v>708.2910000000001</v>
      </c>
      <c r="N19" s="20" t="n">
        <v>697.59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4638.571</v>
      </c>
      <c r="D23" s="20" t="n">
        <v>4466.654</v>
      </c>
      <c r="E23" s="20" t="n">
        <v>6583.009</v>
      </c>
      <c r="F23" s="20" t="n">
        <v>6757.274</v>
      </c>
      <c r="G23" s="20" t="n">
        <v>4450.915</v>
      </c>
      <c r="H23" s="20" t="n">
        <v>3611.252</v>
      </c>
      <c r="I23" s="20" t="n">
        <v>4120.711</v>
      </c>
      <c r="J23" s="20" t="n">
        <v>3670.372</v>
      </c>
      <c r="K23" s="20" t="n">
        <v>3846.756</v>
      </c>
      <c r="L23" s="20" t="n">
        <v>3442.942</v>
      </c>
      <c r="M23" s="20" t="n">
        <v>3128.343</v>
      </c>
      <c r="N23" s="20" t="n">
        <v>3673.608</v>
      </c>
      <c r="O23" s="19" t="n">
        <v>7680.777</v>
      </c>
      <c r="P23" s="20" t="n">
        <v>11804.166</v>
      </c>
      <c r="Q23" s="20" t="n">
        <v>11820.638</v>
      </c>
      <c r="R23" s="20" t="n">
        <v>10843.765</v>
      </c>
      <c r="S23" s="20" t="n">
        <v>6723.487</v>
      </c>
      <c r="T23" s="20" t="n">
        <v>6639.24</v>
      </c>
      <c r="U23" s="20" t="n">
        <v>9109.139999999999</v>
      </c>
      <c r="V23" s="20" t="n">
        <v>16747.328</v>
      </c>
      <c r="W23" s="20" t="n">
        <v>21402.45</v>
      </c>
      <c r="X23" s="20" t="n">
        <v>15080.781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2035.798</v>
      </c>
      <c r="D29" s="20" t="n">
        <v>2216.704</v>
      </c>
      <c r="E29" s="20" t="n">
        <v>2086.199</v>
      </c>
      <c r="F29" s="20" t="n">
        <v>2129.667</v>
      </c>
      <c r="G29" s="20" t="n">
        <v>2153.48</v>
      </c>
      <c r="H29" s="20" t="n">
        <v>2147.392</v>
      </c>
      <c r="I29" s="20" t="n">
        <v>2131.935</v>
      </c>
      <c r="J29" s="20" t="n">
        <v>2039.444</v>
      </c>
      <c r="K29" s="20" t="n">
        <v>2139.431</v>
      </c>
      <c r="L29" s="20" t="n">
        <v>2094.459</v>
      </c>
      <c r="M29" s="20" t="n">
        <v>2136.627</v>
      </c>
      <c r="N29" s="20" t="n">
        <v>2180.135</v>
      </c>
      <c r="O29" s="19" t="n">
        <v>5735.272</v>
      </c>
      <c r="P29" s="20" t="n">
        <v>8105.84</v>
      </c>
      <c r="Q29" s="20" t="n">
        <v>7833.44</v>
      </c>
      <c r="R29" s="20" t="n">
        <v>7919.073</v>
      </c>
      <c r="S29" s="20" t="n">
        <v>6906.728</v>
      </c>
      <c r="T29" s="20" t="n">
        <v>6885.463</v>
      </c>
      <c r="U29" s="20" t="n">
        <v>7110.844</v>
      </c>
      <c r="V29" s="20" t="n">
        <v>8133.485</v>
      </c>
      <c r="W29" s="20" t="n">
        <v>8516.737999999999</v>
      </c>
      <c r="X29" s="20" t="n">
        <v>8405.269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3354.631</v>
      </c>
      <c r="D31" s="12" t="n">
        <v>2513.15</v>
      </c>
      <c r="E31" s="12" t="n">
        <v>4893.919</v>
      </c>
      <c r="F31" s="12" t="n">
        <v>3102.437</v>
      </c>
      <c r="G31" s="12" t="n">
        <v>2607.527</v>
      </c>
      <c r="H31" s="12" t="n">
        <v>1727.698</v>
      </c>
      <c r="I31" s="12" t="n">
        <v>2425.592</v>
      </c>
      <c r="J31" s="12" t="n">
        <v>2370.391</v>
      </c>
      <c r="K31" s="12" t="n">
        <v>2466.326</v>
      </c>
      <c r="L31" s="12" t="n">
        <v>1532.797</v>
      </c>
      <c r="M31" s="12" t="n">
        <v>1529.771</v>
      </c>
      <c r="N31" s="12" t="n">
        <v>1839.703</v>
      </c>
      <c r="O31" s="11" t="n">
        <v>1099.795</v>
      </c>
      <c r="P31" s="12" t="n">
        <v>3517.683</v>
      </c>
      <c r="Q31" s="12" t="n">
        <v>4691.572</v>
      </c>
      <c r="R31" s="12" t="n">
        <v>3799.989</v>
      </c>
      <c r="S31" s="12" t="n">
        <v>1130.611</v>
      </c>
      <c r="T31" s="12" t="n">
        <v>1578.742</v>
      </c>
      <c r="U31" s="12" t="n">
        <v>4126.673</v>
      </c>
      <c r="V31" s="12" t="n">
        <v>11694.326</v>
      </c>
      <c r="W31" s="12" t="n">
        <v>12331.581</v>
      </c>
      <c r="X31" s="12" t="n">
        <v>8795.106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0</v>
      </c>
      <c r="D47" s="20" t="n">
        <v>15.432</v>
      </c>
      <c r="E47" s="20" t="n">
        <v>27.194</v>
      </c>
      <c r="F47" s="20" t="n">
        <v>0</v>
      </c>
      <c r="G47" s="20" t="n">
        <v>222.755</v>
      </c>
      <c r="H47" s="20" t="n">
        <v>256.144</v>
      </c>
      <c r="I47" s="20" t="n">
        <v>0</v>
      </c>
      <c r="J47" s="20" t="n">
        <v>0</v>
      </c>
      <c r="K47" s="20" t="n">
        <v>83.898</v>
      </c>
      <c r="L47" s="20" t="n">
        <v>99.129</v>
      </c>
      <c r="M47" s="20" t="n"/>
      <c r="N47" s="20" t="n"/>
      <c r="O47" s="19" t="n">
        <v>754.511</v>
      </c>
      <c r="P47" s="20" t="n">
        <v>0</v>
      </c>
      <c r="Q47" s="20" t="n">
        <v>136.257</v>
      </c>
      <c r="R47" s="20" t="n">
        <v>4.566</v>
      </c>
      <c r="S47" s="20" t="n">
        <v>0.8</v>
      </c>
      <c r="T47" s="20" t="n">
        <v>1373.603</v>
      </c>
      <c r="U47" s="20" t="n">
        <v>547.289</v>
      </c>
      <c r="V47" s="20" t="n">
        <v>96.699</v>
      </c>
      <c r="W47" s="20" t="n">
        <v>506.093</v>
      </c>
      <c r="X47" s="20" t="n">
        <v>183.027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17.1</v>
      </c>
      <c r="D49" s="20" t="n">
        <v>0</v>
      </c>
      <c r="E49" s="20" t="n"/>
      <c r="F49" s="20" t="n"/>
      <c r="G49" s="20" t="n">
        <v>14.552</v>
      </c>
      <c r="H49" s="20" t="n">
        <v>19.361</v>
      </c>
      <c r="I49" s="20" t="n"/>
      <c r="J49" s="20" t="n"/>
      <c r="K49" s="20" t="n">
        <v>0</v>
      </c>
      <c r="L49" s="20" t="n">
        <v>20.91</v>
      </c>
      <c r="M49" s="20" t="n"/>
      <c r="N49" s="20" t="n"/>
      <c r="O49" s="19" t="n">
        <v>14.456</v>
      </c>
      <c r="P49" s="20" t="n">
        <v>64.86</v>
      </c>
      <c r="Q49" s="20" t="n">
        <v>3047.488</v>
      </c>
      <c r="R49" s="20" t="n">
        <v>739.207</v>
      </c>
      <c r="S49" s="20" t="n">
        <v>26.431</v>
      </c>
      <c r="T49" s="20" t="n">
        <v>750.386</v>
      </c>
      <c r="U49" s="20" t="n">
        <v>516.8680000000001</v>
      </c>
      <c r="V49" s="20" t="n">
        <v>17.1</v>
      </c>
      <c r="W49" s="20" t="n">
        <v>998.8680000000001</v>
      </c>
      <c r="X49" s="20" t="n">
        <v>20.91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170.795</v>
      </c>
      <c r="D51" s="20" t="n">
        <v>153.673</v>
      </c>
      <c r="E51" s="20" t="n">
        <v>426.942</v>
      </c>
      <c r="F51" s="20" t="n">
        <v>59.113</v>
      </c>
      <c r="G51" s="20" t="n">
        <v>211.704</v>
      </c>
      <c r="H51" s="20" t="n">
        <v>108.193</v>
      </c>
      <c r="I51" s="20" t="n">
        <v>447.724</v>
      </c>
      <c r="J51" s="20" t="n">
        <v>124.381</v>
      </c>
      <c r="K51" s="20" t="n">
        <v>228.128</v>
      </c>
      <c r="L51" s="20" t="n">
        <v>147.794</v>
      </c>
      <c r="M51" s="20" t="n">
        <v>299.74</v>
      </c>
      <c r="N51" s="20" t="n">
        <v>90.318</v>
      </c>
      <c r="O51" s="19" t="n">
        <v>1891.283</v>
      </c>
      <c r="P51" s="20" t="n">
        <v>323.968</v>
      </c>
      <c r="Q51" s="20" t="n">
        <v>419.886</v>
      </c>
      <c r="R51" s="20" t="n">
        <v>499.968</v>
      </c>
      <c r="S51" s="20" t="n">
        <v>561.054</v>
      </c>
      <c r="T51" s="20" t="n">
        <v>924.37</v>
      </c>
      <c r="U51" s="20" t="n">
        <v>617.0309999999999</v>
      </c>
      <c r="V51" s="20" t="n">
        <v>806.554</v>
      </c>
      <c r="W51" s="20" t="n">
        <v>805.952</v>
      </c>
      <c r="X51" s="20" t="n">
        <v>948.027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0</v>
      </c>
      <c r="D53" s="20" t="n">
        <v>0</v>
      </c>
      <c r="E53" s="20" t="n">
        <v>0</v>
      </c>
      <c r="F53" s="20" t="n">
        <v>12.282</v>
      </c>
      <c r="G53" s="20" t="n"/>
      <c r="H53" s="20" t="n"/>
      <c r="I53" s="20" t="n">
        <v>10.993</v>
      </c>
      <c r="J53" s="20" t="n">
        <v>-10.941</v>
      </c>
      <c r="K53" s="20" t="n"/>
      <c r="L53" s="20" t="n"/>
      <c r="M53" s="20" t="n">
        <v>3.832</v>
      </c>
      <c r="N53" s="20" t="n">
        <v>12.173</v>
      </c>
      <c r="O53" s="19" t="n">
        <v>0.052</v>
      </c>
      <c r="P53" s="20" t="n">
        <v>4.919</v>
      </c>
      <c r="Q53" s="20" t="n">
        <v>7.265</v>
      </c>
      <c r="R53" s="20" t="n">
        <v>13.937</v>
      </c>
      <c r="S53" s="20" t="n">
        <v>158.268</v>
      </c>
      <c r="T53" s="20" t="n">
        <v>0.402</v>
      </c>
      <c r="U53" s="20" t="n">
        <v>13.407</v>
      </c>
      <c r="V53" s="20" t="n">
        <v>0</v>
      </c>
      <c r="W53" s="20" t="n">
        <v>50.815</v>
      </c>
      <c r="X53" s="20" t="n">
        <v>49.595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3508.325</v>
      </c>
      <c r="D55" s="12" t="n">
        <v>2682.256</v>
      </c>
      <c r="E55" s="12" t="n">
        <v>5348.057</v>
      </c>
      <c r="F55" s="12" t="n">
        <v>2184.311</v>
      </c>
      <c r="G55" s="12" t="n">
        <v>3039.716</v>
      </c>
      <c r="H55" s="12" t="n">
        <v>2021.86</v>
      </c>
      <c r="I55" s="12" t="n">
        <v>2862.323</v>
      </c>
      <c r="J55" s="12" t="n">
        <v>2505.712</v>
      </c>
      <c r="K55" s="12" t="n">
        <v>2778.406</v>
      </c>
      <c r="L55" s="12" t="n">
        <v>1709.215</v>
      </c>
      <c r="M55" s="12" t="n">
        <v>1825.678</v>
      </c>
      <c r="N55" s="12" t="n">
        <v>2262.348</v>
      </c>
      <c r="O55" s="11" t="n">
        <v>3745.537</v>
      </c>
      <c r="P55" s="12" t="n">
        <v>3771.872</v>
      </c>
      <c r="Q55" s="12" t="n">
        <v>2192.963</v>
      </c>
      <c r="R55" s="12" t="n">
        <v>3551.379</v>
      </c>
      <c r="S55" s="12" t="n">
        <v>1507.766</v>
      </c>
      <c r="T55" s="12" t="n">
        <v>3125.928</v>
      </c>
      <c r="U55" s="12" t="n">
        <v>4760.718</v>
      </c>
      <c r="V55" s="12" t="n">
        <v>12580.481</v>
      </c>
      <c r="W55" s="12" t="n">
        <v>12593.944</v>
      </c>
      <c r="X55" s="12" t="n">
        <v>9855.656000000001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1138.578</v>
      </c>
      <c r="D57" s="20" t="n">
        <v>822.194</v>
      </c>
      <c r="E57" s="20" t="n">
        <v>1649.65</v>
      </c>
      <c r="F57" s="20" t="n">
        <v>758.169</v>
      </c>
      <c r="G57" s="20" t="n">
        <v>965.925</v>
      </c>
      <c r="H57" s="20" t="n">
        <v>503.923</v>
      </c>
      <c r="I57" s="20" t="n">
        <v>910.037</v>
      </c>
      <c r="J57" s="20" t="n">
        <v>818.5940000000001</v>
      </c>
      <c r="K57" s="20" t="n">
        <v>878.617</v>
      </c>
      <c r="L57" s="20" t="n">
        <v>607.965</v>
      </c>
      <c r="M57" s="20" t="n">
        <v>559.343</v>
      </c>
      <c r="N57" s="20" t="n">
        <v>694.197</v>
      </c>
      <c r="O57" s="19" t="n">
        <v>718.871</v>
      </c>
      <c r="P57" s="20" t="n">
        <v>1163.39</v>
      </c>
      <c r="Q57" s="20" t="n">
        <v>1098.022</v>
      </c>
      <c r="R57" s="20" t="n">
        <v>1250.387</v>
      </c>
      <c r="S57" s="20" t="n">
        <v>700.75</v>
      </c>
      <c r="T57" s="20" t="n">
        <v>1270.806</v>
      </c>
      <c r="U57" s="20" t="n">
        <v>1615.87</v>
      </c>
      <c r="V57" s="20" t="n">
        <v>3994.495</v>
      </c>
      <c r="W57" s="20" t="n">
        <v>3877.667</v>
      </c>
      <c r="X57" s="20" t="n">
        <v>3215.213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2369.746</v>
      </c>
      <c r="D59" s="12" t="n">
        <v>1860.063</v>
      </c>
      <c r="E59" s="12" t="n">
        <v>3698.406</v>
      </c>
      <c r="F59" s="12" t="n">
        <v>1426.143</v>
      </c>
      <c r="G59" s="12" t="n">
        <v>2073.791</v>
      </c>
      <c r="H59" s="12" t="n">
        <v>1517.937</v>
      </c>
      <c r="I59" s="12" t="n">
        <v>1952.286</v>
      </c>
      <c r="J59" s="12" t="n">
        <v>1687.118</v>
      </c>
      <c r="K59" s="12" t="n">
        <v>1899.789</v>
      </c>
      <c r="L59" s="12" t="n">
        <v>1101.249</v>
      </c>
      <c r="M59" s="12" t="n">
        <v>1266.335</v>
      </c>
      <c r="N59" s="12" t="n">
        <v>1568.15</v>
      </c>
      <c r="O59" s="11" t="n">
        <v>3026.665</v>
      </c>
      <c r="P59" s="12" t="n">
        <v>2608.482</v>
      </c>
      <c r="Q59" s="12" t="n">
        <v>1094.94</v>
      </c>
      <c r="R59" s="12" t="n">
        <v>2300.991</v>
      </c>
      <c r="S59" s="12" t="n">
        <v>807.016</v>
      </c>
      <c r="T59" s="12" t="n">
        <v>1855.121</v>
      </c>
      <c r="U59" s="12" t="n">
        <v>3144.848</v>
      </c>
      <c r="V59" s="12" t="n">
        <v>8585.986000000001</v>
      </c>
      <c r="W59" s="12" t="n">
        <v>8716.277</v>
      </c>
      <c r="X59" s="12" t="n">
        <v>6640.442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2369.746</v>
      </c>
      <c r="D61" s="12" t="n">
        <v>1860.063</v>
      </c>
      <c r="E61" s="12" t="n">
        <v>3698.406</v>
      </c>
      <c r="F61" s="12" t="n">
        <v>1426.143</v>
      </c>
      <c r="G61" s="12" t="n">
        <v>2073.791</v>
      </c>
      <c r="H61" s="12" t="n">
        <v>1517.937</v>
      </c>
      <c r="I61" s="12" t="n">
        <v>1952.286</v>
      </c>
      <c r="J61" s="12" t="n">
        <v>1687.118</v>
      </c>
      <c r="K61" s="12" t="n">
        <v>1899.789</v>
      </c>
      <c r="L61" s="12" t="n">
        <v>1101.249</v>
      </c>
      <c r="M61" s="12" t="n">
        <v>1266.335</v>
      </c>
      <c r="N61" s="12" t="n">
        <v>1568.15</v>
      </c>
      <c r="O61" s="11" t="n">
        <v>3618.636</v>
      </c>
      <c r="P61" s="12" t="n">
        <v>2608.482</v>
      </c>
      <c r="Q61" s="12" t="n">
        <v>1094.94</v>
      </c>
      <c r="R61" s="12" t="n">
        <v>2300.991</v>
      </c>
      <c r="S61" s="12" t="n">
        <v>807.016</v>
      </c>
      <c r="T61" s="12" t="n">
        <v>1855.121</v>
      </c>
      <c r="U61" s="12" t="n">
        <v>3144.848</v>
      </c>
      <c r="V61" s="12" t="n">
        <v>8585.986000000001</v>
      </c>
      <c r="W61" s="12" t="n">
        <v>8716.277</v>
      </c>
      <c r="X61" s="12" t="n">
        <v>6640.442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2024.3Q</t>
        </is>
      </c>
      <c r="D95" s="5" t="inlineStr">
        <is>
          <t>2024.4Q</t>
        </is>
      </c>
      <c r="E95" s="5" t="inlineStr">
        <is>
          <t>2025.1Q</t>
        </is>
      </c>
      <c r="F95" s="5" t="inlineStr">
        <is>
          <t>2025.2Q</t>
        </is>
      </c>
      <c r="G95" s="5" t="inlineStr">
        <is>
          <t>2025.3Q</t>
        </is>
      </c>
      <c r="H95" s="5" t="inlineStr">
        <is>
          <t>2025.4Q</t>
        </is>
      </c>
      <c r="I95" s="5" t="inlineStr">
        <is>
          <t>2026.1Q</t>
        </is>
      </c>
      <c r="J95" s="5" t="inlineStr">
        <is>
          <t>2026.2Q</t>
        </is>
      </c>
      <c r="K95" s="5" t="inlineStr">
        <is>
          <t>2026.3Q</t>
        </is>
      </c>
      <c r="L95" s="5" t="inlineStr">
        <is>
          <t>2026.4Q</t>
        </is>
      </c>
      <c r="M95" s="5" t="inlineStr">
        <is>
          <t>2027.1Q</t>
        </is>
      </c>
      <c r="N95" s="5" t="inlineStr">
        <is>
          <t>2027.2Q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10028.999</v>
      </c>
      <c r="D96" s="12" t="n">
        <v>9196.508</v>
      </c>
      <c r="E96" s="12" t="n">
        <v>13563.129</v>
      </c>
      <c r="F96" s="12" t="n">
        <v>11989.377</v>
      </c>
      <c r="G96" s="12" t="n">
        <v>9211.923000000001</v>
      </c>
      <c r="H96" s="12" t="n">
        <v>7486.342</v>
      </c>
      <c r="I96" s="12" t="n">
        <v>8678.239</v>
      </c>
      <c r="J96" s="12" t="n">
        <v>8080.206</v>
      </c>
      <c r="K96" s="12" t="n">
        <v>8452.513999999999</v>
      </c>
      <c r="L96" s="12" t="n">
        <v>7070.198</v>
      </c>
      <c r="M96" s="12" t="n">
        <v>6794.742</v>
      </c>
      <c r="N96" s="12" t="n">
        <v>7693.447</v>
      </c>
      <c r="T96" s="12" t="n">
        <v>4060.249</v>
      </c>
      <c r="U96" s="12" t="n">
        <v>6591.301</v>
      </c>
      <c r="V96" s="12" t="n">
        <v>9196.508</v>
      </c>
      <c r="W96" s="12" t="n">
        <v>7486.342</v>
      </c>
      <c r="X96" s="12" t="n">
        <v>7070.198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4638.571</v>
      </c>
      <c r="D98" s="20" t="n">
        <v>4466.654</v>
      </c>
      <c r="E98" s="20" t="n">
        <v>6583.009</v>
      </c>
      <c r="F98" s="20" t="n">
        <v>6757.274</v>
      </c>
      <c r="G98" s="20" t="n">
        <v>4450.915</v>
      </c>
      <c r="H98" s="20" t="n">
        <v>3611.252</v>
      </c>
      <c r="I98" s="20" t="n">
        <v>4120.711</v>
      </c>
      <c r="J98" s="20" t="n">
        <v>3670.372</v>
      </c>
      <c r="K98" s="20" t="n">
        <v>3846.756</v>
      </c>
      <c r="L98" s="20" t="n">
        <v>3442.942</v>
      </c>
      <c r="M98" s="20" t="n">
        <v>3128.343</v>
      </c>
      <c r="N98" s="20" t="n">
        <v>3673.608</v>
      </c>
      <c r="T98" s="20" t="n">
        <v>1861.822</v>
      </c>
      <c r="U98" s="20" t="n">
        <v>3085.751</v>
      </c>
      <c r="V98" s="20" t="n">
        <v>4466.654</v>
      </c>
      <c r="W98" s="20" t="n">
        <v>3611.252</v>
      </c>
      <c r="X98" s="20" t="n">
        <v>3442.942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5390.428</v>
      </c>
      <c r="D100" s="12" t="n">
        <v>4729.855</v>
      </c>
      <c r="E100" s="12" t="n">
        <v>6980.119</v>
      </c>
      <c r="F100" s="12" t="n">
        <v>5232.104</v>
      </c>
      <c r="G100" s="12" t="n">
        <v>4761.007</v>
      </c>
      <c r="H100" s="12" t="n">
        <v>3875.09</v>
      </c>
      <c r="I100" s="12" t="n">
        <v>4557.527</v>
      </c>
      <c r="J100" s="12" t="n">
        <v>4409.835</v>
      </c>
      <c r="K100" s="12" t="n">
        <v>4605.758</v>
      </c>
      <c r="L100" s="12" t="n">
        <v>3627.256</v>
      </c>
      <c r="M100" s="12" t="n">
        <v>3666.399</v>
      </c>
      <c r="N100" s="12" t="n">
        <v>4019.838</v>
      </c>
      <c r="T100" s="12" t="n">
        <v>2198.426</v>
      </c>
      <c r="U100" s="12" t="n">
        <v>3505.549</v>
      </c>
      <c r="V100" s="12" t="n">
        <v>4729.855</v>
      </c>
      <c r="W100" s="12" t="n">
        <v>3875.09</v>
      </c>
      <c r="X100" s="12" t="n">
        <v>3627.256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2035.798</v>
      </c>
      <c r="D102" s="20" t="n">
        <v>2216.704</v>
      </c>
      <c r="E102" s="20" t="n">
        <v>2086.199</v>
      </c>
      <c r="F102" s="20" t="n">
        <v>2129.667</v>
      </c>
      <c r="G102" s="20" t="n">
        <v>2153.48</v>
      </c>
      <c r="H102" s="20" t="n">
        <v>2147.392</v>
      </c>
      <c r="I102" s="20" t="n">
        <v>2131.935</v>
      </c>
      <c r="J102" s="20" t="n">
        <v>2039.444</v>
      </c>
      <c r="K102" s="20" t="n">
        <v>2139.431</v>
      </c>
      <c r="L102" s="20" t="n">
        <v>2094.459</v>
      </c>
      <c r="M102" s="20" t="n">
        <v>2136.627</v>
      </c>
      <c r="N102" s="20" t="n">
        <v>2180.135</v>
      </c>
      <c r="T102" s="20" t="n">
        <v>1921.613</v>
      </c>
      <c r="U102" s="20" t="n">
        <v>1870.543</v>
      </c>
      <c r="V102" s="20" t="n">
        <v>2216.704</v>
      </c>
      <c r="W102" s="20" t="n">
        <v>2147.392</v>
      </c>
      <c r="X102" s="20" t="n">
        <v>2094.459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3354.631</v>
      </c>
      <c r="D104" s="12" t="n">
        <v>2513.15</v>
      </c>
      <c r="E104" s="12" t="n">
        <v>4893.919</v>
      </c>
      <c r="F104" s="12" t="n">
        <v>3102.437</v>
      </c>
      <c r="G104" s="12" t="n">
        <v>2607.527</v>
      </c>
      <c r="H104" s="12" t="n">
        <v>1727.698</v>
      </c>
      <c r="I104" s="12" t="n">
        <v>2425.592</v>
      </c>
      <c r="J104" s="12" t="n">
        <v>2370.391</v>
      </c>
      <c r="K104" s="12" t="n">
        <v>2466.326</v>
      </c>
      <c r="L104" s="12" t="n">
        <v>1532.797</v>
      </c>
      <c r="M104" s="12" t="n">
        <v>1529.771</v>
      </c>
      <c r="N104" s="12" t="n">
        <v>1839.703</v>
      </c>
      <c r="T104" s="12" t="n">
        <v>276.813</v>
      </c>
      <c r="U104" s="12" t="n">
        <v>1635.006</v>
      </c>
      <c r="V104" s="12" t="n">
        <v>2513.15</v>
      </c>
      <c r="W104" s="12" t="n">
        <v>1727.698</v>
      </c>
      <c r="X104" s="12" t="n">
        <v>1532.797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배당금수익</t>
        </is>
      </c>
      <c r="C107" s="20" t="n">
        <v>166.652</v>
      </c>
      <c r="D107" s="20" t="n">
        <v>101.22</v>
      </c>
      <c r="E107" s="20" t="n">
        <v>386.585</v>
      </c>
      <c r="F107" s="20" t="n">
        <v>60.625</v>
      </c>
      <c r="G107" s="20" t="n">
        <v>199.631</v>
      </c>
      <c r="H107" s="20" t="n">
        <v>106.687</v>
      </c>
      <c r="I107" s="20" t="n">
        <v>312.894</v>
      </c>
      <c r="J107" s="20" t="n">
        <v>104.996</v>
      </c>
      <c r="K107" s="20" t="n">
        <v>206.328</v>
      </c>
      <c r="L107" s="20" t="n">
        <v>111.979</v>
      </c>
      <c r="M107" s="20" t="n">
        <v>284.894</v>
      </c>
      <c r="N107" s="20" t="n">
        <v>66.435</v>
      </c>
      <c r="T107" s="20" t="n">
        <v>57.566</v>
      </c>
      <c r="U107" s="20" t="n">
        <v>94.473</v>
      </c>
      <c r="V107" s="20" t="n">
        <v>101.22</v>
      </c>
      <c r="W107" s="20" t="n">
        <v>106.687</v>
      </c>
      <c r="X107" s="20" t="n">
        <v>111.979</v>
      </c>
    </row>
    <row r="108">
      <c r="A108" s="18" t="inlineStr">
        <is>
          <t>투자사업조합 운용 이익</t>
        </is>
      </c>
      <c r="T108" s="20" t="n">
        <v>-9.044</v>
      </c>
      <c r="U108" s="20" t="n">
        <v>0</v>
      </c>
    </row>
    <row r="109">
      <c r="A109" s="18" t="inlineStr">
        <is>
          <t>고용조정 보조금</t>
        </is>
      </c>
      <c r="T109" s="20" t="n">
        <v>7.2</v>
      </c>
      <c r="U109" s="20" t="n">
        <v>0</v>
      </c>
    </row>
    <row r="110">
      <c r="A110" s="18" t="inlineStr">
        <is>
          <t>Cooperation Income NOI</t>
        </is>
      </c>
      <c r="T110" s="20" t="n">
        <v>1.22</v>
      </c>
      <c r="U110" s="20" t="n">
        <v>0</v>
      </c>
    </row>
    <row r="111">
      <c r="A111" s="18" t="inlineStr">
        <is>
          <t>기타</t>
        </is>
      </c>
      <c r="C111" s="20" t="n">
        <v>4.142</v>
      </c>
      <c r="D111" s="20" t="n">
        <v>40.027</v>
      </c>
      <c r="E111" s="20" t="n">
        <v>40.357</v>
      </c>
      <c r="F111" s="20" t="n">
        <v>-1.512</v>
      </c>
      <c r="G111" s="20" t="n">
        <v>12.072</v>
      </c>
      <c r="H111" s="20" t="n">
        <v>1.506</v>
      </c>
      <c r="I111" s="20" t="n">
        <v>134.83</v>
      </c>
      <c r="J111" s="20" t="n">
        <v>19.385</v>
      </c>
      <c r="K111" s="20" t="n">
        <v>21.8</v>
      </c>
      <c r="L111" s="20" t="n">
        <v>35.814</v>
      </c>
      <c r="M111" s="20" t="n">
        <v>14.846</v>
      </c>
      <c r="N111" s="20" t="n">
        <v>23.882</v>
      </c>
      <c r="T111" s="20" t="n">
        <v>94.203</v>
      </c>
      <c r="U111" s="20" t="n">
        <v>-18.692</v>
      </c>
      <c r="V111" s="20" t="n">
        <v>40.027</v>
      </c>
      <c r="W111" s="20" t="n">
        <v>1.506</v>
      </c>
      <c r="X111" s="20" t="n">
        <v>35.814</v>
      </c>
    </row>
    <row r="112">
      <c r="A112" s="18" t="inlineStr">
        <is>
          <t>영업외수익 합계</t>
        </is>
      </c>
      <c r="C112" s="20" t="n">
        <v>170.795</v>
      </c>
      <c r="D112" s="20" t="n">
        <v>153.673</v>
      </c>
      <c r="E112" s="20" t="n">
        <v>426.942</v>
      </c>
      <c r="F112" s="20" t="n">
        <v>59.113</v>
      </c>
      <c r="G112" s="20" t="n">
        <v>211.704</v>
      </c>
      <c r="H112" s="20" t="n">
        <v>108.193</v>
      </c>
      <c r="I112" s="20" t="n">
        <v>447.724</v>
      </c>
      <c r="J112" s="20" t="n">
        <v>124.381</v>
      </c>
      <c r="K112" s="20" t="n">
        <v>228.128</v>
      </c>
      <c r="L112" s="20" t="n">
        <v>147.794</v>
      </c>
      <c r="M112" s="20" t="n">
        <v>299.74</v>
      </c>
      <c r="N112" s="20" t="n">
        <v>90.318</v>
      </c>
      <c r="T112" s="20" t="n">
        <v>89.292</v>
      </c>
      <c r="U112" s="20" t="n">
        <v>107.984</v>
      </c>
      <c r="V112" s="20" t="n">
        <v>153.673</v>
      </c>
      <c r="W112" s="20" t="n">
        <v>108.193</v>
      </c>
      <c r="X112" s="20" t="n">
        <v>147.794</v>
      </c>
    </row>
    <row r="113">
      <c r="A113" s="43" t="inlineStr">
        <is>
          <t>YoY</t>
        </is>
      </c>
      <c r="B113" s="3" t="inlineStr">
        <is>
          <t>전년 같은 분기·전년 대비</t>
        </is>
      </c>
      <c r="G113" s="15">
        <f>IF(OR(G112="",C112=""),"",IF(G112*C112&lt;=0,"",IFERROR(G112/C112-1,"")))</f>
        <v/>
      </c>
      <c r="H113" s="15">
        <f>IF(OR(H112="",D112=""),"",IF(H112*D112&lt;=0,"",IFERROR(H112/D112-1,"")))</f>
        <v/>
      </c>
      <c r="I113" s="15">
        <f>IF(OR(I112="",E112=""),"",IF(I112*E112&lt;=0,"",IFERROR(I112/E112-1,"")))</f>
        <v/>
      </c>
      <c r="J113" s="15">
        <f>IF(OR(J112="",F112=""),"",IF(J112*F112&lt;=0,"",IFERROR(J112/F112-1,"")))</f>
        <v/>
      </c>
      <c r="K113" s="15">
        <f>IF(OR(K112="",G112=""),"",IF(K112*G112&lt;=0,"",IFERROR(K112/G112-1,"")))</f>
        <v/>
      </c>
      <c r="L113" s="15">
        <f>IF(OR(L112="",H112=""),"",IF(L112*H112&lt;=0,"",IFERROR(L112/H112-1,"")))</f>
        <v/>
      </c>
      <c r="M113" s="15">
        <f>IF(OR(M112="",I112=""),"",IF(M112*I112&lt;=0,"",IFERROR(M112/I112-1,"")))</f>
        <v/>
      </c>
      <c r="N113" s="15">
        <f>IF(OR(N112="",J112=""),"",IF(N112*J112&lt;=0,"",IFERROR(N112/J112-1,"")))</f>
        <v/>
      </c>
      <c r="T113" s="15">
        <f>IF(OR(T112="",S112=""),"",IF(T112*S112&lt;=0,"",IFERROR(T112/S112-1,"")))</f>
        <v/>
      </c>
      <c r="U113" s="15">
        <f>IF(OR(U112="",T112=""),"",IF(U112*T112&lt;=0,"",IFERROR(U112/T112-1,"")))</f>
        <v/>
      </c>
      <c r="V113" s="15">
        <f>IF(OR(V112="",U112=""),"",IF(V112*U112&lt;=0,"",IFERROR(V112/U112-1,"")))</f>
        <v/>
      </c>
      <c r="W113" s="15">
        <f>IF(OR(W112="",V112=""),"",IF(W112*V112&lt;=0,"",IFERROR(W112/V112-1,"")))</f>
        <v/>
      </c>
      <c r="X113" s="15">
        <f>IF(OR(X112="",W112=""),"",IF(X112*W112&lt;=0,"",IFERROR(X112/W112-1,"")))</f>
        <v/>
      </c>
    </row>
    <row r="114">
      <c r="A114" s="18" t="inlineStr">
        <is>
          <t>외환차손</t>
        </is>
      </c>
      <c r="E114" s="20" t="n">
        <v>0</v>
      </c>
      <c r="F114" s="20" t="n">
        <v>12.282</v>
      </c>
      <c r="I114" s="20" t="n">
        <v>10.993</v>
      </c>
      <c r="J114" s="20" t="n">
        <v>-10.941</v>
      </c>
      <c r="M114" s="20" t="n">
        <v>0</v>
      </c>
      <c r="N114" s="20" t="n">
        <v>6.793</v>
      </c>
    </row>
    <row r="115">
      <c r="A115" s="18" t="inlineStr">
        <is>
          <t>자기주식 취득비용</t>
        </is>
      </c>
      <c r="C115" s="20" t="n">
        <v>0</v>
      </c>
      <c r="D115" s="20" t="n">
        <v>0</v>
      </c>
      <c r="I115" s="20" t="n">
        <v>0</v>
      </c>
      <c r="J115" s="20" t="n">
        <v>0</v>
      </c>
      <c r="M115" s="20" t="n">
        <v>3.832</v>
      </c>
      <c r="N115" s="20" t="n">
        <v>5.379</v>
      </c>
      <c r="T115" s="20" t="n">
        <v>0.402</v>
      </c>
      <c r="U115" s="20" t="n">
        <v>0</v>
      </c>
      <c r="V115" s="20" t="n">
        <v>0</v>
      </c>
    </row>
    <row r="116">
      <c r="A116" s="18" t="inlineStr">
        <is>
          <t>영업외비용 합계</t>
        </is>
      </c>
      <c r="C116" s="20" t="n">
        <v>0</v>
      </c>
      <c r="D116" s="20" t="n">
        <v>0</v>
      </c>
      <c r="E116" s="20" t="n">
        <v>0</v>
      </c>
      <c r="F116" s="20" t="n">
        <v>12.282</v>
      </c>
      <c r="I116" s="20" t="n">
        <v>10.993</v>
      </c>
      <c r="J116" s="20" t="n">
        <v>-10.941</v>
      </c>
      <c r="M116" s="20" t="n">
        <v>3.832</v>
      </c>
      <c r="N116" s="20" t="n">
        <v>12.173</v>
      </c>
      <c r="T116" s="20" t="n">
        <v>0.402</v>
      </c>
      <c r="U116" s="20" t="n">
        <v>10.058</v>
      </c>
      <c r="V116" s="20" t="n">
        <v>0</v>
      </c>
    </row>
    <row r="117">
      <c r="A117" s="43" t="inlineStr">
        <is>
          <t>YoY</t>
        </is>
      </c>
      <c r="B117" s="3" t="inlineStr">
        <is>
          <t>전년 같은 분기·전년 대비</t>
        </is>
      </c>
      <c r="I117" s="15">
        <f>IF(OR(I116="",E116=""),"",IF(I116*E116&lt;=0,"",IFERROR(I116/E116-1,"")))</f>
        <v/>
      </c>
      <c r="J117" s="15">
        <f>IF(OR(J116="",F116=""),"",IF(J116*F116&lt;=0,"",IFERROR(J116/F116-1,"")))</f>
        <v/>
      </c>
      <c r="M117" s="15">
        <f>IF(OR(M116="",I116=""),"",IF(M116*I116&lt;=0,"",IFERROR(M116/I116-1,"")))</f>
        <v/>
      </c>
      <c r="N117" s="15">
        <f>IF(OR(N116="",J116=""),"",IF(N116*J116&lt;=0,"",IFERROR(N116/J116-1,"")))</f>
        <v/>
      </c>
      <c r="T117" s="15">
        <f>IF(OR(T116="",S116=""),"",IF(T116*S116&lt;=0,"",IFERROR(T116/S116-1,"")))</f>
        <v/>
      </c>
      <c r="U117" s="15">
        <f>IF(OR(U116="",T116=""),"",IF(U116*T116&lt;=0,"",IFERROR(U116/T116-1,"")))</f>
        <v/>
      </c>
      <c r="V117" s="15">
        <f>IF(OR(V116="",U116=""),"",IF(V116*U116&lt;=0,"",IFERROR(V116/U116-1,"")))</f>
        <v/>
      </c>
    </row>
    <row r="118">
      <c r="A118" s="9" t="inlineStr">
        <is>
          <t>경상이익</t>
        </is>
      </c>
      <c r="C118" s="12" t="n">
        <v>3525.425</v>
      </c>
      <c r="D118" s="12" t="n">
        <v>2666.824</v>
      </c>
      <c r="E118" s="12" t="n">
        <v>5320.862</v>
      </c>
      <c r="F118" s="12" t="n">
        <v>3149.267</v>
      </c>
      <c r="G118" s="12" t="n">
        <v>2831.514</v>
      </c>
      <c r="H118" s="12" t="n">
        <v>1785.076</v>
      </c>
      <c r="I118" s="12" t="n">
        <v>2862.323</v>
      </c>
      <c r="J118" s="12" t="n">
        <v>2505.712</v>
      </c>
      <c r="K118" s="12" t="n">
        <v>2694.508</v>
      </c>
      <c r="L118" s="12" t="n">
        <v>1630.995</v>
      </c>
      <c r="M118" s="12" t="n">
        <v>1825.678</v>
      </c>
      <c r="N118" s="12" t="n">
        <v>1917.85</v>
      </c>
      <c r="T118" s="12" t="n">
        <v>365.702</v>
      </c>
      <c r="U118" s="12" t="n">
        <v>1732.931</v>
      </c>
      <c r="V118" s="12" t="n">
        <v>2666.824</v>
      </c>
      <c r="W118" s="12" t="n">
        <v>1785.076</v>
      </c>
      <c r="X118" s="12" t="n">
        <v>1630.995</v>
      </c>
    </row>
    <row r="119">
      <c r="A119" s="43" t="inlineStr">
        <is>
          <t>YoY</t>
        </is>
      </c>
      <c r="B119" s="3" t="inlineStr">
        <is>
          <t>전년 같은 분기·전년 대비</t>
        </is>
      </c>
      <c r="G119" s="15">
        <f>IF(OR(G118="",C118=""),"",IF(C118&lt;=0,"",IFERROR(G118/C118-1,"")))</f>
        <v/>
      </c>
      <c r="H119" s="15">
        <f>IF(OR(H118="",D118=""),"",IF(D118&lt;=0,"",IFERROR(H118/D118-1,"")))</f>
        <v/>
      </c>
      <c r="I119" s="15">
        <f>IF(OR(I118="",E118=""),"",IF(E118&lt;=0,"",IFERROR(I118/E118-1,"")))</f>
        <v/>
      </c>
      <c r="J119" s="15">
        <f>IF(OR(J118="",F118=""),"",IF(F118&lt;=0,"",IFERROR(J118/F118-1,"")))</f>
        <v/>
      </c>
      <c r="K119" s="15">
        <f>IF(OR(K118="",G118=""),"",IF(G118&lt;=0,"",IFERROR(K118/G118-1,"")))</f>
        <v/>
      </c>
      <c r="L119" s="15">
        <f>IF(OR(L118="",H118=""),"",IF(H118&lt;=0,"",IFERROR(L118/H118-1,"")))</f>
        <v/>
      </c>
      <c r="M119" s="15">
        <f>IF(OR(M118="",I118=""),"",IF(I118&lt;=0,"",IFERROR(M118/I118-1,"")))</f>
        <v/>
      </c>
      <c r="N119" s="15">
        <f>IF(OR(N118="",J118=""),"",IF(J118&lt;=0,"",IFERROR(N118/J118-1,"")))</f>
        <v/>
      </c>
      <c r="T119" s="15">
        <f>IF(OR(T118="",S118=""),"",IF(S118&lt;=0,"",IFERROR(T118/S118-1,"")))</f>
        <v/>
      </c>
      <c r="U119" s="15">
        <f>IF(OR(U118="",T118=""),"",IF(T118&lt;=0,"",IFERROR(U118/T118-1,"")))</f>
        <v/>
      </c>
      <c r="V119" s="15">
        <f>IF(OR(V118="",U118=""),"",IF(U118&lt;=0,"",IFERROR(V118/U118-1,"")))</f>
        <v/>
      </c>
      <c r="W119" s="15">
        <f>IF(OR(W118="",V118=""),"",IF(V118&lt;=0,"",IFERROR(W118/V118-1,"")))</f>
        <v/>
      </c>
      <c r="X119" s="15">
        <f>IF(OR(X118="",W118=""),"",IF(W118&lt;=0,"",IFERROR(X118/W118-1,"")))</f>
        <v/>
      </c>
    </row>
    <row r="120">
      <c r="A120" s="18" t="inlineStr">
        <is>
          <t>고정자산 매각이익</t>
        </is>
      </c>
      <c r="C120" s="20" t="n">
        <v>0</v>
      </c>
      <c r="D120" s="20" t="n">
        <v>0</v>
      </c>
      <c r="T120" s="20" t="n">
        <v>0</v>
      </c>
      <c r="U120" s="20" t="n">
        <v>0</v>
      </c>
      <c r="V120" s="20" t="n">
        <v>0</v>
      </c>
    </row>
    <row r="121">
      <c r="A121" s="18" t="inlineStr">
        <is>
          <t>투자유가증권 매각이익</t>
        </is>
      </c>
      <c r="C121" s="20" t="n">
        <v>0</v>
      </c>
      <c r="D121" s="20" t="n">
        <v>15.432</v>
      </c>
      <c r="E121" s="20" t="n">
        <v>27.194</v>
      </c>
      <c r="F121" s="20" t="n">
        <v>0</v>
      </c>
      <c r="G121" s="20" t="n">
        <v>222.755</v>
      </c>
      <c r="H121" s="20" t="n">
        <v>256.144</v>
      </c>
      <c r="I121" s="20" t="n">
        <v>0</v>
      </c>
      <c r="J121" s="20" t="n">
        <v>0</v>
      </c>
      <c r="K121" s="20" t="n">
        <v>83.898</v>
      </c>
      <c r="L121" s="20" t="n">
        <v>99.129</v>
      </c>
      <c r="T121" s="20" t="n">
        <v>218.097</v>
      </c>
      <c r="U121" s="20" t="n">
        <v>274.698</v>
      </c>
      <c r="V121" s="20" t="n">
        <v>15.432</v>
      </c>
      <c r="W121" s="20" t="n">
        <v>256.144</v>
      </c>
      <c r="X121" s="20" t="n">
        <v>99.129</v>
      </c>
    </row>
    <row r="122">
      <c r="A122" s="18" t="inlineStr">
        <is>
          <t>특별이익 합계</t>
        </is>
      </c>
      <c r="C122" s="20" t="n">
        <v>0</v>
      </c>
      <c r="D122" s="20" t="n">
        <v>15.432</v>
      </c>
      <c r="E122" s="20" t="n">
        <v>27.194</v>
      </c>
      <c r="F122" s="20" t="n">
        <v>0</v>
      </c>
      <c r="G122" s="20" t="n">
        <v>222.755</v>
      </c>
      <c r="H122" s="20" t="n">
        <v>256.144</v>
      </c>
      <c r="I122" s="20" t="n">
        <v>0</v>
      </c>
      <c r="J122" s="20" t="n">
        <v>0</v>
      </c>
      <c r="K122" s="20" t="n">
        <v>83.898</v>
      </c>
      <c r="L122" s="20" t="n">
        <v>99.129</v>
      </c>
      <c r="T122" s="20" t="n">
        <v>218.097</v>
      </c>
      <c r="U122" s="20" t="n">
        <v>276.907</v>
      </c>
      <c r="V122" s="20" t="n">
        <v>15.432</v>
      </c>
      <c r="W122" s="20" t="n">
        <v>256.144</v>
      </c>
      <c r="X122" s="20" t="n">
        <v>99.129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I123" s="15">
        <f>IF(OR(I122="",E122=""),"",IF(I122*E122&lt;=0,"",IFERROR(I122/E122-1,"")))</f>
        <v/>
      </c>
      <c r="J123" s="15">
        <f>IF(OR(J122="",F122=""),"",IF(J122*F122&lt;=0,"",IFERROR(J122/F122-1,"")))</f>
        <v/>
      </c>
      <c r="K123" s="15">
        <f>IF(OR(K122="",G122=""),"",IF(K122*G122&lt;=0,"",IFERROR(K122/G122-1,"")))</f>
        <v/>
      </c>
      <c r="L123" s="15">
        <f>IF(OR(L122="",H122=""),"",IF(L122*H122&lt;=0,"",IFERROR(L122/H122-1,"")))</f>
        <v/>
      </c>
      <c r="T123" s="15">
        <f>IF(OR(T122="",S122=""),"",IF(T122*S122&lt;=0,"",IFERROR(T122/S122-1,"")))</f>
        <v/>
      </c>
      <c r="U123" s="15">
        <f>IF(OR(U122="",T122=""),"",IF(U122*T122&lt;=0,"",IFERROR(U122/T122-1,"")))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18" t="inlineStr">
        <is>
          <t>Loss On Sales Of Land EL</t>
        </is>
      </c>
      <c r="C124" s="20" t="n">
        <v>0</v>
      </c>
      <c r="D124" s="20" t="n">
        <v>0</v>
      </c>
      <c r="T124" s="20" t="n">
        <v>0</v>
      </c>
      <c r="U124" s="20" t="n">
        <v>0</v>
      </c>
      <c r="V124" s="20" t="n">
        <v>0</v>
      </c>
    </row>
    <row r="125">
      <c r="A125" s="18" t="inlineStr">
        <is>
          <t>투자유가증권 평가손실</t>
        </is>
      </c>
      <c r="C125" s="20" t="n">
        <v>0</v>
      </c>
      <c r="D125" s="20" t="n">
        <v>0</v>
      </c>
      <c r="G125" s="20" t="n">
        <v>10.112</v>
      </c>
      <c r="H125" s="20" t="n">
        <v>19.361</v>
      </c>
      <c r="K125" s="20" t="n">
        <v>0</v>
      </c>
      <c r="L125" s="20" t="n">
        <v>0</v>
      </c>
      <c r="T125" s="20" t="n">
        <v>-218.571</v>
      </c>
      <c r="U125" s="20" t="n">
        <v>0.395</v>
      </c>
      <c r="V125" s="20" t="n">
        <v>0</v>
      </c>
      <c r="W125" s="20" t="n">
        <v>19.361</v>
      </c>
      <c r="X125" s="20" t="n">
        <v>0</v>
      </c>
    </row>
    <row r="126">
      <c r="A126" s="18" t="inlineStr">
        <is>
          <t>임원 퇴직위로금</t>
        </is>
      </c>
      <c r="D126" s="20" t="n">
        <v>0</v>
      </c>
      <c r="H126" s="20" t="n">
        <v>0</v>
      </c>
      <c r="L126" s="20" t="n">
        <v>20.91</v>
      </c>
      <c r="T126" s="20" t="n">
        <v>0</v>
      </c>
      <c r="U126" s="20" t="n">
        <v>0</v>
      </c>
      <c r="V126" s="20" t="n">
        <v>0</v>
      </c>
      <c r="W126" s="20" t="n">
        <v>0</v>
      </c>
      <c r="X126" s="20" t="n">
        <v>20.91</v>
      </c>
    </row>
    <row r="127">
      <c r="A127" s="18" t="inlineStr">
        <is>
          <t>특별손실 합계</t>
        </is>
      </c>
      <c r="C127" s="20" t="n">
        <v>17.1</v>
      </c>
      <c r="D127" s="20" t="n">
        <v>0</v>
      </c>
      <c r="G127" s="20" t="n">
        <v>14.552</v>
      </c>
      <c r="H127" s="20" t="n">
        <v>19.361</v>
      </c>
      <c r="K127" s="20" t="n">
        <v>0</v>
      </c>
      <c r="L127" s="20" t="n">
        <v>20.91</v>
      </c>
      <c r="T127" s="20" t="n">
        <v>-63.598</v>
      </c>
      <c r="U127" s="20" t="n">
        <v>509.782</v>
      </c>
      <c r="V127" s="20" t="n">
        <v>0</v>
      </c>
      <c r="W127" s="20" t="n">
        <v>19.361</v>
      </c>
      <c r="X127" s="20" t="n">
        <v>20.91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IF(OR(G127="",C127=""),"",IF(G127*C127&lt;=0,"",IFERROR(G127/C127-1,"")))</f>
        <v/>
      </c>
      <c r="H128" s="15">
        <f>IF(OR(H127="",D127=""),"",IF(H127*D127&lt;=0,"",IFERROR(H127/D127-1,"")))</f>
        <v/>
      </c>
      <c r="K128" s="15">
        <f>IF(OR(K127="",G127=""),"",IF(K127*G127&lt;=0,"",IFERROR(K127/G127-1,"")))</f>
        <v/>
      </c>
      <c r="L128" s="15">
        <f>IF(OR(L127="",H127=""),"",IF(L127*H127&lt;=0,"",IFERROR(L127/H127-1,"")))</f>
        <v/>
      </c>
      <c r="T128" s="15">
        <f>IF(OR(T127="",S127=""),"",IF(T127*S127&lt;=0,"",IFERROR(T127/S127-1,"")))</f>
        <v/>
      </c>
      <c r="U128" s="15">
        <f>IF(OR(U127="",T127=""),"",IF(U127*T127&lt;=0,"",IFERROR(U127/T127-1,"")))</f>
        <v/>
      </c>
      <c r="V128" s="15">
        <f>IF(OR(V127="",U127=""),"",IF(V127*U127&lt;=0,"",IFERROR(V127/U127-1,"")))</f>
        <v/>
      </c>
      <c r="W128" s="15">
        <f>IF(OR(W127="",V127=""),"",IF(W127*V127&lt;=0,"",IFERROR(W127/V127-1,"")))</f>
        <v/>
      </c>
      <c r="X128" s="15">
        <f>IF(OR(X127="",W127=""),"",IF(X127*W127&lt;=0,"",IFERROR(X127/W127-1,"")))</f>
        <v/>
      </c>
    </row>
    <row r="129">
      <c r="A129" s="9" t="inlineStr">
        <is>
          <t>법인세차감전 순이익</t>
        </is>
      </c>
      <c r="C129" s="12" t="n">
        <v>3508.325</v>
      </c>
      <c r="D129" s="12" t="n">
        <v>2682.256</v>
      </c>
      <c r="E129" s="12" t="n">
        <v>5348.057</v>
      </c>
      <c r="F129" s="12" t="n">
        <v>2184.311</v>
      </c>
      <c r="G129" s="12" t="n">
        <v>3039.716</v>
      </c>
      <c r="H129" s="12" t="n">
        <v>2021.86</v>
      </c>
      <c r="I129" s="12" t="n">
        <v>2862.323</v>
      </c>
      <c r="J129" s="12" t="n">
        <v>2505.712</v>
      </c>
      <c r="K129" s="12" t="n">
        <v>2778.406</v>
      </c>
      <c r="L129" s="12" t="n">
        <v>1709.215</v>
      </c>
      <c r="M129" s="12" t="n">
        <v>1825.678</v>
      </c>
      <c r="N129" s="12" t="n">
        <v>2262.348</v>
      </c>
      <c r="T129" s="12" t="n">
        <v>647.398</v>
      </c>
      <c r="U129" s="12" t="n">
        <v>1500.055</v>
      </c>
      <c r="V129" s="12" t="n">
        <v>2682.256</v>
      </c>
      <c r="W129" s="12" t="n">
        <v>2021.86</v>
      </c>
      <c r="X129" s="12" t="n">
        <v>1709.215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I130" s="15">
        <f>IF(OR(I129="",E129=""),"",IF(E129&lt;=0,"",IFERROR(I129/E129-1,"")))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M130" s="15">
        <f>IF(OR(M129="",I129=""),"",IF(I129&lt;=0,"",IFERROR(M129/I129-1,"")))</f>
        <v/>
      </c>
      <c r="N130" s="15">
        <f>IF(OR(N129="",J129=""),"",IF(J129&lt;=0,"",IFERROR(N129/J129-1,"")))</f>
        <v/>
      </c>
      <c r="T130" s="15">
        <f>IF(OR(T129="",S129=""),"",IF(S129&lt;=0,"",IFERROR(T129/S129-1,"")))</f>
        <v/>
      </c>
      <c r="U130" s="15">
        <f>IF(OR(U129="",T129=""),"",IF(T129&lt;=0,"",IFERROR(U129/T129-1,"")))</f>
        <v/>
      </c>
      <c r="V130" s="15">
        <f>IF(OR(V129="",U129=""),"",IF(U129&lt;=0,"",IFERROR(V129/U129-1,"")))</f>
        <v/>
      </c>
      <c r="W130" s="15">
        <f>IF(OR(W129="",V129=""),"",IF(V129&lt;=0,"",IFERROR(W129/V129-1,"")))</f>
        <v/>
      </c>
      <c r="X130" s="15">
        <f>IF(OR(X129="",W129=""),"",IF(W129&lt;=0,"",IFERROR(X129/W129-1,"")))</f>
        <v/>
      </c>
    </row>
    <row r="131">
      <c r="A131" s="18" t="inlineStr">
        <is>
          <t>법인세·주민세·사업세</t>
        </is>
      </c>
      <c r="C131" s="20" t="n">
        <v>1125.485</v>
      </c>
      <c r="D131" s="20" t="n">
        <v>1029.614</v>
      </c>
      <c r="E131" s="20" t="n">
        <v>1372.355</v>
      </c>
      <c r="F131" s="20" t="n">
        <v>974.683</v>
      </c>
      <c r="G131" s="20" t="n">
        <v>775.901</v>
      </c>
      <c r="H131" s="20" t="n">
        <v>697.746</v>
      </c>
      <c r="I131" s="20" t="n">
        <v>745.502</v>
      </c>
      <c r="J131" s="20" t="n">
        <v>1032.905</v>
      </c>
      <c r="K131" s="20" t="n">
        <v>723.383</v>
      </c>
      <c r="L131" s="20" t="n">
        <v>772.803</v>
      </c>
      <c r="M131" s="20" t="n">
        <v>425.868</v>
      </c>
      <c r="N131" s="20" t="n">
        <v>769.874</v>
      </c>
      <c r="T131" s="20" t="n">
        <v>524.292</v>
      </c>
      <c r="U131" s="20" t="n">
        <v>752.982</v>
      </c>
      <c r="V131" s="20" t="n">
        <v>1029.614</v>
      </c>
      <c r="W131" s="20" t="n">
        <v>697.746</v>
      </c>
      <c r="X131" s="20" t="n">
        <v>772.803</v>
      </c>
    </row>
    <row r="132">
      <c r="A132" s="18" t="inlineStr">
        <is>
          <t>법인세 조정액</t>
        </is>
      </c>
      <c r="C132" s="20" t="n">
        <v>13.093</v>
      </c>
      <c r="D132" s="20" t="n">
        <v>-207.42</v>
      </c>
      <c r="E132" s="20" t="n">
        <v>277.295</v>
      </c>
      <c r="F132" s="20" t="n">
        <v>-216.515</v>
      </c>
      <c r="G132" s="20" t="n">
        <v>190.024</v>
      </c>
      <c r="H132" s="20" t="n">
        <v>-193.823</v>
      </c>
      <c r="I132" s="20" t="n">
        <v>164.535</v>
      </c>
      <c r="J132" s="20" t="n">
        <v>-214.31</v>
      </c>
      <c r="K132" s="20" t="n">
        <v>155.233</v>
      </c>
      <c r="L132" s="20" t="n">
        <v>-164.837</v>
      </c>
      <c r="M132" s="20" t="n">
        <v>133.474</v>
      </c>
      <c r="N132" s="20" t="n">
        <v>-75.676</v>
      </c>
      <c r="T132" s="20" t="n">
        <v>-81.232</v>
      </c>
      <c r="U132" s="20" t="n">
        <v>-161.465</v>
      </c>
      <c r="V132" s="20" t="n">
        <v>-207.42</v>
      </c>
      <c r="W132" s="20" t="n">
        <v>-193.823</v>
      </c>
      <c r="X132" s="20" t="n">
        <v>-164.837</v>
      </c>
    </row>
    <row r="133">
      <c r="A133" s="18" t="inlineStr">
        <is>
          <t>법인세 등 합계</t>
        </is>
      </c>
      <c r="C133" s="20" t="n">
        <v>1138.578</v>
      </c>
      <c r="D133" s="20" t="n">
        <v>822.194</v>
      </c>
      <c r="E133" s="20" t="n">
        <v>1649.65</v>
      </c>
      <c r="F133" s="20" t="n">
        <v>758.169</v>
      </c>
      <c r="G133" s="20" t="n">
        <v>965.925</v>
      </c>
      <c r="H133" s="20" t="n">
        <v>503.923</v>
      </c>
      <c r="I133" s="20" t="n">
        <v>910.037</v>
      </c>
      <c r="J133" s="20" t="n">
        <v>818.5940000000001</v>
      </c>
      <c r="K133" s="20" t="n">
        <v>878.617</v>
      </c>
      <c r="L133" s="20" t="n">
        <v>607.965</v>
      </c>
      <c r="M133" s="20" t="n">
        <v>559.343</v>
      </c>
      <c r="N133" s="20" t="n">
        <v>694.197</v>
      </c>
      <c r="T133" s="20" t="n">
        <v>443.06</v>
      </c>
      <c r="U133" s="20" t="n">
        <v>591.5170000000001</v>
      </c>
      <c r="V133" s="20" t="n">
        <v>822.194</v>
      </c>
      <c r="W133" s="20" t="n">
        <v>503.923</v>
      </c>
      <c r="X133" s="20" t="n">
        <v>607.965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IF(OR(G133="",C133=""),"",IF(G133*C133&lt;=0,"",IFERROR(G133/C133-1,"")))</f>
        <v/>
      </c>
      <c r="H134" s="15">
        <f>IF(OR(H133="",D133=""),"",IF(H133*D133&lt;=0,"",IFERROR(H133/D133-1,"")))</f>
        <v/>
      </c>
      <c r="I134" s="15">
        <f>IF(OR(I133="",E133=""),"",IF(I133*E133&lt;=0,"",IFERROR(I133/E133-1,"")))</f>
        <v/>
      </c>
      <c r="J134" s="15">
        <f>IF(OR(J133="",F133=""),"",IF(J133*F133&lt;=0,"",IFERROR(J133/F133-1,"")))</f>
        <v/>
      </c>
      <c r="K134" s="15">
        <f>IF(OR(K133="",G133=""),"",IF(K133*G133&lt;=0,"",IFERROR(K133/G133-1,"")))</f>
        <v/>
      </c>
      <c r="L134" s="15">
        <f>IF(OR(L133="",H133=""),"",IF(L133*H133&lt;=0,"",IFERROR(L133/H133-1,"")))</f>
        <v/>
      </c>
      <c r="M134" s="15">
        <f>IF(OR(M133="",I133=""),"",IF(M133*I133&lt;=0,"",IFERROR(M133/I133-1,"")))</f>
        <v/>
      </c>
      <c r="N134" s="15">
        <f>IF(OR(N133="",J133=""),"",IF(N133*J133&lt;=0,"",IFERROR(N133/J133-1,"")))</f>
        <v/>
      </c>
      <c r="T134" s="15">
        <f>IF(OR(T133="",S133=""),"",IF(T133*S133&lt;=0,"",IFERROR(T133/S133-1,"")))</f>
        <v/>
      </c>
      <c r="U134" s="15">
        <f>IF(OR(U133="",T133=""),"",IF(U133*T133&lt;=0,"",IFERROR(U133/T133-1,"")))</f>
        <v/>
      </c>
      <c r="V134" s="15">
        <f>IF(OR(V133="",U133=""),"",IF(V133*U133&lt;=0,"",IFERROR(V133/U133-1,"")))</f>
        <v/>
      </c>
      <c r="W134" s="15">
        <f>IF(OR(W133="",V133=""),"",IF(W133*V133&lt;=0,"",IFERROR(W133/V133-1,"")))</f>
        <v/>
      </c>
      <c r="X134" s="15">
        <f>IF(OR(X133="",W133=""),"",IF(X133*W133&lt;=0,"",IFERROR(X133/W133-1,"")))</f>
        <v/>
      </c>
    </row>
    <row r="135">
      <c r="A135" s="9" t="inlineStr">
        <is>
          <t>순이익</t>
        </is>
      </c>
      <c r="C135" s="12" t="n">
        <v>2369.746</v>
      </c>
      <c r="D135" s="12" t="n">
        <v>1860.063</v>
      </c>
      <c r="E135" s="12" t="n">
        <v>3698.406</v>
      </c>
      <c r="F135" s="12" t="n">
        <v>1426.143</v>
      </c>
      <c r="G135" s="12" t="n">
        <v>2073.791</v>
      </c>
      <c r="H135" s="12" t="n">
        <v>1517.937</v>
      </c>
      <c r="I135" s="12" t="n">
        <v>1952.286</v>
      </c>
      <c r="J135" s="12" t="n">
        <v>1687.118</v>
      </c>
      <c r="K135" s="12" t="n">
        <v>1899.789</v>
      </c>
      <c r="L135" s="12" t="n">
        <v>1101.249</v>
      </c>
      <c r="M135" s="12" t="n">
        <v>1266.335</v>
      </c>
      <c r="N135" s="12" t="n">
        <v>1568.15</v>
      </c>
      <c r="T135" s="12" t="n">
        <v>204.337</v>
      </c>
      <c r="U135" s="12" t="n">
        <v>908.539</v>
      </c>
      <c r="V135" s="12" t="n">
        <v>1860.063</v>
      </c>
      <c r="W135" s="12" t="n">
        <v>1517.937</v>
      </c>
      <c r="X135" s="12" t="n">
        <v>1101.249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IF(OR(G135="",C135=""),"",IF(C135&lt;=0,"",IFERROR(G135/C135-1,"")))</f>
        <v/>
      </c>
      <c r="H136" s="15">
        <f>IF(OR(H135="",D135=""),"",IF(D135&lt;=0,"",IFERROR(H135/D135-1,"")))</f>
        <v/>
      </c>
      <c r="I136" s="15">
        <f>IF(OR(I135="",E135=""),"",IF(E135&lt;=0,"",IFERROR(I135/E135-1,"")))</f>
        <v/>
      </c>
      <c r="J136" s="15">
        <f>IF(OR(J135="",F135=""),"",IF(F135&lt;=0,"",IFERROR(J135/F135-1,"")))</f>
        <v/>
      </c>
      <c r="K136" s="15">
        <f>IF(OR(K135="",G135=""),"",IF(G135&lt;=0,"",IFERROR(K135/G135-1,"")))</f>
        <v/>
      </c>
      <c r="L136" s="15">
        <f>IF(OR(L135="",H135=""),"",IF(H135&lt;=0,"",IFERROR(L135/H135-1,"")))</f>
        <v/>
      </c>
      <c r="M136" s="15">
        <f>IF(OR(M135="",I135=""),"",IF(I135&lt;=0,"",IFERROR(M135/I135-1,"")))</f>
        <v/>
      </c>
      <c r="N136" s="15">
        <f>IF(OR(N135="",J135=""),"",IF(J135&lt;=0,"",IFERROR(N135/J135-1,"")))</f>
        <v/>
      </c>
      <c r="T136" s="15">
        <f>IF(OR(T135="",S135=""),"",IF(S135&lt;=0,"",IFERROR(T135/S135-1,"")))</f>
        <v/>
      </c>
      <c r="U136" s="15">
        <f>IF(OR(U135="",T135=""),"",IF(T135&lt;=0,"",IFERROR(U135/T135-1,"")))</f>
        <v/>
      </c>
      <c r="V136" s="15">
        <f>IF(OR(V135="",U135=""),"",IF(U135&lt;=0,"",IFERROR(V135/U135-1,"")))</f>
        <v/>
      </c>
      <c r="W136" s="15">
        <f>IF(OR(W135="",V135=""),"",IF(V135&lt;=0,"",IFERROR(W135/V135-1,"")))</f>
        <v/>
      </c>
      <c r="X136" s="15">
        <f>IF(OR(X135="",W135=""),"",IF(W135&lt;=0,"",IFERROR(X135/W135-1,"")))</f>
        <v/>
      </c>
    </row>
    <row r="137">
      <c r="A137" s="9" t="inlineStr">
        <is>
          <t>지배주주 순이익</t>
        </is>
      </c>
      <c r="C137" s="12" t="n">
        <v>2369.746</v>
      </c>
      <c r="D137" s="12" t="n">
        <v>1860.063</v>
      </c>
      <c r="E137" s="12" t="n">
        <v>3698.406</v>
      </c>
      <c r="F137" s="12" t="n">
        <v>1426.143</v>
      </c>
      <c r="G137" s="12" t="n">
        <v>2073.791</v>
      </c>
      <c r="H137" s="12" t="n">
        <v>1517.937</v>
      </c>
      <c r="I137" s="12" t="n">
        <v>1952.286</v>
      </c>
      <c r="J137" s="12" t="n">
        <v>1687.118</v>
      </c>
      <c r="K137" s="12" t="n">
        <v>1899.789</v>
      </c>
      <c r="L137" s="12" t="n">
        <v>1101.249</v>
      </c>
      <c r="M137" s="12" t="n">
        <v>1266.335</v>
      </c>
      <c r="N137" s="12" t="n">
        <v>1568.15</v>
      </c>
      <c r="T137" s="12" t="n">
        <v>204.337</v>
      </c>
      <c r="U137" s="12" t="n">
        <v>908.539</v>
      </c>
      <c r="V137" s="12" t="n">
        <v>1860.063</v>
      </c>
      <c r="W137" s="12" t="n">
        <v>1517.937</v>
      </c>
      <c r="X137" s="12" t="n">
        <v>1101.249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40">
      <c r="A140" s="16" t="inlineStr">
        <is>
          <t>포괄손익 · 전 항목</t>
        </is>
      </c>
      <c r="B140" s="42" t="inlineStr">
        <is>
          <t>분기 = 3개월 단독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2024.3Q</t>
        </is>
      </c>
      <c r="D141" s="5" t="inlineStr">
        <is>
          <t>2024.4Q</t>
        </is>
      </c>
      <c r="E141" s="5" t="inlineStr">
        <is>
          <t>2025.1Q</t>
        </is>
      </c>
      <c r="F141" s="5" t="inlineStr">
        <is>
          <t>2025.2Q</t>
        </is>
      </c>
      <c r="G141" s="5" t="inlineStr">
        <is>
          <t>2025.3Q</t>
        </is>
      </c>
      <c r="H141" s="5" t="inlineStr">
        <is>
          <t>2025.4Q</t>
        </is>
      </c>
      <c r="I141" s="5" t="inlineStr">
        <is>
          <t>2026.1Q</t>
        </is>
      </c>
      <c r="J141" s="5" t="inlineStr">
        <is>
          <t>2026.2Q</t>
        </is>
      </c>
      <c r="K141" s="5" t="inlineStr">
        <is>
          <t>2026.3Q</t>
        </is>
      </c>
      <c r="L141" s="5" t="inlineStr">
        <is>
          <t>2026.4Q</t>
        </is>
      </c>
      <c r="M141" s="5" t="inlineStr">
        <is>
          <t>2027.1Q</t>
        </is>
      </c>
      <c r="N141" s="5" t="inlineStr">
        <is>
          <t>2027.2Q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9" t="inlineStr">
        <is>
          <t>순이익</t>
        </is>
      </c>
      <c r="C142" s="12" t="n">
        <v>2369.746</v>
      </c>
      <c r="D142" s="12" t="n">
        <v>1860.063</v>
      </c>
      <c r="E142" s="12" t="n">
        <v>3698.406</v>
      </c>
      <c r="F142" s="12" t="n">
        <v>1426.143</v>
      </c>
      <c r="G142" s="12" t="n">
        <v>2073.791</v>
      </c>
      <c r="H142" s="12" t="n">
        <v>1517.937</v>
      </c>
      <c r="I142" s="12" t="n">
        <v>1952.286</v>
      </c>
      <c r="J142" s="12" t="n">
        <v>1687.118</v>
      </c>
      <c r="K142" s="12" t="n">
        <v>1899.789</v>
      </c>
      <c r="L142" s="12" t="n">
        <v>1101.249</v>
      </c>
      <c r="M142" s="12" t="n">
        <v>1266.335</v>
      </c>
      <c r="N142" s="12" t="n">
        <v>1568.15</v>
      </c>
      <c r="T142" s="12" t="n">
        <v>204.337</v>
      </c>
      <c r="U142" s="12" t="n">
        <v>908.539</v>
      </c>
      <c r="V142" s="12" t="n">
        <v>1860.063</v>
      </c>
      <c r="W142" s="12" t="n">
        <v>1517.937</v>
      </c>
      <c r="X142" s="12" t="n">
        <v>1101.249</v>
      </c>
    </row>
    <row r="143">
      <c r="A143" s="18" t="inlineStr">
        <is>
          <t>기타유가증권 평가차액</t>
        </is>
      </c>
      <c r="C143" s="20" t="n">
        <v>-237.938</v>
      </c>
      <c r="D143" s="20" t="n">
        <v>1413.973</v>
      </c>
      <c r="E143" s="20" t="n">
        <v>-357.835</v>
      </c>
      <c r="F143" s="20" t="n">
        <v>406.54</v>
      </c>
      <c r="G143" s="20" t="n">
        <v>299.181</v>
      </c>
      <c r="H143" s="20" t="n">
        <v>170.519</v>
      </c>
      <c r="I143" s="20" t="n">
        <v>297.136</v>
      </c>
      <c r="J143" s="20" t="n">
        <v>751.782</v>
      </c>
      <c r="K143" s="20" t="n">
        <v>1150.116</v>
      </c>
      <c r="L143" s="20" t="n">
        <v>935.52</v>
      </c>
      <c r="M143" s="20" t="n">
        <v>1201.445</v>
      </c>
      <c r="N143" s="20" t="n">
        <v>134.626</v>
      </c>
      <c r="T143" s="20" t="n">
        <v>30.848</v>
      </c>
      <c r="U143" s="20" t="n">
        <v>-11.353</v>
      </c>
      <c r="V143" s="20" t="n">
        <v>1413.973</v>
      </c>
      <c r="W143" s="20" t="n">
        <v>170.519</v>
      </c>
      <c r="X143" s="20" t="n">
        <v>935.52</v>
      </c>
    </row>
    <row r="144">
      <c r="A144" s="18" t="inlineStr">
        <is>
          <t>퇴직급여 조정액</t>
        </is>
      </c>
      <c r="C144" s="20" t="n">
        <v>10.649</v>
      </c>
      <c r="D144" s="20" t="n">
        <v>460.998</v>
      </c>
      <c r="E144" s="20" t="n">
        <v>-3.734</v>
      </c>
      <c r="F144" s="20" t="n">
        <v>-3.734</v>
      </c>
      <c r="G144" s="20" t="n">
        <v>-3.735</v>
      </c>
      <c r="H144" s="20" t="n">
        <v>-266.19</v>
      </c>
      <c r="I144" s="20" t="n">
        <v>3.853</v>
      </c>
      <c r="J144" s="20" t="n">
        <v>3.853</v>
      </c>
      <c r="K144" s="20" t="n">
        <v>3.853</v>
      </c>
      <c r="L144" s="20" t="n">
        <v>435.731</v>
      </c>
      <c r="M144" s="20" t="n">
        <v>-15.59</v>
      </c>
      <c r="N144" s="20" t="n">
        <v>-15.59</v>
      </c>
      <c r="T144" s="20" t="n">
        <v>48.05</v>
      </c>
      <c r="U144" s="20" t="n">
        <v>-126.629</v>
      </c>
      <c r="V144" s="20" t="n">
        <v>460.998</v>
      </c>
      <c r="W144" s="20" t="n">
        <v>-266.19</v>
      </c>
      <c r="X144" s="20" t="n">
        <v>435.731</v>
      </c>
    </row>
    <row r="145">
      <c r="A145" s="18" t="inlineStr">
        <is>
          <t>기타포괄손익 합계</t>
        </is>
      </c>
      <c r="C145" s="20" t="n">
        <v>-227.289</v>
      </c>
      <c r="D145" s="20" t="n">
        <v>1874.97</v>
      </c>
      <c r="E145" s="20" t="n">
        <v>-361.569</v>
      </c>
      <c r="F145" s="20" t="n">
        <v>402.806</v>
      </c>
      <c r="G145" s="20" t="n">
        <v>295.445</v>
      </c>
      <c r="H145" s="20" t="n">
        <v>-95.67</v>
      </c>
      <c r="I145" s="20" t="n">
        <v>300.989</v>
      </c>
      <c r="J145" s="20" t="n">
        <v>755.635</v>
      </c>
      <c r="K145" s="20" t="n">
        <v>1153.969</v>
      </c>
      <c r="L145" s="20" t="n">
        <v>1371.252</v>
      </c>
      <c r="M145" s="20" t="n">
        <v>1185.855</v>
      </c>
      <c r="N145" s="20" t="n">
        <v>119.036</v>
      </c>
      <c r="T145" s="20" t="n">
        <v>78.89700000000001</v>
      </c>
      <c r="U145" s="20" t="n">
        <v>-137.984</v>
      </c>
      <c r="V145" s="20" t="n">
        <v>1874.97</v>
      </c>
      <c r="W145" s="20" t="n">
        <v>-95.67</v>
      </c>
      <c r="X145" s="20" t="n">
        <v>1371.252</v>
      </c>
    </row>
    <row r="146">
      <c r="A146" s="9" t="inlineStr">
        <is>
          <t>포괄이익</t>
        </is>
      </c>
      <c r="C146" s="12" t="n">
        <v>2142.457</v>
      </c>
      <c r="D146" s="12" t="n">
        <v>3735.034</v>
      </c>
      <c r="E146" s="12" t="n">
        <v>3336.836</v>
      </c>
      <c r="F146" s="12" t="n">
        <v>1828.95</v>
      </c>
      <c r="G146" s="12" t="n">
        <v>2369.237</v>
      </c>
      <c r="H146" s="12" t="n">
        <v>1422.266</v>
      </c>
      <c r="I146" s="12" t="n">
        <v>2253.275</v>
      </c>
      <c r="J146" s="12" t="n">
        <v>2442.753</v>
      </c>
      <c r="K146" s="12" t="n">
        <v>3053.758</v>
      </c>
      <c r="L146" s="12" t="n">
        <v>2472.502</v>
      </c>
      <c r="M146" s="12" t="n">
        <v>2452.191</v>
      </c>
      <c r="N146" s="12" t="n">
        <v>1687.186</v>
      </c>
      <c r="T146" s="12" t="n">
        <v>283.234</v>
      </c>
      <c r="U146" s="12" t="n">
        <v>770.556</v>
      </c>
      <c r="V146" s="12" t="n">
        <v>3735.034</v>
      </c>
      <c r="W146" s="12" t="n">
        <v>1422.266</v>
      </c>
      <c r="X146" s="12" t="n">
        <v>2472.502</v>
      </c>
    </row>
    <row r="147">
      <c r="A147" s="9" t="inlineStr">
        <is>
          <t>지배주주 포괄이익</t>
        </is>
      </c>
      <c r="C147" s="12" t="n">
        <v>2142.457</v>
      </c>
      <c r="D147" s="12" t="n">
        <v>3735.034</v>
      </c>
      <c r="E147" s="12" t="n">
        <v>3336.836</v>
      </c>
      <c r="F147" s="12" t="n">
        <v>1828.95</v>
      </c>
      <c r="G147" s="12" t="n">
        <v>2369.237</v>
      </c>
      <c r="H147" s="12" t="n">
        <v>1422.266</v>
      </c>
      <c r="I147" s="12" t="n">
        <v>2253.275</v>
      </c>
      <c r="J147" s="12" t="n">
        <v>2442.753</v>
      </c>
      <c r="K147" s="12" t="n">
        <v>3053.758</v>
      </c>
      <c r="L147" s="12" t="n">
        <v>2472.502</v>
      </c>
      <c r="M147" s="12" t="n">
        <v>2452.191</v>
      </c>
      <c r="N147" s="12" t="n">
        <v>1687.186</v>
      </c>
      <c r="T147" s="12" t="n">
        <v>283.234</v>
      </c>
      <c r="U147" s="12" t="n">
        <v>770.556</v>
      </c>
      <c r="V147" s="12" t="n">
        <v>3735.034</v>
      </c>
      <c r="W147" s="12" t="n">
        <v>1422.266</v>
      </c>
      <c r="X147" s="12" t="n">
        <v>2472.502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2024.3Q</t>
        </is>
      </c>
      <c r="D150" s="5" t="inlineStr">
        <is>
          <t>2024.4Q</t>
        </is>
      </c>
      <c r="E150" s="5" t="inlineStr">
        <is>
          <t>2025.1Q</t>
        </is>
      </c>
      <c r="F150" s="5" t="inlineStr">
        <is>
          <t>2025.2Q</t>
        </is>
      </c>
      <c r="G150" s="5" t="inlineStr">
        <is>
          <t>2025.3Q</t>
        </is>
      </c>
      <c r="H150" s="5" t="inlineStr">
        <is>
          <t>2025.4Q</t>
        </is>
      </c>
      <c r="I150" s="5" t="inlineStr">
        <is>
          <t>2026.1Q</t>
        </is>
      </c>
      <c r="J150" s="5" t="inlineStr">
        <is>
          <t>2026.2Q</t>
        </is>
      </c>
      <c r="K150" s="5" t="inlineStr">
        <is>
          <t>2026.3Q</t>
        </is>
      </c>
      <c r="L150" s="5" t="inlineStr">
        <is>
          <t>2026.4Q</t>
        </is>
      </c>
      <c r="M150" s="5" t="inlineStr">
        <is>
          <t>2027.1Q</t>
        </is>
      </c>
      <c r="N150" s="5" t="inlineStr">
        <is>
          <t>2027.2Q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부문 · 외부 고객 매출</t>
        </is>
      </c>
      <c r="C151" s="20" t="n">
        <v>8102.217</v>
      </c>
      <c r="D151" s="20" t="n">
        <v>6922.985</v>
      </c>
      <c r="E151" s="20" t="n">
        <v>11727.491</v>
      </c>
      <c r="F151" s="20" t="n">
        <v>9946.52</v>
      </c>
      <c r="G151" s="20" t="n">
        <v>7120.039</v>
      </c>
      <c r="H151" s="20" t="n">
        <v>4717.504</v>
      </c>
      <c r="I151" s="20" t="n">
        <v>6674.015</v>
      </c>
      <c r="J151" s="20" t="n">
        <v>6026.463</v>
      </c>
      <c r="K151" s="20" t="n">
        <v>6088.277</v>
      </c>
      <c r="L151" s="20" t="n">
        <v>4715.022</v>
      </c>
      <c r="M151" s="20" t="n">
        <v>4897.49</v>
      </c>
      <c r="N151" s="20" t="n">
        <v>5388.368</v>
      </c>
      <c r="V151" s="20" t="n">
        <v>6922.985</v>
      </c>
      <c r="W151" s="20" t="n">
        <v>4717.504</v>
      </c>
      <c r="X151" s="20" t="n">
        <v>4715.022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G152" s="15">
        <f>IF(OR(G151="",C151=""),"",IF(C151&lt;=0,"",IFERROR(G151/C151-1,"")))</f>
        <v/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J152" s="15">
        <f>IF(OR(J151="",F151=""),"",IF(F151&lt;=0,"",IFERROR(J151/F151-1,"")))</f>
        <v/>
      </c>
      <c r="K152" s="15">
        <f>IF(OR(K151="",G151=""),"",IF(G151&lt;=0,"",IFERROR(K151/G151-1,"")))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N152" s="15">
        <f>IF(OR(N151="",J151=""),"",IF(J151&lt;=0,"",IFERROR(N151/J151-1,"")))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부문 · 외부 고객 매출</t>
        </is>
      </c>
      <c r="D153" s="20" t="n">
        <v>1707.346</v>
      </c>
      <c r="E153" s="20" t="n">
        <v>1208.153</v>
      </c>
      <c r="H153" s="20" t="n">
        <v>2124.063</v>
      </c>
      <c r="I153" s="20" t="n">
        <v>1324.724</v>
      </c>
      <c r="L153" s="20" t="n">
        <v>1695.826</v>
      </c>
      <c r="M153" s="20" t="n">
        <v>1188.959</v>
      </c>
      <c r="V153" s="20" t="n">
        <v>1707.346</v>
      </c>
      <c r="W153" s="20" t="n">
        <v>2124.063</v>
      </c>
      <c r="X153" s="20" t="n">
        <v>1695.826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부문 · 외부 고객 매출</t>
        </is>
      </c>
      <c r="C155" s="20" t="n">
        <v>635.872</v>
      </c>
      <c r="E155" s="20" t="n">
        <v>627.484</v>
      </c>
      <c r="F155" s="20" t="n">
        <v>600.159</v>
      </c>
      <c r="G155" s="20" t="n">
        <v>748.37</v>
      </c>
      <c r="I155" s="20" t="n">
        <v>679.499</v>
      </c>
      <c r="J155" s="20" t="n">
        <v>624.556</v>
      </c>
      <c r="K155" s="20" t="n">
        <v>791.2859999999999</v>
      </c>
      <c r="M155" s="20" t="n">
        <v>708.2910000000001</v>
      </c>
      <c r="N155" s="20" t="n">
        <v>697.59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</row>
    <row r="157">
      <c r="A157" s="18" t="inlineStr">
        <is>
          <t>합계 · 외부 고객 매출</t>
        </is>
      </c>
      <c r="C157" s="20" t="n">
        <v>10028.999</v>
      </c>
      <c r="D157" s="20" t="n">
        <v>9196.508</v>
      </c>
      <c r="E157" s="20" t="n">
        <v>13563.129</v>
      </c>
      <c r="F157" s="20" t="n">
        <v>11989.377</v>
      </c>
      <c r="G157" s="20" t="n">
        <v>9211.923000000001</v>
      </c>
      <c r="H157" s="20" t="n">
        <v>7486.342</v>
      </c>
      <c r="I157" s="20" t="n">
        <v>8678.239</v>
      </c>
      <c r="J157" s="20" t="n">
        <v>8080.206</v>
      </c>
      <c r="K157" s="20" t="n">
        <v>8452.513999999999</v>
      </c>
      <c r="L157" s="20" t="n">
        <v>7070.198</v>
      </c>
      <c r="M157" s="20" t="n">
        <v>6794.742</v>
      </c>
      <c r="N157" s="20" t="n">
        <v>7693.447</v>
      </c>
      <c r="V157" s="20" t="n">
        <v>9196.508</v>
      </c>
      <c r="W157" s="20" t="n">
        <v>7486.342</v>
      </c>
      <c r="X157" s="20" t="n">
        <v>7070.198</v>
      </c>
    </row>
    <row r="158">
      <c r="A158" s="43" t="inlineStr">
        <is>
          <t>YoY</t>
        </is>
      </c>
      <c r="B158" s="3" t="inlineStr">
        <is>
          <t>전년 같은 분기·전년 대비</t>
        </is>
      </c>
      <c r="G158" s="15">
        <f>IF(OR(G157="",C157=""),"",IF(C157&lt;=0,"",IFERROR(G157/C157-1,"")))</f>
        <v/>
      </c>
      <c r="H158" s="15">
        <f>IF(OR(H157="",D157=""),"",IF(D157&lt;=0,"",IFERROR(H157/D157-1,"")))</f>
        <v/>
      </c>
      <c r="I158" s="15">
        <f>IF(OR(I157="",E157=""),"",IF(E157&lt;=0,"",IFERROR(I157/E157-1,"")))</f>
        <v/>
      </c>
      <c r="J158" s="15">
        <f>IF(OR(J157="",F157=""),"",IF(F157&lt;=0,"",IFERROR(J157/F157-1,"")))</f>
        <v/>
      </c>
      <c r="K158" s="15">
        <f>IF(OR(K157="",G157=""),"",IF(G157&lt;=0,"",IFERROR(K157/G157-1,"")))</f>
        <v/>
      </c>
      <c r="L158" s="15">
        <f>IF(OR(L157="",H157=""),"",IF(H157&lt;=0,"",IFERROR(L157/H157-1,"")))</f>
        <v/>
      </c>
      <c r="M158" s="15">
        <f>IF(OR(M157="",I157=""),"",IF(I157&lt;=0,"",IFERROR(M157/I157-1,"")))</f>
        <v/>
      </c>
      <c r="N158" s="15">
        <f>IF(OR(N157="",J157=""),"",IF(J157&lt;=0,"",IFERROR(N157/J157-1,"")))</f>
        <v/>
      </c>
      <c r="V158" s="15">
        <f>IF(OR(V157="",U157=""),"",IF(U157&lt;=0,"",IFERROR(V157/U157-1,"")))</f>
        <v/>
      </c>
      <c r="W158" s="15">
        <f>IF(OR(W157="",V157=""),"",IF(V157&lt;=0,"",IFERROR(W157/V157-1,"")))</f>
        <v/>
      </c>
      <c r="X158" s="15">
        <f>IF(OR(X157="",W157=""),"",IF(W157&lt;=0,"",IFERROR(X157/W157-1,"")))</f>
        <v/>
      </c>
    </row>
    <row r="159">
      <c r="A159" s="18" t="inlineStr">
        <is>
          <t>조정액 · 외부 고객 매출</t>
        </is>
      </c>
      <c r="C159" s="20" t="n">
        <v>0</v>
      </c>
      <c r="D159" s="20" t="n">
        <v>0</v>
      </c>
      <c r="E159" s="20" t="n">
        <v>0</v>
      </c>
      <c r="F159" s="20" t="n">
        <v>0</v>
      </c>
      <c r="G159" s="20" t="n">
        <v>0</v>
      </c>
      <c r="H159" s="20" t="n">
        <v>0</v>
      </c>
      <c r="I159" s="20" t="n">
        <v>0</v>
      </c>
      <c r="J159" s="20" t="n">
        <v>0</v>
      </c>
      <c r="K159" s="20" t="n">
        <v>0</v>
      </c>
      <c r="L159" s="20" t="n">
        <v>0</v>
      </c>
      <c r="M159" s="20" t="n">
        <v>0</v>
      </c>
      <c r="N159" s="20" t="n">
        <v>0</v>
      </c>
      <c r="V159" s="20" t="n">
        <v>0</v>
      </c>
      <c r="W159" s="20" t="n">
        <v>0</v>
      </c>
      <c r="X159" s="20" t="n">
        <v>0</v>
      </c>
    </row>
    <row r="160">
      <c r="A160" s="9" t="inlineStr">
        <is>
          <t>외부 고객 매출</t>
        </is>
      </c>
      <c r="C160" s="12" t="n">
        <v>10028.999</v>
      </c>
      <c r="D160" s="12" t="n">
        <v>9196.508</v>
      </c>
      <c r="E160" s="12" t="n">
        <v>13563.129</v>
      </c>
      <c r="F160" s="12" t="n">
        <v>11989.377</v>
      </c>
      <c r="G160" s="12" t="n">
        <v>9211.923000000001</v>
      </c>
      <c r="H160" s="12" t="n">
        <v>7486.342</v>
      </c>
      <c r="I160" s="12" t="n">
        <v>8678.239</v>
      </c>
      <c r="J160" s="12" t="n">
        <v>8080.206</v>
      </c>
      <c r="K160" s="12" t="n">
        <v>8452.513999999999</v>
      </c>
      <c r="L160" s="12" t="n">
        <v>7070.198</v>
      </c>
      <c r="M160" s="12" t="n">
        <v>6794.742</v>
      </c>
      <c r="N160" s="12" t="n">
        <v>7693.447</v>
      </c>
      <c r="V160" s="12" t="n">
        <v>9196.508</v>
      </c>
      <c r="W160" s="12" t="n">
        <v>7486.342</v>
      </c>
      <c r="X160" s="12" t="n">
        <v>7070.198</v>
      </c>
    </row>
    <row r="161">
      <c r="A161" s="43" t="inlineStr">
        <is>
          <t>YoY</t>
        </is>
      </c>
      <c r="B161" s="3" t="inlineStr">
        <is>
          <t>전년 같은 분기·전년 대비</t>
        </is>
      </c>
      <c r="G161" s="15">
        <f>IF(OR(G160="",C160=""),"",IF(C160&lt;=0,"",IFERROR(G160/C160-1,"")))</f>
        <v/>
      </c>
      <c r="H161" s="15">
        <f>IF(OR(H160="",D160=""),"",IF(D160&lt;=0,"",IFERROR(H160/D160-1,"")))</f>
        <v/>
      </c>
      <c r="I161" s="15">
        <f>IF(OR(I160="",E160=""),"",IF(E160&lt;=0,"",IFERROR(I160/E160-1,"")))</f>
        <v/>
      </c>
      <c r="J161" s="15">
        <f>IF(OR(J160="",F160=""),"",IF(F160&lt;=0,"",IFERROR(J160/F160-1,"")))</f>
        <v/>
      </c>
      <c r="K161" s="15">
        <f>IF(OR(K160="",G160=""),"",IF(G160&lt;=0,"",IFERROR(K160/G160-1,"")))</f>
        <v/>
      </c>
      <c r="L161" s="15">
        <f>IF(OR(L160="",H160=""),"",IF(H160&lt;=0,"",IFERROR(L160/H160-1,"")))</f>
        <v/>
      </c>
      <c r="M161" s="15">
        <f>IF(OR(M160="",I160=""),"",IF(I160&lt;=0,"",IFERROR(M160/I160-1,"")))</f>
        <v/>
      </c>
      <c r="N161" s="15">
        <f>IF(OR(N160="",J160=""),"",IF(J160&lt;=0,"",IFERROR(N160/J160-1,"")))</f>
        <v/>
      </c>
      <c r="V161" s="15">
        <f>IF(OR(V160="",U160=""),"",IF(U160&lt;=0,"",IFERROR(V160/U160-1,"")))</f>
        <v/>
      </c>
      <c r="W161" s="15">
        <f>IF(OR(W160="",V160=""),"",IF(V160&lt;=0,"",IFERROR(W160/V160-1,"")))</f>
        <v/>
      </c>
      <c r="X161" s="15">
        <f>IF(OR(X160="",W160=""),"",IF(W160&lt;=0,"",IFERROR(X160/W160-1,"")))</f>
        <v/>
      </c>
    </row>
    <row r="162">
      <c r="A162" s="18" t="inlineStr">
        <is>
          <t>부문 · 부문 간 내부매출·대체</t>
        </is>
      </c>
      <c r="C162" s="20" t="n">
        <v>137.599</v>
      </c>
      <c r="D162" s="20" t="n">
        <v>133.814</v>
      </c>
      <c r="E162" s="20" t="n">
        <v>135.135</v>
      </c>
      <c r="F162" s="20" t="n">
        <v>134.07</v>
      </c>
      <c r="G162" s="20" t="n">
        <v>63.964</v>
      </c>
      <c r="H162" s="20" t="n">
        <v>119.962</v>
      </c>
      <c r="I162" s="20" t="n">
        <v>109.783</v>
      </c>
      <c r="J162" s="20" t="n">
        <v>108.257</v>
      </c>
      <c r="K162" s="20" t="n">
        <v>106.951</v>
      </c>
      <c r="L162" s="20" t="n">
        <v>111.736</v>
      </c>
      <c r="M162" s="20" t="n">
        <v>105.101</v>
      </c>
      <c r="N162" s="20" t="n">
        <v>102.611</v>
      </c>
      <c r="V162" s="20" t="n">
        <v>133.814</v>
      </c>
      <c r="W162" s="20" t="n">
        <v>119.962</v>
      </c>
      <c r="X162" s="20" t="n">
        <v>111.736</v>
      </c>
    </row>
    <row r="163">
      <c r="A163" s="18" t="inlineStr">
        <is>
          <t>부문 · 부문 간 내부매출·대체</t>
        </is>
      </c>
      <c r="D163" s="20" t="n">
        <v>2.275</v>
      </c>
      <c r="E163" s="20" t="n">
        <v>6.995</v>
      </c>
      <c r="H163" s="20" t="n">
        <v>15.677</v>
      </c>
      <c r="I163" s="20" t="n">
        <v>6.493</v>
      </c>
      <c r="L163" s="20" t="n">
        <v>26.771</v>
      </c>
      <c r="M163" s="20" t="n">
        <v>18.328</v>
      </c>
      <c r="V163" s="20" t="n">
        <v>2.275</v>
      </c>
      <c r="W163" s="20" t="n">
        <v>15.677</v>
      </c>
      <c r="X163" s="20" t="n">
        <v>26.771</v>
      </c>
    </row>
    <row r="164">
      <c r="A164" s="18" t="inlineStr">
        <is>
          <t>부문 · 부문 간 내부매출·대체</t>
        </is>
      </c>
      <c r="C164" s="20" t="n">
        <v>9.279999999999999</v>
      </c>
      <c r="E164" s="20" t="n">
        <v>7.535</v>
      </c>
      <c r="F164" s="20" t="n">
        <v>14.802</v>
      </c>
      <c r="G164" s="20" t="n">
        <v>12.523</v>
      </c>
      <c r="I164" s="20" t="n">
        <v>8.134</v>
      </c>
      <c r="J164" s="20" t="n">
        <v>8.529999999999999</v>
      </c>
      <c r="K164" s="20" t="n">
        <v>11.071</v>
      </c>
      <c r="M164" s="20" t="n">
        <v>8.404999999999999</v>
      </c>
      <c r="N164" s="20" t="n">
        <v>9.002000000000001</v>
      </c>
    </row>
    <row r="165">
      <c r="A165" s="18" t="inlineStr">
        <is>
          <t>합계 · 부문 간 내부매출·대체</t>
        </is>
      </c>
      <c r="C165" s="20" t="n">
        <v>157.566</v>
      </c>
      <c r="D165" s="20" t="n">
        <v>151.601</v>
      </c>
      <c r="E165" s="20" t="n">
        <v>149.666</v>
      </c>
      <c r="F165" s="20" t="n">
        <v>178.255</v>
      </c>
      <c r="G165" s="20" t="n">
        <v>140.881</v>
      </c>
      <c r="H165" s="20" t="n">
        <v>145.278</v>
      </c>
      <c r="I165" s="20" t="n">
        <v>124.411</v>
      </c>
      <c r="J165" s="20" t="n">
        <v>127.542</v>
      </c>
      <c r="K165" s="20" t="n">
        <v>163.91</v>
      </c>
      <c r="L165" s="20" t="n">
        <v>146.28</v>
      </c>
      <c r="M165" s="20" t="n">
        <v>131.835</v>
      </c>
      <c r="N165" s="20" t="n">
        <v>135.285</v>
      </c>
      <c r="V165" s="20" t="n">
        <v>151.601</v>
      </c>
      <c r="W165" s="20" t="n">
        <v>145.278</v>
      </c>
      <c r="X165" s="20" t="n">
        <v>146.28</v>
      </c>
    </row>
    <row r="166">
      <c r="A166" s="18" t="inlineStr">
        <is>
          <t>조정액 · 부문 간 내부매출·대체</t>
        </is>
      </c>
      <c r="C166" s="20" t="n">
        <v>-157.566</v>
      </c>
      <c r="D166" s="20" t="n">
        <v>-151.601</v>
      </c>
      <c r="E166" s="20" t="n">
        <v>-149.666</v>
      </c>
      <c r="F166" s="20" t="n">
        <v>-178.255</v>
      </c>
      <c r="G166" s="20" t="n">
        <v>-140.881</v>
      </c>
      <c r="H166" s="20" t="n">
        <v>-145.278</v>
      </c>
      <c r="I166" s="20" t="n">
        <v>-124.411</v>
      </c>
      <c r="J166" s="20" t="n">
        <v>-127.542</v>
      </c>
      <c r="K166" s="20" t="n">
        <v>-163.91</v>
      </c>
      <c r="L166" s="20" t="n">
        <v>-146.28</v>
      </c>
      <c r="M166" s="20" t="n">
        <v>-131.835</v>
      </c>
      <c r="N166" s="20" t="n">
        <v>-135.285</v>
      </c>
      <c r="V166" s="20" t="n">
        <v>-151.601</v>
      </c>
      <c r="W166" s="20" t="n">
        <v>-145.278</v>
      </c>
      <c r="X166" s="20" t="n">
        <v>-146.28</v>
      </c>
    </row>
    <row r="167">
      <c r="A167" s="18" t="inlineStr">
        <is>
          <t>부문 간 내부매출·대체</t>
        </is>
      </c>
      <c r="C167" s="20" t="n">
        <v>0</v>
      </c>
      <c r="D167" s="20" t="n">
        <v>0</v>
      </c>
      <c r="E167" s="20" t="n">
        <v>0</v>
      </c>
      <c r="F167" s="20" t="n">
        <v>0</v>
      </c>
      <c r="G167" s="20" t="n">
        <v>0</v>
      </c>
      <c r="H167" s="20" t="n">
        <v>0</v>
      </c>
      <c r="I167" s="20" t="n">
        <v>0</v>
      </c>
      <c r="J167" s="20" t="n">
        <v>0</v>
      </c>
      <c r="K167" s="20" t="n">
        <v>0</v>
      </c>
      <c r="L167" s="20" t="n">
        <v>0</v>
      </c>
      <c r="M167" s="20" t="n">
        <v>0</v>
      </c>
      <c r="N167" s="20" t="n">
        <v>0</v>
      </c>
      <c r="V167" s="20" t="n">
        <v>0</v>
      </c>
      <c r="W167" s="20" t="n">
        <v>0</v>
      </c>
      <c r="X167" s="20" t="n">
        <v>0</v>
      </c>
    </row>
    <row r="168">
      <c r="A168" s="18" t="inlineStr">
        <is>
          <t>부문 · 계</t>
        </is>
      </c>
      <c r="C168" s="20" t="n">
        <v>8239.816000000001</v>
      </c>
      <c r="D168" s="20" t="n">
        <v>7056.798</v>
      </c>
      <c r="E168" s="20" t="n">
        <v>11862.627</v>
      </c>
      <c r="F168" s="20" t="n">
        <v>10080.589</v>
      </c>
      <c r="G168" s="20" t="n">
        <v>7184.003</v>
      </c>
      <c r="H168" s="20" t="n">
        <v>4837.466</v>
      </c>
      <c r="I168" s="20" t="n">
        <v>6783.798</v>
      </c>
      <c r="J168" s="20" t="n">
        <v>6134.721</v>
      </c>
      <c r="K168" s="20" t="n">
        <v>6195.228</v>
      </c>
      <c r="L168" s="20" t="n">
        <v>4826.758</v>
      </c>
      <c r="M168" s="20" t="n">
        <v>5002.592</v>
      </c>
      <c r="N168" s="20" t="n">
        <v>5490.979</v>
      </c>
      <c r="V168" s="20" t="n">
        <v>7056.798</v>
      </c>
      <c r="W168" s="20" t="n">
        <v>4837.466</v>
      </c>
      <c r="X168" s="20" t="n">
        <v>4826.758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부문 · 계</t>
        </is>
      </c>
      <c r="D170" s="20" t="n">
        <v>1709.621</v>
      </c>
      <c r="E170" s="20" t="n">
        <v>1215.149</v>
      </c>
      <c r="H170" s="20" t="n">
        <v>2139.739</v>
      </c>
      <c r="I170" s="20" t="n">
        <v>1331.218</v>
      </c>
      <c r="L170" s="20" t="n">
        <v>1722.597</v>
      </c>
      <c r="M170" s="20" t="n">
        <v>1207.288</v>
      </c>
      <c r="V170" s="20" t="n">
        <v>1709.621</v>
      </c>
      <c r="W170" s="20" t="n">
        <v>2139.739</v>
      </c>
      <c r="X170" s="20" t="n">
        <v>1722.597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부문 · 계</t>
        </is>
      </c>
      <c r="C172" s="20" t="n">
        <v>645.151</v>
      </c>
      <c r="E172" s="20" t="n">
        <v>635.019</v>
      </c>
      <c r="F172" s="20" t="n">
        <v>614.961</v>
      </c>
      <c r="G172" s="20" t="n">
        <v>760.894</v>
      </c>
      <c r="I172" s="20" t="n">
        <v>687.633</v>
      </c>
      <c r="J172" s="20" t="n">
        <v>633.087</v>
      </c>
      <c r="K172" s="20" t="n">
        <v>802.357</v>
      </c>
      <c r="M172" s="20" t="n">
        <v>716.697</v>
      </c>
      <c r="N172" s="20" t="n">
        <v>706.592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</row>
    <row r="174">
      <c r="A174" s="18" t="inlineStr">
        <is>
          <t>합계 · 계</t>
        </is>
      </c>
      <c r="C174" s="20" t="n">
        <v>10186.565</v>
      </c>
      <c r="D174" s="20" t="n">
        <v>9348.110000000001</v>
      </c>
      <c r="E174" s="20" t="n">
        <v>13712.796</v>
      </c>
      <c r="F174" s="20" t="n">
        <v>12167.632</v>
      </c>
      <c r="G174" s="20" t="n">
        <v>9352.803</v>
      </c>
      <c r="H174" s="20" t="n">
        <v>7631.621</v>
      </c>
      <c r="I174" s="20" t="n">
        <v>8802.65</v>
      </c>
      <c r="J174" s="20" t="n">
        <v>8207.749</v>
      </c>
      <c r="K174" s="20" t="n">
        <v>8616.424000000001</v>
      </c>
      <c r="L174" s="20" t="n">
        <v>7216.478</v>
      </c>
      <c r="M174" s="20" t="n">
        <v>6926.577</v>
      </c>
      <c r="N174" s="20" t="n">
        <v>7828.733</v>
      </c>
      <c r="V174" s="20" t="n">
        <v>9348.110000000001</v>
      </c>
      <c r="W174" s="20" t="n">
        <v>7631.621</v>
      </c>
      <c r="X174" s="20" t="n">
        <v>7216.478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조정액 · 계</t>
        </is>
      </c>
      <c r="C176" s="20" t="n">
        <v>-157.566</v>
      </c>
      <c r="D176" s="20" t="n">
        <v>-151.601</v>
      </c>
      <c r="E176" s="20" t="n">
        <v>-149.666</v>
      </c>
      <c r="F176" s="20" t="n">
        <v>-178.255</v>
      </c>
      <c r="G176" s="20" t="n">
        <v>-140.881</v>
      </c>
      <c r="H176" s="20" t="n">
        <v>-145.278</v>
      </c>
      <c r="I176" s="20" t="n">
        <v>-124.411</v>
      </c>
      <c r="J176" s="20" t="n">
        <v>-127.542</v>
      </c>
      <c r="K176" s="20" t="n">
        <v>-163.91</v>
      </c>
      <c r="L176" s="20" t="n">
        <v>-146.28</v>
      </c>
      <c r="M176" s="20" t="n">
        <v>-131.835</v>
      </c>
      <c r="N176" s="20" t="n">
        <v>-135.285</v>
      </c>
      <c r="V176" s="20" t="n">
        <v>-151.601</v>
      </c>
      <c r="W176" s="20" t="n">
        <v>-145.278</v>
      </c>
      <c r="X176" s="20" t="n">
        <v>-146.28</v>
      </c>
    </row>
    <row r="177">
      <c r="A177" s="9" t="inlineStr">
        <is>
          <t>계</t>
        </is>
      </c>
      <c r="C177" s="12" t="n">
        <v>10028.999</v>
      </c>
      <c r="D177" s="12" t="n">
        <v>9196.508</v>
      </c>
      <c r="E177" s="12" t="n">
        <v>13563.129</v>
      </c>
      <c r="F177" s="12" t="n">
        <v>11989.377</v>
      </c>
      <c r="G177" s="12" t="n">
        <v>9211.923000000001</v>
      </c>
      <c r="H177" s="12" t="n">
        <v>7486.342</v>
      </c>
      <c r="I177" s="12" t="n">
        <v>8678.239</v>
      </c>
      <c r="J177" s="12" t="n">
        <v>8080.206</v>
      </c>
      <c r="K177" s="12" t="n">
        <v>8452.513999999999</v>
      </c>
      <c r="L177" s="12" t="n">
        <v>7070.198</v>
      </c>
      <c r="M177" s="12" t="n">
        <v>6794.742</v>
      </c>
      <c r="N177" s="12" t="n">
        <v>7693.447</v>
      </c>
      <c r="V177" s="12" t="n">
        <v>9196.508</v>
      </c>
      <c r="W177" s="12" t="n">
        <v>7486.342</v>
      </c>
      <c r="X177" s="12" t="n">
        <v>7070.198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G178" s="15">
        <f>IF(OR(G177="",C177=""),"",IF(C177&lt;=0,"",IFERROR(G177/C177-1,"")))</f>
        <v/>
      </c>
      <c r="H178" s="15">
        <f>IF(OR(H177="",D177=""),"",IF(D177&lt;=0,"",IFERROR(H177/D177-1,"")))</f>
        <v/>
      </c>
      <c r="I178" s="15">
        <f>IF(OR(I177="",E177=""),"",IF(E177&lt;=0,"",IFERROR(I177/E177-1,"")))</f>
        <v/>
      </c>
      <c r="J178" s="15">
        <f>IF(OR(J177="",F177=""),"",IF(F177&lt;=0,"",IFERROR(J177/F177-1,"")))</f>
        <v/>
      </c>
      <c r="K178" s="15">
        <f>IF(OR(K177="",G177=""),"",IF(G177&lt;=0,"",IFERROR(K177/G177-1,"")))</f>
        <v/>
      </c>
      <c r="L178" s="15">
        <f>IF(OR(L177="",H177=""),"",IF(H177&lt;=0,"",IFERROR(L177/H177-1,"")))</f>
        <v/>
      </c>
      <c r="M178" s="15">
        <f>IF(OR(M177="",I177=""),"",IF(I177&lt;=0,"",IFERROR(M177/I177-1,"")))</f>
        <v/>
      </c>
      <c r="N178" s="15">
        <f>IF(OR(N177="",J177=""),"",IF(J177&lt;=0,"",IFERROR(N177/J177-1,"")))</f>
        <v/>
      </c>
      <c r="V178" s="15">
        <f>IF(OR(V177="",U177=""),"",IF(U177&lt;=0,"",IFERROR(V177/U177-1,"")))</f>
        <v/>
      </c>
      <c r="W178" s="15">
        <f>IF(OR(W177="",V177=""),"",IF(V177&lt;=0,"",IFERROR(W177/V177-1,"")))</f>
        <v/>
      </c>
      <c r="X178" s="15">
        <f>IF(OR(X177="",W177=""),"",IF(W177&lt;=0,"",IFERROR(X177/W177-1,"")))</f>
        <v/>
      </c>
    </row>
    <row r="179">
      <c r="A179" s="18" t="inlineStr">
        <is>
          <t>부문 · 부문 이익</t>
        </is>
      </c>
      <c r="C179" s="20" t="n">
        <v>3282.748</v>
      </c>
      <c r="D179" s="20" t="n">
        <v>2405.631</v>
      </c>
      <c r="E179" s="20" t="n">
        <v>4907.424</v>
      </c>
      <c r="F179" s="20" t="n">
        <v>3046.264</v>
      </c>
      <c r="G179" s="20" t="n">
        <v>2482.772</v>
      </c>
      <c r="H179" s="20" t="n">
        <v>1506.413</v>
      </c>
      <c r="I179" s="20" t="n">
        <v>2478.991</v>
      </c>
      <c r="J179" s="20" t="n">
        <v>2305.975</v>
      </c>
      <c r="K179" s="20" t="n">
        <v>2323.58</v>
      </c>
      <c r="L179" s="20" t="n">
        <v>1385.506</v>
      </c>
      <c r="M179" s="20" t="n">
        <v>1681.063</v>
      </c>
      <c r="N179" s="20" t="n">
        <v>1777.255</v>
      </c>
      <c r="V179" s="20" t="n">
        <v>2405.631</v>
      </c>
      <c r="W179" s="20" t="n">
        <v>1506.413</v>
      </c>
      <c r="X179" s="20" t="n">
        <v>1385.506</v>
      </c>
    </row>
    <row r="180">
      <c r="A180" s="43" t="inlineStr">
        <is>
          <t>OPM</t>
        </is>
      </c>
      <c r="B180" s="3" t="inlineStr">
        <is>
          <t>영업이익 ÷ 매출</t>
        </is>
      </c>
      <c r="C180" s="15">
        <f>IF(OR(C179="",C168=""),"",IF(C168&lt;=0,"",IFERROR(C179/C168,"")))</f>
        <v/>
      </c>
      <c r="D180" s="15">
        <f>IF(OR(D179="",D168=""),"",IF(D168&lt;=0,"",IFERROR(D179/D168,"")))</f>
        <v/>
      </c>
      <c r="E180" s="15">
        <f>IF(OR(E179="",E168=""),"",IF(E168&lt;=0,"",IFERROR(E179/E168,"")))</f>
        <v/>
      </c>
      <c r="F180" s="15">
        <f>IF(OR(F179="",F168=""),"",IF(F168&lt;=0,"",IFERROR(F179/F168,"")))</f>
        <v/>
      </c>
      <c r="G180" s="15">
        <f>IF(OR(G179="",G168=""),"",IF(G168&lt;=0,"",IFERROR(G179/G168,"")))</f>
        <v/>
      </c>
      <c r="H180" s="15">
        <f>IF(OR(H179="",H168=""),"",IF(H168&lt;=0,"",IFERROR(H179/H168,"")))</f>
        <v/>
      </c>
      <c r="I180" s="15">
        <f>IF(OR(I179="",I168=""),"",IF(I168&lt;=0,"",IFERROR(I179/I168,"")))</f>
        <v/>
      </c>
      <c r="J180" s="15">
        <f>IF(OR(J179="",J168=""),"",IF(J168&lt;=0,"",IFERROR(J179/J168,"")))</f>
        <v/>
      </c>
      <c r="K180" s="15">
        <f>IF(OR(K179="",K168=""),"",IF(K168&lt;=0,"",IFERROR(K179/K168,"")))</f>
        <v/>
      </c>
      <c r="L180" s="15">
        <f>IF(OR(L179="",L168=""),"",IF(L168&lt;=0,"",IFERROR(L179/L168,"")))</f>
        <v/>
      </c>
      <c r="M180" s="15">
        <f>IF(OR(M179="",M168=""),"",IF(M168&lt;=0,"",IFERROR(M179/M168,"")))</f>
        <v/>
      </c>
      <c r="N180" s="15">
        <f>IF(OR(N179="",N168=""),"",IF(N168&lt;=0,"",IFERROR(N179/N168,"")))</f>
        <v/>
      </c>
      <c r="V180" s="15">
        <f>IF(OR(V179="",V168=""),"",IF(V168&lt;=0,"",IFERROR(V179/V168,"")))</f>
        <v/>
      </c>
      <c r="W180" s="15">
        <f>IF(OR(W179="",W168=""),"",IF(W168&lt;=0,"",IFERROR(W179/W168,"")))</f>
        <v/>
      </c>
      <c r="X180" s="15">
        <f>IF(OR(X179="",X168=""),"",IF(X168&lt;=0,"",IFERROR(X179/X168,"")))</f>
        <v/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IF(OR(G179="",C179=""),"",IF(C179&lt;=0,"",IFERROR(G179/C179-1,"")))</f>
        <v/>
      </c>
      <c r="H181" s="15">
        <f>IF(OR(H179="",D179=""),"",IF(D179&lt;=0,"",IFERROR(H179/D179-1,"")))</f>
        <v/>
      </c>
      <c r="I181" s="15">
        <f>IF(OR(I179="",E179=""),"",IF(E179&lt;=0,"",IFERROR(I179/E179-1,"")))</f>
        <v/>
      </c>
      <c r="J181" s="15">
        <f>IF(OR(J179="",F179=""),"",IF(F179&lt;=0,"",IFERROR(J179/F179-1,"")))</f>
        <v/>
      </c>
      <c r="K181" s="15">
        <f>IF(OR(K179="",G179=""),"",IF(G179&lt;=0,"",IFERROR(K179/G179-1,"")))</f>
        <v/>
      </c>
      <c r="L181" s="15">
        <f>IF(OR(L179="",H179=""),"",IF(H179&lt;=0,"",IFERROR(L179/H179-1,"")))</f>
        <v/>
      </c>
      <c r="M181" s="15">
        <f>IF(OR(M179="",I179=""),"",IF(I179&lt;=0,"",IFERROR(M179/I179-1,"")))</f>
        <v/>
      </c>
      <c r="N181" s="15">
        <f>IF(OR(N179="",J179=""),"",IF(J179&lt;=0,"",IFERROR(N179/J179-1,"")))</f>
        <v/>
      </c>
      <c r="V181" s="15">
        <f>IF(OR(V179="",U179=""),"",IF(U179&lt;=0,"",IFERROR(V179/U179-1,"")))</f>
        <v/>
      </c>
      <c r="W181" s="15">
        <f>IF(OR(W179="",V179=""),"",IF(V179&lt;=0,"",IFERROR(W179/V179-1,"")))</f>
        <v/>
      </c>
      <c r="X181" s="15">
        <f>IF(OR(X179="",W179=""),"",IF(W179&lt;=0,"",IFERROR(X179/W179-1,"")))</f>
        <v/>
      </c>
    </row>
    <row r="182">
      <c r="A182" s="18" t="inlineStr">
        <is>
          <t>부문 · 부문 이익</t>
        </is>
      </c>
      <c r="D182" s="20" t="n">
        <v>237.76</v>
      </c>
      <c r="E182" s="20" t="n">
        <v>56.03</v>
      </c>
      <c r="H182" s="20" t="n">
        <v>369.997</v>
      </c>
      <c r="I182" s="20" t="n">
        <v>79.752</v>
      </c>
      <c r="L182" s="20" t="n">
        <v>277.108</v>
      </c>
      <c r="M182" s="20" t="n">
        <v>26.825</v>
      </c>
      <c r="V182" s="20" t="n">
        <v>237.76</v>
      </c>
      <c r="W182" s="20" t="n">
        <v>369.997</v>
      </c>
      <c r="X182" s="20" t="n">
        <v>277.108</v>
      </c>
    </row>
    <row r="183">
      <c r="A183" s="43" t="inlineStr">
        <is>
          <t>OPM</t>
        </is>
      </c>
      <c r="B183" s="3" t="inlineStr">
        <is>
          <t>영업이익 ÷ 매출</t>
        </is>
      </c>
      <c r="D183" s="15">
        <f>IF(OR(D182="",D170=""),"",IF(D170&lt;=0,"",IFERROR(D182/D170,"")))</f>
        <v/>
      </c>
      <c r="E183" s="15">
        <f>IF(OR(E182="",E170=""),"",IF(E170&lt;=0,"",IFERROR(E182/E170,"")))</f>
        <v/>
      </c>
      <c r="H183" s="15">
        <f>IF(OR(H182="",H170=""),"",IF(H170&lt;=0,"",IFERROR(H182/H170,"")))</f>
        <v/>
      </c>
      <c r="I183" s="15">
        <f>IF(OR(I182="",I170=""),"",IF(I170&lt;=0,"",IFERROR(I182/I170,"")))</f>
        <v/>
      </c>
      <c r="L183" s="15">
        <f>IF(OR(L182="",L170=""),"",IF(L170&lt;=0,"",IFERROR(L182/L170,"")))</f>
        <v/>
      </c>
      <c r="M183" s="15">
        <f>IF(OR(M182="",M170=""),"",IF(M170&lt;=0,"",IFERROR(M182/M170,"")))</f>
        <v/>
      </c>
      <c r="V183" s="15">
        <f>IF(OR(V182="",V170=""),"",IF(V170&lt;=0,"",IFERROR(V182/V170,"")))</f>
        <v/>
      </c>
      <c r="W183" s="15">
        <f>IF(OR(W182="",W170=""),"",IF(W170&lt;=0,"",IFERROR(W182/W170,"")))</f>
        <v/>
      </c>
      <c r="X183" s="15">
        <f>IF(OR(X182="",X170=""),"",IF(X170&lt;=0,"",IFERROR(X182/X170,"")))</f>
        <v/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H184" s="15">
        <f>IF(OR(H182="",D182=""),"",IF(D182&lt;=0,"",IFERROR(H182/D182-1,"")))</f>
        <v/>
      </c>
      <c r="I184" s="15">
        <f>IF(OR(I182="",E182=""),"",IF(E182&lt;=0,"",IFERROR(I182/E182-1,"")))</f>
        <v/>
      </c>
      <c r="L184" s="15">
        <f>IF(OR(L182="",H182=""),"",IF(H182&lt;=0,"",IFERROR(L182/H182-1,"")))</f>
        <v/>
      </c>
      <c r="M184" s="15">
        <f>IF(OR(M182="",I182=""),"",IF(I182&lt;=0,"",IFERROR(M182/I182-1,"")))</f>
        <v/>
      </c>
      <c r="V184" s="15">
        <f>IF(OR(V182="",U182=""),"",IF(U182&lt;=0,"",IFERROR(V182/U182-1,"")))</f>
        <v/>
      </c>
      <c r="W184" s="15">
        <f>IF(OR(W182="",V182=""),"",IF(V182&lt;=0,"",IFERROR(W182/V182-1,"")))</f>
        <v/>
      </c>
      <c r="X184" s="15">
        <f>IF(OR(X182="",W182=""),"",IF(W182&lt;=0,"",IFERROR(X182/W182-1,"")))</f>
        <v/>
      </c>
    </row>
    <row r="185">
      <c r="A185" s="18" t="inlineStr">
        <is>
          <t>부문 · 부문 이익</t>
        </is>
      </c>
      <c r="C185" s="20" t="n">
        <v>16.004</v>
      </c>
      <c r="E185" s="20" t="n">
        <v>18.74</v>
      </c>
      <c r="F185" s="20" t="n">
        <v>-14.629</v>
      </c>
      <c r="G185" s="20" t="n">
        <v>88.634</v>
      </c>
      <c r="I185" s="20" t="n">
        <v>28.037</v>
      </c>
      <c r="J185" s="20" t="n">
        <v>-9.558</v>
      </c>
      <c r="K185" s="20" t="n">
        <v>82.56399999999999</v>
      </c>
      <c r="M185" s="20" t="n">
        <v>6.854</v>
      </c>
      <c r="N185" s="20" t="n">
        <v>-1.166</v>
      </c>
    </row>
    <row r="186">
      <c r="A186" s="43" t="inlineStr">
        <is>
          <t>OPM</t>
        </is>
      </c>
      <c r="B186" s="3" t="inlineStr">
        <is>
          <t>영업이익 ÷ 매출</t>
        </is>
      </c>
      <c r="C186" s="15">
        <f>IF(OR(C185="",C172=""),"",IF(C172&lt;=0,"",IFERROR(C185/C172,"")))</f>
        <v/>
      </c>
      <c r="E186" s="15">
        <f>IF(OR(E185="",E172=""),"",IF(E172&lt;=0,"",IFERROR(E185/E172,"")))</f>
        <v/>
      </c>
      <c r="F186" s="15">
        <f>IF(OR(F185="",F172=""),"",IF(F172&lt;=0,"",IFERROR(F185/F172,"")))</f>
        <v/>
      </c>
      <c r="G186" s="15">
        <f>IF(OR(G185="",G172=""),"",IF(G172&lt;=0,"",IFERROR(G185/G172,"")))</f>
        <v/>
      </c>
      <c r="I186" s="15">
        <f>IF(OR(I185="",I172=""),"",IF(I172&lt;=0,"",IFERROR(I185/I172,"")))</f>
        <v/>
      </c>
      <c r="J186" s="15">
        <f>IF(OR(J185="",J172=""),"",IF(J172&lt;=0,"",IFERROR(J185/J172,"")))</f>
        <v/>
      </c>
      <c r="K186" s="15">
        <f>IF(OR(K185="",K172=""),"",IF(K172&lt;=0,"",IFERROR(K185/K172,"")))</f>
        <v/>
      </c>
      <c r="M186" s="15">
        <f>IF(OR(M185="",M172=""),"",IF(M172&lt;=0,"",IFERROR(M185/M172,"")))</f>
        <v/>
      </c>
      <c r="N186" s="15">
        <f>IF(OR(N185="",N172=""),"",IF(N172&lt;=0,"",IFERROR(N185/N172,"")))</f>
        <v/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IF(OR(G185="",C185=""),"",IF(C185&lt;=0,"",IFERROR(G185/C185-1,"")))</f>
        <v/>
      </c>
      <c r="I187" s="15">
        <f>IF(OR(I185="",E185=""),"",IF(E185&lt;=0,"",IFERROR(I185/E185-1,"")))</f>
        <v/>
      </c>
      <c r="J187" s="15">
        <f>IF(OR(J185="",F185=""),"",IF(F185&lt;=0,"",IFERROR(J185/F185-1,"")))</f>
        <v/>
      </c>
      <c r="K187" s="15">
        <f>IF(OR(K185="",G185=""),"",IF(G185&lt;=0,"",IFERROR(K185/G185-1,"")))</f>
        <v/>
      </c>
      <c r="M187" s="15">
        <f>IF(OR(M185="",I185=""),"",IF(I185&lt;=0,"",IFERROR(M185/I185-1,"")))</f>
        <v/>
      </c>
      <c r="N187" s="15">
        <f>IF(OR(N185="",J185=""),"",IF(J185&lt;=0,"",IFERROR(N185/J185-1,"")))</f>
        <v/>
      </c>
    </row>
    <row r="188">
      <c r="A188" s="18" t="inlineStr">
        <is>
          <t>합계 · 부문 이익</t>
        </is>
      </c>
      <c r="C188" s="20" t="n">
        <v>3407.356</v>
      </c>
      <c r="D188" s="20" t="n">
        <v>2574.581</v>
      </c>
      <c r="E188" s="20" t="n">
        <v>4982.195</v>
      </c>
      <c r="F188" s="20" t="n">
        <v>3193.888</v>
      </c>
      <c r="G188" s="20" t="n">
        <v>2695.91</v>
      </c>
      <c r="H188" s="20" t="n">
        <v>1858.852</v>
      </c>
      <c r="I188" s="20" t="n">
        <v>2586.781</v>
      </c>
      <c r="J188" s="20" t="n">
        <v>2479.201</v>
      </c>
      <c r="K188" s="20" t="n">
        <v>2593.488</v>
      </c>
      <c r="L188" s="20" t="n">
        <v>1649.064</v>
      </c>
      <c r="M188" s="20" t="n">
        <v>1714.743</v>
      </c>
      <c r="N188" s="20" t="n">
        <v>2001.313</v>
      </c>
      <c r="V188" s="20" t="n">
        <v>2574.581</v>
      </c>
      <c r="W188" s="20" t="n">
        <v>1858.852</v>
      </c>
      <c r="X188" s="20" t="n">
        <v>1649.064</v>
      </c>
    </row>
    <row r="189">
      <c r="A189" s="43" t="inlineStr">
        <is>
          <t>OPM</t>
        </is>
      </c>
      <c r="B189" s="3" t="inlineStr">
        <is>
          <t>영업이익 ÷ 매출</t>
        </is>
      </c>
      <c r="C189" s="15">
        <f>IF(OR(C188="",C174=""),"",IF(C174&lt;=0,"",IFERROR(C188/C174,"")))</f>
        <v/>
      </c>
      <c r="D189" s="15">
        <f>IF(OR(D188="",D174=""),"",IF(D174&lt;=0,"",IFERROR(D188/D174,"")))</f>
        <v/>
      </c>
      <c r="E189" s="15">
        <f>IF(OR(E188="",E174=""),"",IF(E174&lt;=0,"",IFERROR(E188/E174,"")))</f>
        <v/>
      </c>
      <c r="F189" s="15">
        <f>IF(OR(F188="",F174=""),"",IF(F174&lt;=0,"",IFERROR(F188/F174,"")))</f>
        <v/>
      </c>
      <c r="G189" s="15">
        <f>IF(OR(G188="",G174=""),"",IF(G174&lt;=0,"",IFERROR(G188/G174,"")))</f>
        <v/>
      </c>
      <c r="H189" s="15">
        <f>IF(OR(H188="",H174=""),"",IF(H174&lt;=0,"",IFERROR(H188/H174,"")))</f>
        <v/>
      </c>
      <c r="I189" s="15">
        <f>IF(OR(I188="",I174=""),"",IF(I174&lt;=0,"",IFERROR(I188/I174,"")))</f>
        <v/>
      </c>
      <c r="J189" s="15">
        <f>IF(OR(J188="",J174=""),"",IF(J174&lt;=0,"",IFERROR(J188/J174,"")))</f>
        <v/>
      </c>
      <c r="K189" s="15">
        <f>IF(OR(K188="",K174=""),"",IF(K174&lt;=0,"",IFERROR(K188/K174,"")))</f>
        <v/>
      </c>
      <c r="L189" s="15">
        <f>IF(OR(L188="",L174=""),"",IF(L174&lt;=0,"",IFERROR(L188/L174,"")))</f>
        <v/>
      </c>
      <c r="M189" s="15">
        <f>IF(OR(M188="",M174=""),"",IF(M174&lt;=0,"",IFERROR(M188/M174,"")))</f>
        <v/>
      </c>
      <c r="N189" s="15">
        <f>IF(OR(N188="",N174=""),"",IF(N174&lt;=0,"",IFERROR(N188/N174,"")))</f>
        <v/>
      </c>
      <c r="V189" s="15">
        <f>IF(OR(V188="",V174=""),"",IF(V174&lt;=0,"",IFERROR(V188/V174,"")))</f>
        <v/>
      </c>
      <c r="W189" s="15">
        <f>IF(OR(W188="",W174=""),"",IF(W174&lt;=0,"",IFERROR(W188/W174,"")))</f>
        <v/>
      </c>
      <c r="X189" s="15">
        <f>IF(OR(X188="",X174=""),"",IF(X174&lt;=0,"",IFERROR(X188/X174,"")))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IF(OR(G188="",C188=""),"",IF(C188&lt;=0,"",IFERROR(G188/C188-1,"")))</f>
        <v/>
      </c>
      <c r="H190" s="15">
        <f>IF(OR(H188="",D188=""),"",IF(D188&lt;=0,"",IFERROR(H188/D188-1,"")))</f>
        <v/>
      </c>
      <c r="I190" s="15">
        <f>IF(OR(I188="",E188=""),"",IF(E188&lt;=0,"",IFERROR(I188/E188-1,"")))</f>
        <v/>
      </c>
      <c r="J190" s="15">
        <f>IF(OR(J188="",F188=""),"",IF(F188&lt;=0,"",IFERROR(J188/F188-1,"")))</f>
        <v/>
      </c>
      <c r="K190" s="15">
        <f>IF(OR(K188="",G188=""),"",IF(G188&lt;=0,"",IFERROR(K188/G188-1,"")))</f>
        <v/>
      </c>
      <c r="L190" s="15">
        <f>IF(OR(L188="",H188=""),"",IF(H188&lt;=0,"",IFERROR(L188/H188-1,"")))</f>
        <v/>
      </c>
      <c r="M190" s="15">
        <f>IF(OR(M188="",I188=""),"",IF(I188&lt;=0,"",IFERROR(M188/I188-1,"")))</f>
        <v/>
      </c>
      <c r="N190" s="15">
        <f>IF(OR(N188="",J188=""),"",IF(J188&lt;=0,"",IFERROR(N188/J188-1,"")))</f>
        <v/>
      </c>
      <c r="V190" s="15">
        <f>IF(OR(V188="",U188=""),"",IF(U188&lt;=0,"",IFERROR(V188/U188-1,"")))</f>
        <v/>
      </c>
      <c r="W190" s="15">
        <f>IF(OR(W188="",V188=""),"",IF(V188&lt;=0,"",IFERROR(W188/V188-1,"")))</f>
        <v/>
      </c>
      <c r="X190" s="15">
        <f>IF(OR(X188="",W188=""),"",IF(W188&lt;=0,"",IFERROR(X188/W188-1,"")))</f>
        <v/>
      </c>
    </row>
    <row r="191">
      <c r="A191" s="18" t="inlineStr">
        <is>
          <t>조정액 · 부문 이익</t>
        </is>
      </c>
      <c r="C191" s="20" t="n">
        <v>-52.726</v>
      </c>
      <c r="D191" s="20" t="n">
        <v>-61.43</v>
      </c>
      <c r="E191" s="20" t="n">
        <v>-88.27500000000001</v>
      </c>
      <c r="F191" s="20" t="n">
        <v>-91.45099999999999</v>
      </c>
      <c r="G191" s="20" t="n">
        <v>-88.383</v>
      </c>
      <c r="H191" s="20" t="n">
        <v>-131.154</v>
      </c>
      <c r="I191" s="20" t="n">
        <v>-161.189</v>
      </c>
      <c r="J191" s="20" t="n">
        <v>-108.81</v>
      </c>
      <c r="K191" s="20" t="n">
        <v>-127.162</v>
      </c>
      <c r="L191" s="20" t="n">
        <v>-116.266</v>
      </c>
      <c r="M191" s="20" t="n">
        <v>-184.972</v>
      </c>
      <c r="N191" s="20" t="n">
        <v>-161.609</v>
      </c>
      <c r="V191" s="20" t="n">
        <v>-61.43</v>
      </c>
      <c r="W191" s="20" t="n">
        <v>-131.154</v>
      </c>
      <c r="X191" s="20" t="n">
        <v>-116.266</v>
      </c>
    </row>
    <row r="192">
      <c r="A192" s="9" t="inlineStr">
        <is>
          <t>부문 이익</t>
        </is>
      </c>
      <c r="C192" s="12" t="n">
        <v>3354.631</v>
      </c>
      <c r="D192" s="12" t="n">
        <v>2513.15</v>
      </c>
      <c r="E192" s="12" t="n">
        <v>4893.919</v>
      </c>
      <c r="F192" s="12" t="n">
        <v>3102.437</v>
      </c>
      <c r="G192" s="12" t="n">
        <v>2607.527</v>
      </c>
      <c r="H192" s="12" t="n">
        <v>1727.698</v>
      </c>
      <c r="I192" s="12" t="n">
        <v>2425.592</v>
      </c>
      <c r="J192" s="12" t="n">
        <v>2370.391</v>
      </c>
      <c r="K192" s="12" t="n">
        <v>2466.326</v>
      </c>
      <c r="L192" s="12" t="n">
        <v>1532.797</v>
      </c>
      <c r="M192" s="12" t="n">
        <v>1529.771</v>
      </c>
      <c r="N192" s="12" t="n">
        <v>1839.703</v>
      </c>
      <c r="V192" s="12" t="n">
        <v>2513.15</v>
      </c>
      <c r="W192" s="12" t="n">
        <v>1727.698</v>
      </c>
      <c r="X192" s="12" t="n">
        <v>1532.797</v>
      </c>
    </row>
    <row r="193">
      <c r="A193" s="43" t="inlineStr">
        <is>
          <t>OPM</t>
        </is>
      </c>
      <c r="B193" s="3" t="inlineStr">
        <is>
          <t>영업이익 ÷ 매출</t>
        </is>
      </c>
      <c r="C193" s="15">
        <f>IF(OR(C192="",C160=""),"",IF(C160&lt;=0,"",IFERROR(C192/C160,"")))</f>
        <v/>
      </c>
      <c r="D193" s="15">
        <f>IF(OR(D192="",D160=""),"",IF(D160&lt;=0,"",IFERROR(D192/D160,"")))</f>
        <v/>
      </c>
      <c r="E193" s="15">
        <f>IF(OR(E192="",E160=""),"",IF(E160&lt;=0,"",IFERROR(E192/E160,"")))</f>
        <v/>
      </c>
      <c r="F193" s="15">
        <f>IF(OR(F192="",F160=""),"",IF(F160&lt;=0,"",IFERROR(F192/F160,"")))</f>
        <v/>
      </c>
      <c r="G193" s="15">
        <f>IF(OR(G192="",G160=""),"",IF(G160&lt;=0,"",IFERROR(G192/G160,"")))</f>
        <v/>
      </c>
      <c r="H193" s="15">
        <f>IF(OR(H192="",H160=""),"",IF(H160&lt;=0,"",IFERROR(H192/H160,"")))</f>
        <v/>
      </c>
      <c r="I193" s="15">
        <f>IF(OR(I192="",I160=""),"",IF(I160&lt;=0,"",IFERROR(I192/I160,"")))</f>
        <v/>
      </c>
      <c r="J193" s="15">
        <f>IF(OR(J192="",J160=""),"",IF(J160&lt;=0,"",IFERROR(J192/J160,"")))</f>
        <v/>
      </c>
      <c r="K193" s="15">
        <f>IF(OR(K192="",K160=""),"",IF(K160&lt;=0,"",IFERROR(K192/K160,"")))</f>
        <v/>
      </c>
      <c r="L193" s="15">
        <f>IF(OR(L192="",L160=""),"",IF(L160&lt;=0,"",IFERROR(L192/L160,"")))</f>
        <v/>
      </c>
      <c r="M193" s="15">
        <f>IF(OR(M192="",M160=""),"",IF(M160&lt;=0,"",IFERROR(M192/M160,"")))</f>
        <v/>
      </c>
      <c r="N193" s="15">
        <f>IF(OR(N192="",N160=""),"",IF(N160&lt;=0,"",IFERROR(N192/N160,"")))</f>
        <v/>
      </c>
      <c r="V193" s="15">
        <f>IF(OR(V192="",V160=""),"",IF(V160&lt;=0,"",IFERROR(V192/V160,"")))</f>
        <v/>
      </c>
      <c r="W193" s="15">
        <f>IF(OR(W192="",W160=""),"",IF(W160&lt;=0,"",IFERROR(W192/W160,"")))</f>
        <v/>
      </c>
      <c r="X193" s="15">
        <f>IF(OR(X192="",X160=""),"",IF(X160&lt;=0,"",IFERROR(X192/X160,"")))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V194" s="15">
        <f>IF(OR(V192="",U192=""),"",IF(U192&lt;=0,"",IFERROR(V192/U192-1,"")))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6">
      <c r="A196" s="16" t="inlineStr">
        <is>
          <t>현금흐름표 · 전 항목</t>
        </is>
      </c>
      <c r="B196" s="42" t="inlineStr">
        <is>
          <t>분기 = 결산기 첫날부터 누계(공시 그대로)</t>
        </is>
      </c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</row>
    <row r="197">
      <c r="A197" s="5" t="inlineStr">
        <is>
          <t>항목</t>
        </is>
      </c>
      <c r="B197" s="5" t="inlineStr">
        <is>
          <t>참고</t>
        </is>
      </c>
      <c r="C197" s="5" t="inlineStr">
        <is>
          <t>2024.3Q</t>
        </is>
      </c>
      <c r="D197" s="5" t="inlineStr">
        <is>
          <t>2024.4Q</t>
        </is>
      </c>
      <c r="E197" s="5" t="inlineStr">
        <is>
          <t>2025.1Q</t>
        </is>
      </c>
      <c r="F197" s="5" t="inlineStr">
        <is>
          <t>2025.2Q</t>
        </is>
      </c>
      <c r="G197" s="5" t="inlineStr">
        <is>
          <t>2025.3Q</t>
        </is>
      </c>
      <c r="H197" s="5" t="inlineStr">
        <is>
          <t>2025.4Q</t>
        </is>
      </c>
      <c r="I197" s="5" t="inlineStr">
        <is>
          <t>2026.1Q</t>
        </is>
      </c>
      <c r="J197" s="5" t="inlineStr">
        <is>
          <t>2026.2Q</t>
        </is>
      </c>
      <c r="K197" s="5" t="inlineStr">
        <is>
          <t>2026.3Q</t>
        </is>
      </c>
      <c r="L197" s="5" t="inlineStr">
        <is>
          <t>2026.4Q</t>
        </is>
      </c>
      <c r="M197" s="5" t="inlineStr">
        <is>
          <t>2027.1Q</t>
        </is>
      </c>
      <c r="N197" s="5" t="inlineStr">
        <is>
          <t>2027.2Q</t>
        </is>
      </c>
      <c r="O197" s="5" t="inlineStr">
        <is>
          <t>2017</t>
        </is>
      </c>
      <c r="P197" s="5" t="inlineStr">
        <is>
          <t>2018</t>
        </is>
      </c>
      <c r="Q197" s="5" t="inlineStr">
        <is>
          <t>2019</t>
        </is>
      </c>
      <c r="R197" s="5" t="inlineStr">
        <is>
          <t>2020</t>
        </is>
      </c>
      <c r="S197" s="5" t="inlineStr">
        <is>
          <t>2021</t>
        </is>
      </c>
      <c r="T197" s="5" t="inlineStr">
        <is>
          <t>2022</t>
        </is>
      </c>
      <c r="U197" s="5" t="inlineStr">
        <is>
          <t>2023</t>
        </is>
      </c>
      <c r="V197" s="5" t="inlineStr">
        <is>
          <t>2024</t>
        </is>
      </c>
      <c r="W197" s="5" t="inlineStr">
        <is>
          <t>2025</t>
        </is>
      </c>
      <c r="X197" s="5" t="inlineStr">
        <is>
          <t>2026</t>
        </is>
      </c>
      <c r="Y197" s="5" t="inlineStr">
        <is>
          <t>2027(MW)</t>
        </is>
      </c>
      <c r="Z197" s="5" t="inlineStr">
        <is>
          <t>2028(MW)</t>
        </is>
      </c>
      <c r="AA197" s="5" t="inlineStr">
        <is>
          <t>2029(MW)</t>
        </is>
      </c>
      <c r="AB197" s="5" t="inlineStr">
        <is>
          <t>2030(MW)</t>
        </is>
      </c>
      <c r="AC197" s="5" t="inlineStr">
        <is>
          <t>2031(MW)</t>
        </is>
      </c>
    </row>
    <row r="198">
      <c r="A198" s="9" t="inlineStr">
        <is>
          <t>법인세차감전 순이익</t>
        </is>
      </c>
      <c r="C198" s="12" t="n">
        <v>9898.225</v>
      </c>
      <c r="D198" s="12" t="n">
        <v>12580.481</v>
      </c>
      <c r="E198" s="12" t="n">
        <v>5348.057</v>
      </c>
      <c r="F198" s="12" t="n">
        <v>7532.368</v>
      </c>
      <c r="G198" s="12" t="n">
        <v>10572.084</v>
      </c>
      <c r="H198" s="12" t="n">
        <v>12593.944</v>
      </c>
      <c r="I198" s="12" t="n">
        <v>2862.323</v>
      </c>
      <c r="J198" s="12" t="n">
        <v>5368.035</v>
      </c>
      <c r="K198" s="12" t="n">
        <v>8146.441</v>
      </c>
      <c r="L198" s="12" t="n">
        <v>9855.656000000001</v>
      </c>
      <c r="M198" s="12" t="n">
        <v>1825.678</v>
      </c>
      <c r="N198" s="12" t="n">
        <v>4088.026</v>
      </c>
      <c r="O198" s="12" t="n">
        <v>5435.421</v>
      </c>
      <c r="P198" s="12" t="n">
        <v>3771.872</v>
      </c>
      <c r="Q198" s="12" t="n">
        <v>2192.963</v>
      </c>
      <c r="R198" s="12" t="n">
        <v>3551.379</v>
      </c>
      <c r="S198" s="12" t="n">
        <v>1507.766</v>
      </c>
      <c r="T198" s="12" t="n">
        <v>3125.928</v>
      </c>
      <c r="U198" s="12" t="n">
        <v>4760.718</v>
      </c>
      <c r="V198" s="12" t="n">
        <v>12580.481</v>
      </c>
      <c r="W198" s="12" t="n">
        <v>12593.944</v>
      </c>
      <c r="X198" s="12" t="n">
        <v>9855.656000000001</v>
      </c>
    </row>
    <row r="199">
      <c r="A199" s="18" t="inlineStr">
        <is>
          <t>감가상각비</t>
        </is>
      </c>
      <c r="C199" s="20" t="n">
        <v>446.269</v>
      </c>
      <c r="D199" s="20" t="n">
        <v>614.076</v>
      </c>
      <c r="E199" s="20" t="n">
        <v>168.085</v>
      </c>
      <c r="F199" s="20" t="n">
        <v>347.053</v>
      </c>
      <c r="G199" s="20" t="n">
        <v>526.9589999999999</v>
      </c>
      <c r="H199" s="20" t="n">
        <v>706.87</v>
      </c>
      <c r="I199" s="20" t="n">
        <v>136.442</v>
      </c>
      <c r="J199" s="20" t="n">
        <v>274.953</v>
      </c>
      <c r="K199" s="20" t="n">
        <v>422.797</v>
      </c>
      <c r="L199" s="20" t="n">
        <v>587.1950000000001</v>
      </c>
      <c r="M199" s="20" t="n">
        <v>164.968</v>
      </c>
      <c r="N199" s="20" t="n">
        <v>337.289</v>
      </c>
      <c r="O199" s="20" t="n">
        <v>561.268</v>
      </c>
      <c r="P199" s="20" t="n">
        <v>707.857</v>
      </c>
      <c r="Q199" s="20" t="n">
        <v>560.717</v>
      </c>
      <c r="R199" s="20" t="n">
        <v>472.369</v>
      </c>
      <c r="S199" s="20" t="n">
        <v>533.849</v>
      </c>
      <c r="T199" s="20" t="n">
        <v>538.224</v>
      </c>
      <c r="U199" s="20" t="n">
        <v>576.919</v>
      </c>
      <c r="V199" s="20" t="n">
        <v>614.076</v>
      </c>
      <c r="W199" s="20" t="n">
        <v>706.87</v>
      </c>
      <c r="X199" s="20" t="n">
        <v>587.1950000000001</v>
      </c>
    </row>
    <row r="200">
      <c r="A200" s="18" t="inlineStr">
        <is>
          <t>손상차손</t>
        </is>
      </c>
      <c r="D200" s="20" t="n">
        <v>0</v>
      </c>
      <c r="O200" s="20" t="n">
        <v>7.264</v>
      </c>
      <c r="P200" s="20" t="n">
        <v>0</v>
      </c>
      <c r="Q200" s="20" t="n">
        <v>2074.492</v>
      </c>
      <c r="R200" s="20" t="n">
        <v>0</v>
      </c>
      <c r="S200" s="20" t="n">
        <v>25.946</v>
      </c>
      <c r="T200" s="20" t="n">
        <v>0</v>
      </c>
      <c r="U200" s="20" t="n">
        <v>509.386</v>
      </c>
      <c r="V200" s="20" t="n">
        <v>0</v>
      </c>
    </row>
    <row r="201">
      <c r="A201" s="18" t="inlineStr">
        <is>
          <t>충당금 증감</t>
        </is>
      </c>
      <c r="C201" s="20" t="n">
        <v>-157.209</v>
      </c>
      <c r="D201" s="20" t="n">
        <v>74.611</v>
      </c>
      <c r="E201" s="20" t="n">
        <v>-449.346</v>
      </c>
      <c r="F201" s="20" t="n">
        <v>-241.021</v>
      </c>
      <c r="G201" s="20" t="n">
        <v>-454.748</v>
      </c>
      <c r="H201" s="20" t="n">
        <v>-204.844</v>
      </c>
      <c r="I201" s="20" t="n">
        <v>-300.66</v>
      </c>
      <c r="J201" s="20" t="n">
        <v>-55.715</v>
      </c>
      <c r="K201" s="20" t="n">
        <v>-297.283</v>
      </c>
      <c r="L201" s="20" t="n">
        <v>-63.134</v>
      </c>
      <c r="M201" s="20" t="n">
        <v>-234.49</v>
      </c>
      <c r="N201" s="20" t="n">
        <v>1.034</v>
      </c>
      <c r="O201" s="20" t="n">
        <v>-32.473</v>
      </c>
      <c r="P201" s="20" t="n">
        <v>-34.592</v>
      </c>
      <c r="Q201" s="20" t="n">
        <v>-563.303</v>
      </c>
      <c r="R201" s="20" t="n">
        <v>-56.923</v>
      </c>
      <c r="S201" s="20" t="n">
        <v>90.295</v>
      </c>
      <c r="T201" s="20" t="n">
        <v>195.891</v>
      </c>
      <c r="U201" s="20" t="n">
        <v>91.634</v>
      </c>
      <c r="V201" s="20" t="n">
        <v>74.611</v>
      </c>
      <c r="W201" s="20" t="n">
        <v>-204.844</v>
      </c>
      <c r="X201" s="20" t="n">
        <v>-63.134</v>
      </c>
    </row>
    <row r="202">
      <c r="A202" s="18" t="inlineStr">
        <is>
          <t>퇴직급여자산 증감</t>
        </is>
      </c>
      <c r="C202" s="20" t="n">
        <v>0</v>
      </c>
      <c r="D202" s="20" t="n">
        <v>-49.974</v>
      </c>
      <c r="E202" s="20" t="n">
        <v>-5.539</v>
      </c>
      <c r="F202" s="20" t="n">
        <v>-8.737</v>
      </c>
      <c r="G202" s="20" t="n">
        <v>-17.26</v>
      </c>
      <c r="H202" s="20" t="n">
        <v>49.974</v>
      </c>
      <c r="I202" s="20" t="n">
        <v>0</v>
      </c>
      <c r="J202" s="20" t="n">
        <v>0</v>
      </c>
      <c r="K202" s="20" t="n">
        <v>0</v>
      </c>
      <c r="L202" s="20" t="n">
        <v>-324.649</v>
      </c>
      <c r="M202" s="20" t="n">
        <v>-4.156</v>
      </c>
      <c r="N202" s="20" t="n">
        <v>-5.707</v>
      </c>
      <c r="U202" s="20" t="n">
        <v>0</v>
      </c>
      <c r="V202" s="20" t="n">
        <v>-49.974</v>
      </c>
      <c r="W202" s="20" t="n">
        <v>49.974</v>
      </c>
      <c r="X202" s="20" t="n">
        <v>-324.649</v>
      </c>
    </row>
    <row r="203">
      <c r="A203" s="18" t="inlineStr">
        <is>
          <t>퇴직급여부채 증감</t>
        </is>
      </c>
      <c r="C203" s="20" t="n">
        <v>14.58</v>
      </c>
      <c r="D203" s="20" t="n">
        <v>-585.9160000000001</v>
      </c>
      <c r="E203" s="20" t="n">
        <v>0</v>
      </c>
      <c r="F203" s="20" t="n">
        <v>0</v>
      </c>
      <c r="G203" s="20" t="n">
        <v>0</v>
      </c>
      <c r="H203" s="20" t="n">
        <v>307.889</v>
      </c>
      <c r="I203" s="20" t="n">
        <v>11.031</v>
      </c>
      <c r="J203" s="20" t="n">
        <v>13.949</v>
      </c>
      <c r="K203" s="20" t="n">
        <v>12.815</v>
      </c>
      <c r="L203" s="20" t="n">
        <v>-307.889</v>
      </c>
      <c r="M203" s="20" t="n">
        <v>0</v>
      </c>
      <c r="N203" s="20" t="n">
        <v>0</v>
      </c>
      <c r="O203" s="20" t="n">
        <v>-9.417999999999999</v>
      </c>
      <c r="P203" s="20" t="n">
        <v>-8.66</v>
      </c>
      <c r="Q203" s="20" t="n">
        <v>52.109</v>
      </c>
      <c r="R203" s="20" t="n">
        <v>89.336</v>
      </c>
      <c r="S203" s="20" t="n">
        <v>-171.5</v>
      </c>
      <c r="T203" s="20" t="n">
        <v>-68.276</v>
      </c>
      <c r="U203" s="20" t="n">
        <v>141.604</v>
      </c>
      <c r="V203" s="20" t="n">
        <v>-585.9160000000001</v>
      </c>
      <c r="W203" s="20" t="n">
        <v>307.889</v>
      </c>
      <c r="X203" s="20" t="n">
        <v>-307.889</v>
      </c>
    </row>
    <row r="204">
      <c r="A204" s="18" t="inlineStr">
        <is>
          <t>이자·배당금 수익</t>
        </is>
      </c>
      <c r="C204" s="20" t="n">
        <v>-559.505</v>
      </c>
      <c r="D204" s="20" t="n">
        <v>-660.897</v>
      </c>
      <c r="E204" s="20" t="n">
        <v>-386.585</v>
      </c>
      <c r="F204" s="20" t="n">
        <v>-447.96</v>
      </c>
      <c r="G204" s="20" t="n">
        <v>-647.592</v>
      </c>
      <c r="H204" s="20" t="n">
        <v>-759.55</v>
      </c>
      <c r="I204" s="20" t="n">
        <v>-312.894</v>
      </c>
      <c r="J204" s="20" t="n">
        <v>-428.187</v>
      </c>
      <c r="K204" s="20" t="n">
        <v>-634.515</v>
      </c>
      <c r="L204" s="20" t="n">
        <v>-761.129</v>
      </c>
      <c r="M204" s="20" t="n">
        <v>-284.894</v>
      </c>
      <c r="N204" s="20" t="n">
        <v>-370.66</v>
      </c>
      <c r="O204" s="20" t="n">
        <v>-345.472</v>
      </c>
      <c r="P204" s="20" t="n">
        <v>-287.589</v>
      </c>
      <c r="Q204" s="20" t="n">
        <v>-369.45</v>
      </c>
      <c r="R204" s="20" t="n">
        <v>-447.747</v>
      </c>
      <c r="S204" s="20" t="n">
        <v>-426.746</v>
      </c>
      <c r="T204" s="20" t="n">
        <v>-437.905</v>
      </c>
      <c r="U204" s="20" t="n">
        <v>-510.706</v>
      </c>
      <c r="V204" s="20" t="n">
        <v>-660.897</v>
      </c>
      <c r="W204" s="20" t="n">
        <v>-759.55</v>
      </c>
      <c r="X204" s="20" t="n">
        <v>-761.129</v>
      </c>
    </row>
    <row r="205">
      <c r="A205" s="18" t="inlineStr">
        <is>
          <t>Cooperation Income Ope CF</t>
        </is>
      </c>
      <c r="C205" s="20" t="n">
        <v>0</v>
      </c>
      <c r="D205" s="20" t="n">
        <v>0</v>
      </c>
      <c r="S205" s="20" t="n">
        <v>0</v>
      </c>
      <c r="T205" s="20" t="n">
        <v>-125.261</v>
      </c>
      <c r="U205" s="20" t="n">
        <v>-28.422</v>
      </c>
      <c r="V205" s="20" t="n">
        <v>0</v>
      </c>
    </row>
    <row r="206">
      <c r="A206" s="18" t="inlineStr">
        <is>
          <t>투자사업조합 운용 손익(△는 이익)</t>
        </is>
      </c>
      <c r="C206" s="20" t="n">
        <v>-17.757</v>
      </c>
      <c r="D206" s="20" t="n">
        <v>-12.426</v>
      </c>
      <c r="F206" s="20" t="n">
        <v>-2.118</v>
      </c>
      <c r="G206" s="20" t="n">
        <v>-2.118</v>
      </c>
      <c r="H206" s="20" t="n">
        <v>47.312</v>
      </c>
      <c r="J206" s="20" t="n">
        <v>-2.099</v>
      </c>
      <c r="K206" s="20" t="n">
        <v>-2.099</v>
      </c>
      <c r="L206" s="20" t="n">
        <v>49.595</v>
      </c>
      <c r="N206" s="20" t="n">
        <v>-2.197</v>
      </c>
      <c r="P206" s="20" t="n">
        <v>0</v>
      </c>
      <c r="Q206" s="20" t="n">
        <v>5.299</v>
      </c>
      <c r="R206" s="20" t="n">
        <v>10.487</v>
      </c>
      <c r="S206" s="20" t="n">
        <v>10.92</v>
      </c>
      <c r="T206" s="20" t="n">
        <v>-103.508</v>
      </c>
      <c r="U206" s="20" t="n">
        <v>10.058</v>
      </c>
      <c r="V206" s="20" t="n">
        <v>-12.426</v>
      </c>
      <c r="W206" s="20" t="n">
        <v>47.312</v>
      </c>
      <c r="X206" s="20" t="n">
        <v>49.595</v>
      </c>
    </row>
    <row r="207">
      <c r="A207" s="18" t="inlineStr">
        <is>
          <t>고정자산 제각·매각손익</t>
        </is>
      </c>
      <c r="C207" s="20" t="n">
        <v>0</v>
      </c>
      <c r="D207" s="20" t="n">
        <v>0</v>
      </c>
      <c r="O207" s="20" t="n">
        <v>0</v>
      </c>
      <c r="P207" s="20" t="n">
        <v>64.86</v>
      </c>
      <c r="Q207" s="20" t="n">
        <v>0</v>
      </c>
      <c r="R207" s="20" t="n">
        <v>0</v>
      </c>
      <c r="S207" s="20" t="n">
        <v>-0.8</v>
      </c>
      <c r="T207" s="20" t="n">
        <v>0</v>
      </c>
      <c r="U207" s="20" t="n">
        <v>-1.894</v>
      </c>
      <c r="V207" s="20" t="n">
        <v>0</v>
      </c>
    </row>
    <row r="208">
      <c r="A208" s="18" t="inlineStr">
        <is>
          <t>관계회사 주식 매각손익</t>
        </is>
      </c>
      <c r="O208" s="20" t="n">
        <v>7.192</v>
      </c>
      <c r="P208" s="20" t="n">
        <v>0</v>
      </c>
    </row>
    <row r="209">
      <c r="A209" s="18" t="inlineStr">
        <is>
          <t>투자유가증권 매각손익</t>
        </is>
      </c>
      <c r="C209" s="20" t="n">
        <v>-81.267</v>
      </c>
      <c r="D209" s="20" t="n">
        <v>-96.699</v>
      </c>
      <c r="E209" s="20" t="n">
        <v>-27.194</v>
      </c>
      <c r="F209" s="20" t="n">
        <v>-27.194</v>
      </c>
      <c r="G209" s="20" t="n">
        <v>-249.949</v>
      </c>
      <c r="H209" s="20" t="n">
        <v>-506.093</v>
      </c>
      <c r="I209" s="20" t="n">
        <v>0</v>
      </c>
      <c r="J209" s="20" t="n">
        <v>0</v>
      </c>
      <c r="K209" s="20" t="n">
        <v>-83.898</v>
      </c>
      <c r="L209" s="20" t="n">
        <v>-183.027</v>
      </c>
      <c r="N209" s="20" t="n">
        <v>-344.497</v>
      </c>
      <c r="O209" s="20" t="n">
        <v>-754.511</v>
      </c>
      <c r="P209" s="20" t="n">
        <v>0</v>
      </c>
      <c r="Q209" s="20" t="n">
        <v>-136.257</v>
      </c>
      <c r="R209" s="20" t="n">
        <v>-4.566</v>
      </c>
      <c r="S209" s="20" t="n">
        <v>0</v>
      </c>
      <c r="T209" s="20" t="n">
        <v>-1373.603</v>
      </c>
      <c r="U209" s="20" t="n">
        <v>-543.186</v>
      </c>
      <c r="V209" s="20" t="n">
        <v>-96.699</v>
      </c>
      <c r="W209" s="20" t="n">
        <v>-506.093</v>
      </c>
      <c r="X209" s="20" t="n">
        <v>-183.027</v>
      </c>
    </row>
    <row r="210">
      <c r="A210" s="18" t="inlineStr">
        <is>
          <t>관계회사 청산손익</t>
        </is>
      </c>
      <c r="D210" s="20" t="n">
        <v>0</v>
      </c>
      <c r="T210" s="20" t="n">
        <v>0</v>
      </c>
      <c r="U210" s="20" t="n">
        <v>-2.208</v>
      </c>
      <c r="V210" s="20" t="n">
        <v>0</v>
      </c>
    </row>
    <row r="211">
      <c r="A211" s="18" t="inlineStr">
        <is>
          <t>투자유가증권 평가손익</t>
        </is>
      </c>
      <c r="C211" s="20" t="n">
        <v>0</v>
      </c>
      <c r="D211" s="20" t="n">
        <v>0</v>
      </c>
      <c r="F211" s="20" t="n">
        <v>964.955</v>
      </c>
      <c r="G211" s="20" t="n">
        <v>975.067</v>
      </c>
      <c r="H211" s="20" t="n">
        <v>994.428</v>
      </c>
      <c r="J211" s="20" t="n">
        <v>0</v>
      </c>
      <c r="K211" s="20" t="n">
        <v>0</v>
      </c>
      <c r="L211" s="20" t="n">
        <v>0</v>
      </c>
      <c r="P211" s="20" t="n">
        <v>0</v>
      </c>
      <c r="Q211" s="20" t="n">
        <v>1.965</v>
      </c>
      <c r="R211" s="20" t="n">
        <v>705.607</v>
      </c>
      <c r="S211" s="20" t="n">
        <v>0.484</v>
      </c>
      <c r="T211" s="20" t="n">
        <v>548.745</v>
      </c>
      <c r="U211" s="20" t="n">
        <v>0.395</v>
      </c>
      <c r="V211" s="20" t="n">
        <v>0</v>
      </c>
      <c r="W211" s="20" t="n">
        <v>994.428</v>
      </c>
      <c r="X211" s="20" t="n">
        <v>0</v>
      </c>
    </row>
    <row r="212">
      <c r="A212" s="18" t="inlineStr">
        <is>
          <t>Loss Gain On Valuation Of Shares Of Subsidiaries Ope CF</t>
        </is>
      </c>
      <c r="S212" s="20" t="n">
        <v>0</v>
      </c>
      <c r="T212" s="20" t="n">
        <v>154.972</v>
      </c>
      <c r="U212" s="20" t="n">
        <v>0</v>
      </c>
    </row>
    <row r="213">
      <c r="A213" s="18" t="inlineStr">
        <is>
          <t>Loss Gain On Sales Of Land Ope CF</t>
        </is>
      </c>
      <c r="C213" s="20" t="n">
        <v>0</v>
      </c>
      <c r="D213" s="20" t="n">
        <v>0</v>
      </c>
      <c r="T213" s="20" t="n">
        <v>0</v>
      </c>
      <c r="U213" s="20" t="n">
        <v>3.966</v>
      </c>
      <c r="V213" s="20" t="n">
        <v>0</v>
      </c>
    </row>
    <row r="214">
      <c r="A214" s="18" t="inlineStr">
        <is>
          <t>매출채권 증감</t>
        </is>
      </c>
      <c r="C214" s="20" t="n">
        <v>-1922.436</v>
      </c>
      <c r="D214" s="20" t="n">
        <v>-1572.704</v>
      </c>
      <c r="E214" s="20" t="n">
        <v>-1270.728</v>
      </c>
      <c r="F214" s="20" t="n">
        <v>555.447</v>
      </c>
      <c r="G214" s="20" t="n">
        <v>143.664</v>
      </c>
      <c r="H214" s="20" t="n">
        <v>1797.489</v>
      </c>
      <c r="I214" s="20" t="n">
        <v>-427.826</v>
      </c>
      <c r="J214" s="20" t="n">
        <v>798.899</v>
      </c>
      <c r="K214" s="20" t="n">
        <v>-1564.535</v>
      </c>
      <c r="L214" s="20" t="n">
        <v>85.468</v>
      </c>
      <c r="M214" s="20" t="n">
        <v>1048.606</v>
      </c>
      <c r="N214" s="20" t="n">
        <v>537.628</v>
      </c>
      <c r="O214" s="20" t="n">
        <v>292.506</v>
      </c>
      <c r="P214" s="20" t="n">
        <v>709.634</v>
      </c>
      <c r="Q214" s="20" t="n">
        <v>-808.499</v>
      </c>
      <c r="R214" s="20" t="n">
        <v>747.653</v>
      </c>
      <c r="S214" s="20" t="n">
        <v>1496.912</v>
      </c>
      <c r="T214" s="20" t="n">
        <v>326.972</v>
      </c>
      <c r="U214" s="20" t="n">
        <v>-1424.299</v>
      </c>
      <c r="V214" s="20" t="n">
        <v>-1572.704</v>
      </c>
      <c r="W214" s="20" t="n">
        <v>1797.489</v>
      </c>
      <c r="X214" s="20" t="n">
        <v>85.468</v>
      </c>
    </row>
    <row r="215">
      <c r="A215" s="18" t="inlineStr">
        <is>
          <t>Net Decrease Increase In Lease Receivables And Investment Assets Ope CF</t>
        </is>
      </c>
      <c r="C215" s="20" t="n">
        <v>51.382</v>
      </c>
      <c r="D215" s="20" t="n">
        <v>22.199</v>
      </c>
      <c r="E215" s="20" t="n">
        <v>37.522</v>
      </c>
      <c r="F215" s="20" t="n">
        <v>-52</v>
      </c>
      <c r="G215" s="20" t="n">
        <v>15.535</v>
      </c>
      <c r="H215" s="20" t="n">
        <v>38.619</v>
      </c>
      <c r="I215" s="20" t="n">
        <v>-10.266</v>
      </c>
      <c r="J215" s="20" t="n">
        <v>-12.441</v>
      </c>
      <c r="K215" s="20" t="n">
        <v>-27.581</v>
      </c>
      <c r="L215" s="20" t="n">
        <v>-23.927</v>
      </c>
      <c r="M215" s="20" t="n">
        <v>17.176</v>
      </c>
      <c r="N215" s="20" t="n">
        <v>36.005</v>
      </c>
      <c r="O215" s="20" t="n">
        <v>501.944</v>
      </c>
      <c r="P215" s="20" t="n">
        <v>246.396</v>
      </c>
      <c r="Q215" s="20" t="n">
        <v>463.208</v>
      </c>
      <c r="R215" s="20" t="n">
        <v>-185.324</v>
      </c>
      <c r="S215" s="20" t="n">
        <v>164.908</v>
      </c>
      <c r="T215" s="20" t="n">
        <v>217.369</v>
      </c>
      <c r="U215" s="20" t="n">
        <v>187.654</v>
      </c>
      <c r="V215" s="20" t="n">
        <v>22.199</v>
      </c>
      <c r="W215" s="20" t="n">
        <v>38.619</v>
      </c>
      <c r="X215" s="20" t="n">
        <v>-23.927</v>
      </c>
    </row>
    <row r="216">
      <c r="A216" s="18" t="inlineStr">
        <is>
          <t>재고자산 증감</t>
        </is>
      </c>
      <c r="C216" s="20" t="n">
        <v>-5288.277</v>
      </c>
      <c r="D216" s="20" t="n">
        <v>-6004.164</v>
      </c>
      <c r="E216" s="20" t="n">
        <v>672.148</v>
      </c>
      <c r="F216" s="20" t="n">
        <v>1826.657</v>
      </c>
      <c r="G216" s="20" t="n">
        <v>1888.358</v>
      </c>
      <c r="H216" s="20" t="n">
        <v>2688.937</v>
      </c>
      <c r="I216" s="20" t="n">
        <v>260.275</v>
      </c>
      <c r="J216" s="20" t="n">
        <v>936.2380000000001</v>
      </c>
      <c r="K216" s="20" t="n">
        <v>1426.534</v>
      </c>
      <c r="L216" s="20" t="n">
        <v>1905.563</v>
      </c>
      <c r="M216" s="20" t="n">
        <v>290.544</v>
      </c>
      <c r="N216" s="20" t="n">
        <v>1117.417</v>
      </c>
      <c r="O216" s="20" t="n">
        <v>106.969</v>
      </c>
      <c r="P216" s="20" t="n">
        <v>-110.622</v>
      </c>
      <c r="Q216" s="20" t="n">
        <v>-37.042</v>
      </c>
      <c r="R216" s="20" t="n">
        <v>252.094</v>
      </c>
      <c r="S216" s="20" t="n">
        <v>427.75</v>
      </c>
      <c r="T216" s="20" t="n">
        <v>65.35599999999999</v>
      </c>
      <c r="U216" s="20" t="n">
        <v>-2793.285</v>
      </c>
      <c r="V216" s="20" t="n">
        <v>-6004.164</v>
      </c>
      <c r="W216" s="20" t="n">
        <v>2688.937</v>
      </c>
      <c r="X216" s="20" t="n">
        <v>1905.563</v>
      </c>
    </row>
    <row r="217">
      <c r="A217" s="18" t="inlineStr">
        <is>
          <t>Decrease Increase In Operating Loans Receivable Ope CF</t>
        </is>
      </c>
      <c r="C217" s="20" t="n">
        <v>-58.545</v>
      </c>
      <c r="D217" s="20" t="n">
        <v>-15.968</v>
      </c>
      <c r="E217" s="20" t="n">
        <v>10.419</v>
      </c>
      <c r="F217" s="20" t="n">
        <v>50.514</v>
      </c>
      <c r="G217" s="20" t="n">
        <v>-388.392</v>
      </c>
      <c r="H217" s="20" t="n">
        <v>-187.059</v>
      </c>
      <c r="I217" s="20" t="n">
        <v>45.628</v>
      </c>
      <c r="J217" s="20" t="n">
        <v>-92.366</v>
      </c>
      <c r="K217" s="20" t="n">
        <v>-34.804</v>
      </c>
      <c r="L217" s="20" t="n">
        <v>35.731</v>
      </c>
      <c r="M217" s="20" t="n">
        <v>72.179</v>
      </c>
      <c r="N217" s="20" t="n">
        <v>142.272</v>
      </c>
      <c r="O217" s="20" t="n">
        <v>275.318</v>
      </c>
      <c r="P217" s="20" t="n">
        <v>-1387.637</v>
      </c>
      <c r="Q217" s="20" t="n">
        <v>1117.184</v>
      </c>
      <c r="R217" s="20" t="n">
        <v>1182.276</v>
      </c>
      <c r="S217" s="20" t="n">
        <v>165.03</v>
      </c>
      <c r="T217" s="20" t="n">
        <v>723.0890000000001</v>
      </c>
      <c r="U217" s="20" t="n">
        <v>117.89</v>
      </c>
      <c r="V217" s="20" t="n">
        <v>-15.968</v>
      </c>
      <c r="W217" s="20" t="n">
        <v>-187.059</v>
      </c>
      <c r="X217" s="20" t="n">
        <v>35.731</v>
      </c>
    </row>
    <row r="218">
      <c r="A218" s="18" t="inlineStr">
        <is>
          <t>매입채무 증감</t>
        </is>
      </c>
      <c r="C218" s="20" t="n">
        <v>2274.863</v>
      </c>
      <c r="D218" s="20" t="n">
        <v>1480.15</v>
      </c>
      <c r="E218" s="20" t="n">
        <v>12.262</v>
      </c>
      <c r="F218" s="20" t="n">
        <v>-1202.437</v>
      </c>
      <c r="G218" s="20" t="n">
        <v>-1539.883</v>
      </c>
      <c r="H218" s="20" t="n">
        <v>-2711.019</v>
      </c>
      <c r="I218" s="20" t="n">
        <v>670.95</v>
      </c>
      <c r="J218" s="20" t="n">
        <v>-132.184</v>
      </c>
      <c r="K218" s="20" t="n">
        <v>413.067</v>
      </c>
      <c r="L218" s="20" t="n">
        <v>-388.549</v>
      </c>
      <c r="M218" s="20" t="n">
        <v>-181.67</v>
      </c>
      <c r="N218" s="20" t="n">
        <v>-299.315</v>
      </c>
      <c r="O218" s="20" t="n">
        <v>-233.441</v>
      </c>
      <c r="P218" s="20" t="n">
        <v>-456.301</v>
      </c>
      <c r="Q218" s="20" t="n">
        <v>371.967</v>
      </c>
      <c r="R218" s="20" t="n">
        <v>-623.6130000000001</v>
      </c>
      <c r="S218" s="20" t="n">
        <v>-628.401</v>
      </c>
      <c r="T218" s="20" t="n">
        <v>155.403</v>
      </c>
      <c r="U218" s="20" t="n">
        <v>1536.994</v>
      </c>
      <c r="V218" s="20" t="n">
        <v>1480.15</v>
      </c>
      <c r="W218" s="20" t="n">
        <v>-2711.019</v>
      </c>
      <c r="X218" s="20" t="n">
        <v>-388.549</v>
      </c>
    </row>
    <row r="219">
      <c r="A219" s="18" t="inlineStr">
        <is>
          <t>Increase Decrease In Lease Obligations Ope CF</t>
        </is>
      </c>
      <c r="C219" s="20" t="n">
        <v>-70.38200000000001</v>
      </c>
      <c r="D219" s="20" t="n">
        <v>-33.947</v>
      </c>
      <c r="E219" s="20" t="n">
        <v>-20.412</v>
      </c>
      <c r="F219" s="20" t="n">
        <v>81.051</v>
      </c>
      <c r="G219" s="20" t="n">
        <v>17.508</v>
      </c>
      <c r="H219" s="20" t="n">
        <v>15.255</v>
      </c>
      <c r="I219" s="20" t="n">
        <v>20.524</v>
      </c>
      <c r="J219" s="20" t="n">
        <v>42.413</v>
      </c>
      <c r="K219" s="20" t="n">
        <v>80.55500000000001</v>
      </c>
      <c r="L219" s="20" t="n">
        <v>92.46299999999999</v>
      </c>
      <c r="M219" s="20" t="n">
        <v>-19.595</v>
      </c>
      <c r="N219" s="20" t="n">
        <v>-43.047</v>
      </c>
      <c r="O219" s="20" t="n">
        <v>-550.564</v>
      </c>
      <c r="P219" s="20" t="n">
        <v>-248.866</v>
      </c>
      <c r="Q219" s="20" t="n">
        <v>-486.15</v>
      </c>
      <c r="R219" s="20" t="n">
        <v>142.007</v>
      </c>
      <c r="S219" s="20" t="n">
        <v>-175.562</v>
      </c>
      <c r="T219" s="20" t="n">
        <v>-293.113</v>
      </c>
      <c r="U219" s="20" t="n">
        <v>-243.529</v>
      </c>
      <c r="V219" s="20" t="n">
        <v>-33.947</v>
      </c>
      <c r="W219" s="20" t="n">
        <v>15.255</v>
      </c>
      <c r="X219" s="20" t="n">
        <v>92.46299999999999</v>
      </c>
    </row>
    <row r="220">
      <c r="A220" s="18" t="inlineStr">
        <is>
          <t>기타</t>
        </is>
      </c>
      <c r="C220" s="20" t="n">
        <v>832.749</v>
      </c>
      <c r="D220" s="20" t="n">
        <v>1759.776</v>
      </c>
      <c r="E220" s="20" t="n">
        <v>429.724</v>
      </c>
      <c r="F220" s="20" t="n">
        <v>291.427</v>
      </c>
      <c r="G220" s="20" t="n">
        <v>1021.056</v>
      </c>
      <c r="H220" s="20" t="n">
        <v>514.553</v>
      </c>
      <c r="I220" s="20" t="n">
        <v>-402.496</v>
      </c>
      <c r="J220" s="20" t="n">
        <v>-730.364</v>
      </c>
      <c r="K220" s="20" t="n">
        <v>-169.145</v>
      </c>
      <c r="L220" s="20" t="n">
        <v>88.932</v>
      </c>
      <c r="M220" s="20" t="n">
        <v>-348.646</v>
      </c>
      <c r="N220" s="20" t="n">
        <v>141.733</v>
      </c>
      <c r="O220" s="20" t="n">
        <v>111.275</v>
      </c>
      <c r="P220" s="20" t="n">
        <v>316.743</v>
      </c>
      <c r="Q220" s="20" t="n">
        <v>124.915</v>
      </c>
      <c r="R220" s="20" t="n">
        <v>-366.72</v>
      </c>
      <c r="S220" s="20" t="n">
        <v>33.645</v>
      </c>
      <c r="T220" s="20" t="n">
        <v>-101.17</v>
      </c>
      <c r="U220" s="20" t="n">
        <v>-155.202</v>
      </c>
      <c r="V220" s="20" t="n">
        <v>1759.776</v>
      </c>
      <c r="W220" s="20" t="n">
        <v>514.553</v>
      </c>
      <c r="X220" s="20" t="n">
        <v>88.932</v>
      </c>
    </row>
    <row r="221">
      <c r="A221" s="18" t="inlineStr">
        <is>
          <t>소계</t>
        </is>
      </c>
      <c r="C221" s="20" t="n">
        <v>5362.688</v>
      </c>
      <c r="D221" s="20" t="n">
        <v>7498.597</v>
      </c>
      <c r="E221" s="20" t="n">
        <v>4518.412</v>
      </c>
      <c r="F221" s="20" t="n">
        <v>9668.005999999999</v>
      </c>
      <c r="G221" s="20" t="n">
        <v>11860.291</v>
      </c>
      <c r="H221" s="20" t="n">
        <v>15386.706</v>
      </c>
      <c r="I221" s="20" t="n">
        <v>2553.032</v>
      </c>
      <c r="J221" s="20" t="n">
        <v>5981.131</v>
      </c>
      <c r="K221" s="20" t="n">
        <v>7688.349</v>
      </c>
      <c r="L221" s="20" t="n">
        <v>10648.301</v>
      </c>
      <c r="M221" s="20" t="n">
        <v>2345.7</v>
      </c>
      <c r="N221" s="20" t="n">
        <v>5335.981</v>
      </c>
      <c r="O221" s="20" t="n">
        <v>5373.28</v>
      </c>
      <c r="P221" s="20" t="n">
        <v>3283.095</v>
      </c>
      <c r="Q221" s="20" t="n">
        <v>4564.12</v>
      </c>
      <c r="R221" s="20" t="n">
        <v>5468.316</v>
      </c>
      <c r="S221" s="20" t="n">
        <v>3054.498</v>
      </c>
      <c r="T221" s="20" t="n">
        <v>3549.114</v>
      </c>
      <c r="U221" s="20" t="n">
        <v>2234.489</v>
      </c>
      <c r="V221" s="20" t="n">
        <v>7498.597</v>
      </c>
      <c r="W221" s="20" t="n">
        <v>15386.706</v>
      </c>
      <c r="X221" s="20" t="n">
        <v>10648.301</v>
      </c>
    </row>
    <row r="222">
      <c r="A222" s="18" t="inlineStr">
        <is>
          <t>이자·배당금 수취</t>
        </is>
      </c>
      <c r="C222" s="20" t="n">
        <v>559.505</v>
      </c>
      <c r="D222" s="20" t="n">
        <v>660.897</v>
      </c>
      <c r="E222" s="20" t="n">
        <v>386.585</v>
      </c>
      <c r="F222" s="20" t="n">
        <v>447.96</v>
      </c>
      <c r="G222" s="20" t="n">
        <v>647.592</v>
      </c>
      <c r="H222" s="20" t="n">
        <v>759.551</v>
      </c>
      <c r="I222" s="20" t="n">
        <v>312.894</v>
      </c>
      <c r="J222" s="20" t="n">
        <v>428.187</v>
      </c>
      <c r="K222" s="20" t="n">
        <v>634.515</v>
      </c>
      <c r="L222" s="20" t="n">
        <v>761.129</v>
      </c>
      <c r="M222" s="20" t="n">
        <v>284.894</v>
      </c>
      <c r="N222" s="20" t="n">
        <v>370.66</v>
      </c>
      <c r="O222" s="20" t="n">
        <v>345.474</v>
      </c>
      <c r="P222" s="20" t="n">
        <v>287.589</v>
      </c>
      <c r="Q222" s="20" t="n">
        <v>368.288</v>
      </c>
      <c r="R222" s="20" t="n">
        <v>448.127</v>
      </c>
      <c r="S222" s="20" t="n">
        <v>427.132</v>
      </c>
      <c r="T222" s="20" t="n">
        <v>438.304</v>
      </c>
      <c r="U222" s="20" t="n">
        <v>510.706</v>
      </c>
      <c r="V222" s="20" t="n">
        <v>660.897</v>
      </c>
      <c r="W222" s="20" t="n">
        <v>759.551</v>
      </c>
      <c r="X222" s="20" t="n">
        <v>761.129</v>
      </c>
    </row>
    <row r="223">
      <c r="A223" s="18" t="inlineStr">
        <is>
          <t>Cooperation Received Ope CF</t>
        </is>
      </c>
      <c r="C223" s="20" t="n">
        <v>0</v>
      </c>
      <c r="D223" s="20" t="n">
        <v>0</v>
      </c>
      <c r="S223" s="20" t="n">
        <v>0</v>
      </c>
      <c r="T223" s="20" t="n">
        <v>125.261</v>
      </c>
      <c r="U223" s="20" t="n">
        <v>28.422</v>
      </c>
      <c r="V223" s="20" t="n">
        <v>0</v>
      </c>
    </row>
    <row r="224">
      <c r="A224" s="18" t="inlineStr">
        <is>
          <t>법인세 납부</t>
        </is>
      </c>
      <c r="C224" s="20" t="n">
        <v>-1694.506</v>
      </c>
      <c r="D224" s="20" t="n">
        <v>-1711.821</v>
      </c>
      <c r="E224" s="20" t="n">
        <v>-3580.087</v>
      </c>
      <c r="F224" s="20" t="n">
        <v>-3303.604</v>
      </c>
      <c r="G224" s="20" t="n">
        <v>-5475.1</v>
      </c>
      <c r="H224" s="20" t="n">
        <v>-5494.435</v>
      </c>
      <c r="I224" s="20" t="n">
        <v>-1713.16</v>
      </c>
      <c r="J224" s="20" t="n">
        <v>-1635.702</v>
      </c>
      <c r="K224" s="20" t="n">
        <v>-3572.949</v>
      </c>
      <c r="L224" s="20" t="n">
        <v>-3594.741</v>
      </c>
      <c r="M224" s="20" t="n">
        <v>-1470.571</v>
      </c>
      <c r="N224" s="20" t="n">
        <v>-1317.038</v>
      </c>
      <c r="O224" s="20" t="n">
        <v>-1657.715</v>
      </c>
      <c r="P224" s="20" t="n">
        <v>-1597.068</v>
      </c>
      <c r="Q224" s="20" t="n">
        <v>-1280.054</v>
      </c>
      <c r="R224" s="20" t="n">
        <v>-1698.758</v>
      </c>
      <c r="S224" s="20" t="n">
        <v>-882.328</v>
      </c>
      <c r="T224" s="20" t="n">
        <v>-545.192</v>
      </c>
      <c r="U224" s="20" t="n">
        <v>-1829.631</v>
      </c>
      <c r="V224" s="20" t="n">
        <v>-1711.821</v>
      </c>
      <c r="W224" s="20" t="n">
        <v>-5494.435</v>
      </c>
      <c r="X224" s="20" t="n">
        <v>-3594.741</v>
      </c>
    </row>
    <row r="225">
      <c r="A225" s="9" t="inlineStr">
        <is>
          <t>영업활동 현금흐름</t>
        </is>
      </c>
      <c r="C225" s="12" t="n">
        <v>4227.687</v>
      </c>
      <c r="D225" s="12" t="n">
        <v>6447.673</v>
      </c>
      <c r="E225" s="12" t="n">
        <v>1324.91</v>
      </c>
      <c r="F225" s="12" t="n">
        <v>6812.362</v>
      </c>
      <c r="G225" s="12" t="n">
        <v>7032.783</v>
      </c>
      <c r="H225" s="12" t="n">
        <v>10651.822</v>
      </c>
      <c r="I225" s="12" t="n">
        <v>1152.766</v>
      </c>
      <c r="J225" s="12" t="n">
        <v>4773.616</v>
      </c>
      <c r="K225" s="12" t="n">
        <v>4749.915</v>
      </c>
      <c r="L225" s="12" t="n">
        <v>7814.688</v>
      </c>
      <c r="M225" s="12" t="n">
        <v>1160.023</v>
      </c>
      <c r="N225" s="12" t="n">
        <v>4389.603</v>
      </c>
      <c r="O225" s="12" t="n">
        <v>4061.038</v>
      </c>
      <c r="P225" s="12" t="n">
        <v>1973.615</v>
      </c>
      <c r="Q225" s="12" t="n">
        <v>3652.353</v>
      </c>
      <c r="R225" s="12" t="n">
        <v>4217.685</v>
      </c>
      <c r="S225" s="12" t="n">
        <v>2599.302</v>
      </c>
      <c r="T225" s="12" t="n">
        <v>3567.486</v>
      </c>
      <c r="U225" s="12" t="n">
        <v>943.985</v>
      </c>
      <c r="V225" s="12" t="n">
        <v>6447.673</v>
      </c>
      <c r="W225" s="12" t="n">
        <v>10651.822</v>
      </c>
      <c r="X225" s="12" t="n">
        <v>7814.688</v>
      </c>
    </row>
    <row r="226">
      <c r="A226" s="18" t="inlineStr">
        <is>
          <t>유형자산 취득(설비투자)</t>
        </is>
      </c>
      <c r="C226" s="20" t="n">
        <v>-1036.601</v>
      </c>
      <c r="D226" s="20" t="n">
        <v>-1340.162</v>
      </c>
      <c r="E226" s="20" t="n">
        <v>-534.754</v>
      </c>
      <c r="F226" s="20" t="n">
        <v>-748.174</v>
      </c>
      <c r="G226" s="20" t="n">
        <v>-754.403</v>
      </c>
      <c r="H226" s="20" t="n">
        <v>-845.078</v>
      </c>
      <c r="I226" s="20" t="n">
        <v>-537.34</v>
      </c>
      <c r="J226" s="20" t="n">
        <v>-589.7809999999999</v>
      </c>
      <c r="K226" s="20" t="n">
        <v>-731.212</v>
      </c>
      <c r="L226" s="20" t="n">
        <v>-2239.933</v>
      </c>
      <c r="M226" s="20" t="n">
        <v>-240.79</v>
      </c>
      <c r="N226" s="20" t="n">
        <v>-1707.477</v>
      </c>
      <c r="O226" s="20" t="n">
        <v>-331.858</v>
      </c>
      <c r="P226" s="20" t="n">
        <v>-607.8869999999999</v>
      </c>
      <c r="Q226" s="20" t="n">
        <v>-279.536</v>
      </c>
      <c r="R226" s="20" t="n">
        <v>-2766.482</v>
      </c>
      <c r="S226" s="20" t="n">
        <v>-100.669</v>
      </c>
      <c r="T226" s="20" t="n">
        <v>-1976.556</v>
      </c>
      <c r="U226" s="20" t="n">
        <v>-1783.151</v>
      </c>
      <c r="V226" s="20" t="n">
        <v>-1340.162</v>
      </c>
      <c r="W226" s="20" t="n">
        <v>-845.078</v>
      </c>
      <c r="X226" s="20" t="n">
        <v>-2239.933</v>
      </c>
    </row>
    <row r="227">
      <c r="A227" s="18" t="inlineStr">
        <is>
          <t>유형자산 매각</t>
        </is>
      </c>
      <c r="C227" s="20" t="n">
        <v>0</v>
      </c>
      <c r="D227" s="20" t="n">
        <v>0</v>
      </c>
      <c r="R227" s="20" t="n">
        <v>0</v>
      </c>
      <c r="S227" s="20" t="n">
        <v>7</v>
      </c>
      <c r="T227" s="20" t="n">
        <v>0</v>
      </c>
      <c r="U227" s="20" t="n">
        <v>9.629</v>
      </c>
      <c r="V227" s="20" t="n">
        <v>0</v>
      </c>
    </row>
    <row r="228">
      <c r="A228" s="18" t="inlineStr">
        <is>
          <t>투자유가증권 취득</t>
        </is>
      </c>
      <c r="C228" s="20" t="n">
        <v>-967.174</v>
      </c>
      <c r="D228" s="20" t="n">
        <v>-979.849</v>
      </c>
      <c r="E228" s="20" t="n">
        <v>-107.733</v>
      </c>
      <c r="F228" s="20" t="n">
        <v>-419.83</v>
      </c>
      <c r="G228" s="20" t="n">
        <v>-488.206</v>
      </c>
      <c r="H228" s="20" t="n">
        <v>-502.136</v>
      </c>
      <c r="I228" s="20" t="n">
        <v>-206.731</v>
      </c>
      <c r="J228" s="20" t="n">
        <v>-221.856</v>
      </c>
      <c r="K228" s="20" t="n">
        <v>-275.798</v>
      </c>
      <c r="L228" s="20" t="n">
        <v>-489.057</v>
      </c>
      <c r="M228" s="20" t="n">
        <v>-140.224</v>
      </c>
      <c r="N228" s="20" t="n">
        <v>-1156.707</v>
      </c>
      <c r="O228" s="20" t="n">
        <v>-475.431</v>
      </c>
      <c r="P228" s="20" t="n">
        <v>-1745.811</v>
      </c>
      <c r="Q228" s="20" t="n">
        <v>-2878.046</v>
      </c>
      <c r="R228" s="20" t="n">
        <v>-1073.662</v>
      </c>
      <c r="S228" s="20" t="n">
        <v>-395.7</v>
      </c>
      <c r="T228" s="20" t="n">
        <v>-2079.968</v>
      </c>
      <c r="U228" s="20" t="n">
        <v>-2830.473</v>
      </c>
      <c r="V228" s="20" t="n">
        <v>-979.849</v>
      </c>
      <c r="W228" s="20" t="n">
        <v>-502.136</v>
      </c>
      <c r="X228" s="20" t="n">
        <v>-489.057</v>
      </c>
    </row>
    <row r="229">
      <c r="A229" s="18" t="inlineStr">
        <is>
          <t>투자유가증권 매각</t>
        </is>
      </c>
      <c r="C229" s="20" t="n">
        <v>414.815</v>
      </c>
      <c r="D229" s="20" t="n">
        <v>697.342</v>
      </c>
      <c r="E229" s="20" t="n">
        <v>56.872</v>
      </c>
      <c r="F229" s="20" t="n">
        <v>56.872</v>
      </c>
      <c r="G229" s="20" t="n">
        <v>56.872</v>
      </c>
      <c r="H229" s="20" t="n">
        <v>1071.035</v>
      </c>
      <c r="I229" s="20" t="n">
        <v>0</v>
      </c>
      <c r="J229" s="20" t="n">
        <v>12.225</v>
      </c>
      <c r="K229" s="20" t="n">
        <v>162.055</v>
      </c>
      <c r="L229" s="20" t="n">
        <v>409.242</v>
      </c>
      <c r="N229" s="20" t="n">
        <v>16.127</v>
      </c>
      <c r="O229" s="20" t="n">
        <v>4130.75</v>
      </c>
      <c r="P229" s="20" t="n">
        <v>0</v>
      </c>
      <c r="Q229" s="20" t="n">
        <v>538.122</v>
      </c>
      <c r="R229" s="20" t="n">
        <v>6.948</v>
      </c>
      <c r="S229" s="20" t="n">
        <v>0</v>
      </c>
      <c r="T229" s="20" t="n">
        <v>4602.85</v>
      </c>
      <c r="U229" s="20" t="n">
        <v>2332.215</v>
      </c>
      <c r="V229" s="20" t="n">
        <v>697.342</v>
      </c>
      <c r="W229" s="20" t="n">
        <v>1071.035</v>
      </c>
      <c r="X229" s="20" t="n">
        <v>409.242</v>
      </c>
    </row>
    <row r="230">
      <c r="A230" s="18" t="inlineStr">
        <is>
          <t>Payment For Establishment Of Subsidiary Inv CF</t>
        </is>
      </c>
      <c r="O230" s="20" t="n">
        <v>-50</v>
      </c>
      <c r="P230" s="20" t="n">
        <v>0</v>
      </c>
    </row>
    <row r="231">
      <c r="A231" s="18" t="inlineStr">
        <is>
          <t>자회사 주식 취득</t>
        </is>
      </c>
      <c r="O231" s="20" t="n">
        <v>-388</v>
      </c>
      <c r="P231" s="20" t="n">
        <v>0</v>
      </c>
    </row>
    <row r="232">
      <c r="A232" s="18" t="inlineStr">
        <is>
          <t>관계회사 정리 수입</t>
        </is>
      </c>
      <c r="D232" s="20" t="n">
        <v>0</v>
      </c>
      <c r="T232" s="20" t="n">
        <v>0</v>
      </c>
      <c r="U232" s="20" t="n">
        <v>235.236</v>
      </c>
      <c r="V232" s="20" t="n">
        <v>0</v>
      </c>
    </row>
    <row r="233">
      <c r="A233" s="18" t="inlineStr">
        <is>
          <t>대여금 회수</t>
        </is>
      </c>
      <c r="R233" s="20" t="n">
        <v>0</v>
      </c>
      <c r="S233" s="20" t="n">
        <v>86.258</v>
      </c>
      <c r="T233" s="20" t="n">
        <v>93.45399999999999</v>
      </c>
      <c r="U233" s="20" t="n">
        <v>2.28</v>
      </c>
    </row>
    <row r="234">
      <c r="A234" s="18" t="inlineStr">
        <is>
          <t>사업양수 지출</t>
        </is>
      </c>
      <c r="S234" s="20" t="n">
        <v>0</v>
      </c>
      <c r="T234" s="20" t="n">
        <v>-206.667</v>
      </c>
      <c r="U234" s="20" t="n">
        <v>0</v>
      </c>
    </row>
    <row r="235">
      <c r="A235" s="18" t="inlineStr">
        <is>
          <t>기타</t>
        </is>
      </c>
      <c r="C235" s="20" t="n">
        <v>62.864</v>
      </c>
      <c r="D235" s="20" t="n">
        <v>-13.62</v>
      </c>
      <c r="E235" s="20" t="n">
        <v>8.218</v>
      </c>
      <c r="F235" s="20" t="n">
        <v>-57.109</v>
      </c>
      <c r="G235" s="20" t="n">
        <v>-174.012</v>
      </c>
      <c r="H235" s="20" t="n">
        <v>-282.437</v>
      </c>
      <c r="I235" s="20" t="n">
        <v>41.539</v>
      </c>
      <c r="J235" s="20" t="n">
        <v>-55.392</v>
      </c>
      <c r="K235" s="20" t="n">
        <v>-138.852</v>
      </c>
      <c r="L235" s="20" t="n">
        <v>-160.802</v>
      </c>
      <c r="M235" s="20" t="n">
        <v>56.699</v>
      </c>
      <c r="N235" s="20" t="n">
        <v>-39.352</v>
      </c>
      <c r="O235" s="20" t="n">
        <v>281.828</v>
      </c>
      <c r="P235" s="20" t="n">
        <v>34.012</v>
      </c>
      <c r="Q235" s="20" t="n">
        <v>-436.743</v>
      </c>
      <c r="R235" s="20" t="n">
        <v>130.041</v>
      </c>
      <c r="S235" s="20" t="n">
        <v>-187.376</v>
      </c>
      <c r="T235" s="20" t="n">
        <v>-9.135</v>
      </c>
      <c r="U235" s="20" t="n">
        <v>-70.163</v>
      </c>
      <c r="V235" s="20" t="n">
        <v>-13.62</v>
      </c>
      <c r="W235" s="20" t="n">
        <v>-282.437</v>
      </c>
      <c r="X235" s="20" t="n">
        <v>-160.802</v>
      </c>
    </row>
    <row r="236">
      <c r="A236" s="9" t="inlineStr">
        <is>
          <t>투자활동 현금흐름</t>
        </is>
      </c>
      <c r="C236" s="12" t="n">
        <v>-1526.095</v>
      </c>
      <c r="D236" s="12" t="n">
        <v>-1636.29</v>
      </c>
      <c r="E236" s="12" t="n">
        <v>-577.397</v>
      </c>
      <c r="F236" s="12" t="n">
        <v>-1168.242</v>
      </c>
      <c r="G236" s="12" t="n">
        <v>-1359.75</v>
      </c>
      <c r="H236" s="12" t="n">
        <v>-558.615</v>
      </c>
      <c r="I236" s="12" t="n">
        <v>-702.5309999999999</v>
      </c>
      <c r="J236" s="12" t="n">
        <v>-854.804</v>
      </c>
      <c r="K236" s="12" t="n">
        <v>-983.807</v>
      </c>
      <c r="L236" s="12" t="n">
        <v>-2480.551</v>
      </c>
      <c r="M236" s="12" t="n">
        <v>-324.314</v>
      </c>
      <c r="N236" s="12" t="n">
        <v>-2887.409</v>
      </c>
      <c r="O236" s="12" t="n">
        <v>3167.288</v>
      </c>
      <c r="P236" s="12" t="n">
        <v>-2319.685</v>
      </c>
      <c r="Q236" s="12" t="n">
        <v>-3056.204</v>
      </c>
      <c r="R236" s="12" t="n">
        <v>-3703.155</v>
      </c>
      <c r="S236" s="12" t="n">
        <v>-590.489</v>
      </c>
      <c r="T236" s="12" t="n">
        <v>423.976</v>
      </c>
      <c r="U236" s="12" t="n">
        <v>-2106.707</v>
      </c>
      <c r="V236" s="12" t="n">
        <v>-1636.29</v>
      </c>
      <c r="W236" s="12" t="n">
        <v>-558.615</v>
      </c>
      <c r="X236" s="12" t="n">
        <v>-2480.551</v>
      </c>
    </row>
    <row r="237">
      <c r="A237" s="18" t="inlineStr">
        <is>
          <t>자기주식 취득</t>
        </is>
      </c>
      <c r="C237" s="20" t="n">
        <v>-0.113</v>
      </c>
      <c r="D237" s="20" t="n">
        <v>-0.34</v>
      </c>
      <c r="F237" s="20" t="n">
        <v>0</v>
      </c>
      <c r="G237" s="20" t="n">
        <v>-0.082</v>
      </c>
      <c r="H237" s="20" t="n">
        <v>-0.082</v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-1536.807</v>
      </c>
      <c r="N237" s="20" t="n">
        <v>-3694.193</v>
      </c>
      <c r="O237" s="20" t="n">
        <v>-12.805</v>
      </c>
      <c r="P237" s="20" t="n">
        <v>-0.366</v>
      </c>
      <c r="Q237" s="20" t="n">
        <v>0</v>
      </c>
      <c r="R237" s="20" t="n">
        <v>-0.13</v>
      </c>
      <c r="S237" s="20" t="n">
        <v>0</v>
      </c>
      <c r="T237" s="20" t="n">
        <v>-126.236</v>
      </c>
      <c r="U237" s="20" t="n">
        <v>-996.807</v>
      </c>
      <c r="V237" s="20" t="n">
        <v>-0.34</v>
      </c>
      <c r="W237" s="20" t="n">
        <v>-0.082</v>
      </c>
      <c r="X237" s="20" t="n">
        <v>0</v>
      </c>
    </row>
    <row r="238">
      <c r="A238" s="18" t="inlineStr">
        <is>
          <t>자기주식 매각</t>
        </is>
      </c>
      <c r="C238" s="20" t="n">
        <v>2428.227</v>
      </c>
      <c r="D238" s="20" t="n">
        <v>3416.047</v>
      </c>
      <c r="E238" s="20" t="n">
        <v>733.847</v>
      </c>
      <c r="F238" s="20" t="n">
        <v>760.898</v>
      </c>
      <c r="G238" s="20" t="n">
        <v>760.898</v>
      </c>
      <c r="H238" s="20" t="n">
        <v>760.898</v>
      </c>
      <c r="I238" s="20" t="n">
        <v>0</v>
      </c>
      <c r="J238" s="20" t="n">
        <v>0</v>
      </c>
      <c r="K238" s="20" t="n">
        <v>0</v>
      </c>
      <c r="L238" s="20" t="n">
        <v>0</v>
      </c>
      <c r="U238" s="20" t="n">
        <v>3.667</v>
      </c>
      <c r="V238" s="20" t="n">
        <v>3416.047</v>
      </c>
      <c r="W238" s="20" t="n">
        <v>760.898</v>
      </c>
      <c r="X238" s="20" t="n">
        <v>0</v>
      </c>
    </row>
    <row r="239">
      <c r="A239" s="18" t="inlineStr">
        <is>
          <t>배당금 지급</t>
        </is>
      </c>
      <c r="C239" s="20" t="n">
        <v>-1597.315</v>
      </c>
      <c r="D239" s="20" t="n">
        <v>-1625.217</v>
      </c>
      <c r="E239" s="20" t="n">
        <v>-1570.414</v>
      </c>
      <c r="F239" s="20" t="n">
        <v>-1610.448</v>
      </c>
      <c r="G239" s="20" t="n">
        <v>-3761.437</v>
      </c>
      <c r="H239" s="20" t="n">
        <v>-3820.707</v>
      </c>
      <c r="I239" s="20" t="n">
        <v>-1343.329</v>
      </c>
      <c r="J239" s="20" t="n">
        <v>-1382.12</v>
      </c>
      <c r="K239" s="20" t="n">
        <v>-2727.321</v>
      </c>
      <c r="L239" s="20" t="n">
        <v>-2765.505</v>
      </c>
      <c r="M239" s="20" t="n">
        <v>-1346.986</v>
      </c>
      <c r="N239" s="20" t="n">
        <v>-1382.096</v>
      </c>
      <c r="O239" s="20" t="n">
        <v>-1090.559</v>
      </c>
      <c r="P239" s="20" t="n">
        <v>-1161.069</v>
      </c>
      <c r="Q239" s="20" t="n">
        <v>-1334.968</v>
      </c>
      <c r="R239" s="20" t="n">
        <v>-1343.365</v>
      </c>
      <c r="S239" s="20" t="n">
        <v>-1168.088</v>
      </c>
      <c r="T239" s="20" t="n">
        <v>-1175.618</v>
      </c>
      <c r="U239" s="20" t="n">
        <v>-1170.736</v>
      </c>
      <c r="V239" s="20" t="n">
        <v>-1625.217</v>
      </c>
      <c r="W239" s="20" t="n">
        <v>-3820.707</v>
      </c>
      <c r="X239" s="20" t="n">
        <v>-2765.505</v>
      </c>
    </row>
    <row r="240">
      <c r="A240" s="18" t="inlineStr">
        <is>
          <t>신주예약권 발행</t>
        </is>
      </c>
      <c r="C240" s="20" t="n">
        <v>23.125</v>
      </c>
      <c r="D240" s="20" t="n">
        <v>23.125</v>
      </c>
      <c r="E240" s="20" t="n">
        <v>0</v>
      </c>
      <c r="F240" s="20" t="n">
        <v>0</v>
      </c>
      <c r="G240" s="20" t="n">
        <v>0</v>
      </c>
      <c r="H240" s="20" t="n">
        <v>0</v>
      </c>
      <c r="U240" s="20" t="n">
        <v>0</v>
      </c>
      <c r="V240" s="20" t="n">
        <v>23.125</v>
      </c>
      <c r="W240" s="20" t="n">
        <v>0</v>
      </c>
    </row>
    <row r="241">
      <c r="A241" s="18" t="inlineStr">
        <is>
          <t>기타</t>
        </is>
      </c>
      <c r="C241" s="20" t="n">
        <v>0</v>
      </c>
      <c r="D241" s="20" t="n">
        <v>0</v>
      </c>
      <c r="E241" s="20" t="n">
        <v>-9.25</v>
      </c>
      <c r="F241" s="20" t="n">
        <v>-9.25</v>
      </c>
      <c r="G241" s="20" t="n">
        <v>-9.25</v>
      </c>
      <c r="H241" s="20" t="n">
        <v>-9.25</v>
      </c>
      <c r="I241" s="20" t="n">
        <v>0</v>
      </c>
      <c r="J241" s="20" t="n">
        <v>0</v>
      </c>
      <c r="K241" s="20" t="n">
        <v>0</v>
      </c>
      <c r="L241" s="20" t="n">
        <v>0</v>
      </c>
      <c r="S241" s="20" t="n">
        <v>0</v>
      </c>
      <c r="T241" s="20" t="n">
        <v>6.715</v>
      </c>
      <c r="U241" s="20" t="n">
        <v>3.667</v>
      </c>
      <c r="V241" s="20" t="n">
        <v>0</v>
      </c>
      <c r="W241" s="20" t="n">
        <v>-9.25</v>
      </c>
      <c r="X241" s="20" t="n">
        <v>0</v>
      </c>
    </row>
    <row r="242">
      <c r="A242" s="9" t="inlineStr">
        <is>
          <t>재무활동 현금흐름</t>
        </is>
      </c>
      <c r="C242" s="12" t="n">
        <v>853.923</v>
      </c>
      <c r="D242" s="12" t="n">
        <v>1813.614</v>
      </c>
      <c r="E242" s="12" t="n">
        <v>-845.817</v>
      </c>
      <c r="F242" s="12" t="n">
        <v>-858.8</v>
      </c>
      <c r="G242" s="12" t="n">
        <v>-3009.871</v>
      </c>
      <c r="H242" s="12" t="n">
        <v>-3069.141</v>
      </c>
      <c r="I242" s="12" t="n">
        <v>-1343.329</v>
      </c>
      <c r="J242" s="12" t="n">
        <v>-1382.12</v>
      </c>
      <c r="K242" s="12" t="n">
        <v>-2727.321</v>
      </c>
      <c r="L242" s="12" t="n">
        <v>-2765.505</v>
      </c>
      <c r="M242" s="12" t="n">
        <v>-2883.794</v>
      </c>
      <c r="N242" s="12" t="n">
        <v>-5076.289</v>
      </c>
      <c r="O242" s="12" t="n">
        <v>-1103.365</v>
      </c>
      <c r="P242" s="12" t="n">
        <v>-1161.436</v>
      </c>
      <c r="Q242" s="12" t="n">
        <v>-1334.968</v>
      </c>
      <c r="R242" s="12" t="n">
        <v>-1343.496</v>
      </c>
      <c r="S242" s="12" t="n">
        <v>-1168.088</v>
      </c>
      <c r="T242" s="12" t="n">
        <v>-1295.139</v>
      </c>
      <c r="U242" s="12" t="n">
        <v>-2163.877</v>
      </c>
      <c r="V242" s="12" t="n">
        <v>1813.614</v>
      </c>
      <c r="W242" s="12" t="n">
        <v>-3069.141</v>
      </c>
      <c r="X242" s="12" t="n">
        <v>-2765.505</v>
      </c>
    </row>
    <row r="243">
      <c r="A243" s="18" t="inlineStr">
        <is>
          <t>현금성자산 환산차이</t>
        </is>
      </c>
      <c r="C243" s="20" t="n">
        <v>15.175</v>
      </c>
      <c r="D243" s="20" t="n">
        <v>28.3</v>
      </c>
      <c r="E243" s="20" t="n">
        <v>14.66</v>
      </c>
      <c r="F243" s="20" t="n">
        <v>-14.287</v>
      </c>
      <c r="G243" s="20" t="n">
        <v>12.637</v>
      </c>
      <c r="H243" s="20" t="n">
        <v>-4.517</v>
      </c>
      <c r="I243" s="20" t="n">
        <v>-10.947</v>
      </c>
      <c r="J243" s="20" t="n">
        <v>0.005</v>
      </c>
      <c r="K243" s="20" t="n">
        <v>15.704</v>
      </c>
      <c r="L243" s="20" t="n">
        <v>21.271</v>
      </c>
      <c r="M243" s="20" t="n">
        <v>6.285</v>
      </c>
      <c r="N243" s="20" t="n">
        <v>-6.061</v>
      </c>
      <c r="O243" s="20" t="n">
        <v>3.816</v>
      </c>
      <c r="P243" s="20" t="n">
        <v>-3.446</v>
      </c>
      <c r="Q243" s="20" t="n">
        <v>5.511</v>
      </c>
      <c r="R243" s="20" t="n">
        <v>-0.405</v>
      </c>
      <c r="S243" s="20" t="n">
        <v>17.068</v>
      </c>
      <c r="T243" s="20" t="n">
        <v>78.712</v>
      </c>
      <c r="U243" s="20" t="n">
        <v>23.307</v>
      </c>
      <c r="V243" s="20" t="n">
        <v>28.3</v>
      </c>
      <c r="W243" s="20" t="n">
        <v>-4.517</v>
      </c>
      <c r="X243" s="20" t="n">
        <v>21.271</v>
      </c>
    </row>
    <row r="244">
      <c r="A244" s="18" t="inlineStr">
        <is>
          <t>현금성자산 증감</t>
        </is>
      </c>
      <c r="C244" s="20" t="n">
        <v>3570.691</v>
      </c>
      <c r="D244" s="20" t="n">
        <v>6653.297</v>
      </c>
      <c r="E244" s="20" t="n">
        <v>-83.643</v>
      </c>
      <c r="F244" s="20" t="n">
        <v>4771.032</v>
      </c>
      <c r="G244" s="20" t="n">
        <v>2675.799</v>
      </c>
      <c r="H244" s="20" t="n">
        <v>7019.546</v>
      </c>
      <c r="I244" s="20" t="n">
        <v>-904.042</v>
      </c>
      <c r="J244" s="20" t="n">
        <v>2536.697</v>
      </c>
      <c r="K244" s="20" t="n">
        <v>1054.491</v>
      </c>
      <c r="L244" s="20" t="n">
        <v>2589.902</v>
      </c>
      <c r="M244" s="20" t="n">
        <v>-2041.8</v>
      </c>
      <c r="N244" s="20" t="n">
        <v>-3580.156</v>
      </c>
      <c r="O244" s="20" t="n">
        <v>6128.779</v>
      </c>
      <c r="P244" s="20" t="n">
        <v>-1510.952</v>
      </c>
      <c r="Q244" s="20" t="n">
        <v>-733.307</v>
      </c>
      <c r="R244" s="20" t="n">
        <v>-829.371</v>
      </c>
      <c r="S244" s="20" t="n">
        <v>857.793</v>
      </c>
      <c r="T244" s="20" t="n">
        <v>2775.036</v>
      </c>
      <c r="U244" s="20" t="n">
        <v>-3303.29</v>
      </c>
      <c r="V244" s="20" t="n">
        <v>6653.297</v>
      </c>
      <c r="W244" s="20" t="n">
        <v>7019.546</v>
      </c>
      <c r="X244" s="20" t="n">
        <v>2589.902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6419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52865.99</v>
      </c>
      <c r="D5" s="12" t="n">
        <v>53263.854</v>
      </c>
      <c r="E5" s="12" t="n">
        <v>52630.405</v>
      </c>
      <c r="F5" s="12" t="n">
        <v>50188.128</v>
      </c>
      <c r="G5" s="12" t="n">
        <v>47883.322</v>
      </c>
      <c r="H5" s="11" t="n">
        <v>33970.902</v>
      </c>
      <c r="I5" s="12" t="n">
        <v>35122.618</v>
      </c>
      <c r="J5" s="12" t="n">
        <v>49248.89</v>
      </c>
      <c r="K5" s="12" t="n">
        <v>52004.781</v>
      </c>
      <c r="L5" s="12" t="n">
        <v>52630.405</v>
      </c>
    </row>
    <row r="6">
      <c r="A6" s="18" t="inlineStr">
        <is>
          <t>현금및현금성자산</t>
        </is>
      </c>
      <c r="B6" s="10" t="n"/>
      <c r="C6" s="19" t="n">
        <v>38910.113</v>
      </c>
      <c r="D6" s="20" t="n">
        <v>37427.907</v>
      </c>
      <c r="E6" s="20" t="n">
        <v>38963.318</v>
      </c>
      <c r="F6" s="20" t="n">
        <v>36921.518</v>
      </c>
      <c r="G6" s="20" t="n">
        <v>35383.161</v>
      </c>
      <c r="H6" s="19" t="n">
        <v>26003.862</v>
      </c>
      <c r="I6" s="20" t="n">
        <v>22700.571</v>
      </c>
      <c r="J6" s="20" t="n">
        <v>29353.869</v>
      </c>
      <c r="K6" s="20" t="n">
        <v>36373.416</v>
      </c>
      <c r="L6" s="20" t="n">
        <v>38963.318</v>
      </c>
    </row>
    <row r="7">
      <c r="A7" s="18" t="inlineStr">
        <is>
          <t>단기금융상품</t>
        </is>
      </c>
      <c r="B7" s="10" t="n"/>
      <c r="C7" s="19" t="n">
        <v>350.995</v>
      </c>
      <c r="D7" s="20" t="n">
        <v>351.555</v>
      </c>
      <c r="E7" s="20" t="n">
        <v>350.34</v>
      </c>
      <c r="F7" s="20" t="n">
        <v>351.08</v>
      </c>
      <c r="G7" s="20" t="n">
        <v>351.985</v>
      </c>
      <c r="H7" s="19" t="n">
        <v>349.93</v>
      </c>
      <c r="I7" s="20" t="n">
        <v>349.965</v>
      </c>
      <c r="J7" s="20" t="n">
        <v>350.035</v>
      </c>
      <c r="K7" s="20" t="n">
        <v>350.12</v>
      </c>
      <c r="L7" s="20" t="n">
        <v>350.34</v>
      </c>
    </row>
    <row r="8">
      <c r="A8" s="18" t="inlineStr">
        <is>
          <t>매출채권</t>
        </is>
      </c>
      <c r="B8" s="10" t="n"/>
      <c r="C8" s="19" t="n">
        <v>3406.424</v>
      </c>
      <c r="D8" s="20" t="n">
        <v>5769.859</v>
      </c>
      <c r="E8" s="20" t="n">
        <v>4119.854</v>
      </c>
      <c r="F8" s="20" t="n">
        <v>3071.248</v>
      </c>
      <c r="G8" s="20" t="n">
        <v>3582.226</v>
      </c>
      <c r="H8" s="19" t="n">
        <v>3005.808</v>
      </c>
      <c r="I8" s="20" t="n">
        <v>4430.108</v>
      </c>
      <c r="J8" s="20" t="n">
        <v>6002.812</v>
      </c>
      <c r="K8" s="20" t="n">
        <v>4205.323</v>
      </c>
      <c r="L8" s="20" t="n">
        <v>4119.854</v>
      </c>
    </row>
    <row r="9">
      <c r="A9" s="18" t="inlineStr">
        <is>
          <t>재고자산</t>
        </is>
      </c>
      <c r="B9" s="10" t="n"/>
      <c r="C9" s="19" t="n">
        <v>7983.134</v>
      </c>
      <c r="D9" s="20" t="n">
        <v>7492.837</v>
      </c>
      <c r="E9" s="20" t="n">
        <v>7013.808</v>
      </c>
      <c r="F9" s="20" t="n">
        <v>6723.263</v>
      </c>
      <c r="G9" s="20" t="n">
        <v>5896.39</v>
      </c>
      <c r="H9" s="19" t="n">
        <v>2810.859</v>
      </c>
      <c r="I9" s="20" t="n">
        <v>5604.144</v>
      </c>
      <c r="J9" s="20" t="n">
        <v>11608.309</v>
      </c>
      <c r="K9" s="20" t="n">
        <v>8919.371999999999</v>
      </c>
      <c r="L9" s="20" t="n">
        <v>7013.808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36889.691</v>
      </c>
      <c r="D11" s="12" t="n">
        <v>38585.144</v>
      </c>
      <c r="E11" s="12" t="n">
        <v>41632.054</v>
      </c>
      <c r="F11" s="12" t="n">
        <v>43503.563</v>
      </c>
      <c r="G11" s="12" t="n">
        <v>45680.513</v>
      </c>
      <c r="H11" s="11" t="n">
        <v>26164.105</v>
      </c>
      <c r="I11" s="12" t="n">
        <v>28800.163</v>
      </c>
      <c r="J11" s="12" t="n">
        <v>34708.012</v>
      </c>
      <c r="K11" s="12" t="n">
        <v>34996.114</v>
      </c>
      <c r="L11" s="12" t="n">
        <v>41632.054</v>
      </c>
    </row>
    <row r="12">
      <c r="A12" s="18" t="inlineStr">
        <is>
          <t>유형자산</t>
        </is>
      </c>
      <c r="B12" s="10" t="n"/>
      <c r="C12" s="19" t="n">
        <v>16703.145</v>
      </c>
      <c r="D12" s="20" t="n">
        <v>16787.35</v>
      </c>
      <c r="E12" s="20" t="n">
        <v>18252.113</v>
      </c>
      <c r="F12" s="20" t="n">
        <v>18334.339</v>
      </c>
      <c r="G12" s="20" t="n">
        <v>19614.589</v>
      </c>
      <c r="H12" s="19" t="n">
        <v>14439.415</v>
      </c>
      <c r="I12" s="20" t="n">
        <v>15164.285</v>
      </c>
      <c r="J12" s="20" t="n">
        <v>16088.471</v>
      </c>
      <c r="K12" s="20" t="n">
        <v>16272.727</v>
      </c>
      <c r="L12" s="20" t="n">
        <v>18252.113</v>
      </c>
    </row>
    <row r="13">
      <c r="A13" s="18" t="inlineStr">
        <is>
          <t>무형자산</t>
        </is>
      </c>
      <c r="B13" s="10" t="n"/>
      <c r="C13" s="19" t="n">
        <v>544.01</v>
      </c>
      <c r="D13" s="20" t="n">
        <v>569.999</v>
      </c>
      <c r="E13" s="20" t="n">
        <v>511.123</v>
      </c>
      <c r="F13" s="20" t="n">
        <v>498.42</v>
      </c>
      <c r="G13" s="20" t="n">
        <v>530.915</v>
      </c>
      <c r="H13" s="19" t="n">
        <v>322.9</v>
      </c>
      <c r="I13" s="20" t="n">
        <v>306.158</v>
      </c>
      <c r="J13" s="20" t="n">
        <v>323.054</v>
      </c>
      <c r="K13" s="20" t="n">
        <v>470.78</v>
      </c>
      <c r="L13" s="20" t="n">
        <v>511.123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89755.682</v>
      </c>
      <c r="D16" s="12" t="n">
        <v>91848.99800000001</v>
      </c>
      <c r="E16" s="12" t="n">
        <v>94262.46000000001</v>
      </c>
      <c r="F16" s="12" t="n">
        <v>93691.692</v>
      </c>
      <c r="G16" s="12" t="n">
        <v>93563.83500000001</v>
      </c>
      <c r="H16" s="11" t="n">
        <v>60135.008</v>
      </c>
      <c r="I16" s="12" t="n">
        <v>63922.782</v>
      </c>
      <c r="J16" s="12" t="n">
        <v>83956.902</v>
      </c>
      <c r="K16" s="12" t="n">
        <v>87000.89599999999</v>
      </c>
      <c r="L16" s="12" t="n">
        <v>94262.46000000001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4955.524</v>
      </c>
      <c r="D18" s="12" t="n">
        <v>4651.376</v>
      </c>
      <c r="E18" s="12" t="n">
        <v>4390.715</v>
      </c>
      <c r="F18" s="12" t="n">
        <v>3515.665</v>
      </c>
      <c r="G18" s="12" t="n">
        <v>3918.401</v>
      </c>
      <c r="H18" s="11" t="n">
        <v>3643.466</v>
      </c>
      <c r="I18" s="12" t="n">
        <v>5467.002</v>
      </c>
      <c r="J18" s="12" t="n">
        <v>10327.285</v>
      </c>
      <c r="K18" s="12" t="n">
        <v>5996.279</v>
      </c>
      <c r="L18" s="12" t="n">
        <v>4390.715</v>
      </c>
    </row>
    <row r="19">
      <c r="A19" s="18" t="inlineStr">
        <is>
          <t>매입채무</t>
        </is>
      </c>
      <c r="B19" s="10" t="n"/>
      <c r="C19" s="19" t="n">
        <v>1495.423</v>
      </c>
      <c r="D19" s="20" t="n">
        <v>2040.675</v>
      </c>
      <c r="E19" s="20" t="n">
        <v>1239.058</v>
      </c>
      <c r="F19" s="20" t="n">
        <v>1057.388</v>
      </c>
      <c r="G19" s="20" t="n">
        <v>939.7430000000001</v>
      </c>
      <c r="H19" s="19" t="n">
        <v>1321.481</v>
      </c>
      <c r="I19" s="20" t="n">
        <v>2858.476</v>
      </c>
      <c r="J19" s="20" t="n">
        <v>4338.627</v>
      </c>
      <c r="K19" s="20" t="n">
        <v>1627.607</v>
      </c>
      <c r="L19" s="20" t="n">
        <v>1239.058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/>
      <c r="I20" s="20" t="n"/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3209.036</v>
      </c>
      <c r="D23" s="12" t="n">
        <v>3936.848</v>
      </c>
      <c r="E23" s="12" t="n">
        <v>4138.47</v>
      </c>
      <c r="F23" s="12" t="n">
        <v>4907.142</v>
      </c>
      <c r="G23" s="12" t="n">
        <v>4785.491</v>
      </c>
      <c r="H23" s="11" t="n">
        <v>2249.543</v>
      </c>
      <c r="I23" s="12" t="n">
        <v>2148.41</v>
      </c>
      <c r="J23" s="12" t="n">
        <v>2375.58</v>
      </c>
      <c r="K23" s="12" t="n">
        <v>2774.355</v>
      </c>
      <c r="L23" s="12" t="n">
        <v>4138.47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/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8164.561</v>
      </c>
      <c r="D27" s="12" t="n">
        <v>8588.225</v>
      </c>
      <c r="E27" s="12" t="n">
        <v>8529.184999999999</v>
      </c>
      <c r="F27" s="12" t="n">
        <v>8422.807000000001</v>
      </c>
      <c r="G27" s="12" t="n">
        <v>8703.893</v>
      </c>
      <c r="H27" s="11" t="n">
        <v>5893.01</v>
      </c>
      <c r="I27" s="12" t="n">
        <v>7615.412</v>
      </c>
      <c r="J27" s="12" t="n">
        <v>12702.865</v>
      </c>
      <c r="K27" s="12" t="n">
        <v>8770.634</v>
      </c>
      <c r="L27" s="12" t="n">
        <v>8529.184999999999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81591.12</v>
      </c>
      <c r="D31" s="12" t="n">
        <v>83260.773</v>
      </c>
      <c r="E31" s="12" t="n">
        <v>85733.274</v>
      </c>
      <c r="F31" s="12" t="n">
        <v>85268.88400000001</v>
      </c>
      <c r="G31" s="12" t="n">
        <v>84859.942</v>
      </c>
      <c r="H31" s="11" t="n">
        <v>54241.998</v>
      </c>
      <c r="I31" s="12" t="n">
        <v>56307.37</v>
      </c>
      <c r="J31" s="12" t="n">
        <v>71242.539</v>
      </c>
      <c r="K31" s="12" t="n">
        <v>78230.262</v>
      </c>
      <c r="L31" s="12" t="n">
        <v>85733.274</v>
      </c>
    </row>
    <row r="32">
      <c r="A32" s="18" t="inlineStr">
        <is>
          <t>자본금</t>
        </is>
      </c>
      <c r="B32" s="10" t="n"/>
      <c r="C32" s="19" t="n">
        <v>7934.1</v>
      </c>
      <c r="D32" s="20" t="n">
        <v>7934.1</v>
      </c>
      <c r="E32" s="20" t="n">
        <v>7934.1</v>
      </c>
      <c r="F32" s="20" t="n">
        <v>7934.1</v>
      </c>
      <c r="G32" s="20" t="n">
        <v>7934.1</v>
      </c>
      <c r="H32" s="19" t="n">
        <v>7934.1</v>
      </c>
      <c r="I32" s="20" t="n">
        <v>7934.1</v>
      </c>
      <c r="J32" s="20" t="n">
        <v>7934.1</v>
      </c>
      <c r="K32" s="20" t="n">
        <v>7934.1</v>
      </c>
      <c r="L32" s="20" t="n">
        <v>7934.1</v>
      </c>
    </row>
    <row r="33">
      <c r="A33" s="18" t="inlineStr">
        <is>
          <t>이익잉여금</t>
        </is>
      </c>
      <c r="B33" s="10" t="n"/>
      <c r="C33" s="19" t="n">
        <v>65248.16</v>
      </c>
      <c r="D33" s="20" t="n">
        <v>65763.84299999999</v>
      </c>
      <c r="E33" s="20" t="n">
        <v>66865.09299999999</v>
      </c>
      <c r="F33" s="20" t="n">
        <v>66747.822</v>
      </c>
      <c r="G33" s="20" t="n">
        <v>68315.97199999999</v>
      </c>
      <c r="H33" s="19" t="n">
        <v>49237.574</v>
      </c>
      <c r="I33" s="20" t="n">
        <v>51144.527</v>
      </c>
      <c r="J33" s="20" t="n">
        <v>58102.153</v>
      </c>
      <c r="K33" s="20" t="n">
        <v>62991.949</v>
      </c>
      <c r="L33" s="20" t="n">
        <v>66865.09299999999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81591.12</v>
      </c>
      <c r="D35" s="12" t="n">
        <v>83260.773</v>
      </c>
      <c r="E35" s="12" t="n">
        <v>85733.274</v>
      </c>
      <c r="F35" s="12" t="n">
        <v>85268.88400000001</v>
      </c>
      <c r="G35" s="12" t="n">
        <v>84859.942</v>
      </c>
      <c r="H35" s="11" t="n">
        <v>54241.998</v>
      </c>
      <c r="I35" s="12" t="n">
        <v>56307.37</v>
      </c>
      <c r="J35" s="12" t="n">
        <v>71254.03599999999</v>
      </c>
      <c r="K35" s="12" t="n">
        <v>78230.262</v>
      </c>
      <c r="L35" s="12" t="n">
        <v>85733.274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8613.075999999999</v>
      </c>
      <c r="D37" s="12" t="n">
        <v>8368.954</v>
      </c>
      <c r="E37" s="12" t="n">
        <v>7814.688</v>
      </c>
      <c r="F37" s="12" t="n">
        <v>7821.945</v>
      </c>
      <c r="G37" s="12" t="n">
        <v>7430.675</v>
      </c>
      <c r="H37" s="11" t="n">
        <v>3567.486</v>
      </c>
      <c r="I37" s="12" t="n">
        <v>943.985</v>
      </c>
      <c r="J37" s="12" t="n">
        <v>6447.673</v>
      </c>
      <c r="K37" s="12" t="n">
        <v>10651.822</v>
      </c>
      <c r="L37" s="12" t="n">
        <v>7814.688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686.6849999999999</v>
      </c>
      <c r="D38" s="20" t="n">
        <v>821.8869999999999</v>
      </c>
      <c r="E38" s="20" t="n">
        <v>2239.933</v>
      </c>
      <c r="F38" s="20" t="n">
        <v>1943.383</v>
      </c>
      <c r="G38" s="20" t="n">
        <v>3357.629</v>
      </c>
      <c r="H38" s="19" t="n">
        <v>1976.556</v>
      </c>
      <c r="I38" s="20" t="n">
        <v>1783.151</v>
      </c>
      <c r="J38" s="20" t="n">
        <v>1340.162</v>
      </c>
      <c r="K38" s="20" t="n">
        <v>845.078</v>
      </c>
      <c r="L38" s="20" t="n">
        <v>2239.933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3592.379</v>
      </c>
      <c r="D40" s="20" t="n">
        <v>2786.591</v>
      </c>
      <c r="E40" s="20" t="n">
        <v>2765.505</v>
      </c>
      <c r="F40" s="20" t="n">
        <v>2769.162</v>
      </c>
      <c r="G40" s="20" t="n">
        <v>2765.481</v>
      </c>
      <c r="H40" s="19" t="n">
        <v>1175.618</v>
      </c>
      <c r="I40" s="20" t="n">
        <v>1170.736</v>
      </c>
      <c r="J40" s="20" t="n">
        <v>1625.217</v>
      </c>
      <c r="K40" s="20" t="n">
        <v>3820.707</v>
      </c>
      <c r="L40" s="20" t="n">
        <v>2765.505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38910.113</v>
      </c>
      <c r="D71" s="20" t="n">
        <v>37427.907</v>
      </c>
      <c r="E71" s="20" t="n">
        <v>38963.318</v>
      </c>
      <c r="F71" s="20" t="n">
        <v>36921.518</v>
      </c>
      <c r="G71" s="20" t="n">
        <v>35383.161</v>
      </c>
      <c r="H71" s="20" t="n">
        <v>26003.862</v>
      </c>
      <c r="I71" s="20" t="n">
        <v>22700.571</v>
      </c>
      <c r="J71" s="20" t="n">
        <v>29353.869</v>
      </c>
      <c r="K71" s="20" t="n">
        <v>36373.416</v>
      </c>
      <c r="L71" s="20" t="n">
        <v>38963.318</v>
      </c>
    </row>
    <row r="72">
      <c r="A72" s="18" t="inlineStr">
        <is>
          <t>받을어음·매출채권</t>
        </is>
      </c>
      <c r="C72" s="20" t="n">
        <v>3406.424</v>
      </c>
      <c r="D72" s="20" t="n">
        <v>5769.859</v>
      </c>
      <c r="E72" s="20" t="n">
        <v>4119.854</v>
      </c>
      <c r="F72" s="20" t="n">
        <v>3071.248</v>
      </c>
      <c r="G72" s="20" t="n">
        <v>3582.226</v>
      </c>
      <c r="H72" s="20" t="n">
        <v>3005.808</v>
      </c>
      <c r="I72" s="20" t="n">
        <v>4430.108</v>
      </c>
      <c r="J72" s="20" t="n">
        <v>6002.812</v>
      </c>
      <c r="K72" s="20" t="n">
        <v>4205.323</v>
      </c>
      <c r="L72" s="20" t="n">
        <v>4119.854</v>
      </c>
    </row>
    <row r="73">
      <c r="A73" s="18" t="inlineStr">
        <is>
          <t>Operating Loans CA</t>
        </is>
      </c>
      <c r="E73" s="20" t="n">
        <v>979.057</v>
      </c>
      <c r="H73" s="20" t="n">
        <v>929.652</v>
      </c>
      <c r="I73" s="20" t="n">
        <v>811.761</v>
      </c>
      <c r="J73" s="20" t="n">
        <v>827.729</v>
      </c>
      <c r="K73" s="20" t="n">
        <v>1014.789</v>
      </c>
      <c r="L73" s="20" t="n">
        <v>979.057</v>
      </c>
    </row>
    <row r="74">
      <c r="A74" s="18" t="inlineStr">
        <is>
          <t>리스채권·리스투자자산</t>
        </is>
      </c>
      <c r="C74" s="20" t="n">
        <v>298.166</v>
      </c>
      <c r="D74" s="20" t="n">
        <v>281.048</v>
      </c>
      <c r="E74" s="20" t="n">
        <v>253.758</v>
      </c>
      <c r="F74" s="20" t="n">
        <v>230.502</v>
      </c>
      <c r="G74" s="20" t="n">
        <v>207.191</v>
      </c>
      <c r="H74" s="20" t="n">
        <v>529.837</v>
      </c>
      <c r="I74" s="20" t="n">
        <v>412.793</v>
      </c>
      <c r="J74" s="20" t="n">
        <v>420.918</v>
      </c>
      <c r="K74" s="20" t="n">
        <v>329.87</v>
      </c>
      <c r="L74" s="20" t="n">
        <v>253.758</v>
      </c>
    </row>
    <row r="75">
      <c r="A75" s="18" t="inlineStr">
        <is>
          <t>유가증권</t>
        </is>
      </c>
      <c r="C75" s="20" t="n">
        <v>350.995</v>
      </c>
      <c r="D75" s="20" t="n">
        <v>351.555</v>
      </c>
      <c r="E75" s="20" t="n">
        <v>350.34</v>
      </c>
      <c r="F75" s="20" t="n">
        <v>351.08</v>
      </c>
      <c r="G75" s="20" t="n">
        <v>351.985</v>
      </c>
      <c r="H75" s="20" t="n">
        <v>349.93</v>
      </c>
      <c r="I75" s="20" t="n">
        <v>349.965</v>
      </c>
      <c r="J75" s="20" t="n">
        <v>350.035</v>
      </c>
      <c r="K75" s="20" t="n">
        <v>350.12</v>
      </c>
      <c r="L75" s="20" t="n">
        <v>350.34</v>
      </c>
    </row>
    <row r="76">
      <c r="A76" s="18" t="inlineStr">
        <is>
          <t>상품·제품</t>
        </is>
      </c>
      <c r="C76" s="20" t="n">
        <v>4199.132</v>
      </c>
      <c r="D76" s="20" t="n">
        <v>3802.635</v>
      </c>
      <c r="E76" s="20" t="n">
        <v>3517.162</v>
      </c>
      <c r="F76" s="20" t="n">
        <v>3330.887</v>
      </c>
      <c r="G76" s="20" t="n">
        <v>3314.621</v>
      </c>
      <c r="H76" s="20" t="n">
        <v>1379.91</v>
      </c>
      <c r="I76" s="20" t="n">
        <v>2183.557</v>
      </c>
      <c r="J76" s="20" t="n">
        <v>5051.742</v>
      </c>
      <c r="K76" s="20" t="n">
        <v>4632.978</v>
      </c>
      <c r="L76" s="20" t="n">
        <v>3517.162</v>
      </c>
    </row>
    <row r="77">
      <c r="A77" s="18" t="inlineStr">
        <is>
          <t>재공품</t>
        </is>
      </c>
      <c r="C77" s="20" t="n">
        <v>246.376</v>
      </c>
      <c r="D77" s="20" t="n">
        <v>243.59</v>
      </c>
      <c r="E77" s="20" t="n">
        <v>257.407</v>
      </c>
      <c r="F77" s="20" t="n">
        <v>279.521</v>
      </c>
      <c r="G77" s="20" t="n">
        <v>231.343</v>
      </c>
      <c r="H77" s="20" t="n">
        <v>205.651</v>
      </c>
      <c r="I77" s="20" t="n">
        <v>172.942</v>
      </c>
      <c r="J77" s="20" t="n">
        <v>326.269</v>
      </c>
      <c r="K77" s="20" t="n">
        <v>234.076</v>
      </c>
      <c r="L77" s="20" t="n">
        <v>257.407</v>
      </c>
    </row>
    <row r="78">
      <c r="A78" s="18" t="inlineStr">
        <is>
          <t>원재료·저장품</t>
        </is>
      </c>
      <c r="C78" s="20" t="n">
        <v>3537.626</v>
      </c>
      <c r="D78" s="20" t="n">
        <v>3446.612</v>
      </c>
      <c r="E78" s="20" t="n">
        <v>3239.239</v>
      </c>
      <c r="F78" s="20" t="n">
        <v>3112.855</v>
      </c>
      <c r="G78" s="20" t="n">
        <v>2350.426</v>
      </c>
      <c r="H78" s="20" t="n">
        <v>1225.298</v>
      </c>
      <c r="I78" s="20" t="n">
        <v>3247.645</v>
      </c>
      <c r="J78" s="20" t="n">
        <v>6230.298</v>
      </c>
      <c r="K78" s="20" t="n">
        <v>4052.318</v>
      </c>
      <c r="L78" s="20" t="n">
        <v>3239.239</v>
      </c>
    </row>
    <row r="79">
      <c r="A79" s="18" t="inlineStr">
        <is>
          <t>기타</t>
        </is>
      </c>
      <c r="C79" s="20" t="n">
        <v>1917.459</v>
      </c>
      <c r="D79" s="20" t="n">
        <v>1941.005</v>
      </c>
      <c r="E79" s="20" t="n">
        <v>1929.53</v>
      </c>
      <c r="F79" s="20" t="n">
        <v>2890.674</v>
      </c>
      <c r="G79" s="20" t="n">
        <v>2462.52</v>
      </c>
      <c r="H79" s="20" t="n">
        <v>341.099</v>
      </c>
      <c r="I79" s="20" t="n">
        <v>869.6849999999999</v>
      </c>
      <c r="J79" s="20" t="n">
        <v>742.487</v>
      </c>
      <c r="K79" s="20" t="n">
        <v>873.1130000000001</v>
      </c>
      <c r="L79" s="20" t="n">
        <v>1929.53</v>
      </c>
    </row>
    <row r="80">
      <c r="A80" s="18" t="inlineStr">
        <is>
          <t>대손충당금</t>
        </is>
      </c>
      <c r="C80" s="20" t="n">
        <v>-0.302</v>
      </c>
      <c r="D80" s="20" t="n">
        <v>-0.359</v>
      </c>
      <c r="E80" s="20" t="n">
        <v>-0.205</v>
      </c>
      <c r="F80" s="20" t="n">
        <v>-0.159</v>
      </c>
      <c r="G80" s="20" t="n">
        <v>-0.154</v>
      </c>
      <c r="H80" s="20" t="n">
        <v>-0.148</v>
      </c>
      <c r="I80" s="20" t="n">
        <v>-56.412</v>
      </c>
      <c r="J80" s="20" t="n">
        <v>-57.271</v>
      </c>
      <c r="K80" s="20" t="n">
        <v>-61.224</v>
      </c>
      <c r="L80" s="20" t="n">
        <v>-0.205</v>
      </c>
    </row>
    <row r="81">
      <c r="A81" s="9" t="inlineStr">
        <is>
          <t>유동자산 합계</t>
        </is>
      </c>
      <c r="C81" s="12" t="n">
        <v>52865.99</v>
      </c>
      <c r="D81" s="12" t="n">
        <v>53263.854</v>
      </c>
      <c r="E81" s="12" t="n">
        <v>52630.405</v>
      </c>
      <c r="F81" s="12" t="n">
        <v>50188.128</v>
      </c>
      <c r="G81" s="12" t="n">
        <v>47883.322</v>
      </c>
      <c r="H81" s="12" t="n">
        <v>33970.902</v>
      </c>
      <c r="I81" s="12" t="n">
        <v>35122.618</v>
      </c>
      <c r="J81" s="12" t="n">
        <v>49248.89</v>
      </c>
      <c r="K81" s="12" t="n">
        <v>52004.781</v>
      </c>
      <c r="L81" s="12" t="n">
        <v>52630.405</v>
      </c>
    </row>
    <row r="82">
      <c r="A82" s="18" t="inlineStr">
        <is>
          <t>건물·구축물</t>
        </is>
      </c>
      <c r="E82" s="20" t="n">
        <v>15841.772</v>
      </c>
      <c r="H82" s="20" t="n">
        <v>13355.838</v>
      </c>
      <c r="I82" s="20" t="n">
        <v>13297.263</v>
      </c>
      <c r="J82" s="20" t="n">
        <v>13424.087</v>
      </c>
      <c r="K82" s="20" t="n">
        <v>14492.666</v>
      </c>
      <c r="L82" s="20" t="n">
        <v>15841.772</v>
      </c>
    </row>
    <row r="83">
      <c r="A83" s="18" t="inlineStr">
        <is>
          <t>감가상각누계액</t>
        </is>
      </c>
      <c r="E83" s="20" t="n">
        <v>-9042.339</v>
      </c>
      <c r="H83" s="20" t="n">
        <v>-7763.911</v>
      </c>
      <c r="I83" s="20" t="n">
        <v>-8070.508</v>
      </c>
      <c r="J83" s="20" t="n">
        <v>-8346.849</v>
      </c>
      <c r="K83" s="20" t="n">
        <v>-8700.869000000001</v>
      </c>
      <c r="L83" s="20" t="n">
        <v>-9042.339</v>
      </c>
    </row>
    <row r="84">
      <c r="A84" s="18" t="inlineStr">
        <is>
          <t>건물·구축물(순액)</t>
        </is>
      </c>
      <c r="C84" s="20" t="n">
        <v>5866.126</v>
      </c>
      <c r="D84" s="20" t="n">
        <v>5784.259</v>
      </c>
      <c r="E84" s="20" t="n">
        <v>6799.433</v>
      </c>
      <c r="F84" s="20" t="n">
        <v>6982.958</v>
      </c>
      <c r="G84" s="20" t="n">
        <v>6959.685</v>
      </c>
      <c r="H84" s="20" t="n">
        <v>5591.926</v>
      </c>
      <c r="I84" s="20" t="n">
        <v>5226.755</v>
      </c>
      <c r="J84" s="20" t="n">
        <v>5077.238</v>
      </c>
      <c r="K84" s="20" t="n">
        <v>5791.797</v>
      </c>
      <c r="L84" s="20" t="n">
        <v>6799.433</v>
      </c>
    </row>
    <row r="85">
      <c r="A85" s="18" t="inlineStr">
        <is>
          <t>기계장치·운반구</t>
        </is>
      </c>
      <c r="E85" s="20" t="n">
        <v>492.592</v>
      </c>
      <c r="H85" s="20" t="n">
        <v>403.557</v>
      </c>
      <c r="I85" s="20" t="n">
        <v>402.657</v>
      </c>
      <c r="J85" s="20" t="n">
        <v>430.528</v>
      </c>
      <c r="K85" s="20" t="n">
        <v>448.1</v>
      </c>
      <c r="L85" s="20" t="n">
        <v>492.592</v>
      </c>
    </row>
    <row r="86">
      <c r="A86" s="18" t="inlineStr">
        <is>
          <t>감가상각누계액</t>
        </is>
      </c>
      <c r="E86" s="20" t="n">
        <v>-394.358</v>
      </c>
      <c r="H86" s="20" t="n">
        <v>-351.977</v>
      </c>
      <c r="I86" s="20" t="n">
        <v>-360.407</v>
      </c>
      <c r="J86" s="20" t="n">
        <v>-369.744</v>
      </c>
      <c r="K86" s="20" t="n">
        <v>-377.08</v>
      </c>
      <c r="L86" s="20" t="n">
        <v>-394.358</v>
      </c>
    </row>
    <row r="87">
      <c r="A87" s="18" t="inlineStr">
        <is>
          <t>기계장치·운반구(순액)</t>
        </is>
      </c>
      <c r="E87" s="20" t="n">
        <v>98.23399999999999</v>
      </c>
      <c r="H87" s="20" t="n">
        <v>51.579</v>
      </c>
      <c r="I87" s="20" t="n">
        <v>42.25</v>
      </c>
      <c r="J87" s="20" t="n">
        <v>60.784</v>
      </c>
      <c r="K87" s="20" t="n">
        <v>71.01900000000001</v>
      </c>
      <c r="L87" s="20" t="n">
        <v>98.23399999999999</v>
      </c>
    </row>
    <row r="88">
      <c r="A88" s="18" t="inlineStr">
        <is>
          <t>공구·기구·비품</t>
        </is>
      </c>
      <c r="E88" s="20" t="n">
        <v>3066.383</v>
      </c>
      <c r="H88" s="20" t="n">
        <v>3494.292</v>
      </c>
      <c r="I88" s="20" t="n">
        <v>3540.377</v>
      </c>
      <c r="J88" s="20" t="n">
        <v>3473.728</v>
      </c>
      <c r="K88" s="20" t="n">
        <v>3267.236</v>
      </c>
      <c r="L88" s="20" t="n">
        <v>3066.383</v>
      </c>
    </row>
    <row r="89">
      <c r="A89" s="18" t="inlineStr">
        <is>
          <t>감가상각누계액</t>
        </is>
      </c>
      <c r="E89" s="20" t="n">
        <v>-2887.743</v>
      </c>
      <c r="H89" s="20" t="n">
        <v>-3304.963</v>
      </c>
      <c r="I89" s="20" t="n">
        <v>-3385.673</v>
      </c>
      <c r="J89" s="20" t="n">
        <v>-3261.788</v>
      </c>
      <c r="K89" s="20" t="n">
        <v>-3109.874</v>
      </c>
      <c r="L89" s="20" t="n">
        <v>-2887.743</v>
      </c>
    </row>
    <row r="90">
      <c r="A90" s="18" t="inlineStr">
        <is>
          <t>공구·기구·비품(순액)</t>
        </is>
      </c>
      <c r="E90" s="20" t="n">
        <v>178.639</v>
      </c>
      <c r="H90" s="20" t="n">
        <v>189.328</v>
      </c>
      <c r="I90" s="20" t="n">
        <v>154.703</v>
      </c>
      <c r="J90" s="20" t="n">
        <v>211.939</v>
      </c>
      <c r="K90" s="20" t="n">
        <v>157.362</v>
      </c>
      <c r="L90" s="20" t="n">
        <v>178.639</v>
      </c>
    </row>
    <row r="91">
      <c r="A91" s="18" t="inlineStr">
        <is>
          <t>토지</t>
        </is>
      </c>
      <c r="C91" s="20" t="n">
        <v>10448.417</v>
      </c>
      <c r="D91" s="20" t="n">
        <v>10448.417</v>
      </c>
      <c r="E91" s="20" t="n">
        <v>10728.475</v>
      </c>
      <c r="F91" s="20" t="n">
        <v>10728.475</v>
      </c>
      <c r="G91" s="20" t="n">
        <v>12048.284</v>
      </c>
      <c r="H91" s="20" t="n">
        <v>8443.151</v>
      </c>
      <c r="I91" s="20" t="n">
        <v>9628.287</v>
      </c>
      <c r="J91" s="20" t="n">
        <v>10007.47</v>
      </c>
      <c r="K91" s="20" t="n">
        <v>10073.054</v>
      </c>
      <c r="L91" s="20" t="n">
        <v>10728.475</v>
      </c>
    </row>
    <row r="92">
      <c r="A92" s="18" t="inlineStr">
        <is>
          <t>리스자산</t>
        </is>
      </c>
      <c r="E92" s="20" t="n">
        <v>265.646</v>
      </c>
      <c r="H92" s="20" t="n">
        <v>235.314</v>
      </c>
      <c r="I92" s="20" t="n">
        <v>149.652</v>
      </c>
      <c r="J92" s="20" t="n">
        <v>80.26300000000001</v>
      </c>
      <c r="K92" s="20" t="n">
        <v>134.649</v>
      </c>
      <c r="L92" s="20" t="n">
        <v>265.646</v>
      </c>
    </row>
    <row r="93">
      <c r="A93" s="18" t="inlineStr">
        <is>
          <t>감가상각누계액</t>
        </is>
      </c>
      <c r="E93" s="20" t="n">
        <v>-50.684</v>
      </c>
      <c r="H93" s="20" t="n">
        <v>-71.886</v>
      </c>
      <c r="I93" s="20" t="n">
        <v>-56.833</v>
      </c>
      <c r="J93" s="20" t="n">
        <v>-17.769</v>
      </c>
      <c r="K93" s="20" t="n">
        <v>-19.726</v>
      </c>
      <c r="L93" s="20" t="n">
        <v>-50.684</v>
      </c>
    </row>
    <row r="94">
      <c r="A94" s="18" t="inlineStr">
        <is>
          <t>리스자산(순액)</t>
        </is>
      </c>
      <c r="E94" s="20" t="n">
        <v>214.961</v>
      </c>
      <c r="H94" s="20" t="n">
        <v>163.428</v>
      </c>
      <c r="I94" s="20" t="n">
        <v>92.818</v>
      </c>
      <c r="J94" s="20" t="n">
        <v>62.494</v>
      </c>
      <c r="K94" s="20" t="n">
        <v>114.922</v>
      </c>
      <c r="L94" s="20" t="n">
        <v>214.961</v>
      </c>
    </row>
    <row r="95">
      <c r="A95" s="18" t="inlineStr">
        <is>
          <t>건설중인자산</t>
        </is>
      </c>
      <c r="E95" s="20" t="n">
        <v>232.368</v>
      </c>
      <c r="H95" s="20" t="n">
        <v>0</v>
      </c>
      <c r="I95" s="20" t="n">
        <v>19.47</v>
      </c>
      <c r="J95" s="20" t="n">
        <v>668.544</v>
      </c>
      <c r="K95" s="20" t="n">
        <v>64.56999999999999</v>
      </c>
      <c r="L95" s="20" t="n">
        <v>232.368</v>
      </c>
    </row>
    <row r="96">
      <c r="A96" s="18" t="inlineStr">
        <is>
          <t>기타(순액)</t>
        </is>
      </c>
      <c r="C96" s="20" t="n">
        <v>388.601</v>
      </c>
      <c r="D96" s="20" t="n">
        <v>554.673</v>
      </c>
      <c r="E96" s="20" t="n">
        <v>724.204</v>
      </c>
      <c r="F96" s="20" t="n">
        <v>622.9059999999999</v>
      </c>
      <c r="G96" s="20" t="n">
        <v>606.6180000000001</v>
      </c>
      <c r="H96" s="20" t="n">
        <v>404.336</v>
      </c>
      <c r="I96" s="20" t="n">
        <v>309.242</v>
      </c>
      <c r="J96" s="20" t="n">
        <v>1003.762</v>
      </c>
      <c r="K96" s="20" t="n">
        <v>407.874</v>
      </c>
      <c r="L96" s="20" t="n">
        <v>724.204</v>
      </c>
    </row>
    <row r="97">
      <c r="A97" s="18" t="inlineStr">
        <is>
          <t>유형자산 합계</t>
        </is>
      </c>
      <c r="C97" s="20" t="n">
        <v>16703.145</v>
      </c>
      <c r="D97" s="20" t="n">
        <v>16787.35</v>
      </c>
      <c r="E97" s="20" t="n">
        <v>18252.113</v>
      </c>
      <c r="F97" s="20" t="n">
        <v>18334.339</v>
      </c>
      <c r="G97" s="20" t="n">
        <v>19614.589</v>
      </c>
      <c r="H97" s="20" t="n">
        <v>14439.415</v>
      </c>
      <c r="I97" s="20" t="n">
        <v>15164.285</v>
      </c>
      <c r="J97" s="20" t="n">
        <v>16088.471</v>
      </c>
      <c r="K97" s="20" t="n">
        <v>16272.727</v>
      </c>
      <c r="L97" s="20" t="n">
        <v>18252.113</v>
      </c>
    </row>
    <row r="98">
      <c r="A98" s="18" t="inlineStr">
        <is>
          <t>무형자산</t>
        </is>
      </c>
      <c r="C98" s="20" t="n">
        <v>544.01</v>
      </c>
      <c r="D98" s="20" t="n">
        <v>569.999</v>
      </c>
      <c r="E98" s="20" t="n">
        <v>511.123</v>
      </c>
      <c r="F98" s="20" t="n">
        <v>498.42</v>
      </c>
      <c r="G98" s="20" t="n">
        <v>530.915</v>
      </c>
      <c r="H98" s="20" t="n">
        <v>322.9</v>
      </c>
      <c r="I98" s="20" t="n">
        <v>306.158</v>
      </c>
      <c r="J98" s="20" t="n">
        <v>323.054</v>
      </c>
      <c r="K98" s="20" t="n">
        <v>470.78</v>
      </c>
      <c r="L98" s="20" t="n">
        <v>511.123</v>
      </c>
    </row>
    <row r="99">
      <c r="A99" s="18" t="inlineStr">
        <is>
          <t>투자유가증권</t>
        </is>
      </c>
      <c r="C99" s="20" t="n">
        <v>17785.066</v>
      </c>
      <c r="D99" s="20" t="n">
        <v>19448.558</v>
      </c>
      <c r="E99" s="20" t="n">
        <v>20850.204</v>
      </c>
      <c r="F99" s="20" t="n">
        <v>22856.292</v>
      </c>
      <c r="G99" s="20" t="n">
        <v>23741.311</v>
      </c>
      <c r="H99" s="20" t="n">
        <v>9224.289000000001</v>
      </c>
      <c r="I99" s="20" t="n">
        <v>11471.098</v>
      </c>
      <c r="J99" s="20" t="n">
        <v>16600.901</v>
      </c>
      <c r="K99" s="20" t="n">
        <v>16113.027</v>
      </c>
      <c r="L99" s="20" t="n">
        <v>20850.204</v>
      </c>
    </row>
    <row r="100">
      <c r="A100" s="18" t="inlineStr">
        <is>
          <t>퇴직급여자산</t>
        </is>
      </c>
      <c r="E100" s="20" t="n">
        <v>324.649</v>
      </c>
      <c r="F100" s="20" t="n">
        <v>328.806</v>
      </c>
      <c r="G100" s="20" t="n">
        <v>330.356</v>
      </c>
      <c r="I100" s="20" t="n">
        <v>0</v>
      </c>
      <c r="J100" s="20" t="n">
        <v>49.974</v>
      </c>
      <c r="K100" s="20" t="n">
        <v>0</v>
      </c>
      <c r="L100" s="20" t="n">
        <v>324.649</v>
      </c>
    </row>
    <row r="101">
      <c r="A101" s="18" t="inlineStr">
        <is>
          <t>이연법인세자산</t>
        </is>
      </c>
      <c r="H101" s="20" t="n">
        <v>866.975</v>
      </c>
      <c r="I101" s="20" t="n">
        <v>445.157</v>
      </c>
      <c r="J101" s="20" t="n">
        <v>0</v>
      </c>
    </row>
    <row r="102">
      <c r="A102" s="18" t="inlineStr">
        <is>
          <t>기타</t>
        </is>
      </c>
      <c r="C102" s="20" t="n">
        <v>2061.964</v>
      </c>
      <c r="D102" s="20" t="n">
        <v>1983.53</v>
      </c>
      <c r="E102" s="20" t="n">
        <v>1896.657</v>
      </c>
      <c r="F102" s="20" t="n">
        <v>1687.504</v>
      </c>
      <c r="G102" s="20" t="n">
        <v>1664.219</v>
      </c>
      <c r="H102" s="20" t="n">
        <v>1803.641</v>
      </c>
      <c r="I102" s="20" t="n">
        <v>1904.944</v>
      </c>
      <c r="J102" s="20" t="n">
        <v>2104.738</v>
      </c>
      <c r="K102" s="20" t="n">
        <v>2344.844</v>
      </c>
      <c r="L102" s="20" t="n">
        <v>1896.657</v>
      </c>
    </row>
    <row r="103">
      <c r="A103" s="18" t="inlineStr">
        <is>
          <t>대손충당금</t>
        </is>
      </c>
      <c r="C103" s="20" t="n">
        <v>-204.494</v>
      </c>
      <c r="D103" s="20" t="n">
        <v>-204.294</v>
      </c>
      <c r="E103" s="20" t="n">
        <v>-202.694</v>
      </c>
      <c r="F103" s="20" t="n">
        <v>-201.799</v>
      </c>
      <c r="G103" s="20" t="n">
        <v>-200.879</v>
      </c>
      <c r="H103" s="20" t="n">
        <v>-493.116</v>
      </c>
      <c r="I103" s="20" t="n">
        <v>-491.481</v>
      </c>
      <c r="J103" s="20" t="n">
        <v>-459.126</v>
      </c>
      <c r="K103" s="20" t="n">
        <v>-205.264</v>
      </c>
      <c r="L103" s="20" t="n">
        <v>-202.694</v>
      </c>
    </row>
    <row r="104">
      <c r="A104" s="18" t="inlineStr">
        <is>
          <t>투자 및 기타자산 합계</t>
        </is>
      </c>
      <c r="C104" s="20" t="n">
        <v>19642.536</v>
      </c>
      <c r="D104" s="20" t="n">
        <v>21227.794</v>
      </c>
      <c r="E104" s="20" t="n">
        <v>22868.818</v>
      </c>
      <c r="F104" s="20" t="n">
        <v>24670.803</v>
      </c>
      <c r="G104" s="20" t="n">
        <v>25535.008</v>
      </c>
      <c r="H104" s="20" t="n">
        <v>11401.79</v>
      </c>
      <c r="I104" s="20" t="n">
        <v>13329.72</v>
      </c>
      <c r="J104" s="20" t="n">
        <v>18296.486</v>
      </c>
      <c r="K104" s="20" t="n">
        <v>18252.606</v>
      </c>
      <c r="L104" s="20" t="n">
        <v>22868.818</v>
      </c>
    </row>
    <row r="105">
      <c r="A105" s="9" t="inlineStr">
        <is>
          <t>비유동자산 합계</t>
        </is>
      </c>
      <c r="C105" s="12" t="n">
        <v>36889.691</v>
      </c>
      <c r="D105" s="12" t="n">
        <v>38585.144</v>
      </c>
      <c r="E105" s="12" t="n">
        <v>41632.054</v>
      </c>
      <c r="F105" s="12" t="n">
        <v>43503.563</v>
      </c>
      <c r="G105" s="12" t="n">
        <v>45680.513</v>
      </c>
      <c r="H105" s="12" t="n">
        <v>26164.105</v>
      </c>
      <c r="I105" s="12" t="n">
        <v>28800.163</v>
      </c>
      <c r="J105" s="12" t="n">
        <v>34708.012</v>
      </c>
      <c r="K105" s="12" t="n">
        <v>34996.114</v>
      </c>
      <c r="L105" s="12" t="n">
        <v>41632.054</v>
      </c>
    </row>
    <row r="106">
      <c r="A106" s="9" t="inlineStr">
        <is>
          <t>자산 합계</t>
        </is>
      </c>
      <c r="C106" s="12" t="n">
        <v>89755.682</v>
      </c>
      <c r="D106" s="12" t="n">
        <v>91848.99800000001</v>
      </c>
      <c r="E106" s="12" t="n">
        <v>94262.46000000001</v>
      </c>
      <c r="F106" s="12" t="n">
        <v>93691.692</v>
      </c>
      <c r="G106" s="12" t="n">
        <v>93563.83500000001</v>
      </c>
      <c r="H106" s="12" t="n">
        <v>60135.008</v>
      </c>
      <c r="I106" s="12" t="n">
        <v>63922.782</v>
      </c>
      <c r="J106" s="12" t="n">
        <v>83956.902</v>
      </c>
      <c r="K106" s="12" t="n">
        <v>87000.89599999999</v>
      </c>
      <c r="L106" s="12" t="n">
        <v>94262.46000000001</v>
      </c>
    </row>
    <row r="107">
      <c r="A107" s="18" t="inlineStr">
        <is>
          <t>지급어음·매입채무</t>
        </is>
      </c>
      <c r="C107" s="20" t="n">
        <v>1495.423</v>
      </c>
      <c r="D107" s="20" t="n">
        <v>2040.675</v>
      </c>
      <c r="E107" s="20" t="n">
        <v>1239.058</v>
      </c>
      <c r="F107" s="20" t="n">
        <v>1057.388</v>
      </c>
      <c r="G107" s="20" t="n">
        <v>939.7430000000001</v>
      </c>
      <c r="H107" s="20" t="n">
        <v>1321.481</v>
      </c>
      <c r="I107" s="20" t="n">
        <v>2858.476</v>
      </c>
      <c r="J107" s="20" t="n">
        <v>4338.627</v>
      </c>
      <c r="K107" s="20" t="n">
        <v>1627.607</v>
      </c>
      <c r="L107" s="20" t="n">
        <v>1239.058</v>
      </c>
    </row>
    <row r="108">
      <c r="A108" s="18" t="inlineStr">
        <is>
          <t>리스부채</t>
        </is>
      </c>
      <c r="C108" s="20" t="n">
        <v>199.669</v>
      </c>
      <c r="D108" s="20" t="n">
        <v>217.626</v>
      </c>
      <c r="E108" s="20" t="n">
        <v>231.608</v>
      </c>
      <c r="F108" s="20" t="n">
        <v>237.899</v>
      </c>
      <c r="G108" s="20" t="n">
        <v>248.532</v>
      </c>
      <c r="H108" s="20" t="n">
        <v>332.746</v>
      </c>
      <c r="I108" s="20" t="n">
        <v>268.902</v>
      </c>
      <c r="J108" s="20" t="n">
        <v>240.783</v>
      </c>
      <c r="K108" s="20" t="n">
        <v>182.266</v>
      </c>
      <c r="L108" s="20" t="n">
        <v>231.608</v>
      </c>
    </row>
    <row r="109">
      <c r="A109" s="18" t="inlineStr">
        <is>
          <t>미지급법인세</t>
        </is>
      </c>
      <c r="C109" s="20" t="n">
        <v>1859.737</v>
      </c>
      <c r="D109" s="20" t="n">
        <v>718.0069999999999</v>
      </c>
      <c r="E109" s="20" t="n">
        <v>1526.14</v>
      </c>
      <c r="F109" s="20" t="n">
        <v>491.222</v>
      </c>
      <c r="G109" s="20" t="n">
        <v>1283.548</v>
      </c>
      <c r="H109" s="20" t="n">
        <v>841.4400000000001</v>
      </c>
      <c r="I109" s="20" t="n">
        <v>1052.319</v>
      </c>
      <c r="J109" s="20" t="n">
        <v>3667.889</v>
      </c>
      <c r="K109" s="20" t="n">
        <v>1783.724</v>
      </c>
      <c r="L109" s="20" t="n">
        <v>1526.14</v>
      </c>
    </row>
    <row r="110">
      <c r="A110" s="18" t="inlineStr">
        <is>
          <t>상여충당금</t>
        </is>
      </c>
      <c r="C110" s="20" t="n">
        <v>492.55</v>
      </c>
      <c r="D110" s="20" t="n">
        <v>246.325</v>
      </c>
      <c r="E110" s="20" t="n">
        <v>473.798</v>
      </c>
      <c r="F110" s="20" t="n">
        <v>235.748</v>
      </c>
      <c r="G110" s="20" t="n">
        <v>471.497</v>
      </c>
      <c r="H110" s="20" t="n">
        <v>278.356</v>
      </c>
      <c r="I110" s="20" t="n">
        <v>342.507</v>
      </c>
      <c r="J110" s="20" t="n">
        <v>431.123</v>
      </c>
      <c r="K110" s="20" t="n">
        <v>490.334</v>
      </c>
      <c r="L110" s="20" t="n">
        <v>473.798</v>
      </c>
    </row>
    <row r="111">
      <c r="A111" s="18" t="inlineStr">
        <is>
          <t>기타</t>
        </is>
      </c>
      <c r="C111" s="20" t="n">
        <v>908.144</v>
      </c>
      <c r="D111" s="20" t="n">
        <v>1428.742</v>
      </c>
      <c r="E111" s="20" t="n">
        <v>920.109</v>
      </c>
      <c r="F111" s="20" t="n">
        <v>1493.406</v>
      </c>
      <c r="G111" s="20" t="n">
        <v>975.078</v>
      </c>
      <c r="H111" s="20" t="n">
        <v>869.441</v>
      </c>
      <c r="I111" s="20" t="n">
        <v>944.796</v>
      </c>
      <c r="J111" s="20" t="n">
        <v>1648.862</v>
      </c>
      <c r="K111" s="20" t="n">
        <v>1912.346</v>
      </c>
      <c r="L111" s="20" t="n">
        <v>920.109</v>
      </c>
    </row>
    <row r="112">
      <c r="A112" s="9" t="inlineStr">
        <is>
          <t>유동부채 합계</t>
        </is>
      </c>
      <c r="C112" s="12" t="n">
        <v>4955.524</v>
      </c>
      <c r="D112" s="12" t="n">
        <v>4651.376</v>
      </c>
      <c r="E112" s="12" t="n">
        <v>4390.715</v>
      </c>
      <c r="F112" s="12" t="n">
        <v>3515.665</v>
      </c>
      <c r="G112" s="12" t="n">
        <v>3918.401</v>
      </c>
      <c r="H112" s="12" t="n">
        <v>3643.466</v>
      </c>
      <c r="I112" s="12" t="n">
        <v>5467.002</v>
      </c>
      <c r="J112" s="12" t="n">
        <v>10327.285</v>
      </c>
      <c r="K112" s="12" t="n">
        <v>5996.279</v>
      </c>
      <c r="L112" s="12" t="n">
        <v>4390.715</v>
      </c>
    </row>
    <row r="113">
      <c r="A113" s="18" t="inlineStr">
        <is>
          <t>리스부채</t>
        </is>
      </c>
      <c r="C113" s="20" t="n">
        <v>387.326</v>
      </c>
      <c r="D113" s="20" t="n">
        <v>407.512</v>
      </c>
      <c r="E113" s="20" t="n">
        <v>405.437</v>
      </c>
      <c r="F113" s="20" t="n">
        <v>379.55</v>
      </c>
      <c r="G113" s="20" t="n">
        <v>345.464</v>
      </c>
      <c r="H113" s="20" t="n">
        <v>474.057</v>
      </c>
      <c r="I113" s="20" t="n">
        <v>294.372</v>
      </c>
      <c r="J113" s="20" t="n">
        <v>288.543</v>
      </c>
      <c r="K113" s="20" t="n">
        <v>362.315</v>
      </c>
      <c r="L113" s="20" t="n">
        <v>405.437</v>
      </c>
    </row>
    <row r="114">
      <c r="A114" s="18" t="inlineStr">
        <is>
          <t>임원 퇴직위로 충당금</t>
        </is>
      </c>
      <c r="C114" s="20" t="n">
        <v>185.095</v>
      </c>
      <c r="D114" s="20" t="n">
        <v>189.895</v>
      </c>
      <c r="E114" s="20" t="n">
        <v>198.325</v>
      </c>
      <c r="F114" s="20" t="n">
        <v>202.825</v>
      </c>
      <c r="G114" s="20" t="n">
        <v>203.525</v>
      </c>
      <c r="H114" s="20" t="n">
        <v>205.135</v>
      </c>
      <c r="I114" s="20" t="n">
        <v>177.99</v>
      </c>
      <c r="J114" s="20" t="n">
        <v>195.48</v>
      </c>
      <c r="K114" s="20" t="n">
        <v>181.335</v>
      </c>
      <c r="L114" s="20" t="n">
        <v>198.325</v>
      </c>
    </row>
    <row r="115">
      <c r="A115" s="18" t="inlineStr">
        <is>
          <t>퇴직급여부채</t>
        </is>
      </c>
      <c r="C115" s="20" t="n">
        <v>321.839</v>
      </c>
      <c r="D115" s="20" t="n">
        <v>320.705</v>
      </c>
      <c r="E115" s="20" t="n">
        <v>0</v>
      </c>
      <c r="H115" s="20" t="n">
        <v>444.311</v>
      </c>
      <c r="I115" s="20" t="n">
        <v>585.9160000000001</v>
      </c>
      <c r="J115" s="20" t="n">
        <v>0</v>
      </c>
      <c r="K115" s="20" t="n">
        <v>307.889</v>
      </c>
      <c r="L115" s="20" t="n">
        <v>0</v>
      </c>
    </row>
    <row r="116">
      <c r="A116" s="18" t="inlineStr">
        <is>
          <t>자산복구부채</t>
        </is>
      </c>
      <c r="C116" s="20" t="n">
        <v>62.627</v>
      </c>
      <c r="D116" s="20" t="n">
        <v>62.746</v>
      </c>
      <c r="E116" s="20" t="n">
        <v>62.866</v>
      </c>
      <c r="F116" s="20" t="n">
        <v>62.988</v>
      </c>
      <c r="G116" s="20" t="n">
        <v>63.109</v>
      </c>
      <c r="H116" s="20" t="n">
        <v>60.986</v>
      </c>
      <c r="I116" s="20" t="n">
        <v>61.447</v>
      </c>
      <c r="J116" s="20" t="n">
        <v>61.914</v>
      </c>
      <c r="K116" s="20" t="n">
        <v>62.387</v>
      </c>
      <c r="L116" s="20" t="n">
        <v>62.866</v>
      </c>
    </row>
    <row r="117">
      <c r="A117" s="18" t="inlineStr">
        <is>
          <t>이연법인세부채</t>
        </is>
      </c>
      <c r="E117" s="20" t="n">
        <v>2439.955</v>
      </c>
      <c r="I117" s="20" t="n">
        <v>0</v>
      </c>
      <c r="J117" s="20" t="n">
        <v>858.926</v>
      </c>
      <c r="K117" s="20" t="n">
        <v>897.251</v>
      </c>
      <c r="L117" s="20" t="n">
        <v>2439.955</v>
      </c>
    </row>
    <row r="118">
      <c r="A118" s="18" t="inlineStr">
        <is>
          <t>기타</t>
        </is>
      </c>
      <c r="C118" s="20" t="n">
        <v>2252.148</v>
      </c>
      <c r="D118" s="20" t="n">
        <v>2955.989</v>
      </c>
      <c r="E118" s="20" t="n">
        <v>3471.841</v>
      </c>
      <c r="F118" s="20" t="n">
        <v>4261.778</v>
      </c>
      <c r="G118" s="20" t="n">
        <v>4173.392</v>
      </c>
      <c r="H118" s="20" t="n">
        <v>1065.052</v>
      </c>
      <c r="I118" s="20" t="n">
        <v>1028.684</v>
      </c>
      <c r="J118" s="20" t="n">
        <v>970.716</v>
      </c>
      <c r="K118" s="20" t="n">
        <v>963.176</v>
      </c>
      <c r="L118" s="20" t="n">
        <v>3471.841</v>
      </c>
    </row>
    <row r="119">
      <c r="A119" s="9" t="inlineStr">
        <is>
          <t>비유동부채 합계</t>
        </is>
      </c>
      <c r="C119" s="12" t="n">
        <v>3209.036</v>
      </c>
      <c r="D119" s="12" t="n">
        <v>3936.848</v>
      </c>
      <c r="E119" s="12" t="n">
        <v>4138.47</v>
      </c>
      <c r="F119" s="12" t="n">
        <v>4907.142</v>
      </c>
      <c r="G119" s="12" t="n">
        <v>4785.491</v>
      </c>
      <c r="H119" s="12" t="n">
        <v>2249.543</v>
      </c>
      <c r="I119" s="12" t="n">
        <v>2148.41</v>
      </c>
      <c r="J119" s="12" t="n">
        <v>2375.58</v>
      </c>
      <c r="K119" s="12" t="n">
        <v>2774.355</v>
      </c>
      <c r="L119" s="12" t="n">
        <v>4138.47</v>
      </c>
    </row>
    <row r="120">
      <c r="A120" s="9" t="inlineStr">
        <is>
          <t>부채 합계</t>
        </is>
      </c>
      <c r="C120" s="12" t="n">
        <v>8164.561</v>
      </c>
      <c r="D120" s="12" t="n">
        <v>8588.225</v>
      </c>
      <c r="E120" s="12" t="n">
        <v>8529.184999999999</v>
      </c>
      <c r="F120" s="12" t="n">
        <v>8422.807000000001</v>
      </c>
      <c r="G120" s="12" t="n">
        <v>8703.893</v>
      </c>
      <c r="H120" s="12" t="n">
        <v>5893.01</v>
      </c>
      <c r="I120" s="12" t="n">
        <v>7615.412</v>
      </c>
      <c r="J120" s="12" t="n">
        <v>12702.865</v>
      </c>
      <c r="K120" s="12" t="n">
        <v>8770.634</v>
      </c>
      <c r="L120" s="12" t="n">
        <v>8529.184999999999</v>
      </c>
    </row>
    <row r="121">
      <c r="A121" s="18" t="inlineStr">
        <is>
          <t>자본금</t>
        </is>
      </c>
      <c r="C121" s="20" t="n">
        <v>7934.1</v>
      </c>
      <c r="D121" s="20" t="n">
        <v>7934.1</v>
      </c>
      <c r="E121" s="20" t="n">
        <v>7934.1</v>
      </c>
      <c r="F121" s="20" t="n">
        <v>7934.1</v>
      </c>
      <c r="G121" s="20" t="n">
        <v>7934.1</v>
      </c>
      <c r="H121" s="20" t="n">
        <v>7934.1</v>
      </c>
      <c r="I121" s="20" t="n">
        <v>7934.1</v>
      </c>
      <c r="J121" s="20" t="n">
        <v>7934.1</v>
      </c>
      <c r="K121" s="20" t="n">
        <v>7934.1</v>
      </c>
      <c r="L121" s="20" t="n">
        <v>7934.1</v>
      </c>
    </row>
    <row r="122">
      <c r="A122" s="18" t="inlineStr">
        <is>
          <t>자본잉여금</t>
        </is>
      </c>
      <c r="C122" s="20" t="n">
        <v>10301.956</v>
      </c>
      <c r="D122" s="20" t="n">
        <v>10301.956</v>
      </c>
      <c r="E122" s="20" t="n">
        <v>10301.956</v>
      </c>
      <c r="F122" s="20" t="n">
        <v>10301.956</v>
      </c>
      <c r="G122" s="20" t="n">
        <v>10319.902</v>
      </c>
      <c r="H122" s="20" t="n">
        <v>8371.83</v>
      </c>
      <c r="I122" s="20" t="n">
        <v>8371.83</v>
      </c>
      <c r="J122" s="20" t="n">
        <v>9500.829</v>
      </c>
      <c r="K122" s="20" t="n">
        <v>10286.972</v>
      </c>
      <c r="L122" s="20" t="n">
        <v>10301.956</v>
      </c>
    </row>
    <row r="123">
      <c r="A123" s="18" t="inlineStr">
        <is>
          <t>이익잉여금</t>
        </is>
      </c>
      <c r="C123" s="20" t="n">
        <v>65248.16</v>
      </c>
      <c r="D123" s="20" t="n">
        <v>65763.84299999999</v>
      </c>
      <c r="E123" s="20" t="n">
        <v>66865.09299999999</v>
      </c>
      <c r="F123" s="20" t="n">
        <v>66747.822</v>
      </c>
      <c r="G123" s="20" t="n">
        <v>68315.97199999999</v>
      </c>
      <c r="H123" s="20" t="n">
        <v>49237.574</v>
      </c>
      <c r="I123" s="20" t="n">
        <v>51144.527</v>
      </c>
      <c r="J123" s="20" t="n">
        <v>58102.153</v>
      </c>
      <c r="K123" s="20" t="n">
        <v>62991.949</v>
      </c>
      <c r="L123" s="20" t="n">
        <v>66865.09299999999</v>
      </c>
    </row>
    <row r="124">
      <c r="A124" s="18" t="inlineStr">
        <is>
          <t>자기주식</t>
        </is>
      </c>
      <c r="C124" s="20" t="n">
        <v>-8480.468999999999</v>
      </c>
      <c r="D124" s="20" t="n">
        <v>-8480.468999999999</v>
      </c>
      <c r="E124" s="20" t="n">
        <v>-8480.468999999999</v>
      </c>
      <c r="F124" s="20" t="n">
        <v>-10013.444</v>
      </c>
      <c r="G124" s="20" t="n">
        <v>-12127.518</v>
      </c>
      <c r="H124" s="20" t="n">
        <v>-12006.629</v>
      </c>
      <c r="I124" s="20" t="n">
        <v>-12655.002</v>
      </c>
      <c r="J124" s="20" t="n">
        <v>-9584.281000000001</v>
      </c>
      <c r="K124" s="20" t="n">
        <v>-8513.509</v>
      </c>
      <c r="L124" s="20" t="n">
        <v>-8480.468999999999</v>
      </c>
    </row>
    <row r="125">
      <c r="A125" s="9" t="inlineStr">
        <is>
          <t>주주자본 합계</t>
        </is>
      </c>
      <c r="C125" s="12" t="n">
        <v>75003.746</v>
      </c>
      <c r="D125" s="12" t="n">
        <v>75519.42999999999</v>
      </c>
      <c r="E125" s="12" t="n">
        <v>76620.67999999999</v>
      </c>
      <c r="F125" s="12" t="n">
        <v>74970.43399999999</v>
      </c>
      <c r="G125" s="12" t="n">
        <v>74442.45600000001</v>
      </c>
      <c r="H125" s="12" t="n">
        <v>53536.874</v>
      </c>
      <c r="I125" s="12" t="n">
        <v>54795.454</v>
      </c>
      <c r="J125" s="12" t="n">
        <v>65952.80100000001</v>
      </c>
      <c r="K125" s="12" t="n">
        <v>72699.512</v>
      </c>
      <c r="L125" s="12" t="n">
        <v>76620.67999999999</v>
      </c>
    </row>
    <row r="126">
      <c r="A126" s="18" t="inlineStr">
        <is>
          <t>기타유가증권 평가차액</t>
        </is>
      </c>
      <c r="C126" s="20" t="n">
        <v>6493.845</v>
      </c>
      <c r="D126" s="20" t="n">
        <v>7643.961</v>
      </c>
      <c r="E126" s="20" t="n">
        <v>8579.481</v>
      </c>
      <c r="F126" s="20" t="n">
        <v>9780.925999999999</v>
      </c>
      <c r="G126" s="20" t="n">
        <v>9915.552</v>
      </c>
      <c r="H126" s="20" t="n">
        <v>726.532</v>
      </c>
      <c r="I126" s="20" t="n">
        <v>1641.643</v>
      </c>
      <c r="J126" s="20" t="n">
        <v>4926.52</v>
      </c>
      <c r="K126" s="20" t="n">
        <v>5444.926</v>
      </c>
      <c r="L126" s="20" t="n">
        <v>8579.481</v>
      </c>
    </row>
    <row r="127">
      <c r="A127" s="18" t="inlineStr">
        <is>
          <t>퇴직급여 조정누계액</t>
        </is>
      </c>
      <c r="C127" s="20" t="n">
        <v>93.52800000000001</v>
      </c>
      <c r="D127" s="20" t="n">
        <v>97.381</v>
      </c>
      <c r="E127" s="20" t="n">
        <v>533.1130000000001</v>
      </c>
      <c r="F127" s="20" t="n">
        <v>517.523</v>
      </c>
      <c r="G127" s="20" t="n">
        <v>501.933</v>
      </c>
      <c r="H127" s="20" t="n">
        <v>-21.408</v>
      </c>
      <c r="I127" s="20" t="n">
        <v>-129.727</v>
      </c>
      <c r="J127" s="20" t="n">
        <v>363.216</v>
      </c>
      <c r="K127" s="20" t="n">
        <v>85.822</v>
      </c>
      <c r="L127" s="20" t="n">
        <v>533.1130000000001</v>
      </c>
    </row>
    <row r="128">
      <c r="A128" s="18" t="inlineStr">
        <is>
          <t>기타포괄손익누계액 합계</t>
        </is>
      </c>
      <c r="C128" s="20" t="n">
        <v>6587.373</v>
      </c>
      <c r="D128" s="20" t="n">
        <v>7741.342</v>
      </c>
      <c r="E128" s="20" t="n">
        <v>9112.593999999999</v>
      </c>
      <c r="F128" s="20" t="n">
        <v>10298.45</v>
      </c>
      <c r="G128" s="20" t="n">
        <v>10417.486</v>
      </c>
      <c r="H128" s="20" t="n">
        <v>705.123</v>
      </c>
      <c r="I128" s="20" t="n">
        <v>1511.915</v>
      </c>
      <c r="J128" s="20" t="n">
        <v>5289.737</v>
      </c>
      <c r="K128" s="20" t="n">
        <v>5530.749</v>
      </c>
      <c r="L128" s="20" t="n">
        <v>9112.593999999999</v>
      </c>
    </row>
    <row r="129">
      <c r="A129" s="18" t="inlineStr">
        <is>
          <t>신주예약권</t>
        </is>
      </c>
      <c r="I129" s="20" t="n">
        <v>0</v>
      </c>
      <c r="J129" s="20" t="n">
        <v>11.497</v>
      </c>
      <c r="K129" s="20" t="n">
        <v>0</v>
      </c>
    </row>
    <row r="130">
      <c r="A130" s="9" t="inlineStr">
        <is>
          <t>순자산 합계</t>
        </is>
      </c>
      <c r="C130" s="12" t="n">
        <v>81591.12</v>
      </c>
      <c r="D130" s="12" t="n">
        <v>83260.773</v>
      </c>
      <c r="E130" s="12" t="n">
        <v>85733.274</v>
      </c>
      <c r="F130" s="12" t="n">
        <v>85268.88400000001</v>
      </c>
      <c r="G130" s="12" t="n">
        <v>84859.942</v>
      </c>
      <c r="H130" s="12" t="n">
        <v>54241.998</v>
      </c>
      <c r="I130" s="12" t="n">
        <v>56307.37</v>
      </c>
      <c r="J130" s="12" t="n">
        <v>71254.03599999999</v>
      </c>
      <c r="K130" s="12" t="n">
        <v>78230.262</v>
      </c>
      <c r="L130" s="12" t="n">
        <v>85733.274</v>
      </c>
    </row>
    <row r="131">
      <c r="A131" s="9" t="inlineStr">
        <is>
          <t>부채·순자산 합계</t>
        </is>
      </c>
      <c r="C131" s="12" t="n">
        <v>89755.682</v>
      </c>
      <c r="D131" s="12" t="n">
        <v>91848.99800000001</v>
      </c>
      <c r="E131" s="12" t="n">
        <v>94262.46000000001</v>
      </c>
      <c r="F131" s="12" t="n">
        <v>93691.692</v>
      </c>
      <c r="G131" s="12" t="n">
        <v>93563.83500000001</v>
      </c>
      <c r="H131" s="12" t="n">
        <v>60135.008</v>
      </c>
      <c r="I131" s="12" t="n">
        <v>63922.782</v>
      </c>
      <c r="J131" s="12" t="n">
        <v>83956.902</v>
      </c>
      <c r="K131" s="12" t="n">
        <v>87000.89599999999</v>
      </c>
      <c r="L131" s="12" t="n">
        <v>94262.46000000001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２분기 결산단신</t>
        </is>
      </c>
      <c r="C4" t="inlineStr">
        <is>
          <t>https://www2.jpx.co.jp/disc/64190/140120261029559557.pdf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https://www2.jpx.co.jp/disc/64190/140120260723598585.pdf</t>
        </is>
      </c>
    </row>
    <row r="6">
      <c r="A6" t="inlineStr">
        <is>
          <t>2026-05-14</t>
        </is>
      </c>
      <c r="B6" t="inlineStr">
        <is>
          <t>2026년 3월 결산기 연간 결산단신</t>
        </is>
      </c>
      <c r="C6" t="inlineStr">
        <is>
          <t>https://www2.jpx.co.jp/disc/64190/140120260424510265.pdf</t>
        </is>
      </c>
    </row>
    <row r="7">
      <c r="A7" t="inlineStr">
        <is>
          <t>2026-01-30</t>
        </is>
      </c>
      <c r="B7" t="inlineStr">
        <is>
          <t>2026년 3월 결산기 ３분기 결산단신</t>
        </is>
      </c>
      <c r="C7" t="inlineStr">
        <is>
          <t>https://www2.jpx.co.jp/disc/64190/140120260130542702.pdf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https://www2.jpx.co.jp/disc/64190/140120251028580074.pdf</t>
        </is>
      </c>
    </row>
    <row r="9">
      <c r="A9" t="inlineStr">
        <is>
          <t>2025-07-30</t>
        </is>
      </c>
      <c r="B9" t="inlineStr">
        <is>
          <t>2026년 3월 결산기 １분기 결산단신</t>
        </is>
      </c>
      <c r="C9" t="inlineStr">
        <is>
          <t>https://www2.jpx.co.jp/disc/64190/140120250729522473.pdf</t>
        </is>
      </c>
    </row>
    <row r="10">
      <c r="A10" t="inlineStr">
        <is>
          <t>2025-05-14</t>
        </is>
      </c>
      <c r="B10" t="inlineStr">
        <is>
          <t>2025년 3월 결산기 연간 결산단신</t>
        </is>
      </c>
      <c r="C10" t="inlineStr">
        <is>
          <t>https://www2.jpx.co.jp/disc/64190/140120250512542839.pdf</t>
        </is>
      </c>
    </row>
    <row r="11">
      <c r="A11" t="inlineStr">
        <is>
          <t>2025-01-30</t>
        </is>
      </c>
      <c r="B11" t="inlineStr">
        <is>
          <t>2025년 3월 결산기 ３분기 결산단신</t>
        </is>
      </c>
      <c r="C11" t="inlineStr">
        <is>
          <t>https://www2.jpx.co.jp/disc/64190/140120250127555444.pdf</t>
        </is>
      </c>
    </row>
    <row r="12">
      <c r="A12" t="inlineStr">
        <is>
          <t>2024-10-30</t>
        </is>
      </c>
      <c r="B12" t="inlineStr">
        <is>
          <t>2025년 3월 결산기 ２분기 결산단신</t>
        </is>
      </c>
      <c r="C12" t="inlineStr">
        <is>
          <t>https://www2.jpx.co.jp/disc/64190/140120241022501005.pdf</t>
        </is>
      </c>
    </row>
    <row r="13">
      <c r="A13" t="inlineStr">
        <is>
          <t>2024-07-30</t>
        </is>
      </c>
      <c r="B13" t="inlineStr">
        <is>
          <t>2025년 3월 결산기 1분기 결산단신</t>
        </is>
      </c>
      <c r="C13" t="inlineStr">
        <is>
          <t>https://www2.jpx.co.jp/disc/64190/140120240722552568.pdf</t>
        </is>
      </c>
    </row>
    <row r="14">
      <c r="A14" t="inlineStr">
        <is>
          <t>2024-05-14</t>
        </is>
      </c>
      <c r="B14" t="inlineStr">
        <is>
          <t>2024년 3월 결산기 연간 결산단신</t>
        </is>
      </c>
      <c r="C14" t="inlineStr">
        <is>
          <t>https://www2.jpx.co.jp/disc/64190/140120240426578979.pdf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https://www2.jpx.co.jp/disc/64190/140120240122517255.pdf</t>
        </is>
      </c>
    </row>
    <row r="16">
      <c r="A16" t="inlineStr">
        <is>
          <t>2023-10-30</t>
        </is>
      </c>
      <c r="B16" t="inlineStr">
        <is>
          <t>2024년 3월 결산기 2분기 결산단신</t>
        </is>
      </c>
      <c r="C16" t="inlineStr">
        <is>
          <t>https://www2.jpx.co.jp/disc/64190/140120231018568232.pdf</t>
        </is>
      </c>
    </row>
    <row r="17">
      <c r="A17" t="inlineStr">
        <is>
          <t>2023-07-31</t>
        </is>
      </c>
      <c r="B17" t="inlineStr">
        <is>
          <t>2024년 3월 결산기 1분기 결산단신</t>
        </is>
      </c>
      <c r="C17" t="inlineStr">
        <is>
          <t>https://www2.jpx.co.jp/disc/64190/140120230725526272.pdf</t>
        </is>
      </c>
    </row>
    <row r="18">
      <c r="A18" t="inlineStr">
        <is>
          <t>2023-05-15</t>
        </is>
      </c>
      <c r="B18" t="inlineStr">
        <is>
          <t>2023년 3월 결산기 연간 결산단신</t>
        </is>
      </c>
      <c r="C18" t="inlineStr">
        <is>
          <t>https://www2.jpx.co.jp/disc/64190/140120230427554618.pdf</t>
        </is>
      </c>
    </row>
    <row r="19">
      <c r="A19" t="inlineStr">
        <is>
          <t>2023-01-27</t>
        </is>
      </c>
      <c r="B19" t="inlineStr">
        <is>
          <t>2023년 3월 결산기 3분기 결산단신</t>
        </is>
      </c>
      <c r="C19" t="inlineStr">
        <is>
          <t>https://www2.jpx.co.jp/disc/64190/140120230124592605.pdf</t>
        </is>
      </c>
    </row>
    <row r="20">
      <c r="A20" t="inlineStr">
        <is>
          <t>2022-05-16</t>
        </is>
      </c>
      <c r="B20" t="inlineStr">
        <is>
          <t>2022년 3월 결산기 연간 결산단신</t>
        </is>
      </c>
      <c r="C20" t="inlineStr">
        <is>
          <t>https://www2.jpx.co.jp/disc/64190/140120220506533697.pdf</t>
        </is>
      </c>
    </row>
    <row r="21">
      <c r="A21" t="inlineStr">
        <is>
          <t>2021-05-17</t>
        </is>
      </c>
      <c r="B21" t="inlineStr">
        <is>
          <t>2021년 3월 결산기 연간 결산단신</t>
        </is>
      </c>
      <c r="C21" t="inlineStr">
        <is>
          <t>https://www2.jpx.co.jp/disc/64190/140120210428402461.pdf</t>
        </is>
      </c>
    </row>
    <row r="22">
      <c r="A22" t="inlineStr">
        <is>
          <t>2020-05-20</t>
        </is>
      </c>
      <c r="B22" t="inlineStr">
        <is>
          <t>2020년 3월 결산기 연간 결산단신</t>
        </is>
      </c>
      <c r="C22" t="inlineStr">
        <is>
          <t>https://www2.jpx.co.jp/disc/64190/140120200519418463.pdf</t>
        </is>
      </c>
    </row>
    <row r="23">
      <c r="A23" t="inlineStr">
        <is>
          <t>2019-05-20</t>
        </is>
      </c>
      <c r="B23" t="inlineStr">
        <is>
          <t>2019년 3월 결산기 연간 결산단신</t>
        </is>
      </c>
      <c r="C23" t="inlineStr">
        <is>
          <t>https://www2.jpx.co.jp/disc/64190/140120190421407527.pdf</t>
        </is>
      </c>
    </row>
    <row r="24">
      <c r="A24" t="inlineStr">
        <is>
          <t>2018-05-14</t>
        </is>
      </c>
      <c r="B24" t="inlineStr">
        <is>
          <t>연간 결산단신</t>
        </is>
      </c>
      <c r="C24" t="inlineStr">
        <is>
          <t>https://www2.jpx.co.jp/disc/64190/140120180508429035.pdf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2026-10-30T04:37:13Z</dcterms:created>
  <dcterms:modified xmlns:dcterms="http://purl.org/dc/terms/" xmlns:xsi="http://www.w3.org/2001/XMLSchema-instance" xsi:type="dcterms:W3CDTF">2026-10-30T04:37:13Z</dcterms:modified>
</cp:coreProperties>
</file>