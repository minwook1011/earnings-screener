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7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65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MARUWA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2027.2Q = 2027년 3월 결산기 2분기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2024.3Q</t>
        </is>
      </c>
      <c r="D3" s="5" t="inlineStr">
        <is>
          <t>2024.4Q</t>
        </is>
      </c>
      <c r="E3" s="5" t="inlineStr">
        <is>
          <t>2025.1Q</t>
        </is>
      </c>
      <c r="F3" s="5" t="inlineStr">
        <is>
          <t>2025.2Q</t>
        </is>
      </c>
      <c r="G3" s="5" t="inlineStr">
        <is>
          <t>2025.3Q</t>
        </is>
      </c>
      <c r="H3" s="5" t="inlineStr">
        <is>
          <t>2025.4Q</t>
        </is>
      </c>
      <c r="I3" s="5" t="inlineStr">
        <is>
          <t>2026.1Q</t>
        </is>
      </c>
      <c r="J3" s="5" t="inlineStr">
        <is>
          <t>2026.2Q</t>
        </is>
      </c>
      <c r="K3" s="5" t="inlineStr">
        <is>
          <t>2026.3Q</t>
        </is>
      </c>
      <c r="L3" s="5" t="inlineStr">
        <is>
          <t>2026.4Q</t>
        </is>
      </c>
      <c r="M3" s="5" t="inlineStr">
        <is>
          <t>2027.1Q</t>
        </is>
      </c>
      <c r="N3" s="5" t="inlineStr">
        <is>
          <t>2027.2Q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16963</v>
      </c>
      <c r="D4" s="12" t="n">
        <v>16538</v>
      </c>
      <c r="E4" s="12" t="n">
        <v>16243</v>
      </c>
      <c r="F4" s="12" t="n">
        <v>18579</v>
      </c>
      <c r="G4" s="12" t="n">
        <v>18319</v>
      </c>
      <c r="H4" s="12" t="n">
        <v>18708</v>
      </c>
      <c r="I4" s="12" t="n">
        <v>17256</v>
      </c>
      <c r="J4" s="12" t="n">
        <v>15859</v>
      </c>
      <c r="K4" s="12" t="n">
        <v>19110</v>
      </c>
      <c r="L4" s="12" t="n">
        <v>22251</v>
      </c>
      <c r="M4" s="12" t="n">
        <v>19267</v>
      </c>
      <c r="N4" s="12" t="n">
        <v>27654</v>
      </c>
      <c r="O4" s="11" t="n">
        <v>32187.205</v>
      </c>
      <c r="P4" s="12" t="n">
        <v>38513.051</v>
      </c>
      <c r="Q4" s="12" t="n">
        <v>41193.338</v>
      </c>
      <c r="R4" s="12" t="n">
        <v>41231.431</v>
      </c>
      <c r="S4" s="12" t="n">
        <v>41438</v>
      </c>
      <c r="T4" s="12" t="n">
        <v>54344</v>
      </c>
      <c r="U4" s="12" t="n">
        <v>58804</v>
      </c>
      <c r="V4" s="12" t="n">
        <v>61564</v>
      </c>
      <c r="W4" s="12" t="n">
        <v>71849</v>
      </c>
      <c r="X4" s="12" t="n">
        <v>74476</v>
      </c>
      <c r="Y4" s="11">
        <f>IF(COUNT(Y7,Y10,Y13,Y16,Y19,Y22,Y25)=0,"",SUM(Y7,Y10,Y13,Y16,Y19,Y22,Y25))</f>
        <v/>
      </c>
      <c r="Z4" s="12">
        <f>IF(COUNT(Z7,Z10,Z13,Z16,Z19,Z22,Z25)=0,"",SUM(Z7,Z10,Z13,Z16,Z19,Z22,Z25))</f>
        <v/>
      </c>
      <c r="AA4" s="12">
        <f>IF(COUNT(AA7,AA10,AA13,AA16,AA19,AA22,AA25)=0,"",SUM(AA7,AA10,AA13,AA16,AA19,AA22,AA25))</f>
        <v/>
      </c>
      <c r="AB4" s="12">
        <f>IF(COUNT(AB7,AB10,AB13,AB16,AB19,AB22,AB25)=0,"",SUM(AB7,AB10,AB13,AB16,AB19,AB22,AB25))</f>
        <v/>
      </c>
      <c r="AC4" s="12">
        <f>IF(COUNT(AC7,AC10,AC13,AC16,AC19,AC22,AC25)=0,"",SUM(AC7,AC10,AC13,AC16,AC19,AC22,AC25))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세라믹 부품 사업</t>
        </is>
      </c>
      <c r="B7" s="10" t="n"/>
      <c r="C7" s="19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19" t="n"/>
      <c r="P7" s="20" t="n"/>
      <c r="Q7" s="20" t="n"/>
      <c r="R7" s="20" t="n"/>
      <c r="S7" s="20" t="n"/>
      <c r="T7" s="20" t="n"/>
      <c r="U7" s="20" t="n"/>
      <c r="V7" s="20" t="n"/>
      <c r="W7" s="20" t="n"/>
      <c r="X7" s="20" t="n"/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조명기기 사업</t>
        </is>
      </c>
      <c r="B10" s="10" t="n"/>
      <c r="C10" s="19" t="n">
        <v>2230</v>
      </c>
      <c r="D10" s="20" t="n"/>
      <c r="E10" s="20" t="n"/>
      <c r="F10" s="20" t="n"/>
      <c r="G10" s="20" t="n">
        <v>2452</v>
      </c>
      <c r="H10" s="20" t="n"/>
      <c r="I10" s="20" t="n"/>
      <c r="J10" s="20" t="n"/>
      <c r="K10" s="20" t="n">
        <v>3037</v>
      </c>
      <c r="L10" s="20" t="n"/>
      <c r="M10" s="20" t="n"/>
      <c r="N10" s="20" t="n"/>
      <c r="O10" s="19" t="n"/>
      <c r="P10" s="20" t="n"/>
      <c r="Q10" s="20" t="n"/>
      <c r="R10" s="20" t="n"/>
      <c r="S10" s="20" t="n"/>
      <c r="T10" s="20" t="n"/>
      <c r="U10" s="20" t="n"/>
      <c r="V10" s="20" t="n"/>
      <c r="W10" s="20" t="n"/>
      <c r="X10" s="20" t="n"/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세라믹 부품 사업</t>
        </is>
      </c>
      <c r="B13" s="10" t="n"/>
      <c r="C13" s="19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19" t="n"/>
      <c r="P13" s="20" t="n"/>
      <c r="Q13" s="20" t="n"/>
      <c r="R13" s="20" t="n"/>
      <c r="S13" s="20" t="n"/>
      <c r="T13" s="20" t="n"/>
      <c r="U13" s="20" t="n"/>
      <c r="V13" s="20" t="n"/>
      <c r="W13" s="20" t="n"/>
      <c r="X13" s="20" t="n"/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세라믹 부품 사업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>
        <v>53238</v>
      </c>
      <c r="W16" s="20" t="n">
        <v>62494</v>
      </c>
      <c r="X16" s="20" t="n">
        <v>63806</v>
      </c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조명기기 사업</t>
        </is>
      </c>
      <c r="B19" s="10" t="n"/>
      <c r="C19" s="19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19" t="n"/>
      <c r="P19" s="20" t="n"/>
      <c r="Q19" s="20" t="n"/>
      <c r="R19" s="20" t="n"/>
      <c r="S19" s="20" t="n"/>
      <c r="T19" s="20" t="n"/>
      <c r="U19" s="20" t="n"/>
      <c r="V19" s="20" t="n">
        <v>8452</v>
      </c>
      <c r="W19" s="20" t="n">
        <v>9400</v>
      </c>
      <c r="X19" s="20" t="n">
        <v>10687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세라믹 부품 사업</t>
        </is>
      </c>
      <c r="B22" s="10" t="n"/>
      <c r="C22" s="19" t="n"/>
      <c r="D22" s="20" t="n"/>
      <c r="E22" s="20" t="n">
        <v>14320</v>
      </c>
      <c r="F22" s="20" t="n"/>
      <c r="G22" s="20" t="n"/>
      <c r="H22" s="20" t="n"/>
      <c r="I22" s="20" t="n">
        <v>15250</v>
      </c>
      <c r="J22" s="20" t="n"/>
      <c r="K22" s="20" t="n"/>
      <c r="L22" s="20" t="n"/>
      <c r="M22" s="20" t="n">
        <v>16789</v>
      </c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8" t="inlineStr">
        <is>
          <t>조명기기 사업</t>
        </is>
      </c>
      <c r="B25" s="10" t="n"/>
      <c r="C25" s="19" t="n"/>
      <c r="D25" s="20" t="n"/>
      <c r="E25" s="20" t="n">
        <v>1926</v>
      </c>
      <c r="F25" s="20" t="n"/>
      <c r="G25" s="20" t="n"/>
      <c r="H25" s="20" t="n"/>
      <c r="I25" s="20" t="n">
        <v>2007</v>
      </c>
      <c r="J25" s="20" t="n"/>
      <c r="K25" s="20" t="n"/>
      <c r="L25" s="20" t="n"/>
      <c r="M25" s="20" t="n">
        <v>2482</v>
      </c>
      <c r="N25" s="20" t="n"/>
      <c r="O25" s="19" t="n"/>
      <c r="P25" s="20" t="n"/>
      <c r="Q25" s="20" t="n"/>
      <c r="R25" s="20" t="n"/>
      <c r="S25" s="20" t="n"/>
      <c r="T25" s="20" t="n"/>
      <c r="U25" s="20" t="n"/>
      <c r="V25" s="20" t="n"/>
      <c r="W25" s="20" t="n"/>
      <c r="X25" s="20" t="n"/>
      <c r="Y25" s="21" t="n"/>
      <c r="Z25" s="22" t="n"/>
      <c r="AA25" s="22" t="n"/>
      <c r="AB25" s="22" t="n"/>
      <c r="AC25" s="22" t="n"/>
    </row>
    <row r="26">
      <c r="A26" s="13" t="inlineStr">
        <is>
          <t>비중</t>
        </is>
      </c>
      <c r="B26" s="10" t="n"/>
      <c r="C26" s="14">
        <f>IF(OR(C25="",C4=""),"",IFERROR(C25/C4,""))</f>
        <v/>
      </c>
      <c r="D26" s="15">
        <f>IF(OR(D25="",D4=""),"",IFERROR(D25/D4,""))</f>
        <v/>
      </c>
      <c r="E26" s="15">
        <f>IF(OR(E25="",E4=""),"",IFERROR(E25/E4,""))</f>
        <v/>
      </c>
      <c r="F26" s="15">
        <f>IF(OR(F25="",F4=""),"",IFERROR(F25/F4,""))</f>
        <v/>
      </c>
      <c r="G26" s="15">
        <f>IF(OR(G25="",G4=""),"",IFERROR(G25/G4,""))</f>
        <v/>
      </c>
      <c r="H26" s="15">
        <f>IF(OR(H25="",H4=""),"",IFERROR(H25/H4,""))</f>
        <v/>
      </c>
      <c r="I26" s="15">
        <f>IF(OR(I25="",I4=""),"",IFERROR(I25/I4,""))</f>
        <v/>
      </c>
      <c r="J26" s="15">
        <f>IF(OR(J25="",J4=""),"",IFERROR(J25/J4,""))</f>
        <v/>
      </c>
      <c r="K26" s="15">
        <f>IF(OR(K25="",K4=""),"",IFERROR(K25/K4,""))</f>
        <v/>
      </c>
      <c r="L26" s="15">
        <f>IF(OR(L25="",L4=""),"",IFERROR(L25/L4,""))</f>
        <v/>
      </c>
      <c r="M26" s="15">
        <f>IF(OR(M25="",M4=""),"",IFERROR(M25/M4,""))</f>
        <v/>
      </c>
      <c r="N26" s="15">
        <f>IF(OR(N25="",N4=""),"",IFERROR(N25/N4,""))</f>
        <v/>
      </c>
      <c r="O26" s="14">
        <f>IF(OR(O25="",O4=""),"",IFERROR(O25/O4,""))</f>
        <v/>
      </c>
      <c r="P26" s="15">
        <f>IF(OR(P25="",P4=""),"",IFERROR(P25/P4,""))</f>
        <v/>
      </c>
      <c r="Q26" s="15">
        <f>IF(OR(Q25="",Q4=""),"",IFERROR(Q25/Q4,""))</f>
        <v/>
      </c>
      <c r="R26" s="15">
        <f>IF(OR(R25="",R4=""),"",IFERROR(R25/R4,""))</f>
        <v/>
      </c>
      <c r="S26" s="15">
        <f>IF(OR(S25="",S4=""),"",IFERROR(S25/S4,""))</f>
        <v/>
      </c>
      <c r="T26" s="15">
        <f>IF(OR(T25="",T4=""),"",IFERROR(T25/T4,""))</f>
        <v/>
      </c>
      <c r="U26" s="15">
        <f>IF(OR(U25="",U4=""),"",IFERROR(U25/U4,""))</f>
        <v/>
      </c>
      <c r="V26" s="15">
        <f>IF(OR(V25="",V4=""),"",IFERROR(V25/V4,""))</f>
        <v/>
      </c>
      <c r="W26" s="15">
        <f>IF(OR(W25="",W4=""),"",IFERROR(W25/W4,""))</f>
        <v/>
      </c>
      <c r="X26" s="15">
        <f>IF(OR(X25="",X4=""),"",IFERROR(X25/X4,""))</f>
        <v/>
      </c>
      <c r="Y26" s="14">
        <f>IF(OR(Y25="",Y4=""),"",IFERROR(Y25/Y4,""))</f>
        <v/>
      </c>
      <c r="Z26" s="15">
        <f>IF(OR(Z25="",Z4=""),"",IFERROR(Z25/Z4,""))</f>
        <v/>
      </c>
      <c r="AA26" s="15">
        <f>IF(OR(AA25="",AA4=""),"",IFERROR(AA25/AA4,""))</f>
        <v/>
      </c>
      <c r="AB26" s="15">
        <f>IF(OR(AB25="",AB4=""),"",IFERROR(AB25/AB4,""))</f>
        <v/>
      </c>
      <c r="AC26" s="15">
        <f>IF(OR(AC25="",AC4=""),"",IFERROR(AC25/AC4,""))</f>
        <v/>
      </c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IF(OR(G25="",C25=""),"",IFERROR(G25/C25-1,""))</f>
        <v/>
      </c>
      <c r="H27" s="15">
        <f>IF(OR(H25="",D25=""),"",IFERROR(H25/D25-1,""))</f>
        <v/>
      </c>
      <c r="I27" s="15">
        <f>IF(OR(I25="",E25=""),"",IFERROR(I25/E25-1,""))</f>
        <v/>
      </c>
      <c r="J27" s="15">
        <f>IF(OR(J25="",F25=""),"",IFERROR(J25/F25-1,""))</f>
        <v/>
      </c>
      <c r="K27" s="15">
        <f>IF(OR(K25="",G25=""),"",IFERROR(K25/G25-1,""))</f>
        <v/>
      </c>
      <c r="L27" s="15">
        <f>IF(OR(L25="",H25=""),"",IFERROR(L25/H25-1,""))</f>
        <v/>
      </c>
      <c r="M27" s="15">
        <f>IF(OR(M25="",I25=""),"",IFERROR(M25/I25-1,""))</f>
        <v/>
      </c>
      <c r="N27" s="15">
        <f>IF(OR(N25="",J25=""),"",IFERROR(N25/J25-1,""))</f>
        <v/>
      </c>
      <c r="O27" s="14" t="n"/>
      <c r="P27" s="15">
        <f>IF(OR(P25="",O25=""),"",IFERROR(P25/O25-1,""))</f>
        <v/>
      </c>
      <c r="Q27" s="15">
        <f>IF(OR(Q25="",P25=""),"",IFERROR(Q25/P25-1,""))</f>
        <v/>
      </c>
      <c r="R27" s="15">
        <f>IF(OR(R25="",Q25=""),"",IFERROR(R25/Q25-1,""))</f>
        <v/>
      </c>
      <c r="S27" s="15">
        <f>IF(OR(S25="",R25=""),"",IFERROR(S25/R25-1,""))</f>
        <v/>
      </c>
      <c r="T27" s="15">
        <f>IF(OR(T25="",S25=""),"",IFERROR(T25/S25-1,""))</f>
        <v/>
      </c>
      <c r="U27" s="15">
        <f>IF(OR(U25="",T25=""),"",IFERROR(U25/T25-1,""))</f>
        <v/>
      </c>
      <c r="V27" s="15">
        <f>IF(OR(V25="",U25=""),"",IFERROR(V25/U25-1,""))</f>
        <v/>
      </c>
      <c r="W27" s="15">
        <f>IF(OR(W25="",V25=""),"",IFERROR(W25/V25-1,""))</f>
        <v/>
      </c>
      <c r="X27" s="15">
        <f>IF(OR(X25="",W25=""),"",IFERROR(X25/W25-1,""))</f>
        <v/>
      </c>
      <c r="Y27" s="14">
        <f>IF(OR(Y25="",X25=""),"",IFERROR(Y25/X25-1,""))</f>
        <v/>
      </c>
      <c r="Z27" s="15">
        <f>IF(OR(Z25="",Y25=""),"",IFERROR(Z25/Y25-1,""))</f>
        <v/>
      </c>
      <c r="AA27" s="15">
        <f>IF(OR(AA25="",Z25=""),"",IFERROR(AA25/Z25-1,""))</f>
        <v/>
      </c>
      <c r="AB27" s="15">
        <f>IF(OR(AB25="",AA25=""),"",IFERROR(AB25/AA25-1,""))</f>
        <v/>
      </c>
      <c r="AC27" s="15">
        <f>IF(OR(AC25="",AB25=""),"",IFERROR(AC25/AB25-1,""))</f>
        <v/>
      </c>
    </row>
    <row r="28">
      <c r="A28" s="16" t="inlineStr">
        <is>
          <t>매출원가</t>
        </is>
      </c>
      <c r="B28" s="16" t="n"/>
      <c r="C28" s="17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7" t="n"/>
      <c r="P28" s="16" t="n"/>
      <c r="Q28" s="16" t="n"/>
      <c r="R28" s="16" t="n"/>
      <c r="S28" s="16" t="n"/>
      <c r="T28" s="16" t="n"/>
      <c r="U28" s="16" t="n"/>
      <c r="V28" s="16" t="n"/>
      <c r="W28" s="16" t="n"/>
      <c r="X28" s="16" t="n"/>
      <c r="Y28" s="17" t="n"/>
      <c r="Z28" s="16" t="n"/>
      <c r="AA28" s="16" t="n"/>
      <c r="AB28" s="16" t="n"/>
      <c r="AC28" s="16" t="n"/>
    </row>
    <row r="29">
      <c r="A29" s="18" t="inlineStr">
        <is>
          <t>전체 매출원가</t>
        </is>
      </c>
      <c r="B29" s="10" t="n"/>
      <c r="C29" s="19" t="n">
        <v>8358</v>
      </c>
      <c r="D29" s="20" t="n">
        <v>8158</v>
      </c>
      <c r="E29" s="20" t="n">
        <v>7665</v>
      </c>
      <c r="F29" s="20" t="n">
        <v>8436</v>
      </c>
      <c r="G29" s="20" t="n">
        <v>8136</v>
      </c>
      <c r="H29" s="20" t="n">
        <v>8140</v>
      </c>
      <c r="I29" s="20" t="n">
        <v>8180</v>
      </c>
      <c r="J29" s="20" t="n">
        <v>7846</v>
      </c>
      <c r="K29" s="20" t="n">
        <v>9226</v>
      </c>
      <c r="L29" s="20" t="n">
        <v>10066</v>
      </c>
      <c r="M29" s="20" t="n">
        <v>8845</v>
      </c>
      <c r="N29" s="20" t="n">
        <v>11913</v>
      </c>
      <c r="O29" s="19" t="n">
        <v>20296.949</v>
      </c>
      <c r="P29" s="20" t="n">
        <v>21928.997</v>
      </c>
      <c r="Q29" s="20" t="n">
        <v>23264.386</v>
      </c>
      <c r="R29" s="20" t="n">
        <v>23685.411</v>
      </c>
      <c r="S29" s="20" t="n">
        <v>23074</v>
      </c>
      <c r="T29" s="20" t="n">
        <v>27018</v>
      </c>
      <c r="U29" s="20" t="n">
        <v>28396</v>
      </c>
      <c r="V29" s="20" t="n">
        <v>30570</v>
      </c>
      <c r="W29" s="20" t="n">
        <v>32377</v>
      </c>
      <c r="X29" s="20" t="n">
        <v>35318</v>
      </c>
      <c r="Y29" s="19" t="n"/>
      <c r="Z29" s="20" t="n"/>
      <c r="AA29" s="20" t="n"/>
      <c r="AB29" s="20" t="n"/>
      <c r="AC29" s="20" t="n"/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IF(OR(G29="",C29=""),"",IF(C29&lt;=0,"",IFERROR(G29/C29-1,"")))</f>
        <v/>
      </c>
      <c r="H30" s="15">
        <f>IF(OR(H29="",D29=""),"",IF(D29&lt;=0,"",IFERROR(H29/D29-1,"")))</f>
        <v/>
      </c>
      <c r="I30" s="15">
        <f>IF(OR(I29="",E29=""),"",IF(E29&lt;=0,"",IFERROR(I29/E29-1,"")))</f>
        <v/>
      </c>
      <c r="J30" s="15">
        <f>IF(OR(J29="",F29=""),"",IF(F29&lt;=0,"",IFERROR(J29/F29-1,"")))</f>
        <v/>
      </c>
      <c r="K30" s="15">
        <f>IF(OR(K29="",G29=""),"",IF(G29&lt;=0,"",IFERROR(K29/G29-1,"")))</f>
        <v/>
      </c>
      <c r="L30" s="15">
        <f>IF(OR(L29="",H29=""),"",IF(H29&lt;=0,"",IFERROR(L29/H29-1,"")))</f>
        <v/>
      </c>
      <c r="M30" s="15">
        <f>IF(OR(M29="",I29=""),"",IF(I29&lt;=0,"",IFERROR(M29/I29-1,"")))</f>
        <v/>
      </c>
      <c r="N30" s="15">
        <f>IF(OR(N29="",J29=""),"",IF(J29&lt;=0,"",IFERROR(N29/J29-1,"")))</f>
        <v/>
      </c>
      <c r="O30" s="14" t="n"/>
      <c r="P30" s="15">
        <f>IF(OR(P29="",O29=""),"",IF(O29&lt;=0,"",IFERROR(P29/O29-1,"")))</f>
        <v/>
      </c>
      <c r="Q30" s="15">
        <f>IF(OR(Q29="",P29=""),"",IF(P29&lt;=0,"",IFERROR(Q29/P29-1,"")))</f>
        <v/>
      </c>
      <c r="R30" s="15">
        <f>IF(OR(R29="",Q29=""),"",IF(Q29&lt;=0,"",IFERROR(R29/Q29-1,"")))</f>
        <v/>
      </c>
      <c r="S30" s="15">
        <f>IF(OR(S29="",R29=""),"",IF(R29&lt;=0,"",IFERROR(S29/R29-1,"")))</f>
        <v/>
      </c>
      <c r="T30" s="15">
        <f>IF(OR(T29="",S29=""),"",IF(S29&lt;=0,"",IFERROR(T29/S29-1,"")))</f>
        <v/>
      </c>
      <c r="U30" s="15">
        <f>IF(OR(U29="",T29=""),"",IF(T29&lt;=0,"",IFERROR(U29/T29-1,"")))</f>
        <v/>
      </c>
      <c r="V30" s="15">
        <f>IF(OR(V29="",U29=""),"",IF(U29&lt;=0,"",IFERROR(V29/U29-1,"")))</f>
        <v/>
      </c>
      <c r="W30" s="15">
        <f>IF(OR(W29="",V29=""),"",IF(V29&lt;=0,"",IFERROR(W29/V29-1,"")))</f>
        <v/>
      </c>
      <c r="X30" s="15">
        <f>IF(OR(X29="",W29=""),"",IF(W29&lt;=0,"",IFERROR(X29/W29-1,"")))</f>
        <v/>
      </c>
      <c r="Y30" s="14">
        <f>IF(OR(Y29="",X29=""),"",IF(X29&lt;=0,"",IFERROR(Y29/X29-1,"")))</f>
        <v/>
      </c>
      <c r="Z30" s="15">
        <f>IF(OR(Z29="",Y29=""),"",IF(Y29&lt;=0,"",IFERROR(Z29/Y29-1,"")))</f>
        <v/>
      </c>
      <c r="AA30" s="15">
        <f>IF(OR(AA29="",Z29=""),"",IF(Z29&lt;=0,"",IFERROR(AA29/Z29-1,"")))</f>
        <v/>
      </c>
      <c r="AB30" s="15">
        <f>IF(OR(AB29="",AA29=""),"",IF(AA29&lt;=0,"",IFERROR(AB29/AA29-1,"")))</f>
        <v/>
      </c>
      <c r="AC30" s="15">
        <f>IF(OR(AC29="",AB29=""),"",IF(AB29&lt;=0,"",IFERROR(AC29/AB29-1,"")))</f>
        <v/>
      </c>
    </row>
    <row r="31">
      <c r="A31" s="18" t="inlineStr">
        <is>
          <t>매출총이익</t>
        </is>
      </c>
      <c r="B31" s="10" t="n"/>
      <c r="C31" s="19">
        <f>IF(OR(C4="",C29=""),"",IFERROR(C4-C29,""))</f>
        <v/>
      </c>
      <c r="D31" s="20">
        <f>IF(OR(D4="",D29=""),"",IFERROR(D4-D29,""))</f>
        <v/>
      </c>
      <c r="E31" s="20">
        <f>IF(OR(E4="",E29=""),"",IFERROR(E4-E29,""))</f>
        <v/>
      </c>
      <c r="F31" s="20">
        <f>IF(OR(F4="",F29=""),"",IFERROR(F4-F29,""))</f>
        <v/>
      </c>
      <c r="G31" s="20">
        <f>IF(OR(G4="",G29=""),"",IFERROR(G4-G29,""))</f>
        <v/>
      </c>
      <c r="H31" s="20">
        <f>IF(OR(H4="",H29=""),"",IFERROR(H4-H29,""))</f>
        <v/>
      </c>
      <c r="I31" s="20">
        <f>IF(OR(I4="",I29=""),"",IFERROR(I4-I29,""))</f>
        <v/>
      </c>
      <c r="J31" s="20">
        <f>IF(OR(J4="",J29=""),"",IFERROR(J4-J29,""))</f>
        <v/>
      </c>
      <c r="K31" s="20">
        <f>IF(OR(K4="",K29=""),"",IFERROR(K4-K29,""))</f>
        <v/>
      </c>
      <c r="L31" s="20">
        <f>IF(OR(L4="",L29=""),"",IFERROR(L4-L29,""))</f>
        <v/>
      </c>
      <c r="M31" s="20">
        <f>IF(OR(M4="",M29=""),"",IFERROR(M4-M29,""))</f>
        <v/>
      </c>
      <c r="N31" s="20">
        <f>IF(OR(N4="",N29=""),"",IFERROR(N4-N29,""))</f>
        <v/>
      </c>
      <c r="O31" s="19">
        <f>IF(OR(O4="",O29=""),"",IFERROR(O4-O29,""))</f>
        <v/>
      </c>
      <c r="P31" s="20">
        <f>IF(OR(P4="",P29=""),"",IFERROR(P4-P29,""))</f>
        <v/>
      </c>
      <c r="Q31" s="20">
        <f>IF(OR(Q4="",Q29=""),"",IFERROR(Q4-Q29,""))</f>
        <v/>
      </c>
      <c r="R31" s="20">
        <f>IF(OR(R4="",R29=""),"",IFERROR(R4-R29,""))</f>
        <v/>
      </c>
      <c r="S31" s="20">
        <f>IF(OR(S4="",S29=""),"",IFERROR(S4-S29,""))</f>
        <v/>
      </c>
      <c r="T31" s="20">
        <f>IF(OR(T4="",T29=""),"",IFERROR(T4-T29,""))</f>
        <v/>
      </c>
      <c r="U31" s="20">
        <f>IF(OR(U4="",U29=""),"",IFERROR(U4-U29,""))</f>
        <v/>
      </c>
      <c r="V31" s="20">
        <f>IF(OR(V4="",V29=""),"",IFERROR(V4-V29,""))</f>
        <v/>
      </c>
      <c r="W31" s="20">
        <f>IF(OR(W4="",W29=""),"",IFERROR(W4-W29,""))</f>
        <v/>
      </c>
      <c r="X31" s="20">
        <f>IF(OR(X4="",X29=""),"",IFERROR(X4-X29,""))</f>
        <v/>
      </c>
      <c r="Y31" s="19" t="n"/>
      <c r="Z31" s="20" t="n"/>
      <c r="AA31" s="20" t="n"/>
      <c r="AB31" s="20" t="n"/>
      <c r="AC31" s="20" t="n"/>
    </row>
    <row r="32">
      <c r="A32" s="13" t="inlineStr">
        <is>
          <t>GPM</t>
        </is>
      </c>
      <c r="B32" s="10" t="n"/>
      <c r="C32" s="14">
        <f>IF(OR(C31="",C4=""),"",IFERROR(C31/C4,""))</f>
        <v/>
      </c>
      <c r="D32" s="15">
        <f>IF(OR(D31="",D4=""),"",IFERROR(D31/D4,""))</f>
        <v/>
      </c>
      <c r="E32" s="15">
        <f>IF(OR(E31="",E4=""),"",IFERROR(E31/E4,""))</f>
        <v/>
      </c>
      <c r="F32" s="15">
        <f>IF(OR(F31="",F4=""),"",IFERROR(F31/F4,""))</f>
        <v/>
      </c>
      <c r="G32" s="15">
        <f>IF(OR(G31="",G4=""),"",IFERROR(G31/G4,""))</f>
        <v/>
      </c>
      <c r="H32" s="15">
        <f>IF(OR(H31="",H4=""),"",IFERROR(H31/H4,""))</f>
        <v/>
      </c>
      <c r="I32" s="15">
        <f>IF(OR(I31="",I4=""),"",IFERROR(I31/I4,""))</f>
        <v/>
      </c>
      <c r="J32" s="15">
        <f>IF(OR(J31="",J4=""),"",IFERROR(J31/J4,""))</f>
        <v/>
      </c>
      <c r="K32" s="15">
        <f>IF(OR(K31="",K4=""),"",IFERROR(K31/K4,""))</f>
        <v/>
      </c>
      <c r="L32" s="15">
        <f>IF(OR(L31="",L4=""),"",IFERROR(L31/L4,""))</f>
        <v/>
      </c>
      <c r="M32" s="15">
        <f>IF(OR(M31="",M4=""),"",IFERROR(M31/M4,""))</f>
        <v/>
      </c>
      <c r="N32" s="15">
        <f>IF(OR(N31="",N4=""),"",IFERROR(N31/N4,""))</f>
        <v/>
      </c>
      <c r="O32" s="14">
        <f>IF(OR(O31="",O4=""),"",IFERROR(O31/O4,""))</f>
        <v/>
      </c>
      <c r="P32" s="15">
        <f>IF(OR(P31="",P4=""),"",IFERROR(P31/P4,""))</f>
        <v/>
      </c>
      <c r="Q32" s="15">
        <f>IF(OR(Q31="",Q4=""),"",IFERROR(Q31/Q4,""))</f>
        <v/>
      </c>
      <c r="R32" s="15">
        <f>IF(OR(R31="",R4=""),"",IFERROR(R31/R4,""))</f>
        <v/>
      </c>
      <c r="S32" s="15">
        <f>IF(OR(S31="",S4=""),"",IFERROR(S31/S4,""))</f>
        <v/>
      </c>
      <c r="T32" s="15">
        <f>IF(OR(T31="",T4=""),"",IFERROR(T31/T4,""))</f>
        <v/>
      </c>
      <c r="U32" s="15">
        <f>IF(OR(U31="",U4=""),"",IFERROR(U31/U4,""))</f>
        <v/>
      </c>
      <c r="V32" s="15">
        <f>IF(OR(V31="",V4=""),"",IFERROR(V31/V4,""))</f>
        <v/>
      </c>
      <c r="W32" s="15">
        <f>IF(OR(W31="",W4=""),"",IFERROR(W31/W4,""))</f>
        <v/>
      </c>
      <c r="X32" s="15">
        <f>IF(OR(X31="",X4=""),"",IFERROR(X31/X4,""))</f>
        <v/>
      </c>
      <c r="Y32" s="14">
        <f>IF(OR(Y31="",Y4=""),"",IFERROR(Y31/Y4,""))</f>
        <v/>
      </c>
      <c r="Z32" s="15">
        <f>IF(OR(Z31="",Z4=""),"",IFERROR(Z31/Z4,""))</f>
        <v/>
      </c>
      <c r="AA32" s="15">
        <f>IF(OR(AA31="",AA4=""),"",IFERROR(AA31/AA4,""))</f>
        <v/>
      </c>
      <c r="AB32" s="15">
        <f>IF(OR(AB31="",AB4=""),"",IFERROR(AB31/AB4,""))</f>
        <v/>
      </c>
      <c r="AC32" s="15">
        <f>IF(OR(AC31="",AC4=""),"",IFERROR(AC31/AC4,""))</f>
        <v/>
      </c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IF(OR(G31="",C31=""),"",IF(C31&lt;=0,"",IFERROR(G31/C31-1,"")))</f>
        <v/>
      </c>
      <c r="H33" s="15">
        <f>IF(OR(H31="",D31=""),"",IF(D31&lt;=0,"",IFERROR(H31/D31-1,"")))</f>
        <v/>
      </c>
      <c r="I33" s="15">
        <f>IF(OR(I31="",E31=""),"",IF(E31&lt;=0,"",IFERROR(I31/E31-1,"")))</f>
        <v/>
      </c>
      <c r="J33" s="15">
        <f>IF(OR(J31="",F31=""),"",IF(F31&lt;=0,"",IFERROR(J31/F31-1,"")))</f>
        <v/>
      </c>
      <c r="K33" s="15">
        <f>IF(OR(K31="",G31=""),"",IF(G31&lt;=0,"",IFERROR(K31/G31-1,"")))</f>
        <v/>
      </c>
      <c r="L33" s="15">
        <f>IF(OR(L31="",H31=""),"",IF(H31&lt;=0,"",IFERROR(L31/H31-1,"")))</f>
        <v/>
      </c>
      <c r="M33" s="15">
        <f>IF(OR(M31="",I31=""),"",IF(I31&lt;=0,"",IFERROR(M31/I31-1,"")))</f>
        <v/>
      </c>
      <c r="N33" s="15">
        <f>IF(OR(N31="",J31=""),"",IF(J31&lt;=0,"",IFERROR(N31/J31-1,"")))</f>
        <v/>
      </c>
      <c r="O33" s="14" t="n"/>
      <c r="P33" s="15">
        <f>IF(OR(P31="",O31=""),"",IF(O31&lt;=0,"",IFERROR(P31/O31-1,"")))</f>
        <v/>
      </c>
      <c r="Q33" s="15">
        <f>IF(OR(Q31="",P31=""),"",IF(P31&lt;=0,"",IFERROR(Q31/P31-1,"")))</f>
        <v/>
      </c>
      <c r="R33" s="15">
        <f>IF(OR(R31="",Q31=""),"",IF(Q31&lt;=0,"",IFERROR(R31/Q31-1,"")))</f>
        <v/>
      </c>
      <c r="S33" s="15">
        <f>IF(OR(S31="",R31=""),"",IF(R31&lt;=0,"",IFERROR(S31/R31-1,"")))</f>
        <v/>
      </c>
      <c r="T33" s="15">
        <f>IF(OR(T31="",S31=""),"",IF(S31&lt;=0,"",IFERROR(T31/S31-1,"")))</f>
        <v/>
      </c>
      <c r="U33" s="15">
        <f>IF(OR(U31="",T31=""),"",IF(T31&lt;=0,"",IFERROR(U31/T31-1,"")))</f>
        <v/>
      </c>
      <c r="V33" s="15">
        <f>IF(OR(V31="",U31=""),"",IF(U31&lt;=0,"",IFERROR(V31/U31-1,"")))</f>
        <v/>
      </c>
      <c r="W33" s="15">
        <f>IF(OR(W31="",V31=""),"",IF(V31&lt;=0,"",IFERROR(W31/V31-1,"")))</f>
        <v/>
      </c>
      <c r="X33" s="15">
        <f>IF(OR(X31="",W31=""),"",IF(W31&lt;=0,"",IFERROR(X31/W31-1,"")))</f>
        <v/>
      </c>
      <c r="Y33" s="14">
        <f>IF(OR(Y31="",X31=""),"",IF(X31&lt;=0,"",IFERROR(Y31/X31-1,"")))</f>
        <v/>
      </c>
      <c r="Z33" s="15">
        <f>IF(OR(Z31="",Y31=""),"",IF(Y31&lt;=0,"",IFERROR(Z31/Y31-1,"")))</f>
        <v/>
      </c>
      <c r="AA33" s="15">
        <f>IF(OR(AA31="",Z31=""),"",IF(Z31&lt;=0,"",IFERROR(AA31/Z31-1,"")))</f>
        <v/>
      </c>
      <c r="AB33" s="15">
        <f>IF(OR(AB31="",AA31=""),"",IF(AA31&lt;=0,"",IFERROR(AB31/AA31-1,"")))</f>
        <v/>
      </c>
      <c r="AC33" s="15">
        <f>IF(OR(AC31="",AB31=""),"",IF(AB31&lt;=0,"",IFERROR(AC31/AB31-1,"")))</f>
        <v/>
      </c>
    </row>
    <row r="34">
      <c r="A34" s="23" t="inlineStr">
        <is>
          <t>판매관리비</t>
        </is>
      </c>
      <c r="B34" s="23" t="n"/>
      <c r="C34" s="24" t="n"/>
      <c r="D34" s="23" t="n"/>
      <c r="E34" s="23" t="n"/>
      <c r="F34" s="23" t="n"/>
      <c r="G34" s="23" t="n"/>
      <c r="H34" s="23" t="n"/>
      <c r="I34" s="23" t="n"/>
      <c r="J34" s="23" t="n"/>
      <c r="K34" s="23" t="n"/>
      <c r="L34" s="23" t="n"/>
      <c r="M34" s="23" t="n"/>
      <c r="N34" s="23" t="n"/>
      <c r="O34" s="24" t="n"/>
      <c r="P34" s="23" t="n"/>
      <c r="Q34" s="23" t="n"/>
      <c r="R34" s="23" t="n"/>
      <c r="S34" s="23" t="n"/>
      <c r="T34" s="23" t="n"/>
      <c r="U34" s="23" t="n"/>
      <c r="V34" s="23" t="n"/>
      <c r="W34" s="23" t="n"/>
      <c r="X34" s="23" t="n"/>
      <c r="Y34" s="24" t="n"/>
      <c r="Z34" s="23" t="n"/>
      <c r="AA34" s="23" t="n"/>
      <c r="AB34" s="23" t="n"/>
      <c r="AC34" s="23" t="n"/>
    </row>
    <row r="35">
      <c r="A35" s="18" t="inlineStr">
        <is>
          <t>전체 판관비</t>
        </is>
      </c>
      <c r="B35" s="10" t="n"/>
      <c r="C35" s="19" t="n">
        <v>2861</v>
      </c>
      <c r="D35" s="20" t="n">
        <v>2972</v>
      </c>
      <c r="E35" s="20" t="n">
        <v>2937</v>
      </c>
      <c r="F35" s="20" t="n">
        <v>2993</v>
      </c>
      <c r="G35" s="20" t="n">
        <v>3239</v>
      </c>
      <c r="H35" s="20" t="n">
        <v>3389</v>
      </c>
      <c r="I35" s="20" t="n">
        <v>3073</v>
      </c>
      <c r="J35" s="20" t="n">
        <v>3172</v>
      </c>
      <c r="K35" s="20" t="n">
        <v>3603</v>
      </c>
      <c r="L35" s="20" t="n">
        <v>4334</v>
      </c>
      <c r="M35" s="20" t="n">
        <v>4074</v>
      </c>
      <c r="N35" s="20" t="n">
        <v>4484</v>
      </c>
      <c r="O35" s="19" t="n">
        <v>6937.026</v>
      </c>
      <c r="P35" s="20" t="n">
        <v>7410.006</v>
      </c>
      <c r="Q35" s="20" t="n">
        <v>8372.880999999999</v>
      </c>
      <c r="R35" s="20" t="n">
        <v>8200.209000000001</v>
      </c>
      <c r="S35" s="20" t="n">
        <v>8114</v>
      </c>
      <c r="T35" s="20" t="n">
        <v>9110</v>
      </c>
      <c r="U35" s="20" t="n">
        <v>10266</v>
      </c>
      <c r="V35" s="20" t="n">
        <v>11192</v>
      </c>
      <c r="W35" s="20" t="n">
        <v>12558</v>
      </c>
      <c r="X35" s="20" t="n">
        <v>14182</v>
      </c>
      <c r="Y35" s="19" t="n"/>
      <c r="Z35" s="20" t="n"/>
      <c r="AA35" s="20" t="n"/>
      <c r="AB35" s="20" t="n"/>
      <c r="AC35" s="20" t="n"/>
    </row>
    <row r="36">
      <c r="A36" s="13" t="inlineStr">
        <is>
          <t>YoY</t>
        </is>
      </c>
      <c r="B36" s="10" t="n"/>
      <c r="C36" s="14" t="n"/>
      <c r="D36" s="15" t="n"/>
      <c r="E36" s="15" t="n"/>
      <c r="F36" s="15" t="n"/>
      <c r="G36" s="15">
        <f>IF(OR(G35="",C35=""),"",IF(C35&lt;=0,"",IFERROR(G35/C35-1,"")))</f>
        <v/>
      </c>
      <c r="H36" s="15">
        <f>IF(OR(H35="",D35=""),"",IF(D35&lt;=0,"",IFERROR(H35/D35-1,"")))</f>
        <v/>
      </c>
      <c r="I36" s="15">
        <f>IF(OR(I35="",E35=""),"",IF(E35&lt;=0,"",IFERROR(I35/E35-1,"")))</f>
        <v/>
      </c>
      <c r="J36" s="15">
        <f>IF(OR(J35="",F35=""),"",IF(F35&lt;=0,"",IFERROR(J35/F35-1,"")))</f>
        <v/>
      </c>
      <c r="K36" s="15">
        <f>IF(OR(K35="",G35=""),"",IF(G35&lt;=0,"",IFERROR(K35/G35-1,"")))</f>
        <v/>
      </c>
      <c r="L36" s="15">
        <f>IF(OR(L35="",H35=""),"",IF(H35&lt;=0,"",IFERROR(L35/H35-1,"")))</f>
        <v/>
      </c>
      <c r="M36" s="15">
        <f>IF(OR(M35="",I35=""),"",IF(I35&lt;=0,"",IFERROR(M35/I35-1,"")))</f>
        <v/>
      </c>
      <c r="N36" s="15">
        <f>IF(OR(N35="",J35=""),"",IF(J35&lt;=0,"",IFERROR(N35/J35-1,"")))</f>
        <v/>
      </c>
      <c r="O36" s="14" t="n"/>
      <c r="P36" s="15">
        <f>IF(OR(P35="",O35=""),"",IF(O35&lt;=0,"",IFERROR(P35/O35-1,"")))</f>
        <v/>
      </c>
      <c r="Q36" s="15">
        <f>IF(OR(Q35="",P35=""),"",IF(P35&lt;=0,"",IFERROR(Q35/P35-1,"")))</f>
        <v/>
      </c>
      <c r="R36" s="15">
        <f>IF(OR(R35="",Q35=""),"",IF(Q35&lt;=0,"",IFERROR(R35/Q35-1,"")))</f>
        <v/>
      </c>
      <c r="S36" s="15">
        <f>IF(OR(S35="",R35=""),"",IF(R35&lt;=0,"",IFERROR(S35/R35-1,"")))</f>
        <v/>
      </c>
      <c r="T36" s="15">
        <f>IF(OR(T35="",S35=""),"",IF(S35&lt;=0,"",IFERROR(T35/S35-1,"")))</f>
        <v/>
      </c>
      <c r="U36" s="15">
        <f>IF(OR(U35="",T35=""),"",IF(T35&lt;=0,"",IFERROR(U35/T35-1,"")))</f>
        <v/>
      </c>
      <c r="V36" s="15">
        <f>IF(OR(V35="",U35=""),"",IF(U35&lt;=0,"",IFERROR(V35/U35-1,"")))</f>
        <v/>
      </c>
      <c r="W36" s="15">
        <f>IF(OR(W35="",V35=""),"",IF(V35&lt;=0,"",IFERROR(W35/V35-1,"")))</f>
        <v/>
      </c>
      <c r="X36" s="15">
        <f>IF(OR(X35="",W35=""),"",IF(W35&lt;=0,"",IFERROR(X35/W35-1,"")))</f>
        <v/>
      </c>
      <c r="Y36" s="14">
        <f>IF(OR(Y35="",X35=""),"",IF(X35&lt;=0,"",IFERROR(Y35/X35-1,"")))</f>
        <v/>
      </c>
      <c r="Z36" s="15">
        <f>IF(OR(Z35="",Y35=""),"",IF(Y35&lt;=0,"",IFERROR(Z35/Y35-1,"")))</f>
        <v/>
      </c>
      <c r="AA36" s="15">
        <f>IF(OR(AA35="",Z35=""),"",IF(Z35&lt;=0,"",IFERROR(AA35/Z35-1,"")))</f>
        <v/>
      </c>
      <c r="AB36" s="15">
        <f>IF(OR(AB35="",AA35=""),"",IF(AA35&lt;=0,"",IFERROR(AB35/AA35-1,"")))</f>
        <v/>
      </c>
      <c r="AC36" s="15">
        <f>IF(OR(AC35="",AB35=""),"",IF(AB35&lt;=0,"",IFERROR(AC35/AB35-1,"")))</f>
        <v/>
      </c>
    </row>
    <row r="37">
      <c r="A37" s="9" t="inlineStr">
        <is>
          <t>영업이익</t>
        </is>
      </c>
      <c r="B37" s="10" t="inlineStr">
        <is>
          <t>MW = 매출 × OPM</t>
        </is>
      </c>
      <c r="C37" s="11" t="n">
        <v>5744</v>
      </c>
      <c r="D37" s="12" t="n">
        <v>5408</v>
      </c>
      <c r="E37" s="12" t="n">
        <v>5640</v>
      </c>
      <c r="F37" s="12" t="n">
        <v>7149</v>
      </c>
      <c r="G37" s="12" t="n">
        <v>6945</v>
      </c>
      <c r="H37" s="12" t="n">
        <v>7180</v>
      </c>
      <c r="I37" s="12" t="n">
        <v>6002</v>
      </c>
      <c r="J37" s="12" t="n">
        <v>4841</v>
      </c>
      <c r="K37" s="12" t="n">
        <v>6281</v>
      </c>
      <c r="L37" s="12" t="n">
        <v>7852</v>
      </c>
      <c r="M37" s="12" t="n">
        <v>6348</v>
      </c>
      <c r="N37" s="12" t="n">
        <v>11257</v>
      </c>
      <c r="O37" s="11" t="n">
        <v>4953.229</v>
      </c>
      <c r="P37" s="12" t="n">
        <v>9174.047</v>
      </c>
      <c r="Q37" s="12" t="n">
        <v>9556.071</v>
      </c>
      <c r="R37" s="12" t="n">
        <v>9345.809999999999</v>
      </c>
      <c r="S37" s="12" t="n">
        <v>10248</v>
      </c>
      <c r="T37" s="12" t="n">
        <v>18215</v>
      </c>
      <c r="U37" s="12" t="n">
        <v>20142</v>
      </c>
      <c r="V37" s="12" t="n">
        <v>19801</v>
      </c>
      <c r="W37" s="12" t="n">
        <v>26914</v>
      </c>
      <c r="X37" s="12" t="n">
        <v>24976</v>
      </c>
      <c r="Y37" s="11">
        <f>IF(OR(Y4="",Y38=""),"",IFERROR(Y4*Y38,""))</f>
        <v/>
      </c>
      <c r="Z37" s="12">
        <f>IF(OR(Z4="",Z38=""),"",IFERROR(Z4*Z38,""))</f>
        <v/>
      </c>
      <c r="AA37" s="12">
        <f>IF(OR(AA4="",AA38=""),"",IFERROR(AA4*AA38,""))</f>
        <v/>
      </c>
      <c r="AB37" s="12">
        <f>IF(OR(AB4="",AB38=""),"",IFERROR(AB4*AB38,""))</f>
        <v/>
      </c>
      <c r="AC37" s="12">
        <f>IF(OR(AC4="",AC38=""),"",IFERROR(AC4*AC38,""))</f>
        <v/>
      </c>
    </row>
    <row r="38">
      <c r="A38" s="13" t="inlineStr">
        <is>
          <t>OPM</t>
        </is>
      </c>
      <c r="B38" s="10" t="inlineStr">
        <is>
          <t>MW 입력</t>
        </is>
      </c>
      <c r="C38" s="14">
        <f>IF(OR(C37="",C4=""),"",IFERROR(C37/C4,""))</f>
        <v/>
      </c>
      <c r="D38" s="15">
        <f>IF(OR(D37="",D4=""),"",IFERROR(D37/D4,""))</f>
        <v/>
      </c>
      <c r="E38" s="15">
        <f>IF(OR(E37="",E4=""),"",IFERROR(E37/E4,""))</f>
        <v/>
      </c>
      <c r="F38" s="15">
        <f>IF(OR(F37="",F4=""),"",IFERROR(F37/F4,""))</f>
        <v/>
      </c>
      <c r="G38" s="15">
        <f>IF(OR(G37="",G4=""),"",IFERROR(G37/G4,""))</f>
        <v/>
      </c>
      <c r="H38" s="15">
        <f>IF(OR(H37="",H4=""),"",IFERROR(H37/H4,""))</f>
        <v/>
      </c>
      <c r="I38" s="15">
        <f>IF(OR(I37="",I4=""),"",IFERROR(I37/I4,""))</f>
        <v/>
      </c>
      <c r="J38" s="15">
        <f>IF(OR(J37="",J4=""),"",IFERROR(J37/J4,""))</f>
        <v/>
      </c>
      <c r="K38" s="15">
        <f>IF(OR(K37="",K4=""),"",IFERROR(K37/K4,""))</f>
        <v/>
      </c>
      <c r="L38" s="15">
        <f>IF(OR(L37="",L4=""),"",IFERROR(L37/L4,""))</f>
        <v/>
      </c>
      <c r="M38" s="15">
        <f>IF(OR(M37="",M4=""),"",IFERROR(M37/M4,""))</f>
        <v/>
      </c>
      <c r="N38" s="15">
        <f>IF(OR(N37="",N4=""),"",IFERROR(N37/N4,""))</f>
        <v/>
      </c>
      <c r="O38" s="14">
        <f>IF(OR(O37="",O4=""),"",IFERROR(O37/O4,""))</f>
        <v/>
      </c>
      <c r="P38" s="15">
        <f>IF(OR(P37="",P4=""),"",IFERROR(P37/P4,""))</f>
        <v/>
      </c>
      <c r="Q38" s="15">
        <f>IF(OR(Q37="",Q4=""),"",IFERROR(Q37/Q4,""))</f>
        <v/>
      </c>
      <c r="R38" s="15">
        <f>IF(OR(R37="",R4=""),"",IFERROR(R37/R4,""))</f>
        <v/>
      </c>
      <c r="S38" s="15">
        <f>IF(OR(S37="",S4=""),"",IFERROR(S37/S4,""))</f>
        <v/>
      </c>
      <c r="T38" s="15">
        <f>IF(OR(T37="",T4=""),"",IFERROR(T37/T4,""))</f>
        <v/>
      </c>
      <c r="U38" s="15">
        <f>IF(OR(U37="",U4=""),"",IFERROR(U37/U4,""))</f>
        <v/>
      </c>
      <c r="V38" s="15">
        <f>IF(OR(V37="",V4=""),"",IFERROR(V37/V4,""))</f>
        <v/>
      </c>
      <c r="W38" s="15">
        <f>IF(OR(W37="",W4=""),"",IFERROR(W37/W4,""))</f>
        <v/>
      </c>
      <c r="X38" s="15">
        <f>IF(OR(X37="",X4=""),"",IFERROR(X37/X4,""))</f>
        <v/>
      </c>
      <c r="Y38" s="25" t="n"/>
      <c r="Z38" s="26" t="n"/>
      <c r="AA38" s="26" t="n"/>
      <c r="AB38" s="26" t="n"/>
      <c r="AC38" s="26" t="n"/>
    </row>
    <row r="39">
      <c r="A39" s="13" t="inlineStr">
        <is>
          <t>증가율</t>
        </is>
      </c>
      <c r="B39" s="10" t="n"/>
      <c r="C39" s="14" t="n"/>
      <c r="D39" s="15" t="n"/>
      <c r="E39" s="15" t="n"/>
      <c r="F39" s="15" t="n"/>
      <c r="G39" s="15">
        <f>IF(OR(G37="",C37=""),"",IFERROR(G37/C37-1,""))</f>
        <v/>
      </c>
      <c r="H39" s="15">
        <f>IF(OR(H37="",D37=""),"",IFERROR(H37/D37-1,""))</f>
        <v/>
      </c>
      <c r="I39" s="15">
        <f>IF(OR(I37="",E37=""),"",IFERROR(I37/E37-1,""))</f>
        <v/>
      </c>
      <c r="J39" s="15">
        <f>IF(OR(J37="",F37=""),"",IFERROR(J37/F37-1,""))</f>
        <v/>
      </c>
      <c r="K39" s="15">
        <f>IF(OR(K37="",G37=""),"",IFERROR(K37/G37-1,""))</f>
        <v/>
      </c>
      <c r="L39" s="15">
        <f>IF(OR(L37="",H37=""),"",IFERROR(L37/H37-1,""))</f>
        <v/>
      </c>
      <c r="M39" s="15">
        <f>IF(OR(M37="",I37=""),"",IFERROR(M37/I37-1,""))</f>
        <v/>
      </c>
      <c r="N39" s="15">
        <f>IF(OR(N37="",J37=""),"",IFERROR(N37/J37-1,""))</f>
        <v/>
      </c>
      <c r="O39" s="14" t="n"/>
      <c r="P39" s="15">
        <f>IF(OR(P37="",O37=""),"",IFERROR(P37/O37-1,""))</f>
        <v/>
      </c>
      <c r="Q39" s="15">
        <f>IF(OR(Q37="",P37=""),"",IFERROR(Q37/P37-1,""))</f>
        <v/>
      </c>
      <c r="R39" s="15">
        <f>IF(OR(R37="",Q37=""),"",IFERROR(R37/Q37-1,""))</f>
        <v/>
      </c>
      <c r="S39" s="15">
        <f>IF(OR(S37="",R37=""),"",IFERROR(S37/R37-1,""))</f>
        <v/>
      </c>
      <c r="T39" s="15">
        <f>IF(OR(T37="",S37=""),"",IFERROR(T37/S37-1,""))</f>
        <v/>
      </c>
      <c r="U39" s="15">
        <f>IF(OR(U37="",T37=""),"",IFERROR(U37/T37-1,""))</f>
        <v/>
      </c>
      <c r="V39" s="15">
        <f>IF(OR(V37="",U37=""),"",IFERROR(V37/U37-1,""))</f>
        <v/>
      </c>
      <c r="W39" s="15">
        <f>IF(OR(W37="",V37=""),"",IFERROR(W37/V37-1,""))</f>
        <v/>
      </c>
      <c r="X39" s="15">
        <f>IF(OR(X37="",W37=""),"",IFERROR(X37/W37-1,""))</f>
        <v/>
      </c>
      <c r="Y39" s="14">
        <f>IF(OR(Y37="",X37=""),"",IFERROR(Y37/X37-1,""))</f>
        <v/>
      </c>
      <c r="Z39" s="15">
        <f>IF(OR(Z37="",Y37=""),"",IFERROR(Z37/Y37-1,""))</f>
        <v/>
      </c>
      <c r="AA39" s="15">
        <f>IF(OR(AA37="",Z37=""),"",IFERROR(AA37/Z37-1,""))</f>
        <v/>
      </c>
      <c r="AB39" s="15">
        <f>IF(OR(AB37="",AA37=""),"",IFERROR(AB37/AA37-1,""))</f>
        <v/>
      </c>
      <c r="AC39" s="15">
        <f>IF(OR(AC37="",AB37=""),"",IFERROR(AC37/AB37-1,""))</f>
        <v/>
      </c>
    </row>
    <row r="40">
      <c r="A40" s="16" t="inlineStr">
        <is>
          <t>비용의 성격별 분류</t>
        </is>
      </c>
      <c r="B40" s="16" t="inlineStr">
        <is>
          <t>참고 데이터</t>
        </is>
      </c>
      <c r="C40" s="17" t="n"/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7" t="n"/>
      <c r="P40" s="16" t="n"/>
      <c r="Q40" s="16" t="n"/>
      <c r="R40" s="16" t="n"/>
      <c r="S40" s="16" t="n"/>
      <c r="T40" s="16" t="n"/>
      <c r="U40" s="16" t="n"/>
      <c r="V40" s="16" t="n"/>
      <c r="W40" s="16" t="n"/>
      <c r="X40" s="16" t="n"/>
      <c r="Y40" s="17" t="n"/>
      <c r="Z40" s="16" t="n"/>
      <c r="AA40" s="16" t="n"/>
      <c r="AB40" s="16" t="n"/>
      <c r="AC40" s="16" t="n"/>
    </row>
    <row r="41">
      <c r="A41" s="9" t="inlineStr">
        <is>
          <t>총 판관비</t>
        </is>
      </c>
      <c r="B41" s="10" t="n"/>
      <c r="C41" s="11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1">
        <f>IF(O35="","",O35)</f>
        <v/>
      </c>
      <c r="P41" s="12">
        <f>IF(P35="","",P35)</f>
        <v/>
      </c>
      <c r="Q41" s="12">
        <f>IF(Q35="","",Q35)</f>
        <v/>
      </c>
      <c r="R41" s="12">
        <f>IF(R35="","",R35)</f>
        <v/>
      </c>
      <c r="S41" s="12">
        <f>IF(S35="","",S35)</f>
        <v/>
      </c>
      <c r="T41" s="12">
        <f>IF(T35="","",T35)</f>
        <v/>
      </c>
      <c r="U41" s="12">
        <f>IF(U35="","",U35)</f>
        <v/>
      </c>
      <c r="V41" s="12">
        <f>IF(V35="","",V35)</f>
        <v/>
      </c>
      <c r="W41" s="12">
        <f>IF(W35="","",W35)</f>
        <v/>
      </c>
      <c r="X41" s="12">
        <f>IF(X35="","",X35)</f>
        <v/>
      </c>
      <c r="Y41" s="11" t="n"/>
      <c r="Z41" s="12" t="n"/>
      <c r="AA41" s="12" t="n"/>
      <c r="AB41" s="12" t="n"/>
      <c r="AC41" s="12" t="n"/>
    </row>
    <row r="42">
      <c r="A42" s="18" t="inlineStr">
        <is>
          <t>급여</t>
        </is>
      </c>
      <c r="B42" s="10" t="inlineStr">
        <is>
          <t>고정비</t>
        </is>
      </c>
      <c r="C42" s="19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19" t="n"/>
      <c r="P42" s="20" t="n"/>
      <c r="Q42" s="20" t="n"/>
      <c r="R42" s="20" t="n"/>
      <c r="S42" s="20" t="n"/>
      <c r="T42" s="20" t="n"/>
      <c r="U42" s="20" t="n"/>
      <c r="V42" s="20" t="n"/>
      <c r="W42" s="20" t="n"/>
      <c r="X42" s="20" t="n"/>
      <c r="Y42" s="19" t="n"/>
      <c r="Z42" s="20" t="n"/>
      <c r="AA42" s="20" t="n"/>
      <c r="AB42" s="20" t="n"/>
      <c r="AC42" s="20" t="n"/>
    </row>
    <row r="43">
      <c r="A43" s="13" t="inlineStr">
        <is>
          <t>% of Sales</t>
        </is>
      </c>
      <c r="B43" s="10" t="n"/>
      <c r="C43" s="14" t="n"/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4">
        <f>IF(OR(O42="",O4=""),"",IFERROR(O42/O4,""))</f>
        <v/>
      </c>
      <c r="P43" s="15">
        <f>IF(OR(P42="",P4=""),"",IFERROR(P42/P4,""))</f>
        <v/>
      </c>
      <c r="Q43" s="15">
        <f>IF(OR(Q42="",Q4=""),"",IFERROR(Q42/Q4,""))</f>
        <v/>
      </c>
      <c r="R43" s="15">
        <f>IF(OR(R42="",R4=""),"",IFERROR(R42/R4,""))</f>
        <v/>
      </c>
      <c r="S43" s="15">
        <f>IF(OR(S42="",S4=""),"",IFERROR(S42/S4,""))</f>
        <v/>
      </c>
      <c r="T43" s="15">
        <f>IF(OR(T42="",T4=""),"",IFERROR(T42/T4,""))</f>
        <v/>
      </c>
      <c r="U43" s="15">
        <f>IF(OR(U42="",U4=""),"",IFERROR(U42/U4,""))</f>
        <v/>
      </c>
      <c r="V43" s="15">
        <f>IF(OR(V42="",V4=""),"",IFERROR(V42/V4,""))</f>
        <v/>
      </c>
      <c r="W43" s="15">
        <f>IF(OR(W42="",W4=""),"",IFERROR(W42/W4,""))</f>
        <v/>
      </c>
      <c r="X43" s="15">
        <f>IF(OR(X42="",X4=""),"",IFERROR(X42/X4,""))</f>
        <v/>
      </c>
      <c r="Y43" s="14" t="n"/>
      <c r="Z43" s="15" t="n"/>
      <c r="AA43" s="15" t="n"/>
      <c r="AB43" s="15" t="n"/>
      <c r="AC43" s="15" t="n"/>
    </row>
    <row r="44">
      <c r="A44" s="18" t="inlineStr">
        <is>
          <t>감가상각비</t>
        </is>
      </c>
      <c r="B44" s="10" t="inlineStr">
        <is>
          <t>고정비</t>
        </is>
      </c>
      <c r="C44" s="19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19" t="n"/>
      <c r="P44" s="20" t="n"/>
      <c r="Q44" s="20" t="n"/>
      <c r="R44" s="20" t="n"/>
      <c r="S44" s="20" t="n"/>
      <c r="T44" s="20" t="n"/>
      <c r="U44" s="20" t="n"/>
      <c r="V44" s="20" t="n"/>
      <c r="W44" s="20" t="n"/>
      <c r="X44" s="20" t="n"/>
      <c r="Y44" s="19" t="n"/>
      <c r="Z44" s="20" t="n"/>
      <c r="AA44" s="20" t="n"/>
      <c r="AB44" s="20" t="n"/>
      <c r="AC44" s="20" t="n"/>
    </row>
    <row r="45">
      <c r="A45" s="13" t="inlineStr">
        <is>
          <t>% of Sales</t>
        </is>
      </c>
      <c r="B45" s="10" t="n"/>
      <c r="C45" s="14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4">
        <f>IF(OR(O44="",O4=""),"",IFERROR(O44/O4,""))</f>
        <v/>
      </c>
      <c r="P45" s="15">
        <f>IF(OR(P44="",P4=""),"",IFERROR(P44/P4,""))</f>
        <v/>
      </c>
      <c r="Q45" s="15">
        <f>IF(OR(Q44="",Q4=""),"",IFERROR(Q44/Q4,""))</f>
        <v/>
      </c>
      <c r="R45" s="15">
        <f>IF(OR(R44="",R4=""),"",IFERROR(R44/R4,""))</f>
        <v/>
      </c>
      <c r="S45" s="15">
        <f>IF(OR(S44="",S4=""),"",IFERROR(S44/S4,""))</f>
        <v/>
      </c>
      <c r="T45" s="15">
        <f>IF(OR(T44="",T4=""),"",IFERROR(T44/T4,""))</f>
        <v/>
      </c>
      <c r="U45" s="15">
        <f>IF(OR(U44="",U4=""),"",IFERROR(U44/U4,""))</f>
        <v/>
      </c>
      <c r="V45" s="15">
        <f>IF(OR(V44="",V4=""),"",IFERROR(V44/V4,""))</f>
        <v/>
      </c>
      <c r="W45" s="15">
        <f>IF(OR(W44="",W4=""),"",IFERROR(W44/W4,""))</f>
        <v/>
      </c>
      <c r="X45" s="15">
        <f>IF(OR(X44="",X4=""),"",IFERROR(X44/X4,""))</f>
        <v/>
      </c>
      <c r="Y45" s="14" t="n"/>
      <c r="Z45" s="15" t="n"/>
      <c r="AA45" s="15" t="n"/>
      <c r="AB45" s="15" t="n"/>
      <c r="AC45" s="15" t="n"/>
    </row>
    <row r="46">
      <c r="A46" s="18" t="inlineStr">
        <is>
          <t>지급수수료</t>
        </is>
      </c>
      <c r="B46" s="10" t="inlineStr">
        <is>
          <t>고정비</t>
        </is>
      </c>
      <c r="C46" s="19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19" t="n"/>
      <c r="P46" s="20" t="n"/>
      <c r="Q46" s="20" t="n"/>
      <c r="R46" s="20" t="n"/>
      <c r="S46" s="20" t="n"/>
      <c r="T46" s="20" t="n"/>
      <c r="U46" s="20" t="n"/>
      <c r="V46" s="20" t="n"/>
      <c r="W46" s="20" t="n"/>
      <c r="X46" s="20" t="n"/>
      <c r="Y46" s="19" t="n"/>
      <c r="Z46" s="20" t="n"/>
      <c r="AA46" s="20" t="n"/>
      <c r="AB46" s="20" t="n"/>
      <c r="AC46" s="20" t="n"/>
    </row>
    <row r="47">
      <c r="A47" s="13" t="inlineStr">
        <is>
          <t>% of Sales</t>
        </is>
      </c>
      <c r="B47" s="10" t="n"/>
      <c r="C47" s="14" t="n"/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4">
        <f>IF(OR(O46="",O4=""),"",IFERROR(O46/O4,""))</f>
        <v/>
      </c>
      <c r="P47" s="15">
        <f>IF(OR(P46="",P4=""),"",IFERROR(P46/P4,""))</f>
        <v/>
      </c>
      <c r="Q47" s="15">
        <f>IF(OR(Q46="",Q4=""),"",IFERROR(Q46/Q4,""))</f>
        <v/>
      </c>
      <c r="R47" s="15">
        <f>IF(OR(R46="",R4=""),"",IFERROR(R46/R4,""))</f>
        <v/>
      </c>
      <c r="S47" s="15">
        <f>IF(OR(S46="",S4=""),"",IFERROR(S46/S4,""))</f>
        <v/>
      </c>
      <c r="T47" s="15">
        <f>IF(OR(T46="",T4=""),"",IFERROR(T46/T4,""))</f>
        <v/>
      </c>
      <c r="U47" s="15">
        <f>IF(OR(U46="",U4=""),"",IFERROR(U46/U4,""))</f>
        <v/>
      </c>
      <c r="V47" s="15">
        <f>IF(OR(V46="",V4=""),"",IFERROR(V46/V4,""))</f>
        <v/>
      </c>
      <c r="W47" s="15">
        <f>IF(OR(W46="",W4=""),"",IFERROR(W46/W4,""))</f>
        <v/>
      </c>
      <c r="X47" s="15">
        <f>IF(OR(X46="",X4=""),"",IFERROR(X46/X4,""))</f>
        <v/>
      </c>
      <c r="Y47" s="14" t="n"/>
      <c r="Z47" s="15" t="n"/>
      <c r="AA47" s="15" t="n"/>
      <c r="AB47" s="15" t="n"/>
      <c r="AC47" s="15" t="n"/>
    </row>
    <row r="48">
      <c r="A48" s="18" t="inlineStr">
        <is>
          <t>연구개발비</t>
        </is>
      </c>
      <c r="B48" s="10" t="inlineStr">
        <is>
          <t>변동비</t>
        </is>
      </c>
      <c r="C48" s="19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19" t="n"/>
      <c r="P48" s="20" t="n"/>
      <c r="Q48" s="20" t="n"/>
      <c r="R48" s="20" t="n"/>
      <c r="S48" s="20" t="n"/>
      <c r="T48" s="20" t="n"/>
      <c r="U48" s="20" t="n"/>
      <c r="V48" s="20" t="n"/>
      <c r="W48" s="20" t="n"/>
      <c r="X48" s="20" t="n"/>
      <c r="Y48" s="19" t="n"/>
      <c r="Z48" s="20" t="n"/>
      <c r="AA48" s="20" t="n"/>
      <c r="AB48" s="20" t="n"/>
      <c r="AC48" s="20" t="n"/>
    </row>
    <row r="49">
      <c r="A49" s="13" t="inlineStr">
        <is>
          <t>% of Sales</t>
        </is>
      </c>
      <c r="B49" s="10" t="n"/>
      <c r="C49" s="14" t="n"/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4">
        <f>IF(OR(O48="",O4=""),"",IFERROR(O48/O4,""))</f>
        <v/>
      </c>
      <c r="P49" s="15">
        <f>IF(OR(P48="",P4=""),"",IFERROR(P48/P4,""))</f>
        <v/>
      </c>
      <c r="Q49" s="15">
        <f>IF(OR(Q48="",Q4=""),"",IFERROR(Q48/Q4,""))</f>
        <v/>
      </c>
      <c r="R49" s="15">
        <f>IF(OR(R48="",R4=""),"",IFERROR(R48/R4,""))</f>
        <v/>
      </c>
      <c r="S49" s="15">
        <f>IF(OR(S48="",S4=""),"",IFERROR(S48/S4,""))</f>
        <v/>
      </c>
      <c r="T49" s="15">
        <f>IF(OR(T48="",T4=""),"",IFERROR(T48/T4,""))</f>
        <v/>
      </c>
      <c r="U49" s="15">
        <f>IF(OR(U48="",U4=""),"",IFERROR(U48/U4,""))</f>
        <v/>
      </c>
      <c r="V49" s="15">
        <f>IF(OR(V48="",V4=""),"",IFERROR(V48/V4,""))</f>
        <v/>
      </c>
      <c r="W49" s="15">
        <f>IF(OR(W48="",W4=""),"",IFERROR(W48/W4,""))</f>
        <v/>
      </c>
      <c r="X49" s="15">
        <f>IF(OR(X48="",X4=""),"",IFERROR(X48/X4,""))</f>
        <v/>
      </c>
      <c r="Y49" s="14" t="n"/>
      <c r="Z49" s="15" t="n"/>
      <c r="AA49" s="15" t="n"/>
      <c r="AB49" s="15" t="n"/>
      <c r="AC49" s="15" t="n"/>
    </row>
    <row r="50">
      <c r="A50" s="18" t="inlineStr">
        <is>
          <t>기타비용</t>
        </is>
      </c>
      <c r="B50" s="10" t="inlineStr">
        <is>
          <t>변동비</t>
        </is>
      </c>
      <c r="C50" s="19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19">
        <f>IF(OR(O41="",O42="",O44="",O46="",O48=""),"",IFERROR(O41-O42-O44-O46-O48,""))</f>
        <v/>
      </c>
      <c r="P50" s="20">
        <f>IF(OR(P41="",P42="",P44="",P46="",P48=""),"",IFERROR(P41-P42-P44-P46-P48,""))</f>
        <v/>
      </c>
      <c r="Q50" s="20">
        <f>IF(OR(Q41="",Q42="",Q44="",Q46="",Q48=""),"",IFERROR(Q41-Q42-Q44-Q46-Q48,""))</f>
        <v/>
      </c>
      <c r="R50" s="20">
        <f>IF(OR(R41="",R42="",R44="",R46="",R48=""),"",IFERROR(R41-R42-R44-R46-R48,""))</f>
        <v/>
      </c>
      <c r="S50" s="20">
        <f>IF(OR(S41="",S42="",S44="",S46="",S48=""),"",IFERROR(S41-S42-S44-S46-S48,""))</f>
        <v/>
      </c>
      <c r="T50" s="20">
        <f>IF(OR(T41="",T42="",T44="",T46="",T48=""),"",IFERROR(T41-T42-T44-T46-T48,""))</f>
        <v/>
      </c>
      <c r="U50" s="20">
        <f>IF(OR(U41="",U42="",U44="",U46="",U48=""),"",IFERROR(U41-U42-U44-U46-U48,""))</f>
        <v/>
      </c>
      <c r="V50" s="20">
        <f>IF(OR(V41="",V42="",V44="",V46="",V48=""),"",IFERROR(V41-V42-V44-V46-V48,""))</f>
        <v/>
      </c>
      <c r="W50" s="20">
        <f>IF(OR(W41="",W42="",W44="",W46="",W48=""),"",IFERROR(W41-W42-W44-W46-W48,""))</f>
        <v/>
      </c>
      <c r="X50" s="20">
        <f>IF(OR(X41="",X42="",X44="",X46="",X48=""),"",IFERROR(X41-X42-X44-X46-X48,""))</f>
        <v/>
      </c>
      <c r="Y50" s="19" t="n"/>
      <c r="Z50" s="20" t="n"/>
      <c r="AA50" s="20" t="n"/>
      <c r="AB50" s="20" t="n"/>
      <c r="AC50" s="20" t="n"/>
    </row>
    <row r="51">
      <c r="A51" s="13" t="inlineStr">
        <is>
          <t>% of Sales</t>
        </is>
      </c>
      <c r="B51" s="10" t="n"/>
      <c r="C51" s="14" t="n"/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14" t="n"/>
      <c r="Z51" s="15" t="n"/>
      <c r="AA51" s="15" t="n"/>
      <c r="AB51" s="15" t="n"/>
      <c r="AC51" s="15" t="n"/>
    </row>
    <row r="52">
      <c r="A52" s="16" t="inlineStr">
        <is>
          <t>당기순이익 추정</t>
        </is>
      </c>
      <c r="B52" s="16" t="n"/>
      <c r="C52" s="17" t="n"/>
      <c r="D52" s="16" t="n"/>
      <c r="E52" s="16" t="n"/>
      <c r="F52" s="16" t="n"/>
      <c r="G52" s="16" t="n"/>
      <c r="H52" s="16" t="n"/>
      <c r="I52" s="16" t="n"/>
      <c r="J52" s="16" t="n"/>
      <c r="K52" s="16" t="n"/>
      <c r="L52" s="16" t="n"/>
      <c r="M52" s="16" t="n"/>
      <c r="N52" s="16" t="n"/>
      <c r="O52" s="17" t="n"/>
      <c r="P52" s="16" t="n"/>
      <c r="Q52" s="16" t="n"/>
      <c r="R52" s="16" t="n"/>
      <c r="S52" s="16" t="n"/>
      <c r="T52" s="16" t="n"/>
      <c r="U52" s="16" t="n"/>
      <c r="V52" s="16" t="n"/>
      <c r="W52" s="16" t="n"/>
      <c r="X52" s="16" t="n"/>
      <c r="Y52" s="17" t="n"/>
      <c r="Z52" s="16" t="n"/>
      <c r="AA52" s="16" t="n"/>
      <c r="AB52" s="16" t="n"/>
      <c r="AC52" s="16" t="n"/>
    </row>
    <row r="53">
      <c r="A53" s="18" t="inlineStr">
        <is>
          <t>특별이익</t>
        </is>
      </c>
      <c r="B53" s="10" t="n"/>
      <c r="C53" s="19" t="n">
        <v>27</v>
      </c>
      <c r="D53" s="20" t="n">
        <v>225</v>
      </c>
      <c r="E53" s="20" t="n">
        <v>2576</v>
      </c>
      <c r="F53" s="20" t="n">
        <v>0</v>
      </c>
      <c r="G53" s="20" t="n">
        <v>0</v>
      </c>
      <c r="H53" s="20" t="n">
        <v>16</v>
      </c>
      <c r="I53" s="20" t="n">
        <v>2</v>
      </c>
      <c r="J53" s="20" t="n">
        <v>47</v>
      </c>
      <c r="K53" s="20" t="n">
        <v>142</v>
      </c>
      <c r="L53" s="20" t="n">
        <v>0</v>
      </c>
      <c r="M53" s="20" t="n">
        <v>1222</v>
      </c>
      <c r="N53" s="20" t="n">
        <v>126</v>
      </c>
      <c r="O53" s="19" t="n">
        <v>7.309</v>
      </c>
      <c r="P53" s="20" t="n">
        <v>16.383</v>
      </c>
      <c r="Q53" s="20" t="n">
        <v>7.511</v>
      </c>
      <c r="R53" s="20" t="n">
        <v>141.515</v>
      </c>
      <c r="S53" s="20" t="n">
        <v>79</v>
      </c>
      <c r="T53" s="20" t="n">
        <v>680</v>
      </c>
      <c r="U53" s="20" t="n">
        <v>519</v>
      </c>
      <c r="V53" s="20" t="n">
        <v>264</v>
      </c>
      <c r="W53" s="20" t="n">
        <v>2592</v>
      </c>
      <c r="X53" s="20" t="n">
        <v>191</v>
      </c>
      <c r="Y53" s="19">
        <f>IF(OR(Y4="",Y54=""),"",IFERROR(Y4*Y54,""))</f>
        <v/>
      </c>
      <c r="Z53" s="20">
        <f>IF(OR(Z4="",Z54=""),"",IFERROR(Z4*Z54,""))</f>
        <v/>
      </c>
      <c r="AA53" s="20">
        <f>IF(OR(AA4="",AA54=""),"",IFERROR(AA4*AA54,""))</f>
        <v/>
      </c>
      <c r="AB53" s="20">
        <f>IF(OR(AB4="",AB54=""),"",IFERROR(AB4*AB54,""))</f>
        <v/>
      </c>
      <c r="AC53" s="20">
        <f>IF(OR(AC4="",AC54=""),"",IFERROR(AC4*AC54,""))</f>
        <v/>
      </c>
    </row>
    <row r="54">
      <c r="A54" s="13" t="inlineStr">
        <is>
          <t>% of Sales</t>
        </is>
      </c>
      <c r="B54" s="10" t="inlineStr">
        <is>
          <t>MW = 최근 3년 평균</t>
        </is>
      </c>
      <c r="C54" s="14">
        <f>IF(OR(C53="",C4=""),"",IFERROR(C53/C4,""))</f>
        <v/>
      </c>
      <c r="D54" s="15">
        <f>IF(OR(D53="",D4=""),"",IFERROR(D53/D4,""))</f>
        <v/>
      </c>
      <c r="E54" s="15">
        <f>IF(OR(E53="",E4=""),"",IFERROR(E53/E4,""))</f>
        <v/>
      </c>
      <c r="F54" s="15">
        <f>IF(OR(F53="",F4=""),"",IFERROR(F53/F4,""))</f>
        <v/>
      </c>
      <c r="G54" s="15">
        <f>IF(OR(G53="",G4=""),"",IFERROR(G53/G4,""))</f>
        <v/>
      </c>
      <c r="H54" s="15">
        <f>IF(OR(H53="",H4=""),"",IFERROR(H53/H4,""))</f>
        <v/>
      </c>
      <c r="I54" s="15">
        <f>IF(OR(I53="",I4=""),"",IFERROR(I53/I4,""))</f>
        <v/>
      </c>
      <c r="J54" s="15">
        <f>IF(OR(J53="",J4=""),"",IFERROR(J53/J4,""))</f>
        <v/>
      </c>
      <c r="K54" s="15">
        <f>IF(OR(K53="",K4=""),"",IFERROR(K53/K4,""))</f>
        <v/>
      </c>
      <c r="L54" s="15">
        <f>IF(OR(L53="",L4=""),"",IFERROR(L53/L4,""))</f>
        <v/>
      </c>
      <c r="M54" s="15">
        <f>IF(OR(M53="",M4=""),"",IFERROR(M53/M4,""))</f>
        <v/>
      </c>
      <c r="N54" s="15">
        <f>IF(OR(N53="",N4=""),"",IFERROR(N53/N4,""))</f>
        <v/>
      </c>
      <c r="O54" s="14">
        <f>IF(OR(O53="",O4=""),"",IFERROR(O53/O4,""))</f>
        <v/>
      </c>
      <c r="P54" s="15">
        <f>IF(OR(P53="",P4=""),"",IFERROR(P53/P4,""))</f>
        <v/>
      </c>
      <c r="Q54" s="15">
        <f>IF(OR(Q53="",Q4=""),"",IFERROR(Q53/Q4,""))</f>
        <v/>
      </c>
      <c r="R54" s="15">
        <f>IF(OR(R53="",R4=""),"",IFERROR(R53/R4,""))</f>
        <v/>
      </c>
      <c r="S54" s="15">
        <f>IF(OR(S53="",S4=""),"",IFERROR(S53/S4,""))</f>
        <v/>
      </c>
      <c r="T54" s="15">
        <f>IF(OR(T53="",T4=""),"",IFERROR(T53/T4,""))</f>
        <v/>
      </c>
      <c r="U54" s="15">
        <f>IF(OR(U53="",U4=""),"",IFERROR(U53/U4,""))</f>
        <v/>
      </c>
      <c r="V54" s="15">
        <f>IF(OR(V53="",V4=""),"",IFERROR(V53/V4,""))</f>
        <v/>
      </c>
      <c r="W54" s="15">
        <f>IF(OR(W53="",W4=""),"",IFERROR(W53/W4,""))</f>
        <v/>
      </c>
      <c r="X54" s="15">
        <f>IF(OR(X53="",X4=""),"",IFERROR(X53/X4,""))</f>
        <v/>
      </c>
      <c r="Y54" s="25">
        <f>IFERROR(AVERAGE(V54,W54,X54),"")</f>
        <v/>
      </c>
      <c r="Z54" s="26">
        <f>Y54</f>
        <v/>
      </c>
      <c r="AA54" s="26">
        <f>Z54</f>
        <v/>
      </c>
      <c r="AB54" s="26">
        <f>AA54</f>
        <v/>
      </c>
      <c r="AC54" s="26">
        <f>AB54</f>
        <v/>
      </c>
    </row>
    <row r="55">
      <c r="A55" s="18" t="inlineStr">
        <is>
          <t>특별손실</t>
        </is>
      </c>
      <c r="B55" s="10" t="n"/>
      <c r="C55" s="19" t="n">
        <v>18</v>
      </c>
      <c r="D55" s="20" t="n">
        <v>210</v>
      </c>
      <c r="E55" s="20" t="n">
        <v>2376</v>
      </c>
      <c r="F55" s="20" t="n">
        <v>71</v>
      </c>
      <c r="G55" s="20" t="n">
        <v>3</v>
      </c>
      <c r="H55" s="20" t="n">
        <v>16</v>
      </c>
      <c r="I55" s="20" t="n">
        <v>4</v>
      </c>
      <c r="J55" s="20" t="n">
        <v>71</v>
      </c>
      <c r="K55" s="20" t="n">
        <v>18</v>
      </c>
      <c r="L55" s="20" t="n">
        <v>0</v>
      </c>
      <c r="M55" s="20" t="n">
        <v>1273</v>
      </c>
      <c r="N55" s="20" t="n">
        <v>126</v>
      </c>
      <c r="O55" s="19" t="n">
        <v>683.626</v>
      </c>
      <c r="P55" s="20" t="n">
        <v>426.31</v>
      </c>
      <c r="Q55" s="20" t="n">
        <v>57.821</v>
      </c>
      <c r="R55" s="20" t="n">
        <v>965.418</v>
      </c>
      <c r="S55" s="20" t="n">
        <v>525</v>
      </c>
      <c r="T55" s="20" t="n">
        <v>531</v>
      </c>
      <c r="U55" s="20" t="n">
        <v>542</v>
      </c>
      <c r="V55" s="20" t="n">
        <v>369</v>
      </c>
      <c r="W55" s="20" t="n">
        <v>2466</v>
      </c>
      <c r="X55" s="20" t="n">
        <v>93</v>
      </c>
      <c r="Y55" s="19">
        <f>IF(OR(Y4="",Y56=""),"",IFERROR(Y4*Y56,""))</f>
        <v/>
      </c>
      <c r="Z55" s="20">
        <f>IF(OR(Z4="",Z56=""),"",IFERROR(Z4*Z56,""))</f>
        <v/>
      </c>
      <c r="AA55" s="20">
        <f>IF(OR(AA4="",AA56=""),"",IFERROR(AA4*AA56,""))</f>
        <v/>
      </c>
      <c r="AB55" s="20">
        <f>IF(OR(AB4="",AB56=""),"",IFERROR(AB4*AB56,""))</f>
        <v/>
      </c>
      <c r="AC55" s="20">
        <f>IF(OR(AC4="",AC56=""),"",IFERROR(AC4*AC56,""))</f>
        <v/>
      </c>
    </row>
    <row r="56">
      <c r="A56" s="13" t="inlineStr">
        <is>
          <t>% of Sales</t>
        </is>
      </c>
      <c r="B56" s="10" t="n"/>
      <c r="C56" s="14">
        <f>IF(OR(C55="",C4=""),"",IFERROR(C55/C4,""))</f>
        <v/>
      </c>
      <c r="D56" s="15">
        <f>IF(OR(D55="",D4=""),"",IFERROR(D55/D4,""))</f>
        <v/>
      </c>
      <c r="E56" s="15">
        <f>IF(OR(E55="",E4=""),"",IFERROR(E55/E4,""))</f>
        <v/>
      </c>
      <c r="F56" s="15">
        <f>IF(OR(F55="",F4=""),"",IFERROR(F55/F4,""))</f>
        <v/>
      </c>
      <c r="G56" s="15">
        <f>IF(OR(G55="",G4=""),"",IFERROR(G55/G4,""))</f>
        <v/>
      </c>
      <c r="H56" s="15">
        <f>IF(OR(H55="",H4=""),"",IFERROR(H55/H4,""))</f>
        <v/>
      </c>
      <c r="I56" s="15">
        <f>IF(OR(I55="",I4=""),"",IFERROR(I55/I4,""))</f>
        <v/>
      </c>
      <c r="J56" s="15">
        <f>IF(OR(J55="",J4=""),"",IFERROR(J55/J4,""))</f>
        <v/>
      </c>
      <c r="K56" s="15">
        <f>IF(OR(K55="",K4=""),"",IFERROR(K55/K4,""))</f>
        <v/>
      </c>
      <c r="L56" s="15">
        <f>IF(OR(L55="",L4=""),"",IFERROR(L55/L4,""))</f>
        <v/>
      </c>
      <c r="M56" s="15">
        <f>IF(OR(M55="",M4=""),"",IFERROR(M55/M4,""))</f>
        <v/>
      </c>
      <c r="N56" s="15">
        <f>IF(OR(N55="",N4=""),"",IFERROR(N55/N4,""))</f>
        <v/>
      </c>
      <c r="O56" s="14">
        <f>IF(OR(O55="",O4=""),"",IFERROR(O55/O4,""))</f>
        <v/>
      </c>
      <c r="P56" s="15">
        <f>IF(OR(P55="",P4=""),"",IFERROR(P55/P4,""))</f>
        <v/>
      </c>
      <c r="Q56" s="15">
        <f>IF(OR(Q55="",Q4=""),"",IFERROR(Q55/Q4,""))</f>
        <v/>
      </c>
      <c r="R56" s="15">
        <f>IF(OR(R55="",R4=""),"",IFERROR(R55/R4,""))</f>
        <v/>
      </c>
      <c r="S56" s="15">
        <f>IF(OR(S55="",S4=""),"",IFERROR(S55/S4,""))</f>
        <v/>
      </c>
      <c r="T56" s="15">
        <f>IF(OR(T55="",T4=""),"",IFERROR(T55/T4,""))</f>
        <v/>
      </c>
      <c r="U56" s="15">
        <f>IF(OR(U55="",U4=""),"",IFERROR(U55/U4,""))</f>
        <v/>
      </c>
      <c r="V56" s="15">
        <f>IF(OR(V55="",V4=""),"",IFERROR(V55/V4,""))</f>
        <v/>
      </c>
      <c r="W56" s="15">
        <f>IF(OR(W55="",W4=""),"",IFERROR(W55/W4,""))</f>
        <v/>
      </c>
      <c r="X56" s="15">
        <f>IF(OR(X55="",X4=""),"",IFERROR(X55/X4,""))</f>
        <v/>
      </c>
      <c r="Y56" s="25">
        <f>IFERROR(AVERAGE(V56,W56,X56),"")</f>
        <v/>
      </c>
      <c r="Z56" s="26">
        <f>Y56</f>
        <v/>
      </c>
      <c r="AA56" s="26">
        <f>Z56</f>
        <v/>
      </c>
      <c r="AB56" s="26">
        <f>AA56</f>
        <v/>
      </c>
      <c r="AC56" s="26">
        <f>AB56</f>
        <v/>
      </c>
    </row>
    <row r="57">
      <c r="A57" s="18" t="inlineStr">
        <is>
          <t>영업외수익</t>
        </is>
      </c>
      <c r="B57" s="10" t="n"/>
      <c r="C57" s="19" t="n">
        <v>-381</v>
      </c>
      <c r="D57" s="20" t="n">
        <v>767</v>
      </c>
      <c r="E57" s="20" t="n">
        <v>569</v>
      </c>
      <c r="F57" s="20" t="n">
        <v>-332</v>
      </c>
      <c r="G57" s="20" t="n">
        <v>134</v>
      </c>
      <c r="H57" s="20" t="n">
        <v>196</v>
      </c>
      <c r="I57" s="20" t="n">
        <v>144</v>
      </c>
      <c r="J57" s="20" t="n">
        <v>269</v>
      </c>
      <c r="K57" s="20" t="n">
        <v>587</v>
      </c>
      <c r="L57" s="20" t="n">
        <v>468</v>
      </c>
      <c r="M57" s="20" t="n">
        <v>245</v>
      </c>
      <c r="N57" s="20" t="n">
        <v>268</v>
      </c>
      <c r="O57" s="19" t="n">
        <v>218.672</v>
      </c>
      <c r="P57" s="20" t="n">
        <v>178.112</v>
      </c>
      <c r="Q57" s="20" t="n">
        <v>431.602</v>
      </c>
      <c r="R57" s="20" t="n">
        <v>239.899</v>
      </c>
      <c r="S57" s="20" t="n">
        <v>197</v>
      </c>
      <c r="T57" s="20" t="n">
        <v>1029</v>
      </c>
      <c r="U57" s="20" t="n">
        <v>1112</v>
      </c>
      <c r="V57" s="20" t="n">
        <v>1394</v>
      </c>
      <c r="W57" s="20" t="n">
        <v>567</v>
      </c>
      <c r="X57" s="20" t="n">
        <v>1468</v>
      </c>
      <c r="Y57" s="19">
        <f>IF(OR(Y4="",Y58=""),"",IFERROR(Y4*Y58,""))</f>
        <v/>
      </c>
      <c r="Z57" s="20">
        <f>IF(OR(Z4="",Z58=""),"",IFERROR(Z4*Z58,""))</f>
        <v/>
      </c>
      <c r="AA57" s="20">
        <f>IF(OR(AA4="",AA58=""),"",IFERROR(AA4*AA58,""))</f>
        <v/>
      </c>
      <c r="AB57" s="20">
        <f>IF(OR(AB4="",AB58=""),"",IFERROR(AB4*AB58,""))</f>
        <v/>
      </c>
      <c r="AC57" s="20">
        <f>IF(OR(AC4="",AC58=""),"",IFERROR(AC4*AC58,""))</f>
        <v/>
      </c>
    </row>
    <row r="58">
      <c r="A58" s="13" t="inlineStr">
        <is>
          <t>% of Sales</t>
        </is>
      </c>
      <c r="B58" s="10" t="n"/>
      <c r="C58" s="14">
        <f>IF(OR(C57="",C4=""),"",IFERROR(C57/C4,""))</f>
        <v/>
      </c>
      <c r="D58" s="15">
        <f>IF(OR(D57="",D4=""),"",IFERROR(D57/D4,""))</f>
        <v/>
      </c>
      <c r="E58" s="15">
        <f>IF(OR(E57="",E4=""),"",IFERROR(E57/E4,""))</f>
        <v/>
      </c>
      <c r="F58" s="15">
        <f>IF(OR(F57="",F4=""),"",IFERROR(F57/F4,""))</f>
        <v/>
      </c>
      <c r="G58" s="15">
        <f>IF(OR(G57="",G4=""),"",IFERROR(G57/G4,""))</f>
        <v/>
      </c>
      <c r="H58" s="15">
        <f>IF(OR(H57="",H4=""),"",IFERROR(H57/H4,""))</f>
        <v/>
      </c>
      <c r="I58" s="15">
        <f>IF(OR(I57="",I4=""),"",IFERROR(I57/I4,""))</f>
        <v/>
      </c>
      <c r="J58" s="15">
        <f>IF(OR(J57="",J4=""),"",IFERROR(J57/J4,""))</f>
        <v/>
      </c>
      <c r="K58" s="15">
        <f>IF(OR(K57="",K4=""),"",IFERROR(K57/K4,""))</f>
        <v/>
      </c>
      <c r="L58" s="15">
        <f>IF(OR(L57="",L4=""),"",IFERROR(L57/L4,""))</f>
        <v/>
      </c>
      <c r="M58" s="15">
        <f>IF(OR(M57="",M4=""),"",IFERROR(M57/M4,""))</f>
        <v/>
      </c>
      <c r="N58" s="15">
        <f>IF(OR(N57="",N4=""),"",IFERROR(N57/N4,""))</f>
        <v/>
      </c>
      <c r="O58" s="14">
        <f>IF(OR(O57="",O4=""),"",IFERROR(O57/O4,""))</f>
        <v/>
      </c>
      <c r="P58" s="15">
        <f>IF(OR(P57="",P4=""),"",IFERROR(P57/P4,""))</f>
        <v/>
      </c>
      <c r="Q58" s="15">
        <f>IF(OR(Q57="",Q4=""),"",IFERROR(Q57/Q4,""))</f>
        <v/>
      </c>
      <c r="R58" s="15">
        <f>IF(OR(R57="",R4=""),"",IFERROR(R57/R4,""))</f>
        <v/>
      </c>
      <c r="S58" s="15">
        <f>IF(OR(S57="",S4=""),"",IFERROR(S57/S4,""))</f>
        <v/>
      </c>
      <c r="T58" s="15">
        <f>IF(OR(T57="",T4=""),"",IFERROR(T57/T4,""))</f>
        <v/>
      </c>
      <c r="U58" s="15">
        <f>IF(OR(U57="",U4=""),"",IFERROR(U57/U4,""))</f>
        <v/>
      </c>
      <c r="V58" s="15">
        <f>IF(OR(V57="",V4=""),"",IFERROR(V57/V4,""))</f>
        <v/>
      </c>
      <c r="W58" s="15">
        <f>IF(OR(W57="",W4=""),"",IFERROR(W57/W4,""))</f>
        <v/>
      </c>
      <c r="X58" s="15">
        <f>IF(OR(X57="",X4=""),"",IFERROR(X57/X4,""))</f>
        <v/>
      </c>
      <c r="Y58" s="25">
        <f>IFERROR(AVERAGE(V58,W58,X58),"")</f>
        <v/>
      </c>
      <c r="Z58" s="26">
        <f>Y58</f>
        <v/>
      </c>
      <c r="AA58" s="26">
        <f>Z58</f>
        <v/>
      </c>
      <c r="AB58" s="26">
        <f>AA58</f>
        <v/>
      </c>
      <c r="AC58" s="26">
        <f>AB58</f>
        <v/>
      </c>
    </row>
    <row r="59">
      <c r="A59" s="18" t="inlineStr">
        <is>
          <t>영업외비용</t>
        </is>
      </c>
      <c r="B59" s="10" t="n"/>
      <c r="C59" s="19" t="n">
        <v>11</v>
      </c>
      <c r="D59" s="20" t="n">
        <v>21</v>
      </c>
      <c r="E59" s="20" t="n">
        <v>29</v>
      </c>
      <c r="F59" s="20" t="n">
        <v>999</v>
      </c>
      <c r="G59" s="20" t="n">
        <v>-957</v>
      </c>
      <c r="H59" s="20" t="n">
        <v>377</v>
      </c>
      <c r="I59" s="20" t="n">
        <v>424</v>
      </c>
      <c r="J59" s="20" t="n">
        <v>-291</v>
      </c>
      <c r="K59" s="20" t="n">
        <v>-38</v>
      </c>
      <c r="L59" s="20" t="n">
        <v>27</v>
      </c>
      <c r="M59" s="20" t="n">
        <v>19</v>
      </c>
      <c r="N59" s="20" t="n">
        <v>459</v>
      </c>
      <c r="O59" s="19" t="n">
        <v>193.829</v>
      </c>
      <c r="P59" s="20" t="n">
        <v>485.599</v>
      </c>
      <c r="Q59" s="20" t="n">
        <v>63.289</v>
      </c>
      <c r="R59" s="20" t="n">
        <v>65.443</v>
      </c>
      <c r="S59" s="20" t="n">
        <v>115</v>
      </c>
      <c r="T59" s="20" t="n">
        <v>63</v>
      </c>
      <c r="U59" s="20" t="n">
        <v>66</v>
      </c>
      <c r="V59" s="20" t="n">
        <v>73</v>
      </c>
      <c r="W59" s="20" t="n">
        <v>448</v>
      </c>
      <c r="X59" s="20" t="n">
        <v>122</v>
      </c>
      <c r="Y59" s="19">
        <f>IF(OR(Y4="",Y60=""),"",IFERROR(Y4*Y60,""))</f>
        <v/>
      </c>
      <c r="Z59" s="20">
        <f>IF(OR(Z4="",Z60=""),"",IFERROR(Z4*Z60,""))</f>
        <v/>
      </c>
      <c r="AA59" s="20">
        <f>IF(OR(AA4="",AA60=""),"",IFERROR(AA4*AA60,""))</f>
        <v/>
      </c>
      <c r="AB59" s="20">
        <f>IF(OR(AB4="",AB60=""),"",IFERROR(AB4*AB60,""))</f>
        <v/>
      </c>
      <c r="AC59" s="20">
        <f>IF(OR(AC4="",AC60=""),"",IFERROR(AC4*AC60,""))</f>
        <v/>
      </c>
    </row>
    <row r="60">
      <c r="A60" s="13" t="inlineStr">
        <is>
          <t>% of Sales</t>
        </is>
      </c>
      <c r="B60" s="10" t="n"/>
      <c r="C60" s="14">
        <f>IF(OR(C59="",C4=""),"",IFERROR(C59/C4,""))</f>
        <v/>
      </c>
      <c r="D60" s="15">
        <f>IF(OR(D59="",D4=""),"",IFERROR(D59/D4,""))</f>
        <v/>
      </c>
      <c r="E60" s="15">
        <f>IF(OR(E59="",E4=""),"",IFERROR(E59/E4,""))</f>
        <v/>
      </c>
      <c r="F60" s="15">
        <f>IF(OR(F59="",F4=""),"",IFERROR(F59/F4,""))</f>
        <v/>
      </c>
      <c r="G60" s="15">
        <f>IF(OR(G59="",G4=""),"",IFERROR(G59/G4,""))</f>
        <v/>
      </c>
      <c r="H60" s="15">
        <f>IF(OR(H59="",H4=""),"",IFERROR(H59/H4,""))</f>
        <v/>
      </c>
      <c r="I60" s="15">
        <f>IF(OR(I59="",I4=""),"",IFERROR(I59/I4,""))</f>
        <v/>
      </c>
      <c r="J60" s="15">
        <f>IF(OR(J59="",J4=""),"",IFERROR(J59/J4,""))</f>
        <v/>
      </c>
      <c r="K60" s="15">
        <f>IF(OR(K59="",K4=""),"",IFERROR(K59/K4,""))</f>
        <v/>
      </c>
      <c r="L60" s="15">
        <f>IF(OR(L59="",L4=""),"",IFERROR(L59/L4,""))</f>
        <v/>
      </c>
      <c r="M60" s="15">
        <f>IF(OR(M59="",M4=""),"",IFERROR(M59/M4,""))</f>
        <v/>
      </c>
      <c r="N60" s="15">
        <f>IF(OR(N59="",N4=""),"",IFERROR(N59/N4,""))</f>
        <v/>
      </c>
      <c r="O60" s="14">
        <f>IF(OR(O59="",O4=""),"",IFERROR(O59/O4,""))</f>
        <v/>
      </c>
      <c r="P60" s="15">
        <f>IF(OR(P59="",P4=""),"",IFERROR(P59/P4,""))</f>
        <v/>
      </c>
      <c r="Q60" s="15">
        <f>IF(OR(Q59="",Q4=""),"",IFERROR(Q59/Q4,""))</f>
        <v/>
      </c>
      <c r="R60" s="15">
        <f>IF(OR(R59="",R4=""),"",IFERROR(R59/R4,""))</f>
        <v/>
      </c>
      <c r="S60" s="15">
        <f>IF(OR(S59="",S4=""),"",IFERROR(S59/S4,""))</f>
        <v/>
      </c>
      <c r="T60" s="15">
        <f>IF(OR(T59="",T4=""),"",IFERROR(T59/T4,""))</f>
        <v/>
      </c>
      <c r="U60" s="15">
        <f>IF(OR(U59="",U4=""),"",IFERROR(U59/U4,""))</f>
        <v/>
      </c>
      <c r="V60" s="15">
        <f>IF(OR(V59="",V4=""),"",IFERROR(V59/V4,""))</f>
        <v/>
      </c>
      <c r="W60" s="15">
        <f>IF(OR(W59="",W4=""),"",IFERROR(W59/W4,""))</f>
        <v/>
      </c>
      <c r="X60" s="15">
        <f>IF(OR(X59="",X4=""),"",IFERROR(X59/X4,""))</f>
        <v/>
      </c>
      <c r="Y60" s="25">
        <f>IFERROR(AVERAGE(V60,W60,X60),"")</f>
        <v/>
      </c>
      <c r="Z60" s="26">
        <f>Y60</f>
        <v/>
      </c>
      <c r="AA60" s="26">
        <f>Z60</f>
        <v/>
      </c>
      <c r="AB60" s="26">
        <f>AA60</f>
        <v/>
      </c>
      <c r="AC60" s="26">
        <f>AB60</f>
        <v/>
      </c>
    </row>
    <row r="61">
      <c r="A61" s="9" t="inlineStr">
        <is>
          <t>법인세비용차감전순이익(손실)</t>
        </is>
      </c>
      <c r="B61" s="10" t="n"/>
      <c r="C61" s="11" t="n">
        <v>5362</v>
      </c>
      <c r="D61" s="12" t="n">
        <v>6168</v>
      </c>
      <c r="E61" s="12" t="n">
        <v>6381</v>
      </c>
      <c r="F61" s="12" t="n">
        <v>5747</v>
      </c>
      <c r="G61" s="12" t="n">
        <v>8032</v>
      </c>
      <c r="H61" s="12" t="n">
        <v>6999</v>
      </c>
      <c r="I61" s="12" t="n">
        <v>5720</v>
      </c>
      <c r="J61" s="12" t="n">
        <v>5377</v>
      </c>
      <c r="K61" s="12" t="n">
        <v>7029</v>
      </c>
      <c r="L61" s="12" t="n">
        <v>8292</v>
      </c>
      <c r="M61" s="12" t="n">
        <v>6523</v>
      </c>
      <c r="N61" s="12" t="n">
        <v>11067</v>
      </c>
      <c r="O61" s="11" t="n">
        <v>4301.756</v>
      </c>
      <c r="P61" s="12" t="n">
        <v>8456.634</v>
      </c>
      <c r="Q61" s="12" t="n">
        <v>9874.073</v>
      </c>
      <c r="R61" s="12" t="n">
        <v>8696.362999999999</v>
      </c>
      <c r="S61" s="12" t="n">
        <v>9884</v>
      </c>
      <c r="T61" s="12" t="n">
        <v>19331</v>
      </c>
      <c r="U61" s="12" t="n">
        <v>21164</v>
      </c>
      <c r="V61" s="12" t="n">
        <v>21016</v>
      </c>
      <c r="W61" s="12" t="n">
        <v>27159</v>
      </c>
      <c r="X61" s="12" t="n">
        <v>26418</v>
      </c>
      <c r="Y61" s="11">
        <f>IF(OR(Y37=""),"",IFERROR(Y37+N(Y53)-N(Y55)+N(Y57)-N(Y59),""))</f>
        <v/>
      </c>
      <c r="Z61" s="12">
        <f>IF(OR(Z37=""),"",IFERROR(Z37+N(Z53)-N(Z55)+N(Z57)-N(Z59),""))</f>
        <v/>
      </c>
      <c r="AA61" s="12">
        <f>IF(OR(AA37=""),"",IFERROR(AA37+N(AA53)-N(AA55)+N(AA57)-N(AA59),""))</f>
        <v/>
      </c>
      <c r="AB61" s="12">
        <f>IF(OR(AB37=""),"",IFERROR(AB37+N(AB53)-N(AB55)+N(AB57)-N(AB59),""))</f>
        <v/>
      </c>
      <c r="AC61" s="12">
        <f>IF(OR(AC37=""),"",IFERROR(AC37+N(AC53)-N(AC55)+N(AC57)-N(AC59),""))</f>
        <v/>
      </c>
    </row>
    <row r="62">
      <c r="A62" s="13" t="inlineStr">
        <is>
          <t>YoY</t>
        </is>
      </c>
      <c r="B62" s="10" t="n"/>
      <c r="C62" s="14" t="n"/>
      <c r="D62" s="15" t="n"/>
      <c r="E62" s="15" t="n"/>
      <c r="F62" s="15" t="n"/>
      <c r="G62" s="15">
        <f>IF(OR(G61="",C61=""),"",IF(C61&lt;=0,"",IFERROR(G61/C61-1,"")))</f>
        <v/>
      </c>
      <c r="H62" s="15">
        <f>IF(OR(H61="",D61=""),"",IF(D61&lt;=0,"",IFERROR(H61/D61-1,"")))</f>
        <v/>
      </c>
      <c r="I62" s="15">
        <f>IF(OR(I61="",E61=""),"",IF(E61&lt;=0,"",IFERROR(I61/E61-1,"")))</f>
        <v/>
      </c>
      <c r="J62" s="15">
        <f>IF(OR(J61="",F61=""),"",IF(F61&lt;=0,"",IFERROR(J61/F61-1,"")))</f>
        <v/>
      </c>
      <c r="K62" s="15">
        <f>IF(OR(K61="",G61=""),"",IF(G61&lt;=0,"",IFERROR(K61/G61-1,"")))</f>
        <v/>
      </c>
      <c r="L62" s="15">
        <f>IF(OR(L61="",H61=""),"",IF(H61&lt;=0,"",IFERROR(L61/H61-1,"")))</f>
        <v/>
      </c>
      <c r="M62" s="15">
        <f>IF(OR(M61="",I61=""),"",IF(I61&lt;=0,"",IFERROR(M61/I61-1,"")))</f>
        <v/>
      </c>
      <c r="N62" s="15">
        <f>IF(OR(N61="",J61=""),"",IF(J61&lt;=0,"",IFERROR(N61/J61-1,"")))</f>
        <v/>
      </c>
      <c r="O62" s="14" t="n"/>
      <c r="P62" s="15">
        <f>IF(OR(P61="",O61=""),"",IF(O61&lt;=0,"",IFERROR(P61/O61-1,"")))</f>
        <v/>
      </c>
      <c r="Q62" s="15">
        <f>IF(OR(Q61="",P61=""),"",IF(P61&lt;=0,"",IFERROR(Q61/P61-1,"")))</f>
        <v/>
      </c>
      <c r="R62" s="15">
        <f>IF(OR(R61="",Q61=""),"",IF(Q61&lt;=0,"",IFERROR(R61/Q61-1,"")))</f>
        <v/>
      </c>
      <c r="S62" s="15">
        <f>IF(OR(S61="",R61=""),"",IF(R61&lt;=0,"",IFERROR(S61/R61-1,"")))</f>
        <v/>
      </c>
      <c r="T62" s="15">
        <f>IF(OR(T61="",S61=""),"",IF(S61&lt;=0,"",IFERROR(T61/S61-1,"")))</f>
        <v/>
      </c>
      <c r="U62" s="15">
        <f>IF(OR(U61="",T61=""),"",IF(T61&lt;=0,"",IFERROR(U61/T61-1,"")))</f>
        <v/>
      </c>
      <c r="V62" s="15">
        <f>IF(OR(V61="",U61=""),"",IF(U61&lt;=0,"",IFERROR(V61/U61-1,"")))</f>
        <v/>
      </c>
      <c r="W62" s="15">
        <f>IF(OR(W61="",V61=""),"",IF(V61&lt;=0,"",IFERROR(W61/V61-1,"")))</f>
        <v/>
      </c>
      <c r="X62" s="15">
        <f>IF(OR(X61="",W61=""),"",IF(W61&lt;=0,"",IFERROR(X61/W61-1,"")))</f>
        <v/>
      </c>
      <c r="Y62" s="14">
        <f>IF(OR(Y61="",X61=""),"",IF(X61&lt;=0,"",IFERROR(Y61/X61-1,"")))</f>
        <v/>
      </c>
      <c r="Z62" s="15">
        <f>IF(OR(Z61="",Y61=""),"",IF(Y61&lt;=0,"",IFERROR(Z61/Y61-1,"")))</f>
        <v/>
      </c>
      <c r="AA62" s="15">
        <f>IF(OR(AA61="",Z61=""),"",IF(Z61&lt;=0,"",IFERROR(AA61/Z61-1,"")))</f>
        <v/>
      </c>
      <c r="AB62" s="15">
        <f>IF(OR(AB61="",AA61=""),"",IF(AA61&lt;=0,"",IFERROR(AB61/AA61-1,"")))</f>
        <v/>
      </c>
      <c r="AC62" s="15">
        <f>IF(OR(AC61="",AB61=""),"",IF(AB61&lt;=0,"",IFERROR(AC61/AB61-1,"")))</f>
        <v/>
      </c>
    </row>
    <row r="63">
      <c r="A63" s="18" t="inlineStr">
        <is>
          <t>법인세비용(수익)</t>
        </is>
      </c>
      <c r="B63" s="10" t="n"/>
      <c r="C63" s="19" t="n">
        <v>1536</v>
      </c>
      <c r="D63" s="20" t="n">
        <v>1556</v>
      </c>
      <c r="E63" s="20" t="n">
        <v>1878</v>
      </c>
      <c r="F63" s="20" t="n">
        <v>1809</v>
      </c>
      <c r="G63" s="20" t="n">
        <v>2507</v>
      </c>
      <c r="H63" s="20" t="n">
        <v>1723</v>
      </c>
      <c r="I63" s="20" t="n">
        <v>1841</v>
      </c>
      <c r="J63" s="20" t="n">
        <v>1843</v>
      </c>
      <c r="K63" s="20" t="n">
        <v>2110</v>
      </c>
      <c r="L63" s="20" t="n">
        <v>2461</v>
      </c>
      <c r="M63" s="20" t="n">
        <v>2057</v>
      </c>
      <c r="N63" s="20" t="n">
        <v>3414</v>
      </c>
      <c r="O63" s="19" t="n">
        <v>1451.436</v>
      </c>
      <c r="P63" s="20" t="n">
        <v>2912.142</v>
      </c>
      <c r="Q63" s="20" t="n">
        <v>3103.991</v>
      </c>
      <c r="R63" s="20" t="n">
        <v>2802.435</v>
      </c>
      <c r="S63" s="20" t="n">
        <v>2948</v>
      </c>
      <c r="T63" s="20" t="n">
        <v>5980</v>
      </c>
      <c r="U63" s="20" t="n">
        <v>6143</v>
      </c>
      <c r="V63" s="20" t="n">
        <v>5800</v>
      </c>
      <c r="W63" s="20" t="n">
        <v>7917</v>
      </c>
      <c r="X63" s="20" t="n">
        <v>8255</v>
      </c>
      <c r="Y63" s="19">
        <f>IF(OR(Y61="",Y64=""),"",IFERROR(MAX(Y61,0)*Y64,""))</f>
        <v/>
      </c>
      <c r="Z63" s="20">
        <f>IF(OR(Z61="",Z64=""),"",IFERROR(MAX(Z61,0)*Z64,""))</f>
        <v/>
      </c>
      <c r="AA63" s="20">
        <f>IF(OR(AA61="",AA64=""),"",IFERROR(MAX(AA61,0)*AA64,""))</f>
        <v/>
      </c>
      <c r="AB63" s="20">
        <f>IF(OR(AB61="",AB64=""),"",IFERROR(MAX(AB61,0)*AB64,""))</f>
        <v/>
      </c>
      <c r="AC63" s="20">
        <f>IF(OR(AC61="",AC64=""),"",IFERROR(MAX(AC61,0)*AC64,""))</f>
        <v/>
      </c>
    </row>
    <row r="64">
      <c r="A64" s="13" t="inlineStr">
        <is>
          <t>법인세율</t>
        </is>
      </c>
      <c r="B64" s="10" t="inlineStr">
        <is>
          <t>MW 기본 30%</t>
        </is>
      </c>
      <c r="C64" s="14">
        <f>IF(OR(C63="",C61=""),"",IFERROR(C63/C61,""))</f>
        <v/>
      </c>
      <c r="D64" s="15">
        <f>IF(OR(D63="",D61=""),"",IFERROR(D63/D61,""))</f>
        <v/>
      </c>
      <c r="E64" s="15">
        <f>IF(OR(E63="",E61=""),"",IFERROR(E63/E61,""))</f>
        <v/>
      </c>
      <c r="F64" s="15">
        <f>IF(OR(F63="",F61=""),"",IFERROR(F63/F61,""))</f>
        <v/>
      </c>
      <c r="G64" s="15">
        <f>IF(OR(G63="",G61=""),"",IFERROR(G63/G61,""))</f>
        <v/>
      </c>
      <c r="H64" s="15">
        <f>IF(OR(H63="",H61=""),"",IFERROR(H63/H61,""))</f>
        <v/>
      </c>
      <c r="I64" s="15">
        <f>IF(OR(I63="",I61=""),"",IFERROR(I63/I61,""))</f>
        <v/>
      </c>
      <c r="J64" s="15">
        <f>IF(OR(J63="",J61=""),"",IFERROR(J63/J61,""))</f>
        <v/>
      </c>
      <c r="K64" s="15">
        <f>IF(OR(K63="",K61=""),"",IFERROR(K63/K61,""))</f>
        <v/>
      </c>
      <c r="L64" s="15">
        <f>IF(OR(L63="",L61=""),"",IFERROR(L63/L61,""))</f>
        <v/>
      </c>
      <c r="M64" s="15">
        <f>IF(OR(M63="",M61=""),"",IFERROR(M63/M61,""))</f>
        <v/>
      </c>
      <c r="N64" s="15">
        <f>IF(OR(N63="",N61=""),"",IFERROR(N63/N61,""))</f>
        <v/>
      </c>
      <c r="O64" s="14">
        <f>IF(OR(O63="",O61=""),"",IFERROR(O63/O61,""))</f>
        <v/>
      </c>
      <c r="P64" s="15">
        <f>IF(OR(P63="",P61=""),"",IFERROR(P63/P61,""))</f>
        <v/>
      </c>
      <c r="Q64" s="15">
        <f>IF(OR(Q63="",Q61=""),"",IFERROR(Q63/Q61,""))</f>
        <v/>
      </c>
      <c r="R64" s="15">
        <f>IF(OR(R63="",R61=""),"",IFERROR(R63/R61,""))</f>
        <v/>
      </c>
      <c r="S64" s="15">
        <f>IF(OR(S63="",S61=""),"",IFERROR(S63/S61,""))</f>
        <v/>
      </c>
      <c r="T64" s="15">
        <f>IF(OR(T63="",T61=""),"",IFERROR(T63/T61,""))</f>
        <v/>
      </c>
      <c r="U64" s="15">
        <f>IF(OR(U63="",U61=""),"",IFERROR(U63/U61,""))</f>
        <v/>
      </c>
      <c r="V64" s="15">
        <f>IF(OR(V63="",V61=""),"",IFERROR(V63/V61,""))</f>
        <v/>
      </c>
      <c r="W64" s="15">
        <f>IF(OR(W63="",W61=""),"",IFERROR(W63/W61,""))</f>
        <v/>
      </c>
      <c r="X64" s="15">
        <f>IF(OR(X63="",X61=""),"",IFERROR(X63/X61,""))</f>
        <v/>
      </c>
      <c r="Y64" s="25" t="n">
        <v>0.3</v>
      </c>
      <c r="Z64" s="26" t="n">
        <v>0.3</v>
      </c>
      <c r="AA64" s="26" t="n">
        <v>0.3</v>
      </c>
      <c r="AB64" s="26" t="n">
        <v>0.3</v>
      </c>
      <c r="AC64" s="26" t="n">
        <v>0.3</v>
      </c>
    </row>
    <row r="65">
      <c r="A65" s="9" t="inlineStr">
        <is>
          <t>당기순이익(손실)</t>
        </is>
      </c>
      <c r="B65" s="10" t="n"/>
      <c r="C65" s="11" t="n">
        <v>3826</v>
      </c>
      <c r="D65" s="12" t="n">
        <v>4613</v>
      </c>
      <c r="E65" s="12" t="n">
        <v>4502</v>
      </c>
      <c r="F65" s="12" t="n">
        <v>3938</v>
      </c>
      <c r="G65" s="12" t="n">
        <v>5525</v>
      </c>
      <c r="H65" s="12" t="n">
        <v>5277</v>
      </c>
      <c r="I65" s="12" t="n">
        <v>3878</v>
      </c>
      <c r="J65" s="12" t="n">
        <v>3535</v>
      </c>
      <c r="K65" s="12" t="n">
        <v>4919</v>
      </c>
      <c r="L65" s="12" t="n">
        <v>5831</v>
      </c>
      <c r="M65" s="12" t="n">
        <v>4466</v>
      </c>
      <c r="N65" s="12" t="n">
        <v>7653</v>
      </c>
      <c r="O65" s="11" t="n">
        <v>2850.32</v>
      </c>
      <c r="P65" s="12" t="n">
        <v>5544.491</v>
      </c>
      <c r="Q65" s="12" t="n">
        <v>6770.081</v>
      </c>
      <c r="R65" s="12" t="n">
        <v>5893.928</v>
      </c>
      <c r="S65" s="12" t="n">
        <v>6935</v>
      </c>
      <c r="T65" s="12" t="n">
        <v>13350</v>
      </c>
      <c r="U65" s="12" t="n">
        <v>15020</v>
      </c>
      <c r="V65" s="12" t="n">
        <v>15216</v>
      </c>
      <c r="W65" s="12" t="n">
        <v>19242</v>
      </c>
      <c r="X65" s="12" t="n">
        <v>18163</v>
      </c>
      <c r="Y65" s="11">
        <f>IF(OR(Y61=""),"",IFERROR(Y61-Y63,""))</f>
        <v/>
      </c>
      <c r="Z65" s="12">
        <f>IF(OR(Z61=""),"",IFERROR(Z61-Z63,""))</f>
        <v/>
      </c>
      <c r="AA65" s="12">
        <f>IF(OR(AA61=""),"",IFERROR(AA61-AA63,""))</f>
        <v/>
      </c>
      <c r="AB65" s="12">
        <f>IF(OR(AB61=""),"",IFERROR(AB61-AB63,""))</f>
        <v/>
      </c>
      <c r="AC65" s="12">
        <f>IF(OR(AC61=""),"",IFERROR(AC61-AC63,""))</f>
        <v/>
      </c>
    </row>
    <row r="66">
      <c r="A66" s="13" t="inlineStr">
        <is>
          <t>YoY</t>
        </is>
      </c>
      <c r="B66" s="10" t="n"/>
      <c r="C66" s="14" t="n"/>
      <c r="D66" s="15" t="n"/>
      <c r="E66" s="15" t="n"/>
      <c r="F66" s="15" t="n"/>
      <c r="G66" s="15">
        <f>IF(OR(G65="",C65=""),"",IF(C65&lt;=0,"",IFERROR(G65/C65-1,"")))</f>
        <v/>
      </c>
      <c r="H66" s="15">
        <f>IF(OR(H65="",D65=""),"",IF(D65&lt;=0,"",IFERROR(H65/D65-1,"")))</f>
        <v/>
      </c>
      <c r="I66" s="15">
        <f>IF(OR(I65="",E65=""),"",IF(E65&lt;=0,"",IFERROR(I65/E65-1,"")))</f>
        <v/>
      </c>
      <c r="J66" s="15">
        <f>IF(OR(J65="",F65=""),"",IF(F65&lt;=0,"",IFERROR(J65/F65-1,"")))</f>
        <v/>
      </c>
      <c r="K66" s="15">
        <f>IF(OR(K65="",G65=""),"",IF(G65&lt;=0,"",IFERROR(K65/G65-1,"")))</f>
        <v/>
      </c>
      <c r="L66" s="15">
        <f>IF(OR(L65="",H65=""),"",IF(H65&lt;=0,"",IFERROR(L65/H65-1,"")))</f>
        <v/>
      </c>
      <c r="M66" s="15">
        <f>IF(OR(M65="",I65=""),"",IF(I65&lt;=0,"",IFERROR(M65/I65-1,"")))</f>
        <v/>
      </c>
      <c r="N66" s="15">
        <f>IF(OR(N65="",J65=""),"",IF(J65&lt;=0,"",IFERROR(N65/J65-1,"")))</f>
        <v/>
      </c>
      <c r="O66" s="14" t="n"/>
      <c r="P66" s="15">
        <f>IF(OR(P65="",O65=""),"",IF(O65&lt;=0,"",IFERROR(P65/O65-1,"")))</f>
        <v/>
      </c>
      <c r="Q66" s="15">
        <f>IF(OR(Q65="",P65=""),"",IF(P65&lt;=0,"",IFERROR(Q65/P65-1,"")))</f>
        <v/>
      </c>
      <c r="R66" s="15">
        <f>IF(OR(R65="",Q65=""),"",IF(Q65&lt;=0,"",IFERROR(R65/Q65-1,"")))</f>
        <v/>
      </c>
      <c r="S66" s="15">
        <f>IF(OR(S65="",R65=""),"",IF(R65&lt;=0,"",IFERROR(S65/R65-1,"")))</f>
        <v/>
      </c>
      <c r="T66" s="15">
        <f>IF(OR(T65="",S65=""),"",IF(S65&lt;=0,"",IFERROR(T65/S65-1,"")))</f>
        <v/>
      </c>
      <c r="U66" s="15">
        <f>IF(OR(U65="",T65=""),"",IF(T65&lt;=0,"",IFERROR(U65/T65-1,"")))</f>
        <v/>
      </c>
      <c r="V66" s="15">
        <f>IF(OR(V65="",U65=""),"",IF(U65&lt;=0,"",IFERROR(V65/U65-1,"")))</f>
        <v/>
      </c>
      <c r="W66" s="15">
        <f>IF(OR(W65="",V65=""),"",IF(V65&lt;=0,"",IFERROR(W65/V65-1,"")))</f>
        <v/>
      </c>
      <c r="X66" s="15">
        <f>IF(OR(X65="",W65=""),"",IF(W65&lt;=0,"",IFERROR(X65/W65-1,"")))</f>
        <v/>
      </c>
      <c r="Y66" s="14">
        <f>IF(OR(Y65="",X65=""),"",IF(X65&lt;=0,"",IFERROR(Y65/X65-1,"")))</f>
        <v/>
      </c>
      <c r="Z66" s="15">
        <f>IF(OR(Z65="",Y65=""),"",IF(Y65&lt;=0,"",IFERROR(Z65/Y65-1,"")))</f>
        <v/>
      </c>
      <c r="AA66" s="15">
        <f>IF(OR(AA65="",Z65=""),"",IF(Z65&lt;=0,"",IFERROR(AA65/Z65-1,"")))</f>
        <v/>
      </c>
      <c r="AB66" s="15">
        <f>IF(OR(AB65="",AA65=""),"",IF(AA65&lt;=0,"",IFERROR(AB65/AA65-1,"")))</f>
        <v/>
      </c>
      <c r="AC66" s="15">
        <f>IF(OR(AC65="",AB65=""),"",IF(AB65&lt;=0,"",IFERROR(AC65/AB65-1,"")))</f>
        <v/>
      </c>
    </row>
    <row r="67">
      <c r="A67" s="9" t="inlineStr">
        <is>
          <t>지배주주 순이익</t>
        </is>
      </c>
      <c r="B67" s="10" t="n"/>
      <c r="C67" s="11" t="n">
        <v>3826</v>
      </c>
      <c r="D67" s="12" t="n">
        <v>4613</v>
      </c>
      <c r="E67" s="12" t="n">
        <v>4502</v>
      </c>
      <c r="F67" s="12" t="n">
        <v>3938</v>
      </c>
      <c r="G67" s="12" t="n">
        <v>5525</v>
      </c>
      <c r="H67" s="12" t="n">
        <v>5277</v>
      </c>
      <c r="I67" s="12" t="n">
        <v>3878</v>
      </c>
      <c r="J67" s="12" t="n">
        <v>3535</v>
      </c>
      <c r="K67" s="12" t="n">
        <v>4919</v>
      </c>
      <c r="L67" s="12" t="n">
        <v>5831</v>
      </c>
      <c r="M67" s="12" t="n">
        <v>4466</v>
      </c>
      <c r="N67" s="12" t="n">
        <v>7653</v>
      </c>
      <c r="O67" s="11" t="n">
        <v>2850.32</v>
      </c>
      <c r="P67" s="12" t="n">
        <v>5544.491</v>
      </c>
      <c r="Q67" s="12" t="n">
        <v>6770.081</v>
      </c>
      <c r="R67" s="12" t="n">
        <v>5893.928</v>
      </c>
      <c r="S67" s="12" t="n">
        <v>6935</v>
      </c>
      <c r="T67" s="12" t="n">
        <v>13350</v>
      </c>
      <c r="U67" s="12" t="n">
        <v>15020</v>
      </c>
      <c r="V67" s="12" t="n">
        <v>15216</v>
      </c>
      <c r="W67" s="12" t="n">
        <v>19242</v>
      </c>
      <c r="X67" s="12" t="n">
        <v>18163</v>
      </c>
      <c r="Y67" s="11">
        <f>IF(OR(Y65="",Y68=""),"",IFERROR(Y65*Y68,""))</f>
        <v/>
      </c>
      <c r="Z67" s="12">
        <f>IF(OR(Z65="",Z68=""),"",IFERROR(Z65*Z68,""))</f>
        <v/>
      </c>
      <c r="AA67" s="12">
        <f>IF(OR(AA65="",AA68=""),"",IFERROR(AA65*AA68,""))</f>
        <v/>
      </c>
      <c r="AB67" s="12">
        <f>IF(OR(AB65="",AB68=""),"",IFERROR(AB65*AB68,""))</f>
        <v/>
      </c>
      <c r="AC67" s="12">
        <f>IF(OR(AC65="",AC68=""),"",IFERROR(AC65*AC68,""))</f>
        <v/>
      </c>
    </row>
    <row r="68">
      <c r="A68" s="13" t="inlineStr">
        <is>
          <t>지배주주 순이익률</t>
        </is>
      </c>
      <c r="B68" s="10" t="inlineStr">
        <is>
          <t>MW 기본 100%</t>
        </is>
      </c>
      <c r="C68" s="14">
        <f>IF(OR(C67="",C65=""),"",IFERROR(C67/C65,""))</f>
        <v/>
      </c>
      <c r="D68" s="15">
        <f>IF(OR(D67="",D65=""),"",IFERROR(D67/D65,""))</f>
        <v/>
      </c>
      <c r="E68" s="15">
        <f>IF(OR(E67="",E65=""),"",IFERROR(E67/E65,""))</f>
        <v/>
      </c>
      <c r="F68" s="15">
        <f>IF(OR(F67="",F65=""),"",IFERROR(F67/F65,""))</f>
        <v/>
      </c>
      <c r="G68" s="15">
        <f>IF(OR(G67="",G65=""),"",IFERROR(G67/G65,""))</f>
        <v/>
      </c>
      <c r="H68" s="15">
        <f>IF(OR(H67="",H65=""),"",IFERROR(H67/H65,""))</f>
        <v/>
      </c>
      <c r="I68" s="15">
        <f>IF(OR(I67="",I65=""),"",IFERROR(I67/I65,""))</f>
        <v/>
      </c>
      <c r="J68" s="15">
        <f>IF(OR(J67="",J65=""),"",IFERROR(J67/J65,""))</f>
        <v/>
      </c>
      <c r="K68" s="15">
        <f>IF(OR(K67="",K65=""),"",IFERROR(K67/K65,""))</f>
        <v/>
      </c>
      <c r="L68" s="15">
        <f>IF(OR(L67="",L65=""),"",IFERROR(L67/L65,""))</f>
        <v/>
      </c>
      <c r="M68" s="15">
        <f>IF(OR(M67="",M65=""),"",IFERROR(M67/M65,""))</f>
        <v/>
      </c>
      <c r="N68" s="15">
        <f>IF(OR(N67="",N65=""),"",IFERROR(N67/N65,""))</f>
        <v/>
      </c>
      <c r="O68" s="14">
        <f>IF(OR(O67="",O65=""),"",IFERROR(O67/O65,""))</f>
        <v/>
      </c>
      <c r="P68" s="15">
        <f>IF(OR(P67="",P65=""),"",IFERROR(P67/P65,""))</f>
        <v/>
      </c>
      <c r="Q68" s="15">
        <f>IF(OR(Q67="",Q65=""),"",IFERROR(Q67/Q65,""))</f>
        <v/>
      </c>
      <c r="R68" s="15">
        <f>IF(OR(R67="",R65=""),"",IFERROR(R67/R65,""))</f>
        <v/>
      </c>
      <c r="S68" s="15">
        <f>IF(OR(S67="",S65=""),"",IFERROR(S67/S65,""))</f>
        <v/>
      </c>
      <c r="T68" s="15">
        <f>IF(OR(T67="",T65=""),"",IFERROR(T67/T65,""))</f>
        <v/>
      </c>
      <c r="U68" s="15">
        <f>IF(OR(U67="",U65=""),"",IFERROR(U67/U65,""))</f>
        <v/>
      </c>
      <c r="V68" s="15">
        <f>IF(OR(V67="",V65=""),"",IFERROR(V67/V65,""))</f>
        <v/>
      </c>
      <c r="W68" s="15">
        <f>IF(OR(W67="",W65=""),"",IFERROR(W67/W65,""))</f>
        <v/>
      </c>
      <c r="X68" s="15">
        <f>IF(OR(X67="",X65=""),"",IFERROR(X67/X65,""))</f>
        <v/>
      </c>
      <c r="Y68" s="25" t="n">
        <v>1</v>
      </c>
      <c r="Z68" s="26" t="n">
        <v>1</v>
      </c>
      <c r="AA68" s="26" t="n">
        <v>1</v>
      </c>
      <c r="AB68" s="26" t="n">
        <v>1</v>
      </c>
      <c r="AC68" s="26" t="n">
        <v>1</v>
      </c>
    </row>
    <row r="69">
      <c r="A69" s="13" t="inlineStr">
        <is>
          <t>지배주주 순이익 YoY</t>
        </is>
      </c>
      <c r="B69" s="10" t="n"/>
      <c r="C69" s="14" t="n"/>
      <c r="D69" s="15" t="n"/>
      <c r="E69" s="15" t="n"/>
      <c r="F69" s="15" t="n"/>
      <c r="G69" s="15">
        <f>IF(OR(G67="",C67=""),"",IF(C67&lt;=0,"",IFERROR(G67/C67-1,"")))</f>
        <v/>
      </c>
      <c r="H69" s="15">
        <f>IF(OR(H67="",D67=""),"",IF(D67&lt;=0,"",IFERROR(H67/D67-1,"")))</f>
        <v/>
      </c>
      <c r="I69" s="15">
        <f>IF(OR(I67="",E67=""),"",IF(E67&lt;=0,"",IFERROR(I67/E67-1,"")))</f>
        <v/>
      </c>
      <c r="J69" s="15">
        <f>IF(OR(J67="",F67=""),"",IF(F67&lt;=0,"",IFERROR(J67/F67-1,"")))</f>
        <v/>
      </c>
      <c r="K69" s="15">
        <f>IF(OR(K67="",G67=""),"",IF(G67&lt;=0,"",IFERROR(K67/G67-1,"")))</f>
        <v/>
      </c>
      <c r="L69" s="15">
        <f>IF(OR(L67="",H67=""),"",IF(H67&lt;=0,"",IFERROR(L67/H67-1,"")))</f>
        <v/>
      </c>
      <c r="M69" s="15">
        <f>IF(OR(M67="",I67=""),"",IF(I67&lt;=0,"",IFERROR(M67/I67-1,"")))</f>
        <v/>
      </c>
      <c r="N69" s="15">
        <f>IF(OR(N67="",J67=""),"",IF(J67&lt;=0,"",IFERROR(N67/J67-1,"")))</f>
        <v/>
      </c>
      <c r="O69" s="14" t="n"/>
      <c r="P69" s="15">
        <f>IF(OR(P67="",O67=""),"",IF(O67&lt;=0,"",IFERROR(P67/O67-1,"")))</f>
        <v/>
      </c>
      <c r="Q69" s="15">
        <f>IF(OR(Q67="",P67=""),"",IF(P67&lt;=0,"",IFERROR(Q67/P67-1,"")))</f>
        <v/>
      </c>
      <c r="R69" s="15">
        <f>IF(OR(R67="",Q67=""),"",IF(Q67&lt;=0,"",IFERROR(R67/Q67-1,"")))</f>
        <v/>
      </c>
      <c r="S69" s="15">
        <f>IF(OR(S67="",R67=""),"",IF(R67&lt;=0,"",IFERROR(S67/R67-1,"")))</f>
        <v/>
      </c>
      <c r="T69" s="15">
        <f>IF(OR(T67="",S67=""),"",IF(S67&lt;=0,"",IFERROR(T67/S67-1,"")))</f>
        <v/>
      </c>
      <c r="U69" s="15">
        <f>IF(OR(U67="",T67=""),"",IF(T67&lt;=0,"",IFERROR(U67/T67-1,"")))</f>
        <v/>
      </c>
      <c r="V69" s="15">
        <f>IF(OR(V67="",U67=""),"",IF(U67&lt;=0,"",IFERROR(V67/U67-1,"")))</f>
        <v/>
      </c>
      <c r="W69" s="15">
        <f>IF(OR(W67="",V67=""),"",IF(V67&lt;=0,"",IFERROR(W67/V67-1,"")))</f>
        <v/>
      </c>
      <c r="X69" s="15">
        <f>IF(OR(X67="",W67=""),"",IF(W67&lt;=0,"",IFERROR(X67/W67-1,"")))</f>
        <v/>
      </c>
      <c r="Y69" s="14">
        <f>IF(OR(Y67="",X67=""),"",IF(X67&lt;=0,"",IFERROR(Y67/X67-1,"")))</f>
        <v/>
      </c>
      <c r="Z69" s="15">
        <f>IF(OR(Z67="",Y67=""),"",IF(Y67&lt;=0,"",IFERROR(Z67/Y67-1,"")))</f>
        <v/>
      </c>
      <c r="AA69" s="15">
        <f>IF(OR(AA67="",Z67=""),"",IF(Z67&lt;=0,"",IFERROR(AA67/Z67-1,"")))</f>
        <v/>
      </c>
      <c r="AB69" s="15">
        <f>IF(OR(AB67="",AA67=""),"",IF(AA67&lt;=0,"",IFERROR(AB67/AA67-1,"")))</f>
        <v/>
      </c>
      <c r="AC69" s="15">
        <f>IF(OR(AC67="",AB67=""),"",IF(AB67&lt;=0,"",IFERROR(AC67/AB67-1,"")))</f>
        <v/>
      </c>
    </row>
    <row r="70">
      <c r="A70" s="16" t="inlineStr">
        <is>
          <t>목표주가 산출</t>
        </is>
      </c>
      <c r="B70" s="16" t="n"/>
      <c r="C70" s="17" t="n"/>
      <c r="D70" s="16" t="n"/>
      <c r="E70" s="16" t="n"/>
      <c r="F70" s="16" t="n"/>
      <c r="G70" s="16" t="n"/>
      <c r="H70" s="16" t="n"/>
      <c r="I70" s="16" t="n"/>
      <c r="J70" s="16" t="n"/>
      <c r="K70" s="16" t="n"/>
      <c r="L70" s="16" t="n"/>
      <c r="M70" s="16" t="n"/>
      <c r="N70" s="16" t="n"/>
      <c r="O70" s="17" t="n"/>
      <c r="P70" s="16" t="n"/>
      <c r="Q70" s="16" t="n"/>
      <c r="R70" s="16" t="n"/>
      <c r="S70" s="16" t="n"/>
      <c r="T70" s="16" t="n"/>
      <c r="U70" s="16" t="n"/>
      <c r="V70" s="16" t="n"/>
      <c r="W70" s="16" t="n"/>
      <c r="X70" s="16" t="n"/>
      <c r="Y70" s="17" t="n"/>
      <c r="Z70" s="16" t="n"/>
      <c r="AA70" s="16" t="n"/>
      <c r="AB70" s="16" t="n"/>
      <c r="AC70" s="16" t="n"/>
    </row>
    <row r="71">
      <c r="A71" s="18" t="inlineStr">
        <is>
          <t>현재 주가 (2026.10.28)</t>
        </is>
      </c>
      <c r="B71" s="27" t="n">
        <v>54000</v>
      </c>
      <c r="C71" s="28" t="n"/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  <c r="N71" s="29" t="n"/>
      <c r="O71" s="28" t="n"/>
      <c r="P71" s="29" t="n"/>
      <c r="Q71" s="29" t="n"/>
      <c r="R71" s="29" t="n"/>
      <c r="S71" s="29" t="n"/>
      <c r="T71" s="29" t="n"/>
      <c r="U71" s="29" t="n"/>
      <c r="V71" s="29" t="n"/>
      <c r="W71" s="29" t="n"/>
      <c r="X71" s="29" t="n"/>
      <c r="Y71" s="28" t="n"/>
      <c r="Z71" s="29" t="n"/>
      <c r="AA71" s="29" t="n"/>
      <c r="AB71" s="29" t="n"/>
      <c r="AC71" s="29" t="n"/>
    </row>
    <row r="72">
      <c r="A72" s="18" t="inlineStr">
        <is>
          <t>발행주식수 (보통주)</t>
        </is>
      </c>
      <c r="B72" s="27" t="n">
        <v>12372000</v>
      </c>
      <c r="C72" s="28" t="n"/>
      <c r="D72" s="29" t="n"/>
      <c r="E72" s="29" t="n"/>
      <c r="F72" s="29" t="n"/>
      <c r="G72" s="29" t="n"/>
      <c r="H72" s="29" t="n"/>
      <c r="I72" s="29" t="n"/>
      <c r="J72" s="29" t="n"/>
      <c r="K72" s="29" t="n"/>
      <c r="L72" s="29" t="n"/>
      <c r="M72" s="29" t="n"/>
      <c r="N72" s="29" t="n"/>
      <c r="O72" s="28" t="n"/>
      <c r="P72" s="29" t="n"/>
      <c r="Q72" s="29" t="n"/>
      <c r="R72" s="29" t="n"/>
      <c r="S72" s="29" t="n"/>
      <c r="T72" s="29" t="n"/>
      <c r="U72" s="29" t="n"/>
      <c r="V72" s="29" t="n"/>
      <c r="W72" s="29" t="n"/>
      <c r="X72" s="29" t="n"/>
      <c r="Y72" s="28" t="n"/>
      <c r="Z72" s="29" t="n"/>
      <c r="AA72" s="29" t="n"/>
      <c r="AB72" s="29" t="n"/>
      <c r="AC72" s="29" t="n"/>
    </row>
    <row r="73">
      <c r="A73" s="18" t="inlineStr">
        <is>
          <t>시가총액 (백만엔)</t>
        </is>
      </c>
      <c r="B73" s="12">
        <f>IF(OR(B71="",B72=""),"",B71*B72/1000000.0)</f>
        <v/>
      </c>
      <c r="C73" s="19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19" t="n"/>
      <c r="P73" s="20" t="n"/>
      <c r="Q73" s="20" t="n"/>
      <c r="R73" s="20" t="n"/>
      <c r="S73" s="20" t="n"/>
      <c r="T73" s="20" t="n"/>
      <c r="U73" s="20" t="n"/>
      <c r="V73" s="20" t="n"/>
      <c r="W73" s="20" t="n"/>
      <c r="X73" s="20" t="n"/>
      <c r="Y73" s="19" t="n"/>
      <c r="Z73" s="20" t="n"/>
      <c r="AA73" s="20" t="n"/>
      <c r="AB73" s="20" t="n"/>
      <c r="AC73" s="20" t="n"/>
    </row>
    <row r="74">
      <c r="A74" s="13" t="inlineStr">
        <is>
          <t>OPM</t>
        </is>
      </c>
      <c r="B74" s="10" t="n"/>
      <c r="C74" s="14" t="n"/>
      <c r="D74" s="15" t="n"/>
      <c r="E74" s="15" t="n"/>
      <c r="F74" s="15" t="n"/>
      <c r="G74" s="15" t="n"/>
      <c r="H74" s="15" t="n"/>
      <c r="I74" s="15" t="n"/>
      <c r="J74" s="15" t="n"/>
      <c r="K74" s="15" t="n"/>
      <c r="L74" s="15" t="n"/>
      <c r="M74" s="15" t="n"/>
      <c r="N74" s="15" t="n"/>
      <c r="O74" s="14">
        <f>IF(O38="","",O38)</f>
        <v/>
      </c>
      <c r="P74" s="15">
        <f>IF(P38="","",P38)</f>
        <v/>
      </c>
      <c r="Q74" s="15">
        <f>IF(Q38="","",Q38)</f>
        <v/>
      </c>
      <c r="R74" s="15">
        <f>IF(R38="","",R38)</f>
        <v/>
      </c>
      <c r="S74" s="15">
        <f>IF(S38="","",S38)</f>
        <v/>
      </c>
      <c r="T74" s="15">
        <f>IF(T38="","",T38)</f>
        <v/>
      </c>
      <c r="U74" s="15">
        <f>IF(U38="","",U38)</f>
        <v/>
      </c>
      <c r="V74" s="15">
        <f>IF(V38="","",V38)</f>
        <v/>
      </c>
      <c r="W74" s="15">
        <f>IF(W38="","",W38)</f>
        <v/>
      </c>
      <c r="X74" s="15">
        <f>IF(X38="","",X38)</f>
        <v/>
      </c>
      <c r="Y74" s="14">
        <f>IF(Y38="","",Y38)</f>
        <v/>
      </c>
      <c r="Z74" s="15">
        <f>IF(Z38="","",Z38)</f>
        <v/>
      </c>
      <c r="AA74" s="15">
        <f>IF(AA38="","",AA38)</f>
        <v/>
      </c>
      <c r="AB74" s="15">
        <f>IF(AB38="","",AB38)</f>
        <v/>
      </c>
      <c r="AC74" s="15">
        <f>IF(AC38="","",AC38)</f>
        <v/>
      </c>
    </row>
    <row r="75">
      <c r="A75" s="13" t="inlineStr">
        <is>
          <t>지배주주 순이익 증가율</t>
        </is>
      </c>
      <c r="B75" s="10" t="n"/>
      <c r="C75" s="14" t="n"/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4" t="n"/>
      <c r="P75" s="15">
        <f>IF(OR(P67="",O67=""),"",IFERROR(P67/O67-1,""))</f>
        <v/>
      </c>
      <c r="Q75" s="15">
        <f>IF(OR(Q67="",P67=""),"",IFERROR(Q67/P67-1,""))</f>
        <v/>
      </c>
      <c r="R75" s="15">
        <f>IF(OR(R67="",Q67=""),"",IFERROR(R67/Q67-1,""))</f>
        <v/>
      </c>
      <c r="S75" s="15">
        <f>IF(OR(S67="",R67=""),"",IFERROR(S67/R67-1,""))</f>
        <v/>
      </c>
      <c r="T75" s="15">
        <f>IF(OR(T67="",S67=""),"",IFERROR(T67/S67-1,""))</f>
        <v/>
      </c>
      <c r="U75" s="15">
        <f>IF(OR(U67="",T67=""),"",IFERROR(U67/T67-1,""))</f>
        <v/>
      </c>
      <c r="V75" s="15">
        <f>IF(OR(V67="",U67=""),"",IFERROR(V67/U67-1,""))</f>
        <v/>
      </c>
      <c r="W75" s="15">
        <f>IF(OR(W67="",V67=""),"",IFERROR(W67/V67-1,""))</f>
        <v/>
      </c>
      <c r="X75" s="15">
        <f>IF(OR(X67="",W67=""),"",IFERROR(X67/W67-1,""))</f>
        <v/>
      </c>
      <c r="Y75" s="14">
        <f>IF(OR(Y67="",X67=""),"",IFERROR(Y67/X67-1,""))</f>
        <v/>
      </c>
      <c r="Z75" s="15">
        <f>IF(OR(Z67="",Y67=""),"",IFERROR(Z67/Y67-1,""))</f>
        <v/>
      </c>
      <c r="AA75" s="15">
        <f>IF(OR(AA67="",Z67=""),"",IFERROR(AA67/Z67-1,""))</f>
        <v/>
      </c>
      <c r="AB75" s="15">
        <f>IF(OR(AB67="",AA67=""),"",IFERROR(AB67/AA67-1,""))</f>
        <v/>
      </c>
      <c r="AC75" s="15">
        <f>IF(OR(AC67="",AB67=""),"",IFERROR(AC67/AB67-1,""))</f>
        <v/>
      </c>
    </row>
    <row r="76">
      <c r="A76" s="18" t="inlineStr">
        <is>
          <t>P/E (현재 주가)</t>
        </is>
      </c>
      <c r="B76" s="10" t="inlineStr">
        <is>
          <t>시총 ÷ 지배순이익</t>
        </is>
      </c>
      <c r="C76" s="30" t="n"/>
      <c r="D76" s="31" t="n"/>
      <c r="E76" s="31" t="n"/>
      <c r="F76" s="31" t="n"/>
      <c r="G76" s="31" t="n"/>
      <c r="H76" s="31" t="n"/>
      <c r="I76" s="31" t="n"/>
      <c r="J76" s="31" t="n"/>
      <c r="K76" s="31" t="n"/>
      <c r="L76" s="31" t="n"/>
      <c r="M76" s="31" t="n"/>
      <c r="N76" s="31" t="n"/>
      <c r="O76" s="30" t="n"/>
      <c r="P76" s="31" t="n"/>
      <c r="Q76" s="31" t="n"/>
      <c r="R76" s="31" t="n"/>
      <c r="S76" s="31" t="n"/>
      <c r="T76" s="31" t="n"/>
      <c r="U76" s="31" t="n"/>
      <c r="V76" s="31" t="n"/>
      <c r="W76" s="31" t="n"/>
      <c r="X76" s="31">
        <f>IF(OR($B$73="",X67=""),"",IFERROR($B$73/X67,""))</f>
        <v/>
      </c>
      <c r="Y76" s="30">
        <f>IF(OR($B$73="",Y67=""),"",IFERROR($B$73/Y67,""))</f>
        <v/>
      </c>
      <c r="Z76" s="31">
        <f>IF(OR($B$73="",Z67=""),"",IFERROR($B$73/Z67,""))</f>
        <v/>
      </c>
      <c r="AA76" s="31">
        <f>IF(OR($B$73="",AA67=""),"",IFERROR($B$73/AA67,""))</f>
        <v/>
      </c>
      <c r="AB76" s="31">
        <f>IF(OR($B$73="",AB67=""),"",IFERROR($B$73/AB67,""))</f>
        <v/>
      </c>
      <c r="AC76" s="31">
        <f>IF(OR($B$73="",AC67=""),"",IFERROR($B$73/AC67,""))</f>
        <v/>
      </c>
    </row>
    <row r="77">
      <c r="A77" s="18" t="inlineStr">
        <is>
          <t>Target P/E</t>
        </is>
      </c>
      <c r="B77" s="10" t="inlineStr">
        <is>
          <t>직접 입력</t>
        </is>
      </c>
      <c r="C77" s="30" t="n"/>
      <c r="D77" s="31" t="n"/>
      <c r="E77" s="31" t="n"/>
      <c r="F77" s="31" t="n"/>
      <c r="G77" s="31" t="n"/>
      <c r="H77" s="31" t="n"/>
      <c r="I77" s="31" t="n"/>
      <c r="J77" s="31" t="n"/>
      <c r="K77" s="31" t="n"/>
      <c r="L77" s="31" t="n"/>
      <c r="M77" s="31" t="n"/>
      <c r="N77" s="31" t="n"/>
      <c r="O77" s="30" t="n"/>
      <c r="P77" s="31" t="n"/>
      <c r="Q77" s="31" t="n"/>
      <c r="R77" s="31" t="n"/>
      <c r="S77" s="31" t="n"/>
      <c r="T77" s="31" t="n"/>
      <c r="U77" s="31" t="n"/>
      <c r="V77" s="31" t="n"/>
      <c r="W77" s="31" t="n"/>
      <c r="X77" s="31" t="n"/>
      <c r="Y77" s="32" t="n"/>
      <c r="Z77" s="33" t="n"/>
      <c r="AA77" s="33" t="n"/>
      <c r="AB77" s="33" t="n"/>
      <c r="AC77" s="33" t="n"/>
    </row>
    <row r="78">
      <c r="A78" s="18" t="inlineStr">
        <is>
          <t>EPS</t>
        </is>
      </c>
      <c r="B78" s="10" t="inlineStr">
        <is>
          <t>지배순이익 ÷ 주식수</t>
        </is>
      </c>
      <c r="C78" s="28" t="n"/>
      <c r="D78" s="29" t="n"/>
      <c r="E78" s="29" t="n"/>
      <c r="F78" s="29" t="n"/>
      <c r="G78" s="29" t="n"/>
      <c r="H78" s="29" t="n"/>
      <c r="I78" s="29" t="n"/>
      <c r="J78" s="29" t="n"/>
      <c r="K78" s="29" t="n"/>
      <c r="L78" s="29" t="n"/>
      <c r="M78" s="29" t="n"/>
      <c r="N78" s="29" t="n"/>
      <c r="O78" s="28">
        <f>IF(OR(O67="",$B$72=""),"",IFERROR(O67*1000000.0/$B$72,""))</f>
        <v/>
      </c>
      <c r="P78" s="29">
        <f>IF(OR(P67="",$B$72=""),"",IFERROR(P67*1000000.0/$B$72,""))</f>
        <v/>
      </c>
      <c r="Q78" s="29">
        <f>IF(OR(Q67="",$B$72=""),"",IFERROR(Q67*1000000.0/$B$72,""))</f>
        <v/>
      </c>
      <c r="R78" s="29">
        <f>IF(OR(R67="",$B$72=""),"",IFERROR(R67*1000000.0/$B$72,""))</f>
        <v/>
      </c>
      <c r="S78" s="29">
        <f>IF(OR(S67="",$B$72=""),"",IFERROR(S67*1000000.0/$B$72,""))</f>
        <v/>
      </c>
      <c r="T78" s="29">
        <f>IF(OR(T67="",$B$72=""),"",IFERROR(T67*1000000.0/$B$72,""))</f>
        <v/>
      </c>
      <c r="U78" s="29">
        <f>IF(OR(U67="",$B$72=""),"",IFERROR(U67*1000000.0/$B$72,""))</f>
        <v/>
      </c>
      <c r="V78" s="29">
        <f>IF(OR(V67="",$B$72=""),"",IFERROR(V67*1000000.0/$B$72,""))</f>
        <v/>
      </c>
      <c r="W78" s="29">
        <f>IF(OR(W67="",$B$72=""),"",IFERROR(W67*1000000.0/$B$72,""))</f>
        <v/>
      </c>
      <c r="X78" s="29">
        <f>IF(OR(X67="",$B$72=""),"",IFERROR(X67*1000000.0/$B$72,""))</f>
        <v/>
      </c>
      <c r="Y78" s="28">
        <f>IF(OR(Y67="",$B$72=""),"",IFERROR(Y67*1000000.0/$B$72,""))</f>
        <v/>
      </c>
      <c r="Z78" s="29">
        <f>IF(OR(Z67="",$B$72=""),"",IFERROR(Z67*1000000.0/$B$72,""))</f>
        <v/>
      </c>
      <c r="AA78" s="29">
        <f>IF(OR(AA67="",$B$72=""),"",IFERROR(AA67*1000000.0/$B$72,""))</f>
        <v/>
      </c>
      <c r="AB78" s="29">
        <f>IF(OR(AB67="",$B$72=""),"",IFERROR(AB67*1000000.0/$B$72,""))</f>
        <v/>
      </c>
      <c r="AC78" s="29">
        <f>IF(OR(AC67="",$B$72=""),"",IFERROR(AC67*1000000.0/$B$72,""))</f>
        <v/>
      </c>
    </row>
    <row r="79">
      <c r="A79" s="9" t="inlineStr">
        <is>
          <t>목표주가</t>
        </is>
      </c>
      <c r="B79" s="10" t="n"/>
      <c r="C79" s="34" t="n"/>
      <c r="D79" s="27" t="n"/>
      <c r="E79" s="27" t="n"/>
      <c r="F79" s="27" t="n"/>
      <c r="G79" s="27" t="n"/>
      <c r="H79" s="27" t="n"/>
      <c r="I79" s="27" t="n"/>
      <c r="J79" s="27" t="n"/>
      <c r="K79" s="27" t="n"/>
      <c r="L79" s="27" t="n"/>
      <c r="M79" s="27" t="n"/>
      <c r="N79" s="27" t="n"/>
      <c r="O79" s="34" t="n"/>
      <c r="P79" s="27" t="n"/>
      <c r="Q79" s="27" t="n"/>
      <c r="R79" s="27" t="n"/>
      <c r="S79" s="27" t="n"/>
      <c r="T79" s="27" t="n"/>
      <c r="U79" s="27" t="n"/>
      <c r="V79" s="27" t="n"/>
      <c r="W79" s="27" t="n"/>
      <c r="X79" s="27" t="n"/>
      <c r="Y79" s="34">
        <f>IF(OR(Y78="",Y77=""),"",IFERROR(Y78*Y77,""))</f>
        <v/>
      </c>
      <c r="Z79" s="27">
        <f>IF(OR(Z78="",Z77=""),"",IFERROR(Z78*Z77,""))</f>
        <v/>
      </c>
      <c r="AA79" s="27">
        <f>IF(OR(AA78="",AA77=""),"",IFERROR(AA78*AA77,""))</f>
        <v/>
      </c>
      <c r="AB79" s="27">
        <f>IF(OR(AB78="",AB77=""),"",IFERROR(AB78*AB77,""))</f>
        <v/>
      </c>
      <c r="AC79" s="27">
        <f>IF(OR(AC78="",AC77=""),"",IFERROR(AC78*AC77,""))</f>
        <v/>
      </c>
    </row>
    <row r="80">
      <c r="A80" s="18" t="inlineStr">
        <is>
          <t>상승여력</t>
        </is>
      </c>
      <c r="B80" s="10" t="n"/>
      <c r="C80" s="35" t="n"/>
      <c r="D80" s="36" t="n"/>
      <c r="E80" s="36" t="n"/>
      <c r="F80" s="36" t="n"/>
      <c r="G80" s="36" t="n"/>
      <c r="H80" s="36" t="n"/>
      <c r="I80" s="36" t="n"/>
      <c r="J80" s="36" t="n"/>
      <c r="K80" s="36" t="n"/>
      <c r="L80" s="36" t="n"/>
      <c r="M80" s="36" t="n"/>
      <c r="N80" s="36" t="n"/>
      <c r="O80" s="35" t="n"/>
      <c r="P80" s="36" t="n"/>
      <c r="Q80" s="36" t="n"/>
      <c r="R80" s="36" t="n"/>
      <c r="S80" s="36" t="n"/>
      <c r="T80" s="36" t="n"/>
      <c r="U80" s="36" t="n"/>
      <c r="V80" s="36" t="n"/>
      <c r="W80" s="36" t="n"/>
      <c r="X80" s="36" t="n"/>
      <c r="Y80" s="37">
        <f>IF(OR(Y79="",$B$71=""),"",IFERROR(Y79/$B$71-1,""))</f>
        <v/>
      </c>
      <c r="Z80" s="38">
        <f>IF(OR(Z79="",$B$71=""),"",IFERROR(Z79/$B$71-1,""))</f>
        <v/>
      </c>
      <c r="AA80" s="38">
        <f>IF(OR(AA79="",$B$71=""),"",IFERROR(AA79/$B$71-1,""))</f>
        <v/>
      </c>
      <c r="AB80" s="38">
        <f>IF(OR(AB79="",$B$71=""),"",IFERROR(AB79/$B$71-1,""))</f>
        <v/>
      </c>
      <c r="AC80" s="38">
        <f>IF(OR(AC79="",$B$71=""),"",IFERROR(AC79/$B$71-1,""))</f>
        <v/>
      </c>
    </row>
    <row r="81">
      <c r="A81" s="16" t="inlineStr">
        <is>
          <t>자산가치 산출</t>
        </is>
      </c>
      <c r="B81" s="16" t="inlineStr">
        <is>
          <t>최신 분기 BS</t>
        </is>
      </c>
      <c r="C81" s="17" t="n"/>
      <c r="D81" s="16" t="n"/>
      <c r="E81" s="16" t="n"/>
      <c r="F81" s="16" t="n"/>
      <c r="G81" s="16" t="n"/>
      <c r="H81" s="16" t="n"/>
      <c r="I81" s="16" t="n"/>
      <c r="J81" s="16" t="n"/>
      <c r="K81" s="16" t="n"/>
      <c r="L81" s="16" t="n"/>
      <c r="M81" s="16" t="n"/>
      <c r="N81" s="16" t="n"/>
      <c r="O81" s="17" t="n"/>
      <c r="P81" s="16" t="n"/>
      <c r="Q81" s="16" t="n"/>
      <c r="R81" s="16" t="n"/>
      <c r="S81" s="16" t="n"/>
      <c r="T81" s="16" t="n"/>
      <c r="U81" s="16" t="n"/>
      <c r="V81" s="16" t="n"/>
      <c r="W81" s="16" t="n"/>
      <c r="X81" s="16" t="n"/>
      <c r="Y81" s="17" t="n"/>
      <c r="Z81" s="16" t="n"/>
      <c r="AA81" s="16" t="n"/>
      <c r="AB81" s="16" t="n"/>
      <c r="AC81" s="16" t="n"/>
    </row>
    <row r="82">
      <c r="A82" s="18" t="inlineStr">
        <is>
          <t>현금및현금성자산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'재무상태표'!G6</f>
        <v/>
      </c>
      <c r="Y82" s="19">
        <f>'재무상태표'!G6</f>
        <v/>
      </c>
      <c r="Z82" s="20">
        <f>'재무상태표'!G6</f>
        <v/>
      </c>
      <c r="AA82" s="20">
        <f>'재무상태표'!G6</f>
        <v/>
      </c>
      <c r="AB82" s="20">
        <f>'재무상태표'!G6</f>
        <v/>
      </c>
      <c r="AC82" s="20">
        <f>'재무상태표'!G6</f>
        <v/>
      </c>
    </row>
    <row r="83">
      <c r="A83" s="18" t="inlineStr">
        <is>
          <t>단기금융상품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'재무상태표'!G7</f>
        <v/>
      </c>
      <c r="Y83" s="19">
        <f>'재무상태표'!G7</f>
        <v/>
      </c>
      <c r="Z83" s="20">
        <f>'재무상태표'!G7</f>
        <v/>
      </c>
      <c r="AA83" s="20">
        <f>'재무상태표'!G7</f>
        <v/>
      </c>
      <c r="AB83" s="20">
        <f>'재무상태표'!G7</f>
        <v/>
      </c>
      <c r="AC83" s="20">
        <f>'재무상태표'!G7</f>
        <v/>
      </c>
    </row>
    <row r="84">
      <c r="A84" s="18" t="inlineStr">
        <is>
          <t>투자부동산</t>
        </is>
      </c>
      <c r="B84" s="10" t="n"/>
      <c r="C84" s="19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19" t="n"/>
      <c r="P84" s="20" t="n"/>
      <c r="Q84" s="20" t="n"/>
      <c r="R84" s="20" t="n"/>
      <c r="S84" s="20" t="n"/>
      <c r="T84" s="20" t="n"/>
      <c r="U84" s="20" t="n"/>
      <c r="V84" s="20" t="n"/>
      <c r="W84" s="20" t="n"/>
      <c r="X84" s="20">
        <f>'재무상태표'!G14</f>
        <v/>
      </c>
      <c r="Y84" s="19">
        <f>'재무상태표'!G14</f>
        <v/>
      </c>
      <c r="Z84" s="20">
        <f>'재무상태표'!G14</f>
        <v/>
      </c>
      <c r="AA84" s="20">
        <f>'재무상태표'!G14</f>
        <v/>
      </c>
      <c r="AB84" s="20">
        <f>'재무상태표'!G14</f>
        <v/>
      </c>
      <c r="AC84" s="20">
        <f>'재무상태표'!G14</f>
        <v/>
      </c>
    </row>
    <row r="85">
      <c r="A85" s="18" t="inlineStr">
        <is>
          <t>지배자본</t>
        </is>
      </c>
      <c r="B85" s="10" t="n"/>
      <c r="C85" s="19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19" t="n"/>
      <c r="P85" s="20" t="n"/>
      <c r="Q85" s="20" t="n"/>
      <c r="R85" s="20" t="n"/>
      <c r="S85" s="20" t="n"/>
      <c r="T85" s="20" t="n"/>
      <c r="U85" s="20" t="n"/>
      <c r="V85" s="20" t="n"/>
      <c r="W85" s="20" t="n"/>
      <c r="X85" s="20">
        <f>'재무상태표'!G31</f>
        <v/>
      </c>
      <c r="Y85" s="19">
        <f>'재무상태표'!G31</f>
        <v/>
      </c>
      <c r="Z85" s="20">
        <f>'재무상태표'!G31</f>
        <v/>
      </c>
      <c r="AA85" s="20">
        <f>'재무상태표'!G31</f>
        <v/>
      </c>
      <c r="AB85" s="20">
        <f>'재무상태표'!G31</f>
        <v/>
      </c>
      <c r="AC85" s="20">
        <f>'재무상태표'!G31</f>
        <v/>
      </c>
    </row>
    <row r="86">
      <c r="A86" s="18" t="inlineStr">
        <is>
          <t>부채</t>
        </is>
      </c>
      <c r="B86" s="10" t="n"/>
      <c r="C86" s="19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19" t="n"/>
      <c r="P86" s="20" t="n"/>
      <c r="Q86" s="20" t="n"/>
      <c r="R86" s="20" t="n"/>
      <c r="S86" s="20" t="n"/>
      <c r="T86" s="20" t="n"/>
      <c r="U86" s="20" t="n"/>
      <c r="V86" s="20" t="n"/>
      <c r="W86" s="20" t="n"/>
      <c r="X86" s="20">
        <f>'재무상태표'!G27</f>
        <v/>
      </c>
      <c r="Y86" s="19">
        <f>'재무상태표'!G27</f>
        <v/>
      </c>
      <c r="Z86" s="20">
        <f>'재무상태표'!G27</f>
        <v/>
      </c>
      <c r="AA86" s="20">
        <f>'재무상태표'!G27</f>
        <v/>
      </c>
      <c r="AB86" s="20">
        <f>'재무상태표'!G27</f>
        <v/>
      </c>
      <c r="AC86" s="20">
        <f>'재무상태표'!G27</f>
        <v/>
      </c>
    </row>
    <row r="87">
      <c r="A87" s="13" t="inlineStr">
        <is>
          <t>부채비율</t>
        </is>
      </c>
      <c r="B87" s="10" t="n"/>
      <c r="C87" s="14" t="n"/>
      <c r="D87" s="15" t="n"/>
      <c r="E87" s="15" t="n"/>
      <c r="F87" s="15" t="n"/>
      <c r="G87" s="15" t="n"/>
      <c r="H87" s="15" t="n"/>
      <c r="I87" s="15" t="n"/>
      <c r="J87" s="15" t="n"/>
      <c r="K87" s="15" t="n"/>
      <c r="L87" s="15" t="n"/>
      <c r="M87" s="15" t="n"/>
      <c r="N87" s="15" t="n"/>
      <c r="O87" s="14" t="n"/>
      <c r="P87" s="15" t="n"/>
      <c r="Q87" s="15" t="n"/>
      <c r="R87" s="15" t="n"/>
      <c r="S87" s="15" t="n"/>
      <c r="T87" s="15" t="n"/>
      <c r="U87" s="15" t="n"/>
      <c r="V87" s="15" t="n"/>
      <c r="W87" s="15" t="n"/>
      <c r="X87" s="15">
        <f>IF(OR(X86="",X85=""),"",IFERROR(X86/X85,""))</f>
        <v/>
      </c>
      <c r="Y87" s="14">
        <f>IF(OR(Y86="",Y85=""),"",IFERROR(Y86/Y85,""))</f>
        <v/>
      </c>
      <c r="Z87" s="15">
        <f>IF(OR(Z86="",Z85=""),"",IFERROR(Z86/Z85,""))</f>
        <v/>
      </c>
      <c r="AA87" s="15">
        <f>IF(OR(AA86="",AA85=""),"",IFERROR(AA86/AA85,""))</f>
        <v/>
      </c>
      <c r="AB87" s="15">
        <f>IF(OR(AB86="",AB85=""),"",IFERROR(AB86/AB85,""))</f>
        <v/>
      </c>
      <c r="AC87" s="15">
        <f>IF(OR(AC86="",AC85=""),"",IFERROR(AC86/AC85,""))</f>
        <v/>
      </c>
    </row>
    <row r="88">
      <c r="A88" s="9" t="inlineStr">
        <is>
          <t>자산가치</t>
        </is>
      </c>
      <c r="B88" s="10" t="inlineStr">
        <is>
          <t>현금+단기금융+투자부동산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>
        <f>SUM(X82,X83,X84)</f>
        <v/>
      </c>
      <c r="Y88" s="11">
        <f>SUM(Y82,Y83,Y84)</f>
        <v/>
      </c>
      <c r="Z88" s="12">
        <f>SUM(Z82,Z83,Z84)</f>
        <v/>
      </c>
      <c r="AA88" s="12">
        <f>SUM(AA82,AA83,AA84)</f>
        <v/>
      </c>
      <c r="AB88" s="12">
        <f>SUM(AB82,AB83,AB84)</f>
        <v/>
      </c>
      <c r="AC88" s="12">
        <f>SUM(AC82,AC83,AC84)</f>
        <v/>
      </c>
    </row>
    <row r="89">
      <c r="A89" s="16" t="inlineStr">
        <is>
          <t>기업가치 산출</t>
        </is>
      </c>
      <c r="B89" s="16" t="n"/>
      <c r="C89" s="17" t="n"/>
      <c r="D89" s="16" t="n"/>
      <c r="E89" s="16" t="n"/>
      <c r="F89" s="16" t="n"/>
      <c r="G89" s="16" t="n"/>
      <c r="H89" s="16" t="n"/>
      <c r="I89" s="16" t="n"/>
      <c r="J89" s="16" t="n"/>
      <c r="K89" s="16" t="n"/>
      <c r="L89" s="16" t="n"/>
      <c r="M89" s="16" t="n"/>
      <c r="N89" s="16" t="n"/>
      <c r="O89" s="17" t="n"/>
      <c r="P89" s="16" t="n"/>
      <c r="Q89" s="16" t="n"/>
      <c r="R89" s="16" t="n"/>
      <c r="S89" s="16" t="n"/>
      <c r="T89" s="16" t="n"/>
      <c r="U89" s="16" t="n"/>
      <c r="V89" s="16" t="n"/>
      <c r="W89" s="16" t="n"/>
      <c r="X89" s="16" t="n"/>
      <c r="Y89" s="17" t="n"/>
      <c r="Z89" s="16" t="n"/>
      <c r="AA89" s="16" t="n"/>
      <c r="AB89" s="16" t="n"/>
      <c r="AC89" s="16" t="n"/>
    </row>
    <row r="90">
      <c r="A90" s="18" t="inlineStr">
        <is>
          <t>목표 시가총액 (P/E)</t>
        </is>
      </c>
      <c r="B90" s="10" t="inlineStr">
        <is>
          <t>지배순이익 × Target P/E</t>
        </is>
      </c>
      <c r="C90" s="19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19" t="n"/>
      <c r="P90" s="20" t="n"/>
      <c r="Q90" s="20" t="n"/>
      <c r="R90" s="20" t="n"/>
      <c r="S90" s="20" t="n"/>
      <c r="T90" s="20" t="n"/>
      <c r="U90" s="20" t="n"/>
      <c r="V90" s="20" t="n"/>
      <c r="W90" s="20" t="n"/>
      <c r="X90" s="20" t="n"/>
      <c r="Y90" s="19">
        <f>IF(OR(Y67="",Y77=""),"",IFERROR(Y67*Y77,""))</f>
        <v/>
      </c>
      <c r="Z90" s="20">
        <f>IF(OR(Z67="",Z77=""),"",IFERROR(Z67*Z77,""))</f>
        <v/>
      </c>
      <c r="AA90" s="20">
        <f>IF(OR(AA67="",AA77=""),"",IFERROR(AA67*AA77,""))</f>
        <v/>
      </c>
      <c r="AB90" s="20">
        <f>IF(OR(AB67="",AB77=""),"",IFERROR(AB67*AB77,""))</f>
        <v/>
      </c>
      <c r="AC90" s="20">
        <f>IF(OR(AC67="",AC77=""),"",IFERROR(AC67*AC77,""))</f>
        <v/>
      </c>
    </row>
    <row r="91">
      <c r="A91" s="9" t="inlineStr">
        <is>
          <t>기업가치</t>
        </is>
      </c>
      <c r="B91" s="10" t="inlineStr">
        <is>
          <t>목표시총 + 자산가치</t>
        </is>
      </c>
      <c r="C91" s="11" t="n"/>
      <c r="D91" s="12" t="n"/>
      <c r="E91" s="12" t="n"/>
      <c r="F91" s="12" t="n"/>
      <c r="G91" s="12" t="n"/>
      <c r="H91" s="12" t="n"/>
      <c r="I91" s="12" t="n"/>
      <c r="J91" s="12" t="n"/>
      <c r="K91" s="12" t="n"/>
      <c r="L91" s="12" t="n"/>
      <c r="M91" s="12" t="n"/>
      <c r="N91" s="12" t="n"/>
      <c r="O91" s="11" t="n"/>
      <c r="P91" s="12" t="n"/>
      <c r="Q91" s="12" t="n"/>
      <c r="R91" s="12" t="n"/>
      <c r="S91" s="12" t="n"/>
      <c r="T91" s="12" t="n"/>
      <c r="U91" s="12" t="n"/>
      <c r="V91" s="12" t="n"/>
      <c r="W91" s="12" t="n"/>
      <c r="X91" s="12" t="n"/>
      <c r="Y91" s="11">
        <f>IF(OR(Y90=""),"",IFERROR(Y90+Y88,""))</f>
        <v/>
      </c>
      <c r="Z91" s="12">
        <f>IF(OR(Z90=""),"",IFERROR(Z90+Z88,""))</f>
        <v/>
      </c>
      <c r="AA91" s="12">
        <f>IF(OR(AA90=""),"",IFERROR(AA90+AA88,""))</f>
        <v/>
      </c>
      <c r="AB91" s="12">
        <f>IF(OR(AB90=""),"",IFERROR(AB90+AB88,""))</f>
        <v/>
      </c>
      <c r="AC91" s="12">
        <f>IF(OR(AC90=""),"",IFERROR(AC90+AC88,""))</f>
        <v/>
      </c>
    </row>
    <row r="92">
      <c r="A92" s="18" t="inlineStr">
        <is>
          <t>현재 시가총액</t>
        </is>
      </c>
      <c r="B92" s="10" t="n"/>
      <c r="C92" s="19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19" t="n"/>
      <c r="P92" s="20" t="n"/>
      <c r="Q92" s="20" t="n"/>
      <c r="R92" s="20" t="n"/>
      <c r="S92" s="20" t="n"/>
      <c r="T92" s="20" t="n"/>
      <c r="U92" s="20" t="n"/>
      <c r="V92" s="20" t="n"/>
      <c r="W92" s="20" t="n"/>
      <c r="X92" s="20" t="n"/>
      <c r="Y92" s="19">
        <f>$B$73</f>
        <v/>
      </c>
      <c r="Z92" s="20">
        <f>$B$73</f>
        <v/>
      </c>
      <c r="AA92" s="20">
        <f>$B$73</f>
        <v/>
      </c>
      <c r="AB92" s="20">
        <f>$B$73</f>
        <v/>
      </c>
      <c r="AC92" s="20">
        <f>$B$73</f>
        <v/>
      </c>
    </row>
    <row r="93">
      <c r="A93" s="18" t="inlineStr">
        <is>
          <t>상승여력</t>
        </is>
      </c>
      <c r="B93" s="10" t="n"/>
      <c r="C93" s="35" t="n"/>
      <c r="D93" s="36" t="n"/>
      <c r="E93" s="36" t="n"/>
      <c r="F93" s="36" t="n"/>
      <c r="G93" s="36" t="n"/>
      <c r="H93" s="36" t="n"/>
      <c r="I93" s="36" t="n"/>
      <c r="J93" s="36" t="n"/>
      <c r="K93" s="36" t="n"/>
      <c r="L93" s="36" t="n"/>
      <c r="M93" s="36" t="n"/>
      <c r="N93" s="36" t="n"/>
      <c r="O93" s="35" t="n"/>
      <c r="P93" s="36" t="n"/>
      <c r="Q93" s="36" t="n"/>
      <c r="R93" s="36" t="n"/>
      <c r="S93" s="36" t="n"/>
      <c r="T93" s="36" t="n"/>
      <c r="U93" s="36" t="n"/>
      <c r="V93" s="36" t="n"/>
      <c r="W93" s="36" t="n"/>
      <c r="X93" s="36" t="n"/>
      <c r="Y93" s="37">
        <f>IF(OR(Y91="",Y92=""),"",IFERROR(Y91/Y92-1,""))</f>
        <v/>
      </c>
      <c r="Z93" s="38">
        <f>IF(OR(Z91="",Z92=""),"",IFERROR(Z91/Z92-1,""))</f>
        <v/>
      </c>
      <c r="AA93" s="38">
        <f>IF(OR(AA91="",AA92=""),"",IFERROR(AA91/AA92-1,""))</f>
        <v/>
      </c>
      <c r="AB93" s="38">
        <f>IF(OR(AB91="",AB92=""),"",IFERROR(AB91/AB92-1,""))</f>
        <v/>
      </c>
      <c r="AC93" s="38">
        <f>IF(OR(AC91="",AC92=""),"",IFERROR(AC91/AC92-1,""))</f>
        <v/>
      </c>
    </row>
    <row r="94">
      <c r="C94" s="39" t="n"/>
      <c r="O94" s="39" t="n"/>
      <c r="Y94" s="39" t="n"/>
    </row>
    <row r="95">
      <c r="A95" s="40" t="inlineStr">
        <is>
          <t>출처</t>
        </is>
      </c>
      <c r="C95" s="39" t="n"/>
      <c r="O95" s="39" t="n"/>
      <c r="Y95" s="39" t="n"/>
    </row>
    <row r="96">
      <c r="A96" s="41" t="inlineStr">
        <is>
          <t>결산단신 XBRL(TDnet·JPX 보관소) — 쓴 문서는 '출처' 시트</t>
        </is>
      </c>
      <c r="C96" s="39" t="n"/>
      <c r="O96" s="39" t="n"/>
      <c r="Y96" s="39" t="n"/>
    </row>
    <row r="97">
      <c r="A97" s="41" t="inlineStr">
        <is>
          <t>분기 = 누계에서 앞 분기를 뺀 3개월 값</t>
        </is>
      </c>
      <c r="C97" s="39" t="n"/>
      <c r="O97" s="39" t="n"/>
      <c r="Y97" s="39" t="n"/>
    </row>
    <row r="98">
      <c r="A98" s="41" t="inlineStr">
        <is>
          <t>주가: 야후 파이낸스 일봉 2026.10.28</t>
        </is>
      </c>
      <c r="C98" s="39" t="n"/>
      <c r="O98" s="39" t="n"/>
      <c r="Y98" s="39" t="n"/>
    </row>
    <row r="100">
      <c r="A100" s="16" t="inlineStr">
        <is>
          <t>손익계산서 · 전 항목</t>
        </is>
      </c>
      <c r="B100" s="42" t="inlineStr">
        <is>
          <t>분기 = 3개월 단독</t>
        </is>
      </c>
      <c r="C100" s="16" t="n"/>
      <c r="D100" s="16" t="n"/>
      <c r="E100" s="16" t="n"/>
      <c r="F100" s="16" t="n"/>
      <c r="G100" s="16" t="n"/>
      <c r="H100" s="16" t="n"/>
      <c r="I100" s="16" t="n"/>
      <c r="J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  <c r="S100" s="16" t="n"/>
      <c r="T100" s="16" t="n"/>
      <c r="U100" s="16" t="n"/>
      <c r="V100" s="16" t="n"/>
      <c r="W100" s="16" t="n"/>
      <c r="X100" s="16" t="n"/>
      <c r="Y100" s="16" t="n"/>
      <c r="Z100" s="16" t="n"/>
      <c r="AA100" s="16" t="n"/>
      <c r="AB100" s="16" t="n"/>
      <c r="AC100" s="16" t="n"/>
    </row>
    <row r="101">
      <c r="A101" s="5" t="inlineStr">
        <is>
          <t>항목</t>
        </is>
      </c>
      <c r="B101" s="5" t="inlineStr">
        <is>
          <t>참고</t>
        </is>
      </c>
      <c r="C101" s="5" t="inlineStr">
        <is>
          <t>2024.3Q</t>
        </is>
      </c>
      <c r="D101" s="5" t="inlineStr">
        <is>
          <t>2024.4Q</t>
        </is>
      </c>
      <c r="E101" s="5" t="inlineStr">
        <is>
          <t>2025.1Q</t>
        </is>
      </c>
      <c r="F101" s="5" t="inlineStr">
        <is>
          <t>2025.2Q</t>
        </is>
      </c>
      <c r="G101" s="5" t="inlineStr">
        <is>
          <t>2025.3Q</t>
        </is>
      </c>
      <c r="H101" s="5" t="inlineStr">
        <is>
          <t>2025.4Q</t>
        </is>
      </c>
      <c r="I101" s="5" t="inlineStr">
        <is>
          <t>2026.1Q</t>
        </is>
      </c>
      <c r="J101" s="5" t="inlineStr">
        <is>
          <t>2026.2Q</t>
        </is>
      </c>
      <c r="K101" s="5" t="inlineStr">
        <is>
          <t>2026.3Q</t>
        </is>
      </c>
      <c r="L101" s="5" t="inlineStr">
        <is>
          <t>2026.4Q</t>
        </is>
      </c>
      <c r="M101" s="5" t="inlineStr">
        <is>
          <t>2027.1Q</t>
        </is>
      </c>
      <c r="N101" s="5" t="inlineStr">
        <is>
          <t>2027.2Q</t>
        </is>
      </c>
      <c r="O101" s="5" t="inlineStr">
        <is>
          <t>2017</t>
        </is>
      </c>
      <c r="P101" s="5" t="inlineStr">
        <is>
          <t>2018</t>
        </is>
      </c>
      <c r="Q101" s="5" t="inlineStr">
        <is>
          <t>2019</t>
        </is>
      </c>
      <c r="R101" s="5" t="inlineStr">
        <is>
          <t>2020</t>
        </is>
      </c>
      <c r="S101" s="5" t="inlineStr">
        <is>
          <t>2021</t>
        </is>
      </c>
      <c r="T101" s="5" t="inlineStr">
        <is>
          <t>2022</t>
        </is>
      </c>
      <c r="U101" s="5" t="inlineStr">
        <is>
          <t>2023</t>
        </is>
      </c>
      <c r="V101" s="5" t="inlineStr">
        <is>
          <t>2024</t>
        </is>
      </c>
      <c r="W101" s="5" t="inlineStr">
        <is>
          <t>2025</t>
        </is>
      </c>
      <c r="X101" s="5" t="inlineStr">
        <is>
          <t>2026</t>
        </is>
      </c>
      <c r="Y101" s="5" t="inlineStr">
        <is>
          <t>2027(MW)</t>
        </is>
      </c>
      <c r="Z101" s="5" t="inlineStr">
        <is>
          <t>2028(MW)</t>
        </is>
      </c>
      <c r="AA101" s="5" t="inlineStr">
        <is>
          <t>2029(MW)</t>
        </is>
      </c>
      <c r="AB101" s="5" t="inlineStr">
        <is>
          <t>2030(MW)</t>
        </is>
      </c>
      <c r="AC101" s="5" t="inlineStr">
        <is>
          <t>2031(MW)</t>
        </is>
      </c>
    </row>
    <row r="102">
      <c r="A102" s="9" t="inlineStr">
        <is>
          <t>매출액</t>
        </is>
      </c>
      <c r="C102" s="12" t="n">
        <v>16963</v>
      </c>
      <c r="D102" s="12" t="n">
        <v>16538</v>
      </c>
      <c r="E102" s="12" t="n">
        <v>16243</v>
      </c>
      <c r="F102" s="12" t="n">
        <v>18579</v>
      </c>
      <c r="G102" s="12" t="n">
        <v>18319</v>
      </c>
      <c r="H102" s="12" t="n">
        <v>18708</v>
      </c>
      <c r="I102" s="12" t="n">
        <v>17256</v>
      </c>
      <c r="J102" s="12" t="n">
        <v>15859</v>
      </c>
      <c r="K102" s="12" t="n">
        <v>19110</v>
      </c>
      <c r="L102" s="12" t="n">
        <v>22251</v>
      </c>
      <c r="M102" s="12" t="n">
        <v>19267</v>
      </c>
      <c r="N102" s="12" t="n">
        <v>27654</v>
      </c>
      <c r="T102" s="12" t="n">
        <v>14274</v>
      </c>
      <c r="U102" s="12" t="n">
        <v>14227</v>
      </c>
      <c r="V102" s="12" t="n">
        <v>16538</v>
      </c>
      <c r="W102" s="12" t="n">
        <v>18708</v>
      </c>
      <c r="X102" s="12" t="n">
        <v>22251</v>
      </c>
    </row>
    <row r="103">
      <c r="A103" s="43" t="inlineStr">
        <is>
          <t>YoY</t>
        </is>
      </c>
      <c r="B103" s="3" t="inlineStr">
        <is>
          <t>전년 같은 분기·전년 대비</t>
        </is>
      </c>
      <c r="G103" s="15">
        <f>IF(OR(G102="",C102=""),"",IF(C102&lt;=0,"",IFERROR(G102/C102-1,"")))</f>
        <v/>
      </c>
      <c r="H103" s="15">
        <f>IF(OR(H102="",D102=""),"",IF(D102&lt;=0,"",IFERROR(H102/D102-1,"")))</f>
        <v/>
      </c>
      <c r="I103" s="15">
        <f>IF(OR(I102="",E102=""),"",IF(E102&lt;=0,"",IFERROR(I102/E102-1,"")))</f>
        <v/>
      </c>
      <c r="J103" s="15">
        <f>IF(OR(J102="",F102=""),"",IF(F102&lt;=0,"",IFERROR(J102/F102-1,"")))</f>
        <v/>
      </c>
      <c r="K103" s="15">
        <f>IF(OR(K102="",G102=""),"",IF(G102&lt;=0,"",IFERROR(K102/G102-1,"")))</f>
        <v/>
      </c>
      <c r="L103" s="15">
        <f>IF(OR(L102="",H102=""),"",IF(H102&lt;=0,"",IFERROR(L102/H102-1,"")))</f>
        <v/>
      </c>
      <c r="M103" s="15">
        <f>IF(OR(M102="",I102=""),"",IF(I102&lt;=0,"",IFERROR(M102/I102-1,"")))</f>
        <v/>
      </c>
      <c r="N103" s="15">
        <f>IF(OR(N102="",J102=""),"",IF(J102&lt;=0,"",IFERROR(N102/J102-1,"")))</f>
        <v/>
      </c>
      <c r="T103" s="15">
        <f>IF(OR(T102="",S102=""),"",IF(S102&lt;=0,"",IFERROR(T102/S102-1,"")))</f>
        <v/>
      </c>
      <c r="U103" s="15">
        <f>IF(OR(U102="",T102=""),"",IF(T102&lt;=0,"",IFERROR(U102/T102-1,"")))</f>
        <v/>
      </c>
      <c r="V103" s="15">
        <f>IF(OR(V102="",U102=""),"",IF(U102&lt;=0,"",IFERROR(V102/U102-1,"")))</f>
        <v/>
      </c>
      <c r="W103" s="15">
        <f>IF(OR(W102="",V102=""),"",IF(V102&lt;=0,"",IFERROR(W102/V102-1,"")))</f>
        <v/>
      </c>
      <c r="X103" s="15">
        <f>IF(OR(X102="",W102=""),"",IF(W102&lt;=0,"",IFERROR(X102/W102-1,"")))</f>
        <v/>
      </c>
    </row>
    <row r="104">
      <c r="A104" s="18" t="inlineStr">
        <is>
          <t>매출원가</t>
        </is>
      </c>
      <c r="C104" s="20" t="n">
        <v>8358</v>
      </c>
      <c r="D104" s="20" t="n">
        <v>8158</v>
      </c>
      <c r="E104" s="20" t="n">
        <v>7665</v>
      </c>
      <c r="F104" s="20" t="n">
        <v>8436</v>
      </c>
      <c r="G104" s="20" t="n">
        <v>8136</v>
      </c>
      <c r="H104" s="20" t="n">
        <v>8140</v>
      </c>
      <c r="I104" s="20" t="n">
        <v>8180</v>
      </c>
      <c r="J104" s="20" t="n">
        <v>7846</v>
      </c>
      <c r="K104" s="20" t="n">
        <v>9226</v>
      </c>
      <c r="L104" s="20" t="n">
        <v>10066</v>
      </c>
      <c r="M104" s="20" t="n">
        <v>8845</v>
      </c>
      <c r="N104" s="20" t="n">
        <v>11913</v>
      </c>
      <c r="T104" s="20" t="n">
        <v>7142</v>
      </c>
      <c r="U104" s="20" t="n">
        <v>7424</v>
      </c>
      <c r="V104" s="20" t="n">
        <v>8158</v>
      </c>
      <c r="W104" s="20" t="n">
        <v>8140</v>
      </c>
      <c r="X104" s="20" t="n">
        <v>10066</v>
      </c>
    </row>
    <row r="105">
      <c r="A105" s="43" t="inlineStr">
        <is>
          <t>YoY</t>
        </is>
      </c>
      <c r="B105" s="3" t="inlineStr">
        <is>
          <t>전년 같은 분기·전년 대비</t>
        </is>
      </c>
      <c r="G105" s="15">
        <f>IF(OR(G104="",C104=""),"",IF(G104*C104&lt;=0,"",IFERROR(G104/C104-1,"")))</f>
        <v/>
      </c>
      <c r="H105" s="15">
        <f>IF(OR(H104="",D104=""),"",IF(H104*D104&lt;=0,"",IFERROR(H104/D104-1,"")))</f>
        <v/>
      </c>
      <c r="I105" s="15">
        <f>IF(OR(I104="",E104=""),"",IF(I104*E104&lt;=0,"",IFERROR(I104/E104-1,"")))</f>
        <v/>
      </c>
      <c r="J105" s="15">
        <f>IF(OR(J104="",F104=""),"",IF(J104*F104&lt;=0,"",IFERROR(J104/F104-1,"")))</f>
        <v/>
      </c>
      <c r="K105" s="15">
        <f>IF(OR(K104="",G104=""),"",IF(K104*G104&lt;=0,"",IFERROR(K104/G104-1,"")))</f>
        <v/>
      </c>
      <c r="L105" s="15">
        <f>IF(OR(L104="",H104=""),"",IF(L104*H104&lt;=0,"",IFERROR(L104/H104-1,"")))</f>
        <v/>
      </c>
      <c r="M105" s="15">
        <f>IF(OR(M104="",I104=""),"",IF(M104*I104&lt;=0,"",IFERROR(M104/I104-1,"")))</f>
        <v/>
      </c>
      <c r="N105" s="15">
        <f>IF(OR(N104="",J104=""),"",IF(N104*J104&lt;=0,"",IFERROR(N104/J104-1,"")))</f>
        <v/>
      </c>
      <c r="T105" s="15">
        <f>IF(OR(T104="",S104=""),"",IF(T104*S104&lt;=0,"",IFERROR(T104/S104-1,"")))</f>
        <v/>
      </c>
      <c r="U105" s="15">
        <f>IF(OR(U104="",T104=""),"",IF(U104*T104&lt;=0,"",IFERROR(U104/T104-1,"")))</f>
        <v/>
      </c>
      <c r="V105" s="15">
        <f>IF(OR(V104="",U104=""),"",IF(V104*U104&lt;=0,"",IFERROR(V104/U104-1,"")))</f>
        <v/>
      </c>
      <c r="W105" s="15">
        <f>IF(OR(W104="",V104=""),"",IF(W104*V104&lt;=0,"",IFERROR(W104/V104-1,"")))</f>
        <v/>
      </c>
      <c r="X105" s="15">
        <f>IF(OR(X104="",W104=""),"",IF(X104*W104&lt;=0,"",IFERROR(X104/W104-1,"")))</f>
        <v/>
      </c>
    </row>
    <row r="106">
      <c r="A106" s="9" t="inlineStr">
        <is>
          <t>매출총이익</t>
        </is>
      </c>
      <c r="C106" s="12" t="n">
        <v>8605</v>
      </c>
      <c r="D106" s="12" t="n">
        <v>8381</v>
      </c>
      <c r="E106" s="12" t="n">
        <v>8578</v>
      </c>
      <c r="F106" s="12" t="n">
        <v>10142</v>
      </c>
      <c r="G106" s="12" t="n">
        <v>10183</v>
      </c>
      <c r="H106" s="12" t="n">
        <v>10569</v>
      </c>
      <c r="I106" s="12" t="n">
        <v>9075</v>
      </c>
      <c r="J106" s="12" t="n">
        <v>8013</v>
      </c>
      <c r="K106" s="12" t="n">
        <v>9885</v>
      </c>
      <c r="L106" s="12" t="n">
        <v>12185</v>
      </c>
      <c r="M106" s="12" t="n">
        <v>10422</v>
      </c>
      <c r="N106" s="12" t="n">
        <v>15741</v>
      </c>
      <c r="T106" s="12" t="n">
        <v>7132</v>
      </c>
      <c r="U106" s="12" t="n">
        <v>6804</v>
      </c>
      <c r="V106" s="12" t="n">
        <v>8381</v>
      </c>
      <c r="W106" s="12" t="n">
        <v>10569</v>
      </c>
      <c r="X106" s="12" t="n">
        <v>12185</v>
      </c>
    </row>
    <row r="107">
      <c r="A107" s="43" t="inlineStr">
        <is>
          <t>YoY</t>
        </is>
      </c>
      <c r="B107" s="3" t="inlineStr">
        <is>
          <t>전년 같은 분기·전년 대비</t>
        </is>
      </c>
      <c r="G107" s="15">
        <f>IF(OR(G106="",C106=""),"",IF(C106&lt;=0,"",IFERROR(G106/C106-1,"")))</f>
        <v/>
      </c>
      <c r="H107" s="15">
        <f>IF(OR(H106="",D106=""),"",IF(D106&lt;=0,"",IFERROR(H106/D106-1,"")))</f>
        <v/>
      </c>
      <c r="I107" s="15">
        <f>IF(OR(I106="",E106=""),"",IF(E106&lt;=0,"",IFERROR(I106/E106-1,"")))</f>
        <v/>
      </c>
      <c r="J107" s="15">
        <f>IF(OR(J106="",F106=""),"",IF(F106&lt;=0,"",IFERROR(J106/F106-1,"")))</f>
        <v/>
      </c>
      <c r="K107" s="15">
        <f>IF(OR(K106="",G106=""),"",IF(G106&lt;=0,"",IFERROR(K106/G106-1,"")))</f>
        <v/>
      </c>
      <c r="L107" s="15">
        <f>IF(OR(L106="",H106=""),"",IF(H106&lt;=0,"",IFERROR(L106/H106-1,"")))</f>
        <v/>
      </c>
      <c r="M107" s="15">
        <f>IF(OR(M106="",I106=""),"",IF(I106&lt;=0,"",IFERROR(M106/I106-1,"")))</f>
        <v/>
      </c>
      <c r="N107" s="15">
        <f>IF(OR(N106="",J106=""),"",IF(J106&lt;=0,"",IFERROR(N106/J106-1,"")))</f>
        <v/>
      </c>
      <c r="T107" s="15">
        <f>IF(OR(T106="",S106=""),"",IF(S106&lt;=0,"",IFERROR(T106/S106-1,"")))</f>
        <v/>
      </c>
      <c r="U107" s="15">
        <f>IF(OR(U106="",T106=""),"",IF(T106&lt;=0,"",IFERROR(U106/T106-1,"")))</f>
        <v/>
      </c>
      <c r="V107" s="15">
        <f>IF(OR(V106="",U106=""),"",IF(U106&lt;=0,"",IFERROR(V106/U106-1,"")))</f>
        <v/>
      </c>
      <c r="W107" s="15">
        <f>IF(OR(W106="",V106=""),"",IF(V106&lt;=0,"",IFERROR(W106/V106-1,"")))</f>
        <v/>
      </c>
      <c r="X107" s="15">
        <f>IF(OR(X106="",W106=""),"",IF(W106&lt;=0,"",IFERROR(X106/W106-1,"")))</f>
        <v/>
      </c>
    </row>
    <row r="108">
      <c r="A108" s="18" t="inlineStr">
        <is>
          <t>판매비와 관리비</t>
        </is>
      </c>
      <c r="C108" s="20" t="n">
        <v>2861</v>
      </c>
      <c r="D108" s="20" t="n">
        <v>2972</v>
      </c>
      <c r="E108" s="20" t="n">
        <v>2937</v>
      </c>
      <c r="F108" s="20" t="n">
        <v>2993</v>
      </c>
      <c r="G108" s="20" t="n">
        <v>3239</v>
      </c>
      <c r="H108" s="20" t="n">
        <v>3389</v>
      </c>
      <c r="I108" s="20" t="n">
        <v>3073</v>
      </c>
      <c r="J108" s="20" t="n">
        <v>3172</v>
      </c>
      <c r="K108" s="20" t="n">
        <v>3603</v>
      </c>
      <c r="L108" s="20" t="n">
        <v>4334</v>
      </c>
      <c r="M108" s="20" t="n">
        <v>4074</v>
      </c>
      <c r="N108" s="20" t="n">
        <v>4484</v>
      </c>
      <c r="T108" s="20" t="n">
        <v>2277</v>
      </c>
      <c r="U108" s="20" t="n">
        <v>2701</v>
      </c>
      <c r="V108" s="20" t="n">
        <v>2972</v>
      </c>
      <c r="W108" s="20" t="n">
        <v>3389</v>
      </c>
      <c r="X108" s="20" t="n">
        <v>4334</v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IF(OR(G108="",C108=""),"",IF(G108*C108&lt;=0,"",IFERROR(G108/C108-1,"")))</f>
        <v/>
      </c>
      <c r="H109" s="15">
        <f>IF(OR(H108="",D108=""),"",IF(H108*D108&lt;=0,"",IFERROR(H108/D108-1,"")))</f>
        <v/>
      </c>
      <c r="I109" s="15">
        <f>IF(OR(I108="",E108=""),"",IF(I108*E108&lt;=0,"",IFERROR(I108/E108-1,"")))</f>
        <v/>
      </c>
      <c r="J109" s="15">
        <f>IF(OR(J108="",F108=""),"",IF(J108*F108&lt;=0,"",IFERROR(J108/F108-1,"")))</f>
        <v/>
      </c>
      <c r="K109" s="15">
        <f>IF(OR(K108="",G108=""),"",IF(K108*G108&lt;=0,"",IFERROR(K108/G108-1,"")))</f>
        <v/>
      </c>
      <c r="L109" s="15">
        <f>IF(OR(L108="",H108=""),"",IF(L108*H108&lt;=0,"",IFERROR(L108/H108-1,"")))</f>
        <v/>
      </c>
      <c r="M109" s="15">
        <f>IF(OR(M108="",I108=""),"",IF(M108*I108&lt;=0,"",IFERROR(M108/I108-1,"")))</f>
        <v/>
      </c>
      <c r="N109" s="15">
        <f>IF(OR(N108="",J108=""),"",IF(N108*J108&lt;=0,"",IFERROR(N108/J108-1,"")))</f>
        <v/>
      </c>
      <c r="T109" s="15">
        <f>IF(OR(T108="",S108=""),"",IF(T108*S108&lt;=0,"",IFERROR(T108/S108-1,"")))</f>
        <v/>
      </c>
      <c r="U109" s="15">
        <f>IF(OR(U108="",T108=""),"",IF(U108*T108&lt;=0,"",IFERROR(U108/T108-1,"")))</f>
        <v/>
      </c>
      <c r="V109" s="15">
        <f>IF(OR(V108="",U108=""),"",IF(V108*U108&lt;=0,"",IFERROR(V108/U108-1,"")))</f>
        <v/>
      </c>
      <c r="W109" s="15">
        <f>IF(OR(W108="",V108=""),"",IF(W108*V108&lt;=0,"",IFERROR(W108/V108-1,"")))</f>
        <v/>
      </c>
      <c r="X109" s="15">
        <f>IF(OR(X108="",W108=""),"",IF(X108*W108&lt;=0,"",IFERROR(X108/W108-1,"")))</f>
        <v/>
      </c>
    </row>
    <row r="110">
      <c r="A110" s="9" t="inlineStr">
        <is>
          <t>영업이익</t>
        </is>
      </c>
      <c r="C110" s="12" t="n">
        <v>5744</v>
      </c>
      <c r="D110" s="12" t="n">
        <v>5408</v>
      </c>
      <c r="E110" s="12" t="n">
        <v>5640</v>
      </c>
      <c r="F110" s="12" t="n">
        <v>7149</v>
      </c>
      <c r="G110" s="12" t="n">
        <v>6945</v>
      </c>
      <c r="H110" s="12" t="n">
        <v>7180</v>
      </c>
      <c r="I110" s="12" t="n">
        <v>6002</v>
      </c>
      <c r="J110" s="12" t="n">
        <v>4841</v>
      </c>
      <c r="K110" s="12" t="n">
        <v>6281</v>
      </c>
      <c r="L110" s="12" t="n">
        <v>7852</v>
      </c>
      <c r="M110" s="12" t="n">
        <v>6348</v>
      </c>
      <c r="N110" s="12" t="n">
        <v>11257</v>
      </c>
      <c r="T110" s="12" t="n">
        <v>4854</v>
      </c>
      <c r="U110" s="12" t="n">
        <v>4103</v>
      </c>
      <c r="V110" s="12" t="n">
        <v>5408</v>
      </c>
      <c r="W110" s="12" t="n">
        <v>7180</v>
      </c>
      <c r="X110" s="12" t="n">
        <v>7852</v>
      </c>
    </row>
    <row r="111">
      <c r="A111" s="43" t="inlineStr">
        <is>
          <t>OPM</t>
        </is>
      </c>
      <c r="B111" s="3" t="inlineStr">
        <is>
          <t>영업이익 ÷ 매출</t>
        </is>
      </c>
      <c r="C111" s="15">
        <f>IF(OR(C110="",C102=""),"",IF(C102&lt;=0,"",IFERROR(C110/C102,"")))</f>
        <v/>
      </c>
      <c r="D111" s="15">
        <f>IF(OR(D110="",D102=""),"",IF(D102&lt;=0,"",IFERROR(D110/D102,"")))</f>
        <v/>
      </c>
      <c r="E111" s="15">
        <f>IF(OR(E110="",E102=""),"",IF(E102&lt;=0,"",IFERROR(E110/E102,"")))</f>
        <v/>
      </c>
      <c r="F111" s="15">
        <f>IF(OR(F110="",F102=""),"",IF(F102&lt;=0,"",IFERROR(F110/F102,"")))</f>
        <v/>
      </c>
      <c r="G111" s="15">
        <f>IF(OR(G110="",G102=""),"",IF(G102&lt;=0,"",IFERROR(G110/G102,"")))</f>
        <v/>
      </c>
      <c r="H111" s="15">
        <f>IF(OR(H110="",H102=""),"",IF(H102&lt;=0,"",IFERROR(H110/H102,"")))</f>
        <v/>
      </c>
      <c r="I111" s="15">
        <f>IF(OR(I110="",I102=""),"",IF(I102&lt;=0,"",IFERROR(I110/I102,"")))</f>
        <v/>
      </c>
      <c r="J111" s="15">
        <f>IF(OR(J110="",J102=""),"",IF(J102&lt;=0,"",IFERROR(J110/J102,"")))</f>
        <v/>
      </c>
      <c r="K111" s="15">
        <f>IF(OR(K110="",K102=""),"",IF(K102&lt;=0,"",IFERROR(K110/K102,"")))</f>
        <v/>
      </c>
      <c r="L111" s="15">
        <f>IF(OR(L110="",L102=""),"",IF(L102&lt;=0,"",IFERROR(L110/L102,"")))</f>
        <v/>
      </c>
      <c r="M111" s="15">
        <f>IF(OR(M110="",M102=""),"",IF(M102&lt;=0,"",IFERROR(M110/M102,"")))</f>
        <v/>
      </c>
      <c r="N111" s="15">
        <f>IF(OR(N110="",N102=""),"",IF(N102&lt;=0,"",IFERROR(N110/N102,"")))</f>
        <v/>
      </c>
      <c r="T111" s="15">
        <f>IF(OR(T110="",T102=""),"",IF(T102&lt;=0,"",IFERROR(T110/T102,"")))</f>
        <v/>
      </c>
      <c r="U111" s="15">
        <f>IF(OR(U110="",U102=""),"",IF(U102&lt;=0,"",IFERROR(U110/U102,"")))</f>
        <v/>
      </c>
      <c r="V111" s="15">
        <f>IF(OR(V110="",V102=""),"",IF(V102&lt;=0,"",IFERROR(V110/V102,"")))</f>
        <v/>
      </c>
      <c r="W111" s="15">
        <f>IF(OR(W110="",W102=""),"",IF(W102&lt;=0,"",IFERROR(W110/W102,"")))</f>
        <v/>
      </c>
      <c r="X111" s="15">
        <f>IF(OR(X110="",X102=""),"",IF(X102&lt;=0,"",IFERROR(X110/X102,"")))</f>
        <v/>
      </c>
    </row>
    <row r="112">
      <c r="A112" s="43" t="inlineStr">
        <is>
          <t>YoY</t>
        </is>
      </c>
      <c r="B112" s="3" t="inlineStr">
        <is>
          <t>전년 같은 분기·전년 대비</t>
        </is>
      </c>
      <c r="G112" s="15">
        <f>IF(OR(G110="",C110=""),"",IF(C110&lt;=0,"",IFERROR(G110/C110-1,"")))</f>
        <v/>
      </c>
      <c r="H112" s="15">
        <f>IF(OR(H110="",D110=""),"",IF(D110&lt;=0,"",IFERROR(H110/D110-1,"")))</f>
        <v/>
      </c>
      <c r="I112" s="15">
        <f>IF(OR(I110="",E110=""),"",IF(E110&lt;=0,"",IFERROR(I110/E110-1,"")))</f>
        <v/>
      </c>
      <c r="J112" s="15">
        <f>IF(OR(J110="",F110=""),"",IF(F110&lt;=0,"",IFERROR(J110/F110-1,"")))</f>
        <v/>
      </c>
      <c r="K112" s="15">
        <f>IF(OR(K110="",G110=""),"",IF(G110&lt;=0,"",IFERROR(K110/G110-1,"")))</f>
        <v/>
      </c>
      <c r="L112" s="15">
        <f>IF(OR(L110="",H110=""),"",IF(H110&lt;=0,"",IFERROR(L110/H110-1,"")))</f>
        <v/>
      </c>
      <c r="M112" s="15">
        <f>IF(OR(M110="",I110=""),"",IF(I110&lt;=0,"",IFERROR(M110/I110-1,"")))</f>
        <v/>
      </c>
      <c r="N112" s="15">
        <f>IF(OR(N110="",J110=""),"",IF(J110&lt;=0,"",IFERROR(N110/J110-1,"")))</f>
        <v/>
      </c>
      <c r="T112" s="15">
        <f>IF(OR(T110="",S110=""),"",IF(S110&lt;=0,"",IFERROR(T110/S110-1,"")))</f>
        <v/>
      </c>
      <c r="U112" s="15">
        <f>IF(OR(U110="",T110=""),"",IF(T110&lt;=0,"",IFERROR(U110/T110-1,"")))</f>
        <v/>
      </c>
      <c r="V112" s="15">
        <f>IF(OR(V110="",U110=""),"",IF(U110&lt;=0,"",IFERROR(V110/U110-1,"")))</f>
        <v/>
      </c>
      <c r="W112" s="15">
        <f>IF(OR(W110="",V110=""),"",IF(V110&lt;=0,"",IFERROR(W110/V110-1,"")))</f>
        <v/>
      </c>
      <c r="X112" s="15">
        <f>IF(OR(X110="",W110=""),"",IF(W110&lt;=0,"",IFERROR(X110/W110-1,"")))</f>
        <v/>
      </c>
    </row>
    <row r="113">
      <c r="A113" s="18" t="inlineStr">
        <is>
          <t>이자수익</t>
        </is>
      </c>
      <c r="C113" s="20" t="n">
        <v>51</v>
      </c>
      <c r="D113" s="20" t="n">
        <v>92</v>
      </c>
      <c r="E113" s="20" t="n">
        <v>35</v>
      </c>
      <c r="F113" s="20" t="n">
        <v>64</v>
      </c>
      <c r="G113" s="20" t="n">
        <v>88</v>
      </c>
      <c r="H113" s="20" t="n">
        <v>144</v>
      </c>
      <c r="I113" s="20" t="n">
        <v>87</v>
      </c>
      <c r="J113" s="20" t="n">
        <v>150</v>
      </c>
      <c r="K113" s="20" t="n">
        <v>158</v>
      </c>
      <c r="L113" s="20" t="n">
        <v>221</v>
      </c>
      <c r="M113" s="20" t="n">
        <v>115</v>
      </c>
      <c r="N113" s="20" t="n">
        <v>219</v>
      </c>
      <c r="T113" s="20" t="n">
        <v>13</v>
      </c>
      <c r="U113" s="20" t="n">
        <v>45</v>
      </c>
      <c r="V113" s="20" t="n">
        <v>92</v>
      </c>
      <c r="W113" s="20" t="n">
        <v>144</v>
      </c>
      <c r="X113" s="20" t="n">
        <v>221</v>
      </c>
    </row>
    <row r="114">
      <c r="A114" s="18" t="inlineStr">
        <is>
          <t>임대료 수익</t>
        </is>
      </c>
      <c r="C114" s="20" t="n">
        <v>30</v>
      </c>
      <c r="D114" s="20" t="n">
        <v>31</v>
      </c>
      <c r="E114" s="20" t="n">
        <v>32</v>
      </c>
      <c r="F114" s="20" t="n">
        <v>34</v>
      </c>
      <c r="G114" s="20" t="n">
        <v>27</v>
      </c>
      <c r="H114" s="20" t="n">
        <v>33</v>
      </c>
      <c r="I114" s="20" t="n">
        <v>33</v>
      </c>
      <c r="J114" s="20" t="n">
        <v>31</v>
      </c>
      <c r="K114" s="20" t="n">
        <v>31</v>
      </c>
      <c r="L114" s="20" t="n">
        <v>17</v>
      </c>
      <c r="M114" s="20" t="n">
        <v>38</v>
      </c>
      <c r="N114" s="20" t="n">
        <v>44</v>
      </c>
      <c r="T114" s="20" t="n">
        <v>23</v>
      </c>
      <c r="U114" s="20" t="n">
        <v>26</v>
      </c>
      <c r="V114" s="20" t="n">
        <v>31</v>
      </c>
      <c r="W114" s="20" t="n">
        <v>33</v>
      </c>
      <c r="X114" s="20" t="n">
        <v>17</v>
      </c>
    </row>
    <row r="115">
      <c r="A115" s="18" t="inlineStr">
        <is>
          <t>외환차익</t>
        </is>
      </c>
      <c r="C115" s="20" t="n">
        <v>-489</v>
      </c>
      <c r="D115" s="20" t="n">
        <v>647</v>
      </c>
      <c r="E115" s="20" t="n">
        <v>472</v>
      </c>
      <c r="F115" s="20" t="n">
        <v>-472</v>
      </c>
      <c r="G115" s="20" t="n">
        <v>0</v>
      </c>
      <c r="H115" s="20" t="n">
        <v>0</v>
      </c>
      <c r="I115" s="20" t="n">
        <v>0</v>
      </c>
      <c r="L115" s="20" t="n">
        <v>202</v>
      </c>
      <c r="M115" s="20" t="n">
        <v>80</v>
      </c>
      <c r="T115" s="20" t="n">
        <v>477</v>
      </c>
      <c r="U115" s="20" t="n">
        <v>42</v>
      </c>
      <c r="V115" s="20" t="n">
        <v>647</v>
      </c>
      <c r="W115" s="20" t="n">
        <v>0</v>
      </c>
      <c r="X115" s="20" t="n">
        <v>202</v>
      </c>
    </row>
    <row r="116">
      <c r="A116" s="18" t="inlineStr">
        <is>
          <t>기타</t>
        </is>
      </c>
      <c r="C116" s="20" t="n">
        <v>26</v>
      </c>
      <c r="D116" s="20" t="n">
        <v>-3</v>
      </c>
      <c r="E116" s="20" t="n">
        <v>28</v>
      </c>
      <c r="F116" s="20" t="n">
        <v>44</v>
      </c>
      <c r="G116" s="20" t="n">
        <v>18</v>
      </c>
      <c r="H116" s="20" t="n">
        <v>20</v>
      </c>
      <c r="I116" s="20" t="n">
        <v>23</v>
      </c>
      <c r="J116" s="20" t="n">
        <v>88</v>
      </c>
      <c r="K116" s="20" t="n">
        <v>38</v>
      </c>
      <c r="L116" s="20" t="n">
        <v>29</v>
      </c>
      <c r="M116" s="20" t="n">
        <v>11</v>
      </c>
      <c r="N116" s="20" t="n">
        <v>84</v>
      </c>
      <c r="T116" s="20" t="n">
        <v>11</v>
      </c>
      <c r="U116" s="20" t="n">
        <v>7</v>
      </c>
      <c r="V116" s="20" t="n">
        <v>-3</v>
      </c>
      <c r="W116" s="20" t="n">
        <v>20</v>
      </c>
      <c r="X116" s="20" t="n">
        <v>29</v>
      </c>
    </row>
    <row r="117">
      <c r="A117" s="18" t="inlineStr">
        <is>
          <t>영업외수익 합계</t>
        </is>
      </c>
      <c r="C117" s="20" t="n">
        <v>-381</v>
      </c>
      <c r="D117" s="20" t="n">
        <v>767</v>
      </c>
      <c r="E117" s="20" t="n">
        <v>569</v>
      </c>
      <c r="F117" s="20" t="n">
        <v>-332</v>
      </c>
      <c r="G117" s="20" t="n">
        <v>134</v>
      </c>
      <c r="H117" s="20" t="n">
        <v>196</v>
      </c>
      <c r="I117" s="20" t="n">
        <v>144</v>
      </c>
      <c r="J117" s="20" t="n">
        <v>269</v>
      </c>
      <c r="K117" s="20" t="n">
        <v>587</v>
      </c>
      <c r="L117" s="20" t="n">
        <v>468</v>
      </c>
      <c r="M117" s="20" t="n">
        <v>245</v>
      </c>
      <c r="N117" s="20" t="n">
        <v>268</v>
      </c>
      <c r="T117" s="20" t="n">
        <v>522</v>
      </c>
      <c r="U117" s="20" t="n">
        <v>119</v>
      </c>
      <c r="V117" s="20" t="n">
        <v>767</v>
      </c>
      <c r="W117" s="20" t="n">
        <v>196</v>
      </c>
      <c r="X117" s="20" t="n">
        <v>468</v>
      </c>
    </row>
    <row r="118">
      <c r="A118" s="43" t="inlineStr">
        <is>
          <t>YoY</t>
        </is>
      </c>
      <c r="B118" s="3" t="inlineStr">
        <is>
          <t>전년 같은 분기·전년 대비</t>
        </is>
      </c>
      <c r="G118" s="15">
        <f>IF(OR(G117="",C117=""),"",IF(G117*C117&lt;=0,"",IFERROR(G117/C117-1,"")))</f>
        <v/>
      </c>
      <c r="H118" s="15">
        <f>IF(OR(H117="",D117=""),"",IF(H117*D117&lt;=0,"",IFERROR(H117/D117-1,"")))</f>
        <v/>
      </c>
      <c r="I118" s="15">
        <f>IF(OR(I117="",E117=""),"",IF(I117*E117&lt;=0,"",IFERROR(I117/E117-1,"")))</f>
        <v/>
      </c>
      <c r="J118" s="15">
        <f>IF(OR(J117="",F117=""),"",IF(J117*F117&lt;=0,"",IFERROR(J117/F117-1,"")))</f>
        <v/>
      </c>
      <c r="K118" s="15">
        <f>IF(OR(K117="",G117=""),"",IF(K117*G117&lt;=0,"",IFERROR(K117/G117-1,"")))</f>
        <v/>
      </c>
      <c r="L118" s="15">
        <f>IF(OR(L117="",H117=""),"",IF(L117*H117&lt;=0,"",IFERROR(L117/H117-1,"")))</f>
        <v/>
      </c>
      <c r="M118" s="15">
        <f>IF(OR(M117="",I117=""),"",IF(M117*I117&lt;=0,"",IFERROR(M117/I117-1,"")))</f>
        <v/>
      </c>
      <c r="N118" s="15">
        <f>IF(OR(N117="",J117=""),"",IF(N117*J117&lt;=0,"",IFERROR(N117/J117-1,"")))</f>
        <v/>
      </c>
      <c r="T118" s="15">
        <f>IF(OR(T117="",S117=""),"",IF(T117*S117&lt;=0,"",IFERROR(T117/S117-1,"")))</f>
        <v/>
      </c>
      <c r="U118" s="15">
        <f>IF(OR(U117="",T117=""),"",IF(U117*T117&lt;=0,"",IFERROR(U117/T117-1,"")))</f>
        <v/>
      </c>
      <c r="V118" s="15">
        <f>IF(OR(V117="",U117=""),"",IF(V117*U117&lt;=0,"",IFERROR(V117/U117-1,"")))</f>
        <v/>
      </c>
      <c r="W118" s="15">
        <f>IF(OR(W117="",V117=""),"",IF(W117*V117&lt;=0,"",IFERROR(W117/V117-1,"")))</f>
        <v/>
      </c>
      <c r="X118" s="15">
        <f>IF(OR(X117="",W117=""),"",IF(X117*W117&lt;=0,"",IFERROR(X117/W117-1,"")))</f>
        <v/>
      </c>
    </row>
    <row r="119">
      <c r="A119" s="18" t="inlineStr">
        <is>
          <t>이자비용</t>
        </is>
      </c>
      <c r="C119" s="20" t="n">
        <v>1</v>
      </c>
      <c r="D119" s="20" t="n">
        <v>0</v>
      </c>
      <c r="E119" s="20" t="n">
        <v>0</v>
      </c>
      <c r="F119" s="20" t="n">
        <v>0</v>
      </c>
      <c r="G119" s="20" t="n">
        <v>0</v>
      </c>
      <c r="H119" s="20" t="n">
        <v>0</v>
      </c>
      <c r="I119" s="20" t="n">
        <v>0</v>
      </c>
      <c r="J119" s="20" t="n">
        <v>0</v>
      </c>
      <c r="K119" s="20" t="n">
        <v>0</v>
      </c>
      <c r="L119" s="20" t="n">
        <v>0</v>
      </c>
      <c r="T119" s="20" t="n">
        <v>1</v>
      </c>
      <c r="U119" s="20" t="n">
        <v>1</v>
      </c>
      <c r="V119" s="20" t="n">
        <v>0</v>
      </c>
      <c r="W119" s="20" t="n">
        <v>0</v>
      </c>
      <c r="X119" s="20" t="n">
        <v>0</v>
      </c>
    </row>
    <row r="120">
      <c r="A120" s="18" t="inlineStr">
        <is>
          <t>외환차손</t>
        </is>
      </c>
      <c r="C120" s="20" t="n">
        <v>0</v>
      </c>
      <c r="D120" s="20" t="n">
        <v>0</v>
      </c>
      <c r="E120" s="20" t="n">
        <v>0</v>
      </c>
      <c r="F120" s="20" t="n">
        <v>969</v>
      </c>
      <c r="G120" s="20" t="n">
        <v>-945</v>
      </c>
      <c r="H120" s="20" t="n">
        <v>358</v>
      </c>
      <c r="I120" s="20" t="n">
        <v>356</v>
      </c>
      <c r="J120" s="20" t="n">
        <v>-306</v>
      </c>
      <c r="K120" s="20" t="n">
        <v>-50</v>
      </c>
      <c r="L120" s="20" t="n">
        <v>0</v>
      </c>
      <c r="M120" s="20" t="n">
        <v>0</v>
      </c>
      <c r="N120" s="20" t="n">
        <v>441</v>
      </c>
      <c r="V120" s="20" t="n">
        <v>0</v>
      </c>
      <c r="W120" s="20" t="n">
        <v>358</v>
      </c>
      <c r="X120" s="20" t="n">
        <v>0</v>
      </c>
    </row>
    <row r="121">
      <c r="A121" s="18" t="inlineStr">
        <is>
          <t>투자부동산 임대비용</t>
        </is>
      </c>
      <c r="C121" s="20" t="n">
        <v>10</v>
      </c>
      <c r="D121" s="20" t="n">
        <v>20</v>
      </c>
      <c r="E121" s="20" t="n">
        <v>20</v>
      </c>
      <c r="F121" s="20" t="n">
        <v>11</v>
      </c>
      <c r="G121" s="20" t="n">
        <v>5</v>
      </c>
      <c r="H121" s="20" t="n">
        <v>17</v>
      </c>
      <c r="I121" s="20" t="n">
        <v>13</v>
      </c>
      <c r="J121" s="20" t="n">
        <v>16</v>
      </c>
      <c r="K121" s="20" t="n">
        <v>10</v>
      </c>
      <c r="L121" s="20" t="n">
        <v>18</v>
      </c>
      <c r="M121" s="20" t="n">
        <v>14</v>
      </c>
      <c r="N121" s="20" t="n">
        <v>17</v>
      </c>
      <c r="T121" s="20" t="n">
        <v>11</v>
      </c>
      <c r="U121" s="20" t="n">
        <v>15</v>
      </c>
      <c r="V121" s="20" t="n">
        <v>20</v>
      </c>
      <c r="W121" s="20" t="n">
        <v>17</v>
      </c>
      <c r="X121" s="20" t="n">
        <v>18</v>
      </c>
    </row>
    <row r="122">
      <c r="A122" s="18" t="inlineStr">
        <is>
          <t>주식보상비용 소멸손실</t>
        </is>
      </c>
      <c r="G122" s="20" t="n">
        <v>0</v>
      </c>
      <c r="H122" s="20" t="n">
        <v>1</v>
      </c>
      <c r="K122" s="20" t="n">
        <v>1</v>
      </c>
      <c r="L122" s="20" t="n">
        <v>0</v>
      </c>
      <c r="W122" s="20" t="n">
        <v>1</v>
      </c>
      <c r="X122" s="20" t="n">
        <v>0</v>
      </c>
    </row>
    <row r="123">
      <c r="A123" s="18" t="inlineStr">
        <is>
          <t>기타</t>
        </is>
      </c>
      <c r="C123" s="20" t="n">
        <v>1</v>
      </c>
      <c r="D123" s="20" t="n">
        <v>1</v>
      </c>
      <c r="E123" s="20" t="n">
        <v>8</v>
      </c>
      <c r="F123" s="20" t="n">
        <v>19</v>
      </c>
      <c r="G123" s="20" t="n">
        <v>-19</v>
      </c>
      <c r="H123" s="20" t="n">
        <v>2</v>
      </c>
      <c r="I123" s="20" t="n">
        <v>54</v>
      </c>
      <c r="J123" s="20" t="n">
        <v>-40</v>
      </c>
      <c r="K123" s="20" t="n">
        <v>0</v>
      </c>
      <c r="L123" s="20" t="n">
        <v>9</v>
      </c>
      <c r="M123" s="20" t="n">
        <v>4</v>
      </c>
      <c r="N123" s="20" t="n">
        <v>0</v>
      </c>
      <c r="T123" s="20" t="n">
        <v>2</v>
      </c>
      <c r="U123" s="20" t="n">
        <v>0</v>
      </c>
      <c r="V123" s="20" t="n">
        <v>1</v>
      </c>
      <c r="W123" s="20" t="n">
        <v>2</v>
      </c>
      <c r="X123" s="20" t="n">
        <v>9</v>
      </c>
    </row>
    <row r="124">
      <c r="A124" s="18" t="inlineStr">
        <is>
          <t>영업외비용 합계</t>
        </is>
      </c>
      <c r="C124" s="20" t="n">
        <v>11</v>
      </c>
      <c r="D124" s="20" t="n">
        <v>21</v>
      </c>
      <c r="E124" s="20" t="n">
        <v>29</v>
      </c>
      <c r="F124" s="20" t="n">
        <v>999</v>
      </c>
      <c r="G124" s="20" t="n">
        <v>-957</v>
      </c>
      <c r="H124" s="20" t="n">
        <v>377</v>
      </c>
      <c r="I124" s="20" t="n">
        <v>424</v>
      </c>
      <c r="J124" s="20" t="n">
        <v>-291</v>
      </c>
      <c r="K124" s="20" t="n">
        <v>-38</v>
      </c>
      <c r="L124" s="20" t="n">
        <v>27</v>
      </c>
      <c r="M124" s="20" t="n">
        <v>19</v>
      </c>
      <c r="N124" s="20" t="n">
        <v>459</v>
      </c>
      <c r="T124" s="20" t="n">
        <v>14</v>
      </c>
      <c r="U124" s="20" t="n">
        <v>16</v>
      </c>
      <c r="V124" s="20" t="n">
        <v>21</v>
      </c>
      <c r="W124" s="20" t="n">
        <v>377</v>
      </c>
      <c r="X124" s="20" t="n">
        <v>27</v>
      </c>
    </row>
    <row r="125">
      <c r="A125" s="43" t="inlineStr">
        <is>
          <t>YoY</t>
        </is>
      </c>
      <c r="B125" s="3" t="inlineStr">
        <is>
          <t>전년 같은 분기·전년 대비</t>
        </is>
      </c>
      <c r="G125" s="15">
        <f>IF(OR(G124="",C124=""),"",IF(G124*C124&lt;=0,"",IFERROR(G124/C124-1,"")))</f>
        <v/>
      </c>
      <c r="H125" s="15">
        <f>IF(OR(H124="",D124=""),"",IF(H124*D124&lt;=0,"",IFERROR(H124/D124-1,"")))</f>
        <v/>
      </c>
      <c r="I125" s="15">
        <f>IF(OR(I124="",E124=""),"",IF(I124*E124&lt;=0,"",IFERROR(I124/E124-1,"")))</f>
        <v/>
      </c>
      <c r="J125" s="15">
        <f>IF(OR(J124="",F124=""),"",IF(J124*F124&lt;=0,"",IFERROR(J124/F124-1,"")))</f>
        <v/>
      </c>
      <c r="K125" s="15">
        <f>IF(OR(K124="",G124=""),"",IF(K124*G124&lt;=0,"",IFERROR(K124/G124-1,"")))</f>
        <v/>
      </c>
      <c r="L125" s="15">
        <f>IF(OR(L124="",H124=""),"",IF(L124*H124&lt;=0,"",IFERROR(L124/H124-1,"")))</f>
        <v/>
      </c>
      <c r="M125" s="15">
        <f>IF(OR(M124="",I124=""),"",IF(M124*I124&lt;=0,"",IFERROR(M124/I124-1,"")))</f>
        <v/>
      </c>
      <c r="N125" s="15">
        <f>IF(OR(N124="",J124=""),"",IF(N124*J124&lt;=0,"",IFERROR(N124/J124-1,"")))</f>
        <v/>
      </c>
      <c r="T125" s="15">
        <f>IF(OR(T124="",S124=""),"",IF(T124*S124&lt;=0,"",IFERROR(T124/S124-1,"")))</f>
        <v/>
      </c>
      <c r="U125" s="15">
        <f>IF(OR(U124="",T124=""),"",IF(U124*T124&lt;=0,"",IFERROR(U124/T124-1,"")))</f>
        <v/>
      </c>
      <c r="V125" s="15">
        <f>IF(OR(V124="",U124=""),"",IF(V124*U124&lt;=0,"",IFERROR(V124/U124-1,"")))</f>
        <v/>
      </c>
      <c r="W125" s="15">
        <f>IF(OR(W124="",V124=""),"",IF(W124*V124&lt;=0,"",IFERROR(W124/V124-1,"")))</f>
        <v/>
      </c>
      <c r="X125" s="15">
        <f>IF(OR(X124="",W124=""),"",IF(X124*W124&lt;=0,"",IFERROR(X124/W124-1,"")))</f>
        <v/>
      </c>
    </row>
    <row r="126">
      <c r="A126" s="9" t="inlineStr">
        <is>
          <t>경상이익</t>
        </is>
      </c>
      <c r="C126" s="12" t="n">
        <v>5351</v>
      </c>
      <c r="D126" s="12" t="n">
        <v>6154</v>
      </c>
      <c r="E126" s="12" t="n">
        <v>6181</v>
      </c>
      <c r="F126" s="12" t="n">
        <v>5818</v>
      </c>
      <c r="G126" s="12" t="n">
        <v>8035</v>
      </c>
      <c r="H126" s="12" t="n">
        <v>6999</v>
      </c>
      <c r="I126" s="12" t="n">
        <v>5722</v>
      </c>
      <c r="J126" s="12" t="n">
        <v>5401</v>
      </c>
      <c r="K126" s="12" t="n">
        <v>6906</v>
      </c>
      <c r="L126" s="12" t="n">
        <v>8292</v>
      </c>
      <c r="M126" s="12" t="n">
        <v>6574</v>
      </c>
      <c r="N126" s="12" t="n">
        <v>11066</v>
      </c>
      <c r="T126" s="12" t="n">
        <v>5363</v>
      </c>
      <c r="U126" s="12" t="n">
        <v>4205</v>
      </c>
      <c r="V126" s="12" t="n">
        <v>6154</v>
      </c>
      <c r="W126" s="12" t="n">
        <v>6999</v>
      </c>
      <c r="X126" s="12" t="n">
        <v>8292</v>
      </c>
    </row>
    <row r="127">
      <c r="A127" s="43" t="inlineStr">
        <is>
          <t>YoY</t>
        </is>
      </c>
      <c r="B127" s="3" t="inlineStr">
        <is>
          <t>전년 같은 분기·전년 대비</t>
        </is>
      </c>
      <c r="G127" s="15">
        <f>IF(OR(G126="",C126=""),"",IF(C126&lt;=0,"",IFERROR(G126/C126-1,"")))</f>
        <v/>
      </c>
      <c r="H127" s="15">
        <f>IF(OR(H126="",D126=""),"",IF(D126&lt;=0,"",IFERROR(H126/D126-1,"")))</f>
        <v/>
      </c>
      <c r="I127" s="15">
        <f>IF(OR(I126="",E126=""),"",IF(E126&lt;=0,"",IFERROR(I126/E126-1,"")))</f>
        <v/>
      </c>
      <c r="J127" s="15">
        <f>IF(OR(J126="",F126=""),"",IF(F126&lt;=0,"",IFERROR(J126/F126-1,"")))</f>
        <v/>
      </c>
      <c r="K127" s="15">
        <f>IF(OR(K126="",G126=""),"",IF(G126&lt;=0,"",IFERROR(K126/G126-1,"")))</f>
        <v/>
      </c>
      <c r="L127" s="15">
        <f>IF(OR(L126="",H126=""),"",IF(H126&lt;=0,"",IFERROR(L126/H126-1,"")))</f>
        <v/>
      </c>
      <c r="M127" s="15">
        <f>IF(OR(M126="",I126=""),"",IF(I126&lt;=0,"",IFERROR(M126/I126-1,"")))</f>
        <v/>
      </c>
      <c r="N127" s="15">
        <f>IF(OR(N126="",J126=""),"",IF(J126&lt;=0,"",IFERROR(N126/J126-1,"")))</f>
        <v/>
      </c>
      <c r="T127" s="15">
        <f>IF(OR(T126="",S126=""),"",IF(S126&lt;=0,"",IFERROR(T126/S126-1,"")))</f>
        <v/>
      </c>
      <c r="U127" s="15">
        <f>IF(OR(U126="",T126=""),"",IF(T126&lt;=0,"",IFERROR(U126/T126-1,"")))</f>
        <v/>
      </c>
      <c r="V127" s="15">
        <f>IF(OR(V126="",U126=""),"",IF(U126&lt;=0,"",IFERROR(V126/U126-1,"")))</f>
        <v/>
      </c>
      <c r="W127" s="15">
        <f>IF(OR(W126="",V126=""),"",IF(V126&lt;=0,"",IFERROR(W126/V126-1,"")))</f>
        <v/>
      </c>
      <c r="X127" s="15">
        <f>IF(OR(X126="",W126=""),"",IF(W126&lt;=0,"",IFERROR(X126/W126-1,"")))</f>
        <v/>
      </c>
    </row>
    <row r="128">
      <c r="A128" s="18" t="inlineStr">
        <is>
          <t>고정자산 매각이익</t>
        </is>
      </c>
      <c r="C128" s="20" t="n">
        <v>0</v>
      </c>
      <c r="D128" s="20" t="n">
        <v>0</v>
      </c>
      <c r="E128" s="20" t="n">
        <v>0</v>
      </c>
      <c r="F128" s="20" t="n">
        <v>0</v>
      </c>
      <c r="G128" s="20" t="n">
        <v>0</v>
      </c>
      <c r="H128" s="20" t="n">
        <v>0</v>
      </c>
      <c r="I128" s="20" t="n">
        <v>0</v>
      </c>
      <c r="J128" s="20" t="n">
        <v>1</v>
      </c>
      <c r="K128" s="20" t="n">
        <v>0</v>
      </c>
      <c r="L128" s="20" t="n">
        <v>0</v>
      </c>
      <c r="M128" s="20" t="n">
        <v>1</v>
      </c>
      <c r="N128" s="20" t="n">
        <v>0</v>
      </c>
      <c r="T128" s="20" t="n">
        <v>0</v>
      </c>
      <c r="U128" s="20" t="n">
        <v>0</v>
      </c>
      <c r="V128" s="20" t="n">
        <v>0</v>
      </c>
      <c r="W128" s="20" t="n">
        <v>0</v>
      </c>
      <c r="X128" s="20" t="n">
        <v>0</v>
      </c>
    </row>
    <row r="129">
      <c r="A129" s="18" t="inlineStr">
        <is>
          <t>투자유가증권 매각이익</t>
        </is>
      </c>
      <c r="C129" s="20" t="n">
        <v>27</v>
      </c>
      <c r="D129" s="20" t="n">
        <v>0</v>
      </c>
      <c r="G129" s="20" t="n">
        <v>0</v>
      </c>
      <c r="H129" s="20" t="n">
        <v>0</v>
      </c>
      <c r="K129" s="20" t="n">
        <v>142</v>
      </c>
      <c r="L129" s="20" t="n">
        <v>0</v>
      </c>
      <c r="U129" s="20" t="n">
        <v>0</v>
      </c>
      <c r="V129" s="20" t="n">
        <v>0</v>
      </c>
      <c r="W129" s="20" t="n">
        <v>0</v>
      </c>
      <c r="X129" s="20" t="n">
        <v>0</v>
      </c>
    </row>
    <row r="130">
      <c r="A130" s="18" t="inlineStr">
        <is>
          <t>자회사 청산이익</t>
        </is>
      </c>
      <c r="C130" s="20" t="n">
        <v>0</v>
      </c>
      <c r="D130" s="20" t="n">
        <v>0</v>
      </c>
      <c r="T130" s="20" t="n">
        <v>0</v>
      </c>
      <c r="U130" s="20" t="n">
        <v>0</v>
      </c>
      <c r="V130" s="20" t="n">
        <v>0</v>
      </c>
    </row>
    <row r="131">
      <c r="A131" s="18" t="inlineStr">
        <is>
          <t>보조금 수입</t>
        </is>
      </c>
      <c r="C131" s="20" t="n">
        <v>0</v>
      </c>
      <c r="D131" s="20" t="n">
        <v>209</v>
      </c>
      <c r="E131" s="20" t="n">
        <v>2576</v>
      </c>
      <c r="F131" s="20" t="n">
        <v>0</v>
      </c>
      <c r="G131" s="20" t="n">
        <v>0</v>
      </c>
      <c r="H131" s="20" t="n">
        <v>16</v>
      </c>
      <c r="I131" s="20" t="n">
        <v>2</v>
      </c>
      <c r="J131" s="20" t="n">
        <v>40</v>
      </c>
      <c r="K131" s="20" t="n">
        <v>0</v>
      </c>
      <c r="L131" s="20" t="n">
        <v>0</v>
      </c>
      <c r="M131" s="20" t="n">
        <v>1221</v>
      </c>
      <c r="N131" s="20" t="n">
        <v>126</v>
      </c>
      <c r="T131" s="20" t="n">
        <v>392</v>
      </c>
      <c r="U131" s="20" t="n">
        <v>500</v>
      </c>
      <c r="V131" s="20" t="n">
        <v>209</v>
      </c>
      <c r="W131" s="20" t="n">
        <v>16</v>
      </c>
      <c r="X131" s="20" t="n">
        <v>0</v>
      </c>
    </row>
    <row r="132">
      <c r="A132" s="18" t="inlineStr">
        <is>
          <t>특별이익 합계</t>
        </is>
      </c>
      <c r="C132" s="20" t="n">
        <v>27</v>
      </c>
      <c r="D132" s="20" t="n">
        <v>225</v>
      </c>
      <c r="E132" s="20" t="n">
        <v>2576</v>
      </c>
      <c r="F132" s="20" t="n">
        <v>0</v>
      </c>
      <c r="G132" s="20" t="n">
        <v>0</v>
      </c>
      <c r="H132" s="20" t="n">
        <v>16</v>
      </c>
      <c r="I132" s="20" t="n">
        <v>2</v>
      </c>
      <c r="J132" s="20" t="n">
        <v>47</v>
      </c>
      <c r="K132" s="20" t="n">
        <v>142</v>
      </c>
      <c r="L132" s="20" t="n">
        <v>0</v>
      </c>
      <c r="M132" s="20" t="n">
        <v>1222</v>
      </c>
      <c r="N132" s="20" t="n">
        <v>126</v>
      </c>
      <c r="T132" s="20" t="n">
        <v>588</v>
      </c>
      <c r="U132" s="20" t="n">
        <v>500</v>
      </c>
      <c r="V132" s="20" t="n">
        <v>225</v>
      </c>
      <c r="W132" s="20" t="n">
        <v>16</v>
      </c>
      <c r="X132" s="20" t="n">
        <v>0</v>
      </c>
    </row>
    <row r="133">
      <c r="A133" s="43" t="inlineStr">
        <is>
          <t>YoY</t>
        </is>
      </c>
      <c r="B133" s="3" t="inlineStr">
        <is>
          <t>전년 같은 분기·전년 대비</t>
        </is>
      </c>
      <c r="G133" s="15">
        <f>IF(OR(G132="",C132=""),"",IF(G132*C132&lt;=0,"",IFERROR(G132/C132-1,"")))</f>
        <v/>
      </c>
      <c r="H133" s="15">
        <f>IF(OR(H132="",D132=""),"",IF(H132*D132&lt;=0,"",IFERROR(H132/D132-1,"")))</f>
        <v/>
      </c>
      <c r="I133" s="15">
        <f>IF(OR(I132="",E132=""),"",IF(I132*E132&lt;=0,"",IFERROR(I132/E132-1,"")))</f>
        <v/>
      </c>
      <c r="J133" s="15">
        <f>IF(OR(J132="",F132=""),"",IF(J132*F132&lt;=0,"",IFERROR(J132/F132-1,"")))</f>
        <v/>
      </c>
      <c r="K133" s="15">
        <f>IF(OR(K132="",G132=""),"",IF(K132*G132&lt;=0,"",IFERROR(K132/G132-1,"")))</f>
        <v/>
      </c>
      <c r="L133" s="15">
        <f>IF(OR(L132="",H132=""),"",IF(L132*H132&lt;=0,"",IFERROR(L132/H132-1,"")))</f>
        <v/>
      </c>
      <c r="M133" s="15">
        <f>IF(OR(M132="",I132=""),"",IF(M132*I132&lt;=0,"",IFERROR(M132/I132-1,"")))</f>
        <v/>
      </c>
      <c r="N133" s="15">
        <f>IF(OR(N132="",J132=""),"",IF(N132*J132&lt;=0,"",IFERROR(N132/J132-1,"")))</f>
        <v/>
      </c>
      <c r="T133" s="15">
        <f>IF(OR(T132="",S132=""),"",IF(T132*S132&lt;=0,"",IFERROR(T132/S132-1,"")))</f>
        <v/>
      </c>
      <c r="U133" s="15">
        <f>IF(OR(U132="",T132=""),"",IF(U132*T132&lt;=0,"",IFERROR(U132/T132-1,"")))</f>
        <v/>
      </c>
      <c r="V133" s="15">
        <f>IF(OR(V132="",U132=""),"",IF(V132*U132&lt;=0,"",IFERROR(V132/U132-1,"")))</f>
        <v/>
      </c>
      <c r="W133" s="15">
        <f>IF(OR(W132="",V132=""),"",IF(W132*V132&lt;=0,"",IFERROR(W132/V132-1,"")))</f>
        <v/>
      </c>
      <c r="X133" s="15">
        <f>IF(OR(X132="",W132=""),"",IF(X132*W132&lt;=0,"",IFERROR(X132/W132-1,"")))</f>
        <v/>
      </c>
    </row>
    <row r="134">
      <c r="A134" s="18" t="inlineStr">
        <is>
          <t>고정자산 제각·매각손실</t>
        </is>
      </c>
      <c r="C134" s="20" t="n">
        <v>16</v>
      </c>
      <c r="D134" s="20" t="n">
        <v>8</v>
      </c>
      <c r="E134" s="20" t="n">
        <v>15</v>
      </c>
      <c r="F134" s="20" t="n">
        <v>71</v>
      </c>
      <c r="G134" s="20" t="n">
        <v>3</v>
      </c>
      <c r="H134" s="20" t="n">
        <v>16</v>
      </c>
      <c r="I134" s="20" t="n">
        <v>0</v>
      </c>
      <c r="J134" s="20" t="n">
        <v>31</v>
      </c>
      <c r="K134" s="20" t="n">
        <v>5</v>
      </c>
      <c r="L134" s="20" t="n">
        <v>1</v>
      </c>
      <c r="M134" s="20" t="n">
        <v>76</v>
      </c>
      <c r="N134" s="20" t="n">
        <v>0</v>
      </c>
      <c r="T134" s="20" t="n">
        <v>-1</v>
      </c>
      <c r="U134" s="20" t="n">
        <v>29</v>
      </c>
      <c r="V134" s="20" t="n">
        <v>8</v>
      </c>
      <c r="W134" s="20" t="n">
        <v>16</v>
      </c>
      <c r="X134" s="20" t="n">
        <v>1</v>
      </c>
    </row>
    <row r="135">
      <c r="A135" s="18" t="inlineStr">
        <is>
          <t>투자유가증권 매각손실</t>
        </is>
      </c>
      <c r="E135" s="20" t="n">
        <v>0</v>
      </c>
    </row>
    <row r="136">
      <c r="A136" s="18" t="inlineStr">
        <is>
          <t>고정자산 압축손실</t>
        </is>
      </c>
      <c r="C136" s="20" t="n">
        <v>0</v>
      </c>
      <c r="D136" s="20" t="n">
        <v>202</v>
      </c>
      <c r="E136" s="20" t="n">
        <v>2360</v>
      </c>
      <c r="F136" s="20" t="n">
        <v>0</v>
      </c>
      <c r="G136" s="20" t="n">
        <v>0</v>
      </c>
      <c r="H136" s="20" t="n">
        <v>0</v>
      </c>
      <c r="I136" s="20" t="n">
        <v>2</v>
      </c>
      <c r="J136" s="20" t="n">
        <v>40</v>
      </c>
      <c r="K136" s="20" t="n">
        <v>0</v>
      </c>
      <c r="L136" s="20" t="n">
        <v>0</v>
      </c>
      <c r="M136" s="20" t="n">
        <v>1196</v>
      </c>
      <c r="N136" s="20" t="n">
        <v>127</v>
      </c>
      <c r="T136" s="20" t="n">
        <v>388</v>
      </c>
      <c r="U136" s="20" t="n">
        <v>481</v>
      </c>
      <c r="V136" s="20" t="n">
        <v>202</v>
      </c>
      <c r="W136" s="20" t="n">
        <v>0</v>
      </c>
      <c r="X136" s="20" t="n">
        <v>0</v>
      </c>
    </row>
    <row r="137">
      <c r="A137" s="18" t="inlineStr">
        <is>
          <t>감염병 관련 손실</t>
        </is>
      </c>
      <c r="T137" s="20" t="n">
        <v>0</v>
      </c>
      <c r="U137" s="20" t="n">
        <v>0</v>
      </c>
    </row>
    <row r="138">
      <c r="A138" s="18" t="inlineStr">
        <is>
          <t>재고자산 폐기손실</t>
        </is>
      </c>
      <c r="E138" s="20" t="n">
        <v>0</v>
      </c>
      <c r="I138" s="20" t="n">
        <v>1</v>
      </c>
      <c r="M138" s="20" t="n">
        <v>0</v>
      </c>
    </row>
    <row r="139">
      <c r="A139" s="18" t="inlineStr">
        <is>
          <t>기타</t>
        </is>
      </c>
      <c r="C139" s="20" t="n">
        <v>1</v>
      </c>
      <c r="D139" s="20" t="n">
        <v>0</v>
      </c>
      <c r="G139" s="20" t="n">
        <v>0</v>
      </c>
      <c r="H139" s="20" t="n">
        <v>0</v>
      </c>
      <c r="K139" s="20" t="n">
        <v>13</v>
      </c>
      <c r="L139" s="20" t="n">
        <v>0</v>
      </c>
      <c r="U139" s="20" t="n">
        <v>0</v>
      </c>
      <c r="V139" s="20" t="n">
        <v>0</v>
      </c>
      <c r="W139" s="20" t="n">
        <v>0</v>
      </c>
      <c r="X139" s="20" t="n">
        <v>0</v>
      </c>
    </row>
    <row r="140">
      <c r="A140" s="18" t="inlineStr">
        <is>
          <t>특별손실 합계</t>
        </is>
      </c>
      <c r="C140" s="20" t="n">
        <v>18</v>
      </c>
      <c r="D140" s="20" t="n">
        <v>210</v>
      </c>
      <c r="E140" s="20" t="n">
        <v>2376</v>
      </c>
      <c r="F140" s="20" t="n">
        <v>71</v>
      </c>
      <c r="G140" s="20" t="n">
        <v>3</v>
      </c>
      <c r="H140" s="20" t="n">
        <v>16</v>
      </c>
      <c r="I140" s="20" t="n">
        <v>4</v>
      </c>
      <c r="J140" s="20" t="n">
        <v>71</v>
      </c>
      <c r="K140" s="20" t="n">
        <v>18</v>
      </c>
      <c r="L140" s="20" t="n">
        <v>0</v>
      </c>
      <c r="M140" s="20" t="n">
        <v>1273</v>
      </c>
      <c r="N140" s="20" t="n">
        <v>126</v>
      </c>
      <c r="T140" s="20" t="n">
        <v>398</v>
      </c>
      <c r="U140" s="20" t="n">
        <v>510</v>
      </c>
      <c r="V140" s="20" t="n">
        <v>210</v>
      </c>
      <c r="W140" s="20" t="n">
        <v>16</v>
      </c>
      <c r="X140" s="20" t="n">
        <v>0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IF(OR(G140="",C140=""),"",IF(G140*C140&lt;=0,"",IFERROR(G140/C140-1,"")))</f>
        <v/>
      </c>
      <c r="H141" s="15">
        <f>IF(OR(H140="",D140=""),"",IF(H140*D140&lt;=0,"",IFERROR(H140/D140-1,"")))</f>
        <v/>
      </c>
      <c r="I141" s="15">
        <f>IF(OR(I140="",E140=""),"",IF(I140*E140&lt;=0,"",IFERROR(I140/E140-1,"")))</f>
        <v/>
      </c>
      <c r="J141" s="15">
        <f>IF(OR(J140="",F140=""),"",IF(J140*F140&lt;=0,"",IFERROR(J140/F140-1,"")))</f>
        <v/>
      </c>
      <c r="K141" s="15">
        <f>IF(OR(K140="",G140=""),"",IF(K140*G140&lt;=0,"",IFERROR(K140/G140-1,"")))</f>
        <v/>
      </c>
      <c r="L141" s="15">
        <f>IF(OR(L140="",H140=""),"",IF(L140*H140&lt;=0,"",IFERROR(L140/H140-1,"")))</f>
        <v/>
      </c>
      <c r="M141" s="15">
        <f>IF(OR(M140="",I140=""),"",IF(M140*I140&lt;=0,"",IFERROR(M140/I140-1,"")))</f>
        <v/>
      </c>
      <c r="N141" s="15">
        <f>IF(OR(N140="",J140=""),"",IF(N140*J140&lt;=0,"",IFERROR(N140/J140-1,"")))</f>
        <v/>
      </c>
      <c r="T141" s="15">
        <f>IF(OR(T140="",S140=""),"",IF(T140*S140&lt;=0,"",IFERROR(T140/S140-1,"")))</f>
        <v/>
      </c>
      <c r="U141" s="15">
        <f>IF(OR(U140="",T140=""),"",IF(U140*T140&lt;=0,"",IFERROR(U140/T140-1,"")))</f>
        <v/>
      </c>
      <c r="V141" s="15">
        <f>IF(OR(V140="",U140=""),"",IF(V140*U140&lt;=0,"",IFERROR(V140/U140-1,"")))</f>
        <v/>
      </c>
      <c r="W141" s="15">
        <f>IF(OR(W140="",V140=""),"",IF(W140*V140&lt;=0,"",IFERROR(W140/V140-1,"")))</f>
        <v/>
      </c>
      <c r="X141" s="15">
        <f>IF(OR(X140="",W140=""),"",IF(X140*W140&lt;=0,"",IFERROR(X140/W140-1,"")))</f>
        <v/>
      </c>
    </row>
    <row r="142">
      <c r="A142" s="9" t="inlineStr">
        <is>
          <t>법인세차감전 순이익</t>
        </is>
      </c>
      <c r="C142" s="12" t="n">
        <v>5362</v>
      </c>
      <c r="D142" s="12" t="n">
        <v>6168</v>
      </c>
      <c r="E142" s="12" t="n">
        <v>6381</v>
      </c>
      <c r="F142" s="12" t="n">
        <v>5747</v>
      </c>
      <c r="G142" s="12" t="n">
        <v>8032</v>
      </c>
      <c r="H142" s="12" t="n">
        <v>6999</v>
      </c>
      <c r="I142" s="12" t="n">
        <v>5720</v>
      </c>
      <c r="J142" s="12" t="n">
        <v>5377</v>
      </c>
      <c r="K142" s="12" t="n">
        <v>7029</v>
      </c>
      <c r="L142" s="12" t="n">
        <v>8292</v>
      </c>
      <c r="M142" s="12" t="n">
        <v>6523</v>
      </c>
      <c r="N142" s="12" t="n">
        <v>11067</v>
      </c>
      <c r="T142" s="12" t="n">
        <v>5553</v>
      </c>
      <c r="U142" s="12" t="n">
        <v>4195</v>
      </c>
      <c r="V142" s="12" t="n">
        <v>6168</v>
      </c>
      <c r="W142" s="12" t="n">
        <v>6999</v>
      </c>
      <c r="X142" s="12" t="n">
        <v>8292</v>
      </c>
    </row>
    <row r="143">
      <c r="A143" s="43" t="inlineStr">
        <is>
          <t>YoY</t>
        </is>
      </c>
      <c r="B143" s="3" t="inlineStr">
        <is>
          <t>전년 같은 분기·전년 대비</t>
        </is>
      </c>
      <c r="G143" s="15">
        <f>IF(OR(G142="",C142=""),"",IF(C142&lt;=0,"",IFERROR(G142/C142-1,"")))</f>
        <v/>
      </c>
      <c r="H143" s="15">
        <f>IF(OR(H142="",D142=""),"",IF(D142&lt;=0,"",IFERROR(H142/D142-1,"")))</f>
        <v/>
      </c>
      <c r="I143" s="15">
        <f>IF(OR(I142="",E142=""),"",IF(E142&lt;=0,"",IFERROR(I142/E142-1,"")))</f>
        <v/>
      </c>
      <c r="J143" s="15">
        <f>IF(OR(J142="",F142=""),"",IF(F142&lt;=0,"",IFERROR(J142/F142-1,"")))</f>
        <v/>
      </c>
      <c r="K143" s="15">
        <f>IF(OR(K142="",G142=""),"",IF(G142&lt;=0,"",IFERROR(K142/G142-1,"")))</f>
        <v/>
      </c>
      <c r="L143" s="15">
        <f>IF(OR(L142="",H142=""),"",IF(H142&lt;=0,"",IFERROR(L142/H142-1,"")))</f>
        <v/>
      </c>
      <c r="M143" s="15">
        <f>IF(OR(M142="",I142=""),"",IF(I142&lt;=0,"",IFERROR(M142/I142-1,"")))</f>
        <v/>
      </c>
      <c r="N143" s="15">
        <f>IF(OR(N142="",J142=""),"",IF(J142&lt;=0,"",IFERROR(N142/J142-1,"")))</f>
        <v/>
      </c>
      <c r="T143" s="15">
        <f>IF(OR(T142="",S142=""),"",IF(S142&lt;=0,"",IFERROR(T142/S142-1,"")))</f>
        <v/>
      </c>
      <c r="U143" s="15">
        <f>IF(OR(U142="",T142=""),"",IF(T142&lt;=0,"",IFERROR(U142/T142-1,"")))</f>
        <v/>
      </c>
      <c r="V143" s="15">
        <f>IF(OR(V142="",U142=""),"",IF(U142&lt;=0,"",IFERROR(V142/U142-1,"")))</f>
        <v/>
      </c>
      <c r="W143" s="15">
        <f>IF(OR(W142="",V142=""),"",IF(V142&lt;=0,"",IFERROR(W142/V142-1,"")))</f>
        <v/>
      </c>
      <c r="X143" s="15">
        <f>IF(OR(X142="",W142=""),"",IF(W142&lt;=0,"",IFERROR(X142/W142-1,"")))</f>
        <v/>
      </c>
    </row>
    <row r="144">
      <c r="A144" s="18" t="inlineStr">
        <is>
          <t>법인세·주민세·사업세</t>
        </is>
      </c>
      <c r="C144" s="20" t="n">
        <v>1306</v>
      </c>
      <c r="D144" s="20" t="n">
        <v>1815</v>
      </c>
      <c r="E144" s="20" t="n">
        <v>1653</v>
      </c>
      <c r="F144" s="20" t="n">
        <v>2092</v>
      </c>
      <c r="G144" s="20" t="n">
        <v>2281</v>
      </c>
      <c r="H144" s="20" t="n">
        <v>2043</v>
      </c>
      <c r="I144" s="20" t="n">
        <v>1414</v>
      </c>
      <c r="J144" s="20" t="n">
        <v>2100</v>
      </c>
      <c r="K144" s="20" t="n">
        <v>1891</v>
      </c>
      <c r="L144" s="20" t="n">
        <v>2815</v>
      </c>
      <c r="M144" s="20" t="n">
        <v>1699</v>
      </c>
      <c r="N144" s="20" t="n">
        <v>3844</v>
      </c>
      <c r="T144" s="20" t="n">
        <v>2028</v>
      </c>
      <c r="U144" s="20" t="n">
        <v>1356</v>
      </c>
      <c r="V144" s="20" t="n">
        <v>1815</v>
      </c>
      <c r="W144" s="20" t="n">
        <v>2043</v>
      </c>
      <c r="X144" s="20" t="n">
        <v>2815</v>
      </c>
    </row>
    <row r="145">
      <c r="A145" s="18" t="inlineStr">
        <is>
          <t>법인세 조정액</t>
        </is>
      </c>
      <c r="C145" s="20" t="n">
        <v>229</v>
      </c>
      <c r="D145" s="20" t="n">
        <v>-258</v>
      </c>
      <c r="E145" s="20" t="n">
        <v>224</v>
      </c>
      <c r="F145" s="20" t="n">
        <v>-282</v>
      </c>
      <c r="G145" s="20" t="n">
        <v>226</v>
      </c>
      <c r="H145" s="20" t="n">
        <v>-320</v>
      </c>
      <c r="I145" s="20" t="n">
        <v>427</v>
      </c>
      <c r="J145" s="20" t="n">
        <v>-257</v>
      </c>
      <c r="K145" s="20" t="n">
        <v>218</v>
      </c>
      <c r="L145" s="20" t="n">
        <v>-354</v>
      </c>
      <c r="M145" s="20" t="n">
        <v>357</v>
      </c>
      <c r="N145" s="20" t="n">
        <v>-429</v>
      </c>
      <c r="T145" s="20" t="n">
        <v>-312</v>
      </c>
      <c r="U145" s="20" t="n">
        <v>-246</v>
      </c>
      <c r="V145" s="20" t="n">
        <v>-258</v>
      </c>
      <c r="W145" s="20" t="n">
        <v>-320</v>
      </c>
      <c r="X145" s="20" t="n">
        <v>-354</v>
      </c>
    </row>
    <row r="146">
      <c r="A146" s="18" t="inlineStr">
        <is>
          <t>법인세 등 합계</t>
        </is>
      </c>
      <c r="C146" s="20" t="n">
        <v>1536</v>
      </c>
      <c r="D146" s="20" t="n">
        <v>1556</v>
      </c>
      <c r="E146" s="20" t="n">
        <v>1878</v>
      </c>
      <c r="F146" s="20" t="n">
        <v>1809</v>
      </c>
      <c r="G146" s="20" t="n">
        <v>2507</v>
      </c>
      <c r="H146" s="20" t="n">
        <v>1723</v>
      </c>
      <c r="I146" s="20" t="n">
        <v>1841</v>
      </c>
      <c r="J146" s="20" t="n">
        <v>1843</v>
      </c>
      <c r="K146" s="20" t="n">
        <v>2110</v>
      </c>
      <c r="L146" s="20" t="n">
        <v>2461</v>
      </c>
      <c r="M146" s="20" t="n">
        <v>2057</v>
      </c>
      <c r="N146" s="20" t="n">
        <v>3414</v>
      </c>
      <c r="T146" s="20" t="n">
        <v>1714</v>
      </c>
      <c r="U146" s="20" t="n">
        <v>1109</v>
      </c>
      <c r="V146" s="20" t="n">
        <v>1556</v>
      </c>
      <c r="W146" s="20" t="n">
        <v>1723</v>
      </c>
      <c r="X146" s="20" t="n">
        <v>2461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IF(OR(G146="",C146=""),"",IF(G146*C146&lt;=0,"",IFERROR(G146/C146-1,"")))</f>
        <v/>
      </c>
      <c r="H147" s="15">
        <f>IF(OR(H146="",D146=""),"",IF(H146*D146&lt;=0,"",IFERROR(H146/D146-1,"")))</f>
        <v/>
      </c>
      <c r="I147" s="15">
        <f>IF(OR(I146="",E146=""),"",IF(I146*E146&lt;=0,"",IFERROR(I146/E146-1,"")))</f>
        <v/>
      </c>
      <c r="J147" s="15">
        <f>IF(OR(J146="",F146=""),"",IF(J146*F146&lt;=0,"",IFERROR(J146/F146-1,"")))</f>
        <v/>
      </c>
      <c r="K147" s="15">
        <f>IF(OR(K146="",G146=""),"",IF(K146*G146&lt;=0,"",IFERROR(K146/G146-1,"")))</f>
        <v/>
      </c>
      <c r="L147" s="15">
        <f>IF(OR(L146="",H146=""),"",IF(L146*H146&lt;=0,"",IFERROR(L146/H146-1,"")))</f>
        <v/>
      </c>
      <c r="M147" s="15">
        <f>IF(OR(M146="",I146=""),"",IF(M146*I146&lt;=0,"",IFERROR(M146/I146-1,"")))</f>
        <v/>
      </c>
      <c r="N147" s="15">
        <f>IF(OR(N146="",J146=""),"",IF(N146*J146&lt;=0,"",IFERROR(N146/J146-1,"")))</f>
        <v/>
      </c>
      <c r="T147" s="15">
        <f>IF(OR(T146="",S146=""),"",IF(T146*S146&lt;=0,"",IFERROR(T146/S146-1,"")))</f>
        <v/>
      </c>
      <c r="U147" s="15">
        <f>IF(OR(U146="",T146=""),"",IF(U146*T146&lt;=0,"",IFERROR(U146/T146-1,"")))</f>
        <v/>
      </c>
      <c r="V147" s="15">
        <f>IF(OR(V146="",U146=""),"",IF(V146*U146&lt;=0,"",IFERROR(V146/U146-1,"")))</f>
        <v/>
      </c>
      <c r="W147" s="15">
        <f>IF(OR(W146="",V146=""),"",IF(W146*V146&lt;=0,"",IFERROR(W146/V146-1,"")))</f>
        <v/>
      </c>
      <c r="X147" s="15">
        <f>IF(OR(X146="",W146=""),"",IF(X146*W146&lt;=0,"",IFERROR(X146/W146-1,"")))</f>
        <v/>
      </c>
    </row>
    <row r="148">
      <c r="A148" s="9" t="inlineStr">
        <is>
          <t>순이익</t>
        </is>
      </c>
      <c r="C148" s="12" t="n">
        <v>3826</v>
      </c>
      <c r="D148" s="12" t="n">
        <v>4613</v>
      </c>
      <c r="E148" s="12" t="n">
        <v>4502</v>
      </c>
      <c r="F148" s="12" t="n">
        <v>3938</v>
      </c>
      <c r="G148" s="12" t="n">
        <v>5525</v>
      </c>
      <c r="H148" s="12" t="n">
        <v>5277</v>
      </c>
      <c r="I148" s="12" t="n">
        <v>3878</v>
      </c>
      <c r="J148" s="12" t="n">
        <v>3535</v>
      </c>
      <c r="K148" s="12" t="n">
        <v>4919</v>
      </c>
      <c r="L148" s="12" t="n">
        <v>5831</v>
      </c>
      <c r="M148" s="12" t="n">
        <v>4466</v>
      </c>
      <c r="N148" s="12" t="n">
        <v>7653</v>
      </c>
      <c r="T148" s="12" t="n">
        <v>3839</v>
      </c>
      <c r="U148" s="12" t="n">
        <v>3086</v>
      </c>
      <c r="V148" s="12" t="n">
        <v>4613</v>
      </c>
      <c r="W148" s="12" t="n">
        <v>5277</v>
      </c>
      <c r="X148" s="12" t="n">
        <v>5831</v>
      </c>
    </row>
    <row r="149">
      <c r="A149" s="43" t="inlineStr">
        <is>
          <t>YoY</t>
        </is>
      </c>
      <c r="B149" s="3" t="inlineStr">
        <is>
          <t>전년 같은 분기·전년 대비</t>
        </is>
      </c>
      <c r="G149" s="15">
        <f>IF(OR(G148="",C148=""),"",IF(C148&lt;=0,"",IFERROR(G148/C148-1,"")))</f>
        <v/>
      </c>
      <c r="H149" s="15">
        <f>IF(OR(H148="",D148=""),"",IF(D148&lt;=0,"",IFERROR(H148/D148-1,"")))</f>
        <v/>
      </c>
      <c r="I149" s="15">
        <f>IF(OR(I148="",E148=""),"",IF(E148&lt;=0,"",IFERROR(I148/E148-1,"")))</f>
        <v/>
      </c>
      <c r="J149" s="15">
        <f>IF(OR(J148="",F148=""),"",IF(F148&lt;=0,"",IFERROR(J148/F148-1,"")))</f>
        <v/>
      </c>
      <c r="K149" s="15">
        <f>IF(OR(K148="",G148=""),"",IF(G148&lt;=0,"",IFERROR(K148/G148-1,"")))</f>
        <v/>
      </c>
      <c r="L149" s="15">
        <f>IF(OR(L148="",H148=""),"",IF(H148&lt;=0,"",IFERROR(L148/H148-1,"")))</f>
        <v/>
      </c>
      <c r="M149" s="15">
        <f>IF(OR(M148="",I148=""),"",IF(I148&lt;=0,"",IFERROR(M148/I148-1,"")))</f>
        <v/>
      </c>
      <c r="N149" s="15">
        <f>IF(OR(N148="",J148=""),"",IF(J148&lt;=0,"",IFERROR(N148/J148-1,"")))</f>
        <v/>
      </c>
      <c r="T149" s="15">
        <f>IF(OR(T148="",S148=""),"",IF(S148&lt;=0,"",IFERROR(T148/S148-1,"")))</f>
        <v/>
      </c>
      <c r="U149" s="15">
        <f>IF(OR(U148="",T148=""),"",IF(T148&lt;=0,"",IFERROR(U148/T148-1,"")))</f>
        <v/>
      </c>
      <c r="V149" s="15">
        <f>IF(OR(V148="",U148=""),"",IF(U148&lt;=0,"",IFERROR(V148/U148-1,"")))</f>
        <v/>
      </c>
      <c r="W149" s="15">
        <f>IF(OR(W148="",V148=""),"",IF(V148&lt;=0,"",IFERROR(W148/V148-1,"")))</f>
        <v/>
      </c>
      <c r="X149" s="15">
        <f>IF(OR(X148="",W148=""),"",IF(W148&lt;=0,"",IFERROR(X148/W148-1,"")))</f>
        <v/>
      </c>
    </row>
    <row r="150">
      <c r="A150" s="9" t="inlineStr">
        <is>
          <t>지배주주 순이익</t>
        </is>
      </c>
      <c r="C150" s="12" t="n">
        <v>3826</v>
      </c>
      <c r="D150" s="12" t="n">
        <v>4613</v>
      </c>
      <c r="E150" s="12" t="n">
        <v>4502</v>
      </c>
      <c r="F150" s="12" t="n">
        <v>3938</v>
      </c>
      <c r="G150" s="12" t="n">
        <v>5525</v>
      </c>
      <c r="H150" s="12" t="n">
        <v>5277</v>
      </c>
      <c r="I150" s="12" t="n">
        <v>3878</v>
      </c>
      <c r="J150" s="12" t="n">
        <v>3535</v>
      </c>
      <c r="K150" s="12" t="n">
        <v>4919</v>
      </c>
      <c r="L150" s="12" t="n">
        <v>5831</v>
      </c>
      <c r="M150" s="12" t="n">
        <v>4466</v>
      </c>
      <c r="N150" s="12" t="n">
        <v>7653</v>
      </c>
      <c r="T150" s="12" t="n">
        <v>3839</v>
      </c>
      <c r="U150" s="12" t="n">
        <v>3086</v>
      </c>
      <c r="V150" s="12" t="n">
        <v>4613</v>
      </c>
      <c r="W150" s="12" t="n">
        <v>5277</v>
      </c>
      <c r="X150" s="12" t="n">
        <v>5831</v>
      </c>
    </row>
    <row r="151">
      <c r="A151" s="43" t="inlineStr">
        <is>
          <t>YoY</t>
        </is>
      </c>
      <c r="B151" s="3" t="inlineStr">
        <is>
          <t>전년 같은 분기·전년 대비</t>
        </is>
      </c>
      <c r="G151" s="15">
        <f>IF(OR(G150="",C150=""),"",IF(C150&lt;=0,"",IFERROR(G150/C150-1,"")))</f>
        <v/>
      </c>
      <c r="H151" s="15">
        <f>IF(OR(H150="",D150=""),"",IF(D150&lt;=0,"",IFERROR(H150/D150-1,"")))</f>
        <v/>
      </c>
      <c r="I151" s="15">
        <f>IF(OR(I150="",E150=""),"",IF(E150&lt;=0,"",IFERROR(I150/E150-1,"")))</f>
        <v/>
      </c>
      <c r="J151" s="15">
        <f>IF(OR(J150="",F150=""),"",IF(F150&lt;=0,"",IFERROR(J150/F150-1,"")))</f>
        <v/>
      </c>
      <c r="K151" s="15">
        <f>IF(OR(K150="",G150=""),"",IF(G150&lt;=0,"",IFERROR(K150/G150-1,"")))</f>
        <v/>
      </c>
      <c r="L151" s="15">
        <f>IF(OR(L150="",H150=""),"",IF(H150&lt;=0,"",IFERROR(L150/H150-1,"")))</f>
        <v/>
      </c>
      <c r="M151" s="15">
        <f>IF(OR(M150="",I150=""),"",IF(I150&lt;=0,"",IFERROR(M150/I150-1,"")))</f>
        <v/>
      </c>
      <c r="N151" s="15">
        <f>IF(OR(N150="",J150=""),"",IF(J150&lt;=0,"",IFERROR(N150/J150-1,"")))</f>
        <v/>
      </c>
      <c r="T151" s="15">
        <f>IF(OR(T150="",S150=""),"",IF(S150&lt;=0,"",IFERROR(T150/S150-1,"")))</f>
        <v/>
      </c>
      <c r="U151" s="15">
        <f>IF(OR(U150="",T150=""),"",IF(T150&lt;=0,"",IFERROR(U150/T150-1,"")))</f>
        <v/>
      </c>
      <c r="V151" s="15">
        <f>IF(OR(V150="",U150=""),"",IF(U150&lt;=0,"",IFERROR(V150/U150-1,"")))</f>
        <v/>
      </c>
      <c r="W151" s="15">
        <f>IF(OR(W150="",V150=""),"",IF(V150&lt;=0,"",IFERROR(W150/V150-1,"")))</f>
        <v/>
      </c>
      <c r="X151" s="15">
        <f>IF(OR(X150="",W150=""),"",IF(W150&lt;=0,"",IFERROR(X150/W150-1,"")))</f>
        <v/>
      </c>
    </row>
    <row r="153">
      <c r="A153" s="16" t="inlineStr">
        <is>
          <t>포괄손익 · 전 항목</t>
        </is>
      </c>
      <c r="B153" s="42" t="inlineStr">
        <is>
          <t>분기 = 3개월 단독</t>
        </is>
      </c>
      <c r="C153" s="16" t="n"/>
      <c r="D153" s="16" t="n"/>
      <c r="E153" s="16" t="n"/>
      <c r="F153" s="16" t="n"/>
      <c r="G153" s="16" t="n"/>
      <c r="H153" s="16" t="n"/>
      <c r="I153" s="16" t="n"/>
      <c r="J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  <c r="S153" s="16" t="n"/>
      <c r="T153" s="16" t="n"/>
      <c r="U153" s="16" t="n"/>
      <c r="V153" s="16" t="n"/>
      <c r="W153" s="16" t="n"/>
      <c r="X153" s="16" t="n"/>
      <c r="Y153" s="16" t="n"/>
      <c r="Z153" s="16" t="n"/>
      <c r="AA153" s="16" t="n"/>
      <c r="AB153" s="16" t="n"/>
      <c r="AC153" s="16" t="n"/>
    </row>
    <row r="154">
      <c r="A154" s="5" t="inlineStr">
        <is>
          <t>항목</t>
        </is>
      </c>
      <c r="B154" s="5" t="inlineStr">
        <is>
          <t>참고</t>
        </is>
      </c>
      <c r="C154" s="5" t="inlineStr">
        <is>
          <t>2024.3Q</t>
        </is>
      </c>
      <c r="D154" s="5" t="inlineStr">
        <is>
          <t>2024.4Q</t>
        </is>
      </c>
      <c r="E154" s="5" t="inlineStr">
        <is>
          <t>2025.1Q</t>
        </is>
      </c>
      <c r="F154" s="5" t="inlineStr">
        <is>
          <t>2025.2Q</t>
        </is>
      </c>
      <c r="G154" s="5" t="inlineStr">
        <is>
          <t>2025.3Q</t>
        </is>
      </c>
      <c r="H154" s="5" t="inlineStr">
        <is>
          <t>2025.4Q</t>
        </is>
      </c>
      <c r="I154" s="5" t="inlineStr">
        <is>
          <t>2026.1Q</t>
        </is>
      </c>
      <c r="J154" s="5" t="inlineStr">
        <is>
          <t>2026.2Q</t>
        </is>
      </c>
      <c r="K154" s="5" t="inlineStr">
        <is>
          <t>2026.3Q</t>
        </is>
      </c>
      <c r="L154" s="5" t="inlineStr">
        <is>
          <t>2026.4Q</t>
        </is>
      </c>
      <c r="M154" s="5" t="inlineStr">
        <is>
          <t>2027.1Q</t>
        </is>
      </c>
      <c r="N154" s="5" t="inlineStr">
        <is>
          <t>2027.2Q</t>
        </is>
      </c>
      <c r="O154" s="5" t="inlineStr">
        <is>
          <t>2017</t>
        </is>
      </c>
      <c r="P154" s="5" t="inlineStr">
        <is>
          <t>2018</t>
        </is>
      </c>
      <c r="Q154" s="5" t="inlineStr">
        <is>
          <t>2019</t>
        </is>
      </c>
      <c r="R154" s="5" t="inlineStr">
        <is>
          <t>2020</t>
        </is>
      </c>
      <c r="S154" s="5" t="inlineStr">
        <is>
          <t>2021</t>
        </is>
      </c>
      <c r="T154" s="5" t="inlineStr">
        <is>
          <t>2022</t>
        </is>
      </c>
      <c r="U154" s="5" t="inlineStr">
        <is>
          <t>2023</t>
        </is>
      </c>
      <c r="V154" s="5" t="inlineStr">
        <is>
          <t>2024</t>
        </is>
      </c>
      <c r="W154" s="5" t="inlineStr">
        <is>
          <t>2025</t>
        </is>
      </c>
      <c r="X154" s="5" t="inlineStr">
        <is>
          <t>2026</t>
        </is>
      </c>
      <c r="Y154" s="5" t="inlineStr">
        <is>
          <t>2027(MW)</t>
        </is>
      </c>
      <c r="Z154" s="5" t="inlineStr">
        <is>
          <t>2028(MW)</t>
        </is>
      </c>
      <c r="AA154" s="5" t="inlineStr">
        <is>
          <t>2029(MW)</t>
        </is>
      </c>
      <c r="AB154" s="5" t="inlineStr">
        <is>
          <t>2030(MW)</t>
        </is>
      </c>
      <c r="AC154" s="5" t="inlineStr">
        <is>
          <t>2031(MW)</t>
        </is>
      </c>
    </row>
    <row r="155">
      <c r="A155" s="9" t="inlineStr">
        <is>
          <t>순이익</t>
        </is>
      </c>
      <c r="C155" s="12" t="n">
        <v>3826</v>
      </c>
      <c r="D155" s="12" t="n">
        <v>4613</v>
      </c>
      <c r="E155" s="12" t="n">
        <v>4502</v>
      </c>
      <c r="F155" s="12" t="n">
        <v>3938</v>
      </c>
      <c r="G155" s="12" t="n">
        <v>5525</v>
      </c>
      <c r="H155" s="12" t="n">
        <v>5277</v>
      </c>
      <c r="I155" s="12" t="n">
        <v>3878</v>
      </c>
      <c r="J155" s="12" t="n">
        <v>3535</v>
      </c>
      <c r="K155" s="12" t="n">
        <v>4919</v>
      </c>
      <c r="L155" s="12" t="n">
        <v>5831</v>
      </c>
      <c r="M155" s="12" t="n">
        <v>4466</v>
      </c>
      <c r="N155" s="12" t="n">
        <v>7653</v>
      </c>
      <c r="T155" s="12" t="n">
        <v>3839</v>
      </c>
      <c r="U155" s="12" t="n">
        <v>3086</v>
      </c>
      <c r="V155" s="12" t="n">
        <v>4613</v>
      </c>
      <c r="W155" s="12" t="n">
        <v>5277</v>
      </c>
      <c r="X155" s="12" t="n">
        <v>5831</v>
      </c>
    </row>
    <row r="156">
      <c r="A156" s="18" t="inlineStr">
        <is>
          <t>기타유가증권 평가차액</t>
        </is>
      </c>
      <c r="C156" s="20" t="n">
        <v>12</v>
      </c>
      <c r="D156" s="20" t="n">
        <v>4</v>
      </c>
      <c r="E156" s="20" t="n">
        <v>-4</v>
      </c>
      <c r="F156" s="20" t="n">
        <v>-52</v>
      </c>
      <c r="G156" s="20" t="n">
        <v>-33</v>
      </c>
      <c r="H156" s="20" t="n">
        <v>-42</v>
      </c>
      <c r="I156" s="20" t="n">
        <v>43</v>
      </c>
      <c r="J156" s="20" t="n">
        <v>34</v>
      </c>
      <c r="K156" s="20" t="n">
        <v>-81</v>
      </c>
      <c r="L156" s="20" t="n">
        <v>17</v>
      </c>
      <c r="M156" s="20" t="n">
        <v>37</v>
      </c>
      <c r="N156" s="20" t="n">
        <v>-2</v>
      </c>
      <c r="T156" s="20" t="n">
        <v>-15</v>
      </c>
      <c r="U156" s="20" t="n">
        <v>32</v>
      </c>
      <c r="V156" s="20" t="n">
        <v>4</v>
      </c>
      <c r="W156" s="20" t="n">
        <v>-42</v>
      </c>
      <c r="X156" s="20" t="n">
        <v>17</v>
      </c>
    </row>
    <row r="157">
      <c r="A157" s="18" t="inlineStr">
        <is>
          <t>해외사업환산조정</t>
        </is>
      </c>
      <c r="C157" s="20" t="n">
        <v>-348</v>
      </c>
      <c r="D157" s="20" t="n">
        <v>456</v>
      </c>
      <c r="E157" s="20" t="n">
        <v>844</v>
      </c>
      <c r="F157" s="20" t="n">
        <v>44</v>
      </c>
      <c r="G157" s="20" t="n">
        <v>292</v>
      </c>
      <c r="H157" s="20" t="n">
        <v>-613</v>
      </c>
      <c r="I157" s="20" t="n">
        <v>283</v>
      </c>
      <c r="J157" s="20" t="n">
        <v>317</v>
      </c>
      <c r="K157" s="20" t="n">
        <v>1269</v>
      </c>
      <c r="L157" s="20" t="n">
        <v>504</v>
      </c>
      <c r="M157" s="20" t="n">
        <v>242</v>
      </c>
      <c r="N157" s="20" t="n">
        <v>-574</v>
      </c>
      <c r="T157" s="20" t="n">
        <v>531</v>
      </c>
      <c r="U157" s="20" t="n">
        <v>68</v>
      </c>
      <c r="V157" s="20" t="n">
        <v>456</v>
      </c>
      <c r="W157" s="20" t="n">
        <v>-613</v>
      </c>
      <c r="X157" s="20" t="n">
        <v>504</v>
      </c>
    </row>
    <row r="158">
      <c r="A158" s="18" t="inlineStr">
        <is>
          <t>기타포괄손익 합계</t>
        </is>
      </c>
      <c r="C158" s="20" t="n">
        <v>-337</v>
      </c>
      <c r="D158" s="20" t="n">
        <v>461</v>
      </c>
      <c r="E158" s="20" t="n">
        <v>840</v>
      </c>
      <c r="F158" s="20" t="n">
        <v>-8</v>
      </c>
      <c r="G158" s="20" t="n">
        <v>259</v>
      </c>
      <c r="H158" s="20" t="n">
        <v>-656</v>
      </c>
      <c r="I158" s="20" t="n">
        <v>326</v>
      </c>
      <c r="J158" s="20" t="n">
        <v>351</v>
      </c>
      <c r="K158" s="20" t="n">
        <v>1188</v>
      </c>
      <c r="L158" s="20" t="n">
        <v>521</v>
      </c>
      <c r="M158" s="20" t="n">
        <v>280</v>
      </c>
      <c r="N158" s="20" t="n">
        <v>-576</v>
      </c>
      <c r="T158" s="20" t="n">
        <v>516</v>
      </c>
      <c r="U158" s="20" t="n">
        <v>101</v>
      </c>
      <c r="V158" s="20" t="n">
        <v>461</v>
      </c>
      <c r="W158" s="20" t="n">
        <v>-656</v>
      </c>
      <c r="X158" s="20" t="n">
        <v>521</v>
      </c>
    </row>
    <row r="159">
      <c r="A159" s="9" t="inlineStr">
        <is>
          <t>포괄이익</t>
        </is>
      </c>
      <c r="C159" s="12" t="n">
        <v>3489</v>
      </c>
      <c r="D159" s="12" t="n">
        <v>5073</v>
      </c>
      <c r="E159" s="12" t="n">
        <v>5343</v>
      </c>
      <c r="F159" s="12" t="n">
        <v>3930</v>
      </c>
      <c r="G159" s="12" t="n">
        <v>5783</v>
      </c>
      <c r="H159" s="12" t="n">
        <v>4621</v>
      </c>
      <c r="I159" s="12" t="n">
        <v>4205</v>
      </c>
      <c r="J159" s="12" t="n">
        <v>3885</v>
      </c>
      <c r="K159" s="12" t="n">
        <v>6107</v>
      </c>
      <c r="L159" s="12" t="n">
        <v>6353</v>
      </c>
      <c r="M159" s="12" t="n">
        <v>4746</v>
      </c>
      <c r="N159" s="12" t="n">
        <v>7076</v>
      </c>
      <c r="T159" s="12" t="n">
        <v>4355</v>
      </c>
      <c r="U159" s="12" t="n">
        <v>3187</v>
      </c>
      <c r="V159" s="12" t="n">
        <v>5073</v>
      </c>
      <c r="W159" s="12" t="n">
        <v>4621</v>
      </c>
      <c r="X159" s="12" t="n">
        <v>6353</v>
      </c>
    </row>
    <row r="160">
      <c r="A160" s="9" t="inlineStr">
        <is>
          <t>지배주주 포괄이익</t>
        </is>
      </c>
      <c r="C160" s="12" t="n">
        <v>3489</v>
      </c>
      <c r="D160" s="12" t="n">
        <v>5073</v>
      </c>
      <c r="E160" s="12" t="n">
        <v>5343</v>
      </c>
      <c r="F160" s="12" t="n">
        <v>3930</v>
      </c>
      <c r="G160" s="12" t="n">
        <v>5783</v>
      </c>
      <c r="H160" s="12" t="n">
        <v>4621</v>
      </c>
      <c r="I160" s="12" t="n">
        <v>4205</v>
      </c>
      <c r="J160" s="12" t="n">
        <v>3885</v>
      </c>
      <c r="K160" s="12" t="n">
        <v>6107</v>
      </c>
      <c r="L160" s="12" t="n">
        <v>6353</v>
      </c>
      <c r="M160" s="12" t="n">
        <v>4746</v>
      </c>
      <c r="N160" s="12" t="n">
        <v>7076</v>
      </c>
      <c r="T160" s="12" t="n">
        <v>4355</v>
      </c>
      <c r="U160" s="12" t="n">
        <v>3187</v>
      </c>
      <c r="V160" s="12" t="n">
        <v>5073</v>
      </c>
      <c r="W160" s="12" t="n">
        <v>4621</v>
      </c>
      <c r="X160" s="12" t="n">
        <v>6353</v>
      </c>
    </row>
    <row r="162">
      <c r="A162" s="16" t="inlineStr">
        <is>
          <t>부문 · 전 항목</t>
        </is>
      </c>
      <c r="B162" s="42" t="inlineStr">
        <is>
          <t>부문 · 항목</t>
        </is>
      </c>
      <c r="C162" s="16" t="n"/>
      <c r="D162" s="16" t="n"/>
      <c r="E162" s="16" t="n"/>
      <c r="F162" s="16" t="n"/>
      <c r="G162" s="16" t="n"/>
      <c r="H162" s="16" t="n"/>
      <c r="I162" s="16" t="n"/>
      <c r="J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  <c r="S162" s="16" t="n"/>
      <c r="T162" s="16" t="n"/>
      <c r="U162" s="16" t="n"/>
      <c r="V162" s="16" t="n"/>
      <c r="W162" s="16" t="n"/>
      <c r="X162" s="16" t="n"/>
      <c r="Y162" s="16" t="n"/>
      <c r="Z162" s="16" t="n"/>
      <c r="AA162" s="16" t="n"/>
      <c r="AB162" s="16" t="n"/>
      <c r="AC162" s="16" t="n"/>
    </row>
    <row r="163">
      <c r="A163" s="5" t="inlineStr">
        <is>
          <t>항목</t>
        </is>
      </c>
      <c r="B163" s="5" t="inlineStr">
        <is>
          <t>참고</t>
        </is>
      </c>
      <c r="C163" s="5" t="inlineStr">
        <is>
          <t>2024.3Q</t>
        </is>
      </c>
      <c r="D163" s="5" t="inlineStr">
        <is>
          <t>2024.4Q</t>
        </is>
      </c>
      <c r="E163" s="5" t="inlineStr">
        <is>
          <t>2025.1Q</t>
        </is>
      </c>
      <c r="F163" s="5" t="inlineStr">
        <is>
          <t>2025.2Q</t>
        </is>
      </c>
      <c r="G163" s="5" t="inlineStr">
        <is>
          <t>2025.3Q</t>
        </is>
      </c>
      <c r="H163" s="5" t="inlineStr">
        <is>
          <t>2025.4Q</t>
        </is>
      </c>
      <c r="I163" s="5" t="inlineStr">
        <is>
          <t>2026.1Q</t>
        </is>
      </c>
      <c r="J163" s="5" t="inlineStr">
        <is>
          <t>2026.2Q</t>
        </is>
      </c>
      <c r="K163" s="5" t="inlineStr">
        <is>
          <t>2026.3Q</t>
        </is>
      </c>
      <c r="L163" s="5" t="inlineStr">
        <is>
          <t>2026.4Q</t>
        </is>
      </c>
      <c r="M163" s="5" t="inlineStr">
        <is>
          <t>2027.1Q</t>
        </is>
      </c>
      <c r="N163" s="5" t="inlineStr">
        <is>
          <t>2027.2Q</t>
        </is>
      </c>
      <c r="O163" s="5" t="inlineStr">
        <is>
          <t>2017</t>
        </is>
      </c>
      <c r="P163" s="5" t="inlineStr">
        <is>
          <t>2018</t>
        </is>
      </c>
      <c r="Q163" s="5" t="inlineStr">
        <is>
          <t>2019</t>
        </is>
      </c>
      <c r="R163" s="5" t="inlineStr">
        <is>
          <t>2020</t>
        </is>
      </c>
      <c r="S163" s="5" t="inlineStr">
        <is>
          <t>2021</t>
        </is>
      </c>
      <c r="T163" s="5" t="inlineStr">
        <is>
          <t>2022</t>
        </is>
      </c>
      <c r="U163" s="5" t="inlineStr">
        <is>
          <t>2023</t>
        </is>
      </c>
      <c r="V163" s="5" t="inlineStr">
        <is>
          <t>2024</t>
        </is>
      </c>
      <c r="W163" s="5" t="inlineStr">
        <is>
          <t>2025</t>
        </is>
      </c>
      <c r="X163" s="5" t="inlineStr">
        <is>
          <t>2026</t>
        </is>
      </c>
      <c r="Y163" s="5" t="inlineStr">
        <is>
          <t>2027(MW)</t>
        </is>
      </c>
      <c r="Z163" s="5" t="inlineStr">
        <is>
          <t>2028(MW)</t>
        </is>
      </c>
      <c r="AA163" s="5" t="inlineStr">
        <is>
          <t>2029(MW)</t>
        </is>
      </c>
      <c r="AB163" s="5" t="inlineStr">
        <is>
          <t>2030(MW)</t>
        </is>
      </c>
      <c r="AC163" s="5" t="inlineStr">
        <is>
          <t>2031(MW)</t>
        </is>
      </c>
    </row>
    <row r="164">
      <c r="A164" s="18" t="inlineStr">
        <is>
          <t>조명기기 사업 · 외부 고객 매출</t>
        </is>
      </c>
      <c r="C164" s="20" t="n">
        <v>2230</v>
      </c>
      <c r="G164" s="20" t="n">
        <v>2452</v>
      </c>
      <c r="K164" s="20" t="n">
        <v>3037</v>
      </c>
    </row>
    <row r="165">
      <c r="A165" s="43" t="inlineStr">
        <is>
          <t>YoY</t>
        </is>
      </c>
      <c r="B165" s="3" t="inlineStr">
        <is>
          <t>전년 같은 분기·전년 대비</t>
        </is>
      </c>
      <c r="G165" s="15">
        <f>IF(OR(G164="",C164=""),"",IF(C164&lt;=0,"",IFERROR(G164/C164-1,"")))</f>
        <v/>
      </c>
      <c r="K165" s="15">
        <f>IF(OR(K164="",G164=""),"",IF(G164&lt;=0,"",IFERROR(K164/G164-1,"")))</f>
        <v/>
      </c>
    </row>
    <row r="166">
      <c r="A166" s="18" t="inlineStr">
        <is>
          <t>보고부문 합계 · 외부 고객 매출</t>
        </is>
      </c>
      <c r="C166" s="20" t="n">
        <v>16963</v>
      </c>
      <c r="D166" s="20" t="n">
        <v>16538</v>
      </c>
      <c r="E166" s="20" t="n">
        <v>16243</v>
      </c>
      <c r="F166" s="20" t="n">
        <v>18579</v>
      </c>
      <c r="G166" s="20" t="n">
        <v>18319</v>
      </c>
      <c r="H166" s="20" t="n">
        <v>18708</v>
      </c>
      <c r="I166" s="20" t="n">
        <v>17256</v>
      </c>
      <c r="J166" s="20" t="n">
        <v>15859</v>
      </c>
      <c r="K166" s="20" t="n">
        <v>19110</v>
      </c>
      <c r="L166" s="20" t="n">
        <v>22251</v>
      </c>
      <c r="M166" s="20" t="n">
        <v>19267</v>
      </c>
      <c r="N166" s="20" t="n">
        <v>27654</v>
      </c>
      <c r="V166" s="20" t="n">
        <v>16538</v>
      </c>
      <c r="W166" s="20" t="n">
        <v>18708</v>
      </c>
      <c r="X166" s="20" t="n">
        <v>22251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G167" s="15">
        <f>IF(OR(G166="",C166=""),"",IF(C166&lt;=0,"",IFERROR(G166/C166-1,"")))</f>
        <v/>
      </c>
      <c r="H167" s="15">
        <f>IF(OR(H166="",D166=""),"",IF(D166&lt;=0,"",IFERROR(H166/D166-1,"")))</f>
        <v/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K167" s="15">
        <f>IF(OR(K166="",G166=""),"",IF(G166&lt;=0,"",IFERROR(K166/G166-1,"")))</f>
        <v/>
      </c>
      <c r="L167" s="15">
        <f>IF(OR(L166="",H166=""),"",IF(H166&lt;=0,"",IFERROR(L166/H166-1,"")))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조정액 · 외부 고객 매출</t>
        </is>
      </c>
      <c r="C168" s="20" t="n">
        <v>0</v>
      </c>
      <c r="D168" s="20" t="n">
        <v>0</v>
      </c>
      <c r="E168" s="20" t="n">
        <v>0</v>
      </c>
      <c r="F168" s="20" t="n">
        <v>0</v>
      </c>
      <c r="G168" s="20" t="n">
        <v>0</v>
      </c>
      <c r="H168" s="20" t="n">
        <v>0</v>
      </c>
      <c r="I168" s="20" t="n">
        <v>0</v>
      </c>
      <c r="J168" s="20" t="n">
        <v>0</v>
      </c>
      <c r="K168" s="20" t="n">
        <v>0</v>
      </c>
      <c r="L168" s="20" t="n">
        <v>0</v>
      </c>
      <c r="M168" s="20" t="n">
        <v>0</v>
      </c>
      <c r="N168" s="20" t="n">
        <v>0</v>
      </c>
      <c r="V168" s="20" t="n">
        <v>0</v>
      </c>
      <c r="W168" s="20" t="n">
        <v>0</v>
      </c>
      <c r="X168" s="20" t="n">
        <v>0</v>
      </c>
    </row>
    <row r="169">
      <c r="A169" s="9" t="inlineStr">
        <is>
          <t>외부 고객 매출</t>
        </is>
      </c>
      <c r="C169" s="12" t="n">
        <v>16963</v>
      </c>
      <c r="D169" s="12" t="n">
        <v>16538</v>
      </c>
      <c r="E169" s="12" t="n">
        <v>16243</v>
      </c>
      <c r="F169" s="12" t="n">
        <v>18579</v>
      </c>
      <c r="G169" s="12" t="n">
        <v>18319</v>
      </c>
      <c r="H169" s="12" t="n">
        <v>18708</v>
      </c>
      <c r="I169" s="12" t="n">
        <v>17256</v>
      </c>
      <c r="J169" s="12" t="n">
        <v>15859</v>
      </c>
      <c r="K169" s="12" t="n">
        <v>19110</v>
      </c>
      <c r="L169" s="12" t="n">
        <v>22251</v>
      </c>
      <c r="M169" s="12" t="n">
        <v>19267</v>
      </c>
      <c r="N169" s="12" t="n">
        <v>27654</v>
      </c>
      <c r="V169" s="12" t="n">
        <v>16538</v>
      </c>
      <c r="W169" s="12" t="n">
        <v>18708</v>
      </c>
      <c r="X169" s="12" t="n">
        <v>22251</v>
      </c>
    </row>
    <row r="170">
      <c r="A170" s="43" t="inlineStr">
        <is>
          <t>YoY</t>
        </is>
      </c>
      <c r="B170" s="3" t="inlineStr">
        <is>
          <t>전년 같은 분기·전년 대비</t>
        </is>
      </c>
      <c r="G170" s="15">
        <f>IF(OR(G169="",C169=""),"",IF(C169&lt;=0,"",IFERROR(G169/C169-1,"")))</f>
        <v/>
      </c>
      <c r="H170" s="15">
        <f>IF(OR(H169="",D169=""),"",IF(D169&lt;=0,"",IFERROR(H169/D169-1,"")))</f>
        <v/>
      </c>
      <c r="I170" s="15">
        <f>IF(OR(I169="",E169=""),"",IF(E169&lt;=0,"",IFERROR(I169/E169-1,"")))</f>
        <v/>
      </c>
      <c r="J170" s="15">
        <f>IF(OR(J169="",F169=""),"",IF(F169&lt;=0,"",IFERROR(J169/F169-1,"")))</f>
        <v/>
      </c>
      <c r="K170" s="15">
        <f>IF(OR(K169="",G169=""),"",IF(G169&lt;=0,"",IFERROR(K169/G169-1,"")))</f>
        <v/>
      </c>
      <c r="L170" s="15">
        <f>IF(OR(L169="",H169=""),"",IF(H169&lt;=0,"",IFERROR(L169/H169-1,"")))</f>
        <v/>
      </c>
      <c r="M170" s="15">
        <f>IF(OR(M169="",I169=""),"",IF(I169&lt;=0,"",IFERROR(M169/I169-1,"")))</f>
        <v/>
      </c>
      <c r="N170" s="15">
        <f>IF(OR(N169="",J169=""),"",IF(J169&lt;=0,"",IFERROR(N169/J169-1,"")))</f>
        <v/>
      </c>
      <c r="V170" s="15">
        <f>IF(OR(V169="",U169=""),"",IF(U169&lt;=0,"",IFERROR(V169/U169-1,"")))</f>
        <v/>
      </c>
      <c r="W170" s="15">
        <f>IF(OR(W169="",V169=""),"",IF(V169&lt;=0,"",IFERROR(W169/V169-1,"")))</f>
        <v/>
      </c>
      <c r="X170" s="15">
        <f>IF(OR(X169="",W169=""),"",IF(W169&lt;=0,"",IFERROR(X169/W169-1,"")))</f>
        <v/>
      </c>
    </row>
    <row r="171">
      <c r="A171" s="18" t="inlineStr">
        <is>
          <t>세라믹 부품 사업 · 부문 간 내부매출·대체</t>
        </is>
      </c>
      <c r="E171" s="20" t="n">
        <v>0</v>
      </c>
      <c r="I171" s="20" t="n">
        <v>1</v>
      </c>
      <c r="M171" s="20" t="n">
        <v>4</v>
      </c>
    </row>
    <row r="172">
      <c r="A172" s="18" t="inlineStr">
        <is>
          <t>조명기기 사업 · 부문 간 내부매출·대체</t>
        </is>
      </c>
      <c r="E172" s="20" t="n">
        <v>2</v>
      </c>
      <c r="I172" s="20" t="n">
        <v>0</v>
      </c>
      <c r="M172" s="20" t="n">
        <v>0</v>
      </c>
    </row>
    <row r="173">
      <c r="A173" s="18" t="inlineStr">
        <is>
          <t>조명기기 사업 · 부문 간 내부매출·대체</t>
        </is>
      </c>
      <c r="C173" s="20" t="n">
        <v>9</v>
      </c>
      <c r="G173" s="20" t="n">
        <v>6</v>
      </c>
      <c r="K173" s="20" t="n">
        <v>2</v>
      </c>
    </row>
    <row r="174">
      <c r="A174" s="18" t="inlineStr">
        <is>
          <t>보고부문 합계 · 부문 간 내부매출·대체</t>
        </is>
      </c>
      <c r="C174" s="20" t="n">
        <v>11</v>
      </c>
      <c r="D174" s="20" t="n">
        <v>18</v>
      </c>
      <c r="E174" s="20" t="n">
        <v>3</v>
      </c>
      <c r="F174" s="20" t="n">
        <v>28</v>
      </c>
      <c r="G174" s="20" t="n">
        <v>9</v>
      </c>
      <c r="H174" s="20" t="n">
        <v>5</v>
      </c>
      <c r="I174" s="20" t="n">
        <v>1</v>
      </c>
      <c r="J174" s="20" t="n">
        <v>4</v>
      </c>
      <c r="K174" s="20" t="n">
        <v>4</v>
      </c>
      <c r="L174" s="20" t="n">
        <v>8</v>
      </c>
      <c r="M174" s="20" t="n">
        <v>4</v>
      </c>
      <c r="N174" s="20" t="n">
        <v>5</v>
      </c>
      <c r="V174" s="20" t="n">
        <v>18</v>
      </c>
      <c r="W174" s="20" t="n">
        <v>5</v>
      </c>
      <c r="X174" s="20" t="n">
        <v>8</v>
      </c>
    </row>
    <row r="175">
      <c r="A175" s="18" t="inlineStr">
        <is>
          <t>조정액 · 부문 간 내부매출·대체</t>
        </is>
      </c>
      <c r="C175" s="20" t="n">
        <v>-11</v>
      </c>
      <c r="D175" s="20" t="n">
        <v>-18</v>
      </c>
      <c r="E175" s="20" t="n">
        <v>-3</v>
      </c>
      <c r="F175" s="20" t="n">
        <v>-28</v>
      </c>
      <c r="G175" s="20" t="n">
        <v>-9</v>
      </c>
      <c r="H175" s="20" t="n">
        <v>-5</v>
      </c>
      <c r="I175" s="20" t="n">
        <v>-1</v>
      </c>
      <c r="J175" s="20" t="n">
        <v>-4</v>
      </c>
      <c r="K175" s="20" t="n">
        <v>-4</v>
      </c>
      <c r="L175" s="20" t="n">
        <v>-8</v>
      </c>
      <c r="M175" s="20" t="n">
        <v>-4</v>
      </c>
      <c r="N175" s="20" t="n">
        <v>-5</v>
      </c>
      <c r="V175" s="20" t="n">
        <v>-18</v>
      </c>
      <c r="W175" s="20" t="n">
        <v>-5</v>
      </c>
      <c r="X175" s="20" t="n">
        <v>-8</v>
      </c>
    </row>
    <row r="176">
      <c r="A176" s="18" t="inlineStr">
        <is>
          <t>부문 간 내부매출·대체</t>
        </is>
      </c>
      <c r="C176" s="20" t="n">
        <v>0</v>
      </c>
      <c r="D176" s="20" t="n">
        <v>0</v>
      </c>
      <c r="E176" s="20" t="n">
        <v>0</v>
      </c>
      <c r="F176" s="20" t="n">
        <v>0</v>
      </c>
      <c r="G176" s="20" t="n">
        <v>0</v>
      </c>
      <c r="H176" s="20" t="n">
        <v>0</v>
      </c>
      <c r="I176" s="20" t="n">
        <v>0</v>
      </c>
      <c r="J176" s="20" t="n">
        <v>0</v>
      </c>
      <c r="K176" s="20" t="n">
        <v>0</v>
      </c>
      <c r="L176" s="20" t="n">
        <v>0</v>
      </c>
      <c r="M176" s="20" t="n">
        <v>0</v>
      </c>
      <c r="N176" s="20" t="n">
        <v>0</v>
      </c>
      <c r="V176" s="20" t="n">
        <v>0</v>
      </c>
      <c r="W176" s="20" t="n">
        <v>0</v>
      </c>
      <c r="X176" s="20" t="n">
        <v>0</v>
      </c>
    </row>
    <row r="177">
      <c r="A177" s="18" t="inlineStr">
        <is>
          <t>세라믹 부품 사업 · 계</t>
        </is>
      </c>
      <c r="E177" s="20" t="n">
        <v>14320</v>
      </c>
      <c r="I177" s="20" t="n">
        <v>15250</v>
      </c>
      <c r="M177" s="20" t="n">
        <v>16789</v>
      </c>
    </row>
    <row r="178">
      <c r="A178" s="43" t="inlineStr">
        <is>
          <t>YoY</t>
        </is>
      </c>
      <c r="B178" s="3" t="inlineStr">
        <is>
          <t>전년 같은 분기·전년 대비</t>
        </is>
      </c>
      <c r="I178" s="15">
        <f>IF(OR(I177="",E177=""),"",IF(E177&lt;=0,"",IFERROR(I177/E177-1,"")))</f>
        <v/>
      </c>
      <c r="M178" s="15">
        <f>IF(OR(M177="",I177=""),"",IF(I177&lt;=0,"",IFERROR(M177/I177-1,"")))</f>
        <v/>
      </c>
    </row>
    <row r="179">
      <c r="A179" s="18" t="inlineStr">
        <is>
          <t>조명기기 사업 · 계</t>
        </is>
      </c>
      <c r="E179" s="20" t="n">
        <v>1926</v>
      </c>
      <c r="I179" s="20" t="n">
        <v>2007</v>
      </c>
      <c r="M179" s="20" t="n">
        <v>2482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I180" s="15">
        <f>IF(OR(I179="",E179=""),"",IF(E179&lt;=0,"",IFERROR(I179/E179-1,"")))</f>
        <v/>
      </c>
      <c r="M180" s="15">
        <f>IF(OR(M179="",I179=""),"",IF(I179&lt;=0,"",IFERROR(M179/I179-1,"")))</f>
        <v/>
      </c>
    </row>
    <row r="181">
      <c r="A181" s="18" t="inlineStr">
        <is>
          <t>조명기기 사업 · 계</t>
        </is>
      </c>
      <c r="C181" s="20" t="n">
        <v>2240</v>
      </c>
      <c r="G181" s="20" t="n">
        <v>2458</v>
      </c>
      <c r="K181" s="20" t="n">
        <v>3039</v>
      </c>
    </row>
    <row r="182">
      <c r="A182" s="43" t="inlineStr">
        <is>
          <t>YoY</t>
        </is>
      </c>
      <c r="B182" s="3" t="inlineStr">
        <is>
          <t>전년 같은 분기·전년 대비</t>
        </is>
      </c>
      <c r="G182" s="15">
        <f>IF(OR(G181="",C181=""),"",IF(C181&lt;=0,"",IFERROR(G181/C181-1,"")))</f>
        <v/>
      </c>
      <c r="K182" s="15">
        <f>IF(OR(K181="",G181=""),"",IF(G181&lt;=0,"",IFERROR(K181/G181-1,"")))</f>
        <v/>
      </c>
    </row>
    <row r="183">
      <c r="A183" s="18" t="inlineStr">
        <is>
          <t>보고부문 합계 · 계</t>
        </is>
      </c>
      <c r="C183" s="20" t="n">
        <v>16974</v>
      </c>
      <c r="D183" s="20" t="n">
        <v>16556</v>
      </c>
      <c r="E183" s="20" t="n">
        <v>16246</v>
      </c>
      <c r="F183" s="20" t="n">
        <v>18608</v>
      </c>
      <c r="G183" s="20" t="n">
        <v>18328</v>
      </c>
      <c r="H183" s="20" t="n">
        <v>18713</v>
      </c>
      <c r="I183" s="20" t="n">
        <v>17257</v>
      </c>
      <c r="J183" s="20" t="n">
        <v>15863</v>
      </c>
      <c r="K183" s="20" t="n">
        <v>19114</v>
      </c>
      <c r="L183" s="20" t="n">
        <v>22259</v>
      </c>
      <c r="M183" s="20" t="n">
        <v>19272</v>
      </c>
      <c r="N183" s="20" t="n">
        <v>27659</v>
      </c>
      <c r="V183" s="20" t="n">
        <v>16556</v>
      </c>
      <c r="W183" s="20" t="n">
        <v>18713</v>
      </c>
      <c r="X183" s="20" t="n">
        <v>22259</v>
      </c>
    </row>
    <row r="184">
      <c r="A184" s="43" t="inlineStr">
        <is>
          <t>YoY</t>
        </is>
      </c>
      <c r="B184" s="3" t="inlineStr">
        <is>
          <t>전년 같은 분기·전년 대비</t>
        </is>
      </c>
      <c r="G184" s="15">
        <f>IF(OR(G183="",C183=""),"",IF(C183&lt;=0,"",IFERROR(G183/C183-1,"")))</f>
        <v/>
      </c>
      <c r="H184" s="15">
        <f>IF(OR(H183="",D183=""),"",IF(D183&lt;=0,"",IFERROR(H183/D183-1,"")))</f>
        <v/>
      </c>
      <c r="I184" s="15">
        <f>IF(OR(I183="",E183=""),"",IF(E183&lt;=0,"",IFERROR(I183/E183-1,"")))</f>
        <v/>
      </c>
      <c r="J184" s="15">
        <f>IF(OR(J183="",F183=""),"",IF(F183&lt;=0,"",IFERROR(J183/F183-1,"")))</f>
        <v/>
      </c>
      <c r="K184" s="15">
        <f>IF(OR(K183="",G183=""),"",IF(G183&lt;=0,"",IFERROR(K183/G183-1,"")))</f>
        <v/>
      </c>
      <c r="L184" s="15">
        <f>IF(OR(L183="",H183=""),"",IF(H183&lt;=0,"",IFERROR(L183/H183-1,"")))</f>
        <v/>
      </c>
      <c r="M184" s="15">
        <f>IF(OR(M183="",I183=""),"",IF(I183&lt;=0,"",IFERROR(M183/I183-1,"")))</f>
        <v/>
      </c>
      <c r="N184" s="15">
        <f>IF(OR(N183="",J183=""),"",IF(J183&lt;=0,"",IFERROR(N183/J183-1,"")))</f>
        <v/>
      </c>
      <c r="V184" s="15">
        <f>IF(OR(V183="",U183=""),"",IF(U183&lt;=0,"",IFERROR(V183/U183-1,"")))</f>
        <v/>
      </c>
      <c r="W184" s="15">
        <f>IF(OR(W183="",V183=""),"",IF(V183&lt;=0,"",IFERROR(W183/V183-1,"")))</f>
        <v/>
      </c>
      <c r="X184" s="15">
        <f>IF(OR(X183="",W183=""),"",IF(W183&lt;=0,"",IFERROR(X183/W183-1,"")))</f>
        <v/>
      </c>
    </row>
    <row r="185">
      <c r="A185" s="18" t="inlineStr">
        <is>
          <t>조정액 · 계</t>
        </is>
      </c>
      <c r="C185" s="20" t="n">
        <v>-11</v>
      </c>
      <c r="D185" s="20" t="n">
        <v>-18</v>
      </c>
      <c r="E185" s="20" t="n">
        <v>-3</v>
      </c>
      <c r="F185" s="20" t="n">
        <v>-28</v>
      </c>
      <c r="G185" s="20" t="n">
        <v>-9</v>
      </c>
      <c r="H185" s="20" t="n">
        <v>-5</v>
      </c>
      <c r="I185" s="20" t="n">
        <v>-1</v>
      </c>
      <c r="J185" s="20" t="n">
        <v>-4</v>
      </c>
      <c r="K185" s="20" t="n">
        <v>-4</v>
      </c>
      <c r="L185" s="20" t="n">
        <v>-8</v>
      </c>
      <c r="M185" s="20" t="n">
        <v>-4</v>
      </c>
      <c r="N185" s="20" t="n">
        <v>-5</v>
      </c>
      <c r="V185" s="20" t="n">
        <v>-18</v>
      </c>
      <c r="W185" s="20" t="n">
        <v>-5</v>
      </c>
      <c r="X185" s="20" t="n">
        <v>-8</v>
      </c>
    </row>
    <row r="186">
      <c r="A186" s="9" t="inlineStr">
        <is>
          <t>계</t>
        </is>
      </c>
      <c r="C186" s="12" t="n">
        <v>16963</v>
      </c>
      <c r="D186" s="12" t="n">
        <v>16538</v>
      </c>
      <c r="E186" s="12" t="n">
        <v>16243</v>
      </c>
      <c r="F186" s="12" t="n">
        <v>18579</v>
      </c>
      <c r="G186" s="12" t="n">
        <v>18319</v>
      </c>
      <c r="H186" s="12" t="n">
        <v>18708</v>
      </c>
      <c r="I186" s="12" t="n">
        <v>17256</v>
      </c>
      <c r="J186" s="12" t="n">
        <v>15859</v>
      </c>
      <c r="K186" s="12" t="n">
        <v>19110</v>
      </c>
      <c r="L186" s="12" t="n">
        <v>22251</v>
      </c>
      <c r="M186" s="12" t="n">
        <v>19267</v>
      </c>
      <c r="N186" s="12" t="n">
        <v>27654</v>
      </c>
      <c r="V186" s="12" t="n">
        <v>16538</v>
      </c>
      <c r="W186" s="12" t="n">
        <v>18708</v>
      </c>
      <c r="X186" s="12" t="n">
        <v>22251</v>
      </c>
    </row>
    <row r="187">
      <c r="A187" s="43" t="inlineStr">
        <is>
          <t>YoY</t>
        </is>
      </c>
      <c r="B187" s="3" t="inlineStr">
        <is>
          <t>전년 같은 분기·전년 대비</t>
        </is>
      </c>
      <c r="G187" s="15">
        <f>IF(OR(G186="",C186=""),"",IF(C186&lt;=0,"",IFERROR(G186/C186-1,"")))</f>
        <v/>
      </c>
      <c r="H187" s="15">
        <f>IF(OR(H186="",D186=""),"",IF(D186&lt;=0,"",IFERROR(H186/D186-1,"")))</f>
        <v/>
      </c>
      <c r="I187" s="15">
        <f>IF(OR(I186="",E186=""),"",IF(E186&lt;=0,"",IFERROR(I186/E186-1,"")))</f>
        <v/>
      </c>
      <c r="J187" s="15">
        <f>IF(OR(J186="",F186=""),"",IF(F186&lt;=0,"",IFERROR(J186/F186-1,"")))</f>
        <v/>
      </c>
      <c r="K187" s="15">
        <f>IF(OR(K186="",G186=""),"",IF(G186&lt;=0,"",IFERROR(K186/G186-1,"")))</f>
        <v/>
      </c>
      <c r="L187" s="15">
        <f>IF(OR(L186="",H186=""),"",IF(H186&lt;=0,"",IFERROR(L186/H186-1,"")))</f>
        <v/>
      </c>
      <c r="M187" s="15">
        <f>IF(OR(M186="",I186=""),"",IF(I186&lt;=0,"",IFERROR(M186/I186-1,"")))</f>
        <v/>
      </c>
      <c r="N187" s="15">
        <f>IF(OR(N186="",J186=""),"",IF(J186&lt;=0,"",IFERROR(N186/J186-1,"")))</f>
        <v/>
      </c>
      <c r="V187" s="15">
        <f>IF(OR(V186="",U186=""),"",IF(U186&lt;=0,"",IFERROR(V186/U186-1,"")))</f>
        <v/>
      </c>
      <c r="W187" s="15">
        <f>IF(OR(W186="",V186=""),"",IF(V186&lt;=0,"",IFERROR(W186/V186-1,"")))</f>
        <v/>
      </c>
      <c r="X187" s="15">
        <f>IF(OR(X186="",W186=""),"",IF(W186&lt;=0,"",IFERROR(X186/W186-1,"")))</f>
        <v/>
      </c>
    </row>
    <row r="188">
      <c r="A188" s="18" t="inlineStr">
        <is>
          <t>세라믹 부품 사업 · 부문 이익</t>
        </is>
      </c>
      <c r="E188" s="20" t="n">
        <v>5809</v>
      </c>
      <c r="I188" s="20" t="n">
        <v>6064</v>
      </c>
      <c r="M188" s="20" t="n">
        <v>6444</v>
      </c>
    </row>
    <row r="189">
      <c r="A189" s="43" t="inlineStr">
        <is>
          <t>OPM</t>
        </is>
      </c>
      <c r="B189" s="3" t="inlineStr">
        <is>
          <t>영업이익 ÷ 매출</t>
        </is>
      </c>
      <c r="E189" s="15">
        <f>IF(OR(E188="",E177=""),"",IF(E177&lt;=0,"",IFERROR(E188/E177,"")))</f>
        <v/>
      </c>
      <c r="I189" s="15">
        <f>IF(OR(I188="",I177=""),"",IF(I177&lt;=0,"",IFERROR(I188/I177,"")))</f>
        <v/>
      </c>
      <c r="M189" s="15">
        <f>IF(OR(M188="",M177=""),"",IF(M177&lt;=0,"",IFERROR(M188/M177,"")))</f>
        <v/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I190" s="15">
        <f>IF(OR(I188="",E188=""),"",IF(E188&lt;=0,"",IFERROR(I188/E188-1,"")))</f>
        <v/>
      </c>
      <c r="M190" s="15">
        <f>IF(OR(M188="",I188=""),"",IF(I188&lt;=0,"",IFERROR(M188/I188-1,"")))</f>
        <v/>
      </c>
    </row>
    <row r="191">
      <c r="A191" s="18" t="inlineStr">
        <is>
          <t>조명기기 사업 · 부문 이익</t>
        </is>
      </c>
      <c r="E191" s="20" t="n">
        <v>198</v>
      </c>
      <c r="I191" s="20" t="n">
        <v>336</v>
      </c>
      <c r="M191" s="20" t="n">
        <v>497</v>
      </c>
    </row>
    <row r="192">
      <c r="A192" s="43" t="inlineStr">
        <is>
          <t>OPM</t>
        </is>
      </c>
      <c r="B192" s="3" t="inlineStr">
        <is>
          <t>영업이익 ÷ 매출</t>
        </is>
      </c>
      <c r="E192" s="15">
        <f>IF(OR(E191="",E179=""),"",IF(E179&lt;=0,"",IFERROR(E191/E179,"")))</f>
        <v/>
      </c>
      <c r="I192" s="15">
        <f>IF(OR(I191="",I179=""),"",IF(I179&lt;=0,"",IFERROR(I191/I179,"")))</f>
        <v/>
      </c>
      <c r="M192" s="15">
        <f>IF(OR(M191="",M179=""),"",IF(M179&lt;=0,"",IFERROR(M191/M179,"")))</f>
        <v/>
      </c>
    </row>
    <row r="193">
      <c r="A193" s="43" t="inlineStr">
        <is>
          <t>YoY</t>
        </is>
      </c>
      <c r="B193" s="3" t="inlineStr">
        <is>
          <t>전년 같은 분기·전년 대비</t>
        </is>
      </c>
      <c r="I193" s="15">
        <f>IF(OR(I191="",E191=""),"",IF(E191&lt;=0,"",IFERROR(I191/E191-1,"")))</f>
        <v/>
      </c>
      <c r="M193" s="15">
        <f>IF(OR(M191="",I191=""),"",IF(I191&lt;=0,"",IFERROR(M191/I191-1,"")))</f>
        <v/>
      </c>
    </row>
    <row r="194">
      <c r="A194" s="18" t="inlineStr">
        <is>
          <t>조명기기 사업 · 부문 이익</t>
        </is>
      </c>
      <c r="C194" s="20" t="n">
        <v>299</v>
      </c>
      <c r="G194" s="20" t="n">
        <v>383</v>
      </c>
      <c r="K194" s="20" t="n">
        <v>716</v>
      </c>
    </row>
    <row r="195">
      <c r="A195" s="43" t="inlineStr">
        <is>
          <t>OPM</t>
        </is>
      </c>
      <c r="B195" s="3" t="inlineStr">
        <is>
          <t>영업이익 ÷ 매출</t>
        </is>
      </c>
      <c r="C195" s="15">
        <f>IF(OR(C194="",C181=""),"",IF(C181&lt;=0,"",IFERROR(C194/C181,"")))</f>
        <v/>
      </c>
      <c r="G195" s="15">
        <f>IF(OR(G194="",G181=""),"",IF(G181&lt;=0,"",IFERROR(G194/G181,"")))</f>
        <v/>
      </c>
      <c r="K195" s="15">
        <f>IF(OR(K194="",K181=""),"",IF(K181&lt;=0,"",IFERROR(K194/K181,"")))</f>
        <v/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IF(OR(G194="",C194=""),"",IF(C194&lt;=0,"",IFERROR(G194/C194-1,"")))</f>
        <v/>
      </c>
      <c r="K196" s="15">
        <f>IF(OR(K194="",G194=""),"",IF(G194&lt;=0,"",IFERROR(K194/G194-1,"")))</f>
        <v/>
      </c>
    </row>
    <row r="197">
      <c r="A197" s="18" t="inlineStr">
        <is>
          <t>보고부문 합계 · 부문 이익</t>
        </is>
      </c>
      <c r="C197" s="20" t="n">
        <v>6044</v>
      </c>
      <c r="D197" s="20" t="n">
        <v>5834</v>
      </c>
      <c r="E197" s="20" t="n">
        <v>6007</v>
      </c>
      <c r="F197" s="20" t="n">
        <v>7522</v>
      </c>
      <c r="G197" s="20" t="n">
        <v>7343</v>
      </c>
      <c r="H197" s="20" t="n">
        <v>7652</v>
      </c>
      <c r="I197" s="20" t="n">
        <v>6401</v>
      </c>
      <c r="J197" s="20" t="n">
        <v>5247</v>
      </c>
      <c r="K197" s="20" t="n">
        <v>6677</v>
      </c>
      <c r="L197" s="20" t="n">
        <v>8389</v>
      </c>
      <c r="M197" s="20" t="n">
        <v>6942</v>
      </c>
      <c r="N197" s="20" t="n">
        <v>11755</v>
      </c>
      <c r="V197" s="20" t="n">
        <v>5834</v>
      </c>
      <c r="W197" s="20" t="n">
        <v>7652</v>
      </c>
      <c r="X197" s="20" t="n">
        <v>8389</v>
      </c>
    </row>
    <row r="198">
      <c r="A198" s="43" t="inlineStr">
        <is>
          <t>OPM</t>
        </is>
      </c>
      <c r="B198" s="3" t="inlineStr">
        <is>
          <t>영업이익 ÷ 매출</t>
        </is>
      </c>
      <c r="C198" s="15">
        <f>IF(OR(C197="",C183=""),"",IF(C183&lt;=0,"",IFERROR(C197/C183,"")))</f>
        <v/>
      </c>
      <c r="D198" s="15">
        <f>IF(OR(D197="",D183=""),"",IF(D183&lt;=0,"",IFERROR(D197/D183,"")))</f>
        <v/>
      </c>
      <c r="E198" s="15">
        <f>IF(OR(E197="",E183=""),"",IF(E183&lt;=0,"",IFERROR(E197/E183,"")))</f>
        <v/>
      </c>
      <c r="F198" s="15">
        <f>IF(OR(F197="",F183=""),"",IF(F183&lt;=0,"",IFERROR(F197/F183,"")))</f>
        <v/>
      </c>
      <c r="G198" s="15">
        <f>IF(OR(G197="",G183=""),"",IF(G183&lt;=0,"",IFERROR(G197/G183,"")))</f>
        <v/>
      </c>
      <c r="H198" s="15">
        <f>IF(OR(H197="",H183=""),"",IF(H183&lt;=0,"",IFERROR(H197/H183,"")))</f>
        <v/>
      </c>
      <c r="I198" s="15">
        <f>IF(OR(I197="",I183=""),"",IF(I183&lt;=0,"",IFERROR(I197/I183,"")))</f>
        <v/>
      </c>
      <c r="J198" s="15">
        <f>IF(OR(J197="",J183=""),"",IF(J183&lt;=0,"",IFERROR(J197/J183,"")))</f>
        <v/>
      </c>
      <c r="K198" s="15">
        <f>IF(OR(K197="",K183=""),"",IF(K183&lt;=0,"",IFERROR(K197/K183,"")))</f>
        <v/>
      </c>
      <c r="L198" s="15">
        <f>IF(OR(L197="",L183=""),"",IF(L183&lt;=0,"",IFERROR(L197/L183,"")))</f>
        <v/>
      </c>
      <c r="M198" s="15">
        <f>IF(OR(M197="",M183=""),"",IF(M183&lt;=0,"",IFERROR(M197/M183,"")))</f>
        <v/>
      </c>
      <c r="N198" s="15">
        <f>IF(OR(N197="",N183=""),"",IF(N183&lt;=0,"",IFERROR(N197/N183,"")))</f>
        <v/>
      </c>
      <c r="V198" s="15">
        <f>IF(OR(V197="",V183=""),"",IF(V183&lt;=0,"",IFERROR(V197/V183,"")))</f>
        <v/>
      </c>
      <c r="W198" s="15">
        <f>IF(OR(W197="",W183=""),"",IF(W183&lt;=0,"",IFERROR(W197/W183,"")))</f>
        <v/>
      </c>
      <c r="X198" s="15">
        <f>IF(OR(X197="",X183=""),"",IF(X183&lt;=0,"",IFERROR(X197/X183,"")))</f>
        <v/>
      </c>
    </row>
    <row r="199">
      <c r="A199" s="43" t="inlineStr">
        <is>
          <t>YoY</t>
        </is>
      </c>
      <c r="B199" s="3" t="inlineStr">
        <is>
          <t>전년 같은 분기·전년 대비</t>
        </is>
      </c>
      <c r="G199" s="15">
        <f>IF(OR(G197="",C197=""),"",IF(C197&lt;=0,"",IFERROR(G197/C197-1,"")))</f>
        <v/>
      </c>
      <c r="H199" s="15">
        <f>IF(OR(H197="",D197=""),"",IF(D197&lt;=0,"",IFERROR(H197/D197-1,"")))</f>
        <v/>
      </c>
      <c r="I199" s="15">
        <f>IF(OR(I197="",E197=""),"",IF(E197&lt;=0,"",IFERROR(I197/E197-1,"")))</f>
        <v/>
      </c>
      <c r="J199" s="15">
        <f>IF(OR(J197="",F197=""),"",IF(F197&lt;=0,"",IFERROR(J197/F197-1,"")))</f>
        <v/>
      </c>
      <c r="K199" s="15">
        <f>IF(OR(K197="",G197=""),"",IF(G197&lt;=0,"",IFERROR(K197/G197-1,"")))</f>
        <v/>
      </c>
      <c r="L199" s="15">
        <f>IF(OR(L197="",H197=""),"",IF(H197&lt;=0,"",IFERROR(L197/H197-1,"")))</f>
        <v/>
      </c>
      <c r="M199" s="15">
        <f>IF(OR(M197="",I197=""),"",IF(I197&lt;=0,"",IFERROR(M197/I197-1,"")))</f>
        <v/>
      </c>
      <c r="N199" s="15">
        <f>IF(OR(N197="",J197=""),"",IF(J197&lt;=0,"",IFERROR(N197/J197-1,"")))</f>
        <v/>
      </c>
      <c r="V199" s="15">
        <f>IF(OR(V197="",U197=""),"",IF(U197&lt;=0,"",IFERROR(V197/U197-1,"")))</f>
        <v/>
      </c>
      <c r="W199" s="15">
        <f>IF(OR(W197="",V197=""),"",IF(V197&lt;=0,"",IFERROR(W197/V197-1,"")))</f>
        <v/>
      </c>
      <c r="X199" s="15">
        <f>IF(OR(X197="",W197=""),"",IF(W197&lt;=0,"",IFERROR(X197/W197-1,"")))</f>
        <v/>
      </c>
    </row>
    <row r="200">
      <c r="A200" s="18" t="inlineStr">
        <is>
          <t>조정액 · 부문 이익</t>
        </is>
      </c>
      <c r="C200" s="20" t="n">
        <v>-299</v>
      </c>
      <c r="D200" s="20" t="n">
        <v>-426</v>
      </c>
      <c r="E200" s="20" t="n">
        <v>-366</v>
      </c>
      <c r="F200" s="20" t="n">
        <v>-373</v>
      </c>
      <c r="G200" s="20" t="n">
        <v>-399</v>
      </c>
      <c r="H200" s="20" t="n">
        <v>-471</v>
      </c>
      <c r="I200" s="20" t="n">
        <v>-398</v>
      </c>
      <c r="J200" s="20" t="n">
        <v>-406</v>
      </c>
      <c r="K200" s="20" t="n">
        <v>-396</v>
      </c>
      <c r="L200" s="20" t="n">
        <v>-538</v>
      </c>
      <c r="M200" s="20" t="n">
        <v>-593</v>
      </c>
      <c r="N200" s="20" t="n">
        <v>-498</v>
      </c>
      <c r="V200" s="20" t="n">
        <v>-426</v>
      </c>
      <c r="W200" s="20" t="n">
        <v>-471</v>
      </c>
      <c r="X200" s="20" t="n">
        <v>-538</v>
      </c>
    </row>
    <row r="201">
      <c r="A201" s="9" t="inlineStr">
        <is>
          <t>부문 이익</t>
        </is>
      </c>
      <c r="C201" s="12" t="n">
        <v>5744</v>
      </c>
      <c r="D201" s="12" t="n">
        <v>5408</v>
      </c>
      <c r="E201" s="12" t="n">
        <v>5640</v>
      </c>
      <c r="F201" s="12" t="n">
        <v>7149</v>
      </c>
      <c r="G201" s="12" t="n">
        <v>6945</v>
      </c>
      <c r="H201" s="12" t="n">
        <v>7180</v>
      </c>
      <c r="I201" s="12" t="n">
        <v>6002</v>
      </c>
      <c r="J201" s="12" t="n">
        <v>4841</v>
      </c>
      <c r="K201" s="12" t="n">
        <v>6281</v>
      </c>
      <c r="L201" s="12" t="n">
        <v>7852</v>
      </c>
      <c r="M201" s="12" t="n">
        <v>6348</v>
      </c>
      <c r="N201" s="12" t="n">
        <v>11257</v>
      </c>
      <c r="V201" s="12" t="n">
        <v>5408</v>
      </c>
      <c r="W201" s="12" t="n">
        <v>7180</v>
      </c>
      <c r="X201" s="12" t="n">
        <v>7852</v>
      </c>
    </row>
    <row r="202">
      <c r="A202" s="43" t="inlineStr">
        <is>
          <t>OPM</t>
        </is>
      </c>
      <c r="B202" s="3" t="inlineStr">
        <is>
          <t>영업이익 ÷ 매출</t>
        </is>
      </c>
      <c r="C202" s="15">
        <f>IF(OR(C201="",C169=""),"",IF(C169&lt;=0,"",IFERROR(C201/C169,"")))</f>
        <v/>
      </c>
      <c r="D202" s="15">
        <f>IF(OR(D201="",D169=""),"",IF(D169&lt;=0,"",IFERROR(D201/D169,"")))</f>
        <v/>
      </c>
      <c r="E202" s="15">
        <f>IF(OR(E201="",E169=""),"",IF(E169&lt;=0,"",IFERROR(E201/E169,"")))</f>
        <v/>
      </c>
      <c r="F202" s="15">
        <f>IF(OR(F201="",F169=""),"",IF(F169&lt;=0,"",IFERROR(F201/F169,"")))</f>
        <v/>
      </c>
      <c r="G202" s="15">
        <f>IF(OR(G201="",G169=""),"",IF(G169&lt;=0,"",IFERROR(G201/G169,"")))</f>
        <v/>
      </c>
      <c r="H202" s="15">
        <f>IF(OR(H201="",H169=""),"",IF(H169&lt;=0,"",IFERROR(H201/H169,"")))</f>
        <v/>
      </c>
      <c r="I202" s="15">
        <f>IF(OR(I201="",I169=""),"",IF(I169&lt;=0,"",IFERROR(I201/I169,"")))</f>
        <v/>
      </c>
      <c r="J202" s="15">
        <f>IF(OR(J201="",J169=""),"",IF(J169&lt;=0,"",IFERROR(J201/J169,"")))</f>
        <v/>
      </c>
      <c r="K202" s="15">
        <f>IF(OR(K201="",K169=""),"",IF(K169&lt;=0,"",IFERROR(K201/K169,"")))</f>
        <v/>
      </c>
      <c r="L202" s="15">
        <f>IF(OR(L201="",L169=""),"",IF(L169&lt;=0,"",IFERROR(L201/L169,"")))</f>
        <v/>
      </c>
      <c r="M202" s="15">
        <f>IF(OR(M201="",M169=""),"",IF(M169&lt;=0,"",IFERROR(M201/M169,"")))</f>
        <v/>
      </c>
      <c r="N202" s="15">
        <f>IF(OR(N201="",N169=""),"",IF(N169&lt;=0,"",IFERROR(N201/N169,"")))</f>
        <v/>
      </c>
      <c r="V202" s="15">
        <f>IF(OR(V201="",V169=""),"",IF(V169&lt;=0,"",IFERROR(V201/V169,"")))</f>
        <v/>
      </c>
      <c r="W202" s="15">
        <f>IF(OR(W201="",W169=""),"",IF(W169&lt;=0,"",IFERROR(W201/W169,"")))</f>
        <v/>
      </c>
      <c r="X202" s="15">
        <f>IF(OR(X201="",X169=""),"",IF(X169&lt;=0,"",IFERROR(X201/X169,"")))</f>
        <v/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IF(OR(G201="",C201=""),"",IF(C201&lt;=0,"",IFERROR(G201/C201-1,"")))</f>
        <v/>
      </c>
      <c r="H203" s="15">
        <f>IF(OR(H201="",D201=""),"",IF(D201&lt;=0,"",IFERROR(H201/D201-1,"")))</f>
        <v/>
      </c>
      <c r="I203" s="15">
        <f>IF(OR(I201="",E201=""),"",IF(E201&lt;=0,"",IFERROR(I201/E201-1,"")))</f>
        <v/>
      </c>
      <c r="J203" s="15">
        <f>IF(OR(J201="",F201=""),"",IF(F201&lt;=0,"",IFERROR(J201/F201-1,"")))</f>
        <v/>
      </c>
      <c r="K203" s="15">
        <f>IF(OR(K201="",G201=""),"",IF(G201&lt;=0,"",IFERROR(K201/G201-1,"")))</f>
        <v/>
      </c>
      <c r="L203" s="15">
        <f>IF(OR(L201="",H201=""),"",IF(H201&lt;=0,"",IFERROR(L201/H201-1,"")))</f>
        <v/>
      </c>
      <c r="M203" s="15">
        <f>IF(OR(M201="",I201=""),"",IF(I201&lt;=0,"",IFERROR(M201/I201-1,"")))</f>
        <v/>
      </c>
      <c r="N203" s="15">
        <f>IF(OR(N201="",J201=""),"",IF(J201&lt;=0,"",IFERROR(N201/J201-1,"")))</f>
        <v/>
      </c>
      <c r="V203" s="15">
        <f>IF(OR(V201="",U201=""),"",IF(U201&lt;=0,"",IFERROR(V201/U201-1,"")))</f>
        <v/>
      </c>
      <c r="W203" s="15">
        <f>IF(OR(W201="",V201=""),"",IF(V201&lt;=0,"",IFERROR(W201/V201-1,"")))</f>
        <v/>
      </c>
      <c r="X203" s="15">
        <f>IF(OR(X201="",W201=""),"",IF(W201&lt;=0,"",IFERROR(X201/W201-1,"")))</f>
        <v/>
      </c>
    </row>
    <row r="204">
      <c r="A204" s="18" t="inlineStr">
        <is>
          <t>세라믹 부품 사업 · 외부 고객 매출</t>
        </is>
      </c>
      <c r="E204" s="20" t="n">
        <v>14320</v>
      </c>
      <c r="I204" s="20" t="n">
        <v>15248</v>
      </c>
      <c r="M204" s="20" t="n">
        <v>16785</v>
      </c>
    </row>
    <row r="205">
      <c r="A205" s="43" t="inlineStr">
        <is>
          <t>YoY</t>
        </is>
      </c>
      <c r="B205" s="3" t="inlineStr">
        <is>
          <t>전년 같은 분기·전년 대비</t>
        </is>
      </c>
      <c r="I205" s="15">
        <f>IF(OR(I204="",E204=""),"",IF(E204&lt;=0,"",IFERROR(I204/E204-1,"")))</f>
        <v/>
      </c>
      <c r="M205" s="15">
        <f>IF(OR(M204="",I204=""),"",IF(I204&lt;=0,"",IFERROR(M204/I204-1,"")))</f>
        <v/>
      </c>
    </row>
    <row r="206">
      <c r="A206" s="18" t="inlineStr">
        <is>
          <t>조명기기 사업 · 외부 고객 매출</t>
        </is>
      </c>
      <c r="E206" s="20" t="n">
        <v>1923</v>
      </c>
      <c r="I206" s="20" t="n">
        <v>2007</v>
      </c>
      <c r="M206" s="20" t="n">
        <v>2482</v>
      </c>
    </row>
    <row r="207">
      <c r="A207" s="43" t="inlineStr">
        <is>
          <t>YoY</t>
        </is>
      </c>
      <c r="B207" s="3" t="inlineStr">
        <is>
          <t>전년 같은 분기·전년 대비</t>
        </is>
      </c>
      <c r="I207" s="15">
        <f>IF(OR(I206="",E206=""),"",IF(E206&lt;=0,"",IFERROR(I206/E206-1,"")))</f>
        <v/>
      </c>
      <c r="M207" s="15">
        <f>IF(OR(M206="",I206=""),"",IF(I206&lt;=0,"",IFERROR(M206/I206-1,"")))</f>
        <v/>
      </c>
    </row>
    <row r="209">
      <c r="A209" s="16" t="inlineStr">
        <is>
          <t>현금흐름표 · 전 항목</t>
        </is>
      </c>
      <c r="B209" s="42" t="inlineStr">
        <is>
          <t>분기 = 결산기 첫날부터 누계(공시 그대로)</t>
        </is>
      </c>
      <c r="C209" s="16" t="n"/>
      <c r="D209" s="16" t="n"/>
      <c r="E209" s="16" t="n"/>
      <c r="F209" s="16" t="n"/>
      <c r="G209" s="16" t="n"/>
      <c r="H209" s="16" t="n"/>
      <c r="I209" s="16" t="n"/>
      <c r="J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  <c r="S209" s="16" t="n"/>
      <c r="T209" s="16" t="n"/>
      <c r="U209" s="16" t="n"/>
      <c r="V209" s="16" t="n"/>
      <c r="W209" s="16" t="n"/>
      <c r="X209" s="16" t="n"/>
      <c r="Y209" s="16" t="n"/>
      <c r="Z209" s="16" t="n"/>
      <c r="AA209" s="16" t="n"/>
      <c r="AB209" s="16" t="n"/>
      <c r="AC209" s="16" t="n"/>
    </row>
    <row r="210">
      <c r="A210" s="5" t="inlineStr">
        <is>
          <t>항목</t>
        </is>
      </c>
      <c r="B210" s="5" t="inlineStr">
        <is>
          <t>참고</t>
        </is>
      </c>
      <c r="C210" s="5" t="inlineStr">
        <is>
          <t>2024.3Q</t>
        </is>
      </c>
      <c r="D210" s="5" t="inlineStr">
        <is>
          <t>2024.4Q</t>
        </is>
      </c>
      <c r="E210" s="5" t="inlineStr">
        <is>
          <t>2025.1Q</t>
        </is>
      </c>
      <c r="F210" s="5" t="inlineStr">
        <is>
          <t>2025.2Q</t>
        </is>
      </c>
      <c r="G210" s="5" t="inlineStr">
        <is>
          <t>2025.3Q</t>
        </is>
      </c>
      <c r="H210" s="5" t="inlineStr">
        <is>
          <t>2025.4Q</t>
        </is>
      </c>
      <c r="I210" s="5" t="inlineStr">
        <is>
          <t>2026.1Q</t>
        </is>
      </c>
      <c r="J210" s="5" t="inlineStr">
        <is>
          <t>2026.2Q</t>
        </is>
      </c>
      <c r="K210" s="5" t="inlineStr">
        <is>
          <t>2026.3Q</t>
        </is>
      </c>
      <c r="L210" s="5" t="inlineStr">
        <is>
          <t>2026.4Q</t>
        </is>
      </c>
      <c r="M210" s="5" t="inlineStr">
        <is>
          <t>2027.1Q</t>
        </is>
      </c>
      <c r="N210" s="5" t="inlineStr">
        <is>
          <t>2027.2Q</t>
        </is>
      </c>
      <c r="O210" s="5" t="inlineStr">
        <is>
          <t>2017</t>
        </is>
      </c>
      <c r="P210" s="5" t="inlineStr">
        <is>
          <t>2018</t>
        </is>
      </c>
      <c r="Q210" s="5" t="inlineStr">
        <is>
          <t>2019</t>
        </is>
      </c>
      <c r="R210" s="5" t="inlineStr">
        <is>
          <t>2020</t>
        </is>
      </c>
      <c r="S210" s="5" t="inlineStr">
        <is>
          <t>2021</t>
        </is>
      </c>
      <c r="T210" s="5" t="inlineStr">
        <is>
          <t>2022</t>
        </is>
      </c>
      <c r="U210" s="5" t="inlineStr">
        <is>
          <t>2023</t>
        </is>
      </c>
      <c r="V210" s="5" t="inlineStr">
        <is>
          <t>2024</t>
        </is>
      </c>
      <c r="W210" s="5" t="inlineStr">
        <is>
          <t>2025</t>
        </is>
      </c>
      <c r="X210" s="5" t="inlineStr">
        <is>
          <t>2026</t>
        </is>
      </c>
      <c r="Y210" s="5" t="inlineStr">
        <is>
          <t>2027(MW)</t>
        </is>
      </c>
      <c r="Z210" s="5" t="inlineStr">
        <is>
          <t>2028(MW)</t>
        </is>
      </c>
      <c r="AA210" s="5" t="inlineStr">
        <is>
          <t>2029(MW)</t>
        </is>
      </c>
      <c r="AB210" s="5" t="inlineStr">
        <is>
          <t>2030(MW)</t>
        </is>
      </c>
      <c r="AC210" s="5" t="inlineStr">
        <is>
          <t>2031(MW)</t>
        </is>
      </c>
    </row>
    <row r="211">
      <c r="A211" s="9" t="inlineStr">
        <is>
          <t>법인세차감전 순이익</t>
        </is>
      </c>
      <c r="D211" s="12" t="n">
        <v>21016</v>
      </c>
      <c r="F211" s="12" t="n">
        <v>12128</v>
      </c>
      <c r="H211" s="12" t="n">
        <v>27159</v>
      </c>
      <c r="J211" s="12" t="n">
        <v>11097</v>
      </c>
      <c r="L211" s="12" t="n">
        <v>26418</v>
      </c>
      <c r="N211" s="12" t="n">
        <v>17590</v>
      </c>
      <c r="O211" s="12" t="n">
        <v>4301.756</v>
      </c>
      <c r="P211" s="12" t="n">
        <v>8456.634</v>
      </c>
      <c r="Q211" s="12" t="n">
        <v>9874.073</v>
      </c>
      <c r="R211" s="12" t="n">
        <v>8696.362999999999</v>
      </c>
      <c r="S211" s="12" t="n">
        <v>9884</v>
      </c>
      <c r="T211" s="12" t="n">
        <v>19331</v>
      </c>
      <c r="U211" s="12" t="n">
        <v>21164</v>
      </c>
      <c r="V211" s="12" t="n">
        <v>21016</v>
      </c>
      <c r="W211" s="12" t="n">
        <v>27159</v>
      </c>
      <c r="X211" s="12" t="n">
        <v>26418</v>
      </c>
    </row>
    <row r="212">
      <c r="A212" s="18" t="inlineStr">
        <is>
          <t>사업정리 손실</t>
        </is>
      </c>
      <c r="O212" s="20" t="n">
        <v>230.021</v>
      </c>
      <c r="P212" s="20" t="n">
        <v>100.493</v>
      </c>
      <c r="Q212" s="20" t="n">
        <v>0</v>
      </c>
      <c r="R212" s="20" t="n">
        <v>773.648</v>
      </c>
      <c r="S212" s="20" t="n">
        <v>0</v>
      </c>
    </row>
    <row r="213">
      <c r="A213" s="18" t="inlineStr">
        <is>
          <t>손상차손</t>
        </is>
      </c>
      <c r="O213" s="20" t="n">
        <v>341.765</v>
      </c>
      <c r="P213" s="20" t="n">
        <v>0</v>
      </c>
      <c r="R213" s="20" t="n">
        <v>0</v>
      </c>
      <c r="S213" s="20" t="n">
        <v>169</v>
      </c>
      <c r="T213" s="20" t="n">
        <v>0</v>
      </c>
    </row>
    <row r="214">
      <c r="A214" s="18" t="inlineStr">
        <is>
          <t>감가상각비</t>
        </is>
      </c>
      <c r="D214" s="20" t="n">
        <v>4138</v>
      </c>
      <c r="F214" s="20" t="n">
        <v>2158</v>
      </c>
      <c r="H214" s="20" t="n">
        <v>4690</v>
      </c>
      <c r="J214" s="20" t="n">
        <v>2429</v>
      </c>
      <c r="L214" s="20" t="n">
        <v>5334</v>
      </c>
      <c r="N214" s="20" t="n">
        <v>2862</v>
      </c>
      <c r="O214" s="20" t="n">
        <v>1822.468</v>
      </c>
      <c r="P214" s="20" t="n">
        <v>1846.113</v>
      </c>
      <c r="Q214" s="20" t="n">
        <v>2059.593</v>
      </c>
      <c r="R214" s="20" t="n">
        <v>2319.896</v>
      </c>
      <c r="S214" s="20" t="n">
        <v>2169</v>
      </c>
      <c r="T214" s="20" t="n">
        <v>2570</v>
      </c>
      <c r="U214" s="20" t="n">
        <v>3087</v>
      </c>
      <c r="V214" s="20" t="n">
        <v>4138</v>
      </c>
      <c r="W214" s="20" t="n">
        <v>4690</v>
      </c>
      <c r="X214" s="20" t="n">
        <v>5334</v>
      </c>
    </row>
    <row r="215">
      <c r="A215" s="18" t="inlineStr">
        <is>
          <t>영업권 상각</t>
        </is>
      </c>
      <c r="O215" s="20" t="n">
        <v>115.164</v>
      </c>
      <c r="P215" s="20" t="n">
        <v>20.74</v>
      </c>
      <c r="Q215" s="20" t="n">
        <v>17.815</v>
      </c>
      <c r="R215" s="20" t="n">
        <v>53.447</v>
      </c>
      <c r="S215" s="20" t="n">
        <v>26</v>
      </c>
      <c r="T215" s="20" t="n">
        <v>0</v>
      </c>
    </row>
    <row r="216">
      <c r="A216" s="18" t="inlineStr">
        <is>
          <t>부의 영업권 발생이익</t>
        </is>
      </c>
      <c r="O216" s="20" t="n">
        <v>0</v>
      </c>
      <c r="P216" s="20" t="n">
        <v>-8.199</v>
      </c>
      <c r="Q216" s="20" t="n">
        <v>0</v>
      </c>
    </row>
    <row r="217">
      <c r="A217" s="18" t="inlineStr">
        <is>
          <t>퇴직급여부채 증감</t>
        </is>
      </c>
      <c r="O217" s="20" t="n">
        <v>0</v>
      </c>
      <c r="P217" s="20" t="n">
        <v>-35.543</v>
      </c>
      <c r="Q217" s="20" t="n">
        <v>-53.456</v>
      </c>
      <c r="R217" s="20" t="n">
        <v>0</v>
      </c>
    </row>
    <row r="218">
      <c r="A218" s="18" t="inlineStr">
        <is>
          <t>대손충당금 증감</t>
        </is>
      </c>
      <c r="D218" s="20" t="n">
        <v>123</v>
      </c>
      <c r="F218" s="20" t="n">
        <v>-31</v>
      </c>
      <c r="H218" s="20" t="n">
        <v>-71</v>
      </c>
      <c r="J218" s="20" t="n">
        <v>-55</v>
      </c>
      <c r="L218" s="20" t="n">
        <v>-76</v>
      </c>
      <c r="N218" s="20" t="n">
        <v>-0</v>
      </c>
      <c r="O218" s="20" t="n">
        <v>53.447</v>
      </c>
      <c r="P218" s="20" t="n">
        <v>-43.13</v>
      </c>
      <c r="Q218" s="20" t="n">
        <v>-1.571</v>
      </c>
      <c r="R218" s="20" t="n">
        <v>-2.015</v>
      </c>
      <c r="S218" s="20" t="n">
        <v>1</v>
      </c>
      <c r="T218" s="20" t="n">
        <v>-34</v>
      </c>
      <c r="U218" s="20" t="n">
        <v>-0</v>
      </c>
      <c r="V218" s="20" t="n">
        <v>123</v>
      </c>
      <c r="W218" s="20" t="n">
        <v>-71</v>
      </c>
      <c r="X218" s="20" t="n">
        <v>-76</v>
      </c>
    </row>
    <row r="219">
      <c r="A219" s="18" t="inlineStr">
        <is>
          <t>환경대책 충당금 증감</t>
        </is>
      </c>
      <c r="O219" s="20" t="n">
        <v>0</v>
      </c>
      <c r="P219" s="20" t="n">
        <v>-10.09</v>
      </c>
      <c r="Q219" s="20" t="n">
        <v>-3.436</v>
      </c>
      <c r="R219" s="20" t="n">
        <v>0</v>
      </c>
    </row>
    <row r="220">
      <c r="A220" s="18" t="inlineStr">
        <is>
          <t>자회사 청산손익</t>
        </is>
      </c>
      <c r="R220" s="20" t="n">
        <v>0</v>
      </c>
      <c r="S220" s="20" t="n">
        <v>-11</v>
      </c>
      <c r="T220" s="20" t="n">
        <v>0</v>
      </c>
    </row>
    <row r="221">
      <c r="A221" s="18" t="inlineStr">
        <is>
          <t>투자유가증권 매각손익</t>
        </is>
      </c>
      <c r="D221" s="20" t="n">
        <v>-31</v>
      </c>
      <c r="F221" s="20" t="n">
        <v>0</v>
      </c>
      <c r="H221" s="20" t="n">
        <v>0</v>
      </c>
      <c r="J221" s="20" t="n">
        <v>-5</v>
      </c>
      <c r="L221" s="20" t="n">
        <v>-147</v>
      </c>
      <c r="N221" s="20" t="n">
        <v>0</v>
      </c>
      <c r="O221" s="20" t="n">
        <v>-0.554</v>
      </c>
      <c r="P221" s="20" t="n">
        <v>0</v>
      </c>
      <c r="Q221" s="20" t="n">
        <v>-3.469</v>
      </c>
      <c r="R221" s="20" t="n">
        <v>-11.986</v>
      </c>
      <c r="S221" s="20" t="n">
        <v>-65</v>
      </c>
      <c r="T221" s="20" t="n">
        <v>-0</v>
      </c>
      <c r="U221" s="20" t="n">
        <v>0</v>
      </c>
      <c r="V221" s="20" t="n">
        <v>-31</v>
      </c>
      <c r="W221" s="20" t="n">
        <v>0</v>
      </c>
      <c r="X221" s="20" t="n">
        <v>-147</v>
      </c>
    </row>
    <row r="222">
      <c r="A222" s="18" t="inlineStr">
        <is>
          <t>투자유가증권 평가손익</t>
        </is>
      </c>
      <c r="Q222" s="20" t="n">
        <v>0</v>
      </c>
      <c r="R222" s="20" t="n">
        <v>27.51</v>
      </c>
      <c r="S222" s="20" t="n">
        <v>0</v>
      </c>
    </row>
    <row r="223">
      <c r="A223" s="18" t="inlineStr">
        <is>
          <t>고정자산 제각·매각손익</t>
        </is>
      </c>
      <c r="D223" s="20" t="n">
        <v>158</v>
      </c>
      <c r="F223" s="20" t="n">
        <v>86</v>
      </c>
      <c r="H223" s="20" t="n">
        <v>105</v>
      </c>
      <c r="J223" s="20" t="n">
        <v>30</v>
      </c>
      <c r="L223" s="20" t="n">
        <v>35</v>
      </c>
      <c r="N223" s="20" t="n">
        <v>74</v>
      </c>
      <c r="O223" s="20" t="n">
        <v>100.223</v>
      </c>
      <c r="P223" s="20" t="n">
        <v>267.721</v>
      </c>
      <c r="Q223" s="20" t="n">
        <v>2.332</v>
      </c>
      <c r="R223" s="20" t="n">
        <v>48.268</v>
      </c>
      <c r="S223" s="20" t="n">
        <v>256</v>
      </c>
      <c r="T223" s="20" t="n">
        <v>13</v>
      </c>
      <c r="U223" s="20" t="n">
        <v>61</v>
      </c>
      <c r="V223" s="20" t="n">
        <v>158</v>
      </c>
      <c r="W223" s="20" t="n">
        <v>105</v>
      </c>
      <c r="X223" s="20" t="n">
        <v>35</v>
      </c>
    </row>
    <row r="224">
      <c r="A224" s="18" t="inlineStr">
        <is>
          <t>이자·배당금 수익</t>
        </is>
      </c>
      <c r="D224" s="20" t="n">
        <v>-239</v>
      </c>
      <c r="F224" s="20" t="n">
        <v>-103</v>
      </c>
      <c r="H224" s="20" t="n">
        <v>-340</v>
      </c>
      <c r="J224" s="20" t="n">
        <v>-243</v>
      </c>
      <c r="L224" s="20" t="n">
        <v>-627</v>
      </c>
      <c r="N224" s="20" t="n">
        <v>-336</v>
      </c>
      <c r="O224" s="20" t="n">
        <v>-42.172</v>
      </c>
      <c r="P224" s="20" t="n">
        <v>-38.138</v>
      </c>
      <c r="Q224" s="20" t="n">
        <v>-71.583</v>
      </c>
      <c r="R224" s="20" t="n">
        <v>-71.699</v>
      </c>
      <c r="S224" s="20" t="n">
        <v>-56</v>
      </c>
      <c r="T224" s="20" t="n">
        <v>-63</v>
      </c>
      <c r="U224" s="20" t="n">
        <v>-112</v>
      </c>
      <c r="V224" s="20" t="n">
        <v>-239</v>
      </c>
      <c r="W224" s="20" t="n">
        <v>-340</v>
      </c>
      <c r="X224" s="20" t="n">
        <v>-627</v>
      </c>
    </row>
    <row r="225">
      <c r="A225" s="18" t="inlineStr">
        <is>
          <t>이자비용</t>
        </is>
      </c>
      <c r="D225" s="20" t="n">
        <v>1</v>
      </c>
      <c r="F225" s="20" t="n">
        <v>0</v>
      </c>
      <c r="H225" s="20" t="n">
        <v>0</v>
      </c>
      <c r="J225" s="20" t="n">
        <v>0</v>
      </c>
      <c r="L225" s="20" t="n">
        <v>0</v>
      </c>
      <c r="Q225" s="20" t="n">
        <v>0</v>
      </c>
      <c r="R225" s="20" t="n">
        <v>0.305</v>
      </c>
      <c r="S225" s="20" t="n">
        <v>6</v>
      </c>
      <c r="T225" s="20" t="n">
        <v>7</v>
      </c>
      <c r="U225" s="20" t="n">
        <v>5</v>
      </c>
      <c r="V225" s="20" t="n">
        <v>1</v>
      </c>
      <c r="W225" s="20" t="n">
        <v>0</v>
      </c>
      <c r="X225" s="20" t="n">
        <v>0</v>
      </c>
    </row>
    <row r="226">
      <c r="A226" s="18" t="inlineStr">
        <is>
          <t>보조금 수입</t>
        </is>
      </c>
      <c r="D226" s="20" t="n">
        <v>-209</v>
      </c>
      <c r="F226" s="20" t="n">
        <v>-2576</v>
      </c>
      <c r="H226" s="20" t="n">
        <v>-2592</v>
      </c>
      <c r="J226" s="20" t="n">
        <v>-87</v>
      </c>
      <c r="L226" s="20" t="n">
        <v>-42</v>
      </c>
      <c r="N226" s="20" t="n">
        <v>-1347</v>
      </c>
      <c r="S226" s="20" t="n">
        <v>0</v>
      </c>
      <c r="T226" s="20" t="n">
        <v>-481</v>
      </c>
      <c r="U226" s="20" t="n">
        <v>-515</v>
      </c>
      <c r="V226" s="20" t="n">
        <v>-209</v>
      </c>
      <c r="W226" s="20" t="n">
        <v>-2592</v>
      </c>
      <c r="X226" s="20" t="n">
        <v>-42</v>
      </c>
    </row>
    <row r="227">
      <c r="A227" s="18" t="inlineStr">
        <is>
          <t>보상금 수취</t>
        </is>
      </c>
      <c r="S227" s="20" t="n">
        <v>0</v>
      </c>
      <c r="T227" s="20" t="n">
        <v>-186</v>
      </c>
      <c r="U227" s="20" t="n">
        <v>0</v>
      </c>
    </row>
    <row r="228">
      <c r="A228" s="18" t="inlineStr">
        <is>
          <t>외환차손익</t>
        </is>
      </c>
      <c r="O228" s="20" t="n">
        <v>189.229</v>
      </c>
      <c r="P228" s="20" t="n">
        <v>120.094</v>
      </c>
      <c r="Q228" s="20" t="n">
        <v>-97.148</v>
      </c>
      <c r="R228" s="20" t="n">
        <v>-7.174</v>
      </c>
      <c r="S228" s="20" t="n">
        <v>-0</v>
      </c>
      <c r="T228" s="20" t="n">
        <v>-1</v>
      </c>
    </row>
    <row r="229">
      <c r="A229" s="18" t="inlineStr">
        <is>
          <t>고정자산 압축손실</t>
        </is>
      </c>
      <c r="D229" s="20" t="n">
        <v>202</v>
      </c>
      <c r="F229" s="20" t="n">
        <v>2360</v>
      </c>
      <c r="H229" s="20" t="n">
        <v>2360</v>
      </c>
      <c r="J229" s="20" t="n">
        <v>42</v>
      </c>
      <c r="L229" s="20" t="n">
        <v>42</v>
      </c>
      <c r="N229" s="20" t="n">
        <v>1323</v>
      </c>
      <c r="S229" s="20" t="n">
        <v>0</v>
      </c>
      <c r="T229" s="20" t="n">
        <v>463</v>
      </c>
      <c r="U229" s="20" t="n">
        <v>481</v>
      </c>
      <c r="V229" s="20" t="n">
        <v>202</v>
      </c>
      <c r="W229" s="20" t="n">
        <v>2360</v>
      </c>
      <c r="X229" s="20" t="n">
        <v>42</v>
      </c>
    </row>
    <row r="230">
      <c r="A230" s="18" t="inlineStr">
        <is>
          <t>매출채권 증감</t>
        </is>
      </c>
      <c r="D230" s="20" t="n">
        <v>-3106</v>
      </c>
      <c r="F230" s="20" t="n">
        <v>333</v>
      </c>
      <c r="H230" s="20" t="n">
        <v>2248</v>
      </c>
      <c r="J230" s="20" t="n">
        <v>1599</v>
      </c>
      <c r="L230" s="20" t="n">
        <v>-1043</v>
      </c>
      <c r="N230" s="20" t="n">
        <v>-4920</v>
      </c>
      <c r="O230" s="20" t="n">
        <v>-804.838</v>
      </c>
      <c r="P230" s="20" t="n">
        <v>-1214.351</v>
      </c>
      <c r="Q230" s="20" t="n">
        <v>-333.772</v>
      </c>
      <c r="R230" s="20" t="n">
        <v>762.701</v>
      </c>
      <c r="S230" s="20" t="n">
        <v>-168</v>
      </c>
      <c r="T230" s="20" t="n">
        <v>-3883</v>
      </c>
      <c r="U230" s="20" t="n">
        <v>2388</v>
      </c>
      <c r="V230" s="20" t="n">
        <v>-3106</v>
      </c>
      <c r="W230" s="20" t="n">
        <v>2248</v>
      </c>
      <c r="X230" s="20" t="n">
        <v>-1043</v>
      </c>
    </row>
    <row r="231">
      <c r="A231" s="18" t="inlineStr">
        <is>
          <t>재고자산 증감</t>
        </is>
      </c>
      <c r="D231" s="20" t="n">
        <v>-784</v>
      </c>
      <c r="F231" s="20" t="n">
        <v>-334</v>
      </c>
      <c r="H231" s="20" t="n">
        <v>-2001</v>
      </c>
      <c r="J231" s="20" t="n">
        <v>-733</v>
      </c>
      <c r="L231" s="20" t="n">
        <v>-4257</v>
      </c>
      <c r="N231" s="20" t="n">
        <v>-5993</v>
      </c>
      <c r="O231" s="20" t="n">
        <v>-58.932</v>
      </c>
      <c r="P231" s="20" t="n">
        <v>-609.592</v>
      </c>
      <c r="Q231" s="20" t="n">
        <v>-1455.567</v>
      </c>
      <c r="R231" s="20" t="n">
        <v>2084.047</v>
      </c>
      <c r="S231" s="20" t="n">
        <v>872</v>
      </c>
      <c r="T231" s="20" t="n">
        <v>-1527</v>
      </c>
      <c r="U231" s="20" t="n">
        <v>-917</v>
      </c>
      <c r="V231" s="20" t="n">
        <v>-784</v>
      </c>
      <c r="W231" s="20" t="n">
        <v>-2001</v>
      </c>
      <c r="X231" s="20" t="n">
        <v>-4257</v>
      </c>
    </row>
    <row r="232">
      <c r="A232" s="18" t="inlineStr">
        <is>
          <t>매입채무 증감</t>
        </is>
      </c>
      <c r="D232" s="20" t="n">
        <v>441</v>
      </c>
      <c r="F232" s="20" t="n">
        <v>-1150</v>
      </c>
      <c r="H232" s="20" t="n">
        <v>-944</v>
      </c>
      <c r="J232" s="20" t="n">
        <v>164</v>
      </c>
      <c r="L232" s="20" t="n">
        <v>1261</v>
      </c>
      <c r="N232" s="20" t="n">
        <v>-239</v>
      </c>
      <c r="O232" s="20" t="n">
        <v>145.566</v>
      </c>
      <c r="P232" s="20" t="n">
        <v>267.349</v>
      </c>
      <c r="Q232" s="20" t="n">
        <v>706.4589999999999</v>
      </c>
      <c r="R232" s="20" t="n">
        <v>-1016.862</v>
      </c>
      <c r="S232" s="20" t="n">
        <v>664</v>
      </c>
      <c r="T232" s="20" t="n">
        <v>1519</v>
      </c>
      <c r="U232" s="20" t="n">
        <v>-1324</v>
      </c>
      <c r="V232" s="20" t="n">
        <v>441</v>
      </c>
      <c r="W232" s="20" t="n">
        <v>-944</v>
      </c>
      <c r="X232" s="20" t="n">
        <v>1261</v>
      </c>
    </row>
    <row r="233">
      <c r="A233" s="18" t="inlineStr">
        <is>
          <t>기타</t>
        </is>
      </c>
      <c r="D233" s="20" t="n">
        <v>840</v>
      </c>
      <c r="F233" s="20" t="n">
        <v>1020</v>
      </c>
      <c r="H233" s="20" t="n">
        <v>409</v>
      </c>
      <c r="J233" s="20" t="n">
        <v>-338</v>
      </c>
      <c r="L233" s="20" t="n">
        <v>-1355</v>
      </c>
      <c r="N233" s="20" t="n">
        <v>1319</v>
      </c>
      <c r="O233" s="20" t="n">
        <v>-62.636</v>
      </c>
      <c r="P233" s="20" t="n">
        <v>220.713</v>
      </c>
      <c r="Q233" s="20" t="n">
        <v>-128.574</v>
      </c>
      <c r="R233" s="20" t="n">
        <v>716.742</v>
      </c>
      <c r="S233" s="20" t="n">
        <v>-1307</v>
      </c>
      <c r="T233" s="20" t="n">
        <v>277</v>
      </c>
      <c r="U233" s="20" t="n">
        <v>-1007</v>
      </c>
      <c r="V233" s="20" t="n">
        <v>840</v>
      </c>
      <c r="W233" s="20" t="n">
        <v>409</v>
      </c>
      <c r="X233" s="20" t="n">
        <v>-1355</v>
      </c>
    </row>
    <row r="234">
      <c r="A234" s="18" t="inlineStr">
        <is>
          <t>소계</t>
        </is>
      </c>
      <c r="D234" s="20" t="n">
        <v>22551</v>
      </c>
      <c r="F234" s="20" t="n">
        <v>13892</v>
      </c>
      <c r="H234" s="20" t="n">
        <v>31023</v>
      </c>
      <c r="J234" s="20" t="n">
        <v>13899</v>
      </c>
      <c r="L234" s="20" t="n">
        <v>25542</v>
      </c>
      <c r="N234" s="20" t="n">
        <v>10332</v>
      </c>
      <c r="O234" s="20" t="n">
        <v>6330.509</v>
      </c>
      <c r="P234" s="20" t="n">
        <v>9340.815000000001</v>
      </c>
      <c r="Q234" s="20" t="n">
        <v>10511.694</v>
      </c>
      <c r="R234" s="20" t="n">
        <v>14373.193</v>
      </c>
      <c r="S234" s="20" t="n">
        <v>12439</v>
      </c>
      <c r="T234" s="20" t="n">
        <v>18005</v>
      </c>
      <c r="U234" s="20" t="n">
        <v>23310</v>
      </c>
      <c r="V234" s="20" t="n">
        <v>22551</v>
      </c>
      <c r="W234" s="20" t="n">
        <v>31023</v>
      </c>
      <c r="X234" s="20" t="n">
        <v>25542</v>
      </c>
    </row>
    <row r="235">
      <c r="A235" s="18" t="inlineStr">
        <is>
          <t>이자·배당금 수취</t>
        </is>
      </c>
      <c r="D235" s="20" t="n">
        <v>213</v>
      </c>
      <c r="F235" s="20" t="n">
        <v>103</v>
      </c>
      <c r="H235" s="20" t="n">
        <v>340</v>
      </c>
      <c r="J235" s="20" t="n">
        <v>243</v>
      </c>
      <c r="L235" s="20" t="n">
        <v>627</v>
      </c>
      <c r="N235" s="20" t="n">
        <v>336</v>
      </c>
      <c r="O235" s="20" t="n">
        <v>44.079</v>
      </c>
      <c r="P235" s="20" t="n">
        <v>38.138</v>
      </c>
      <c r="Q235" s="20" t="n">
        <v>71.57599999999999</v>
      </c>
      <c r="R235" s="20" t="n">
        <v>71.69499999999999</v>
      </c>
      <c r="S235" s="20" t="n">
        <v>56</v>
      </c>
      <c r="T235" s="20" t="n">
        <v>63</v>
      </c>
      <c r="U235" s="20" t="n">
        <v>112</v>
      </c>
      <c r="V235" s="20" t="n">
        <v>213</v>
      </c>
      <c r="W235" s="20" t="n">
        <v>340</v>
      </c>
      <c r="X235" s="20" t="n">
        <v>627</v>
      </c>
    </row>
    <row r="236">
      <c r="A236" s="18" t="inlineStr">
        <is>
          <t>이자 지급</t>
        </is>
      </c>
      <c r="D236" s="20" t="n">
        <v>-1</v>
      </c>
      <c r="F236" s="20" t="n">
        <v>-0</v>
      </c>
      <c r="H236" s="20" t="n">
        <v>-0</v>
      </c>
      <c r="J236" s="20" t="n">
        <v>0</v>
      </c>
      <c r="L236" s="20" t="n">
        <v>-0</v>
      </c>
      <c r="O236" s="20" t="n">
        <v>-0.863</v>
      </c>
      <c r="P236" s="20" t="n">
        <v>-0.007</v>
      </c>
      <c r="Q236" s="20" t="n">
        <v>0</v>
      </c>
      <c r="R236" s="20" t="n">
        <v>-0.305</v>
      </c>
      <c r="S236" s="20" t="n">
        <v>-7</v>
      </c>
      <c r="T236" s="20" t="n">
        <v>-7</v>
      </c>
      <c r="U236" s="20" t="n">
        <v>-5</v>
      </c>
      <c r="V236" s="20" t="n">
        <v>-1</v>
      </c>
      <c r="W236" s="20" t="n">
        <v>-0</v>
      </c>
      <c r="X236" s="20" t="n">
        <v>-0</v>
      </c>
    </row>
    <row r="237">
      <c r="A237" s="18" t="inlineStr">
        <is>
          <t>법인세 납부</t>
        </is>
      </c>
      <c r="O237" s="20" t="n">
        <v>-1024.751</v>
      </c>
      <c r="P237" s="20" t="n">
        <v>-1834.517</v>
      </c>
      <c r="Q237" s="20" t="n">
        <v>-3615.982</v>
      </c>
      <c r="R237" s="20" t="n">
        <v>-3725.511</v>
      </c>
    </row>
    <row r="238">
      <c r="A238" s="18" t="inlineStr">
        <is>
          <t>법인세 납부·환급</t>
        </is>
      </c>
      <c r="D238" s="20" t="n">
        <v>-5555</v>
      </c>
      <c r="F238" s="20" t="n">
        <v>-2886</v>
      </c>
      <c r="H238" s="20" t="n">
        <v>-6011</v>
      </c>
      <c r="J238" s="20" t="n">
        <v>-5065</v>
      </c>
      <c r="L238" s="20" t="n">
        <v>-9235</v>
      </c>
      <c r="N238" s="20" t="n">
        <v>-3982</v>
      </c>
      <c r="R238" s="20" t="n">
        <v>-3725.511</v>
      </c>
      <c r="S238" s="20" t="n">
        <v>-1776</v>
      </c>
      <c r="T238" s="20" t="n">
        <v>-3489</v>
      </c>
      <c r="U238" s="20" t="n">
        <v>-7769</v>
      </c>
      <c r="V238" s="20" t="n">
        <v>-5555</v>
      </c>
      <c r="W238" s="20" t="n">
        <v>-6011</v>
      </c>
      <c r="X238" s="20" t="n">
        <v>-9235</v>
      </c>
    </row>
    <row r="239">
      <c r="A239" s="18" t="inlineStr">
        <is>
          <t>보상금 수취</t>
        </is>
      </c>
      <c r="D239" s="20" t="n">
        <v>14</v>
      </c>
      <c r="H239" s="20" t="n">
        <v>0</v>
      </c>
      <c r="S239" s="20" t="n">
        <v>0</v>
      </c>
      <c r="T239" s="20" t="n">
        <v>186</v>
      </c>
      <c r="U239" s="20" t="n">
        <v>0</v>
      </c>
      <c r="V239" s="20" t="n">
        <v>14</v>
      </c>
      <c r="W239" s="20" t="n">
        <v>0</v>
      </c>
    </row>
    <row r="240">
      <c r="A240" s="9" t="inlineStr">
        <is>
          <t>영업활동 현금흐름</t>
        </is>
      </c>
      <c r="D240" s="12" t="n">
        <v>17222</v>
      </c>
      <c r="F240" s="12" t="n">
        <v>11109</v>
      </c>
      <c r="H240" s="12" t="n">
        <v>25351</v>
      </c>
      <c r="J240" s="12" t="n">
        <v>9077</v>
      </c>
      <c r="L240" s="12" t="n">
        <v>16933</v>
      </c>
      <c r="N240" s="12" t="n">
        <v>6686</v>
      </c>
      <c r="O240" s="12" t="n">
        <v>5348.974</v>
      </c>
      <c r="P240" s="12" t="n">
        <v>7544.428</v>
      </c>
      <c r="Q240" s="12" t="n">
        <v>6967.287</v>
      </c>
      <c r="R240" s="12" t="n">
        <v>10719.072</v>
      </c>
      <c r="S240" s="12" t="n">
        <v>10713</v>
      </c>
      <c r="T240" s="12" t="n">
        <v>14757</v>
      </c>
      <c r="U240" s="12" t="n">
        <v>15647</v>
      </c>
      <c r="V240" s="12" t="n">
        <v>17222</v>
      </c>
      <c r="W240" s="12" t="n">
        <v>25351</v>
      </c>
      <c r="X240" s="12" t="n">
        <v>16933</v>
      </c>
    </row>
    <row r="241">
      <c r="A241" s="18" t="inlineStr">
        <is>
          <t>정기예금 순증감</t>
        </is>
      </c>
      <c r="D241" s="20" t="n">
        <v>-9</v>
      </c>
      <c r="H241" s="20" t="n">
        <v>0</v>
      </c>
      <c r="L241" s="20" t="n">
        <v>48</v>
      </c>
      <c r="O241" s="20" t="n">
        <v>635.35</v>
      </c>
      <c r="P241" s="20" t="n">
        <v>-5.216</v>
      </c>
      <c r="Q241" s="20" t="n">
        <v>13.794</v>
      </c>
      <c r="R241" s="20" t="n">
        <v>-40.71</v>
      </c>
      <c r="S241" s="20" t="n">
        <v>32</v>
      </c>
      <c r="T241" s="20" t="n">
        <v>-12</v>
      </c>
      <c r="U241" s="20" t="n">
        <v>31</v>
      </c>
      <c r="V241" s="20" t="n">
        <v>-9</v>
      </c>
      <c r="W241" s="20" t="n">
        <v>0</v>
      </c>
      <c r="X241" s="20" t="n">
        <v>48</v>
      </c>
    </row>
    <row r="242">
      <c r="A242" s="18" t="inlineStr">
        <is>
          <t>정기예금 인출</t>
        </is>
      </c>
      <c r="F242" s="20" t="n">
        <v>0</v>
      </c>
      <c r="J242" s="20" t="n">
        <v>23</v>
      </c>
      <c r="N242" s="20" t="n">
        <v>0</v>
      </c>
    </row>
    <row r="243">
      <c r="A243" s="18" t="inlineStr">
        <is>
          <t>유형자산 취득(설비투자)</t>
        </is>
      </c>
      <c r="D243" s="20" t="n">
        <v>-11167</v>
      </c>
      <c r="F243" s="20" t="n">
        <v>-3828</v>
      </c>
      <c r="H243" s="20" t="n">
        <v>-9912</v>
      </c>
      <c r="J243" s="20" t="n">
        <v>-8471</v>
      </c>
      <c r="L243" s="20" t="n">
        <v>-22474</v>
      </c>
      <c r="N243" s="20" t="n">
        <v>-8984</v>
      </c>
      <c r="O243" s="20" t="n">
        <v>-1969.003</v>
      </c>
      <c r="P243" s="20" t="n">
        <v>-2671.422</v>
      </c>
      <c r="Q243" s="20" t="n">
        <v>-4320.988</v>
      </c>
      <c r="R243" s="20" t="n">
        <v>-5408.367</v>
      </c>
      <c r="S243" s="20" t="n">
        <v>-5536</v>
      </c>
      <c r="T243" s="20" t="n">
        <v>-3738</v>
      </c>
      <c r="U243" s="20" t="n">
        <v>-8697</v>
      </c>
      <c r="V243" s="20" t="n">
        <v>-11167</v>
      </c>
      <c r="W243" s="20" t="n">
        <v>-9912</v>
      </c>
      <c r="X243" s="20" t="n">
        <v>-22474</v>
      </c>
    </row>
    <row r="244">
      <c r="A244" s="18" t="inlineStr">
        <is>
          <t>유형자산 제각 지출</t>
        </is>
      </c>
      <c r="D244" s="20" t="n">
        <v>-83</v>
      </c>
      <c r="F244" s="20" t="n">
        <v>-72</v>
      </c>
      <c r="H244" s="20" t="n">
        <v>-74</v>
      </c>
      <c r="J244" s="20" t="n">
        <v>0</v>
      </c>
      <c r="L244" s="20" t="n">
        <v>0</v>
      </c>
      <c r="U244" s="20" t="n">
        <v>0</v>
      </c>
      <c r="V244" s="20" t="n">
        <v>-83</v>
      </c>
      <c r="W244" s="20" t="n">
        <v>-74</v>
      </c>
      <c r="X244" s="20" t="n">
        <v>0</v>
      </c>
    </row>
    <row r="245">
      <c r="A245" s="18" t="inlineStr">
        <is>
          <t>유형자산 매각</t>
        </is>
      </c>
      <c r="D245" s="20" t="n">
        <v>8</v>
      </c>
      <c r="F245" s="20" t="n">
        <v>0</v>
      </c>
      <c r="H245" s="20" t="n">
        <v>0</v>
      </c>
      <c r="J245" s="20" t="n">
        <v>9</v>
      </c>
      <c r="N245" s="20" t="n">
        <v>18</v>
      </c>
      <c r="O245" s="20" t="n">
        <v>12.4</v>
      </c>
      <c r="P245" s="20" t="n">
        <v>13.753</v>
      </c>
      <c r="Q245" s="20" t="n">
        <v>18.459</v>
      </c>
      <c r="R245" s="20" t="n">
        <v>156.643</v>
      </c>
      <c r="S245" s="20" t="n">
        <v>4</v>
      </c>
      <c r="T245" s="20" t="n">
        <v>6</v>
      </c>
      <c r="U245" s="20" t="n">
        <v>0</v>
      </c>
      <c r="V245" s="20" t="n">
        <v>8</v>
      </c>
      <c r="W245" s="20" t="n">
        <v>0</v>
      </c>
    </row>
    <row r="246">
      <c r="A246" s="18" t="inlineStr">
        <is>
          <t>무형자산 취득</t>
        </is>
      </c>
      <c r="D246" s="20" t="n">
        <v>-74</v>
      </c>
      <c r="F246" s="20" t="n">
        <v>-93</v>
      </c>
      <c r="H246" s="20" t="n">
        <v>-185</v>
      </c>
      <c r="J246" s="20" t="n">
        <v>-29</v>
      </c>
      <c r="L246" s="20" t="n">
        <v>-50</v>
      </c>
      <c r="N246" s="20" t="n">
        <v>-82</v>
      </c>
      <c r="O246" s="20" t="n">
        <v>-39.469</v>
      </c>
      <c r="P246" s="20" t="n">
        <v>-31.443</v>
      </c>
      <c r="Q246" s="20" t="n">
        <v>-58.791</v>
      </c>
      <c r="R246" s="20" t="n">
        <v>-32.104</v>
      </c>
      <c r="S246" s="20" t="n">
        <v>-40</v>
      </c>
      <c r="T246" s="20" t="n">
        <v>-70</v>
      </c>
      <c r="U246" s="20" t="n">
        <v>-27</v>
      </c>
      <c r="V246" s="20" t="n">
        <v>-74</v>
      </c>
      <c r="W246" s="20" t="n">
        <v>-185</v>
      </c>
      <c r="X246" s="20" t="n">
        <v>-50</v>
      </c>
    </row>
    <row r="247">
      <c r="A247" s="18" t="inlineStr">
        <is>
          <t>무형자산 매각 수입</t>
        </is>
      </c>
      <c r="O247" s="20" t="n">
        <v>120</v>
      </c>
      <c r="P247" s="20" t="n">
        <v>0</v>
      </c>
    </row>
    <row r="248">
      <c r="A248" s="18" t="inlineStr">
        <is>
          <t>자회사 주식 취득</t>
        </is>
      </c>
      <c r="O248" s="20" t="n">
        <v>-2.536</v>
      </c>
      <c r="P248" s="20" t="n">
        <v>-24.759</v>
      </c>
      <c r="Q248" s="20" t="n">
        <v>0</v>
      </c>
    </row>
    <row r="249">
      <c r="A249" s="18" t="inlineStr">
        <is>
          <t>사업양수 지출</t>
        </is>
      </c>
      <c r="O249" s="20" t="n">
        <v>0</v>
      </c>
      <c r="P249" s="20" t="n">
        <v>-130.272</v>
      </c>
      <c r="Q249" s="20" t="n">
        <v>-1603.834</v>
      </c>
      <c r="R249" s="20" t="n">
        <v>0</v>
      </c>
    </row>
    <row r="250">
      <c r="A250" s="18" t="inlineStr">
        <is>
          <t>투자유가증권 취득</t>
        </is>
      </c>
      <c r="D250" s="20" t="n">
        <v>-123</v>
      </c>
      <c r="F250" s="20" t="n">
        <v>-133</v>
      </c>
      <c r="H250" s="20" t="n">
        <v>-219</v>
      </c>
      <c r="J250" s="20" t="n">
        <v>-40</v>
      </c>
      <c r="L250" s="20" t="n">
        <v>-42</v>
      </c>
      <c r="N250" s="20" t="n">
        <v>-1</v>
      </c>
      <c r="O250" s="20" t="n">
        <v>-3.79</v>
      </c>
      <c r="P250" s="20" t="n">
        <v>-4.175</v>
      </c>
      <c r="Q250" s="20" t="n">
        <v>-10.152</v>
      </c>
      <c r="R250" s="20" t="n">
        <v>-4.043</v>
      </c>
      <c r="S250" s="20" t="n">
        <v>-3</v>
      </c>
      <c r="T250" s="20" t="n">
        <v>-235</v>
      </c>
      <c r="U250" s="20" t="n">
        <v>-286</v>
      </c>
      <c r="V250" s="20" t="n">
        <v>-123</v>
      </c>
      <c r="W250" s="20" t="n">
        <v>-219</v>
      </c>
      <c r="X250" s="20" t="n">
        <v>-42</v>
      </c>
    </row>
    <row r="251">
      <c r="A251" s="18" t="inlineStr">
        <is>
          <t>투자유가증권 매각</t>
        </is>
      </c>
      <c r="D251" s="20" t="n">
        <v>320</v>
      </c>
      <c r="F251" s="20" t="n">
        <v>0</v>
      </c>
      <c r="H251" s="20" t="n">
        <v>0</v>
      </c>
      <c r="J251" s="20" t="n">
        <v>189</v>
      </c>
      <c r="L251" s="20" t="n">
        <v>580</v>
      </c>
      <c r="N251" s="20" t="n">
        <v>0</v>
      </c>
      <c r="O251" s="20" t="n">
        <v>1.21</v>
      </c>
      <c r="P251" s="20" t="n">
        <v>0</v>
      </c>
      <c r="Q251" s="20" t="n">
        <v>9.473000000000001</v>
      </c>
      <c r="R251" s="20" t="n">
        <v>32.504</v>
      </c>
      <c r="S251" s="20" t="n">
        <v>109</v>
      </c>
      <c r="T251" s="20" t="n">
        <v>232</v>
      </c>
      <c r="U251" s="20" t="n">
        <v>0</v>
      </c>
      <c r="V251" s="20" t="n">
        <v>320</v>
      </c>
      <c r="W251" s="20" t="n">
        <v>0</v>
      </c>
      <c r="X251" s="20" t="n">
        <v>580</v>
      </c>
    </row>
    <row r="252">
      <c r="A252" s="18" t="inlineStr">
        <is>
          <t>자회사 청산 수입</t>
        </is>
      </c>
      <c r="R252" s="20" t="n">
        <v>0</v>
      </c>
      <c r="S252" s="20" t="n">
        <v>34</v>
      </c>
      <c r="T252" s="20" t="n">
        <v>0</v>
      </c>
    </row>
    <row r="253">
      <c r="A253" s="18" t="inlineStr">
        <is>
          <t>보조금 수취</t>
        </is>
      </c>
      <c r="D253" s="20" t="n">
        <v>309</v>
      </c>
      <c r="F253" s="20" t="n">
        <v>2676</v>
      </c>
      <c r="H253" s="20" t="n">
        <v>2692</v>
      </c>
      <c r="J253" s="20" t="n">
        <v>187</v>
      </c>
      <c r="L253" s="20" t="n">
        <v>142</v>
      </c>
      <c r="N253" s="20" t="n">
        <v>2497</v>
      </c>
      <c r="S253" s="20" t="n">
        <v>0</v>
      </c>
      <c r="T253" s="20" t="n">
        <v>285</v>
      </c>
      <c r="U253" s="20" t="n">
        <v>211</v>
      </c>
      <c r="V253" s="20" t="n">
        <v>309</v>
      </c>
      <c r="W253" s="20" t="n">
        <v>2692</v>
      </c>
      <c r="X253" s="20" t="n">
        <v>142</v>
      </c>
    </row>
    <row r="254">
      <c r="A254" s="18" t="inlineStr">
        <is>
          <t>기타</t>
        </is>
      </c>
      <c r="D254" s="20" t="n">
        <v>5</v>
      </c>
      <c r="F254" s="20" t="n">
        <v>5</v>
      </c>
      <c r="H254" s="20" t="n">
        <v>16</v>
      </c>
      <c r="J254" s="20" t="n">
        <v>30</v>
      </c>
      <c r="L254" s="20" t="n">
        <v>38</v>
      </c>
      <c r="N254" s="20" t="n">
        <v>-80</v>
      </c>
      <c r="O254" s="20" t="n">
        <v>-1.858</v>
      </c>
      <c r="P254" s="20" t="n">
        <v>1.969</v>
      </c>
      <c r="Q254" s="20" t="n">
        <v>260.967</v>
      </c>
      <c r="R254" s="20" t="n">
        <v>23.591</v>
      </c>
      <c r="S254" s="20" t="n">
        <v>22</v>
      </c>
      <c r="T254" s="20" t="n">
        <v>9</v>
      </c>
      <c r="U254" s="20" t="n">
        <v>12</v>
      </c>
      <c r="V254" s="20" t="n">
        <v>5</v>
      </c>
      <c r="W254" s="20" t="n">
        <v>16</v>
      </c>
      <c r="X254" s="20" t="n">
        <v>38</v>
      </c>
    </row>
    <row r="255">
      <c r="A255" s="9" t="inlineStr">
        <is>
          <t>투자활동 현금흐름</t>
        </is>
      </c>
      <c r="D255" s="12" t="n">
        <v>-10814</v>
      </c>
      <c r="F255" s="12" t="n">
        <v>-1446</v>
      </c>
      <c r="H255" s="12" t="n">
        <v>-7682</v>
      </c>
      <c r="J255" s="12" t="n">
        <v>-8100</v>
      </c>
      <c r="L255" s="12" t="n">
        <v>-21757</v>
      </c>
      <c r="N255" s="12" t="n">
        <v>-6632</v>
      </c>
      <c r="O255" s="12" t="n">
        <v>-1247.697</v>
      </c>
      <c r="P255" s="12" t="n">
        <v>-2851.565</v>
      </c>
      <c r="Q255" s="12" t="n">
        <v>-5691.072</v>
      </c>
      <c r="R255" s="12" t="n">
        <v>-5272.485</v>
      </c>
      <c r="S255" s="12" t="n">
        <v>-5376</v>
      </c>
      <c r="T255" s="12" t="n">
        <v>-3522</v>
      </c>
      <c r="U255" s="12" t="n">
        <v>-8755</v>
      </c>
      <c r="V255" s="12" t="n">
        <v>-10814</v>
      </c>
      <c r="W255" s="12" t="n">
        <v>-7682</v>
      </c>
      <c r="X255" s="12" t="n">
        <v>-21757</v>
      </c>
    </row>
    <row r="256">
      <c r="A256" s="18" t="inlineStr">
        <is>
          <t>단기차입</t>
        </is>
      </c>
      <c r="Q256" s="20" t="n">
        <v>0</v>
      </c>
      <c r="R256" s="20" t="n">
        <v>900</v>
      </c>
      <c r="S256" s="20" t="n">
        <v>100</v>
      </c>
      <c r="T256" s="20" t="n">
        <v>0</v>
      </c>
    </row>
    <row r="257">
      <c r="A257" s="18" t="inlineStr">
        <is>
          <t>단기차입금 상환</t>
        </is>
      </c>
      <c r="D257" s="20" t="n">
        <v>0</v>
      </c>
      <c r="R257" s="20" t="n">
        <v>0</v>
      </c>
      <c r="S257" s="20" t="n">
        <v>-900</v>
      </c>
      <c r="T257" s="20" t="n">
        <v>0</v>
      </c>
      <c r="U257" s="20" t="n">
        <v>-100</v>
      </c>
      <c r="V257" s="20" t="n">
        <v>0</v>
      </c>
    </row>
    <row r="258">
      <c r="A258" s="18" t="inlineStr">
        <is>
          <t>장기차입</t>
        </is>
      </c>
      <c r="Q258" s="20" t="n">
        <v>0</v>
      </c>
      <c r="R258" s="20" t="n">
        <v>1200</v>
      </c>
      <c r="S258" s="20" t="n">
        <v>800</v>
      </c>
      <c r="T258" s="20" t="n">
        <v>0</v>
      </c>
    </row>
    <row r="259">
      <c r="A259" s="18" t="inlineStr">
        <is>
          <t>장기차입금 상환</t>
        </is>
      </c>
      <c r="D259" s="20" t="n">
        <v>-333</v>
      </c>
      <c r="F259" s="20" t="n">
        <v>0</v>
      </c>
      <c r="H259" s="20" t="n">
        <v>-400</v>
      </c>
      <c r="L259" s="20" t="n">
        <v>0</v>
      </c>
      <c r="O259" s="20" t="n">
        <v>-230.593</v>
      </c>
      <c r="P259" s="20" t="n">
        <v>-22.8</v>
      </c>
      <c r="Q259" s="20" t="n">
        <v>0</v>
      </c>
      <c r="R259" s="20" t="n">
        <v>0</v>
      </c>
      <c r="S259" s="20" t="n">
        <v>-133</v>
      </c>
      <c r="T259" s="20" t="n">
        <v>-266</v>
      </c>
      <c r="U259" s="20" t="n">
        <v>-866</v>
      </c>
      <c r="V259" s="20" t="n">
        <v>-333</v>
      </c>
      <c r="W259" s="20" t="n">
        <v>-400</v>
      </c>
      <c r="X259" s="20" t="n">
        <v>0</v>
      </c>
    </row>
    <row r="260">
      <c r="A260" s="18" t="inlineStr">
        <is>
          <t>자기주식 취득</t>
        </is>
      </c>
      <c r="D260" s="20" t="n">
        <v>-5</v>
      </c>
      <c r="F260" s="20" t="n">
        <v>-0</v>
      </c>
      <c r="H260" s="20" t="n">
        <v>-1</v>
      </c>
      <c r="J260" s="20" t="n">
        <v>-4</v>
      </c>
      <c r="L260" s="20" t="n">
        <v>-6</v>
      </c>
      <c r="N260" s="20" t="n">
        <v>-2</v>
      </c>
      <c r="O260" s="20" t="n">
        <v>-0.326</v>
      </c>
      <c r="P260" s="20" t="n">
        <v>-126.068</v>
      </c>
      <c r="Q260" s="20" t="n">
        <v>-125.731</v>
      </c>
      <c r="R260" s="20" t="n">
        <v>-62.577</v>
      </c>
      <c r="S260" s="20" t="n">
        <v>-2</v>
      </c>
      <c r="T260" s="20" t="n">
        <v>-2</v>
      </c>
      <c r="U260" s="20" t="n">
        <v>-2</v>
      </c>
      <c r="V260" s="20" t="n">
        <v>-5</v>
      </c>
      <c r="W260" s="20" t="n">
        <v>-1</v>
      </c>
      <c r="X260" s="20" t="n">
        <v>-6</v>
      </c>
    </row>
    <row r="261">
      <c r="A261" s="18" t="inlineStr">
        <is>
          <t>자기주식 매각</t>
        </is>
      </c>
      <c r="F261" s="20" t="n">
        <v>0</v>
      </c>
      <c r="O261" s="20" t="n">
        <v>5.725</v>
      </c>
      <c r="P261" s="20" t="n">
        <v>0</v>
      </c>
    </row>
    <row r="262">
      <c r="A262" s="18" t="inlineStr">
        <is>
          <t>배당금 지급</t>
        </is>
      </c>
      <c r="D262" s="20" t="n">
        <v>-1024</v>
      </c>
      <c r="F262" s="20" t="n">
        <v>-530</v>
      </c>
      <c r="H262" s="20" t="n">
        <v>-1110</v>
      </c>
      <c r="J262" s="20" t="n">
        <v>-579</v>
      </c>
      <c r="L262" s="20" t="n">
        <v>-1209</v>
      </c>
      <c r="N262" s="20" t="n">
        <v>-629</v>
      </c>
      <c r="O262" s="20" t="n">
        <v>-481.696</v>
      </c>
      <c r="P262" s="20" t="n">
        <v>-519.215</v>
      </c>
      <c r="Q262" s="20" t="n">
        <v>-568.6609999999999</v>
      </c>
      <c r="R262" s="20" t="n">
        <v>-616.862</v>
      </c>
      <c r="S262" s="20" t="n">
        <v>-665</v>
      </c>
      <c r="T262" s="20" t="n">
        <v>-863</v>
      </c>
      <c r="U262" s="20" t="n">
        <v>-912</v>
      </c>
      <c r="V262" s="20" t="n">
        <v>-1024</v>
      </c>
      <c r="W262" s="20" t="n">
        <v>-1110</v>
      </c>
      <c r="X262" s="20" t="n">
        <v>-1209</v>
      </c>
    </row>
    <row r="263">
      <c r="A263" s="9" t="inlineStr">
        <is>
          <t>재무활동 현금흐름</t>
        </is>
      </c>
      <c r="D263" s="12" t="n">
        <v>-1363</v>
      </c>
      <c r="F263" s="12" t="n">
        <v>-531</v>
      </c>
      <c r="H263" s="12" t="n">
        <v>-1512</v>
      </c>
      <c r="J263" s="12" t="n">
        <v>-584</v>
      </c>
      <c r="L263" s="12" t="n">
        <v>-1216</v>
      </c>
      <c r="N263" s="12" t="n">
        <v>-631</v>
      </c>
      <c r="O263" s="12" t="n">
        <v>-706.89</v>
      </c>
      <c r="P263" s="12" t="n">
        <v>-668.0839999999999</v>
      </c>
      <c r="Q263" s="12" t="n">
        <v>-694.3920000000001</v>
      </c>
      <c r="R263" s="12" t="n">
        <v>1420.559</v>
      </c>
      <c r="S263" s="12" t="n">
        <v>-801</v>
      </c>
      <c r="T263" s="12" t="n">
        <v>-1132</v>
      </c>
      <c r="U263" s="12" t="n">
        <v>-1882</v>
      </c>
      <c r="V263" s="12" t="n">
        <v>-1363</v>
      </c>
      <c r="W263" s="12" t="n">
        <v>-1512</v>
      </c>
      <c r="X263" s="12" t="n">
        <v>-1216</v>
      </c>
    </row>
    <row r="264">
      <c r="A264" s="18" t="inlineStr">
        <is>
          <t>현금성자산 환산차이</t>
        </is>
      </c>
      <c r="D264" s="20" t="n">
        <v>382</v>
      </c>
      <c r="F264" s="20" t="n">
        <v>511</v>
      </c>
      <c r="H264" s="20" t="n">
        <v>398</v>
      </c>
      <c r="J264" s="20" t="n">
        <v>320</v>
      </c>
      <c r="L264" s="20" t="n">
        <v>1458</v>
      </c>
      <c r="N264" s="20" t="n">
        <v>-239</v>
      </c>
      <c r="O264" s="20" t="n">
        <v>-100.948</v>
      </c>
      <c r="P264" s="20" t="n">
        <v>-59.338</v>
      </c>
      <c r="Q264" s="20" t="n">
        <v>67.098</v>
      </c>
      <c r="R264" s="20" t="n">
        <v>-200.924</v>
      </c>
      <c r="S264" s="20" t="n">
        <v>238</v>
      </c>
      <c r="T264" s="20" t="n">
        <v>394</v>
      </c>
      <c r="U264" s="20" t="n">
        <v>188</v>
      </c>
      <c r="V264" s="20" t="n">
        <v>382</v>
      </c>
      <c r="W264" s="20" t="n">
        <v>398</v>
      </c>
      <c r="X264" s="20" t="n">
        <v>1458</v>
      </c>
    </row>
    <row r="265">
      <c r="A265" s="18" t="inlineStr">
        <is>
          <t>현금성자산 증감</t>
        </is>
      </c>
      <c r="D265" s="20" t="n">
        <v>5427</v>
      </c>
      <c r="F265" s="20" t="n">
        <v>9643</v>
      </c>
      <c r="H265" s="20" t="n">
        <v>16554</v>
      </c>
      <c r="J265" s="20" t="n">
        <v>712</v>
      </c>
      <c r="L265" s="20" t="n">
        <v>-4581</v>
      </c>
      <c r="N265" s="20" t="n">
        <v>-817</v>
      </c>
      <c r="O265" s="20" t="n">
        <v>3293.437</v>
      </c>
      <c r="P265" s="20" t="n">
        <v>3965.439</v>
      </c>
      <c r="Q265" s="20" t="n">
        <v>648.921</v>
      </c>
      <c r="R265" s="20" t="n">
        <v>6666.221</v>
      </c>
      <c r="S265" s="20" t="n">
        <v>4773</v>
      </c>
      <c r="T265" s="20" t="n">
        <v>10497</v>
      </c>
      <c r="U265" s="20" t="n">
        <v>5199</v>
      </c>
      <c r="V265" s="20" t="n">
        <v>5427</v>
      </c>
      <c r="W265" s="20" t="n">
        <v>16554</v>
      </c>
      <c r="X265" s="20" t="n">
        <v>-4581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2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MARUWA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99535</v>
      </c>
      <c r="D5" s="12" t="n">
        <v>100691</v>
      </c>
      <c r="E5" s="12" t="n">
        <v>103175</v>
      </c>
      <c r="F5" s="12" t="n">
        <v>104248</v>
      </c>
      <c r="G5" s="12" t="n">
        <v>112297</v>
      </c>
      <c r="H5" s="11" t="n">
        <v>70149</v>
      </c>
      <c r="I5" s="12" t="n">
        <v>74634</v>
      </c>
      <c r="J5" s="12" t="n">
        <v>83485</v>
      </c>
      <c r="K5" s="12" t="n">
        <v>100290</v>
      </c>
      <c r="L5" s="12" t="n">
        <v>103175</v>
      </c>
    </row>
    <row r="6">
      <c r="A6" s="18" t="inlineStr">
        <is>
          <t>현금및현금성자산</t>
        </is>
      </c>
      <c r="B6" s="10" t="n"/>
      <c r="C6" s="19" t="n">
        <v>72499</v>
      </c>
      <c r="D6" s="20" t="n">
        <v>67840</v>
      </c>
      <c r="E6" s="20" t="n">
        <v>67185</v>
      </c>
      <c r="F6" s="20" t="n">
        <v>67719</v>
      </c>
      <c r="G6" s="20" t="n">
        <v>66366</v>
      </c>
      <c r="H6" s="19" t="n">
        <v>44621</v>
      </c>
      <c r="I6" s="20" t="n">
        <v>49795</v>
      </c>
      <c r="J6" s="20" t="n">
        <v>55250</v>
      </c>
      <c r="K6" s="20" t="n">
        <v>71793</v>
      </c>
      <c r="L6" s="20" t="n">
        <v>67185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/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11140</v>
      </c>
      <c r="D8" s="20" t="n">
        <v>13867</v>
      </c>
      <c r="E8" s="20" t="n">
        <v>13624</v>
      </c>
      <c r="F8" s="20" t="n">
        <v>12712</v>
      </c>
      <c r="G8" s="20" t="n">
        <v>18446</v>
      </c>
      <c r="H8" s="19" t="n">
        <v>12876</v>
      </c>
      <c r="I8" s="20" t="n">
        <v>10701</v>
      </c>
      <c r="J8" s="20" t="n">
        <v>13960</v>
      </c>
      <c r="K8" s="20" t="n">
        <v>12420</v>
      </c>
      <c r="L8" s="20" t="n">
        <v>13624</v>
      </c>
    </row>
    <row r="9">
      <c r="A9" s="18" t="inlineStr">
        <is>
          <t>재고자산</t>
        </is>
      </c>
      <c r="B9" s="10" t="n"/>
      <c r="C9" s="19" t="n">
        <v>12623</v>
      </c>
      <c r="D9" s="20" t="n">
        <v>14343</v>
      </c>
      <c r="E9" s="20" t="n">
        <v>16294</v>
      </c>
      <c r="F9" s="20" t="n">
        <v>19918</v>
      </c>
      <c r="G9" s="20" t="n">
        <v>22250</v>
      </c>
      <c r="H9" s="19" t="n">
        <v>7986</v>
      </c>
      <c r="I9" s="20" t="n">
        <v>8939</v>
      </c>
      <c r="J9" s="20" t="n">
        <v>9783</v>
      </c>
      <c r="K9" s="20" t="n">
        <v>11846</v>
      </c>
      <c r="L9" s="20" t="n">
        <v>16294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48380</v>
      </c>
      <c r="D11" s="12" t="n">
        <v>51979</v>
      </c>
      <c r="E11" s="12" t="n">
        <v>59515</v>
      </c>
      <c r="F11" s="12" t="n">
        <v>61213</v>
      </c>
      <c r="G11" s="12" t="n">
        <v>64964</v>
      </c>
      <c r="H11" s="11" t="n">
        <v>25750</v>
      </c>
      <c r="I11" s="12" t="n">
        <v>33397</v>
      </c>
      <c r="J11" s="12" t="n">
        <v>39029</v>
      </c>
      <c r="K11" s="12" t="n">
        <v>41995</v>
      </c>
      <c r="L11" s="12" t="n">
        <v>59515</v>
      </c>
    </row>
    <row r="12">
      <c r="A12" s="18" t="inlineStr">
        <is>
          <t>유형자산</t>
        </is>
      </c>
      <c r="B12" s="10" t="n"/>
      <c r="C12" s="19" t="n">
        <v>46002</v>
      </c>
      <c r="D12" s="20" t="n">
        <v>50154</v>
      </c>
      <c r="E12" s="20" t="n">
        <v>57277</v>
      </c>
      <c r="F12" s="20" t="n">
        <v>59132</v>
      </c>
      <c r="G12" s="20" t="n">
        <v>62435</v>
      </c>
      <c r="H12" s="19" t="n">
        <v>23524</v>
      </c>
      <c r="I12" s="20" t="n">
        <v>31046</v>
      </c>
      <c r="J12" s="20" t="n">
        <v>36733</v>
      </c>
      <c r="K12" s="20" t="n">
        <v>39356</v>
      </c>
      <c r="L12" s="20" t="n">
        <v>57277</v>
      </c>
    </row>
    <row r="13">
      <c r="A13" s="18" t="inlineStr">
        <is>
          <t>무형자산</t>
        </is>
      </c>
      <c r="B13" s="10" t="n"/>
      <c r="C13" s="19" t="n">
        <v>438</v>
      </c>
      <c r="D13" s="20" t="n">
        <v>441</v>
      </c>
      <c r="E13" s="20" t="n">
        <v>438</v>
      </c>
      <c r="F13" s="20" t="n">
        <v>491</v>
      </c>
      <c r="G13" s="20" t="n">
        <v>466</v>
      </c>
      <c r="H13" s="19" t="n">
        <v>298</v>
      </c>
      <c r="I13" s="20" t="n">
        <v>284</v>
      </c>
      <c r="J13" s="20" t="n">
        <v>318</v>
      </c>
      <c r="K13" s="20" t="n">
        <v>444</v>
      </c>
      <c r="L13" s="20" t="n">
        <v>438</v>
      </c>
    </row>
    <row r="14">
      <c r="A14" s="18" t="inlineStr">
        <is>
          <t>투자부동산</t>
        </is>
      </c>
      <c r="B14" s="10" t="n"/>
      <c r="C14" s="19" t="n"/>
      <c r="D14" s="20" t="n"/>
      <c r="E14" s="20" t="n">
        <v>907</v>
      </c>
      <c r="F14" s="20" t="n"/>
      <c r="G14" s="20" t="n"/>
      <c r="H14" s="19" t="n">
        <v>948</v>
      </c>
      <c r="I14" s="20" t="n">
        <v>933</v>
      </c>
      <c r="J14" s="20" t="n">
        <v>935</v>
      </c>
      <c r="K14" s="20" t="n">
        <v>920</v>
      </c>
      <c r="L14" s="20" t="n">
        <v>907</v>
      </c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147915</v>
      </c>
      <c r="D16" s="12" t="n">
        <v>152670</v>
      </c>
      <c r="E16" s="12" t="n">
        <v>162691</v>
      </c>
      <c r="F16" s="12" t="n">
        <v>165461</v>
      </c>
      <c r="G16" s="12" t="n">
        <v>177262</v>
      </c>
      <c r="H16" s="11" t="n">
        <v>95899</v>
      </c>
      <c r="I16" s="12" t="n">
        <v>108031</v>
      </c>
      <c r="J16" s="12" t="n">
        <v>122515</v>
      </c>
      <c r="K16" s="12" t="n">
        <v>142285</v>
      </c>
      <c r="L16" s="12" t="n">
        <v>162691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12039</v>
      </c>
      <c r="D18" s="12" t="n">
        <v>11306</v>
      </c>
      <c r="E18" s="12" t="n">
        <v>14856</v>
      </c>
      <c r="F18" s="12" t="n">
        <v>13575</v>
      </c>
      <c r="G18" s="12" t="n">
        <v>18237</v>
      </c>
      <c r="H18" s="11" t="n">
        <v>14953</v>
      </c>
      <c r="I18" s="12" t="n">
        <v>12910</v>
      </c>
      <c r="J18" s="12" t="n">
        <v>12821</v>
      </c>
      <c r="K18" s="12" t="n">
        <v>13933</v>
      </c>
      <c r="L18" s="12" t="n">
        <v>14856</v>
      </c>
    </row>
    <row r="19">
      <c r="A19" s="18" t="inlineStr">
        <is>
          <t>매입채무</t>
        </is>
      </c>
      <c r="B19" s="10" t="n"/>
      <c r="C19" s="19" t="n">
        <v>3139</v>
      </c>
      <c r="D19" s="20" t="n">
        <v>4206</v>
      </c>
      <c r="E19" s="20" t="n">
        <v>4254</v>
      </c>
      <c r="F19" s="20" t="n">
        <v>4435</v>
      </c>
      <c r="G19" s="20" t="n">
        <v>4116</v>
      </c>
      <c r="H19" s="19" t="n">
        <v>3444</v>
      </c>
      <c r="I19" s="20" t="n">
        <v>2975</v>
      </c>
      <c r="J19" s="20" t="n">
        <v>2957</v>
      </c>
      <c r="K19" s="20" t="n">
        <v>2965</v>
      </c>
      <c r="L19" s="20" t="n">
        <v>4254</v>
      </c>
    </row>
    <row r="20">
      <c r="A20" s="18" t="inlineStr">
        <is>
          <t>단기차입금</t>
        </is>
      </c>
      <c r="B20" s="10" t="n"/>
      <c r="C20" s="19" t="n"/>
      <c r="D20" s="20" t="n"/>
      <c r="E20" s="20" t="n"/>
      <c r="F20" s="20" t="n"/>
      <c r="G20" s="20" t="n"/>
      <c r="H20" s="19" t="n">
        <v>100</v>
      </c>
      <c r="I20" s="20" t="n">
        <v>0</v>
      </c>
      <c r="J20" s="20" t="n"/>
      <c r="K20" s="20" t="n"/>
      <c r="L20" s="20" t="n"/>
    </row>
    <row r="21">
      <c r="A21" s="18" t="inlineStr">
        <is>
          <t>유동성장기부채</t>
        </is>
      </c>
      <c r="B21" s="10" t="n"/>
      <c r="C21" s="19" t="n"/>
      <c r="D21" s="20" t="n"/>
      <c r="E21" s="20" t="n"/>
      <c r="F21" s="20" t="n"/>
      <c r="G21" s="20" t="n"/>
      <c r="H21" s="19" t="n">
        <v>866</v>
      </c>
      <c r="I21" s="20" t="n">
        <v>333</v>
      </c>
      <c r="J21" s="20" t="n">
        <v>400</v>
      </c>
      <c r="K21" s="20" t="n">
        <v>0</v>
      </c>
      <c r="L21" s="20" t="n"/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515</v>
      </c>
      <c r="D23" s="12" t="n">
        <v>528</v>
      </c>
      <c r="E23" s="12" t="n">
        <v>571</v>
      </c>
      <c r="F23" s="12" t="n">
        <v>508</v>
      </c>
      <c r="G23" s="12" t="n">
        <v>502</v>
      </c>
      <c r="H23" s="11" t="n">
        <v>1264</v>
      </c>
      <c r="I23" s="12" t="n">
        <v>905</v>
      </c>
      <c r="J23" s="12" t="n">
        <v>489</v>
      </c>
      <c r="K23" s="12" t="n">
        <v>498</v>
      </c>
      <c r="L23" s="12" t="n">
        <v>571</v>
      </c>
    </row>
    <row r="24">
      <c r="A24" s="18" t="inlineStr">
        <is>
          <t>장기차입금</t>
        </is>
      </c>
      <c r="B24" s="10" t="n"/>
      <c r="C24" s="19" t="n"/>
      <c r="D24" s="20" t="n"/>
      <c r="E24" s="20" t="n"/>
      <c r="F24" s="20" t="n"/>
      <c r="G24" s="20" t="n"/>
      <c r="H24" s="19" t="n">
        <v>733</v>
      </c>
      <c r="I24" s="20" t="n">
        <v>400</v>
      </c>
      <c r="J24" s="20" t="n">
        <v>0</v>
      </c>
      <c r="K24" s="20" t="n"/>
      <c r="L24" s="20" t="n"/>
    </row>
    <row r="25">
      <c r="A25" s="18" t="inlineStr">
        <is>
          <t>사채</t>
        </is>
      </c>
      <c r="B25" s="10" t="n"/>
      <c r="C25" s="19" t="n"/>
      <c r="D25" s="20" t="n"/>
      <c r="E25" s="20" t="n"/>
      <c r="F25" s="20" t="n"/>
      <c r="G25" s="20" t="n"/>
      <c r="H25" s="19" t="n"/>
      <c r="I25" s="20" t="n"/>
      <c r="J25" s="20" t="n"/>
      <c r="K25" s="20" t="n"/>
      <c r="L25" s="20" t="n"/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12555</v>
      </c>
      <c r="D27" s="12" t="n">
        <v>11835</v>
      </c>
      <c r="E27" s="12" t="n">
        <v>15428</v>
      </c>
      <c r="F27" s="12" t="n">
        <v>14083</v>
      </c>
      <c r="G27" s="12" t="n">
        <v>18739</v>
      </c>
      <c r="H27" s="11" t="n">
        <v>16218</v>
      </c>
      <c r="I27" s="12" t="n">
        <v>13816</v>
      </c>
      <c r="J27" s="12" t="n">
        <v>13311</v>
      </c>
      <c r="K27" s="12" t="n">
        <v>14431</v>
      </c>
      <c r="L27" s="12" t="n">
        <v>15428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135360</v>
      </c>
      <c r="D31" s="12" t="n">
        <v>140835</v>
      </c>
      <c r="E31" s="12" t="n">
        <v>147262</v>
      </c>
      <c r="F31" s="12" t="n">
        <v>151377</v>
      </c>
      <c r="G31" s="12" t="n">
        <v>158522</v>
      </c>
      <c r="H31" s="11" t="n">
        <v>79681</v>
      </c>
      <c r="I31" s="12" t="n">
        <v>94215</v>
      </c>
      <c r="J31" s="12" t="n">
        <v>109203</v>
      </c>
      <c r="K31" s="12" t="n">
        <v>127854</v>
      </c>
      <c r="L31" s="12" t="n">
        <v>147262</v>
      </c>
    </row>
    <row r="32">
      <c r="A32" s="18" t="inlineStr">
        <is>
          <t>자본금</t>
        </is>
      </c>
      <c r="B32" s="10" t="n"/>
      <c r="C32" s="19" t="n">
        <v>8646</v>
      </c>
      <c r="D32" s="20" t="n">
        <v>8646</v>
      </c>
      <c r="E32" s="20" t="n">
        <v>8646</v>
      </c>
      <c r="F32" s="20" t="n">
        <v>8646</v>
      </c>
      <c r="G32" s="20" t="n">
        <v>8646</v>
      </c>
      <c r="H32" s="19" t="n">
        <v>8646</v>
      </c>
      <c r="I32" s="20" t="n">
        <v>8646</v>
      </c>
      <c r="J32" s="20" t="n">
        <v>8646</v>
      </c>
      <c r="K32" s="20" t="n">
        <v>8646</v>
      </c>
      <c r="L32" s="20" t="n">
        <v>8646</v>
      </c>
    </row>
    <row r="33">
      <c r="A33" s="18" t="inlineStr">
        <is>
          <t>이익잉여금</t>
        </is>
      </c>
      <c r="B33" s="10" t="n"/>
      <c r="C33" s="19" t="n">
        <v>112538</v>
      </c>
      <c r="D33" s="20" t="n">
        <v>116828</v>
      </c>
      <c r="E33" s="20" t="n">
        <v>122660</v>
      </c>
      <c r="F33" s="20" t="n">
        <v>126497</v>
      </c>
      <c r="G33" s="20" t="n">
        <v>134149</v>
      </c>
      <c r="H33" s="19" t="n">
        <v>59274</v>
      </c>
      <c r="I33" s="20" t="n">
        <v>73381</v>
      </c>
      <c r="J33" s="20" t="n">
        <v>87573</v>
      </c>
      <c r="K33" s="20" t="n">
        <v>105705</v>
      </c>
      <c r="L33" s="20" t="n">
        <v>122660</v>
      </c>
    </row>
    <row r="34">
      <c r="A34" s="18" t="inlineStr">
        <is>
          <t>비지배지분</t>
        </is>
      </c>
      <c r="B34" s="10" t="n"/>
      <c r="C34" s="19" t="n"/>
      <c r="D34" s="20" t="n"/>
      <c r="E34" s="20" t="n"/>
      <c r="F34" s="20" t="n"/>
      <c r="G34" s="20" t="n"/>
      <c r="H34" s="19" t="n"/>
      <c r="I34" s="20" t="n"/>
      <c r="J34" s="20" t="n"/>
      <c r="K34" s="20" t="n"/>
      <c r="L34" s="20" t="n"/>
    </row>
    <row r="35">
      <c r="A35" s="9" t="inlineStr">
        <is>
          <t>자본총계</t>
        </is>
      </c>
      <c r="B35" s="10" t="n"/>
      <c r="C35" s="11" t="n">
        <v>135360</v>
      </c>
      <c r="D35" s="12" t="n">
        <v>140835</v>
      </c>
      <c r="E35" s="12" t="n">
        <v>147262</v>
      </c>
      <c r="F35" s="12" t="n">
        <v>151377</v>
      </c>
      <c r="G35" s="12" t="n">
        <v>158522</v>
      </c>
      <c r="H35" s="11" t="n">
        <v>79681</v>
      </c>
      <c r="I35" s="12" t="n">
        <v>94215</v>
      </c>
      <c r="J35" s="12" t="n">
        <v>109203</v>
      </c>
      <c r="K35" s="12" t="n">
        <v>127854</v>
      </c>
      <c r="L35" s="12" t="n">
        <v>147262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>
        <v>23319</v>
      </c>
      <c r="D37" s="12" t="n"/>
      <c r="E37" s="12" t="n">
        <v>16933</v>
      </c>
      <c r="F37" s="12" t="n"/>
      <c r="G37" s="12" t="n">
        <v>14542</v>
      </c>
      <c r="H37" s="11" t="n">
        <v>14757</v>
      </c>
      <c r="I37" s="12" t="n">
        <v>15647</v>
      </c>
      <c r="J37" s="12" t="n">
        <v>17222</v>
      </c>
      <c r="K37" s="12" t="n">
        <v>25351</v>
      </c>
      <c r="L37" s="12" t="n">
        <v>16933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>
        <v>14676</v>
      </c>
      <c r="D38" s="20" t="n"/>
      <c r="E38" s="20" t="n">
        <v>22524</v>
      </c>
      <c r="F38" s="20" t="n"/>
      <c r="G38" s="20" t="n">
        <v>23090</v>
      </c>
      <c r="H38" s="19" t="n">
        <v>3808</v>
      </c>
      <c r="I38" s="20" t="n">
        <v>8724</v>
      </c>
      <c r="J38" s="20" t="n">
        <v>11241</v>
      </c>
      <c r="K38" s="20" t="n">
        <v>10097</v>
      </c>
      <c r="L38" s="20" t="n">
        <v>22524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>
        <v>1159</v>
      </c>
      <c r="D40" s="20" t="n"/>
      <c r="E40" s="20" t="n">
        <v>1209</v>
      </c>
      <c r="F40" s="20" t="n"/>
      <c r="G40" s="20" t="n">
        <v>1259</v>
      </c>
      <c r="H40" s="19" t="n">
        <v>863</v>
      </c>
      <c r="I40" s="20" t="n">
        <v>912</v>
      </c>
      <c r="J40" s="20" t="n">
        <v>1024</v>
      </c>
      <c r="K40" s="20" t="n">
        <v>1110</v>
      </c>
      <c r="L40" s="20" t="n">
        <v>1209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IFERROR((IF(COUNT('연간'!G37:J37)&lt;4,"",SUM('연간'!G37:J37)))/(IF(COUNT('연간'!G59:J59)&lt;4,"",SUM('연간'!G59:J59))),"")</f>
        <v/>
      </c>
      <c r="D48" s="31">
        <f>IFERROR((IF(COUNT('연간'!H37:K37)&lt;4,"",SUM('연간'!H37:K37)))/(IF(COUNT('연간'!H59:K59)&lt;4,"",SUM('연간'!H59:K59))),"")</f>
        <v/>
      </c>
      <c r="E48" s="31">
        <f>IFERROR((IF(COUNT('연간'!I37:L37)&lt;4,"",SUM('연간'!I37:L37)))/(IF(COUNT('연간'!I59:L59)&lt;4,"",SUM('연간'!I59:L59))),"")</f>
        <v/>
      </c>
      <c r="F48" s="31">
        <f>IFERROR((IF(COUNT('연간'!J37:M37)&lt;4,"",SUM('연간'!J37:M37)))/(IF(COUNT('연간'!J59:M59)&lt;4,"",SUM('연간'!J59:M59))),"")</f>
        <v/>
      </c>
      <c r="G48" s="31">
        <f>IFERROR((IF(COUNT('연간'!K37:N37)&lt;4,"",SUM('연간'!K37:N37)))/(IF(COUNT('연간'!K59:N59)&lt;4,"",SUM('연간'!K59:N59))),"")</f>
        <v/>
      </c>
      <c r="H48" s="30">
        <f>IFERROR(('연간'!T37)/('연간'!T59),"")</f>
        <v/>
      </c>
      <c r="I48" s="31">
        <f>IFERROR(('연간'!U37)/('연간'!U59),"")</f>
        <v/>
      </c>
      <c r="J48" s="31">
        <f>IFERROR(('연간'!V37)/('연간'!V59),"")</f>
        <v/>
      </c>
      <c r="K48" s="31">
        <f>IFERROR(('연간'!W37)/('연간'!W59),"")</f>
        <v/>
      </c>
      <c r="L48" s="31">
        <f>IFERROR(('연간'!X37)/('연간'!X59),"")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IFERROR(IF((IF(COUNT('연간'!G67:J67)&lt;4,"",SUM('연간'!G67:J67)))&lt;=0,"적자",C28/(IF(COUNT('연간'!G67:J67)&lt;4,"",SUM('연간'!G67:J67)))),"")</f>
        <v/>
      </c>
      <c r="D49" s="47">
        <f>IFERROR(IF((IF(COUNT('연간'!H67:K67)&lt;4,"",SUM('연간'!H67:K67)))&lt;=0,"적자",D28/(IF(COUNT('연간'!H67:K67)&lt;4,"",SUM('연간'!H67:K67)))),"")</f>
        <v/>
      </c>
      <c r="E49" s="47">
        <f>IFERROR(IF((IF(COUNT('연간'!I67:L67)&lt;4,"",SUM('연간'!I67:L67)))&lt;=0,"적자",E28/(IF(COUNT('연간'!I67:L67)&lt;4,"",SUM('연간'!I67:L67)))),"")</f>
        <v/>
      </c>
      <c r="F49" s="47">
        <f>IFERROR(IF((IF(COUNT('연간'!J67:M67)&lt;4,"",SUM('연간'!J67:M67)))&lt;=0,"적자",F28/(IF(COUNT('연간'!J67:M67)&lt;4,"",SUM('연간'!J67:M67)))),"")</f>
        <v/>
      </c>
      <c r="G49" s="47">
        <f>IFERROR(IF((IF(COUNT('연간'!K67:N67)&lt;4,"",SUM('연간'!K67:N67)))&lt;=0,"적자",G28/(IF(COUNT('연간'!K67:N67)&lt;4,"",SUM('연간'!K67:N67)))),"")</f>
        <v/>
      </c>
      <c r="H49" s="46">
        <f>IFERROR(IF(('연간'!T67)&lt;=0,"적자",H28/('연간'!T67)),"")</f>
        <v/>
      </c>
      <c r="I49" s="47">
        <f>IFERROR(IF(('연간'!U67)&lt;=0,"적자",I28/('연간'!U67)),"")</f>
        <v/>
      </c>
      <c r="J49" s="47">
        <f>IFERROR(IF(('연간'!V67)&lt;=0,"적자",J28/('연간'!V67)),"")</f>
        <v/>
      </c>
      <c r="K49" s="47">
        <f>IFERROR(IF(('연간'!W67)&lt;=0,"적자",K28/('연간'!W67)),"")</f>
        <v/>
      </c>
      <c r="L49" s="47">
        <f>IFERROR(IF(('연간'!X67)&lt;=0,"적자",L28/('연간'!X67)),"")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IFERROR((IF(COUNT('연간'!G67:J67)&lt;4,"",SUM('연간'!G67:J67)))/C31,"")</f>
        <v/>
      </c>
      <c r="D51" s="36">
        <f>IFERROR((IF(COUNT('연간'!H67:K67)&lt;4,"",SUM('연간'!H67:K67)))/D31,"")</f>
        <v/>
      </c>
      <c r="E51" s="36">
        <f>IFERROR((IF(COUNT('연간'!I67:L67)&lt;4,"",SUM('연간'!I67:L67)))/E31,"")</f>
        <v/>
      </c>
      <c r="F51" s="36">
        <f>IFERROR((IF(COUNT('연간'!J67:M67)&lt;4,"",SUM('연간'!J67:M67)))/F31,"")</f>
        <v/>
      </c>
      <c r="G51" s="36">
        <f>IFERROR((IF(COUNT('연간'!K67:N67)&lt;4,"",SUM('연간'!K67:N67)))/G31,"")</f>
        <v/>
      </c>
      <c r="H51" s="35">
        <f>IFERROR(('연간'!T67)/H31,"")</f>
        <v/>
      </c>
      <c r="I51" s="36">
        <f>IFERROR(('연간'!U67)/I31,"")</f>
        <v/>
      </c>
      <c r="J51" s="36">
        <f>IFERROR(('연간'!V67)/J31,"")</f>
        <v/>
      </c>
      <c r="K51" s="36">
        <f>IFERROR(('연간'!W67)/K31,"")</f>
        <v/>
      </c>
      <c r="L51" s="36">
        <f>IFERROR(('연간'!X67)/L31,"")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IFERROR((IF(COUNT('연간'!G65:J65)&lt;4,"",SUM('연간'!G65:J65)))/C16,"")</f>
        <v/>
      </c>
      <c r="D52" s="36">
        <f>IFERROR((IF(COUNT('연간'!H65:K65)&lt;4,"",SUM('연간'!H65:K65)))/D16,"")</f>
        <v/>
      </c>
      <c r="E52" s="36">
        <f>IFERROR((IF(COUNT('연간'!I65:L65)&lt;4,"",SUM('연간'!I65:L65)))/E16,"")</f>
        <v/>
      </c>
      <c r="F52" s="36">
        <f>IFERROR((IF(COUNT('연간'!J65:M65)&lt;4,"",SUM('연간'!J65:M65)))/F16,"")</f>
        <v/>
      </c>
      <c r="G52" s="36">
        <f>IFERROR((IF(COUNT('연간'!K65:N65)&lt;4,"",SUM('연간'!K65:N65)))/G16,"")</f>
        <v/>
      </c>
      <c r="H52" s="35">
        <f>IFERROR(('연간'!T65)/H16,"")</f>
        <v/>
      </c>
      <c r="I52" s="36">
        <f>IFERROR(('연간'!U65)/I16,"")</f>
        <v/>
      </c>
      <c r="J52" s="36">
        <f>IFERROR(('연간'!V65)/J16,"")</f>
        <v/>
      </c>
      <c r="K52" s="36">
        <f>IFERROR(('연간'!W65)/K16,"")</f>
        <v/>
      </c>
      <c r="L52" s="36">
        <f>IFERROR(('연간'!X65)/L16,"")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IFERROR((IF(COUNT('연간'!G37:J37)&lt;4,"",SUM('연간'!G37:J37)))*(1-0.3)/(C35+C29),"")</f>
        <v/>
      </c>
      <c r="D53" s="36">
        <f>IFERROR((IF(COUNT('연간'!H37:K37)&lt;4,"",SUM('연간'!H37:K37)))*(1-0.3)/(D35+D29),"")</f>
        <v/>
      </c>
      <c r="E53" s="36">
        <f>IFERROR((IF(COUNT('연간'!I37:L37)&lt;4,"",SUM('연간'!I37:L37)))*(1-0.3)/(E35+E29),"")</f>
        <v/>
      </c>
      <c r="F53" s="36">
        <f>IFERROR((IF(COUNT('연간'!J37:M37)&lt;4,"",SUM('연간'!J37:M37)))*(1-0.3)/(F35+F29),"")</f>
        <v/>
      </c>
      <c r="G53" s="36">
        <f>IFERROR((IF(COUNT('연간'!K37:N37)&lt;4,"",SUM('연간'!K37:N37)))*(1-0.3)/(G35+G29),"")</f>
        <v/>
      </c>
      <c r="H53" s="35">
        <f>IFERROR(('연간'!T37)*(1-0.3)/(H35+H29),"")</f>
        <v/>
      </c>
      <c r="I53" s="36">
        <f>IFERROR(('연간'!U37)*(1-0.3)/(I35+I29),"")</f>
        <v/>
      </c>
      <c r="J53" s="36">
        <f>IFERROR(('연간'!V37)*(1-0.3)/(J35+J29),"")</f>
        <v/>
      </c>
      <c r="K53" s="36">
        <f>IFERROR(('연간'!W37)*(1-0.3)/(K35+K29),"")</f>
        <v/>
      </c>
      <c r="L53" s="36">
        <f>IFERROR(('연간'!X37)*(1-0.3)/(L35+L29),"")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IFERROR((IF(COUNT('연간'!G31:J31)&lt;4,"",SUM('연간'!G31:J31)))/(IF(COUNT('연간'!G4:J4)&lt;4,"",SUM('연간'!G4:J4))),"")</f>
        <v/>
      </c>
      <c r="D54" s="36">
        <f>IFERROR((IF(COUNT('연간'!H31:K31)&lt;4,"",SUM('연간'!H31:K31)))/(IF(COUNT('연간'!H4:K4)&lt;4,"",SUM('연간'!H4:K4))),"")</f>
        <v/>
      </c>
      <c r="E54" s="36">
        <f>IFERROR((IF(COUNT('연간'!I31:L31)&lt;4,"",SUM('연간'!I31:L31)))/(IF(COUNT('연간'!I4:L4)&lt;4,"",SUM('연간'!I4:L4))),"")</f>
        <v/>
      </c>
      <c r="F54" s="36">
        <f>IFERROR((IF(COUNT('연간'!J31:M31)&lt;4,"",SUM('연간'!J31:M31)))/(IF(COUNT('연간'!J4:M4)&lt;4,"",SUM('연간'!J4:M4))),"")</f>
        <v/>
      </c>
      <c r="G54" s="36">
        <f>IFERROR((IF(COUNT('연간'!K31:N31)&lt;4,"",SUM('연간'!K31:N31)))/(IF(COUNT('연간'!K4:N4)&lt;4,"",SUM('연간'!K4:N4))),"")</f>
        <v/>
      </c>
      <c r="H54" s="35">
        <f>IFERROR(('연간'!T31)/('연간'!T4),"")</f>
        <v/>
      </c>
      <c r="I54" s="36">
        <f>IFERROR(('연간'!U31)/('연간'!U4),"")</f>
        <v/>
      </c>
      <c r="J54" s="36">
        <f>IFERROR(('연간'!V31)/('연간'!V4),"")</f>
        <v/>
      </c>
      <c r="K54" s="36">
        <f>IFERROR(('연간'!W31)/('연간'!W4),"")</f>
        <v/>
      </c>
      <c r="L54" s="36">
        <f>IFERROR(('연간'!X31)/('연간'!X4),"")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IFERROR((IF(COUNT('연간'!G37:J37)&lt;4,"",SUM('연간'!G37:J37)))/(IF(COUNT('연간'!G4:J4)&lt;4,"",SUM('연간'!G4:J4))),"")</f>
        <v/>
      </c>
      <c r="D55" s="36">
        <f>IFERROR((IF(COUNT('연간'!H37:K37)&lt;4,"",SUM('연간'!H37:K37)))/(IF(COUNT('연간'!H4:K4)&lt;4,"",SUM('연간'!H4:K4))),"")</f>
        <v/>
      </c>
      <c r="E55" s="36">
        <f>IFERROR((IF(COUNT('연간'!I37:L37)&lt;4,"",SUM('연간'!I37:L37)))/(IF(COUNT('연간'!I4:L4)&lt;4,"",SUM('연간'!I4:L4))),"")</f>
        <v/>
      </c>
      <c r="F55" s="36">
        <f>IFERROR((IF(COUNT('연간'!J37:M37)&lt;4,"",SUM('연간'!J37:M37)))/(IF(COUNT('연간'!J4:M4)&lt;4,"",SUM('연간'!J4:M4))),"")</f>
        <v/>
      </c>
      <c r="G55" s="36">
        <f>IFERROR((IF(COUNT('연간'!K37:N37)&lt;4,"",SUM('연간'!K37:N37)))/(IF(COUNT('연간'!K4:N4)&lt;4,"",SUM('연간'!K4:N4))),"")</f>
        <v/>
      </c>
      <c r="H55" s="35">
        <f>IFERROR(('연간'!T37)/('연간'!T4),"")</f>
        <v/>
      </c>
      <c r="I55" s="36">
        <f>IFERROR(('연간'!U37)/('연간'!U4),"")</f>
        <v/>
      </c>
      <c r="J55" s="36">
        <f>IFERROR(('연간'!V37)/('연간'!V4),"")</f>
        <v/>
      </c>
      <c r="K55" s="36">
        <f>IFERROR(('연간'!W37)/('연간'!W4),"")</f>
        <v/>
      </c>
      <c r="L55" s="36">
        <f>IFERROR(('연간'!X37)/('연간'!X4),"")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IFERROR((IF(COUNT('연간'!G65:J65)&lt;4,"",SUM('연간'!G65:J65)))/(IF(COUNT('연간'!G4:J4)&lt;4,"",SUM('연간'!G4:J4))),"")</f>
        <v/>
      </c>
      <c r="D56" s="36">
        <f>IFERROR((IF(COUNT('연간'!H65:K65)&lt;4,"",SUM('연간'!H65:K65)))/(IF(COUNT('연간'!H4:K4)&lt;4,"",SUM('연간'!H4:K4))),"")</f>
        <v/>
      </c>
      <c r="E56" s="36">
        <f>IFERROR((IF(COUNT('연간'!I65:L65)&lt;4,"",SUM('연간'!I65:L65)))/(IF(COUNT('연간'!I4:L4)&lt;4,"",SUM('연간'!I4:L4))),"")</f>
        <v/>
      </c>
      <c r="F56" s="36">
        <f>IFERROR((IF(COUNT('연간'!J65:M65)&lt;4,"",SUM('연간'!J65:M65)))/(IF(COUNT('연간'!J4:M4)&lt;4,"",SUM('연간'!J4:M4))),"")</f>
        <v/>
      </c>
      <c r="G56" s="36">
        <f>IFERROR((IF(COUNT('연간'!K65:N65)&lt;4,"",SUM('연간'!K65:N65)))/(IF(COUNT('연간'!K4:N4)&lt;4,"",SUM('연간'!K4:N4))),"")</f>
        <v/>
      </c>
      <c r="H56" s="35">
        <f>IFERROR(('연간'!T65)/('연간'!T4),"")</f>
        <v/>
      </c>
      <c r="I56" s="36">
        <f>IFERROR(('연간'!U65)/('연간'!U4),"")</f>
        <v/>
      </c>
      <c r="J56" s="36">
        <f>IFERROR(('연간'!V65)/('연간'!V4),"")</f>
        <v/>
      </c>
      <c r="K56" s="36">
        <f>IFERROR(('연간'!W65)/('연간'!W4),"")</f>
        <v/>
      </c>
      <c r="L56" s="36">
        <f>IFERROR(('연간'!X65)/('연간'!X4),"")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IFERROR(C9/(IF(COUNT('연간'!G29:J29)&lt;4,"",SUM('연간'!G29:J29)))*365,"")</f>
        <v/>
      </c>
      <c r="D60" s="49">
        <f>IFERROR(D9/(IF(COUNT('연간'!H29:K29)&lt;4,"",SUM('연간'!H29:K29)))*365,"")</f>
        <v/>
      </c>
      <c r="E60" s="49">
        <f>IFERROR(E9/(IF(COUNT('연간'!I29:L29)&lt;4,"",SUM('연간'!I29:L29)))*365,"")</f>
        <v/>
      </c>
      <c r="F60" s="49">
        <f>IFERROR(F9/(IF(COUNT('연간'!J29:M29)&lt;4,"",SUM('연간'!J29:M29)))*365,"")</f>
        <v/>
      </c>
      <c r="G60" s="49">
        <f>IFERROR(G9/(IF(COUNT('연간'!K29:N29)&lt;4,"",SUM('연간'!K29:N29)))*365,"")</f>
        <v/>
      </c>
      <c r="H60" s="48">
        <f>IFERROR(H9/('연간'!T29)*365,"")</f>
        <v/>
      </c>
      <c r="I60" s="49">
        <f>IFERROR(I9/('연간'!U29)*365,"")</f>
        <v/>
      </c>
      <c r="J60" s="49">
        <f>IFERROR(J9/('연간'!V29)*365,"")</f>
        <v/>
      </c>
      <c r="K60" s="49">
        <f>IFERROR(K9/('연간'!W29)*365,"")</f>
        <v/>
      </c>
      <c r="L60" s="49">
        <f>IFERROR(L9/('연간'!X29)*365,"")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IFERROR(C19/(IF(COUNT('연간'!G29:J29)&lt;4,"",SUM('연간'!G29:J29)))*365,"")</f>
        <v/>
      </c>
      <c r="D61" s="49">
        <f>IFERROR(D19/(IF(COUNT('연간'!H29:K29)&lt;4,"",SUM('연간'!H29:K29)))*365,"")</f>
        <v/>
      </c>
      <c r="E61" s="49">
        <f>IFERROR(E19/(IF(COUNT('연간'!I29:L29)&lt;4,"",SUM('연간'!I29:L29)))*365,"")</f>
        <v/>
      </c>
      <c r="F61" s="49">
        <f>IFERROR(F19/(IF(COUNT('연간'!J29:M29)&lt;4,"",SUM('연간'!J29:M29)))*365,"")</f>
        <v/>
      </c>
      <c r="G61" s="49">
        <f>IFERROR(G19/(IF(COUNT('연간'!K29:N29)&lt;4,"",SUM('연간'!K29:N29)))*365,"")</f>
        <v/>
      </c>
      <c r="H61" s="48">
        <f>IFERROR(H19/('연간'!T29)*365,"")</f>
        <v/>
      </c>
      <c r="I61" s="49">
        <f>IFERROR(I19/('연간'!U29)*365,"")</f>
        <v/>
      </c>
      <c r="J61" s="49">
        <f>IFERROR(J19/('연간'!V29)*365,"")</f>
        <v/>
      </c>
      <c r="K61" s="49">
        <f>IFERROR(K19/('연간'!W29)*365,"")</f>
        <v/>
      </c>
      <c r="L61" s="49">
        <f>IFERROR(L19/('연간'!X29)*365,"")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IF(C37="","",IFERROR(C37/(IF(COUNT('연간'!G65:J65)&lt;4,"",SUM('연간'!G65:J65))),""))</f>
        <v/>
      </c>
      <c r="D64" s="31">
        <f>IF(D37="","",IFERROR(D37/(IF(COUNT('연간'!H65:K65)&lt;4,"",SUM('연간'!H65:K65))),""))</f>
        <v/>
      </c>
      <c r="E64" s="31">
        <f>IF(E37="","",IFERROR(E37/(IF(COUNT('연간'!I65:L65)&lt;4,"",SUM('연간'!I65:L65))),""))</f>
        <v/>
      </c>
      <c r="F64" s="31">
        <f>IF(F37="","",IFERROR(F37/(IF(COUNT('연간'!J65:M65)&lt;4,"",SUM('연간'!J65:M65))),""))</f>
        <v/>
      </c>
      <c r="G64" s="31">
        <f>IF(G37="","",IFERROR(G37/(IF(COUNT('연간'!K65:N65)&lt;4,"",SUM('연간'!K65:N65))),""))</f>
        <v/>
      </c>
      <c r="H64" s="30">
        <f>IF(H37="","",IFERROR(H37/('연간'!T65),""))</f>
        <v/>
      </c>
      <c r="I64" s="31">
        <f>IF(I37="","",IFERROR(I37/('연간'!U65),""))</f>
        <v/>
      </c>
      <c r="J64" s="31">
        <f>IF(J37="","",IFERROR(J37/('연간'!V65),""))</f>
        <v/>
      </c>
      <c r="K64" s="31">
        <f>IF(K37="","",IFERROR(K37/('연간'!W65),""))</f>
        <v/>
      </c>
      <c r="L64" s="31">
        <f>IF(L37="","",IFERROR(L37/('연간'!X65),""))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IF(C40="","",IFERROR(C40/(IF(COUNT('연간'!G67:J67)&lt;4,"",SUM('연간'!G67:J67))),""))</f>
        <v/>
      </c>
      <c r="D67" s="36">
        <f>IF(D40="","",IFERROR(D40/(IF(COUNT('연간'!H67:K67)&lt;4,"",SUM('연간'!H67:K67))),""))</f>
        <v/>
      </c>
      <c r="E67" s="36">
        <f>IF(E40="","",IFERROR(E40/(IF(COUNT('연간'!I67:L67)&lt;4,"",SUM('연간'!I67:L67))),""))</f>
        <v/>
      </c>
      <c r="F67" s="36">
        <f>IF(F40="","",IFERROR(F40/(IF(COUNT('연간'!J67:M67)&lt;4,"",SUM('연간'!J67:M67))),""))</f>
        <v/>
      </c>
      <c r="G67" s="36">
        <f>IF(G40="","",IFERROR(G40/(IF(COUNT('연간'!K67:N67)&lt;4,"",SUM('연간'!K67:N67))),""))</f>
        <v/>
      </c>
      <c r="H67" s="35">
        <f>IF(H40="","",IFERROR(H40/('연간'!T67),""))</f>
        <v/>
      </c>
      <c r="I67" s="36">
        <f>IF(I40="","",IFERROR(I40/('연간'!U67),""))</f>
        <v/>
      </c>
      <c r="J67" s="36">
        <f>IF(J40="","",IFERROR(J40/('연간'!V67),""))</f>
        <v/>
      </c>
      <c r="K67" s="36">
        <f>IF(K40="","",IFERROR(K40/('연간'!W67),""))</f>
        <v/>
      </c>
      <c r="L67" s="36">
        <f>IF(L40="","",IFERROR(L40/('연간'!X67),""))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72499</v>
      </c>
      <c r="D71" s="20" t="n">
        <v>67840</v>
      </c>
      <c r="E71" s="20" t="n">
        <v>67185</v>
      </c>
      <c r="F71" s="20" t="n">
        <v>67719</v>
      </c>
      <c r="G71" s="20" t="n">
        <v>66366</v>
      </c>
      <c r="H71" s="20" t="n">
        <v>44621</v>
      </c>
      <c r="I71" s="20" t="n">
        <v>49795</v>
      </c>
      <c r="J71" s="20" t="n">
        <v>55250</v>
      </c>
      <c r="K71" s="20" t="n">
        <v>71793</v>
      </c>
      <c r="L71" s="20" t="n">
        <v>67185</v>
      </c>
    </row>
    <row r="72">
      <c r="A72" s="18" t="inlineStr">
        <is>
          <t>받을어음·매출채권</t>
        </is>
      </c>
      <c r="H72" s="20" t="n">
        <v>0</v>
      </c>
    </row>
    <row r="73">
      <c r="A73" s="18" t="inlineStr">
        <is>
          <t>받을어음</t>
        </is>
      </c>
      <c r="C73" s="20" t="n">
        <v>59</v>
      </c>
      <c r="D73" s="20" t="n">
        <v>70</v>
      </c>
      <c r="E73" s="20" t="n">
        <v>47</v>
      </c>
      <c r="F73" s="20" t="n">
        <v>4</v>
      </c>
      <c r="G73" s="20" t="n">
        <v>0</v>
      </c>
      <c r="H73" s="20" t="n">
        <v>473</v>
      </c>
      <c r="I73" s="20" t="n">
        <v>343</v>
      </c>
      <c r="J73" s="20" t="n">
        <v>360</v>
      </c>
      <c r="K73" s="20" t="n">
        <v>139</v>
      </c>
      <c r="L73" s="20" t="n">
        <v>47</v>
      </c>
    </row>
    <row r="74">
      <c r="A74" s="18" t="inlineStr">
        <is>
          <t>매출채권</t>
        </is>
      </c>
      <c r="C74" s="20" t="n">
        <v>11140</v>
      </c>
      <c r="D74" s="20" t="n">
        <v>13867</v>
      </c>
      <c r="E74" s="20" t="n">
        <v>13624</v>
      </c>
      <c r="F74" s="20" t="n">
        <v>12712</v>
      </c>
      <c r="G74" s="20" t="n">
        <v>18446</v>
      </c>
      <c r="H74" s="20" t="n">
        <v>12876</v>
      </c>
      <c r="I74" s="20" t="n">
        <v>10701</v>
      </c>
      <c r="J74" s="20" t="n">
        <v>13960</v>
      </c>
      <c r="K74" s="20" t="n">
        <v>12420</v>
      </c>
      <c r="L74" s="20" t="n">
        <v>13624</v>
      </c>
    </row>
    <row r="75">
      <c r="A75" s="18" t="inlineStr">
        <is>
          <t>전자기록채권</t>
        </is>
      </c>
      <c r="C75" s="20" t="n">
        <v>1163</v>
      </c>
      <c r="D75" s="20" t="n">
        <v>1467</v>
      </c>
      <c r="E75" s="20" t="n">
        <v>1505</v>
      </c>
      <c r="F75" s="20" t="n">
        <v>1781</v>
      </c>
      <c r="G75" s="20" t="n">
        <v>1600</v>
      </c>
      <c r="H75" s="20" t="n">
        <v>1810</v>
      </c>
      <c r="I75" s="20" t="n">
        <v>1820</v>
      </c>
      <c r="J75" s="20" t="n">
        <v>1746</v>
      </c>
      <c r="K75" s="20" t="n">
        <v>1319</v>
      </c>
      <c r="L75" s="20" t="n">
        <v>1505</v>
      </c>
    </row>
    <row r="76">
      <c r="A76" s="18" t="inlineStr">
        <is>
          <t>상품·제품</t>
        </is>
      </c>
      <c r="C76" s="20" t="n">
        <v>2509</v>
      </c>
      <c r="D76" s="20" t="n">
        <v>2532</v>
      </c>
      <c r="E76" s="20" t="n">
        <v>2309</v>
      </c>
      <c r="F76" s="20" t="n">
        <v>3338</v>
      </c>
      <c r="G76" s="20" t="n">
        <v>3461</v>
      </c>
      <c r="H76" s="20" t="n">
        <v>1632</v>
      </c>
      <c r="I76" s="20" t="n">
        <v>2267</v>
      </c>
      <c r="J76" s="20" t="n">
        <v>2248</v>
      </c>
      <c r="K76" s="20" t="n">
        <v>2645</v>
      </c>
      <c r="L76" s="20" t="n">
        <v>2309</v>
      </c>
    </row>
    <row r="77">
      <c r="A77" s="18" t="inlineStr">
        <is>
          <t>재공품</t>
        </is>
      </c>
      <c r="C77" s="20" t="n">
        <v>4331</v>
      </c>
      <c r="D77" s="20" t="n">
        <v>4876</v>
      </c>
      <c r="E77" s="20" t="n">
        <v>5354</v>
      </c>
      <c r="F77" s="20" t="n">
        <v>6792</v>
      </c>
      <c r="G77" s="20" t="n">
        <v>7713</v>
      </c>
      <c r="H77" s="20" t="n">
        <v>2648</v>
      </c>
      <c r="I77" s="20" t="n">
        <v>2905</v>
      </c>
      <c r="J77" s="20" t="n">
        <v>2960</v>
      </c>
      <c r="K77" s="20" t="n">
        <v>3803</v>
      </c>
      <c r="L77" s="20" t="n">
        <v>5354</v>
      </c>
    </row>
    <row r="78">
      <c r="A78" s="18" t="inlineStr">
        <is>
          <t>원재료·저장품</t>
        </is>
      </c>
      <c r="C78" s="20" t="n">
        <v>5783</v>
      </c>
      <c r="D78" s="20" t="n">
        <v>6935</v>
      </c>
      <c r="E78" s="20" t="n">
        <v>8631</v>
      </c>
      <c r="F78" s="20" t="n">
        <v>9788</v>
      </c>
      <c r="G78" s="20" t="n">
        <v>11076</v>
      </c>
      <c r="H78" s="20" t="n">
        <v>3706</v>
      </c>
      <c r="I78" s="20" t="n">
        <v>3767</v>
      </c>
      <c r="J78" s="20" t="n">
        <v>4575</v>
      </c>
      <c r="K78" s="20" t="n">
        <v>5398</v>
      </c>
      <c r="L78" s="20" t="n">
        <v>8631</v>
      </c>
    </row>
    <row r="79">
      <c r="A79" s="18" t="inlineStr">
        <is>
          <t>기타</t>
        </is>
      </c>
      <c r="C79" s="20" t="n">
        <v>2055</v>
      </c>
      <c r="D79" s="20" t="n">
        <v>3109</v>
      </c>
      <c r="E79" s="20" t="n">
        <v>4525</v>
      </c>
      <c r="F79" s="20" t="n">
        <v>2118</v>
      </c>
      <c r="G79" s="20" t="n">
        <v>3641</v>
      </c>
      <c r="H79" s="20" t="n">
        <v>2389</v>
      </c>
      <c r="I79" s="20" t="n">
        <v>3043</v>
      </c>
      <c r="J79" s="20" t="n">
        <v>2516</v>
      </c>
      <c r="K79" s="20" t="n">
        <v>2832</v>
      </c>
      <c r="L79" s="20" t="n">
        <v>4525</v>
      </c>
    </row>
    <row r="80">
      <c r="A80" s="18" t="inlineStr">
        <is>
          <t>대손충당금</t>
        </is>
      </c>
      <c r="C80" s="20" t="n">
        <v>-7</v>
      </c>
      <c r="D80" s="20" t="n">
        <v>-8</v>
      </c>
      <c r="E80" s="20" t="n">
        <v>-8</v>
      </c>
      <c r="F80" s="20" t="n">
        <v>-8</v>
      </c>
      <c r="G80" s="20" t="n">
        <v>-9</v>
      </c>
      <c r="H80" s="20" t="n">
        <v>-9</v>
      </c>
      <c r="I80" s="20" t="n">
        <v>-9</v>
      </c>
      <c r="J80" s="20" t="n">
        <v>-133</v>
      </c>
      <c r="K80" s="20" t="n">
        <v>-62</v>
      </c>
      <c r="L80" s="20" t="n">
        <v>-8</v>
      </c>
    </row>
    <row r="81">
      <c r="A81" s="9" t="inlineStr">
        <is>
          <t>유동자산 합계</t>
        </is>
      </c>
      <c r="C81" s="12" t="n">
        <v>99535</v>
      </c>
      <c r="D81" s="12" t="n">
        <v>100691</v>
      </c>
      <c r="E81" s="12" t="n">
        <v>103175</v>
      </c>
      <c r="F81" s="12" t="n">
        <v>104248</v>
      </c>
      <c r="G81" s="12" t="n">
        <v>112297</v>
      </c>
      <c r="H81" s="12" t="n">
        <v>70149</v>
      </c>
      <c r="I81" s="12" t="n">
        <v>74634</v>
      </c>
      <c r="J81" s="12" t="n">
        <v>83485</v>
      </c>
      <c r="K81" s="12" t="n">
        <v>100290</v>
      </c>
      <c r="L81" s="12" t="n">
        <v>103175</v>
      </c>
    </row>
    <row r="82">
      <c r="A82" s="18" t="inlineStr">
        <is>
          <t>건물·구축물</t>
        </is>
      </c>
      <c r="H82" s="20" t="n">
        <v>17717</v>
      </c>
    </row>
    <row r="83">
      <c r="A83" s="18" t="inlineStr">
        <is>
          <t>감가상각누계액</t>
        </is>
      </c>
      <c r="H83" s="20" t="n">
        <v>-7615</v>
      </c>
    </row>
    <row r="84">
      <c r="A84" s="18" t="inlineStr">
        <is>
          <t>건물·구축물(순액)</t>
        </is>
      </c>
      <c r="C84" s="20" t="n">
        <v>16125</v>
      </c>
      <c r="D84" s="20" t="n">
        <v>16401</v>
      </c>
      <c r="E84" s="20" t="n">
        <v>19634</v>
      </c>
      <c r="F84" s="20" t="n">
        <v>18833</v>
      </c>
      <c r="G84" s="20" t="n">
        <v>19055</v>
      </c>
      <c r="H84" s="20" t="n">
        <v>10101</v>
      </c>
      <c r="I84" s="20" t="n">
        <v>14075</v>
      </c>
      <c r="J84" s="20" t="n">
        <v>15947</v>
      </c>
      <c r="K84" s="20" t="n">
        <v>14996</v>
      </c>
      <c r="L84" s="20" t="n">
        <v>19634</v>
      </c>
    </row>
    <row r="85">
      <c r="A85" s="18" t="inlineStr">
        <is>
          <t>기계장치·운반구</t>
        </is>
      </c>
      <c r="H85" s="20" t="n">
        <v>24771</v>
      </c>
    </row>
    <row r="86">
      <c r="A86" s="18" t="inlineStr">
        <is>
          <t>감가상각누계액</t>
        </is>
      </c>
      <c r="H86" s="20" t="n">
        <v>-19292</v>
      </c>
    </row>
    <row r="87">
      <c r="A87" s="18" t="inlineStr">
        <is>
          <t>기계장치·운반구(순액)</t>
        </is>
      </c>
      <c r="C87" s="20" t="n">
        <v>13456</v>
      </c>
      <c r="D87" s="20" t="n">
        <v>14297</v>
      </c>
      <c r="E87" s="20" t="n">
        <v>14722</v>
      </c>
      <c r="F87" s="20" t="n">
        <v>15379</v>
      </c>
      <c r="G87" s="20" t="n">
        <v>15912</v>
      </c>
      <c r="H87" s="20" t="n">
        <v>5478</v>
      </c>
      <c r="I87" s="20" t="n">
        <v>7446</v>
      </c>
      <c r="J87" s="20" t="n">
        <v>12040</v>
      </c>
      <c r="K87" s="20" t="n">
        <v>13039</v>
      </c>
      <c r="L87" s="20" t="n">
        <v>14722</v>
      </c>
    </row>
    <row r="88">
      <c r="A88" s="18" t="inlineStr">
        <is>
          <t>토지</t>
        </is>
      </c>
      <c r="C88" s="20" t="n">
        <v>5053</v>
      </c>
      <c r="D88" s="20" t="n">
        <v>5064</v>
      </c>
      <c r="E88" s="20" t="n">
        <v>5750</v>
      </c>
      <c r="F88" s="20" t="n">
        <v>6164</v>
      </c>
      <c r="G88" s="20" t="n">
        <v>6165</v>
      </c>
      <c r="H88" s="20" t="n">
        <v>4699</v>
      </c>
      <c r="I88" s="20" t="n">
        <v>4872</v>
      </c>
      <c r="J88" s="20" t="n">
        <v>5005</v>
      </c>
      <c r="K88" s="20" t="n">
        <v>5047</v>
      </c>
      <c r="L88" s="20" t="n">
        <v>5750</v>
      </c>
    </row>
    <row r="89">
      <c r="A89" s="18" t="inlineStr">
        <is>
          <t>건설중인자산</t>
        </is>
      </c>
      <c r="C89" s="20" t="n">
        <v>10514</v>
      </c>
      <c r="D89" s="20" t="n">
        <v>13538</v>
      </c>
      <c r="E89" s="20" t="n">
        <v>16351</v>
      </c>
      <c r="F89" s="20" t="n">
        <v>17825</v>
      </c>
      <c r="G89" s="20" t="n">
        <v>20207</v>
      </c>
      <c r="H89" s="20" t="n">
        <v>2653</v>
      </c>
      <c r="I89" s="20" t="n">
        <v>3920</v>
      </c>
      <c r="J89" s="20" t="n">
        <v>2952</v>
      </c>
      <c r="K89" s="20" t="n">
        <v>5474</v>
      </c>
      <c r="L89" s="20" t="n">
        <v>16351</v>
      </c>
    </row>
    <row r="90">
      <c r="A90" s="18" t="inlineStr">
        <is>
          <t>기타</t>
        </is>
      </c>
      <c r="H90" s="20" t="n">
        <v>4256</v>
      </c>
    </row>
    <row r="91">
      <c r="A91" s="18" t="inlineStr">
        <is>
          <t>감가상각누계액</t>
        </is>
      </c>
      <c r="H91" s="20" t="n">
        <v>-3666</v>
      </c>
    </row>
    <row r="92">
      <c r="A92" s="18" t="inlineStr">
        <is>
          <t>기타(순액)</t>
        </is>
      </c>
      <c r="C92" s="20" t="n">
        <v>852</v>
      </c>
      <c r="D92" s="20" t="n">
        <v>852</v>
      </c>
      <c r="E92" s="20" t="n">
        <v>819</v>
      </c>
      <c r="F92" s="20" t="n">
        <v>930</v>
      </c>
      <c r="G92" s="20" t="n">
        <v>1093</v>
      </c>
      <c r="H92" s="20" t="n">
        <v>590</v>
      </c>
      <c r="I92" s="20" t="n">
        <v>731</v>
      </c>
      <c r="J92" s="20" t="n">
        <v>786</v>
      </c>
      <c r="K92" s="20" t="n">
        <v>798</v>
      </c>
      <c r="L92" s="20" t="n">
        <v>819</v>
      </c>
    </row>
    <row r="93">
      <c r="A93" s="18" t="inlineStr">
        <is>
          <t>유형자산 합계</t>
        </is>
      </c>
      <c r="C93" s="20" t="n">
        <v>46002</v>
      </c>
      <c r="D93" s="20" t="n">
        <v>50154</v>
      </c>
      <c r="E93" s="20" t="n">
        <v>57277</v>
      </c>
      <c r="F93" s="20" t="n">
        <v>59132</v>
      </c>
      <c r="G93" s="20" t="n">
        <v>62435</v>
      </c>
      <c r="H93" s="20" t="n">
        <v>23524</v>
      </c>
      <c r="I93" s="20" t="n">
        <v>31046</v>
      </c>
      <c r="J93" s="20" t="n">
        <v>36733</v>
      </c>
      <c r="K93" s="20" t="n">
        <v>39356</v>
      </c>
      <c r="L93" s="20" t="n">
        <v>57277</v>
      </c>
    </row>
    <row r="94">
      <c r="A94" s="18" t="inlineStr">
        <is>
          <t>기타</t>
        </is>
      </c>
      <c r="C94" s="20" t="n">
        <v>438</v>
      </c>
      <c r="D94" s="20" t="n">
        <v>441</v>
      </c>
      <c r="E94" s="20" t="n">
        <v>438</v>
      </c>
      <c r="F94" s="20" t="n">
        <v>491</v>
      </c>
      <c r="G94" s="20" t="n">
        <v>466</v>
      </c>
      <c r="H94" s="20" t="n">
        <v>298</v>
      </c>
      <c r="I94" s="20" t="n">
        <v>284</v>
      </c>
      <c r="J94" s="20" t="n">
        <v>318</v>
      </c>
      <c r="K94" s="20" t="n">
        <v>444</v>
      </c>
      <c r="L94" s="20" t="n">
        <v>438</v>
      </c>
    </row>
    <row r="95">
      <c r="A95" s="18" t="inlineStr">
        <is>
          <t>무형자산 합계</t>
        </is>
      </c>
      <c r="C95" s="20" t="n">
        <v>438</v>
      </c>
      <c r="D95" s="20" t="n">
        <v>441</v>
      </c>
      <c r="E95" s="20" t="n">
        <v>438</v>
      </c>
      <c r="F95" s="20" t="n">
        <v>491</v>
      </c>
      <c r="G95" s="20" t="n">
        <v>466</v>
      </c>
      <c r="H95" s="20" t="n">
        <v>298</v>
      </c>
      <c r="I95" s="20" t="n">
        <v>284</v>
      </c>
      <c r="J95" s="20" t="n">
        <v>318</v>
      </c>
      <c r="K95" s="20" t="n">
        <v>444</v>
      </c>
      <c r="L95" s="20" t="n">
        <v>438</v>
      </c>
    </row>
    <row r="96">
      <c r="A96" s="18" t="inlineStr">
        <is>
          <t>투자유가증권</t>
        </is>
      </c>
      <c r="E96" s="20" t="n">
        <v>110</v>
      </c>
      <c r="H96" s="20" t="n">
        <v>230</v>
      </c>
      <c r="I96" s="20" t="n">
        <v>534</v>
      </c>
      <c r="J96" s="20" t="n">
        <v>433</v>
      </c>
      <c r="K96" s="20" t="n">
        <v>482</v>
      </c>
      <c r="L96" s="20" t="n">
        <v>110</v>
      </c>
    </row>
    <row r="97">
      <c r="A97" s="18" t="inlineStr">
        <is>
          <t>이연법인세자산</t>
        </is>
      </c>
      <c r="E97" s="20" t="n">
        <v>621</v>
      </c>
      <c r="H97" s="20" t="n">
        <v>637</v>
      </c>
      <c r="I97" s="20" t="n">
        <v>484</v>
      </c>
      <c r="J97" s="20" t="n">
        <v>487</v>
      </c>
      <c r="K97" s="20" t="n">
        <v>639</v>
      </c>
      <c r="L97" s="20" t="n">
        <v>621</v>
      </c>
    </row>
    <row r="98">
      <c r="A98" s="18" t="inlineStr">
        <is>
          <t>투자부동산(순액)</t>
        </is>
      </c>
      <c r="E98" s="20" t="n">
        <v>907</v>
      </c>
      <c r="H98" s="20" t="n">
        <v>948</v>
      </c>
      <c r="I98" s="20" t="n">
        <v>933</v>
      </c>
      <c r="J98" s="20" t="n">
        <v>935</v>
      </c>
      <c r="K98" s="20" t="n">
        <v>920</v>
      </c>
      <c r="L98" s="20" t="n">
        <v>907</v>
      </c>
    </row>
    <row r="99">
      <c r="A99" s="18" t="inlineStr">
        <is>
          <t>기타</t>
        </is>
      </c>
      <c r="E99" s="20" t="n">
        <v>160</v>
      </c>
      <c r="H99" s="20" t="n">
        <v>111</v>
      </c>
      <c r="I99" s="20" t="n">
        <v>114</v>
      </c>
      <c r="J99" s="20" t="n">
        <v>121</v>
      </c>
      <c r="K99" s="20" t="n">
        <v>152</v>
      </c>
      <c r="L99" s="20" t="n">
        <v>160</v>
      </c>
    </row>
    <row r="100">
      <c r="A100" s="18" t="inlineStr">
        <is>
          <t>대손충당금</t>
        </is>
      </c>
      <c r="E100" s="20" t="n">
        <v>-0</v>
      </c>
      <c r="H100" s="20" t="n">
        <v>-0</v>
      </c>
      <c r="I100" s="20" t="n">
        <v>-0</v>
      </c>
      <c r="J100" s="20" t="n">
        <v>-0</v>
      </c>
      <c r="K100" s="20" t="n">
        <v>-0</v>
      </c>
      <c r="L100" s="20" t="n">
        <v>-0</v>
      </c>
    </row>
    <row r="101">
      <c r="A101" s="18" t="inlineStr">
        <is>
          <t>투자 및 기타자산</t>
        </is>
      </c>
      <c r="C101" s="20" t="n">
        <v>1939</v>
      </c>
      <c r="D101" s="20" t="n">
        <v>1382</v>
      </c>
      <c r="E101" s="20" t="n">
        <v>1799</v>
      </c>
      <c r="F101" s="20" t="n">
        <v>1588</v>
      </c>
      <c r="G101" s="20" t="n">
        <v>2063</v>
      </c>
      <c r="H101" s="20" t="n">
        <v>1927</v>
      </c>
      <c r="I101" s="20" t="n">
        <v>2066</v>
      </c>
      <c r="J101" s="20" t="n">
        <v>1977</v>
      </c>
      <c r="K101" s="20" t="n">
        <v>2194</v>
      </c>
      <c r="L101" s="20" t="n">
        <v>1799</v>
      </c>
    </row>
    <row r="102">
      <c r="A102" s="9" t="inlineStr">
        <is>
          <t>비유동자산 합계</t>
        </is>
      </c>
      <c r="C102" s="12" t="n">
        <v>48380</v>
      </c>
      <c r="D102" s="12" t="n">
        <v>51979</v>
      </c>
      <c r="E102" s="12" t="n">
        <v>59515</v>
      </c>
      <c r="F102" s="12" t="n">
        <v>61213</v>
      </c>
      <c r="G102" s="12" t="n">
        <v>64964</v>
      </c>
      <c r="H102" s="12" t="n">
        <v>25750</v>
      </c>
      <c r="I102" s="12" t="n">
        <v>33397</v>
      </c>
      <c r="J102" s="12" t="n">
        <v>39029</v>
      </c>
      <c r="K102" s="12" t="n">
        <v>41995</v>
      </c>
      <c r="L102" s="12" t="n">
        <v>59515</v>
      </c>
    </row>
    <row r="103">
      <c r="A103" s="9" t="inlineStr">
        <is>
          <t>자산 합계</t>
        </is>
      </c>
      <c r="C103" s="12" t="n">
        <v>147915</v>
      </c>
      <c r="D103" s="12" t="n">
        <v>152670</v>
      </c>
      <c r="E103" s="12" t="n">
        <v>162691</v>
      </c>
      <c r="F103" s="12" t="n">
        <v>165461</v>
      </c>
      <c r="G103" s="12" t="n">
        <v>177262</v>
      </c>
      <c r="H103" s="12" t="n">
        <v>95899</v>
      </c>
      <c r="I103" s="12" t="n">
        <v>108031</v>
      </c>
      <c r="J103" s="12" t="n">
        <v>122515</v>
      </c>
      <c r="K103" s="12" t="n">
        <v>142285</v>
      </c>
      <c r="L103" s="12" t="n">
        <v>162691</v>
      </c>
    </row>
    <row r="104">
      <c r="A104" s="18" t="inlineStr">
        <is>
          <t>지급어음·매입채무</t>
        </is>
      </c>
      <c r="C104" s="20" t="n">
        <v>3139</v>
      </c>
      <c r="D104" s="20" t="n">
        <v>4206</v>
      </c>
      <c r="E104" s="20" t="n">
        <v>4254</v>
      </c>
      <c r="F104" s="20" t="n">
        <v>4435</v>
      </c>
      <c r="G104" s="20" t="n">
        <v>4116</v>
      </c>
      <c r="H104" s="20" t="n">
        <v>3444</v>
      </c>
      <c r="I104" s="20" t="n">
        <v>2975</v>
      </c>
      <c r="J104" s="20" t="n">
        <v>2957</v>
      </c>
      <c r="K104" s="20" t="n">
        <v>2965</v>
      </c>
      <c r="L104" s="20" t="n">
        <v>4254</v>
      </c>
    </row>
    <row r="105">
      <c r="A105" s="18" t="inlineStr">
        <is>
          <t>전자기록채무</t>
        </is>
      </c>
      <c r="C105" s="20" t="n">
        <v>865</v>
      </c>
      <c r="D105" s="20" t="n">
        <v>984</v>
      </c>
      <c r="E105" s="20" t="n">
        <v>697</v>
      </c>
      <c r="F105" s="20" t="n">
        <v>562</v>
      </c>
      <c r="G105" s="20" t="n">
        <v>566</v>
      </c>
      <c r="H105" s="20" t="n">
        <v>2419</v>
      </c>
      <c r="I105" s="20" t="n">
        <v>1542</v>
      </c>
      <c r="J105" s="20" t="n">
        <v>2355</v>
      </c>
      <c r="K105" s="20" t="n">
        <v>840</v>
      </c>
      <c r="L105" s="20" t="n">
        <v>697</v>
      </c>
    </row>
    <row r="106">
      <c r="A106" s="18" t="inlineStr">
        <is>
          <t>단기차입금</t>
        </is>
      </c>
      <c r="H106" s="20" t="n">
        <v>100</v>
      </c>
      <c r="I106" s="20" t="n">
        <v>0</v>
      </c>
    </row>
    <row r="107">
      <c r="A107" s="18" t="inlineStr">
        <is>
          <t>1년 내 상환 장기차입금</t>
        </is>
      </c>
      <c r="H107" s="20" t="n">
        <v>866</v>
      </c>
      <c r="I107" s="20" t="n">
        <v>333</v>
      </c>
      <c r="J107" s="20" t="n">
        <v>400</v>
      </c>
      <c r="K107" s="20" t="n">
        <v>0</v>
      </c>
    </row>
    <row r="108">
      <c r="A108" s="18" t="inlineStr">
        <is>
          <t>미지급법인세</t>
        </is>
      </c>
      <c r="C108" s="20" t="n">
        <v>3327</v>
      </c>
      <c r="D108" s="20" t="n">
        <v>1233</v>
      </c>
      <c r="E108" s="20" t="n">
        <v>3942</v>
      </c>
      <c r="F108" s="20" t="n">
        <v>1704</v>
      </c>
      <c r="G108" s="20" t="n">
        <v>5526</v>
      </c>
      <c r="H108" s="20" t="n">
        <v>4731</v>
      </c>
      <c r="I108" s="20" t="n">
        <v>2684</v>
      </c>
      <c r="J108" s="20" t="n">
        <v>2851</v>
      </c>
      <c r="K108" s="20" t="n">
        <v>4929</v>
      </c>
      <c r="L108" s="20" t="n">
        <v>3942</v>
      </c>
    </row>
    <row r="109">
      <c r="A109" s="18" t="inlineStr">
        <is>
          <t>상여충당금</t>
        </is>
      </c>
      <c r="C109" s="20" t="n">
        <v>1026</v>
      </c>
      <c r="D109" s="20" t="n">
        <v>589</v>
      </c>
      <c r="E109" s="20" t="n">
        <v>1170</v>
      </c>
      <c r="F109" s="20" t="n">
        <v>635</v>
      </c>
      <c r="G109" s="20" t="n">
        <v>1332</v>
      </c>
      <c r="H109" s="20" t="n">
        <v>866</v>
      </c>
      <c r="I109" s="20" t="n">
        <v>914</v>
      </c>
      <c r="J109" s="20" t="n">
        <v>1042</v>
      </c>
      <c r="K109" s="20" t="n">
        <v>1191</v>
      </c>
      <c r="L109" s="20" t="n">
        <v>1170</v>
      </c>
    </row>
    <row r="110">
      <c r="A110" s="18" t="inlineStr">
        <is>
          <t>임원 상여충당금</t>
        </is>
      </c>
      <c r="C110" s="20" t="n">
        <v>7</v>
      </c>
      <c r="D110" s="20" t="n">
        <v>75</v>
      </c>
      <c r="E110" s="20" t="n">
        <v>133</v>
      </c>
      <c r="F110" s="20" t="n">
        <v>3</v>
      </c>
      <c r="G110" s="20" t="n">
        <v>7</v>
      </c>
      <c r="H110" s="20" t="n">
        <v>71</v>
      </c>
      <c r="I110" s="20" t="n">
        <v>124</v>
      </c>
      <c r="J110" s="20" t="n">
        <v>124</v>
      </c>
      <c r="K110" s="20" t="n">
        <v>149</v>
      </c>
      <c r="L110" s="20" t="n">
        <v>133</v>
      </c>
    </row>
    <row r="111">
      <c r="A111" s="18" t="inlineStr">
        <is>
          <t>기타</t>
        </is>
      </c>
      <c r="C111" s="20" t="n">
        <v>3673</v>
      </c>
      <c r="D111" s="20" t="n">
        <v>4215</v>
      </c>
      <c r="E111" s="20" t="n">
        <v>4659</v>
      </c>
      <c r="F111" s="20" t="n">
        <v>6233</v>
      </c>
      <c r="G111" s="20" t="n">
        <v>6687</v>
      </c>
      <c r="H111" s="20" t="n">
        <v>2455</v>
      </c>
      <c r="I111" s="20" t="n">
        <v>4334</v>
      </c>
      <c r="J111" s="20" t="n">
        <v>3091</v>
      </c>
      <c r="K111" s="20" t="n">
        <v>3856</v>
      </c>
      <c r="L111" s="20" t="n">
        <v>4659</v>
      </c>
    </row>
    <row r="112">
      <c r="A112" s="9" t="inlineStr">
        <is>
          <t>유동부채 합계</t>
        </is>
      </c>
      <c r="C112" s="12" t="n">
        <v>12039</v>
      </c>
      <c r="D112" s="12" t="n">
        <v>11306</v>
      </c>
      <c r="E112" s="12" t="n">
        <v>14856</v>
      </c>
      <c r="F112" s="12" t="n">
        <v>13575</v>
      </c>
      <c r="G112" s="12" t="n">
        <v>18237</v>
      </c>
      <c r="H112" s="12" t="n">
        <v>14953</v>
      </c>
      <c r="I112" s="12" t="n">
        <v>12910</v>
      </c>
      <c r="J112" s="12" t="n">
        <v>12821</v>
      </c>
      <c r="K112" s="12" t="n">
        <v>13933</v>
      </c>
      <c r="L112" s="12" t="n">
        <v>14856</v>
      </c>
    </row>
    <row r="113">
      <c r="A113" s="18" t="inlineStr">
        <is>
          <t>장기차입금</t>
        </is>
      </c>
      <c r="H113" s="20" t="n">
        <v>733</v>
      </c>
      <c r="I113" s="20" t="n">
        <v>400</v>
      </c>
      <c r="J113" s="20" t="n">
        <v>0</v>
      </c>
    </row>
    <row r="114">
      <c r="A114" s="18" t="inlineStr">
        <is>
          <t>이연법인세부채</t>
        </is>
      </c>
      <c r="C114" s="20" t="n">
        <v>149</v>
      </c>
      <c r="D114" s="20" t="n">
        <v>165</v>
      </c>
      <c r="E114" s="20" t="n">
        <v>213</v>
      </c>
      <c r="F114" s="20" t="n">
        <v>148</v>
      </c>
      <c r="G114" s="20" t="n">
        <v>143</v>
      </c>
      <c r="H114" s="20" t="n">
        <v>153</v>
      </c>
      <c r="I114" s="20" t="n">
        <v>141</v>
      </c>
      <c r="J114" s="20" t="n">
        <v>127</v>
      </c>
      <c r="K114" s="20" t="n">
        <v>131</v>
      </c>
      <c r="L114" s="20" t="n">
        <v>213</v>
      </c>
    </row>
    <row r="115">
      <c r="A115" s="18" t="inlineStr">
        <is>
          <t>기타</t>
        </is>
      </c>
      <c r="C115" s="20" t="n">
        <v>366</v>
      </c>
      <c r="D115" s="20" t="n">
        <v>362</v>
      </c>
      <c r="E115" s="20" t="n">
        <v>358</v>
      </c>
      <c r="F115" s="20" t="n">
        <v>359</v>
      </c>
      <c r="G115" s="20" t="n">
        <v>359</v>
      </c>
      <c r="H115" s="20" t="n">
        <v>377</v>
      </c>
      <c r="I115" s="20" t="n">
        <v>364</v>
      </c>
      <c r="J115" s="20" t="n">
        <v>361</v>
      </c>
      <c r="K115" s="20" t="n">
        <v>366</v>
      </c>
      <c r="L115" s="20" t="n">
        <v>358</v>
      </c>
    </row>
    <row r="116">
      <c r="A116" s="9" t="inlineStr">
        <is>
          <t>비유동부채 합계</t>
        </is>
      </c>
      <c r="C116" s="12" t="n">
        <v>515</v>
      </c>
      <c r="D116" s="12" t="n">
        <v>528</v>
      </c>
      <c r="E116" s="12" t="n">
        <v>571</v>
      </c>
      <c r="F116" s="12" t="n">
        <v>508</v>
      </c>
      <c r="G116" s="12" t="n">
        <v>502</v>
      </c>
      <c r="H116" s="12" t="n">
        <v>1264</v>
      </c>
      <c r="I116" s="12" t="n">
        <v>905</v>
      </c>
      <c r="J116" s="12" t="n">
        <v>489</v>
      </c>
      <c r="K116" s="12" t="n">
        <v>498</v>
      </c>
      <c r="L116" s="12" t="n">
        <v>571</v>
      </c>
    </row>
    <row r="117">
      <c r="A117" s="9" t="inlineStr">
        <is>
          <t>부채 합계</t>
        </is>
      </c>
      <c r="C117" s="12" t="n">
        <v>12555</v>
      </c>
      <c r="D117" s="12" t="n">
        <v>11835</v>
      </c>
      <c r="E117" s="12" t="n">
        <v>15428</v>
      </c>
      <c r="F117" s="12" t="n">
        <v>14083</v>
      </c>
      <c r="G117" s="12" t="n">
        <v>18739</v>
      </c>
      <c r="H117" s="12" t="n">
        <v>16218</v>
      </c>
      <c r="I117" s="12" t="n">
        <v>13816</v>
      </c>
      <c r="J117" s="12" t="n">
        <v>13311</v>
      </c>
      <c r="K117" s="12" t="n">
        <v>14431</v>
      </c>
      <c r="L117" s="12" t="n">
        <v>15428</v>
      </c>
    </row>
    <row r="118">
      <c r="A118" s="18" t="inlineStr">
        <is>
          <t>자본금</t>
        </is>
      </c>
      <c r="C118" s="20" t="n">
        <v>8646</v>
      </c>
      <c r="D118" s="20" t="n">
        <v>8646</v>
      </c>
      <c r="E118" s="20" t="n">
        <v>8646</v>
      </c>
      <c r="F118" s="20" t="n">
        <v>8646</v>
      </c>
      <c r="G118" s="20" t="n">
        <v>8646</v>
      </c>
      <c r="H118" s="20" t="n">
        <v>8646</v>
      </c>
      <c r="I118" s="20" t="n">
        <v>8646</v>
      </c>
      <c r="J118" s="20" t="n">
        <v>8646</v>
      </c>
      <c r="K118" s="20" t="n">
        <v>8646</v>
      </c>
      <c r="L118" s="20" t="n">
        <v>8646</v>
      </c>
    </row>
    <row r="119">
      <c r="A119" s="18" t="inlineStr">
        <is>
          <t>자본잉여금</t>
        </is>
      </c>
      <c r="C119" s="20" t="n">
        <v>12103</v>
      </c>
      <c r="D119" s="20" t="n">
        <v>12103</v>
      </c>
      <c r="E119" s="20" t="n">
        <v>12170</v>
      </c>
      <c r="F119" s="20" t="n">
        <v>12170</v>
      </c>
      <c r="G119" s="20" t="n">
        <v>12233</v>
      </c>
      <c r="H119" s="20" t="n">
        <v>12017</v>
      </c>
      <c r="I119" s="20" t="n">
        <v>12018</v>
      </c>
      <c r="J119" s="20" t="n">
        <v>12031</v>
      </c>
      <c r="K119" s="20" t="n">
        <v>12103</v>
      </c>
      <c r="L119" s="20" t="n">
        <v>12170</v>
      </c>
    </row>
    <row r="120">
      <c r="A120" s="18" t="inlineStr">
        <is>
          <t>이익잉여금</t>
        </is>
      </c>
      <c r="C120" s="20" t="n">
        <v>112538</v>
      </c>
      <c r="D120" s="20" t="n">
        <v>116828</v>
      </c>
      <c r="E120" s="20" t="n">
        <v>122660</v>
      </c>
      <c r="F120" s="20" t="n">
        <v>126497</v>
      </c>
      <c r="G120" s="20" t="n">
        <v>134149</v>
      </c>
      <c r="H120" s="20" t="n">
        <v>59274</v>
      </c>
      <c r="I120" s="20" t="n">
        <v>73381</v>
      </c>
      <c r="J120" s="20" t="n">
        <v>87573</v>
      </c>
      <c r="K120" s="20" t="n">
        <v>105705</v>
      </c>
      <c r="L120" s="20" t="n">
        <v>122660</v>
      </c>
    </row>
    <row r="121">
      <c r="A121" s="18" t="inlineStr">
        <is>
          <t>자기주식</t>
        </is>
      </c>
      <c r="C121" s="20" t="n">
        <v>-203</v>
      </c>
      <c r="D121" s="20" t="n">
        <v>-205</v>
      </c>
      <c r="E121" s="20" t="n">
        <v>-198</v>
      </c>
      <c r="F121" s="20" t="n">
        <v>-200</v>
      </c>
      <c r="G121" s="20" t="n">
        <v>-193</v>
      </c>
      <c r="H121" s="20" t="n">
        <v>-207</v>
      </c>
      <c r="I121" s="20" t="n">
        <v>-209</v>
      </c>
      <c r="J121" s="20" t="n">
        <v>-210</v>
      </c>
      <c r="K121" s="20" t="n">
        <v>-198</v>
      </c>
      <c r="L121" s="20" t="n">
        <v>-198</v>
      </c>
    </row>
    <row r="122">
      <c r="A122" s="9" t="inlineStr">
        <is>
          <t>주주자본 합계</t>
        </is>
      </c>
      <c r="C122" s="12" t="n">
        <v>133085</v>
      </c>
      <c r="D122" s="12" t="n">
        <v>137373</v>
      </c>
      <c r="E122" s="12" t="n">
        <v>143279</v>
      </c>
      <c r="F122" s="12" t="n">
        <v>147113</v>
      </c>
      <c r="G122" s="12" t="n">
        <v>154836</v>
      </c>
      <c r="H122" s="12" t="n">
        <v>79732</v>
      </c>
      <c r="I122" s="12" t="n">
        <v>93838</v>
      </c>
      <c r="J122" s="12" t="n">
        <v>108042</v>
      </c>
      <c r="K122" s="12" t="n">
        <v>126257</v>
      </c>
      <c r="L122" s="12" t="n">
        <v>143279</v>
      </c>
    </row>
    <row r="123">
      <c r="A123" s="18" t="inlineStr">
        <is>
          <t>기타유가증권 평가차액</t>
        </is>
      </c>
      <c r="C123" s="20" t="n">
        <v>117</v>
      </c>
      <c r="D123" s="20" t="n">
        <v>35</v>
      </c>
      <c r="E123" s="20" t="n">
        <v>53</v>
      </c>
      <c r="F123" s="20" t="n">
        <v>90</v>
      </c>
      <c r="G123" s="20" t="n">
        <v>88</v>
      </c>
      <c r="H123" s="20" t="n">
        <v>104</v>
      </c>
      <c r="I123" s="20" t="n">
        <v>125</v>
      </c>
      <c r="J123" s="20" t="n">
        <v>171</v>
      </c>
      <c r="K123" s="20" t="n">
        <v>39</v>
      </c>
      <c r="L123" s="20" t="n">
        <v>53</v>
      </c>
    </row>
    <row r="124">
      <c r="A124" s="18" t="inlineStr">
        <is>
          <t>해외사업환산조정</t>
        </is>
      </c>
      <c r="C124" s="20" t="n">
        <v>2156</v>
      </c>
      <c r="D124" s="20" t="n">
        <v>3426</v>
      </c>
      <c r="E124" s="20" t="n">
        <v>3930</v>
      </c>
      <c r="F124" s="20" t="n">
        <v>4173</v>
      </c>
      <c r="G124" s="20" t="n">
        <v>3598</v>
      </c>
      <c r="H124" s="20" t="n">
        <v>-155</v>
      </c>
      <c r="I124" s="20" t="n">
        <v>251</v>
      </c>
      <c r="J124" s="20" t="n">
        <v>989</v>
      </c>
      <c r="K124" s="20" t="n">
        <v>1556</v>
      </c>
      <c r="L124" s="20" t="n">
        <v>3930</v>
      </c>
    </row>
    <row r="125">
      <c r="A125" s="18" t="inlineStr">
        <is>
          <t>기타포괄손익누계액 합계</t>
        </is>
      </c>
      <c r="C125" s="20" t="n">
        <v>2274</v>
      </c>
      <c r="D125" s="20" t="n">
        <v>3461</v>
      </c>
      <c r="E125" s="20" t="n">
        <v>3983</v>
      </c>
      <c r="F125" s="20" t="n">
        <v>4263</v>
      </c>
      <c r="G125" s="20" t="n">
        <v>3686</v>
      </c>
      <c r="H125" s="20" t="n">
        <v>-51</v>
      </c>
      <c r="I125" s="20" t="n">
        <v>377</v>
      </c>
      <c r="J125" s="20" t="n">
        <v>1161</v>
      </c>
      <c r="K125" s="20" t="n">
        <v>1596</v>
      </c>
      <c r="L125" s="20" t="n">
        <v>3983</v>
      </c>
    </row>
    <row r="126">
      <c r="A126" s="9" t="inlineStr">
        <is>
          <t>순자산 합계</t>
        </is>
      </c>
      <c r="C126" s="12" t="n">
        <v>135360</v>
      </c>
      <c r="D126" s="12" t="n">
        <v>140835</v>
      </c>
      <c r="E126" s="12" t="n">
        <v>147262</v>
      </c>
      <c r="F126" s="12" t="n">
        <v>151377</v>
      </c>
      <c r="G126" s="12" t="n">
        <v>158522</v>
      </c>
      <c r="H126" s="12" t="n">
        <v>79681</v>
      </c>
      <c r="I126" s="12" t="n">
        <v>94215</v>
      </c>
      <c r="J126" s="12" t="n">
        <v>109203</v>
      </c>
      <c r="K126" s="12" t="n">
        <v>127854</v>
      </c>
      <c r="L126" s="12" t="n">
        <v>147262</v>
      </c>
    </row>
    <row r="127">
      <c r="A127" s="9" t="inlineStr">
        <is>
          <t>부채·순자산 합계</t>
        </is>
      </c>
      <c r="C127" s="12" t="n">
        <v>147915</v>
      </c>
      <c r="D127" s="12" t="n">
        <v>152670</v>
      </c>
      <c r="E127" s="12" t="n">
        <v>162691</v>
      </c>
      <c r="F127" s="12" t="n">
        <v>165461</v>
      </c>
      <c r="G127" s="12" t="n">
        <v>177262</v>
      </c>
      <c r="H127" s="12" t="n">
        <v>95899</v>
      </c>
      <c r="I127" s="12" t="n">
        <v>108031</v>
      </c>
      <c r="J127" s="12" t="n">
        <v>122515</v>
      </c>
      <c r="K127" s="12" t="n">
        <v>142285</v>
      </c>
      <c r="L127" s="12" t="n">
        <v>162691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1" t="inlineStr">
        <is>
          <t>공시일</t>
        </is>
      </c>
      <c r="B3" s="51" t="inlineStr">
        <is>
          <t>문서</t>
        </is>
      </c>
      <c r="C3" s="51" t="inlineStr">
        <is>
          <t>PDF</t>
        </is>
      </c>
    </row>
    <row r="4">
      <c r="A4" t="inlineStr">
        <is>
          <t>2026-10-27</t>
        </is>
      </c>
      <c r="B4" t="inlineStr">
        <is>
          <t>2027년 3월 결산기 ２분기 결산단신</t>
        </is>
      </c>
      <c r="C4" t="inlineStr">
        <is>
          <t>https://www2.jpx.co.jp/disc/53440/140120261027556504.pdf</t>
        </is>
      </c>
    </row>
    <row r="5">
      <c r="A5" t="inlineStr">
        <is>
          <t>2026-07-29</t>
        </is>
      </c>
      <c r="B5" t="inlineStr">
        <is>
          <t>2027년 3월 결산기 １분기 결산단신</t>
        </is>
      </c>
      <c r="C5" t="inlineStr">
        <is>
          <t>https://www2.jpx.co.jp/disc/53440/140120260728501211.pdf</t>
        </is>
      </c>
    </row>
    <row r="6">
      <c r="A6" t="inlineStr">
        <is>
          <t>2026-05-08</t>
        </is>
      </c>
      <c r="B6" t="inlineStr">
        <is>
          <t>2026년 3월 결산기 연간 결산단신</t>
        </is>
      </c>
      <c r="C6" t="inlineStr">
        <is>
          <t>https://www2.jpx.co.jp/disc/53440/140120260508518995.pdf</t>
        </is>
      </c>
    </row>
    <row r="7">
      <c r="A7" t="inlineStr">
        <is>
          <t>2026-02-03</t>
        </is>
      </c>
      <c r="B7" t="inlineStr">
        <is>
          <t>2026년 3월 결산기 ３분기 결산단신</t>
        </is>
      </c>
      <c r="C7" t="inlineStr">
        <is>
          <t>https://www2.jpx.co.jp/disc/53440/140120260202545190.pdf</t>
        </is>
      </c>
    </row>
    <row r="8">
      <c r="A8" t="inlineStr">
        <is>
          <t>2025-11-05</t>
        </is>
      </c>
      <c r="B8" t="inlineStr">
        <is>
          <t>2026년 3월 결산기 ２분기 결산단신</t>
        </is>
      </c>
      <c r="C8" t="inlineStr">
        <is>
          <t>https://www2.jpx.co.jp/disc/53440/140120251104587236.pdf</t>
        </is>
      </c>
    </row>
    <row r="9">
      <c r="A9" t="inlineStr">
        <is>
          <t>2025-07-24</t>
        </is>
      </c>
      <c r="B9" t="inlineStr">
        <is>
          <t>2026년 3월 결산기 １분기 결산단신</t>
        </is>
      </c>
      <c r="C9" t="inlineStr">
        <is>
          <t>https://www2.jpx.co.jp/disc/53440/140120250724519115.pdf</t>
        </is>
      </c>
    </row>
    <row r="10">
      <c r="A10" t="inlineStr">
        <is>
          <t>2025-04-25</t>
        </is>
      </c>
      <c r="B10" t="inlineStr">
        <is>
          <t>2025년 3월 결산기 연간 결산단신</t>
        </is>
      </c>
      <c r="C10" t="inlineStr">
        <is>
          <t>https://www2.jpx.co.jp/disc/53440/140120250424523114.pdf</t>
        </is>
      </c>
    </row>
    <row r="11">
      <c r="A11" t="inlineStr">
        <is>
          <t>2025-01-29</t>
        </is>
      </c>
      <c r="B11" t="inlineStr">
        <is>
          <t>2025년 3월 결산기 ３분기 결산단신</t>
        </is>
      </c>
      <c r="C11" t="inlineStr">
        <is>
          <t>https://www2.jpx.co.jp/disc/53440/140120250128556635.pdf</t>
        </is>
      </c>
    </row>
    <row r="12">
      <c r="A12" t="inlineStr">
        <is>
          <t>2024-10-29</t>
        </is>
      </c>
      <c r="B12" t="inlineStr">
        <is>
          <t>2025년 3월 결산기 ２분기 결산단신</t>
        </is>
      </c>
      <c r="C12" t="inlineStr">
        <is>
          <t>https://www2.jpx.co.jp/disc/53440/140120241028504069.pdf</t>
        </is>
      </c>
    </row>
    <row r="13">
      <c r="A13" t="inlineStr">
        <is>
          <t>2024-07-29</t>
        </is>
      </c>
      <c r="B13" t="inlineStr">
        <is>
          <t>2025년 3월 결산기 １분기 결산단신</t>
        </is>
      </c>
      <c r="C13" t="inlineStr">
        <is>
          <t>https://www2.jpx.co.jp/disc/53440/140120240729556170.pdf</t>
        </is>
      </c>
    </row>
    <row r="14">
      <c r="A14" t="inlineStr">
        <is>
          <t>2024-04-25</t>
        </is>
      </c>
      <c r="B14" t="inlineStr">
        <is>
          <t>2024년 3월 결산기 연간 결산단신</t>
        </is>
      </c>
      <c r="C14" t="inlineStr">
        <is>
          <t>https://www2.jpx.co.jp/disc/53440/140120240424575100.pdf</t>
        </is>
      </c>
    </row>
    <row r="15">
      <c r="A15" t="inlineStr">
        <is>
          <t>2024-01-31</t>
        </is>
      </c>
      <c r="B15" t="inlineStr">
        <is>
          <t>2024년 3월 결산기 ３분기 결산단신</t>
        </is>
      </c>
      <c r="C15" t="inlineStr">
        <is>
          <t>https://www2.jpx.co.jp/disc/53440/140120240130522124.pdf</t>
        </is>
      </c>
    </row>
    <row r="16">
      <c r="A16" t="inlineStr">
        <is>
          <t>2023-10-26</t>
        </is>
      </c>
      <c r="B16" t="inlineStr">
        <is>
          <t>2024년 3월 결산기 ２분기 결산단신</t>
        </is>
      </c>
      <c r="C16" t="inlineStr">
        <is>
          <t>https://www2.jpx.co.jp/disc/53440/140120231025571689.pdf</t>
        </is>
      </c>
    </row>
    <row r="17">
      <c r="A17" t="inlineStr">
        <is>
          <t>2023-07-27</t>
        </is>
      </c>
      <c r="B17" t="inlineStr">
        <is>
          <t>2024년 3월 결산기 １분기 결산단신</t>
        </is>
      </c>
      <c r="C17" t="inlineStr">
        <is>
          <t>https://www2.jpx.co.jp/disc/53440/140120230727527712.pdf</t>
        </is>
      </c>
    </row>
    <row r="18">
      <c r="A18" t="inlineStr">
        <is>
          <t>2023-04-27</t>
        </is>
      </c>
      <c r="B18" t="inlineStr">
        <is>
          <t>2023년 3월 결산기 연간 결산단신</t>
        </is>
      </c>
      <c r="C18" t="inlineStr">
        <is>
          <t>https://www2.jpx.co.jp/disc/53440/140120230426553800.pdf</t>
        </is>
      </c>
    </row>
    <row r="19">
      <c r="A19" t="inlineStr">
        <is>
          <t>2023-01-31</t>
        </is>
      </c>
      <c r="B19" t="inlineStr">
        <is>
          <t>2023년 3월 결산기 ３분기 결산단신</t>
        </is>
      </c>
      <c r="C19" t="inlineStr">
        <is>
          <t>https://www2.jpx.co.jp/disc/53440/140120230130596315.pdf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https://www2.jpx.co.jp/disc/53440/140120220427529030.pdf</t>
        </is>
      </c>
    </row>
    <row r="21">
      <c r="A21" t="inlineStr">
        <is>
          <t>2021-04-27</t>
        </is>
      </c>
      <c r="B21" t="inlineStr">
        <is>
          <t>2021년 3월 결산기 연간 결산단신</t>
        </is>
      </c>
      <c r="C21" t="inlineStr">
        <is>
          <t>https://www2.jpx.co.jp/disc/53440/140120210427401170.pdf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https://www2.jpx.co.jp/disc/53440/140120200424498871.pdf</t>
        </is>
      </c>
    </row>
    <row r="23">
      <c r="A23" t="inlineStr">
        <is>
          <t>2019-04-26</t>
        </is>
      </c>
      <c r="B23" t="inlineStr">
        <is>
          <t>2019년 3월 결산기 연간 결산단신</t>
        </is>
      </c>
      <c r="C23" t="inlineStr">
        <is>
          <t>https://www2.jpx.co.jp/disc/53440/140120190426412111.pdf</t>
        </is>
      </c>
    </row>
    <row r="24">
      <c r="A24" t="inlineStr">
        <is>
          <t>2018-04-27</t>
        </is>
      </c>
      <c r="B24" t="inlineStr">
        <is>
          <t>연간 결산단신</t>
        </is>
      </c>
      <c r="C24" t="inlineStr">
        <is>
          <t>https://www2.jpx.co.jp/disc/53440/140120180427422509.pdf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2026-10-28T07:03:39Z</dcterms:created>
  <dcterms:modified xmlns:dcterms="http://purl.org/dc/terms/" xmlns:xsi="http://www.w3.org/2001/XMLSchema-instance" xsi:type="dcterms:W3CDTF">2026-10-28T07:03:40Z</dcterms:modified>
</cp:coreProperties>
</file>