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MARUWA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16963</v>
      </c>
      <c r="D4" s="12" t="n">
        <v>16538</v>
      </c>
      <c r="E4" s="12" t="n">
        <v>16243</v>
      </c>
      <c r="F4" s="12" t="n">
        <v>18579</v>
      </c>
      <c r="G4" s="12" t="n">
        <v>18319</v>
      </c>
      <c r="H4" s="12" t="n">
        <v>18708</v>
      </c>
      <c r="I4" s="12" t="n">
        <v>17256</v>
      </c>
      <c r="J4" s="12" t="n">
        <v>15859</v>
      </c>
      <c r="K4" s="12" t="n">
        <v>19110</v>
      </c>
      <c r="L4" s="12" t="n">
        <v>22251</v>
      </c>
      <c r="M4" s="12" t="n">
        <v>19267</v>
      </c>
      <c r="N4" s="12" t="n">
        <v>27654</v>
      </c>
      <c r="O4" s="11" t="n">
        <v>32187.205</v>
      </c>
      <c r="P4" s="12" t="n">
        <v>38513.051</v>
      </c>
      <c r="Q4" s="12" t="n">
        <v>41193.338</v>
      </c>
      <c r="R4" s="12" t="n">
        <v>41231.431</v>
      </c>
      <c r="S4" s="12" t="n">
        <v>41438</v>
      </c>
      <c r="T4" s="12" t="n">
        <v>54344</v>
      </c>
      <c r="U4" s="12" t="n">
        <v>58804</v>
      </c>
      <c r="V4" s="12" t="n">
        <v>61564</v>
      </c>
      <c r="W4" s="12" t="n">
        <v>71849</v>
      </c>
      <c r="X4" s="12" t="n">
        <v>74476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세라믹 부품 사업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조명기기 사업</t>
        </is>
      </c>
      <c r="B10" s="10" t="n"/>
      <c r="C10" s="19" t="n">
        <v>2230</v>
      </c>
      <c r="D10" s="20" t="n"/>
      <c r="E10" s="20" t="n"/>
      <c r="F10" s="20" t="n"/>
      <c r="G10" s="20" t="n">
        <v>2452</v>
      </c>
      <c r="H10" s="20" t="n"/>
      <c r="I10" s="20" t="n"/>
      <c r="J10" s="20" t="n"/>
      <c r="K10" s="20" t="n">
        <v>3037</v>
      </c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세라믹 부품 사업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세라믹 부품 사업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53238</v>
      </c>
      <c r="W16" s="20" t="n">
        <v>62494</v>
      </c>
      <c r="X16" s="20" t="n">
        <v>63806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조명기기 사업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8452</v>
      </c>
      <c r="W19" s="20" t="n">
        <v>9400</v>
      </c>
      <c r="X19" s="20" t="n">
        <v>10687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세라믹 부품 사업</t>
        </is>
      </c>
      <c r="B22" s="10" t="n"/>
      <c r="C22" s="19" t="n"/>
      <c r="D22" s="20" t="n"/>
      <c r="E22" s="20" t="n">
        <v>14320</v>
      </c>
      <c r="F22" s="20" t="n"/>
      <c r="G22" s="20" t="n"/>
      <c r="H22" s="20" t="n"/>
      <c r="I22" s="20" t="n">
        <v>15250</v>
      </c>
      <c r="J22" s="20" t="n"/>
      <c r="K22" s="20" t="n"/>
      <c r="L22" s="20" t="n"/>
      <c r="M22" s="20" t="n">
        <v>16789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조명기기 사업</t>
        </is>
      </c>
      <c r="B25" s="10" t="n"/>
      <c r="C25" s="19" t="n"/>
      <c r="D25" s="20" t="n"/>
      <c r="E25" s="20" t="n">
        <v>1926</v>
      </c>
      <c r="F25" s="20" t="n"/>
      <c r="G25" s="20" t="n"/>
      <c r="H25" s="20" t="n"/>
      <c r="I25" s="20" t="n">
        <v>2007</v>
      </c>
      <c r="J25" s="20" t="n"/>
      <c r="K25" s="20" t="n"/>
      <c r="L25" s="20" t="n"/>
      <c r="M25" s="20" t="n">
        <v>2482</v>
      </c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8358</v>
      </c>
      <c r="D29" s="20" t="n">
        <v>8158</v>
      </c>
      <c r="E29" s="20" t="n">
        <v>7665</v>
      </c>
      <c r="F29" s="20" t="n">
        <v>8436</v>
      </c>
      <c r="G29" s="20" t="n">
        <v>8136</v>
      </c>
      <c r="H29" s="20" t="n">
        <v>8140</v>
      </c>
      <c r="I29" s="20" t="n">
        <v>8180</v>
      </c>
      <c r="J29" s="20" t="n">
        <v>7846</v>
      </c>
      <c r="K29" s="20" t="n">
        <v>9226</v>
      </c>
      <c r="L29" s="20" t="n">
        <v>10066</v>
      </c>
      <c r="M29" s="20" t="n">
        <v>8845</v>
      </c>
      <c r="N29" s="20" t="n">
        <v>11913</v>
      </c>
      <c r="O29" s="19" t="n">
        <v>20296.949</v>
      </c>
      <c r="P29" s="20" t="n">
        <v>21928.997</v>
      </c>
      <c r="Q29" s="20" t="n">
        <v>23264.386</v>
      </c>
      <c r="R29" s="20" t="n">
        <v>23685.411</v>
      </c>
      <c r="S29" s="20" t="n">
        <v>23074</v>
      </c>
      <c r="T29" s="20" t="n">
        <v>27018</v>
      </c>
      <c r="U29" s="20" t="n">
        <v>28396</v>
      </c>
      <c r="V29" s="20" t="n">
        <v>30570</v>
      </c>
      <c r="W29" s="20" t="n">
        <v>32377</v>
      </c>
      <c r="X29" s="20" t="n">
        <v>35318</v>
      </c>
      <c r="Y29" s="19" t="n"/>
      <c r="Z29" s="20" t="n"/>
      <c r="AA29" s="20" t="n"/>
      <c r="AB29" s="20" t="n"/>
      <c r="AC29" s="20" t="n"/>
    </row>
    <row r="30">
      <c r="A30" s="18" t="inlineStr">
        <is>
          <t>매출총이익</t>
        </is>
      </c>
      <c r="B30" s="10" t="n"/>
      <c r="C30" s="19">
        <f>IF(OR(C4="",C29=""),"",IFERROR(C4-C29,""))</f>
        <v/>
      </c>
      <c r="D30" s="20">
        <f>IF(OR(D4="",D29=""),"",IFERROR(D4-D29,""))</f>
        <v/>
      </c>
      <c r="E30" s="20">
        <f>IF(OR(E4="",E29=""),"",IFERROR(E4-E29,""))</f>
        <v/>
      </c>
      <c r="F30" s="20">
        <f>IF(OR(F4="",F29=""),"",IFERROR(F4-F29,""))</f>
        <v/>
      </c>
      <c r="G30" s="20">
        <f>IF(OR(G4="",G29=""),"",IFERROR(G4-G29,""))</f>
        <v/>
      </c>
      <c r="H30" s="20">
        <f>IF(OR(H4="",H29=""),"",IFERROR(H4-H29,""))</f>
        <v/>
      </c>
      <c r="I30" s="20">
        <f>IF(OR(I4="",I29=""),"",IFERROR(I4-I29,""))</f>
        <v/>
      </c>
      <c r="J30" s="20">
        <f>IF(OR(J4="",J29=""),"",IFERROR(J4-J29,""))</f>
        <v/>
      </c>
      <c r="K30" s="20">
        <f>IF(OR(K4="",K29=""),"",IFERROR(K4-K29,""))</f>
        <v/>
      </c>
      <c r="L30" s="20">
        <f>IF(OR(L4="",L29=""),"",IFERROR(L4-L29,""))</f>
        <v/>
      </c>
      <c r="M30" s="20">
        <f>IF(OR(M4="",M29=""),"",IFERROR(M4-M29,""))</f>
        <v/>
      </c>
      <c r="N30" s="20">
        <f>IF(OR(N4="",N29=""),"",IFERROR(N4-N29,""))</f>
        <v/>
      </c>
      <c r="O30" s="19">
        <f>IF(OR(O4="",O29=""),"",IFERROR(O4-O29,""))</f>
        <v/>
      </c>
      <c r="P30" s="20">
        <f>IF(OR(P4="",P29=""),"",IFERROR(P4-P29,""))</f>
        <v/>
      </c>
      <c r="Q30" s="20">
        <f>IF(OR(Q4="",Q29=""),"",IFERROR(Q4-Q29,""))</f>
        <v/>
      </c>
      <c r="R30" s="20">
        <f>IF(OR(R4="",R29=""),"",IFERROR(R4-R29,""))</f>
        <v/>
      </c>
      <c r="S30" s="20">
        <f>IF(OR(S4="",S29=""),"",IFERROR(S4-S29,""))</f>
        <v/>
      </c>
      <c r="T30" s="20">
        <f>IF(OR(T4="",T29=""),"",IFERROR(T4-T29,""))</f>
        <v/>
      </c>
      <c r="U30" s="20">
        <f>IF(OR(U4="",U29=""),"",IFERROR(U4-U29,""))</f>
        <v/>
      </c>
      <c r="V30" s="20">
        <f>IF(OR(V4="",V29=""),"",IFERROR(V4-V29,""))</f>
        <v/>
      </c>
      <c r="W30" s="20">
        <f>IF(OR(W4="",W29=""),"",IFERROR(W4-W29,""))</f>
        <v/>
      </c>
      <c r="X30" s="20">
        <f>IF(OR(X4="",X29=""),"",IFERROR(X4-X29,""))</f>
        <v/>
      </c>
      <c r="Y30" s="19" t="n"/>
      <c r="Z30" s="20" t="n"/>
      <c r="AA30" s="20" t="n"/>
      <c r="AB30" s="20" t="n"/>
      <c r="AC30" s="20" t="n"/>
    </row>
    <row r="31">
      <c r="A31" s="13" t="inlineStr">
        <is>
          <t>GPM</t>
        </is>
      </c>
      <c r="B31" s="10" t="n"/>
      <c r="C31" s="14">
        <f>IF(OR(C30="",C4=""),"",IFERROR(C30/C4,""))</f>
        <v/>
      </c>
      <c r="D31" s="15">
        <f>IF(OR(D30="",D4=""),"",IFERROR(D30/D4,""))</f>
        <v/>
      </c>
      <c r="E31" s="15">
        <f>IF(OR(E30="",E4=""),"",IFERROR(E30/E4,""))</f>
        <v/>
      </c>
      <c r="F31" s="15">
        <f>IF(OR(F30="",F4=""),"",IFERROR(F30/F4,""))</f>
        <v/>
      </c>
      <c r="G31" s="15">
        <f>IF(OR(G30="",G4=""),"",IFERROR(G30/G4,""))</f>
        <v/>
      </c>
      <c r="H31" s="15">
        <f>IF(OR(H30="",H4=""),"",IFERROR(H30/H4,""))</f>
        <v/>
      </c>
      <c r="I31" s="15">
        <f>IF(OR(I30="",I4=""),"",IFERROR(I30/I4,""))</f>
        <v/>
      </c>
      <c r="J31" s="15">
        <f>IF(OR(J30="",J4=""),"",IFERROR(J30/J4,""))</f>
        <v/>
      </c>
      <c r="K31" s="15">
        <f>IF(OR(K30="",K4=""),"",IFERROR(K30/K4,""))</f>
        <v/>
      </c>
      <c r="L31" s="15">
        <f>IF(OR(L30="",L4=""),"",IFERROR(L30/L4,""))</f>
        <v/>
      </c>
      <c r="M31" s="15">
        <f>IF(OR(M30="",M4=""),"",IFERROR(M30/M4,""))</f>
        <v/>
      </c>
      <c r="N31" s="15">
        <f>IF(OR(N30="",N4=""),"",IFERROR(N30/N4,""))</f>
        <v/>
      </c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>
        <f>IF(OR(Y30="",Y4=""),"",IFERROR(Y30/Y4,""))</f>
        <v/>
      </c>
      <c r="Z31" s="15">
        <f>IF(OR(Z30="",Z4=""),"",IFERROR(Z30/Z4,""))</f>
        <v/>
      </c>
      <c r="AA31" s="15">
        <f>IF(OR(AA30="",AA4=""),"",IFERROR(AA30/AA4,""))</f>
        <v/>
      </c>
      <c r="AB31" s="15">
        <f>IF(OR(AB30="",AB4=""),"",IFERROR(AB30/AB4,""))</f>
        <v/>
      </c>
      <c r="AC31" s="15">
        <f>IF(OR(AC30="",AC4=""),"",IFERROR(AC30/AC4,""))</f>
        <v/>
      </c>
    </row>
    <row r="32">
      <c r="A32" s="23" t="inlineStr">
        <is>
          <t>판매관리비</t>
        </is>
      </c>
      <c r="B32" s="23" t="n"/>
      <c r="C32" s="24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4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4" t="n"/>
      <c r="Z32" s="23" t="n"/>
      <c r="AA32" s="23" t="n"/>
      <c r="AB32" s="23" t="n"/>
      <c r="AC32" s="23" t="n"/>
    </row>
    <row r="33">
      <c r="A33" s="18" t="inlineStr">
        <is>
          <t>전체 판관비</t>
        </is>
      </c>
      <c r="B33" s="10" t="n"/>
      <c r="C33" s="19" t="n">
        <v>2861</v>
      </c>
      <c r="D33" s="20" t="n">
        <v>2972</v>
      </c>
      <c r="E33" s="20" t="n">
        <v>2937</v>
      </c>
      <c r="F33" s="20" t="n">
        <v>2993</v>
      </c>
      <c r="G33" s="20" t="n">
        <v>3239</v>
      </c>
      <c r="H33" s="20" t="n">
        <v>3389</v>
      </c>
      <c r="I33" s="20" t="n">
        <v>3073</v>
      </c>
      <c r="J33" s="20" t="n">
        <v>3172</v>
      </c>
      <c r="K33" s="20" t="n">
        <v>3603</v>
      </c>
      <c r="L33" s="20" t="n">
        <v>4334</v>
      </c>
      <c r="M33" s="20" t="n">
        <v>4074</v>
      </c>
      <c r="N33" s="20" t="n">
        <v>4484</v>
      </c>
      <c r="O33" s="19" t="n">
        <v>6937.026</v>
      </c>
      <c r="P33" s="20" t="n">
        <v>7410.006</v>
      </c>
      <c r="Q33" s="20" t="n">
        <v>8372.880999999999</v>
      </c>
      <c r="R33" s="20" t="n">
        <v>8200.209000000001</v>
      </c>
      <c r="S33" s="20" t="n">
        <v>8114</v>
      </c>
      <c r="T33" s="20" t="n">
        <v>9110</v>
      </c>
      <c r="U33" s="20" t="n">
        <v>10266</v>
      </c>
      <c r="V33" s="20" t="n">
        <v>11192</v>
      </c>
      <c r="W33" s="20" t="n">
        <v>12558</v>
      </c>
      <c r="X33" s="20" t="n">
        <v>14182</v>
      </c>
      <c r="Y33" s="19" t="n"/>
      <c r="Z33" s="20" t="n"/>
      <c r="AA33" s="20" t="n"/>
      <c r="AB33" s="20" t="n"/>
      <c r="AC33" s="20" t="n"/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5744</v>
      </c>
      <c r="D34" s="12" t="n">
        <v>5408</v>
      </c>
      <c r="E34" s="12" t="n">
        <v>5640</v>
      </c>
      <c r="F34" s="12" t="n">
        <v>7149</v>
      </c>
      <c r="G34" s="12" t="n">
        <v>6945</v>
      </c>
      <c r="H34" s="12" t="n">
        <v>7180</v>
      </c>
      <c r="I34" s="12" t="n">
        <v>6002</v>
      </c>
      <c r="J34" s="12" t="n">
        <v>4841</v>
      </c>
      <c r="K34" s="12" t="n">
        <v>6281</v>
      </c>
      <c r="L34" s="12" t="n">
        <v>7852</v>
      </c>
      <c r="M34" s="12" t="n">
        <v>6348</v>
      </c>
      <c r="N34" s="12" t="n">
        <v>11257</v>
      </c>
      <c r="O34" s="11" t="n">
        <v>4953.229</v>
      </c>
      <c r="P34" s="12" t="n">
        <v>9174.047</v>
      </c>
      <c r="Q34" s="12" t="n">
        <v>9556.071</v>
      </c>
      <c r="R34" s="12" t="n">
        <v>9345.809999999999</v>
      </c>
      <c r="S34" s="12" t="n">
        <v>10248</v>
      </c>
      <c r="T34" s="12" t="n">
        <v>18215</v>
      </c>
      <c r="U34" s="12" t="n">
        <v>20142</v>
      </c>
      <c r="V34" s="12" t="n">
        <v>19801</v>
      </c>
      <c r="W34" s="12" t="n">
        <v>26914</v>
      </c>
      <c r="X34" s="12" t="n">
        <v>24976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IF(O33="","",O33)</f>
        <v/>
      </c>
      <c r="P38" s="12">
        <f>IF(P33="","",P33)</f>
        <v/>
      </c>
      <c r="Q38" s="12">
        <f>IF(Q33="","",Q33)</f>
        <v/>
      </c>
      <c r="R38" s="12">
        <f>IF(R33="","",R33)</f>
        <v/>
      </c>
      <c r="S38" s="12">
        <f>IF(S33="","",S33)</f>
        <v/>
      </c>
      <c r="T38" s="12">
        <f>IF(T33="","",T33)</f>
        <v/>
      </c>
      <c r="U38" s="12">
        <f>IF(U33="","",U33)</f>
        <v/>
      </c>
      <c r="V38" s="12">
        <f>IF(V33="","",V33)</f>
        <v/>
      </c>
      <c r="W38" s="12">
        <f>IF(W33="","",W33)</f>
        <v/>
      </c>
      <c r="X38" s="12">
        <f>IF(X33="","",X33)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27</v>
      </c>
      <c r="D50" s="20" t="n">
        <v>225</v>
      </c>
      <c r="E50" s="20" t="n">
        <v>2576</v>
      </c>
      <c r="F50" s="20" t="n">
        <v>0</v>
      </c>
      <c r="G50" s="20" t="n">
        <v>0</v>
      </c>
      <c r="H50" s="20" t="n">
        <v>16</v>
      </c>
      <c r="I50" s="20" t="n">
        <v>2</v>
      </c>
      <c r="J50" s="20" t="n">
        <v>47</v>
      </c>
      <c r="K50" s="20" t="n">
        <v>142</v>
      </c>
      <c r="L50" s="20" t="n">
        <v>0</v>
      </c>
      <c r="M50" s="20" t="n">
        <v>1222</v>
      </c>
      <c r="N50" s="20" t="n">
        <v>126</v>
      </c>
      <c r="O50" s="19" t="n">
        <v>7.309</v>
      </c>
      <c r="P50" s="20" t="n">
        <v>16.383</v>
      </c>
      <c r="Q50" s="20" t="n">
        <v>7.511</v>
      </c>
      <c r="R50" s="20" t="n">
        <v>141.515</v>
      </c>
      <c r="S50" s="20" t="n">
        <v>79</v>
      </c>
      <c r="T50" s="20" t="n">
        <v>680</v>
      </c>
      <c r="U50" s="20" t="n">
        <v>519</v>
      </c>
      <c r="V50" s="20" t="n">
        <v>264</v>
      </c>
      <c r="W50" s="20" t="n">
        <v>2592</v>
      </c>
      <c r="X50" s="20" t="n">
        <v>191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18</v>
      </c>
      <c r="D52" s="20" t="n">
        <v>210</v>
      </c>
      <c r="E52" s="20" t="n">
        <v>2376</v>
      </c>
      <c r="F52" s="20" t="n">
        <v>71</v>
      </c>
      <c r="G52" s="20" t="n">
        <v>3</v>
      </c>
      <c r="H52" s="20" t="n">
        <v>16</v>
      </c>
      <c r="I52" s="20" t="n">
        <v>4</v>
      </c>
      <c r="J52" s="20" t="n">
        <v>71</v>
      </c>
      <c r="K52" s="20" t="n">
        <v>18</v>
      </c>
      <c r="L52" s="20" t="n">
        <v>0</v>
      </c>
      <c r="M52" s="20" t="n">
        <v>1273</v>
      </c>
      <c r="N52" s="20" t="n">
        <v>126</v>
      </c>
      <c r="O52" s="19" t="n">
        <v>683.626</v>
      </c>
      <c r="P52" s="20" t="n">
        <v>426.31</v>
      </c>
      <c r="Q52" s="20" t="n">
        <v>57.821</v>
      </c>
      <c r="R52" s="20" t="n">
        <v>965.418</v>
      </c>
      <c r="S52" s="20" t="n">
        <v>525</v>
      </c>
      <c r="T52" s="20" t="n">
        <v>531</v>
      </c>
      <c r="U52" s="20" t="n">
        <v>542</v>
      </c>
      <c r="V52" s="20" t="n">
        <v>369</v>
      </c>
      <c r="W52" s="20" t="n">
        <v>2466</v>
      </c>
      <c r="X52" s="20" t="n">
        <v>93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-381</v>
      </c>
      <c r="D54" s="20" t="n">
        <v>767</v>
      </c>
      <c r="E54" s="20" t="n">
        <v>569</v>
      </c>
      <c r="F54" s="20" t="n">
        <v>-332</v>
      </c>
      <c r="G54" s="20" t="n">
        <v>134</v>
      </c>
      <c r="H54" s="20" t="n">
        <v>196</v>
      </c>
      <c r="I54" s="20" t="n">
        <v>144</v>
      </c>
      <c r="J54" s="20" t="n">
        <v>269</v>
      </c>
      <c r="K54" s="20" t="n">
        <v>587</v>
      </c>
      <c r="L54" s="20" t="n">
        <v>468</v>
      </c>
      <c r="M54" s="20" t="n">
        <v>245</v>
      </c>
      <c r="N54" s="20" t="n">
        <v>268</v>
      </c>
      <c r="O54" s="19" t="n">
        <v>218.672</v>
      </c>
      <c r="P54" s="20" t="n">
        <v>178.112</v>
      </c>
      <c r="Q54" s="20" t="n">
        <v>431.602</v>
      </c>
      <c r="R54" s="20" t="n">
        <v>239.899</v>
      </c>
      <c r="S54" s="20" t="n">
        <v>197</v>
      </c>
      <c r="T54" s="20" t="n">
        <v>1029</v>
      </c>
      <c r="U54" s="20" t="n">
        <v>1112</v>
      </c>
      <c r="V54" s="20" t="n">
        <v>1394</v>
      </c>
      <c r="W54" s="20" t="n">
        <v>567</v>
      </c>
      <c r="X54" s="20" t="n">
        <v>1468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11</v>
      </c>
      <c r="D56" s="20" t="n">
        <v>21</v>
      </c>
      <c r="E56" s="20" t="n">
        <v>29</v>
      </c>
      <c r="F56" s="20" t="n">
        <v>999</v>
      </c>
      <c r="G56" s="20" t="n">
        <v>-957</v>
      </c>
      <c r="H56" s="20" t="n">
        <v>377</v>
      </c>
      <c r="I56" s="20" t="n">
        <v>424</v>
      </c>
      <c r="J56" s="20" t="n">
        <v>-291</v>
      </c>
      <c r="K56" s="20" t="n">
        <v>-38</v>
      </c>
      <c r="L56" s="20" t="n">
        <v>27</v>
      </c>
      <c r="M56" s="20" t="n">
        <v>19</v>
      </c>
      <c r="N56" s="20" t="n">
        <v>459</v>
      </c>
      <c r="O56" s="19" t="n">
        <v>193.829</v>
      </c>
      <c r="P56" s="20" t="n">
        <v>485.599</v>
      </c>
      <c r="Q56" s="20" t="n">
        <v>63.289</v>
      </c>
      <c r="R56" s="20" t="n">
        <v>65.443</v>
      </c>
      <c r="S56" s="20" t="n">
        <v>115</v>
      </c>
      <c r="T56" s="20" t="n">
        <v>63</v>
      </c>
      <c r="U56" s="20" t="n">
        <v>66</v>
      </c>
      <c r="V56" s="20" t="n">
        <v>73</v>
      </c>
      <c r="W56" s="20" t="n">
        <v>448</v>
      </c>
      <c r="X56" s="20" t="n">
        <v>122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5362</v>
      </c>
      <c r="D58" s="12" t="n">
        <v>6168</v>
      </c>
      <c r="E58" s="12" t="n">
        <v>6381</v>
      </c>
      <c r="F58" s="12" t="n">
        <v>5747</v>
      </c>
      <c r="G58" s="12" t="n">
        <v>8032</v>
      </c>
      <c r="H58" s="12" t="n">
        <v>6999</v>
      </c>
      <c r="I58" s="12" t="n">
        <v>5720</v>
      </c>
      <c r="J58" s="12" t="n">
        <v>5377</v>
      </c>
      <c r="K58" s="12" t="n">
        <v>7029</v>
      </c>
      <c r="L58" s="12" t="n">
        <v>8292</v>
      </c>
      <c r="M58" s="12" t="n">
        <v>6523</v>
      </c>
      <c r="N58" s="12" t="n">
        <v>11067</v>
      </c>
      <c r="O58" s="11" t="n">
        <v>4301.756</v>
      </c>
      <c r="P58" s="12" t="n">
        <v>8456.634</v>
      </c>
      <c r="Q58" s="12" t="n">
        <v>9874.073</v>
      </c>
      <c r="R58" s="12" t="n">
        <v>8696.362999999999</v>
      </c>
      <c r="S58" s="12" t="n">
        <v>9884</v>
      </c>
      <c r="T58" s="12" t="n">
        <v>19331</v>
      </c>
      <c r="U58" s="12" t="n">
        <v>21164</v>
      </c>
      <c r="V58" s="12" t="n">
        <v>21016</v>
      </c>
      <c r="W58" s="12" t="n">
        <v>27159</v>
      </c>
      <c r="X58" s="12" t="n">
        <v>26418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8" t="inlineStr">
        <is>
          <t>법인세비용(수익)</t>
        </is>
      </c>
      <c r="B59" s="10" t="n"/>
      <c r="C59" s="19" t="n">
        <v>1536</v>
      </c>
      <c r="D59" s="20" t="n">
        <v>1556</v>
      </c>
      <c r="E59" s="20" t="n">
        <v>1878</v>
      </c>
      <c r="F59" s="20" t="n">
        <v>1809</v>
      </c>
      <c r="G59" s="20" t="n">
        <v>2507</v>
      </c>
      <c r="H59" s="20" t="n">
        <v>1723</v>
      </c>
      <c r="I59" s="20" t="n">
        <v>1841</v>
      </c>
      <c r="J59" s="20" t="n">
        <v>1843</v>
      </c>
      <c r="K59" s="20" t="n">
        <v>2110</v>
      </c>
      <c r="L59" s="20" t="n">
        <v>2461</v>
      </c>
      <c r="M59" s="20" t="n">
        <v>2057</v>
      </c>
      <c r="N59" s="20" t="n">
        <v>3414</v>
      </c>
      <c r="O59" s="19" t="n">
        <v>1451.436</v>
      </c>
      <c r="P59" s="20" t="n">
        <v>2912.142</v>
      </c>
      <c r="Q59" s="20" t="n">
        <v>3103.991</v>
      </c>
      <c r="R59" s="20" t="n">
        <v>2802.435</v>
      </c>
      <c r="S59" s="20" t="n">
        <v>2948</v>
      </c>
      <c r="T59" s="20" t="n">
        <v>5980</v>
      </c>
      <c r="U59" s="20" t="n">
        <v>6143</v>
      </c>
      <c r="V59" s="20" t="n">
        <v>5800</v>
      </c>
      <c r="W59" s="20" t="n">
        <v>7917</v>
      </c>
      <c r="X59" s="20" t="n">
        <v>8255</v>
      </c>
      <c r="Y59" s="19">
        <f>IF(OR(Y58="",Y60=""),"",IFERROR(MAX(Y58,0)*Y60,""))</f>
        <v/>
      </c>
      <c r="Z59" s="20">
        <f>IF(OR(Z58="",Z60=""),"",IFERROR(MAX(Z58,0)*Z60,""))</f>
        <v/>
      </c>
      <c r="AA59" s="20">
        <f>IF(OR(AA58="",AA60=""),"",IFERROR(MAX(AA58,0)*AA60,""))</f>
        <v/>
      </c>
      <c r="AB59" s="20">
        <f>IF(OR(AB58="",AB60=""),"",IFERROR(MAX(AB58,0)*AB60,""))</f>
        <v/>
      </c>
      <c r="AC59" s="20">
        <f>IF(OR(AC58="",AC60=""),"",IFERROR(MAX(AC58,0)*AC60,""))</f>
        <v/>
      </c>
    </row>
    <row r="60">
      <c r="A60" s="13" t="inlineStr">
        <is>
          <t>법인세율</t>
        </is>
      </c>
      <c r="B60" s="10" t="inlineStr">
        <is>
          <t>MW 기본 30%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0.3</v>
      </c>
      <c r="Z60" s="26" t="n">
        <v>0.3</v>
      </c>
      <c r="AA60" s="26" t="n">
        <v>0.3</v>
      </c>
      <c r="AB60" s="26" t="n">
        <v>0.3</v>
      </c>
      <c r="AC60" s="26" t="n">
        <v>0.3</v>
      </c>
    </row>
    <row r="61">
      <c r="A61" s="9" t="inlineStr">
        <is>
          <t>당기순이익(손실)</t>
        </is>
      </c>
      <c r="B61" s="10" t="n"/>
      <c r="C61" s="11" t="n">
        <v>3826</v>
      </c>
      <c r="D61" s="12" t="n">
        <v>4613</v>
      </c>
      <c r="E61" s="12" t="n">
        <v>4502</v>
      </c>
      <c r="F61" s="12" t="n">
        <v>3938</v>
      </c>
      <c r="G61" s="12" t="n">
        <v>5525</v>
      </c>
      <c r="H61" s="12" t="n">
        <v>5277</v>
      </c>
      <c r="I61" s="12" t="n">
        <v>3878</v>
      </c>
      <c r="J61" s="12" t="n">
        <v>3535</v>
      </c>
      <c r="K61" s="12" t="n">
        <v>4919</v>
      </c>
      <c r="L61" s="12" t="n">
        <v>5831</v>
      </c>
      <c r="M61" s="12" t="n">
        <v>4466</v>
      </c>
      <c r="N61" s="12" t="n">
        <v>7653</v>
      </c>
      <c r="O61" s="11" t="n">
        <v>2850.32</v>
      </c>
      <c r="P61" s="12" t="n">
        <v>5544.491</v>
      </c>
      <c r="Q61" s="12" t="n">
        <v>6770.081</v>
      </c>
      <c r="R61" s="12" t="n">
        <v>5893.928</v>
      </c>
      <c r="S61" s="12" t="n">
        <v>6935</v>
      </c>
      <c r="T61" s="12" t="n">
        <v>13350</v>
      </c>
      <c r="U61" s="12" t="n">
        <v>15020</v>
      </c>
      <c r="V61" s="12" t="n">
        <v>15216</v>
      </c>
      <c r="W61" s="12" t="n">
        <v>19242</v>
      </c>
      <c r="X61" s="12" t="n">
        <v>18163</v>
      </c>
      <c r="Y61" s="11">
        <f>IF(OR(Y58=""),"",IFERROR(Y58-Y59,""))</f>
        <v/>
      </c>
      <c r="Z61" s="12">
        <f>IF(OR(Z58=""),"",IFERROR(Z58-Z59,""))</f>
        <v/>
      </c>
      <c r="AA61" s="12">
        <f>IF(OR(AA58=""),"",IFERROR(AA58-AA59,""))</f>
        <v/>
      </c>
      <c r="AB61" s="12">
        <f>IF(OR(AB58=""),"",IFERROR(AB58-AB59,""))</f>
        <v/>
      </c>
      <c r="AC61" s="12">
        <f>IF(OR(AC58=""),"",IFERROR(AC58-AC59,""))</f>
        <v/>
      </c>
    </row>
    <row r="62">
      <c r="A62" s="9" t="inlineStr">
        <is>
          <t>지배주주 순이익</t>
        </is>
      </c>
      <c r="B62" s="10" t="n"/>
      <c r="C62" s="11" t="n">
        <v>3826</v>
      </c>
      <c r="D62" s="12" t="n">
        <v>4613</v>
      </c>
      <c r="E62" s="12" t="n">
        <v>4502</v>
      </c>
      <c r="F62" s="12" t="n">
        <v>3938</v>
      </c>
      <c r="G62" s="12" t="n">
        <v>5525</v>
      </c>
      <c r="H62" s="12" t="n">
        <v>5277</v>
      </c>
      <c r="I62" s="12" t="n">
        <v>3878</v>
      </c>
      <c r="J62" s="12" t="n">
        <v>3535</v>
      </c>
      <c r="K62" s="12" t="n">
        <v>4919</v>
      </c>
      <c r="L62" s="12" t="n">
        <v>5831</v>
      </c>
      <c r="M62" s="12" t="n">
        <v>4466</v>
      </c>
      <c r="N62" s="12" t="n">
        <v>7653</v>
      </c>
      <c r="O62" s="11" t="n">
        <v>2850.32</v>
      </c>
      <c r="P62" s="12" t="n">
        <v>5544.491</v>
      </c>
      <c r="Q62" s="12" t="n">
        <v>6770.081</v>
      </c>
      <c r="R62" s="12" t="n">
        <v>5893.928</v>
      </c>
      <c r="S62" s="12" t="n">
        <v>6935</v>
      </c>
      <c r="T62" s="12" t="n">
        <v>13350</v>
      </c>
      <c r="U62" s="12" t="n">
        <v>15020</v>
      </c>
      <c r="V62" s="12" t="n">
        <v>15216</v>
      </c>
      <c r="W62" s="12" t="n">
        <v>19242</v>
      </c>
      <c r="X62" s="12" t="n">
        <v>18163</v>
      </c>
      <c r="Y62" s="11">
        <f>IF(OR(Y61="",Y63=""),"",IFERROR(Y61*Y63,""))</f>
        <v/>
      </c>
      <c r="Z62" s="12">
        <f>IF(OR(Z61="",Z63=""),"",IFERROR(Z61*Z63,""))</f>
        <v/>
      </c>
      <c r="AA62" s="12">
        <f>IF(OR(AA61="",AA63=""),"",IFERROR(AA61*AA63,""))</f>
        <v/>
      </c>
      <c r="AB62" s="12">
        <f>IF(OR(AB61="",AB63=""),"",IFERROR(AB61*AB63,""))</f>
        <v/>
      </c>
      <c r="AC62" s="12">
        <f>IF(OR(AC61="",AC63=""),"",IFERROR(AC61*AC63,""))</f>
        <v/>
      </c>
    </row>
    <row r="63">
      <c r="A63" s="13" t="inlineStr">
        <is>
          <t>지배주주 순이익률</t>
        </is>
      </c>
      <c r="B63" s="10" t="inlineStr">
        <is>
          <t>MW 기본 100%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1</v>
      </c>
      <c r="Z63" s="26" t="n">
        <v>1</v>
      </c>
      <c r="AA63" s="26" t="n">
        <v>1</v>
      </c>
      <c r="AB63" s="26" t="n">
        <v>1</v>
      </c>
      <c r="AC63" s="26" t="n">
        <v>1</v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IF(O35="","",O35)</f>
        <v/>
      </c>
      <c r="P68" s="15">
        <f>IF(P35="","",P35)</f>
        <v/>
      </c>
      <c r="Q68" s="15">
        <f>IF(Q35="","",Q35)</f>
        <v/>
      </c>
      <c r="R68" s="15">
        <f>IF(R35="","",R35)</f>
        <v/>
      </c>
      <c r="S68" s="15">
        <f>IF(S35="","",S35)</f>
        <v/>
      </c>
      <c r="T68" s="15">
        <f>IF(T35="","",T35)</f>
        <v/>
      </c>
      <c r="U68" s="15">
        <f>IF(U35="","",U35)</f>
        <v/>
      </c>
      <c r="V68" s="15">
        <f>IF(V35="","",V35)</f>
        <v/>
      </c>
      <c r="W68" s="15">
        <f>IF(W35="","",W35)</f>
        <v/>
      </c>
      <c r="X68" s="15">
        <f>IF(X35="","",X35)</f>
        <v/>
      </c>
      <c r="Y68" s="14">
        <f>IF(Y35="","",Y35)</f>
        <v/>
      </c>
      <c r="Z68" s="15">
        <f>IF(Z35="","",Z35)</f>
        <v/>
      </c>
      <c r="AA68" s="15">
        <f>IF(AA35="","",AA35)</f>
        <v/>
      </c>
      <c r="AB68" s="15">
        <f>IF(AB35="","",AB35)</f>
        <v/>
      </c>
      <c r="AC68" s="15">
        <f>IF(AC35="","",AC35)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IF(OR(P62="",O62=""),"",IFERROR(P62/O62-1,""))</f>
        <v/>
      </c>
      <c r="Q69" s="15">
        <f>IF(OR(Q62="",P62=""),"",IFERROR(Q62/P62-1,""))</f>
        <v/>
      </c>
      <c r="R69" s="15">
        <f>IF(OR(R62="",Q62=""),"",IFERROR(R62/Q62-1,""))</f>
        <v/>
      </c>
      <c r="S69" s="15">
        <f>IF(OR(S62="",R62=""),"",IFERROR(S62/R62-1,""))</f>
        <v/>
      </c>
      <c r="T69" s="15">
        <f>IF(OR(T62="",S62=""),"",IFERROR(T62/S62-1,""))</f>
        <v/>
      </c>
      <c r="U69" s="15">
        <f>IF(OR(U62="",T62=""),"",IFERROR(U62/T62-1,""))</f>
        <v/>
      </c>
      <c r="V69" s="15">
        <f>IF(OR(V62="",U62=""),"",IFERROR(V62/U62-1,""))</f>
        <v/>
      </c>
      <c r="W69" s="15">
        <f>IF(OR(W62="",V62=""),"",IFERROR(W62/V62-1,""))</f>
        <v/>
      </c>
      <c r="X69" s="15">
        <f>IF(OR(X62="",W62=""),"",IFERROR(X62/W62-1,""))</f>
        <v/>
      </c>
      <c r="Y69" s="14">
        <f>IF(OR(Y62="",X62=""),"",IFERROR(Y62/X62-1,""))</f>
        <v/>
      </c>
      <c r="Z69" s="15">
        <f>IF(OR(Z62="",Y62=""),"",IFERROR(Z62/Y62-1,""))</f>
        <v/>
      </c>
      <c r="AA69" s="15">
        <f>IF(OR(AA62="",Z62=""),"",IFERROR(AA62/Z62-1,""))</f>
        <v/>
      </c>
      <c r="AB69" s="15">
        <f>IF(OR(AB62="",AA62=""),"",IFERROR(AB62/AA62-1,""))</f>
        <v/>
      </c>
      <c r="AC69" s="15">
        <f>IF(OR(AC62="",AB62=""),"",IFERROR(AC62/AB62-1,""))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IF(OR($B$67="",X62=""),"",IFERROR($B$67/X62,""))</f>
        <v/>
      </c>
      <c r="Y70" s="30">
        <f>IF(OR($B$67="",Y62=""),"",IFERROR($B$67/Y62,""))</f>
        <v/>
      </c>
      <c r="Z70" s="31">
        <f>IF(OR($B$67="",Z62=""),"",IFERROR($B$67/Z62,""))</f>
        <v/>
      </c>
      <c r="AA70" s="31">
        <f>IF(OR($B$67="",AA62=""),"",IFERROR($B$67/AA62,""))</f>
        <v/>
      </c>
      <c r="AB70" s="31">
        <f>IF(OR($B$67="",AB62=""),"",IFERROR($B$67/AB62,""))</f>
        <v/>
      </c>
      <c r="AC70" s="31">
        <f>IF(OR($B$67="",AC62=""),"",IFERROR($B$67/AC62,""))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IF(OR(O62="",$B$66=""),"",IFERROR(O62*1000000.0/$B$66,""))</f>
        <v/>
      </c>
      <c r="P72" s="29">
        <f>IF(OR(P62="",$B$66=""),"",IFERROR(P62*1000000.0/$B$66,""))</f>
        <v/>
      </c>
      <c r="Q72" s="29">
        <f>IF(OR(Q62="",$B$66=""),"",IFERROR(Q62*1000000.0/$B$66,""))</f>
        <v/>
      </c>
      <c r="R72" s="29">
        <f>IF(OR(R62="",$B$66=""),"",IFERROR(R62*1000000.0/$B$66,""))</f>
        <v/>
      </c>
      <c r="S72" s="29">
        <f>IF(OR(S62="",$B$66=""),"",IFERROR(S62*1000000.0/$B$66,""))</f>
        <v/>
      </c>
      <c r="T72" s="29">
        <f>IF(OR(T62="",$B$66=""),"",IFERROR(T62*1000000.0/$B$66,""))</f>
        <v/>
      </c>
      <c r="U72" s="29">
        <f>IF(OR(U62="",$B$66=""),"",IFERROR(U62*1000000.0/$B$66,""))</f>
        <v/>
      </c>
      <c r="V72" s="29">
        <f>IF(OR(V62="",$B$66=""),"",IFERROR(V62*1000000.0/$B$66,""))</f>
        <v/>
      </c>
      <c r="W72" s="29">
        <f>IF(OR(W62="",$B$66=""),"",IFERROR(W62*1000000.0/$B$66,""))</f>
        <v/>
      </c>
      <c r="X72" s="29">
        <f>IF(OR(X62="",$B$66=""),"",IFERROR(X62*1000000.0/$B$66,""))</f>
        <v/>
      </c>
      <c r="Y72" s="28">
        <f>IF(OR(Y62="",$B$66=""),"",IFERROR(Y62*1000000.0/$B$66,""))</f>
        <v/>
      </c>
      <c r="Z72" s="29">
        <f>IF(OR(Z62="",$B$66=""),"",IFERROR(Z62*1000000.0/$B$66,""))</f>
        <v/>
      </c>
      <c r="AA72" s="29">
        <f>IF(OR(AA62="",$B$66=""),"",IFERROR(AA62*1000000.0/$B$66,""))</f>
        <v/>
      </c>
      <c r="AB72" s="29">
        <f>IF(OR(AB62="",$B$66=""),"",IFERROR(AB62*1000000.0/$B$66,""))</f>
        <v/>
      </c>
      <c r="AC72" s="29">
        <f>IF(OR(AC62="",$B$66=""),"",IFERROR(AC62*1000000.0/$B$66,""))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IF(OR(Y62="",Y71=""),"",IFERROR(Y62*Y71,""))</f>
        <v/>
      </c>
      <c r="Z84" s="20">
        <f>IF(OR(Z62="",Z71=""),"",IFERROR(Z62*Z71,""))</f>
        <v/>
      </c>
      <c r="AA84" s="20">
        <f>IF(OR(AA62="",AA71=""),"",IFERROR(AA62*AA71,""))</f>
        <v/>
      </c>
      <c r="AB84" s="20">
        <f>IF(OR(AB62="",AB71=""),"",IFERROR(AB62*AB71,""))</f>
        <v/>
      </c>
      <c r="AC84" s="20">
        <f>IF(OR(AC62="",AC71=""),"",IFERROR(AC62*AC71,""))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16963</v>
      </c>
      <c r="D96" s="12" t="n">
        <v>16538</v>
      </c>
      <c r="E96" s="12" t="n">
        <v>16243</v>
      </c>
      <c r="F96" s="12" t="n">
        <v>18579</v>
      </c>
      <c r="G96" s="12" t="n">
        <v>18319</v>
      </c>
      <c r="H96" s="12" t="n">
        <v>18708</v>
      </c>
      <c r="I96" s="12" t="n">
        <v>17256</v>
      </c>
      <c r="J96" s="12" t="n">
        <v>15859</v>
      </c>
      <c r="K96" s="12" t="n">
        <v>19110</v>
      </c>
      <c r="L96" s="12" t="n">
        <v>22251</v>
      </c>
      <c r="M96" s="12" t="n">
        <v>19267</v>
      </c>
      <c r="N96" s="12" t="n">
        <v>27654</v>
      </c>
      <c r="T96" s="12" t="n">
        <v>14274</v>
      </c>
      <c r="U96" s="12" t="n">
        <v>14227</v>
      </c>
      <c r="V96" s="12" t="n">
        <v>16538</v>
      </c>
      <c r="W96" s="12" t="n">
        <v>18708</v>
      </c>
      <c r="X96" s="12" t="n">
        <v>22251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8358</v>
      </c>
      <c r="D98" s="20" t="n">
        <v>8158</v>
      </c>
      <c r="E98" s="20" t="n">
        <v>7665</v>
      </c>
      <c r="F98" s="20" t="n">
        <v>8436</v>
      </c>
      <c r="G98" s="20" t="n">
        <v>8136</v>
      </c>
      <c r="H98" s="20" t="n">
        <v>8140</v>
      </c>
      <c r="I98" s="20" t="n">
        <v>8180</v>
      </c>
      <c r="J98" s="20" t="n">
        <v>7846</v>
      </c>
      <c r="K98" s="20" t="n">
        <v>9226</v>
      </c>
      <c r="L98" s="20" t="n">
        <v>10066</v>
      </c>
      <c r="M98" s="20" t="n">
        <v>8845</v>
      </c>
      <c r="N98" s="20" t="n">
        <v>11913</v>
      </c>
      <c r="T98" s="20" t="n">
        <v>7142</v>
      </c>
      <c r="U98" s="20" t="n">
        <v>7424</v>
      </c>
      <c r="V98" s="20" t="n">
        <v>8158</v>
      </c>
      <c r="W98" s="20" t="n">
        <v>8140</v>
      </c>
      <c r="X98" s="20" t="n">
        <v>10066</v>
      </c>
    </row>
    <row r="99">
      <c r="A99" s="9" t="inlineStr">
        <is>
          <t>매출총이익</t>
        </is>
      </c>
      <c r="C99" s="12" t="n">
        <v>8605</v>
      </c>
      <c r="D99" s="12" t="n">
        <v>8381</v>
      </c>
      <c r="E99" s="12" t="n">
        <v>8578</v>
      </c>
      <c r="F99" s="12" t="n">
        <v>10142</v>
      </c>
      <c r="G99" s="12" t="n">
        <v>10183</v>
      </c>
      <c r="H99" s="12" t="n">
        <v>10569</v>
      </c>
      <c r="I99" s="12" t="n">
        <v>9075</v>
      </c>
      <c r="J99" s="12" t="n">
        <v>8013</v>
      </c>
      <c r="K99" s="12" t="n">
        <v>9885</v>
      </c>
      <c r="L99" s="12" t="n">
        <v>12185</v>
      </c>
      <c r="M99" s="12" t="n">
        <v>10422</v>
      </c>
      <c r="N99" s="12" t="n">
        <v>15741</v>
      </c>
      <c r="T99" s="12" t="n">
        <v>7132</v>
      </c>
      <c r="U99" s="12" t="n">
        <v>6804</v>
      </c>
      <c r="V99" s="12" t="n">
        <v>8381</v>
      </c>
      <c r="W99" s="12" t="n">
        <v>10569</v>
      </c>
      <c r="X99" s="12" t="n">
        <v>12185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판매비와 관리비</t>
        </is>
      </c>
      <c r="C101" s="20" t="n">
        <v>2861</v>
      </c>
      <c r="D101" s="20" t="n">
        <v>2972</v>
      </c>
      <c r="E101" s="20" t="n">
        <v>2937</v>
      </c>
      <c r="F101" s="20" t="n">
        <v>2993</v>
      </c>
      <c r="G101" s="20" t="n">
        <v>3239</v>
      </c>
      <c r="H101" s="20" t="n">
        <v>3389</v>
      </c>
      <c r="I101" s="20" t="n">
        <v>3073</v>
      </c>
      <c r="J101" s="20" t="n">
        <v>3172</v>
      </c>
      <c r="K101" s="20" t="n">
        <v>3603</v>
      </c>
      <c r="L101" s="20" t="n">
        <v>4334</v>
      </c>
      <c r="M101" s="20" t="n">
        <v>4074</v>
      </c>
      <c r="N101" s="20" t="n">
        <v>4484</v>
      </c>
      <c r="T101" s="20" t="n">
        <v>2277</v>
      </c>
      <c r="U101" s="20" t="n">
        <v>2701</v>
      </c>
      <c r="V101" s="20" t="n">
        <v>2972</v>
      </c>
      <c r="W101" s="20" t="n">
        <v>3389</v>
      </c>
      <c r="X101" s="20" t="n">
        <v>4334</v>
      </c>
    </row>
    <row r="102">
      <c r="A102" s="9" t="inlineStr">
        <is>
          <t>영업이익</t>
        </is>
      </c>
      <c r="C102" s="12" t="n">
        <v>5744</v>
      </c>
      <c r="D102" s="12" t="n">
        <v>5408</v>
      </c>
      <c r="E102" s="12" t="n">
        <v>5640</v>
      </c>
      <c r="F102" s="12" t="n">
        <v>7149</v>
      </c>
      <c r="G102" s="12" t="n">
        <v>6945</v>
      </c>
      <c r="H102" s="12" t="n">
        <v>7180</v>
      </c>
      <c r="I102" s="12" t="n">
        <v>6002</v>
      </c>
      <c r="J102" s="12" t="n">
        <v>4841</v>
      </c>
      <c r="K102" s="12" t="n">
        <v>6281</v>
      </c>
      <c r="L102" s="12" t="n">
        <v>7852</v>
      </c>
      <c r="M102" s="12" t="n">
        <v>6348</v>
      </c>
      <c r="N102" s="12" t="n">
        <v>11257</v>
      </c>
      <c r="T102" s="12" t="n">
        <v>4854</v>
      </c>
      <c r="U102" s="12" t="n">
        <v>4103</v>
      </c>
      <c r="V102" s="12" t="n">
        <v>5408</v>
      </c>
      <c r="W102" s="12" t="n">
        <v>7180</v>
      </c>
      <c r="X102" s="12" t="n">
        <v>7852</v>
      </c>
    </row>
    <row r="103">
      <c r="A103" s="43" t="inlineStr">
        <is>
          <t>OPM</t>
        </is>
      </c>
      <c r="B103" s="3" t="inlineStr">
        <is>
          <t>영업이익 ÷ 매출</t>
        </is>
      </c>
      <c r="C103" s="15">
        <f>IF(OR(C102="",C96=""),"",IF(C96&lt;=0,"",IFERROR(C102/C96,"")))</f>
        <v/>
      </c>
      <c r="D103" s="15">
        <f>IF(OR(D102="",D96=""),"",IF(D96&lt;=0,"",IFERROR(D102/D96,"")))</f>
        <v/>
      </c>
      <c r="E103" s="15">
        <f>IF(OR(E102="",E96=""),"",IF(E96&lt;=0,"",IFERROR(E102/E96,"")))</f>
        <v/>
      </c>
      <c r="F103" s="15">
        <f>IF(OR(F102="",F96=""),"",IF(F96&lt;=0,"",IFERROR(F102/F96,"")))</f>
        <v/>
      </c>
      <c r="G103" s="15">
        <f>IF(OR(G102="",G96=""),"",IF(G96&lt;=0,"",IFERROR(G102/G96,"")))</f>
        <v/>
      </c>
      <c r="H103" s="15">
        <f>IF(OR(H102="",H96=""),"",IF(H96&lt;=0,"",IFERROR(H102/H96,"")))</f>
        <v/>
      </c>
      <c r="I103" s="15">
        <f>IF(OR(I102="",I96=""),"",IF(I96&lt;=0,"",IFERROR(I102/I96,"")))</f>
        <v/>
      </c>
      <c r="J103" s="15">
        <f>IF(OR(J102="",J96=""),"",IF(J96&lt;=0,"",IFERROR(J102/J96,"")))</f>
        <v/>
      </c>
      <c r="K103" s="15">
        <f>IF(OR(K102="",K96=""),"",IF(K96&lt;=0,"",IFERROR(K102/K96,"")))</f>
        <v/>
      </c>
      <c r="L103" s="15">
        <f>IF(OR(L102="",L96=""),"",IF(L96&lt;=0,"",IFERROR(L102/L96,"")))</f>
        <v/>
      </c>
      <c r="M103" s="15">
        <f>IF(OR(M102="",M96=""),"",IF(M96&lt;=0,"",IFERROR(M102/M96,"")))</f>
        <v/>
      </c>
      <c r="N103" s="15">
        <f>IF(OR(N102="",N96=""),"",IF(N96&lt;=0,"",IFERROR(N102/N96,"")))</f>
        <v/>
      </c>
      <c r="T103" s="15">
        <f>IF(OR(T102="",T96=""),"",IF(T96&lt;=0,"",IFERROR(T102/T96,"")))</f>
        <v/>
      </c>
      <c r="U103" s="15">
        <f>IF(OR(U102="",U96=""),"",IF(U96&lt;=0,"",IFERROR(U102/U96,"")))</f>
        <v/>
      </c>
      <c r="V103" s="15">
        <f>IF(OR(V102="",V96=""),"",IF(V96&lt;=0,"",IFERROR(V102/V96,"")))</f>
        <v/>
      </c>
      <c r="W103" s="15">
        <f>IF(OR(W102="",W96=""),"",IF(W96&lt;=0,"",IFERROR(W102/W96,"")))</f>
        <v/>
      </c>
      <c r="X103" s="15">
        <f>IF(OR(X102="",X96=""),"",IF(X96&lt;=0,"",IFERROR(X102/X96,"")))</f>
        <v/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IF(OR(G102="",C102=""),"",IF(C102&lt;=0,"",IFERROR(G102/C102-1,"")))</f>
        <v/>
      </c>
      <c r="H104" s="15">
        <f>IF(OR(H102="",D102=""),"",IF(D102&lt;=0,"",IFERROR(H102/D102-1,"")))</f>
        <v/>
      </c>
      <c r="I104" s="15">
        <f>IF(OR(I102="",E102=""),"",IF(E102&lt;=0,"",IFERROR(I102/E102-1,"")))</f>
        <v/>
      </c>
      <c r="J104" s="15">
        <f>IF(OR(J102="",F102=""),"",IF(F102&lt;=0,"",IFERROR(J102/F102-1,"")))</f>
        <v/>
      </c>
      <c r="K104" s="15">
        <f>IF(OR(K102="",G102=""),"",IF(G102&lt;=0,"",IFERROR(K102/G102-1,"")))</f>
        <v/>
      </c>
      <c r="L104" s="15">
        <f>IF(OR(L102="",H102=""),"",IF(H102&lt;=0,"",IFERROR(L102/H102-1,"")))</f>
        <v/>
      </c>
      <c r="M104" s="15">
        <f>IF(OR(M102="",I102=""),"",IF(I102&lt;=0,"",IFERROR(M102/I102-1,"")))</f>
        <v/>
      </c>
      <c r="N104" s="15">
        <f>IF(OR(N102="",J102=""),"",IF(J102&lt;=0,"",IFERROR(N102/J102-1,"")))</f>
        <v/>
      </c>
      <c r="T104" s="15">
        <f>IF(OR(T102="",S102=""),"",IF(S102&lt;=0,"",IFERROR(T102/S102-1,"")))</f>
        <v/>
      </c>
      <c r="U104" s="15">
        <f>IF(OR(U102="",T102=""),"",IF(T102&lt;=0,"",IFERROR(U102/T102-1,"")))</f>
        <v/>
      </c>
      <c r="V104" s="15">
        <f>IF(OR(V102="",U102=""),"",IF(U102&lt;=0,"",IFERROR(V102/U102-1,"")))</f>
        <v/>
      </c>
      <c r="W104" s="15">
        <f>IF(OR(W102="",V102=""),"",IF(V102&lt;=0,"",IFERROR(W102/V102-1,"")))</f>
        <v/>
      </c>
      <c r="X104" s="15">
        <f>IF(OR(X102="",W102=""),"",IF(W102&lt;=0,"",IFERROR(X102/W102-1,"")))</f>
        <v/>
      </c>
    </row>
    <row r="105">
      <c r="A105" s="18" t="inlineStr">
        <is>
          <t>이자수익</t>
        </is>
      </c>
      <c r="C105" s="20" t="n">
        <v>51</v>
      </c>
      <c r="D105" s="20" t="n">
        <v>92</v>
      </c>
      <c r="E105" s="20" t="n">
        <v>35</v>
      </c>
      <c r="F105" s="20" t="n">
        <v>64</v>
      </c>
      <c r="G105" s="20" t="n">
        <v>88</v>
      </c>
      <c r="H105" s="20" t="n">
        <v>144</v>
      </c>
      <c r="I105" s="20" t="n">
        <v>87</v>
      </c>
      <c r="J105" s="20" t="n">
        <v>150</v>
      </c>
      <c r="K105" s="20" t="n">
        <v>158</v>
      </c>
      <c r="L105" s="20" t="n">
        <v>221</v>
      </c>
      <c r="M105" s="20" t="n">
        <v>115</v>
      </c>
      <c r="N105" s="20" t="n">
        <v>219</v>
      </c>
      <c r="T105" s="20" t="n">
        <v>13</v>
      </c>
      <c r="U105" s="20" t="n">
        <v>45</v>
      </c>
      <c r="V105" s="20" t="n">
        <v>92</v>
      </c>
      <c r="W105" s="20" t="n">
        <v>144</v>
      </c>
      <c r="X105" s="20" t="n">
        <v>221</v>
      </c>
    </row>
    <row r="106">
      <c r="A106" s="18" t="inlineStr">
        <is>
          <t>임대료 수익</t>
        </is>
      </c>
      <c r="C106" s="20" t="n">
        <v>30</v>
      </c>
      <c r="D106" s="20" t="n">
        <v>31</v>
      </c>
      <c r="E106" s="20" t="n">
        <v>32</v>
      </c>
      <c r="F106" s="20" t="n">
        <v>34</v>
      </c>
      <c r="G106" s="20" t="n">
        <v>27</v>
      </c>
      <c r="H106" s="20" t="n">
        <v>33</v>
      </c>
      <c r="I106" s="20" t="n">
        <v>33</v>
      </c>
      <c r="J106" s="20" t="n">
        <v>31</v>
      </c>
      <c r="K106" s="20" t="n">
        <v>31</v>
      </c>
      <c r="L106" s="20" t="n">
        <v>17</v>
      </c>
      <c r="M106" s="20" t="n">
        <v>38</v>
      </c>
      <c r="N106" s="20" t="n">
        <v>44</v>
      </c>
      <c r="T106" s="20" t="n">
        <v>23</v>
      </c>
      <c r="U106" s="20" t="n">
        <v>26</v>
      </c>
      <c r="V106" s="20" t="n">
        <v>31</v>
      </c>
      <c r="W106" s="20" t="n">
        <v>33</v>
      </c>
      <c r="X106" s="20" t="n">
        <v>17</v>
      </c>
    </row>
    <row r="107">
      <c r="A107" s="18" t="inlineStr">
        <is>
          <t>외환차익</t>
        </is>
      </c>
      <c r="C107" s="20" t="n">
        <v>-489</v>
      </c>
      <c r="D107" s="20" t="n">
        <v>647</v>
      </c>
      <c r="E107" s="20" t="n">
        <v>472</v>
      </c>
      <c r="F107" s="20" t="n">
        <v>-472</v>
      </c>
      <c r="G107" s="20" t="n">
        <v>0</v>
      </c>
      <c r="H107" s="20" t="n">
        <v>0</v>
      </c>
      <c r="I107" s="20" t="n">
        <v>0</v>
      </c>
      <c r="L107" s="20" t="n">
        <v>202</v>
      </c>
      <c r="M107" s="20" t="n">
        <v>80</v>
      </c>
      <c r="T107" s="20" t="n">
        <v>477</v>
      </c>
      <c r="U107" s="20" t="n">
        <v>42</v>
      </c>
      <c r="V107" s="20" t="n">
        <v>647</v>
      </c>
      <c r="W107" s="20" t="n">
        <v>0</v>
      </c>
      <c r="X107" s="20" t="n">
        <v>202</v>
      </c>
    </row>
    <row r="108">
      <c r="A108" s="18" t="inlineStr">
        <is>
          <t>기타</t>
        </is>
      </c>
      <c r="C108" s="20" t="n">
        <v>26</v>
      </c>
      <c r="D108" s="20" t="n">
        <v>-3</v>
      </c>
      <c r="E108" s="20" t="n">
        <v>28</v>
      </c>
      <c r="F108" s="20" t="n">
        <v>44</v>
      </c>
      <c r="G108" s="20" t="n">
        <v>18</v>
      </c>
      <c r="H108" s="20" t="n">
        <v>20</v>
      </c>
      <c r="I108" s="20" t="n">
        <v>23</v>
      </c>
      <c r="J108" s="20" t="n">
        <v>88</v>
      </c>
      <c r="K108" s="20" t="n">
        <v>38</v>
      </c>
      <c r="L108" s="20" t="n">
        <v>29</v>
      </c>
      <c r="M108" s="20" t="n">
        <v>11</v>
      </c>
      <c r="N108" s="20" t="n">
        <v>84</v>
      </c>
      <c r="T108" s="20" t="n">
        <v>11</v>
      </c>
      <c r="U108" s="20" t="n">
        <v>7</v>
      </c>
      <c r="V108" s="20" t="n">
        <v>-3</v>
      </c>
      <c r="W108" s="20" t="n">
        <v>20</v>
      </c>
      <c r="X108" s="20" t="n">
        <v>29</v>
      </c>
    </row>
    <row r="109">
      <c r="A109" s="18" t="inlineStr">
        <is>
          <t>영업외수익 합계</t>
        </is>
      </c>
      <c r="C109" s="20" t="n">
        <v>-381</v>
      </c>
      <c r="D109" s="20" t="n">
        <v>767</v>
      </c>
      <c r="E109" s="20" t="n">
        <v>569</v>
      </c>
      <c r="F109" s="20" t="n">
        <v>-332</v>
      </c>
      <c r="G109" s="20" t="n">
        <v>134</v>
      </c>
      <c r="H109" s="20" t="n">
        <v>196</v>
      </c>
      <c r="I109" s="20" t="n">
        <v>144</v>
      </c>
      <c r="J109" s="20" t="n">
        <v>269</v>
      </c>
      <c r="K109" s="20" t="n">
        <v>587</v>
      </c>
      <c r="L109" s="20" t="n">
        <v>468</v>
      </c>
      <c r="M109" s="20" t="n">
        <v>245</v>
      </c>
      <c r="N109" s="20" t="n">
        <v>268</v>
      </c>
      <c r="T109" s="20" t="n">
        <v>522</v>
      </c>
      <c r="U109" s="20" t="n">
        <v>119</v>
      </c>
      <c r="V109" s="20" t="n">
        <v>767</v>
      </c>
      <c r="W109" s="20" t="n">
        <v>196</v>
      </c>
      <c r="X109" s="20" t="n">
        <v>468</v>
      </c>
    </row>
    <row r="110">
      <c r="A110" s="18" t="inlineStr">
        <is>
          <t>이자비용</t>
        </is>
      </c>
      <c r="C110" s="20" t="n">
        <v>1</v>
      </c>
      <c r="D110" s="20" t="n">
        <v>0</v>
      </c>
      <c r="E110" s="20" t="n">
        <v>0</v>
      </c>
      <c r="F110" s="20" t="n">
        <v>0</v>
      </c>
      <c r="G110" s="20" t="n">
        <v>0</v>
      </c>
      <c r="H110" s="20" t="n">
        <v>0</v>
      </c>
      <c r="I110" s="20" t="n">
        <v>0</v>
      </c>
      <c r="J110" s="20" t="n">
        <v>0</v>
      </c>
      <c r="K110" s="20" t="n">
        <v>0</v>
      </c>
      <c r="L110" s="20" t="n">
        <v>0</v>
      </c>
      <c r="T110" s="20" t="n">
        <v>1</v>
      </c>
      <c r="U110" s="20" t="n">
        <v>1</v>
      </c>
      <c r="V110" s="20" t="n">
        <v>0</v>
      </c>
      <c r="W110" s="20" t="n">
        <v>0</v>
      </c>
      <c r="X110" s="20" t="n">
        <v>0</v>
      </c>
    </row>
    <row r="111">
      <c r="A111" s="18" t="inlineStr">
        <is>
          <t>외환차손</t>
        </is>
      </c>
      <c r="C111" s="20" t="n">
        <v>0</v>
      </c>
      <c r="D111" s="20" t="n">
        <v>0</v>
      </c>
      <c r="E111" s="20" t="n">
        <v>0</v>
      </c>
      <c r="F111" s="20" t="n">
        <v>969</v>
      </c>
      <c r="G111" s="20" t="n">
        <v>-945</v>
      </c>
      <c r="H111" s="20" t="n">
        <v>358</v>
      </c>
      <c r="I111" s="20" t="n">
        <v>356</v>
      </c>
      <c r="J111" s="20" t="n">
        <v>-306</v>
      </c>
      <c r="K111" s="20" t="n">
        <v>-50</v>
      </c>
      <c r="L111" s="20" t="n">
        <v>0</v>
      </c>
      <c r="M111" s="20" t="n">
        <v>0</v>
      </c>
      <c r="N111" s="20" t="n">
        <v>441</v>
      </c>
      <c r="V111" s="20" t="n">
        <v>0</v>
      </c>
      <c r="W111" s="20" t="n">
        <v>358</v>
      </c>
      <c r="X111" s="20" t="n">
        <v>0</v>
      </c>
    </row>
    <row r="112">
      <c r="A112" s="18" t="inlineStr">
        <is>
          <t>투자부동산 임대비용</t>
        </is>
      </c>
      <c r="C112" s="20" t="n">
        <v>10</v>
      </c>
      <c r="D112" s="20" t="n">
        <v>20</v>
      </c>
      <c r="E112" s="20" t="n">
        <v>20</v>
      </c>
      <c r="F112" s="20" t="n">
        <v>11</v>
      </c>
      <c r="G112" s="20" t="n">
        <v>5</v>
      </c>
      <c r="H112" s="20" t="n">
        <v>17</v>
      </c>
      <c r="I112" s="20" t="n">
        <v>13</v>
      </c>
      <c r="J112" s="20" t="n">
        <v>16</v>
      </c>
      <c r="K112" s="20" t="n">
        <v>10</v>
      </c>
      <c r="L112" s="20" t="n">
        <v>18</v>
      </c>
      <c r="M112" s="20" t="n">
        <v>14</v>
      </c>
      <c r="N112" s="20" t="n">
        <v>17</v>
      </c>
      <c r="T112" s="20" t="n">
        <v>11</v>
      </c>
      <c r="U112" s="20" t="n">
        <v>15</v>
      </c>
      <c r="V112" s="20" t="n">
        <v>20</v>
      </c>
      <c r="W112" s="20" t="n">
        <v>17</v>
      </c>
      <c r="X112" s="20" t="n">
        <v>18</v>
      </c>
    </row>
    <row r="113">
      <c r="A113" s="18" t="inlineStr">
        <is>
          <t>주식보상비용 소멸손실</t>
        </is>
      </c>
      <c r="G113" s="20" t="n">
        <v>0</v>
      </c>
      <c r="H113" s="20" t="n">
        <v>1</v>
      </c>
      <c r="K113" s="20" t="n">
        <v>1</v>
      </c>
      <c r="L113" s="20" t="n">
        <v>0</v>
      </c>
      <c r="W113" s="20" t="n">
        <v>1</v>
      </c>
      <c r="X113" s="20" t="n">
        <v>0</v>
      </c>
    </row>
    <row r="114">
      <c r="A114" s="18" t="inlineStr">
        <is>
          <t>기타</t>
        </is>
      </c>
      <c r="C114" s="20" t="n">
        <v>1</v>
      </c>
      <c r="D114" s="20" t="n">
        <v>1</v>
      </c>
      <c r="E114" s="20" t="n">
        <v>8</v>
      </c>
      <c r="F114" s="20" t="n">
        <v>19</v>
      </c>
      <c r="G114" s="20" t="n">
        <v>-19</v>
      </c>
      <c r="H114" s="20" t="n">
        <v>2</v>
      </c>
      <c r="I114" s="20" t="n">
        <v>54</v>
      </c>
      <c r="J114" s="20" t="n">
        <v>-40</v>
      </c>
      <c r="K114" s="20" t="n">
        <v>0</v>
      </c>
      <c r="L114" s="20" t="n">
        <v>9</v>
      </c>
      <c r="M114" s="20" t="n">
        <v>4</v>
      </c>
      <c r="N114" s="20" t="n">
        <v>0</v>
      </c>
      <c r="T114" s="20" t="n">
        <v>2</v>
      </c>
      <c r="U114" s="20" t="n">
        <v>0</v>
      </c>
      <c r="V114" s="20" t="n">
        <v>1</v>
      </c>
      <c r="W114" s="20" t="n">
        <v>2</v>
      </c>
      <c r="X114" s="20" t="n">
        <v>9</v>
      </c>
    </row>
    <row r="115">
      <c r="A115" s="18" t="inlineStr">
        <is>
          <t>영업외비용 합계</t>
        </is>
      </c>
      <c r="C115" s="20" t="n">
        <v>11</v>
      </c>
      <c r="D115" s="20" t="n">
        <v>21</v>
      </c>
      <c r="E115" s="20" t="n">
        <v>29</v>
      </c>
      <c r="F115" s="20" t="n">
        <v>999</v>
      </c>
      <c r="G115" s="20" t="n">
        <v>-957</v>
      </c>
      <c r="H115" s="20" t="n">
        <v>377</v>
      </c>
      <c r="I115" s="20" t="n">
        <v>424</v>
      </c>
      <c r="J115" s="20" t="n">
        <v>-291</v>
      </c>
      <c r="K115" s="20" t="n">
        <v>-38</v>
      </c>
      <c r="L115" s="20" t="n">
        <v>27</v>
      </c>
      <c r="M115" s="20" t="n">
        <v>19</v>
      </c>
      <c r="N115" s="20" t="n">
        <v>459</v>
      </c>
      <c r="T115" s="20" t="n">
        <v>14</v>
      </c>
      <c r="U115" s="20" t="n">
        <v>16</v>
      </c>
      <c r="V115" s="20" t="n">
        <v>21</v>
      </c>
      <c r="W115" s="20" t="n">
        <v>377</v>
      </c>
      <c r="X115" s="20" t="n">
        <v>27</v>
      </c>
    </row>
    <row r="116">
      <c r="A116" s="9" t="inlineStr">
        <is>
          <t>경상이익</t>
        </is>
      </c>
      <c r="C116" s="12" t="n">
        <v>5351</v>
      </c>
      <c r="D116" s="12" t="n">
        <v>6154</v>
      </c>
      <c r="E116" s="12" t="n">
        <v>6181</v>
      </c>
      <c r="F116" s="12" t="n">
        <v>5818</v>
      </c>
      <c r="G116" s="12" t="n">
        <v>8035</v>
      </c>
      <c r="H116" s="12" t="n">
        <v>6999</v>
      </c>
      <c r="I116" s="12" t="n">
        <v>5722</v>
      </c>
      <c r="J116" s="12" t="n">
        <v>5401</v>
      </c>
      <c r="K116" s="12" t="n">
        <v>6906</v>
      </c>
      <c r="L116" s="12" t="n">
        <v>8292</v>
      </c>
      <c r="M116" s="12" t="n">
        <v>6574</v>
      </c>
      <c r="N116" s="12" t="n">
        <v>11066</v>
      </c>
      <c r="T116" s="12" t="n">
        <v>5363</v>
      </c>
      <c r="U116" s="12" t="n">
        <v>4205</v>
      </c>
      <c r="V116" s="12" t="n">
        <v>6154</v>
      </c>
      <c r="W116" s="12" t="n">
        <v>6999</v>
      </c>
      <c r="X116" s="12" t="n">
        <v>8292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IF(OR(G116="",C116=""),"",IF(C116&lt;=0,"",IFERROR(G116/C116-1,"")))</f>
        <v/>
      </c>
      <c r="H117" s="15">
        <f>IF(OR(H116="",D116=""),"",IF(D116&lt;=0,"",IFERROR(H116/D116-1,"")))</f>
        <v/>
      </c>
      <c r="I117" s="15">
        <f>IF(OR(I116="",E116=""),"",IF(E116&lt;=0,"",IFERROR(I116/E116-1,"")))</f>
        <v/>
      </c>
      <c r="J117" s="15">
        <f>IF(OR(J116="",F116=""),"",IF(F116&lt;=0,"",IFERROR(J116/F116-1,"")))</f>
        <v/>
      </c>
      <c r="K117" s="15">
        <f>IF(OR(K116="",G116=""),"",IF(G116&lt;=0,"",IFERROR(K116/G116-1,"")))</f>
        <v/>
      </c>
      <c r="L117" s="15">
        <f>IF(OR(L116="",H116=""),"",IF(H116&lt;=0,"",IFERROR(L116/H116-1,"")))</f>
        <v/>
      </c>
      <c r="M117" s="15">
        <f>IF(OR(M116="",I116=""),"",IF(I116&lt;=0,"",IFERROR(M116/I116-1,"")))</f>
        <v/>
      </c>
      <c r="N117" s="15">
        <f>IF(OR(N116="",J116=""),"",IF(J116&lt;=0,"",IFERROR(N116/J116-1,"")))</f>
        <v/>
      </c>
      <c r="T117" s="15">
        <f>IF(OR(T116="",S116=""),"",IF(S116&lt;=0,"",IFERROR(T116/S116-1,"")))</f>
        <v/>
      </c>
      <c r="U117" s="15">
        <f>IF(OR(U116="",T116=""),"",IF(T116&lt;=0,"",IFERROR(U116/T116-1,"")))</f>
        <v/>
      </c>
      <c r="V117" s="15">
        <f>IF(OR(V116="",U116=""),"",IF(U116&lt;=0,"",IFERROR(V116/U116-1,"")))</f>
        <v/>
      </c>
      <c r="W117" s="15">
        <f>IF(OR(W116="",V116=""),"",IF(V116&lt;=0,"",IFERROR(W116/V116-1,"")))</f>
        <v/>
      </c>
      <c r="X117" s="15">
        <f>IF(OR(X116="",W116=""),"",IF(W116&lt;=0,"",IFERROR(X116/W116-1,"")))</f>
        <v/>
      </c>
    </row>
    <row r="118">
      <c r="A118" s="18" t="inlineStr">
        <is>
          <t>고정자산 매각이익</t>
        </is>
      </c>
      <c r="C118" s="20" t="n">
        <v>0</v>
      </c>
      <c r="D118" s="20" t="n">
        <v>0</v>
      </c>
      <c r="E118" s="20" t="n">
        <v>0</v>
      </c>
      <c r="F118" s="20" t="n">
        <v>0</v>
      </c>
      <c r="G118" s="20" t="n">
        <v>0</v>
      </c>
      <c r="H118" s="20" t="n">
        <v>0</v>
      </c>
      <c r="I118" s="20" t="n">
        <v>0</v>
      </c>
      <c r="J118" s="20" t="n">
        <v>1</v>
      </c>
      <c r="K118" s="20" t="n">
        <v>0</v>
      </c>
      <c r="L118" s="20" t="n">
        <v>0</v>
      </c>
      <c r="M118" s="20" t="n">
        <v>1</v>
      </c>
      <c r="N118" s="20" t="n">
        <v>0</v>
      </c>
      <c r="T118" s="20" t="n">
        <v>0</v>
      </c>
      <c r="U118" s="20" t="n">
        <v>0</v>
      </c>
      <c r="V118" s="20" t="n">
        <v>0</v>
      </c>
      <c r="W118" s="20" t="n">
        <v>0</v>
      </c>
      <c r="X118" s="20" t="n">
        <v>0</v>
      </c>
    </row>
    <row r="119">
      <c r="A119" s="18" t="inlineStr">
        <is>
          <t>투자유가증권 매각이익</t>
        </is>
      </c>
      <c r="C119" s="20" t="n">
        <v>27</v>
      </c>
      <c r="D119" s="20" t="n">
        <v>0</v>
      </c>
      <c r="G119" s="20" t="n">
        <v>0</v>
      </c>
      <c r="H119" s="20" t="n">
        <v>0</v>
      </c>
      <c r="K119" s="20" t="n">
        <v>142</v>
      </c>
      <c r="L119" s="20" t="n">
        <v>0</v>
      </c>
      <c r="U119" s="20" t="n">
        <v>0</v>
      </c>
      <c r="V119" s="20" t="n">
        <v>0</v>
      </c>
      <c r="W119" s="20" t="n">
        <v>0</v>
      </c>
      <c r="X119" s="20" t="n">
        <v>0</v>
      </c>
    </row>
    <row r="120">
      <c r="A120" s="18" t="inlineStr">
        <is>
          <t>자회사 청산이익</t>
        </is>
      </c>
      <c r="C120" s="20" t="n">
        <v>0</v>
      </c>
      <c r="D120" s="20" t="n">
        <v>0</v>
      </c>
      <c r="T120" s="20" t="n">
        <v>0</v>
      </c>
      <c r="U120" s="20" t="n">
        <v>0</v>
      </c>
      <c r="V120" s="20" t="n">
        <v>0</v>
      </c>
    </row>
    <row r="121">
      <c r="A121" s="18" t="inlineStr">
        <is>
          <t>보조금 수입</t>
        </is>
      </c>
      <c r="C121" s="20" t="n">
        <v>0</v>
      </c>
      <c r="D121" s="20" t="n">
        <v>209</v>
      </c>
      <c r="E121" s="20" t="n">
        <v>2576</v>
      </c>
      <c r="F121" s="20" t="n">
        <v>0</v>
      </c>
      <c r="G121" s="20" t="n">
        <v>0</v>
      </c>
      <c r="H121" s="20" t="n">
        <v>16</v>
      </c>
      <c r="I121" s="20" t="n">
        <v>2</v>
      </c>
      <c r="J121" s="20" t="n">
        <v>40</v>
      </c>
      <c r="K121" s="20" t="n">
        <v>0</v>
      </c>
      <c r="L121" s="20" t="n">
        <v>0</v>
      </c>
      <c r="M121" s="20" t="n">
        <v>1221</v>
      </c>
      <c r="N121" s="20" t="n">
        <v>126</v>
      </c>
      <c r="T121" s="20" t="n">
        <v>392</v>
      </c>
      <c r="U121" s="20" t="n">
        <v>500</v>
      </c>
      <c r="V121" s="20" t="n">
        <v>209</v>
      </c>
      <c r="W121" s="20" t="n">
        <v>16</v>
      </c>
      <c r="X121" s="20" t="n">
        <v>0</v>
      </c>
    </row>
    <row r="122">
      <c r="A122" s="18" t="inlineStr">
        <is>
          <t>특별이익 합계</t>
        </is>
      </c>
      <c r="C122" s="20" t="n">
        <v>27</v>
      </c>
      <c r="D122" s="20" t="n">
        <v>225</v>
      </c>
      <c r="E122" s="20" t="n">
        <v>2576</v>
      </c>
      <c r="F122" s="20" t="n">
        <v>0</v>
      </c>
      <c r="G122" s="20" t="n">
        <v>0</v>
      </c>
      <c r="H122" s="20" t="n">
        <v>16</v>
      </c>
      <c r="I122" s="20" t="n">
        <v>2</v>
      </c>
      <c r="J122" s="20" t="n">
        <v>47</v>
      </c>
      <c r="K122" s="20" t="n">
        <v>142</v>
      </c>
      <c r="L122" s="20" t="n">
        <v>0</v>
      </c>
      <c r="M122" s="20" t="n">
        <v>1222</v>
      </c>
      <c r="N122" s="20" t="n">
        <v>126</v>
      </c>
      <c r="T122" s="20" t="n">
        <v>588</v>
      </c>
      <c r="U122" s="20" t="n">
        <v>500</v>
      </c>
      <c r="V122" s="20" t="n">
        <v>225</v>
      </c>
      <c r="W122" s="20" t="n">
        <v>16</v>
      </c>
      <c r="X122" s="20" t="n">
        <v>0</v>
      </c>
    </row>
    <row r="123">
      <c r="A123" s="18" t="inlineStr">
        <is>
          <t>고정자산 제각·매각손실</t>
        </is>
      </c>
      <c r="C123" s="20" t="n">
        <v>16</v>
      </c>
      <c r="D123" s="20" t="n">
        <v>8</v>
      </c>
      <c r="E123" s="20" t="n">
        <v>15</v>
      </c>
      <c r="F123" s="20" t="n">
        <v>71</v>
      </c>
      <c r="G123" s="20" t="n">
        <v>3</v>
      </c>
      <c r="H123" s="20" t="n">
        <v>16</v>
      </c>
      <c r="I123" s="20" t="n">
        <v>0</v>
      </c>
      <c r="J123" s="20" t="n">
        <v>31</v>
      </c>
      <c r="K123" s="20" t="n">
        <v>5</v>
      </c>
      <c r="L123" s="20" t="n">
        <v>1</v>
      </c>
      <c r="M123" s="20" t="n">
        <v>76</v>
      </c>
      <c r="N123" s="20" t="n">
        <v>0</v>
      </c>
      <c r="T123" s="20" t="n">
        <v>-1</v>
      </c>
      <c r="U123" s="20" t="n">
        <v>29</v>
      </c>
      <c r="V123" s="20" t="n">
        <v>8</v>
      </c>
      <c r="W123" s="20" t="n">
        <v>16</v>
      </c>
      <c r="X123" s="20" t="n">
        <v>1</v>
      </c>
    </row>
    <row r="124">
      <c r="A124" s="18" t="inlineStr">
        <is>
          <t>투자유가증권 매각손실</t>
        </is>
      </c>
      <c r="E124" s="20" t="n">
        <v>0</v>
      </c>
    </row>
    <row r="125">
      <c r="A125" s="18" t="inlineStr">
        <is>
          <t>고정자산 압축손실</t>
        </is>
      </c>
      <c r="C125" s="20" t="n">
        <v>0</v>
      </c>
      <c r="D125" s="20" t="n">
        <v>202</v>
      </c>
      <c r="E125" s="20" t="n">
        <v>2360</v>
      </c>
      <c r="F125" s="20" t="n">
        <v>0</v>
      </c>
      <c r="G125" s="20" t="n">
        <v>0</v>
      </c>
      <c r="H125" s="20" t="n">
        <v>0</v>
      </c>
      <c r="I125" s="20" t="n">
        <v>2</v>
      </c>
      <c r="J125" s="20" t="n">
        <v>40</v>
      </c>
      <c r="K125" s="20" t="n">
        <v>0</v>
      </c>
      <c r="L125" s="20" t="n">
        <v>0</v>
      </c>
      <c r="M125" s="20" t="n">
        <v>1196</v>
      </c>
      <c r="N125" s="20" t="n">
        <v>127</v>
      </c>
      <c r="T125" s="20" t="n">
        <v>388</v>
      </c>
      <c r="U125" s="20" t="n">
        <v>481</v>
      </c>
      <c r="V125" s="20" t="n">
        <v>202</v>
      </c>
      <c r="W125" s="20" t="n">
        <v>0</v>
      </c>
      <c r="X125" s="20" t="n">
        <v>0</v>
      </c>
    </row>
    <row r="126">
      <c r="A126" s="18" t="inlineStr">
        <is>
          <t>감염병 관련 손실</t>
        </is>
      </c>
      <c r="T126" s="20" t="n">
        <v>0</v>
      </c>
      <c r="U126" s="20" t="n">
        <v>0</v>
      </c>
    </row>
    <row r="127">
      <c r="A127" s="18" t="inlineStr">
        <is>
          <t>재고자산 폐기손실</t>
        </is>
      </c>
      <c r="E127" s="20" t="n">
        <v>0</v>
      </c>
      <c r="I127" s="20" t="n">
        <v>1</v>
      </c>
      <c r="M127" s="20" t="n">
        <v>0</v>
      </c>
    </row>
    <row r="128">
      <c r="A128" s="18" t="inlineStr">
        <is>
          <t>기타</t>
        </is>
      </c>
      <c r="C128" s="20" t="n">
        <v>1</v>
      </c>
      <c r="D128" s="20" t="n">
        <v>0</v>
      </c>
      <c r="G128" s="20" t="n">
        <v>0</v>
      </c>
      <c r="H128" s="20" t="n">
        <v>0</v>
      </c>
      <c r="K128" s="20" t="n">
        <v>13</v>
      </c>
      <c r="L128" s="20" t="n">
        <v>0</v>
      </c>
      <c r="U128" s="20" t="n">
        <v>0</v>
      </c>
      <c r="V128" s="20" t="n">
        <v>0</v>
      </c>
      <c r="W128" s="20" t="n">
        <v>0</v>
      </c>
      <c r="X128" s="20" t="n">
        <v>0</v>
      </c>
    </row>
    <row r="129">
      <c r="A129" s="18" t="inlineStr">
        <is>
          <t>특별손실 합계</t>
        </is>
      </c>
      <c r="C129" s="20" t="n">
        <v>18</v>
      </c>
      <c r="D129" s="20" t="n">
        <v>210</v>
      </c>
      <c r="E129" s="20" t="n">
        <v>2376</v>
      </c>
      <c r="F129" s="20" t="n">
        <v>71</v>
      </c>
      <c r="G129" s="20" t="n">
        <v>3</v>
      </c>
      <c r="H129" s="20" t="n">
        <v>16</v>
      </c>
      <c r="I129" s="20" t="n">
        <v>4</v>
      </c>
      <c r="J129" s="20" t="n">
        <v>71</v>
      </c>
      <c r="K129" s="20" t="n">
        <v>18</v>
      </c>
      <c r="L129" s="20" t="n">
        <v>0</v>
      </c>
      <c r="M129" s="20" t="n">
        <v>1273</v>
      </c>
      <c r="N129" s="20" t="n">
        <v>126</v>
      </c>
      <c r="T129" s="20" t="n">
        <v>398</v>
      </c>
      <c r="U129" s="20" t="n">
        <v>510</v>
      </c>
      <c r="V129" s="20" t="n">
        <v>210</v>
      </c>
      <c r="W129" s="20" t="n">
        <v>16</v>
      </c>
      <c r="X129" s="20" t="n">
        <v>0</v>
      </c>
    </row>
    <row r="130">
      <c r="A130" s="9" t="inlineStr">
        <is>
          <t>법인세차감전 순이익</t>
        </is>
      </c>
      <c r="C130" s="12" t="n">
        <v>5362</v>
      </c>
      <c r="D130" s="12" t="n">
        <v>6168</v>
      </c>
      <c r="E130" s="12" t="n">
        <v>6381</v>
      </c>
      <c r="F130" s="12" t="n">
        <v>5747</v>
      </c>
      <c r="G130" s="12" t="n">
        <v>8032</v>
      </c>
      <c r="H130" s="12" t="n">
        <v>6999</v>
      </c>
      <c r="I130" s="12" t="n">
        <v>5720</v>
      </c>
      <c r="J130" s="12" t="n">
        <v>5377</v>
      </c>
      <c r="K130" s="12" t="n">
        <v>7029</v>
      </c>
      <c r="L130" s="12" t="n">
        <v>8292</v>
      </c>
      <c r="M130" s="12" t="n">
        <v>6523</v>
      </c>
      <c r="N130" s="12" t="n">
        <v>11067</v>
      </c>
      <c r="T130" s="12" t="n">
        <v>5553</v>
      </c>
      <c r="U130" s="12" t="n">
        <v>4195</v>
      </c>
      <c r="V130" s="12" t="n">
        <v>6168</v>
      </c>
      <c r="W130" s="12" t="n">
        <v>6999</v>
      </c>
      <c r="X130" s="12" t="n">
        <v>8292</v>
      </c>
    </row>
    <row r="131">
      <c r="A131" s="18" t="inlineStr">
        <is>
          <t>법인세·주민세·사업세</t>
        </is>
      </c>
      <c r="C131" s="20" t="n">
        <v>1306</v>
      </c>
      <c r="D131" s="20" t="n">
        <v>1815</v>
      </c>
      <c r="E131" s="20" t="n">
        <v>1653</v>
      </c>
      <c r="F131" s="20" t="n">
        <v>2092</v>
      </c>
      <c r="G131" s="20" t="n">
        <v>2281</v>
      </c>
      <c r="H131" s="20" t="n">
        <v>2043</v>
      </c>
      <c r="I131" s="20" t="n">
        <v>1414</v>
      </c>
      <c r="J131" s="20" t="n">
        <v>2100</v>
      </c>
      <c r="K131" s="20" t="n">
        <v>1891</v>
      </c>
      <c r="L131" s="20" t="n">
        <v>2815</v>
      </c>
      <c r="M131" s="20" t="n">
        <v>1699</v>
      </c>
      <c r="N131" s="20" t="n">
        <v>3844</v>
      </c>
      <c r="T131" s="20" t="n">
        <v>2028</v>
      </c>
      <c r="U131" s="20" t="n">
        <v>1356</v>
      </c>
      <c r="V131" s="20" t="n">
        <v>1815</v>
      </c>
      <c r="W131" s="20" t="n">
        <v>2043</v>
      </c>
      <c r="X131" s="20" t="n">
        <v>2815</v>
      </c>
    </row>
    <row r="132">
      <c r="A132" s="18" t="inlineStr">
        <is>
          <t>법인세 조정액</t>
        </is>
      </c>
      <c r="C132" s="20" t="n">
        <v>229</v>
      </c>
      <c r="D132" s="20" t="n">
        <v>-258</v>
      </c>
      <c r="E132" s="20" t="n">
        <v>224</v>
      </c>
      <c r="F132" s="20" t="n">
        <v>-282</v>
      </c>
      <c r="G132" s="20" t="n">
        <v>226</v>
      </c>
      <c r="H132" s="20" t="n">
        <v>-320</v>
      </c>
      <c r="I132" s="20" t="n">
        <v>427</v>
      </c>
      <c r="J132" s="20" t="n">
        <v>-257</v>
      </c>
      <c r="K132" s="20" t="n">
        <v>218</v>
      </c>
      <c r="L132" s="20" t="n">
        <v>-354</v>
      </c>
      <c r="M132" s="20" t="n">
        <v>357</v>
      </c>
      <c r="N132" s="20" t="n">
        <v>-429</v>
      </c>
      <c r="T132" s="20" t="n">
        <v>-312</v>
      </c>
      <c r="U132" s="20" t="n">
        <v>-246</v>
      </c>
      <c r="V132" s="20" t="n">
        <v>-258</v>
      </c>
      <c r="W132" s="20" t="n">
        <v>-320</v>
      </c>
      <c r="X132" s="20" t="n">
        <v>-354</v>
      </c>
    </row>
    <row r="133">
      <c r="A133" s="18" t="inlineStr">
        <is>
          <t>법인세 등 합계</t>
        </is>
      </c>
      <c r="C133" s="20" t="n">
        <v>1536</v>
      </c>
      <c r="D133" s="20" t="n">
        <v>1556</v>
      </c>
      <c r="E133" s="20" t="n">
        <v>1878</v>
      </c>
      <c r="F133" s="20" t="n">
        <v>1809</v>
      </c>
      <c r="G133" s="20" t="n">
        <v>2507</v>
      </c>
      <c r="H133" s="20" t="n">
        <v>1723</v>
      </c>
      <c r="I133" s="20" t="n">
        <v>1841</v>
      </c>
      <c r="J133" s="20" t="n">
        <v>1843</v>
      </c>
      <c r="K133" s="20" t="n">
        <v>2110</v>
      </c>
      <c r="L133" s="20" t="n">
        <v>2461</v>
      </c>
      <c r="M133" s="20" t="n">
        <v>2057</v>
      </c>
      <c r="N133" s="20" t="n">
        <v>3414</v>
      </c>
      <c r="T133" s="20" t="n">
        <v>1714</v>
      </c>
      <c r="U133" s="20" t="n">
        <v>1109</v>
      </c>
      <c r="V133" s="20" t="n">
        <v>1556</v>
      </c>
      <c r="W133" s="20" t="n">
        <v>1723</v>
      </c>
      <c r="X133" s="20" t="n">
        <v>2461</v>
      </c>
    </row>
    <row r="134">
      <c r="A134" s="9" t="inlineStr">
        <is>
          <t>순이익</t>
        </is>
      </c>
      <c r="C134" s="12" t="n">
        <v>3826</v>
      </c>
      <c r="D134" s="12" t="n">
        <v>4613</v>
      </c>
      <c r="E134" s="12" t="n">
        <v>4502</v>
      </c>
      <c r="F134" s="12" t="n">
        <v>3938</v>
      </c>
      <c r="G134" s="12" t="n">
        <v>5525</v>
      </c>
      <c r="H134" s="12" t="n">
        <v>5277</v>
      </c>
      <c r="I134" s="12" t="n">
        <v>3878</v>
      </c>
      <c r="J134" s="12" t="n">
        <v>3535</v>
      </c>
      <c r="K134" s="12" t="n">
        <v>4919</v>
      </c>
      <c r="L134" s="12" t="n">
        <v>5831</v>
      </c>
      <c r="M134" s="12" t="n">
        <v>4466</v>
      </c>
      <c r="N134" s="12" t="n">
        <v>7653</v>
      </c>
      <c r="T134" s="12" t="n">
        <v>3839</v>
      </c>
      <c r="U134" s="12" t="n">
        <v>3086</v>
      </c>
      <c r="V134" s="12" t="n">
        <v>4613</v>
      </c>
      <c r="W134" s="12" t="n">
        <v>5277</v>
      </c>
      <c r="X134" s="12" t="n">
        <v>5831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9" t="inlineStr">
        <is>
          <t>지배주주 순이익</t>
        </is>
      </c>
      <c r="C136" s="12" t="n">
        <v>3826</v>
      </c>
      <c r="D136" s="12" t="n">
        <v>4613</v>
      </c>
      <c r="E136" s="12" t="n">
        <v>4502</v>
      </c>
      <c r="F136" s="12" t="n">
        <v>3938</v>
      </c>
      <c r="G136" s="12" t="n">
        <v>5525</v>
      </c>
      <c r="H136" s="12" t="n">
        <v>5277</v>
      </c>
      <c r="I136" s="12" t="n">
        <v>3878</v>
      </c>
      <c r="J136" s="12" t="n">
        <v>3535</v>
      </c>
      <c r="K136" s="12" t="n">
        <v>4919</v>
      </c>
      <c r="L136" s="12" t="n">
        <v>5831</v>
      </c>
      <c r="M136" s="12" t="n">
        <v>4466</v>
      </c>
      <c r="N136" s="12" t="n">
        <v>7653</v>
      </c>
      <c r="T136" s="12" t="n">
        <v>3839</v>
      </c>
      <c r="U136" s="12" t="n">
        <v>3086</v>
      </c>
      <c r="V136" s="12" t="n">
        <v>4613</v>
      </c>
      <c r="W136" s="12" t="n">
        <v>5277</v>
      </c>
      <c r="X136" s="12" t="n">
        <v>5831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T137" s="15">
        <f>IF(OR(T136="",S136=""),"",IF(S136&lt;=0,"",IFERROR(T136/S136-1,"")))</f>
        <v/>
      </c>
      <c r="U137" s="15">
        <f>IF(OR(U136="",T136=""),"",IF(T136&lt;=0,"",IFERROR(U136/T136-1,"")))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9">
      <c r="A139" s="16" t="inlineStr">
        <is>
          <t>포괄손익 · 전 항목</t>
        </is>
      </c>
      <c r="B139" s="42" t="inlineStr">
        <is>
          <t>분기 = 3개월 단독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2024.3Q</t>
        </is>
      </c>
      <c r="D140" s="5" t="inlineStr">
        <is>
          <t>2024.4Q</t>
        </is>
      </c>
      <c r="E140" s="5" t="inlineStr">
        <is>
          <t>2025.1Q</t>
        </is>
      </c>
      <c r="F140" s="5" t="inlineStr">
        <is>
          <t>2025.2Q</t>
        </is>
      </c>
      <c r="G140" s="5" t="inlineStr">
        <is>
          <t>2025.3Q</t>
        </is>
      </c>
      <c r="H140" s="5" t="inlineStr">
        <is>
          <t>2025.4Q</t>
        </is>
      </c>
      <c r="I140" s="5" t="inlineStr">
        <is>
          <t>2026.1Q</t>
        </is>
      </c>
      <c r="J140" s="5" t="inlineStr">
        <is>
          <t>2026.2Q</t>
        </is>
      </c>
      <c r="K140" s="5" t="inlineStr">
        <is>
          <t>2026.3Q</t>
        </is>
      </c>
      <c r="L140" s="5" t="inlineStr">
        <is>
          <t>2026.4Q</t>
        </is>
      </c>
      <c r="M140" s="5" t="inlineStr">
        <is>
          <t>2027.1Q</t>
        </is>
      </c>
      <c r="N140" s="5" t="inlineStr">
        <is>
          <t>2027.2Q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순이익</t>
        </is>
      </c>
      <c r="C141" s="12" t="n">
        <v>3826</v>
      </c>
      <c r="D141" s="12" t="n">
        <v>4613</v>
      </c>
      <c r="E141" s="12" t="n">
        <v>4502</v>
      </c>
      <c r="F141" s="12" t="n">
        <v>3938</v>
      </c>
      <c r="G141" s="12" t="n">
        <v>5525</v>
      </c>
      <c r="H141" s="12" t="n">
        <v>5277</v>
      </c>
      <c r="I141" s="12" t="n">
        <v>3878</v>
      </c>
      <c r="J141" s="12" t="n">
        <v>3535</v>
      </c>
      <c r="K141" s="12" t="n">
        <v>4919</v>
      </c>
      <c r="L141" s="12" t="n">
        <v>5831</v>
      </c>
      <c r="M141" s="12" t="n">
        <v>4466</v>
      </c>
      <c r="N141" s="12" t="n">
        <v>7653</v>
      </c>
      <c r="T141" s="12" t="n">
        <v>3839</v>
      </c>
      <c r="U141" s="12" t="n">
        <v>3086</v>
      </c>
      <c r="V141" s="12" t="n">
        <v>4613</v>
      </c>
      <c r="W141" s="12" t="n">
        <v>5277</v>
      </c>
      <c r="X141" s="12" t="n">
        <v>5831</v>
      </c>
    </row>
    <row r="142">
      <c r="A142" s="18" t="inlineStr">
        <is>
          <t>기타유가증권 평가차액</t>
        </is>
      </c>
      <c r="C142" s="20" t="n">
        <v>12</v>
      </c>
      <c r="D142" s="20" t="n">
        <v>4</v>
      </c>
      <c r="E142" s="20" t="n">
        <v>-4</v>
      </c>
      <c r="F142" s="20" t="n">
        <v>-52</v>
      </c>
      <c r="G142" s="20" t="n">
        <v>-33</v>
      </c>
      <c r="H142" s="20" t="n">
        <v>-42</v>
      </c>
      <c r="I142" s="20" t="n">
        <v>43</v>
      </c>
      <c r="J142" s="20" t="n">
        <v>34</v>
      </c>
      <c r="K142" s="20" t="n">
        <v>-81</v>
      </c>
      <c r="L142" s="20" t="n">
        <v>17</v>
      </c>
      <c r="M142" s="20" t="n">
        <v>37</v>
      </c>
      <c r="N142" s="20" t="n">
        <v>-2</v>
      </c>
      <c r="T142" s="20" t="n">
        <v>-15</v>
      </c>
      <c r="U142" s="20" t="n">
        <v>32</v>
      </c>
      <c r="V142" s="20" t="n">
        <v>4</v>
      </c>
      <c r="W142" s="20" t="n">
        <v>-42</v>
      </c>
      <c r="X142" s="20" t="n">
        <v>17</v>
      </c>
    </row>
    <row r="143">
      <c r="A143" s="18" t="inlineStr">
        <is>
          <t>해외사업환산조정</t>
        </is>
      </c>
      <c r="C143" s="20" t="n">
        <v>-348</v>
      </c>
      <c r="D143" s="20" t="n">
        <v>456</v>
      </c>
      <c r="E143" s="20" t="n">
        <v>844</v>
      </c>
      <c r="F143" s="20" t="n">
        <v>44</v>
      </c>
      <c r="G143" s="20" t="n">
        <v>292</v>
      </c>
      <c r="H143" s="20" t="n">
        <v>-613</v>
      </c>
      <c r="I143" s="20" t="n">
        <v>283</v>
      </c>
      <c r="J143" s="20" t="n">
        <v>317</v>
      </c>
      <c r="K143" s="20" t="n">
        <v>1269</v>
      </c>
      <c r="L143" s="20" t="n">
        <v>504</v>
      </c>
      <c r="M143" s="20" t="n">
        <v>242</v>
      </c>
      <c r="N143" s="20" t="n">
        <v>-574</v>
      </c>
      <c r="T143" s="20" t="n">
        <v>531</v>
      </c>
      <c r="U143" s="20" t="n">
        <v>68</v>
      </c>
      <c r="V143" s="20" t="n">
        <v>456</v>
      </c>
      <c r="W143" s="20" t="n">
        <v>-613</v>
      </c>
      <c r="X143" s="20" t="n">
        <v>504</v>
      </c>
    </row>
    <row r="144">
      <c r="A144" s="18" t="inlineStr">
        <is>
          <t>기타포괄손익 합계</t>
        </is>
      </c>
      <c r="C144" s="20" t="n">
        <v>-337</v>
      </c>
      <c r="D144" s="20" t="n">
        <v>461</v>
      </c>
      <c r="E144" s="20" t="n">
        <v>840</v>
      </c>
      <c r="F144" s="20" t="n">
        <v>-8</v>
      </c>
      <c r="G144" s="20" t="n">
        <v>259</v>
      </c>
      <c r="H144" s="20" t="n">
        <v>-656</v>
      </c>
      <c r="I144" s="20" t="n">
        <v>326</v>
      </c>
      <c r="J144" s="20" t="n">
        <v>351</v>
      </c>
      <c r="K144" s="20" t="n">
        <v>1188</v>
      </c>
      <c r="L144" s="20" t="n">
        <v>521</v>
      </c>
      <c r="M144" s="20" t="n">
        <v>280</v>
      </c>
      <c r="N144" s="20" t="n">
        <v>-576</v>
      </c>
      <c r="T144" s="20" t="n">
        <v>516</v>
      </c>
      <c r="U144" s="20" t="n">
        <v>101</v>
      </c>
      <c r="V144" s="20" t="n">
        <v>461</v>
      </c>
      <c r="W144" s="20" t="n">
        <v>-656</v>
      </c>
      <c r="X144" s="20" t="n">
        <v>521</v>
      </c>
    </row>
    <row r="145">
      <c r="A145" s="9" t="inlineStr">
        <is>
          <t>포괄이익</t>
        </is>
      </c>
      <c r="C145" s="12" t="n">
        <v>3489</v>
      </c>
      <c r="D145" s="12" t="n">
        <v>5073</v>
      </c>
      <c r="E145" s="12" t="n">
        <v>5343</v>
      </c>
      <c r="F145" s="12" t="n">
        <v>3930</v>
      </c>
      <c r="G145" s="12" t="n">
        <v>5783</v>
      </c>
      <c r="H145" s="12" t="n">
        <v>4621</v>
      </c>
      <c r="I145" s="12" t="n">
        <v>4205</v>
      </c>
      <c r="J145" s="12" t="n">
        <v>3885</v>
      </c>
      <c r="K145" s="12" t="n">
        <v>6107</v>
      </c>
      <c r="L145" s="12" t="n">
        <v>6353</v>
      </c>
      <c r="M145" s="12" t="n">
        <v>4746</v>
      </c>
      <c r="N145" s="12" t="n">
        <v>7076</v>
      </c>
      <c r="T145" s="12" t="n">
        <v>4355</v>
      </c>
      <c r="U145" s="12" t="n">
        <v>3187</v>
      </c>
      <c r="V145" s="12" t="n">
        <v>5073</v>
      </c>
      <c r="W145" s="12" t="n">
        <v>4621</v>
      </c>
      <c r="X145" s="12" t="n">
        <v>6353</v>
      </c>
    </row>
    <row r="146">
      <c r="A146" s="9" t="inlineStr">
        <is>
          <t>지배주주 포괄이익</t>
        </is>
      </c>
      <c r="C146" s="12" t="n">
        <v>3489</v>
      </c>
      <c r="D146" s="12" t="n">
        <v>5073</v>
      </c>
      <c r="E146" s="12" t="n">
        <v>5343</v>
      </c>
      <c r="F146" s="12" t="n">
        <v>3930</v>
      </c>
      <c r="G146" s="12" t="n">
        <v>5783</v>
      </c>
      <c r="H146" s="12" t="n">
        <v>4621</v>
      </c>
      <c r="I146" s="12" t="n">
        <v>4205</v>
      </c>
      <c r="J146" s="12" t="n">
        <v>3885</v>
      </c>
      <c r="K146" s="12" t="n">
        <v>6107</v>
      </c>
      <c r="L146" s="12" t="n">
        <v>6353</v>
      </c>
      <c r="M146" s="12" t="n">
        <v>4746</v>
      </c>
      <c r="N146" s="12" t="n">
        <v>7076</v>
      </c>
      <c r="T146" s="12" t="n">
        <v>4355</v>
      </c>
      <c r="U146" s="12" t="n">
        <v>3187</v>
      </c>
      <c r="V146" s="12" t="n">
        <v>5073</v>
      </c>
      <c r="W146" s="12" t="n">
        <v>4621</v>
      </c>
      <c r="X146" s="12" t="n">
        <v>6353</v>
      </c>
    </row>
    <row r="148">
      <c r="A148" s="16" t="inlineStr">
        <is>
          <t>부문 · 전 항목</t>
        </is>
      </c>
      <c r="B148" s="42" t="inlineStr">
        <is>
          <t>부문 · 항목</t>
        </is>
      </c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</row>
    <row r="149">
      <c r="A149" s="5" t="inlineStr">
        <is>
          <t>항목</t>
        </is>
      </c>
      <c r="B149" s="5" t="inlineStr">
        <is>
          <t>참고</t>
        </is>
      </c>
      <c r="C149" s="5" t="inlineStr">
        <is>
          <t>2024.3Q</t>
        </is>
      </c>
      <c r="D149" s="5" t="inlineStr">
        <is>
          <t>2024.4Q</t>
        </is>
      </c>
      <c r="E149" s="5" t="inlineStr">
        <is>
          <t>2025.1Q</t>
        </is>
      </c>
      <c r="F149" s="5" t="inlineStr">
        <is>
          <t>2025.2Q</t>
        </is>
      </c>
      <c r="G149" s="5" t="inlineStr">
        <is>
          <t>2025.3Q</t>
        </is>
      </c>
      <c r="H149" s="5" t="inlineStr">
        <is>
          <t>2025.4Q</t>
        </is>
      </c>
      <c r="I149" s="5" t="inlineStr">
        <is>
          <t>2026.1Q</t>
        </is>
      </c>
      <c r="J149" s="5" t="inlineStr">
        <is>
          <t>2026.2Q</t>
        </is>
      </c>
      <c r="K149" s="5" t="inlineStr">
        <is>
          <t>2026.3Q</t>
        </is>
      </c>
      <c r="L149" s="5" t="inlineStr">
        <is>
          <t>2026.4Q</t>
        </is>
      </c>
      <c r="M149" s="5" t="inlineStr">
        <is>
          <t>2027.1Q</t>
        </is>
      </c>
      <c r="N149" s="5" t="inlineStr">
        <is>
          <t>2027.2Q</t>
        </is>
      </c>
      <c r="O149" s="5" t="inlineStr">
        <is>
          <t>2017</t>
        </is>
      </c>
      <c r="P149" s="5" t="inlineStr">
        <is>
          <t>2018</t>
        </is>
      </c>
      <c r="Q149" s="5" t="inlineStr">
        <is>
          <t>2019</t>
        </is>
      </c>
      <c r="R149" s="5" t="inlineStr">
        <is>
          <t>2020</t>
        </is>
      </c>
      <c r="S149" s="5" t="inlineStr">
        <is>
          <t>2021</t>
        </is>
      </c>
      <c r="T149" s="5" t="inlineStr">
        <is>
          <t>2022</t>
        </is>
      </c>
      <c r="U149" s="5" t="inlineStr">
        <is>
          <t>2023</t>
        </is>
      </c>
      <c r="V149" s="5" t="inlineStr">
        <is>
          <t>2024</t>
        </is>
      </c>
      <c r="W149" s="5" t="inlineStr">
        <is>
          <t>2025</t>
        </is>
      </c>
      <c r="X149" s="5" t="inlineStr">
        <is>
          <t>2026</t>
        </is>
      </c>
      <c r="Y149" s="5" t="inlineStr">
        <is>
          <t>2027(MW)</t>
        </is>
      </c>
      <c r="Z149" s="5" t="inlineStr">
        <is>
          <t>2028(MW)</t>
        </is>
      </c>
      <c r="AA149" s="5" t="inlineStr">
        <is>
          <t>2029(MW)</t>
        </is>
      </c>
      <c r="AB149" s="5" t="inlineStr">
        <is>
          <t>2030(MW)</t>
        </is>
      </c>
      <c r="AC149" s="5" t="inlineStr">
        <is>
          <t>2031(MW)</t>
        </is>
      </c>
    </row>
    <row r="150">
      <c r="A150" s="18" t="inlineStr">
        <is>
          <t>조명기기 사업 · 외부 고객 매출</t>
        </is>
      </c>
      <c r="C150" s="20" t="n">
        <v>2230</v>
      </c>
      <c r="G150" s="20" t="n">
        <v>2452</v>
      </c>
      <c r="K150" s="20" t="n">
        <v>3037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K151" s="15">
        <f>IF(OR(K150="",G150=""),"",IF(G150&lt;=0,"",IFERROR(K150/G150-1,"")))</f>
        <v/>
      </c>
    </row>
    <row r="152">
      <c r="A152" s="18" t="inlineStr">
        <is>
          <t>보고부문 합계 · 외부 고객 매출</t>
        </is>
      </c>
      <c r="C152" s="20" t="n">
        <v>16963</v>
      </c>
      <c r="D152" s="20" t="n">
        <v>16538</v>
      </c>
      <c r="E152" s="20" t="n">
        <v>16243</v>
      </c>
      <c r="F152" s="20" t="n">
        <v>18579</v>
      </c>
      <c r="G152" s="20" t="n">
        <v>18319</v>
      </c>
      <c r="H152" s="20" t="n">
        <v>18708</v>
      </c>
      <c r="I152" s="20" t="n">
        <v>17256</v>
      </c>
      <c r="J152" s="20" t="n">
        <v>15859</v>
      </c>
      <c r="K152" s="20" t="n">
        <v>19110</v>
      </c>
      <c r="L152" s="20" t="n">
        <v>22251</v>
      </c>
      <c r="M152" s="20" t="n">
        <v>19267</v>
      </c>
      <c r="N152" s="20" t="n">
        <v>27654</v>
      </c>
      <c r="V152" s="20" t="n">
        <v>16538</v>
      </c>
      <c r="W152" s="20" t="n">
        <v>18708</v>
      </c>
      <c r="X152" s="20" t="n">
        <v>22251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조정액 · 외부 고객 매출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9" t="inlineStr">
        <is>
          <t>외부 고객 매출</t>
        </is>
      </c>
      <c r="C155" s="12" t="n">
        <v>16963</v>
      </c>
      <c r="D155" s="12" t="n">
        <v>16538</v>
      </c>
      <c r="E155" s="12" t="n">
        <v>16243</v>
      </c>
      <c r="F155" s="12" t="n">
        <v>18579</v>
      </c>
      <c r="G155" s="12" t="n">
        <v>18319</v>
      </c>
      <c r="H155" s="12" t="n">
        <v>18708</v>
      </c>
      <c r="I155" s="12" t="n">
        <v>17256</v>
      </c>
      <c r="J155" s="12" t="n">
        <v>15859</v>
      </c>
      <c r="K155" s="12" t="n">
        <v>19110</v>
      </c>
      <c r="L155" s="12" t="n">
        <v>22251</v>
      </c>
      <c r="M155" s="12" t="n">
        <v>19267</v>
      </c>
      <c r="N155" s="12" t="n">
        <v>27654</v>
      </c>
      <c r="V155" s="12" t="n">
        <v>16538</v>
      </c>
      <c r="W155" s="12" t="n">
        <v>18708</v>
      </c>
      <c r="X155" s="12" t="n">
        <v>22251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세라믹 부품 사업 · 부문 간 내부매출·대체</t>
        </is>
      </c>
      <c r="E157" s="20" t="n">
        <v>0</v>
      </c>
      <c r="I157" s="20" t="n">
        <v>1</v>
      </c>
      <c r="M157" s="20" t="n">
        <v>4</v>
      </c>
    </row>
    <row r="158">
      <c r="A158" s="18" t="inlineStr">
        <is>
          <t>조명기기 사업 · 부문 간 내부매출·대체</t>
        </is>
      </c>
      <c r="E158" s="20" t="n">
        <v>2</v>
      </c>
      <c r="I158" s="20" t="n">
        <v>0</v>
      </c>
      <c r="M158" s="20" t="n">
        <v>0</v>
      </c>
    </row>
    <row r="159">
      <c r="A159" s="18" t="inlineStr">
        <is>
          <t>조명기기 사업 · 부문 간 내부매출·대체</t>
        </is>
      </c>
      <c r="C159" s="20" t="n">
        <v>9</v>
      </c>
      <c r="G159" s="20" t="n">
        <v>6</v>
      </c>
      <c r="K159" s="20" t="n">
        <v>2</v>
      </c>
    </row>
    <row r="160">
      <c r="A160" s="18" t="inlineStr">
        <is>
          <t>보고부문 합계 · 부문 간 내부매출·대체</t>
        </is>
      </c>
      <c r="C160" s="20" t="n">
        <v>11</v>
      </c>
      <c r="D160" s="20" t="n">
        <v>18</v>
      </c>
      <c r="E160" s="20" t="n">
        <v>3</v>
      </c>
      <c r="F160" s="20" t="n">
        <v>28</v>
      </c>
      <c r="G160" s="20" t="n">
        <v>9</v>
      </c>
      <c r="H160" s="20" t="n">
        <v>5</v>
      </c>
      <c r="I160" s="20" t="n">
        <v>1</v>
      </c>
      <c r="J160" s="20" t="n">
        <v>4</v>
      </c>
      <c r="K160" s="20" t="n">
        <v>4</v>
      </c>
      <c r="L160" s="20" t="n">
        <v>8</v>
      </c>
      <c r="M160" s="20" t="n">
        <v>4</v>
      </c>
      <c r="N160" s="20" t="n">
        <v>5</v>
      </c>
      <c r="V160" s="20" t="n">
        <v>18</v>
      </c>
      <c r="W160" s="20" t="n">
        <v>5</v>
      </c>
      <c r="X160" s="20" t="n">
        <v>8</v>
      </c>
    </row>
    <row r="161">
      <c r="A161" s="18" t="inlineStr">
        <is>
          <t>조정액 · 부문 간 내부매출·대체</t>
        </is>
      </c>
      <c r="C161" s="20" t="n">
        <v>-11</v>
      </c>
      <c r="D161" s="20" t="n">
        <v>-18</v>
      </c>
      <c r="E161" s="20" t="n">
        <v>-3</v>
      </c>
      <c r="F161" s="20" t="n">
        <v>-28</v>
      </c>
      <c r="G161" s="20" t="n">
        <v>-9</v>
      </c>
      <c r="H161" s="20" t="n">
        <v>-5</v>
      </c>
      <c r="I161" s="20" t="n">
        <v>-1</v>
      </c>
      <c r="J161" s="20" t="n">
        <v>-4</v>
      </c>
      <c r="K161" s="20" t="n">
        <v>-4</v>
      </c>
      <c r="L161" s="20" t="n">
        <v>-8</v>
      </c>
      <c r="M161" s="20" t="n">
        <v>-4</v>
      </c>
      <c r="N161" s="20" t="n">
        <v>-5</v>
      </c>
      <c r="V161" s="20" t="n">
        <v>-18</v>
      </c>
      <c r="W161" s="20" t="n">
        <v>-5</v>
      </c>
      <c r="X161" s="20" t="n">
        <v>-8</v>
      </c>
    </row>
    <row r="162">
      <c r="A162" s="18" t="inlineStr">
        <is>
          <t>부문 간 내부매출·대체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L162" s="20" t="n">
        <v>0</v>
      </c>
      <c r="M162" s="20" t="n">
        <v>0</v>
      </c>
      <c r="N162" s="20" t="n">
        <v>0</v>
      </c>
      <c r="V162" s="20" t="n">
        <v>0</v>
      </c>
      <c r="W162" s="20" t="n">
        <v>0</v>
      </c>
      <c r="X162" s="20" t="n">
        <v>0</v>
      </c>
    </row>
    <row r="163">
      <c r="A163" s="18" t="inlineStr">
        <is>
          <t>세라믹 부품 사업 · 계</t>
        </is>
      </c>
      <c r="E163" s="20" t="n">
        <v>14320</v>
      </c>
      <c r="I163" s="20" t="n">
        <v>15250</v>
      </c>
      <c r="M163" s="20" t="n">
        <v>16789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I164" s="15">
        <f>IF(OR(I163="",E163=""),"",IF(E163&lt;=0,"",IFERROR(I163/E163-1,"")))</f>
        <v/>
      </c>
      <c r="M164" s="15">
        <f>IF(OR(M163="",I163=""),"",IF(I163&lt;=0,"",IFERROR(M163/I163-1,"")))</f>
        <v/>
      </c>
    </row>
    <row r="165">
      <c r="A165" s="18" t="inlineStr">
        <is>
          <t>조명기기 사업 · 계</t>
        </is>
      </c>
      <c r="E165" s="20" t="n">
        <v>1926</v>
      </c>
      <c r="I165" s="20" t="n">
        <v>2007</v>
      </c>
      <c r="M165" s="20" t="n">
        <v>2482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I166" s="15">
        <f>IF(OR(I165="",E165=""),"",IF(E165&lt;=0,"",IFERROR(I165/E165-1,"")))</f>
        <v/>
      </c>
      <c r="M166" s="15">
        <f>IF(OR(M165="",I165=""),"",IF(I165&lt;=0,"",IFERROR(M165/I165-1,"")))</f>
        <v/>
      </c>
    </row>
    <row r="167">
      <c r="A167" s="18" t="inlineStr">
        <is>
          <t>조명기기 사업 · 계</t>
        </is>
      </c>
      <c r="C167" s="20" t="n">
        <v>2240</v>
      </c>
      <c r="G167" s="20" t="n">
        <v>2458</v>
      </c>
      <c r="K167" s="20" t="n">
        <v>3039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K168" s="15">
        <f>IF(OR(K167="",G167=""),"",IF(G167&lt;=0,"",IFERROR(K167/G167-1,"")))</f>
        <v/>
      </c>
    </row>
    <row r="169">
      <c r="A169" s="18" t="inlineStr">
        <is>
          <t>보고부문 합계 · 계</t>
        </is>
      </c>
      <c r="C169" s="20" t="n">
        <v>16974</v>
      </c>
      <c r="D169" s="20" t="n">
        <v>16556</v>
      </c>
      <c r="E169" s="20" t="n">
        <v>16246</v>
      </c>
      <c r="F169" s="20" t="n">
        <v>18608</v>
      </c>
      <c r="G169" s="20" t="n">
        <v>18328</v>
      </c>
      <c r="H169" s="20" t="n">
        <v>18713</v>
      </c>
      <c r="I169" s="20" t="n">
        <v>17257</v>
      </c>
      <c r="J169" s="20" t="n">
        <v>15863</v>
      </c>
      <c r="K169" s="20" t="n">
        <v>19114</v>
      </c>
      <c r="L169" s="20" t="n">
        <v>22259</v>
      </c>
      <c r="M169" s="20" t="n">
        <v>19272</v>
      </c>
      <c r="N169" s="20" t="n">
        <v>27659</v>
      </c>
      <c r="V169" s="20" t="n">
        <v>16556</v>
      </c>
      <c r="W169" s="20" t="n">
        <v>18713</v>
      </c>
      <c r="X169" s="20" t="n">
        <v>22259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조정액 · 계</t>
        </is>
      </c>
      <c r="C171" s="20" t="n">
        <v>-11</v>
      </c>
      <c r="D171" s="20" t="n">
        <v>-18</v>
      </c>
      <c r="E171" s="20" t="n">
        <v>-3</v>
      </c>
      <c r="F171" s="20" t="n">
        <v>-28</v>
      </c>
      <c r="G171" s="20" t="n">
        <v>-9</v>
      </c>
      <c r="H171" s="20" t="n">
        <v>-5</v>
      </c>
      <c r="I171" s="20" t="n">
        <v>-1</v>
      </c>
      <c r="J171" s="20" t="n">
        <v>-4</v>
      </c>
      <c r="K171" s="20" t="n">
        <v>-4</v>
      </c>
      <c r="L171" s="20" t="n">
        <v>-8</v>
      </c>
      <c r="M171" s="20" t="n">
        <v>-4</v>
      </c>
      <c r="N171" s="20" t="n">
        <v>-5</v>
      </c>
      <c r="V171" s="20" t="n">
        <v>-18</v>
      </c>
      <c r="W171" s="20" t="n">
        <v>-5</v>
      </c>
      <c r="X171" s="20" t="n">
        <v>-8</v>
      </c>
    </row>
    <row r="172">
      <c r="A172" s="9" t="inlineStr">
        <is>
          <t>계</t>
        </is>
      </c>
      <c r="C172" s="12" t="n">
        <v>16963</v>
      </c>
      <c r="D172" s="12" t="n">
        <v>16538</v>
      </c>
      <c r="E172" s="12" t="n">
        <v>16243</v>
      </c>
      <c r="F172" s="12" t="n">
        <v>18579</v>
      </c>
      <c r="G172" s="12" t="n">
        <v>18319</v>
      </c>
      <c r="H172" s="12" t="n">
        <v>18708</v>
      </c>
      <c r="I172" s="12" t="n">
        <v>17256</v>
      </c>
      <c r="J172" s="12" t="n">
        <v>15859</v>
      </c>
      <c r="K172" s="12" t="n">
        <v>19110</v>
      </c>
      <c r="L172" s="12" t="n">
        <v>22251</v>
      </c>
      <c r="M172" s="12" t="n">
        <v>19267</v>
      </c>
      <c r="N172" s="12" t="n">
        <v>27654</v>
      </c>
      <c r="V172" s="12" t="n">
        <v>16538</v>
      </c>
      <c r="W172" s="12" t="n">
        <v>18708</v>
      </c>
      <c r="X172" s="12" t="n">
        <v>22251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세라믹 부품 사업 · 부문 이익</t>
        </is>
      </c>
      <c r="E174" s="20" t="n">
        <v>5809</v>
      </c>
      <c r="I174" s="20" t="n">
        <v>6064</v>
      </c>
      <c r="M174" s="20" t="n">
        <v>6444</v>
      </c>
    </row>
    <row r="175">
      <c r="A175" s="43" t="inlineStr">
        <is>
          <t>OPM</t>
        </is>
      </c>
      <c r="B175" s="3" t="inlineStr">
        <is>
          <t>영업이익 ÷ 매출</t>
        </is>
      </c>
      <c r="E175" s="15">
        <f>IF(OR(E174="",E163=""),"",IF(E163&lt;=0,"",IFERROR(E174/E163,"")))</f>
        <v/>
      </c>
      <c r="I175" s="15">
        <f>IF(OR(I174="",I163=""),"",IF(I163&lt;=0,"",IFERROR(I174/I163,"")))</f>
        <v/>
      </c>
      <c r="M175" s="15">
        <f>IF(OR(M174="",M163=""),"",IF(M163&lt;=0,"",IFERROR(M174/M163,"")))</f>
        <v/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I176" s="15">
        <f>IF(OR(I174="",E174=""),"",IF(E174&lt;=0,"",IFERROR(I174/E174-1,"")))</f>
        <v/>
      </c>
      <c r="M176" s="15">
        <f>IF(OR(M174="",I174=""),"",IF(I174&lt;=0,"",IFERROR(M174/I174-1,"")))</f>
        <v/>
      </c>
    </row>
    <row r="177">
      <c r="A177" s="18" t="inlineStr">
        <is>
          <t>조명기기 사업 · 부문 이익</t>
        </is>
      </c>
      <c r="E177" s="20" t="n">
        <v>198</v>
      </c>
      <c r="I177" s="20" t="n">
        <v>336</v>
      </c>
      <c r="M177" s="20" t="n">
        <v>497</v>
      </c>
    </row>
    <row r="178">
      <c r="A178" s="43" t="inlineStr">
        <is>
          <t>OPM</t>
        </is>
      </c>
      <c r="B178" s="3" t="inlineStr">
        <is>
          <t>영업이익 ÷ 매출</t>
        </is>
      </c>
      <c r="E178" s="15">
        <f>IF(OR(E177="",E165=""),"",IF(E165&lt;=0,"",IFERROR(E177/E165,"")))</f>
        <v/>
      </c>
      <c r="I178" s="15">
        <f>IF(OR(I177="",I165=""),"",IF(I165&lt;=0,"",IFERROR(I177/I165,"")))</f>
        <v/>
      </c>
      <c r="M178" s="15">
        <f>IF(OR(M177="",M165=""),"",IF(M165&lt;=0,"",IFERROR(M177/M165,"")))</f>
        <v/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I179" s="15">
        <f>IF(OR(I177="",E177=""),"",IF(E177&lt;=0,"",IFERROR(I177/E177-1,"")))</f>
        <v/>
      </c>
      <c r="M179" s="15">
        <f>IF(OR(M177="",I177=""),"",IF(I177&lt;=0,"",IFERROR(M177/I177-1,"")))</f>
        <v/>
      </c>
    </row>
    <row r="180">
      <c r="A180" s="18" t="inlineStr">
        <is>
          <t>조명기기 사업 · 부문 이익</t>
        </is>
      </c>
      <c r="C180" s="20" t="n">
        <v>299</v>
      </c>
      <c r="G180" s="20" t="n">
        <v>383</v>
      </c>
      <c r="K180" s="20" t="n">
        <v>716</v>
      </c>
    </row>
    <row r="181">
      <c r="A181" s="43" t="inlineStr">
        <is>
          <t>OPM</t>
        </is>
      </c>
      <c r="B181" s="3" t="inlineStr">
        <is>
          <t>영업이익 ÷ 매출</t>
        </is>
      </c>
      <c r="C181" s="15">
        <f>IF(OR(C180="",C167=""),"",IF(C167&lt;=0,"",IFERROR(C180/C167,"")))</f>
        <v/>
      </c>
      <c r="G181" s="15">
        <f>IF(OR(G180="",G167=""),"",IF(G167&lt;=0,"",IFERROR(G180/G167,"")))</f>
        <v/>
      </c>
      <c r="K181" s="15">
        <f>IF(OR(K180="",K167=""),"",IF(K167&lt;=0,"",IFERROR(K180/K167,"")))</f>
        <v/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IF(OR(G180="",C180=""),"",IF(C180&lt;=0,"",IFERROR(G180/C180-1,"")))</f>
        <v/>
      </c>
      <c r="K182" s="15">
        <f>IF(OR(K180="",G180=""),"",IF(G180&lt;=0,"",IFERROR(K180/G180-1,"")))</f>
        <v/>
      </c>
    </row>
    <row r="183">
      <c r="A183" s="18" t="inlineStr">
        <is>
          <t>보고부문 합계 · 부문 이익</t>
        </is>
      </c>
      <c r="C183" s="20" t="n">
        <v>6044</v>
      </c>
      <c r="D183" s="20" t="n">
        <v>5834</v>
      </c>
      <c r="E183" s="20" t="n">
        <v>6007</v>
      </c>
      <c r="F183" s="20" t="n">
        <v>7522</v>
      </c>
      <c r="G183" s="20" t="n">
        <v>7343</v>
      </c>
      <c r="H183" s="20" t="n">
        <v>7652</v>
      </c>
      <c r="I183" s="20" t="n">
        <v>6401</v>
      </c>
      <c r="J183" s="20" t="n">
        <v>5247</v>
      </c>
      <c r="K183" s="20" t="n">
        <v>6677</v>
      </c>
      <c r="L183" s="20" t="n">
        <v>8389</v>
      </c>
      <c r="M183" s="20" t="n">
        <v>6942</v>
      </c>
      <c r="N183" s="20" t="n">
        <v>11755</v>
      </c>
      <c r="V183" s="20" t="n">
        <v>5834</v>
      </c>
      <c r="W183" s="20" t="n">
        <v>7652</v>
      </c>
      <c r="X183" s="20" t="n">
        <v>8389</v>
      </c>
    </row>
    <row r="184">
      <c r="A184" s="43" t="inlineStr">
        <is>
          <t>OPM</t>
        </is>
      </c>
      <c r="B184" s="3" t="inlineStr">
        <is>
          <t>영업이익 ÷ 매출</t>
        </is>
      </c>
      <c r="C184" s="15">
        <f>IF(OR(C183="",C169=""),"",IF(C169&lt;=0,"",IFERROR(C183/C169,"")))</f>
        <v/>
      </c>
      <c r="D184" s="15">
        <f>IF(OR(D183="",D169=""),"",IF(D169&lt;=0,"",IFERROR(D183/D169,"")))</f>
        <v/>
      </c>
      <c r="E184" s="15">
        <f>IF(OR(E183="",E169=""),"",IF(E169&lt;=0,"",IFERROR(E183/E169,"")))</f>
        <v/>
      </c>
      <c r="F184" s="15">
        <f>IF(OR(F183="",F169=""),"",IF(F169&lt;=0,"",IFERROR(F183/F169,"")))</f>
        <v/>
      </c>
      <c r="G184" s="15">
        <f>IF(OR(G183="",G169=""),"",IF(G169&lt;=0,"",IFERROR(G183/G169,"")))</f>
        <v/>
      </c>
      <c r="H184" s="15">
        <f>IF(OR(H183="",H169=""),"",IF(H169&lt;=0,"",IFERROR(H183/H169,"")))</f>
        <v/>
      </c>
      <c r="I184" s="15">
        <f>IF(OR(I183="",I169=""),"",IF(I169&lt;=0,"",IFERROR(I183/I169,"")))</f>
        <v/>
      </c>
      <c r="J184" s="15">
        <f>IF(OR(J183="",J169=""),"",IF(J169&lt;=0,"",IFERROR(J183/J169,"")))</f>
        <v/>
      </c>
      <c r="K184" s="15">
        <f>IF(OR(K183="",K169=""),"",IF(K169&lt;=0,"",IFERROR(K183/K169,"")))</f>
        <v/>
      </c>
      <c r="L184" s="15">
        <f>IF(OR(L183="",L169=""),"",IF(L169&lt;=0,"",IFERROR(L183/L169,"")))</f>
        <v/>
      </c>
      <c r="M184" s="15">
        <f>IF(OR(M183="",M169=""),"",IF(M169&lt;=0,"",IFERROR(M183/M169,"")))</f>
        <v/>
      </c>
      <c r="N184" s="15">
        <f>IF(OR(N183="",N169=""),"",IF(N169&lt;=0,"",IFERROR(N183/N169,"")))</f>
        <v/>
      </c>
      <c r="V184" s="15">
        <f>IF(OR(V183="",V169=""),"",IF(V169&lt;=0,"",IFERROR(V183/V169,"")))</f>
        <v/>
      </c>
      <c r="W184" s="15">
        <f>IF(OR(W183="",W169=""),"",IF(W169&lt;=0,"",IFERROR(W183/W169,"")))</f>
        <v/>
      </c>
      <c r="X184" s="15">
        <f>IF(OR(X183="",X169=""),"",IF(X169&lt;=0,"",IFERROR(X183/X169,"")))</f>
        <v/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IF(OR(G183="",C183=""),"",IF(C183&lt;=0,"",IFERROR(G183/C183-1,"")))</f>
        <v/>
      </c>
      <c r="H185" s="15">
        <f>IF(OR(H183="",D183=""),"",IF(D183&lt;=0,"",IFERROR(H183/D183-1,"")))</f>
        <v/>
      </c>
      <c r="I185" s="15">
        <f>IF(OR(I183="",E183=""),"",IF(E183&lt;=0,"",IFERROR(I183/E183-1,"")))</f>
        <v/>
      </c>
      <c r="J185" s="15">
        <f>IF(OR(J183="",F183=""),"",IF(F183&lt;=0,"",IFERROR(J183/F183-1,"")))</f>
        <v/>
      </c>
      <c r="K185" s="15">
        <f>IF(OR(K183="",G183=""),"",IF(G183&lt;=0,"",IFERROR(K183/G183-1,"")))</f>
        <v/>
      </c>
      <c r="L185" s="15">
        <f>IF(OR(L183="",H183=""),"",IF(H183&lt;=0,"",IFERROR(L183/H183-1,"")))</f>
        <v/>
      </c>
      <c r="M185" s="15">
        <f>IF(OR(M183="",I183=""),"",IF(I183&lt;=0,"",IFERROR(M183/I183-1,"")))</f>
        <v/>
      </c>
      <c r="N185" s="15">
        <f>IF(OR(N183="",J183=""),"",IF(J183&lt;=0,"",IFERROR(N183/J183-1,"")))</f>
        <v/>
      </c>
      <c r="V185" s="15">
        <f>IF(OR(V183="",U183=""),"",IF(U183&lt;=0,"",IFERROR(V183/U183-1,"")))</f>
        <v/>
      </c>
      <c r="W185" s="15">
        <f>IF(OR(W183="",V183=""),"",IF(V183&lt;=0,"",IFERROR(W183/V183-1,"")))</f>
        <v/>
      </c>
      <c r="X185" s="15">
        <f>IF(OR(X183="",W183=""),"",IF(W183&lt;=0,"",IFERROR(X183/W183-1,"")))</f>
        <v/>
      </c>
    </row>
    <row r="186">
      <c r="A186" s="18" t="inlineStr">
        <is>
          <t>조정액 · 부문 이익</t>
        </is>
      </c>
      <c r="C186" s="20" t="n">
        <v>-299</v>
      </c>
      <c r="D186" s="20" t="n">
        <v>-426</v>
      </c>
      <c r="E186" s="20" t="n">
        <v>-366</v>
      </c>
      <c r="F186" s="20" t="n">
        <v>-373</v>
      </c>
      <c r="G186" s="20" t="n">
        <v>-399</v>
      </c>
      <c r="H186" s="20" t="n">
        <v>-471</v>
      </c>
      <c r="I186" s="20" t="n">
        <v>-398</v>
      </c>
      <c r="J186" s="20" t="n">
        <v>-406</v>
      </c>
      <c r="K186" s="20" t="n">
        <v>-396</v>
      </c>
      <c r="L186" s="20" t="n">
        <v>-538</v>
      </c>
      <c r="M186" s="20" t="n">
        <v>-593</v>
      </c>
      <c r="N186" s="20" t="n">
        <v>-498</v>
      </c>
      <c r="V186" s="20" t="n">
        <v>-426</v>
      </c>
      <c r="W186" s="20" t="n">
        <v>-471</v>
      </c>
      <c r="X186" s="20" t="n">
        <v>-538</v>
      </c>
    </row>
    <row r="187">
      <c r="A187" s="9" t="inlineStr">
        <is>
          <t>부문 이익</t>
        </is>
      </c>
      <c r="C187" s="12" t="n">
        <v>5744</v>
      </c>
      <c r="D187" s="12" t="n">
        <v>5408</v>
      </c>
      <c r="E187" s="12" t="n">
        <v>5640</v>
      </c>
      <c r="F187" s="12" t="n">
        <v>7149</v>
      </c>
      <c r="G187" s="12" t="n">
        <v>6945</v>
      </c>
      <c r="H187" s="12" t="n">
        <v>7180</v>
      </c>
      <c r="I187" s="12" t="n">
        <v>6002</v>
      </c>
      <c r="J187" s="12" t="n">
        <v>4841</v>
      </c>
      <c r="K187" s="12" t="n">
        <v>6281</v>
      </c>
      <c r="L187" s="12" t="n">
        <v>7852</v>
      </c>
      <c r="M187" s="12" t="n">
        <v>6348</v>
      </c>
      <c r="N187" s="12" t="n">
        <v>11257</v>
      </c>
      <c r="V187" s="12" t="n">
        <v>5408</v>
      </c>
      <c r="W187" s="12" t="n">
        <v>7180</v>
      </c>
      <c r="X187" s="12" t="n">
        <v>7852</v>
      </c>
    </row>
    <row r="188">
      <c r="A188" s="43" t="inlineStr">
        <is>
          <t>OPM</t>
        </is>
      </c>
      <c r="B188" s="3" t="inlineStr">
        <is>
          <t>영업이익 ÷ 매출</t>
        </is>
      </c>
      <c r="C188" s="15">
        <f>IF(OR(C187="",C155=""),"",IF(C155&lt;=0,"",IFERROR(C187/C155,"")))</f>
        <v/>
      </c>
      <c r="D188" s="15">
        <f>IF(OR(D187="",D155=""),"",IF(D155&lt;=0,"",IFERROR(D187/D155,"")))</f>
        <v/>
      </c>
      <c r="E188" s="15">
        <f>IF(OR(E187="",E155=""),"",IF(E155&lt;=0,"",IFERROR(E187/E155,"")))</f>
        <v/>
      </c>
      <c r="F188" s="15">
        <f>IF(OR(F187="",F155=""),"",IF(F155&lt;=0,"",IFERROR(F187/F155,"")))</f>
        <v/>
      </c>
      <c r="G188" s="15">
        <f>IF(OR(G187="",G155=""),"",IF(G155&lt;=0,"",IFERROR(G187/G155,"")))</f>
        <v/>
      </c>
      <c r="H188" s="15">
        <f>IF(OR(H187="",H155=""),"",IF(H155&lt;=0,"",IFERROR(H187/H155,"")))</f>
        <v/>
      </c>
      <c r="I188" s="15">
        <f>IF(OR(I187="",I155=""),"",IF(I155&lt;=0,"",IFERROR(I187/I155,"")))</f>
        <v/>
      </c>
      <c r="J188" s="15">
        <f>IF(OR(J187="",J155=""),"",IF(J155&lt;=0,"",IFERROR(J187/J155,"")))</f>
        <v/>
      </c>
      <c r="K188" s="15">
        <f>IF(OR(K187="",K155=""),"",IF(K155&lt;=0,"",IFERROR(K187/K155,"")))</f>
        <v/>
      </c>
      <c r="L188" s="15">
        <f>IF(OR(L187="",L155=""),"",IF(L155&lt;=0,"",IFERROR(L187/L155,"")))</f>
        <v/>
      </c>
      <c r="M188" s="15">
        <f>IF(OR(M187="",M155=""),"",IF(M155&lt;=0,"",IFERROR(M187/M155,"")))</f>
        <v/>
      </c>
      <c r="N188" s="15">
        <f>IF(OR(N187="",N155=""),"",IF(N155&lt;=0,"",IFERROR(N187/N155,"")))</f>
        <v/>
      </c>
      <c r="V188" s="15">
        <f>IF(OR(V187="",V155=""),"",IF(V155&lt;=0,"",IFERROR(V187/V155,"")))</f>
        <v/>
      </c>
      <c r="W188" s="15">
        <f>IF(OR(W187="",W155=""),"",IF(W155&lt;=0,"",IFERROR(W187/W155,"")))</f>
        <v/>
      </c>
      <c r="X188" s="15">
        <f>IF(OR(X187="",X155=""),"",IF(X155&lt;=0,"",IFERROR(X187/X155,"")))</f>
        <v/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IF(OR(G187="",C187=""),"",IF(C187&lt;=0,"",IFERROR(G187/C187-1,"")))</f>
        <v/>
      </c>
      <c r="H189" s="15">
        <f>IF(OR(H187="",D187=""),"",IF(D187&lt;=0,"",IFERROR(H187/D187-1,"")))</f>
        <v/>
      </c>
      <c r="I189" s="15">
        <f>IF(OR(I187="",E187=""),"",IF(E187&lt;=0,"",IFERROR(I187/E187-1,"")))</f>
        <v/>
      </c>
      <c r="J189" s="15">
        <f>IF(OR(J187="",F187=""),"",IF(F187&lt;=0,"",IFERROR(J187/F187-1,"")))</f>
        <v/>
      </c>
      <c r="K189" s="15">
        <f>IF(OR(K187="",G187=""),"",IF(G187&lt;=0,"",IFERROR(K187/G187-1,"")))</f>
        <v/>
      </c>
      <c r="L189" s="15">
        <f>IF(OR(L187="",H187=""),"",IF(H187&lt;=0,"",IFERROR(L187/H187-1,"")))</f>
        <v/>
      </c>
      <c r="M189" s="15">
        <f>IF(OR(M187="",I187=""),"",IF(I187&lt;=0,"",IFERROR(M187/I187-1,"")))</f>
        <v/>
      </c>
      <c r="N189" s="15">
        <f>IF(OR(N187="",J187=""),"",IF(J187&lt;=0,"",IFERROR(N187/J187-1,"")))</f>
        <v/>
      </c>
      <c r="V189" s="15">
        <f>IF(OR(V187="",U187=""),"",IF(U187&lt;=0,"",IFERROR(V187/U187-1,"")))</f>
        <v/>
      </c>
      <c r="W189" s="15">
        <f>IF(OR(W187="",V187=""),"",IF(V187&lt;=0,"",IFERROR(W187/V187-1,"")))</f>
        <v/>
      </c>
      <c r="X189" s="15">
        <f>IF(OR(X187="",W187=""),"",IF(W187&lt;=0,"",IFERROR(X187/W187-1,"")))</f>
        <v/>
      </c>
    </row>
    <row r="190">
      <c r="A190" s="18" t="inlineStr">
        <is>
          <t>세라믹 부품 사업 · 외부 고객 매출</t>
        </is>
      </c>
      <c r="E190" s="20" t="n">
        <v>14320</v>
      </c>
      <c r="I190" s="20" t="n">
        <v>15248</v>
      </c>
      <c r="M190" s="20" t="n">
        <v>16785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I191" s="15">
        <f>IF(OR(I190="",E190=""),"",IF(E190&lt;=0,"",IFERROR(I190/E190-1,"")))</f>
        <v/>
      </c>
      <c r="M191" s="15">
        <f>IF(OR(M190="",I190=""),"",IF(I190&lt;=0,"",IFERROR(M190/I190-1,"")))</f>
        <v/>
      </c>
    </row>
    <row r="192">
      <c r="A192" s="18" t="inlineStr">
        <is>
          <t>조명기기 사업 · 외부 고객 매출</t>
        </is>
      </c>
      <c r="E192" s="20" t="n">
        <v>1923</v>
      </c>
      <c r="I192" s="20" t="n">
        <v>2007</v>
      </c>
      <c r="M192" s="20" t="n">
        <v>2482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I193" s="15">
        <f>IF(OR(I192="",E192=""),"",IF(E192&lt;=0,"",IFERROR(I192/E192-1,"")))</f>
        <v/>
      </c>
      <c r="M193" s="15">
        <f>IF(OR(M192="",I192=""),"",IF(I192&lt;=0,"",IFERROR(M192/I192-1,"")))</f>
        <v/>
      </c>
    </row>
    <row r="195">
      <c r="A195" s="16" t="inlineStr">
        <is>
          <t>현금흐름표 · 전 항목</t>
        </is>
      </c>
      <c r="B195" s="42" t="inlineStr">
        <is>
          <t>분기 = 결산기 첫날부터 누계(공시 그대로)</t>
        </is>
      </c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</row>
    <row r="196">
      <c r="A196" s="5" t="inlineStr">
        <is>
          <t>항목</t>
        </is>
      </c>
      <c r="B196" s="5" t="inlineStr">
        <is>
          <t>참고</t>
        </is>
      </c>
      <c r="C196" s="5" t="inlineStr">
        <is>
          <t>2024.3Q</t>
        </is>
      </c>
      <c r="D196" s="5" t="inlineStr">
        <is>
          <t>2024.4Q</t>
        </is>
      </c>
      <c r="E196" s="5" t="inlineStr">
        <is>
          <t>2025.1Q</t>
        </is>
      </c>
      <c r="F196" s="5" t="inlineStr">
        <is>
          <t>2025.2Q</t>
        </is>
      </c>
      <c r="G196" s="5" t="inlineStr">
        <is>
          <t>2025.3Q</t>
        </is>
      </c>
      <c r="H196" s="5" t="inlineStr">
        <is>
          <t>2025.4Q</t>
        </is>
      </c>
      <c r="I196" s="5" t="inlineStr">
        <is>
          <t>2026.1Q</t>
        </is>
      </c>
      <c r="J196" s="5" t="inlineStr">
        <is>
          <t>2026.2Q</t>
        </is>
      </c>
      <c r="K196" s="5" t="inlineStr">
        <is>
          <t>2026.3Q</t>
        </is>
      </c>
      <c r="L196" s="5" t="inlineStr">
        <is>
          <t>2026.4Q</t>
        </is>
      </c>
      <c r="M196" s="5" t="inlineStr">
        <is>
          <t>2027.1Q</t>
        </is>
      </c>
      <c r="N196" s="5" t="inlineStr">
        <is>
          <t>2027.2Q</t>
        </is>
      </c>
      <c r="O196" s="5" t="inlineStr">
        <is>
          <t>2017</t>
        </is>
      </c>
      <c r="P196" s="5" t="inlineStr">
        <is>
          <t>2018</t>
        </is>
      </c>
      <c r="Q196" s="5" t="inlineStr">
        <is>
          <t>2019</t>
        </is>
      </c>
      <c r="R196" s="5" t="inlineStr">
        <is>
          <t>2020</t>
        </is>
      </c>
      <c r="S196" s="5" t="inlineStr">
        <is>
          <t>2021</t>
        </is>
      </c>
      <c r="T196" s="5" t="inlineStr">
        <is>
          <t>2022</t>
        </is>
      </c>
      <c r="U196" s="5" t="inlineStr">
        <is>
          <t>2023</t>
        </is>
      </c>
      <c r="V196" s="5" t="inlineStr">
        <is>
          <t>2024</t>
        </is>
      </c>
      <c r="W196" s="5" t="inlineStr">
        <is>
          <t>2025</t>
        </is>
      </c>
      <c r="X196" s="5" t="inlineStr">
        <is>
          <t>2026</t>
        </is>
      </c>
      <c r="Y196" s="5" t="inlineStr">
        <is>
          <t>2027(MW)</t>
        </is>
      </c>
      <c r="Z196" s="5" t="inlineStr">
        <is>
          <t>2028(MW)</t>
        </is>
      </c>
      <c r="AA196" s="5" t="inlineStr">
        <is>
          <t>2029(MW)</t>
        </is>
      </c>
      <c r="AB196" s="5" t="inlineStr">
        <is>
          <t>2030(MW)</t>
        </is>
      </c>
      <c r="AC196" s="5" t="inlineStr">
        <is>
          <t>2031(MW)</t>
        </is>
      </c>
    </row>
    <row r="197">
      <c r="A197" s="9" t="inlineStr">
        <is>
          <t>법인세차감전 순이익</t>
        </is>
      </c>
      <c r="D197" s="12" t="n">
        <v>21016</v>
      </c>
      <c r="F197" s="12" t="n">
        <v>12128</v>
      </c>
      <c r="H197" s="12" t="n">
        <v>27159</v>
      </c>
      <c r="J197" s="12" t="n">
        <v>11097</v>
      </c>
      <c r="L197" s="12" t="n">
        <v>26418</v>
      </c>
      <c r="N197" s="12" t="n">
        <v>17590</v>
      </c>
      <c r="O197" s="12" t="n">
        <v>4301.756</v>
      </c>
      <c r="P197" s="12" t="n">
        <v>8456.634</v>
      </c>
      <c r="Q197" s="12" t="n">
        <v>9874.073</v>
      </c>
      <c r="R197" s="12" t="n">
        <v>8696.362999999999</v>
      </c>
      <c r="S197" s="12" t="n">
        <v>9884</v>
      </c>
      <c r="T197" s="12" t="n">
        <v>19331</v>
      </c>
      <c r="U197" s="12" t="n">
        <v>21164</v>
      </c>
      <c r="V197" s="12" t="n">
        <v>21016</v>
      </c>
      <c r="W197" s="12" t="n">
        <v>27159</v>
      </c>
      <c r="X197" s="12" t="n">
        <v>26418</v>
      </c>
    </row>
    <row r="198">
      <c r="A198" s="18" t="inlineStr">
        <is>
          <t>사업정리 손실</t>
        </is>
      </c>
      <c r="O198" s="20" t="n">
        <v>230.021</v>
      </c>
      <c r="P198" s="20" t="n">
        <v>100.493</v>
      </c>
      <c r="Q198" s="20" t="n">
        <v>0</v>
      </c>
      <c r="R198" s="20" t="n">
        <v>773.648</v>
      </c>
      <c r="S198" s="20" t="n">
        <v>0</v>
      </c>
    </row>
    <row r="199">
      <c r="A199" s="18" t="inlineStr">
        <is>
          <t>손상차손</t>
        </is>
      </c>
      <c r="O199" s="20" t="n">
        <v>341.765</v>
      </c>
      <c r="P199" s="20" t="n">
        <v>0</v>
      </c>
      <c r="R199" s="20" t="n">
        <v>0</v>
      </c>
      <c r="S199" s="20" t="n">
        <v>169</v>
      </c>
      <c r="T199" s="20" t="n">
        <v>0</v>
      </c>
    </row>
    <row r="200">
      <c r="A200" s="18" t="inlineStr">
        <is>
          <t>감가상각비</t>
        </is>
      </c>
      <c r="D200" s="20" t="n">
        <v>4138</v>
      </c>
      <c r="F200" s="20" t="n">
        <v>2158</v>
      </c>
      <c r="H200" s="20" t="n">
        <v>4690</v>
      </c>
      <c r="J200" s="20" t="n">
        <v>2429</v>
      </c>
      <c r="L200" s="20" t="n">
        <v>5334</v>
      </c>
      <c r="N200" s="20" t="n">
        <v>2862</v>
      </c>
      <c r="O200" s="20" t="n">
        <v>1822.468</v>
      </c>
      <c r="P200" s="20" t="n">
        <v>1846.113</v>
      </c>
      <c r="Q200" s="20" t="n">
        <v>2059.593</v>
      </c>
      <c r="R200" s="20" t="n">
        <v>2319.896</v>
      </c>
      <c r="S200" s="20" t="n">
        <v>2169</v>
      </c>
      <c r="T200" s="20" t="n">
        <v>2570</v>
      </c>
      <c r="U200" s="20" t="n">
        <v>3087</v>
      </c>
      <c r="V200" s="20" t="n">
        <v>4138</v>
      </c>
      <c r="W200" s="20" t="n">
        <v>4690</v>
      </c>
      <c r="X200" s="20" t="n">
        <v>5334</v>
      </c>
    </row>
    <row r="201">
      <c r="A201" s="18" t="inlineStr">
        <is>
          <t>영업권 상각</t>
        </is>
      </c>
      <c r="O201" s="20" t="n">
        <v>115.164</v>
      </c>
      <c r="P201" s="20" t="n">
        <v>20.74</v>
      </c>
      <c r="Q201" s="20" t="n">
        <v>17.815</v>
      </c>
      <c r="R201" s="20" t="n">
        <v>53.447</v>
      </c>
      <c r="S201" s="20" t="n">
        <v>26</v>
      </c>
      <c r="T201" s="20" t="n">
        <v>0</v>
      </c>
    </row>
    <row r="202">
      <c r="A202" s="18" t="inlineStr">
        <is>
          <t>부의 영업권 발생이익</t>
        </is>
      </c>
      <c r="O202" s="20" t="n">
        <v>0</v>
      </c>
      <c r="P202" s="20" t="n">
        <v>-8.199</v>
      </c>
      <c r="Q202" s="20" t="n">
        <v>0</v>
      </c>
    </row>
    <row r="203">
      <c r="A203" s="18" t="inlineStr">
        <is>
          <t>퇴직급여부채 증감</t>
        </is>
      </c>
      <c r="O203" s="20" t="n">
        <v>0</v>
      </c>
      <c r="P203" s="20" t="n">
        <v>-35.543</v>
      </c>
      <c r="Q203" s="20" t="n">
        <v>-53.456</v>
      </c>
      <c r="R203" s="20" t="n">
        <v>0</v>
      </c>
    </row>
    <row r="204">
      <c r="A204" s="18" t="inlineStr">
        <is>
          <t>대손충당금 증감</t>
        </is>
      </c>
      <c r="D204" s="20" t="n">
        <v>123</v>
      </c>
      <c r="F204" s="20" t="n">
        <v>-31</v>
      </c>
      <c r="H204" s="20" t="n">
        <v>-71</v>
      </c>
      <c r="J204" s="20" t="n">
        <v>-55</v>
      </c>
      <c r="L204" s="20" t="n">
        <v>-76</v>
      </c>
      <c r="N204" s="20" t="n">
        <v>-0</v>
      </c>
      <c r="O204" s="20" t="n">
        <v>53.447</v>
      </c>
      <c r="P204" s="20" t="n">
        <v>-43.13</v>
      </c>
      <c r="Q204" s="20" t="n">
        <v>-1.571</v>
      </c>
      <c r="R204" s="20" t="n">
        <v>-2.015</v>
      </c>
      <c r="S204" s="20" t="n">
        <v>1</v>
      </c>
      <c r="T204" s="20" t="n">
        <v>-34</v>
      </c>
      <c r="U204" s="20" t="n">
        <v>-0</v>
      </c>
      <c r="V204" s="20" t="n">
        <v>123</v>
      </c>
      <c r="W204" s="20" t="n">
        <v>-71</v>
      </c>
      <c r="X204" s="20" t="n">
        <v>-76</v>
      </c>
    </row>
    <row r="205">
      <c r="A205" s="18" t="inlineStr">
        <is>
          <t>환경대책 충당금 증감</t>
        </is>
      </c>
      <c r="O205" s="20" t="n">
        <v>0</v>
      </c>
      <c r="P205" s="20" t="n">
        <v>-10.09</v>
      </c>
      <c r="Q205" s="20" t="n">
        <v>-3.436</v>
      </c>
      <c r="R205" s="20" t="n">
        <v>0</v>
      </c>
    </row>
    <row r="206">
      <c r="A206" s="18" t="inlineStr">
        <is>
          <t>자회사 청산손익</t>
        </is>
      </c>
      <c r="R206" s="20" t="n">
        <v>0</v>
      </c>
      <c r="S206" s="20" t="n">
        <v>-11</v>
      </c>
      <c r="T206" s="20" t="n">
        <v>0</v>
      </c>
    </row>
    <row r="207">
      <c r="A207" s="18" t="inlineStr">
        <is>
          <t>투자유가증권 매각손익</t>
        </is>
      </c>
      <c r="D207" s="20" t="n">
        <v>-31</v>
      </c>
      <c r="F207" s="20" t="n">
        <v>0</v>
      </c>
      <c r="H207" s="20" t="n">
        <v>0</v>
      </c>
      <c r="J207" s="20" t="n">
        <v>-5</v>
      </c>
      <c r="L207" s="20" t="n">
        <v>-147</v>
      </c>
      <c r="N207" s="20" t="n">
        <v>0</v>
      </c>
      <c r="O207" s="20" t="n">
        <v>-0.554</v>
      </c>
      <c r="P207" s="20" t="n">
        <v>0</v>
      </c>
      <c r="Q207" s="20" t="n">
        <v>-3.469</v>
      </c>
      <c r="R207" s="20" t="n">
        <v>-11.986</v>
      </c>
      <c r="S207" s="20" t="n">
        <v>-65</v>
      </c>
      <c r="T207" s="20" t="n">
        <v>-0</v>
      </c>
      <c r="U207" s="20" t="n">
        <v>0</v>
      </c>
      <c r="V207" s="20" t="n">
        <v>-31</v>
      </c>
      <c r="W207" s="20" t="n">
        <v>0</v>
      </c>
      <c r="X207" s="20" t="n">
        <v>-147</v>
      </c>
    </row>
    <row r="208">
      <c r="A208" s="18" t="inlineStr">
        <is>
          <t>투자유가증권 평가손익</t>
        </is>
      </c>
      <c r="Q208" s="20" t="n">
        <v>0</v>
      </c>
      <c r="R208" s="20" t="n">
        <v>27.51</v>
      </c>
      <c r="S208" s="20" t="n">
        <v>0</v>
      </c>
    </row>
    <row r="209">
      <c r="A209" s="18" t="inlineStr">
        <is>
          <t>고정자산 제각·매각손익</t>
        </is>
      </c>
      <c r="D209" s="20" t="n">
        <v>158</v>
      </c>
      <c r="F209" s="20" t="n">
        <v>86</v>
      </c>
      <c r="H209" s="20" t="n">
        <v>105</v>
      </c>
      <c r="J209" s="20" t="n">
        <v>30</v>
      </c>
      <c r="L209" s="20" t="n">
        <v>35</v>
      </c>
      <c r="N209" s="20" t="n">
        <v>74</v>
      </c>
      <c r="O209" s="20" t="n">
        <v>100.223</v>
      </c>
      <c r="P209" s="20" t="n">
        <v>267.721</v>
      </c>
      <c r="Q209" s="20" t="n">
        <v>2.332</v>
      </c>
      <c r="R209" s="20" t="n">
        <v>48.268</v>
      </c>
      <c r="S209" s="20" t="n">
        <v>256</v>
      </c>
      <c r="T209" s="20" t="n">
        <v>13</v>
      </c>
      <c r="U209" s="20" t="n">
        <v>61</v>
      </c>
      <c r="V209" s="20" t="n">
        <v>158</v>
      </c>
      <c r="W209" s="20" t="n">
        <v>105</v>
      </c>
      <c r="X209" s="20" t="n">
        <v>35</v>
      </c>
    </row>
    <row r="210">
      <c r="A210" s="18" t="inlineStr">
        <is>
          <t>이자·배당금 수익</t>
        </is>
      </c>
      <c r="D210" s="20" t="n">
        <v>-239</v>
      </c>
      <c r="F210" s="20" t="n">
        <v>-103</v>
      </c>
      <c r="H210" s="20" t="n">
        <v>-340</v>
      </c>
      <c r="J210" s="20" t="n">
        <v>-243</v>
      </c>
      <c r="L210" s="20" t="n">
        <v>-627</v>
      </c>
      <c r="N210" s="20" t="n">
        <v>-336</v>
      </c>
      <c r="O210" s="20" t="n">
        <v>-42.172</v>
      </c>
      <c r="P210" s="20" t="n">
        <v>-38.138</v>
      </c>
      <c r="Q210" s="20" t="n">
        <v>-71.583</v>
      </c>
      <c r="R210" s="20" t="n">
        <v>-71.699</v>
      </c>
      <c r="S210" s="20" t="n">
        <v>-56</v>
      </c>
      <c r="T210" s="20" t="n">
        <v>-63</v>
      </c>
      <c r="U210" s="20" t="n">
        <v>-112</v>
      </c>
      <c r="V210" s="20" t="n">
        <v>-239</v>
      </c>
      <c r="W210" s="20" t="n">
        <v>-340</v>
      </c>
      <c r="X210" s="20" t="n">
        <v>-627</v>
      </c>
    </row>
    <row r="211">
      <c r="A211" s="18" t="inlineStr">
        <is>
          <t>이자비용</t>
        </is>
      </c>
      <c r="D211" s="20" t="n">
        <v>1</v>
      </c>
      <c r="F211" s="20" t="n">
        <v>0</v>
      </c>
      <c r="H211" s="20" t="n">
        <v>0</v>
      </c>
      <c r="J211" s="20" t="n">
        <v>0</v>
      </c>
      <c r="L211" s="20" t="n">
        <v>0</v>
      </c>
      <c r="Q211" s="20" t="n">
        <v>0</v>
      </c>
      <c r="R211" s="20" t="n">
        <v>0.305</v>
      </c>
      <c r="S211" s="20" t="n">
        <v>6</v>
      </c>
      <c r="T211" s="20" t="n">
        <v>7</v>
      </c>
      <c r="U211" s="20" t="n">
        <v>5</v>
      </c>
      <c r="V211" s="20" t="n">
        <v>1</v>
      </c>
      <c r="W211" s="20" t="n">
        <v>0</v>
      </c>
      <c r="X211" s="20" t="n">
        <v>0</v>
      </c>
    </row>
    <row r="212">
      <c r="A212" s="18" t="inlineStr">
        <is>
          <t>보조금 수입</t>
        </is>
      </c>
      <c r="D212" s="20" t="n">
        <v>-209</v>
      </c>
      <c r="F212" s="20" t="n">
        <v>-2576</v>
      </c>
      <c r="H212" s="20" t="n">
        <v>-2592</v>
      </c>
      <c r="J212" s="20" t="n">
        <v>-87</v>
      </c>
      <c r="L212" s="20" t="n">
        <v>-42</v>
      </c>
      <c r="N212" s="20" t="n">
        <v>-1347</v>
      </c>
      <c r="S212" s="20" t="n">
        <v>0</v>
      </c>
      <c r="T212" s="20" t="n">
        <v>-481</v>
      </c>
      <c r="U212" s="20" t="n">
        <v>-515</v>
      </c>
      <c r="V212" s="20" t="n">
        <v>-209</v>
      </c>
      <c r="W212" s="20" t="n">
        <v>-2592</v>
      </c>
      <c r="X212" s="20" t="n">
        <v>-42</v>
      </c>
    </row>
    <row r="213">
      <c r="A213" s="18" t="inlineStr">
        <is>
          <t>보상금 수취</t>
        </is>
      </c>
      <c r="S213" s="20" t="n">
        <v>0</v>
      </c>
      <c r="T213" s="20" t="n">
        <v>-186</v>
      </c>
      <c r="U213" s="20" t="n">
        <v>0</v>
      </c>
    </row>
    <row r="214">
      <c r="A214" s="18" t="inlineStr">
        <is>
          <t>외환차손익</t>
        </is>
      </c>
      <c r="O214" s="20" t="n">
        <v>189.229</v>
      </c>
      <c r="P214" s="20" t="n">
        <v>120.094</v>
      </c>
      <c r="Q214" s="20" t="n">
        <v>-97.148</v>
      </c>
      <c r="R214" s="20" t="n">
        <v>-7.174</v>
      </c>
      <c r="S214" s="20" t="n">
        <v>-0</v>
      </c>
      <c r="T214" s="20" t="n">
        <v>-1</v>
      </c>
    </row>
    <row r="215">
      <c r="A215" s="18" t="inlineStr">
        <is>
          <t>고정자산 압축손실</t>
        </is>
      </c>
      <c r="D215" s="20" t="n">
        <v>202</v>
      </c>
      <c r="F215" s="20" t="n">
        <v>2360</v>
      </c>
      <c r="H215" s="20" t="n">
        <v>2360</v>
      </c>
      <c r="J215" s="20" t="n">
        <v>42</v>
      </c>
      <c r="L215" s="20" t="n">
        <v>42</v>
      </c>
      <c r="N215" s="20" t="n">
        <v>1323</v>
      </c>
      <c r="S215" s="20" t="n">
        <v>0</v>
      </c>
      <c r="T215" s="20" t="n">
        <v>463</v>
      </c>
      <c r="U215" s="20" t="n">
        <v>481</v>
      </c>
      <c r="V215" s="20" t="n">
        <v>202</v>
      </c>
      <c r="W215" s="20" t="n">
        <v>2360</v>
      </c>
      <c r="X215" s="20" t="n">
        <v>42</v>
      </c>
    </row>
    <row r="216">
      <c r="A216" s="18" t="inlineStr">
        <is>
          <t>매출채권 증감</t>
        </is>
      </c>
      <c r="D216" s="20" t="n">
        <v>-3106</v>
      </c>
      <c r="F216" s="20" t="n">
        <v>333</v>
      </c>
      <c r="H216" s="20" t="n">
        <v>2248</v>
      </c>
      <c r="J216" s="20" t="n">
        <v>1599</v>
      </c>
      <c r="L216" s="20" t="n">
        <v>-1043</v>
      </c>
      <c r="N216" s="20" t="n">
        <v>-4920</v>
      </c>
      <c r="O216" s="20" t="n">
        <v>-804.838</v>
      </c>
      <c r="P216" s="20" t="n">
        <v>-1214.351</v>
      </c>
      <c r="Q216" s="20" t="n">
        <v>-333.772</v>
      </c>
      <c r="R216" s="20" t="n">
        <v>762.701</v>
      </c>
      <c r="S216" s="20" t="n">
        <v>-168</v>
      </c>
      <c r="T216" s="20" t="n">
        <v>-3883</v>
      </c>
      <c r="U216" s="20" t="n">
        <v>2388</v>
      </c>
      <c r="V216" s="20" t="n">
        <v>-3106</v>
      </c>
      <c r="W216" s="20" t="n">
        <v>2248</v>
      </c>
      <c r="X216" s="20" t="n">
        <v>-1043</v>
      </c>
    </row>
    <row r="217">
      <c r="A217" s="18" t="inlineStr">
        <is>
          <t>재고자산 증감</t>
        </is>
      </c>
      <c r="D217" s="20" t="n">
        <v>-784</v>
      </c>
      <c r="F217" s="20" t="n">
        <v>-334</v>
      </c>
      <c r="H217" s="20" t="n">
        <v>-2001</v>
      </c>
      <c r="J217" s="20" t="n">
        <v>-733</v>
      </c>
      <c r="L217" s="20" t="n">
        <v>-4257</v>
      </c>
      <c r="N217" s="20" t="n">
        <v>-5993</v>
      </c>
      <c r="O217" s="20" t="n">
        <v>-58.932</v>
      </c>
      <c r="P217" s="20" t="n">
        <v>-609.592</v>
      </c>
      <c r="Q217" s="20" t="n">
        <v>-1455.567</v>
      </c>
      <c r="R217" s="20" t="n">
        <v>2084.047</v>
      </c>
      <c r="S217" s="20" t="n">
        <v>872</v>
      </c>
      <c r="T217" s="20" t="n">
        <v>-1527</v>
      </c>
      <c r="U217" s="20" t="n">
        <v>-917</v>
      </c>
      <c r="V217" s="20" t="n">
        <v>-784</v>
      </c>
      <c r="W217" s="20" t="n">
        <v>-2001</v>
      </c>
      <c r="X217" s="20" t="n">
        <v>-4257</v>
      </c>
    </row>
    <row r="218">
      <c r="A218" s="18" t="inlineStr">
        <is>
          <t>매입채무 증감</t>
        </is>
      </c>
      <c r="D218" s="20" t="n">
        <v>441</v>
      </c>
      <c r="F218" s="20" t="n">
        <v>-1150</v>
      </c>
      <c r="H218" s="20" t="n">
        <v>-944</v>
      </c>
      <c r="J218" s="20" t="n">
        <v>164</v>
      </c>
      <c r="L218" s="20" t="n">
        <v>1261</v>
      </c>
      <c r="N218" s="20" t="n">
        <v>-239</v>
      </c>
      <c r="O218" s="20" t="n">
        <v>145.566</v>
      </c>
      <c r="P218" s="20" t="n">
        <v>267.349</v>
      </c>
      <c r="Q218" s="20" t="n">
        <v>706.4589999999999</v>
      </c>
      <c r="R218" s="20" t="n">
        <v>-1016.862</v>
      </c>
      <c r="S218" s="20" t="n">
        <v>664</v>
      </c>
      <c r="T218" s="20" t="n">
        <v>1519</v>
      </c>
      <c r="U218" s="20" t="n">
        <v>-1324</v>
      </c>
      <c r="V218" s="20" t="n">
        <v>441</v>
      </c>
      <c r="W218" s="20" t="n">
        <v>-944</v>
      </c>
      <c r="X218" s="20" t="n">
        <v>1261</v>
      </c>
    </row>
    <row r="219">
      <c r="A219" s="18" t="inlineStr">
        <is>
          <t>기타</t>
        </is>
      </c>
      <c r="D219" s="20" t="n">
        <v>840</v>
      </c>
      <c r="F219" s="20" t="n">
        <v>1020</v>
      </c>
      <c r="H219" s="20" t="n">
        <v>409</v>
      </c>
      <c r="J219" s="20" t="n">
        <v>-338</v>
      </c>
      <c r="L219" s="20" t="n">
        <v>-1355</v>
      </c>
      <c r="N219" s="20" t="n">
        <v>1319</v>
      </c>
      <c r="O219" s="20" t="n">
        <v>-62.636</v>
      </c>
      <c r="P219" s="20" t="n">
        <v>220.713</v>
      </c>
      <c r="Q219" s="20" t="n">
        <v>-128.574</v>
      </c>
      <c r="R219" s="20" t="n">
        <v>716.742</v>
      </c>
      <c r="S219" s="20" t="n">
        <v>-1307</v>
      </c>
      <c r="T219" s="20" t="n">
        <v>277</v>
      </c>
      <c r="U219" s="20" t="n">
        <v>-1007</v>
      </c>
      <c r="V219" s="20" t="n">
        <v>840</v>
      </c>
      <c r="W219" s="20" t="n">
        <v>409</v>
      </c>
      <c r="X219" s="20" t="n">
        <v>-1355</v>
      </c>
    </row>
    <row r="220">
      <c r="A220" s="18" t="inlineStr">
        <is>
          <t>소계</t>
        </is>
      </c>
      <c r="D220" s="20" t="n">
        <v>22551</v>
      </c>
      <c r="F220" s="20" t="n">
        <v>13892</v>
      </c>
      <c r="H220" s="20" t="n">
        <v>31023</v>
      </c>
      <c r="J220" s="20" t="n">
        <v>13899</v>
      </c>
      <c r="L220" s="20" t="n">
        <v>25542</v>
      </c>
      <c r="N220" s="20" t="n">
        <v>10332</v>
      </c>
      <c r="O220" s="20" t="n">
        <v>6330.509</v>
      </c>
      <c r="P220" s="20" t="n">
        <v>9340.815000000001</v>
      </c>
      <c r="Q220" s="20" t="n">
        <v>10511.694</v>
      </c>
      <c r="R220" s="20" t="n">
        <v>14373.193</v>
      </c>
      <c r="S220" s="20" t="n">
        <v>12439</v>
      </c>
      <c r="T220" s="20" t="n">
        <v>18005</v>
      </c>
      <c r="U220" s="20" t="n">
        <v>23310</v>
      </c>
      <c r="V220" s="20" t="n">
        <v>22551</v>
      </c>
      <c r="W220" s="20" t="n">
        <v>31023</v>
      </c>
      <c r="X220" s="20" t="n">
        <v>25542</v>
      </c>
    </row>
    <row r="221">
      <c r="A221" s="18" t="inlineStr">
        <is>
          <t>이자·배당금 수취</t>
        </is>
      </c>
      <c r="D221" s="20" t="n">
        <v>213</v>
      </c>
      <c r="F221" s="20" t="n">
        <v>103</v>
      </c>
      <c r="H221" s="20" t="n">
        <v>340</v>
      </c>
      <c r="J221" s="20" t="n">
        <v>243</v>
      </c>
      <c r="L221" s="20" t="n">
        <v>627</v>
      </c>
      <c r="N221" s="20" t="n">
        <v>336</v>
      </c>
      <c r="O221" s="20" t="n">
        <v>44.079</v>
      </c>
      <c r="P221" s="20" t="n">
        <v>38.138</v>
      </c>
      <c r="Q221" s="20" t="n">
        <v>71.57599999999999</v>
      </c>
      <c r="R221" s="20" t="n">
        <v>71.69499999999999</v>
      </c>
      <c r="S221" s="20" t="n">
        <v>56</v>
      </c>
      <c r="T221" s="20" t="n">
        <v>63</v>
      </c>
      <c r="U221" s="20" t="n">
        <v>112</v>
      </c>
      <c r="V221" s="20" t="n">
        <v>213</v>
      </c>
      <c r="W221" s="20" t="n">
        <v>340</v>
      </c>
      <c r="X221" s="20" t="n">
        <v>627</v>
      </c>
    </row>
    <row r="222">
      <c r="A222" s="18" t="inlineStr">
        <is>
          <t>이자 지급</t>
        </is>
      </c>
      <c r="D222" s="20" t="n">
        <v>-1</v>
      </c>
      <c r="F222" s="20" t="n">
        <v>-0</v>
      </c>
      <c r="H222" s="20" t="n">
        <v>-0</v>
      </c>
      <c r="J222" s="20" t="n">
        <v>0</v>
      </c>
      <c r="L222" s="20" t="n">
        <v>-0</v>
      </c>
      <c r="O222" s="20" t="n">
        <v>-0.863</v>
      </c>
      <c r="P222" s="20" t="n">
        <v>-0.007</v>
      </c>
      <c r="Q222" s="20" t="n">
        <v>0</v>
      </c>
      <c r="R222" s="20" t="n">
        <v>-0.305</v>
      </c>
      <c r="S222" s="20" t="n">
        <v>-7</v>
      </c>
      <c r="T222" s="20" t="n">
        <v>-7</v>
      </c>
      <c r="U222" s="20" t="n">
        <v>-5</v>
      </c>
      <c r="V222" s="20" t="n">
        <v>-1</v>
      </c>
      <c r="W222" s="20" t="n">
        <v>-0</v>
      </c>
      <c r="X222" s="20" t="n">
        <v>-0</v>
      </c>
    </row>
    <row r="223">
      <c r="A223" s="18" t="inlineStr">
        <is>
          <t>법인세 납부</t>
        </is>
      </c>
      <c r="O223" s="20" t="n">
        <v>-1024.751</v>
      </c>
      <c r="P223" s="20" t="n">
        <v>-1834.517</v>
      </c>
      <c r="Q223" s="20" t="n">
        <v>-3615.982</v>
      </c>
      <c r="R223" s="20" t="n">
        <v>-3725.511</v>
      </c>
    </row>
    <row r="224">
      <c r="A224" s="18" t="inlineStr">
        <is>
          <t>법인세 납부·환급</t>
        </is>
      </c>
      <c r="D224" s="20" t="n">
        <v>-5555</v>
      </c>
      <c r="F224" s="20" t="n">
        <v>-2886</v>
      </c>
      <c r="H224" s="20" t="n">
        <v>-6011</v>
      </c>
      <c r="J224" s="20" t="n">
        <v>-5065</v>
      </c>
      <c r="L224" s="20" t="n">
        <v>-9235</v>
      </c>
      <c r="N224" s="20" t="n">
        <v>-3982</v>
      </c>
      <c r="R224" s="20" t="n">
        <v>-3725.511</v>
      </c>
      <c r="S224" s="20" t="n">
        <v>-1776</v>
      </c>
      <c r="T224" s="20" t="n">
        <v>-3489</v>
      </c>
      <c r="U224" s="20" t="n">
        <v>-7769</v>
      </c>
      <c r="V224" s="20" t="n">
        <v>-5555</v>
      </c>
      <c r="W224" s="20" t="n">
        <v>-6011</v>
      </c>
      <c r="X224" s="20" t="n">
        <v>-9235</v>
      </c>
    </row>
    <row r="225">
      <c r="A225" s="18" t="inlineStr">
        <is>
          <t>보상금 수취</t>
        </is>
      </c>
      <c r="D225" s="20" t="n">
        <v>14</v>
      </c>
      <c r="H225" s="20" t="n">
        <v>0</v>
      </c>
      <c r="S225" s="20" t="n">
        <v>0</v>
      </c>
      <c r="T225" s="20" t="n">
        <v>186</v>
      </c>
      <c r="U225" s="20" t="n">
        <v>0</v>
      </c>
      <c r="V225" s="20" t="n">
        <v>14</v>
      </c>
      <c r="W225" s="20" t="n">
        <v>0</v>
      </c>
    </row>
    <row r="226">
      <c r="A226" s="9" t="inlineStr">
        <is>
          <t>영업활동 현금흐름</t>
        </is>
      </c>
      <c r="D226" s="12" t="n">
        <v>17222</v>
      </c>
      <c r="F226" s="12" t="n">
        <v>11109</v>
      </c>
      <c r="H226" s="12" t="n">
        <v>25351</v>
      </c>
      <c r="J226" s="12" t="n">
        <v>9077</v>
      </c>
      <c r="L226" s="12" t="n">
        <v>16933</v>
      </c>
      <c r="N226" s="12" t="n">
        <v>6686</v>
      </c>
      <c r="O226" s="12" t="n">
        <v>5348.974</v>
      </c>
      <c r="P226" s="12" t="n">
        <v>7544.428</v>
      </c>
      <c r="Q226" s="12" t="n">
        <v>6967.287</v>
      </c>
      <c r="R226" s="12" t="n">
        <v>10719.072</v>
      </c>
      <c r="S226" s="12" t="n">
        <v>10713</v>
      </c>
      <c r="T226" s="12" t="n">
        <v>14757</v>
      </c>
      <c r="U226" s="12" t="n">
        <v>15647</v>
      </c>
      <c r="V226" s="12" t="n">
        <v>17222</v>
      </c>
      <c r="W226" s="12" t="n">
        <v>25351</v>
      </c>
      <c r="X226" s="12" t="n">
        <v>16933</v>
      </c>
    </row>
    <row r="227">
      <c r="A227" s="18" t="inlineStr">
        <is>
          <t>정기예금 순증감</t>
        </is>
      </c>
      <c r="D227" s="20" t="n">
        <v>-9</v>
      </c>
      <c r="H227" s="20" t="n">
        <v>0</v>
      </c>
      <c r="L227" s="20" t="n">
        <v>48</v>
      </c>
      <c r="O227" s="20" t="n">
        <v>635.35</v>
      </c>
      <c r="P227" s="20" t="n">
        <v>-5.216</v>
      </c>
      <c r="Q227" s="20" t="n">
        <v>13.794</v>
      </c>
      <c r="R227" s="20" t="n">
        <v>-40.71</v>
      </c>
      <c r="S227" s="20" t="n">
        <v>32</v>
      </c>
      <c r="T227" s="20" t="n">
        <v>-12</v>
      </c>
      <c r="U227" s="20" t="n">
        <v>31</v>
      </c>
      <c r="V227" s="20" t="n">
        <v>-9</v>
      </c>
      <c r="W227" s="20" t="n">
        <v>0</v>
      </c>
      <c r="X227" s="20" t="n">
        <v>48</v>
      </c>
    </row>
    <row r="228">
      <c r="A228" s="18" t="inlineStr">
        <is>
          <t>정기예금 인출</t>
        </is>
      </c>
      <c r="F228" s="20" t="n">
        <v>0</v>
      </c>
      <c r="J228" s="20" t="n">
        <v>23</v>
      </c>
      <c r="N228" s="20" t="n">
        <v>0</v>
      </c>
    </row>
    <row r="229">
      <c r="A229" s="18" t="inlineStr">
        <is>
          <t>유형자산 취득(설비투자)</t>
        </is>
      </c>
      <c r="D229" s="20" t="n">
        <v>-11167</v>
      </c>
      <c r="F229" s="20" t="n">
        <v>-3828</v>
      </c>
      <c r="H229" s="20" t="n">
        <v>-9912</v>
      </c>
      <c r="J229" s="20" t="n">
        <v>-8471</v>
      </c>
      <c r="L229" s="20" t="n">
        <v>-22474</v>
      </c>
      <c r="N229" s="20" t="n">
        <v>-8984</v>
      </c>
      <c r="O229" s="20" t="n">
        <v>-1969.003</v>
      </c>
      <c r="P229" s="20" t="n">
        <v>-2671.422</v>
      </c>
      <c r="Q229" s="20" t="n">
        <v>-4320.988</v>
      </c>
      <c r="R229" s="20" t="n">
        <v>-5408.367</v>
      </c>
      <c r="S229" s="20" t="n">
        <v>-5536</v>
      </c>
      <c r="T229" s="20" t="n">
        <v>-3738</v>
      </c>
      <c r="U229" s="20" t="n">
        <v>-8697</v>
      </c>
      <c r="V229" s="20" t="n">
        <v>-11167</v>
      </c>
      <c r="W229" s="20" t="n">
        <v>-9912</v>
      </c>
      <c r="X229" s="20" t="n">
        <v>-22474</v>
      </c>
    </row>
    <row r="230">
      <c r="A230" s="18" t="inlineStr">
        <is>
          <t>유형자산 제각 지출</t>
        </is>
      </c>
      <c r="D230" s="20" t="n">
        <v>-83</v>
      </c>
      <c r="F230" s="20" t="n">
        <v>-72</v>
      </c>
      <c r="H230" s="20" t="n">
        <v>-74</v>
      </c>
      <c r="J230" s="20" t="n">
        <v>0</v>
      </c>
      <c r="L230" s="20" t="n">
        <v>0</v>
      </c>
      <c r="U230" s="20" t="n">
        <v>0</v>
      </c>
      <c r="V230" s="20" t="n">
        <v>-83</v>
      </c>
      <c r="W230" s="20" t="n">
        <v>-74</v>
      </c>
      <c r="X230" s="20" t="n">
        <v>0</v>
      </c>
    </row>
    <row r="231">
      <c r="A231" s="18" t="inlineStr">
        <is>
          <t>유형자산 매각</t>
        </is>
      </c>
      <c r="D231" s="20" t="n">
        <v>8</v>
      </c>
      <c r="F231" s="20" t="n">
        <v>0</v>
      </c>
      <c r="H231" s="20" t="n">
        <v>0</v>
      </c>
      <c r="J231" s="20" t="n">
        <v>9</v>
      </c>
      <c r="N231" s="20" t="n">
        <v>18</v>
      </c>
      <c r="O231" s="20" t="n">
        <v>12.4</v>
      </c>
      <c r="P231" s="20" t="n">
        <v>13.753</v>
      </c>
      <c r="Q231" s="20" t="n">
        <v>18.459</v>
      </c>
      <c r="R231" s="20" t="n">
        <v>156.643</v>
      </c>
      <c r="S231" s="20" t="n">
        <v>4</v>
      </c>
      <c r="T231" s="20" t="n">
        <v>6</v>
      </c>
      <c r="U231" s="20" t="n">
        <v>0</v>
      </c>
      <c r="V231" s="20" t="n">
        <v>8</v>
      </c>
      <c r="W231" s="20" t="n">
        <v>0</v>
      </c>
    </row>
    <row r="232">
      <c r="A232" s="18" t="inlineStr">
        <is>
          <t>무형자산 취득</t>
        </is>
      </c>
      <c r="D232" s="20" t="n">
        <v>-74</v>
      </c>
      <c r="F232" s="20" t="n">
        <v>-93</v>
      </c>
      <c r="H232" s="20" t="n">
        <v>-185</v>
      </c>
      <c r="J232" s="20" t="n">
        <v>-29</v>
      </c>
      <c r="L232" s="20" t="n">
        <v>-50</v>
      </c>
      <c r="N232" s="20" t="n">
        <v>-82</v>
      </c>
      <c r="O232" s="20" t="n">
        <v>-39.469</v>
      </c>
      <c r="P232" s="20" t="n">
        <v>-31.443</v>
      </c>
      <c r="Q232" s="20" t="n">
        <v>-58.791</v>
      </c>
      <c r="R232" s="20" t="n">
        <v>-32.104</v>
      </c>
      <c r="S232" s="20" t="n">
        <v>-40</v>
      </c>
      <c r="T232" s="20" t="n">
        <v>-70</v>
      </c>
      <c r="U232" s="20" t="n">
        <v>-27</v>
      </c>
      <c r="V232" s="20" t="n">
        <v>-74</v>
      </c>
      <c r="W232" s="20" t="n">
        <v>-185</v>
      </c>
      <c r="X232" s="20" t="n">
        <v>-50</v>
      </c>
    </row>
    <row r="233">
      <c r="A233" s="18" t="inlineStr">
        <is>
          <t>무형자산 매각 수입</t>
        </is>
      </c>
      <c r="O233" s="20" t="n">
        <v>120</v>
      </c>
      <c r="P233" s="20" t="n">
        <v>0</v>
      </c>
    </row>
    <row r="234">
      <c r="A234" s="18" t="inlineStr">
        <is>
          <t>자회사 주식 취득</t>
        </is>
      </c>
      <c r="O234" s="20" t="n">
        <v>-2.536</v>
      </c>
      <c r="P234" s="20" t="n">
        <v>-24.759</v>
      </c>
      <c r="Q234" s="20" t="n">
        <v>0</v>
      </c>
    </row>
    <row r="235">
      <c r="A235" s="18" t="inlineStr">
        <is>
          <t>사업양수 지출</t>
        </is>
      </c>
      <c r="O235" s="20" t="n">
        <v>0</v>
      </c>
      <c r="P235" s="20" t="n">
        <v>-130.272</v>
      </c>
      <c r="Q235" s="20" t="n">
        <v>-1603.834</v>
      </c>
      <c r="R235" s="20" t="n">
        <v>0</v>
      </c>
    </row>
    <row r="236">
      <c r="A236" s="18" t="inlineStr">
        <is>
          <t>투자유가증권 취득</t>
        </is>
      </c>
      <c r="D236" s="20" t="n">
        <v>-123</v>
      </c>
      <c r="F236" s="20" t="n">
        <v>-133</v>
      </c>
      <c r="H236" s="20" t="n">
        <v>-219</v>
      </c>
      <c r="J236" s="20" t="n">
        <v>-40</v>
      </c>
      <c r="L236" s="20" t="n">
        <v>-42</v>
      </c>
      <c r="N236" s="20" t="n">
        <v>-1</v>
      </c>
      <c r="O236" s="20" t="n">
        <v>-3.79</v>
      </c>
      <c r="P236" s="20" t="n">
        <v>-4.175</v>
      </c>
      <c r="Q236" s="20" t="n">
        <v>-10.152</v>
      </c>
      <c r="R236" s="20" t="n">
        <v>-4.043</v>
      </c>
      <c r="S236" s="20" t="n">
        <v>-3</v>
      </c>
      <c r="T236" s="20" t="n">
        <v>-235</v>
      </c>
      <c r="U236" s="20" t="n">
        <v>-286</v>
      </c>
      <c r="V236" s="20" t="n">
        <v>-123</v>
      </c>
      <c r="W236" s="20" t="n">
        <v>-219</v>
      </c>
      <c r="X236" s="20" t="n">
        <v>-42</v>
      </c>
    </row>
    <row r="237">
      <c r="A237" s="18" t="inlineStr">
        <is>
          <t>투자유가증권 매각</t>
        </is>
      </c>
      <c r="D237" s="20" t="n">
        <v>320</v>
      </c>
      <c r="F237" s="20" t="n">
        <v>0</v>
      </c>
      <c r="H237" s="20" t="n">
        <v>0</v>
      </c>
      <c r="J237" s="20" t="n">
        <v>189</v>
      </c>
      <c r="L237" s="20" t="n">
        <v>580</v>
      </c>
      <c r="N237" s="20" t="n">
        <v>0</v>
      </c>
      <c r="O237" s="20" t="n">
        <v>1.21</v>
      </c>
      <c r="P237" s="20" t="n">
        <v>0</v>
      </c>
      <c r="Q237" s="20" t="n">
        <v>9.473000000000001</v>
      </c>
      <c r="R237" s="20" t="n">
        <v>32.504</v>
      </c>
      <c r="S237" s="20" t="n">
        <v>109</v>
      </c>
      <c r="T237" s="20" t="n">
        <v>232</v>
      </c>
      <c r="U237" s="20" t="n">
        <v>0</v>
      </c>
      <c r="V237" s="20" t="n">
        <v>320</v>
      </c>
      <c r="W237" s="20" t="n">
        <v>0</v>
      </c>
      <c r="X237" s="20" t="n">
        <v>580</v>
      </c>
    </row>
    <row r="238">
      <c r="A238" s="18" t="inlineStr">
        <is>
          <t>자회사 청산 수입</t>
        </is>
      </c>
      <c r="R238" s="20" t="n">
        <v>0</v>
      </c>
      <c r="S238" s="20" t="n">
        <v>34</v>
      </c>
      <c r="T238" s="20" t="n">
        <v>0</v>
      </c>
    </row>
    <row r="239">
      <c r="A239" s="18" t="inlineStr">
        <is>
          <t>보조금 수취</t>
        </is>
      </c>
      <c r="D239" s="20" t="n">
        <v>309</v>
      </c>
      <c r="F239" s="20" t="n">
        <v>2676</v>
      </c>
      <c r="H239" s="20" t="n">
        <v>2692</v>
      </c>
      <c r="J239" s="20" t="n">
        <v>187</v>
      </c>
      <c r="L239" s="20" t="n">
        <v>142</v>
      </c>
      <c r="N239" s="20" t="n">
        <v>2497</v>
      </c>
      <c r="S239" s="20" t="n">
        <v>0</v>
      </c>
      <c r="T239" s="20" t="n">
        <v>285</v>
      </c>
      <c r="U239" s="20" t="n">
        <v>211</v>
      </c>
      <c r="V239" s="20" t="n">
        <v>309</v>
      </c>
      <c r="W239" s="20" t="n">
        <v>2692</v>
      </c>
      <c r="X239" s="20" t="n">
        <v>142</v>
      </c>
    </row>
    <row r="240">
      <c r="A240" s="18" t="inlineStr">
        <is>
          <t>기타</t>
        </is>
      </c>
      <c r="D240" s="20" t="n">
        <v>5</v>
      </c>
      <c r="F240" s="20" t="n">
        <v>5</v>
      </c>
      <c r="H240" s="20" t="n">
        <v>16</v>
      </c>
      <c r="J240" s="20" t="n">
        <v>30</v>
      </c>
      <c r="L240" s="20" t="n">
        <v>38</v>
      </c>
      <c r="N240" s="20" t="n">
        <v>-80</v>
      </c>
      <c r="O240" s="20" t="n">
        <v>-1.858</v>
      </c>
      <c r="P240" s="20" t="n">
        <v>1.969</v>
      </c>
      <c r="Q240" s="20" t="n">
        <v>260.967</v>
      </c>
      <c r="R240" s="20" t="n">
        <v>23.591</v>
      </c>
      <c r="S240" s="20" t="n">
        <v>22</v>
      </c>
      <c r="T240" s="20" t="n">
        <v>9</v>
      </c>
      <c r="U240" s="20" t="n">
        <v>12</v>
      </c>
      <c r="V240" s="20" t="n">
        <v>5</v>
      </c>
      <c r="W240" s="20" t="n">
        <v>16</v>
      </c>
      <c r="X240" s="20" t="n">
        <v>38</v>
      </c>
    </row>
    <row r="241">
      <c r="A241" s="9" t="inlineStr">
        <is>
          <t>투자활동 현금흐름</t>
        </is>
      </c>
      <c r="D241" s="12" t="n">
        <v>-10814</v>
      </c>
      <c r="F241" s="12" t="n">
        <v>-1446</v>
      </c>
      <c r="H241" s="12" t="n">
        <v>-7682</v>
      </c>
      <c r="J241" s="12" t="n">
        <v>-8100</v>
      </c>
      <c r="L241" s="12" t="n">
        <v>-21757</v>
      </c>
      <c r="N241" s="12" t="n">
        <v>-6632</v>
      </c>
      <c r="O241" s="12" t="n">
        <v>-1247.697</v>
      </c>
      <c r="P241" s="12" t="n">
        <v>-2851.565</v>
      </c>
      <c r="Q241" s="12" t="n">
        <v>-5691.072</v>
      </c>
      <c r="R241" s="12" t="n">
        <v>-5272.485</v>
      </c>
      <c r="S241" s="12" t="n">
        <v>-5376</v>
      </c>
      <c r="T241" s="12" t="n">
        <v>-3522</v>
      </c>
      <c r="U241" s="12" t="n">
        <v>-8755</v>
      </c>
      <c r="V241" s="12" t="n">
        <v>-10814</v>
      </c>
      <c r="W241" s="12" t="n">
        <v>-7682</v>
      </c>
      <c r="X241" s="12" t="n">
        <v>-21757</v>
      </c>
    </row>
    <row r="242">
      <c r="A242" s="18" t="inlineStr">
        <is>
          <t>단기차입</t>
        </is>
      </c>
      <c r="Q242" s="20" t="n">
        <v>0</v>
      </c>
      <c r="R242" s="20" t="n">
        <v>900</v>
      </c>
      <c r="S242" s="20" t="n">
        <v>100</v>
      </c>
      <c r="T242" s="20" t="n">
        <v>0</v>
      </c>
    </row>
    <row r="243">
      <c r="A243" s="18" t="inlineStr">
        <is>
          <t>단기차입금 상환</t>
        </is>
      </c>
      <c r="D243" s="20" t="n">
        <v>0</v>
      </c>
      <c r="R243" s="20" t="n">
        <v>0</v>
      </c>
      <c r="S243" s="20" t="n">
        <v>-900</v>
      </c>
      <c r="T243" s="20" t="n">
        <v>0</v>
      </c>
      <c r="U243" s="20" t="n">
        <v>-100</v>
      </c>
      <c r="V243" s="20" t="n">
        <v>0</v>
      </c>
    </row>
    <row r="244">
      <c r="A244" s="18" t="inlineStr">
        <is>
          <t>장기차입</t>
        </is>
      </c>
      <c r="Q244" s="20" t="n">
        <v>0</v>
      </c>
      <c r="R244" s="20" t="n">
        <v>1200</v>
      </c>
      <c r="S244" s="20" t="n">
        <v>800</v>
      </c>
      <c r="T244" s="20" t="n">
        <v>0</v>
      </c>
    </row>
    <row r="245">
      <c r="A245" s="18" t="inlineStr">
        <is>
          <t>장기차입금 상환</t>
        </is>
      </c>
      <c r="D245" s="20" t="n">
        <v>-333</v>
      </c>
      <c r="F245" s="20" t="n">
        <v>0</v>
      </c>
      <c r="H245" s="20" t="n">
        <v>-400</v>
      </c>
      <c r="L245" s="20" t="n">
        <v>0</v>
      </c>
      <c r="O245" s="20" t="n">
        <v>-230.593</v>
      </c>
      <c r="P245" s="20" t="n">
        <v>-22.8</v>
      </c>
      <c r="Q245" s="20" t="n">
        <v>0</v>
      </c>
      <c r="R245" s="20" t="n">
        <v>0</v>
      </c>
      <c r="S245" s="20" t="n">
        <v>-133</v>
      </c>
      <c r="T245" s="20" t="n">
        <v>-266</v>
      </c>
      <c r="U245" s="20" t="n">
        <v>-866</v>
      </c>
      <c r="V245" s="20" t="n">
        <v>-333</v>
      </c>
      <c r="W245" s="20" t="n">
        <v>-400</v>
      </c>
      <c r="X245" s="20" t="n">
        <v>0</v>
      </c>
    </row>
    <row r="246">
      <c r="A246" s="18" t="inlineStr">
        <is>
          <t>자기주식 취득</t>
        </is>
      </c>
      <c r="D246" s="20" t="n">
        <v>-5</v>
      </c>
      <c r="F246" s="20" t="n">
        <v>-0</v>
      </c>
      <c r="H246" s="20" t="n">
        <v>-1</v>
      </c>
      <c r="J246" s="20" t="n">
        <v>-4</v>
      </c>
      <c r="L246" s="20" t="n">
        <v>-6</v>
      </c>
      <c r="N246" s="20" t="n">
        <v>-2</v>
      </c>
      <c r="O246" s="20" t="n">
        <v>-0.326</v>
      </c>
      <c r="P246" s="20" t="n">
        <v>-126.068</v>
      </c>
      <c r="Q246" s="20" t="n">
        <v>-125.731</v>
      </c>
      <c r="R246" s="20" t="n">
        <v>-62.577</v>
      </c>
      <c r="S246" s="20" t="n">
        <v>-2</v>
      </c>
      <c r="T246" s="20" t="n">
        <v>-2</v>
      </c>
      <c r="U246" s="20" t="n">
        <v>-2</v>
      </c>
      <c r="V246" s="20" t="n">
        <v>-5</v>
      </c>
      <c r="W246" s="20" t="n">
        <v>-1</v>
      </c>
      <c r="X246" s="20" t="n">
        <v>-6</v>
      </c>
    </row>
    <row r="247">
      <c r="A247" s="18" t="inlineStr">
        <is>
          <t>자기주식 매각</t>
        </is>
      </c>
      <c r="F247" s="20" t="n">
        <v>0</v>
      </c>
      <c r="O247" s="20" t="n">
        <v>5.725</v>
      </c>
      <c r="P247" s="20" t="n">
        <v>0</v>
      </c>
    </row>
    <row r="248">
      <c r="A248" s="18" t="inlineStr">
        <is>
          <t>배당금 지급</t>
        </is>
      </c>
      <c r="D248" s="20" t="n">
        <v>-1024</v>
      </c>
      <c r="F248" s="20" t="n">
        <v>-530</v>
      </c>
      <c r="H248" s="20" t="n">
        <v>-1110</v>
      </c>
      <c r="J248" s="20" t="n">
        <v>-579</v>
      </c>
      <c r="L248" s="20" t="n">
        <v>-1209</v>
      </c>
      <c r="N248" s="20" t="n">
        <v>-629</v>
      </c>
      <c r="O248" s="20" t="n">
        <v>-481.696</v>
      </c>
      <c r="P248" s="20" t="n">
        <v>-519.215</v>
      </c>
      <c r="Q248" s="20" t="n">
        <v>-568.6609999999999</v>
      </c>
      <c r="R248" s="20" t="n">
        <v>-616.862</v>
      </c>
      <c r="S248" s="20" t="n">
        <v>-665</v>
      </c>
      <c r="T248" s="20" t="n">
        <v>-863</v>
      </c>
      <c r="U248" s="20" t="n">
        <v>-912</v>
      </c>
      <c r="V248" s="20" t="n">
        <v>-1024</v>
      </c>
      <c r="W248" s="20" t="n">
        <v>-1110</v>
      </c>
      <c r="X248" s="20" t="n">
        <v>-1209</v>
      </c>
    </row>
    <row r="249">
      <c r="A249" s="9" t="inlineStr">
        <is>
          <t>재무활동 현금흐름</t>
        </is>
      </c>
      <c r="D249" s="12" t="n">
        <v>-1363</v>
      </c>
      <c r="F249" s="12" t="n">
        <v>-531</v>
      </c>
      <c r="H249" s="12" t="n">
        <v>-1512</v>
      </c>
      <c r="J249" s="12" t="n">
        <v>-584</v>
      </c>
      <c r="L249" s="12" t="n">
        <v>-1216</v>
      </c>
      <c r="N249" s="12" t="n">
        <v>-631</v>
      </c>
      <c r="O249" s="12" t="n">
        <v>-706.89</v>
      </c>
      <c r="P249" s="12" t="n">
        <v>-668.0839999999999</v>
      </c>
      <c r="Q249" s="12" t="n">
        <v>-694.3920000000001</v>
      </c>
      <c r="R249" s="12" t="n">
        <v>1420.559</v>
      </c>
      <c r="S249" s="12" t="n">
        <v>-801</v>
      </c>
      <c r="T249" s="12" t="n">
        <v>-1132</v>
      </c>
      <c r="U249" s="12" t="n">
        <v>-1882</v>
      </c>
      <c r="V249" s="12" t="n">
        <v>-1363</v>
      </c>
      <c r="W249" s="12" t="n">
        <v>-1512</v>
      </c>
      <c r="X249" s="12" t="n">
        <v>-1216</v>
      </c>
    </row>
    <row r="250">
      <c r="A250" s="18" t="inlineStr">
        <is>
          <t>현금성자산 환산차이</t>
        </is>
      </c>
      <c r="D250" s="20" t="n">
        <v>382</v>
      </c>
      <c r="F250" s="20" t="n">
        <v>511</v>
      </c>
      <c r="H250" s="20" t="n">
        <v>398</v>
      </c>
      <c r="J250" s="20" t="n">
        <v>320</v>
      </c>
      <c r="L250" s="20" t="n">
        <v>1458</v>
      </c>
      <c r="N250" s="20" t="n">
        <v>-239</v>
      </c>
      <c r="O250" s="20" t="n">
        <v>-100.948</v>
      </c>
      <c r="P250" s="20" t="n">
        <v>-59.338</v>
      </c>
      <c r="Q250" s="20" t="n">
        <v>67.098</v>
      </c>
      <c r="R250" s="20" t="n">
        <v>-200.924</v>
      </c>
      <c r="S250" s="20" t="n">
        <v>238</v>
      </c>
      <c r="T250" s="20" t="n">
        <v>394</v>
      </c>
      <c r="U250" s="20" t="n">
        <v>188</v>
      </c>
      <c r="V250" s="20" t="n">
        <v>382</v>
      </c>
      <c r="W250" s="20" t="n">
        <v>398</v>
      </c>
      <c r="X250" s="20" t="n">
        <v>1458</v>
      </c>
    </row>
    <row r="251">
      <c r="A251" s="18" t="inlineStr">
        <is>
          <t>현금성자산 증감</t>
        </is>
      </c>
      <c r="D251" s="20" t="n">
        <v>5427</v>
      </c>
      <c r="F251" s="20" t="n">
        <v>9643</v>
      </c>
      <c r="H251" s="20" t="n">
        <v>16554</v>
      </c>
      <c r="J251" s="20" t="n">
        <v>712</v>
      </c>
      <c r="L251" s="20" t="n">
        <v>-4581</v>
      </c>
      <c r="N251" s="20" t="n">
        <v>-817</v>
      </c>
      <c r="O251" s="20" t="n">
        <v>3293.437</v>
      </c>
      <c r="P251" s="20" t="n">
        <v>3965.439</v>
      </c>
      <c r="Q251" s="20" t="n">
        <v>648.921</v>
      </c>
      <c r="R251" s="20" t="n">
        <v>6666.221</v>
      </c>
      <c r="S251" s="20" t="n">
        <v>4773</v>
      </c>
      <c r="T251" s="20" t="n">
        <v>10497</v>
      </c>
      <c r="U251" s="20" t="n">
        <v>5199</v>
      </c>
      <c r="V251" s="20" t="n">
        <v>5427</v>
      </c>
      <c r="W251" s="20" t="n">
        <v>16554</v>
      </c>
      <c r="X251" s="20" t="n">
        <v>-4581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MARUWA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99535</v>
      </c>
      <c r="D5" s="12" t="n">
        <v>100691</v>
      </c>
      <c r="E5" s="12" t="n">
        <v>103175</v>
      </c>
      <c r="F5" s="12" t="n">
        <v>104248</v>
      </c>
      <c r="G5" s="12" t="n">
        <v>112297</v>
      </c>
      <c r="H5" s="11" t="n">
        <v>70149</v>
      </c>
      <c r="I5" s="12" t="n">
        <v>74634</v>
      </c>
      <c r="J5" s="12" t="n">
        <v>83485</v>
      </c>
      <c r="K5" s="12" t="n">
        <v>100290</v>
      </c>
      <c r="L5" s="12" t="n">
        <v>103175</v>
      </c>
    </row>
    <row r="6">
      <c r="A6" s="18" t="inlineStr">
        <is>
          <t>현금및현금성자산</t>
        </is>
      </c>
      <c r="B6" s="10" t="n"/>
      <c r="C6" s="19" t="n">
        <v>72499</v>
      </c>
      <c r="D6" s="20" t="n">
        <v>67840</v>
      </c>
      <c r="E6" s="20" t="n">
        <v>67185</v>
      </c>
      <c r="F6" s="20" t="n">
        <v>67719</v>
      </c>
      <c r="G6" s="20" t="n">
        <v>66366</v>
      </c>
      <c r="H6" s="19" t="n">
        <v>44621</v>
      </c>
      <c r="I6" s="20" t="n">
        <v>49795</v>
      </c>
      <c r="J6" s="20" t="n">
        <v>55250</v>
      </c>
      <c r="K6" s="20" t="n">
        <v>71793</v>
      </c>
      <c r="L6" s="20" t="n">
        <v>67185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11140</v>
      </c>
      <c r="D8" s="20" t="n">
        <v>13867</v>
      </c>
      <c r="E8" s="20" t="n">
        <v>13624</v>
      </c>
      <c r="F8" s="20" t="n">
        <v>12712</v>
      </c>
      <c r="G8" s="20" t="n">
        <v>18446</v>
      </c>
      <c r="H8" s="19" t="n">
        <v>12876</v>
      </c>
      <c r="I8" s="20" t="n">
        <v>10701</v>
      </c>
      <c r="J8" s="20" t="n">
        <v>13960</v>
      </c>
      <c r="K8" s="20" t="n">
        <v>12420</v>
      </c>
      <c r="L8" s="20" t="n">
        <v>13624</v>
      </c>
    </row>
    <row r="9">
      <c r="A9" s="18" t="inlineStr">
        <is>
          <t>재고자산</t>
        </is>
      </c>
      <c r="B9" s="10" t="n"/>
      <c r="C9" s="19" t="n">
        <v>12623</v>
      </c>
      <c r="D9" s="20" t="n">
        <v>14343</v>
      </c>
      <c r="E9" s="20" t="n">
        <v>16294</v>
      </c>
      <c r="F9" s="20" t="n">
        <v>19918</v>
      </c>
      <c r="G9" s="20" t="n">
        <v>22250</v>
      </c>
      <c r="H9" s="19" t="n">
        <v>7986</v>
      </c>
      <c r="I9" s="20" t="n">
        <v>8939</v>
      </c>
      <c r="J9" s="20" t="n">
        <v>9783</v>
      </c>
      <c r="K9" s="20" t="n">
        <v>11846</v>
      </c>
      <c r="L9" s="20" t="n">
        <v>16294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48380</v>
      </c>
      <c r="D11" s="12" t="n">
        <v>51979</v>
      </c>
      <c r="E11" s="12" t="n">
        <v>59515</v>
      </c>
      <c r="F11" s="12" t="n">
        <v>61213</v>
      </c>
      <c r="G11" s="12" t="n">
        <v>64964</v>
      </c>
      <c r="H11" s="11" t="n">
        <v>25750</v>
      </c>
      <c r="I11" s="12" t="n">
        <v>33397</v>
      </c>
      <c r="J11" s="12" t="n">
        <v>39029</v>
      </c>
      <c r="K11" s="12" t="n">
        <v>41995</v>
      </c>
      <c r="L11" s="12" t="n">
        <v>59515</v>
      </c>
    </row>
    <row r="12">
      <c r="A12" s="18" t="inlineStr">
        <is>
          <t>유형자산</t>
        </is>
      </c>
      <c r="B12" s="10" t="n"/>
      <c r="C12" s="19" t="n">
        <v>46002</v>
      </c>
      <c r="D12" s="20" t="n">
        <v>50154</v>
      </c>
      <c r="E12" s="20" t="n">
        <v>57277</v>
      </c>
      <c r="F12" s="20" t="n">
        <v>59132</v>
      </c>
      <c r="G12" s="20" t="n">
        <v>62435</v>
      </c>
      <c r="H12" s="19" t="n">
        <v>23524</v>
      </c>
      <c r="I12" s="20" t="n">
        <v>31046</v>
      </c>
      <c r="J12" s="20" t="n">
        <v>36733</v>
      </c>
      <c r="K12" s="20" t="n">
        <v>39356</v>
      </c>
      <c r="L12" s="20" t="n">
        <v>57277</v>
      </c>
    </row>
    <row r="13">
      <c r="A13" s="18" t="inlineStr">
        <is>
          <t>무형자산</t>
        </is>
      </c>
      <c r="B13" s="10" t="n"/>
      <c r="C13" s="19" t="n">
        <v>438</v>
      </c>
      <c r="D13" s="20" t="n">
        <v>441</v>
      </c>
      <c r="E13" s="20" t="n">
        <v>438</v>
      </c>
      <c r="F13" s="20" t="n">
        <v>491</v>
      </c>
      <c r="G13" s="20" t="n">
        <v>466</v>
      </c>
      <c r="H13" s="19" t="n">
        <v>298</v>
      </c>
      <c r="I13" s="20" t="n">
        <v>284</v>
      </c>
      <c r="J13" s="20" t="n">
        <v>318</v>
      </c>
      <c r="K13" s="20" t="n">
        <v>444</v>
      </c>
      <c r="L13" s="20" t="n">
        <v>438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>
        <v>907</v>
      </c>
      <c r="F14" s="20" t="n"/>
      <c r="G14" s="20" t="n"/>
      <c r="H14" s="19" t="n">
        <v>948</v>
      </c>
      <c r="I14" s="20" t="n">
        <v>933</v>
      </c>
      <c r="J14" s="20" t="n">
        <v>935</v>
      </c>
      <c r="K14" s="20" t="n">
        <v>920</v>
      </c>
      <c r="L14" s="20" t="n">
        <v>907</v>
      </c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147915</v>
      </c>
      <c r="D16" s="12" t="n">
        <v>152670</v>
      </c>
      <c r="E16" s="12" t="n">
        <v>162691</v>
      </c>
      <c r="F16" s="12" t="n">
        <v>165461</v>
      </c>
      <c r="G16" s="12" t="n">
        <v>177262</v>
      </c>
      <c r="H16" s="11" t="n">
        <v>95899</v>
      </c>
      <c r="I16" s="12" t="n">
        <v>108031</v>
      </c>
      <c r="J16" s="12" t="n">
        <v>122515</v>
      </c>
      <c r="K16" s="12" t="n">
        <v>142285</v>
      </c>
      <c r="L16" s="12" t="n">
        <v>162691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12039</v>
      </c>
      <c r="D18" s="12" t="n">
        <v>11306</v>
      </c>
      <c r="E18" s="12" t="n">
        <v>14856</v>
      </c>
      <c r="F18" s="12" t="n">
        <v>13575</v>
      </c>
      <c r="G18" s="12" t="n">
        <v>18237</v>
      </c>
      <c r="H18" s="11" t="n">
        <v>14953</v>
      </c>
      <c r="I18" s="12" t="n">
        <v>12910</v>
      </c>
      <c r="J18" s="12" t="n">
        <v>12821</v>
      </c>
      <c r="K18" s="12" t="n">
        <v>13933</v>
      </c>
      <c r="L18" s="12" t="n">
        <v>14856</v>
      </c>
    </row>
    <row r="19">
      <c r="A19" s="18" t="inlineStr">
        <is>
          <t>매입채무</t>
        </is>
      </c>
      <c r="B19" s="10" t="n"/>
      <c r="C19" s="19" t="n">
        <v>3139</v>
      </c>
      <c r="D19" s="20" t="n">
        <v>4206</v>
      </c>
      <c r="E19" s="20" t="n">
        <v>4254</v>
      </c>
      <c r="F19" s="20" t="n">
        <v>4435</v>
      </c>
      <c r="G19" s="20" t="n">
        <v>4116</v>
      </c>
      <c r="H19" s="19" t="n">
        <v>3444</v>
      </c>
      <c r="I19" s="20" t="n">
        <v>2975</v>
      </c>
      <c r="J19" s="20" t="n">
        <v>2957</v>
      </c>
      <c r="K19" s="20" t="n">
        <v>2965</v>
      </c>
      <c r="L19" s="20" t="n">
        <v>4254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>
        <v>100</v>
      </c>
      <c r="I20" s="20" t="n">
        <v>0</v>
      </c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866</v>
      </c>
      <c r="I21" s="20" t="n">
        <v>333</v>
      </c>
      <c r="J21" s="20" t="n">
        <v>400</v>
      </c>
      <c r="K21" s="20" t="n">
        <v>0</v>
      </c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515</v>
      </c>
      <c r="D23" s="12" t="n">
        <v>528</v>
      </c>
      <c r="E23" s="12" t="n">
        <v>571</v>
      </c>
      <c r="F23" s="12" t="n">
        <v>508</v>
      </c>
      <c r="G23" s="12" t="n">
        <v>502</v>
      </c>
      <c r="H23" s="11" t="n">
        <v>1264</v>
      </c>
      <c r="I23" s="12" t="n">
        <v>905</v>
      </c>
      <c r="J23" s="12" t="n">
        <v>489</v>
      </c>
      <c r="K23" s="12" t="n">
        <v>498</v>
      </c>
      <c r="L23" s="12" t="n">
        <v>571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>
        <v>733</v>
      </c>
      <c r="I24" s="20" t="n">
        <v>400</v>
      </c>
      <c r="J24" s="20" t="n">
        <v>0</v>
      </c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12555</v>
      </c>
      <c r="D27" s="12" t="n">
        <v>11835</v>
      </c>
      <c r="E27" s="12" t="n">
        <v>15428</v>
      </c>
      <c r="F27" s="12" t="n">
        <v>14083</v>
      </c>
      <c r="G27" s="12" t="n">
        <v>18739</v>
      </c>
      <c r="H27" s="11" t="n">
        <v>16218</v>
      </c>
      <c r="I27" s="12" t="n">
        <v>13816</v>
      </c>
      <c r="J27" s="12" t="n">
        <v>13311</v>
      </c>
      <c r="K27" s="12" t="n">
        <v>14431</v>
      </c>
      <c r="L27" s="12" t="n">
        <v>15428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135360</v>
      </c>
      <c r="D31" s="12" t="n">
        <v>140835</v>
      </c>
      <c r="E31" s="12" t="n">
        <v>147262</v>
      </c>
      <c r="F31" s="12" t="n">
        <v>151377</v>
      </c>
      <c r="G31" s="12" t="n">
        <v>158522</v>
      </c>
      <c r="H31" s="11" t="n">
        <v>79681</v>
      </c>
      <c r="I31" s="12" t="n">
        <v>94215</v>
      </c>
      <c r="J31" s="12" t="n">
        <v>109203</v>
      </c>
      <c r="K31" s="12" t="n">
        <v>127854</v>
      </c>
      <c r="L31" s="12" t="n">
        <v>147262</v>
      </c>
    </row>
    <row r="32">
      <c r="A32" s="18" t="inlineStr">
        <is>
          <t>자본금</t>
        </is>
      </c>
      <c r="B32" s="10" t="n"/>
      <c r="C32" s="19" t="n">
        <v>8646</v>
      </c>
      <c r="D32" s="20" t="n">
        <v>8646</v>
      </c>
      <c r="E32" s="20" t="n">
        <v>8646</v>
      </c>
      <c r="F32" s="20" t="n">
        <v>8646</v>
      </c>
      <c r="G32" s="20" t="n">
        <v>8646</v>
      </c>
      <c r="H32" s="19" t="n">
        <v>8646</v>
      </c>
      <c r="I32" s="20" t="n">
        <v>8646</v>
      </c>
      <c r="J32" s="20" t="n">
        <v>8646</v>
      </c>
      <c r="K32" s="20" t="n">
        <v>8646</v>
      </c>
      <c r="L32" s="20" t="n">
        <v>8646</v>
      </c>
    </row>
    <row r="33">
      <c r="A33" s="18" t="inlineStr">
        <is>
          <t>이익잉여금</t>
        </is>
      </c>
      <c r="B33" s="10" t="n"/>
      <c r="C33" s="19" t="n">
        <v>112538</v>
      </c>
      <c r="D33" s="20" t="n">
        <v>116828</v>
      </c>
      <c r="E33" s="20" t="n">
        <v>122660</v>
      </c>
      <c r="F33" s="20" t="n">
        <v>126497</v>
      </c>
      <c r="G33" s="20" t="n">
        <v>134149</v>
      </c>
      <c r="H33" s="19" t="n">
        <v>59274</v>
      </c>
      <c r="I33" s="20" t="n">
        <v>73381</v>
      </c>
      <c r="J33" s="20" t="n">
        <v>87573</v>
      </c>
      <c r="K33" s="20" t="n">
        <v>105705</v>
      </c>
      <c r="L33" s="20" t="n">
        <v>122660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135360</v>
      </c>
      <c r="D35" s="12" t="n">
        <v>140835</v>
      </c>
      <c r="E35" s="12" t="n">
        <v>147262</v>
      </c>
      <c r="F35" s="12" t="n">
        <v>151377</v>
      </c>
      <c r="G35" s="12" t="n">
        <v>158522</v>
      </c>
      <c r="H35" s="11" t="n">
        <v>79681</v>
      </c>
      <c r="I35" s="12" t="n">
        <v>94215</v>
      </c>
      <c r="J35" s="12" t="n">
        <v>109203</v>
      </c>
      <c r="K35" s="12" t="n">
        <v>127854</v>
      </c>
      <c r="L35" s="12" t="n">
        <v>147262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23319</v>
      </c>
      <c r="D37" s="12" t="n"/>
      <c r="E37" s="12" t="n">
        <v>16933</v>
      </c>
      <c r="F37" s="12" t="n"/>
      <c r="G37" s="12" t="n">
        <v>14542</v>
      </c>
      <c r="H37" s="11" t="n">
        <v>14757</v>
      </c>
      <c r="I37" s="12" t="n">
        <v>15647</v>
      </c>
      <c r="J37" s="12" t="n">
        <v>17222</v>
      </c>
      <c r="K37" s="12" t="n">
        <v>25351</v>
      </c>
      <c r="L37" s="12" t="n">
        <v>16933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14676</v>
      </c>
      <c r="D38" s="20" t="n"/>
      <c r="E38" s="20" t="n">
        <v>22524</v>
      </c>
      <c r="F38" s="20" t="n"/>
      <c r="G38" s="20" t="n">
        <v>23090</v>
      </c>
      <c r="H38" s="19" t="n">
        <v>3808</v>
      </c>
      <c r="I38" s="20" t="n">
        <v>8724</v>
      </c>
      <c r="J38" s="20" t="n">
        <v>11241</v>
      </c>
      <c r="K38" s="20" t="n">
        <v>10097</v>
      </c>
      <c r="L38" s="20" t="n">
        <v>22524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1159</v>
      </c>
      <c r="D40" s="20" t="n"/>
      <c r="E40" s="20" t="n">
        <v>1209</v>
      </c>
      <c r="F40" s="20" t="n"/>
      <c r="G40" s="20" t="n">
        <v>1259</v>
      </c>
      <c r="H40" s="19" t="n">
        <v>863</v>
      </c>
      <c r="I40" s="20" t="n">
        <v>912</v>
      </c>
      <c r="J40" s="20" t="n">
        <v>1024</v>
      </c>
      <c r="K40" s="20" t="n">
        <v>1110</v>
      </c>
      <c r="L40" s="20" t="n">
        <v>1209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IFERROR(IF((IF(COUNT('연간'!G62:J62)&lt;4,"",SUM('연간'!G62:J62)))&lt;=0,"적자",C28/(IF(COUNT('연간'!G62:J62)&lt;4,"",SUM('연간'!G62:J62)))),"")</f>
        <v/>
      </c>
      <c r="D49" s="47">
        <f>IFERROR(IF((IF(COUNT('연간'!H62:K62)&lt;4,"",SUM('연간'!H62:K62)))&lt;=0,"적자",D28/(IF(COUNT('연간'!H62:K62)&lt;4,"",SUM('연간'!H62:K62)))),"")</f>
        <v/>
      </c>
      <c r="E49" s="47">
        <f>IFERROR(IF((IF(COUNT('연간'!I62:L62)&lt;4,"",SUM('연간'!I62:L62)))&lt;=0,"적자",E28/(IF(COUNT('연간'!I62:L62)&lt;4,"",SUM('연간'!I62:L62)))),"")</f>
        <v/>
      </c>
      <c r="F49" s="47">
        <f>IFERROR(IF((IF(COUNT('연간'!J62:M62)&lt;4,"",SUM('연간'!J62:M62)))&lt;=0,"적자",F28/(IF(COUNT('연간'!J62:M62)&lt;4,"",SUM('연간'!J62:M62)))),"")</f>
        <v/>
      </c>
      <c r="G49" s="47">
        <f>IFERROR(IF((IF(COUNT('연간'!K62:N62)&lt;4,"",SUM('연간'!K62:N62)))&lt;=0,"적자",G28/(IF(COUNT('연간'!K62:N62)&lt;4,"",SUM('연간'!K62:N62)))),"")</f>
        <v/>
      </c>
      <c r="H49" s="46">
        <f>IFERROR(IF(('연간'!T62)&lt;=0,"적자",H28/('연간'!T62)),"")</f>
        <v/>
      </c>
      <c r="I49" s="47">
        <f>IFERROR(IF(('연간'!U62)&lt;=0,"적자",I28/('연간'!U62)),"")</f>
        <v/>
      </c>
      <c r="J49" s="47">
        <f>IFERROR(IF(('연간'!V62)&lt;=0,"적자",J28/('연간'!V62)),"")</f>
        <v/>
      </c>
      <c r="K49" s="47">
        <f>IFERROR(IF(('연간'!W62)&lt;=0,"적자",K28/('연간'!W62)),"")</f>
        <v/>
      </c>
      <c r="L49" s="47">
        <f>IFERROR(IF(('연간'!X62)&lt;=0,"적자",L28/('연간'!X62)),"")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IFERROR((IF(COUNT('연간'!G62:J62)&lt;4,"",SUM('연간'!G62:J62)))/C31,"")</f>
        <v/>
      </c>
      <c r="D51" s="36">
        <f>IFERROR((IF(COUNT('연간'!H62:K62)&lt;4,"",SUM('연간'!H62:K62)))/D31,"")</f>
        <v/>
      </c>
      <c r="E51" s="36">
        <f>IFERROR((IF(COUNT('연간'!I62:L62)&lt;4,"",SUM('연간'!I62:L62)))/E31,"")</f>
        <v/>
      </c>
      <c r="F51" s="36">
        <f>IFERROR((IF(COUNT('연간'!J62:M62)&lt;4,"",SUM('연간'!J62:M62)))/F31,"")</f>
        <v/>
      </c>
      <c r="G51" s="36">
        <f>IFERROR((IF(COUNT('연간'!K62:N62)&lt;4,"",SUM('연간'!K62:N62)))/G31,"")</f>
        <v/>
      </c>
      <c r="H51" s="35">
        <f>IFERROR(('연간'!T62)/H31,"")</f>
        <v/>
      </c>
      <c r="I51" s="36">
        <f>IFERROR(('연간'!U62)/I31,"")</f>
        <v/>
      </c>
      <c r="J51" s="36">
        <f>IFERROR(('연간'!V62)/J31,"")</f>
        <v/>
      </c>
      <c r="K51" s="36">
        <f>IFERROR(('연간'!W62)/K31,"")</f>
        <v/>
      </c>
      <c r="L51" s="36">
        <f>IFERROR(('연간'!X62)/L31,"")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IFERROR((IF(COUNT('연간'!G61:J61)&lt;4,"",SUM('연간'!G61:J61)))/C16,"")</f>
        <v/>
      </c>
      <c r="D52" s="36">
        <f>IFERROR((IF(COUNT('연간'!H61:K61)&lt;4,"",SUM('연간'!H61:K61)))/D16,"")</f>
        <v/>
      </c>
      <c r="E52" s="36">
        <f>IFERROR((IF(COUNT('연간'!I61:L61)&lt;4,"",SUM('연간'!I61:L61)))/E16,"")</f>
        <v/>
      </c>
      <c r="F52" s="36">
        <f>IFERROR((IF(COUNT('연간'!J61:M61)&lt;4,"",SUM('연간'!J61:M61)))/F16,"")</f>
        <v/>
      </c>
      <c r="G52" s="36">
        <f>IFERROR((IF(COUNT('연간'!K61:N61)&lt;4,"",SUM('연간'!K61:N61)))/G16,"")</f>
        <v/>
      </c>
      <c r="H52" s="35">
        <f>IFERROR(('연간'!T61)/H16,"")</f>
        <v/>
      </c>
      <c r="I52" s="36">
        <f>IFERROR(('연간'!U61)/I16,"")</f>
        <v/>
      </c>
      <c r="J52" s="36">
        <f>IFERROR(('연간'!V61)/J16,"")</f>
        <v/>
      </c>
      <c r="K52" s="36">
        <f>IFERROR(('연간'!W61)/K16,"")</f>
        <v/>
      </c>
      <c r="L52" s="36">
        <f>IFERROR(('연간'!X61)/L16,"")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IFERROR((IF(COUNT('연간'!G30:J30)&lt;4,"",SUM('연간'!G30:J30)))/(IF(COUNT('연간'!G4:J4)&lt;4,"",SUM('연간'!G4:J4))),"")</f>
        <v/>
      </c>
      <c r="D54" s="36">
        <f>IFERROR((IF(COUNT('연간'!H30:K30)&lt;4,"",SUM('연간'!H30:K30)))/(IF(COUNT('연간'!H4:K4)&lt;4,"",SUM('연간'!H4:K4))),"")</f>
        <v/>
      </c>
      <c r="E54" s="36">
        <f>IFERROR((IF(COUNT('연간'!I30:L30)&lt;4,"",SUM('연간'!I30:L30)))/(IF(COUNT('연간'!I4:L4)&lt;4,"",SUM('연간'!I4:L4))),"")</f>
        <v/>
      </c>
      <c r="F54" s="36">
        <f>IFERROR((IF(COUNT('연간'!J30:M30)&lt;4,"",SUM('연간'!J30:M30)))/(IF(COUNT('연간'!J4:M4)&lt;4,"",SUM('연간'!J4:M4))),"")</f>
        <v/>
      </c>
      <c r="G54" s="36">
        <f>IFERROR((IF(COUNT('연간'!K30:N30)&lt;4,"",SUM('연간'!K30:N30)))/(IF(COUNT('연간'!K4:N4)&lt;4,"",SUM('연간'!K4:N4))),"")</f>
        <v/>
      </c>
      <c r="H54" s="35">
        <f>IFERROR(('연간'!T30)/('연간'!T4),"")</f>
        <v/>
      </c>
      <c r="I54" s="36">
        <f>IFERROR(('연간'!U30)/('연간'!U4),"")</f>
        <v/>
      </c>
      <c r="J54" s="36">
        <f>IFERROR(('연간'!V30)/('연간'!V4),"")</f>
        <v/>
      </c>
      <c r="K54" s="36">
        <f>IFERROR(('연간'!W30)/('연간'!W4),"")</f>
        <v/>
      </c>
      <c r="L54" s="36">
        <f>IFERROR(('연간'!X30)/('연간'!X4),"")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IFERROR((IF(COUNT('연간'!G61:J61)&lt;4,"",SUM('연간'!G61:J61)))/(IF(COUNT('연간'!G4:J4)&lt;4,"",SUM('연간'!G4:J4))),"")</f>
        <v/>
      </c>
      <c r="D56" s="36">
        <f>IFERROR((IF(COUNT('연간'!H61:K61)&lt;4,"",SUM('연간'!H61:K61)))/(IF(COUNT('연간'!H4:K4)&lt;4,"",SUM('연간'!H4:K4))),"")</f>
        <v/>
      </c>
      <c r="E56" s="36">
        <f>IFERROR((IF(COUNT('연간'!I61:L61)&lt;4,"",SUM('연간'!I61:L61)))/(IF(COUNT('연간'!I4:L4)&lt;4,"",SUM('연간'!I4:L4))),"")</f>
        <v/>
      </c>
      <c r="F56" s="36">
        <f>IFERROR((IF(COUNT('연간'!J61:M61)&lt;4,"",SUM('연간'!J61:M61)))/(IF(COUNT('연간'!J4:M4)&lt;4,"",SUM('연간'!J4:M4))),"")</f>
        <v/>
      </c>
      <c r="G56" s="36">
        <f>IFERROR((IF(COUNT('연간'!K61:N61)&lt;4,"",SUM('연간'!K61:N61)))/(IF(COUNT('연간'!K4:N4)&lt;4,"",SUM('연간'!K4:N4))),"")</f>
        <v/>
      </c>
      <c r="H56" s="35">
        <f>IFERROR(('연간'!T61)/('연간'!T4),"")</f>
        <v/>
      </c>
      <c r="I56" s="36">
        <f>IFERROR(('연간'!U61)/('연간'!U4),"")</f>
        <v/>
      </c>
      <c r="J56" s="36">
        <f>IFERROR(('연간'!V61)/('연간'!V4),"")</f>
        <v/>
      </c>
      <c r="K56" s="36">
        <f>IFERROR(('연간'!W61)/('연간'!W4),"")</f>
        <v/>
      </c>
      <c r="L56" s="36">
        <f>IFERROR(('연간'!X61)/('연간'!X4),"")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IF(C37="","",IFERROR(C37/(IF(COUNT('연간'!G61:J61)&lt;4,"",SUM('연간'!G61:J61))),""))</f>
        <v/>
      </c>
      <c r="D64" s="31">
        <f>IF(D37="","",IFERROR(D37/(IF(COUNT('연간'!H61:K61)&lt;4,"",SUM('연간'!H61:K61))),""))</f>
        <v/>
      </c>
      <c r="E64" s="31">
        <f>IF(E37="","",IFERROR(E37/(IF(COUNT('연간'!I61:L61)&lt;4,"",SUM('연간'!I61:L61))),""))</f>
        <v/>
      </c>
      <c r="F64" s="31">
        <f>IF(F37="","",IFERROR(F37/(IF(COUNT('연간'!J61:M61)&lt;4,"",SUM('연간'!J61:M61))),""))</f>
        <v/>
      </c>
      <c r="G64" s="31">
        <f>IF(G37="","",IFERROR(G37/(IF(COUNT('연간'!K61:N61)&lt;4,"",SUM('연간'!K61:N61))),""))</f>
        <v/>
      </c>
      <c r="H64" s="30">
        <f>IF(H37="","",IFERROR(H37/('연간'!T61),""))</f>
        <v/>
      </c>
      <c r="I64" s="31">
        <f>IF(I37="","",IFERROR(I37/('연간'!U61),""))</f>
        <v/>
      </c>
      <c r="J64" s="31">
        <f>IF(J37="","",IFERROR(J37/('연간'!V61),""))</f>
        <v/>
      </c>
      <c r="K64" s="31">
        <f>IF(K37="","",IFERROR(K37/('연간'!W61),""))</f>
        <v/>
      </c>
      <c r="L64" s="31">
        <f>IF(L37="","",IFERROR(L37/('연간'!X61),""))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IF(C40="","",IFERROR(C40/(IF(COUNT('연간'!G62:J62)&lt;4,"",SUM('연간'!G62:J62))),""))</f>
        <v/>
      </c>
      <c r="D67" s="36">
        <f>IF(D40="","",IFERROR(D40/(IF(COUNT('연간'!H62:K62)&lt;4,"",SUM('연간'!H62:K62))),""))</f>
        <v/>
      </c>
      <c r="E67" s="36">
        <f>IF(E40="","",IFERROR(E40/(IF(COUNT('연간'!I62:L62)&lt;4,"",SUM('연간'!I62:L62))),""))</f>
        <v/>
      </c>
      <c r="F67" s="36">
        <f>IF(F40="","",IFERROR(F40/(IF(COUNT('연간'!J62:M62)&lt;4,"",SUM('연간'!J62:M62))),""))</f>
        <v/>
      </c>
      <c r="G67" s="36">
        <f>IF(G40="","",IFERROR(G40/(IF(COUNT('연간'!K62:N62)&lt;4,"",SUM('연간'!K62:N62))),""))</f>
        <v/>
      </c>
      <c r="H67" s="35">
        <f>IF(H40="","",IFERROR(H40/('연간'!T62),""))</f>
        <v/>
      </c>
      <c r="I67" s="36">
        <f>IF(I40="","",IFERROR(I40/('연간'!U62),""))</f>
        <v/>
      </c>
      <c r="J67" s="36">
        <f>IF(J40="","",IFERROR(J40/('연간'!V62),""))</f>
        <v/>
      </c>
      <c r="K67" s="36">
        <f>IF(K40="","",IFERROR(K40/('연간'!W62),""))</f>
        <v/>
      </c>
      <c r="L67" s="36">
        <f>IF(L40="","",IFERROR(L40/('연간'!X62),""))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72499</v>
      </c>
      <c r="D71" s="20" t="n">
        <v>67840</v>
      </c>
      <c r="E71" s="20" t="n">
        <v>67185</v>
      </c>
      <c r="F71" s="20" t="n">
        <v>67719</v>
      </c>
      <c r="G71" s="20" t="n">
        <v>66366</v>
      </c>
      <c r="H71" s="20" t="n">
        <v>44621</v>
      </c>
      <c r="I71" s="20" t="n">
        <v>49795</v>
      </c>
      <c r="J71" s="20" t="n">
        <v>55250</v>
      </c>
      <c r="K71" s="20" t="n">
        <v>71793</v>
      </c>
      <c r="L71" s="20" t="n">
        <v>67185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C73" s="20" t="n">
        <v>59</v>
      </c>
      <c r="D73" s="20" t="n">
        <v>70</v>
      </c>
      <c r="E73" s="20" t="n">
        <v>47</v>
      </c>
      <c r="F73" s="20" t="n">
        <v>4</v>
      </c>
      <c r="G73" s="20" t="n">
        <v>0</v>
      </c>
      <c r="H73" s="20" t="n">
        <v>473</v>
      </c>
      <c r="I73" s="20" t="n">
        <v>343</v>
      </c>
      <c r="J73" s="20" t="n">
        <v>360</v>
      </c>
      <c r="K73" s="20" t="n">
        <v>139</v>
      </c>
      <c r="L73" s="20" t="n">
        <v>47</v>
      </c>
    </row>
    <row r="74">
      <c r="A74" s="18" t="inlineStr">
        <is>
          <t>매출채권</t>
        </is>
      </c>
      <c r="C74" s="20" t="n">
        <v>11140</v>
      </c>
      <c r="D74" s="20" t="n">
        <v>13867</v>
      </c>
      <c r="E74" s="20" t="n">
        <v>13624</v>
      </c>
      <c r="F74" s="20" t="n">
        <v>12712</v>
      </c>
      <c r="G74" s="20" t="n">
        <v>18446</v>
      </c>
      <c r="H74" s="20" t="n">
        <v>12876</v>
      </c>
      <c r="I74" s="20" t="n">
        <v>10701</v>
      </c>
      <c r="J74" s="20" t="n">
        <v>13960</v>
      </c>
      <c r="K74" s="20" t="n">
        <v>12420</v>
      </c>
      <c r="L74" s="20" t="n">
        <v>13624</v>
      </c>
    </row>
    <row r="75">
      <c r="A75" s="18" t="inlineStr">
        <is>
          <t>전자기록채권</t>
        </is>
      </c>
      <c r="C75" s="20" t="n">
        <v>1163</v>
      </c>
      <c r="D75" s="20" t="n">
        <v>1467</v>
      </c>
      <c r="E75" s="20" t="n">
        <v>1505</v>
      </c>
      <c r="F75" s="20" t="n">
        <v>1781</v>
      </c>
      <c r="G75" s="20" t="n">
        <v>1600</v>
      </c>
      <c r="H75" s="20" t="n">
        <v>1810</v>
      </c>
      <c r="I75" s="20" t="n">
        <v>1820</v>
      </c>
      <c r="J75" s="20" t="n">
        <v>1746</v>
      </c>
      <c r="K75" s="20" t="n">
        <v>1319</v>
      </c>
      <c r="L75" s="20" t="n">
        <v>1505</v>
      </c>
    </row>
    <row r="76">
      <c r="A76" s="18" t="inlineStr">
        <is>
          <t>상품·제품</t>
        </is>
      </c>
      <c r="C76" s="20" t="n">
        <v>2509</v>
      </c>
      <c r="D76" s="20" t="n">
        <v>2532</v>
      </c>
      <c r="E76" s="20" t="n">
        <v>2309</v>
      </c>
      <c r="F76" s="20" t="n">
        <v>3338</v>
      </c>
      <c r="G76" s="20" t="n">
        <v>3461</v>
      </c>
      <c r="H76" s="20" t="n">
        <v>1632</v>
      </c>
      <c r="I76" s="20" t="n">
        <v>2267</v>
      </c>
      <c r="J76" s="20" t="n">
        <v>2248</v>
      </c>
      <c r="K76" s="20" t="n">
        <v>2645</v>
      </c>
      <c r="L76" s="20" t="n">
        <v>2309</v>
      </c>
    </row>
    <row r="77">
      <c r="A77" s="18" t="inlineStr">
        <is>
          <t>재공품</t>
        </is>
      </c>
      <c r="C77" s="20" t="n">
        <v>4331</v>
      </c>
      <c r="D77" s="20" t="n">
        <v>4876</v>
      </c>
      <c r="E77" s="20" t="n">
        <v>5354</v>
      </c>
      <c r="F77" s="20" t="n">
        <v>6792</v>
      </c>
      <c r="G77" s="20" t="n">
        <v>7713</v>
      </c>
      <c r="H77" s="20" t="n">
        <v>2648</v>
      </c>
      <c r="I77" s="20" t="n">
        <v>2905</v>
      </c>
      <c r="J77" s="20" t="n">
        <v>2960</v>
      </c>
      <c r="K77" s="20" t="n">
        <v>3803</v>
      </c>
      <c r="L77" s="20" t="n">
        <v>5354</v>
      </c>
    </row>
    <row r="78">
      <c r="A78" s="18" t="inlineStr">
        <is>
          <t>원재료·저장품</t>
        </is>
      </c>
      <c r="C78" s="20" t="n">
        <v>5783</v>
      </c>
      <c r="D78" s="20" t="n">
        <v>6935</v>
      </c>
      <c r="E78" s="20" t="n">
        <v>8631</v>
      </c>
      <c r="F78" s="20" t="n">
        <v>9788</v>
      </c>
      <c r="G78" s="20" t="n">
        <v>11076</v>
      </c>
      <c r="H78" s="20" t="n">
        <v>3706</v>
      </c>
      <c r="I78" s="20" t="n">
        <v>3767</v>
      </c>
      <c r="J78" s="20" t="n">
        <v>4575</v>
      </c>
      <c r="K78" s="20" t="n">
        <v>5398</v>
      </c>
      <c r="L78" s="20" t="n">
        <v>8631</v>
      </c>
    </row>
    <row r="79">
      <c r="A79" s="18" t="inlineStr">
        <is>
          <t>기타</t>
        </is>
      </c>
      <c r="C79" s="20" t="n">
        <v>2055</v>
      </c>
      <c r="D79" s="20" t="n">
        <v>3109</v>
      </c>
      <c r="E79" s="20" t="n">
        <v>4525</v>
      </c>
      <c r="F79" s="20" t="n">
        <v>2118</v>
      </c>
      <c r="G79" s="20" t="n">
        <v>3641</v>
      </c>
      <c r="H79" s="20" t="n">
        <v>2389</v>
      </c>
      <c r="I79" s="20" t="n">
        <v>3043</v>
      </c>
      <c r="J79" s="20" t="n">
        <v>2516</v>
      </c>
      <c r="K79" s="20" t="n">
        <v>2832</v>
      </c>
      <c r="L79" s="20" t="n">
        <v>4525</v>
      </c>
    </row>
    <row r="80">
      <c r="A80" s="18" t="inlineStr">
        <is>
          <t>대손충당금</t>
        </is>
      </c>
      <c r="C80" s="20" t="n">
        <v>-7</v>
      </c>
      <c r="D80" s="20" t="n">
        <v>-8</v>
      </c>
      <c r="E80" s="20" t="n">
        <v>-8</v>
      </c>
      <c r="F80" s="20" t="n">
        <v>-8</v>
      </c>
      <c r="G80" s="20" t="n">
        <v>-9</v>
      </c>
      <c r="H80" s="20" t="n">
        <v>-9</v>
      </c>
      <c r="I80" s="20" t="n">
        <v>-9</v>
      </c>
      <c r="J80" s="20" t="n">
        <v>-133</v>
      </c>
      <c r="K80" s="20" t="n">
        <v>-62</v>
      </c>
      <c r="L80" s="20" t="n">
        <v>-8</v>
      </c>
    </row>
    <row r="81">
      <c r="A81" s="9" t="inlineStr">
        <is>
          <t>유동자산 합계</t>
        </is>
      </c>
      <c r="C81" s="12" t="n">
        <v>99535</v>
      </c>
      <c r="D81" s="12" t="n">
        <v>100691</v>
      </c>
      <c r="E81" s="12" t="n">
        <v>103175</v>
      </c>
      <c r="F81" s="12" t="n">
        <v>104248</v>
      </c>
      <c r="G81" s="12" t="n">
        <v>112297</v>
      </c>
      <c r="H81" s="12" t="n">
        <v>70149</v>
      </c>
      <c r="I81" s="12" t="n">
        <v>74634</v>
      </c>
      <c r="J81" s="12" t="n">
        <v>83485</v>
      </c>
      <c r="K81" s="12" t="n">
        <v>100290</v>
      </c>
      <c r="L81" s="12" t="n">
        <v>103175</v>
      </c>
    </row>
    <row r="82">
      <c r="A82" s="18" t="inlineStr">
        <is>
          <t>건물·구축물</t>
        </is>
      </c>
      <c r="H82" s="20" t="n">
        <v>17717</v>
      </c>
    </row>
    <row r="83">
      <c r="A83" s="18" t="inlineStr">
        <is>
          <t>감가상각누계액</t>
        </is>
      </c>
      <c r="H83" s="20" t="n">
        <v>-7615</v>
      </c>
    </row>
    <row r="84">
      <c r="A84" s="18" t="inlineStr">
        <is>
          <t>건물·구축물(순액)</t>
        </is>
      </c>
      <c r="C84" s="20" t="n">
        <v>16125</v>
      </c>
      <c r="D84" s="20" t="n">
        <v>16401</v>
      </c>
      <c r="E84" s="20" t="n">
        <v>19634</v>
      </c>
      <c r="F84" s="20" t="n">
        <v>18833</v>
      </c>
      <c r="G84" s="20" t="n">
        <v>19055</v>
      </c>
      <c r="H84" s="20" t="n">
        <v>10101</v>
      </c>
      <c r="I84" s="20" t="n">
        <v>14075</v>
      </c>
      <c r="J84" s="20" t="n">
        <v>15947</v>
      </c>
      <c r="K84" s="20" t="n">
        <v>14996</v>
      </c>
      <c r="L84" s="20" t="n">
        <v>19634</v>
      </c>
    </row>
    <row r="85">
      <c r="A85" s="18" t="inlineStr">
        <is>
          <t>기계장치·운반구</t>
        </is>
      </c>
      <c r="H85" s="20" t="n">
        <v>24771</v>
      </c>
    </row>
    <row r="86">
      <c r="A86" s="18" t="inlineStr">
        <is>
          <t>감가상각누계액</t>
        </is>
      </c>
      <c r="H86" s="20" t="n">
        <v>-19292</v>
      </c>
    </row>
    <row r="87">
      <c r="A87" s="18" t="inlineStr">
        <is>
          <t>기계장치·운반구(순액)</t>
        </is>
      </c>
      <c r="C87" s="20" t="n">
        <v>13456</v>
      </c>
      <c r="D87" s="20" t="n">
        <v>14297</v>
      </c>
      <c r="E87" s="20" t="n">
        <v>14722</v>
      </c>
      <c r="F87" s="20" t="n">
        <v>15379</v>
      </c>
      <c r="G87" s="20" t="n">
        <v>15912</v>
      </c>
      <c r="H87" s="20" t="n">
        <v>5478</v>
      </c>
      <c r="I87" s="20" t="n">
        <v>7446</v>
      </c>
      <c r="J87" s="20" t="n">
        <v>12040</v>
      </c>
      <c r="K87" s="20" t="n">
        <v>13039</v>
      </c>
      <c r="L87" s="20" t="n">
        <v>14722</v>
      </c>
    </row>
    <row r="88">
      <c r="A88" s="18" t="inlineStr">
        <is>
          <t>토지</t>
        </is>
      </c>
      <c r="C88" s="20" t="n">
        <v>5053</v>
      </c>
      <c r="D88" s="20" t="n">
        <v>5064</v>
      </c>
      <c r="E88" s="20" t="n">
        <v>5750</v>
      </c>
      <c r="F88" s="20" t="n">
        <v>6164</v>
      </c>
      <c r="G88" s="20" t="n">
        <v>6165</v>
      </c>
      <c r="H88" s="20" t="n">
        <v>4699</v>
      </c>
      <c r="I88" s="20" t="n">
        <v>4872</v>
      </c>
      <c r="J88" s="20" t="n">
        <v>5005</v>
      </c>
      <c r="K88" s="20" t="n">
        <v>5047</v>
      </c>
      <c r="L88" s="20" t="n">
        <v>5750</v>
      </c>
    </row>
    <row r="89">
      <c r="A89" s="18" t="inlineStr">
        <is>
          <t>건설중인자산</t>
        </is>
      </c>
      <c r="C89" s="20" t="n">
        <v>10514</v>
      </c>
      <c r="D89" s="20" t="n">
        <v>13538</v>
      </c>
      <c r="E89" s="20" t="n">
        <v>16351</v>
      </c>
      <c r="F89" s="20" t="n">
        <v>17825</v>
      </c>
      <c r="G89" s="20" t="n">
        <v>20207</v>
      </c>
      <c r="H89" s="20" t="n">
        <v>2653</v>
      </c>
      <c r="I89" s="20" t="n">
        <v>3920</v>
      </c>
      <c r="J89" s="20" t="n">
        <v>2952</v>
      </c>
      <c r="K89" s="20" t="n">
        <v>5474</v>
      </c>
      <c r="L89" s="20" t="n">
        <v>16351</v>
      </c>
    </row>
    <row r="90">
      <c r="A90" s="18" t="inlineStr">
        <is>
          <t>기타</t>
        </is>
      </c>
      <c r="H90" s="20" t="n">
        <v>4256</v>
      </c>
    </row>
    <row r="91">
      <c r="A91" s="18" t="inlineStr">
        <is>
          <t>감가상각누계액</t>
        </is>
      </c>
      <c r="H91" s="20" t="n">
        <v>-3666</v>
      </c>
    </row>
    <row r="92">
      <c r="A92" s="18" t="inlineStr">
        <is>
          <t>기타(순액)</t>
        </is>
      </c>
      <c r="C92" s="20" t="n">
        <v>852</v>
      </c>
      <c r="D92" s="20" t="n">
        <v>852</v>
      </c>
      <c r="E92" s="20" t="n">
        <v>819</v>
      </c>
      <c r="F92" s="20" t="n">
        <v>930</v>
      </c>
      <c r="G92" s="20" t="n">
        <v>1093</v>
      </c>
      <c r="H92" s="20" t="n">
        <v>590</v>
      </c>
      <c r="I92" s="20" t="n">
        <v>731</v>
      </c>
      <c r="J92" s="20" t="n">
        <v>786</v>
      </c>
      <c r="K92" s="20" t="n">
        <v>798</v>
      </c>
      <c r="L92" s="20" t="n">
        <v>819</v>
      </c>
    </row>
    <row r="93">
      <c r="A93" s="18" t="inlineStr">
        <is>
          <t>유형자산 합계</t>
        </is>
      </c>
      <c r="C93" s="20" t="n">
        <v>46002</v>
      </c>
      <c r="D93" s="20" t="n">
        <v>50154</v>
      </c>
      <c r="E93" s="20" t="n">
        <v>57277</v>
      </c>
      <c r="F93" s="20" t="n">
        <v>59132</v>
      </c>
      <c r="G93" s="20" t="n">
        <v>62435</v>
      </c>
      <c r="H93" s="20" t="n">
        <v>23524</v>
      </c>
      <c r="I93" s="20" t="n">
        <v>31046</v>
      </c>
      <c r="J93" s="20" t="n">
        <v>36733</v>
      </c>
      <c r="K93" s="20" t="n">
        <v>39356</v>
      </c>
      <c r="L93" s="20" t="n">
        <v>57277</v>
      </c>
    </row>
    <row r="94">
      <c r="A94" s="18" t="inlineStr">
        <is>
          <t>기타</t>
        </is>
      </c>
      <c r="C94" s="20" t="n">
        <v>438</v>
      </c>
      <c r="D94" s="20" t="n">
        <v>441</v>
      </c>
      <c r="E94" s="20" t="n">
        <v>438</v>
      </c>
      <c r="F94" s="20" t="n">
        <v>491</v>
      </c>
      <c r="G94" s="20" t="n">
        <v>466</v>
      </c>
      <c r="H94" s="20" t="n">
        <v>298</v>
      </c>
      <c r="I94" s="20" t="n">
        <v>284</v>
      </c>
      <c r="J94" s="20" t="n">
        <v>318</v>
      </c>
      <c r="K94" s="20" t="n">
        <v>444</v>
      </c>
      <c r="L94" s="20" t="n">
        <v>438</v>
      </c>
    </row>
    <row r="95">
      <c r="A95" s="18" t="inlineStr">
        <is>
          <t>무형자산 합계</t>
        </is>
      </c>
      <c r="C95" s="20" t="n">
        <v>438</v>
      </c>
      <c r="D95" s="20" t="n">
        <v>441</v>
      </c>
      <c r="E95" s="20" t="n">
        <v>438</v>
      </c>
      <c r="F95" s="20" t="n">
        <v>491</v>
      </c>
      <c r="G95" s="20" t="n">
        <v>466</v>
      </c>
      <c r="H95" s="20" t="n">
        <v>298</v>
      </c>
      <c r="I95" s="20" t="n">
        <v>284</v>
      </c>
      <c r="J95" s="20" t="n">
        <v>318</v>
      </c>
      <c r="K95" s="20" t="n">
        <v>444</v>
      </c>
      <c r="L95" s="20" t="n">
        <v>438</v>
      </c>
    </row>
    <row r="96">
      <c r="A96" s="18" t="inlineStr">
        <is>
          <t>투자유가증권</t>
        </is>
      </c>
      <c r="E96" s="20" t="n">
        <v>110</v>
      </c>
      <c r="H96" s="20" t="n">
        <v>230</v>
      </c>
      <c r="I96" s="20" t="n">
        <v>534</v>
      </c>
      <c r="J96" s="20" t="n">
        <v>433</v>
      </c>
      <c r="K96" s="20" t="n">
        <v>482</v>
      </c>
      <c r="L96" s="20" t="n">
        <v>110</v>
      </c>
    </row>
    <row r="97">
      <c r="A97" s="18" t="inlineStr">
        <is>
          <t>이연법인세자산</t>
        </is>
      </c>
      <c r="E97" s="20" t="n">
        <v>621</v>
      </c>
      <c r="H97" s="20" t="n">
        <v>637</v>
      </c>
      <c r="I97" s="20" t="n">
        <v>484</v>
      </c>
      <c r="J97" s="20" t="n">
        <v>487</v>
      </c>
      <c r="K97" s="20" t="n">
        <v>639</v>
      </c>
      <c r="L97" s="20" t="n">
        <v>621</v>
      </c>
    </row>
    <row r="98">
      <c r="A98" s="18" t="inlineStr">
        <is>
          <t>투자부동산(순액)</t>
        </is>
      </c>
      <c r="E98" s="20" t="n">
        <v>907</v>
      </c>
      <c r="H98" s="20" t="n">
        <v>948</v>
      </c>
      <c r="I98" s="20" t="n">
        <v>933</v>
      </c>
      <c r="J98" s="20" t="n">
        <v>935</v>
      </c>
      <c r="K98" s="20" t="n">
        <v>920</v>
      </c>
      <c r="L98" s="20" t="n">
        <v>907</v>
      </c>
    </row>
    <row r="99">
      <c r="A99" s="18" t="inlineStr">
        <is>
          <t>기타</t>
        </is>
      </c>
      <c r="E99" s="20" t="n">
        <v>160</v>
      </c>
      <c r="H99" s="20" t="n">
        <v>111</v>
      </c>
      <c r="I99" s="20" t="n">
        <v>114</v>
      </c>
      <c r="J99" s="20" t="n">
        <v>121</v>
      </c>
      <c r="K99" s="20" t="n">
        <v>152</v>
      </c>
      <c r="L99" s="20" t="n">
        <v>160</v>
      </c>
    </row>
    <row r="100">
      <c r="A100" s="18" t="inlineStr">
        <is>
          <t>대손충당금</t>
        </is>
      </c>
      <c r="E100" s="20" t="n">
        <v>-0</v>
      </c>
      <c r="H100" s="20" t="n">
        <v>-0</v>
      </c>
      <c r="I100" s="20" t="n">
        <v>-0</v>
      </c>
      <c r="J100" s="20" t="n">
        <v>-0</v>
      </c>
      <c r="K100" s="20" t="n">
        <v>-0</v>
      </c>
      <c r="L100" s="20" t="n">
        <v>-0</v>
      </c>
    </row>
    <row r="101">
      <c r="A101" s="18" t="inlineStr">
        <is>
          <t>투자 및 기타자산</t>
        </is>
      </c>
      <c r="C101" s="20" t="n">
        <v>1939</v>
      </c>
      <c r="D101" s="20" t="n">
        <v>1382</v>
      </c>
      <c r="E101" s="20" t="n">
        <v>1799</v>
      </c>
      <c r="F101" s="20" t="n">
        <v>1588</v>
      </c>
      <c r="G101" s="20" t="n">
        <v>2063</v>
      </c>
      <c r="H101" s="20" t="n">
        <v>1927</v>
      </c>
      <c r="I101" s="20" t="n">
        <v>2066</v>
      </c>
      <c r="J101" s="20" t="n">
        <v>1977</v>
      </c>
      <c r="K101" s="20" t="n">
        <v>2194</v>
      </c>
      <c r="L101" s="20" t="n">
        <v>1799</v>
      </c>
    </row>
    <row r="102">
      <c r="A102" s="9" t="inlineStr">
        <is>
          <t>비유동자산 합계</t>
        </is>
      </c>
      <c r="C102" s="12" t="n">
        <v>48380</v>
      </c>
      <c r="D102" s="12" t="n">
        <v>51979</v>
      </c>
      <c r="E102" s="12" t="n">
        <v>59515</v>
      </c>
      <c r="F102" s="12" t="n">
        <v>61213</v>
      </c>
      <c r="G102" s="12" t="n">
        <v>64964</v>
      </c>
      <c r="H102" s="12" t="n">
        <v>25750</v>
      </c>
      <c r="I102" s="12" t="n">
        <v>33397</v>
      </c>
      <c r="J102" s="12" t="n">
        <v>39029</v>
      </c>
      <c r="K102" s="12" t="n">
        <v>41995</v>
      </c>
      <c r="L102" s="12" t="n">
        <v>59515</v>
      </c>
    </row>
    <row r="103">
      <c r="A103" s="9" t="inlineStr">
        <is>
          <t>자산 합계</t>
        </is>
      </c>
      <c r="C103" s="12" t="n">
        <v>147915</v>
      </c>
      <c r="D103" s="12" t="n">
        <v>152670</v>
      </c>
      <c r="E103" s="12" t="n">
        <v>162691</v>
      </c>
      <c r="F103" s="12" t="n">
        <v>165461</v>
      </c>
      <c r="G103" s="12" t="n">
        <v>177262</v>
      </c>
      <c r="H103" s="12" t="n">
        <v>95899</v>
      </c>
      <c r="I103" s="12" t="n">
        <v>108031</v>
      </c>
      <c r="J103" s="12" t="n">
        <v>122515</v>
      </c>
      <c r="K103" s="12" t="n">
        <v>142285</v>
      </c>
      <c r="L103" s="12" t="n">
        <v>162691</v>
      </c>
    </row>
    <row r="104">
      <c r="A104" s="18" t="inlineStr">
        <is>
          <t>지급어음·매입채무</t>
        </is>
      </c>
      <c r="C104" s="20" t="n">
        <v>3139</v>
      </c>
      <c r="D104" s="20" t="n">
        <v>4206</v>
      </c>
      <c r="E104" s="20" t="n">
        <v>4254</v>
      </c>
      <c r="F104" s="20" t="n">
        <v>4435</v>
      </c>
      <c r="G104" s="20" t="n">
        <v>4116</v>
      </c>
      <c r="H104" s="20" t="n">
        <v>3444</v>
      </c>
      <c r="I104" s="20" t="n">
        <v>2975</v>
      </c>
      <c r="J104" s="20" t="n">
        <v>2957</v>
      </c>
      <c r="K104" s="20" t="n">
        <v>2965</v>
      </c>
      <c r="L104" s="20" t="n">
        <v>4254</v>
      </c>
    </row>
    <row r="105">
      <c r="A105" s="18" t="inlineStr">
        <is>
          <t>전자기록채무</t>
        </is>
      </c>
      <c r="C105" s="20" t="n">
        <v>865</v>
      </c>
      <c r="D105" s="20" t="n">
        <v>984</v>
      </c>
      <c r="E105" s="20" t="n">
        <v>697</v>
      </c>
      <c r="F105" s="20" t="n">
        <v>562</v>
      </c>
      <c r="G105" s="20" t="n">
        <v>566</v>
      </c>
      <c r="H105" s="20" t="n">
        <v>2419</v>
      </c>
      <c r="I105" s="20" t="n">
        <v>1542</v>
      </c>
      <c r="J105" s="20" t="n">
        <v>2355</v>
      </c>
      <c r="K105" s="20" t="n">
        <v>840</v>
      </c>
      <c r="L105" s="20" t="n">
        <v>697</v>
      </c>
    </row>
    <row r="106">
      <c r="A106" s="18" t="inlineStr">
        <is>
          <t>단기차입금</t>
        </is>
      </c>
      <c r="H106" s="20" t="n">
        <v>100</v>
      </c>
      <c r="I106" s="20" t="n">
        <v>0</v>
      </c>
    </row>
    <row r="107">
      <c r="A107" s="18" t="inlineStr">
        <is>
          <t>1년 내 상환 장기차입금</t>
        </is>
      </c>
      <c r="H107" s="20" t="n">
        <v>866</v>
      </c>
      <c r="I107" s="20" t="n">
        <v>333</v>
      </c>
      <c r="J107" s="20" t="n">
        <v>400</v>
      </c>
      <c r="K107" s="20" t="n">
        <v>0</v>
      </c>
    </row>
    <row r="108">
      <c r="A108" s="18" t="inlineStr">
        <is>
          <t>미지급법인세</t>
        </is>
      </c>
      <c r="C108" s="20" t="n">
        <v>3327</v>
      </c>
      <c r="D108" s="20" t="n">
        <v>1233</v>
      </c>
      <c r="E108" s="20" t="n">
        <v>3942</v>
      </c>
      <c r="F108" s="20" t="n">
        <v>1704</v>
      </c>
      <c r="G108" s="20" t="n">
        <v>5526</v>
      </c>
      <c r="H108" s="20" t="n">
        <v>4731</v>
      </c>
      <c r="I108" s="20" t="n">
        <v>2684</v>
      </c>
      <c r="J108" s="20" t="n">
        <v>2851</v>
      </c>
      <c r="K108" s="20" t="n">
        <v>4929</v>
      </c>
      <c r="L108" s="20" t="n">
        <v>3942</v>
      </c>
    </row>
    <row r="109">
      <c r="A109" s="18" t="inlineStr">
        <is>
          <t>상여충당금</t>
        </is>
      </c>
      <c r="C109" s="20" t="n">
        <v>1026</v>
      </c>
      <c r="D109" s="20" t="n">
        <v>589</v>
      </c>
      <c r="E109" s="20" t="n">
        <v>1170</v>
      </c>
      <c r="F109" s="20" t="n">
        <v>635</v>
      </c>
      <c r="G109" s="20" t="n">
        <v>1332</v>
      </c>
      <c r="H109" s="20" t="n">
        <v>866</v>
      </c>
      <c r="I109" s="20" t="n">
        <v>914</v>
      </c>
      <c r="J109" s="20" t="n">
        <v>1042</v>
      </c>
      <c r="K109" s="20" t="n">
        <v>1191</v>
      </c>
      <c r="L109" s="20" t="n">
        <v>1170</v>
      </c>
    </row>
    <row r="110">
      <c r="A110" s="18" t="inlineStr">
        <is>
          <t>임원 상여충당금</t>
        </is>
      </c>
      <c r="C110" s="20" t="n">
        <v>7</v>
      </c>
      <c r="D110" s="20" t="n">
        <v>75</v>
      </c>
      <c r="E110" s="20" t="n">
        <v>133</v>
      </c>
      <c r="F110" s="20" t="n">
        <v>3</v>
      </c>
      <c r="G110" s="20" t="n">
        <v>7</v>
      </c>
      <c r="H110" s="20" t="n">
        <v>71</v>
      </c>
      <c r="I110" s="20" t="n">
        <v>124</v>
      </c>
      <c r="J110" s="20" t="n">
        <v>124</v>
      </c>
      <c r="K110" s="20" t="n">
        <v>149</v>
      </c>
      <c r="L110" s="20" t="n">
        <v>133</v>
      </c>
    </row>
    <row r="111">
      <c r="A111" s="18" t="inlineStr">
        <is>
          <t>기타</t>
        </is>
      </c>
      <c r="C111" s="20" t="n">
        <v>3673</v>
      </c>
      <c r="D111" s="20" t="n">
        <v>4215</v>
      </c>
      <c r="E111" s="20" t="n">
        <v>4659</v>
      </c>
      <c r="F111" s="20" t="n">
        <v>6233</v>
      </c>
      <c r="G111" s="20" t="n">
        <v>6687</v>
      </c>
      <c r="H111" s="20" t="n">
        <v>2455</v>
      </c>
      <c r="I111" s="20" t="n">
        <v>4334</v>
      </c>
      <c r="J111" s="20" t="n">
        <v>3091</v>
      </c>
      <c r="K111" s="20" t="n">
        <v>3856</v>
      </c>
      <c r="L111" s="20" t="n">
        <v>4659</v>
      </c>
    </row>
    <row r="112">
      <c r="A112" s="9" t="inlineStr">
        <is>
          <t>유동부채 합계</t>
        </is>
      </c>
      <c r="C112" s="12" t="n">
        <v>12039</v>
      </c>
      <c r="D112" s="12" t="n">
        <v>11306</v>
      </c>
      <c r="E112" s="12" t="n">
        <v>14856</v>
      </c>
      <c r="F112" s="12" t="n">
        <v>13575</v>
      </c>
      <c r="G112" s="12" t="n">
        <v>18237</v>
      </c>
      <c r="H112" s="12" t="n">
        <v>14953</v>
      </c>
      <c r="I112" s="12" t="n">
        <v>12910</v>
      </c>
      <c r="J112" s="12" t="n">
        <v>12821</v>
      </c>
      <c r="K112" s="12" t="n">
        <v>13933</v>
      </c>
      <c r="L112" s="12" t="n">
        <v>14856</v>
      </c>
    </row>
    <row r="113">
      <c r="A113" s="18" t="inlineStr">
        <is>
          <t>장기차입금</t>
        </is>
      </c>
      <c r="H113" s="20" t="n">
        <v>733</v>
      </c>
      <c r="I113" s="20" t="n">
        <v>400</v>
      </c>
      <c r="J113" s="20" t="n">
        <v>0</v>
      </c>
    </row>
    <row r="114">
      <c r="A114" s="18" t="inlineStr">
        <is>
          <t>이연법인세부채</t>
        </is>
      </c>
      <c r="C114" s="20" t="n">
        <v>149</v>
      </c>
      <c r="D114" s="20" t="n">
        <v>165</v>
      </c>
      <c r="E114" s="20" t="n">
        <v>213</v>
      </c>
      <c r="F114" s="20" t="n">
        <v>148</v>
      </c>
      <c r="G114" s="20" t="n">
        <v>143</v>
      </c>
      <c r="H114" s="20" t="n">
        <v>153</v>
      </c>
      <c r="I114" s="20" t="n">
        <v>141</v>
      </c>
      <c r="J114" s="20" t="n">
        <v>127</v>
      </c>
      <c r="K114" s="20" t="n">
        <v>131</v>
      </c>
      <c r="L114" s="20" t="n">
        <v>213</v>
      </c>
    </row>
    <row r="115">
      <c r="A115" s="18" t="inlineStr">
        <is>
          <t>기타</t>
        </is>
      </c>
      <c r="C115" s="20" t="n">
        <v>366</v>
      </c>
      <c r="D115" s="20" t="n">
        <v>362</v>
      </c>
      <c r="E115" s="20" t="n">
        <v>358</v>
      </c>
      <c r="F115" s="20" t="n">
        <v>359</v>
      </c>
      <c r="G115" s="20" t="n">
        <v>359</v>
      </c>
      <c r="H115" s="20" t="n">
        <v>377</v>
      </c>
      <c r="I115" s="20" t="n">
        <v>364</v>
      </c>
      <c r="J115" s="20" t="n">
        <v>361</v>
      </c>
      <c r="K115" s="20" t="n">
        <v>366</v>
      </c>
      <c r="L115" s="20" t="n">
        <v>358</v>
      </c>
    </row>
    <row r="116">
      <c r="A116" s="9" t="inlineStr">
        <is>
          <t>비유동부채 합계</t>
        </is>
      </c>
      <c r="C116" s="12" t="n">
        <v>515</v>
      </c>
      <c r="D116" s="12" t="n">
        <v>528</v>
      </c>
      <c r="E116" s="12" t="n">
        <v>571</v>
      </c>
      <c r="F116" s="12" t="n">
        <v>508</v>
      </c>
      <c r="G116" s="12" t="n">
        <v>502</v>
      </c>
      <c r="H116" s="12" t="n">
        <v>1264</v>
      </c>
      <c r="I116" s="12" t="n">
        <v>905</v>
      </c>
      <c r="J116" s="12" t="n">
        <v>489</v>
      </c>
      <c r="K116" s="12" t="n">
        <v>498</v>
      </c>
      <c r="L116" s="12" t="n">
        <v>571</v>
      </c>
    </row>
    <row r="117">
      <c r="A117" s="9" t="inlineStr">
        <is>
          <t>부채 합계</t>
        </is>
      </c>
      <c r="C117" s="12" t="n">
        <v>12555</v>
      </c>
      <c r="D117" s="12" t="n">
        <v>11835</v>
      </c>
      <c r="E117" s="12" t="n">
        <v>15428</v>
      </c>
      <c r="F117" s="12" t="n">
        <v>14083</v>
      </c>
      <c r="G117" s="12" t="n">
        <v>18739</v>
      </c>
      <c r="H117" s="12" t="n">
        <v>16218</v>
      </c>
      <c r="I117" s="12" t="n">
        <v>13816</v>
      </c>
      <c r="J117" s="12" t="n">
        <v>13311</v>
      </c>
      <c r="K117" s="12" t="n">
        <v>14431</v>
      </c>
      <c r="L117" s="12" t="n">
        <v>15428</v>
      </c>
    </row>
    <row r="118">
      <c r="A118" s="18" t="inlineStr">
        <is>
          <t>자본금</t>
        </is>
      </c>
      <c r="C118" s="20" t="n">
        <v>8646</v>
      </c>
      <c r="D118" s="20" t="n">
        <v>8646</v>
      </c>
      <c r="E118" s="20" t="n">
        <v>8646</v>
      </c>
      <c r="F118" s="20" t="n">
        <v>8646</v>
      </c>
      <c r="G118" s="20" t="n">
        <v>8646</v>
      </c>
      <c r="H118" s="20" t="n">
        <v>8646</v>
      </c>
      <c r="I118" s="20" t="n">
        <v>8646</v>
      </c>
      <c r="J118" s="20" t="n">
        <v>8646</v>
      </c>
      <c r="K118" s="20" t="n">
        <v>8646</v>
      </c>
      <c r="L118" s="20" t="n">
        <v>8646</v>
      </c>
    </row>
    <row r="119">
      <c r="A119" s="18" t="inlineStr">
        <is>
          <t>자본잉여금</t>
        </is>
      </c>
      <c r="C119" s="20" t="n">
        <v>12103</v>
      </c>
      <c r="D119" s="20" t="n">
        <v>12103</v>
      </c>
      <c r="E119" s="20" t="n">
        <v>12170</v>
      </c>
      <c r="F119" s="20" t="n">
        <v>12170</v>
      </c>
      <c r="G119" s="20" t="n">
        <v>12233</v>
      </c>
      <c r="H119" s="20" t="n">
        <v>12017</v>
      </c>
      <c r="I119" s="20" t="n">
        <v>12018</v>
      </c>
      <c r="J119" s="20" t="n">
        <v>12031</v>
      </c>
      <c r="K119" s="20" t="n">
        <v>12103</v>
      </c>
      <c r="L119" s="20" t="n">
        <v>12170</v>
      </c>
    </row>
    <row r="120">
      <c r="A120" s="18" t="inlineStr">
        <is>
          <t>이익잉여금</t>
        </is>
      </c>
      <c r="C120" s="20" t="n">
        <v>112538</v>
      </c>
      <c r="D120" s="20" t="n">
        <v>116828</v>
      </c>
      <c r="E120" s="20" t="n">
        <v>122660</v>
      </c>
      <c r="F120" s="20" t="n">
        <v>126497</v>
      </c>
      <c r="G120" s="20" t="n">
        <v>134149</v>
      </c>
      <c r="H120" s="20" t="n">
        <v>59274</v>
      </c>
      <c r="I120" s="20" t="n">
        <v>73381</v>
      </c>
      <c r="J120" s="20" t="n">
        <v>87573</v>
      </c>
      <c r="K120" s="20" t="n">
        <v>105705</v>
      </c>
      <c r="L120" s="20" t="n">
        <v>122660</v>
      </c>
    </row>
    <row r="121">
      <c r="A121" s="18" t="inlineStr">
        <is>
          <t>자기주식</t>
        </is>
      </c>
      <c r="C121" s="20" t="n">
        <v>-203</v>
      </c>
      <c r="D121" s="20" t="n">
        <v>-205</v>
      </c>
      <c r="E121" s="20" t="n">
        <v>-198</v>
      </c>
      <c r="F121" s="20" t="n">
        <v>-200</v>
      </c>
      <c r="G121" s="20" t="n">
        <v>-193</v>
      </c>
      <c r="H121" s="20" t="n">
        <v>-207</v>
      </c>
      <c r="I121" s="20" t="n">
        <v>-209</v>
      </c>
      <c r="J121" s="20" t="n">
        <v>-210</v>
      </c>
      <c r="K121" s="20" t="n">
        <v>-198</v>
      </c>
      <c r="L121" s="20" t="n">
        <v>-198</v>
      </c>
    </row>
    <row r="122">
      <c r="A122" s="9" t="inlineStr">
        <is>
          <t>주주자본 합계</t>
        </is>
      </c>
      <c r="C122" s="12" t="n">
        <v>133085</v>
      </c>
      <c r="D122" s="12" t="n">
        <v>137373</v>
      </c>
      <c r="E122" s="12" t="n">
        <v>143279</v>
      </c>
      <c r="F122" s="12" t="n">
        <v>147113</v>
      </c>
      <c r="G122" s="12" t="n">
        <v>154836</v>
      </c>
      <c r="H122" s="12" t="n">
        <v>79732</v>
      </c>
      <c r="I122" s="12" t="n">
        <v>93838</v>
      </c>
      <c r="J122" s="12" t="n">
        <v>108042</v>
      </c>
      <c r="K122" s="12" t="n">
        <v>126257</v>
      </c>
      <c r="L122" s="12" t="n">
        <v>143279</v>
      </c>
    </row>
    <row r="123">
      <c r="A123" s="18" t="inlineStr">
        <is>
          <t>기타유가증권 평가차액</t>
        </is>
      </c>
      <c r="C123" s="20" t="n">
        <v>117</v>
      </c>
      <c r="D123" s="20" t="n">
        <v>35</v>
      </c>
      <c r="E123" s="20" t="n">
        <v>53</v>
      </c>
      <c r="F123" s="20" t="n">
        <v>90</v>
      </c>
      <c r="G123" s="20" t="n">
        <v>88</v>
      </c>
      <c r="H123" s="20" t="n">
        <v>104</v>
      </c>
      <c r="I123" s="20" t="n">
        <v>125</v>
      </c>
      <c r="J123" s="20" t="n">
        <v>171</v>
      </c>
      <c r="K123" s="20" t="n">
        <v>39</v>
      </c>
      <c r="L123" s="20" t="n">
        <v>53</v>
      </c>
    </row>
    <row r="124">
      <c r="A124" s="18" t="inlineStr">
        <is>
          <t>해외사업환산조정</t>
        </is>
      </c>
      <c r="C124" s="20" t="n">
        <v>2156</v>
      </c>
      <c r="D124" s="20" t="n">
        <v>3426</v>
      </c>
      <c r="E124" s="20" t="n">
        <v>3930</v>
      </c>
      <c r="F124" s="20" t="n">
        <v>4173</v>
      </c>
      <c r="G124" s="20" t="n">
        <v>3598</v>
      </c>
      <c r="H124" s="20" t="n">
        <v>-155</v>
      </c>
      <c r="I124" s="20" t="n">
        <v>251</v>
      </c>
      <c r="J124" s="20" t="n">
        <v>989</v>
      </c>
      <c r="K124" s="20" t="n">
        <v>1556</v>
      </c>
      <c r="L124" s="20" t="n">
        <v>3930</v>
      </c>
    </row>
    <row r="125">
      <c r="A125" s="18" t="inlineStr">
        <is>
          <t>기타포괄손익누계액 합계</t>
        </is>
      </c>
      <c r="C125" s="20" t="n">
        <v>2274</v>
      </c>
      <c r="D125" s="20" t="n">
        <v>3461</v>
      </c>
      <c r="E125" s="20" t="n">
        <v>3983</v>
      </c>
      <c r="F125" s="20" t="n">
        <v>4263</v>
      </c>
      <c r="G125" s="20" t="n">
        <v>3686</v>
      </c>
      <c r="H125" s="20" t="n">
        <v>-51</v>
      </c>
      <c r="I125" s="20" t="n">
        <v>377</v>
      </c>
      <c r="J125" s="20" t="n">
        <v>1161</v>
      </c>
      <c r="K125" s="20" t="n">
        <v>1596</v>
      </c>
      <c r="L125" s="20" t="n">
        <v>3983</v>
      </c>
    </row>
    <row r="126">
      <c r="A126" s="9" t="inlineStr">
        <is>
          <t>순자산 합계</t>
        </is>
      </c>
      <c r="C126" s="12" t="n">
        <v>135360</v>
      </c>
      <c r="D126" s="12" t="n">
        <v>140835</v>
      </c>
      <c r="E126" s="12" t="n">
        <v>147262</v>
      </c>
      <c r="F126" s="12" t="n">
        <v>151377</v>
      </c>
      <c r="G126" s="12" t="n">
        <v>158522</v>
      </c>
      <c r="H126" s="12" t="n">
        <v>79681</v>
      </c>
      <c r="I126" s="12" t="n">
        <v>94215</v>
      </c>
      <c r="J126" s="12" t="n">
        <v>109203</v>
      </c>
      <c r="K126" s="12" t="n">
        <v>127854</v>
      </c>
      <c r="L126" s="12" t="n">
        <v>147262</v>
      </c>
    </row>
    <row r="127">
      <c r="A127" s="9" t="inlineStr">
        <is>
          <t>부채·순자산 합계</t>
        </is>
      </c>
      <c r="C127" s="12" t="n">
        <v>147915</v>
      </c>
      <c r="D127" s="12" t="n">
        <v>152670</v>
      </c>
      <c r="E127" s="12" t="n">
        <v>162691</v>
      </c>
      <c r="F127" s="12" t="n">
        <v>165461</v>
      </c>
      <c r="G127" s="12" t="n">
        <v>177262</v>
      </c>
      <c r="H127" s="12" t="n">
        <v>95899</v>
      </c>
      <c r="I127" s="12" t="n">
        <v>108031</v>
      </c>
      <c r="J127" s="12" t="n">
        <v>122515</v>
      </c>
      <c r="K127" s="12" t="n">
        <v>142285</v>
      </c>
      <c r="L127" s="12" t="n">
        <v>162691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2026-10-27</t>
        </is>
      </c>
      <c r="B4" t="inlineStr">
        <is>
          <t>2027년 3월 결산기 ２분기 결산단신</t>
        </is>
      </c>
      <c r="C4" t="inlineStr">
        <is>
          <t>https://www2.jpx.co.jp/disc/53440/140120261027556504.pdf</t>
        </is>
      </c>
    </row>
    <row r="5">
      <c r="A5" t="inlineStr">
        <is>
          <t>2026-07-29</t>
        </is>
      </c>
      <c r="B5" t="inlineStr">
        <is>
          <t>2027년 3월 결산기 １분기 결산단신</t>
        </is>
      </c>
      <c r="C5" t="inlineStr">
        <is>
          <t>https://www2.jpx.co.jp/disc/53440/140120260728501211.pdf</t>
        </is>
      </c>
    </row>
    <row r="6">
      <c r="A6" t="inlineStr">
        <is>
          <t>2026-05-08</t>
        </is>
      </c>
      <c r="B6" t="inlineStr">
        <is>
          <t>2026년 3월 결산기 연간 결산단신</t>
        </is>
      </c>
      <c r="C6" t="inlineStr">
        <is>
          <t>https://www2.jpx.co.jp/disc/53440/140120260508518995.pdf</t>
        </is>
      </c>
    </row>
    <row r="7">
      <c r="A7" t="inlineStr">
        <is>
          <t>2026-02-03</t>
        </is>
      </c>
      <c r="B7" t="inlineStr">
        <is>
          <t>2026년 3월 결산기 ３분기 결산단신</t>
        </is>
      </c>
      <c r="C7" t="inlineStr">
        <is>
          <t>https://www2.jpx.co.jp/disc/53440/140120260202545190.pdf</t>
        </is>
      </c>
    </row>
    <row r="8">
      <c r="A8" t="inlineStr">
        <is>
          <t>2025-11-05</t>
        </is>
      </c>
      <c r="B8" t="inlineStr">
        <is>
          <t>2026년 3월 결산기 ２분기 결산단신</t>
        </is>
      </c>
      <c r="C8" t="inlineStr">
        <is>
          <t>https://www2.jpx.co.jp/disc/53440/140120251104587236.pdf</t>
        </is>
      </c>
    </row>
    <row r="9">
      <c r="A9" t="inlineStr">
        <is>
          <t>2025-07-24</t>
        </is>
      </c>
      <c r="B9" t="inlineStr">
        <is>
          <t>2026년 3월 결산기 １분기 결산단신</t>
        </is>
      </c>
      <c r="C9" t="inlineStr">
        <is>
          <t>https://www2.jpx.co.jp/disc/53440/140120250724519115.pdf</t>
        </is>
      </c>
    </row>
    <row r="10">
      <c r="A10" t="inlineStr">
        <is>
          <t>2025-04-25</t>
        </is>
      </c>
      <c r="B10" t="inlineStr">
        <is>
          <t>2025년 3월 결산기 연간 결산단신</t>
        </is>
      </c>
      <c r="C10" t="inlineStr">
        <is>
          <t>https://www2.jpx.co.jp/disc/53440/140120250424523114.pdf</t>
        </is>
      </c>
    </row>
    <row r="11">
      <c r="A11" t="inlineStr">
        <is>
          <t>2025-01-29</t>
        </is>
      </c>
      <c r="B11" t="inlineStr">
        <is>
          <t>2025년 3월 결산기 ３분기 결산단신</t>
        </is>
      </c>
      <c r="C11" t="inlineStr">
        <is>
          <t>https://www2.jpx.co.jp/disc/53440/140120250128556635.pdf</t>
        </is>
      </c>
    </row>
    <row r="12">
      <c r="A12" t="inlineStr">
        <is>
          <t>2024-10-29</t>
        </is>
      </c>
      <c r="B12" t="inlineStr">
        <is>
          <t>2025년 3월 결산기 ２분기 결산단신</t>
        </is>
      </c>
      <c r="C12" t="inlineStr">
        <is>
          <t>https://www2.jpx.co.jp/disc/53440/140120241028504069.pdf</t>
        </is>
      </c>
    </row>
    <row r="13">
      <c r="A13" t="inlineStr">
        <is>
          <t>2024-07-29</t>
        </is>
      </c>
      <c r="B13" t="inlineStr">
        <is>
          <t>2025년 3월 결산기 １분기 결산단신</t>
        </is>
      </c>
      <c r="C13" t="inlineStr">
        <is>
          <t>https://www2.jpx.co.jp/disc/53440/140120240729556170.pdf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https://www2.jpx.co.jp/disc/53440/140120240424575100.pdf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https://www2.jpx.co.jp/disc/53440/140120240130522124.pdf</t>
        </is>
      </c>
    </row>
    <row r="16">
      <c r="A16" t="inlineStr">
        <is>
          <t>2023-10-26</t>
        </is>
      </c>
      <c r="B16" t="inlineStr">
        <is>
          <t>2024년 3월 결산기 ２분기 결산단신</t>
        </is>
      </c>
      <c r="C16" t="inlineStr">
        <is>
          <t>https://www2.jpx.co.jp/disc/53440/140120231025571689.pdf</t>
        </is>
      </c>
    </row>
    <row r="17">
      <c r="A17" t="inlineStr">
        <is>
          <t>2023-07-27</t>
        </is>
      </c>
      <c r="B17" t="inlineStr">
        <is>
          <t>2024년 3월 결산기 １분기 결산단신</t>
        </is>
      </c>
      <c r="C17" t="inlineStr">
        <is>
          <t>https://www2.jpx.co.jp/disc/53440/140120230727527712.pdf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https://www2.jpx.co.jp/disc/53440/140120230426553800.pdf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https://www2.jpx.co.jp/disc/53440/140120230130596315.pdf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https://www2.jpx.co.jp/disc/53440/140120220427529030.pdf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https://www2.jpx.co.jp/disc/53440/140120210427401170.pdf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https://www2.jpx.co.jp/disc/53440/140120200424498871.pdf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https://www2.jpx.co.jp/disc/53440/140120190426412111.pdf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https://www2.jpx.co.jp/disc/53440/140120180427422509.pdf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2026-10-27T07:24:40Z</dcterms:created>
  <dcterms:modified xmlns:dcterms="http://purl.org/dc/terms/" xmlns:xsi="http://www.w3.org/2001/XMLSchema-instance" xsi:type="dcterms:W3CDTF">2026-10-27T07:24:41Z</dcterms:modified>
</cp:coreProperties>
</file>