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1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닛소그룹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3721</v>
      </c>
      <c r="D4" s="12" t="n">
        <v>4697</v>
      </c>
      <c r="E4" s="12" t="n">
        <v>4734</v>
      </c>
      <c r="F4" s="12" t="n">
        <v>4542</v>
      </c>
      <c r="G4" s="12" t="n">
        <v>5620</v>
      </c>
      <c r="H4" s="12" t="n">
        <v>6569</v>
      </c>
      <c r="I4" s="12" t="n">
        <v>6080</v>
      </c>
      <c r="J4" s="12" t="n">
        <v>4768</v>
      </c>
      <c r="K4" s="12" t="n">
        <v>5516</v>
      </c>
      <c r="L4" s="12" t="n">
        <v>5076</v>
      </c>
      <c r="M4" s="12" t="n">
        <v>4884</v>
      </c>
      <c r="N4" s="12" t="n">
        <v>6036</v>
      </c>
      <c r="O4" s="11" t="n"/>
      <c r="P4" s="12" t="n">
        <v>8523.02</v>
      </c>
      <c r="Q4" s="12" t="n">
        <v>13473.314</v>
      </c>
      <c r="R4" s="12" t="n">
        <v>8389.713</v>
      </c>
      <c r="S4" s="12" t="n">
        <v>7534.636</v>
      </c>
      <c r="T4" s="12" t="n">
        <v>7374.639</v>
      </c>
      <c r="U4" s="12" t="n">
        <v>12548.788</v>
      </c>
      <c r="V4" s="12" t="n">
        <v>17694</v>
      </c>
      <c r="W4" s="12" t="n">
        <v>23037</v>
      </c>
      <c r="X4" s="12" t="n">
        <v>21512</v>
      </c>
      <c r="Y4" s="11">
        <f>IF(COUNT(Y7,Y10,Y13,Y16,Y19,Y22,Y25,Y28,Y31)=0,"",SUM(Y7,Y10,Y13,Y16,Y19,Y22,Y25,Y28,Y31))</f>
        <v/>
      </c>
      <c r="Z4" s="12">
        <f>IF(COUNT(Z7,Z10,Z13,Z16,Z19,Z22,Z25,Z28,Z31)=0,"",SUM(Z7,Z10,Z13,Z16,Z19,Z22,Z25,Z28,Z31))</f>
        <v/>
      </c>
      <c r="AA4" s="12">
        <f>IF(COUNT(AA7,AA10,AA13,AA16,AA19,AA22,AA25,AA28,AA31)=0,"",SUM(AA7,AA10,AA13,AA16,AA19,AA22,AA25,AA28,AA31))</f>
        <v/>
      </c>
      <c r="AB4" s="12">
        <f>IF(COUNT(AB7,AB10,AB13,AB16,AB19,AB22,AB25,AB28,AB31)=0,"",SUM(AB7,AB10,AB13,AB16,AB19,AB22,AB25,AB28,AB31))</f>
        <v/>
      </c>
      <c r="AC4" s="12">
        <f>IF(COUNT(AC7,AC10,AC13,AC16,AC19,AC22,AC25,AC28,AC31)=0,"",SUM(AC7,AC10,AC13,AC16,AC19,AC22,AC25,AC28,AC31))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금속 가공 사업</t>
        </is>
      </c>
      <c r="B7" s="10" t="n"/>
      <c r="C7" s="19" t="n">
        <v>1767</v>
      </c>
      <c r="D7" s="20" t="n">
        <v>2147</v>
      </c>
      <c r="E7" s="20" t="n">
        <v>2176</v>
      </c>
      <c r="F7" s="20" t="n">
        <v>1946</v>
      </c>
      <c r="G7" s="20" t="n">
        <v>2013</v>
      </c>
      <c r="H7" s="20" t="n">
        <v>2216</v>
      </c>
      <c r="I7" s="20" t="n">
        <v>1911</v>
      </c>
      <c r="J7" s="20" t="n">
        <v>1862</v>
      </c>
      <c r="K7" s="20" t="n">
        <v>1911</v>
      </c>
      <c r="L7" s="20" t="n">
        <v>1932</v>
      </c>
      <c r="M7" s="20" t="n">
        <v>2067</v>
      </c>
      <c r="N7" s="20" t="n">
        <v>1787</v>
      </c>
      <c r="O7" s="19" t="n"/>
      <c r="P7" s="20" t="n"/>
      <c r="Q7" s="20" t="n"/>
      <c r="R7" s="20" t="n"/>
      <c r="S7" s="20" t="n"/>
      <c r="T7" s="20" t="n"/>
      <c r="U7" s="20" t="n">
        <v>5815.798</v>
      </c>
      <c r="V7" s="20" t="n">
        <v>8036</v>
      </c>
      <c r="W7" s="20" t="n">
        <v>8002</v>
      </c>
      <c r="X7" s="20" t="n">
        <v>7697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고무 가공 사업</t>
        </is>
      </c>
      <c r="B10" s="10" t="n"/>
      <c r="C10" s="19" t="n">
        <v>257</v>
      </c>
      <c r="D10" s="20" t="n">
        <v>264</v>
      </c>
      <c r="E10" s="20" t="n">
        <v>240</v>
      </c>
      <c r="F10" s="20" t="n">
        <v>233</v>
      </c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>
        <v>1089.743</v>
      </c>
      <c r="V10" s="20" t="n">
        <v>994</v>
      </c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화성품 사업</t>
        </is>
      </c>
      <c r="B13" s="10" t="n"/>
      <c r="C13" s="19" t="n"/>
      <c r="D13" s="20" t="n"/>
      <c r="E13" s="20" t="n"/>
      <c r="F13" s="20" t="n"/>
      <c r="G13" s="20" t="n">
        <v>239</v>
      </c>
      <c r="H13" s="20" t="n">
        <v>882</v>
      </c>
      <c r="I13" s="20" t="n">
        <v>796</v>
      </c>
      <c r="J13" s="20" t="n">
        <v>817</v>
      </c>
      <c r="K13" s="20" t="n">
        <v>1265</v>
      </c>
      <c r="L13" s="20" t="n">
        <v>1159</v>
      </c>
      <c r="M13" s="20" t="n">
        <v>1197</v>
      </c>
      <c r="N13" s="20" t="n">
        <v>1248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>
        <v>2734</v>
      </c>
      <c r="X13" s="20" t="n">
        <v>4869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건설 사업</t>
        </is>
      </c>
      <c r="B16" s="10" t="n"/>
      <c r="C16" s="19" t="n">
        <v>444</v>
      </c>
      <c r="D16" s="20" t="n">
        <v>933</v>
      </c>
      <c r="E16" s="20" t="n">
        <v>969</v>
      </c>
      <c r="F16" s="20" t="n">
        <v>913</v>
      </c>
      <c r="G16" s="20" t="n">
        <v>1955</v>
      </c>
      <c r="H16" s="20" t="n">
        <v>2004</v>
      </c>
      <c r="I16" s="20" t="n">
        <v>2057</v>
      </c>
      <c r="J16" s="20" t="n">
        <v>780</v>
      </c>
      <c r="K16" s="20" t="n">
        <v>1044</v>
      </c>
      <c r="L16" s="20" t="n">
        <v>625</v>
      </c>
      <c r="M16" s="20" t="n">
        <v>195</v>
      </c>
      <c r="N16" s="20" t="n">
        <v>690</v>
      </c>
      <c r="O16" s="19" t="n"/>
      <c r="P16" s="20" t="n"/>
      <c r="Q16" s="20" t="n"/>
      <c r="R16" s="20" t="n"/>
      <c r="S16" s="20" t="n"/>
      <c r="T16" s="20" t="n"/>
      <c r="U16" s="20" t="n">
        <v>3520.589</v>
      </c>
      <c r="V16" s="20" t="n">
        <v>3259</v>
      </c>
      <c r="W16" s="20" t="n">
        <v>6796</v>
      </c>
      <c r="X16" s="20" t="n">
        <v>2554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타일 사업</t>
        </is>
      </c>
      <c r="B19" s="10" t="n"/>
      <c r="C19" s="19" t="n">
        <v>1253</v>
      </c>
      <c r="D19" s="20" t="n">
        <v>1346</v>
      </c>
      <c r="E19" s="20" t="n">
        <v>1285</v>
      </c>
      <c r="F19" s="20" t="n">
        <v>1279</v>
      </c>
      <c r="G19" s="20" t="n">
        <v>1258</v>
      </c>
      <c r="H19" s="20" t="n">
        <v>1286</v>
      </c>
      <c r="I19" s="20" t="n">
        <v>1117</v>
      </c>
      <c r="J19" s="20" t="n">
        <v>1121</v>
      </c>
      <c r="K19" s="20" t="n">
        <v>1134</v>
      </c>
      <c r="L19" s="20" t="n">
        <v>1175</v>
      </c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>
        <v>2122.656</v>
      </c>
      <c r="V19" s="20" t="n">
        <v>5163</v>
      </c>
      <c r="W19" s="20" t="n">
        <v>4782</v>
      </c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타일 사업</t>
        </is>
      </c>
      <c r="B22" s="10" t="n"/>
      <c r="C22" s="19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라이프스타일 사업</t>
        </is>
      </c>
      <c r="B25" s="10" t="n"/>
      <c r="C25" s="19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/>
      <c r="W25" s="20" t="n">
        <v>5491</v>
      </c>
      <c r="X25" s="20" t="n">
        <v>6368</v>
      </c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OtherReportableSegmentsMember</t>
        </is>
      </c>
      <c r="B28" s="10" t="n"/>
      <c r="C28" s="19" t="n"/>
      <c r="D28" s="20" t="n"/>
      <c r="E28" s="20" t="n">
        <v>65</v>
      </c>
      <c r="F28" s="20" t="n"/>
      <c r="G28" s="20" t="n"/>
      <c r="H28" s="20" t="n"/>
      <c r="I28" s="20" t="n">
        <v>199</v>
      </c>
      <c r="J28" s="20" t="n"/>
      <c r="K28" s="20" t="n"/>
      <c r="L28" s="20" t="n"/>
      <c r="M28" s="20" t="n">
        <v>-334</v>
      </c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8" t="inlineStr">
        <is>
          <t>기타</t>
        </is>
      </c>
      <c r="B31" s="10" t="n"/>
      <c r="C31" s="19" t="n">
        <v>0</v>
      </c>
      <c r="D31" s="20" t="n"/>
      <c r="E31" s="20" t="n"/>
      <c r="F31" s="20" t="n"/>
      <c r="G31" s="20" t="n">
        <v>152</v>
      </c>
      <c r="H31" s="20" t="n"/>
      <c r="I31" s="20" t="n"/>
      <c r="J31" s="20" t="n"/>
      <c r="K31" s="20" t="n">
        <v>153</v>
      </c>
      <c r="L31" s="20" t="n"/>
      <c r="M31" s="20" t="n"/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>
        <v>240</v>
      </c>
      <c r="W31" s="20" t="n">
        <v>709</v>
      </c>
      <c r="X31" s="20" t="n">
        <v>0</v>
      </c>
      <c r="Y31" s="21" t="n"/>
      <c r="Z31" s="22" t="n"/>
      <c r="AA31" s="22" t="n"/>
      <c r="AB31" s="22" t="n"/>
      <c r="AC31" s="22" t="n"/>
    </row>
    <row r="32">
      <c r="A32" s="13" t="inlineStr">
        <is>
          <t>비중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매출원가</t>
        </is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18" t="inlineStr">
        <is>
          <t>전체 매출원가</t>
        </is>
      </c>
      <c r="B35" s="10" t="n"/>
      <c r="C35" s="19" t="n">
        <v>2583</v>
      </c>
      <c r="D35" s="20" t="n">
        <v>3369</v>
      </c>
      <c r="E35" s="20" t="n">
        <v>3457</v>
      </c>
      <c r="F35" s="20" t="n">
        <v>3473</v>
      </c>
      <c r="G35" s="20" t="n">
        <v>4296</v>
      </c>
      <c r="H35" s="20" t="n">
        <v>5048</v>
      </c>
      <c r="I35" s="20" t="n">
        <v>4475</v>
      </c>
      <c r="J35" s="20" t="n">
        <v>3595</v>
      </c>
      <c r="K35" s="20" t="n">
        <v>4048</v>
      </c>
      <c r="L35" s="20" t="n">
        <v>3672</v>
      </c>
      <c r="M35" s="20" t="n">
        <v>3545</v>
      </c>
      <c r="N35" s="20" t="n">
        <v>4475</v>
      </c>
      <c r="O35" s="19" t="n"/>
      <c r="P35" s="20" t="n">
        <v>6317.339</v>
      </c>
      <c r="Q35" s="20" t="n">
        <v>10087.623</v>
      </c>
      <c r="R35" s="20" t="n">
        <v>6384.497</v>
      </c>
      <c r="S35" s="20" t="n">
        <v>5888.098</v>
      </c>
      <c r="T35" s="20" t="n">
        <v>5712.098</v>
      </c>
      <c r="U35" s="20" t="n">
        <v>9854.195</v>
      </c>
      <c r="V35" s="20" t="n">
        <v>12882</v>
      </c>
      <c r="W35" s="20" t="n">
        <v>17414</v>
      </c>
      <c r="X35" s="20" t="n">
        <v>15740</v>
      </c>
      <c r="Y35" s="19" t="n"/>
      <c r="Z35" s="20" t="n"/>
      <c r="AA35" s="20" t="n"/>
      <c r="AB35" s="20" t="n"/>
      <c r="AC35" s="20" t="n"/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IF(OR(G35="",C35=""),"",IF(C35&lt;=0,"",IFERROR(G35/C35-1,"")))</f>
        <v/>
      </c>
      <c r="H36" s="15">
        <f>IF(OR(H35="",D35=""),"",IF(D35&lt;=0,"",IFERROR(H35/D35-1,"")))</f>
        <v/>
      </c>
      <c r="I36" s="15">
        <f>IF(OR(I35="",E35=""),"",IF(E35&lt;=0,"",IFERROR(I35/E35-1,"")))</f>
        <v/>
      </c>
      <c r="J36" s="15">
        <f>IF(OR(J35="",F35=""),"",IF(F35&lt;=0,"",IFERROR(J35/F35-1,"")))</f>
        <v/>
      </c>
      <c r="K36" s="15">
        <f>IF(OR(K35="",G35=""),"",IF(G35&lt;=0,"",IFERROR(K35/G35-1,"")))</f>
        <v/>
      </c>
      <c r="L36" s="15">
        <f>IF(OR(L35="",H35=""),"",IF(H35&lt;=0,"",IFERROR(L35/H35-1,"")))</f>
        <v/>
      </c>
      <c r="M36" s="15">
        <f>IF(OR(M35="",I35=""),"",IF(I35&lt;=0,"",IFERROR(M35/I35-1,"")))</f>
        <v/>
      </c>
      <c r="N36" s="15">
        <f>IF(OR(N35="",J35=""),"",IF(J35&lt;=0,"",IFERROR(N35/J35-1,"")))</f>
        <v/>
      </c>
      <c r="O36" s="14" t="n"/>
      <c r="P36" s="15">
        <f>IF(OR(P35="",O35=""),"",IF(O35&lt;=0,"",IFERROR(P35/O35-1,"")))</f>
        <v/>
      </c>
      <c r="Q36" s="15">
        <f>IF(OR(Q35="",P35=""),"",IF(P35&lt;=0,"",IFERROR(Q35/P35-1,"")))</f>
        <v/>
      </c>
      <c r="R36" s="15">
        <f>IF(OR(R35="",Q35=""),"",IF(Q35&lt;=0,"",IFERROR(R35/Q35-1,"")))</f>
        <v/>
      </c>
      <c r="S36" s="15">
        <f>IF(OR(S35="",R35=""),"",IF(R35&lt;=0,"",IFERROR(S35/R35-1,"")))</f>
        <v/>
      </c>
      <c r="T36" s="15">
        <f>IF(OR(T35="",S35=""),"",IF(S35&lt;=0,"",IFERROR(T35/S35-1,"")))</f>
        <v/>
      </c>
      <c r="U36" s="15">
        <f>IF(OR(U35="",T35=""),"",IF(T35&lt;=0,"",IFERROR(U35/T35-1,"")))</f>
        <v/>
      </c>
      <c r="V36" s="15">
        <f>IF(OR(V35="",U35=""),"",IF(U35&lt;=0,"",IFERROR(V35/U35-1,"")))</f>
        <v/>
      </c>
      <c r="W36" s="15">
        <f>IF(OR(W35="",V35=""),"",IF(V35&lt;=0,"",IFERROR(W35/V35-1,"")))</f>
        <v/>
      </c>
      <c r="X36" s="15">
        <f>IF(OR(X35="",W35=""),"",IF(W35&lt;=0,"",IFERROR(X35/W35-1,"")))</f>
        <v/>
      </c>
      <c r="Y36" s="14">
        <f>IF(OR(Y35="",X35=""),"",IF(X35&lt;=0,"",IFERROR(Y35/X35-1,"")))</f>
        <v/>
      </c>
      <c r="Z36" s="15">
        <f>IF(OR(Z35="",Y35=""),"",IF(Y35&lt;=0,"",IFERROR(Z35/Y35-1,"")))</f>
        <v/>
      </c>
      <c r="AA36" s="15">
        <f>IF(OR(AA35="",Z35=""),"",IF(Z35&lt;=0,"",IFERROR(AA35/Z35-1,"")))</f>
        <v/>
      </c>
      <c r="AB36" s="15">
        <f>IF(OR(AB35="",AA35=""),"",IF(AA35&lt;=0,"",IFERROR(AB35/AA35-1,"")))</f>
        <v/>
      </c>
      <c r="AC36" s="15">
        <f>IF(OR(AC35="",AB35=""),"",IF(AB35&lt;=0,"",IFERROR(AC35/AB35-1,"")))</f>
        <v/>
      </c>
    </row>
    <row r="37">
      <c r="A37" s="18" t="inlineStr">
        <is>
          <t>매출총이익</t>
        </is>
      </c>
      <c r="B37" s="10" t="n"/>
      <c r="C37" s="19">
        <f>IF(OR(C4="",C35=""),"",IFERROR(C4-C35,""))</f>
        <v/>
      </c>
      <c r="D37" s="20">
        <f>IF(OR(D4="",D35=""),"",IFERROR(D4-D35,""))</f>
        <v/>
      </c>
      <c r="E37" s="20">
        <f>IF(OR(E4="",E35=""),"",IFERROR(E4-E35,""))</f>
        <v/>
      </c>
      <c r="F37" s="20">
        <f>IF(OR(F4="",F35=""),"",IFERROR(F4-F35,""))</f>
        <v/>
      </c>
      <c r="G37" s="20">
        <f>IF(OR(G4="",G35=""),"",IFERROR(G4-G35,""))</f>
        <v/>
      </c>
      <c r="H37" s="20">
        <f>IF(OR(H4="",H35=""),"",IFERROR(H4-H35,""))</f>
        <v/>
      </c>
      <c r="I37" s="20">
        <f>IF(OR(I4="",I35=""),"",IFERROR(I4-I35,""))</f>
        <v/>
      </c>
      <c r="J37" s="20">
        <f>IF(OR(J4="",J35=""),"",IFERROR(J4-J35,""))</f>
        <v/>
      </c>
      <c r="K37" s="20">
        <f>IF(OR(K4="",K35=""),"",IFERROR(K4-K35,""))</f>
        <v/>
      </c>
      <c r="L37" s="20">
        <f>IF(OR(L4="",L35=""),"",IFERROR(L4-L35,""))</f>
        <v/>
      </c>
      <c r="M37" s="20">
        <f>IF(OR(M4="",M35=""),"",IFERROR(M4-M35,""))</f>
        <v/>
      </c>
      <c r="N37" s="20">
        <f>IF(OR(N4="",N35=""),"",IFERROR(N4-N35,""))</f>
        <v/>
      </c>
      <c r="O37" s="19">
        <f>IF(OR(O4="",O35=""),"",IFERROR(O4-O35,""))</f>
        <v/>
      </c>
      <c r="P37" s="20">
        <f>IF(OR(P4="",P35=""),"",IFERROR(P4-P35,""))</f>
        <v/>
      </c>
      <c r="Q37" s="20">
        <f>IF(OR(Q4="",Q35=""),"",IFERROR(Q4-Q35,""))</f>
        <v/>
      </c>
      <c r="R37" s="20">
        <f>IF(OR(R4="",R35=""),"",IFERROR(R4-R35,""))</f>
        <v/>
      </c>
      <c r="S37" s="20">
        <f>IF(OR(S4="",S35=""),"",IFERROR(S4-S35,""))</f>
        <v/>
      </c>
      <c r="T37" s="20">
        <f>IF(OR(T4="",T35=""),"",IFERROR(T4-T35,""))</f>
        <v/>
      </c>
      <c r="U37" s="20">
        <f>IF(OR(U4="",U35=""),"",IFERROR(U4-U35,""))</f>
        <v/>
      </c>
      <c r="V37" s="20">
        <f>IF(OR(V4="",V35=""),"",IFERROR(V4-V35,""))</f>
        <v/>
      </c>
      <c r="W37" s="20">
        <f>IF(OR(W4="",W35=""),"",IFERROR(W4-W35,""))</f>
        <v/>
      </c>
      <c r="X37" s="20">
        <f>IF(OR(X4="",X35=""),"",IFERROR(X4-X35,""))</f>
        <v/>
      </c>
      <c r="Y37" s="19" t="n"/>
      <c r="Z37" s="20" t="n"/>
      <c r="AA37" s="20" t="n"/>
      <c r="AB37" s="20" t="n"/>
      <c r="AC37" s="20" t="n"/>
    </row>
    <row r="38">
      <c r="A38" s="13" t="inlineStr">
        <is>
          <t>GPM</t>
        </is>
      </c>
      <c r="B38" s="10" t="n"/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>
        <f>IF(OR(Y37="",Y4=""),"",IFERROR(Y37/Y4,""))</f>
        <v/>
      </c>
      <c r="Z38" s="15">
        <f>IF(OR(Z37="",Z4=""),"",IFERROR(Z37/Z4,""))</f>
        <v/>
      </c>
      <c r="AA38" s="15">
        <f>IF(OR(AA37="",AA4=""),"",IFERROR(AA37/AA4,""))</f>
        <v/>
      </c>
      <c r="AB38" s="15">
        <f>IF(OR(AB37="",AB4=""),"",IFERROR(AB37/AB4,""))</f>
        <v/>
      </c>
      <c r="AC38" s="15">
        <f>IF(OR(AC37="",AC4=""),"",IFERROR(AC37/AC4,""))</f>
        <v/>
      </c>
    </row>
    <row r="39">
      <c r="A39" s="13" t="inlineStr">
        <is>
          <t>YoY</t>
        </is>
      </c>
      <c r="B39" s="10" t="n"/>
      <c r="C39" s="14" t="n"/>
      <c r="D39" s="15" t="n"/>
      <c r="E39" s="15" t="n"/>
      <c r="F39" s="15" t="n"/>
      <c r="G39" s="15">
        <f>IF(OR(G37="",C37=""),"",IF(C37&lt;=0,"",IFERROR(G37/C37-1,"")))</f>
        <v/>
      </c>
      <c r="H39" s="15">
        <f>IF(OR(H37="",D37=""),"",IF(D37&lt;=0,"",IFERROR(H37/D37-1,"")))</f>
        <v/>
      </c>
      <c r="I39" s="15">
        <f>IF(OR(I37="",E37=""),"",IF(E37&lt;=0,"",IFERROR(I37/E37-1,"")))</f>
        <v/>
      </c>
      <c r="J39" s="15">
        <f>IF(OR(J37="",F37=""),"",IF(F37&lt;=0,"",IFERROR(J37/F37-1,"")))</f>
        <v/>
      </c>
      <c r="K39" s="15">
        <f>IF(OR(K37="",G37=""),"",IF(G37&lt;=0,"",IFERROR(K37/G37-1,"")))</f>
        <v/>
      </c>
      <c r="L39" s="15">
        <f>IF(OR(L37="",H37=""),"",IF(H37&lt;=0,"",IFERROR(L37/H37-1,"")))</f>
        <v/>
      </c>
      <c r="M39" s="15">
        <f>IF(OR(M37="",I37=""),"",IF(I37&lt;=0,"",IFERROR(M37/I37-1,"")))</f>
        <v/>
      </c>
      <c r="N39" s="15">
        <f>IF(OR(N37="",J37=""),"",IF(J37&lt;=0,"",IFERROR(N37/J37-1,"")))</f>
        <v/>
      </c>
      <c r="O39" s="14" t="n"/>
      <c r="P39" s="15">
        <f>IF(OR(P37="",O37=""),"",IF(O37&lt;=0,"",IFERROR(P37/O37-1,"")))</f>
        <v/>
      </c>
      <c r="Q39" s="15">
        <f>IF(OR(Q37="",P37=""),"",IF(P37&lt;=0,"",IFERROR(Q37/P37-1,"")))</f>
        <v/>
      </c>
      <c r="R39" s="15">
        <f>IF(OR(R37="",Q37=""),"",IF(Q37&lt;=0,"",IFERROR(R37/Q37-1,"")))</f>
        <v/>
      </c>
      <c r="S39" s="15">
        <f>IF(OR(S37="",R37=""),"",IF(R37&lt;=0,"",IFERROR(S37/R37-1,"")))</f>
        <v/>
      </c>
      <c r="T39" s="15">
        <f>IF(OR(T37="",S37=""),"",IF(S37&lt;=0,"",IFERROR(T37/S37-1,"")))</f>
        <v/>
      </c>
      <c r="U39" s="15">
        <f>IF(OR(U37="",T37=""),"",IF(T37&lt;=0,"",IFERROR(U37/T37-1,"")))</f>
        <v/>
      </c>
      <c r="V39" s="15">
        <f>IF(OR(V37="",U37=""),"",IF(U37&lt;=0,"",IFERROR(V37/U37-1,"")))</f>
        <v/>
      </c>
      <c r="W39" s="15">
        <f>IF(OR(W37="",V37=""),"",IF(V37&lt;=0,"",IFERROR(W37/V37-1,"")))</f>
        <v/>
      </c>
      <c r="X39" s="15">
        <f>IF(OR(X37="",W37=""),"",IF(W37&lt;=0,"",IFERROR(X37/W37-1,"")))</f>
        <v/>
      </c>
      <c r="Y39" s="14">
        <f>IF(OR(Y37="",X37=""),"",IF(X37&lt;=0,"",IFERROR(Y37/X37-1,"")))</f>
        <v/>
      </c>
      <c r="Z39" s="15">
        <f>IF(OR(Z37="",Y37=""),"",IF(Y37&lt;=0,"",IFERROR(Z37/Y37-1,"")))</f>
        <v/>
      </c>
      <c r="AA39" s="15">
        <f>IF(OR(AA37="",Z37=""),"",IF(Z37&lt;=0,"",IFERROR(AA37/Z37-1,"")))</f>
        <v/>
      </c>
      <c r="AB39" s="15">
        <f>IF(OR(AB37="",AA37=""),"",IF(AA37&lt;=0,"",IFERROR(AB37/AA37-1,"")))</f>
        <v/>
      </c>
      <c r="AC39" s="15">
        <f>IF(OR(AC37="",AB37=""),"",IF(AB37&lt;=0,"",IFERROR(AC37/AB37-1,"")))</f>
        <v/>
      </c>
    </row>
    <row r="40">
      <c r="A40" s="23" t="inlineStr">
        <is>
          <t>판매관리비</t>
        </is>
      </c>
      <c r="B40" s="23" t="n"/>
      <c r="C40" s="24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4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4" t="n"/>
      <c r="Z40" s="23" t="n"/>
      <c r="AA40" s="23" t="n"/>
      <c r="AB40" s="23" t="n"/>
      <c r="AC40" s="23" t="n"/>
    </row>
    <row r="41">
      <c r="A41" s="18" t="inlineStr">
        <is>
          <t>전체 판관비</t>
        </is>
      </c>
      <c r="B41" s="10" t="n"/>
      <c r="C41" s="19" t="n">
        <v>798</v>
      </c>
      <c r="D41" s="20" t="n">
        <v>853</v>
      </c>
      <c r="E41" s="20" t="n">
        <v>922</v>
      </c>
      <c r="F41" s="20" t="n">
        <v>963</v>
      </c>
      <c r="G41" s="20" t="n">
        <v>940</v>
      </c>
      <c r="H41" s="20" t="n">
        <v>1042</v>
      </c>
      <c r="I41" s="20" t="n">
        <v>1050</v>
      </c>
      <c r="J41" s="20" t="n">
        <v>1206</v>
      </c>
      <c r="K41" s="20" t="n">
        <v>1174</v>
      </c>
      <c r="L41" s="20" t="n">
        <v>1127</v>
      </c>
      <c r="M41" s="20" t="n">
        <v>1396</v>
      </c>
      <c r="N41" s="20" t="n">
        <v>1454</v>
      </c>
      <c r="O41" s="19" t="n"/>
      <c r="P41" s="20" t="n">
        <v>1123.544</v>
      </c>
      <c r="Q41" s="20" t="n">
        <v>1431.045</v>
      </c>
      <c r="R41" s="20" t="n">
        <v>1263.553</v>
      </c>
      <c r="S41" s="20" t="n">
        <v>1192.806</v>
      </c>
      <c r="T41" s="20" t="n">
        <v>1303.925</v>
      </c>
      <c r="U41" s="20" t="n">
        <v>2382.011</v>
      </c>
      <c r="V41" s="20" t="n">
        <v>3536</v>
      </c>
      <c r="W41" s="20" t="n">
        <v>4238</v>
      </c>
      <c r="X41" s="20" t="n">
        <v>5151</v>
      </c>
      <c r="Y41" s="19" t="n"/>
      <c r="Z41" s="20" t="n"/>
      <c r="AA41" s="20" t="n"/>
      <c r="AB41" s="20" t="n"/>
      <c r="AC41" s="20" t="n"/>
    </row>
    <row r="42">
      <c r="A42" s="13" t="inlineStr">
        <is>
          <t>YoY</t>
        </is>
      </c>
      <c r="B42" s="10" t="n"/>
      <c r="C42" s="14" t="n"/>
      <c r="D42" s="15" t="n"/>
      <c r="E42" s="15" t="n"/>
      <c r="F42" s="15" t="n"/>
      <c r="G42" s="15">
        <f>IF(OR(G41="",C41=""),"",IF(C41&lt;=0,"",IFERROR(G41/C41-1,"")))</f>
        <v/>
      </c>
      <c r="H42" s="15">
        <f>IF(OR(H41="",D41=""),"",IF(D41&lt;=0,"",IFERROR(H41/D41-1,"")))</f>
        <v/>
      </c>
      <c r="I42" s="15">
        <f>IF(OR(I41="",E41=""),"",IF(E41&lt;=0,"",IFERROR(I41/E41-1,"")))</f>
        <v/>
      </c>
      <c r="J42" s="15">
        <f>IF(OR(J41="",F41=""),"",IF(F41&lt;=0,"",IFERROR(J41/F41-1,"")))</f>
        <v/>
      </c>
      <c r="K42" s="15">
        <f>IF(OR(K41="",G41=""),"",IF(G41&lt;=0,"",IFERROR(K41/G41-1,"")))</f>
        <v/>
      </c>
      <c r="L42" s="15">
        <f>IF(OR(L41="",H41=""),"",IF(H41&lt;=0,"",IFERROR(L41/H41-1,"")))</f>
        <v/>
      </c>
      <c r="M42" s="15">
        <f>IF(OR(M41="",I41=""),"",IF(I41&lt;=0,"",IFERROR(M41/I41-1,"")))</f>
        <v/>
      </c>
      <c r="N42" s="15">
        <f>IF(OR(N41="",J41=""),"",IF(J41&lt;=0,"",IFERROR(N41/J41-1,"")))</f>
        <v/>
      </c>
      <c r="O42" s="14" t="n"/>
      <c r="P42" s="15">
        <f>IF(OR(P41="",O41=""),"",IF(O41&lt;=0,"",IFERROR(P41/O41-1,"")))</f>
        <v/>
      </c>
      <c r="Q42" s="15">
        <f>IF(OR(Q41="",P41=""),"",IF(P41&lt;=0,"",IFERROR(Q41/P41-1,"")))</f>
        <v/>
      </c>
      <c r="R42" s="15">
        <f>IF(OR(R41="",Q41=""),"",IF(Q41&lt;=0,"",IFERROR(R41/Q41-1,"")))</f>
        <v/>
      </c>
      <c r="S42" s="15">
        <f>IF(OR(S41="",R41=""),"",IF(R41&lt;=0,"",IFERROR(S41/R41-1,"")))</f>
        <v/>
      </c>
      <c r="T42" s="15">
        <f>IF(OR(T41="",S41=""),"",IF(S41&lt;=0,"",IFERROR(T41/S41-1,"")))</f>
        <v/>
      </c>
      <c r="U42" s="15">
        <f>IF(OR(U41="",T41=""),"",IF(T41&lt;=0,"",IFERROR(U41/T41-1,"")))</f>
        <v/>
      </c>
      <c r="V42" s="15">
        <f>IF(OR(V41="",U41=""),"",IF(U41&lt;=0,"",IFERROR(V41/U41-1,"")))</f>
        <v/>
      </c>
      <c r="W42" s="15">
        <f>IF(OR(W41="",V41=""),"",IF(V41&lt;=0,"",IFERROR(W41/V41-1,"")))</f>
        <v/>
      </c>
      <c r="X42" s="15">
        <f>IF(OR(X41="",W41=""),"",IF(W41&lt;=0,"",IFERROR(X41/W41-1,"")))</f>
        <v/>
      </c>
      <c r="Y42" s="14">
        <f>IF(OR(Y41="",X41=""),"",IF(X41&lt;=0,"",IFERROR(Y41/X41-1,"")))</f>
        <v/>
      </c>
      <c r="Z42" s="15">
        <f>IF(OR(Z41="",Y41=""),"",IF(Y41&lt;=0,"",IFERROR(Z41/Y41-1,"")))</f>
        <v/>
      </c>
      <c r="AA42" s="15">
        <f>IF(OR(AA41="",Z41=""),"",IF(Z41&lt;=0,"",IFERROR(AA41/Z41-1,"")))</f>
        <v/>
      </c>
      <c r="AB42" s="15">
        <f>IF(OR(AB41="",AA41=""),"",IF(AA41&lt;=0,"",IFERROR(AB41/AA41-1,"")))</f>
        <v/>
      </c>
      <c r="AC42" s="15">
        <f>IF(OR(AC41="",AB41=""),"",IF(AB41&lt;=0,"",IFERROR(AC41/AB41-1,"")))</f>
        <v/>
      </c>
    </row>
    <row r="43">
      <c r="A43" s="9" t="inlineStr">
        <is>
          <t>영업이익</t>
        </is>
      </c>
      <c r="B43" s="10" t="inlineStr">
        <is>
          <t>MW = 매출 × OPM</t>
        </is>
      </c>
      <c r="C43" s="11" t="n">
        <v>339</v>
      </c>
      <c r="D43" s="12" t="n">
        <v>475</v>
      </c>
      <c r="E43" s="12" t="n">
        <v>355</v>
      </c>
      <c r="F43" s="12" t="n">
        <v>106</v>
      </c>
      <c r="G43" s="12" t="n">
        <v>384</v>
      </c>
      <c r="H43" s="12" t="n">
        <v>478</v>
      </c>
      <c r="I43" s="12" t="n">
        <v>555</v>
      </c>
      <c r="J43" s="12" t="n">
        <v>-34</v>
      </c>
      <c r="K43" s="12" t="n">
        <v>293</v>
      </c>
      <c r="L43" s="12" t="n">
        <v>277</v>
      </c>
      <c r="M43" s="12" t="n">
        <v>-56</v>
      </c>
      <c r="N43" s="12" t="n">
        <v>106</v>
      </c>
      <c r="O43" s="11" t="n"/>
      <c r="P43" s="12" t="n">
        <v>1082.136</v>
      </c>
      <c r="Q43" s="12" t="n">
        <v>1954.645</v>
      </c>
      <c r="R43" s="12" t="n">
        <v>741.662</v>
      </c>
      <c r="S43" s="12" t="n">
        <v>453.731</v>
      </c>
      <c r="T43" s="12" t="n">
        <v>358.615</v>
      </c>
      <c r="U43" s="12" t="n">
        <v>312.58</v>
      </c>
      <c r="V43" s="12" t="n">
        <v>1275</v>
      </c>
      <c r="W43" s="12" t="n">
        <v>1383</v>
      </c>
      <c r="X43" s="12" t="n">
        <v>620</v>
      </c>
      <c r="Y43" s="11">
        <f>IF(OR(Y4="",Y44=""),"",IFERROR(Y4*Y44,""))</f>
        <v/>
      </c>
      <c r="Z43" s="12">
        <f>IF(OR(Z4="",Z44=""),"",IFERROR(Z4*Z44,""))</f>
        <v/>
      </c>
      <c r="AA43" s="12">
        <f>IF(OR(AA4="",AA44=""),"",IFERROR(AA4*AA44,""))</f>
        <v/>
      </c>
      <c r="AB43" s="12">
        <f>IF(OR(AB4="",AB44=""),"",IFERROR(AB4*AB44,""))</f>
        <v/>
      </c>
      <c r="AC43" s="12">
        <f>IF(OR(AC4="",AC44=""),"",IFERROR(AC4*AC44,""))</f>
        <v/>
      </c>
    </row>
    <row r="44">
      <c r="A44" s="13" t="inlineStr">
        <is>
          <t>OPM</t>
        </is>
      </c>
      <c r="B44" s="10" t="inlineStr">
        <is>
          <t>MW 입력</t>
        </is>
      </c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 t="n"/>
      <c r="Z44" s="26" t="n"/>
      <c r="AA44" s="26" t="n"/>
      <c r="AB44" s="26" t="n"/>
      <c r="AC44" s="26" t="n"/>
    </row>
    <row r="45">
      <c r="A45" s="13" t="inlineStr">
        <is>
          <t>증가율</t>
        </is>
      </c>
      <c r="B45" s="10" t="n"/>
      <c r="C45" s="14" t="n"/>
      <c r="D45" s="15" t="n"/>
      <c r="E45" s="15" t="n"/>
      <c r="F45" s="15" t="n"/>
      <c r="G45" s="15">
        <f>IF(OR(G43="",C43=""),"",IFERROR(G43/C43-1,""))</f>
        <v/>
      </c>
      <c r="H45" s="15">
        <f>IF(OR(H43="",D43=""),"",IFERROR(H43/D43-1,""))</f>
        <v/>
      </c>
      <c r="I45" s="15">
        <f>IF(OR(I43="",E43=""),"",IFERROR(I43/E43-1,""))</f>
        <v/>
      </c>
      <c r="J45" s="15">
        <f>IF(OR(J43="",F43=""),"",IFERROR(J43/F43-1,""))</f>
        <v/>
      </c>
      <c r="K45" s="15">
        <f>IF(OR(K43="",G43=""),"",IFERROR(K43/G43-1,""))</f>
        <v/>
      </c>
      <c r="L45" s="15">
        <f>IF(OR(L43="",H43=""),"",IFERROR(L43/H43-1,""))</f>
        <v/>
      </c>
      <c r="M45" s="15">
        <f>IF(OR(M43="",I43=""),"",IFERROR(M43/I43-1,""))</f>
        <v/>
      </c>
      <c r="N45" s="15">
        <f>IF(OR(N43="",J43=""),"",IFERROR(N43/J43-1,""))</f>
        <v/>
      </c>
      <c r="O45" s="14" t="n"/>
      <c r="P45" s="15">
        <f>IF(OR(P43="",O43=""),"",IFERROR(P43/O43-1,""))</f>
        <v/>
      </c>
      <c r="Q45" s="15">
        <f>IF(OR(Q43="",P43=""),"",IFERROR(Q43/P43-1,""))</f>
        <v/>
      </c>
      <c r="R45" s="15">
        <f>IF(OR(R43="",Q43=""),"",IFERROR(R43/Q43-1,""))</f>
        <v/>
      </c>
      <c r="S45" s="15">
        <f>IF(OR(S43="",R43=""),"",IFERROR(S43/R43-1,""))</f>
        <v/>
      </c>
      <c r="T45" s="15">
        <f>IF(OR(T43="",S43=""),"",IFERROR(T43/S43-1,""))</f>
        <v/>
      </c>
      <c r="U45" s="15">
        <f>IF(OR(U43="",T43=""),"",IFERROR(U43/T43-1,""))</f>
        <v/>
      </c>
      <c r="V45" s="15">
        <f>IF(OR(V43="",U43=""),"",IFERROR(V43/U43-1,""))</f>
        <v/>
      </c>
      <c r="W45" s="15">
        <f>IF(OR(W43="",V43=""),"",IFERROR(W43/V43-1,""))</f>
        <v/>
      </c>
      <c r="X45" s="15">
        <f>IF(OR(X43="",W43=""),"",IFERROR(X43/W43-1,""))</f>
        <v/>
      </c>
      <c r="Y45" s="14">
        <f>IF(OR(Y43="",X43=""),"",IFERROR(Y43/X43-1,""))</f>
        <v/>
      </c>
      <c r="Z45" s="15">
        <f>IF(OR(Z43="",Y43=""),"",IFERROR(Z43/Y43-1,""))</f>
        <v/>
      </c>
      <c r="AA45" s="15">
        <f>IF(OR(AA43="",Z43=""),"",IFERROR(AA43/Z43-1,""))</f>
        <v/>
      </c>
      <c r="AB45" s="15">
        <f>IF(OR(AB43="",AA43=""),"",IFERROR(AB43/AA43-1,""))</f>
        <v/>
      </c>
      <c r="AC45" s="15">
        <f>IF(OR(AC43="",AB43=""),"",IFERROR(AC43/AB43-1,""))</f>
        <v/>
      </c>
    </row>
    <row r="46">
      <c r="A46" s="16" t="inlineStr">
        <is>
          <t>비용의 성격별 분류</t>
        </is>
      </c>
      <c r="B46" s="16" t="inlineStr">
        <is>
          <t>참고 데이터</t>
        </is>
      </c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9" t="inlineStr">
        <is>
          <t>총 판관비</t>
        </is>
      </c>
      <c r="B47" s="10" t="n"/>
      <c r="C47" s="11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1">
        <f>IF(O41="","",O41)</f>
        <v/>
      </c>
      <c r="P47" s="12">
        <f>IF(P41="","",P41)</f>
        <v/>
      </c>
      <c r="Q47" s="12">
        <f>IF(Q41="","",Q41)</f>
        <v/>
      </c>
      <c r="R47" s="12">
        <f>IF(R41="","",R41)</f>
        <v/>
      </c>
      <c r="S47" s="12">
        <f>IF(S41="","",S41)</f>
        <v/>
      </c>
      <c r="T47" s="12">
        <f>IF(T41="","",T41)</f>
        <v/>
      </c>
      <c r="U47" s="12">
        <f>IF(U41="","",U41)</f>
        <v/>
      </c>
      <c r="V47" s="12">
        <f>IF(V41="","",V41)</f>
        <v/>
      </c>
      <c r="W47" s="12">
        <f>IF(W41="","",W41)</f>
        <v/>
      </c>
      <c r="X47" s="12">
        <f>IF(X41="","",X41)</f>
        <v/>
      </c>
      <c r="Y47" s="11" t="n"/>
      <c r="Z47" s="12" t="n"/>
      <c r="AA47" s="12" t="n"/>
      <c r="AB47" s="12" t="n"/>
      <c r="AC47" s="12" t="n"/>
    </row>
    <row r="48">
      <c r="A48" s="18" t="inlineStr">
        <is>
          <t>급여</t>
        </is>
      </c>
      <c r="B48" s="10" t="inlineStr">
        <is>
          <t>고정비</t>
        </is>
      </c>
      <c r="C48" s="19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19" t="n"/>
      <c r="P48" s="20" t="n">
        <v>214.255</v>
      </c>
      <c r="Q48" s="20" t="n">
        <v>290.703</v>
      </c>
      <c r="R48" s="20" t="n">
        <v>278.24</v>
      </c>
      <c r="S48" s="20" t="n">
        <v>282.961</v>
      </c>
      <c r="T48" s="20" t="n">
        <v>341.597</v>
      </c>
      <c r="U48" s="20" t="n">
        <v>544.4349999999999</v>
      </c>
      <c r="V48" s="20" t="n">
        <v>790</v>
      </c>
      <c r="W48" s="20" t="n">
        <v>932</v>
      </c>
      <c r="X48" s="20" t="n">
        <v>1121</v>
      </c>
      <c r="Y48" s="19" t="n"/>
      <c r="Z48" s="20" t="n"/>
      <c r="AA48" s="20" t="n"/>
      <c r="AB48" s="20" t="n"/>
      <c r="AC48" s="20" t="n"/>
    </row>
    <row r="49">
      <c r="A49" s="13" t="inlineStr">
        <is>
          <t>% of Sales</t>
        </is>
      </c>
      <c r="B49" s="10" t="n"/>
      <c r="C49" s="14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14" t="n"/>
      <c r="Z49" s="15" t="n"/>
      <c r="AA49" s="15" t="n"/>
      <c r="AB49" s="15" t="n"/>
      <c r="AC49" s="15" t="n"/>
    </row>
    <row r="50">
      <c r="A50" s="18" t="inlineStr">
        <is>
          <t>감가상각비</t>
        </is>
      </c>
      <c r="B50" s="10" t="inlineStr">
        <is>
          <t>고정비</t>
        </is>
      </c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19" t="n"/>
      <c r="Z50" s="20" t="n"/>
      <c r="AA50" s="20" t="n"/>
      <c r="AB50" s="20" t="n"/>
      <c r="AC50" s="20" t="n"/>
    </row>
    <row r="51">
      <c r="A51" s="13" t="inlineStr">
        <is>
          <t>% of Sales</t>
        </is>
      </c>
      <c r="B51" s="10" t="n"/>
      <c r="C51" s="14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14" t="n"/>
      <c r="Z51" s="15" t="n"/>
      <c r="AA51" s="15" t="n"/>
      <c r="AB51" s="15" t="n"/>
      <c r="AC51" s="15" t="n"/>
    </row>
    <row r="52">
      <c r="A52" s="18" t="inlineStr">
        <is>
          <t>지급수수료</t>
        </is>
      </c>
      <c r="B52" s="10" t="inlineStr">
        <is>
          <t>고정비</t>
        </is>
      </c>
      <c r="C52" s="19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19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19" t="n"/>
      <c r="Z52" s="20" t="n"/>
      <c r="AA52" s="20" t="n"/>
      <c r="AB52" s="20" t="n"/>
      <c r="AC52" s="20" t="n"/>
    </row>
    <row r="53">
      <c r="A53" s="13" t="inlineStr">
        <is>
          <t>% of Sales</t>
        </is>
      </c>
      <c r="B53" s="10" t="n"/>
      <c r="C53" s="14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14" t="n"/>
      <c r="Z53" s="15" t="n"/>
      <c r="AA53" s="15" t="n"/>
      <c r="AB53" s="15" t="n"/>
      <c r="AC53" s="15" t="n"/>
    </row>
    <row r="54">
      <c r="A54" s="18" t="inlineStr">
        <is>
          <t>연구개발비</t>
        </is>
      </c>
      <c r="B54" s="10" t="inlineStr">
        <is>
          <t>변동비</t>
        </is>
      </c>
      <c r="C54" s="19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19" t="n"/>
      <c r="P54" s="20" t="n">
        <v>1.851</v>
      </c>
      <c r="Q54" s="20" t="n">
        <v>0</v>
      </c>
      <c r="R54" s="20" t="n">
        <v>11.816</v>
      </c>
      <c r="S54" s="20" t="n">
        <v>40.423</v>
      </c>
      <c r="T54" s="20" t="n">
        <v>10.288</v>
      </c>
      <c r="U54" s="20" t="n">
        <v>20.4</v>
      </c>
      <c r="V54" s="20" t="n">
        <v>12</v>
      </c>
      <c r="W54" s="20" t="n">
        <v>8</v>
      </c>
      <c r="X54" s="20" t="n">
        <v>30</v>
      </c>
      <c r="Y54" s="19" t="n"/>
      <c r="Z54" s="20" t="n"/>
      <c r="AA54" s="20" t="n"/>
      <c r="AB54" s="20" t="n"/>
      <c r="AC54" s="20" t="n"/>
    </row>
    <row r="55">
      <c r="A55" s="13" t="inlineStr">
        <is>
          <t>% of Sales</t>
        </is>
      </c>
      <c r="B55" s="10" t="n"/>
      <c r="C55" s="14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14" t="n"/>
      <c r="Z55" s="15" t="n"/>
      <c r="AA55" s="15" t="n"/>
      <c r="AB55" s="15" t="n"/>
      <c r="AC55" s="15" t="n"/>
    </row>
    <row r="56">
      <c r="A56" s="18" t="inlineStr">
        <is>
          <t>기타비용</t>
        </is>
      </c>
      <c r="B56" s="10" t="inlineStr">
        <is>
          <t>변동비</t>
        </is>
      </c>
      <c r="C56" s="19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19">
        <f>IF(OR(O47="",O48="",O50="",O52="",O54=""),"",IFERROR(O47-O48-O50-O52-O54,""))</f>
        <v/>
      </c>
      <c r="P56" s="20">
        <f>IF(OR(P47="",P48="",P50="",P52="",P54=""),"",IFERROR(P47-P48-P50-P52-P54,""))</f>
        <v/>
      </c>
      <c r="Q56" s="20">
        <f>IF(OR(Q47="",Q48="",Q50="",Q52="",Q54=""),"",IFERROR(Q47-Q48-Q50-Q52-Q54,""))</f>
        <v/>
      </c>
      <c r="R56" s="20">
        <f>IF(OR(R47="",R48="",R50="",R52="",R54=""),"",IFERROR(R47-R48-R50-R52-R54,""))</f>
        <v/>
      </c>
      <c r="S56" s="20">
        <f>IF(OR(S47="",S48="",S50="",S52="",S54=""),"",IFERROR(S47-S48-S50-S52-S54,""))</f>
        <v/>
      </c>
      <c r="T56" s="20">
        <f>IF(OR(T47="",T48="",T50="",T52="",T54=""),"",IFERROR(T47-T48-T50-T52-T54,""))</f>
        <v/>
      </c>
      <c r="U56" s="20">
        <f>IF(OR(U47="",U48="",U50="",U52="",U54=""),"",IFERROR(U47-U48-U50-U52-U54,""))</f>
        <v/>
      </c>
      <c r="V56" s="20">
        <f>IF(OR(V47="",V48="",V50="",V52="",V54=""),"",IFERROR(V47-V48-V50-V52-V54,""))</f>
        <v/>
      </c>
      <c r="W56" s="20">
        <f>IF(OR(W47="",W48="",W50="",W52="",W54=""),"",IFERROR(W47-W48-W50-W52-W54,""))</f>
        <v/>
      </c>
      <c r="X56" s="20">
        <f>IF(OR(X47="",X48="",X50="",X52="",X54=""),"",IFERROR(X47-X48-X50-X52-X54,""))</f>
        <v/>
      </c>
      <c r="Y56" s="19" t="n"/>
      <c r="Z56" s="20" t="n"/>
      <c r="AA56" s="20" t="n"/>
      <c r="AB56" s="20" t="n"/>
      <c r="AC56" s="20" t="n"/>
    </row>
    <row r="57">
      <c r="A57" s="13" t="inlineStr">
        <is>
          <t>% of Sales</t>
        </is>
      </c>
      <c r="B57" s="10" t="n"/>
      <c r="C57" s="14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14" t="n"/>
      <c r="Z57" s="15" t="n"/>
      <c r="AA57" s="15" t="n"/>
      <c r="AB57" s="15" t="n"/>
      <c r="AC57" s="15" t="n"/>
    </row>
    <row r="58">
      <c r="A58" s="16" t="inlineStr">
        <is>
          <t>당기순이익 추정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특별이익</t>
        </is>
      </c>
      <c r="B59" s="10" t="n"/>
      <c r="C59" s="19" t="n">
        <v>5</v>
      </c>
      <c r="D59" s="20" t="n">
        <v>12</v>
      </c>
      <c r="E59" s="20" t="n">
        <v>1</v>
      </c>
      <c r="F59" s="20" t="n">
        <v>0</v>
      </c>
      <c r="G59" s="20" t="n">
        <v>0</v>
      </c>
      <c r="H59" s="20" t="n">
        <v>185</v>
      </c>
      <c r="I59" s="20" t="n">
        <v>4</v>
      </c>
      <c r="J59" s="20" t="n">
        <v>4</v>
      </c>
      <c r="K59" s="20" t="n">
        <v>1</v>
      </c>
      <c r="L59" s="20" t="n">
        <v>0</v>
      </c>
      <c r="M59" s="20" t="n">
        <v>125</v>
      </c>
      <c r="N59" s="20" t="n">
        <v>985</v>
      </c>
      <c r="O59" s="19" t="n"/>
      <c r="P59" s="20" t="n">
        <v>78.97199999999999</v>
      </c>
      <c r="Q59" s="20" t="n">
        <v>0.129</v>
      </c>
      <c r="R59" s="20" t="n">
        <v>27.681</v>
      </c>
      <c r="S59" s="20" t="n">
        <v>5.367</v>
      </c>
      <c r="T59" s="20" t="n">
        <v>0.008999999999999999</v>
      </c>
      <c r="U59" s="20" t="n">
        <v>1537.556</v>
      </c>
      <c r="V59" s="20" t="n">
        <v>18</v>
      </c>
      <c r="W59" s="20" t="n">
        <v>193</v>
      </c>
      <c r="X59" s="20" t="n">
        <v>1111</v>
      </c>
      <c r="Y59" s="19">
        <f>IF(OR(Y4="",Y60=""),"",IFERROR(Y4*Y60,""))</f>
        <v/>
      </c>
      <c r="Z59" s="20">
        <f>IF(OR(Z4="",Z60=""),"",IFERROR(Z4*Z60,""))</f>
        <v/>
      </c>
      <c r="AA59" s="20">
        <f>IF(OR(AA4="",AA60=""),"",IFERROR(AA4*AA60,""))</f>
        <v/>
      </c>
      <c r="AB59" s="20">
        <f>IF(OR(AB4="",AB60=""),"",IFERROR(AB4*AB60,""))</f>
        <v/>
      </c>
      <c r="AC59" s="20">
        <f>IF(OR(AC4="",AC60=""),"",IFERROR(AC4*AC60,""))</f>
        <v/>
      </c>
    </row>
    <row r="60">
      <c r="A60" s="13" t="inlineStr">
        <is>
          <t>% of Sales</t>
        </is>
      </c>
      <c r="B60" s="10" t="inlineStr">
        <is>
          <t>MW = 최근 3년 평균</t>
        </is>
      </c>
      <c r="C60" s="14">
        <f>IF(OR(C59="",C4=""),"",IFERROR(C59/C4,""))</f>
        <v/>
      </c>
      <c r="D60" s="15">
        <f>IF(OR(D59="",D4=""),"",IFERROR(D59/D4,""))</f>
        <v/>
      </c>
      <c r="E60" s="15">
        <f>IF(OR(E59="",E4=""),"",IFERROR(E59/E4,""))</f>
        <v/>
      </c>
      <c r="F60" s="15">
        <f>IF(OR(F59="",F4=""),"",IFERROR(F59/F4,""))</f>
        <v/>
      </c>
      <c r="G60" s="15">
        <f>IF(OR(G59="",G4=""),"",IFERROR(G59/G4,""))</f>
        <v/>
      </c>
      <c r="H60" s="15">
        <f>IF(OR(H59="",H4=""),"",IFERROR(H59/H4,""))</f>
        <v/>
      </c>
      <c r="I60" s="15">
        <f>IF(OR(I59="",I4=""),"",IFERROR(I59/I4,""))</f>
        <v/>
      </c>
      <c r="J60" s="15">
        <f>IF(OR(J59="",J4=""),"",IFERROR(J59/J4,""))</f>
        <v/>
      </c>
      <c r="K60" s="15">
        <f>IF(OR(K59="",K4=""),"",IFERROR(K59/K4,""))</f>
        <v/>
      </c>
      <c r="L60" s="15">
        <f>IF(OR(L59="",L4=""),"",IFERROR(L59/L4,""))</f>
        <v/>
      </c>
      <c r="M60" s="15">
        <f>IF(OR(M59="",M4=""),"",IFERROR(M59/M4,""))</f>
        <v/>
      </c>
      <c r="N60" s="15">
        <f>IF(OR(N59="",N4=""),"",IFERROR(N59/N4,""))</f>
        <v/>
      </c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25">
        <f>IFERROR(AVERAGE(V60,W60,X60),"")</f>
        <v/>
      </c>
      <c r="Z60" s="26">
        <f>Y60</f>
        <v/>
      </c>
      <c r="AA60" s="26">
        <f>Z60</f>
        <v/>
      </c>
      <c r="AB60" s="26">
        <f>AA60</f>
        <v/>
      </c>
      <c r="AC60" s="26">
        <f>AB60</f>
        <v/>
      </c>
    </row>
    <row r="61">
      <c r="A61" s="18" t="inlineStr">
        <is>
          <t>특별손실</t>
        </is>
      </c>
      <c r="B61" s="10" t="n"/>
      <c r="C61" s="19" t="n">
        <v>7</v>
      </c>
      <c r="D61" s="20" t="n">
        <v>1</v>
      </c>
      <c r="E61" s="20" t="n">
        <v>3</v>
      </c>
      <c r="F61" s="20" t="n">
        <v>0</v>
      </c>
      <c r="G61" s="20" t="n">
        <v>0</v>
      </c>
      <c r="H61" s="20" t="n">
        <v>0</v>
      </c>
      <c r="I61" s="20" t="n">
        <v>20</v>
      </c>
      <c r="J61" s="20" t="n">
        <v>77</v>
      </c>
      <c r="K61" s="20" t="n">
        <v>0</v>
      </c>
      <c r="L61" s="20" t="n">
        <v>0</v>
      </c>
      <c r="M61" s="20" t="n">
        <v>1</v>
      </c>
      <c r="N61" s="20" t="n">
        <v>147</v>
      </c>
      <c r="O61" s="19" t="n"/>
      <c r="P61" s="20" t="n">
        <v>0.368</v>
      </c>
      <c r="Q61" s="20" t="n">
        <v>10.631</v>
      </c>
      <c r="R61" s="20" t="n">
        <v>20.494</v>
      </c>
      <c r="S61" s="20" t="n">
        <v>17.725</v>
      </c>
      <c r="T61" s="20" t="n">
        <v>29.089</v>
      </c>
      <c r="U61" s="20" t="n">
        <v>9.010999999999999</v>
      </c>
      <c r="V61" s="20" t="n">
        <v>11</v>
      </c>
      <c r="W61" s="20" t="n">
        <v>97</v>
      </c>
      <c r="X61" s="20" t="n">
        <v>148</v>
      </c>
      <c r="Y61" s="19">
        <f>IF(OR(Y4="",Y62=""),"",IFERROR(Y4*Y62,""))</f>
        <v/>
      </c>
      <c r="Z61" s="20">
        <f>IF(OR(Z4="",Z62=""),"",IFERROR(Z4*Z62,""))</f>
        <v/>
      </c>
      <c r="AA61" s="20">
        <f>IF(OR(AA4="",AA62=""),"",IFERROR(AA4*AA62,""))</f>
        <v/>
      </c>
      <c r="AB61" s="20">
        <f>IF(OR(AB4="",AB62=""),"",IFERROR(AB4*AB62,""))</f>
        <v/>
      </c>
      <c r="AC61" s="20">
        <f>IF(OR(AC4="",AC62=""),"",IFERROR(AC4*AC62,""))</f>
        <v/>
      </c>
    </row>
    <row r="62">
      <c r="A62" s="13" t="inlineStr">
        <is>
          <t>% of Sales</t>
        </is>
      </c>
      <c r="B62" s="10" t="n"/>
      <c r="C62" s="14">
        <f>IF(OR(C61="",C4=""),"",IFERROR(C61/C4,""))</f>
        <v/>
      </c>
      <c r="D62" s="15">
        <f>IF(OR(D61="",D4=""),"",IFERROR(D61/D4,""))</f>
        <v/>
      </c>
      <c r="E62" s="15">
        <f>IF(OR(E61="",E4=""),"",IFERROR(E61/E4,""))</f>
        <v/>
      </c>
      <c r="F62" s="15">
        <f>IF(OR(F61="",F4=""),"",IFERROR(F61/F4,""))</f>
        <v/>
      </c>
      <c r="G62" s="15">
        <f>IF(OR(G61="",G4=""),"",IFERROR(G61/G4,""))</f>
        <v/>
      </c>
      <c r="H62" s="15">
        <f>IF(OR(H61="",H4=""),"",IFERROR(H61/H4,""))</f>
        <v/>
      </c>
      <c r="I62" s="15">
        <f>IF(OR(I61="",I4=""),"",IFERROR(I61/I4,""))</f>
        <v/>
      </c>
      <c r="J62" s="15">
        <f>IF(OR(J61="",J4=""),"",IFERROR(J61/J4,""))</f>
        <v/>
      </c>
      <c r="K62" s="15">
        <f>IF(OR(K61="",K4=""),"",IFERROR(K61/K4,""))</f>
        <v/>
      </c>
      <c r="L62" s="15">
        <f>IF(OR(L61="",L4=""),"",IFERROR(L61/L4,""))</f>
        <v/>
      </c>
      <c r="M62" s="15">
        <f>IF(OR(M61="",M4=""),"",IFERROR(M61/M4,""))</f>
        <v/>
      </c>
      <c r="N62" s="15">
        <f>IF(OR(N61="",N4=""),"",IFERROR(N61/N4,""))</f>
        <v/>
      </c>
      <c r="O62" s="14">
        <f>IF(OR(O61="",O4=""),"",IFERROR(O61/O4,""))</f>
        <v/>
      </c>
      <c r="P62" s="15">
        <f>IF(OR(P61="",P4=""),"",IFERROR(P61/P4,""))</f>
        <v/>
      </c>
      <c r="Q62" s="15">
        <f>IF(OR(Q61="",Q4=""),"",IFERROR(Q61/Q4,""))</f>
        <v/>
      </c>
      <c r="R62" s="15">
        <f>IF(OR(R61="",R4=""),"",IFERROR(R61/R4,""))</f>
        <v/>
      </c>
      <c r="S62" s="15">
        <f>IF(OR(S61="",S4=""),"",IFERROR(S61/S4,""))</f>
        <v/>
      </c>
      <c r="T62" s="15">
        <f>IF(OR(T61="",T4=""),"",IFERROR(T61/T4,""))</f>
        <v/>
      </c>
      <c r="U62" s="15">
        <f>IF(OR(U61="",U4=""),"",IFERROR(U61/U4,""))</f>
        <v/>
      </c>
      <c r="V62" s="15">
        <f>IF(OR(V61="",V4=""),"",IFERROR(V61/V4,""))</f>
        <v/>
      </c>
      <c r="W62" s="15">
        <f>IF(OR(W61="",W4=""),"",IFERROR(W61/W4,""))</f>
        <v/>
      </c>
      <c r="X62" s="15">
        <f>IF(OR(X61="",X4=""),"",IFERROR(X61/X4,""))</f>
        <v/>
      </c>
      <c r="Y62" s="25">
        <f>IFERROR(AVERAGE(V62,W62,X62),"")</f>
        <v/>
      </c>
      <c r="Z62" s="26">
        <f>Y62</f>
        <v/>
      </c>
      <c r="AA62" s="26">
        <f>Z62</f>
        <v/>
      </c>
      <c r="AB62" s="26">
        <f>AA62</f>
        <v/>
      </c>
      <c r="AC62" s="26">
        <f>AB62</f>
        <v/>
      </c>
    </row>
    <row r="63">
      <c r="A63" s="18" t="inlineStr">
        <is>
          <t>영업외수익</t>
        </is>
      </c>
      <c r="B63" s="10" t="n"/>
      <c r="C63" s="19" t="n">
        <v>36</v>
      </c>
      <c r="D63" s="20" t="n">
        <v>23</v>
      </c>
      <c r="E63" s="20" t="n">
        <v>43</v>
      </c>
      <c r="F63" s="20" t="n">
        <v>42</v>
      </c>
      <c r="G63" s="20" t="n">
        <v>26</v>
      </c>
      <c r="H63" s="20" t="n">
        <v>26</v>
      </c>
      <c r="I63" s="20" t="n">
        <v>23</v>
      </c>
      <c r="J63" s="20" t="n">
        <v>28</v>
      </c>
      <c r="K63" s="20" t="n">
        <v>48</v>
      </c>
      <c r="L63" s="20" t="n">
        <v>32</v>
      </c>
      <c r="M63" s="20" t="n">
        <v>31</v>
      </c>
      <c r="N63" s="20" t="n">
        <v>49</v>
      </c>
      <c r="O63" s="19" t="n"/>
      <c r="P63" s="20" t="n">
        <v>33.734</v>
      </c>
      <c r="Q63" s="20" t="n">
        <v>37.722</v>
      </c>
      <c r="R63" s="20" t="n">
        <v>25.151</v>
      </c>
      <c r="S63" s="20" t="n">
        <v>82.833</v>
      </c>
      <c r="T63" s="20" t="n">
        <v>52.447</v>
      </c>
      <c r="U63" s="20" t="n">
        <v>141.129</v>
      </c>
      <c r="V63" s="20" t="n">
        <v>144</v>
      </c>
      <c r="W63" s="20" t="n">
        <v>103</v>
      </c>
      <c r="X63" s="20" t="n">
        <v>160</v>
      </c>
      <c r="Y63" s="19">
        <f>IF(OR(Y4="",Y64=""),"",IFERROR(Y4*Y64,""))</f>
        <v/>
      </c>
      <c r="Z63" s="20">
        <f>IF(OR(Z4="",Z64=""),"",IFERROR(Z4*Z64,""))</f>
        <v/>
      </c>
      <c r="AA63" s="20">
        <f>IF(OR(AA4="",AA64=""),"",IFERROR(AA4*AA64,""))</f>
        <v/>
      </c>
      <c r="AB63" s="20">
        <f>IF(OR(AB4="",AB64=""),"",IFERROR(AB4*AB64,""))</f>
        <v/>
      </c>
      <c r="AC63" s="20">
        <f>IF(OR(AC4="",AC64=""),"",IFERROR(AC4*AC64,""))</f>
        <v/>
      </c>
    </row>
    <row r="64">
      <c r="A64" s="13" t="inlineStr">
        <is>
          <t>% of Sales</t>
        </is>
      </c>
      <c r="B64" s="10" t="n"/>
      <c r="C64" s="14">
        <f>IF(OR(C63="",C4=""),"",IFERROR(C63/C4,""))</f>
        <v/>
      </c>
      <c r="D64" s="15">
        <f>IF(OR(D63="",D4=""),"",IFERROR(D63/D4,""))</f>
        <v/>
      </c>
      <c r="E64" s="15">
        <f>IF(OR(E63="",E4=""),"",IFERROR(E63/E4,""))</f>
        <v/>
      </c>
      <c r="F64" s="15">
        <f>IF(OR(F63="",F4=""),"",IFERROR(F63/F4,""))</f>
        <v/>
      </c>
      <c r="G64" s="15">
        <f>IF(OR(G63="",G4=""),"",IFERROR(G63/G4,""))</f>
        <v/>
      </c>
      <c r="H64" s="15">
        <f>IF(OR(H63="",H4=""),"",IFERROR(H63/H4,""))</f>
        <v/>
      </c>
      <c r="I64" s="15">
        <f>IF(OR(I63="",I4=""),"",IFERROR(I63/I4,""))</f>
        <v/>
      </c>
      <c r="J64" s="15">
        <f>IF(OR(J63="",J4=""),"",IFERROR(J63/J4,""))</f>
        <v/>
      </c>
      <c r="K64" s="15">
        <f>IF(OR(K63="",K4=""),"",IFERROR(K63/K4,""))</f>
        <v/>
      </c>
      <c r="L64" s="15">
        <f>IF(OR(L63="",L4=""),"",IFERROR(L63/L4,""))</f>
        <v/>
      </c>
      <c r="M64" s="15">
        <f>IF(OR(M63="",M4=""),"",IFERROR(M63/M4,""))</f>
        <v/>
      </c>
      <c r="N64" s="15">
        <f>IF(OR(N63="",N4=""),"",IFERROR(N63/N4,""))</f>
        <v/>
      </c>
      <c r="O64" s="14">
        <f>IF(OR(O63="",O4=""),"",IFERROR(O63/O4,""))</f>
        <v/>
      </c>
      <c r="P64" s="15">
        <f>IF(OR(P63="",P4=""),"",IFERROR(P63/P4,""))</f>
        <v/>
      </c>
      <c r="Q64" s="15">
        <f>IF(OR(Q63="",Q4=""),"",IFERROR(Q63/Q4,""))</f>
        <v/>
      </c>
      <c r="R64" s="15">
        <f>IF(OR(R63="",R4=""),"",IFERROR(R63/R4,""))</f>
        <v/>
      </c>
      <c r="S64" s="15">
        <f>IF(OR(S63="",S4=""),"",IFERROR(S63/S4,""))</f>
        <v/>
      </c>
      <c r="T64" s="15">
        <f>IF(OR(T63="",T4=""),"",IFERROR(T63/T4,""))</f>
        <v/>
      </c>
      <c r="U64" s="15">
        <f>IF(OR(U63="",U4=""),"",IFERROR(U63/U4,""))</f>
        <v/>
      </c>
      <c r="V64" s="15">
        <f>IF(OR(V63="",V4=""),"",IFERROR(V63/V4,""))</f>
        <v/>
      </c>
      <c r="W64" s="15">
        <f>IF(OR(W63="",W4=""),"",IFERROR(W63/W4,""))</f>
        <v/>
      </c>
      <c r="X64" s="15">
        <f>IF(OR(X63="",X4=""),"",IFERROR(X63/X4,""))</f>
        <v/>
      </c>
      <c r="Y64" s="25">
        <f>IFERROR(AVERAGE(V64,W64,X64),"")</f>
        <v/>
      </c>
      <c r="Z64" s="26">
        <f>Y64</f>
        <v/>
      </c>
      <c r="AA64" s="26">
        <f>Z64</f>
        <v/>
      </c>
      <c r="AB64" s="26">
        <f>AA64</f>
        <v/>
      </c>
      <c r="AC64" s="26">
        <f>AB64</f>
        <v/>
      </c>
    </row>
    <row r="65">
      <c r="A65" s="18" t="inlineStr">
        <is>
          <t>영업외비용</t>
        </is>
      </c>
      <c r="B65" s="10" t="n"/>
      <c r="C65" s="19" t="n">
        <v>10</v>
      </c>
      <c r="D65" s="20" t="n">
        <v>14</v>
      </c>
      <c r="E65" s="20" t="n">
        <v>9</v>
      </c>
      <c r="F65" s="20" t="n">
        <v>24</v>
      </c>
      <c r="G65" s="20" t="n">
        <v>14</v>
      </c>
      <c r="H65" s="20" t="n">
        <v>21</v>
      </c>
      <c r="I65" s="20" t="n">
        <v>34</v>
      </c>
      <c r="J65" s="20" t="n">
        <v>16</v>
      </c>
      <c r="K65" s="20" t="n">
        <v>26</v>
      </c>
      <c r="L65" s="20" t="n">
        <v>30</v>
      </c>
      <c r="M65" s="20" t="n">
        <v>39</v>
      </c>
      <c r="N65" s="20" t="n">
        <v>81</v>
      </c>
      <c r="O65" s="19" t="n"/>
      <c r="P65" s="20" t="n">
        <v>11.997</v>
      </c>
      <c r="Q65" s="20" t="n">
        <v>15.714</v>
      </c>
      <c r="R65" s="20" t="n">
        <v>8.550000000000001</v>
      </c>
      <c r="S65" s="20" t="n">
        <v>7.96</v>
      </c>
      <c r="T65" s="20" t="n">
        <v>14.302</v>
      </c>
      <c r="U65" s="20" t="n">
        <v>37.255</v>
      </c>
      <c r="V65" s="20" t="n">
        <v>57</v>
      </c>
      <c r="W65" s="20" t="n">
        <v>85</v>
      </c>
      <c r="X65" s="20" t="n">
        <v>176</v>
      </c>
      <c r="Y65" s="19">
        <f>IF(OR(Y4="",Y66=""),"",IFERROR(Y4*Y66,""))</f>
        <v/>
      </c>
      <c r="Z65" s="20">
        <f>IF(OR(Z4="",Z66=""),"",IFERROR(Z4*Z66,""))</f>
        <v/>
      </c>
      <c r="AA65" s="20">
        <f>IF(OR(AA4="",AA66=""),"",IFERROR(AA4*AA66,""))</f>
        <v/>
      </c>
      <c r="AB65" s="20">
        <f>IF(OR(AB4="",AB66=""),"",IFERROR(AB4*AB66,""))</f>
        <v/>
      </c>
      <c r="AC65" s="20">
        <f>IF(OR(AC4="",AC66=""),"",IFERROR(AC4*AC66,""))</f>
        <v/>
      </c>
    </row>
    <row r="66">
      <c r="A66" s="13" t="inlineStr">
        <is>
          <t>% of Sales</t>
        </is>
      </c>
      <c r="B66" s="10" t="n"/>
      <c r="C66" s="14">
        <f>IF(OR(C65="",C4=""),"",IFERROR(C65/C4,""))</f>
        <v/>
      </c>
      <c r="D66" s="15">
        <f>IF(OR(D65="",D4=""),"",IFERROR(D65/D4,""))</f>
        <v/>
      </c>
      <c r="E66" s="15">
        <f>IF(OR(E65="",E4=""),"",IFERROR(E65/E4,""))</f>
        <v/>
      </c>
      <c r="F66" s="15">
        <f>IF(OR(F65="",F4=""),"",IFERROR(F65/F4,""))</f>
        <v/>
      </c>
      <c r="G66" s="15">
        <f>IF(OR(G65="",G4=""),"",IFERROR(G65/G4,""))</f>
        <v/>
      </c>
      <c r="H66" s="15">
        <f>IF(OR(H65="",H4=""),"",IFERROR(H65/H4,""))</f>
        <v/>
      </c>
      <c r="I66" s="15">
        <f>IF(OR(I65="",I4=""),"",IFERROR(I65/I4,""))</f>
        <v/>
      </c>
      <c r="J66" s="15">
        <f>IF(OR(J65="",J4=""),"",IFERROR(J65/J4,""))</f>
        <v/>
      </c>
      <c r="K66" s="15">
        <f>IF(OR(K65="",K4=""),"",IFERROR(K65/K4,""))</f>
        <v/>
      </c>
      <c r="L66" s="15">
        <f>IF(OR(L65="",L4=""),"",IFERROR(L65/L4,""))</f>
        <v/>
      </c>
      <c r="M66" s="15">
        <f>IF(OR(M65="",M4=""),"",IFERROR(M65/M4,""))</f>
        <v/>
      </c>
      <c r="N66" s="15">
        <f>IF(OR(N65="",N4=""),"",IFERROR(N65/N4,""))</f>
        <v/>
      </c>
      <c r="O66" s="14">
        <f>IF(OR(O65="",O4=""),"",IFERROR(O65/O4,""))</f>
        <v/>
      </c>
      <c r="P66" s="15">
        <f>IF(OR(P65="",P4=""),"",IFERROR(P65/P4,""))</f>
        <v/>
      </c>
      <c r="Q66" s="15">
        <f>IF(OR(Q65="",Q4=""),"",IFERROR(Q65/Q4,""))</f>
        <v/>
      </c>
      <c r="R66" s="15">
        <f>IF(OR(R65="",R4=""),"",IFERROR(R65/R4,""))</f>
        <v/>
      </c>
      <c r="S66" s="15">
        <f>IF(OR(S65="",S4=""),"",IFERROR(S65/S4,""))</f>
        <v/>
      </c>
      <c r="T66" s="15">
        <f>IF(OR(T65="",T4=""),"",IFERROR(T65/T4,""))</f>
        <v/>
      </c>
      <c r="U66" s="15">
        <f>IF(OR(U65="",U4=""),"",IFERROR(U65/U4,""))</f>
        <v/>
      </c>
      <c r="V66" s="15">
        <f>IF(OR(V65="",V4=""),"",IFERROR(V65/V4,""))</f>
        <v/>
      </c>
      <c r="W66" s="15">
        <f>IF(OR(W65="",W4=""),"",IFERROR(W65/W4,""))</f>
        <v/>
      </c>
      <c r="X66" s="15">
        <f>IF(OR(X65="",X4=""),"",IFERROR(X65/X4,""))</f>
        <v/>
      </c>
      <c r="Y66" s="25">
        <f>IFERROR(AVERAGE(V66,W66,X66),"")</f>
        <v/>
      </c>
      <c r="Z66" s="26">
        <f>Y66</f>
        <v/>
      </c>
      <c r="AA66" s="26">
        <f>Z66</f>
        <v/>
      </c>
      <c r="AB66" s="26">
        <f>AA66</f>
        <v/>
      </c>
      <c r="AC66" s="26">
        <f>AB66</f>
        <v/>
      </c>
    </row>
    <row r="67">
      <c r="A67" s="9" t="inlineStr">
        <is>
          <t>법인세비용차감전순이익(손실)</t>
        </is>
      </c>
      <c r="B67" s="10" t="n"/>
      <c r="C67" s="11" t="n">
        <v>364</v>
      </c>
      <c r="D67" s="12" t="n">
        <v>493</v>
      </c>
      <c r="E67" s="12" t="n">
        <v>388</v>
      </c>
      <c r="F67" s="12" t="n">
        <v>124</v>
      </c>
      <c r="G67" s="12" t="n">
        <v>396</v>
      </c>
      <c r="H67" s="12" t="n">
        <v>670</v>
      </c>
      <c r="I67" s="12" t="n">
        <v>526</v>
      </c>
      <c r="J67" s="12" t="n">
        <v>-95</v>
      </c>
      <c r="K67" s="12" t="n">
        <v>316</v>
      </c>
      <c r="L67" s="12" t="n">
        <v>279</v>
      </c>
      <c r="M67" s="12" t="n">
        <v>60</v>
      </c>
      <c r="N67" s="12" t="n">
        <v>913</v>
      </c>
      <c r="O67" s="11" t="n"/>
      <c r="P67" s="12" t="n">
        <v>1182.477</v>
      </c>
      <c r="Q67" s="12" t="n">
        <v>1966.15</v>
      </c>
      <c r="R67" s="12" t="n">
        <v>765.45</v>
      </c>
      <c r="S67" s="12" t="n">
        <v>516.246</v>
      </c>
      <c r="T67" s="12" t="n">
        <v>367.68</v>
      </c>
      <c r="U67" s="12" t="n">
        <v>1944.999</v>
      </c>
      <c r="V67" s="12" t="n">
        <v>1369</v>
      </c>
      <c r="W67" s="12" t="n">
        <v>1497</v>
      </c>
      <c r="X67" s="12" t="n">
        <v>1568</v>
      </c>
      <c r="Y67" s="11">
        <f>IF(OR(Y43=""),"",IFERROR(Y43+N(Y59)-N(Y61)+N(Y63)-N(Y65),""))</f>
        <v/>
      </c>
      <c r="Z67" s="12">
        <f>IF(OR(Z43=""),"",IFERROR(Z43+N(Z59)-N(Z61)+N(Z63)-N(Z65),""))</f>
        <v/>
      </c>
      <c r="AA67" s="12">
        <f>IF(OR(AA43=""),"",IFERROR(AA43+N(AA59)-N(AA61)+N(AA63)-N(AA65),""))</f>
        <v/>
      </c>
      <c r="AB67" s="12">
        <f>IF(OR(AB43=""),"",IFERROR(AB43+N(AB59)-N(AB61)+N(AB63)-N(AB65),""))</f>
        <v/>
      </c>
      <c r="AC67" s="12">
        <f>IF(OR(AC43=""),"",IFERROR(AC43+N(AC59)-N(AC61)+N(AC63)-N(AC65),""))</f>
        <v/>
      </c>
    </row>
    <row r="68">
      <c r="A68" s="13" t="inlineStr">
        <is>
          <t>YoY</t>
        </is>
      </c>
      <c r="B68" s="10" t="n"/>
      <c r="C68" s="14" t="n"/>
      <c r="D68" s="15" t="n"/>
      <c r="E68" s="15" t="n"/>
      <c r="F68" s="15" t="n"/>
      <c r="G68" s="15">
        <f>IF(OR(G67="",C67=""),"",IF(C67&lt;=0,"",IFERROR(G67/C67-1,"")))</f>
        <v/>
      </c>
      <c r="H68" s="15">
        <f>IF(OR(H67="",D67=""),"",IF(D67&lt;=0,"",IFERROR(H67/D67-1,"")))</f>
        <v/>
      </c>
      <c r="I68" s="15">
        <f>IF(OR(I67="",E67=""),"",IF(E67&lt;=0,"",IFERROR(I67/E67-1,"")))</f>
        <v/>
      </c>
      <c r="J68" s="15">
        <f>IF(OR(J67="",F67=""),"",IF(F67&lt;=0,"",IFERROR(J67/F67-1,"")))</f>
        <v/>
      </c>
      <c r="K68" s="15">
        <f>IF(OR(K67="",G67=""),"",IF(G67&lt;=0,"",IFERROR(K67/G67-1,"")))</f>
        <v/>
      </c>
      <c r="L68" s="15">
        <f>IF(OR(L67="",H67=""),"",IF(H67&lt;=0,"",IFERROR(L67/H67-1,"")))</f>
        <v/>
      </c>
      <c r="M68" s="15">
        <f>IF(OR(M67="",I67=""),"",IF(I67&lt;=0,"",IFERROR(M67/I67-1,"")))</f>
        <v/>
      </c>
      <c r="N68" s="15">
        <f>IF(OR(N67="",J67=""),"",IF(J67&lt;=0,"",IFERROR(N67/J67-1,"")))</f>
        <v/>
      </c>
      <c r="O68" s="14" t="n"/>
      <c r="P68" s="15">
        <f>IF(OR(P67="",O67=""),"",IF(O67&lt;=0,"",IFERROR(P67/O67-1,"")))</f>
        <v/>
      </c>
      <c r="Q68" s="15">
        <f>IF(OR(Q67="",P67=""),"",IF(P67&lt;=0,"",IFERROR(Q67/P67-1,"")))</f>
        <v/>
      </c>
      <c r="R68" s="15">
        <f>IF(OR(R67="",Q67=""),"",IF(Q67&lt;=0,"",IFERROR(R67/Q67-1,"")))</f>
        <v/>
      </c>
      <c r="S68" s="15">
        <f>IF(OR(S67="",R67=""),"",IF(R67&lt;=0,"",IFERROR(S67/R67-1,"")))</f>
        <v/>
      </c>
      <c r="T68" s="15">
        <f>IF(OR(T67="",S67=""),"",IF(S67&lt;=0,"",IFERROR(T67/S67-1,"")))</f>
        <v/>
      </c>
      <c r="U68" s="15">
        <f>IF(OR(U67="",T67=""),"",IF(T67&lt;=0,"",IFERROR(U67/T67-1,"")))</f>
        <v/>
      </c>
      <c r="V68" s="15">
        <f>IF(OR(V67="",U67=""),"",IF(U67&lt;=0,"",IFERROR(V67/U67-1,"")))</f>
        <v/>
      </c>
      <c r="W68" s="15">
        <f>IF(OR(W67="",V67=""),"",IF(V67&lt;=0,"",IFERROR(W67/V67-1,"")))</f>
        <v/>
      </c>
      <c r="X68" s="15">
        <f>IF(OR(X67="",W67=""),"",IF(W67&lt;=0,"",IFERROR(X67/W67-1,"")))</f>
        <v/>
      </c>
      <c r="Y68" s="14">
        <f>IF(OR(Y67="",X67=""),"",IF(X67&lt;=0,"",IFERROR(Y67/X67-1,"")))</f>
        <v/>
      </c>
      <c r="Z68" s="15">
        <f>IF(OR(Z67="",Y67=""),"",IF(Y67&lt;=0,"",IFERROR(Z67/Y67-1,"")))</f>
        <v/>
      </c>
      <c r="AA68" s="15">
        <f>IF(OR(AA67="",Z67=""),"",IF(Z67&lt;=0,"",IFERROR(AA67/Z67-1,"")))</f>
        <v/>
      </c>
      <c r="AB68" s="15">
        <f>IF(OR(AB67="",AA67=""),"",IF(AA67&lt;=0,"",IFERROR(AB67/AA67-1,"")))</f>
        <v/>
      </c>
      <c r="AC68" s="15">
        <f>IF(OR(AC67="",AB67=""),"",IF(AB67&lt;=0,"",IFERROR(AC67/AB67-1,"")))</f>
        <v/>
      </c>
    </row>
    <row r="69">
      <c r="A69" s="18" t="inlineStr">
        <is>
          <t>법인세비용(수익)</t>
        </is>
      </c>
      <c r="B69" s="10" t="n"/>
      <c r="C69" s="19" t="n">
        <v>101</v>
      </c>
      <c r="D69" s="20" t="n">
        <v>153</v>
      </c>
      <c r="E69" s="20" t="n">
        <v>122</v>
      </c>
      <c r="F69" s="20" t="n">
        <v>-101</v>
      </c>
      <c r="G69" s="20" t="n">
        <v>154</v>
      </c>
      <c r="H69" s="20" t="n">
        <v>145</v>
      </c>
      <c r="I69" s="20" t="n">
        <v>200</v>
      </c>
      <c r="J69" s="20" t="n">
        <v>80</v>
      </c>
      <c r="K69" s="20" t="n">
        <v>175</v>
      </c>
      <c r="L69" s="20" t="n">
        <v>172</v>
      </c>
      <c r="M69" s="20" t="n">
        <v>150</v>
      </c>
      <c r="N69" s="20" t="n">
        <v>553</v>
      </c>
      <c r="O69" s="19" t="n"/>
      <c r="P69" s="20" t="n">
        <v>357.656</v>
      </c>
      <c r="Q69" s="20" t="n">
        <v>656.707</v>
      </c>
      <c r="R69" s="20" t="n">
        <v>232.125</v>
      </c>
      <c r="S69" s="20" t="n">
        <v>89.121</v>
      </c>
      <c r="T69" s="20" t="n">
        <v>213.048</v>
      </c>
      <c r="U69" s="20" t="n">
        <v>421.691</v>
      </c>
      <c r="V69" s="20" t="n">
        <v>275</v>
      </c>
      <c r="W69" s="20" t="n">
        <v>579</v>
      </c>
      <c r="X69" s="20" t="n">
        <v>1050</v>
      </c>
      <c r="Y69" s="19">
        <f>IF(OR(Y67="",Y70=""),"",IFERROR(MAX(Y67,0)*Y70,""))</f>
        <v/>
      </c>
      <c r="Z69" s="20">
        <f>IF(OR(Z67="",Z70=""),"",IFERROR(MAX(Z67,0)*Z70,""))</f>
        <v/>
      </c>
      <c r="AA69" s="20">
        <f>IF(OR(AA67="",AA70=""),"",IFERROR(MAX(AA67,0)*AA70,""))</f>
        <v/>
      </c>
      <c r="AB69" s="20">
        <f>IF(OR(AB67="",AB70=""),"",IFERROR(MAX(AB67,0)*AB70,""))</f>
        <v/>
      </c>
      <c r="AC69" s="20">
        <f>IF(OR(AC67="",AC70=""),"",IFERROR(MAX(AC67,0)*AC70,""))</f>
        <v/>
      </c>
    </row>
    <row r="70">
      <c r="A70" s="13" t="inlineStr">
        <is>
          <t>법인세율</t>
        </is>
      </c>
      <c r="B70" s="10" t="inlineStr">
        <is>
          <t>MW 기본 30%</t>
        </is>
      </c>
      <c r="C70" s="14">
        <f>IF(OR(C69="",C67=""),"",IFERROR(C69/C67,""))</f>
        <v/>
      </c>
      <c r="D70" s="15">
        <f>IF(OR(D69="",D67=""),"",IFERROR(D69/D67,""))</f>
        <v/>
      </c>
      <c r="E70" s="15">
        <f>IF(OR(E69="",E67=""),"",IFERROR(E69/E67,""))</f>
        <v/>
      </c>
      <c r="F70" s="15">
        <f>IF(OR(F69="",F67=""),"",IFERROR(F69/F67,""))</f>
        <v/>
      </c>
      <c r="G70" s="15">
        <f>IF(OR(G69="",G67=""),"",IFERROR(G69/G67,""))</f>
        <v/>
      </c>
      <c r="H70" s="15">
        <f>IF(OR(H69="",H67=""),"",IFERROR(H69/H67,""))</f>
        <v/>
      </c>
      <c r="I70" s="15">
        <f>IF(OR(I69="",I67=""),"",IFERROR(I69/I67,""))</f>
        <v/>
      </c>
      <c r="J70" s="15">
        <f>IF(OR(J69="",J67=""),"",IFERROR(J69/J67,""))</f>
        <v/>
      </c>
      <c r="K70" s="15">
        <f>IF(OR(K69="",K67=""),"",IFERROR(K69/K67,""))</f>
        <v/>
      </c>
      <c r="L70" s="15">
        <f>IF(OR(L69="",L67=""),"",IFERROR(L69/L67,""))</f>
        <v/>
      </c>
      <c r="M70" s="15">
        <f>IF(OR(M69="",M67=""),"",IFERROR(M69/M67,""))</f>
        <v/>
      </c>
      <c r="N70" s="15">
        <f>IF(OR(N69="",N67=""),"",IFERROR(N69/N67,""))</f>
        <v/>
      </c>
      <c r="O70" s="14">
        <f>IF(OR(O69="",O67=""),"",IFERROR(O69/O67,""))</f>
        <v/>
      </c>
      <c r="P70" s="15">
        <f>IF(OR(P69="",P67=""),"",IFERROR(P69/P67,""))</f>
        <v/>
      </c>
      <c r="Q70" s="15">
        <f>IF(OR(Q69="",Q67=""),"",IFERROR(Q69/Q67,""))</f>
        <v/>
      </c>
      <c r="R70" s="15">
        <f>IF(OR(R69="",R67=""),"",IFERROR(R69/R67,""))</f>
        <v/>
      </c>
      <c r="S70" s="15">
        <f>IF(OR(S69="",S67=""),"",IFERROR(S69/S67,""))</f>
        <v/>
      </c>
      <c r="T70" s="15">
        <f>IF(OR(T69="",T67=""),"",IFERROR(T69/T67,""))</f>
        <v/>
      </c>
      <c r="U70" s="15">
        <f>IF(OR(U69="",U67=""),"",IFERROR(U69/U67,""))</f>
        <v/>
      </c>
      <c r="V70" s="15">
        <f>IF(OR(V69="",V67=""),"",IFERROR(V69/V67,""))</f>
        <v/>
      </c>
      <c r="W70" s="15">
        <f>IF(OR(W69="",W67=""),"",IFERROR(W69/W67,""))</f>
        <v/>
      </c>
      <c r="X70" s="15">
        <f>IF(OR(X69="",X67=""),"",IFERROR(X69/X67,""))</f>
        <v/>
      </c>
      <c r="Y70" s="25" t="n">
        <v>0.3</v>
      </c>
      <c r="Z70" s="26" t="n">
        <v>0.3</v>
      </c>
      <c r="AA70" s="26" t="n">
        <v>0.3</v>
      </c>
      <c r="AB70" s="26" t="n">
        <v>0.3</v>
      </c>
      <c r="AC70" s="26" t="n">
        <v>0.3</v>
      </c>
    </row>
    <row r="71">
      <c r="A71" s="9" t="inlineStr">
        <is>
          <t>당기순이익(손실)</t>
        </is>
      </c>
      <c r="B71" s="10" t="n"/>
      <c r="C71" s="11" t="n">
        <v>262</v>
      </c>
      <c r="D71" s="12" t="n">
        <v>340</v>
      </c>
      <c r="E71" s="12" t="n">
        <v>266</v>
      </c>
      <c r="F71" s="12" t="n">
        <v>226</v>
      </c>
      <c r="G71" s="12" t="n">
        <v>241</v>
      </c>
      <c r="H71" s="12" t="n">
        <v>525</v>
      </c>
      <c r="I71" s="12" t="n">
        <v>327</v>
      </c>
      <c r="J71" s="12" t="n">
        <v>-176</v>
      </c>
      <c r="K71" s="12" t="n">
        <v>141</v>
      </c>
      <c r="L71" s="12" t="n">
        <v>106</v>
      </c>
      <c r="M71" s="12" t="n">
        <v>-89</v>
      </c>
      <c r="N71" s="12" t="n">
        <v>359</v>
      </c>
      <c r="O71" s="11" t="n"/>
      <c r="P71" s="12" t="n">
        <v>824.8200000000001</v>
      </c>
      <c r="Q71" s="12" t="n">
        <v>1309.442</v>
      </c>
      <c r="R71" s="12" t="n">
        <v>533.324</v>
      </c>
      <c r="S71" s="12" t="n">
        <v>427.125</v>
      </c>
      <c r="T71" s="12" t="n">
        <v>154.632</v>
      </c>
      <c r="U71" s="12" t="n">
        <v>1523.307</v>
      </c>
      <c r="V71" s="12" t="n">
        <v>1094</v>
      </c>
      <c r="W71" s="12" t="n">
        <v>917</v>
      </c>
      <c r="X71" s="12" t="n">
        <v>517</v>
      </c>
      <c r="Y71" s="11">
        <f>IF(OR(Y67=""),"",IFERROR(Y67-Y69,""))</f>
        <v/>
      </c>
      <c r="Z71" s="12">
        <f>IF(OR(Z67=""),"",IFERROR(Z67-Z69,""))</f>
        <v/>
      </c>
      <c r="AA71" s="12">
        <f>IF(OR(AA67=""),"",IFERROR(AA67-AA69,""))</f>
        <v/>
      </c>
      <c r="AB71" s="12">
        <f>IF(OR(AB67=""),"",IFERROR(AB67-AB69,""))</f>
        <v/>
      </c>
      <c r="AC71" s="12">
        <f>IF(OR(AC67=""),"",IFERROR(AC67-AC69,""))</f>
        <v/>
      </c>
    </row>
    <row r="72">
      <c r="A72" s="13" t="inlineStr">
        <is>
          <t>YoY</t>
        </is>
      </c>
      <c r="B72" s="10" t="n"/>
      <c r="C72" s="14" t="n"/>
      <c r="D72" s="15" t="n"/>
      <c r="E72" s="15" t="n"/>
      <c r="F72" s="15" t="n"/>
      <c r="G72" s="15">
        <f>IF(OR(G71="",C71=""),"",IF(C71&lt;=0,"",IFERROR(G71/C71-1,"")))</f>
        <v/>
      </c>
      <c r="H72" s="15">
        <f>IF(OR(H71="",D71=""),"",IF(D71&lt;=0,"",IFERROR(H71/D71-1,"")))</f>
        <v/>
      </c>
      <c r="I72" s="15">
        <f>IF(OR(I71="",E71=""),"",IF(E71&lt;=0,"",IFERROR(I71/E71-1,"")))</f>
        <v/>
      </c>
      <c r="J72" s="15">
        <f>IF(OR(J71="",F71=""),"",IF(F71&lt;=0,"",IFERROR(J71/F71-1,"")))</f>
        <v/>
      </c>
      <c r="K72" s="15">
        <f>IF(OR(K71="",G71=""),"",IF(G71&lt;=0,"",IFERROR(K71/G71-1,"")))</f>
        <v/>
      </c>
      <c r="L72" s="15">
        <f>IF(OR(L71="",H71=""),"",IF(H71&lt;=0,"",IFERROR(L71/H71-1,"")))</f>
        <v/>
      </c>
      <c r="M72" s="15">
        <f>IF(OR(M71="",I71=""),"",IF(I71&lt;=0,"",IFERROR(M71/I71-1,"")))</f>
        <v/>
      </c>
      <c r="N72" s="15">
        <f>IF(OR(N71="",J71=""),"",IF(J71&lt;=0,"",IFERROR(N71/J71-1,"")))</f>
        <v/>
      </c>
      <c r="O72" s="14" t="n"/>
      <c r="P72" s="15">
        <f>IF(OR(P71="",O71=""),"",IF(O71&lt;=0,"",IFERROR(P71/O71-1,"")))</f>
        <v/>
      </c>
      <c r="Q72" s="15">
        <f>IF(OR(Q71="",P71=""),"",IF(P71&lt;=0,"",IFERROR(Q71/P71-1,"")))</f>
        <v/>
      </c>
      <c r="R72" s="15">
        <f>IF(OR(R71="",Q71=""),"",IF(Q71&lt;=0,"",IFERROR(R71/Q71-1,"")))</f>
        <v/>
      </c>
      <c r="S72" s="15">
        <f>IF(OR(S71="",R71=""),"",IF(R71&lt;=0,"",IFERROR(S71/R71-1,"")))</f>
        <v/>
      </c>
      <c r="T72" s="15">
        <f>IF(OR(T71="",S71=""),"",IF(S71&lt;=0,"",IFERROR(T71/S71-1,"")))</f>
        <v/>
      </c>
      <c r="U72" s="15">
        <f>IF(OR(U71="",T71=""),"",IF(T71&lt;=0,"",IFERROR(U71/T71-1,"")))</f>
        <v/>
      </c>
      <c r="V72" s="15">
        <f>IF(OR(V71="",U71=""),"",IF(U71&lt;=0,"",IFERROR(V71/U71-1,"")))</f>
        <v/>
      </c>
      <c r="W72" s="15">
        <f>IF(OR(W71="",V71=""),"",IF(V71&lt;=0,"",IFERROR(W71/V71-1,"")))</f>
        <v/>
      </c>
      <c r="X72" s="15">
        <f>IF(OR(X71="",W71=""),"",IF(W71&lt;=0,"",IFERROR(X71/W71-1,"")))</f>
        <v/>
      </c>
      <c r="Y72" s="14">
        <f>IF(OR(Y71="",X71=""),"",IF(X71&lt;=0,"",IFERROR(Y71/X71-1,"")))</f>
        <v/>
      </c>
      <c r="Z72" s="15">
        <f>IF(OR(Z71="",Y71=""),"",IF(Y71&lt;=0,"",IFERROR(Z71/Y71-1,"")))</f>
        <v/>
      </c>
      <c r="AA72" s="15">
        <f>IF(OR(AA71="",Z71=""),"",IF(Z71&lt;=0,"",IFERROR(AA71/Z71-1,"")))</f>
        <v/>
      </c>
      <c r="AB72" s="15">
        <f>IF(OR(AB71="",AA71=""),"",IF(AA71&lt;=0,"",IFERROR(AB71/AA71-1,"")))</f>
        <v/>
      </c>
      <c r="AC72" s="15">
        <f>IF(OR(AC71="",AB71=""),"",IF(AB71&lt;=0,"",IFERROR(AC71/AB71-1,"")))</f>
        <v/>
      </c>
    </row>
    <row r="73">
      <c r="A73" s="9" t="inlineStr">
        <is>
          <t>지배주주 순이익</t>
        </is>
      </c>
      <c r="B73" s="10" t="n"/>
      <c r="C73" s="11" t="n">
        <v>262</v>
      </c>
      <c r="D73" s="12" t="n">
        <v>340</v>
      </c>
      <c r="E73" s="12" t="n">
        <v>266</v>
      </c>
      <c r="F73" s="12" t="n">
        <v>226</v>
      </c>
      <c r="G73" s="12" t="n">
        <v>241</v>
      </c>
      <c r="H73" s="12" t="n">
        <v>525</v>
      </c>
      <c r="I73" s="12" t="n">
        <v>327</v>
      </c>
      <c r="J73" s="12" t="n">
        <v>-176</v>
      </c>
      <c r="K73" s="12" t="n">
        <v>141</v>
      </c>
      <c r="L73" s="12" t="n">
        <v>106</v>
      </c>
      <c r="M73" s="12" t="n">
        <v>-89</v>
      </c>
      <c r="N73" s="12" t="n">
        <v>359</v>
      </c>
      <c r="O73" s="11" t="n"/>
      <c r="P73" s="12" t="n">
        <v>824.8200000000001</v>
      </c>
      <c r="Q73" s="12" t="n">
        <v>1309.442</v>
      </c>
      <c r="R73" s="12" t="n">
        <v>533.324</v>
      </c>
      <c r="S73" s="12" t="n">
        <v>427.125</v>
      </c>
      <c r="T73" s="12" t="n">
        <v>154.632</v>
      </c>
      <c r="U73" s="12" t="n">
        <v>1523.307</v>
      </c>
      <c r="V73" s="12" t="n">
        <v>1094</v>
      </c>
      <c r="W73" s="12" t="n">
        <v>917</v>
      </c>
      <c r="X73" s="12" t="n">
        <v>517</v>
      </c>
      <c r="Y73" s="11">
        <f>IF(OR(Y71="",Y74=""),"",IFERROR(Y71*Y74,""))</f>
        <v/>
      </c>
      <c r="Z73" s="12">
        <f>IF(OR(Z71="",Z74=""),"",IFERROR(Z71*Z74,""))</f>
        <v/>
      </c>
      <c r="AA73" s="12">
        <f>IF(OR(AA71="",AA74=""),"",IFERROR(AA71*AA74,""))</f>
        <v/>
      </c>
      <c r="AB73" s="12">
        <f>IF(OR(AB71="",AB74=""),"",IFERROR(AB71*AB74,""))</f>
        <v/>
      </c>
      <c r="AC73" s="12">
        <f>IF(OR(AC71="",AC74=""),"",IFERROR(AC71*AC74,""))</f>
        <v/>
      </c>
    </row>
    <row r="74">
      <c r="A74" s="13" t="inlineStr">
        <is>
          <t>지배주주 순이익률</t>
        </is>
      </c>
      <c r="B74" s="10" t="inlineStr">
        <is>
          <t>MW 기본 100%</t>
        </is>
      </c>
      <c r="C74" s="14">
        <f>IF(OR(C73="",C71=""),"",IFERROR(C73/C71,""))</f>
        <v/>
      </c>
      <c r="D74" s="15">
        <f>IF(OR(D73="",D71=""),"",IFERROR(D73/D71,""))</f>
        <v/>
      </c>
      <c r="E74" s="15">
        <f>IF(OR(E73="",E71=""),"",IFERROR(E73/E71,""))</f>
        <v/>
      </c>
      <c r="F74" s="15">
        <f>IF(OR(F73="",F71=""),"",IFERROR(F73/F71,""))</f>
        <v/>
      </c>
      <c r="G74" s="15">
        <f>IF(OR(G73="",G71=""),"",IFERROR(G73/G71,""))</f>
        <v/>
      </c>
      <c r="H74" s="15">
        <f>IF(OR(H73="",H71=""),"",IFERROR(H73/H71,""))</f>
        <v/>
      </c>
      <c r="I74" s="15">
        <f>IF(OR(I73="",I71=""),"",IFERROR(I73/I71,""))</f>
        <v/>
      </c>
      <c r="J74" s="15">
        <f>IF(OR(J73="",J71=""),"",IFERROR(J73/J71,""))</f>
        <v/>
      </c>
      <c r="K74" s="15">
        <f>IF(OR(K73="",K71=""),"",IFERROR(K73/K71,""))</f>
        <v/>
      </c>
      <c r="L74" s="15">
        <f>IF(OR(L73="",L71=""),"",IFERROR(L73/L71,""))</f>
        <v/>
      </c>
      <c r="M74" s="15">
        <f>IF(OR(M73="",M71=""),"",IFERROR(M73/M71,""))</f>
        <v/>
      </c>
      <c r="N74" s="15">
        <f>IF(OR(N73="",N71=""),"",IFERROR(N73/N71,""))</f>
        <v/>
      </c>
      <c r="O74" s="14">
        <f>IF(OR(O73="",O71=""),"",IFERROR(O73/O71,""))</f>
        <v/>
      </c>
      <c r="P74" s="15">
        <f>IF(OR(P73="",P71=""),"",IFERROR(P73/P71,""))</f>
        <v/>
      </c>
      <c r="Q74" s="15">
        <f>IF(OR(Q73="",Q71=""),"",IFERROR(Q73/Q71,""))</f>
        <v/>
      </c>
      <c r="R74" s="15">
        <f>IF(OR(R73="",R71=""),"",IFERROR(R73/R71,""))</f>
        <v/>
      </c>
      <c r="S74" s="15">
        <f>IF(OR(S73="",S71=""),"",IFERROR(S73/S71,""))</f>
        <v/>
      </c>
      <c r="T74" s="15">
        <f>IF(OR(T73="",T71=""),"",IFERROR(T73/T71,""))</f>
        <v/>
      </c>
      <c r="U74" s="15">
        <f>IF(OR(U73="",U71=""),"",IFERROR(U73/U71,""))</f>
        <v/>
      </c>
      <c r="V74" s="15">
        <f>IF(OR(V73="",V71=""),"",IFERROR(V73/V71,""))</f>
        <v/>
      </c>
      <c r="W74" s="15">
        <f>IF(OR(W73="",W71=""),"",IFERROR(W73/W71,""))</f>
        <v/>
      </c>
      <c r="X74" s="15">
        <f>IF(OR(X73="",X71=""),"",IFERROR(X73/X71,""))</f>
        <v/>
      </c>
      <c r="Y74" s="25" t="n">
        <v>1</v>
      </c>
      <c r="Z74" s="26" t="n">
        <v>1</v>
      </c>
      <c r="AA74" s="26" t="n">
        <v>1</v>
      </c>
      <c r="AB74" s="26" t="n">
        <v>1</v>
      </c>
      <c r="AC74" s="26" t="n">
        <v>1</v>
      </c>
    </row>
    <row r="75">
      <c r="A75" s="13" t="inlineStr">
        <is>
          <t>지배주주 순이익 YoY</t>
        </is>
      </c>
      <c r="B75" s="10" t="n"/>
      <c r="C75" s="14" t="n"/>
      <c r="D75" s="15" t="n"/>
      <c r="E75" s="15" t="n"/>
      <c r="F75" s="15" t="n"/>
      <c r="G75" s="15">
        <f>IF(OR(G73="",C73=""),"",IF(C73&lt;=0,"",IFERROR(G73/C73-1,"")))</f>
        <v/>
      </c>
      <c r="H75" s="15">
        <f>IF(OR(H73="",D73=""),"",IF(D73&lt;=0,"",IFERROR(H73/D73-1,"")))</f>
        <v/>
      </c>
      <c r="I75" s="15">
        <f>IF(OR(I73="",E73=""),"",IF(E73&lt;=0,"",IFERROR(I73/E73-1,"")))</f>
        <v/>
      </c>
      <c r="J75" s="15">
        <f>IF(OR(J73="",F73=""),"",IF(F73&lt;=0,"",IFERROR(J73/F73-1,"")))</f>
        <v/>
      </c>
      <c r="K75" s="15">
        <f>IF(OR(K73="",G73=""),"",IF(G73&lt;=0,"",IFERROR(K73/G73-1,"")))</f>
        <v/>
      </c>
      <c r="L75" s="15">
        <f>IF(OR(L73="",H73=""),"",IF(H73&lt;=0,"",IFERROR(L73/H73-1,"")))</f>
        <v/>
      </c>
      <c r="M75" s="15">
        <f>IF(OR(M73="",I73=""),"",IF(I73&lt;=0,"",IFERROR(M73/I73-1,"")))</f>
        <v/>
      </c>
      <c r="N75" s="15">
        <f>IF(OR(N73="",J73=""),"",IF(J73&lt;=0,"",IFERROR(N73/J73-1,"")))</f>
        <v/>
      </c>
      <c r="O75" s="14" t="n"/>
      <c r="P75" s="15">
        <f>IF(OR(P73="",O73=""),"",IF(O73&lt;=0,"",IFERROR(P73/O73-1,"")))</f>
        <v/>
      </c>
      <c r="Q75" s="15">
        <f>IF(OR(Q73="",P73=""),"",IF(P73&lt;=0,"",IFERROR(Q73/P73-1,"")))</f>
        <v/>
      </c>
      <c r="R75" s="15">
        <f>IF(OR(R73="",Q73=""),"",IF(Q73&lt;=0,"",IFERROR(R73/Q73-1,"")))</f>
        <v/>
      </c>
      <c r="S75" s="15">
        <f>IF(OR(S73="",R73=""),"",IF(R73&lt;=0,"",IFERROR(S73/R73-1,"")))</f>
        <v/>
      </c>
      <c r="T75" s="15">
        <f>IF(OR(T73="",S73=""),"",IF(S73&lt;=0,"",IFERROR(T73/S73-1,"")))</f>
        <v/>
      </c>
      <c r="U75" s="15">
        <f>IF(OR(U73="",T73=""),"",IF(T73&lt;=0,"",IFERROR(U73/T73-1,"")))</f>
        <v/>
      </c>
      <c r="V75" s="15">
        <f>IF(OR(V73="",U73=""),"",IF(U73&lt;=0,"",IFERROR(V73/U73-1,"")))</f>
        <v/>
      </c>
      <c r="W75" s="15">
        <f>IF(OR(W73="",V73=""),"",IF(V73&lt;=0,"",IFERROR(W73/V73-1,"")))</f>
        <v/>
      </c>
      <c r="X75" s="15">
        <f>IF(OR(X73="",W73=""),"",IF(W73&lt;=0,"",IFERROR(X73/W73-1,"")))</f>
        <v/>
      </c>
      <c r="Y75" s="14">
        <f>IF(OR(Y73="",X73=""),"",IF(X73&lt;=0,"",IFERROR(Y73/X73-1,"")))</f>
        <v/>
      </c>
      <c r="Z75" s="15">
        <f>IF(OR(Z73="",Y73=""),"",IF(Y73&lt;=0,"",IFERROR(Z73/Y73-1,"")))</f>
        <v/>
      </c>
      <c r="AA75" s="15">
        <f>IF(OR(AA73="",Z73=""),"",IF(Z73&lt;=0,"",IFERROR(AA73/Z73-1,"")))</f>
        <v/>
      </c>
      <c r="AB75" s="15">
        <f>IF(OR(AB73="",AA73=""),"",IF(AA73&lt;=0,"",IFERROR(AB73/AA73-1,"")))</f>
        <v/>
      </c>
      <c r="AC75" s="15">
        <f>IF(OR(AC73="",AB73=""),"",IF(AB73&lt;=0,"",IFERROR(AC73/AB73-1,"")))</f>
        <v/>
      </c>
    </row>
    <row r="76">
      <c r="A76" s="16" t="inlineStr">
        <is>
          <t>목표주가 산출</t>
        </is>
      </c>
      <c r="B76" s="16" t="n"/>
      <c r="C76" s="17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7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7" t="n"/>
      <c r="Z76" s="16" t="n"/>
      <c r="AA76" s="16" t="n"/>
      <c r="AB76" s="16" t="n"/>
      <c r="AC76" s="16" t="n"/>
    </row>
    <row r="77">
      <c r="A77" s="18" t="inlineStr">
        <is>
          <t>현재 주가 ()</t>
        </is>
      </c>
      <c r="B77" s="27" t="n"/>
      <c r="C77" s="28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8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8" t="n"/>
      <c r="Z77" s="29" t="n"/>
      <c r="AA77" s="29" t="n"/>
      <c r="AB77" s="29" t="n"/>
      <c r="AC77" s="29" t="n"/>
    </row>
    <row r="78">
      <c r="A78" s="18" t="inlineStr">
        <is>
          <t>발행주식수 (보통주)</t>
        </is>
      </c>
      <c r="B78" s="27" t="n"/>
      <c r="C78" s="28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8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8" t="n"/>
      <c r="Z78" s="29" t="n"/>
      <c r="AA78" s="29" t="n"/>
      <c r="AB78" s="29" t="n"/>
      <c r="AC78" s="29" t="n"/>
    </row>
    <row r="79">
      <c r="A79" s="18" t="inlineStr">
        <is>
          <t>시가총액 (백만엔)</t>
        </is>
      </c>
      <c r="B79" s="12">
        <f>IF(OR(B77="",B78=""),"",B77*B78/1000000.0)</f>
        <v/>
      </c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19" t="n"/>
      <c r="Z79" s="20" t="n"/>
      <c r="AA79" s="20" t="n"/>
      <c r="AB79" s="20" t="n"/>
      <c r="AC79" s="20" t="n"/>
    </row>
    <row r="80">
      <c r="A80" s="13" t="inlineStr">
        <is>
          <t>OPM</t>
        </is>
      </c>
      <c r="B80" s="10" t="n"/>
      <c r="C80" s="14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4">
        <f>IF(O44="","",O44)</f>
        <v/>
      </c>
      <c r="P80" s="15">
        <f>IF(P44="","",P44)</f>
        <v/>
      </c>
      <c r="Q80" s="15">
        <f>IF(Q44="","",Q44)</f>
        <v/>
      </c>
      <c r="R80" s="15">
        <f>IF(R44="","",R44)</f>
        <v/>
      </c>
      <c r="S80" s="15">
        <f>IF(S44="","",S44)</f>
        <v/>
      </c>
      <c r="T80" s="15">
        <f>IF(T44="","",T44)</f>
        <v/>
      </c>
      <c r="U80" s="15">
        <f>IF(U44="","",U44)</f>
        <v/>
      </c>
      <c r="V80" s="15">
        <f>IF(V44="","",V44)</f>
        <v/>
      </c>
      <c r="W80" s="15">
        <f>IF(W44="","",W44)</f>
        <v/>
      </c>
      <c r="X80" s="15">
        <f>IF(X44="","",X44)</f>
        <v/>
      </c>
      <c r="Y80" s="14">
        <f>IF(Y44="","",Y44)</f>
        <v/>
      </c>
      <c r="Z80" s="15">
        <f>IF(Z44="","",Z44)</f>
        <v/>
      </c>
      <c r="AA80" s="15">
        <f>IF(AA44="","",AA44)</f>
        <v/>
      </c>
      <c r="AB80" s="15">
        <f>IF(AB44="","",AB44)</f>
        <v/>
      </c>
      <c r="AC80" s="15">
        <f>IF(AC44="","",AC44)</f>
        <v/>
      </c>
    </row>
    <row r="81">
      <c r="A81" s="13" t="inlineStr">
        <is>
          <t>지배주주 순이익 증가율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>
        <f>IF(OR(P73="",O73=""),"",IFERROR(P73/O73-1,""))</f>
        <v/>
      </c>
      <c r="Q81" s="15">
        <f>IF(OR(Q73="",P73=""),"",IFERROR(Q73/P73-1,""))</f>
        <v/>
      </c>
      <c r="R81" s="15">
        <f>IF(OR(R73="",Q73=""),"",IFERROR(R73/Q73-1,""))</f>
        <v/>
      </c>
      <c r="S81" s="15">
        <f>IF(OR(S73="",R73=""),"",IFERROR(S73/R73-1,""))</f>
        <v/>
      </c>
      <c r="T81" s="15">
        <f>IF(OR(T73="",S73=""),"",IFERROR(T73/S73-1,""))</f>
        <v/>
      </c>
      <c r="U81" s="15">
        <f>IF(OR(U73="",T73=""),"",IFERROR(U73/T73-1,""))</f>
        <v/>
      </c>
      <c r="V81" s="15">
        <f>IF(OR(V73="",U73=""),"",IFERROR(V73/U73-1,""))</f>
        <v/>
      </c>
      <c r="W81" s="15">
        <f>IF(OR(W73="",V73=""),"",IFERROR(W73/V73-1,""))</f>
        <v/>
      </c>
      <c r="X81" s="15">
        <f>IF(OR(X73="",W73=""),"",IFERROR(X73/W73-1,""))</f>
        <v/>
      </c>
      <c r="Y81" s="14">
        <f>IF(OR(Y73="",X73=""),"",IFERROR(Y73/X73-1,""))</f>
        <v/>
      </c>
      <c r="Z81" s="15">
        <f>IF(OR(Z73="",Y73=""),"",IFERROR(Z73/Y73-1,""))</f>
        <v/>
      </c>
      <c r="AA81" s="15">
        <f>IF(OR(AA73="",Z73=""),"",IFERROR(AA73/Z73-1,""))</f>
        <v/>
      </c>
      <c r="AB81" s="15">
        <f>IF(OR(AB73="",AA73=""),"",IFERROR(AB73/AA73-1,""))</f>
        <v/>
      </c>
      <c r="AC81" s="15">
        <f>IF(OR(AC73="",AB73=""),"",IFERROR(AC73/AB73-1,""))</f>
        <v/>
      </c>
    </row>
    <row r="82">
      <c r="A82" s="18" t="inlineStr">
        <is>
          <t>P/E (현재 주가)</t>
        </is>
      </c>
      <c r="B82" s="10" t="inlineStr">
        <is>
          <t>시총 ÷ 지배순이익</t>
        </is>
      </c>
      <c r="C82" s="30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0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>
        <f>IF(OR($B$79="",X73=""),"",IFERROR($B$79/X73,""))</f>
        <v/>
      </c>
      <c r="Y82" s="30">
        <f>IF(OR($B$79="",Y73=""),"",IFERROR($B$79/Y73,""))</f>
        <v/>
      </c>
      <c r="Z82" s="31">
        <f>IF(OR($B$79="",Z73=""),"",IFERROR($B$79/Z73,""))</f>
        <v/>
      </c>
      <c r="AA82" s="31">
        <f>IF(OR($B$79="",AA73=""),"",IFERROR($B$79/AA73,""))</f>
        <v/>
      </c>
      <c r="AB82" s="31">
        <f>IF(OR($B$79="",AB73=""),"",IFERROR($B$79/AB73,""))</f>
        <v/>
      </c>
      <c r="AC82" s="31">
        <f>IF(OR($B$79="",AC73=""),"",IFERROR($B$79/AC73,""))</f>
        <v/>
      </c>
    </row>
    <row r="83">
      <c r="A83" s="18" t="inlineStr">
        <is>
          <t>Target P/E</t>
        </is>
      </c>
      <c r="B83" s="10" t="inlineStr">
        <is>
          <t>직접 입력</t>
        </is>
      </c>
      <c r="C83" s="30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0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2" t="n"/>
      <c r="Z83" s="33" t="n"/>
      <c r="AA83" s="33" t="n"/>
      <c r="AB83" s="33" t="n"/>
      <c r="AC83" s="33" t="n"/>
    </row>
    <row r="84">
      <c r="A84" s="18" t="inlineStr">
        <is>
          <t>EPS</t>
        </is>
      </c>
      <c r="B84" s="10" t="inlineStr">
        <is>
          <t>지배순이익 ÷ 주식수</t>
        </is>
      </c>
      <c r="C84" s="28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8">
        <f>IF(OR(O73="",$B$78=""),"",IFERROR(O73*1000000.0/$B$78,""))</f>
        <v/>
      </c>
      <c r="P84" s="29">
        <f>IF(OR(P73="",$B$78=""),"",IFERROR(P73*1000000.0/$B$78,""))</f>
        <v/>
      </c>
      <c r="Q84" s="29">
        <f>IF(OR(Q73="",$B$78=""),"",IFERROR(Q73*1000000.0/$B$78,""))</f>
        <v/>
      </c>
      <c r="R84" s="29">
        <f>IF(OR(R73="",$B$78=""),"",IFERROR(R73*1000000.0/$B$78,""))</f>
        <v/>
      </c>
      <c r="S84" s="29">
        <f>IF(OR(S73="",$B$78=""),"",IFERROR(S73*1000000.0/$B$78,""))</f>
        <v/>
      </c>
      <c r="T84" s="29">
        <f>IF(OR(T73="",$B$78=""),"",IFERROR(T73*1000000.0/$B$78,""))</f>
        <v/>
      </c>
      <c r="U84" s="29">
        <f>IF(OR(U73="",$B$78=""),"",IFERROR(U73*1000000.0/$B$78,""))</f>
        <v/>
      </c>
      <c r="V84" s="29">
        <f>IF(OR(V73="",$B$78=""),"",IFERROR(V73*1000000.0/$B$78,""))</f>
        <v/>
      </c>
      <c r="W84" s="29">
        <f>IF(OR(W73="",$B$78=""),"",IFERROR(W73*1000000.0/$B$78,""))</f>
        <v/>
      </c>
      <c r="X84" s="29">
        <f>IF(OR(X73="",$B$78=""),"",IFERROR(X73*1000000.0/$B$78,""))</f>
        <v/>
      </c>
      <c r="Y84" s="28">
        <f>IF(OR(Y73="",$B$78=""),"",IFERROR(Y73*1000000.0/$B$78,""))</f>
        <v/>
      </c>
      <c r="Z84" s="29">
        <f>IF(OR(Z73="",$B$78=""),"",IFERROR(Z73*1000000.0/$B$78,""))</f>
        <v/>
      </c>
      <c r="AA84" s="29">
        <f>IF(OR(AA73="",$B$78=""),"",IFERROR(AA73*1000000.0/$B$78,""))</f>
        <v/>
      </c>
      <c r="AB84" s="29">
        <f>IF(OR(AB73="",$B$78=""),"",IFERROR(AB73*1000000.0/$B$78,""))</f>
        <v/>
      </c>
      <c r="AC84" s="29">
        <f>IF(OR(AC73="",$B$78=""),"",IFERROR(AC73*1000000.0/$B$78,""))</f>
        <v/>
      </c>
    </row>
    <row r="85">
      <c r="A85" s="9" t="inlineStr">
        <is>
          <t>목표주가</t>
        </is>
      </c>
      <c r="B85" s="10" t="n"/>
      <c r="C85" s="34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34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34">
        <f>IF(OR(Y84="",Y83=""),"",IFERROR(Y84*Y83,""))</f>
        <v/>
      </c>
      <c r="Z85" s="27">
        <f>IF(OR(Z84="",Z83=""),"",IFERROR(Z84*Z83,""))</f>
        <v/>
      </c>
      <c r="AA85" s="27">
        <f>IF(OR(AA84="",AA83=""),"",IFERROR(AA84*AA83,""))</f>
        <v/>
      </c>
      <c r="AB85" s="27">
        <f>IF(OR(AB84="",AB83=""),"",IFERROR(AB84*AB83,""))</f>
        <v/>
      </c>
      <c r="AC85" s="27">
        <f>IF(OR(AC84="",AC83=""),"",IFERROR(AC84*AC83,""))</f>
        <v/>
      </c>
    </row>
    <row r="86">
      <c r="A86" s="18" t="inlineStr">
        <is>
          <t>상승여력</t>
        </is>
      </c>
      <c r="B86" s="10" t="n"/>
      <c r="C86" s="35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5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7">
        <f>IF(OR(Y85="",$B$77=""),"",IFERROR(Y85/$B$77-1,""))</f>
        <v/>
      </c>
      <c r="Z86" s="38">
        <f>IF(OR(Z85="",$B$77=""),"",IFERROR(Z85/$B$77-1,""))</f>
        <v/>
      </c>
      <c r="AA86" s="38">
        <f>IF(OR(AA85="",$B$77=""),"",IFERROR(AA85/$B$77-1,""))</f>
        <v/>
      </c>
      <c r="AB86" s="38">
        <f>IF(OR(AB85="",$B$77=""),"",IFERROR(AB85/$B$77-1,""))</f>
        <v/>
      </c>
      <c r="AC86" s="38">
        <f>IF(OR(AC85="",$B$77=""),"",IFERROR(AC85/$B$77-1,""))</f>
        <v/>
      </c>
    </row>
    <row r="87">
      <c r="A87" s="16" t="inlineStr">
        <is>
          <t>자산가치 산출</t>
        </is>
      </c>
      <c r="B87" s="16" t="inlineStr">
        <is>
          <t>최신 분기 BS</t>
        </is>
      </c>
      <c r="C87" s="17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7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7" t="n"/>
      <c r="Z87" s="16" t="n"/>
      <c r="AA87" s="16" t="n"/>
      <c r="AB87" s="16" t="n"/>
      <c r="AC87" s="16" t="n"/>
    </row>
    <row r="88">
      <c r="A88" s="18" t="inlineStr">
        <is>
          <t>현금및현금성자산</t>
        </is>
      </c>
      <c r="B88" s="10" t="n"/>
      <c r="C88" s="19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19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>
        <f>'재무상태표'!G6</f>
        <v/>
      </c>
      <c r="Y88" s="19">
        <f>'재무상태표'!G6</f>
        <v/>
      </c>
      <c r="Z88" s="20">
        <f>'재무상태표'!G6</f>
        <v/>
      </c>
      <c r="AA88" s="20">
        <f>'재무상태표'!G6</f>
        <v/>
      </c>
      <c r="AB88" s="20">
        <f>'재무상태표'!G6</f>
        <v/>
      </c>
      <c r="AC88" s="20">
        <f>'재무상태표'!G6</f>
        <v/>
      </c>
    </row>
    <row r="89">
      <c r="A89" s="18" t="inlineStr">
        <is>
          <t>단기금융상품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>
        <f>'재무상태표'!G7</f>
        <v/>
      </c>
      <c r="Y89" s="19">
        <f>'재무상태표'!G7</f>
        <v/>
      </c>
      <c r="Z89" s="20">
        <f>'재무상태표'!G7</f>
        <v/>
      </c>
      <c r="AA89" s="20">
        <f>'재무상태표'!G7</f>
        <v/>
      </c>
      <c r="AB89" s="20">
        <f>'재무상태표'!G7</f>
        <v/>
      </c>
      <c r="AC89" s="20">
        <f>'재무상태표'!G7</f>
        <v/>
      </c>
    </row>
    <row r="90">
      <c r="A90" s="18" t="inlineStr">
        <is>
          <t>투자부동산</t>
        </is>
      </c>
      <c r="B90" s="10" t="n"/>
      <c r="C90" s="19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19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>
        <f>'재무상태표'!G14</f>
        <v/>
      </c>
      <c r="Y90" s="19">
        <f>'재무상태표'!G14</f>
        <v/>
      </c>
      <c r="Z90" s="20">
        <f>'재무상태표'!G14</f>
        <v/>
      </c>
      <c r="AA90" s="20">
        <f>'재무상태표'!G14</f>
        <v/>
      </c>
      <c r="AB90" s="20">
        <f>'재무상태표'!G14</f>
        <v/>
      </c>
      <c r="AC90" s="20">
        <f>'재무상태표'!G14</f>
        <v/>
      </c>
    </row>
    <row r="91">
      <c r="A91" s="18" t="inlineStr">
        <is>
          <t>지배자본</t>
        </is>
      </c>
      <c r="B91" s="10" t="n"/>
      <c r="C91" s="19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19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>
        <f>'재무상태표'!G31</f>
        <v/>
      </c>
      <c r="Y91" s="19">
        <f>'재무상태표'!G31</f>
        <v/>
      </c>
      <c r="Z91" s="20">
        <f>'재무상태표'!G31</f>
        <v/>
      </c>
      <c r="AA91" s="20">
        <f>'재무상태표'!G31</f>
        <v/>
      </c>
      <c r="AB91" s="20">
        <f>'재무상태표'!G31</f>
        <v/>
      </c>
      <c r="AC91" s="20">
        <f>'재무상태표'!G31</f>
        <v/>
      </c>
    </row>
    <row r="92">
      <c r="A92" s="18" t="inlineStr">
        <is>
          <t>부채</t>
        </is>
      </c>
      <c r="B92" s="10" t="n"/>
      <c r="C92" s="19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19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>
        <f>'재무상태표'!G27</f>
        <v/>
      </c>
      <c r="Y92" s="19">
        <f>'재무상태표'!G27</f>
        <v/>
      </c>
      <c r="Z92" s="20">
        <f>'재무상태표'!G27</f>
        <v/>
      </c>
      <c r="AA92" s="20">
        <f>'재무상태표'!G27</f>
        <v/>
      </c>
      <c r="AB92" s="20">
        <f>'재무상태표'!G27</f>
        <v/>
      </c>
      <c r="AC92" s="20">
        <f>'재무상태표'!G27</f>
        <v/>
      </c>
    </row>
    <row r="93">
      <c r="A93" s="13" t="inlineStr">
        <is>
          <t>부채비율</t>
        </is>
      </c>
      <c r="B93" s="10" t="n"/>
      <c r="C93" s="14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4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>
        <f>IF(OR(X92="",X91=""),"",IFERROR(X92/X91,""))</f>
        <v/>
      </c>
      <c r="Y93" s="14">
        <f>IF(OR(Y92="",Y91=""),"",IFERROR(Y92/Y91,""))</f>
        <v/>
      </c>
      <c r="Z93" s="15">
        <f>IF(OR(Z92="",Z91=""),"",IFERROR(Z92/Z91,""))</f>
        <v/>
      </c>
      <c r="AA93" s="15">
        <f>IF(OR(AA92="",AA91=""),"",IFERROR(AA92/AA91,""))</f>
        <v/>
      </c>
      <c r="AB93" s="15">
        <f>IF(OR(AB92="",AB91=""),"",IFERROR(AB92/AB91,""))</f>
        <v/>
      </c>
      <c r="AC93" s="15">
        <f>IF(OR(AC92="",AC91=""),"",IFERROR(AC92/AC91,""))</f>
        <v/>
      </c>
    </row>
    <row r="94">
      <c r="A94" s="9" t="inlineStr">
        <is>
          <t>자산가치</t>
        </is>
      </c>
      <c r="B94" s="10" t="inlineStr">
        <is>
          <t>현금+단기금융+투자부동산</t>
        </is>
      </c>
      <c r="C94" s="11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1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>
        <f>SUM(X88,X89,X90)</f>
        <v/>
      </c>
      <c r="Y94" s="11">
        <f>SUM(Y88,Y89,Y90)</f>
        <v/>
      </c>
      <c r="Z94" s="12">
        <f>SUM(Z88,Z89,Z90)</f>
        <v/>
      </c>
      <c r="AA94" s="12">
        <f>SUM(AA88,AA89,AA90)</f>
        <v/>
      </c>
      <c r="AB94" s="12">
        <f>SUM(AB88,AB89,AB90)</f>
        <v/>
      </c>
      <c r="AC94" s="12">
        <f>SUM(AC88,AC89,AC90)</f>
        <v/>
      </c>
    </row>
    <row r="95">
      <c r="A95" s="16" t="inlineStr">
        <is>
          <t>기업가치 산출</t>
        </is>
      </c>
      <c r="B95" s="16" t="n"/>
      <c r="C95" s="17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7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7" t="n"/>
      <c r="Z95" s="16" t="n"/>
      <c r="AA95" s="16" t="n"/>
      <c r="AB95" s="16" t="n"/>
      <c r="AC95" s="16" t="n"/>
    </row>
    <row r="96">
      <c r="A96" s="18" t="inlineStr">
        <is>
          <t>목표 시가총액 (P/E)</t>
        </is>
      </c>
      <c r="B96" s="10" t="inlineStr">
        <is>
          <t>지배순이익 × Target P/E</t>
        </is>
      </c>
      <c r="C96" s="19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19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19">
        <f>IF(OR(Y73="",Y83=""),"",IFERROR(Y73*Y83,""))</f>
        <v/>
      </c>
      <c r="Z96" s="20">
        <f>IF(OR(Z73="",Z83=""),"",IFERROR(Z73*Z83,""))</f>
        <v/>
      </c>
      <c r="AA96" s="20">
        <f>IF(OR(AA73="",AA83=""),"",IFERROR(AA73*AA83,""))</f>
        <v/>
      </c>
      <c r="AB96" s="20">
        <f>IF(OR(AB73="",AB83=""),"",IFERROR(AB73*AB83,""))</f>
        <v/>
      </c>
      <c r="AC96" s="20">
        <f>IF(OR(AC73="",AC83=""),"",IFERROR(AC73*AC83,""))</f>
        <v/>
      </c>
    </row>
    <row r="97">
      <c r="A97" s="9" t="inlineStr">
        <is>
          <t>기업가치</t>
        </is>
      </c>
      <c r="B97" s="10" t="inlineStr">
        <is>
          <t>목표시총 + 자산가치</t>
        </is>
      </c>
      <c r="C97" s="11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1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1">
        <f>IF(OR(Y96=""),"",IFERROR(Y96+Y94,""))</f>
        <v/>
      </c>
      <c r="Z97" s="12">
        <f>IF(OR(Z96=""),"",IFERROR(Z96+Z94,""))</f>
        <v/>
      </c>
      <c r="AA97" s="12">
        <f>IF(OR(AA96=""),"",IFERROR(AA96+AA94,""))</f>
        <v/>
      </c>
      <c r="AB97" s="12">
        <f>IF(OR(AB96=""),"",IFERROR(AB96+AB94,""))</f>
        <v/>
      </c>
      <c r="AC97" s="12">
        <f>IF(OR(AC96=""),"",IFERROR(AC96+AC94,""))</f>
        <v/>
      </c>
    </row>
    <row r="98">
      <c r="A98" s="18" t="inlineStr">
        <is>
          <t>현재 시가총액</t>
        </is>
      </c>
      <c r="B98" s="10" t="n"/>
      <c r="C98" s="19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19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19">
        <f>$B$79</f>
        <v/>
      </c>
      <c r="Z98" s="20">
        <f>$B$79</f>
        <v/>
      </c>
      <c r="AA98" s="20">
        <f>$B$79</f>
        <v/>
      </c>
      <c r="AB98" s="20">
        <f>$B$79</f>
        <v/>
      </c>
      <c r="AC98" s="20">
        <f>$B$79</f>
        <v/>
      </c>
    </row>
    <row r="99">
      <c r="A99" s="18" t="inlineStr">
        <is>
          <t>상승여력</t>
        </is>
      </c>
      <c r="B99" s="10" t="n"/>
      <c r="C99" s="35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5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7">
        <f>IF(OR(Y97="",Y98=""),"",IFERROR(Y97/Y98-1,""))</f>
        <v/>
      </c>
      <c r="Z99" s="38">
        <f>IF(OR(Z97="",Z98=""),"",IFERROR(Z97/Z98-1,""))</f>
        <v/>
      </c>
      <c r="AA99" s="38">
        <f>IF(OR(AA97="",AA98=""),"",IFERROR(AA97/AA98-1,""))</f>
        <v/>
      </c>
      <c r="AB99" s="38">
        <f>IF(OR(AB97="",AB98=""),"",IFERROR(AB97/AB98-1,""))</f>
        <v/>
      </c>
      <c r="AC99" s="38">
        <f>IF(OR(AC97="",AC98=""),"",IFERROR(AC97/AC98-1,""))</f>
        <v/>
      </c>
    </row>
    <row r="100">
      <c r="C100" s="39" t="n"/>
      <c r="O100" s="39" t="n"/>
      <c r="Y100" s="39" t="n"/>
    </row>
    <row r="101">
      <c r="A101" s="40" t="inlineStr">
        <is>
          <t>출처</t>
        </is>
      </c>
      <c r="C101" s="39" t="n"/>
      <c r="O101" s="39" t="n"/>
      <c r="Y101" s="39" t="n"/>
    </row>
    <row r="102">
      <c r="A102" s="41" t="inlineStr">
        <is>
          <t>결산단신 XBRL(TDnet·JPX 보관소) — 쓴 문서는 '출처' 시트</t>
        </is>
      </c>
      <c r="C102" s="39" t="n"/>
      <c r="O102" s="39" t="n"/>
      <c r="Y102" s="39" t="n"/>
    </row>
    <row r="103">
      <c r="A103" s="41" t="inlineStr">
        <is>
          <t>분기 = 누계에서 앞 분기를 뺀 3개월 값</t>
        </is>
      </c>
      <c r="C103" s="39" t="n"/>
      <c r="O103" s="39" t="n"/>
      <c r="Y103" s="39" t="n"/>
    </row>
    <row r="104">
      <c r="A104" s="41" t="inlineStr">
        <is>
          <t>주가: 야후 파이낸스 일봉</t>
        </is>
      </c>
      <c r="C104" s="39" t="n"/>
      <c r="O104" s="39" t="n"/>
      <c r="Y104" s="39" t="n"/>
    </row>
    <row r="106">
      <c r="A106" s="16" t="inlineStr">
        <is>
          <t>손익계산서 · 전 항목</t>
        </is>
      </c>
      <c r="B106" s="42" t="inlineStr">
        <is>
          <t>분기 = 3개월 단독</t>
        </is>
      </c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</row>
    <row r="107">
      <c r="A107" s="5" t="inlineStr">
        <is>
          <t>항목</t>
        </is>
      </c>
      <c r="B107" s="5" t="inlineStr">
        <is>
          <t>참고</t>
        </is>
      </c>
      <c r="C107" s="5" t="inlineStr">
        <is>
          <t>2024.1Q</t>
        </is>
      </c>
      <c r="D107" s="5" t="inlineStr">
        <is>
          <t>2024.2Q</t>
        </is>
      </c>
      <c r="E107" s="5" t="inlineStr">
        <is>
          <t>2024.3Q</t>
        </is>
      </c>
      <c r="F107" s="5" t="inlineStr">
        <is>
          <t>2024.4Q</t>
        </is>
      </c>
      <c r="G107" s="5" t="inlineStr">
        <is>
          <t>2025.1Q</t>
        </is>
      </c>
      <c r="H107" s="5" t="inlineStr">
        <is>
          <t>2025.2Q</t>
        </is>
      </c>
      <c r="I107" s="5" t="inlineStr">
        <is>
          <t>2025.3Q</t>
        </is>
      </c>
      <c r="J107" s="5" t="inlineStr">
        <is>
          <t>2025.4Q</t>
        </is>
      </c>
      <c r="K107" s="5" t="inlineStr">
        <is>
          <t>2026.1Q</t>
        </is>
      </c>
      <c r="L107" s="5" t="inlineStr">
        <is>
          <t>2026.2Q</t>
        </is>
      </c>
      <c r="M107" s="5" t="inlineStr">
        <is>
          <t>2026.3Q</t>
        </is>
      </c>
      <c r="N107" s="5" t="inlineStr">
        <is>
          <t>2026.4Q</t>
        </is>
      </c>
      <c r="O107" s="5" t="inlineStr">
        <is>
          <t>2017</t>
        </is>
      </c>
      <c r="P107" s="5" t="inlineStr">
        <is>
          <t>2018</t>
        </is>
      </c>
      <c r="Q107" s="5" t="inlineStr">
        <is>
          <t>2019</t>
        </is>
      </c>
      <c r="R107" s="5" t="inlineStr">
        <is>
          <t>2020</t>
        </is>
      </c>
      <c r="S107" s="5" t="inlineStr">
        <is>
          <t>2021</t>
        </is>
      </c>
      <c r="T107" s="5" t="inlineStr">
        <is>
          <t>2022</t>
        </is>
      </c>
      <c r="U107" s="5" t="inlineStr">
        <is>
          <t>2023</t>
        </is>
      </c>
      <c r="V107" s="5" t="inlineStr">
        <is>
          <t>2024</t>
        </is>
      </c>
      <c r="W107" s="5" t="inlineStr">
        <is>
          <t>2025</t>
        </is>
      </c>
      <c r="X107" s="5" t="inlineStr">
        <is>
          <t>2026</t>
        </is>
      </c>
      <c r="Y107" s="5" t="inlineStr">
        <is>
          <t>2027(MW)</t>
        </is>
      </c>
      <c r="Z107" s="5" t="inlineStr">
        <is>
          <t>2028(MW)</t>
        </is>
      </c>
      <c r="AA107" s="5" t="inlineStr">
        <is>
          <t>2029(MW)</t>
        </is>
      </c>
      <c r="AB107" s="5" t="inlineStr">
        <is>
          <t>2030(MW)</t>
        </is>
      </c>
      <c r="AC107" s="5" t="inlineStr">
        <is>
          <t>2031(MW)</t>
        </is>
      </c>
    </row>
    <row r="108">
      <c r="A108" s="9" t="inlineStr">
        <is>
          <t>매출액</t>
        </is>
      </c>
      <c r="C108" s="12" t="n">
        <v>3721</v>
      </c>
      <c r="D108" s="12" t="n">
        <v>4697</v>
      </c>
      <c r="E108" s="12" t="n">
        <v>4734</v>
      </c>
      <c r="F108" s="12" t="n">
        <v>4542</v>
      </c>
      <c r="G108" s="12" t="n">
        <v>5620</v>
      </c>
      <c r="H108" s="12" t="n">
        <v>6569</v>
      </c>
      <c r="I108" s="12" t="n">
        <v>6080</v>
      </c>
      <c r="J108" s="12" t="n">
        <v>4768</v>
      </c>
      <c r="K108" s="12" t="n">
        <v>5516</v>
      </c>
      <c r="L108" s="12" t="n">
        <v>5076</v>
      </c>
      <c r="M108" s="12" t="n">
        <v>4884</v>
      </c>
      <c r="N108" s="12" t="n">
        <v>6036</v>
      </c>
      <c r="T108" s="12" t="n">
        <v>2194.48</v>
      </c>
      <c r="U108" s="12" t="n">
        <v>3448.191</v>
      </c>
      <c r="V108" s="12" t="n">
        <v>4542</v>
      </c>
      <c r="W108" s="12" t="n">
        <v>4768</v>
      </c>
      <c r="X108" s="12" t="n">
        <v>6036</v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IF(OR(G108="",C108=""),"",IF(C108&lt;=0,"",IFERROR(G108/C108-1,"")))</f>
        <v/>
      </c>
      <c r="H109" s="15">
        <f>IF(OR(H108="",D108=""),"",IF(D108&lt;=0,"",IFERROR(H108/D108-1,"")))</f>
        <v/>
      </c>
      <c r="I109" s="15">
        <f>IF(OR(I108="",E108=""),"",IF(E108&lt;=0,"",IFERROR(I108/E108-1,"")))</f>
        <v/>
      </c>
      <c r="J109" s="15">
        <f>IF(OR(J108="",F108=""),"",IF(F108&lt;=0,"",IFERROR(J108/F108-1,"")))</f>
        <v/>
      </c>
      <c r="K109" s="15">
        <f>IF(OR(K108="",G108=""),"",IF(G108&lt;=0,"",IFERROR(K108/G108-1,"")))</f>
        <v/>
      </c>
      <c r="L109" s="15">
        <f>IF(OR(L108="",H108=""),"",IF(H108&lt;=0,"",IFERROR(L108/H108-1,"")))</f>
        <v/>
      </c>
      <c r="M109" s="15">
        <f>IF(OR(M108="",I108=""),"",IF(I108&lt;=0,"",IFERROR(M108/I108-1,"")))</f>
        <v/>
      </c>
      <c r="N109" s="15">
        <f>IF(OR(N108="",J108=""),"",IF(J108&lt;=0,"",IFERROR(N108/J108-1,"")))</f>
        <v/>
      </c>
      <c r="T109" s="15">
        <f>IF(OR(T108="",S108=""),"",IF(S108&lt;=0,"",IFERROR(T108/S108-1,"")))</f>
        <v/>
      </c>
      <c r="U109" s="15">
        <f>IF(OR(U108="",T108=""),"",IF(T108&lt;=0,"",IFERROR(U108/T108-1,"")))</f>
        <v/>
      </c>
      <c r="V109" s="15">
        <f>IF(OR(V108="",U108=""),"",IF(U108&lt;=0,"",IFERROR(V108/U108-1,"")))</f>
        <v/>
      </c>
      <c r="W109" s="15">
        <f>IF(OR(W108="",V108=""),"",IF(V108&lt;=0,"",IFERROR(W108/V108-1,"")))</f>
        <v/>
      </c>
      <c r="X109" s="15">
        <f>IF(OR(X108="",W108=""),"",IF(W108&lt;=0,"",IFERROR(X108/W108-1,"")))</f>
        <v/>
      </c>
    </row>
    <row r="110">
      <c r="A110" s="18" t="inlineStr">
        <is>
          <t>매출원가</t>
        </is>
      </c>
      <c r="C110" s="20" t="n">
        <v>2583</v>
      </c>
      <c r="D110" s="20" t="n">
        <v>3369</v>
      </c>
      <c r="E110" s="20" t="n">
        <v>3457</v>
      </c>
      <c r="F110" s="20" t="n">
        <v>3473</v>
      </c>
      <c r="G110" s="20" t="n">
        <v>4296</v>
      </c>
      <c r="H110" s="20" t="n">
        <v>5048</v>
      </c>
      <c r="I110" s="20" t="n">
        <v>4475</v>
      </c>
      <c r="J110" s="20" t="n">
        <v>3595</v>
      </c>
      <c r="K110" s="20" t="n">
        <v>4048</v>
      </c>
      <c r="L110" s="20" t="n">
        <v>3672</v>
      </c>
      <c r="M110" s="20" t="n">
        <v>3545</v>
      </c>
      <c r="N110" s="20" t="n">
        <v>4475</v>
      </c>
      <c r="T110" s="20" t="n">
        <v>1802.404</v>
      </c>
      <c r="U110" s="20" t="n">
        <v>2828.118</v>
      </c>
      <c r="V110" s="20" t="n">
        <v>3473</v>
      </c>
      <c r="W110" s="20" t="n">
        <v>3595</v>
      </c>
      <c r="X110" s="20" t="n">
        <v>4475</v>
      </c>
    </row>
    <row r="111">
      <c r="A111" s="43" t="inlineStr">
        <is>
          <t>YoY</t>
        </is>
      </c>
      <c r="B111" s="3" t="inlineStr">
        <is>
          <t>전년 같은 분기·전년 대비</t>
        </is>
      </c>
      <c r="G111" s="15">
        <f>IF(OR(G110="",C110=""),"",IF(G110*C110&lt;=0,"",IFERROR(G110/C110-1,"")))</f>
        <v/>
      </c>
      <c r="H111" s="15">
        <f>IF(OR(H110="",D110=""),"",IF(H110*D110&lt;=0,"",IFERROR(H110/D110-1,"")))</f>
        <v/>
      </c>
      <c r="I111" s="15">
        <f>IF(OR(I110="",E110=""),"",IF(I110*E110&lt;=0,"",IFERROR(I110/E110-1,"")))</f>
        <v/>
      </c>
      <c r="J111" s="15">
        <f>IF(OR(J110="",F110=""),"",IF(J110*F110&lt;=0,"",IFERROR(J110/F110-1,"")))</f>
        <v/>
      </c>
      <c r="K111" s="15">
        <f>IF(OR(K110="",G110=""),"",IF(K110*G110&lt;=0,"",IFERROR(K110/G110-1,"")))</f>
        <v/>
      </c>
      <c r="L111" s="15">
        <f>IF(OR(L110="",H110=""),"",IF(L110*H110&lt;=0,"",IFERROR(L110/H110-1,"")))</f>
        <v/>
      </c>
      <c r="M111" s="15">
        <f>IF(OR(M110="",I110=""),"",IF(M110*I110&lt;=0,"",IFERROR(M110/I110-1,"")))</f>
        <v/>
      </c>
      <c r="N111" s="15">
        <f>IF(OR(N110="",J110=""),"",IF(N110*J110&lt;=0,"",IFERROR(N110/J110-1,"")))</f>
        <v/>
      </c>
      <c r="T111" s="15">
        <f>IF(OR(T110="",S110=""),"",IF(T110*S110&lt;=0,"",IFERROR(T110/S110-1,"")))</f>
        <v/>
      </c>
      <c r="U111" s="15">
        <f>IF(OR(U110="",T110=""),"",IF(U110*T110&lt;=0,"",IFERROR(U110/T110-1,"")))</f>
        <v/>
      </c>
      <c r="V111" s="15">
        <f>IF(OR(V110="",U110=""),"",IF(V110*U110&lt;=0,"",IFERROR(V110/U110-1,"")))</f>
        <v/>
      </c>
      <c r="W111" s="15">
        <f>IF(OR(W110="",V110=""),"",IF(W110*V110&lt;=0,"",IFERROR(W110/V110-1,"")))</f>
        <v/>
      </c>
      <c r="X111" s="15">
        <f>IF(OR(X110="",W110=""),"",IF(X110*W110&lt;=0,"",IFERROR(X110/W110-1,"")))</f>
        <v/>
      </c>
    </row>
    <row r="112">
      <c r="A112" s="9" t="inlineStr">
        <is>
          <t>매출총이익</t>
        </is>
      </c>
      <c r="C112" s="12" t="n">
        <v>1137</v>
      </c>
      <c r="D112" s="12" t="n">
        <v>1328</v>
      </c>
      <c r="E112" s="12" t="n">
        <v>1277</v>
      </c>
      <c r="F112" s="12" t="n">
        <v>1070</v>
      </c>
      <c r="G112" s="12" t="n">
        <v>1324</v>
      </c>
      <c r="H112" s="12" t="n">
        <v>1520</v>
      </c>
      <c r="I112" s="12" t="n">
        <v>1606</v>
      </c>
      <c r="J112" s="12" t="n">
        <v>1172</v>
      </c>
      <c r="K112" s="12" t="n">
        <v>1467</v>
      </c>
      <c r="L112" s="12" t="n">
        <v>1405</v>
      </c>
      <c r="M112" s="12" t="n">
        <v>1339</v>
      </c>
      <c r="N112" s="12" t="n">
        <v>1560</v>
      </c>
      <c r="T112" s="12" t="n">
        <v>392.077</v>
      </c>
      <c r="U112" s="12" t="n">
        <v>620.072</v>
      </c>
      <c r="V112" s="12" t="n">
        <v>1070</v>
      </c>
      <c r="W112" s="12" t="n">
        <v>1172</v>
      </c>
      <c r="X112" s="12" t="n">
        <v>1560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IF(OR(G112="",C112=""),"",IF(C112&lt;=0,"",IFERROR(G112/C112-1,"")))</f>
        <v/>
      </c>
      <c r="H113" s="15">
        <f>IF(OR(H112="",D112=""),"",IF(D112&lt;=0,"",IFERROR(H112/D112-1,"")))</f>
        <v/>
      </c>
      <c r="I113" s="15">
        <f>IF(OR(I112="",E112=""),"",IF(E112&lt;=0,"",IFERROR(I112/E112-1,"")))</f>
        <v/>
      </c>
      <c r="J113" s="15">
        <f>IF(OR(J112="",F112=""),"",IF(F112&lt;=0,"",IFERROR(J112/F112-1,"")))</f>
        <v/>
      </c>
      <c r="K113" s="15">
        <f>IF(OR(K112="",G112=""),"",IF(G112&lt;=0,"",IFERROR(K112/G112-1,"")))</f>
        <v/>
      </c>
      <c r="L113" s="15">
        <f>IF(OR(L112="",H112=""),"",IF(H112&lt;=0,"",IFERROR(L112/H112-1,"")))</f>
        <v/>
      </c>
      <c r="M113" s="15">
        <f>IF(OR(M112="",I112=""),"",IF(I112&lt;=0,"",IFERROR(M112/I112-1,"")))</f>
        <v/>
      </c>
      <c r="N113" s="15">
        <f>IF(OR(N112="",J112=""),"",IF(J112&lt;=0,"",IFERROR(N112/J112-1,"")))</f>
        <v/>
      </c>
      <c r="T113" s="15">
        <f>IF(OR(T112="",S112=""),"",IF(S112&lt;=0,"",IFERROR(T112/S112-1,"")))</f>
        <v/>
      </c>
      <c r="U113" s="15">
        <f>IF(OR(U112="",T112=""),"",IF(T112&lt;=0,"",IFERROR(U112/T112-1,"")))</f>
        <v/>
      </c>
      <c r="V113" s="15">
        <f>IF(OR(V112="",U112=""),"",IF(U112&lt;=0,"",IFERROR(V112/U112-1,"")))</f>
        <v/>
      </c>
      <c r="W113" s="15">
        <f>IF(OR(W112="",V112=""),"",IF(V112&lt;=0,"",IFERROR(W112/V112-1,"")))</f>
        <v/>
      </c>
      <c r="X113" s="15">
        <f>IF(OR(X112="",W112=""),"",IF(W112&lt;=0,"",IFERROR(X112/W112-1,"")))</f>
        <v/>
      </c>
    </row>
    <row r="114">
      <c r="A114" s="18" t="inlineStr">
        <is>
          <t>판매비와 관리비 합계</t>
        </is>
      </c>
      <c r="C114" s="20" t="n">
        <v>798</v>
      </c>
      <c r="D114" s="20" t="n">
        <v>853</v>
      </c>
      <c r="E114" s="20" t="n">
        <v>922</v>
      </c>
      <c r="F114" s="20" t="n">
        <v>963</v>
      </c>
      <c r="G114" s="20" t="n">
        <v>940</v>
      </c>
      <c r="H114" s="20" t="n">
        <v>1042</v>
      </c>
      <c r="I114" s="20" t="n">
        <v>1050</v>
      </c>
      <c r="J114" s="20" t="n">
        <v>1206</v>
      </c>
      <c r="K114" s="20" t="n">
        <v>1174</v>
      </c>
      <c r="L114" s="20" t="n">
        <v>1127</v>
      </c>
      <c r="M114" s="20" t="n">
        <v>1396</v>
      </c>
      <c r="N114" s="20" t="n">
        <v>1454</v>
      </c>
      <c r="T114" s="20" t="n">
        <v>339.846</v>
      </c>
      <c r="U114" s="20" t="n">
        <v>841.423</v>
      </c>
      <c r="V114" s="20" t="n">
        <v>963</v>
      </c>
      <c r="W114" s="20" t="n">
        <v>1206</v>
      </c>
      <c r="X114" s="20" t="n">
        <v>1454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IF(OR(G114="",C114=""),"",IF(G114*C114&lt;=0,"",IFERROR(G114/C114-1,"")))</f>
        <v/>
      </c>
      <c r="H115" s="15">
        <f>IF(OR(H114="",D114=""),"",IF(H114*D114&lt;=0,"",IFERROR(H114/D114-1,"")))</f>
        <v/>
      </c>
      <c r="I115" s="15">
        <f>IF(OR(I114="",E114=""),"",IF(I114*E114&lt;=0,"",IFERROR(I114/E114-1,"")))</f>
        <v/>
      </c>
      <c r="J115" s="15">
        <f>IF(OR(J114="",F114=""),"",IF(J114*F114&lt;=0,"",IFERROR(J114/F114-1,"")))</f>
        <v/>
      </c>
      <c r="K115" s="15">
        <f>IF(OR(K114="",G114=""),"",IF(K114*G114&lt;=0,"",IFERROR(K114/G114-1,"")))</f>
        <v/>
      </c>
      <c r="L115" s="15">
        <f>IF(OR(L114="",H114=""),"",IF(L114*H114&lt;=0,"",IFERROR(L114/H114-1,"")))</f>
        <v/>
      </c>
      <c r="M115" s="15">
        <f>IF(OR(M114="",I114=""),"",IF(M114*I114&lt;=0,"",IFERROR(M114/I114-1,"")))</f>
        <v/>
      </c>
      <c r="N115" s="15">
        <f>IF(OR(N114="",J114=""),"",IF(N114*J114&lt;=0,"",IFERROR(N114/J114-1,"")))</f>
        <v/>
      </c>
      <c r="T115" s="15">
        <f>IF(OR(T114="",S114=""),"",IF(T114*S114&lt;=0,"",IFERROR(T114/S114-1,"")))</f>
        <v/>
      </c>
      <c r="U115" s="15">
        <f>IF(OR(U114="",T114=""),"",IF(U114*T114&lt;=0,"",IFERROR(U114/T114-1,"")))</f>
        <v/>
      </c>
      <c r="V115" s="15">
        <f>IF(OR(V114="",U114=""),"",IF(V114*U114&lt;=0,"",IFERROR(V114/U114-1,"")))</f>
        <v/>
      </c>
      <c r="W115" s="15">
        <f>IF(OR(W114="",V114=""),"",IF(W114*V114&lt;=0,"",IFERROR(W114/V114-1,"")))</f>
        <v/>
      </c>
      <c r="X115" s="15">
        <f>IF(OR(X114="",W114=""),"",IF(X114*W114&lt;=0,"",IFERROR(X114/W114-1,"")))</f>
        <v/>
      </c>
    </row>
    <row r="116">
      <c r="A116" s="9" t="inlineStr">
        <is>
          <t>영업이익</t>
        </is>
      </c>
      <c r="C116" s="12" t="n">
        <v>339</v>
      </c>
      <c r="D116" s="12" t="n">
        <v>475</v>
      </c>
      <c r="E116" s="12" t="n">
        <v>355</v>
      </c>
      <c r="F116" s="12" t="n">
        <v>106</v>
      </c>
      <c r="G116" s="12" t="n">
        <v>384</v>
      </c>
      <c r="H116" s="12" t="n">
        <v>478</v>
      </c>
      <c r="I116" s="12" t="n">
        <v>555</v>
      </c>
      <c r="J116" s="12" t="n">
        <v>-34</v>
      </c>
      <c r="K116" s="12" t="n">
        <v>293</v>
      </c>
      <c r="L116" s="12" t="n">
        <v>277</v>
      </c>
      <c r="M116" s="12" t="n">
        <v>-56</v>
      </c>
      <c r="N116" s="12" t="n">
        <v>106</v>
      </c>
      <c r="T116" s="12" t="n">
        <v>52.231</v>
      </c>
      <c r="U116" s="12" t="n">
        <v>-221.352</v>
      </c>
      <c r="V116" s="12" t="n">
        <v>106</v>
      </c>
      <c r="W116" s="12" t="n">
        <v>-34</v>
      </c>
      <c r="X116" s="12" t="n">
        <v>106</v>
      </c>
    </row>
    <row r="117">
      <c r="A117" s="43" t="inlineStr">
        <is>
          <t>OPM</t>
        </is>
      </c>
      <c r="B117" s="3" t="inlineStr">
        <is>
          <t>영업이익 ÷ 매출</t>
        </is>
      </c>
      <c r="C117" s="15">
        <f>IF(OR(C116="",C108=""),"",IF(C108&lt;=0,"",IFERROR(C116/C108,"")))</f>
        <v/>
      </c>
      <c r="D117" s="15">
        <f>IF(OR(D116="",D108=""),"",IF(D108&lt;=0,"",IFERROR(D116/D108,"")))</f>
        <v/>
      </c>
      <c r="E117" s="15">
        <f>IF(OR(E116="",E108=""),"",IF(E108&lt;=0,"",IFERROR(E116/E108,"")))</f>
        <v/>
      </c>
      <c r="F117" s="15">
        <f>IF(OR(F116="",F108=""),"",IF(F108&lt;=0,"",IFERROR(F116/F108,"")))</f>
        <v/>
      </c>
      <c r="G117" s="15">
        <f>IF(OR(G116="",G108=""),"",IF(G108&lt;=0,"",IFERROR(G116/G108,"")))</f>
        <v/>
      </c>
      <c r="H117" s="15">
        <f>IF(OR(H116="",H108=""),"",IF(H108&lt;=0,"",IFERROR(H116/H108,"")))</f>
        <v/>
      </c>
      <c r="I117" s="15">
        <f>IF(OR(I116="",I108=""),"",IF(I108&lt;=0,"",IFERROR(I116/I108,"")))</f>
        <v/>
      </c>
      <c r="J117" s="15">
        <f>IF(OR(J116="",J108=""),"",IF(J108&lt;=0,"",IFERROR(J116/J108,"")))</f>
        <v/>
      </c>
      <c r="K117" s="15">
        <f>IF(OR(K116="",K108=""),"",IF(K108&lt;=0,"",IFERROR(K116/K108,"")))</f>
        <v/>
      </c>
      <c r="L117" s="15">
        <f>IF(OR(L116="",L108=""),"",IF(L108&lt;=0,"",IFERROR(L116/L108,"")))</f>
        <v/>
      </c>
      <c r="M117" s="15">
        <f>IF(OR(M116="",M108=""),"",IF(M108&lt;=0,"",IFERROR(M116/M108,"")))</f>
        <v/>
      </c>
      <c r="N117" s="15">
        <f>IF(OR(N116="",N108=""),"",IF(N108&lt;=0,"",IFERROR(N116/N108,"")))</f>
        <v/>
      </c>
      <c r="T117" s="15">
        <f>IF(OR(T116="",T108=""),"",IF(T108&lt;=0,"",IFERROR(T116/T108,"")))</f>
        <v/>
      </c>
      <c r="U117" s="15">
        <f>IF(OR(U116="",U108=""),"",IF(U108&lt;=0,"",IFERROR(U116/U108,"")))</f>
        <v/>
      </c>
      <c r="V117" s="15">
        <f>IF(OR(V116="",V108=""),"",IF(V108&lt;=0,"",IFERROR(V116/V108,"")))</f>
        <v/>
      </c>
      <c r="W117" s="15">
        <f>IF(OR(W116="",W108=""),"",IF(W108&lt;=0,"",IFERROR(W116/W108,"")))</f>
        <v/>
      </c>
      <c r="X117" s="15">
        <f>IF(OR(X116="",X108=""),"",IF(X108&lt;=0,"",IFERROR(X116/X108,"")))</f>
        <v/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IF(OR(G116="",C116=""),"",IF(C116&lt;=0,"",IFERROR(G116/C116-1,"")))</f>
        <v/>
      </c>
      <c r="H118" s="15">
        <f>IF(OR(H116="",D116=""),"",IF(D116&lt;=0,"",IFERROR(H116/D116-1,"")))</f>
        <v/>
      </c>
      <c r="I118" s="15">
        <f>IF(OR(I116="",E116=""),"",IF(E116&lt;=0,"",IFERROR(I116/E116-1,"")))</f>
        <v/>
      </c>
      <c r="J118" s="15">
        <f>IF(OR(J116="",F116=""),"",IF(F116&lt;=0,"",IFERROR(J116/F116-1,"")))</f>
        <v/>
      </c>
      <c r="K118" s="15">
        <f>IF(OR(K116="",G116=""),"",IF(G116&lt;=0,"",IFERROR(K116/G116-1,"")))</f>
        <v/>
      </c>
      <c r="L118" s="15">
        <f>IF(OR(L116="",H116=""),"",IF(H116&lt;=0,"",IFERROR(L116/H116-1,"")))</f>
        <v/>
      </c>
      <c r="M118" s="15">
        <f>IF(OR(M116="",I116=""),"",IF(I116&lt;=0,"",IFERROR(M116/I116-1,"")))</f>
        <v/>
      </c>
      <c r="N118" s="15">
        <f>IF(OR(N116="",J116=""),"",IF(J116&lt;=0,"",IFERROR(N116/J116-1,"")))</f>
        <v/>
      </c>
      <c r="T118" s="15">
        <f>IF(OR(T116="",S116=""),"",IF(S116&lt;=0,"",IFERROR(T116/S116-1,"")))</f>
        <v/>
      </c>
      <c r="U118" s="15">
        <f>IF(OR(U116="",T116=""),"",IF(T116&lt;=0,"",IFERROR(U116/T116-1,"")))</f>
        <v/>
      </c>
      <c r="V118" s="15">
        <f>IF(OR(V116="",U116=""),"",IF(U116&lt;=0,"",IFERROR(V116/U116-1,"")))</f>
        <v/>
      </c>
      <c r="W118" s="15">
        <f>IF(OR(W116="",V116=""),"",IF(V116&lt;=0,"",IFERROR(W116/V116-1,"")))</f>
        <v/>
      </c>
      <c r="X118" s="15">
        <f>IF(OR(X116="",W116=""),"",IF(W116&lt;=0,"",IFERROR(X116/W116-1,"")))</f>
        <v/>
      </c>
    </row>
    <row r="119">
      <c r="A119" s="18" t="inlineStr">
        <is>
          <t>이자수익</t>
        </is>
      </c>
      <c r="C119" s="20" t="n">
        <v>0</v>
      </c>
      <c r="D119" s="20" t="n">
        <v>0</v>
      </c>
      <c r="E119" s="20" t="n">
        <v>0</v>
      </c>
      <c r="F119" s="20" t="n">
        <v>0</v>
      </c>
      <c r="G119" s="20" t="n">
        <v>0</v>
      </c>
      <c r="H119" s="20" t="n">
        <v>2</v>
      </c>
      <c r="I119" s="20" t="n">
        <v>0</v>
      </c>
      <c r="J119" s="20" t="n">
        <v>5</v>
      </c>
      <c r="K119" s="20" t="n">
        <v>2</v>
      </c>
      <c r="L119" s="20" t="n">
        <v>5</v>
      </c>
      <c r="M119" s="20" t="n">
        <v>3</v>
      </c>
      <c r="N119" s="20" t="n">
        <v>12</v>
      </c>
      <c r="T119" s="20" t="n">
        <v>0.039</v>
      </c>
      <c r="U119" s="20" t="n">
        <v>0.143</v>
      </c>
      <c r="V119" s="20" t="n">
        <v>0</v>
      </c>
      <c r="W119" s="20" t="n">
        <v>5</v>
      </c>
      <c r="X119" s="20" t="n">
        <v>12</v>
      </c>
    </row>
    <row r="120">
      <c r="A120" s="18" t="inlineStr">
        <is>
          <t>배당금수익</t>
        </is>
      </c>
      <c r="C120" s="20" t="n">
        <v>1</v>
      </c>
      <c r="D120" s="20" t="n">
        <v>0</v>
      </c>
      <c r="E120" s="20" t="n">
        <v>0</v>
      </c>
      <c r="F120" s="20" t="n">
        <v>0</v>
      </c>
      <c r="G120" s="20" t="n">
        <v>1</v>
      </c>
      <c r="H120" s="20" t="n">
        <v>0</v>
      </c>
      <c r="I120" s="20" t="n">
        <v>0</v>
      </c>
      <c r="J120" s="20" t="n">
        <v>0</v>
      </c>
      <c r="K120" s="20" t="n">
        <v>4</v>
      </c>
      <c r="L120" s="20" t="n">
        <v>0</v>
      </c>
      <c r="M120" s="20" t="n">
        <v>1</v>
      </c>
      <c r="N120" s="20" t="n">
        <v>1</v>
      </c>
      <c r="T120" s="20" t="n">
        <v>0.095</v>
      </c>
      <c r="U120" s="20" t="n">
        <v>0.697</v>
      </c>
      <c r="V120" s="20" t="n">
        <v>0</v>
      </c>
      <c r="W120" s="20" t="n">
        <v>0</v>
      </c>
      <c r="X120" s="20" t="n">
        <v>1</v>
      </c>
    </row>
    <row r="121">
      <c r="A121" s="18" t="inlineStr">
        <is>
          <t>익명조합 투자이익</t>
        </is>
      </c>
      <c r="T121" s="20" t="n">
        <v>0</v>
      </c>
      <c r="U121" s="20" t="n">
        <v>0</v>
      </c>
    </row>
    <row r="122">
      <c r="A122" s="18" t="inlineStr">
        <is>
          <t>보험금 수익</t>
        </is>
      </c>
      <c r="G122" s="20" t="n">
        <v>0</v>
      </c>
      <c r="K122" s="20" t="n">
        <v>16</v>
      </c>
    </row>
    <row r="123">
      <c r="A123" s="18" t="inlineStr">
        <is>
          <t>매전 수입</t>
        </is>
      </c>
      <c r="C123" s="20" t="n">
        <v>7</v>
      </c>
      <c r="D123" s="20" t="n">
        <v>7</v>
      </c>
      <c r="E123" s="20" t="n">
        <v>8</v>
      </c>
      <c r="F123" s="20" t="n">
        <v>9</v>
      </c>
      <c r="G123" s="20" t="n">
        <v>8</v>
      </c>
      <c r="H123" s="20" t="n">
        <v>6</v>
      </c>
      <c r="I123" s="20" t="n">
        <v>7</v>
      </c>
      <c r="J123" s="20" t="n">
        <v>7</v>
      </c>
      <c r="N123" s="20" t="n">
        <v>10</v>
      </c>
      <c r="U123" s="20" t="n">
        <v>8.064</v>
      </c>
      <c r="V123" s="20" t="n">
        <v>9</v>
      </c>
      <c r="W123" s="20" t="n">
        <v>7</v>
      </c>
      <c r="X123" s="20" t="n">
        <v>10</v>
      </c>
    </row>
    <row r="124">
      <c r="A124" s="18" t="inlineStr">
        <is>
          <t>보조금 수입</t>
        </is>
      </c>
      <c r="C124" s="20" t="n">
        <v>7.706</v>
      </c>
      <c r="D124" s="20" t="n">
        <v>2.1</v>
      </c>
      <c r="E124" s="20" t="n">
        <v>3.422</v>
      </c>
      <c r="F124" s="20" t="n">
        <v>1.772</v>
      </c>
      <c r="T124" s="20" t="n">
        <v>7.866</v>
      </c>
      <c r="U124" s="20" t="n">
        <v>2.437</v>
      </c>
      <c r="V124" s="20" t="n">
        <v>1.772</v>
      </c>
    </row>
    <row r="125">
      <c r="A125" s="18" t="inlineStr">
        <is>
          <t>기타</t>
        </is>
      </c>
      <c r="C125" s="20" t="n">
        <v>27</v>
      </c>
      <c r="D125" s="20" t="n">
        <v>16</v>
      </c>
      <c r="E125" s="20" t="n">
        <v>34</v>
      </c>
      <c r="F125" s="20" t="n">
        <v>-3</v>
      </c>
      <c r="G125" s="20" t="n">
        <v>24</v>
      </c>
      <c r="H125" s="20" t="n">
        <v>25</v>
      </c>
      <c r="I125" s="20" t="n">
        <v>-1</v>
      </c>
      <c r="J125" s="20" t="n">
        <v>8</v>
      </c>
      <c r="K125" s="20" t="n">
        <v>26</v>
      </c>
      <c r="L125" s="20" t="n">
        <v>42</v>
      </c>
      <c r="M125" s="20" t="n">
        <v>4</v>
      </c>
      <c r="N125" s="20" t="n">
        <v>-25</v>
      </c>
      <c r="T125" s="20" t="n">
        <v>4.904</v>
      </c>
      <c r="U125" s="20" t="n">
        <v>13.554</v>
      </c>
      <c r="V125" s="20" t="n">
        <v>-3</v>
      </c>
      <c r="W125" s="20" t="n">
        <v>8</v>
      </c>
      <c r="X125" s="20" t="n">
        <v>-25</v>
      </c>
    </row>
    <row r="126">
      <c r="A126" s="18" t="inlineStr">
        <is>
          <t>영업외수익 합계</t>
        </is>
      </c>
      <c r="C126" s="20" t="n">
        <v>36</v>
      </c>
      <c r="D126" s="20" t="n">
        <v>23</v>
      </c>
      <c r="E126" s="20" t="n">
        <v>43</v>
      </c>
      <c r="F126" s="20" t="n">
        <v>42</v>
      </c>
      <c r="G126" s="20" t="n">
        <v>26</v>
      </c>
      <c r="H126" s="20" t="n">
        <v>26</v>
      </c>
      <c r="I126" s="20" t="n">
        <v>23</v>
      </c>
      <c r="J126" s="20" t="n">
        <v>28</v>
      </c>
      <c r="K126" s="20" t="n">
        <v>48</v>
      </c>
      <c r="L126" s="20" t="n">
        <v>32</v>
      </c>
      <c r="M126" s="20" t="n">
        <v>31</v>
      </c>
      <c r="N126" s="20" t="n">
        <v>49</v>
      </c>
      <c r="T126" s="20" t="n">
        <v>14.746</v>
      </c>
      <c r="U126" s="20" t="n">
        <v>37.07</v>
      </c>
      <c r="V126" s="20" t="n">
        <v>42</v>
      </c>
      <c r="W126" s="20" t="n">
        <v>28</v>
      </c>
      <c r="X126" s="20" t="n">
        <v>49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IF(OR(G126="",C126=""),"",IF(G126*C126&lt;=0,"",IFERROR(G126/C126-1,"")))</f>
        <v/>
      </c>
      <c r="H127" s="15">
        <f>IF(OR(H126="",D126=""),"",IF(H126*D126&lt;=0,"",IFERROR(H126/D126-1,"")))</f>
        <v/>
      </c>
      <c r="I127" s="15">
        <f>IF(OR(I126="",E126=""),"",IF(I126*E126&lt;=0,"",IFERROR(I126/E126-1,"")))</f>
        <v/>
      </c>
      <c r="J127" s="15">
        <f>IF(OR(J126="",F126=""),"",IF(J126*F126&lt;=0,"",IFERROR(J126/F126-1,"")))</f>
        <v/>
      </c>
      <c r="K127" s="15">
        <f>IF(OR(K126="",G126=""),"",IF(K126*G126&lt;=0,"",IFERROR(K126/G126-1,"")))</f>
        <v/>
      </c>
      <c r="L127" s="15">
        <f>IF(OR(L126="",H126=""),"",IF(L126*H126&lt;=0,"",IFERROR(L126/H126-1,"")))</f>
        <v/>
      </c>
      <c r="M127" s="15">
        <f>IF(OR(M126="",I126=""),"",IF(M126*I126&lt;=0,"",IFERROR(M126/I126-1,"")))</f>
        <v/>
      </c>
      <c r="N127" s="15">
        <f>IF(OR(N126="",J126=""),"",IF(N126*J126&lt;=0,"",IFERROR(N126/J126-1,"")))</f>
        <v/>
      </c>
      <c r="T127" s="15">
        <f>IF(OR(T126="",S126=""),"",IF(T126*S126&lt;=0,"",IFERROR(T126/S126-1,"")))</f>
        <v/>
      </c>
      <c r="U127" s="15">
        <f>IF(OR(U126="",T126=""),"",IF(U126*T126&lt;=0,"",IFERROR(U126/T126-1,"")))</f>
        <v/>
      </c>
      <c r="V127" s="15">
        <f>IF(OR(V126="",U126=""),"",IF(V126*U126&lt;=0,"",IFERROR(V126/U126-1,"")))</f>
        <v/>
      </c>
      <c r="W127" s="15">
        <f>IF(OR(W126="",V126=""),"",IF(W126*V126&lt;=0,"",IFERROR(W126/V126-1,"")))</f>
        <v/>
      </c>
      <c r="X127" s="15">
        <f>IF(OR(X126="",W126=""),"",IF(X126*W126&lt;=0,"",IFERROR(X126/W126-1,"")))</f>
        <v/>
      </c>
    </row>
    <row r="128">
      <c r="A128" s="18" t="inlineStr">
        <is>
          <t>이자비용</t>
        </is>
      </c>
      <c r="C128" s="20" t="n">
        <v>8</v>
      </c>
      <c r="D128" s="20" t="n">
        <v>10</v>
      </c>
      <c r="E128" s="20" t="n">
        <v>10</v>
      </c>
      <c r="F128" s="20" t="n">
        <v>12</v>
      </c>
      <c r="G128" s="20" t="n">
        <v>13</v>
      </c>
      <c r="H128" s="20" t="n">
        <v>20</v>
      </c>
      <c r="I128" s="20" t="n">
        <v>20</v>
      </c>
      <c r="J128" s="20" t="n">
        <v>23</v>
      </c>
      <c r="K128" s="20" t="n">
        <v>26</v>
      </c>
      <c r="L128" s="20" t="n">
        <v>30</v>
      </c>
      <c r="M128" s="20" t="n">
        <v>39</v>
      </c>
      <c r="N128" s="20" t="n">
        <v>77</v>
      </c>
      <c r="T128" s="20" t="n">
        <v>4.749</v>
      </c>
      <c r="U128" s="20" t="n">
        <v>9.869999999999999</v>
      </c>
      <c r="V128" s="20" t="n">
        <v>12</v>
      </c>
      <c r="W128" s="20" t="n">
        <v>23</v>
      </c>
      <c r="X128" s="20" t="n">
        <v>77</v>
      </c>
    </row>
    <row r="129">
      <c r="A129" s="18" t="inlineStr">
        <is>
          <t>기타</t>
        </is>
      </c>
      <c r="C129" s="20" t="n">
        <v>1</v>
      </c>
      <c r="D129" s="20" t="n">
        <v>5</v>
      </c>
      <c r="E129" s="20" t="n">
        <v>-2</v>
      </c>
      <c r="F129" s="20" t="n">
        <v>13</v>
      </c>
      <c r="G129" s="20" t="n">
        <v>1</v>
      </c>
      <c r="H129" s="20" t="n">
        <v>0</v>
      </c>
      <c r="I129" s="20" t="n">
        <v>14</v>
      </c>
      <c r="J129" s="20" t="n">
        <v>-6</v>
      </c>
      <c r="K129" s="20" t="n">
        <v>0</v>
      </c>
      <c r="L129" s="20" t="n">
        <v>0</v>
      </c>
      <c r="M129" s="20" t="n">
        <v>0</v>
      </c>
      <c r="N129" s="20" t="n">
        <v>3</v>
      </c>
      <c r="T129" s="20" t="n">
        <v>1.148</v>
      </c>
      <c r="U129" s="20" t="n">
        <v>1.329</v>
      </c>
      <c r="V129" s="20" t="n">
        <v>13</v>
      </c>
      <c r="W129" s="20" t="n">
        <v>-6</v>
      </c>
      <c r="X129" s="20" t="n">
        <v>3</v>
      </c>
    </row>
    <row r="130">
      <c r="A130" s="18" t="inlineStr">
        <is>
          <t>영업외비용 합계</t>
        </is>
      </c>
      <c r="C130" s="20" t="n">
        <v>10</v>
      </c>
      <c r="D130" s="20" t="n">
        <v>14</v>
      </c>
      <c r="E130" s="20" t="n">
        <v>9</v>
      </c>
      <c r="F130" s="20" t="n">
        <v>24</v>
      </c>
      <c r="G130" s="20" t="n">
        <v>14</v>
      </c>
      <c r="H130" s="20" t="n">
        <v>21</v>
      </c>
      <c r="I130" s="20" t="n">
        <v>34</v>
      </c>
      <c r="J130" s="20" t="n">
        <v>16</v>
      </c>
      <c r="K130" s="20" t="n">
        <v>26</v>
      </c>
      <c r="L130" s="20" t="n">
        <v>30</v>
      </c>
      <c r="M130" s="20" t="n">
        <v>39</v>
      </c>
      <c r="N130" s="20" t="n">
        <v>81</v>
      </c>
      <c r="T130" s="20" t="n">
        <v>5.897</v>
      </c>
      <c r="U130" s="20" t="n">
        <v>11.199</v>
      </c>
      <c r="V130" s="20" t="n">
        <v>24</v>
      </c>
      <c r="W130" s="20" t="n">
        <v>16</v>
      </c>
      <c r="X130" s="20" t="n">
        <v>81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IF(OR(G130="",C130=""),"",IF(G130*C130&lt;=0,"",IFERROR(G130/C130-1,"")))</f>
        <v/>
      </c>
      <c r="H131" s="15">
        <f>IF(OR(H130="",D130=""),"",IF(H130*D130&lt;=0,"",IFERROR(H130/D130-1,"")))</f>
        <v/>
      </c>
      <c r="I131" s="15">
        <f>IF(OR(I130="",E130=""),"",IF(I130*E130&lt;=0,"",IFERROR(I130/E130-1,"")))</f>
        <v/>
      </c>
      <c r="J131" s="15">
        <f>IF(OR(J130="",F130=""),"",IF(J130*F130&lt;=0,"",IFERROR(J130/F130-1,"")))</f>
        <v/>
      </c>
      <c r="K131" s="15">
        <f>IF(OR(K130="",G130=""),"",IF(K130*G130&lt;=0,"",IFERROR(K130/G130-1,"")))</f>
        <v/>
      </c>
      <c r="L131" s="15">
        <f>IF(OR(L130="",H130=""),"",IF(L130*H130&lt;=0,"",IFERROR(L130/H130-1,"")))</f>
        <v/>
      </c>
      <c r="M131" s="15">
        <f>IF(OR(M130="",I130=""),"",IF(M130*I130&lt;=0,"",IFERROR(M130/I130-1,"")))</f>
        <v/>
      </c>
      <c r="N131" s="15">
        <f>IF(OR(N130="",J130=""),"",IF(N130*J130&lt;=0,"",IFERROR(N130/J130-1,"")))</f>
        <v/>
      </c>
      <c r="T131" s="15">
        <f>IF(OR(T130="",S130=""),"",IF(T130*S130&lt;=0,"",IFERROR(T130/S130-1,"")))</f>
        <v/>
      </c>
      <c r="U131" s="15">
        <f>IF(OR(U130="",T130=""),"",IF(U130*T130&lt;=0,"",IFERROR(U130/T130-1,"")))</f>
        <v/>
      </c>
      <c r="V131" s="15">
        <f>IF(OR(V130="",U130=""),"",IF(V130*U130&lt;=0,"",IFERROR(V130/U130-1,"")))</f>
        <v/>
      </c>
      <c r="W131" s="15">
        <f>IF(OR(W130="",V130=""),"",IF(W130*V130&lt;=0,"",IFERROR(W130/V130-1,"")))</f>
        <v/>
      </c>
      <c r="X131" s="15">
        <f>IF(OR(X130="",W130=""),"",IF(X130*W130&lt;=0,"",IFERROR(X130/W130-1,"")))</f>
        <v/>
      </c>
    </row>
    <row r="132">
      <c r="A132" s="9" t="inlineStr">
        <is>
          <t>경상이익</t>
        </is>
      </c>
      <c r="C132" s="12" t="n">
        <v>366</v>
      </c>
      <c r="D132" s="12" t="n">
        <v>482</v>
      </c>
      <c r="E132" s="12" t="n">
        <v>390</v>
      </c>
      <c r="F132" s="12" t="n">
        <v>124</v>
      </c>
      <c r="G132" s="12" t="n">
        <v>395</v>
      </c>
      <c r="H132" s="12" t="n">
        <v>485</v>
      </c>
      <c r="I132" s="12" t="n">
        <v>543</v>
      </c>
      <c r="J132" s="12" t="n">
        <v>-22</v>
      </c>
      <c r="K132" s="12" t="n">
        <v>315</v>
      </c>
      <c r="L132" s="12" t="n">
        <v>279</v>
      </c>
      <c r="M132" s="12" t="n">
        <v>-64</v>
      </c>
      <c r="N132" s="12" t="n">
        <v>75</v>
      </c>
      <c r="T132" s="12" t="n">
        <v>61.08</v>
      </c>
      <c r="U132" s="12" t="n">
        <v>-195.481</v>
      </c>
      <c r="V132" s="12" t="n">
        <v>124</v>
      </c>
      <c r="W132" s="12" t="n">
        <v>-22</v>
      </c>
      <c r="X132" s="12" t="n">
        <v>75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IF(OR(G132="",C132=""),"",IF(C132&lt;=0,"",IFERROR(G132/C132-1,"")))</f>
        <v/>
      </c>
      <c r="H133" s="15">
        <f>IF(OR(H132="",D132=""),"",IF(D132&lt;=0,"",IFERROR(H132/D132-1,"")))</f>
        <v/>
      </c>
      <c r="I133" s="15">
        <f>IF(OR(I132="",E132=""),"",IF(E132&lt;=0,"",IFERROR(I132/E132-1,"")))</f>
        <v/>
      </c>
      <c r="J133" s="15">
        <f>IF(OR(J132="",F132=""),"",IF(F132&lt;=0,"",IFERROR(J132/F132-1,"")))</f>
        <v/>
      </c>
      <c r="K133" s="15">
        <f>IF(OR(K132="",G132=""),"",IF(G132&lt;=0,"",IFERROR(K132/G132-1,"")))</f>
        <v/>
      </c>
      <c r="L133" s="15">
        <f>IF(OR(L132="",H132=""),"",IF(H132&lt;=0,"",IFERROR(L132/H132-1,"")))</f>
        <v/>
      </c>
      <c r="M133" s="15">
        <f>IF(OR(M132="",I132=""),"",IF(I132&lt;=0,"",IFERROR(M132/I132-1,"")))</f>
        <v/>
      </c>
      <c r="N133" s="15">
        <f>IF(OR(N132="",J132=""),"",IF(J132&lt;=0,"",IFERROR(N132/J132-1,"")))</f>
        <v/>
      </c>
      <c r="T133" s="15">
        <f>IF(OR(T132="",S132=""),"",IF(S132&lt;=0,"",IFERROR(T132/S132-1,"")))</f>
        <v/>
      </c>
      <c r="U133" s="15">
        <f>IF(OR(U132="",T132=""),"",IF(T132&lt;=0,"",IFERROR(U132/T132-1,"")))</f>
        <v/>
      </c>
      <c r="V133" s="15">
        <f>IF(OR(V132="",U132=""),"",IF(U132&lt;=0,"",IFERROR(V132/U132-1,"")))</f>
        <v/>
      </c>
      <c r="W133" s="15">
        <f>IF(OR(W132="",V132=""),"",IF(V132&lt;=0,"",IFERROR(W132/V132-1,"")))</f>
        <v/>
      </c>
      <c r="X133" s="15">
        <f>IF(OR(X132="",W132=""),"",IF(W132&lt;=0,"",IFERROR(X132/W132-1,"")))</f>
        <v/>
      </c>
    </row>
    <row r="134">
      <c r="A134" s="18" t="inlineStr">
        <is>
          <t>고정자산 매각이익</t>
        </is>
      </c>
      <c r="C134" s="20" t="n">
        <v>1</v>
      </c>
      <c r="D134" s="20" t="n">
        <v>1</v>
      </c>
      <c r="E134" s="20" t="n">
        <v>1</v>
      </c>
      <c r="F134" s="20" t="n">
        <v>1</v>
      </c>
      <c r="G134" s="20" t="n">
        <v>0</v>
      </c>
      <c r="H134" s="20" t="n">
        <v>1</v>
      </c>
      <c r="I134" s="20" t="n">
        <v>3</v>
      </c>
      <c r="J134" s="20" t="n">
        <v>4</v>
      </c>
      <c r="K134" s="20" t="n">
        <v>1</v>
      </c>
      <c r="L134" s="20" t="n">
        <v>0</v>
      </c>
      <c r="M134" s="20" t="n">
        <v>4</v>
      </c>
      <c r="N134" s="20" t="n">
        <v>1</v>
      </c>
      <c r="T134" s="20" t="n">
        <v>0</v>
      </c>
      <c r="U134" s="20" t="n">
        <v>0</v>
      </c>
      <c r="V134" s="20" t="n">
        <v>1</v>
      </c>
      <c r="W134" s="20" t="n">
        <v>4</v>
      </c>
      <c r="X134" s="20" t="n">
        <v>1</v>
      </c>
    </row>
    <row r="135">
      <c r="A135" s="18" t="inlineStr">
        <is>
          <t>부의 영업권 발생이익</t>
        </is>
      </c>
      <c r="E135" s="20" t="n">
        <v>0</v>
      </c>
      <c r="F135" s="20" t="n">
        <v>0</v>
      </c>
      <c r="T135" s="20" t="n">
        <v>0</v>
      </c>
      <c r="U135" s="20" t="n">
        <v>0</v>
      </c>
      <c r="V135" s="20" t="n">
        <v>0</v>
      </c>
    </row>
    <row r="136">
      <c r="A136" s="18" t="inlineStr">
        <is>
          <t>투자유가증권 매각이익</t>
        </is>
      </c>
      <c r="C136" s="20" t="n">
        <v>4</v>
      </c>
      <c r="D136" s="20" t="n">
        <v>0</v>
      </c>
      <c r="E136" s="20" t="n">
        <v>0</v>
      </c>
      <c r="F136" s="20" t="n">
        <v>0</v>
      </c>
      <c r="G136" s="20" t="n">
        <v>0</v>
      </c>
      <c r="H136" s="20" t="n">
        <v>0</v>
      </c>
      <c r="I136" s="20" t="n">
        <v>0</v>
      </c>
      <c r="J136" s="20" t="n">
        <v>0</v>
      </c>
      <c r="N136" s="20" t="n">
        <v>0</v>
      </c>
      <c r="T136" s="20" t="n">
        <v>0</v>
      </c>
      <c r="U136" s="20" t="n">
        <v>1.17</v>
      </c>
      <c r="V136" s="20" t="n">
        <v>0</v>
      </c>
      <c r="W136" s="20" t="n">
        <v>0</v>
      </c>
      <c r="X136" s="20" t="n">
        <v>0</v>
      </c>
    </row>
    <row r="137">
      <c r="A137" s="18" t="inlineStr">
        <is>
          <t>임원 퇴직위로금 환입액</t>
        </is>
      </c>
      <c r="E137" s="20" t="n">
        <v>0</v>
      </c>
      <c r="I137" s="20" t="n">
        <v>0</v>
      </c>
    </row>
    <row r="138">
      <c r="A138" s="18" t="inlineStr">
        <is>
          <t>보조금 수입</t>
        </is>
      </c>
      <c r="E138" s="20" t="n">
        <v>0</v>
      </c>
      <c r="F138" s="20" t="n">
        <v>0</v>
      </c>
      <c r="I138" s="20" t="n">
        <v>0</v>
      </c>
      <c r="J138" s="20" t="n">
        <v>0</v>
      </c>
      <c r="M138" s="20" t="n">
        <v>0</v>
      </c>
      <c r="N138" s="20" t="n">
        <v>0</v>
      </c>
      <c r="V138" s="20" t="n">
        <v>0</v>
      </c>
      <c r="W138" s="20" t="n">
        <v>0</v>
      </c>
      <c r="X138" s="20" t="n">
        <v>0</v>
      </c>
    </row>
    <row r="139">
      <c r="A139" s="18" t="inlineStr">
        <is>
          <t>특별이익 합계</t>
        </is>
      </c>
      <c r="C139" s="20" t="n">
        <v>5</v>
      </c>
      <c r="D139" s="20" t="n">
        <v>12</v>
      </c>
      <c r="E139" s="20" t="n">
        <v>1</v>
      </c>
      <c r="F139" s="20" t="n">
        <v>0</v>
      </c>
      <c r="G139" s="20" t="n">
        <v>0</v>
      </c>
      <c r="H139" s="20" t="n">
        <v>185</v>
      </c>
      <c r="I139" s="20" t="n">
        <v>4</v>
      </c>
      <c r="J139" s="20" t="n">
        <v>4</v>
      </c>
      <c r="K139" s="20" t="n">
        <v>1</v>
      </c>
      <c r="L139" s="20" t="n">
        <v>0</v>
      </c>
      <c r="M139" s="20" t="n">
        <v>125</v>
      </c>
      <c r="N139" s="20" t="n">
        <v>985</v>
      </c>
      <c r="T139" s="20" t="n">
        <v>0</v>
      </c>
      <c r="U139" s="20" t="n">
        <v>1.169</v>
      </c>
      <c r="V139" s="20" t="n">
        <v>0</v>
      </c>
      <c r="W139" s="20" t="n">
        <v>4</v>
      </c>
      <c r="X139" s="20" t="n">
        <v>985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IF(OR(G139="",C139=""),"",IF(G139*C139&lt;=0,"",IFERROR(G139/C139-1,"")))</f>
        <v/>
      </c>
      <c r="H140" s="15">
        <f>IF(OR(H139="",D139=""),"",IF(H139*D139&lt;=0,"",IFERROR(H139/D139-1,"")))</f>
        <v/>
      </c>
      <c r="I140" s="15">
        <f>IF(OR(I139="",E139=""),"",IF(I139*E139&lt;=0,"",IFERROR(I139/E139-1,"")))</f>
        <v/>
      </c>
      <c r="J140" s="15">
        <f>IF(OR(J139="",F139=""),"",IF(J139*F139&lt;=0,"",IFERROR(J139/F139-1,"")))</f>
        <v/>
      </c>
      <c r="K140" s="15">
        <f>IF(OR(K139="",G139=""),"",IF(K139*G139&lt;=0,"",IFERROR(K139/G139-1,"")))</f>
        <v/>
      </c>
      <c r="L140" s="15">
        <f>IF(OR(L139="",H139=""),"",IF(L139*H139&lt;=0,"",IFERROR(L139/H139-1,"")))</f>
        <v/>
      </c>
      <c r="M140" s="15">
        <f>IF(OR(M139="",I139=""),"",IF(M139*I139&lt;=0,"",IFERROR(M139/I139-1,"")))</f>
        <v/>
      </c>
      <c r="N140" s="15">
        <f>IF(OR(N139="",J139=""),"",IF(N139*J139&lt;=0,"",IFERROR(N139/J139-1,"")))</f>
        <v/>
      </c>
      <c r="T140" s="15">
        <f>IF(OR(T139="",S139=""),"",IF(T139*S139&lt;=0,"",IFERROR(T139/S139-1,"")))</f>
        <v/>
      </c>
      <c r="U140" s="15">
        <f>IF(OR(U139="",T139=""),"",IF(U139*T139&lt;=0,"",IFERROR(U139/T139-1,"")))</f>
        <v/>
      </c>
      <c r="V140" s="15">
        <f>IF(OR(V139="",U139=""),"",IF(V139*U139&lt;=0,"",IFERROR(V139/U139-1,"")))</f>
        <v/>
      </c>
      <c r="W140" s="15">
        <f>IF(OR(W139="",V139=""),"",IF(W139*V139&lt;=0,"",IFERROR(W139/V139-1,"")))</f>
        <v/>
      </c>
      <c r="X140" s="15">
        <f>IF(OR(X139="",W139=""),"",IF(X139*W139&lt;=0,"",IFERROR(X139/W139-1,"")))</f>
        <v/>
      </c>
    </row>
    <row r="141">
      <c r="A141" s="18" t="inlineStr">
        <is>
          <t>고정자산 매각손실</t>
        </is>
      </c>
      <c r="C141" s="20" t="n">
        <v>1</v>
      </c>
      <c r="D141" s="20" t="n">
        <v>0</v>
      </c>
      <c r="E141" s="20" t="n">
        <v>0</v>
      </c>
      <c r="F141" s="20" t="n">
        <v>0</v>
      </c>
      <c r="G141" s="20" t="n">
        <v>0</v>
      </c>
      <c r="H141" s="20" t="n">
        <v>0</v>
      </c>
      <c r="I141" s="20" t="n">
        <v>0</v>
      </c>
      <c r="J141" s="20" t="n">
        <v>2</v>
      </c>
      <c r="K141" s="20" t="n">
        <v>0</v>
      </c>
      <c r="N141" s="20" t="n">
        <v>0</v>
      </c>
      <c r="T141" s="20" t="n">
        <v>0.02</v>
      </c>
      <c r="U141" s="20" t="n">
        <v>0</v>
      </c>
      <c r="V141" s="20" t="n">
        <v>0</v>
      </c>
      <c r="W141" s="20" t="n">
        <v>2</v>
      </c>
      <c r="X141" s="20" t="n">
        <v>0</v>
      </c>
    </row>
    <row r="142">
      <c r="A142" s="18" t="inlineStr">
        <is>
          <t>고정자산 제각손실</t>
        </is>
      </c>
      <c r="C142" s="20" t="n">
        <v>0</v>
      </c>
      <c r="D142" s="20" t="n">
        <v>0</v>
      </c>
      <c r="E142" s="20" t="n">
        <v>1</v>
      </c>
      <c r="F142" s="20" t="n">
        <v>0</v>
      </c>
      <c r="G142" s="20" t="n">
        <v>0</v>
      </c>
      <c r="H142" s="20" t="n">
        <v>0</v>
      </c>
      <c r="I142" s="20" t="n">
        <v>3</v>
      </c>
      <c r="J142" s="20" t="n">
        <v>0</v>
      </c>
      <c r="K142" s="20" t="n">
        <v>0</v>
      </c>
      <c r="L142" s="20" t="n">
        <v>0</v>
      </c>
      <c r="M142" s="20" t="n">
        <v>1</v>
      </c>
      <c r="N142" s="20" t="n">
        <v>38</v>
      </c>
      <c r="T142" s="20" t="n">
        <v>0.773</v>
      </c>
      <c r="U142" s="20" t="n">
        <v>2.504</v>
      </c>
      <c r="V142" s="20" t="n">
        <v>0</v>
      </c>
      <c r="W142" s="20" t="n">
        <v>0</v>
      </c>
      <c r="X142" s="20" t="n">
        <v>38</v>
      </c>
    </row>
    <row r="143">
      <c r="A143" s="18" t="inlineStr">
        <is>
          <t>투자유가증권 매각손실</t>
        </is>
      </c>
      <c r="C143" s="20" t="n">
        <v>4</v>
      </c>
      <c r="D143" s="20" t="n">
        <v>0</v>
      </c>
      <c r="E143" s="20" t="n">
        <v>0</v>
      </c>
      <c r="F143" s="20" t="n">
        <v>0</v>
      </c>
      <c r="G143" s="20" t="n">
        <v>0</v>
      </c>
      <c r="H143" s="20" t="n">
        <v>0</v>
      </c>
      <c r="I143" s="20" t="n">
        <v>0</v>
      </c>
      <c r="J143" s="20" t="n">
        <v>0</v>
      </c>
      <c r="T143" s="20" t="n">
        <v>0.016</v>
      </c>
      <c r="U143" s="20" t="n">
        <v>1.624</v>
      </c>
      <c r="V143" s="20" t="n">
        <v>0</v>
      </c>
      <c r="W143" s="20" t="n">
        <v>0</v>
      </c>
    </row>
    <row r="144">
      <c r="A144" s="18" t="inlineStr">
        <is>
          <t>손상차손</t>
        </is>
      </c>
      <c r="F144" s="20" t="n">
        <v>0</v>
      </c>
      <c r="J144" s="20" t="n">
        <v>74</v>
      </c>
      <c r="N144" s="20" t="n">
        <v>98</v>
      </c>
      <c r="V144" s="20" t="n">
        <v>0</v>
      </c>
      <c r="W144" s="20" t="n">
        <v>74</v>
      </c>
      <c r="X144" s="20" t="n">
        <v>98</v>
      </c>
    </row>
    <row r="145">
      <c r="A145" s="18" t="inlineStr">
        <is>
          <t>골프회원권 매각손실</t>
        </is>
      </c>
      <c r="C145" s="20" t="n">
        <v>2</v>
      </c>
      <c r="D145" s="20" t="n">
        <v>0</v>
      </c>
      <c r="E145" s="20" t="n">
        <v>2</v>
      </c>
      <c r="F145" s="20" t="n">
        <v>0</v>
      </c>
      <c r="G145" s="20" t="n">
        <v>0</v>
      </c>
      <c r="H145" s="20" t="n">
        <v>0</v>
      </c>
      <c r="I145" s="20" t="n">
        <v>0</v>
      </c>
      <c r="J145" s="20" t="n">
        <v>0</v>
      </c>
      <c r="U145" s="20" t="n">
        <v>0</v>
      </c>
      <c r="V145" s="20" t="n">
        <v>0</v>
      </c>
      <c r="W145" s="20" t="n">
        <v>0</v>
      </c>
    </row>
    <row r="146">
      <c r="A146" s="18" t="inlineStr">
        <is>
          <t>특별손실 합계</t>
        </is>
      </c>
      <c r="C146" s="20" t="n">
        <v>7</v>
      </c>
      <c r="D146" s="20" t="n">
        <v>1</v>
      </c>
      <c r="E146" s="20" t="n">
        <v>3</v>
      </c>
      <c r="F146" s="20" t="n">
        <v>0</v>
      </c>
      <c r="G146" s="20" t="n">
        <v>0</v>
      </c>
      <c r="H146" s="20" t="n">
        <v>0</v>
      </c>
      <c r="I146" s="20" t="n">
        <v>20</v>
      </c>
      <c r="J146" s="20" t="n">
        <v>77</v>
      </c>
      <c r="K146" s="20" t="n">
        <v>0</v>
      </c>
      <c r="L146" s="20" t="n">
        <v>0</v>
      </c>
      <c r="M146" s="20" t="n">
        <v>1</v>
      </c>
      <c r="N146" s="20" t="n">
        <v>147</v>
      </c>
      <c r="T146" s="20" t="n">
        <v>21.697</v>
      </c>
      <c r="U146" s="20" t="n">
        <v>6.823</v>
      </c>
      <c r="V146" s="20" t="n">
        <v>0</v>
      </c>
      <c r="W146" s="20" t="n">
        <v>77</v>
      </c>
      <c r="X146" s="20" t="n">
        <v>147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IF(OR(G146="",C146=""),"",IF(G146*C146&lt;=0,"",IFERROR(G146/C146-1,"")))</f>
        <v/>
      </c>
      <c r="H147" s="15">
        <f>IF(OR(H146="",D146=""),"",IF(H146*D146&lt;=0,"",IFERROR(H146/D146-1,"")))</f>
        <v/>
      </c>
      <c r="I147" s="15">
        <f>IF(OR(I146="",E146=""),"",IF(I146*E146&lt;=0,"",IFERROR(I146/E146-1,"")))</f>
        <v/>
      </c>
      <c r="J147" s="15">
        <f>IF(OR(J146="",F146=""),"",IF(J146*F146&lt;=0,"",IFERROR(J146/F146-1,"")))</f>
        <v/>
      </c>
      <c r="K147" s="15">
        <f>IF(OR(K146="",G146=""),"",IF(K146*G146&lt;=0,"",IFERROR(K146/G146-1,"")))</f>
        <v/>
      </c>
      <c r="L147" s="15">
        <f>IF(OR(L146="",H146=""),"",IF(L146*H146&lt;=0,"",IFERROR(L146/H146-1,"")))</f>
        <v/>
      </c>
      <c r="M147" s="15">
        <f>IF(OR(M146="",I146=""),"",IF(M146*I146&lt;=0,"",IFERROR(M146/I146-1,"")))</f>
        <v/>
      </c>
      <c r="N147" s="15">
        <f>IF(OR(N146="",J146=""),"",IF(N146*J146&lt;=0,"",IFERROR(N146/J146-1,"")))</f>
        <v/>
      </c>
      <c r="T147" s="15">
        <f>IF(OR(T146="",S146=""),"",IF(T146*S146&lt;=0,"",IFERROR(T146/S146-1,"")))</f>
        <v/>
      </c>
      <c r="U147" s="15">
        <f>IF(OR(U146="",T146=""),"",IF(U146*T146&lt;=0,"",IFERROR(U146/T146-1,"")))</f>
        <v/>
      </c>
      <c r="V147" s="15">
        <f>IF(OR(V146="",U146=""),"",IF(V146*U146&lt;=0,"",IFERROR(V146/U146-1,"")))</f>
        <v/>
      </c>
      <c r="W147" s="15">
        <f>IF(OR(W146="",V146=""),"",IF(W146*V146&lt;=0,"",IFERROR(W146/V146-1,"")))</f>
        <v/>
      </c>
      <c r="X147" s="15">
        <f>IF(OR(X146="",W146=""),"",IF(X146*W146&lt;=0,"",IFERROR(X146/W146-1,"")))</f>
        <v/>
      </c>
    </row>
    <row r="148">
      <c r="A148" s="9" t="inlineStr">
        <is>
          <t>법인세차감전 순이익</t>
        </is>
      </c>
      <c r="C148" s="12" t="n">
        <v>364</v>
      </c>
      <c r="D148" s="12" t="n">
        <v>493</v>
      </c>
      <c r="E148" s="12" t="n">
        <v>388</v>
      </c>
      <c r="F148" s="12" t="n">
        <v>124</v>
      </c>
      <c r="G148" s="12" t="n">
        <v>396</v>
      </c>
      <c r="H148" s="12" t="n">
        <v>670</v>
      </c>
      <c r="I148" s="12" t="n">
        <v>526</v>
      </c>
      <c r="J148" s="12" t="n">
        <v>-95</v>
      </c>
      <c r="K148" s="12" t="n">
        <v>316</v>
      </c>
      <c r="L148" s="12" t="n">
        <v>279</v>
      </c>
      <c r="M148" s="12" t="n">
        <v>60</v>
      </c>
      <c r="N148" s="12" t="n">
        <v>913</v>
      </c>
      <c r="T148" s="12" t="n">
        <v>39.383</v>
      </c>
      <c r="U148" s="12" t="n">
        <v>-201.135</v>
      </c>
      <c r="V148" s="12" t="n">
        <v>124</v>
      </c>
      <c r="W148" s="12" t="n">
        <v>-95</v>
      </c>
      <c r="X148" s="12" t="n">
        <v>913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T149" s="15">
        <f>IF(OR(T148="",S148=""),"",IF(S148&lt;=0,"",IFERROR(T148/S148-1,"")))</f>
        <v/>
      </c>
      <c r="U149" s="15">
        <f>IF(OR(U148="",T148=""),"",IF(T148&lt;=0,"",IFERROR(U148/T148-1,"")))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0">
      <c r="A150" s="18" t="inlineStr">
        <is>
          <t>법인세·주민세·사업세</t>
        </is>
      </c>
      <c r="C150" s="20" t="n">
        <v>75</v>
      </c>
      <c r="D150" s="20" t="n">
        <v>155</v>
      </c>
      <c r="E150" s="20" t="n">
        <v>131</v>
      </c>
      <c r="F150" s="20" t="n">
        <v>9</v>
      </c>
      <c r="G150" s="20" t="n">
        <v>94</v>
      </c>
      <c r="H150" s="20" t="n">
        <v>143</v>
      </c>
      <c r="I150" s="20" t="n">
        <v>302</v>
      </c>
      <c r="J150" s="20" t="n">
        <v>93</v>
      </c>
      <c r="K150" s="20" t="n">
        <v>119</v>
      </c>
      <c r="L150" s="20" t="n">
        <v>122</v>
      </c>
      <c r="M150" s="20" t="n">
        <v>128</v>
      </c>
      <c r="N150" s="20" t="n">
        <v>569</v>
      </c>
      <c r="T150" s="20" t="n">
        <v>82.158</v>
      </c>
      <c r="U150" s="20" t="n">
        <v>-33.392</v>
      </c>
      <c r="V150" s="20" t="n">
        <v>9</v>
      </c>
      <c r="W150" s="20" t="n">
        <v>93</v>
      </c>
      <c r="X150" s="20" t="n">
        <v>569</v>
      </c>
    </row>
    <row r="151">
      <c r="A151" s="18" t="inlineStr">
        <is>
          <t>법인세 조정액</t>
        </is>
      </c>
      <c r="C151" s="20" t="n">
        <v>26</v>
      </c>
      <c r="D151" s="20" t="n">
        <v>-3</v>
      </c>
      <c r="E151" s="20" t="n">
        <v>-9</v>
      </c>
      <c r="F151" s="20" t="n">
        <v>-109</v>
      </c>
      <c r="G151" s="20" t="n">
        <v>59</v>
      </c>
      <c r="H151" s="20" t="n">
        <v>3</v>
      </c>
      <c r="I151" s="20" t="n">
        <v>-102</v>
      </c>
      <c r="J151" s="20" t="n">
        <v>-12</v>
      </c>
      <c r="K151" s="20" t="n">
        <v>55</v>
      </c>
      <c r="L151" s="20" t="n">
        <v>50</v>
      </c>
      <c r="M151" s="20" t="n">
        <v>23</v>
      </c>
      <c r="N151" s="20" t="n">
        <v>-16</v>
      </c>
      <c r="T151" s="20" t="n">
        <v>-1.666</v>
      </c>
      <c r="U151" s="20" t="n">
        <v>162.685</v>
      </c>
      <c r="V151" s="20" t="n">
        <v>-109</v>
      </c>
      <c r="W151" s="20" t="n">
        <v>-12</v>
      </c>
      <c r="X151" s="20" t="n">
        <v>-16</v>
      </c>
    </row>
    <row r="152">
      <c r="A152" s="18" t="inlineStr">
        <is>
          <t>법인세 등 합계</t>
        </is>
      </c>
      <c r="C152" s="20" t="n">
        <v>101</v>
      </c>
      <c r="D152" s="20" t="n">
        <v>153</v>
      </c>
      <c r="E152" s="20" t="n">
        <v>122</v>
      </c>
      <c r="F152" s="20" t="n">
        <v>-101</v>
      </c>
      <c r="G152" s="20" t="n">
        <v>154</v>
      </c>
      <c r="H152" s="20" t="n">
        <v>145</v>
      </c>
      <c r="I152" s="20" t="n">
        <v>200</v>
      </c>
      <c r="J152" s="20" t="n">
        <v>80</v>
      </c>
      <c r="K152" s="20" t="n">
        <v>175</v>
      </c>
      <c r="L152" s="20" t="n">
        <v>172</v>
      </c>
      <c r="M152" s="20" t="n">
        <v>150</v>
      </c>
      <c r="N152" s="20" t="n">
        <v>553</v>
      </c>
      <c r="T152" s="20" t="n">
        <v>80.49299999999999</v>
      </c>
      <c r="U152" s="20" t="n">
        <v>129.294</v>
      </c>
      <c r="V152" s="20" t="n">
        <v>-101</v>
      </c>
      <c r="W152" s="20" t="n">
        <v>80</v>
      </c>
      <c r="X152" s="20" t="n">
        <v>553</v>
      </c>
    </row>
    <row r="153">
      <c r="A153" s="43" t="inlineStr">
        <is>
          <t>YoY</t>
        </is>
      </c>
      <c r="B153" s="3" t="inlineStr">
        <is>
          <t>전년 같은 분기·전년 대비</t>
        </is>
      </c>
      <c r="G153" s="15">
        <f>IF(OR(G152="",C152=""),"",IF(G152*C152&lt;=0,"",IFERROR(G152/C152-1,"")))</f>
        <v/>
      </c>
      <c r="H153" s="15">
        <f>IF(OR(H152="",D152=""),"",IF(H152*D152&lt;=0,"",IFERROR(H152/D152-1,"")))</f>
        <v/>
      </c>
      <c r="I153" s="15">
        <f>IF(OR(I152="",E152=""),"",IF(I152*E152&lt;=0,"",IFERROR(I152/E152-1,"")))</f>
        <v/>
      </c>
      <c r="J153" s="15">
        <f>IF(OR(J152="",F152=""),"",IF(J152*F152&lt;=0,"",IFERROR(J152/F152-1,"")))</f>
        <v/>
      </c>
      <c r="K153" s="15">
        <f>IF(OR(K152="",G152=""),"",IF(K152*G152&lt;=0,"",IFERROR(K152/G152-1,"")))</f>
        <v/>
      </c>
      <c r="L153" s="15">
        <f>IF(OR(L152="",H152=""),"",IF(L152*H152&lt;=0,"",IFERROR(L152/H152-1,"")))</f>
        <v/>
      </c>
      <c r="M153" s="15">
        <f>IF(OR(M152="",I152=""),"",IF(M152*I152&lt;=0,"",IFERROR(M152/I152-1,"")))</f>
        <v/>
      </c>
      <c r="N153" s="15">
        <f>IF(OR(N152="",J152=""),"",IF(N152*J152&lt;=0,"",IFERROR(N152/J152-1,"")))</f>
        <v/>
      </c>
      <c r="T153" s="15">
        <f>IF(OR(T152="",S152=""),"",IF(T152*S152&lt;=0,"",IFERROR(T152/S152-1,"")))</f>
        <v/>
      </c>
      <c r="U153" s="15">
        <f>IF(OR(U152="",T152=""),"",IF(U152*T152&lt;=0,"",IFERROR(U152/T152-1,"")))</f>
        <v/>
      </c>
      <c r="V153" s="15">
        <f>IF(OR(V152="",U152=""),"",IF(V152*U152&lt;=0,"",IFERROR(V152/U152-1,"")))</f>
        <v/>
      </c>
      <c r="W153" s="15">
        <f>IF(OR(W152="",V152=""),"",IF(W152*V152&lt;=0,"",IFERROR(W152/V152-1,"")))</f>
        <v/>
      </c>
      <c r="X153" s="15">
        <f>IF(OR(X152="",W152=""),"",IF(X152*W152&lt;=0,"",IFERROR(X152/W152-1,"")))</f>
        <v/>
      </c>
    </row>
    <row r="154">
      <c r="A154" s="9" t="inlineStr">
        <is>
          <t>순이익</t>
        </is>
      </c>
      <c r="C154" s="12" t="n">
        <v>262</v>
      </c>
      <c r="D154" s="12" t="n">
        <v>340</v>
      </c>
      <c r="E154" s="12" t="n">
        <v>266</v>
      </c>
      <c r="F154" s="12" t="n">
        <v>226</v>
      </c>
      <c r="G154" s="12" t="n">
        <v>241</v>
      </c>
      <c r="H154" s="12" t="n">
        <v>525</v>
      </c>
      <c r="I154" s="12" t="n">
        <v>327</v>
      </c>
      <c r="J154" s="12" t="n">
        <v>-176</v>
      </c>
      <c r="K154" s="12" t="n">
        <v>141</v>
      </c>
      <c r="L154" s="12" t="n">
        <v>106</v>
      </c>
      <c r="M154" s="12" t="n">
        <v>-89</v>
      </c>
      <c r="N154" s="12" t="n">
        <v>359</v>
      </c>
      <c r="T154" s="12" t="n">
        <v>-41.109</v>
      </c>
      <c r="U154" s="12" t="n">
        <v>-330.429</v>
      </c>
      <c r="V154" s="12" t="n">
        <v>226</v>
      </c>
      <c r="W154" s="12" t="n">
        <v>-176</v>
      </c>
      <c r="X154" s="12" t="n">
        <v>359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I155" s="15">
        <f>IF(OR(I154="",E154=""),"",IF(E154&lt;=0,"",IFERROR(I154/E154-1,"")))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L155" s="15">
        <f>IF(OR(L154="",H154=""),"",IF(H154&lt;=0,"",IFERROR(L154/H154-1,"")))</f>
        <v/>
      </c>
      <c r="M155" s="15">
        <f>IF(OR(M154="",I154=""),"",IF(I154&lt;=0,"",IFERROR(M154/I154-1,"")))</f>
        <v/>
      </c>
      <c r="N155" s="15">
        <f>IF(OR(N154="",J154=""),"",IF(J154&lt;=0,"",IFERROR(N154/J154-1,"")))</f>
        <v/>
      </c>
      <c r="T155" s="15">
        <f>IF(OR(T154="",S154=""),"",IF(S154&lt;=0,"",IFERROR(T154/S154-1,"")))</f>
        <v/>
      </c>
      <c r="U155" s="15">
        <f>IF(OR(U154="",T154=""),"",IF(T154&lt;=0,"",IFERROR(U154/T154-1,"")))</f>
        <v/>
      </c>
      <c r="V155" s="15">
        <f>IF(OR(V154="",U154=""),"",IF(U154&lt;=0,"",IFERROR(V154/U154-1,"")))</f>
        <v/>
      </c>
      <c r="W155" s="15">
        <f>IF(OR(W154="",V154=""),"",IF(V154&lt;=0,"",IFERROR(W154/V154-1,"")))</f>
        <v/>
      </c>
      <c r="X155" s="15">
        <f>IF(OR(X154="",W154=""),"",IF(W154&lt;=0,"",IFERROR(X154/W154-1,"")))</f>
        <v/>
      </c>
    </row>
    <row r="156">
      <c r="A156" s="9" t="inlineStr">
        <is>
          <t>비지배주주 순이익</t>
        </is>
      </c>
      <c r="C156" s="12" t="n">
        <v>0</v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</row>
    <row r="157">
      <c r="A157" s="9" t="inlineStr">
        <is>
          <t>지배주주 순이익</t>
        </is>
      </c>
      <c r="C157" s="12" t="n">
        <v>262</v>
      </c>
      <c r="D157" s="12" t="n">
        <v>340</v>
      </c>
      <c r="E157" s="12" t="n">
        <v>266</v>
      </c>
      <c r="F157" s="12" t="n">
        <v>226</v>
      </c>
      <c r="G157" s="12" t="n">
        <v>241</v>
      </c>
      <c r="H157" s="12" t="n">
        <v>525</v>
      </c>
      <c r="I157" s="12" t="n">
        <v>327</v>
      </c>
      <c r="J157" s="12" t="n">
        <v>-176</v>
      </c>
      <c r="K157" s="12" t="n">
        <v>141</v>
      </c>
      <c r="L157" s="12" t="n">
        <v>106</v>
      </c>
      <c r="M157" s="12" t="n">
        <v>-89</v>
      </c>
      <c r="N157" s="12" t="n">
        <v>359</v>
      </c>
      <c r="T157" s="12" t="n">
        <v>-41.109</v>
      </c>
      <c r="U157" s="12" t="n">
        <v>-330.429</v>
      </c>
      <c r="V157" s="12" t="n">
        <v>226</v>
      </c>
      <c r="W157" s="12" t="n">
        <v>-176</v>
      </c>
      <c r="X157" s="12" t="n">
        <v>359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T158" s="15">
        <f>IF(OR(T157="",S157=""),"",IF(S157&lt;=0,"",IFERROR(T157/S157-1,"")))</f>
        <v/>
      </c>
      <c r="U158" s="15">
        <f>IF(OR(U157="",T157=""),"",IF(T157&lt;=0,"",IFERROR(U157/T157-1,"")))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60">
      <c r="A160" s="16" t="inlineStr">
        <is>
          <t>포괄손익 · 전 항목</t>
        </is>
      </c>
      <c r="B160" s="42" t="inlineStr">
        <is>
          <t>분기 = 3개월 단독</t>
        </is>
      </c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</row>
    <row r="161">
      <c r="A161" s="5" t="inlineStr">
        <is>
          <t>항목</t>
        </is>
      </c>
      <c r="B161" s="5" t="inlineStr">
        <is>
          <t>참고</t>
        </is>
      </c>
      <c r="C161" s="5" t="inlineStr">
        <is>
          <t>2024.1Q</t>
        </is>
      </c>
      <c r="D161" s="5" t="inlineStr">
        <is>
          <t>2024.2Q</t>
        </is>
      </c>
      <c r="E161" s="5" t="inlineStr">
        <is>
          <t>2024.3Q</t>
        </is>
      </c>
      <c r="F161" s="5" t="inlineStr">
        <is>
          <t>2024.4Q</t>
        </is>
      </c>
      <c r="G161" s="5" t="inlineStr">
        <is>
          <t>2025.1Q</t>
        </is>
      </c>
      <c r="H161" s="5" t="inlineStr">
        <is>
          <t>2025.2Q</t>
        </is>
      </c>
      <c r="I161" s="5" t="inlineStr">
        <is>
          <t>2025.3Q</t>
        </is>
      </c>
      <c r="J161" s="5" t="inlineStr">
        <is>
          <t>2025.4Q</t>
        </is>
      </c>
      <c r="K161" s="5" t="inlineStr">
        <is>
          <t>2026.1Q</t>
        </is>
      </c>
      <c r="L161" s="5" t="inlineStr">
        <is>
          <t>2026.2Q</t>
        </is>
      </c>
      <c r="M161" s="5" t="inlineStr">
        <is>
          <t>2026.3Q</t>
        </is>
      </c>
      <c r="N161" s="5" t="inlineStr">
        <is>
          <t>2026.4Q</t>
        </is>
      </c>
      <c r="O161" s="5" t="inlineStr">
        <is>
          <t>2017</t>
        </is>
      </c>
      <c r="P161" s="5" t="inlineStr">
        <is>
          <t>2018</t>
        </is>
      </c>
      <c r="Q161" s="5" t="inlineStr">
        <is>
          <t>2019</t>
        </is>
      </c>
      <c r="R161" s="5" t="inlineStr">
        <is>
          <t>2020</t>
        </is>
      </c>
      <c r="S161" s="5" t="inlineStr">
        <is>
          <t>2021</t>
        </is>
      </c>
      <c r="T161" s="5" t="inlineStr">
        <is>
          <t>2022</t>
        </is>
      </c>
      <c r="U161" s="5" t="inlineStr">
        <is>
          <t>2023</t>
        </is>
      </c>
      <c r="V161" s="5" t="inlineStr">
        <is>
          <t>2024</t>
        </is>
      </c>
      <c r="W161" s="5" t="inlineStr">
        <is>
          <t>2025</t>
        </is>
      </c>
      <c r="X161" s="5" t="inlineStr">
        <is>
          <t>2026</t>
        </is>
      </c>
      <c r="Y161" s="5" t="inlineStr">
        <is>
          <t>2027(MW)</t>
        </is>
      </c>
      <c r="Z161" s="5" t="inlineStr">
        <is>
          <t>2028(MW)</t>
        </is>
      </c>
      <c r="AA161" s="5" t="inlineStr">
        <is>
          <t>2029(MW)</t>
        </is>
      </c>
      <c r="AB161" s="5" t="inlineStr">
        <is>
          <t>2030(MW)</t>
        </is>
      </c>
      <c r="AC161" s="5" t="inlineStr">
        <is>
          <t>2031(MW)</t>
        </is>
      </c>
    </row>
    <row r="162">
      <c r="A162" s="9" t="inlineStr">
        <is>
          <t>순이익</t>
        </is>
      </c>
      <c r="C162" s="12" t="n">
        <v>262</v>
      </c>
      <c r="D162" s="12" t="n">
        <v>340</v>
      </c>
      <c r="E162" s="12" t="n">
        <v>266</v>
      </c>
      <c r="F162" s="12" t="n">
        <v>226</v>
      </c>
      <c r="G162" s="12" t="n">
        <v>241</v>
      </c>
      <c r="H162" s="12" t="n">
        <v>525</v>
      </c>
      <c r="I162" s="12" t="n">
        <v>327</v>
      </c>
      <c r="J162" s="12" t="n">
        <v>-176</v>
      </c>
      <c r="K162" s="12" t="n">
        <v>141</v>
      </c>
      <c r="L162" s="12" t="n">
        <v>106</v>
      </c>
      <c r="M162" s="12" t="n">
        <v>-89</v>
      </c>
      <c r="N162" s="12" t="n">
        <v>359</v>
      </c>
      <c r="T162" s="12" t="n">
        <v>-41.109</v>
      </c>
      <c r="U162" s="12" t="n">
        <v>-330.429</v>
      </c>
      <c r="V162" s="12" t="n">
        <v>226</v>
      </c>
      <c r="W162" s="12" t="n">
        <v>-176</v>
      </c>
      <c r="X162" s="12" t="n">
        <v>359</v>
      </c>
    </row>
    <row r="163">
      <c r="A163" s="18" t="inlineStr">
        <is>
          <t>기타유가증권 평가차액</t>
        </is>
      </c>
      <c r="C163" s="20" t="n">
        <v>-1</v>
      </c>
      <c r="D163" s="20" t="n">
        <v>0</v>
      </c>
      <c r="E163" s="20" t="n">
        <v>0</v>
      </c>
      <c r="F163" s="20" t="n">
        <v>-2</v>
      </c>
      <c r="G163" s="20" t="n">
        <v>-0</v>
      </c>
      <c r="H163" s="20" t="n">
        <v>1</v>
      </c>
      <c r="I163" s="20" t="n">
        <v>2</v>
      </c>
      <c r="J163" s="20" t="n">
        <v>11</v>
      </c>
      <c r="K163" s="20" t="n">
        <v>5</v>
      </c>
      <c r="L163" s="20" t="n">
        <v>21</v>
      </c>
      <c r="M163" s="20" t="n">
        <v>27</v>
      </c>
      <c r="N163" s="20" t="n">
        <v>-4</v>
      </c>
      <c r="T163" s="20" t="n">
        <v>1</v>
      </c>
      <c r="U163" s="20" t="n">
        <v>5.629</v>
      </c>
      <c r="V163" s="20" t="n">
        <v>-2</v>
      </c>
      <c r="W163" s="20" t="n">
        <v>11</v>
      </c>
      <c r="X163" s="20" t="n">
        <v>-4</v>
      </c>
    </row>
    <row r="164">
      <c r="A164" s="18" t="inlineStr">
        <is>
          <t>기타포괄손익 합계</t>
        </is>
      </c>
      <c r="C164" s="20" t="n">
        <v>-1</v>
      </c>
      <c r="D164" s="20" t="n">
        <v>0</v>
      </c>
      <c r="E164" s="20" t="n">
        <v>0</v>
      </c>
      <c r="F164" s="20" t="n">
        <v>-2</v>
      </c>
      <c r="G164" s="20" t="n">
        <v>-0</v>
      </c>
      <c r="H164" s="20" t="n">
        <v>1</v>
      </c>
      <c r="I164" s="20" t="n">
        <v>2</v>
      </c>
      <c r="J164" s="20" t="n">
        <v>11</v>
      </c>
      <c r="K164" s="20" t="n">
        <v>5</v>
      </c>
      <c r="L164" s="20" t="n">
        <v>21</v>
      </c>
      <c r="M164" s="20" t="n">
        <v>27</v>
      </c>
      <c r="N164" s="20" t="n">
        <v>-4</v>
      </c>
      <c r="T164" s="20" t="n">
        <v>1</v>
      </c>
      <c r="U164" s="20" t="n">
        <v>5.629</v>
      </c>
      <c r="V164" s="20" t="n">
        <v>-2</v>
      </c>
      <c r="W164" s="20" t="n">
        <v>11</v>
      </c>
      <c r="X164" s="20" t="n">
        <v>-4</v>
      </c>
    </row>
    <row r="165">
      <c r="A165" s="9" t="inlineStr">
        <is>
          <t>포괄이익</t>
        </is>
      </c>
      <c r="C165" s="12" t="n">
        <v>261</v>
      </c>
      <c r="D165" s="12" t="n">
        <v>340</v>
      </c>
      <c r="E165" s="12" t="n">
        <v>266</v>
      </c>
      <c r="F165" s="12" t="n">
        <v>224</v>
      </c>
      <c r="G165" s="12" t="n">
        <v>241</v>
      </c>
      <c r="H165" s="12" t="n">
        <v>527</v>
      </c>
      <c r="I165" s="12" t="n">
        <v>328</v>
      </c>
      <c r="J165" s="12" t="n">
        <v>-165</v>
      </c>
      <c r="K165" s="12" t="n">
        <v>147</v>
      </c>
      <c r="L165" s="12" t="n">
        <v>127</v>
      </c>
      <c r="M165" s="12" t="n">
        <v>-63</v>
      </c>
      <c r="N165" s="12" t="n">
        <v>355</v>
      </c>
      <c r="T165" s="12" t="n">
        <v>-40.11</v>
      </c>
      <c r="U165" s="12" t="n">
        <v>-324.801</v>
      </c>
      <c r="V165" s="12" t="n">
        <v>224</v>
      </c>
      <c r="W165" s="12" t="n">
        <v>-165</v>
      </c>
      <c r="X165" s="12" t="n">
        <v>355</v>
      </c>
    </row>
    <row r="166">
      <c r="A166" s="9" t="inlineStr">
        <is>
          <t>지배주주 포괄이익</t>
        </is>
      </c>
      <c r="C166" s="12" t="n">
        <v>261</v>
      </c>
      <c r="D166" s="12" t="n">
        <v>340</v>
      </c>
      <c r="E166" s="12" t="n">
        <v>266</v>
      </c>
      <c r="F166" s="12" t="n">
        <v>224</v>
      </c>
      <c r="G166" s="12" t="n">
        <v>241</v>
      </c>
      <c r="H166" s="12" t="n">
        <v>527</v>
      </c>
      <c r="I166" s="12" t="n">
        <v>328</v>
      </c>
      <c r="J166" s="12" t="n">
        <v>-165</v>
      </c>
      <c r="K166" s="12" t="n">
        <v>147</v>
      </c>
      <c r="L166" s="12" t="n">
        <v>127</v>
      </c>
      <c r="M166" s="12" t="n">
        <v>-63</v>
      </c>
      <c r="N166" s="12" t="n">
        <v>355</v>
      </c>
      <c r="T166" s="12" t="n">
        <v>-40.11</v>
      </c>
      <c r="U166" s="12" t="n">
        <v>-324.801</v>
      </c>
      <c r="V166" s="12" t="n">
        <v>224</v>
      </c>
      <c r="W166" s="12" t="n">
        <v>-165</v>
      </c>
      <c r="X166" s="12" t="n">
        <v>355</v>
      </c>
    </row>
    <row r="167">
      <c r="A167" s="9" t="inlineStr">
        <is>
          <t>비지배주주 포괄이익</t>
        </is>
      </c>
      <c r="C167" s="12" t="n">
        <v>0</v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</row>
    <row r="169">
      <c r="A169" s="16" t="inlineStr">
        <is>
          <t>부문 · 전 항목</t>
        </is>
      </c>
      <c r="B169" s="42" t="inlineStr">
        <is>
          <t>부문 · 항목</t>
        </is>
      </c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</row>
    <row r="170">
      <c r="A170" s="5" t="inlineStr">
        <is>
          <t>항목</t>
        </is>
      </c>
      <c r="B170" s="5" t="inlineStr">
        <is>
          <t>참고</t>
        </is>
      </c>
      <c r="C170" s="5" t="inlineStr">
        <is>
          <t>2024.1Q</t>
        </is>
      </c>
      <c r="D170" s="5" t="inlineStr">
        <is>
          <t>2024.2Q</t>
        </is>
      </c>
      <c r="E170" s="5" t="inlineStr">
        <is>
          <t>2024.3Q</t>
        </is>
      </c>
      <c r="F170" s="5" t="inlineStr">
        <is>
          <t>2024.4Q</t>
        </is>
      </c>
      <c r="G170" s="5" t="inlineStr">
        <is>
          <t>2025.1Q</t>
        </is>
      </c>
      <c r="H170" s="5" t="inlineStr">
        <is>
          <t>2025.2Q</t>
        </is>
      </c>
      <c r="I170" s="5" t="inlineStr">
        <is>
          <t>2025.3Q</t>
        </is>
      </c>
      <c r="J170" s="5" t="inlineStr">
        <is>
          <t>2025.4Q</t>
        </is>
      </c>
      <c r="K170" s="5" t="inlineStr">
        <is>
          <t>2026.1Q</t>
        </is>
      </c>
      <c r="L170" s="5" t="inlineStr">
        <is>
          <t>2026.2Q</t>
        </is>
      </c>
      <c r="M170" s="5" t="inlineStr">
        <is>
          <t>2026.3Q</t>
        </is>
      </c>
      <c r="N170" s="5" t="inlineStr">
        <is>
          <t>2026.4Q</t>
        </is>
      </c>
      <c r="O170" s="5" t="inlineStr">
        <is>
          <t>2017</t>
        </is>
      </c>
      <c r="P170" s="5" t="inlineStr">
        <is>
          <t>2018</t>
        </is>
      </c>
      <c r="Q170" s="5" t="inlineStr">
        <is>
          <t>2019</t>
        </is>
      </c>
      <c r="R170" s="5" t="inlineStr">
        <is>
          <t>2020</t>
        </is>
      </c>
      <c r="S170" s="5" t="inlineStr">
        <is>
          <t>2021</t>
        </is>
      </c>
      <c r="T170" s="5" t="inlineStr">
        <is>
          <t>2022</t>
        </is>
      </c>
      <c r="U170" s="5" t="inlineStr">
        <is>
          <t>2023</t>
        </is>
      </c>
      <c r="V170" s="5" t="inlineStr">
        <is>
          <t>2024</t>
        </is>
      </c>
      <c r="W170" s="5" t="inlineStr">
        <is>
          <t>2025</t>
        </is>
      </c>
      <c r="X170" s="5" t="inlineStr">
        <is>
          <t>2026</t>
        </is>
      </c>
      <c r="Y170" s="5" t="inlineStr">
        <is>
          <t>2027(MW)</t>
        </is>
      </c>
      <c r="Z170" s="5" t="inlineStr">
        <is>
          <t>2028(MW)</t>
        </is>
      </c>
      <c r="AA170" s="5" t="inlineStr">
        <is>
          <t>2029(MW)</t>
        </is>
      </c>
      <c r="AB170" s="5" t="inlineStr">
        <is>
          <t>2030(MW)</t>
        </is>
      </c>
      <c r="AC170" s="5" t="inlineStr">
        <is>
          <t>2031(MW)</t>
        </is>
      </c>
    </row>
    <row r="171">
      <c r="A171" s="18" t="inlineStr">
        <is>
          <t>금속 가공 사업 · 외부 고객 매출</t>
        </is>
      </c>
      <c r="C171" s="20" t="n">
        <v>1767</v>
      </c>
      <c r="D171" s="20" t="n">
        <v>2147</v>
      </c>
      <c r="E171" s="20" t="n">
        <v>2176</v>
      </c>
      <c r="F171" s="20" t="n">
        <v>1946</v>
      </c>
      <c r="G171" s="20" t="n">
        <v>2013</v>
      </c>
      <c r="H171" s="20" t="n">
        <v>2216</v>
      </c>
      <c r="I171" s="20" t="n">
        <v>1911</v>
      </c>
      <c r="J171" s="20" t="n">
        <v>1862</v>
      </c>
      <c r="K171" s="20" t="n">
        <v>1911</v>
      </c>
      <c r="L171" s="20" t="n">
        <v>1932</v>
      </c>
      <c r="M171" s="20" t="n">
        <v>2067</v>
      </c>
      <c r="N171" s="20" t="n">
        <v>1787</v>
      </c>
      <c r="V171" s="20" t="n">
        <v>1946</v>
      </c>
      <c r="W171" s="20" t="n">
        <v>1862</v>
      </c>
      <c r="X171" s="20" t="n">
        <v>1787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N172" s="15">
        <f>IF(OR(N171="",J171=""),"",IF(J171&lt;=0,"",IFERROR(N171/J171-1,"")))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고무 가공 사업 · 외부 고객 매출</t>
        </is>
      </c>
      <c r="C173" s="20" t="n">
        <v>257</v>
      </c>
      <c r="D173" s="20" t="n">
        <v>264</v>
      </c>
      <c r="E173" s="20" t="n">
        <v>240</v>
      </c>
      <c r="F173" s="20" t="n">
        <v>233</v>
      </c>
      <c r="V173" s="20" t="n">
        <v>233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V174" s="15">
        <f>IF(OR(V173="",U173=""),"",IF(U173&lt;=0,"",IFERROR(V173/U173-1,"")))</f>
        <v/>
      </c>
    </row>
    <row r="175">
      <c r="A175" s="18" t="inlineStr">
        <is>
          <t>화성품 사업 · 외부 고객 매출</t>
        </is>
      </c>
      <c r="G175" s="20" t="n">
        <v>239</v>
      </c>
      <c r="H175" s="20" t="n">
        <v>882</v>
      </c>
      <c r="I175" s="20" t="n">
        <v>796</v>
      </c>
      <c r="J175" s="20" t="n">
        <v>817</v>
      </c>
      <c r="K175" s="20" t="n">
        <v>1265</v>
      </c>
      <c r="L175" s="20" t="n">
        <v>1159</v>
      </c>
      <c r="M175" s="20" t="n">
        <v>1197</v>
      </c>
      <c r="N175" s="20" t="n">
        <v>1248</v>
      </c>
      <c r="W175" s="20" t="n">
        <v>817</v>
      </c>
      <c r="X175" s="20" t="n">
        <v>1248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IF(OR(G175="",C175=""),"",IF(C175&lt;=0,"",IFERROR(G175/C175-1,"")))</f>
        <v/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K176" s="15">
        <f>IF(OR(K175="",G175=""),"",IF(G175&lt;=0,"",IFERROR(K175/G175-1,"")))</f>
        <v/>
      </c>
      <c r="L176" s="15">
        <f>IF(OR(L175="",H175=""),"",IF(H175&lt;=0,"",IFERROR(L175/H175-1,"")))</f>
        <v/>
      </c>
      <c r="M176" s="15">
        <f>IF(OR(M175="",I175=""),"",IF(I175&lt;=0,"",IFERROR(M175/I175-1,"")))</f>
        <v/>
      </c>
      <c r="N176" s="15">
        <f>IF(OR(N175="",J175=""),"",IF(J175&lt;=0,"",IFERROR(N175/J175-1,"")))</f>
        <v/>
      </c>
      <c r="W176" s="15">
        <f>IF(OR(W175="",V175=""),"",IF(V175&lt;=0,"",IFERROR(W175/V175-1,"")))</f>
        <v/>
      </c>
      <c r="X176" s="15">
        <f>IF(OR(X175="",W175=""),"",IF(W175&lt;=0,"",IFERROR(X175/W175-1,"")))</f>
        <v/>
      </c>
    </row>
    <row r="177">
      <c r="A177" s="18" t="inlineStr">
        <is>
          <t>건설 사업 · 외부 고객 매출</t>
        </is>
      </c>
      <c r="C177" s="20" t="n">
        <v>444</v>
      </c>
      <c r="D177" s="20" t="n">
        <v>933</v>
      </c>
      <c r="E177" s="20" t="n">
        <v>969</v>
      </c>
      <c r="F177" s="20" t="n">
        <v>913</v>
      </c>
      <c r="G177" s="20" t="n">
        <v>1955</v>
      </c>
      <c r="H177" s="20" t="n">
        <v>2004</v>
      </c>
      <c r="I177" s="20" t="n">
        <v>2057</v>
      </c>
      <c r="J177" s="20" t="n">
        <v>780</v>
      </c>
      <c r="K177" s="20" t="n">
        <v>1044</v>
      </c>
      <c r="L177" s="20" t="n">
        <v>625</v>
      </c>
      <c r="M177" s="20" t="n">
        <v>195</v>
      </c>
      <c r="N177" s="20" t="n">
        <v>690</v>
      </c>
      <c r="V177" s="20" t="n">
        <v>913</v>
      </c>
      <c r="W177" s="20" t="n">
        <v>780</v>
      </c>
      <c r="X177" s="20" t="n">
        <v>690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IF(OR(G177="",C177=""),"",IF(C177&lt;=0,"",IFERROR(G177/C177-1,"")))</f>
        <v/>
      </c>
      <c r="H178" s="15">
        <f>IF(OR(H177="",D177=""),"",IF(D177&lt;=0,"",IFERROR(H177/D177-1,"")))</f>
        <v/>
      </c>
      <c r="I178" s="15">
        <f>IF(OR(I177="",E177=""),"",IF(E177&lt;=0,"",IFERROR(I177/E177-1,"")))</f>
        <v/>
      </c>
      <c r="J178" s="15">
        <f>IF(OR(J177="",F177=""),"",IF(F177&lt;=0,"",IFERROR(J177/F177-1,"")))</f>
        <v/>
      </c>
      <c r="K178" s="15">
        <f>IF(OR(K177="",G177=""),"",IF(G177&lt;=0,"",IFERROR(K177/G177-1,"")))</f>
        <v/>
      </c>
      <c r="L178" s="15">
        <f>IF(OR(L177="",H177=""),"",IF(H177&lt;=0,"",IFERROR(L177/H177-1,"")))</f>
        <v/>
      </c>
      <c r="M178" s="15">
        <f>IF(OR(M177="",I177=""),"",IF(I177&lt;=0,"",IFERROR(M177/I177-1,"")))</f>
        <v/>
      </c>
      <c r="N178" s="15">
        <f>IF(OR(N177="",J177=""),"",IF(J177&lt;=0,"",IFERROR(N177/J177-1,"")))</f>
        <v/>
      </c>
      <c r="V178" s="15">
        <f>IF(OR(V177="",U177=""),"",IF(U177&lt;=0,"",IFERROR(V177/U177-1,"")))</f>
        <v/>
      </c>
      <c r="W178" s="15">
        <f>IF(OR(W177="",V177=""),"",IF(V177&lt;=0,"",IFERROR(W177/V177-1,"")))</f>
        <v/>
      </c>
      <c r="X178" s="15">
        <f>IF(OR(X177="",W177=""),"",IF(W177&lt;=0,"",IFERROR(X177/W177-1,"")))</f>
        <v/>
      </c>
    </row>
    <row r="179">
      <c r="A179" s="18" t="inlineStr">
        <is>
          <t>타일 사업 · 외부 고객 매출</t>
        </is>
      </c>
      <c r="C179" s="20" t="n">
        <v>1253</v>
      </c>
      <c r="D179" s="20" t="n">
        <v>1346</v>
      </c>
      <c r="E179" s="20" t="n">
        <v>1285</v>
      </c>
      <c r="F179" s="20" t="n">
        <v>1279</v>
      </c>
      <c r="G179" s="20" t="n">
        <v>1258</v>
      </c>
      <c r="H179" s="20" t="n">
        <v>1286</v>
      </c>
      <c r="I179" s="20" t="n">
        <v>1117</v>
      </c>
      <c r="J179" s="20" t="n">
        <v>1121</v>
      </c>
      <c r="K179" s="20" t="n">
        <v>1134</v>
      </c>
      <c r="L179" s="20" t="n">
        <v>1175</v>
      </c>
      <c r="V179" s="20" t="n">
        <v>1279</v>
      </c>
      <c r="W179" s="20" t="n">
        <v>1121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V180" s="15">
        <f>IF(OR(V179="",U179=""),"",IF(U179&lt;=0,"",IFERROR(V179/U179-1,"")))</f>
        <v/>
      </c>
      <c r="W180" s="15">
        <f>IF(OR(W179="",V179=""),"",IF(V179&lt;=0,"",IFERROR(W179/V179-1,"")))</f>
        <v/>
      </c>
    </row>
    <row r="181">
      <c r="A181" s="18" t="inlineStr">
        <is>
          <t>보고부문 합계 · 외부 고객 매출</t>
        </is>
      </c>
      <c r="C181" s="20" t="n">
        <v>3721</v>
      </c>
      <c r="D181" s="20" t="n">
        <v>4691</v>
      </c>
      <c r="E181" s="20" t="n">
        <v>4670</v>
      </c>
      <c r="F181" s="20" t="n">
        <v>4372</v>
      </c>
      <c r="G181" s="20" t="n">
        <v>5468</v>
      </c>
      <c r="H181" s="20" t="n">
        <v>6387</v>
      </c>
      <c r="I181" s="20" t="n">
        <v>6414</v>
      </c>
      <c r="J181" s="20" t="n">
        <v>4756</v>
      </c>
      <c r="K181" s="20" t="n">
        <v>5356</v>
      </c>
      <c r="L181" s="20" t="n">
        <v>4890</v>
      </c>
      <c r="M181" s="20" t="n">
        <v>5214</v>
      </c>
      <c r="N181" s="20" t="n">
        <v>6030</v>
      </c>
      <c r="V181" s="20" t="n">
        <v>4372</v>
      </c>
      <c r="W181" s="20" t="n">
        <v>4756</v>
      </c>
      <c r="X181" s="20" t="n">
        <v>6030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OtherReportableSegmentsMember · 외부 고객 매출</t>
        </is>
      </c>
      <c r="E183" s="20" t="n">
        <v>65</v>
      </c>
      <c r="I183" s="20" t="n">
        <v>199</v>
      </c>
      <c r="M183" s="20" t="n">
        <v>-334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I184" s="15">
        <f>IF(OR(I183="",E183=""),"",IF(E183&lt;=0,"",IFERROR(I183/E183-1,"")))</f>
        <v/>
      </c>
      <c r="M184" s="15">
        <f>IF(OR(M183="",I183=""),"",IF(I183&lt;=0,"",IFERROR(M183/I183-1,"")))</f>
        <v/>
      </c>
    </row>
    <row r="185">
      <c r="A185" s="18" t="inlineStr">
        <is>
          <t>기타 · 외부 고객 매출</t>
        </is>
      </c>
      <c r="C185" s="20" t="n">
        <v>0</v>
      </c>
      <c r="G185" s="20" t="n">
        <v>152</v>
      </c>
      <c r="K185" s="20" t="n">
        <v>153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IF(OR(G185="",C185=""),"",IF(C185&lt;=0,"",IFERROR(G185/C185-1,"")))</f>
        <v/>
      </c>
      <c r="K186" s="15">
        <f>IF(OR(K185="",G185=""),"",IF(G185&lt;=0,"",IFERROR(K185/G185-1,"")))</f>
        <v/>
      </c>
    </row>
    <row r="187">
      <c r="A187" s="18" t="inlineStr">
        <is>
          <t>합계 · 외부 고객 매출</t>
        </is>
      </c>
      <c r="C187" s="20" t="n">
        <v>3721</v>
      </c>
      <c r="D187" s="20" t="n">
        <v>4697</v>
      </c>
      <c r="E187" s="20" t="n">
        <v>4734</v>
      </c>
      <c r="F187" s="20" t="n">
        <v>4542</v>
      </c>
      <c r="G187" s="20" t="n">
        <v>5620</v>
      </c>
      <c r="H187" s="20" t="n">
        <v>6569</v>
      </c>
      <c r="I187" s="20" t="n">
        <v>6080</v>
      </c>
      <c r="J187" s="20" t="n">
        <v>4756</v>
      </c>
      <c r="K187" s="20" t="n">
        <v>5510</v>
      </c>
      <c r="L187" s="20" t="n">
        <v>5071</v>
      </c>
      <c r="M187" s="20" t="n">
        <v>4879</v>
      </c>
      <c r="N187" s="20" t="n">
        <v>6030</v>
      </c>
      <c r="V187" s="20" t="n">
        <v>4542</v>
      </c>
      <c r="W187" s="20" t="n">
        <v>4756</v>
      </c>
      <c r="X187" s="20" t="n">
        <v>6030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IF(OR(G187="",C187=""),"",IF(C187&lt;=0,"",IFERROR(G187/C187-1,"")))</f>
        <v/>
      </c>
      <c r="H188" s="15">
        <f>IF(OR(H187="",D187=""),"",IF(D187&lt;=0,"",IFERROR(H187/D187-1,"")))</f>
        <v/>
      </c>
      <c r="I188" s="15">
        <f>IF(OR(I187="",E187=""),"",IF(E187&lt;=0,"",IFERROR(I187/E187-1,"")))</f>
        <v/>
      </c>
      <c r="J188" s="15">
        <f>IF(OR(J187="",F187=""),"",IF(F187&lt;=0,"",IFERROR(J187/F187-1,"")))</f>
        <v/>
      </c>
      <c r="K188" s="15">
        <f>IF(OR(K187="",G187=""),"",IF(G187&lt;=0,"",IFERROR(K187/G187-1,"")))</f>
        <v/>
      </c>
      <c r="L188" s="15">
        <f>IF(OR(L187="",H187=""),"",IF(H187&lt;=0,"",IFERROR(L187/H187-1,"")))</f>
        <v/>
      </c>
      <c r="M188" s="15">
        <f>IF(OR(M187="",I187=""),"",IF(I187&lt;=0,"",IFERROR(M187/I187-1,"")))</f>
        <v/>
      </c>
      <c r="N188" s="15">
        <f>IF(OR(N187="",J187=""),"",IF(J187&lt;=0,"",IFERROR(N187/J187-1,"")))</f>
        <v/>
      </c>
      <c r="V188" s="15">
        <f>IF(OR(V187="",U187=""),"",IF(U187&lt;=0,"",IFERROR(V187/U187-1,"")))</f>
        <v/>
      </c>
      <c r="W188" s="15">
        <f>IF(OR(W187="",V187=""),"",IF(V187&lt;=0,"",IFERROR(W187/V187-1,"")))</f>
        <v/>
      </c>
      <c r="X188" s="15">
        <f>IF(OR(X187="",W187=""),"",IF(W187&lt;=0,"",IFERROR(X187/W187-1,"")))</f>
        <v/>
      </c>
    </row>
    <row r="189">
      <c r="A189" s="18" t="inlineStr">
        <is>
          <t>조정액 · 외부 고객 매출</t>
        </is>
      </c>
      <c r="C189" s="20" t="n">
        <v>0</v>
      </c>
      <c r="D189" s="20" t="n">
        <v>0</v>
      </c>
      <c r="E189" s="20" t="n">
        <v>0</v>
      </c>
      <c r="F189" s="20" t="n">
        <v>0</v>
      </c>
      <c r="G189" s="20" t="n">
        <v>0</v>
      </c>
      <c r="H189" s="20" t="n">
        <v>0</v>
      </c>
      <c r="I189" s="20" t="n">
        <v>0</v>
      </c>
      <c r="J189" s="20" t="n">
        <v>12</v>
      </c>
      <c r="K189" s="20" t="n">
        <v>6</v>
      </c>
      <c r="L189" s="20" t="n">
        <v>5</v>
      </c>
      <c r="M189" s="20" t="n">
        <v>5</v>
      </c>
      <c r="N189" s="20" t="n">
        <v>6</v>
      </c>
      <c r="V189" s="20" t="n">
        <v>0</v>
      </c>
      <c r="W189" s="20" t="n">
        <v>12</v>
      </c>
      <c r="X189" s="20" t="n">
        <v>6</v>
      </c>
    </row>
    <row r="190">
      <c r="A190" s="9" t="inlineStr">
        <is>
          <t>외부 고객 매출</t>
        </is>
      </c>
      <c r="C190" s="12" t="n">
        <v>3721</v>
      </c>
      <c r="D190" s="12" t="n">
        <v>4697</v>
      </c>
      <c r="E190" s="12" t="n">
        <v>4734</v>
      </c>
      <c r="F190" s="12" t="n">
        <v>4542</v>
      </c>
      <c r="G190" s="12" t="n">
        <v>5620</v>
      </c>
      <c r="H190" s="12" t="n">
        <v>6569</v>
      </c>
      <c r="I190" s="12" t="n">
        <v>6080</v>
      </c>
      <c r="J190" s="12" t="n">
        <v>4768</v>
      </c>
      <c r="K190" s="12" t="n">
        <v>5516</v>
      </c>
      <c r="L190" s="12" t="n">
        <v>5076</v>
      </c>
      <c r="M190" s="12" t="n">
        <v>4884</v>
      </c>
      <c r="N190" s="12" t="n">
        <v>6036</v>
      </c>
      <c r="V190" s="12" t="n">
        <v>4542</v>
      </c>
      <c r="W190" s="12" t="n">
        <v>4768</v>
      </c>
      <c r="X190" s="12" t="n">
        <v>6036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IF(OR(G190="",C190=""),"",IF(C190&lt;=0,"",IFERROR(G190/C190-1,"")))</f>
        <v/>
      </c>
      <c r="H191" s="15">
        <f>IF(OR(H190="",D190=""),"",IF(D190&lt;=0,"",IFERROR(H190/D190-1,"")))</f>
        <v/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K191" s="15">
        <f>IF(OR(K190="",G190=""),"",IF(G190&lt;=0,"",IFERROR(K190/G190-1,"")))</f>
        <v/>
      </c>
      <c r="L191" s="15">
        <f>IF(OR(L190="",H190=""),"",IF(H190&lt;=0,"",IFERROR(L190/H190-1,"")))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  <c r="V191" s="15">
        <f>IF(OR(V190="",U190=""),"",IF(U190&lt;=0,"",IFERROR(V190/U190-1,"")))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금속 가공 사업 · 부문 간 내부매출·대체</t>
        </is>
      </c>
      <c r="C192" s="20" t="n">
        <v>61</v>
      </c>
      <c r="D192" s="20" t="n">
        <v>153</v>
      </c>
      <c r="E192" s="20" t="n">
        <v>136</v>
      </c>
      <c r="F192" s="20" t="n">
        <v>190</v>
      </c>
      <c r="G192" s="20" t="n">
        <v>418</v>
      </c>
      <c r="H192" s="20" t="n">
        <v>448</v>
      </c>
      <c r="I192" s="20" t="n">
        <v>177</v>
      </c>
      <c r="J192" s="20" t="n">
        <v>135</v>
      </c>
      <c r="K192" s="20" t="n">
        <v>69</v>
      </c>
      <c r="L192" s="20" t="n">
        <v>54</v>
      </c>
      <c r="M192" s="20" t="n">
        <v>123</v>
      </c>
      <c r="N192" s="20" t="n">
        <v>106</v>
      </c>
      <c r="V192" s="20" t="n">
        <v>190</v>
      </c>
      <c r="W192" s="20" t="n">
        <v>135</v>
      </c>
      <c r="X192" s="20" t="n">
        <v>106</v>
      </c>
    </row>
    <row r="193">
      <c r="A193" s="18" t="inlineStr">
        <is>
          <t>고무 가공 사업 · 부문 간 내부매출·대체</t>
        </is>
      </c>
      <c r="C193" s="20" t="n">
        <v>0</v>
      </c>
      <c r="D193" s="20" t="n">
        <v>0</v>
      </c>
      <c r="E193" s="20" t="n">
        <v>0</v>
      </c>
      <c r="F193" s="20" t="n">
        <v>0</v>
      </c>
      <c r="V193" s="20" t="n">
        <v>0</v>
      </c>
    </row>
    <row r="194">
      <c r="A194" s="18" t="inlineStr">
        <is>
          <t>화성품 사업 · 부문 간 내부매출·대체</t>
        </is>
      </c>
      <c r="G194" s="20" t="n">
        <v>0</v>
      </c>
      <c r="H194" s="20" t="n">
        <v>0</v>
      </c>
      <c r="I194" s="20" t="n">
        <v>0</v>
      </c>
      <c r="J194" s="20" t="n">
        <v>1</v>
      </c>
      <c r="K194" s="20" t="n">
        <v>0</v>
      </c>
      <c r="L194" s="20" t="n">
        <v>0</v>
      </c>
      <c r="M194" s="20" t="n">
        <v>1</v>
      </c>
      <c r="N194" s="20" t="n">
        <v>0</v>
      </c>
      <c r="W194" s="20" t="n">
        <v>1</v>
      </c>
      <c r="X194" s="20" t="n">
        <v>0</v>
      </c>
    </row>
    <row r="195">
      <c r="A195" s="18" t="inlineStr">
        <is>
          <t>건설 사업 · 부문 간 내부매출·대체</t>
        </is>
      </c>
      <c r="C195" s="20" t="n">
        <v>0</v>
      </c>
      <c r="D195" s="20" t="n">
        <v>0</v>
      </c>
      <c r="E195" s="20" t="n">
        <v>0</v>
      </c>
      <c r="F195" s="20" t="n">
        <v>0</v>
      </c>
      <c r="G195" s="20" t="n">
        <v>0</v>
      </c>
      <c r="H195" s="20" t="n">
        <v>0</v>
      </c>
      <c r="I195" s="20" t="n">
        <v>0</v>
      </c>
      <c r="J195" s="20" t="n">
        <v>0</v>
      </c>
      <c r="K195" s="20" t="n">
        <v>0</v>
      </c>
      <c r="L195" s="20" t="n">
        <v>0</v>
      </c>
      <c r="M195" s="20" t="n">
        <v>0</v>
      </c>
      <c r="N195" s="20" t="n">
        <v>17</v>
      </c>
      <c r="V195" s="20" t="n">
        <v>0</v>
      </c>
      <c r="W195" s="20" t="n">
        <v>0</v>
      </c>
      <c r="X195" s="20" t="n">
        <v>17</v>
      </c>
    </row>
    <row r="196">
      <c r="A196" s="18" t="inlineStr">
        <is>
          <t>타일 사업 · 부문 간 내부매출·대체</t>
        </is>
      </c>
      <c r="C196" s="20" t="n">
        <v>0</v>
      </c>
      <c r="D196" s="20" t="n">
        <v>0</v>
      </c>
      <c r="E196" s="20" t="n">
        <v>0</v>
      </c>
      <c r="F196" s="20" t="n">
        <v>0</v>
      </c>
      <c r="G196" s="20" t="n">
        <v>0</v>
      </c>
      <c r="H196" s="20" t="n">
        <v>0</v>
      </c>
      <c r="I196" s="20" t="n">
        <v>0</v>
      </c>
      <c r="J196" s="20" t="n">
        <v>0</v>
      </c>
      <c r="K196" s="20" t="n">
        <v>0</v>
      </c>
      <c r="L196" s="20" t="n">
        <v>0</v>
      </c>
      <c r="V196" s="20" t="n">
        <v>0</v>
      </c>
      <c r="W196" s="20" t="n">
        <v>0</v>
      </c>
    </row>
    <row r="197">
      <c r="A197" s="18" t="inlineStr">
        <is>
          <t>보고부문 합계 · 부문 간 내부매출·대체</t>
        </is>
      </c>
      <c r="C197" s="20" t="n">
        <v>61</v>
      </c>
      <c r="D197" s="20" t="n">
        <v>154</v>
      </c>
      <c r="E197" s="20" t="n">
        <v>136</v>
      </c>
      <c r="F197" s="20" t="n">
        <v>190</v>
      </c>
      <c r="G197" s="20" t="n">
        <v>418</v>
      </c>
      <c r="H197" s="20" t="n">
        <v>449</v>
      </c>
      <c r="I197" s="20" t="n">
        <v>192</v>
      </c>
      <c r="J197" s="20" t="n">
        <v>141</v>
      </c>
      <c r="K197" s="20" t="n">
        <v>70</v>
      </c>
      <c r="L197" s="20" t="n">
        <v>54</v>
      </c>
      <c r="M197" s="20" t="n">
        <v>127</v>
      </c>
      <c r="N197" s="20" t="n">
        <v>127</v>
      </c>
      <c r="V197" s="20" t="n">
        <v>190</v>
      </c>
      <c r="W197" s="20" t="n">
        <v>141</v>
      </c>
      <c r="X197" s="20" t="n">
        <v>127</v>
      </c>
    </row>
    <row r="198">
      <c r="A198" s="18" t="inlineStr">
        <is>
          <t>OtherReportableSegmentsMember · 부문 간 내부매출·대체</t>
        </is>
      </c>
      <c r="E198" s="20" t="n">
        <v>0</v>
      </c>
      <c r="I198" s="20" t="n">
        <v>10</v>
      </c>
      <c r="M198" s="20" t="n">
        <v>-3</v>
      </c>
    </row>
    <row r="199">
      <c r="A199" s="18" t="inlineStr">
        <is>
          <t>기타 · 부문 간 내부매출·대체</t>
        </is>
      </c>
      <c r="C199" s="20" t="n">
        <v>0</v>
      </c>
      <c r="G199" s="20" t="n">
        <v>5</v>
      </c>
      <c r="K199" s="20" t="n">
        <v>2</v>
      </c>
    </row>
    <row r="200">
      <c r="A200" s="18" t="inlineStr">
        <is>
          <t>합계 · 부문 간 내부매출·대체</t>
        </is>
      </c>
      <c r="C200" s="20" t="n">
        <v>61</v>
      </c>
      <c r="D200" s="20" t="n">
        <v>154</v>
      </c>
      <c r="E200" s="20" t="n">
        <v>136</v>
      </c>
      <c r="F200" s="20" t="n">
        <v>194</v>
      </c>
      <c r="G200" s="20" t="n">
        <v>424</v>
      </c>
      <c r="H200" s="20" t="n">
        <v>449</v>
      </c>
      <c r="I200" s="20" t="n">
        <v>187</v>
      </c>
      <c r="J200" s="20" t="n">
        <v>141</v>
      </c>
      <c r="K200" s="20" t="n">
        <v>73</v>
      </c>
      <c r="L200" s="20" t="n">
        <v>54</v>
      </c>
      <c r="M200" s="20" t="n">
        <v>124</v>
      </c>
      <c r="N200" s="20" t="n">
        <v>127</v>
      </c>
      <c r="V200" s="20" t="n">
        <v>194</v>
      </c>
      <c r="W200" s="20" t="n">
        <v>141</v>
      </c>
      <c r="X200" s="20" t="n">
        <v>127</v>
      </c>
    </row>
    <row r="201">
      <c r="A201" s="18" t="inlineStr">
        <is>
          <t>조정액 · 부문 간 내부매출·대체</t>
        </is>
      </c>
      <c r="C201" s="20" t="n">
        <v>-61</v>
      </c>
      <c r="D201" s="20" t="n">
        <v>-154</v>
      </c>
      <c r="E201" s="20" t="n">
        <v>-136</v>
      </c>
      <c r="F201" s="20" t="n">
        <v>-194</v>
      </c>
      <c r="G201" s="20" t="n">
        <v>-424</v>
      </c>
      <c r="H201" s="20" t="n">
        <v>-449</v>
      </c>
      <c r="I201" s="20" t="n">
        <v>-186</v>
      </c>
      <c r="J201" s="20" t="n">
        <v>-141</v>
      </c>
      <c r="K201" s="20" t="n">
        <v>-73</v>
      </c>
      <c r="L201" s="20" t="n">
        <v>-54</v>
      </c>
      <c r="M201" s="20" t="n">
        <v>-124</v>
      </c>
      <c r="N201" s="20" t="n">
        <v>-127</v>
      </c>
      <c r="V201" s="20" t="n">
        <v>-194</v>
      </c>
      <c r="W201" s="20" t="n">
        <v>-141</v>
      </c>
      <c r="X201" s="20" t="n">
        <v>-127</v>
      </c>
    </row>
    <row r="202">
      <c r="A202" s="18" t="inlineStr">
        <is>
          <t>부문 간 내부매출·대체</t>
        </is>
      </c>
      <c r="C202" s="20" t="n">
        <v>0</v>
      </c>
      <c r="D202" s="20" t="n">
        <v>0</v>
      </c>
      <c r="E202" s="20" t="n">
        <v>0</v>
      </c>
      <c r="F202" s="20" t="n">
        <v>0</v>
      </c>
      <c r="G202" s="20" t="n">
        <v>0</v>
      </c>
      <c r="H202" s="20" t="n">
        <v>0</v>
      </c>
      <c r="I202" s="20" t="n">
        <v>0</v>
      </c>
      <c r="J202" s="20" t="n">
        <v>0</v>
      </c>
      <c r="K202" s="20" t="n">
        <v>0</v>
      </c>
      <c r="L202" s="20" t="n">
        <v>0</v>
      </c>
      <c r="M202" s="20" t="n">
        <v>0</v>
      </c>
      <c r="N202" s="20" t="n">
        <v>0</v>
      </c>
      <c r="V202" s="20" t="n">
        <v>0</v>
      </c>
      <c r="W202" s="20" t="n">
        <v>0</v>
      </c>
      <c r="X202" s="20" t="n">
        <v>0</v>
      </c>
    </row>
    <row r="203">
      <c r="A203" s="18" t="inlineStr">
        <is>
          <t>금속 가공 사업 · 계</t>
        </is>
      </c>
      <c r="C203" s="20" t="n">
        <v>1828</v>
      </c>
      <c r="D203" s="20" t="n">
        <v>2301</v>
      </c>
      <c r="E203" s="20" t="n">
        <v>2312</v>
      </c>
      <c r="F203" s="20" t="n">
        <v>2135</v>
      </c>
      <c r="G203" s="20" t="n">
        <v>2432</v>
      </c>
      <c r="H203" s="20" t="n">
        <v>2664</v>
      </c>
      <c r="I203" s="20" t="n">
        <v>2088</v>
      </c>
      <c r="J203" s="20" t="n">
        <v>1996</v>
      </c>
      <c r="K203" s="20" t="n">
        <v>1981</v>
      </c>
      <c r="L203" s="20" t="n">
        <v>1985</v>
      </c>
      <c r="M203" s="20" t="n">
        <v>2191</v>
      </c>
      <c r="N203" s="20" t="n">
        <v>1893</v>
      </c>
      <c r="V203" s="20" t="n">
        <v>2135</v>
      </c>
      <c r="W203" s="20" t="n">
        <v>1996</v>
      </c>
      <c r="X203" s="20" t="n">
        <v>1893</v>
      </c>
    </row>
    <row r="204">
      <c r="A204" s="43" t="inlineStr">
        <is>
          <t>YoY</t>
        </is>
      </c>
      <c r="B204" s="3" t="inlineStr">
        <is>
          <t>전년 같은 분기·전년 대비</t>
        </is>
      </c>
      <c r="G204" s="15">
        <f>IF(OR(G203="",C203=""),"",IF(C203&lt;=0,"",IFERROR(G203/C203-1,"")))</f>
        <v/>
      </c>
      <c r="H204" s="15">
        <f>IF(OR(H203="",D203=""),"",IF(D203&lt;=0,"",IFERROR(H203/D203-1,"")))</f>
        <v/>
      </c>
      <c r="I204" s="15">
        <f>IF(OR(I203="",E203=""),"",IF(E203&lt;=0,"",IFERROR(I203/E203-1,"")))</f>
        <v/>
      </c>
      <c r="J204" s="15">
        <f>IF(OR(J203="",F203=""),"",IF(F203&lt;=0,"",IFERROR(J203/F203-1,"")))</f>
        <v/>
      </c>
      <c r="K204" s="15">
        <f>IF(OR(K203="",G203=""),"",IF(G203&lt;=0,"",IFERROR(K203/G203-1,"")))</f>
        <v/>
      </c>
      <c r="L204" s="15">
        <f>IF(OR(L203="",H203=""),"",IF(H203&lt;=0,"",IFERROR(L203/H203-1,"")))</f>
        <v/>
      </c>
      <c r="M204" s="15">
        <f>IF(OR(M203="",I203=""),"",IF(I203&lt;=0,"",IFERROR(M203/I203-1,"")))</f>
        <v/>
      </c>
      <c r="N204" s="15">
        <f>IF(OR(N203="",J203=""),"",IF(J203&lt;=0,"",IFERROR(N203/J203-1,"")))</f>
        <v/>
      </c>
      <c r="V204" s="15">
        <f>IF(OR(V203="",U203=""),"",IF(U203&lt;=0,"",IFERROR(V203/U203-1,"")))</f>
        <v/>
      </c>
      <c r="W204" s="15">
        <f>IF(OR(W203="",V203=""),"",IF(V203&lt;=0,"",IFERROR(W203/V203-1,"")))</f>
        <v/>
      </c>
      <c r="X204" s="15">
        <f>IF(OR(X203="",W203=""),"",IF(W203&lt;=0,"",IFERROR(X203/W203-1,"")))</f>
        <v/>
      </c>
    </row>
    <row r="205">
      <c r="A205" s="18" t="inlineStr">
        <is>
          <t>고무 가공 사업 · 계</t>
        </is>
      </c>
      <c r="C205" s="20" t="n">
        <v>257</v>
      </c>
      <c r="D205" s="20" t="n">
        <v>265</v>
      </c>
      <c r="E205" s="20" t="n">
        <v>240</v>
      </c>
      <c r="F205" s="20" t="n">
        <v>233</v>
      </c>
      <c r="V205" s="20" t="n">
        <v>233</v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V206" s="15">
        <f>IF(OR(V205="",U205=""),"",IF(U205&lt;=0,"",IFERROR(V205/U205-1,"")))</f>
        <v/>
      </c>
    </row>
    <row r="207">
      <c r="A207" s="18" t="inlineStr">
        <is>
          <t>화성품 사업 · 계</t>
        </is>
      </c>
      <c r="G207" s="20" t="n">
        <v>239</v>
      </c>
      <c r="H207" s="20" t="n">
        <v>882</v>
      </c>
      <c r="I207" s="20" t="n">
        <v>797</v>
      </c>
      <c r="J207" s="20" t="n">
        <v>818</v>
      </c>
      <c r="K207" s="20" t="n">
        <v>1266</v>
      </c>
      <c r="L207" s="20" t="n">
        <v>1158</v>
      </c>
      <c r="M207" s="20" t="n">
        <v>1198</v>
      </c>
      <c r="N207" s="20" t="n">
        <v>1248</v>
      </c>
      <c r="W207" s="20" t="n">
        <v>818</v>
      </c>
      <c r="X207" s="20" t="n">
        <v>1248</v>
      </c>
    </row>
    <row r="208">
      <c r="A208" s="43" t="inlineStr">
        <is>
          <t>YoY</t>
        </is>
      </c>
      <c r="B208" s="3" t="inlineStr">
        <is>
          <t>전년 같은 분기·전년 대비</t>
        </is>
      </c>
      <c r="G208" s="15">
        <f>IF(OR(G207="",C207=""),"",IF(C207&lt;=0,"",IFERROR(G207/C207-1,"")))</f>
        <v/>
      </c>
      <c r="H208" s="15">
        <f>IF(OR(H207="",D207=""),"",IF(D207&lt;=0,"",IFERROR(H207/D207-1,"")))</f>
        <v/>
      </c>
      <c r="I208" s="15">
        <f>IF(OR(I207="",E207=""),"",IF(E207&lt;=0,"",IFERROR(I207/E207-1,"")))</f>
        <v/>
      </c>
      <c r="J208" s="15">
        <f>IF(OR(J207="",F207=""),"",IF(F207&lt;=0,"",IFERROR(J207/F207-1,"")))</f>
        <v/>
      </c>
      <c r="K208" s="15">
        <f>IF(OR(K207="",G207=""),"",IF(G207&lt;=0,"",IFERROR(K207/G207-1,"")))</f>
        <v/>
      </c>
      <c r="L208" s="15">
        <f>IF(OR(L207="",H207=""),"",IF(H207&lt;=0,"",IFERROR(L207/H207-1,"")))</f>
        <v/>
      </c>
      <c r="M208" s="15">
        <f>IF(OR(M207="",I207=""),"",IF(I207&lt;=0,"",IFERROR(M207/I207-1,"")))</f>
        <v/>
      </c>
      <c r="N208" s="15">
        <f>IF(OR(N207="",J207=""),"",IF(J207&lt;=0,"",IFERROR(N207/J207-1,"")))</f>
        <v/>
      </c>
      <c r="W208" s="15">
        <f>IF(OR(W207="",V207=""),"",IF(V207&lt;=0,"",IFERROR(W207/V207-1,"")))</f>
        <v/>
      </c>
      <c r="X208" s="15">
        <f>IF(OR(X207="",W207=""),"",IF(W207&lt;=0,"",IFERROR(X207/W207-1,"")))</f>
        <v/>
      </c>
    </row>
    <row r="209">
      <c r="A209" s="18" t="inlineStr">
        <is>
          <t>건설 사업 · 계</t>
        </is>
      </c>
      <c r="C209" s="20" t="n">
        <v>444</v>
      </c>
      <c r="D209" s="20" t="n">
        <v>933</v>
      </c>
      <c r="E209" s="20" t="n">
        <v>969</v>
      </c>
      <c r="F209" s="20" t="n">
        <v>914</v>
      </c>
      <c r="G209" s="20" t="n">
        <v>1955</v>
      </c>
      <c r="H209" s="20" t="n">
        <v>2004</v>
      </c>
      <c r="I209" s="20" t="n">
        <v>2057</v>
      </c>
      <c r="J209" s="20" t="n">
        <v>780</v>
      </c>
      <c r="K209" s="20" t="n">
        <v>1044</v>
      </c>
      <c r="L209" s="20" t="n">
        <v>625</v>
      </c>
      <c r="M209" s="20" t="n">
        <v>195</v>
      </c>
      <c r="N209" s="20" t="n">
        <v>708</v>
      </c>
      <c r="V209" s="20" t="n">
        <v>914</v>
      </c>
      <c r="W209" s="20" t="n">
        <v>780</v>
      </c>
      <c r="X209" s="20" t="n">
        <v>708</v>
      </c>
    </row>
    <row r="210">
      <c r="A210" s="43" t="inlineStr">
        <is>
          <t>YoY</t>
        </is>
      </c>
      <c r="B210" s="3" t="inlineStr">
        <is>
          <t>전년 같은 분기·전년 대비</t>
        </is>
      </c>
      <c r="G210" s="15">
        <f>IF(OR(G209="",C209=""),"",IF(C209&lt;=0,"",IFERROR(G209/C209-1,"")))</f>
        <v/>
      </c>
      <c r="H210" s="15">
        <f>IF(OR(H209="",D209=""),"",IF(D209&lt;=0,"",IFERROR(H209/D209-1,"")))</f>
        <v/>
      </c>
      <c r="I210" s="15">
        <f>IF(OR(I209="",E209=""),"",IF(E209&lt;=0,"",IFERROR(I209/E209-1,"")))</f>
        <v/>
      </c>
      <c r="J210" s="15">
        <f>IF(OR(J209="",F209=""),"",IF(F209&lt;=0,"",IFERROR(J209/F209-1,"")))</f>
        <v/>
      </c>
      <c r="K210" s="15">
        <f>IF(OR(K209="",G209=""),"",IF(G209&lt;=0,"",IFERROR(K209/G209-1,"")))</f>
        <v/>
      </c>
      <c r="L210" s="15">
        <f>IF(OR(L209="",H209=""),"",IF(H209&lt;=0,"",IFERROR(L209/H209-1,"")))</f>
        <v/>
      </c>
      <c r="M210" s="15">
        <f>IF(OR(M209="",I209=""),"",IF(I209&lt;=0,"",IFERROR(M209/I209-1,"")))</f>
        <v/>
      </c>
      <c r="N210" s="15">
        <f>IF(OR(N209="",J209=""),"",IF(J209&lt;=0,"",IFERROR(N209/J209-1,"")))</f>
        <v/>
      </c>
      <c r="V210" s="15">
        <f>IF(OR(V209="",U209=""),"",IF(U209&lt;=0,"",IFERROR(V209/U209-1,"")))</f>
        <v/>
      </c>
      <c r="W210" s="15">
        <f>IF(OR(W209="",V209=""),"",IF(V209&lt;=0,"",IFERROR(W209/V209-1,"")))</f>
        <v/>
      </c>
      <c r="X210" s="15">
        <f>IF(OR(X209="",W209=""),"",IF(W209&lt;=0,"",IFERROR(X209/W209-1,"")))</f>
        <v/>
      </c>
    </row>
    <row r="211">
      <c r="A211" s="18" t="inlineStr">
        <is>
          <t>타일 사업 · 계</t>
        </is>
      </c>
      <c r="C211" s="20" t="n">
        <v>1253</v>
      </c>
      <c r="D211" s="20" t="n">
        <v>1346</v>
      </c>
      <c r="E211" s="20" t="n">
        <v>1285</v>
      </c>
      <c r="F211" s="20" t="n">
        <v>1279</v>
      </c>
      <c r="G211" s="20" t="n">
        <v>1258</v>
      </c>
      <c r="H211" s="20" t="n">
        <v>1286</v>
      </c>
      <c r="I211" s="20" t="n">
        <v>1117</v>
      </c>
      <c r="J211" s="20" t="n">
        <v>1121</v>
      </c>
      <c r="K211" s="20" t="n">
        <v>1135</v>
      </c>
      <c r="L211" s="20" t="n">
        <v>1175</v>
      </c>
      <c r="V211" s="20" t="n">
        <v>1279</v>
      </c>
      <c r="W211" s="20" t="n">
        <v>1121</v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G212" s="15">
        <f>IF(OR(G211="",C211=""),"",IF(C211&lt;=0,"",IFERROR(G211/C211-1,"")))</f>
        <v/>
      </c>
      <c r="H212" s="15">
        <f>IF(OR(H211="",D211=""),"",IF(D211&lt;=0,"",IFERROR(H211/D211-1,"")))</f>
        <v/>
      </c>
      <c r="I212" s="15">
        <f>IF(OR(I211="",E211=""),"",IF(E211&lt;=0,"",IFERROR(I211/E211-1,"")))</f>
        <v/>
      </c>
      <c r="J212" s="15">
        <f>IF(OR(J211="",F211=""),"",IF(F211&lt;=0,"",IFERROR(J211/F211-1,"")))</f>
        <v/>
      </c>
      <c r="K212" s="15">
        <f>IF(OR(K211="",G211=""),"",IF(G211&lt;=0,"",IFERROR(K211/G211-1,"")))</f>
        <v/>
      </c>
      <c r="L212" s="15">
        <f>IF(OR(L211="",H211=""),"",IF(H211&lt;=0,"",IFERROR(L211/H211-1,"")))</f>
        <v/>
      </c>
      <c r="V212" s="15">
        <f>IF(OR(V211="",U211=""),"",IF(U211&lt;=0,"",IFERROR(V211/U211-1,"")))</f>
        <v/>
      </c>
      <c r="W212" s="15">
        <f>IF(OR(W211="",V211=""),"",IF(V211&lt;=0,"",IFERROR(W211/V211-1,"")))</f>
        <v/>
      </c>
    </row>
    <row r="213">
      <c r="A213" s="18" t="inlineStr">
        <is>
          <t>보고부문 합계 · 계</t>
        </is>
      </c>
      <c r="C213" s="20" t="n">
        <v>3783</v>
      </c>
      <c r="D213" s="20" t="n">
        <v>4845</v>
      </c>
      <c r="E213" s="20" t="n">
        <v>4806</v>
      </c>
      <c r="F213" s="20" t="n">
        <v>4562</v>
      </c>
      <c r="G213" s="20" t="n">
        <v>5886</v>
      </c>
      <c r="H213" s="20" t="n">
        <v>6836</v>
      </c>
      <c r="I213" s="20" t="n">
        <v>6607</v>
      </c>
      <c r="J213" s="20" t="n">
        <v>4896</v>
      </c>
      <c r="K213" s="20" t="n">
        <v>5427</v>
      </c>
      <c r="L213" s="20" t="n">
        <v>4944</v>
      </c>
      <c r="M213" s="20" t="n">
        <v>5341</v>
      </c>
      <c r="N213" s="20" t="n">
        <v>6156</v>
      </c>
      <c r="V213" s="20" t="n">
        <v>4562</v>
      </c>
      <c r="W213" s="20" t="n">
        <v>4896</v>
      </c>
      <c r="X213" s="20" t="n">
        <v>6156</v>
      </c>
    </row>
    <row r="214">
      <c r="A214" s="43" t="inlineStr">
        <is>
          <t>YoY</t>
        </is>
      </c>
      <c r="B214" s="3" t="inlineStr">
        <is>
          <t>전년 같은 분기·전년 대비</t>
        </is>
      </c>
      <c r="G214" s="15">
        <f>IF(OR(G213="",C213=""),"",IF(C213&lt;=0,"",IFERROR(G213/C213-1,"")))</f>
        <v/>
      </c>
      <c r="H214" s="15">
        <f>IF(OR(H213="",D213=""),"",IF(D213&lt;=0,"",IFERROR(H213/D213-1,"")))</f>
        <v/>
      </c>
      <c r="I214" s="15">
        <f>IF(OR(I213="",E213=""),"",IF(E213&lt;=0,"",IFERROR(I213/E213-1,"")))</f>
        <v/>
      </c>
      <c r="J214" s="15">
        <f>IF(OR(J213="",F213=""),"",IF(F213&lt;=0,"",IFERROR(J213/F213-1,"")))</f>
        <v/>
      </c>
      <c r="K214" s="15">
        <f>IF(OR(K213="",G213=""),"",IF(G213&lt;=0,"",IFERROR(K213/G213-1,"")))</f>
        <v/>
      </c>
      <c r="L214" s="15">
        <f>IF(OR(L213="",H213=""),"",IF(H213&lt;=0,"",IFERROR(L213/H213-1,"")))</f>
        <v/>
      </c>
      <c r="M214" s="15">
        <f>IF(OR(M213="",I213=""),"",IF(I213&lt;=0,"",IFERROR(M213/I213-1,"")))</f>
        <v/>
      </c>
      <c r="N214" s="15">
        <f>IF(OR(N213="",J213=""),"",IF(J213&lt;=0,"",IFERROR(N213/J213-1,"")))</f>
        <v/>
      </c>
      <c r="V214" s="15">
        <f>IF(OR(V213="",U213=""),"",IF(U213&lt;=0,"",IFERROR(V213/U213-1,"")))</f>
        <v/>
      </c>
      <c r="W214" s="15">
        <f>IF(OR(W213="",V213=""),"",IF(V213&lt;=0,"",IFERROR(W213/V213-1,"")))</f>
        <v/>
      </c>
      <c r="X214" s="15">
        <f>IF(OR(X213="",W213=""),"",IF(W213&lt;=0,"",IFERROR(X213/W213-1,"")))</f>
        <v/>
      </c>
    </row>
    <row r="215">
      <c r="A215" s="18" t="inlineStr">
        <is>
          <t>OtherReportableSegmentsMember · 계</t>
        </is>
      </c>
      <c r="E215" s="20" t="n">
        <v>65</v>
      </c>
      <c r="I215" s="20" t="n">
        <v>210</v>
      </c>
      <c r="M215" s="20" t="n">
        <v>-337</v>
      </c>
    </row>
    <row r="216">
      <c r="A216" s="43" t="inlineStr">
        <is>
          <t>YoY</t>
        </is>
      </c>
      <c r="B216" s="3" t="inlineStr">
        <is>
          <t>전년 같은 분기·전년 대비</t>
        </is>
      </c>
      <c r="I216" s="15">
        <f>IF(OR(I215="",E215=""),"",IF(E215&lt;=0,"",IFERROR(I215/E215-1,"")))</f>
        <v/>
      </c>
      <c r="M216" s="15">
        <f>IF(OR(M215="",I215=""),"",IF(I215&lt;=0,"",IFERROR(M215/I215-1,"")))</f>
        <v/>
      </c>
    </row>
    <row r="217">
      <c r="A217" s="18" t="inlineStr">
        <is>
          <t>기타 · 계</t>
        </is>
      </c>
      <c r="C217" s="20" t="n">
        <v>0</v>
      </c>
      <c r="G217" s="20" t="n">
        <v>158</v>
      </c>
      <c r="K217" s="20" t="n">
        <v>156</v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G218" s="15">
        <f>IF(OR(G217="",C217=""),"",IF(C217&lt;=0,"",IFERROR(G217/C217-1,"")))</f>
        <v/>
      </c>
      <c r="K218" s="15">
        <f>IF(OR(K217="",G217=""),"",IF(G217&lt;=0,"",IFERROR(K217/G217-1,"")))</f>
        <v/>
      </c>
    </row>
    <row r="219">
      <c r="A219" s="18" t="inlineStr">
        <is>
          <t>합계 · 계</t>
        </is>
      </c>
      <c r="C219" s="20" t="n">
        <v>3783</v>
      </c>
      <c r="D219" s="20" t="n">
        <v>4850</v>
      </c>
      <c r="E219" s="20" t="n">
        <v>4871</v>
      </c>
      <c r="F219" s="20" t="n">
        <v>4736</v>
      </c>
      <c r="G219" s="20" t="n">
        <v>6045</v>
      </c>
      <c r="H219" s="20" t="n">
        <v>7017</v>
      </c>
      <c r="I219" s="20" t="n">
        <v>6268</v>
      </c>
      <c r="J219" s="20" t="n">
        <v>4897</v>
      </c>
      <c r="K219" s="20" t="n">
        <v>5583</v>
      </c>
      <c r="L219" s="20" t="n">
        <v>5125</v>
      </c>
      <c r="M219" s="20" t="n">
        <v>5004</v>
      </c>
      <c r="N219" s="20" t="n">
        <v>6156</v>
      </c>
      <c r="V219" s="20" t="n">
        <v>4736</v>
      </c>
      <c r="W219" s="20" t="n">
        <v>4897</v>
      </c>
      <c r="X219" s="20" t="n">
        <v>6156</v>
      </c>
    </row>
    <row r="220">
      <c r="A220" s="43" t="inlineStr">
        <is>
          <t>YoY</t>
        </is>
      </c>
      <c r="B220" s="3" t="inlineStr">
        <is>
          <t>전년 같은 분기·전년 대비</t>
        </is>
      </c>
      <c r="G220" s="15">
        <f>IF(OR(G219="",C219=""),"",IF(C219&lt;=0,"",IFERROR(G219/C219-1,"")))</f>
        <v/>
      </c>
      <c r="H220" s="15">
        <f>IF(OR(H219="",D219=""),"",IF(D219&lt;=0,"",IFERROR(H219/D219-1,"")))</f>
        <v/>
      </c>
      <c r="I220" s="15">
        <f>IF(OR(I219="",E219=""),"",IF(E219&lt;=0,"",IFERROR(I219/E219-1,"")))</f>
        <v/>
      </c>
      <c r="J220" s="15">
        <f>IF(OR(J219="",F219=""),"",IF(F219&lt;=0,"",IFERROR(J219/F219-1,"")))</f>
        <v/>
      </c>
      <c r="K220" s="15">
        <f>IF(OR(K219="",G219=""),"",IF(G219&lt;=0,"",IFERROR(K219/G219-1,"")))</f>
        <v/>
      </c>
      <c r="L220" s="15">
        <f>IF(OR(L219="",H219=""),"",IF(H219&lt;=0,"",IFERROR(L219/H219-1,"")))</f>
        <v/>
      </c>
      <c r="M220" s="15">
        <f>IF(OR(M219="",I219=""),"",IF(I219&lt;=0,"",IFERROR(M219/I219-1,"")))</f>
        <v/>
      </c>
      <c r="N220" s="15">
        <f>IF(OR(N219="",J219=""),"",IF(J219&lt;=0,"",IFERROR(N219/J219-1,"")))</f>
        <v/>
      </c>
      <c r="V220" s="15">
        <f>IF(OR(V219="",U219=""),"",IF(U219&lt;=0,"",IFERROR(V219/U219-1,"")))</f>
        <v/>
      </c>
      <c r="W220" s="15">
        <f>IF(OR(W219="",V219=""),"",IF(V219&lt;=0,"",IFERROR(W219/V219-1,"")))</f>
        <v/>
      </c>
      <c r="X220" s="15">
        <f>IF(OR(X219="",W219=""),"",IF(W219&lt;=0,"",IFERROR(X219/W219-1,"")))</f>
        <v/>
      </c>
    </row>
    <row r="221">
      <c r="A221" s="18" t="inlineStr">
        <is>
          <t>조정액 · 계</t>
        </is>
      </c>
      <c r="C221" s="20" t="n">
        <v>-61</v>
      </c>
      <c r="D221" s="20" t="n">
        <v>-154</v>
      </c>
      <c r="E221" s="20" t="n">
        <v>-136</v>
      </c>
      <c r="F221" s="20" t="n">
        <v>-194</v>
      </c>
      <c r="G221" s="20" t="n">
        <v>-424</v>
      </c>
      <c r="H221" s="20" t="n">
        <v>-449</v>
      </c>
      <c r="I221" s="20" t="n">
        <v>-186</v>
      </c>
      <c r="J221" s="20" t="n">
        <v>-129</v>
      </c>
      <c r="K221" s="20" t="n">
        <v>-67</v>
      </c>
      <c r="L221" s="20" t="n">
        <v>-49</v>
      </c>
      <c r="M221" s="20" t="n">
        <v>-119</v>
      </c>
      <c r="N221" s="20" t="n">
        <v>-120</v>
      </c>
      <c r="V221" s="20" t="n">
        <v>-194</v>
      </c>
      <c r="W221" s="20" t="n">
        <v>-129</v>
      </c>
      <c r="X221" s="20" t="n">
        <v>-120</v>
      </c>
    </row>
    <row r="222">
      <c r="A222" s="9" t="inlineStr">
        <is>
          <t>계</t>
        </is>
      </c>
      <c r="C222" s="12" t="n">
        <v>3721</v>
      </c>
      <c r="D222" s="12" t="n">
        <v>4697</v>
      </c>
      <c r="E222" s="12" t="n">
        <v>4734</v>
      </c>
      <c r="F222" s="12" t="n">
        <v>4542</v>
      </c>
      <c r="G222" s="12" t="n">
        <v>5620</v>
      </c>
      <c r="H222" s="12" t="n">
        <v>6569</v>
      </c>
      <c r="I222" s="12" t="n">
        <v>6080</v>
      </c>
      <c r="J222" s="12" t="n">
        <v>4768</v>
      </c>
      <c r="K222" s="12" t="n">
        <v>5516</v>
      </c>
      <c r="L222" s="12" t="n">
        <v>5076</v>
      </c>
      <c r="M222" s="12" t="n">
        <v>4884</v>
      </c>
      <c r="N222" s="12" t="n">
        <v>6036</v>
      </c>
      <c r="V222" s="12" t="n">
        <v>4542</v>
      </c>
      <c r="W222" s="12" t="n">
        <v>4768</v>
      </c>
      <c r="X222" s="12" t="n">
        <v>6036</v>
      </c>
    </row>
    <row r="223">
      <c r="A223" s="43" t="inlineStr">
        <is>
          <t>YoY</t>
        </is>
      </c>
      <c r="B223" s="3" t="inlineStr">
        <is>
          <t>전년 같은 분기·전년 대비</t>
        </is>
      </c>
      <c r="G223" s="15">
        <f>IF(OR(G222="",C222=""),"",IF(C222&lt;=0,"",IFERROR(G222/C222-1,"")))</f>
        <v/>
      </c>
      <c r="H223" s="15">
        <f>IF(OR(H222="",D222=""),"",IF(D222&lt;=0,"",IFERROR(H222/D222-1,"")))</f>
        <v/>
      </c>
      <c r="I223" s="15">
        <f>IF(OR(I222="",E222=""),"",IF(E222&lt;=0,"",IFERROR(I222/E222-1,"")))</f>
        <v/>
      </c>
      <c r="J223" s="15">
        <f>IF(OR(J222="",F222=""),"",IF(F222&lt;=0,"",IFERROR(J222/F222-1,"")))</f>
        <v/>
      </c>
      <c r="K223" s="15">
        <f>IF(OR(K222="",G222=""),"",IF(G222&lt;=0,"",IFERROR(K222/G222-1,"")))</f>
        <v/>
      </c>
      <c r="L223" s="15">
        <f>IF(OR(L222="",H222=""),"",IF(H222&lt;=0,"",IFERROR(L222/H222-1,"")))</f>
        <v/>
      </c>
      <c r="M223" s="15">
        <f>IF(OR(M222="",I222=""),"",IF(I222&lt;=0,"",IFERROR(M222/I222-1,"")))</f>
        <v/>
      </c>
      <c r="N223" s="15">
        <f>IF(OR(N222="",J222=""),"",IF(J222&lt;=0,"",IFERROR(N222/J222-1,"")))</f>
        <v/>
      </c>
      <c r="V223" s="15">
        <f>IF(OR(V222="",U222=""),"",IF(U222&lt;=0,"",IFERROR(V222/U222-1,"")))</f>
        <v/>
      </c>
      <c r="W223" s="15">
        <f>IF(OR(W222="",V222=""),"",IF(V222&lt;=0,"",IFERROR(W222/V222-1,"")))</f>
        <v/>
      </c>
      <c r="X223" s="15">
        <f>IF(OR(X222="",W222=""),"",IF(W222&lt;=0,"",IFERROR(X222/W222-1,"")))</f>
        <v/>
      </c>
    </row>
    <row r="224">
      <c r="A224" s="18" t="inlineStr">
        <is>
          <t>금속 가공 사업 · 부문 이익(손실)</t>
        </is>
      </c>
      <c r="C224" s="20" t="n">
        <v>398</v>
      </c>
      <c r="D224" s="20" t="n">
        <v>428</v>
      </c>
      <c r="E224" s="20" t="n">
        <v>337</v>
      </c>
      <c r="F224" s="20" t="n">
        <v>166</v>
      </c>
      <c r="G224" s="20" t="n">
        <v>282</v>
      </c>
      <c r="H224" s="20" t="n">
        <v>459</v>
      </c>
      <c r="I224" s="20" t="n">
        <v>271</v>
      </c>
      <c r="J224" s="20" t="n">
        <v>85</v>
      </c>
      <c r="K224" s="20" t="n">
        <v>129</v>
      </c>
      <c r="L224" s="20" t="n">
        <v>116</v>
      </c>
      <c r="M224" s="20" t="n">
        <v>229</v>
      </c>
      <c r="N224" s="20" t="n">
        <v>224</v>
      </c>
      <c r="V224" s="20" t="n">
        <v>166</v>
      </c>
      <c r="W224" s="20" t="n">
        <v>85</v>
      </c>
      <c r="X224" s="20" t="n">
        <v>224</v>
      </c>
    </row>
    <row r="225">
      <c r="A225" s="43" t="inlineStr">
        <is>
          <t>OPM</t>
        </is>
      </c>
      <c r="B225" s="3" t="inlineStr">
        <is>
          <t>영업이익 ÷ 매출</t>
        </is>
      </c>
      <c r="C225" s="15">
        <f>IF(OR(C224="",C203=""),"",IF(C203&lt;=0,"",IFERROR(C224/C203,"")))</f>
        <v/>
      </c>
      <c r="D225" s="15">
        <f>IF(OR(D224="",D203=""),"",IF(D203&lt;=0,"",IFERROR(D224/D203,"")))</f>
        <v/>
      </c>
      <c r="E225" s="15">
        <f>IF(OR(E224="",E203=""),"",IF(E203&lt;=0,"",IFERROR(E224/E203,"")))</f>
        <v/>
      </c>
      <c r="F225" s="15">
        <f>IF(OR(F224="",F203=""),"",IF(F203&lt;=0,"",IFERROR(F224/F203,"")))</f>
        <v/>
      </c>
      <c r="G225" s="15">
        <f>IF(OR(G224="",G203=""),"",IF(G203&lt;=0,"",IFERROR(G224/G203,"")))</f>
        <v/>
      </c>
      <c r="H225" s="15">
        <f>IF(OR(H224="",H203=""),"",IF(H203&lt;=0,"",IFERROR(H224/H203,"")))</f>
        <v/>
      </c>
      <c r="I225" s="15">
        <f>IF(OR(I224="",I203=""),"",IF(I203&lt;=0,"",IFERROR(I224/I203,"")))</f>
        <v/>
      </c>
      <c r="J225" s="15">
        <f>IF(OR(J224="",J203=""),"",IF(J203&lt;=0,"",IFERROR(J224/J203,"")))</f>
        <v/>
      </c>
      <c r="K225" s="15">
        <f>IF(OR(K224="",K203=""),"",IF(K203&lt;=0,"",IFERROR(K224/K203,"")))</f>
        <v/>
      </c>
      <c r="L225" s="15">
        <f>IF(OR(L224="",L203=""),"",IF(L203&lt;=0,"",IFERROR(L224/L203,"")))</f>
        <v/>
      </c>
      <c r="M225" s="15">
        <f>IF(OR(M224="",M203=""),"",IF(M203&lt;=0,"",IFERROR(M224/M203,"")))</f>
        <v/>
      </c>
      <c r="N225" s="15">
        <f>IF(OR(N224="",N203=""),"",IF(N203&lt;=0,"",IFERROR(N224/N203,"")))</f>
        <v/>
      </c>
      <c r="V225" s="15">
        <f>IF(OR(V224="",V203=""),"",IF(V203&lt;=0,"",IFERROR(V224/V203,"")))</f>
        <v/>
      </c>
      <c r="W225" s="15">
        <f>IF(OR(W224="",W203=""),"",IF(W203&lt;=0,"",IFERROR(W224/W203,"")))</f>
        <v/>
      </c>
      <c r="X225" s="15">
        <f>IF(OR(X224="",X203=""),"",IF(X203&lt;=0,"",IFERROR(X224/X203,"")))</f>
        <v/>
      </c>
    </row>
    <row r="226">
      <c r="A226" s="43" t="inlineStr">
        <is>
          <t>YoY</t>
        </is>
      </c>
      <c r="B226" s="3" t="inlineStr">
        <is>
          <t>전년 같은 분기·전년 대비</t>
        </is>
      </c>
      <c r="G226" s="15">
        <f>IF(OR(G224="",C224=""),"",IF(C224&lt;=0,"",IFERROR(G224/C224-1,"")))</f>
        <v/>
      </c>
      <c r="H226" s="15">
        <f>IF(OR(H224="",D224=""),"",IF(D224&lt;=0,"",IFERROR(H224/D224-1,"")))</f>
        <v/>
      </c>
      <c r="I226" s="15">
        <f>IF(OR(I224="",E224=""),"",IF(E224&lt;=0,"",IFERROR(I224/E224-1,"")))</f>
        <v/>
      </c>
      <c r="J226" s="15">
        <f>IF(OR(J224="",F224=""),"",IF(F224&lt;=0,"",IFERROR(J224/F224-1,"")))</f>
        <v/>
      </c>
      <c r="K226" s="15">
        <f>IF(OR(K224="",G224=""),"",IF(G224&lt;=0,"",IFERROR(K224/G224-1,"")))</f>
        <v/>
      </c>
      <c r="L226" s="15">
        <f>IF(OR(L224="",H224=""),"",IF(H224&lt;=0,"",IFERROR(L224/H224-1,"")))</f>
        <v/>
      </c>
      <c r="M226" s="15">
        <f>IF(OR(M224="",I224=""),"",IF(I224&lt;=0,"",IFERROR(M224/I224-1,"")))</f>
        <v/>
      </c>
      <c r="N226" s="15">
        <f>IF(OR(N224="",J224=""),"",IF(J224&lt;=0,"",IFERROR(N224/J224-1,"")))</f>
        <v/>
      </c>
      <c r="V226" s="15">
        <f>IF(OR(V224="",U224=""),"",IF(U224&lt;=0,"",IFERROR(V224/U224-1,"")))</f>
        <v/>
      </c>
      <c r="W226" s="15">
        <f>IF(OR(W224="",V224=""),"",IF(V224&lt;=0,"",IFERROR(W224/V224-1,"")))</f>
        <v/>
      </c>
      <c r="X226" s="15">
        <f>IF(OR(X224="",W224=""),"",IF(W224&lt;=0,"",IFERROR(X224/W224-1,"")))</f>
        <v/>
      </c>
    </row>
    <row r="227">
      <c r="A227" s="18" t="inlineStr">
        <is>
          <t>고무 가공 사업 · 부문 이익(손실)</t>
        </is>
      </c>
      <c r="C227" s="20" t="n">
        <v>29</v>
      </c>
      <c r="D227" s="20" t="n">
        <v>27</v>
      </c>
      <c r="E227" s="20" t="n">
        <v>35</v>
      </c>
      <c r="F227" s="20" t="n">
        <v>24</v>
      </c>
      <c r="V227" s="20" t="n">
        <v>24</v>
      </c>
    </row>
    <row r="228">
      <c r="A228" s="43" t="inlineStr">
        <is>
          <t>OPM</t>
        </is>
      </c>
      <c r="B228" s="3" t="inlineStr">
        <is>
          <t>영업이익 ÷ 매출</t>
        </is>
      </c>
      <c r="C228" s="15">
        <f>IF(OR(C227="",C205=""),"",IF(C205&lt;=0,"",IFERROR(C227/C205,"")))</f>
        <v/>
      </c>
      <c r="D228" s="15">
        <f>IF(OR(D227="",D205=""),"",IF(D205&lt;=0,"",IFERROR(D227/D205,"")))</f>
        <v/>
      </c>
      <c r="E228" s="15">
        <f>IF(OR(E227="",E205=""),"",IF(E205&lt;=0,"",IFERROR(E227/E205,"")))</f>
        <v/>
      </c>
      <c r="F228" s="15">
        <f>IF(OR(F227="",F205=""),"",IF(F205&lt;=0,"",IFERROR(F227/F205,"")))</f>
        <v/>
      </c>
      <c r="V228" s="15">
        <f>IF(OR(V227="",V205=""),"",IF(V205&lt;=0,"",IFERROR(V227/V205,"")))</f>
        <v/>
      </c>
    </row>
    <row r="229">
      <c r="A229" s="43" t="inlineStr">
        <is>
          <t>YoY</t>
        </is>
      </c>
      <c r="B229" s="3" t="inlineStr">
        <is>
          <t>전년 같은 분기·전년 대비</t>
        </is>
      </c>
      <c r="V229" s="15">
        <f>IF(OR(V227="",U227=""),"",IF(U227&lt;=0,"",IFERROR(V227/U227-1,"")))</f>
        <v/>
      </c>
    </row>
    <row r="230">
      <c r="A230" s="18" t="inlineStr">
        <is>
          <t>화성품 사업 · 부문 이익(손실)</t>
        </is>
      </c>
      <c r="G230" s="20" t="n">
        <v>15</v>
      </c>
      <c r="H230" s="20" t="n">
        <v>115</v>
      </c>
      <c r="I230" s="20" t="n">
        <v>38</v>
      </c>
      <c r="J230" s="20" t="n">
        <v>35</v>
      </c>
      <c r="K230" s="20" t="n">
        <v>90</v>
      </c>
      <c r="L230" s="20" t="n">
        <v>70</v>
      </c>
      <c r="M230" s="20" t="n">
        <v>60</v>
      </c>
      <c r="N230" s="20" t="n">
        <v>64</v>
      </c>
      <c r="W230" s="20" t="n">
        <v>35</v>
      </c>
      <c r="X230" s="20" t="n">
        <v>64</v>
      </c>
    </row>
    <row r="231">
      <c r="A231" s="43" t="inlineStr">
        <is>
          <t>OPM</t>
        </is>
      </c>
      <c r="B231" s="3" t="inlineStr">
        <is>
          <t>영업이익 ÷ 매출</t>
        </is>
      </c>
      <c r="G231" s="15">
        <f>IF(OR(G230="",G207=""),"",IF(G207&lt;=0,"",IFERROR(G230/G207,"")))</f>
        <v/>
      </c>
      <c r="H231" s="15">
        <f>IF(OR(H230="",H207=""),"",IF(H207&lt;=0,"",IFERROR(H230/H207,"")))</f>
        <v/>
      </c>
      <c r="I231" s="15">
        <f>IF(OR(I230="",I207=""),"",IF(I207&lt;=0,"",IFERROR(I230/I207,"")))</f>
        <v/>
      </c>
      <c r="J231" s="15">
        <f>IF(OR(J230="",J207=""),"",IF(J207&lt;=0,"",IFERROR(J230/J207,"")))</f>
        <v/>
      </c>
      <c r="K231" s="15">
        <f>IF(OR(K230="",K207=""),"",IF(K207&lt;=0,"",IFERROR(K230/K207,"")))</f>
        <v/>
      </c>
      <c r="L231" s="15">
        <f>IF(OR(L230="",L207=""),"",IF(L207&lt;=0,"",IFERROR(L230/L207,"")))</f>
        <v/>
      </c>
      <c r="M231" s="15">
        <f>IF(OR(M230="",M207=""),"",IF(M207&lt;=0,"",IFERROR(M230/M207,"")))</f>
        <v/>
      </c>
      <c r="N231" s="15">
        <f>IF(OR(N230="",N207=""),"",IF(N207&lt;=0,"",IFERROR(N230/N207,"")))</f>
        <v/>
      </c>
      <c r="W231" s="15">
        <f>IF(OR(W230="",W207=""),"",IF(W207&lt;=0,"",IFERROR(W230/W207,"")))</f>
        <v/>
      </c>
      <c r="X231" s="15">
        <f>IF(OR(X230="",X207=""),"",IF(X207&lt;=0,"",IFERROR(X230/X207,"")))</f>
        <v/>
      </c>
    </row>
    <row r="232">
      <c r="A232" s="43" t="inlineStr">
        <is>
          <t>YoY</t>
        </is>
      </c>
      <c r="B232" s="3" t="inlineStr">
        <is>
          <t>전년 같은 분기·전년 대비</t>
        </is>
      </c>
      <c r="G232" s="15">
        <f>IF(OR(G230="",C230=""),"",IF(C230&lt;=0,"",IFERROR(G230/C230-1,"")))</f>
        <v/>
      </c>
      <c r="H232" s="15">
        <f>IF(OR(H230="",D230=""),"",IF(D230&lt;=0,"",IFERROR(H230/D230-1,"")))</f>
        <v/>
      </c>
      <c r="I232" s="15">
        <f>IF(OR(I230="",E230=""),"",IF(E230&lt;=0,"",IFERROR(I230/E230-1,"")))</f>
        <v/>
      </c>
      <c r="J232" s="15">
        <f>IF(OR(J230="",F230=""),"",IF(F230&lt;=0,"",IFERROR(J230/F230-1,"")))</f>
        <v/>
      </c>
      <c r="K232" s="15">
        <f>IF(OR(K230="",G230=""),"",IF(G230&lt;=0,"",IFERROR(K230/G230-1,"")))</f>
        <v/>
      </c>
      <c r="L232" s="15">
        <f>IF(OR(L230="",H230=""),"",IF(H230&lt;=0,"",IFERROR(L230/H230-1,"")))</f>
        <v/>
      </c>
      <c r="M232" s="15">
        <f>IF(OR(M230="",I230=""),"",IF(I230&lt;=0,"",IFERROR(M230/I230-1,"")))</f>
        <v/>
      </c>
      <c r="N232" s="15">
        <f>IF(OR(N230="",J230=""),"",IF(J230&lt;=0,"",IFERROR(N230/J230-1,"")))</f>
        <v/>
      </c>
      <c r="W232" s="15">
        <f>IF(OR(W230="",V230=""),"",IF(V230&lt;=0,"",IFERROR(W230/V230-1,"")))</f>
        <v/>
      </c>
      <c r="X232" s="15">
        <f>IF(OR(X230="",W230=""),"",IF(W230&lt;=0,"",IFERROR(X230/W230-1,"")))</f>
        <v/>
      </c>
    </row>
    <row r="233">
      <c r="A233" s="18" t="inlineStr">
        <is>
          <t>건설 사업 · 부문 이익(손실)</t>
        </is>
      </c>
      <c r="C233" s="20" t="n">
        <v>-24</v>
      </c>
      <c r="D233" s="20" t="n">
        <v>89</v>
      </c>
      <c r="E233" s="20" t="n">
        <v>126</v>
      </c>
      <c r="F233" s="20" t="n">
        <v>80</v>
      </c>
      <c r="G233" s="20" t="n">
        <v>212</v>
      </c>
      <c r="H233" s="20" t="n">
        <v>66</v>
      </c>
      <c r="I233" s="20" t="n">
        <v>443</v>
      </c>
      <c r="J233" s="20" t="n">
        <v>32</v>
      </c>
      <c r="K233" s="20" t="n">
        <v>66</v>
      </c>
      <c r="L233" s="20" t="n">
        <v>81</v>
      </c>
      <c r="M233" s="20" t="n">
        <v>-102</v>
      </c>
      <c r="N233" s="20" t="n">
        <v>-7</v>
      </c>
      <c r="V233" s="20" t="n">
        <v>80</v>
      </c>
      <c r="W233" s="20" t="n">
        <v>32</v>
      </c>
      <c r="X233" s="20" t="n">
        <v>-7</v>
      </c>
    </row>
    <row r="234">
      <c r="A234" s="43" t="inlineStr">
        <is>
          <t>OPM</t>
        </is>
      </c>
      <c r="B234" s="3" t="inlineStr">
        <is>
          <t>영업이익 ÷ 매출</t>
        </is>
      </c>
      <c r="C234" s="15">
        <f>IF(OR(C233="",C209=""),"",IF(C209&lt;=0,"",IFERROR(C233/C209,"")))</f>
        <v/>
      </c>
      <c r="D234" s="15">
        <f>IF(OR(D233="",D209=""),"",IF(D209&lt;=0,"",IFERROR(D233/D209,"")))</f>
        <v/>
      </c>
      <c r="E234" s="15">
        <f>IF(OR(E233="",E209=""),"",IF(E209&lt;=0,"",IFERROR(E233/E209,"")))</f>
        <v/>
      </c>
      <c r="F234" s="15">
        <f>IF(OR(F233="",F209=""),"",IF(F209&lt;=0,"",IFERROR(F233/F209,"")))</f>
        <v/>
      </c>
      <c r="G234" s="15">
        <f>IF(OR(G233="",G209=""),"",IF(G209&lt;=0,"",IFERROR(G233/G209,"")))</f>
        <v/>
      </c>
      <c r="H234" s="15">
        <f>IF(OR(H233="",H209=""),"",IF(H209&lt;=0,"",IFERROR(H233/H209,"")))</f>
        <v/>
      </c>
      <c r="I234" s="15">
        <f>IF(OR(I233="",I209=""),"",IF(I209&lt;=0,"",IFERROR(I233/I209,"")))</f>
        <v/>
      </c>
      <c r="J234" s="15">
        <f>IF(OR(J233="",J209=""),"",IF(J209&lt;=0,"",IFERROR(J233/J209,"")))</f>
        <v/>
      </c>
      <c r="K234" s="15">
        <f>IF(OR(K233="",K209=""),"",IF(K209&lt;=0,"",IFERROR(K233/K209,"")))</f>
        <v/>
      </c>
      <c r="L234" s="15">
        <f>IF(OR(L233="",L209=""),"",IF(L209&lt;=0,"",IFERROR(L233/L209,"")))</f>
        <v/>
      </c>
      <c r="M234" s="15">
        <f>IF(OR(M233="",M209=""),"",IF(M209&lt;=0,"",IFERROR(M233/M209,"")))</f>
        <v/>
      </c>
      <c r="N234" s="15">
        <f>IF(OR(N233="",N209=""),"",IF(N209&lt;=0,"",IFERROR(N233/N209,"")))</f>
        <v/>
      </c>
      <c r="V234" s="15">
        <f>IF(OR(V233="",V209=""),"",IF(V209&lt;=0,"",IFERROR(V233/V209,"")))</f>
        <v/>
      </c>
      <c r="W234" s="15">
        <f>IF(OR(W233="",W209=""),"",IF(W209&lt;=0,"",IFERROR(W233/W209,"")))</f>
        <v/>
      </c>
      <c r="X234" s="15">
        <f>IF(OR(X233="",X209=""),"",IF(X209&lt;=0,"",IFERROR(X233/X209,"")))</f>
        <v/>
      </c>
    </row>
    <row r="235">
      <c r="A235" s="43" t="inlineStr">
        <is>
          <t>YoY</t>
        </is>
      </c>
      <c r="B235" s="3" t="inlineStr">
        <is>
          <t>전년 같은 분기·전년 대비</t>
        </is>
      </c>
      <c r="G235" s="15">
        <f>IF(OR(G233="",C233=""),"",IF(C233&lt;=0,"",IFERROR(G233/C233-1,"")))</f>
        <v/>
      </c>
      <c r="H235" s="15">
        <f>IF(OR(H233="",D233=""),"",IF(D233&lt;=0,"",IFERROR(H233/D233-1,"")))</f>
        <v/>
      </c>
      <c r="I235" s="15">
        <f>IF(OR(I233="",E233=""),"",IF(E233&lt;=0,"",IFERROR(I233/E233-1,"")))</f>
        <v/>
      </c>
      <c r="J235" s="15">
        <f>IF(OR(J233="",F233=""),"",IF(F233&lt;=0,"",IFERROR(J233/F233-1,"")))</f>
        <v/>
      </c>
      <c r="K235" s="15">
        <f>IF(OR(K233="",G233=""),"",IF(G233&lt;=0,"",IFERROR(K233/G233-1,"")))</f>
        <v/>
      </c>
      <c r="L235" s="15">
        <f>IF(OR(L233="",H233=""),"",IF(H233&lt;=0,"",IFERROR(L233/H233-1,"")))</f>
        <v/>
      </c>
      <c r="M235" s="15">
        <f>IF(OR(M233="",I233=""),"",IF(I233&lt;=0,"",IFERROR(M233/I233-1,"")))</f>
        <v/>
      </c>
      <c r="N235" s="15">
        <f>IF(OR(N233="",J233=""),"",IF(J233&lt;=0,"",IFERROR(N233/J233-1,"")))</f>
        <v/>
      </c>
      <c r="V235" s="15">
        <f>IF(OR(V233="",U233=""),"",IF(U233&lt;=0,"",IFERROR(V233/U233-1,"")))</f>
        <v/>
      </c>
      <c r="W235" s="15">
        <f>IF(OR(W233="",V233=""),"",IF(V233&lt;=0,"",IFERROR(W233/V233-1,"")))</f>
        <v/>
      </c>
      <c r="X235" s="15">
        <f>IF(OR(X233="",W233=""),"",IF(W233&lt;=0,"",IFERROR(X233/W233-1,"")))</f>
        <v/>
      </c>
    </row>
    <row r="236">
      <c r="A236" s="18" t="inlineStr">
        <is>
          <t>타일 사업 · 부문 이익(손실)</t>
        </is>
      </c>
      <c r="C236" s="20" t="n">
        <v>35</v>
      </c>
      <c r="D236" s="20" t="n">
        <v>75</v>
      </c>
      <c r="E236" s="20" t="n">
        <v>13</v>
      </c>
      <c r="F236" s="20" t="n">
        <v>3</v>
      </c>
      <c r="G236" s="20" t="n">
        <v>31</v>
      </c>
      <c r="H236" s="20" t="n">
        <v>42</v>
      </c>
      <c r="I236" s="20" t="n">
        <v>-37</v>
      </c>
      <c r="J236" s="20" t="n">
        <v>-25</v>
      </c>
      <c r="K236" s="20" t="n">
        <v>7</v>
      </c>
      <c r="L236" s="20" t="n">
        <v>16</v>
      </c>
      <c r="V236" s="20" t="n">
        <v>3</v>
      </c>
      <c r="W236" s="20" t="n">
        <v>-25</v>
      </c>
    </row>
    <row r="237">
      <c r="A237" s="43" t="inlineStr">
        <is>
          <t>OPM</t>
        </is>
      </c>
      <c r="B237" s="3" t="inlineStr">
        <is>
          <t>영업이익 ÷ 매출</t>
        </is>
      </c>
      <c r="C237" s="15">
        <f>IF(OR(C236="",C211=""),"",IF(C211&lt;=0,"",IFERROR(C236/C211,"")))</f>
        <v/>
      </c>
      <c r="D237" s="15">
        <f>IF(OR(D236="",D211=""),"",IF(D211&lt;=0,"",IFERROR(D236/D211,"")))</f>
        <v/>
      </c>
      <c r="E237" s="15">
        <f>IF(OR(E236="",E211=""),"",IF(E211&lt;=0,"",IFERROR(E236/E211,"")))</f>
        <v/>
      </c>
      <c r="F237" s="15">
        <f>IF(OR(F236="",F211=""),"",IF(F211&lt;=0,"",IFERROR(F236/F211,"")))</f>
        <v/>
      </c>
      <c r="G237" s="15">
        <f>IF(OR(G236="",G211=""),"",IF(G211&lt;=0,"",IFERROR(G236/G211,"")))</f>
        <v/>
      </c>
      <c r="H237" s="15">
        <f>IF(OR(H236="",H211=""),"",IF(H211&lt;=0,"",IFERROR(H236/H211,"")))</f>
        <v/>
      </c>
      <c r="I237" s="15">
        <f>IF(OR(I236="",I211=""),"",IF(I211&lt;=0,"",IFERROR(I236/I211,"")))</f>
        <v/>
      </c>
      <c r="J237" s="15">
        <f>IF(OR(J236="",J211=""),"",IF(J211&lt;=0,"",IFERROR(J236/J211,"")))</f>
        <v/>
      </c>
      <c r="K237" s="15">
        <f>IF(OR(K236="",K211=""),"",IF(K211&lt;=0,"",IFERROR(K236/K211,"")))</f>
        <v/>
      </c>
      <c r="L237" s="15">
        <f>IF(OR(L236="",L211=""),"",IF(L211&lt;=0,"",IFERROR(L236/L211,"")))</f>
        <v/>
      </c>
      <c r="V237" s="15">
        <f>IF(OR(V236="",V211=""),"",IF(V211&lt;=0,"",IFERROR(V236/V211,"")))</f>
        <v/>
      </c>
      <c r="W237" s="15">
        <f>IF(OR(W236="",W211=""),"",IF(W211&lt;=0,"",IFERROR(W236/W211,"")))</f>
        <v/>
      </c>
    </row>
    <row r="238">
      <c r="A238" s="43" t="inlineStr">
        <is>
          <t>YoY</t>
        </is>
      </c>
      <c r="B238" s="3" t="inlineStr">
        <is>
          <t>전년 같은 분기·전년 대비</t>
        </is>
      </c>
      <c r="G238" s="15">
        <f>IF(OR(G236="",C236=""),"",IF(C236&lt;=0,"",IFERROR(G236/C236-1,"")))</f>
        <v/>
      </c>
      <c r="H238" s="15">
        <f>IF(OR(H236="",D236=""),"",IF(D236&lt;=0,"",IFERROR(H236/D236-1,"")))</f>
        <v/>
      </c>
      <c r="I238" s="15">
        <f>IF(OR(I236="",E236=""),"",IF(E236&lt;=0,"",IFERROR(I236/E236-1,"")))</f>
        <v/>
      </c>
      <c r="J238" s="15">
        <f>IF(OR(J236="",F236=""),"",IF(F236&lt;=0,"",IFERROR(J236/F236-1,"")))</f>
        <v/>
      </c>
      <c r="K238" s="15">
        <f>IF(OR(K236="",G236=""),"",IF(G236&lt;=0,"",IFERROR(K236/G236-1,"")))</f>
        <v/>
      </c>
      <c r="L238" s="15">
        <f>IF(OR(L236="",H236=""),"",IF(H236&lt;=0,"",IFERROR(L236/H236-1,"")))</f>
        <v/>
      </c>
      <c r="V238" s="15">
        <f>IF(OR(V236="",U236=""),"",IF(U236&lt;=0,"",IFERROR(V236/U236-1,"")))</f>
        <v/>
      </c>
      <c r="W238" s="15">
        <f>IF(OR(W236="",V236=""),"",IF(V236&lt;=0,"",IFERROR(W236/V236-1,"")))</f>
        <v/>
      </c>
    </row>
    <row r="239">
      <c r="A239" s="18" t="inlineStr">
        <is>
          <t>보고부문 합계 · 부문 이익(손실)</t>
        </is>
      </c>
      <c r="C239" s="20" t="n">
        <v>438</v>
      </c>
      <c r="D239" s="20" t="n">
        <v>621</v>
      </c>
      <c r="E239" s="20" t="n">
        <v>510</v>
      </c>
      <c r="F239" s="20" t="n">
        <v>274</v>
      </c>
      <c r="G239" s="20" t="n">
        <v>540</v>
      </c>
      <c r="H239" s="20" t="n">
        <v>684</v>
      </c>
      <c r="I239" s="20" t="n">
        <v>611</v>
      </c>
      <c r="J239" s="20" t="n">
        <v>68</v>
      </c>
      <c r="K239" s="20" t="n">
        <v>293</v>
      </c>
      <c r="L239" s="20" t="n">
        <v>285</v>
      </c>
      <c r="M239" s="20" t="n">
        <v>26</v>
      </c>
      <c r="N239" s="20" t="n">
        <v>117</v>
      </c>
      <c r="V239" s="20" t="n">
        <v>274</v>
      </c>
      <c r="W239" s="20" t="n">
        <v>68</v>
      </c>
      <c r="X239" s="20" t="n">
        <v>117</v>
      </c>
    </row>
    <row r="240">
      <c r="A240" s="43" t="inlineStr">
        <is>
          <t>OPM</t>
        </is>
      </c>
      <c r="B240" s="3" t="inlineStr">
        <is>
          <t>영업이익 ÷ 매출</t>
        </is>
      </c>
      <c r="C240" s="15">
        <f>IF(OR(C239="",C213=""),"",IF(C213&lt;=0,"",IFERROR(C239/C213,"")))</f>
        <v/>
      </c>
      <c r="D240" s="15">
        <f>IF(OR(D239="",D213=""),"",IF(D213&lt;=0,"",IFERROR(D239/D213,"")))</f>
        <v/>
      </c>
      <c r="E240" s="15">
        <f>IF(OR(E239="",E213=""),"",IF(E213&lt;=0,"",IFERROR(E239/E213,"")))</f>
        <v/>
      </c>
      <c r="F240" s="15">
        <f>IF(OR(F239="",F213=""),"",IF(F213&lt;=0,"",IFERROR(F239/F213,"")))</f>
        <v/>
      </c>
      <c r="G240" s="15">
        <f>IF(OR(G239="",G213=""),"",IF(G213&lt;=0,"",IFERROR(G239/G213,"")))</f>
        <v/>
      </c>
      <c r="H240" s="15">
        <f>IF(OR(H239="",H213=""),"",IF(H213&lt;=0,"",IFERROR(H239/H213,"")))</f>
        <v/>
      </c>
      <c r="I240" s="15">
        <f>IF(OR(I239="",I213=""),"",IF(I213&lt;=0,"",IFERROR(I239/I213,"")))</f>
        <v/>
      </c>
      <c r="J240" s="15">
        <f>IF(OR(J239="",J213=""),"",IF(J213&lt;=0,"",IFERROR(J239/J213,"")))</f>
        <v/>
      </c>
      <c r="K240" s="15">
        <f>IF(OR(K239="",K213=""),"",IF(K213&lt;=0,"",IFERROR(K239/K213,"")))</f>
        <v/>
      </c>
      <c r="L240" s="15">
        <f>IF(OR(L239="",L213=""),"",IF(L213&lt;=0,"",IFERROR(L239/L213,"")))</f>
        <v/>
      </c>
      <c r="M240" s="15">
        <f>IF(OR(M239="",M213=""),"",IF(M213&lt;=0,"",IFERROR(M239/M213,"")))</f>
        <v/>
      </c>
      <c r="N240" s="15">
        <f>IF(OR(N239="",N213=""),"",IF(N213&lt;=0,"",IFERROR(N239/N213,"")))</f>
        <v/>
      </c>
      <c r="V240" s="15">
        <f>IF(OR(V239="",V213=""),"",IF(V213&lt;=0,"",IFERROR(V239/V213,"")))</f>
        <v/>
      </c>
      <c r="W240" s="15">
        <f>IF(OR(W239="",W213=""),"",IF(W213&lt;=0,"",IFERROR(W239/W213,"")))</f>
        <v/>
      </c>
      <c r="X240" s="15">
        <f>IF(OR(X239="",X213=""),"",IF(X213&lt;=0,"",IFERROR(X239/X213,"")))</f>
        <v/>
      </c>
    </row>
    <row r="241">
      <c r="A241" s="43" t="inlineStr">
        <is>
          <t>YoY</t>
        </is>
      </c>
      <c r="B241" s="3" t="inlineStr">
        <is>
          <t>전년 같은 분기·전년 대비</t>
        </is>
      </c>
      <c r="G241" s="15">
        <f>IF(OR(G239="",C239=""),"",IF(C239&lt;=0,"",IFERROR(G239/C239-1,"")))</f>
        <v/>
      </c>
      <c r="H241" s="15">
        <f>IF(OR(H239="",D239=""),"",IF(D239&lt;=0,"",IFERROR(H239/D239-1,"")))</f>
        <v/>
      </c>
      <c r="I241" s="15">
        <f>IF(OR(I239="",E239=""),"",IF(E239&lt;=0,"",IFERROR(I239/E239-1,"")))</f>
        <v/>
      </c>
      <c r="J241" s="15">
        <f>IF(OR(J239="",F239=""),"",IF(F239&lt;=0,"",IFERROR(J239/F239-1,"")))</f>
        <v/>
      </c>
      <c r="K241" s="15">
        <f>IF(OR(K239="",G239=""),"",IF(G239&lt;=0,"",IFERROR(K239/G239-1,"")))</f>
        <v/>
      </c>
      <c r="L241" s="15">
        <f>IF(OR(L239="",H239=""),"",IF(H239&lt;=0,"",IFERROR(L239/H239-1,"")))</f>
        <v/>
      </c>
      <c r="M241" s="15">
        <f>IF(OR(M239="",I239=""),"",IF(I239&lt;=0,"",IFERROR(M239/I239-1,"")))</f>
        <v/>
      </c>
      <c r="N241" s="15">
        <f>IF(OR(N239="",J239=""),"",IF(J239&lt;=0,"",IFERROR(N239/J239-1,"")))</f>
        <v/>
      </c>
      <c r="V241" s="15">
        <f>IF(OR(V239="",U239=""),"",IF(U239&lt;=0,"",IFERROR(V239/U239-1,"")))</f>
        <v/>
      </c>
      <c r="W241" s="15">
        <f>IF(OR(W239="",V239=""),"",IF(V239&lt;=0,"",IFERROR(W239/V239-1,"")))</f>
        <v/>
      </c>
      <c r="X241" s="15">
        <f>IF(OR(X239="",W239=""),"",IF(W239&lt;=0,"",IFERROR(X239/W239-1,"")))</f>
        <v/>
      </c>
    </row>
    <row r="242">
      <c r="A242" s="18" t="inlineStr">
        <is>
          <t>OtherReportableSegmentsMember · 부문 이익(손실)</t>
        </is>
      </c>
      <c r="E242" s="20" t="n">
        <v>-18</v>
      </c>
      <c r="I242" s="20" t="n">
        <v>-39</v>
      </c>
      <c r="M242" s="20" t="n">
        <v>117</v>
      </c>
    </row>
    <row r="243">
      <c r="A243" s="43" t="inlineStr">
        <is>
          <t>OPM</t>
        </is>
      </c>
      <c r="B243" s="3" t="inlineStr">
        <is>
          <t>영업이익 ÷ 매출</t>
        </is>
      </c>
      <c r="E243" s="15">
        <f>IF(OR(E242="",E215=""),"",IF(E215&lt;=0,"",IFERROR(E242/E215,"")))</f>
        <v/>
      </c>
      <c r="I243" s="15">
        <f>IF(OR(I242="",I215=""),"",IF(I215&lt;=0,"",IFERROR(I242/I215,"")))</f>
        <v/>
      </c>
      <c r="M243" s="15">
        <f>IF(OR(M242="",M215=""),"",IF(M215&lt;=0,"",IFERROR(M242/M215,"")))</f>
        <v/>
      </c>
    </row>
    <row r="244">
      <c r="A244" s="43" t="inlineStr">
        <is>
          <t>YoY</t>
        </is>
      </c>
      <c r="B244" s="3" t="inlineStr">
        <is>
          <t>전년 같은 분기·전년 대비</t>
        </is>
      </c>
      <c r="I244" s="15">
        <f>IF(OR(I242="",E242=""),"",IF(E242&lt;=0,"",IFERROR(I242/E242-1,"")))</f>
        <v/>
      </c>
      <c r="M244" s="15">
        <f>IF(OR(M242="",I242=""),"",IF(I242&lt;=0,"",IFERROR(M242/I242-1,"")))</f>
        <v/>
      </c>
    </row>
    <row r="245">
      <c r="A245" s="18" t="inlineStr">
        <is>
          <t>기타 · 부문 이익(손실)</t>
        </is>
      </c>
      <c r="C245" s="20" t="n">
        <v>-7</v>
      </c>
      <c r="G245" s="20" t="n">
        <v>-31</v>
      </c>
      <c r="K245" s="20" t="n">
        <v>-68</v>
      </c>
    </row>
    <row r="246">
      <c r="A246" s="43" t="inlineStr">
        <is>
          <t>OPM</t>
        </is>
      </c>
      <c r="B246" s="3" t="inlineStr">
        <is>
          <t>영업이익 ÷ 매출</t>
        </is>
      </c>
      <c r="C246" s="15">
        <f>IF(OR(C245="",C217=""),"",IF(C217&lt;=0,"",IFERROR(C245/C217,"")))</f>
        <v/>
      </c>
      <c r="G246" s="15">
        <f>IF(OR(G245="",G217=""),"",IF(G217&lt;=0,"",IFERROR(G245/G217,"")))</f>
        <v/>
      </c>
      <c r="K246" s="15">
        <f>IF(OR(K245="",K217=""),"",IF(K217&lt;=0,"",IFERROR(K245/K217,"")))</f>
        <v/>
      </c>
    </row>
    <row r="247">
      <c r="A247" s="43" t="inlineStr">
        <is>
          <t>YoY</t>
        </is>
      </c>
      <c r="B247" s="3" t="inlineStr">
        <is>
          <t>전년 같은 분기·전년 대비</t>
        </is>
      </c>
      <c r="G247" s="15">
        <f>IF(OR(G245="",C245=""),"",IF(C245&lt;=0,"",IFERROR(G245/C245-1,"")))</f>
        <v/>
      </c>
      <c r="K247" s="15">
        <f>IF(OR(K245="",G245=""),"",IF(G245&lt;=0,"",IFERROR(K245/G245-1,"")))</f>
        <v/>
      </c>
    </row>
    <row r="248">
      <c r="A248" s="18" t="inlineStr">
        <is>
          <t>합계 · 부문 이익(손실)</t>
        </is>
      </c>
      <c r="C248" s="20" t="n">
        <v>431</v>
      </c>
      <c r="D248" s="20" t="n">
        <v>612</v>
      </c>
      <c r="E248" s="20" t="n">
        <v>492</v>
      </c>
      <c r="F248" s="20" t="n">
        <v>255</v>
      </c>
      <c r="G248" s="20" t="n">
        <v>509</v>
      </c>
      <c r="H248" s="20" t="n">
        <v>652</v>
      </c>
      <c r="I248" s="20" t="n">
        <v>674</v>
      </c>
      <c r="J248" s="20" t="n">
        <v>101</v>
      </c>
      <c r="K248" s="20" t="n">
        <v>225</v>
      </c>
      <c r="L248" s="20" t="n">
        <v>231</v>
      </c>
      <c r="M248" s="20" t="n">
        <v>144</v>
      </c>
      <c r="N248" s="20" t="n">
        <v>117</v>
      </c>
      <c r="V248" s="20" t="n">
        <v>255</v>
      </c>
      <c r="W248" s="20" t="n">
        <v>101</v>
      </c>
      <c r="X248" s="20" t="n">
        <v>117</v>
      </c>
    </row>
    <row r="249">
      <c r="A249" s="43" t="inlineStr">
        <is>
          <t>OPM</t>
        </is>
      </c>
      <c r="B249" s="3" t="inlineStr">
        <is>
          <t>영업이익 ÷ 매출</t>
        </is>
      </c>
      <c r="C249" s="15">
        <f>IF(OR(C248="",C219=""),"",IF(C219&lt;=0,"",IFERROR(C248/C219,"")))</f>
        <v/>
      </c>
      <c r="D249" s="15">
        <f>IF(OR(D248="",D219=""),"",IF(D219&lt;=0,"",IFERROR(D248/D219,"")))</f>
        <v/>
      </c>
      <c r="E249" s="15">
        <f>IF(OR(E248="",E219=""),"",IF(E219&lt;=0,"",IFERROR(E248/E219,"")))</f>
        <v/>
      </c>
      <c r="F249" s="15">
        <f>IF(OR(F248="",F219=""),"",IF(F219&lt;=0,"",IFERROR(F248/F219,"")))</f>
        <v/>
      </c>
      <c r="G249" s="15">
        <f>IF(OR(G248="",G219=""),"",IF(G219&lt;=0,"",IFERROR(G248/G219,"")))</f>
        <v/>
      </c>
      <c r="H249" s="15">
        <f>IF(OR(H248="",H219=""),"",IF(H219&lt;=0,"",IFERROR(H248/H219,"")))</f>
        <v/>
      </c>
      <c r="I249" s="15">
        <f>IF(OR(I248="",I219=""),"",IF(I219&lt;=0,"",IFERROR(I248/I219,"")))</f>
        <v/>
      </c>
      <c r="J249" s="15">
        <f>IF(OR(J248="",J219=""),"",IF(J219&lt;=0,"",IFERROR(J248/J219,"")))</f>
        <v/>
      </c>
      <c r="K249" s="15">
        <f>IF(OR(K248="",K219=""),"",IF(K219&lt;=0,"",IFERROR(K248/K219,"")))</f>
        <v/>
      </c>
      <c r="L249" s="15">
        <f>IF(OR(L248="",L219=""),"",IF(L219&lt;=0,"",IFERROR(L248/L219,"")))</f>
        <v/>
      </c>
      <c r="M249" s="15">
        <f>IF(OR(M248="",M219=""),"",IF(M219&lt;=0,"",IFERROR(M248/M219,"")))</f>
        <v/>
      </c>
      <c r="N249" s="15">
        <f>IF(OR(N248="",N219=""),"",IF(N219&lt;=0,"",IFERROR(N248/N219,"")))</f>
        <v/>
      </c>
      <c r="V249" s="15">
        <f>IF(OR(V248="",V219=""),"",IF(V219&lt;=0,"",IFERROR(V248/V219,"")))</f>
        <v/>
      </c>
      <c r="W249" s="15">
        <f>IF(OR(W248="",W219=""),"",IF(W219&lt;=0,"",IFERROR(W248/W219,"")))</f>
        <v/>
      </c>
      <c r="X249" s="15">
        <f>IF(OR(X248="",X219=""),"",IF(X219&lt;=0,"",IFERROR(X248/X219,"")))</f>
        <v/>
      </c>
    </row>
    <row r="250">
      <c r="A250" s="43" t="inlineStr">
        <is>
          <t>YoY</t>
        </is>
      </c>
      <c r="B250" s="3" t="inlineStr">
        <is>
          <t>전년 같은 분기·전년 대비</t>
        </is>
      </c>
      <c r="G250" s="15">
        <f>IF(OR(G248="",C248=""),"",IF(C248&lt;=0,"",IFERROR(G248/C248-1,"")))</f>
        <v/>
      </c>
      <c r="H250" s="15">
        <f>IF(OR(H248="",D248=""),"",IF(D248&lt;=0,"",IFERROR(H248/D248-1,"")))</f>
        <v/>
      </c>
      <c r="I250" s="15">
        <f>IF(OR(I248="",E248=""),"",IF(E248&lt;=0,"",IFERROR(I248/E248-1,"")))</f>
        <v/>
      </c>
      <c r="J250" s="15">
        <f>IF(OR(J248="",F248=""),"",IF(F248&lt;=0,"",IFERROR(J248/F248-1,"")))</f>
        <v/>
      </c>
      <c r="K250" s="15">
        <f>IF(OR(K248="",G248=""),"",IF(G248&lt;=0,"",IFERROR(K248/G248-1,"")))</f>
        <v/>
      </c>
      <c r="L250" s="15">
        <f>IF(OR(L248="",H248=""),"",IF(H248&lt;=0,"",IFERROR(L248/H248-1,"")))</f>
        <v/>
      </c>
      <c r="M250" s="15">
        <f>IF(OR(M248="",I248=""),"",IF(I248&lt;=0,"",IFERROR(M248/I248-1,"")))</f>
        <v/>
      </c>
      <c r="N250" s="15">
        <f>IF(OR(N248="",J248=""),"",IF(J248&lt;=0,"",IFERROR(N248/J248-1,"")))</f>
        <v/>
      </c>
      <c r="V250" s="15">
        <f>IF(OR(V248="",U248=""),"",IF(U248&lt;=0,"",IFERROR(V248/U248-1,"")))</f>
        <v/>
      </c>
      <c r="W250" s="15">
        <f>IF(OR(W248="",V248=""),"",IF(V248&lt;=0,"",IFERROR(W248/V248-1,"")))</f>
        <v/>
      </c>
      <c r="X250" s="15">
        <f>IF(OR(X248="",W248=""),"",IF(W248&lt;=0,"",IFERROR(X248/W248-1,"")))</f>
        <v/>
      </c>
    </row>
    <row r="251">
      <c r="A251" s="18" t="inlineStr">
        <is>
          <t>조정액 · 부문 이익(손실)</t>
        </is>
      </c>
      <c r="C251" s="20" t="n">
        <v>-91</v>
      </c>
      <c r="D251" s="20" t="n">
        <v>-138</v>
      </c>
      <c r="E251" s="20" t="n">
        <v>-137</v>
      </c>
      <c r="F251" s="20" t="n">
        <v>-148</v>
      </c>
      <c r="G251" s="20" t="n">
        <v>-124</v>
      </c>
      <c r="H251" s="20" t="n">
        <v>-174</v>
      </c>
      <c r="I251" s="20" t="n">
        <v>-120</v>
      </c>
      <c r="J251" s="20" t="n">
        <v>-102</v>
      </c>
      <c r="K251" s="20" t="n">
        <v>67</v>
      </c>
      <c r="L251" s="20" t="n">
        <v>46</v>
      </c>
      <c r="M251" s="20" t="n">
        <v>-199</v>
      </c>
      <c r="N251" s="20" t="n">
        <v>-10</v>
      </c>
      <c r="V251" s="20" t="n">
        <v>-148</v>
      </c>
      <c r="W251" s="20" t="n">
        <v>-102</v>
      </c>
      <c r="X251" s="20" t="n">
        <v>-10</v>
      </c>
    </row>
    <row r="252">
      <c r="A252" s="9" t="inlineStr">
        <is>
          <t>부문 이익(손실)</t>
        </is>
      </c>
      <c r="C252" s="12" t="n">
        <v>339</v>
      </c>
      <c r="D252" s="12" t="n">
        <v>475</v>
      </c>
      <c r="E252" s="12" t="n">
        <v>355</v>
      </c>
      <c r="F252" s="12" t="n">
        <v>106</v>
      </c>
      <c r="G252" s="12" t="n">
        <v>384</v>
      </c>
      <c r="H252" s="12" t="n">
        <v>478</v>
      </c>
      <c r="I252" s="12" t="n">
        <v>555</v>
      </c>
      <c r="J252" s="12" t="n">
        <v>-34</v>
      </c>
      <c r="K252" s="12" t="n">
        <v>293</v>
      </c>
      <c r="L252" s="12" t="n">
        <v>277</v>
      </c>
      <c r="M252" s="12" t="n">
        <v>-56</v>
      </c>
      <c r="N252" s="12" t="n">
        <v>106</v>
      </c>
      <c r="V252" s="12" t="n">
        <v>106</v>
      </c>
      <c r="W252" s="12" t="n">
        <v>-34</v>
      </c>
      <c r="X252" s="12" t="n">
        <v>106</v>
      </c>
    </row>
    <row r="253">
      <c r="A253" s="43" t="inlineStr">
        <is>
          <t>OPM</t>
        </is>
      </c>
      <c r="B253" s="3" t="inlineStr">
        <is>
          <t>영업이익 ÷ 매출</t>
        </is>
      </c>
      <c r="C253" s="15">
        <f>IF(OR(C252="",C190=""),"",IF(C190&lt;=0,"",IFERROR(C252/C190,"")))</f>
        <v/>
      </c>
      <c r="D253" s="15">
        <f>IF(OR(D252="",D190=""),"",IF(D190&lt;=0,"",IFERROR(D252/D190,"")))</f>
        <v/>
      </c>
      <c r="E253" s="15">
        <f>IF(OR(E252="",E190=""),"",IF(E190&lt;=0,"",IFERROR(E252/E190,"")))</f>
        <v/>
      </c>
      <c r="F253" s="15">
        <f>IF(OR(F252="",F190=""),"",IF(F190&lt;=0,"",IFERROR(F252/F190,"")))</f>
        <v/>
      </c>
      <c r="G253" s="15">
        <f>IF(OR(G252="",G190=""),"",IF(G190&lt;=0,"",IFERROR(G252/G190,"")))</f>
        <v/>
      </c>
      <c r="H253" s="15">
        <f>IF(OR(H252="",H190=""),"",IF(H190&lt;=0,"",IFERROR(H252/H190,"")))</f>
        <v/>
      </c>
      <c r="I253" s="15">
        <f>IF(OR(I252="",I190=""),"",IF(I190&lt;=0,"",IFERROR(I252/I190,"")))</f>
        <v/>
      </c>
      <c r="J253" s="15">
        <f>IF(OR(J252="",J190=""),"",IF(J190&lt;=0,"",IFERROR(J252/J190,"")))</f>
        <v/>
      </c>
      <c r="K253" s="15">
        <f>IF(OR(K252="",K190=""),"",IF(K190&lt;=0,"",IFERROR(K252/K190,"")))</f>
        <v/>
      </c>
      <c r="L253" s="15">
        <f>IF(OR(L252="",L190=""),"",IF(L190&lt;=0,"",IFERROR(L252/L190,"")))</f>
        <v/>
      </c>
      <c r="M253" s="15">
        <f>IF(OR(M252="",M190=""),"",IF(M190&lt;=0,"",IFERROR(M252/M190,"")))</f>
        <v/>
      </c>
      <c r="N253" s="15">
        <f>IF(OR(N252="",N190=""),"",IF(N190&lt;=0,"",IFERROR(N252/N190,"")))</f>
        <v/>
      </c>
      <c r="V253" s="15">
        <f>IF(OR(V252="",V190=""),"",IF(V190&lt;=0,"",IFERROR(V252/V190,"")))</f>
        <v/>
      </c>
      <c r="W253" s="15">
        <f>IF(OR(W252="",W190=""),"",IF(W190&lt;=0,"",IFERROR(W252/W190,"")))</f>
        <v/>
      </c>
      <c r="X253" s="15">
        <f>IF(OR(X252="",X190=""),"",IF(X190&lt;=0,"",IFERROR(X252/X190,"")))</f>
        <v/>
      </c>
    </row>
    <row r="254">
      <c r="A254" s="43" t="inlineStr">
        <is>
          <t>YoY</t>
        </is>
      </c>
      <c r="B254" s="3" t="inlineStr">
        <is>
          <t>전년 같은 분기·전년 대비</t>
        </is>
      </c>
      <c r="G254" s="15">
        <f>IF(OR(G252="",C252=""),"",IF(C252&lt;=0,"",IFERROR(G252/C252-1,"")))</f>
        <v/>
      </c>
      <c r="H254" s="15">
        <f>IF(OR(H252="",D252=""),"",IF(D252&lt;=0,"",IFERROR(H252/D252-1,"")))</f>
        <v/>
      </c>
      <c r="I254" s="15">
        <f>IF(OR(I252="",E252=""),"",IF(E252&lt;=0,"",IFERROR(I252/E252-1,"")))</f>
        <v/>
      </c>
      <c r="J254" s="15">
        <f>IF(OR(J252="",F252=""),"",IF(F252&lt;=0,"",IFERROR(J252/F252-1,"")))</f>
        <v/>
      </c>
      <c r="K254" s="15">
        <f>IF(OR(K252="",G252=""),"",IF(G252&lt;=0,"",IFERROR(K252/G252-1,"")))</f>
        <v/>
      </c>
      <c r="L254" s="15">
        <f>IF(OR(L252="",H252=""),"",IF(H252&lt;=0,"",IFERROR(L252/H252-1,"")))</f>
        <v/>
      </c>
      <c r="M254" s="15">
        <f>IF(OR(M252="",I252=""),"",IF(I252&lt;=0,"",IFERROR(M252/I252-1,"")))</f>
        <v/>
      </c>
      <c r="N254" s="15">
        <f>IF(OR(N252="",J252=""),"",IF(J252&lt;=0,"",IFERROR(N252/J252-1,"")))</f>
        <v/>
      </c>
      <c r="V254" s="15">
        <f>IF(OR(V252="",U252=""),"",IF(U252&lt;=0,"",IFERROR(V252/U252-1,"")))</f>
        <v/>
      </c>
      <c r="W254" s="15">
        <f>IF(OR(W252="",V252=""),"",IF(V252&lt;=0,"",IFERROR(W252/V252-1,"")))</f>
        <v/>
      </c>
      <c r="X254" s="15">
        <f>IF(OR(X252="",W252=""),"",IF(W252&lt;=0,"",IFERROR(X252/W252-1,"")))</f>
        <v/>
      </c>
    </row>
    <row r="256">
      <c r="A256" s="16" t="inlineStr">
        <is>
          <t>현금흐름표 · 전 항목</t>
        </is>
      </c>
      <c r="B256" s="42" t="inlineStr">
        <is>
          <t>분기 = 결산기 첫날부터 누계(공시 그대로)</t>
        </is>
      </c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</row>
    <row r="257">
      <c r="A257" s="5" t="inlineStr">
        <is>
          <t>항목</t>
        </is>
      </c>
      <c r="B257" s="5" t="inlineStr">
        <is>
          <t>참고</t>
        </is>
      </c>
      <c r="C257" s="5" t="inlineStr">
        <is>
          <t>2024.1Q</t>
        </is>
      </c>
      <c r="D257" s="5" t="inlineStr">
        <is>
          <t>2024.2Q</t>
        </is>
      </c>
      <c r="E257" s="5" t="inlineStr">
        <is>
          <t>2024.3Q</t>
        </is>
      </c>
      <c r="F257" s="5" t="inlineStr">
        <is>
          <t>2024.4Q</t>
        </is>
      </c>
      <c r="G257" s="5" t="inlineStr">
        <is>
          <t>2025.1Q</t>
        </is>
      </c>
      <c r="H257" s="5" t="inlineStr">
        <is>
          <t>2025.2Q</t>
        </is>
      </c>
      <c r="I257" s="5" t="inlineStr">
        <is>
          <t>2025.3Q</t>
        </is>
      </c>
      <c r="J257" s="5" t="inlineStr">
        <is>
          <t>2025.4Q</t>
        </is>
      </c>
      <c r="K257" s="5" t="inlineStr">
        <is>
          <t>2026.1Q</t>
        </is>
      </c>
      <c r="L257" s="5" t="inlineStr">
        <is>
          <t>2026.2Q</t>
        </is>
      </c>
      <c r="M257" s="5" t="inlineStr">
        <is>
          <t>2026.3Q</t>
        </is>
      </c>
      <c r="N257" s="5" t="inlineStr">
        <is>
          <t>2026.4Q</t>
        </is>
      </c>
      <c r="O257" s="5" t="inlineStr">
        <is>
          <t>2017</t>
        </is>
      </c>
      <c r="P257" s="5" t="inlineStr">
        <is>
          <t>2018</t>
        </is>
      </c>
      <c r="Q257" s="5" t="inlineStr">
        <is>
          <t>2019</t>
        </is>
      </c>
      <c r="R257" s="5" t="inlineStr">
        <is>
          <t>2020</t>
        </is>
      </c>
      <c r="S257" s="5" t="inlineStr">
        <is>
          <t>2021</t>
        </is>
      </c>
      <c r="T257" s="5" t="inlineStr">
        <is>
          <t>2022</t>
        </is>
      </c>
      <c r="U257" s="5" t="inlineStr">
        <is>
          <t>2023</t>
        </is>
      </c>
      <c r="V257" s="5" t="inlineStr">
        <is>
          <t>2024</t>
        </is>
      </c>
      <c r="W257" s="5" t="inlineStr">
        <is>
          <t>2025</t>
        </is>
      </c>
      <c r="X257" s="5" t="inlineStr">
        <is>
          <t>2026</t>
        </is>
      </c>
      <c r="Y257" s="5" t="inlineStr">
        <is>
          <t>2027(MW)</t>
        </is>
      </c>
      <c r="Z257" s="5" t="inlineStr">
        <is>
          <t>2028(MW)</t>
        </is>
      </c>
      <c r="AA257" s="5" t="inlineStr">
        <is>
          <t>2029(MW)</t>
        </is>
      </c>
      <c r="AB257" s="5" t="inlineStr">
        <is>
          <t>2030(MW)</t>
        </is>
      </c>
      <c r="AC257" s="5" t="inlineStr">
        <is>
          <t>2031(MW)</t>
        </is>
      </c>
    </row>
    <row r="258">
      <c r="A258" s="9" t="inlineStr">
        <is>
          <t>법인세차감전 순이익</t>
        </is>
      </c>
      <c r="D258" s="12" t="n">
        <v>857</v>
      </c>
      <c r="F258" s="12" t="n">
        <v>1369</v>
      </c>
      <c r="H258" s="12" t="n">
        <v>1066</v>
      </c>
      <c r="J258" s="12" t="n">
        <v>1497</v>
      </c>
      <c r="L258" s="12" t="n">
        <v>595</v>
      </c>
      <c r="N258" s="12" t="n">
        <v>1568</v>
      </c>
      <c r="P258" s="12" t="n">
        <v>1182.477</v>
      </c>
      <c r="Q258" s="12" t="n">
        <v>1966.15</v>
      </c>
      <c r="R258" s="12" t="n">
        <v>765.45</v>
      </c>
      <c r="S258" s="12" t="n">
        <v>516.246</v>
      </c>
      <c r="T258" s="12" t="n">
        <v>367.68</v>
      </c>
      <c r="U258" s="12" t="n">
        <v>1944.999</v>
      </c>
      <c r="V258" s="12" t="n">
        <v>1369</v>
      </c>
      <c r="W258" s="12" t="n">
        <v>1497</v>
      </c>
      <c r="X258" s="12" t="n">
        <v>1568</v>
      </c>
    </row>
    <row r="259">
      <c r="A259" s="18" t="inlineStr">
        <is>
          <t>감가상각비</t>
        </is>
      </c>
      <c r="D259" s="20" t="n">
        <v>230</v>
      </c>
      <c r="F259" s="20" t="n">
        <v>545</v>
      </c>
      <c r="H259" s="20" t="n">
        <v>307</v>
      </c>
      <c r="J259" s="20" t="n">
        <v>640</v>
      </c>
      <c r="L259" s="20" t="n">
        <v>354</v>
      </c>
      <c r="N259" s="20" t="n">
        <v>722</v>
      </c>
      <c r="P259" s="20" t="n">
        <v>376.317</v>
      </c>
      <c r="Q259" s="20" t="n">
        <v>397.348</v>
      </c>
      <c r="R259" s="20" t="n">
        <v>372.01</v>
      </c>
      <c r="S259" s="20" t="n">
        <v>352.214</v>
      </c>
      <c r="T259" s="20" t="n">
        <v>362.296</v>
      </c>
      <c r="U259" s="20" t="n">
        <v>444.361</v>
      </c>
      <c r="V259" s="20" t="n">
        <v>545</v>
      </c>
      <c r="W259" s="20" t="n">
        <v>640</v>
      </c>
      <c r="X259" s="20" t="n">
        <v>722</v>
      </c>
    </row>
    <row r="260">
      <c r="A260" s="18" t="inlineStr">
        <is>
          <t>손상차손</t>
        </is>
      </c>
      <c r="F260" s="20" t="n">
        <v>0</v>
      </c>
      <c r="J260" s="20" t="n">
        <v>91</v>
      </c>
      <c r="N260" s="20" t="n">
        <v>98</v>
      </c>
      <c r="P260" s="20" t="n">
        <v>0</v>
      </c>
      <c r="Q260" s="20" t="n">
        <v>7.548</v>
      </c>
      <c r="R260" s="20" t="n">
        <v>18.78</v>
      </c>
      <c r="S260" s="20" t="n">
        <v>10.875</v>
      </c>
      <c r="T260" s="20" t="n">
        <v>20.888</v>
      </c>
      <c r="U260" s="20" t="n">
        <v>2.694</v>
      </c>
      <c r="V260" s="20" t="n">
        <v>0</v>
      </c>
      <c r="W260" s="20" t="n">
        <v>91</v>
      </c>
      <c r="X260" s="20" t="n">
        <v>98</v>
      </c>
    </row>
    <row r="261">
      <c r="A261" s="18" t="inlineStr">
        <is>
          <t>영업권 상각</t>
        </is>
      </c>
      <c r="D261" s="20" t="n">
        <v>36</v>
      </c>
      <c r="F261" s="20" t="n">
        <v>79</v>
      </c>
      <c r="H261" s="20" t="n">
        <v>54</v>
      </c>
      <c r="J261" s="20" t="n">
        <v>120</v>
      </c>
      <c r="L261" s="20" t="n">
        <v>143</v>
      </c>
      <c r="N261" s="20" t="n">
        <v>305</v>
      </c>
      <c r="P261" s="20" t="n">
        <v>36.121</v>
      </c>
      <c r="Q261" s="20" t="n">
        <v>36.121</v>
      </c>
      <c r="R261" s="20" t="n">
        <v>36.121</v>
      </c>
      <c r="S261" s="20" t="n">
        <v>34.237</v>
      </c>
      <c r="T261" s="20" t="n">
        <v>26.292</v>
      </c>
      <c r="U261" s="20" t="n">
        <v>49.759</v>
      </c>
      <c r="V261" s="20" t="n">
        <v>79</v>
      </c>
      <c r="W261" s="20" t="n">
        <v>120</v>
      </c>
      <c r="X261" s="20" t="n">
        <v>305</v>
      </c>
    </row>
    <row r="262">
      <c r="A262" s="18" t="inlineStr">
        <is>
          <t>주식보상비용</t>
        </is>
      </c>
      <c r="P262" s="20" t="n">
        <v>0</v>
      </c>
      <c r="Q262" s="20" t="n">
        <v>30.812</v>
      </c>
      <c r="R262" s="20" t="n">
        <v>43.5</v>
      </c>
      <c r="S262" s="20" t="n">
        <v>12.687</v>
      </c>
      <c r="T262" s="20" t="n">
        <v>0</v>
      </c>
    </row>
    <row r="263">
      <c r="A263" s="18" t="inlineStr">
        <is>
          <t>부의 영업권 발생이익</t>
        </is>
      </c>
      <c r="D263" s="20" t="n">
        <v>0</v>
      </c>
      <c r="F263" s="20" t="n">
        <v>0</v>
      </c>
      <c r="P263" s="20" t="n">
        <v>-76.145</v>
      </c>
      <c r="Q263" s="20" t="n">
        <v>0</v>
      </c>
      <c r="T263" s="20" t="n">
        <v>0</v>
      </c>
      <c r="U263" s="20" t="n">
        <v>-1535.686</v>
      </c>
      <c r="V263" s="20" t="n">
        <v>0</v>
      </c>
    </row>
    <row r="264">
      <c r="A264" s="18" t="inlineStr">
        <is>
          <t>대손충당금 증감</t>
        </is>
      </c>
      <c r="D264" s="20" t="n">
        <v>13</v>
      </c>
      <c r="F264" s="20" t="n">
        <v>14</v>
      </c>
      <c r="H264" s="20" t="n">
        <v>-2</v>
      </c>
      <c r="J264" s="20" t="n">
        <v>4</v>
      </c>
      <c r="L264" s="20" t="n">
        <v>42</v>
      </c>
      <c r="N264" s="20" t="n">
        <v>30</v>
      </c>
      <c r="P264" s="20" t="n">
        <v>-0.029</v>
      </c>
      <c r="Q264" s="20" t="n">
        <v>9.385</v>
      </c>
      <c r="R264" s="20" t="n">
        <v>14.541</v>
      </c>
      <c r="S264" s="20" t="n">
        <v>-7.748</v>
      </c>
      <c r="T264" s="20" t="n">
        <v>-14.928</v>
      </c>
      <c r="U264" s="20" t="n">
        <v>-1.834</v>
      </c>
      <c r="V264" s="20" t="n">
        <v>14</v>
      </c>
      <c r="W264" s="20" t="n">
        <v>4</v>
      </c>
      <c r="X264" s="20" t="n">
        <v>30</v>
      </c>
    </row>
    <row r="265">
      <c r="A265" s="18" t="inlineStr">
        <is>
          <t>상여충당금 증감</t>
        </is>
      </c>
      <c r="D265" s="20" t="n">
        <v>-1</v>
      </c>
      <c r="F265" s="20" t="n">
        <v>-0</v>
      </c>
      <c r="H265" s="20" t="n">
        <v>18</v>
      </c>
      <c r="J265" s="20" t="n">
        <v>21</v>
      </c>
      <c r="L265" s="20" t="n">
        <v>12</v>
      </c>
      <c r="N265" s="20" t="n">
        <v>8</v>
      </c>
      <c r="P265" s="20" t="n">
        <v>-21.476</v>
      </c>
      <c r="Q265" s="20" t="n">
        <v>-0.298</v>
      </c>
      <c r="R265" s="20" t="n">
        <v>-1.209</v>
      </c>
      <c r="S265" s="20" t="n">
        <v>-0.016</v>
      </c>
      <c r="T265" s="20" t="n">
        <v>18.81</v>
      </c>
      <c r="U265" s="20" t="n">
        <v>-0.651</v>
      </c>
      <c r="V265" s="20" t="n">
        <v>-0</v>
      </c>
      <c r="W265" s="20" t="n">
        <v>21</v>
      </c>
      <c r="X265" s="20" t="n">
        <v>8</v>
      </c>
    </row>
    <row r="266">
      <c r="A266" s="18" t="inlineStr">
        <is>
          <t>퇴직급여부채 증감</t>
        </is>
      </c>
      <c r="D266" s="20" t="n">
        <v>-10</v>
      </c>
      <c r="F266" s="20" t="n">
        <v>-8</v>
      </c>
      <c r="H266" s="20" t="n">
        <v>3</v>
      </c>
      <c r="J266" s="20" t="n">
        <v>3</v>
      </c>
      <c r="L266" s="20" t="n">
        <v>23</v>
      </c>
      <c r="N266" s="20" t="n">
        <v>32</v>
      </c>
      <c r="P266" s="20" t="n">
        <v>5.759</v>
      </c>
      <c r="Q266" s="20" t="n">
        <v>7.267</v>
      </c>
      <c r="R266" s="20" t="n">
        <v>5.969</v>
      </c>
      <c r="S266" s="20" t="n">
        <v>9.079000000000001</v>
      </c>
      <c r="T266" s="20" t="n">
        <v>17.14</v>
      </c>
      <c r="U266" s="20" t="n">
        <v>-1.879</v>
      </c>
      <c r="V266" s="20" t="n">
        <v>-8</v>
      </c>
      <c r="W266" s="20" t="n">
        <v>3</v>
      </c>
      <c r="X266" s="20" t="n">
        <v>32</v>
      </c>
    </row>
    <row r="267">
      <c r="A267" s="18" t="inlineStr">
        <is>
          <t>이자·배당금 수익</t>
        </is>
      </c>
      <c r="D267" s="20" t="n">
        <v>-1</v>
      </c>
      <c r="F267" s="20" t="n">
        <v>-2</v>
      </c>
      <c r="H267" s="20" t="n">
        <v>-3</v>
      </c>
      <c r="J267" s="20" t="n">
        <v>-9</v>
      </c>
      <c r="L267" s="20" t="n">
        <v>-12</v>
      </c>
      <c r="N267" s="20" t="n">
        <v>-29</v>
      </c>
      <c r="P267" s="20" t="n">
        <v>-2.295</v>
      </c>
      <c r="Q267" s="20" t="n">
        <v>-2.521</v>
      </c>
      <c r="R267" s="20" t="n">
        <v>-2.231</v>
      </c>
      <c r="S267" s="20" t="n">
        <v>-1.814</v>
      </c>
      <c r="T267" s="20" t="n">
        <v>-2.206</v>
      </c>
      <c r="U267" s="20" t="n">
        <v>-3.105</v>
      </c>
      <c r="V267" s="20" t="n">
        <v>-2</v>
      </c>
      <c r="W267" s="20" t="n">
        <v>-9</v>
      </c>
      <c r="X267" s="20" t="n">
        <v>-29</v>
      </c>
    </row>
    <row r="268">
      <c r="A268" s="18" t="inlineStr">
        <is>
          <t>보조금 수입</t>
        </is>
      </c>
      <c r="D268" s="20" t="n">
        <v>0</v>
      </c>
      <c r="F268" s="20" t="n">
        <v>-15</v>
      </c>
      <c r="H268" s="20" t="n">
        <v>-184</v>
      </c>
      <c r="J268" s="20" t="n">
        <v>-192</v>
      </c>
      <c r="L268" s="20" t="n">
        <v>0</v>
      </c>
      <c r="N268" s="20" t="n">
        <v>0</v>
      </c>
      <c r="R268" s="20" t="n">
        <v>-9.603999999999999</v>
      </c>
      <c r="S268" s="20" t="n">
        <v>-64.13500000000001</v>
      </c>
      <c r="T268" s="20" t="n">
        <v>-17.001</v>
      </c>
      <c r="U268" s="20" t="n">
        <v>-77.97499999999999</v>
      </c>
      <c r="V268" s="20" t="n">
        <v>-15</v>
      </c>
      <c r="W268" s="20" t="n">
        <v>-192</v>
      </c>
      <c r="X268" s="20" t="n">
        <v>0</v>
      </c>
    </row>
    <row r="269">
      <c r="A269" s="18" t="inlineStr">
        <is>
          <t>이자비용</t>
        </is>
      </c>
      <c r="D269" s="20" t="n">
        <v>18</v>
      </c>
      <c r="F269" s="20" t="n">
        <v>40</v>
      </c>
      <c r="H269" s="20" t="n">
        <v>33</v>
      </c>
      <c r="J269" s="20" t="n">
        <v>76</v>
      </c>
      <c r="L269" s="20" t="n">
        <v>56</v>
      </c>
      <c r="N269" s="20" t="n">
        <v>172</v>
      </c>
      <c r="P269" s="20" t="n">
        <v>6.356</v>
      </c>
      <c r="Q269" s="20" t="n">
        <v>13.428</v>
      </c>
      <c r="R269" s="20" t="n">
        <v>6.961</v>
      </c>
      <c r="S269" s="20" t="n">
        <v>5.275</v>
      </c>
      <c r="T269" s="20" t="n">
        <v>12.403</v>
      </c>
      <c r="U269" s="20" t="n">
        <v>29.834</v>
      </c>
      <c r="V269" s="20" t="n">
        <v>40</v>
      </c>
      <c r="W269" s="20" t="n">
        <v>76</v>
      </c>
      <c r="X269" s="20" t="n">
        <v>172</v>
      </c>
    </row>
    <row r="270">
      <c r="A270" s="18" t="inlineStr">
        <is>
          <t>투자유가증권 평가손익</t>
        </is>
      </c>
      <c r="R270" s="20" t="n">
        <v>0.279</v>
      </c>
      <c r="S270" s="20" t="n">
        <v>4.298</v>
      </c>
      <c r="T270" s="20" t="n">
        <v>0</v>
      </c>
    </row>
    <row r="271">
      <c r="A271" s="18" t="inlineStr">
        <is>
          <t>투자유가증권 매각손익</t>
        </is>
      </c>
      <c r="F271" s="20" t="n">
        <v>0</v>
      </c>
      <c r="J271" s="20" t="n">
        <v>0</v>
      </c>
      <c r="N271" s="20" t="n">
        <v>-120</v>
      </c>
      <c r="P271" s="20" t="n">
        <v>-2.685</v>
      </c>
      <c r="Q271" s="20" t="n">
        <v>2.165</v>
      </c>
      <c r="R271" s="20" t="n">
        <v>0</v>
      </c>
      <c r="S271" s="20" t="n">
        <v>0</v>
      </c>
      <c r="T271" s="20" t="n">
        <v>0.016</v>
      </c>
      <c r="U271" s="20" t="n">
        <v>1.033</v>
      </c>
      <c r="V271" s="20" t="n">
        <v>0</v>
      </c>
      <c r="W271" s="20" t="n">
        <v>0</v>
      </c>
      <c r="X271" s="20" t="n">
        <v>-120</v>
      </c>
    </row>
    <row r="272">
      <c r="A272" s="18" t="inlineStr">
        <is>
          <t>유형자산 매각손익</t>
        </is>
      </c>
      <c r="F272" s="20" t="n">
        <v>-3.082</v>
      </c>
      <c r="P272" s="20" t="n">
        <v>-0.142</v>
      </c>
      <c r="Q272" s="20" t="n">
        <v>0.787</v>
      </c>
      <c r="R272" s="20" t="n">
        <v>-27.681</v>
      </c>
      <c r="S272" s="20" t="n">
        <v>-3.676</v>
      </c>
      <c r="T272" s="20" t="n">
        <v>0.021</v>
      </c>
      <c r="U272" s="20" t="n">
        <v>-0.206</v>
      </c>
      <c r="V272" s="20" t="n">
        <v>-3.082</v>
      </c>
    </row>
    <row r="273">
      <c r="A273" s="18" t="inlineStr">
        <is>
          <t>자회사 주식 매각손익</t>
        </is>
      </c>
      <c r="J273" s="20" t="n">
        <v>0</v>
      </c>
      <c r="N273" s="20" t="n">
        <v>-984</v>
      </c>
      <c r="W273" s="20" t="n">
        <v>0</v>
      </c>
      <c r="X273" s="20" t="n">
        <v>-984</v>
      </c>
    </row>
    <row r="274">
      <c r="A274" s="18" t="inlineStr">
        <is>
          <t>고정자산 매각손익</t>
        </is>
      </c>
      <c r="D274" s="20" t="n">
        <v>-1</v>
      </c>
      <c r="F274" s="20" t="n">
        <v>-3</v>
      </c>
      <c r="H274" s="20" t="n">
        <v>-1</v>
      </c>
      <c r="J274" s="20" t="n">
        <v>-5</v>
      </c>
      <c r="L274" s="20" t="n">
        <v>-1</v>
      </c>
      <c r="N274" s="20" t="n">
        <v>-5</v>
      </c>
      <c r="V274" s="20" t="n">
        <v>-3</v>
      </c>
      <c r="W274" s="20" t="n">
        <v>-5</v>
      </c>
      <c r="X274" s="20" t="n">
        <v>-5</v>
      </c>
    </row>
    <row r="275">
      <c r="A275" s="18" t="inlineStr">
        <is>
          <t>고정자산 제각손실</t>
        </is>
      </c>
      <c r="D275" s="20" t="n">
        <v>0</v>
      </c>
      <c r="F275" s="20" t="n">
        <v>1</v>
      </c>
      <c r="H275" s="20" t="n">
        <v>0</v>
      </c>
      <c r="J275" s="20" t="n">
        <v>3</v>
      </c>
      <c r="L275" s="20" t="n">
        <v>0</v>
      </c>
      <c r="N275" s="20" t="n">
        <v>39</v>
      </c>
      <c r="P275" s="20" t="n">
        <v>0.368</v>
      </c>
      <c r="Q275" s="20" t="n">
        <v>0</v>
      </c>
      <c r="R275" s="20" t="n">
        <v>1.433</v>
      </c>
      <c r="S275" s="20" t="n">
        <v>0.86</v>
      </c>
      <c r="T275" s="20" t="n">
        <v>8.154</v>
      </c>
      <c r="U275" s="20" t="n">
        <v>3.62</v>
      </c>
      <c r="V275" s="20" t="n">
        <v>1</v>
      </c>
      <c r="W275" s="20" t="n">
        <v>3</v>
      </c>
      <c r="X275" s="20" t="n">
        <v>39</v>
      </c>
    </row>
    <row r="276">
      <c r="A276" s="18" t="inlineStr">
        <is>
          <t>매출채권 증감</t>
        </is>
      </c>
      <c r="D276" s="20" t="n">
        <v>-467</v>
      </c>
      <c r="H276" s="20" t="n">
        <v>-926</v>
      </c>
      <c r="L276" s="20" t="n">
        <v>438</v>
      </c>
      <c r="P276" s="20" t="n">
        <v>-2376.421</v>
      </c>
      <c r="Q276" s="20" t="n">
        <v>-421.095</v>
      </c>
      <c r="R276" s="20" t="n">
        <v>3093.988</v>
      </c>
      <c r="S276" s="20" t="n">
        <v>424.142</v>
      </c>
      <c r="T276" s="20" t="n">
        <v>-650.549</v>
      </c>
      <c r="U276" s="20" t="n">
        <v>-35.758</v>
      </c>
    </row>
    <row r="277">
      <c r="A277" s="18" t="inlineStr">
        <is>
          <t>매출채권·계약자산 증감</t>
        </is>
      </c>
      <c r="F277" s="20" t="n">
        <v>-651</v>
      </c>
      <c r="J277" s="20" t="n">
        <v>644</v>
      </c>
      <c r="N277" s="20" t="n">
        <v>1743</v>
      </c>
      <c r="U277" s="20" t="n">
        <v>-35.758</v>
      </c>
      <c r="V277" s="20" t="n">
        <v>-651</v>
      </c>
      <c r="W277" s="20" t="n">
        <v>644</v>
      </c>
      <c r="X277" s="20" t="n">
        <v>1743</v>
      </c>
    </row>
    <row r="278">
      <c r="A278" s="18" t="inlineStr">
        <is>
          <t>재고자산 증감</t>
        </is>
      </c>
      <c r="D278" s="20" t="n">
        <v>-337</v>
      </c>
      <c r="F278" s="20" t="n">
        <v>-556</v>
      </c>
      <c r="H278" s="20" t="n">
        <v>73</v>
      </c>
      <c r="J278" s="20" t="n">
        <v>343</v>
      </c>
      <c r="L278" s="20" t="n">
        <v>273</v>
      </c>
      <c r="N278" s="20" t="n">
        <v>-502</v>
      </c>
      <c r="P278" s="20" t="n">
        <v>-174.514</v>
      </c>
      <c r="Q278" s="20" t="n">
        <v>-10.133</v>
      </c>
      <c r="R278" s="20" t="n">
        <v>226.303</v>
      </c>
      <c r="S278" s="20" t="n">
        <v>367.928</v>
      </c>
      <c r="T278" s="20" t="n">
        <v>-195.433</v>
      </c>
      <c r="U278" s="20" t="n">
        <v>-189.764</v>
      </c>
      <c r="V278" s="20" t="n">
        <v>-556</v>
      </c>
      <c r="W278" s="20" t="n">
        <v>343</v>
      </c>
      <c r="X278" s="20" t="n">
        <v>-502</v>
      </c>
    </row>
    <row r="279">
      <c r="A279" s="18" t="inlineStr">
        <is>
          <t>매입채무 증감</t>
        </is>
      </c>
      <c r="D279" s="20" t="n">
        <v>-39</v>
      </c>
      <c r="F279" s="20" t="n">
        <v>-178</v>
      </c>
      <c r="H279" s="20" t="n">
        <v>307</v>
      </c>
      <c r="J279" s="20" t="n">
        <v>-285</v>
      </c>
      <c r="L279" s="20" t="n">
        <v>73</v>
      </c>
      <c r="N279" s="20" t="n">
        <v>-309</v>
      </c>
      <c r="P279" s="20" t="n">
        <v>373.673</v>
      </c>
      <c r="Q279" s="20" t="n">
        <v>-166.406</v>
      </c>
      <c r="R279" s="20" t="n">
        <v>-181.225</v>
      </c>
      <c r="S279" s="20" t="n">
        <v>-4.343</v>
      </c>
      <c r="T279" s="20" t="n">
        <v>166.898</v>
      </c>
      <c r="U279" s="20" t="n">
        <v>-117.636</v>
      </c>
      <c r="V279" s="20" t="n">
        <v>-178</v>
      </c>
      <c r="W279" s="20" t="n">
        <v>-285</v>
      </c>
      <c r="X279" s="20" t="n">
        <v>-309</v>
      </c>
    </row>
    <row r="280">
      <c r="A280" s="18" t="inlineStr">
        <is>
          <t>미지급 소비세 증감</t>
        </is>
      </c>
      <c r="D280" s="20" t="n">
        <v>28</v>
      </c>
      <c r="F280" s="20" t="n">
        <v>79</v>
      </c>
      <c r="H280" s="20" t="n">
        <v>-9</v>
      </c>
      <c r="J280" s="20" t="n">
        <v>26</v>
      </c>
      <c r="L280" s="20" t="n">
        <v>-82</v>
      </c>
      <c r="N280" s="20" t="n">
        <v>-137</v>
      </c>
      <c r="P280" s="20" t="n">
        <v>35.808</v>
      </c>
      <c r="Q280" s="20" t="n">
        <v>68.06699999999999</v>
      </c>
      <c r="R280" s="20" t="n">
        <v>-78.91</v>
      </c>
      <c r="S280" s="20" t="n">
        <v>2.904</v>
      </c>
      <c r="T280" s="20" t="n">
        <v>-192.349</v>
      </c>
      <c r="U280" s="20" t="n">
        <v>193.883</v>
      </c>
      <c r="V280" s="20" t="n">
        <v>79</v>
      </c>
      <c r="W280" s="20" t="n">
        <v>26</v>
      </c>
      <c r="X280" s="20" t="n">
        <v>-137</v>
      </c>
    </row>
    <row r="281">
      <c r="A281" s="18" t="inlineStr">
        <is>
          <t>기타 유동부채 증감</t>
        </is>
      </c>
      <c r="D281" s="20" t="n">
        <v>-62</v>
      </c>
      <c r="F281" s="20" t="n">
        <v>146</v>
      </c>
      <c r="H281" s="20" t="n">
        <v>-372</v>
      </c>
      <c r="J281" s="20" t="n">
        <v>-184</v>
      </c>
      <c r="L281" s="20" t="n">
        <v>147</v>
      </c>
      <c r="N281" s="20" t="n">
        <v>209</v>
      </c>
      <c r="P281" s="20" t="n">
        <v>96.919</v>
      </c>
      <c r="Q281" s="20" t="n">
        <v>82.12</v>
      </c>
      <c r="R281" s="20" t="n">
        <v>-115.588</v>
      </c>
      <c r="S281" s="20" t="n">
        <v>-61.298</v>
      </c>
      <c r="T281" s="20" t="n">
        <v>-299.999</v>
      </c>
      <c r="U281" s="20" t="n">
        <v>247.752</v>
      </c>
      <c r="V281" s="20" t="n">
        <v>146</v>
      </c>
      <c r="W281" s="20" t="n">
        <v>-184</v>
      </c>
      <c r="X281" s="20" t="n">
        <v>209</v>
      </c>
    </row>
    <row r="282">
      <c r="A282" s="18" t="inlineStr">
        <is>
          <t>기타 비유동부채 증감액</t>
        </is>
      </c>
      <c r="D282" s="20" t="n">
        <v>-450</v>
      </c>
      <c r="F282" s="20" t="n">
        <v>-570</v>
      </c>
      <c r="H282" s="20" t="n">
        <v>-4</v>
      </c>
      <c r="J282" s="20" t="n">
        <v>0</v>
      </c>
      <c r="L282" s="20" t="n">
        <v>1</v>
      </c>
      <c r="U282" s="20" t="n">
        <v>0</v>
      </c>
      <c r="V282" s="20" t="n">
        <v>-570</v>
      </c>
      <c r="W282" s="20" t="n">
        <v>0</v>
      </c>
    </row>
    <row r="283">
      <c r="A283" s="18" t="inlineStr">
        <is>
          <t>기타</t>
        </is>
      </c>
      <c r="D283" s="20" t="n">
        <v>-49</v>
      </c>
      <c r="F283" s="20" t="n">
        <v>-29</v>
      </c>
      <c r="H283" s="20" t="n">
        <v>216</v>
      </c>
      <c r="J283" s="20" t="n">
        <v>338</v>
      </c>
      <c r="L283" s="20" t="n">
        <v>-156</v>
      </c>
      <c r="N283" s="20" t="n">
        <v>466</v>
      </c>
      <c r="P283" s="20" t="n">
        <v>-12.924</v>
      </c>
      <c r="Q283" s="20" t="n">
        <v>1.984</v>
      </c>
      <c r="R283" s="20" t="n">
        <v>11.104</v>
      </c>
      <c r="S283" s="20" t="n">
        <v>-35.223</v>
      </c>
      <c r="T283" s="20" t="n">
        <v>35.648</v>
      </c>
      <c r="U283" s="20" t="n">
        <v>29.923</v>
      </c>
      <c r="V283" s="20" t="n">
        <v>-29</v>
      </c>
      <c r="W283" s="20" t="n">
        <v>338</v>
      </c>
      <c r="X283" s="20" t="n">
        <v>466</v>
      </c>
    </row>
    <row r="284">
      <c r="A284" s="18" t="inlineStr">
        <is>
          <t>소계</t>
        </is>
      </c>
      <c r="D284" s="20" t="n">
        <v>-239</v>
      </c>
      <c r="F284" s="20" t="n">
        <v>261</v>
      </c>
      <c r="H284" s="20" t="n">
        <v>576</v>
      </c>
      <c r="J284" s="20" t="n">
        <v>3135</v>
      </c>
      <c r="L284" s="20" t="n">
        <v>1909</v>
      </c>
      <c r="N284" s="20" t="n">
        <v>3306</v>
      </c>
      <c r="P284" s="20" t="n">
        <v>-552.832</v>
      </c>
      <c r="Q284" s="20" t="n">
        <v>2022.734</v>
      </c>
      <c r="R284" s="20" t="n">
        <v>4179.995</v>
      </c>
      <c r="S284" s="20" t="n">
        <v>1562.493</v>
      </c>
      <c r="T284" s="20" t="n">
        <v>-336.216</v>
      </c>
      <c r="U284" s="20" t="n">
        <v>983.361</v>
      </c>
      <c r="V284" s="20" t="n">
        <v>261</v>
      </c>
      <c r="W284" s="20" t="n">
        <v>3135</v>
      </c>
      <c r="X284" s="20" t="n">
        <v>3306</v>
      </c>
    </row>
    <row r="285">
      <c r="A285" s="18" t="inlineStr">
        <is>
          <t>이자·배당금 수취</t>
        </is>
      </c>
      <c r="D285" s="20" t="n">
        <v>1</v>
      </c>
      <c r="F285" s="20" t="n">
        <v>2</v>
      </c>
      <c r="H285" s="20" t="n">
        <v>3</v>
      </c>
      <c r="J285" s="20" t="n">
        <v>9</v>
      </c>
      <c r="L285" s="20" t="n">
        <v>10</v>
      </c>
      <c r="N285" s="20" t="n">
        <v>28</v>
      </c>
      <c r="P285" s="20" t="n">
        <v>2.295</v>
      </c>
      <c r="Q285" s="20" t="n">
        <v>2.521</v>
      </c>
      <c r="R285" s="20" t="n">
        <v>2.231</v>
      </c>
      <c r="S285" s="20" t="n">
        <v>1.814</v>
      </c>
      <c r="T285" s="20" t="n">
        <v>2.206</v>
      </c>
      <c r="U285" s="20" t="n">
        <v>3.105</v>
      </c>
      <c r="V285" s="20" t="n">
        <v>2</v>
      </c>
      <c r="W285" s="20" t="n">
        <v>9</v>
      </c>
      <c r="X285" s="20" t="n">
        <v>28</v>
      </c>
    </row>
    <row r="286">
      <c r="A286" s="18" t="inlineStr">
        <is>
          <t>보조금 수취</t>
        </is>
      </c>
      <c r="D286" s="20" t="n">
        <v>0</v>
      </c>
      <c r="F286" s="20" t="n">
        <v>15</v>
      </c>
      <c r="H286" s="20" t="n">
        <v>184</v>
      </c>
      <c r="J286" s="20" t="n">
        <v>192</v>
      </c>
      <c r="L286" s="20" t="n">
        <v>0</v>
      </c>
      <c r="N286" s="20" t="n">
        <v>0</v>
      </c>
      <c r="R286" s="20" t="n">
        <v>2.999</v>
      </c>
      <c r="S286" s="20" t="n">
        <v>70.73999999999999</v>
      </c>
      <c r="T286" s="20" t="n">
        <v>17.001</v>
      </c>
      <c r="U286" s="20" t="n">
        <v>77.97499999999999</v>
      </c>
      <c r="V286" s="20" t="n">
        <v>15</v>
      </c>
      <c r="W286" s="20" t="n">
        <v>192</v>
      </c>
      <c r="X286" s="20" t="n">
        <v>0</v>
      </c>
    </row>
    <row r="287">
      <c r="A287" s="18" t="inlineStr">
        <is>
          <t>이자 지급</t>
        </is>
      </c>
      <c r="D287" s="20" t="n">
        <v>-18</v>
      </c>
      <c r="F287" s="20" t="n">
        <v>-40</v>
      </c>
      <c r="H287" s="20" t="n">
        <v>-34</v>
      </c>
      <c r="J287" s="20" t="n">
        <v>-76</v>
      </c>
      <c r="L287" s="20" t="n">
        <v>-61</v>
      </c>
      <c r="N287" s="20" t="n">
        <v>-196</v>
      </c>
      <c r="P287" s="20" t="n">
        <v>-6.353</v>
      </c>
      <c r="Q287" s="20" t="n">
        <v>-13.324</v>
      </c>
      <c r="R287" s="20" t="n">
        <v>-6.911</v>
      </c>
      <c r="S287" s="20" t="n">
        <v>-5.222</v>
      </c>
      <c r="T287" s="20" t="n">
        <v>-12.353</v>
      </c>
      <c r="U287" s="20" t="n">
        <v>-29.806</v>
      </c>
      <c r="V287" s="20" t="n">
        <v>-40</v>
      </c>
      <c r="W287" s="20" t="n">
        <v>-76</v>
      </c>
      <c r="X287" s="20" t="n">
        <v>-196</v>
      </c>
    </row>
    <row r="288">
      <c r="A288" s="18" t="inlineStr">
        <is>
          <t>법인세 납부</t>
        </is>
      </c>
      <c r="D288" s="20" t="n">
        <v>-241</v>
      </c>
      <c r="F288" s="20" t="n">
        <v>-425</v>
      </c>
      <c r="H288" s="20" t="n">
        <v>-202</v>
      </c>
      <c r="J288" s="20" t="n">
        <v>-340</v>
      </c>
      <c r="L288" s="20" t="n">
        <v>-502</v>
      </c>
      <c r="N288" s="20" t="n">
        <v>-734</v>
      </c>
      <c r="P288" s="20" t="n">
        <v>-389.8</v>
      </c>
      <c r="Q288" s="20" t="n">
        <v>-454.993</v>
      </c>
      <c r="R288" s="20" t="n">
        <v>-668.643</v>
      </c>
      <c r="S288" s="20" t="n">
        <v>-148.311</v>
      </c>
      <c r="T288" s="20" t="n">
        <v>-189.791</v>
      </c>
      <c r="U288" s="20" t="n">
        <v>-366.536</v>
      </c>
      <c r="V288" s="20" t="n">
        <v>-425</v>
      </c>
      <c r="W288" s="20" t="n">
        <v>-340</v>
      </c>
      <c r="X288" s="20" t="n">
        <v>-734</v>
      </c>
    </row>
    <row r="289">
      <c r="A289" s="9" t="inlineStr">
        <is>
          <t>영업활동 현금흐름</t>
        </is>
      </c>
      <c r="D289" s="12" t="n">
        <v>-497</v>
      </c>
      <c r="F289" s="12" t="n">
        <v>-186</v>
      </c>
      <c r="H289" s="12" t="n">
        <v>528</v>
      </c>
      <c r="J289" s="12" t="n">
        <v>2920</v>
      </c>
      <c r="L289" s="12" t="n">
        <v>1355</v>
      </c>
      <c r="N289" s="12" t="n">
        <v>2402</v>
      </c>
      <c r="P289" s="12" t="n">
        <v>-946.691</v>
      </c>
      <c r="Q289" s="12" t="n">
        <v>1556.937</v>
      </c>
      <c r="R289" s="12" t="n">
        <v>3509.67</v>
      </c>
      <c r="S289" s="12" t="n">
        <v>1481.512</v>
      </c>
      <c r="T289" s="12" t="n">
        <v>-519.153</v>
      </c>
      <c r="U289" s="12" t="n">
        <v>668.1</v>
      </c>
      <c r="V289" s="12" t="n">
        <v>-186</v>
      </c>
      <c r="W289" s="12" t="n">
        <v>2920</v>
      </c>
      <c r="X289" s="12" t="n">
        <v>2402</v>
      </c>
    </row>
    <row r="290">
      <c r="A290" s="18" t="inlineStr">
        <is>
          <t>정기예금 순증감</t>
        </is>
      </c>
      <c r="D290" s="20" t="n">
        <v>169</v>
      </c>
      <c r="F290" s="20" t="n">
        <v>296</v>
      </c>
      <c r="H290" s="20" t="n">
        <v>237</v>
      </c>
      <c r="J290" s="20" t="n">
        <v>343</v>
      </c>
      <c r="L290" s="20" t="n">
        <v>-26</v>
      </c>
      <c r="N290" s="20" t="n">
        <v>387</v>
      </c>
      <c r="P290" s="20" t="n">
        <v>351.045</v>
      </c>
      <c r="Q290" s="20" t="n">
        <v>204.156</v>
      </c>
      <c r="R290" s="20" t="n">
        <v>-74.492</v>
      </c>
      <c r="S290" s="20" t="n">
        <v>-74.483</v>
      </c>
      <c r="T290" s="20" t="n">
        <v>380.175</v>
      </c>
      <c r="U290" s="20" t="n">
        <v>204.924</v>
      </c>
      <c r="V290" s="20" t="n">
        <v>296</v>
      </c>
      <c r="W290" s="20" t="n">
        <v>343</v>
      </c>
      <c r="X290" s="20" t="n">
        <v>387</v>
      </c>
    </row>
    <row r="291">
      <c r="A291" s="18" t="inlineStr">
        <is>
          <t>유형자산 취득(설비투자)</t>
        </is>
      </c>
      <c r="D291" s="20" t="n">
        <v>-191</v>
      </c>
      <c r="F291" s="20" t="n">
        <v>-575</v>
      </c>
      <c r="H291" s="20" t="n">
        <v>-416</v>
      </c>
      <c r="J291" s="20" t="n">
        <v>-595</v>
      </c>
      <c r="L291" s="20" t="n">
        <v>-328</v>
      </c>
      <c r="N291" s="20" t="n">
        <v>-807</v>
      </c>
      <c r="P291" s="20" t="n">
        <v>-292.866</v>
      </c>
      <c r="Q291" s="20" t="n">
        <v>-305.746</v>
      </c>
      <c r="R291" s="20" t="n">
        <v>-272.776</v>
      </c>
      <c r="S291" s="20" t="n">
        <v>-757.49</v>
      </c>
      <c r="T291" s="20" t="n">
        <v>-1250.951</v>
      </c>
      <c r="U291" s="20" t="n">
        <v>-377.133</v>
      </c>
      <c r="V291" s="20" t="n">
        <v>-575</v>
      </c>
      <c r="W291" s="20" t="n">
        <v>-595</v>
      </c>
      <c r="X291" s="20" t="n">
        <v>-807</v>
      </c>
    </row>
    <row r="292">
      <c r="A292" s="18" t="inlineStr">
        <is>
          <t>유형자산 매각</t>
        </is>
      </c>
      <c r="D292" s="20" t="n">
        <v>30</v>
      </c>
      <c r="F292" s="20" t="n">
        <v>32</v>
      </c>
      <c r="H292" s="20" t="n">
        <v>1</v>
      </c>
      <c r="J292" s="20" t="n">
        <v>9</v>
      </c>
      <c r="L292" s="20" t="n">
        <v>125</v>
      </c>
      <c r="N292" s="20" t="n">
        <v>129</v>
      </c>
      <c r="P292" s="20" t="n">
        <v>0.868</v>
      </c>
      <c r="Q292" s="20" t="n">
        <v>0.16</v>
      </c>
      <c r="R292" s="20" t="n">
        <v>63.419</v>
      </c>
      <c r="S292" s="20" t="n">
        <v>6.382</v>
      </c>
      <c r="T292" s="20" t="n">
        <v>1.559</v>
      </c>
      <c r="U292" s="20" t="n">
        <v>0.43</v>
      </c>
      <c r="V292" s="20" t="n">
        <v>32</v>
      </c>
      <c r="W292" s="20" t="n">
        <v>9</v>
      </c>
      <c r="X292" s="20" t="n">
        <v>129</v>
      </c>
    </row>
    <row r="293">
      <c r="A293" s="18" t="inlineStr">
        <is>
          <t>무형자산 취득</t>
        </is>
      </c>
      <c r="D293" s="20" t="n">
        <v>-20</v>
      </c>
      <c r="F293" s="20" t="n">
        <v>-28</v>
      </c>
      <c r="H293" s="20" t="n">
        <v>-36</v>
      </c>
      <c r="J293" s="20" t="n">
        <v>-44</v>
      </c>
      <c r="L293" s="20" t="n">
        <v>-884</v>
      </c>
      <c r="N293" s="20" t="n">
        <v>-1314</v>
      </c>
      <c r="P293" s="20" t="n">
        <v>-11.812</v>
      </c>
      <c r="Q293" s="20" t="n">
        <v>-44.483</v>
      </c>
      <c r="R293" s="20" t="n">
        <v>-19.252</v>
      </c>
      <c r="S293" s="20" t="n">
        <v>-25.058</v>
      </c>
      <c r="T293" s="20" t="n">
        <v>-38.851</v>
      </c>
      <c r="U293" s="20" t="n">
        <v>-39.76</v>
      </c>
      <c r="V293" s="20" t="n">
        <v>-28</v>
      </c>
      <c r="W293" s="20" t="n">
        <v>-44</v>
      </c>
      <c r="X293" s="20" t="n">
        <v>-1314</v>
      </c>
    </row>
    <row r="294">
      <c r="A294" s="18" t="inlineStr">
        <is>
          <t>투자유가증권 취득</t>
        </is>
      </c>
      <c r="D294" s="20" t="n">
        <v>-0</v>
      </c>
      <c r="F294" s="20" t="n">
        <v>-160</v>
      </c>
      <c r="H294" s="20" t="n">
        <v>-432</v>
      </c>
      <c r="J294" s="20" t="n">
        <v>-713</v>
      </c>
      <c r="L294" s="20" t="n">
        <v>-3</v>
      </c>
      <c r="N294" s="20" t="n">
        <v>-69</v>
      </c>
      <c r="P294" s="20" t="n">
        <v>-0.749</v>
      </c>
      <c r="Q294" s="20" t="n">
        <v>-0.8080000000000001</v>
      </c>
      <c r="R294" s="20" t="n">
        <v>-0.848</v>
      </c>
      <c r="S294" s="20" t="n">
        <v>-0.518</v>
      </c>
      <c r="T294" s="20" t="n">
        <v>-0.645</v>
      </c>
      <c r="U294" s="20" t="n">
        <v>-0.672</v>
      </c>
      <c r="V294" s="20" t="n">
        <v>-160</v>
      </c>
      <c r="W294" s="20" t="n">
        <v>-713</v>
      </c>
      <c r="X294" s="20" t="n">
        <v>-69</v>
      </c>
    </row>
    <row r="295">
      <c r="A295" s="18" t="inlineStr">
        <is>
          <t>투자유가증권 매각</t>
        </is>
      </c>
      <c r="D295" s="20" t="n">
        <v>58</v>
      </c>
      <c r="F295" s="20" t="n">
        <v>58</v>
      </c>
      <c r="H295" s="20" t="n">
        <v>0</v>
      </c>
      <c r="J295" s="20" t="n">
        <v>0</v>
      </c>
      <c r="N295" s="20" t="n">
        <v>550</v>
      </c>
      <c r="P295" s="20" t="n">
        <v>14.822</v>
      </c>
      <c r="Q295" s="20" t="n">
        <v>11.667</v>
      </c>
      <c r="R295" s="20" t="n">
        <v>0</v>
      </c>
      <c r="S295" s="20" t="n">
        <v>0</v>
      </c>
      <c r="T295" s="20" t="n">
        <v>0.76</v>
      </c>
      <c r="U295" s="20" t="n">
        <v>17.538</v>
      </c>
      <c r="V295" s="20" t="n">
        <v>58</v>
      </c>
      <c r="W295" s="20" t="n">
        <v>0</v>
      </c>
      <c r="X295" s="20" t="n">
        <v>550</v>
      </c>
    </row>
    <row r="296">
      <c r="A296" s="18" t="inlineStr">
        <is>
          <t>관계회사 대여 지출</t>
        </is>
      </c>
      <c r="F296" s="20" t="n">
        <v>0</v>
      </c>
      <c r="H296" s="20" t="n">
        <v>0</v>
      </c>
      <c r="J296" s="20" t="n">
        <v>-130</v>
      </c>
      <c r="L296" s="20" t="n">
        <v>-80</v>
      </c>
      <c r="N296" s="20" t="n">
        <v>-113</v>
      </c>
      <c r="V296" s="20" t="n">
        <v>0</v>
      </c>
      <c r="W296" s="20" t="n">
        <v>-130</v>
      </c>
      <c r="X296" s="20" t="n">
        <v>-113</v>
      </c>
    </row>
    <row r="297">
      <c r="A297" s="18" t="inlineStr">
        <is>
          <t>사업양수 지출</t>
        </is>
      </c>
      <c r="D297" s="20" t="n">
        <v>-7</v>
      </c>
      <c r="F297" s="20" t="n">
        <v>-7</v>
      </c>
      <c r="H297" s="20" t="n">
        <v>0</v>
      </c>
      <c r="J297" s="20" t="n">
        <v>0</v>
      </c>
      <c r="U297" s="20" t="n">
        <v>0</v>
      </c>
      <c r="V297" s="20" t="n">
        <v>-7</v>
      </c>
      <c r="W297" s="20" t="n">
        <v>0</v>
      </c>
    </row>
    <row r="298">
      <c r="A298" s="18" t="inlineStr">
        <is>
          <t>연결범위 변경 자회사 주식 취득</t>
        </is>
      </c>
      <c r="D298" s="20" t="n">
        <v>-143</v>
      </c>
      <c r="F298" s="20" t="n">
        <v>-143</v>
      </c>
      <c r="H298" s="20" t="n">
        <v>-761</v>
      </c>
      <c r="J298" s="20" t="n">
        <v>-2793</v>
      </c>
      <c r="L298" s="20" t="n">
        <v>0</v>
      </c>
      <c r="N298" s="20" t="n">
        <v>-1040</v>
      </c>
      <c r="T298" s="20" t="n">
        <v>0</v>
      </c>
      <c r="U298" s="20" t="n">
        <v>-1318.248</v>
      </c>
      <c r="V298" s="20" t="n">
        <v>-143</v>
      </c>
      <c r="W298" s="20" t="n">
        <v>-2793</v>
      </c>
      <c r="X298" s="20" t="n">
        <v>-1040</v>
      </c>
    </row>
    <row r="299">
      <c r="A299" s="18" t="inlineStr">
        <is>
          <t>연결범위 변경 자회사 주식 취득(수입)</t>
        </is>
      </c>
      <c r="P299" s="20" t="n">
        <v>141.388</v>
      </c>
      <c r="Q299" s="20" t="n">
        <v>0</v>
      </c>
      <c r="S299" s="20" t="n">
        <v>0</v>
      </c>
      <c r="T299" s="20" t="n">
        <v>246.836</v>
      </c>
      <c r="U299" s="20" t="n">
        <v>0</v>
      </c>
    </row>
    <row r="300">
      <c r="A300" s="18" t="inlineStr">
        <is>
          <t>연결범위 변경 자회사 주식 매각</t>
        </is>
      </c>
      <c r="J300" s="20" t="n">
        <v>0</v>
      </c>
      <c r="N300" s="20" t="n">
        <v>1363</v>
      </c>
      <c r="W300" s="20" t="n">
        <v>0</v>
      </c>
      <c r="X300" s="20" t="n">
        <v>1363</v>
      </c>
    </row>
    <row r="301">
      <c r="A301" s="18" t="inlineStr">
        <is>
          <t>기타</t>
        </is>
      </c>
      <c r="D301" s="20" t="n">
        <v>22</v>
      </c>
      <c r="F301" s="20" t="n">
        <v>72</v>
      </c>
      <c r="H301" s="20" t="n">
        <v>-2</v>
      </c>
      <c r="J301" s="20" t="n">
        <v>-7</v>
      </c>
      <c r="L301" s="20" t="n">
        <v>10</v>
      </c>
      <c r="N301" s="20" t="n">
        <v>14</v>
      </c>
      <c r="P301" s="20" t="n">
        <v>79.542</v>
      </c>
      <c r="Q301" s="20" t="n">
        <v>6.417</v>
      </c>
      <c r="R301" s="20" t="n">
        <v>-0.704</v>
      </c>
      <c r="S301" s="20" t="n">
        <v>0.314</v>
      </c>
      <c r="T301" s="20" t="n">
        <v>-12.469</v>
      </c>
      <c r="U301" s="20" t="n">
        <v>9.436</v>
      </c>
      <c r="V301" s="20" t="n">
        <v>72</v>
      </c>
      <c r="W301" s="20" t="n">
        <v>-7</v>
      </c>
      <c r="X301" s="20" t="n">
        <v>14</v>
      </c>
    </row>
    <row r="302">
      <c r="A302" s="9" t="inlineStr">
        <is>
          <t>투자활동 현금흐름</t>
        </is>
      </c>
      <c r="D302" s="12" t="n">
        <v>-82</v>
      </c>
      <c r="F302" s="12" t="n">
        <v>-455</v>
      </c>
      <c r="H302" s="12" t="n">
        <v>-1409</v>
      </c>
      <c r="J302" s="12" t="n">
        <v>-3931</v>
      </c>
      <c r="L302" s="12" t="n">
        <v>-1188</v>
      </c>
      <c r="N302" s="12" t="n">
        <v>-901</v>
      </c>
      <c r="P302" s="12" t="n">
        <v>282.24</v>
      </c>
      <c r="Q302" s="12" t="n">
        <v>-128.635</v>
      </c>
      <c r="R302" s="12" t="n">
        <v>-304.655</v>
      </c>
      <c r="S302" s="12" t="n">
        <v>-850.853</v>
      </c>
      <c r="T302" s="12" t="n">
        <v>-673.585</v>
      </c>
      <c r="U302" s="12" t="n">
        <v>-1503.483</v>
      </c>
      <c r="V302" s="12" t="n">
        <v>-455</v>
      </c>
      <c r="W302" s="12" t="n">
        <v>-3931</v>
      </c>
      <c r="X302" s="12" t="n">
        <v>-901</v>
      </c>
    </row>
    <row r="303">
      <c r="A303" s="18" t="inlineStr">
        <is>
          <t>단기차입금 순증감</t>
        </is>
      </c>
      <c r="D303" s="20" t="n">
        <v>280</v>
      </c>
      <c r="F303" s="20" t="n">
        <v>620</v>
      </c>
      <c r="H303" s="20" t="n">
        <v>2495</v>
      </c>
      <c r="J303" s="20" t="n">
        <v>1580</v>
      </c>
      <c r="L303" s="20" t="n">
        <v>2050</v>
      </c>
      <c r="N303" s="20" t="n">
        <v>2807</v>
      </c>
      <c r="P303" s="20" t="n">
        <v>595</v>
      </c>
      <c r="Q303" s="20" t="n">
        <v>775</v>
      </c>
      <c r="R303" s="20" t="n">
        <v>-1590</v>
      </c>
      <c r="S303" s="20" t="n">
        <v>-40</v>
      </c>
      <c r="T303" s="20" t="n">
        <v>-437.472</v>
      </c>
      <c r="U303" s="20" t="n">
        <v>1450</v>
      </c>
      <c r="V303" s="20" t="n">
        <v>620</v>
      </c>
      <c r="W303" s="20" t="n">
        <v>1580</v>
      </c>
      <c r="X303" s="20" t="n">
        <v>2807</v>
      </c>
    </row>
    <row r="304">
      <c r="A304" s="18" t="inlineStr">
        <is>
          <t>장기차입</t>
        </is>
      </c>
      <c r="D304" s="20" t="n">
        <v>30</v>
      </c>
      <c r="F304" s="20" t="n">
        <v>530</v>
      </c>
      <c r="H304" s="20" t="n">
        <v>43</v>
      </c>
      <c r="J304" s="20" t="n">
        <v>2543</v>
      </c>
      <c r="L304" s="20" t="n">
        <v>0</v>
      </c>
      <c r="N304" s="20" t="n">
        <v>1618</v>
      </c>
      <c r="P304" s="20" t="n">
        <v>0</v>
      </c>
      <c r="Q304" s="20" t="n">
        <v>192</v>
      </c>
      <c r="R304" s="20" t="n">
        <v>108</v>
      </c>
      <c r="S304" s="20" t="n">
        <v>20</v>
      </c>
      <c r="T304" s="20" t="n">
        <v>2350</v>
      </c>
      <c r="U304" s="20" t="n">
        <v>1800</v>
      </c>
      <c r="V304" s="20" t="n">
        <v>530</v>
      </c>
      <c r="W304" s="20" t="n">
        <v>2543</v>
      </c>
      <c r="X304" s="20" t="n">
        <v>1618</v>
      </c>
    </row>
    <row r="305">
      <c r="A305" s="18" t="inlineStr">
        <is>
          <t>장기차입금 상환</t>
        </is>
      </c>
      <c r="D305" s="20" t="n">
        <v>-588</v>
      </c>
      <c r="F305" s="20" t="n">
        <v>-1137</v>
      </c>
      <c r="H305" s="20" t="n">
        <v>-524</v>
      </c>
      <c r="J305" s="20" t="n">
        <v>-1181</v>
      </c>
      <c r="L305" s="20" t="n">
        <v>-619</v>
      </c>
      <c r="N305" s="20" t="n">
        <v>-1931</v>
      </c>
      <c r="P305" s="20" t="n">
        <v>-151.817</v>
      </c>
      <c r="Q305" s="20" t="n">
        <v>-331.122</v>
      </c>
      <c r="R305" s="20" t="n">
        <v>-192.627</v>
      </c>
      <c r="S305" s="20" t="n">
        <v>-208.292</v>
      </c>
      <c r="T305" s="20" t="n">
        <v>-926.789</v>
      </c>
      <c r="U305" s="20" t="n">
        <v>-983.157</v>
      </c>
      <c r="V305" s="20" t="n">
        <v>-1137</v>
      </c>
      <c r="W305" s="20" t="n">
        <v>-1181</v>
      </c>
      <c r="X305" s="20" t="n">
        <v>-1931</v>
      </c>
    </row>
    <row r="306">
      <c r="A306" s="18" t="inlineStr">
        <is>
          <t>사채 상환</t>
        </is>
      </c>
      <c r="S306" s="20" t="n">
        <v>0</v>
      </c>
      <c r="T306" s="20" t="n">
        <v>-260</v>
      </c>
      <c r="U306" s="20" t="n">
        <v>0</v>
      </c>
    </row>
    <row r="307">
      <c r="A307" s="18" t="inlineStr">
        <is>
          <t>자기주식 매각</t>
        </is>
      </c>
      <c r="D307" s="20" t="n">
        <v>0</v>
      </c>
      <c r="F307" s="20" t="n">
        <v>0</v>
      </c>
      <c r="J307" s="20" t="n">
        <v>0</v>
      </c>
      <c r="S307" s="20" t="n">
        <v>0</v>
      </c>
      <c r="T307" s="20" t="n">
        <v>0.043</v>
      </c>
      <c r="U307" s="20" t="n">
        <v>0.073</v>
      </c>
      <c r="V307" s="20" t="n">
        <v>0</v>
      </c>
      <c r="W307" s="20" t="n">
        <v>0</v>
      </c>
    </row>
    <row r="308">
      <c r="A308" s="18" t="inlineStr">
        <is>
          <t>자기주식 취득</t>
        </is>
      </c>
      <c r="D308" s="20" t="n">
        <v>0</v>
      </c>
      <c r="F308" s="20" t="n">
        <v>-0</v>
      </c>
      <c r="H308" s="20" t="n">
        <v>-141</v>
      </c>
      <c r="J308" s="20" t="n">
        <v>-140</v>
      </c>
      <c r="L308" s="20" t="n">
        <v>0</v>
      </c>
      <c r="N308" s="20" t="n">
        <v>0</v>
      </c>
      <c r="U308" s="20" t="n">
        <v>0</v>
      </c>
      <c r="V308" s="20" t="n">
        <v>-0</v>
      </c>
      <c r="W308" s="20" t="n">
        <v>-140</v>
      </c>
      <c r="X308" s="20" t="n">
        <v>0</v>
      </c>
    </row>
    <row r="309">
      <c r="A309" s="18" t="inlineStr">
        <is>
          <t>설비 할부채무 상환 지출</t>
        </is>
      </c>
      <c r="D309" s="20" t="n">
        <v>-0</v>
      </c>
      <c r="F309" s="20" t="n">
        <v>-0</v>
      </c>
      <c r="H309" s="20" t="n">
        <v>0</v>
      </c>
      <c r="J309" s="20" t="n">
        <v>0</v>
      </c>
      <c r="P309" s="20" t="n">
        <v>-8.522</v>
      </c>
      <c r="Q309" s="20" t="n">
        <v>-5.381</v>
      </c>
      <c r="R309" s="20" t="n">
        <v>-2.239</v>
      </c>
      <c r="S309" s="20" t="n">
        <v>-0.373</v>
      </c>
      <c r="T309" s="20" t="n">
        <v>0</v>
      </c>
      <c r="U309" s="20" t="n">
        <v>-0.378</v>
      </c>
      <c r="V309" s="20" t="n">
        <v>-0</v>
      </c>
      <c r="W309" s="20" t="n">
        <v>0</v>
      </c>
    </row>
    <row r="310">
      <c r="A310" s="18" t="inlineStr">
        <is>
          <t>리스부채 상환</t>
        </is>
      </c>
      <c r="D310" s="20" t="n">
        <v>-8</v>
      </c>
      <c r="F310" s="20" t="n">
        <v>-17</v>
      </c>
      <c r="H310" s="20" t="n">
        <v>-10</v>
      </c>
      <c r="J310" s="20" t="n">
        <v>-24</v>
      </c>
      <c r="L310" s="20" t="n">
        <v>-15</v>
      </c>
      <c r="N310" s="20" t="n">
        <v>-31</v>
      </c>
      <c r="P310" s="20" t="n">
        <v>-38.476</v>
      </c>
      <c r="Q310" s="20" t="n">
        <v>-56.622</v>
      </c>
      <c r="R310" s="20" t="n">
        <v>-44.639</v>
      </c>
      <c r="S310" s="20" t="n">
        <v>-17.137</v>
      </c>
      <c r="T310" s="20" t="n">
        <v>-15.284</v>
      </c>
      <c r="U310" s="20" t="n">
        <v>-17.287</v>
      </c>
      <c r="V310" s="20" t="n">
        <v>-17</v>
      </c>
      <c r="W310" s="20" t="n">
        <v>-24</v>
      </c>
      <c r="X310" s="20" t="n">
        <v>-31</v>
      </c>
    </row>
    <row r="311">
      <c r="A311" s="18" t="inlineStr">
        <is>
          <t>배당금 지급</t>
        </is>
      </c>
      <c r="D311" s="20" t="n">
        <v>-196</v>
      </c>
      <c r="F311" s="20" t="n">
        <v>-196</v>
      </c>
      <c r="H311" s="20" t="n">
        <v>-229</v>
      </c>
      <c r="J311" s="20" t="n">
        <v>-229</v>
      </c>
      <c r="L311" s="20" t="n">
        <v>-255</v>
      </c>
      <c r="N311" s="20" t="n">
        <v>-256</v>
      </c>
      <c r="P311" s="20" t="n">
        <v>-160.616</v>
      </c>
      <c r="Q311" s="20" t="n">
        <v>-192.739</v>
      </c>
      <c r="R311" s="20" t="n">
        <v>-192.479</v>
      </c>
      <c r="S311" s="20" t="n">
        <v>-160.092</v>
      </c>
      <c r="T311" s="20" t="n">
        <v>-160.324</v>
      </c>
      <c r="U311" s="20" t="n">
        <v>-97.682</v>
      </c>
      <c r="V311" s="20" t="n">
        <v>-196</v>
      </c>
      <c r="W311" s="20" t="n">
        <v>-229</v>
      </c>
      <c r="X311" s="20" t="n">
        <v>-256</v>
      </c>
    </row>
    <row r="312">
      <c r="A312" s="9" t="inlineStr">
        <is>
          <t>재무활동 현금흐름</t>
        </is>
      </c>
      <c r="D312" s="12" t="n">
        <v>-483</v>
      </c>
      <c r="F312" s="12" t="n">
        <v>-202</v>
      </c>
      <c r="H312" s="12" t="n">
        <v>1632</v>
      </c>
      <c r="J312" s="12" t="n">
        <v>2547</v>
      </c>
      <c r="L312" s="12" t="n">
        <v>1159</v>
      </c>
      <c r="N312" s="12" t="n">
        <v>2206</v>
      </c>
      <c r="P312" s="12" t="n">
        <v>235.567</v>
      </c>
      <c r="Q312" s="12" t="n">
        <v>381.134</v>
      </c>
      <c r="R312" s="12" t="n">
        <v>-1913.985</v>
      </c>
      <c r="S312" s="12" t="n">
        <v>-405.895</v>
      </c>
      <c r="T312" s="12" t="n">
        <v>550.172</v>
      </c>
      <c r="U312" s="12" t="n">
        <v>2151.568</v>
      </c>
      <c r="V312" s="12" t="n">
        <v>-202</v>
      </c>
      <c r="W312" s="12" t="n">
        <v>2547</v>
      </c>
      <c r="X312" s="12" t="n">
        <v>2206</v>
      </c>
    </row>
    <row r="313">
      <c r="A313" s="18" t="inlineStr">
        <is>
          <t>현금성자산 증감</t>
        </is>
      </c>
      <c r="D313" s="20" t="n">
        <v>-1063</v>
      </c>
      <c r="F313" s="20" t="n">
        <v>-844</v>
      </c>
      <c r="H313" s="20" t="n">
        <v>751</v>
      </c>
      <c r="J313" s="20" t="n">
        <v>1536</v>
      </c>
      <c r="L313" s="20" t="n">
        <v>1326</v>
      </c>
      <c r="N313" s="20" t="n">
        <v>3708</v>
      </c>
      <c r="P313" s="20" t="n">
        <v>-428.883</v>
      </c>
      <c r="Q313" s="20" t="n">
        <v>1809.437</v>
      </c>
      <c r="R313" s="20" t="n">
        <v>1291.03</v>
      </c>
      <c r="S313" s="20" t="n">
        <v>224.763</v>
      </c>
      <c r="T313" s="20" t="n">
        <v>-642.5650000000001</v>
      </c>
      <c r="U313" s="20" t="n">
        <v>1316.185</v>
      </c>
      <c r="V313" s="20" t="n">
        <v>-844</v>
      </c>
      <c r="W313" s="20" t="n">
        <v>1536</v>
      </c>
      <c r="X313" s="20" t="n">
        <v>3708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닛소그룹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15832</v>
      </c>
      <c r="D5" s="12" t="n">
        <v>15500</v>
      </c>
      <c r="E5" s="12" t="n">
        <v>16616</v>
      </c>
      <c r="F5" s="12" t="n">
        <v>22259</v>
      </c>
      <c r="G5" s="12" t="n">
        <v>21618</v>
      </c>
      <c r="H5" s="11" t="n">
        <v>9694.358</v>
      </c>
      <c r="I5" s="12" t="n">
        <v>14158.217</v>
      </c>
      <c r="J5" s="12" t="n">
        <v>14303</v>
      </c>
      <c r="K5" s="12" t="n">
        <v>15832</v>
      </c>
      <c r="L5" s="12" t="n">
        <v>21618</v>
      </c>
    </row>
    <row r="6">
      <c r="A6" s="18" t="inlineStr">
        <is>
          <t>현금및현금성자산</t>
        </is>
      </c>
      <c r="B6" s="10" t="n"/>
      <c r="C6" s="19" t="n">
        <v>7752</v>
      </c>
      <c r="D6" s="20" t="n">
        <v>6997</v>
      </c>
      <c r="E6" s="20" t="n">
        <v>9104</v>
      </c>
      <c r="F6" s="20" t="n">
        <v>10986</v>
      </c>
      <c r="G6" s="20" t="n">
        <v>10982</v>
      </c>
      <c r="H6" s="19" t="n">
        <v>5753.467</v>
      </c>
      <c r="I6" s="20" t="n">
        <v>7291.401</v>
      </c>
      <c r="J6" s="20" t="n">
        <v>6153</v>
      </c>
      <c r="K6" s="20" t="n">
        <v>7752</v>
      </c>
      <c r="L6" s="20" t="n">
        <v>10982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2365</v>
      </c>
      <c r="D8" s="20" t="n">
        <v>4146</v>
      </c>
      <c r="E8" s="20" t="n">
        <v>3334</v>
      </c>
      <c r="F8" s="20" t="n">
        <v>2271</v>
      </c>
      <c r="G8" s="20" t="n">
        <v>1874</v>
      </c>
      <c r="H8" s="19" t="n">
        <v>1471.531</v>
      </c>
      <c r="I8" s="20" t="n">
        <v>2206.847</v>
      </c>
      <c r="J8" s="20" t="n">
        <v>2550</v>
      </c>
      <c r="K8" s="20" t="n">
        <v>2365</v>
      </c>
      <c r="L8" s="20" t="n">
        <v>1874</v>
      </c>
    </row>
    <row r="9">
      <c r="A9" s="18" t="inlineStr">
        <is>
          <t>재고자산</t>
        </is>
      </c>
      <c r="B9" s="10" t="n"/>
      <c r="C9" s="19" t="n">
        <v>2756</v>
      </c>
      <c r="D9" s="20" t="n">
        <v>2605</v>
      </c>
      <c r="E9" s="20" t="n">
        <v>2528</v>
      </c>
      <c r="F9" s="20" t="n">
        <v>4154</v>
      </c>
      <c r="G9" s="20" t="n">
        <v>3681</v>
      </c>
      <c r="H9" s="19" t="n">
        <v>882.821</v>
      </c>
      <c r="I9" s="20" t="n">
        <v>2373.973</v>
      </c>
      <c r="J9" s="20" t="n">
        <v>2939</v>
      </c>
      <c r="K9" s="20" t="n">
        <v>2756</v>
      </c>
      <c r="L9" s="20" t="n">
        <v>3681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11116</v>
      </c>
      <c r="D11" s="12" t="n">
        <v>10947</v>
      </c>
      <c r="E11" s="12" t="n">
        <v>11709</v>
      </c>
      <c r="F11" s="12" t="n">
        <v>14013</v>
      </c>
      <c r="G11" s="12" t="n">
        <v>13485</v>
      </c>
      <c r="H11" s="11" t="n">
        <v>4787.773</v>
      </c>
      <c r="I11" s="12" t="n">
        <v>7728.226</v>
      </c>
      <c r="J11" s="12" t="n">
        <v>8102</v>
      </c>
      <c r="K11" s="12" t="n">
        <v>11116</v>
      </c>
      <c r="L11" s="12" t="n">
        <v>13485</v>
      </c>
    </row>
    <row r="12">
      <c r="A12" s="18" t="inlineStr">
        <is>
          <t>유형자산</t>
        </is>
      </c>
      <c r="B12" s="10" t="n"/>
      <c r="C12" s="19" t="n">
        <v>7471</v>
      </c>
      <c r="D12" s="20" t="n">
        <v>7266</v>
      </c>
      <c r="E12" s="20" t="n">
        <v>7332</v>
      </c>
      <c r="F12" s="20" t="n">
        <v>9167</v>
      </c>
      <c r="G12" s="20" t="n">
        <v>8559</v>
      </c>
      <c r="H12" s="19" t="n">
        <v>4271.323</v>
      </c>
      <c r="I12" s="20" t="n">
        <v>6712.688</v>
      </c>
      <c r="J12" s="20" t="n">
        <v>6928</v>
      </c>
      <c r="K12" s="20" t="n">
        <v>7471</v>
      </c>
      <c r="L12" s="20" t="n">
        <v>8559</v>
      </c>
    </row>
    <row r="13">
      <c r="A13" s="18" t="inlineStr">
        <is>
          <t>무형자산</t>
        </is>
      </c>
      <c r="B13" s="10" t="n"/>
      <c r="C13" s="19" t="n">
        <v>2155</v>
      </c>
      <c r="D13" s="20" t="n">
        <v>2214</v>
      </c>
      <c r="E13" s="20" t="n">
        <v>2879</v>
      </c>
      <c r="F13" s="20" t="n">
        <v>3646</v>
      </c>
      <c r="G13" s="20" t="n">
        <v>3695</v>
      </c>
      <c r="H13" s="19" t="n">
        <v>308.282</v>
      </c>
      <c r="I13" s="20" t="n">
        <v>550.346</v>
      </c>
      <c r="J13" s="20" t="n">
        <v>646</v>
      </c>
      <c r="K13" s="20" t="n">
        <v>2155</v>
      </c>
      <c r="L13" s="20" t="n">
        <v>3695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26948</v>
      </c>
      <c r="D16" s="12" t="n">
        <v>26447</v>
      </c>
      <c r="E16" s="12" t="n">
        <v>28326</v>
      </c>
      <c r="F16" s="12" t="n">
        <v>36272</v>
      </c>
      <c r="G16" s="12" t="n">
        <v>35104</v>
      </c>
      <c r="H16" s="11" t="n">
        <v>14482.132</v>
      </c>
      <c r="I16" s="12" t="n">
        <v>21886.443</v>
      </c>
      <c r="J16" s="12" t="n">
        <v>22405</v>
      </c>
      <c r="K16" s="12" t="n">
        <v>26948</v>
      </c>
      <c r="L16" s="12" t="n">
        <v>35104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8615</v>
      </c>
      <c r="D18" s="12" t="n">
        <v>8397</v>
      </c>
      <c r="E18" s="12" t="n">
        <v>10338</v>
      </c>
      <c r="F18" s="12" t="n">
        <v>14463</v>
      </c>
      <c r="G18" s="12" t="n">
        <v>13607</v>
      </c>
      <c r="H18" s="11" t="n">
        <v>2264.088</v>
      </c>
      <c r="I18" s="12" t="n">
        <v>5474.005</v>
      </c>
      <c r="J18" s="12" t="n">
        <v>6290</v>
      </c>
      <c r="K18" s="12" t="n">
        <v>8615</v>
      </c>
      <c r="L18" s="12" t="n">
        <v>13607</v>
      </c>
    </row>
    <row r="19">
      <c r="A19" s="18" t="inlineStr">
        <is>
          <t>매입채무</t>
        </is>
      </c>
      <c r="B19" s="10" t="n"/>
      <c r="C19" s="19" t="n">
        <v>1106</v>
      </c>
      <c r="D19" s="20" t="n">
        <v>1232</v>
      </c>
      <c r="E19" s="20" t="n">
        <v>1214</v>
      </c>
      <c r="F19" s="20" t="n">
        <v>1811</v>
      </c>
      <c r="G19" s="20" t="n">
        <v>1243</v>
      </c>
      <c r="H19" s="19" t="n">
        <v>275.687</v>
      </c>
      <c r="I19" s="20" t="n">
        <v>773.603</v>
      </c>
      <c r="J19" s="20" t="n">
        <v>704</v>
      </c>
      <c r="K19" s="20" t="n">
        <v>1106</v>
      </c>
      <c r="L19" s="20" t="n">
        <v>1243</v>
      </c>
    </row>
    <row r="20">
      <c r="A20" s="18" t="inlineStr">
        <is>
          <t>단기차입금</t>
        </is>
      </c>
      <c r="B20" s="10" t="n"/>
      <c r="C20" s="19" t="n">
        <v>4150</v>
      </c>
      <c r="D20" s="20" t="n">
        <v>4250</v>
      </c>
      <c r="E20" s="20" t="n">
        <v>6200</v>
      </c>
      <c r="F20" s="20" t="n">
        <v>8171</v>
      </c>
      <c r="G20" s="20" t="n">
        <v>7579</v>
      </c>
      <c r="H20" s="19" t="n">
        <v>500</v>
      </c>
      <c r="I20" s="20" t="n">
        <v>1950</v>
      </c>
      <c r="J20" s="20" t="n">
        <v>2570</v>
      </c>
      <c r="K20" s="20" t="n">
        <v>4150</v>
      </c>
      <c r="L20" s="20" t="n">
        <v>7579</v>
      </c>
    </row>
    <row r="21">
      <c r="A21" s="18" t="inlineStr">
        <is>
          <t>유동성장기부채</t>
        </is>
      </c>
      <c r="B21" s="10" t="n"/>
      <c r="C21" s="19" t="n">
        <v>1093</v>
      </c>
      <c r="D21" s="20" t="n">
        <v>948</v>
      </c>
      <c r="E21" s="20" t="n">
        <v>901</v>
      </c>
      <c r="F21" s="20" t="n">
        <v>1878</v>
      </c>
      <c r="G21" s="20" t="n">
        <v>1694</v>
      </c>
      <c r="H21" s="19" t="n">
        <v>522.7910000000001</v>
      </c>
      <c r="I21" s="20" t="n">
        <v>1091.146</v>
      </c>
      <c r="J21" s="20" t="n">
        <v>1139</v>
      </c>
      <c r="K21" s="20" t="n">
        <v>1093</v>
      </c>
      <c r="L21" s="20" t="n">
        <v>1694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5683</v>
      </c>
      <c r="D23" s="12" t="n">
        <v>5511</v>
      </c>
      <c r="E23" s="12" t="n">
        <v>5320</v>
      </c>
      <c r="F23" s="12" t="n">
        <v>9205</v>
      </c>
      <c r="G23" s="12" t="n">
        <v>8538</v>
      </c>
      <c r="H23" s="11" t="n">
        <v>2490.055</v>
      </c>
      <c r="I23" s="12" t="n">
        <v>5248.508</v>
      </c>
      <c r="J23" s="12" t="n">
        <v>4056</v>
      </c>
      <c r="K23" s="12" t="n">
        <v>5683</v>
      </c>
      <c r="L23" s="12" t="n">
        <v>8538</v>
      </c>
    </row>
    <row r="24">
      <c r="A24" s="18" t="inlineStr">
        <is>
          <t>장기차입금</t>
        </is>
      </c>
      <c r="B24" s="10" t="n"/>
      <c r="C24" s="19" t="n">
        <v>4849</v>
      </c>
      <c r="D24" s="20" t="n">
        <v>4645</v>
      </c>
      <c r="E24" s="20" t="n">
        <v>4421</v>
      </c>
      <c r="F24" s="20" t="n">
        <v>8017</v>
      </c>
      <c r="G24" s="20" t="n">
        <v>7556</v>
      </c>
      <c r="H24" s="19" t="n">
        <v>2065.02</v>
      </c>
      <c r="I24" s="20" t="n">
        <v>3981.526</v>
      </c>
      <c r="J24" s="20" t="n">
        <v>3442</v>
      </c>
      <c r="K24" s="20" t="n">
        <v>4849</v>
      </c>
      <c r="L24" s="20" t="n">
        <v>7556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14299</v>
      </c>
      <c r="D27" s="12" t="n">
        <v>13908</v>
      </c>
      <c r="E27" s="12" t="n">
        <v>15659</v>
      </c>
      <c r="F27" s="12" t="n">
        <v>23668</v>
      </c>
      <c r="G27" s="12" t="n">
        <v>22145</v>
      </c>
      <c r="H27" s="11" t="n">
        <v>4754.143</v>
      </c>
      <c r="I27" s="12" t="n">
        <v>10722.514</v>
      </c>
      <c r="J27" s="12" t="n">
        <v>10346</v>
      </c>
      <c r="K27" s="12" t="n">
        <v>14299</v>
      </c>
      <c r="L27" s="12" t="n">
        <v>22145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12648</v>
      </c>
      <c r="D31" s="12" t="n">
        <v>12538</v>
      </c>
      <c r="E31" s="12" t="n">
        <v>12666</v>
      </c>
      <c r="F31" s="12" t="n">
        <v>12603</v>
      </c>
      <c r="G31" s="12" t="n">
        <v>12958</v>
      </c>
      <c r="H31" s="11" t="n">
        <v>9672.163</v>
      </c>
      <c r="I31" s="12" t="n">
        <v>11161.029</v>
      </c>
      <c r="J31" s="12" t="n">
        <v>12058</v>
      </c>
      <c r="K31" s="12" t="n">
        <v>12648</v>
      </c>
      <c r="L31" s="12" t="n">
        <v>12958</v>
      </c>
    </row>
    <row r="32">
      <c r="A32" s="18" t="inlineStr">
        <is>
          <t>자본금</t>
        </is>
      </c>
      <c r="B32" s="10" t="n"/>
      <c r="C32" s="19" t="n">
        <v>1190</v>
      </c>
      <c r="D32" s="20" t="n">
        <v>1190</v>
      </c>
      <c r="E32" s="20" t="n">
        <v>1190</v>
      </c>
      <c r="F32" s="20" t="n">
        <v>1190</v>
      </c>
      <c r="G32" s="20" t="n">
        <v>1190</v>
      </c>
      <c r="H32" s="19" t="n">
        <v>1176.968</v>
      </c>
      <c r="I32" s="20" t="n">
        <v>1176.968</v>
      </c>
      <c r="J32" s="20" t="n">
        <v>1176</v>
      </c>
      <c r="K32" s="20" t="n">
        <v>1190</v>
      </c>
      <c r="L32" s="20" t="n">
        <v>1190</v>
      </c>
    </row>
    <row r="33">
      <c r="A33" s="18" t="inlineStr">
        <is>
          <t>이익잉여금</t>
        </is>
      </c>
      <c r="B33" s="10" t="n"/>
      <c r="C33" s="19" t="n">
        <v>10672</v>
      </c>
      <c r="D33" s="20" t="n">
        <v>10557</v>
      </c>
      <c r="E33" s="20" t="n">
        <v>10664</v>
      </c>
      <c r="F33" s="20" t="n">
        <v>10574</v>
      </c>
      <c r="G33" s="20" t="n">
        <v>10933</v>
      </c>
      <c r="H33" s="19" t="n">
        <v>8113.015</v>
      </c>
      <c r="I33" s="20" t="n">
        <v>9533.977999999999</v>
      </c>
      <c r="J33" s="20" t="n">
        <v>9984</v>
      </c>
      <c r="K33" s="20" t="n">
        <v>10672</v>
      </c>
      <c r="L33" s="20" t="n">
        <v>10933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12648</v>
      </c>
      <c r="D35" s="12" t="n">
        <v>12538</v>
      </c>
      <c r="E35" s="12" t="n">
        <v>12666</v>
      </c>
      <c r="F35" s="12" t="n">
        <v>12603</v>
      </c>
      <c r="G35" s="12" t="n">
        <v>12958</v>
      </c>
      <c r="H35" s="11" t="n">
        <v>9727.987999999999</v>
      </c>
      <c r="I35" s="12" t="n">
        <v>11163.929</v>
      </c>
      <c r="J35" s="12" t="n">
        <v>12058</v>
      </c>
      <c r="K35" s="12" t="n">
        <v>12648</v>
      </c>
      <c r="L35" s="12" t="n">
        <v>12958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2920</v>
      </c>
      <c r="D37" s="12" t="n"/>
      <c r="E37" s="12" t="n">
        <v>3747</v>
      </c>
      <c r="F37" s="12" t="n"/>
      <c r="G37" s="12" t="n">
        <v>2402</v>
      </c>
      <c r="H37" s="11" t="n">
        <v>-519.153</v>
      </c>
      <c r="I37" s="12" t="n">
        <v>668.1</v>
      </c>
      <c r="J37" s="12" t="n">
        <v>-186</v>
      </c>
      <c r="K37" s="12" t="n">
        <v>2920</v>
      </c>
      <c r="L37" s="12" t="n">
        <v>2402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639</v>
      </c>
      <c r="D38" s="20" t="n"/>
      <c r="E38" s="20" t="n">
        <v>1399</v>
      </c>
      <c r="F38" s="20" t="n"/>
      <c r="G38" s="20" t="n">
        <v>2121</v>
      </c>
      <c r="H38" s="19" t="n">
        <v>1289.802</v>
      </c>
      <c r="I38" s="20" t="n">
        <v>416.893</v>
      </c>
      <c r="J38" s="20" t="n">
        <v>603</v>
      </c>
      <c r="K38" s="20" t="n">
        <v>639</v>
      </c>
      <c r="L38" s="20" t="n">
        <v>2121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229</v>
      </c>
      <c r="D40" s="20" t="n"/>
      <c r="E40" s="20" t="n">
        <v>255</v>
      </c>
      <c r="F40" s="20" t="n"/>
      <c r="G40" s="20" t="n">
        <v>256</v>
      </c>
      <c r="H40" s="19" t="n">
        <v>160.324</v>
      </c>
      <c r="I40" s="20" t="n">
        <v>97.682</v>
      </c>
      <c r="J40" s="20" t="n">
        <v>196</v>
      </c>
      <c r="K40" s="20" t="n">
        <v>229</v>
      </c>
      <c r="L40" s="20" t="n">
        <v>256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IFERROR((IF(COUNT('연간'!G43:J43)&lt;4,"",SUM('연간'!G43:J43)))/(IF(COUNT('연간'!G65:J65)&lt;4,"",SUM('연간'!G65:J65))),"")</f>
        <v/>
      </c>
      <c r="D48" s="31">
        <f>IFERROR((IF(COUNT('연간'!H43:K43)&lt;4,"",SUM('연간'!H43:K43)))/(IF(COUNT('연간'!H65:K65)&lt;4,"",SUM('연간'!H65:K65))),"")</f>
        <v/>
      </c>
      <c r="E48" s="31">
        <f>IFERROR((IF(COUNT('연간'!I43:L43)&lt;4,"",SUM('연간'!I43:L43)))/(IF(COUNT('연간'!I65:L65)&lt;4,"",SUM('연간'!I65:L65))),"")</f>
        <v/>
      </c>
      <c r="F48" s="31">
        <f>IFERROR((IF(COUNT('연간'!J43:M43)&lt;4,"",SUM('연간'!J43:M43)))/(IF(COUNT('연간'!J65:M65)&lt;4,"",SUM('연간'!J65:M65))),"")</f>
        <v/>
      </c>
      <c r="G48" s="31">
        <f>IFERROR((IF(COUNT('연간'!K43:N43)&lt;4,"",SUM('연간'!K43:N43)))/(IF(COUNT('연간'!K65:N65)&lt;4,"",SUM('연간'!K65:N65))),"")</f>
        <v/>
      </c>
      <c r="H48" s="30">
        <f>IFERROR(('연간'!T43)/('연간'!T65),"")</f>
        <v/>
      </c>
      <c r="I48" s="31">
        <f>IFERROR(('연간'!U43)/('연간'!U65),"")</f>
        <v/>
      </c>
      <c r="J48" s="31">
        <f>IFERROR(('연간'!V43)/('연간'!V65),"")</f>
        <v/>
      </c>
      <c r="K48" s="31">
        <f>IFERROR(('연간'!W43)/('연간'!W65),"")</f>
        <v/>
      </c>
      <c r="L48" s="31">
        <f>IFERROR(('연간'!X43)/('연간'!X65),"")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IFERROR(IF((IF(COUNT('연간'!G73:J73)&lt;4,"",SUM('연간'!G73:J73)))&lt;=0,"적자",C28/(IF(COUNT('연간'!G73:J73)&lt;4,"",SUM('연간'!G73:J73)))),"")</f>
        <v/>
      </c>
      <c r="D49" s="47">
        <f>IFERROR(IF((IF(COUNT('연간'!H73:K73)&lt;4,"",SUM('연간'!H73:K73)))&lt;=0,"적자",D28/(IF(COUNT('연간'!H73:K73)&lt;4,"",SUM('연간'!H73:K73)))),"")</f>
        <v/>
      </c>
      <c r="E49" s="47">
        <f>IFERROR(IF((IF(COUNT('연간'!I73:L73)&lt;4,"",SUM('연간'!I73:L73)))&lt;=0,"적자",E28/(IF(COUNT('연간'!I73:L73)&lt;4,"",SUM('연간'!I73:L73)))),"")</f>
        <v/>
      </c>
      <c r="F49" s="47">
        <f>IFERROR(IF((IF(COUNT('연간'!J73:M73)&lt;4,"",SUM('연간'!J73:M73)))&lt;=0,"적자",F28/(IF(COUNT('연간'!J73:M73)&lt;4,"",SUM('연간'!J73:M73)))),"")</f>
        <v/>
      </c>
      <c r="G49" s="47">
        <f>IFERROR(IF((IF(COUNT('연간'!K73:N73)&lt;4,"",SUM('연간'!K73:N73)))&lt;=0,"적자",G28/(IF(COUNT('연간'!K73:N73)&lt;4,"",SUM('연간'!K73:N73)))),"")</f>
        <v/>
      </c>
      <c r="H49" s="46">
        <f>IFERROR(IF(('연간'!T73)&lt;=0,"적자",H28/('연간'!T73)),"")</f>
        <v/>
      </c>
      <c r="I49" s="47">
        <f>IFERROR(IF(('연간'!U73)&lt;=0,"적자",I28/('연간'!U73)),"")</f>
        <v/>
      </c>
      <c r="J49" s="47">
        <f>IFERROR(IF(('연간'!V73)&lt;=0,"적자",J28/('연간'!V73)),"")</f>
        <v/>
      </c>
      <c r="K49" s="47">
        <f>IFERROR(IF(('연간'!W73)&lt;=0,"적자",K28/('연간'!W73)),"")</f>
        <v/>
      </c>
      <c r="L49" s="47">
        <f>IFERROR(IF(('연간'!X73)&lt;=0,"적자",L28/('연간'!X73)),"")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IFERROR((IF(COUNT('연간'!G73:J73)&lt;4,"",SUM('연간'!G73:J73)))/C31,"")</f>
        <v/>
      </c>
      <c r="D51" s="36">
        <f>IFERROR((IF(COUNT('연간'!H73:K73)&lt;4,"",SUM('연간'!H73:K73)))/D31,"")</f>
        <v/>
      </c>
      <c r="E51" s="36">
        <f>IFERROR((IF(COUNT('연간'!I73:L73)&lt;4,"",SUM('연간'!I73:L73)))/E31,"")</f>
        <v/>
      </c>
      <c r="F51" s="36">
        <f>IFERROR((IF(COUNT('연간'!J73:M73)&lt;4,"",SUM('연간'!J73:M73)))/F31,"")</f>
        <v/>
      </c>
      <c r="G51" s="36">
        <f>IFERROR((IF(COUNT('연간'!K73:N73)&lt;4,"",SUM('연간'!K73:N73)))/G31,"")</f>
        <v/>
      </c>
      <c r="H51" s="35">
        <f>IFERROR(('연간'!T73)/H31,"")</f>
        <v/>
      </c>
      <c r="I51" s="36">
        <f>IFERROR(('연간'!U73)/I31,"")</f>
        <v/>
      </c>
      <c r="J51" s="36">
        <f>IFERROR(('연간'!V73)/J31,"")</f>
        <v/>
      </c>
      <c r="K51" s="36">
        <f>IFERROR(('연간'!W73)/K31,"")</f>
        <v/>
      </c>
      <c r="L51" s="36">
        <f>IFERROR(('연간'!X73)/L31,"")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IFERROR((IF(COUNT('연간'!G71:J71)&lt;4,"",SUM('연간'!G71:J71)))/C16,"")</f>
        <v/>
      </c>
      <c r="D52" s="36">
        <f>IFERROR((IF(COUNT('연간'!H71:K71)&lt;4,"",SUM('연간'!H71:K71)))/D16,"")</f>
        <v/>
      </c>
      <c r="E52" s="36">
        <f>IFERROR((IF(COUNT('연간'!I71:L71)&lt;4,"",SUM('연간'!I71:L71)))/E16,"")</f>
        <v/>
      </c>
      <c r="F52" s="36">
        <f>IFERROR((IF(COUNT('연간'!J71:M71)&lt;4,"",SUM('연간'!J71:M71)))/F16,"")</f>
        <v/>
      </c>
      <c r="G52" s="36">
        <f>IFERROR((IF(COUNT('연간'!K71:N71)&lt;4,"",SUM('연간'!K71:N71)))/G16,"")</f>
        <v/>
      </c>
      <c r="H52" s="35">
        <f>IFERROR(('연간'!T71)/H16,"")</f>
        <v/>
      </c>
      <c r="I52" s="36">
        <f>IFERROR(('연간'!U71)/I16,"")</f>
        <v/>
      </c>
      <c r="J52" s="36">
        <f>IFERROR(('연간'!V71)/J16,"")</f>
        <v/>
      </c>
      <c r="K52" s="36">
        <f>IFERROR(('연간'!W71)/K16,"")</f>
        <v/>
      </c>
      <c r="L52" s="36">
        <f>IFERROR(('연간'!X71)/L16,"")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IFERROR((IF(COUNT('연간'!G43:J43)&lt;4,"",SUM('연간'!G43:J43)))*(1-0.3)/(C35+C29),"")</f>
        <v/>
      </c>
      <c r="D53" s="36">
        <f>IFERROR((IF(COUNT('연간'!H43:K43)&lt;4,"",SUM('연간'!H43:K43)))*(1-0.3)/(D35+D29),"")</f>
        <v/>
      </c>
      <c r="E53" s="36">
        <f>IFERROR((IF(COUNT('연간'!I43:L43)&lt;4,"",SUM('연간'!I43:L43)))*(1-0.3)/(E35+E29),"")</f>
        <v/>
      </c>
      <c r="F53" s="36">
        <f>IFERROR((IF(COUNT('연간'!J43:M43)&lt;4,"",SUM('연간'!J43:M43)))*(1-0.3)/(F35+F29),"")</f>
        <v/>
      </c>
      <c r="G53" s="36">
        <f>IFERROR((IF(COUNT('연간'!K43:N43)&lt;4,"",SUM('연간'!K43:N43)))*(1-0.3)/(G35+G29),"")</f>
        <v/>
      </c>
      <c r="H53" s="35">
        <f>IFERROR(('연간'!T43)*(1-0.3)/(H35+H29),"")</f>
        <v/>
      </c>
      <c r="I53" s="36">
        <f>IFERROR(('연간'!U43)*(1-0.3)/(I35+I29),"")</f>
        <v/>
      </c>
      <c r="J53" s="36">
        <f>IFERROR(('연간'!V43)*(1-0.3)/(J35+J29),"")</f>
        <v/>
      </c>
      <c r="K53" s="36">
        <f>IFERROR(('연간'!W43)*(1-0.3)/(K35+K29),"")</f>
        <v/>
      </c>
      <c r="L53" s="36">
        <f>IFERROR(('연간'!X43)*(1-0.3)/(L35+L29),"")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IFERROR((IF(COUNT('연간'!G37:J37)&lt;4,"",SUM('연간'!G37:J37)))/(IF(COUNT('연간'!G4:J4)&lt;4,"",SUM('연간'!G4:J4))),"")</f>
        <v/>
      </c>
      <c r="D54" s="36">
        <f>IFERROR((IF(COUNT('연간'!H37:K37)&lt;4,"",SUM('연간'!H37:K37)))/(IF(COUNT('연간'!H4:K4)&lt;4,"",SUM('연간'!H4:K4))),"")</f>
        <v/>
      </c>
      <c r="E54" s="36">
        <f>IFERROR((IF(COUNT('연간'!I37:L37)&lt;4,"",SUM('연간'!I37:L37)))/(IF(COUNT('연간'!I4:L4)&lt;4,"",SUM('연간'!I4:L4))),"")</f>
        <v/>
      </c>
      <c r="F54" s="36">
        <f>IFERROR((IF(COUNT('연간'!J37:M37)&lt;4,"",SUM('연간'!J37:M37)))/(IF(COUNT('연간'!J4:M4)&lt;4,"",SUM('연간'!J4:M4))),"")</f>
        <v/>
      </c>
      <c r="G54" s="36">
        <f>IFERROR((IF(COUNT('연간'!K37:N37)&lt;4,"",SUM('연간'!K37:N37)))/(IF(COUNT('연간'!K4:N4)&lt;4,"",SUM('연간'!K4:N4))),"")</f>
        <v/>
      </c>
      <c r="H54" s="35">
        <f>IFERROR(('연간'!T37)/('연간'!T4),"")</f>
        <v/>
      </c>
      <c r="I54" s="36">
        <f>IFERROR(('연간'!U37)/('연간'!U4),"")</f>
        <v/>
      </c>
      <c r="J54" s="36">
        <f>IFERROR(('연간'!V37)/('연간'!V4),"")</f>
        <v/>
      </c>
      <c r="K54" s="36">
        <f>IFERROR(('연간'!W37)/('연간'!W4),"")</f>
        <v/>
      </c>
      <c r="L54" s="36">
        <f>IFERROR(('연간'!X37)/('연간'!X4),"")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IFERROR((IF(COUNT('연간'!G43:J43)&lt;4,"",SUM('연간'!G43:J43)))/(IF(COUNT('연간'!G4:J4)&lt;4,"",SUM('연간'!G4:J4))),"")</f>
        <v/>
      </c>
      <c r="D55" s="36">
        <f>IFERROR((IF(COUNT('연간'!H43:K43)&lt;4,"",SUM('연간'!H43:K43)))/(IF(COUNT('연간'!H4:K4)&lt;4,"",SUM('연간'!H4:K4))),"")</f>
        <v/>
      </c>
      <c r="E55" s="36">
        <f>IFERROR((IF(COUNT('연간'!I43:L43)&lt;4,"",SUM('연간'!I43:L43)))/(IF(COUNT('연간'!I4:L4)&lt;4,"",SUM('연간'!I4:L4))),"")</f>
        <v/>
      </c>
      <c r="F55" s="36">
        <f>IFERROR((IF(COUNT('연간'!J43:M43)&lt;4,"",SUM('연간'!J43:M43)))/(IF(COUNT('연간'!J4:M4)&lt;4,"",SUM('연간'!J4:M4))),"")</f>
        <v/>
      </c>
      <c r="G55" s="36">
        <f>IFERROR((IF(COUNT('연간'!K43:N43)&lt;4,"",SUM('연간'!K43:N43)))/(IF(COUNT('연간'!K4:N4)&lt;4,"",SUM('연간'!K4:N4))),"")</f>
        <v/>
      </c>
      <c r="H55" s="35">
        <f>IFERROR(('연간'!T43)/('연간'!T4),"")</f>
        <v/>
      </c>
      <c r="I55" s="36">
        <f>IFERROR(('연간'!U43)/('연간'!U4),"")</f>
        <v/>
      </c>
      <c r="J55" s="36">
        <f>IFERROR(('연간'!V43)/('연간'!V4),"")</f>
        <v/>
      </c>
      <c r="K55" s="36">
        <f>IFERROR(('연간'!W43)/('연간'!W4),"")</f>
        <v/>
      </c>
      <c r="L55" s="36">
        <f>IFERROR(('연간'!X43)/('연간'!X4),"")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IFERROR((IF(COUNT('연간'!G71:J71)&lt;4,"",SUM('연간'!G71:J71)))/(IF(COUNT('연간'!G4:J4)&lt;4,"",SUM('연간'!G4:J4))),"")</f>
        <v/>
      </c>
      <c r="D56" s="36">
        <f>IFERROR((IF(COUNT('연간'!H71:K71)&lt;4,"",SUM('연간'!H71:K71)))/(IF(COUNT('연간'!H4:K4)&lt;4,"",SUM('연간'!H4:K4))),"")</f>
        <v/>
      </c>
      <c r="E56" s="36">
        <f>IFERROR((IF(COUNT('연간'!I71:L71)&lt;4,"",SUM('연간'!I71:L71)))/(IF(COUNT('연간'!I4:L4)&lt;4,"",SUM('연간'!I4:L4))),"")</f>
        <v/>
      </c>
      <c r="F56" s="36">
        <f>IFERROR((IF(COUNT('연간'!J71:M71)&lt;4,"",SUM('연간'!J71:M71)))/(IF(COUNT('연간'!J4:M4)&lt;4,"",SUM('연간'!J4:M4))),"")</f>
        <v/>
      </c>
      <c r="G56" s="36">
        <f>IFERROR((IF(COUNT('연간'!K71:N71)&lt;4,"",SUM('연간'!K71:N71)))/(IF(COUNT('연간'!K4:N4)&lt;4,"",SUM('연간'!K4:N4))),"")</f>
        <v/>
      </c>
      <c r="H56" s="35">
        <f>IFERROR(('연간'!T71)/('연간'!T4),"")</f>
        <v/>
      </c>
      <c r="I56" s="36">
        <f>IFERROR(('연간'!U71)/('연간'!U4),"")</f>
        <v/>
      </c>
      <c r="J56" s="36">
        <f>IFERROR(('연간'!V71)/('연간'!V4),"")</f>
        <v/>
      </c>
      <c r="K56" s="36">
        <f>IFERROR(('연간'!W71)/('연간'!W4),"")</f>
        <v/>
      </c>
      <c r="L56" s="36">
        <f>IFERROR(('연간'!X71)/('연간'!X4),"")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IFERROR(C9/(IF(COUNT('연간'!G35:J35)&lt;4,"",SUM('연간'!G35:J35)))*365,"")</f>
        <v/>
      </c>
      <c r="D60" s="49">
        <f>IFERROR(D9/(IF(COUNT('연간'!H35:K35)&lt;4,"",SUM('연간'!H35:K35)))*365,"")</f>
        <v/>
      </c>
      <c r="E60" s="49">
        <f>IFERROR(E9/(IF(COUNT('연간'!I35:L35)&lt;4,"",SUM('연간'!I35:L35)))*365,"")</f>
        <v/>
      </c>
      <c r="F60" s="49">
        <f>IFERROR(F9/(IF(COUNT('연간'!J35:M35)&lt;4,"",SUM('연간'!J35:M35)))*365,"")</f>
        <v/>
      </c>
      <c r="G60" s="49">
        <f>IFERROR(G9/(IF(COUNT('연간'!K35:N35)&lt;4,"",SUM('연간'!K35:N35)))*365,"")</f>
        <v/>
      </c>
      <c r="H60" s="48">
        <f>IFERROR(H9/('연간'!T35)*365,"")</f>
        <v/>
      </c>
      <c r="I60" s="49">
        <f>IFERROR(I9/('연간'!U35)*365,"")</f>
        <v/>
      </c>
      <c r="J60" s="49">
        <f>IFERROR(J9/('연간'!V35)*365,"")</f>
        <v/>
      </c>
      <c r="K60" s="49">
        <f>IFERROR(K9/('연간'!W35)*365,"")</f>
        <v/>
      </c>
      <c r="L60" s="49">
        <f>IFERROR(L9/('연간'!X35)*365,"")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IFERROR(C19/(IF(COUNT('연간'!G35:J35)&lt;4,"",SUM('연간'!G35:J35)))*365,"")</f>
        <v/>
      </c>
      <c r="D61" s="49">
        <f>IFERROR(D19/(IF(COUNT('연간'!H35:K35)&lt;4,"",SUM('연간'!H35:K35)))*365,"")</f>
        <v/>
      </c>
      <c r="E61" s="49">
        <f>IFERROR(E19/(IF(COUNT('연간'!I35:L35)&lt;4,"",SUM('연간'!I35:L35)))*365,"")</f>
        <v/>
      </c>
      <c r="F61" s="49">
        <f>IFERROR(F19/(IF(COUNT('연간'!J35:M35)&lt;4,"",SUM('연간'!J35:M35)))*365,"")</f>
        <v/>
      </c>
      <c r="G61" s="49">
        <f>IFERROR(G19/(IF(COUNT('연간'!K35:N35)&lt;4,"",SUM('연간'!K35:N35)))*365,"")</f>
        <v/>
      </c>
      <c r="H61" s="48">
        <f>IFERROR(H19/('연간'!T35)*365,"")</f>
        <v/>
      </c>
      <c r="I61" s="49">
        <f>IFERROR(I19/('연간'!U35)*365,"")</f>
        <v/>
      </c>
      <c r="J61" s="49">
        <f>IFERROR(J19/('연간'!V35)*365,"")</f>
        <v/>
      </c>
      <c r="K61" s="49">
        <f>IFERROR(K19/('연간'!W35)*365,"")</f>
        <v/>
      </c>
      <c r="L61" s="49">
        <f>IFERROR(L19/('연간'!X35)*365,"")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IF(C37="","",IFERROR(C37/(IF(COUNT('연간'!G71:J71)&lt;4,"",SUM('연간'!G71:J71))),""))</f>
        <v/>
      </c>
      <c r="D64" s="31">
        <f>IF(D37="","",IFERROR(D37/(IF(COUNT('연간'!H71:K71)&lt;4,"",SUM('연간'!H71:K71))),""))</f>
        <v/>
      </c>
      <c r="E64" s="31">
        <f>IF(E37="","",IFERROR(E37/(IF(COUNT('연간'!I71:L71)&lt;4,"",SUM('연간'!I71:L71))),""))</f>
        <v/>
      </c>
      <c r="F64" s="31">
        <f>IF(F37="","",IFERROR(F37/(IF(COUNT('연간'!J71:M71)&lt;4,"",SUM('연간'!J71:M71))),""))</f>
        <v/>
      </c>
      <c r="G64" s="31">
        <f>IF(G37="","",IFERROR(G37/(IF(COUNT('연간'!K71:N71)&lt;4,"",SUM('연간'!K71:N71))),""))</f>
        <v/>
      </c>
      <c r="H64" s="30">
        <f>IF(H37="","",IFERROR(H37/('연간'!T71),""))</f>
        <v/>
      </c>
      <c r="I64" s="31">
        <f>IF(I37="","",IFERROR(I37/('연간'!U71),""))</f>
        <v/>
      </c>
      <c r="J64" s="31">
        <f>IF(J37="","",IFERROR(J37/('연간'!V71),""))</f>
        <v/>
      </c>
      <c r="K64" s="31">
        <f>IF(K37="","",IFERROR(K37/('연간'!W71),""))</f>
        <v/>
      </c>
      <c r="L64" s="31">
        <f>IF(L37="","",IFERROR(L37/('연간'!X71),""))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IF(C40="","",IFERROR(C40/(IF(COUNT('연간'!G73:J73)&lt;4,"",SUM('연간'!G73:J73))),""))</f>
        <v/>
      </c>
      <c r="D67" s="36">
        <f>IF(D40="","",IFERROR(D40/(IF(COUNT('연간'!H73:K73)&lt;4,"",SUM('연간'!H73:K73))),""))</f>
        <v/>
      </c>
      <c r="E67" s="36">
        <f>IF(E40="","",IFERROR(E40/(IF(COUNT('연간'!I73:L73)&lt;4,"",SUM('연간'!I73:L73))),""))</f>
        <v/>
      </c>
      <c r="F67" s="36">
        <f>IF(F40="","",IFERROR(F40/(IF(COUNT('연간'!J73:M73)&lt;4,"",SUM('연간'!J73:M73))),""))</f>
        <v/>
      </c>
      <c r="G67" s="36">
        <f>IF(G40="","",IFERROR(G40/(IF(COUNT('연간'!K73:N73)&lt;4,"",SUM('연간'!K73:N73))),""))</f>
        <v/>
      </c>
      <c r="H67" s="35">
        <f>IF(H40="","",IFERROR(H40/('연간'!T73),""))</f>
        <v/>
      </c>
      <c r="I67" s="36">
        <f>IF(I40="","",IFERROR(I40/('연간'!U73),""))</f>
        <v/>
      </c>
      <c r="J67" s="36">
        <f>IF(J40="","",IFERROR(J40/('연간'!V73),""))</f>
        <v/>
      </c>
      <c r="K67" s="36">
        <f>IF(K40="","",IFERROR(K40/('연간'!W73),""))</f>
        <v/>
      </c>
      <c r="L67" s="36">
        <f>IF(L40="","",IFERROR(L40/('연간'!X73),""))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7752</v>
      </c>
      <c r="D71" s="20" t="n">
        <v>6997</v>
      </c>
      <c r="E71" s="20" t="n">
        <v>9104</v>
      </c>
      <c r="F71" s="20" t="n">
        <v>10986</v>
      </c>
      <c r="G71" s="20" t="n">
        <v>10982</v>
      </c>
      <c r="H71" s="20" t="n">
        <v>5753.467</v>
      </c>
      <c r="I71" s="20" t="n">
        <v>7291.401</v>
      </c>
      <c r="J71" s="20" t="n">
        <v>6153</v>
      </c>
      <c r="K71" s="20" t="n">
        <v>7752</v>
      </c>
      <c r="L71" s="20" t="n">
        <v>10982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C73" s="20" t="n">
        <v>3794</v>
      </c>
      <c r="D73" s="20" t="n">
        <v>4146</v>
      </c>
      <c r="E73" s="20" t="n">
        <v>3334</v>
      </c>
      <c r="F73" s="20" t="n">
        <v>2271</v>
      </c>
      <c r="H73" s="20" t="n">
        <v>2294.855</v>
      </c>
      <c r="I73" s="20" t="n">
        <v>3106.958</v>
      </c>
      <c r="J73" s="20" t="n">
        <v>3318</v>
      </c>
      <c r="K73" s="20" t="n">
        <v>3794</v>
      </c>
    </row>
    <row r="74">
      <c r="A74" s="18" t="inlineStr">
        <is>
          <t>받을어음</t>
        </is>
      </c>
      <c r="C74" s="20" t="n">
        <v>117</v>
      </c>
      <c r="G74" s="20" t="n">
        <v>17</v>
      </c>
      <c r="H74" s="20" t="n">
        <v>174.991</v>
      </c>
      <c r="I74" s="20" t="n">
        <v>301.371</v>
      </c>
      <c r="J74" s="20" t="n">
        <v>157</v>
      </c>
      <c r="K74" s="20" t="n">
        <v>117</v>
      </c>
      <c r="L74" s="20" t="n">
        <v>17</v>
      </c>
    </row>
    <row r="75">
      <c r="A75" s="18" t="inlineStr">
        <is>
          <t>매출채권</t>
        </is>
      </c>
      <c r="C75" s="20" t="n">
        <v>2365</v>
      </c>
      <c r="G75" s="20" t="n">
        <v>1874</v>
      </c>
      <c r="H75" s="20" t="n">
        <v>1471.531</v>
      </c>
      <c r="I75" s="20" t="n">
        <v>2206.847</v>
      </c>
      <c r="J75" s="20" t="n">
        <v>2550</v>
      </c>
      <c r="K75" s="20" t="n">
        <v>2365</v>
      </c>
      <c r="L75" s="20" t="n">
        <v>1874</v>
      </c>
    </row>
    <row r="76">
      <c r="A76" s="18" t="inlineStr">
        <is>
          <t>계약자산</t>
        </is>
      </c>
      <c r="C76" s="20" t="n">
        <v>1311</v>
      </c>
      <c r="G76" s="20" t="n">
        <v>456</v>
      </c>
      <c r="H76" s="20" t="n">
        <v>648.332</v>
      </c>
      <c r="I76" s="20" t="n">
        <v>598.74</v>
      </c>
      <c r="J76" s="20" t="n">
        <v>610</v>
      </c>
      <c r="K76" s="20" t="n">
        <v>1311</v>
      </c>
      <c r="L76" s="20" t="n">
        <v>456</v>
      </c>
    </row>
    <row r="77">
      <c r="A77" s="18" t="inlineStr">
        <is>
          <t>전자기록채권</t>
        </is>
      </c>
      <c r="C77" s="20" t="n">
        <v>1169</v>
      </c>
      <c r="D77" s="20" t="n">
        <v>1394</v>
      </c>
      <c r="E77" s="20" t="n">
        <v>1193</v>
      </c>
      <c r="F77" s="20" t="n">
        <v>1141</v>
      </c>
      <c r="G77" s="20" t="n">
        <v>608</v>
      </c>
      <c r="H77" s="20" t="n">
        <v>419.905</v>
      </c>
      <c r="I77" s="20" t="n">
        <v>953.207</v>
      </c>
      <c r="J77" s="20" t="n">
        <v>1441</v>
      </c>
      <c r="K77" s="20" t="n">
        <v>1169</v>
      </c>
      <c r="L77" s="20" t="n">
        <v>608</v>
      </c>
    </row>
    <row r="78">
      <c r="A78" s="18" t="inlineStr">
        <is>
          <t>완성공사 미수금</t>
        </is>
      </c>
      <c r="H78" s="20" t="n">
        <v>0</v>
      </c>
    </row>
    <row r="79">
      <c r="A79" s="18" t="inlineStr">
        <is>
          <t>리스채권·리스투자자산</t>
        </is>
      </c>
      <c r="H79" s="20" t="n">
        <v>0</v>
      </c>
      <c r="I79" s="20" t="n">
        <v>6.476</v>
      </c>
    </row>
    <row r="80">
      <c r="A80" s="18" t="inlineStr">
        <is>
          <t>리스 채권</t>
        </is>
      </c>
      <c r="C80" s="20" t="n">
        <v>6</v>
      </c>
      <c r="G80" s="20" t="n">
        <v>6</v>
      </c>
      <c r="I80" s="20" t="n">
        <v>6.476</v>
      </c>
      <c r="J80" s="20" t="n">
        <v>6</v>
      </c>
      <c r="K80" s="20" t="n">
        <v>6</v>
      </c>
      <c r="L80" s="20" t="n">
        <v>6</v>
      </c>
    </row>
    <row r="81">
      <c r="A81" s="18" t="inlineStr">
        <is>
          <t>상품·제품</t>
        </is>
      </c>
      <c r="C81" s="20" t="n">
        <v>1410</v>
      </c>
      <c r="D81" s="20" t="n">
        <v>1223</v>
      </c>
      <c r="E81" s="20" t="n">
        <v>1137</v>
      </c>
      <c r="F81" s="20" t="n">
        <v>1294</v>
      </c>
      <c r="G81" s="20" t="n">
        <v>1345</v>
      </c>
      <c r="H81" s="20" t="n">
        <v>143.015</v>
      </c>
      <c r="I81" s="20" t="n">
        <v>1191.927</v>
      </c>
      <c r="J81" s="20" t="n">
        <v>1213</v>
      </c>
      <c r="K81" s="20" t="n">
        <v>1410</v>
      </c>
      <c r="L81" s="20" t="n">
        <v>1345</v>
      </c>
    </row>
    <row r="82">
      <c r="A82" s="18" t="inlineStr">
        <is>
          <t>판매용 부동산</t>
        </is>
      </c>
      <c r="C82" s="20" t="n">
        <v>0</v>
      </c>
      <c r="F82" s="20" t="n">
        <v>1499</v>
      </c>
      <c r="G82" s="20" t="n">
        <v>1003</v>
      </c>
      <c r="K82" s="20" t="n">
        <v>0</v>
      </c>
      <c r="L82" s="20" t="n">
        <v>1003</v>
      </c>
    </row>
    <row r="83">
      <c r="A83" s="18" t="inlineStr">
        <is>
          <t>재공품</t>
        </is>
      </c>
      <c r="C83" s="20" t="n">
        <v>584</v>
      </c>
      <c r="D83" s="20" t="n">
        <v>631</v>
      </c>
      <c r="E83" s="20" t="n">
        <v>601</v>
      </c>
      <c r="F83" s="20" t="n">
        <v>527</v>
      </c>
      <c r="G83" s="20" t="n">
        <v>564</v>
      </c>
      <c r="H83" s="20" t="n">
        <v>238.302</v>
      </c>
      <c r="I83" s="20" t="n">
        <v>472.37</v>
      </c>
      <c r="J83" s="20" t="n">
        <v>871</v>
      </c>
      <c r="K83" s="20" t="n">
        <v>584</v>
      </c>
      <c r="L83" s="20" t="n">
        <v>564</v>
      </c>
    </row>
    <row r="84">
      <c r="A84" s="18" t="inlineStr">
        <is>
          <t>미성공사 지출금</t>
        </is>
      </c>
      <c r="C84" s="20" t="n">
        <v>70</v>
      </c>
      <c r="D84" s="20" t="n">
        <v>13</v>
      </c>
      <c r="E84" s="20" t="n">
        <v>26</v>
      </c>
      <c r="F84" s="20" t="n">
        <v>135</v>
      </c>
      <c r="G84" s="20" t="n">
        <v>168</v>
      </c>
      <c r="H84" s="20" t="n">
        <v>20.644</v>
      </c>
      <c r="I84" s="20" t="n">
        <v>76.215</v>
      </c>
      <c r="J84" s="20" t="n">
        <v>141</v>
      </c>
      <c r="K84" s="20" t="n">
        <v>70</v>
      </c>
      <c r="L84" s="20" t="n">
        <v>168</v>
      </c>
    </row>
    <row r="85">
      <c r="A85" s="18" t="inlineStr">
        <is>
          <t>개발 중 판매용 부동산</t>
        </is>
      </c>
      <c r="C85" s="20" t="n">
        <v>0</v>
      </c>
      <c r="F85" s="20" t="n">
        <v>2937</v>
      </c>
      <c r="G85" s="20" t="n">
        <v>3189</v>
      </c>
      <c r="K85" s="20" t="n">
        <v>0</v>
      </c>
      <c r="L85" s="20" t="n">
        <v>3189</v>
      </c>
    </row>
    <row r="86">
      <c r="A86" s="18" t="inlineStr">
        <is>
          <t>원재료·저장품</t>
        </is>
      </c>
      <c r="C86" s="20" t="n">
        <v>762</v>
      </c>
      <c r="D86" s="20" t="n">
        <v>751</v>
      </c>
      <c r="E86" s="20" t="n">
        <v>790</v>
      </c>
      <c r="F86" s="20" t="n">
        <v>834</v>
      </c>
      <c r="G86" s="20" t="n">
        <v>769</v>
      </c>
      <c r="H86" s="20" t="n">
        <v>501.504</v>
      </c>
      <c r="I86" s="20" t="n">
        <v>709.676</v>
      </c>
      <c r="J86" s="20" t="n">
        <v>855</v>
      </c>
      <c r="K86" s="20" t="n">
        <v>762</v>
      </c>
      <c r="L86" s="20" t="n">
        <v>769</v>
      </c>
    </row>
    <row r="87">
      <c r="A87" s="18" t="inlineStr">
        <is>
          <t>관계회사 단기대여금</t>
        </is>
      </c>
      <c r="C87" s="20" t="n">
        <v>130</v>
      </c>
      <c r="D87" s="20" t="n">
        <v>210</v>
      </c>
      <c r="E87" s="20" t="n">
        <v>210</v>
      </c>
      <c r="F87" s="20" t="n">
        <v>240</v>
      </c>
      <c r="G87" s="20" t="n">
        <v>243</v>
      </c>
      <c r="J87" s="20" t="n">
        <v>0</v>
      </c>
      <c r="K87" s="20" t="n">
        <v>130</v>
      </c>
      <c r="L87" s="20" t="n">
        <v>243</v>
      </c>
    </row>
    <row r="88">
      <c r="A88" s="18" t="inlineStr">
        <is>
          <t>기타</t>
        </is>
      </c>
      <c r="C88" s="20" t="n">
        <v>159</v>
      </c>
      <c r="D88" s="20" t="n">
        <v>167</v>
      </c>
      <c r="E88" s="20" t="n">
        <v>239</v>
      </c>
      <c r="F88" s="20" t="n">
        <v>397</v>
      </c>
      <c r="G88" s="20" t="n">
        <v>397</v>
      </c>
      <c r="H88" s="20" t="n">
        <v>327.783</v>
      </c>
      <c r="I88" s="20" t="n">
        <v>353.268</v>
      </c>
      <c r="J88" s="20" t="n">
        <v>310</v>
      </c>
      <c r="K88" s="20" t="n">
        <v>159</v>
      </c>
      <c r="L88" s="20" t="n">
        <v>397</v>
      </c>
    </row>
    <row r="89">
      <c r="A89" s="18" t="inlineStr">
        <is>
          <t>대손충당금</t>
        </is>
      </c>
      <c r="C89" s="20" t="n">
        <v>-9</v>
      </c>
      <c r="D89" s="20" t="n">
        <v>-35</v>
      </c>
      <c r="E89" s="20" t="n">
        <v>-20</v>
      </c>
      <c r="F89" s="20" t="n">
        <v>-6</v>
      </c>
      <c r="G89" s="20" t="n">
        <v>-9</v>
      </c>
      <c r="H89" s="20" t="n">
        <v>-5.119</v>
      </c>
      <c r="I89" s="20" t="n">
        <v>-3.284</v>
      </c>
      <c r="J89" s="20" t="n">
        <v>-8</v>
      </c>
      <c r="K89" s="20" t="n">
        <v>-9</v>
      </c>
      <c r="L89" s="20" t="n">
        <v>-9</v>
      </c>
    </row>
    <row r="90">
      <c r="A90" s="9" t="inlineStr">
        <is>
          <t>유동자산 합계</t>
        </is>
      </c>
      <c r="C90" s="12" t="n">
        <v>15832</v>
      </c>
      <c r="D90" s="12" t="n">
        <v>15500</v>
      </c>
      <c r="E90" s="12" t="n">
        <v>16616</v>
      </c>
      <c r="F90" s="12" t="n">
        <v>22259</v>
      </c>
      <c r="G90" s="12" t="n">
        <v>21618</v>
      </c>
      <c r="H90" s="12" t="n">
        <v>9694.358</v>
      </c>
      <c r="I90" s="12" t="n">
        <v>14158.217</v>
      </c>
      <c r="J90" s="12" t="n">
        <v>14303</v>
      </c>
      <c r="K90" s="12" t="n">
        <v>15832</v>
      </c>
      <c r="L90" s="12" t="n">
        <v>21618</v>
      </c>
    </row>
    <row r="91">
      <c r="A91" s="18" t="inlineStr">
        <is>
          <t>건물·구축물</t>
        </is>
      </c>
      <c r="C91" s="20" t="n">
        <v>7106</v>
      </c>
      <c r="G91" s="20" t="n">
        <v>7323</v>
      </c>
      <c r="H91" s="20" t="n">
        <v>3423.325</v>
      </c>
      <c r="I91" s="20" t="n">
        <v>6230.319</v>
      </c>
      <c r="J91" s="20" t="n">
        <v>6292</v>
      </c>
      <c r="K91" s="20" t="n">
        <v>7106</v>
      </c>
      <c r="L91" s="20" t="n">
        <v>7323</v>
      </c>
    </row>
    <row r="92">
      <c r="A92" s="18" t="inlineStr">
        <is>
          <t>감가상각누계액</t>
        </is>
      </c>
      <c r="C92" s="20" t="n">
        <v>-4568</v>
      </c>
      <c r="G92" s="20" t="n">
        <v>-4369</v>
      </c>
      <c r="H92" s="20" t="n">
        <v>-1613.934</v>
      </c>
      <c r="I92" s="20" t="n">
        <v>-3811.654</v>
      </c>
      <c r="J92" s="20" t="n">
        <v>-3920</v>
      </c>
      <c r="K92" s="20" t="n">
        <v>-4568</v>
      </c>
      <c r="L92" s="20" t="n">
        <v>-4369</v>
      </c>
    </row>
    <row r="93">
      <c r="A93" s="18" t="inlineStr">
        <is>
          <t>건물·구축물(순액)</t>
        </is>
      </c>
      <c r="C93" s="20" t="n">
        <v>2538</v>
      </c>
      <c r="D93" s="20" t="n">
        <v>2510</v>
      </c>
      <c r="E93" s="20" t="n">
        <v>2477</v>
      </c>
      <c r="F93" s="20" t="n">
        <v>3095</v>
      </c>
      <c r="G93" s="20" t="n">
        <v>2953</v>
      </c>
      <c r="H93" s="20" t="n">
        <v>1809.391</v>
      </c>
      <c r="I93" s="20" t="n">
        <v>2418.664</v>
      </c>
      <c r="J93" s="20" t="n">
        <v>2372</v>
      </c>
      <c r="K93" s="20" t="n">
        <v>2538</v>
      </c>
      <c r="L93" s="20" t="n">
        <v>2953</v>
      </c>
    </row>
    <row r="94">
      <c r="A94" s="18" t="inlineStr">
        <is>
          <t>기계장치·운반구</t>
        </is>
      </c>
      <c r="C94" s="20" t="n">
        <v>8765</v>
      </c>
      <c r="G94" s="20" t="n">
        <v>8182</v>
      </c>
      <c r="H94" s="20" t="n">
        <v>5156.883</v>
      </c>
      <c r="I94" s="20" t="n">
        <v>7309.765</v>
      </c>
      <c r="J94" s="20" t="n">
        <v>7673</v>
      </c>
      <c r="K94" s="20" t="n">
        <v>8765</v>
      </c>
      <c r="L94" s="20" t="n">
        <v>8182</v>
      </c>
    </row>
    <row r="95">
      <c r="A95" s="18" t="inlineStr">
        <is>
          <t>감가상각누계액</t>
        </is>
      </c>
      <c r="C95" s="20" t="n">
        <v>-7071</v>
      </c>
      <c r="G95" s="20" t="n">
        <v>-6694</v>
      </c>
      <c r="H95" s="20" t="n">
        <v>-4399.48</v>
      </c>
      <c r="I95" s="20" t="n">
        <v>-5962.245</v>
      </c>
      <c r="J95" s="20" t="n">
        <v>-6081</v>
      </c>
      <c r="K95" s="20" t="n">
        <v>-7071</v>
      </c>
      <c r="L95" s="20" t="n">
        <v>-6694</v>
      </c>
    </row>
    <row r="96">
      <c r="A96" s="18" t="inlineStr">
        <is>
          <t>기계장치·운반구(순액)</t>
        </is>
      </c>
      <c r="C96" s="20" t="n">
        <v>1693</v>
      </c>
      <c r="D96" s="20" t="n">
        <v>1641</v>
      </c>
      <c r="E96" s="20" t="n">
        <v>1542</v>
      </c>
      <c r="F96" s="20" t="n">
        <v>1613</v>
      </c>
      <c r="G96" s="20" t="n">
        <v>1487</v>
      </c>
      <c r="H96" s="20" t="n">
        <v>757.403</v>
      </c>
      <c r="I96" s="20" t="n">
        <v>1347.52</v>
      </c>
      <c r="J96" s="20" t="n">
        <v>1592</v>
      </c>
      <c r="K96" s="20" t="n">
        <v>1693</v>
      </c>
      <c r="L96" s="20" t="n">
        <v>1487</v>
      </c>
    </row>
    <row r="97">
      <c r="A97" s="18" t="inlineStr">
        <is>
          <t>토지</t>
        </is>
      </c>
      <c r="C97" s="20" t="n">
        <v>3025</v>
      </c>
      <c r="D97" s="20" t="n">
        <v>2897</v>
      </c>
      <c r="E97" s="20" t="n">
        <v>3095</v>
      </c>
      <c r="F97" s="20" t="n">
        <v>4257</v>
      </c>
      <c r="G97" s="20" t="n">
        <v>3949</v>
      </c>
      <c r="H97" s="20" t="n">
        <v>954.521</v>
      </c>
      <c r="I97" s="20" t="n">
        <v>2731.415</v>
      </c>
      <c r="J97" s="20" t="n">
        <v>2821</v>
      </c>
      <c r="K97" s="20" t="n">
        <v>3025</v>
      </c>
      <c r="L97" s="20" t="n">
        <v>3949</v>
      </c>
    </row>
    <row r="98">
      <c r="A98" s="18" t="inlineStr">
        <is>
          <t>리스자산</t>
        </is>
      </c>
      <c r="C98" s="20" t="n">
        <v>157</v>
      </c>
      <c r="G98" s="20" t="n">
        <v>142</v>
      </c>
      <c r="H98" s="20" t="n">
        <v>109.875</v>
      </c>
      <c r="I98" s="20" t="n">
        <v>96.511</v>
      </c>
      <c r="J98" s="20" t="n">
        <v>111</v>
      </c>
      <c r="K98" s="20" t="n">
        <v>157</v>
      </c>
      <c r="L98" s="20" t="n">
        <v>142</v>
      </c>
    </row>
    <row r="99">
      <c r="A99" s="18" t="inlineStr">
        <is>
          <t>감가상각누계액</t>
        </is>
      </c>
      <c r="C99" s="20" t="n">
        <v>-62</v>
      </c>
      <c r="G99" s="20" t="n">
        <v>-74</v>
      </c>
      <c r="H99" s="20" t="n">
        <v>-69.432</v>
      </c>
      <c r="I99" s="20" t="n">
        <v>-51.9</v>
      </c>
      <c r="J99" s="20" t="n">
        <v>-62</v>
      </c>
      <c r="K99" s="20" t="n">
        <v>-62</v>
      </c>
      <c r="L99" s="20" t="n">
        <v>-74</v>
      </c>
    </row>
    <row r="100">
      <c r="A100" s="18" t="inlineStr">
        <is>
          <t>리스자산(순액)</t>
        </is>
      </c>
      <c r="C100" s="20" t="n">
        <v>94</v>
      </c>
      <c r="D100" s="20" t="n">
        <v>92</v>
      </c>
      <c r="E100" s="20" t="n">
        <v>86</v>
      </c>
      <c r="F100" s="20" t="n">
        <v>90</v>
      </c>
      <c r="G100" s="20" t="n">
        <v>67</v>
      </c>
      <c r="H100" s="20" t="n">
        <v>40.443</v>
      </c>
      <c r="I100" s="20" t="n">
        <v>44.611</v>
      </c>
      <c r="J100" s="20" t="n">
        <v>48</v>
      </c>
      <c r="K100" s="20" t="n">
        <v>94</v>
      </c>
      <c r="L100" s="20" t="n">
        <v>67</v>
      </c>
    </row>
    <row r="101">
      <c r="A101" s="18" t="inlineStr">
        <is>
          <t>건설중인자산</t>
        </is>
      </c>
      <c r="C101" s="20" t="n">
        <v>24</v>
      </c>
      <c r="D101" s="20" t="n">
        <v>26</v>
      </c>
      <c r="E101" s="20" t="n">
        <v>25</v>
      </c>
      <c r="F101" s="20" t="n">
        <v>6</v>
      </c>
      <c r="G101" s="20" t="n">
        <v>14</v>
      </c>
      <c r="H101" s="20" t="n">
        <v>660</v>
      </c>
      <c r="I101" s="20" t="n">
        <v>99.773</v>
      </c>
      <c r="J101" s="20" t="n">
        <v>6</v>
      </c>
      <c r="K101" s="20" t="n">
        <v>24</v>
      </c>
      <c r="L101" s="20" t="n">
        <v>14</v>
      </c>
    </row>
    <row r="102">
      <c r="A102" s="18" t="inlineStr">
        <is>
          <t>기타</t>
        </is>
      </c>
      <c r="C102" s="20" t="n">
        <v>926</v>
      </c>
      <c r="G102" s="20" t="n">
        <v>854</v>
      </c>
      <c r="H102" s="20" t="n">
        <v>480.629</v>
      </c>
      <c r="I102" s="20" t="n">
        <v>775.4589999999999</v>
      </c>
      <c r="J102" s="20" t="n">
        <v>813</v>
      </c>
      <c r="K102" s="20" t="n">
        <v>926</v>
      </c>
      <c r="L102" s="20" t="n">
        <v>854</v>
      </c>
    </row>
    <row r="103">
      <c r="A103" s="18" t="inlineStr">
        <is>
          <t>감가상각누계액</t>
        </is>
      </c>
      <c r="C103" s="20" t="n">
        <v>-831</v>
      </c>
      <c r="G103" s="20" t="n">
        <v>-768</v>
      </c>
      <c r="H103" s="20" t="n">
        <v>-431.064</v>
      </c>
      <c r="I103" s="20" t="n">
        <v>-704.756</v>
      </c>
      <c r="J103" s="20" t="n">
        <v>-727</v>
      </c>
      <c r="K103" s="20" t="n">
        <v>-831</v>
      </c>
      <c r="L103" s="20" t="n">
        <v>-768</v>
      </c>
    </row>
    <row r="104">
      <c r="A104" s="18" t="inlineStr">
        <is>
          <t>기타(순액)</t>
        </is>
      </c>
      <c r="C104" s="20" t="n">
        <v>95</v>
      </c>
      <c r="D104" s="20" t="n">
        <v>97</v>
      </c>
      <c r="E104" s="20" t="n">
        <v>105</v>
      </c>
      <c r="F104" s="20" t="n">
        <v>104</v>
      </c>
      <c r="G104" s="20" t="n">
        <v>85</v>
      </c>
      <c r="H104" s="20" t="n">
        <v>49.564</v>
      </c>
      <c r="I104" s="20" t="n">
        <v>70.703</v>
      </c>
      <c r="J104" s="20" t="n">
        <v>86</v>
      </c>
      <c r="K104" s="20" t="n">
        <v>95</v>
      </c>
      <c r="L104" s="20" t="n">
        <v>85</v>
      </c>
    </row>
    <row r="105">
      <c r="A105" s="18" t="inlineStr">
        <is>
          <t>유형자산 합계</t>
        </is>
      </c>
      <c r="C105" s="20" t="n">
        <v>7471</v>
      </c>
      <c r="D105" s="20" t="n">
        <v>7266</v>
      </c>
      <c r="E105" s="20" t="n">
        <v>7332</v>
      </c>
      <c r="F105" s="20" t="n">
        <v>9167</v>
      </c>
      <c r="G105" s="20" t="n">
        <v>8559</v>
      </c>
      <c r="H105" s="20" t="n">
        <v>4271.323</v>
      </c>
      <c r="I105" s="20" t="n">
        <v>6712.688</v>
      </c>
      <c r="J105" s="20" t="n">
        <v>6928</v>
      </c>
      <c r="K105" s="20" t="n">
        <v>7471</v>
      </c>
      <c r="L105" s="20" t="n">
        <v>8559</v>
      </c>
    </row>
    <row r="106">
      <c r="A106" s="18" t="inlineStr">
        <is>
          <t>영업권</t>
        </is>
      </c>
      <c r="C106" s="20" t="n">
        <v>2059</v>
      </c>
      <c r="D106" s="20" t="n">
        <v>1987</v>
      </c>
      <c r="E106" s="20" t="n">
        <v>1915</v>
      </c>
      <c r="F106" s="20" t="n">
        <v>2411</v>
      </c>
      <c r="G106" s="20" t="n">
        <v>2368</v>
      </c>
      <c r="H106" s="20" t="n">
        <v>237.533</v>
      </c>
      <c r="I106" s="20" t="n">
        <v>447.331</v>
      </c>
      <c r="J106" s="20" t="n">
        <v>535</v>
      </c>
      <c r="K106" s="20" t="n">
        <v>2059</v>
      </c>
      <c r="L106" s="20" t="n">
        <v>2368</v>
      </c>
    </row>
    <row r="107">
      <c r="A107" s="18" t="inlineStr">
        <is>
          <t>기타</t>
        </is>
      </c>
      <c r="C107" s="20" t="n">
        <v>96</v>
      </c>
      <c r="D107" s="20" t="n">
        <v>227</v>
      </c>
      <c r="E107" s="20" t="n">
        <v>963</v>
      </c>
      <c r="F107" s="20" t="n">
        <v>1234</v>
      </c>
      <c r="G107" s="20" t="n">
        <v>1327</v>
      </c>
      <c r="H107" s="20" t="n">
        <v>70.748</v>
      </c>
      <c r="I107" s="20" t="n">
        <v>103.014</v>
      </c>
      <c r="J107" s="20" t="n">
        <v>110</v>
      </c>
      <c r="K107" s="20" t="n">
        <v>96</v>
      </c>
      <c r="L107" s="20" t="n">
        <v>1327</v>
      </c>
    </row>
    <row r="108">
      <c r="A108" s="18" t="inlineStr">
        <is>
          <t>무형자산 합계</t>
        </is>
      </c>
      <c r="C108" s="20" t="n">
        <v>2155</v>
      </c>
      <c r="D108" s="20" t="n">
        <v>2214</v>
      </c>
      <c r="E108" s="20" t="n">
        <v>2879</v>
      </c>
      <c r="F108" s="20" t="n">
        <v>3646</v>
      </c>
      <c r="G108" s="20" t="n">
        <v>3695</v>
      </c>
      <c r="H108" s="20" t="n">
        <v>308.282</v>
      </c>
      <c r="I108" s="20" t="n">
        <v>550.346</v>
      </c>
      <c r="J108" s="20" t="n">
        <v>646</v>
      </c>
      <c r="K108" s="20" t="n">
        <v>2155</v>
      </c>
      <c r="L108" s="20" t="n">
        <v>3695</v>
      </c>
    </row>
    <row r="109">
      <c r="A109" s="18" t="inlineStr">
        <is>
          <t>투자유가증권</t>
        </is>
      </c>
      <c r="C109" s="20" t="n">
        <v>991</v>
      </c>
      <c r="D109" s="20" t="n">
        <v>1002</v>
      </c>
      <c r="E109" s="20" t="n">
        <v>1036</v>
      </c>
      <c r="F109" s="20" t="n">
        <v>669</v>
      </c>
      <c r="G109" s="20" t="n">
        <v>716</v>
      </c>
      <c r="H109" s="20" t="n">
        <v>43.378</v>
      </c>
      <c r="I109" s="20" t="n">
        <v>99.367</v>
      </c>
      <c r="J109" s="20" t="n">
        <v>196</v>
      </c>
      <c r="K109" s="20" t="n">
        <v>991</v>
      </c>
      <c r="L109" s="20" t="n">
        <v>716</v>
      </c>
    </row>
    <row r="110">
      <c r="A110" s="18" t="inlineStr">
        <is>
          <t>리스채권·리스투자자산</t>
        </is>
      </c>
      <c r="H110" s="20" t="n">
        <v>0</v>
      </c>
      <c r="I110" s="20" t="n">
        <v>81.03400000000001</v>
      </c>
    </row>
    <row r="111">
      <c r="A111" s="18" t="inlineStr">
        <is>
          <t>리스 채권</t>
        </is>
      </c>
      <c r="C111" s="20" t="n">
        <v>70</v>
      </c>
      <c r="G111" s="20" t="n">
        <v>64</v>
      </c>
      <c r="I111" s="20" t="n">
        <v>81.03400000000001</v>
      </c>
      <c r="J111" s="20" t="n">
        <v>75</v>
      </c>
      <c r="K111" s="20" t="n">
        <v>70</v>
      </c>
      <c r="L111" s="20" t="n">
        <v>64</v>
      </c>
    </row>
    <row r="112">
      <c r="A112" s="18" t="inlineStr">
        <is>
          <t>이연법인세자산</t>
        </is>
      </c>
      <c r="C112" s="20" t="n">
        <v>259</v>
      </c>
      <c r="G112" s="20" t="n">
        <v>113</v>
      </c>
      <c r="H112" s="20" t="n">
        <v>79.33799999999999</v>
      </c>
      <c r="I112" s="20" t="n">
        <v>73.376</v>
      </c>
      <c r="J112" s="20" t="n">
        <v>104</v>
      </c>
      <c r="K112" s="20" t="n">
        <v>259</v>
      </c>
      <c r="L112" s="20" t="n">
        <v>113</v>
      </c>
    </row>
    <row r="113">
      <c r="A113" s="18" t="inlineStr">
        <is>
          <t>기타</t>
        </is>
      </c>
      <c r="C113" s="20" t="n">
        <v>183</v>
      </c>
      <c r="D113" s="20" t="n">
        <v>503</v>
      </c>
      <c r="E113" s="20" t="n">
        <v>505</v>
      </c>
      <c r="F113" s="20" t="n">
        <v>574</v>
      </c>
      <c r="G113" s="20" t="n">
        <v>380</v>
      </c>
      <c r="H113" s="20" t="n">
        <v>85.45</v>
      </c>
      <c r="I113" s="20" t="n">
        <v>211.413</v>
      </c>
      <c r="J113" s="20" t="n">
        <v>161</v>
      </c>
      <c r="K113" s="20" t="n">
        <v>183</v>
      </c>
      <c r="L113" s="20" t="n">
        <v>380</v>
      </c>
    </row>
    <row r="114">
      <c r="A114" s="18" t="inlineStr">
        <is>
          <t>대손충당금</t>
        </is>
      </c>
      <c r="C114" s="20" t="n">
        <v>-13</v>
      </c>
      <c r="D114" s="20" t="n">
        <v>-40</v>
      </c>
      <c r="E114" s="20" t="n">
        <v>-44</v>
      </c>
      <c r="F114" s="20" t="n">
        <v>-43</v>
      </c>
      <c r="G114" s="20" t="n">
        <v>-43</v>
      </c>
      <c r="H114" s="20" t="n">
        <v>0</v>
      </c>
      <c r="I114" s="20" t="n">
        <v>0</v>
      </c>
      <c r="J114" s="20" t="n">
        <v>-9</v>
      </c>
      <c r="K114" s="20" t="n">
        <v>-13</v>
      </c>
      <c r="L114" s="20" t="n">
        <v>-43</v>
      </c>
    </row>
    <row r="115">
      <c r="A115" s="18" t="inlineStr">
        <is>
          <t>투자 및 기타자산 합계</t>
        </is>
      </c>
      <c r="C115" s="20" t="n">
        <v>1489</v>
      </c>
      <c r="D115" s="20" t="n">
        <v>1465</v>
      </c>
      <c r="E115" s="20" t="n">
        <v>1497</v>
      </c>
      <c r="F115" s="20" t="n">
        <v>1199</v>
      </c>
      <c r="G115" s="20" t="n">
        <v>1231</v>
      </c>
      <c r="H115" s="20" t="n">
        <v>208.167</v>
      </c>
      <c r="I115" s="20" t="n">
        <v>465.192</v>
      </c>
      <c r="J115" s="20" t="n">
        <v>528</v>
      </c>
      <c r="K115" s="20" t="n">
        <v>1489</v>
      </c>
      <c r="L115" s="20" t="n">
        <v>1231</v>
      </c>
    </row>
    <row r="116">
      <c r="A116" s="9" t="inlineStr">
        <is>
          <t>비유동자산 합계</t>
        </is>
      </c>
      <c r="C116" s="12" t="n">
        <v>11116</v>
      </c>
      <c r="D116" s="12" t="n">
        <v>10947</v>
      </c>
      <c r="E116" s="12" t="n">
        <v>11709</v>
      </c>
      <c r="F116" s="12" t="n">
        <v>14013</v>
      </c>
      <c r="G116" s="12" t="n">
        <v>13485</v>
      </c>
      <c r="H116" s="12" t="n">
        <v>4787.773</v>
      </c>
      <c r="I116" s="12" t="n">
        <v>7728.226</v>
      </c>
      <c r="J116" s="12" t="n">
        <v>8102</v>
      </c>
      <c r="K116" s="12" t="n">
        <v>11116</v>
      </c>
      <c r="L116" s="12" t="n">
        <v>13485</v>
      </c>
    </row>
    <row r="117">
      <c r="A117" s="9" t="inlineStr">
        <is>
          <t>자산 합계</t>
        </is>
      </c>
      <c r="C117" s="12" t="n">
        <v>26948</v>
      </c>
      <c r="D117" s="12" t="n">
        <v>26447</v>
      </c>
      <c r="E117" s="12" t="n">
        <v>28326</v>
      </c>
      <c r="F117" s="12" t="n">
        <v>36272</v>
      </c>
      <c r="G117" s="12" t="n">
        <v>35104</v>
      </c>
      <c r="H117" s="12" t="n">
        <v>14482.132</v>
      </c>
      <c r="I117" s="12" t="n">
        <v>21886.443</v>
      </c>
      <c r="J117" s="12" t="n">
        <v>22405</v>
      </c>
      <c r="K117" s="12" t="n">
        <v>26948</v>
      </c>
      <c r="L117" s="12" t="n">
        <v>35104</v>
      </c>
    </row>
    <row r="118">
      <c r="A118" s="18" t="inlineStr">
        <is>
          <t>지급어음·매입채무</t>
        </is>
      </c>
      <c r="C118" s="20" t="n">
        <v>1106</v>
      </c>
      <c r="D118" s="20" t="n">
        <v>1232</v>
      </c>
      <c r="E118" s="20" t="n">
        <v>1214</v>
      </c>
      <c r="F118" s="20" t="n">
        <v>1811</v>
      </c>
      <c r="G118" s="20" t="n">
        <v>1243</v>
      </c>
      <c r="H118" s="20" t="n">
        <v>275.687</v>
      </c>
      <c r="I118" s="20" t="n">
        <v>773.603</v>
      </c>
      <c r="J118" s="20" t="n">
        <v>704</v>
      </c>
      <c r="K118" s="20" t="n">
        <v>1106</v>
      </c>
      <c r="L118" s="20" t="n">
        <v>1243</v>
      </c>
    </row>
    <row r="119">
      <c r="A119" s="18" t="inlineStr">
        <is>
          <t>공사 미지급금</t>
        </is>
      </c>
      <c r="C119" s="20" t="n">
        <v>159</v>
      </c>
      <c r="D119" s="20" t="n">
        <v>189</v>
      </c>
      <c r="E119" s="20" t="n">
        <v>123</v>
      </c>
      <c r="F119" s="20" t="n">
        <v>116</v>
      </c>
      <c r="G119" s="20" t="n">
        <v>262</v>
      </c>
      <c r="H119" s="20" t="n">
        <v>301.915</v>
      </c>
      <c r="I119" s="20" t="n">
        <v>142.341</v>
      </c>
      <c r="J119" s="20" t="n">
        <v>134</v>
      </c>
      <c r="K119" s="20" t="n">
        <v>159</v>
      </c>
      <c r="L119" s="20" t="n">
        <v>262</v>
      </c>
    </row>
    <row r="120">
      <c r="A120" s="18" t="inlineStr">
        <is>
          <t>계약부채</t>
        </is>
      </c>
      <c r="C120" s="20" t="n">
        <v>72</v>
      </c>
      <c r="G120" s="20" t="n">
        <v>251</v>
      </c>
      <c r="H120" s="20" t="n">
        <v>5.768</v>
      </c>
      <c r="I120" s="20" t="n">
        <v>162.382</v>
      </c>
      <c r="J120" s="20" t="n">
        <v>279</v>
      </c>
      <c r="K120" s="20" t="n">
        <v>72</v>
      </c>
      <c r="L120" s="20" t="n">
        <v>251</v>
      </c>
    </row>
    <row r="121">
      <c r="A121" s="18" t="inlineStr">
        <is>
          <t>단기차입금</t>
        </is>
      </c>
      <c r="C121" s="20" t="n">
        <v>4150</v>
      </c>
      <c r="D121" s="20" t="n">
        <v>4250</v>
      </c>
      <c r="E121" s="20" t="n">
        <v>6200</v>
      </c>
      <c r="F121" s="20" t="n">
        <v>8171</v>
      </c>
      <c r="G121" s="20" t="n">
        <v>7579</v>
      </c>
      <c r="H121" s="20" t="n">
        <v>500</v>
      </c>
      <c r="I121" s="20" t="n">
        <v>1950</v>
      </c>
      <c r="J121" s="20" t="n">
        <v>2570</v>
      </c>
      <c r="K121" s="20" t="n">
        <v>4150</v>
      </c>
      <c r="L121" s="20" t="n">
        <v>7579</v>
      </c>
    </row>
    <row r="122">
      <c r="A122" s="18" t="inlineStr">
        <is>
          <t>1년 내 상환 장기차입금</t>
        </is>
      </c>
      <c r="C122" s="20" t="n">
        <v>1093</v>
      </c>
      <c r="D122" s="20" t="n">
        <v>948</v>
      </c>
      <c r="E122" s="20" t="n">
        <v>901</v>
      </c>
      <c r="F122" s="20" t="n">
        <v>1878</v>
      </c>
      <c r="G122" s="20" t="n">
        <v>1694</v>
      </c>
      <c r="H122" s="20" t="n">
        <v>522.7910000000001</v>
      </c>
      <c r="I122" s="20" t="n">
        <v>1091.146</v>
      </c>
      <c r="J122" s="20" t="n">
        <v>1139</v>
      </c>
      <c r="K122" s="20" t="n">
        <v>1093</v>
      </c>
      <c r="L122" s="20" t="n">
        <v>1694</v>
      </c>
    </row>
    <row r="123">
      <c r="A123" s="18" t="inlineStr">
        <is>
          <t>리스부채</t>
        </is>
      </c>
      <c r="C123" s="20" t="n">
        <v>30</v>
      </c>
      <c r="G123" s="20" t="n">
        <v>26</v>
      </c>
      <c r="H123" s="20" t="n">
        <v>15.699</v>
      </c>
      <c r="I123" s="20" t="n">
        <v>14.144</v>
      </c>
      <c r="J123" s="20" t="n">
        <v>15</v>
      </c>
      <c r="K123" s="20" t="n">
        <v>30</v>
      </c>
      <c r="L123" s="20" t="n">
        <v>26</v>
      </c>
    </row>
    <row r="124">
      <c r="A124" s="18" t="inlineStr">
        <is>
          <t>미지급법인세</t>
        </is>
      </c>
      <c r="C124" s="20" t="n">
        <v>529</v>
      </c>
      <c r="D124" s="20" t="n">
        <v>123</v>
      </c>
      <c r="E124" s="20" t="n">
        <v>248</v>
      </c>
      <c r="F124" s="20" t="n">
        <v>320</v>
      </c>
      <c r="G124" s="20" t="n">
        <v>867</v>
      </c>
      <c r="H124" s="20" t="n">
        <v>169.858</v>
      </c>
      <c r="I124" s="20" t="n">
        <v>301.575</v>
      </c>
      <c r="J124" s="20" t="n">
        <v>216</v>
      </c>
      <c r="K124" s="20" t="n">
        <v>529</v>
      </c>
      <c r="L124" s="20" t="n">
        <v>867</v>
      </c>
    </row>
    <row r="125">
      <c r="A125" s="18" t="inlineStr">
        <is>
          <t>상여충당금</t>
        </is>
      </c>
      <c r="C125" s="20" t="n">
        <v>165</v>
      </c>
      <c r="D125" s="20" t="n">
        <v>266</v>
      </c>
      <c r="E125" s="20" t="n">
        <v>177</v>
      </c>
      <c r="F125" s="20" t="n">
        <v>298</v>
      </c>
      <c r="G125" s="20" t="n">
        <v>187</v>
      </c>
      <c r="H125" s="20" t="n">
        <v>40.944</v>
      </c>
      <c r="I125" s="20" t="n">
        <v>130.419</v>
      </c>
      <c r="J125" s="20" t="n">
        <v>131</v>
      </c>
      <c r="K125" s="20" t="n">
        <v>165</v>
      </c>
      <c r="L125" s="20" t="n">
        <v>187</v>
      </c>
    </row>
    <row r="126">
      <c r="A126" s="18" t="inlineStr">
        <is>
          <t>자산복구부채</t>
        </is>
      </c>
      <c r="H126" s="20" t="n">
        <v>0</v>
      </c>
    </row>
    <row r="127">
      <c r="A127" s="18" t="inlineStr">
        <is>
          <t>공사손실충당금</t>
        </is>
      </c>
      <c r="C127" s="20" t="n">
        <v>29</v>
      </c>
      <c r="H127" s="20" t="n">
        <v>0</v>
      </c>
      <c r="I127" s="20" t="n">
        <v>14.825</v>
      </c>
      <c r="J127" s="20" t="n">
        <v>0</v>
      </c>
      <c r="K127" s="20" t="n">
        <v>29</v>
      </c>
    </row>
    <row r="128">
      <c r="A128" s="18" t="inlineStr">
        <is>
          <t>기타</t>
        </is>
      </c>
      <c r="C128" s="20" t="n">
        <v>1309</v>
      </c>
      <c r="D128" s="20" t="n">
        <v>1387</v>
      </c>
      <c r="E128" s="20" t="n">
        <v>1471</v>
      </c>
      <c r="F128" s="20" t="n">
        <v>1867</v>
      </c>
      <c r="G128" s="20" t="n">
        <v>1494</v>
      </c>
      <c r="H128" s="20" t="n">
        <v>431.422</v>
      </c>
      <c r="I128" s="20" t="n">
        <v>893.568</v>
      </c>
      <c r="J128" s="20" t="n">
        <v>1098</v>
      </c>
      <c r="K128" s="20" t="n">
        <v>1309</v>
      </c>
      <c r="L128" s="20" t="n">
        <v>1494</v>
      </c>
    </row>
    <row r="129">
      <c r="A129" s="9" t="inlineStr">
        <is>
          <t>유동부채 합계</t>
        </is>
      </c>
      <c r="C129" s="12" t="n">
        <v>8615</v>
      </c>
      <c r="D129" s="12" t="n">
        <v>8397</v>
      </c>
      <c r="E129" s="12" t="n">
        <v>10338</v>
      </c>
      <c r="F129" s="12" t="n">
        <v>14463</v>
      </c>
      <c r="G129" s="12" t="n">
        <v>13607</v>
      </c>
      <c r="H129" s="12" t="n">
        <v>2264.088</v>
      </c>
      <c r="I129" s="12" t="n">
        <v>5474.005</v>
      </c>
      <c r="J129" s="12" t="n">
        <v>6290</v>
      </c>
      <c r="K129" s="12" t="n">
        <v>8615</v>
      </c>
      <c r="L129" s="12" t="n">
        <v>13607</v>
      </c>
    </row>
    <row r="130">
      <c r="A130" s="18" t="inlineStr">
        <is>
          <t>장기차입금</t>
        </is>
      </c>
      <c r="C130" s="20" t="n">
        <v>4849</v>
      </c>
      <c r="D130" s="20" t="n">
        <v>4645</v>
      </c>
      <c r="E130" s="20" t="n">
        <v>4421</v>
      </c>
      <c r="F130" s="20" t="n">
        <v>8017</v>
      </c>
      <c r="G130" s="20" t="n">
        <v>7556</v>
      </c>
      <c r="H130" s="20" t="n">
        <v>2065.02</v>
      </c>
      <c r="I130" s="20" t="n">
        <v>3981.526</v>
      </c>
      <c r="J130" s="20" t="n">
        <v>3442</v>
      </c>
      <c r="K130" s="20" t="n">
        <v>4849</v>
      </c>
      <c r="L130" s="20" t="n">
        <v>7556</v>
      </c>
    </row>
    <row r="131">
      <c r="A131" s="18" t="inlineStr">
        <is>
          <t>리스부채</t>
        </is>
      </c>
      <c r="C131" s="20" t="n">
        <v>87</v>
      </c>
      <c r="G131" s="20" t="n">
        <v>58</v>
      </c>
      <c r="H131" s="20" t="n">
        <v>27.982</v>
      </c>
      <c r="I131" s="20" t="n">
        <v>34.724</v>
      </c>
      <c r="J131" s="20" t="n">
        <v>37</v>
      </c>
      <c r="K131" s="20" t="n">
        <v>87</v>
      </c>
      <c r="L131" s="20" t="n">
        <v>58</v>
      </c>
    </row>
    <row r="132">
      <c r="A132" s="18" t="inlineStr">
        <is>
          <t>이연법인세부채</t>
        </is>
      </c>
      <c r="C132" s="20" t="n">
        <v>194</v>
      </c>
      <c r="G132" s="20" t="n">
        <v>406</v>
      </c>
      <c r="H132" s="20" t="n">
        <v>0</v>
      </c>
      <c r="I132" s="20" t="n">
        <v>192.632</v>
      </c>
      <c r="J132" s="20" t="n">
        <v>125</v>
      </c>
      <c r="K132" s="20" t="n">
        <v>194</v>
      </c>
      <c r="L132" s="20" t="n">
        <v>406</v>
      </c>
    </row>
    <row r="133">
      <c r="A133" s="18" t="inlineStr">
        <is>
          <t>퇴직급여부채</t>
        </is>
      </c>
      <c r="C133" s="20" t="n">
        <v>175</v>
      </c>
      <c r="D133" s="20" t="n">
        <v>185</v>
      </c>
      <c r="E133" s="20" t="n">
        <v>198</v>
      </c>
      <c r="F133" s="20" t="n">
        <v>202</v>
      </c>
      <c r="G133" s="20" t="n">
        <v>135</v>
      </c>
      <c r="H133" s="20" t="n">
        <v>156.915</v>
      </c>
      <c r="I133" s="20" t="n">
        <v>155.036</v>
      </c>
      <c r="J133" s="20" t="n">
        <v>146</v>
      </c>
      <c r="K133" s="20" t="n">
        <v>175</v>
      </c>
      <c r="L133" s="20" t="n">
        <v>135</v>
      </c>
    </row>
    <row r="134">
      <c r="A134" s="18" t="inlineStr">
        <is>
          <t>자산복구부채</t>
        </is>
      </c>
      <c r="C134" s="20" t="n">
        <v>308</v>
      </c>
      <c r="D134" s="20" t="n">
        <v>308</v>
      </c>
      <c r="E134" s="20" t="n">
        <v>307</v>
      </c>
      <c r="F134" s="20" t="n">
        <v>333</v>
      </c>
      <c r="G134" s="20" t="n">
        <v>275</v>
      </c>
      <c r="H134" s="20" t="n">
        <v>101.362</v>
      </c>
      <c r="I134" s="20" t="n">
        <v>232.89</v>
      </c>
      <c r="J134" s="20" t="n">
        <v>232</v>
      </c>
      <c r="K134" s="20" t="n">
        <v>308</v>
      </c>
      <c r="L134" s="20" t="n">
        <v>275</v>
      </c>
    </row>
    <row r="135">
      <c r="A135" s="18" t="inlineStr">
        <is>
          <t>기타</t>
        </is>
      </c>
      <c r="C135" s="20" t="n">
        <v>69</v>
      </c>
      <c r="D135" s="20" t="n">
        <v>372</v>
      </c>
      <c r="E135" s="20" t="n">
        <v>393</v>
      </c>
      <c r="F135" s="20" t="n">
        <v>651</v>
      </c>
      <c r="G135" s="20" t="n">
        <v>106</v>
      </c>
      <c r="H135" s="20" t="n">
        <v>138.774</v>
      </c>
      <c r="I135" s="20" t="n">
        <v>651.698</v>
      </c>
      <c r="J135" s="20" t="n">
        <v>72</v>
      </c>
      <c r="K135" s="20" t="n">
        <v>69</v>
      </c>
      <c r="L135" s="20" t="n">
        <v>106</v>
      </c>
    </row>
    <row r="136">
      <c r="A136" s="9" t="inlineStr">
        <is>
          <t>비유동부채 합계</t>
        </is>
      </c>
      <c r="C136" s="12" t="n">
        <v>5683</v>
      </c>
      <c r="D136" s="12" t="n">
        <v>5511</v>
      </c>
      <c r="E136" s="12" t="n">
        <v>5320</v>
      </c>
      <c r="F136" s="12" t="n">
        <v>9205</v>
      </c>
      <c r="G136" s="12" t="n">
        <v>8538</v>
      </c>
      <c r="H136" s="12" t="n">
        <v>2490.055</v>
      </c>
      <c r="I136" s="12" t="n">
        <v>5248.508</v>
      </c>
      <c r="J136" s="12" t="n">
        <v>4056</v>
      </c>
      <c r="K136" s="12" t="n">
        <v>5683</v>
      </c>
      <c r="L136" s="12" t="n">
        <v>8538</v>
      </c>
    </row>
    <row r="137">
      <c r="A137" s="9" t="inlineStr">
        <is>
          <t>부채 합계</t>
        </is>
      </c>
      <c r="C137" s="12" t="n">
        <v>14299</v>
      </c>
      <c r="D137" s="12" t="n">
        <v>13908</v>
      </c>
      <c r="E137" s="12" t="n">
        <v>15659</v>
      </c>
      <c r="F137" s="12" t="n">
        <v>23668</v>
      </c>
      <c r="G137" s="12" t="n">
        <v>22145</v>
      </c>
      <c r="H137" s="12" t="n">
        <v>4754.143</v>
      </c>
      <c r="I137" s="12" t="n">
        <v>10722.514</v>
      </c>
      <c r="J137" s="12" t="n">
        <v>10346</v>
      </c>
      <c r="K137" s="12" t="n">
        <v>14299</v>
      </c>
      <c r="L137" s="12" t="n">
        <v>22145</v>
      </c>
    </row>
    <row r="138">
      <c r="A138" s="18" t="inlineStr">
        <is>
          <t>자본금</t>
        </is>
      </c>
      <c r="C138" s="20" t="n">
        <v>1190</v>
      </c>
      <c r="D138" s="20" t="n">
        <v>1190</v>
      </c>
      <c r="E138" s="20" t="n">
        <v>1190</v>
      </c>
      <c r="F138" s="20" t="n">
        <v>1190</v>
      </c>
      <c r="G138" s="20" t="n">
        <v>1190</v>
      </c>
      <c r="H138" s="20" t="n">
        <v>1176.968</v>
      </c>
      <c r="I138" s="20" t="n">
        <v>1176.968</v>
      </c>
      <c r="J138" s="20" t="n">
        <v>1176</v>
      </c>
      <c r="K138" s="20" t="n">
        <v>1190</v>
      </c>
      <c r="L138" s="20" t="n">
        <v>1190</v>
      </c>
    </row>
    <row r="139">
      <c r="A139" s="18" t="inlineStr">
        <is>
          <t>자본잉여금</t>
        </is>
      </c>
      <c r="C139" s="20" t="n">
        <v>1110</v>
      </c>
      <c r="D139" s="20" t="n">
        <v>1110</v>
      </c>
      <c r="E139" s="20" t="n">
        <v>1110</v>
      </c>
      <c r="F139" s="20" t="n">
        <v>1110</v>
      </c>
      <c r="G139" s="20" t="n">
        <v>1110</v>
      </c>
      <c r="H139" s="20" t="n">
        <v>1096.968</v>
      </c>
      <c r="I139" s="20" t="n">
        <v>1096.968</v>
      </c>
      <c r="J139" s="20" t="n">
        <v>1096</v>
      </c>
      <c r="K139" s="20" t="n">
        <v>1110</v>
      </c>
      <c r="L139" s="20" t="n">
        <v>1110</v>
      </c>
    </row>
    <row r="140">
      <c r="A140" s="18" t="inlineStr">
        <is>
          <t>이익잉여금</t>
        </is>
      </c>
      <c r="C140" s="20" t="n">
        <v>10672</v>
      </c>
      <c r="D140" s="20" t="n">
        <v>10557</v>
      </c>
      <c r="E140" s="20" t="n">
        <v>10664</v>
      </c>
      <c r="F140" s="20" t="n">
        <v>10574</v>
      </c>
      <c r="G140" s="20" t="n">
        <v>10933</v>
      </c>
      <c r="H140" s="20" t="n">
        <v>8113.015</v>
      </c>
      <c r="I140" s="20" t="n">
        <v>9533.977999999999</v>
      </c>
      <c r="J140" s="20" t="n">
        <v>9984</v>
      </c>
      <c r="K140" s="20" t="n">
        <v>10672</v>
      </c>
      <c r="L140" s="20" t="n">
        <v>10933</v>
      </c>
    </row>
    <row r="141">
      <c r="A141" s="18" t="inlineStr">
        <is>
          <t>자기주식</t>
        </is>
      </c>
      <c r="C141" s="20" t="n">
        <v>-345</v>
      </c>
      <c r="D141" s="20" t="n">
        <v>-345</v>
      </c>
      <c r="E141" s="20" t="n">
        <v>-345</v>
      </c>
      <c r="F141" s="20" t="n">
        <v>-345</v>
      </c>
      <c r="G141" s="20" t="n">
        <v>-345</v>
      </c>
      <c r="H141" s="20" t="n">
        <v>-713.003</v>
      </c>
      <c r="I141" s="20" t="n">
        <v>-654.674</v>
      </c>
      <c r="J141" s="20" t="n">
        <v>-204</v>
      </c>
      <c r="K141" s="20" t="n">
        <v>-345</v>
      </c>
      <c r="L141" s="20" t="n">
        <v>-345</v>
      </c>
    </row>
    <row r="142">
      <c r="A142" s="9" t="inlineStr">
        <is>
          <t>주주자본 합계</t>
        </is>
      </c>
      <c r="C142" s="12" t="n">
        <v>12629</v>
      </c>
      <c r="D142" s="12" t="n">
        <v>12514</v>
      </c>
      <c r="E142" s="12" t="n">
        <v>12620</v>
      </c>
      <c r="F142" s="12" t="n">
        <v>12530</v>
      </c>
      <c r="G142" s="12" t="n">
        <v>12890</v>
      </c>
      <c r="H142" s="12" t="n">
        <v>9673.948</v>
      </c>
      <c r="I142" s="12" t="n">
        <v>11153.239</v>
      </c>
      <c r="J142" s="12" t="n">
        <v>12054</v>
      </c>
      <c r="K142" s="12" t="n">
        <v>12629</v>
      </c>
      <c r="L142" s="12" t="n">
        <v>12890</v>
      </c>
    </row>
    <row r="143">
      <c r="A143" s="18" t="inlineStr">
        <is>
          <t>기타유가증권 평가차액</t>
        </is>
      </c>
      <c r="C143" s="20" t="n">
        <v>18</v>
      </c>
      <c r="D143" s="20" t="n">
        <v>24</v>
      </c>
      <c r="E143" s="20" t="n">
        <v>45</v>
      </c>
      <c r="F143" s="20" t="n">
        <v>72</v>
      </c>
      <c r="G143" s="20" t="n">
        <v>68</v>
      </c>
      <c r="H143" s="20" t="n">
        <v>-1.784</v>
      </c>
      <c r="I143" s="20" t="n">
        <v>7.79</v>
      </c>
      <c r="J143" s="20" t="n">
        <v>4</v>
      </c>
      <c r="K143" s="20" t="n">
        <v>18</v>
      </c>
      <c r="L143" s="20" t="n">
        <v>68</v>
      </c>
    </row>
    <row r="144">
      <c r="A144" s="18" t="inlineStr">
        <is>
          <t>기타포괄손익누계액 합계</t>
        </is>
      </c>
      <c r="C144" s="20" t="n">
        <v>18</v>
      </c>
      <c r="D144" s="20" t="n">
        <v>24</v>
      </c>
      <c r="E144" s="20" t="n">
        <v>45</v>
      </c>
      <c r="F144" s="20" t="n">
        <v>72</v>
      </c>
      <c r="G144" s="20" t="n">
        <v>68</v>
      </c>
      <c r="H144" s="20" t="n">
        <v>-1.784</v>
      </c>
      <c r="I144" s="20" t="n">
        <v>7.79</v>
      </c>
      <c r="J144" s="20" t="n">
        <v>4</v>
      </c>
      <c r="K144" s="20" t="n">
        <v>18</v>
      </c>
      <c r="L144" s="20" t="n">
        <v>68</v>
      </c>
    </row>
    <row r="145">
      <c r="A145" s="18" t="inlineStr">
        <is>
          <t>신주예약권</t>
        </is>
      </c>
      <c r="H145" s="20" t="n">
        <v>55.825</v>
      </c>
      <c r="I145" s="20" t="n">
        <v>2.9</v>
      </c>
      <c r="J145" s="20" t="n">
        <v>0</v>
      </c>
    </row>
    <row r="146">
      <c r="A146" s="9" t="inlineStr">
        <is>
          <t>순자산 합계</t>
        </is>
      </c>
      <c r="C146" s="12" t="n">
        <v>12648</v>
      </c>
      <c r="D146" s="12" t="n">
        <v>12538</v>
      </c>
      <c r="E146" s="12" t="n">
        <v>12666</v>
      </c>
      <c r="F146" s="12" t="n">
        <v>12603</v>
      </c>
      <c r="G146" s="12" t="n">
        <v>12958</v>
      </c>
      <c r="H146" s="12" t="n">
        <v>9727.987999999999</v>
      </c>
      <c r="I146" s="12" t="n">
        <v>11163.929</v>
      </c>
      <c r="J146" s="12" t="n">
        <v>12058</v>
      </c>
      <c r="K146" s="12" t="n">
        <v>12648</v>
      </c>
      <c r="L146" s="12" t="n">
        <v>12958</v>
      </c>
    </row>
    <row r="147">
      <c r="A147" s="9" t="inlineStr">
        <is>
          <t>부채·순자산 합계</t>
        </is>
      </c>
      <c r="C147" s="12" t="n">
        <v>26948</v>
      </c>
      <c r="D147" s="12" t="n">
        <v>26447</v>
      </c>
      <c r="E147" s="12" t="n">
        <v>28326</v>
      </c>
      <c r="F147" s="12" t="n">
        <v>36272</v>
      </c>
      <c r="G147" s="12" t="n">
        <v>35104</v>
      </c>
      <c r="H147" s="12" t="n">
        <v>14482.132</v>
      </c>
      <c r="I147" s="12" t="n">
        <v>21886.443</v>
      </c>
      <c r="J147" s="12" t="n">
        <v>22405</v>
      </c>
      <c r="K147" s="12" t="n">
        <v>26948</v>
      </c>
      <c r="L147" s="12" t="n">
        <v>35104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44" customWidth="1" min="6" max="6"/>
  </cols>
  <sheetData>
    <row r="1">
      <c r="A1" s="50" t="inlineStr">
        <is>
          <t>닛소그룹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annual ordinary</t>
        </is>
      </c>
      <c r="B4" s="52" t="n"/>
      <c r="C4" s="52" t="n"/>
      <c r="D4" s="52" t="n"/>
      <c r="E4" s="52" t="n"/>
      <c r="F4" s="52" t="n"/>
    </row>
    <row r="5">
      <c r="A5" s="53" t="inlineStr">
        <is>
          <t>항목</t>
        </is>
      </c>
      <c r="B5" s="53" t="inlineStr">
        <is>
          <t>값</t>
        </is>
      </c>
      <c r="F5" s="53" t="inlineStr">
        <is>
          <t>출처</t>
        </is>
      </c>
    </row>
    <row r="6">
      <c r="A6" s="54" t="inlineStr">
        <is>
          <t>FY2019</t>
        </is>
      </c>
      <c r="B6" s="55" t="n">
        <v>19.76</v>
      </c>
      <c r="F6" s="56" t="inlineStr">
        <is>
          <t>2단계 보고서 자료(회사 설명회 자료·공시)</t>
        </is>
      </c>
    </row>
    <row r="7">
      <c r="A7" s="54" t="inlineStr">
        <is>
          <t>FY2020</t>
        </is>
      </c>
      <c r="B7" s="55" t="n">
        <v>7.58</v>
      </c>
    </row>
    <row r="8">
      <c r="A8" s="54" t="inlineStr">
        <is>
          <t>FY2021</t>
        </is>
      </c>
      <c r="B8" s="55" t="n">
        <v>5.28</v>
      </c>
    </row>
    <row r="9">
      <c r="A9" s="54" t="inlineStr">
        <is>
          <t>FY2022</t>
        </is>
      </c>
      <c r="B9" s="55" t="n">
        <v>3.96</v>
      </c>
    </row>
    <row r="10">
      <c r="A10" s="54" t="inlineStr">
        <is>
          <t>FY2023</t>
        </is>
      </c>
      <c r="B10" s="55" t="n">
        <v>4.16</v>
      </c>
    </row>
    <row r="11">
      <c r="A11" s="54" t="inlineStr">
        <is>
          <t>FY2024</t>
        </is>
      </c>
      <c r="B11" s="55" t="n">
        <v>13.62</v>
      </c>
    </row>
    <row r="12">
      <c r="A12" s="54" t="inlineStr">
        <is>
          <t>FY2025</t>
        </is>
      </c>
      <c r="B12" s="55" t="n">
        <v>14.01</v>
      </c>
    </row>
    <row r="13">
      <c r="A13" s="54" t="inlineStr">
        <is>
          <t>FY2026</t>
        </is>
      </c>
      <c r="B13" s="55" t="n">
        <v>6.05</v>
      </c>
    </row>
    <row r="15">
      <c r="A15" s="52" t="inlineStr">
        <is>
          <t>annual EPS</t>
        </is>
      </c>
      <c r="B15" s="52" t="n"/>
      <c r="C15" s="52" t="n"/>
      <c r="D15" s="52" t="n"/>
      <c r="E15" s="52" t="n"/>
      <c r="F15" s="52" t="n"/>
    </row>
    <row r="16">
      <c r="A16" s="53" t="inlineStr">
        <is>
          <t>항목</t>
        </is>
      </c>
      <c r="B16" s="53" t="inlineStr">
        <is>
          <t>값</t>
        </is>
      </c>
      <c r="F16" s="53" t="inlineStr">
        <is>
          <t>출처</t>
        </is>
      </c>
    </row>
    <row r="17">
      <c r="A17" s="54" t="inlineStr">
        <is>
          <t>FY2019</t>
        </is>
      </c>
      <c r="B17" s="55" t="n">
        <v>203.82</v>
      </c>
      <c r="F17" s="56" t="inlineStr">
        <is>
          <t>2단계 보고서 자료(회사 설명회 자료·공시)</t>
        </is>
      </c>
    </row>
    <row r="18">
      <c r="A18" s="54" t="inlineStr">
        <is>
          <t>FY2020</t>
        </is>
      </c>
      <c r="B18" s="55" t="n">
        <v>83.01000000000001</v>
      </c>
    </row>
    <row r="19">
      <c r="A19" s="54" t="inlineStr">
        <is>
          <t>FY2021</t>
        </is>
      </c>
      <c r="B19" s="55" t="n">
        <v>66.48</v>
      </c>
    </row>
    <row r="20">
      <c r="A20" s="54" t="inlineStr">
        <is>
          <t>FY2022</t>
        </is>
      </c>
      <c r="B20" s="55" t="n">
        <v>23.99</v>
      </c>
    </row>
    <row r="21">
      <c r="A21" s="54" t="inlineStr">
        <is>
          <t>FY2023</t>
        </is>
      </c>
      <c r="B21" s="55" t="n">
        <v>234.33</v>
      </c>
    </row>
    <row r="22">
      <c r="A22" s="54" t="inlineStr">
        <is>
          <t>FY2024</t>
        </is>
      </c>
      <c r="B22" s="55" t="n">
        <v>167.33</v>
      </c>
    </row>
    <row r="23">
      <c r="A23" s="54" t="inlineStr">
        <is>
          <t>FY2025</t>
        </is>
      </c>
      <c r="B23" s="55" t="n">
        <v>141.88</v>
      </c>
    </row>
    <row r="24">
      <c r="A24" s="54" t="inlineStr">
        <is>
          <t>FY2026</t>
        </is>
      </c>
      <c r="B24" s="55" t="n">
        <v>80.58</v>
      </c>
    </row>
    <row r="26">
      <c r="A26" s="52" t="inlineStr">
        <is>
          <t>annual dps</t>
        </is>
      </c>
      <c r="B26" s="52" t="n"/>
      <c r="C26" s="52" t="n"/>
      <c r="D26" s="52" t="n"/>
      <c r="E26" s="52" t="n"/>
      <c r="F26" s="52" t="n"/>
    </row>
    <row r="27">
      <c r="A27" s="53" t="inlineStr">
        <is>
          <t>항목</t>
        </is>
      </c>
      <c r="B27" s="53" t="inlineStr">
        <is>
          <t>값</t>
        </is>
      </c>
      <c r="F27" s="53" t="inlineStr">
        <is>
          <t>출처</t>
        </is>
      </c>
    </row>
    <row r="28">
      <c r="A28" s="54" t="inlineStr">
        <is>
          <t>FY2019</t>
        </is>
      </c>
      <c r="B28" s="57" t="n">
        <v>30</v>
      </c>
      <c r="F28" s="56" t="inlineStr">
        <is>
          <t>2단계 보고서 자료(회사 설명회 자료·공시)</t>
        </is>
      </c>
    </row>
    <row r="29">
      <c r="A29" s="54" t="inlineStr">
        <is>
          <t>FY2020</t>
        </is>
      </c>
      <c r="B29" s="57" t="n">
        <v>25</v>
      </c>
    </row>
    <row r="30">
      <c r="A30" s="54" t="inlineStr">
        <is>
          <t>FY2021</t>
        </is>
      </c>
      <c r="B30" s="57" t="n">
        <v>25</v>
      </c>
    </row>
    <row r="31">
      <c r="A31" s="54" t="inlineStr">
        <is>
          <t>FY2022</t>
        </is>
      </c>
      <c r="B31" s="57" t="n">
        <v>15</v>
      </c>
    </row>
    <row r="32">
      <c r="A32" s="54" t="inlineStr">
        <is>
          <t>FY2023</t>
        </is>
      </c>
      <c r="B32" s="57" t="n">
        <v>30</v>
      </c>
    </row>
    <row r="33">
      <c r="A33" s="54" t="inlineStr">
        <is>
          <t>FY2024</t>
        </is>
      </c>
      <c r="B33" s="57" t="n">
        <v>35</v>
      </c>
    </row>
    <row r="34">
      <c r="A34" s="54" t="inlineStr">
        <is>
          <t>FY2025</t>
        </is>
      </c>
      <c r="B34" s="57" t="n">
        <v>40</v>
      </c>
    </row>
    <row r="35">
      <c r="A35" s="54" t="inlineStr">
        <is>
          <t>FY2026</t>
        </is>
      </c>
      <c r="B35" s="57" t="n">
        <v>42</v>
      </c>
    </row>
    <row r="36">
      <c r="A36" s="54" t="inlineStr">
        <is>
          <t>FY2027G</t>
        </is>
      </c>
      <c r="B36" s="57" t="n">
        <v>40</v>
      </c>
    </row>
    <row r="38">
      <c r="A38" s="52" t="inlineStr">
        <is>
          <t>quarterly EPS</t>
        </is>
      </c>
      <c r="B38" s="52" t="n"/>
      <c r="C38" s="52" t="n"/>
      <c r="D38" s="52" t="n"/>
      <c r="E38" s="52" t="n"/>
      <c r="F38" s="52" t="n"/>
    </row>
    <row r="39">
      <c r="A39" s="53" t="inlineStr">
        <is>
          <t>항목</t>
        </is>
      </c>
      <c r="B39" s="53" t="inlineStr">
        <is>
          <t>값</t>
        </is>
      </c>
      <c r="F39" s="53" t="inlineStr">
        <is>
          <t>출처</t>
        </is>
      </c>
    </row>
    <row r="40">
      <c r="A40" s="54" t="inlineStr">
        <is>
          <t>2023.1Q</t>
        </is>
      </c>
      <c r="B40" s="55" t="n">
        <v>11.65</v>
      </c>
      <c r="F40" s="56" t="inlineStr">
        <is>
          <t>2단계 보고서 자료(회사 설명회 자료·공시)</t>
        </is>
      </c>
    </row>
    <row r="41">
      <c r="A41" s="54" t="inlineStr">
        <is>
          <t>2023.2Q</t>
        </is>
      </c>
      <c r="B41" s="55" t="n">
        <v>251.94</v>
      </c>
    </row>
    <row r="42">
      <c r="A42" s="54" t="inlineStr">
        <is>
          <t>2023.3Q</t>
        </is>
      </c>
      <c r="B42" s="55" t="n">
        <v>22.04</v>
      </c>
    </row>
    <row r="43">
      <c r="A43" s="54" t="inlineStr">
        <is>
          <t>2023.4Q</t>
        </is>
      </c>
      <c r="B43" s="55" t="n">
        <v>-51.3</v>
      </c>
    </row>
    <row r="44">
      <c r="A44" s="54" t="inlineStr">
        <is>
          <t>2024.1Q</t>
        </is>
      </c>
      <c r="B44" s="55" t="n">
        <v>40.13</v>
      </c>
    </row>
    <row r="45">
      <c r="A45" s="54" t="inlineStr">
        <is>
          <t>2024.2Q</t>
        </is>
      </c>
      <c r="B45" s="55" t="n">
        <v>51.97</v>
      </c>
    </row>
    <row r="46">
      <c r="A46" s="54" t="inlineStr">
        <is>
          <t>2024.3Q</t>
        </is>
      </c>
      <c r="B46" s="55" t="n">
        <v>40.74</v>
      </c>
    </row>
    <row r="47">
      <c r="A47" s="54" t="inlineStr">
        <is>
          <t>2024.4Q</t>
        </is>
      </c>
      <c r="B47" s="55" t="n">
        <v>34.49</v>
      </c>
    </row>
    <row r="48">
      <c r="A48" s="54" t="inlineStr">
        <is>
          <t>2025.1Q</t>
        </is>
      </c>
      <c r="B48" s="55" t="n">
        <v>36.93</v>
      </c>
    </row>
    <row r="49">
      <c r="A49" s="54" t="inlineStr">
        <is>
          <t>2025.2Q</t>
        </is>
      </c>
      <c r="B49" s="55" t="n">
        <v>80.79000000000001</v>
      </c>
    </row>
    <row r="50">
      <c r="A50" s="54" t="inlineStr">
        <is>
          <t>2025.3Q</t>
        </is>
      </c>
      <c r="B50" s="55" t="n">
        <v>50.96</v>
      </c>
    </row>
    <row r="51">
      <c r="A51" s="54" t="inlineStr">
        <is>
          <t>2025.4Q</t>
        </is>
      </c>
      <c r="B51" s="55" t="n">
        <v>-26.8</v>
      </c>
    </row>
    <row r="52">
      <c r="A52" s="54" t="inlineStr">
        <is>
          <t>2026.1Q</t>
        </is>
      </c>
      <c r="B52" s="55" t="n">
        <v>22.01</v>
      </c>
    </row>
    <row r="53">
      <c r="A53" s="54" t="inlineStr">
        <is>
          <t>2026.2Q</t>
        </is>
      </c>
      <c r="B53" s="55" t="n">
        <v>16.61</v>
      </c>
    </row>
    <row r="54">
      <c r="A54" s="54" t="inlineStr">
        <is>
          <t>2026.3Q</t>
        </is>
      </c>
      <c r="B54" s="55" t="n">
        <v>-13.99</v>
      </c>
    </row>
    <row r="55">
      <c r="A55" s="54" t="inlineStr">
        <is>
          <t>2026.4Q</t>
        </is>
      </c>
      <c r="B55" s="55" t="n">
        <v>55.95</v>
      </c>
    </row>
    <row r="57">
      <c r="A57" s="52" t="inlineStr">
        <is>
          <t>quarterly 2023</t>
        </is>
      </c>
      <c r="B57" s="52" t="n"/>
      <c r="C57" s="52" t="n"/>
      <c r="D57" s="52" t="n"/>
      <c r="E57" s="52" t="n"/>
      <c r="F57" s="52" t="n"/>
    </row>
    <row r="58">
      <c r="A58" s="53" t="inlineStr">
        <is>
          <t>항목</t>
        </is>
      </c>
      <c r="B58" s="53" t="inlineStr">
        <is>
          <t>2023.1Q</t>
        </is>
      </c>
      <c r="C58" s="53" t="inlineStr">
        <is>
          <t>2023.2Q</t>
        </is>
      </c>
      <c r="D58" s="53" t="inlineStr">
        <is>
          <t>2023.3Q</t>
        </is>
      </c>
      <c r="E58" s="53" t="inlineStr">
        <is>
          <t>2023.4Q</t>
        </is>
      </c>
      <c r="F58" s="53" t="inlineStr">
        <is>
          <t>출처</t>
        </is>
      </c>
    </row>
    <row r="59">
      <c r="A59" s="54" t="inlineStr">
        <is>
          <t>매출</t>
        </is>
      </c>
      <c r="B59" s="55" t="n">
        <v>22.8</v>
      </c>
      <c r="C59" s="55" t="n">
        <v>29.3</v>
      </c>
      <c r="D59" s="55" t="n">
        <v>38.9</v>
      </c>
      <c r="E59" s="55" t="n">
        <v>34.5</v>
      </c>
      <c r="F59" s="56" t="inlineStr">
        <is>
          <t>2단계 보고서 자료(회사 설명회 자료·공시)</t>
        </is>
      </c>
    </row>
    <row r="60">
      <c r="A60" s="54" t="inlineStr">
        <is>
          <t>영업이익</t>
        </is>
      </c>
      <c r="B60" s="55" t="n">
        <v>1.4</v>
      </c>
      <c r="C60" s="55" t="n">
        <v>2</v>
      </c>
      <c r="D60" s="55" t="n">
        <v>2</v>
      </c>
      <c r="E60" s="55" t="n">
        <v>-2.2</v>
      </c>
    </row>
    <row r="61">
      <c r="A61" s="54" t="inlineStr">
        <is>
          <t>순이익 owner</t>
        </is>
      </c>
      <c r="B61" s="55" t="n">
        <v>0.8</v>
      </c>
      <c r="C61" s="55" t="n">
        <v>16.3</v>
      </c>
      <c r="D61" s="55" t="n">
        <v>1.5</v>
      </c>
      <c r="E61" s="55" t="n">
        <v>-3.3</v>
      </c>
    </row>
    <row r="63">
      <c r="A63" s="52" t="inlineStr">
        <is>
          <t>가이던스 FY2027</t>
        </is>
      </c>
      <c r="B63" s="52" t="n"/>
      <c r="C63" s="52" t="n"/>
      <c r="D63" s="52" t="n"/>
      <c r="E63" s="52" t="n"/>
      <c r="F63" s="52" t="n"/>
    </row>
    <row r="64">
      <c r="A64" s="53" t="inlineStr">
        <is>
          <t>항목</t>
        </is>
      </c>
      <c r="B64" s="53" t="inlineStr">
        <is>
          <t>값</t>
        </is>
      </c>
      <c r="F64" s="53" t="inlineStr">
        <is>
          <t>출처</t>
        </is>
      </c>
    </row>
    <row r="65">
      <c r="A65" s="54" t="inlineStr">
        <is>
          <t>매출</t>
        </is>
      </c>
      <c r="B65" s="55" t="n">
        <v>270</v>
      </c>
      <c r="F65" s="56" t="inlineStr">
        <is>
          <t>2단계 보고서 자료(회사 설명회 자료·공시)</t>
        </is>
      </c>
    </row>
    <row r="66">
      <c r="A66" s="54" t="inlineStr">
        <is>
          <t>영업이익</t>
        </is>
      </c>
      <c r="B66" s="55" t="n">
        <v>9</v>
      </c>
    </row>
    <row r="67">
      <c r="A67" s="54" t="inlineStr">
        <is>
          <t>ebitda</t>
        </is>
      </c>
      <c r="B67" s="55" t="n">
        <v>20.2</v>
      </c>
    </row>
    <row r="68">
      <c r="A68" s="54" t="inlineStr">
        <is>
          <t>ordinary</t>
        </is>
      </c>
      <c r="B68" s="55" t="n">
        <v>7.3</v>
      </c>
    </row>
    <row r="69">
      <c r="A69" s="54" t="inlineStr">
        <is>
          <t>순이익</t>
        </is>
      </c>
      <c r="B69" s="55" t="n">
        <v>2.6</v>
      </c>
    </row>
    <row r="70">
      <c r="A70" s="54" t="inlineStr">
        <is>
          <t>EPS</t>
        </is>
      </c>
      <c r="B70" s="55" t="n">
        <v>40.49</v>
      </c>
    </row>
    <row r="71">
      <c r="A71" s="54" t="inlineStr">
        <is>
          <t>dps</t>
        </is>
      </c>
      <c r="B71" s="57" t="n">
        <v>40</v>
      </c>
    </row>
    <row r="73">
      <c r="A73" s="52" t="inlineStr">
        <is>
          <t>가이던스 FY2027 · 상반기</t>
        </is>
      </c>
      <c r="B73" s="52" t="n"/>
      <c r="C73" s="52" t="n"/>
      <c r="D73" s="52" t="n"/>
      <c r="E73" s="52" t="n"/>
      <c r="F73" s="52" t="n"/>
    </row>
    <row r="74">
      <c r="A74" s="53" t="inlineStr">
        <is>
          <t>항목</t>
        </is>
      </c>
      <c r="B74" s="53" t="inlineStr">
        <is>
          <t>값</t>
        </is>
      </c>
      <c r="F74" s="53" t="inlineStr">
        <is>
          <t>출처</t>
        </is>
      </c>
    </row>
    <row r="75">
      <c r="A75" s="54" t="inlineStr">
        <is>
          <t>매출</t>
        </is>
      </c>
      <c r="B75" s="55" t="n">
        <v>115</v>
      </c>
      <c r="F75" s="56" t="inlineStr">
        <is>
          <t>2단계 보고서 자료(회사 설명회 자료·공시)</t>
        </is>
      </c>
    </row>
    <row r="76">
      <c r="A76" s="54" t="inlineStr">
        <is>
          <t>영업이익</t>
        </is>
      </c>
      <c r="B76" s="55" t="n">
        <v>1</v>
      </c>
    </row>
    <row r="77">
      <c r="A77" s="54" t="inlineStr">
        <is>
          <t>ordinary</t>
        </is>
      </c>
      <c r="B77" s="55" t="n">
        <v>0.3</v>
      </c>
    </row>
    <row r="78">
      <c r="A78" s="54" t="inlineStr">
        <is>
          <t>순이익</t>
        </is>
      </c>
      <c r="B78" s="55" t="n">
        <v>0.1</v>
      </c>
    </row>
    <row r="79">
      <c r="A79" s="54" t="inlineStr">
        <is>
          <t>EPS</t>
        </is>
      </c>
      <c r="B79" s="55" t="n">
        <v>1.56</v>
      </c>
    </row>
    <row r="81">
      <c r="A81" s="52" t="inlineStr">
        <is>
          <t>가이던스 FY2027 · 하반기 implied</t>
        </is>
      </c>
      <c r="B81" s="52" t="n"/>
      <c r="C81" s="52" t="n"/>
      <c r="D81" s="52" t="n"/>
      <c r="E81" s="52" t="n"/>
      <c r="F81" s="52" t="n"/>
    </row>
    <row r="82">
      <c r="A82" s="53" t="inlineStr">
        <is>
          <t>항목</t>
        </is>
      </c>
      <c r="B82" s="53" t="inlineStr">
        <is>
          <t>값</t>
        </is>
      </c>
      <c r="F82" s="53" t="inlineStr">
        <is>
          <t>출처</t>
        </is>
      </c>
    </row>
    <row r="83">
      <c r="A83" s="54" t="inlineStr">
        <is>
          <t>매출</t>
        </is>
      </c>
      <c r="B83" s="55" t="n">
        <v>155</v>
      </c>
      <c r="F83" s="56" t="inlineStr">
        <is>
          <t>2단계 보고서 자료(회사 설명회 자료·공시)</t>
        </is>
      </c>
    </row>
    <row r="84">
      <c r="A84" s="54" t="inlineStr">
        <is>
          <t>영업이익</t>
        </is>
      </c>
      <c r="B84" s="55" t="n">
        <v>8</v>
      </c>
    </row>
    <row r="85">
      <c r="A85" s="54" t="inlineStr">
        <is>
          <t>ordinary</t>
        </is>
      </c>
      <c r="B85" s="55" t="n">
        <v>7</v>
      </c>
    </row>
    <row r="86">
      <c r="A86" s="54" t="inlineStr">
        <is>
          <t>순이익</t>
        </is>
      </c>
      <c r="B86" s="55" t="n">
        <v>2.5</v>
      </c>
    </row>
    <row r="88">
      <c r="A88" s="52" t="inlineStr">
        <is>
          <t>수주 수주잔고 · FY2026 end</t>
        </is>
      </c>
      <c r="B88" s="52" t="n"/>
      <c r="C88" s="52" t="n"/>
      <c r="D88" s="52" t="n"/>
      <c r="E88" s="52" t="n"/>
      <c r="F88" s="52" t="n"/>
    </row>
    <row r="89">
      <c r="A89" s="53" t="inlineStr">
        <is>
          <t>항목</t>
        </is>
      </c>
      <c r="B89" s="53" t="inlineStr">
        <is>
          <t>값</t>
        </is>
      </c>
      <c r="F89" s="53" t="inlineStr">
        <is>
          <t>출처</t>
        </is>
      </c>
    </row>
    <row r="90">
      <c r="A90" s="54" t="inlineStr">
        <is>
          <t>금속가공</t>
        </is>
      </c>
      <c r="B90" s="55" t="n">
        <v>19.56</v>
      </c>
      <c r="F90" s="56" t="inlineStr">
        <is>
          <t>수주잔고 억 엔(결산단신·설명자료). FY26말 합계 51.46(-7.9%), FY25말 55.89</t>
        </is>
      </c>
    </row>
    <row r="91">
      <c r="A91" s="54" t="inlineStr">
        <is>
          <t>화성품</t>
        </is>
      </c>
      <c r="B91" s="55" t="n">
        <v>3.97</v>
      </c>
    </row>
    <row r="92">
      <c r="A92" s="54" t="inlineStr">
        <is>
          <t>건설</t>
        </is>
      </c>
      <c r="B92" s="55" t="n">
        <v>14.12</v>
      </c>
    </row>
    <row r="93">
      <c r="A93" s="54" t="inlineStr">
        <is>
          <t>라이프스타일</t>
        </is>
      </c>
      <c r="B93" s="55" t="n">
        <v>13.79</v>
      </c>
    </row>
    <row r="95">
      <c r="A95" s="52" t="inlineStr">
        <is>
          <t>수주 수주잔고 · FY2026 수주</t>
        </is>
      </c>
      <c r="B95" s="52" t="n"/>
      <c r="C95" s="52" t="n"/>
      <c r="D95" s="52" t="n"/>
      <c r="E95" s="52" t="n"/>
      <c r="F95" s="52" t="n"/>
    </row>
    <row r="96">
      <c r="A96" s="53" t="inlineStr">
        <is>
          <t>항목</t>
        </is>
      </c>
      <c r="B96" s="53" t="inlineStr">
        <is>
          <t>값</t>
        </is>
      </c>
      <c r="F96" s="53" t="inlineStr">
        <is>
          <t>출처</t>
        </is>
      </c>
    </row>
    <row r="97">
      <c r="A97" s="54" t="inlineStr">
        <is>
          <t>금속가공</t>
        </is>
      </c>
      <c r="B97" s="55" t="n">
        <v>64.93000000000001</v>
      </c>
      <c r="F97" s="56" t="inlineStr">
        <is>
          <t>수주잔고 억 엔(결산단신·설명자료). FY26말 합계 51.46(-7.9%), FY25말 55.89</t>
        </is>
      </c>
    </row>
    <row r="98">
      <c r="A98" s="54" t="inlineStr">
        <is>
          <t>화성품</t>
        </is>
      </c>
      <c r="B98" s="55" t="n">
        <v>49.89</v>
      </c>
    </row>
    <row r="99">
      <c r="A99" s="54" t="inlineStr">
        <is>
          <t>건설</t>
        </is>
      </c>
      <c r="B99" s="55" t="n">
        <v>26.83</v>
      </c>
    </row>
    <row r="100">
      <c r="A100" s="54" t="inlineStr">
        <is>
          <t>라이프스타일</t>
        </is>
      </c>
      <c r="B100" s="55" t="n">
        <v>68.81</v>
      </c>
    </row>
    <row r="101">
      <c r="A101" s="54" t="inlineStr">
        <is>
          <t>합계</t>
        </is>
      </c>
      <c r="B101" s="55" t="n">
        <v>210.47</v>
      </c>
    </row>
    <row r="103">
      <c r="A103" s="52" t="inlineStr">
        <is>
          <t>pl FY · FY2025</t>
        </is>
      </c>
      <c r="B103" s="52" t="n"/>
      <c r="C103" s="52" t="n"/>
      <c r="D103" s="52" t="n"/>
      <c r="E103" s="52" t="n"/>
      <c r="F103" s="52" t="n"/>
    </row>
    <row r="104">
      <c r="A104" s="53" t="inlineStr">
        <is>
          <t>항목</t>
        </is>
      </c>
      <c r="B104" s="53" t="inlineStr">
        <is>
          <t>값</t>
        </is>
      </c>
      <c r="F104" s="53" t="inlineStr">
        <is>
          <t>출처</t>
        </is>
      </c>
    </row>
    <row r="105">
      <c r="A105" s="54" t="inlineStr">
        <is>
          <t>원가</t>
        </is>
      </c>
      <c r="B105" s="55" t="n">
        <v>174.14</v>
      </c>
      <c r="F105" s="56" t="inlineStr">
        <is>
          <t>M&amp;A 수수료 2.39억(B SLASH 인수, 일회성)은 판관비(조정액)에 포함. EBITDA FY26 16.48(감가 7.22, 영업권 상각 3.05) / FY25 21.44</t>
        </is>
      </c>
    </row>
    <row r="106">
      <c r="A106" s="54" t="inlineStr">
        <is>
          <t>매출총이익</t>
        </is>
      </c>
      <c r="B106" s="55" t="n">
        <v>56.22</v>
      </c>
    </row>
    <row r="107">
      <c r="A107" s="54" t="inlineStr">
        <is>
          <t>판관비</t>
        </is>
      </c>
      <c r="B107" s="55" t="n">
        <v>42.38</v>
      </c>
    </row>
    <row r="108">
      <c r="A108" s="54" t="inlineStr">
        <is>
          <t>운임·포장</t>
        </is>
      </c>
      <c r="B108" s="55" t="n">
        <v>8.5</v>
      </c>
    </row>
    <row r="109">
      <c r="A109" s="54" t="inlineStr">
        <is>
          <t>임원보수</t>
        </is>
      </c>
      <c r="B109" s="55" t="n">
        <v>3.72</v>
      </c>
    </row>
    <row r="110">
      <c r="A110" s="54" t="inlineStr">
        <is>
          <t>급여·수당</t>
        </is>
      </c>
      <c r="B110" s="55" t="n">
        <v>9.32</v>
      </c>
    </row>
    <row r="111">
      <c r="A111" s="54" t="inlineStr">
        <is>
          <t>상여</t>
        </is>
      </c>
      <c r="B111" s="55" t="n">
        <v>0.67</v>
      </c>
    </row>
    <row r="112">
      <c r="A112" s="54" t="inlineStr">
        <is>
          <t>상여충당금</t>
        </is>
      </c>
      <c r="B112" s="55" t="n">
        <v>1.31</v>
      </c>
    </row>
    <row r="113">
      <c r="A113" s="54" t="inlineStr">
        <is>
          <t>퇴직급여</t>
        </is>
      </c>
      <c r="B113" s="55" t="n">
        <v>0.38</v>
      </c>
    </row>
    <row r="114">
      <c r="A114" s="54" t="inlineStr">
        <is>
          <t>대손충당금</t>
        </is>
      </c>
      <c r="B114" s="55" t="n">
        <v>0.16</v>
      </c>
    </row>
    <row r="115">
      <c r="A115" s="54" t="inlineStr">
        <is>
          <t>연구개발</t>
        </is>
      </c>
      <c r="B115" s="55" t="n">
        <v>0.08</v>
      </c>
    </row>
    <row r="116">
      <c r="A116" s="54" t="inlineStr">
        <is>
          <t>기타</t>
        </is>
      </c>
      <c r="B116" s="55" t="n">
        <v>18.2</v>
      </c>
    </row>
    <row r="117">
      <c r="A117" s="54" t="inlineStr">
        <is>
          <t>영업외수익</t>
        </is>
      </c>
      <c r="B117" s="55" t="n">
        <v>1.03</v>
      </c>
    </row>
    <row r="118">
      <c r="A118" s="54" t="inlineStr">
        <is>
          <t>이자수익</t>
        </is>
      </c>
      <c r="B118" s="55" t="n">
        <v>0.07000000000000001</v>
      </c>
    </row>
    <row r="119">
      <c r="A119" s="54" t="inlineStr">
        <is>
          <t>배당</t>
        </is>
      </c>
      <c r="B119" s="55" t="n">
        <v>0.01</v>
      </c>
    </row>
    <row r="120">
      <c r="A120" s="54" t="inlineStr">
        <is>
          <t>임대료</t>
        </is>
      </c>
      <c r="B120" s="55" t="n">
        <v>0.07000000000000001</v>
      </c>
    </row>
    <row r="121">
      <c r="A121" s="54" t="inlineStr">
        <is>
          <t>보험금</t>
        </is>
      </c>
      <c r="B121" s="55" t="n">
        <v>0.01</v>
      </c>
    </row>
    <row r="122">
      <c r="A122" s="54" t="inlineStr">
        <is>
          <t>매전수입</t>
        </is>
      </c>
      <c r="B122" s="55" t="n">
        <v>0.28</v>
      </c>
    </row>
    <row r="123">
      <c r="A123" s="54" t="inlineStr">
        <is>
          <t>영업외기타수익</t>
        </is>
      </c>
      <c r="B123" s="55" t="n">
        <v>0.5600000000000001</v>
      </c>
    </row>
    <row r="124">
      <c r="A124" s="54" t="inlineStr">
        <is>
          <t>영업외비용</t>
        </is>
      </c>
      <c r="B124" s="55" t="n">
        <v>0.85</v>
      </c>
    </row>
    <row r="125">
      <c r="A125" s="54" t="inlineStr">
        <is>
          <t>이자비용</t>
        </is>
      </c>
      <c r="B125" s="55" t="n">
        <v>0.76</v>
      </c>
    </row>
    <row r="126">
      <c r="A126" s="54" t="inlineStr">
        <is>
          <t>영업외기타비용</t>
        </is>
      </c>
      <c r="B126" s="55" t="n">
        <v>0.09</v>
      </c>
    </row>
    <row r="127">
      <c r="A127" s="54" t="inlineStr">
        <is>
          <t>경상이익</t>
        </is>
      </c>
      <c r="B127" s="55" t="n">
        <v>14.01</v>
      </c>
    </row>
    <row r="128">
      <c r="A128" s="54" t="inlineStr">
        <is>
          <t>특별이익</t>
        </is>
      </c>
      <c r="B128" s="55" t="n">
        <v>1.93</v>
      </c>
    </row>
    <row r="129">
      <c r="A129" s="54" t="inlineStr">
        <is>
          <t>고정자산매각익</t>
        </is>
      </c>
      <c r="B129" s="55" t="n">
        <v>0.08</v>
      </c>
    </row>
    <row r="130">
      <c r="A130" s="54" t="inlineStr">
        <is>
          <t>보조금수입</t>
        </is>
      </c>
      <c r="B130" s="55" t="n">
        <v>1.84</v>
      </c>
    </row>
    <row r="131">
      <c r="A131" s="54" t="inlineStr">
        <is>
          <t>특별손실</t>
        </is>
      </c>
      <c r="B131" s="55" t="n">
        <v>0.97</v>
      </c>
    </row>
    <row r="132">
      <c r="A132" s="54" t="inlineStr">
        <is>
          <t>감손손실</t>
        </is>
      </c>
      <c r="B132" s="55" t="n">
        <v>0.91</v>
      </c>
    </row>
    <row r="133">
      <c r="A133" s="54" t="inlineStr">
        <is>
          <t>고정자산매각·제각손</t>
        </is>
      </c>
      <c r="B133" s="55" t="n">
        <v>0.05</v>
      </c>
    </row>
    <row r="134">
      <c r="A134" s="54" t="inlineStr">
        <is>
          <t>세전이익</t>
        </is>
      </c>
      <c r="B134" s="55" t="n">
        <v>14.97</v>
      </c>
    </row>
    <row r="135">
      <c r="A135" s="54" t="inlineStr">
        <is>
          <t>법인세등</t>
        </is>
      </c>
      <c r="B135" s="55" t="n">
        <v>5.79</v>
      </c>
    </row>
    <row r="136">
      <c r="A136" s="54" t="inlineStr">
        <is>
          <t>순이익</t>
        </is>
      </c>
      <c r="B136" s="55" t="n">
        <v>9.17</v>
      </c>
    </row>
    <row r="138">
      <c r="A138" s="52" t="inlineStr">
        <is>
          <t>pl FY · FY2026</t>
        </is>
      </c>
      <c r="B138" s="52" t="n"/>
      <c r="C138" s="52" t="n"/>
      <c r="D138" s="52" t="n"/>
      <c r="E138" s="52" t="n"/>
      <c r="F138" s="52" t="n"/>
    </row>
    <row r="139">
      <c r="A139" s="53" t="inlineStr">
        <is>
          <t>항목</t>
        </is>
      </c>
      <c r="B139" s="53" t="inlineStr">
        <is>
          <t>값</t>
        </is>
      </c>
      <c r="F139" s="53" t="inlineStr">
        <is>
          <t>출처</t>
        </is>
      </c>
    </row>
    <row r="140">
      <c r="A140" s="54" t="inlineStr">
        <is>
          <t>원가</t>
        </is>
      </c>
      <c r="B140" s="55" t="n">
        <v>157.4</v>
      </c>
      <c r="F140" s="56" t="inlineStr">
        <is>
          <t>M&amp;A 수수료 2.39억(B SLASH 인수, 일회성)은 판관비(조정액)에 포함. EBITDA FY26 16.48(감가 7.22, 영업권 상각 3.05) / FY25 21.44</t>
        </is>
      </c>
    </row>
    <row r="141">
      <c r="A141" s="54" t="inlineStr">
        <is>
          <t>매출총이익</t>
        </is>
      </c>
      <c r="B141" s="55" t="n">
        <v>57.71</v>
      </c>
    </row>
    <row r="142">
      <c r="A142" s="54" t="inlineStr">
        <is>
          <t>판관비</t>
        </is>
      </c>
      <c r="B142" s="55" t="n">
        <v>51.51</v>
      </c>
    </row>
    <row r="143">
      <c r="A143" s="54" t="inlineStr">
        <is>
          <t>운임·포장</t>
        </is>
      </c>
      <c r="B143" s="55" t="n">
        <v>8.699999999999999</v>
      </c>
    </row>
    <row r="144">
      <c r="A144" s="54" t="inlineStr">
        <is>
          <t>임원보수</t>
        </is>
      </c>
      <c r="B144" s="55" t="n">
        <v>4.03</v>
      </c>
    </row>
    <row r="145">
      <c r="A145" s="54" t="inlineStr">
        <is>
          <t>급여·수당</t>
        </is>
      </c>
      <c r="B145" s="55" t="n">
        <v>11.21</v>
      </c>
    </row>
    <row r="146">
      <c r="A146" s="54" t="inlineStr">
        <is>
          <t>상여</t>
        </is>
      </c>
      <c r="B146" s="55" t="n">
        <v>0.47</v>
      </c>
    </row>
    <row r="147">
      <c r="A147" s="54" t="inlineStr">
        <is>
          <t>상여충당금</t>
        </is>
      </c>
      <c r="B147" s="55" t="n">
        <v>1.65</v>
      </c>
    </row>
    <row r="148">
      <c r="A148" s="54" t="inlineStr">
        <is>
          <t>퇴직급여</t>
        </is>
      </c>
      <c r="B148" s="55" t="n">
        <v>0.29</v>
      </c>
    </row>
    <row r="149">
      <c r="A149" s="54" t="inlineStr">
        <is>
          <t>대손충당금</t>
        </is>
      </c>
      <c r="B149" s="55" t="n">
        <v>0.3</v>
      </c>
    </row>
    <row r="150">
      <c r="A150" s="54" t="inlineStr">
        <is>
          <t>연구개발</t>
        </is>
      </c>
      <c r="B150" s="55" t="n">
        <v>0.3</v>
      </c>
    </row>
    <row r="151">
      <c r="A151" s="54" t="inlineStr">
        <is>
          <t>기타</t>
        </is>
      </c>
      <c r="B151" s="55" t="n">
        <v>24.5</v>
      </c>
    </row>
    <row r="152">
      <c r="A152" s="54" t="inlineStr">
        <is>
          <t>영업외수익</t>
        </is>
      </c>
      <c r="B152" s="55" t="n">
        <v>1.6</v>
      </c>
    </row>
    <row r="153">
      <c r="A153" s="54" t="inlineStr">
        <is>
          <t>이자수익</t>
        </is>
      </c>
      <c r="B153" s="55" t="n">
        <v>0.22</v>
      </c>
    </row>
    <row r="154">
      <c r="A154" s="54" t="inlineStr">
        <is>
          <t>배당</t>
        </is>
      </c>
      <c r="B154" s="55" t="n">
        <v>0.06</v>
      </c>
    </row>
    <row r="155">
      <c r="A155" s="54" t="inlineStr">
        <is>
          <t>임대료</t>
        </is>
      </c>
      <c r="B155" s="55" t="n">
        <v>0.27</v>
      </c>
    </row>
    <row r="156">
      <c r="A156" s="54" t="inlineStr">
        <is>
          <t>보험금</t>
        </is>
      </c>
      <c r="B156" s="55" t="n">
        <v>0.22</v>
      </c>
    </row>
    <row r="157">
      <c r="A157" s="54" t="inlineStr">
        <is>
          <t>매전수입</t>
        </is>
      </c>
      <c r="B157" s="55" t="n">
        <v>0.33</v>
      </c>
    </row>
    <row r="158">
      <c r="A158" s="54" t="inlineStr">
        <is>
          <t>영업외기타수익</t>
        </is>
      </c>
      <c r="B158" s="55" t="n">
        <v>0.47</v>
      </c>
    </row>
    <row r="159">
      <c r="A159" s="54" t="inlineStr">
        <is>
          <t>영업외비용</t>
        </is>
      </c>
      <c r="B159" s="55" t="n">
        <v>1.76</v>
      </c>
    </row>
    <row r="160">
      <c r="A160" s="54" t="inlineStr">
        <is>
          <t>이자비용</t>
        </is>
      </c>
      <c r="B160" s="55" t="n">
        <v>1.72</v>
      </c>
    </row>
    <row r="161">
      <c r="A161" s="54" t="inlineStr">
        <is>
          <t>영업외기타비용</t>
        </is>
      </c>
      <c r="B161" s="55" t="n">
        <v>0.03</v>
      </c>
    </row>
    <row r="162">
      <c r="A162" s="54" t="inlineStr">
        <is>
          <t>경상이익</t>
        </is>
      </c>
      <c r="B162" s="55" t="n">
        <v>6.05</v>
      </c>
    </row>
    <row r="163">
      <c r="A163" s="54" t="inlineStr">
        <is>
          <t>특별이익</t>
        </is>
      </c>
      <c r="B163" s="55" t="n">
        <v>11.11</v>
      </c>
    </row>
    <row r="164">
      <c r="A164" s="54" t="inlineStr">
        <is>
          <t>고정자산매각익</t>
        </is>
      </c>
      <c r="B164" s="55" t="n">
        <v>0.06</v>
      </c>
    </row>
    <row r="165">
      <c r="A165" s="54" t="inlineStr">
        <is>
          <t>투자유가증권매각익</t>
        </is>
      </c>
      <c r="B165" s="55" t="n">
        <v>1.2</v>
      </c>
    </row>
    <row r="166">
      <c r="A166" s="54" t="inlineStr">
        <is>
          <t>관계회사주식매각익</t>
        </is>
      </c>
      <c r="B166" s="55" t="n">
        <v>9.84</v>
      </c>
    </row>
    <row r="167">
      <c r="A167" s="54" t="inlineStr">
        <is>
          <t>특별손실</t>
        </is>
      </c>
      <c r="B167" s="55" t="n">
        <v>1.48</v>
      </c>
    </row>
    <row r="168">
      <c r="A168" s="54" t="inlineStr">
        <is>
          <t>감손손실</t>
        </is>
      </c>
      <c r="B168" s="55" t="n">
        <v>0.98</v>
      </c>
    </row>
    <row r="169">
      <c r="A169" s="54" t="inlineStr">
        <is>
          <t>고정자산제각손</t>
        </is>
      </c>
      <c r="B169" s="55" t="n">
        <v>0.39</v>
      </c>
    </row>
    <row r="170">
      <c r="A170" s="54" t="inlineStr">
        <is>
          <t>기타특별손실</t>
        </is>
      </c>
      <c r="B170" s="55" t="n">
        <v>0.1</v>
      </c>
    </row>
    <row r="171">
      <c r="A171" s="54" t="inlineStr">
        <is>
          <t>세전이익</t>
        </is>
      </c>
      <c r="B171" s="55" t="n">
        <v>15.68</v>
      </c>
    </row>
    <row r="172">
      <c r="A172" s="54" t="inlineStr">
        <is>
          <t>법인세등</t>
        </is>
      </c>
      <c r="B172" s="55" t="n">
        <v>10.5</v>
      </c>
    </row>
    <row r="173">
      <c r="A173" s="54" t="inlineStr">
        <is>
          <t>순이익</t>
        </is>
      </c>
      <c r="B173" s="55" t="n">
        <v>5.17</v>
      </c>
    </row>
    <row r="175">
      <c r="A175" s="52" t="inlineStr">
        <is>
          <t>bs cf · FY2026 end</t>
        </is>
      </c>
      <c r="B175" s="52" t="n"/>
      <c r="C175" s="52" t="n"/>
      <c r="D175" s="52" t="n"/>
      <c r="E175" s="52" t="n"/>
      <c r="F175" s="52" t="n"/>
    </row>
    <row r="176">
      <c r="A176" s="53" t="inlineStr">
        <is>
          <t>항목</t>
        </is>
      </c>
      <c r="B176" s="53" t="inlineStr">
        <is>
          <t>값</t>
        </is>
      </c>
      <c r="F176" s="53" t="inlineStr">
        <is>
          <t>출처</t>
        </is>
      </c>
    </row>
    <row r="177">
      <c r="A177" s="54" t="inlineStr">
        <is>
          <t>총자산</t>
        </is>
      </c>
      <c r="B177" s="55" t="n">
        <v>351.04</v>
      </c>
      <c r="F177" s="56" t="inlineStr">
        <is>
          <t>2단계 보고서 자료(회사 설명회 자료·공시)</t>
        </is>
      </c>
    </row>
    <row r="178">
      <c r="A178" s="54" t="inlineStr">
        <is>
          <t>순자산</t>
        </is>
      </c>
      <c r="B178" s="55" t="n">
        <v>129.58</v>
      </c>
    </row>
    <row r="179">
      <c r="A179" s="54" t="inlineStr">
        <is>
          <t>BPS</t>
        </is>
      </c>
      <c r="B179" s="55" t="n">
        <v>2018.23</v>
      </c>
    </row>
    <row r="180">
      <c r="A180" s="54" t="inlineStr">
        <is>
          <t>현금예금</t>
        </is>
      </c>
      <c r="B180" s="55" t="n">
        <v>109.82</v>
      </c>
    </row>
    <row r="181">
      <c r="A181" s="54" t="inlineStr">
        <is>
          <t>단기차입</t>
        </is>
      </c>
      <c r="B181" s="55" t="n">
        <v>75.79000000000001</v>
      </c>
    </row>
    <row r="182">
      <c r="A182" s="54" t="inlineStr">
        <is>
          <t>장기차입(1년내 포함)</t>
        </is>
      </c>
      <c r="B182" s="55" t="n">
        <v>92.5</v>
      </c>
    </row>
    <row r="183">
      <c r="A183" s="54" t="inlineStr">
        <is>
          <t>영업권</t>
        </is>
      </c>
      <c r="B183" s="55" t="n">
        <v>23.68</v>
      </c>
    </row>
    <row r="184">
      <c r="A184" s="54" t="inlineStr">
        <is>
          <t>판매용부동산</t>
        </is>
      </c>
      <c r="B184" s="55" t="n">
        <v>10.03</v>
      </c>
    </row>
    <row r="185">
      <c r="A185" s="54" t="inlineStr">
        <is>
          <t>미완성 판매용부동산</t>
        </is>
      </c>
      <c r="B185" s="55" t="n">
        <v>31.89</v>
      </c>
    </row>
    <row r="187">
      <c r="A187" s="52" t="inlineStr">
        <is>
          <t>bs cf · cf FY2026</t>
        </is>
      </c>
      <c r="B187" s="52" t="n"/>
      <c r="C187" s="52" t="n"/>
      <c r="D187" s="52" t="n"/>
      <c r="E187" s="52" t="n"/>
      <c r="F187" s="52" t="n"/>
    </row>
    <row r="188">
      <c r="A188" s="53" t="inlineStr">
        <is>
          <t>항목</t>
        </is>
      </c>
      <c r="B188" s="53" t="inlineStr">
        <is>
          <t>값</t>
        </is>
      </c>
      <c r="F188" s="53" t="inlineStr">
        <is>
          <t>출처</t>
        </is>
      </c>
    </row>
    <row r="189">
      <c r="A189" s="54" t="inlineStr">
        <is>
          <t>영업CF</t>
        </is>
      </c>
      <c r="B189" s="55" t="n">
        <v>24.02</v>
      </c>
      <c r="F189" s="56" t="inlineStr">
        <is>
          <t>2단계 보고서 자료(회사 설명회 자료·공시)</t>
        </is>
      </c>
    </row>
    <row r="190">
      <c r="A190" s="54" t="inlineStr">
        <is>
          <t>투자CF</t>
        </is>
      </c>
      <c r="B190" s="55" t="n">
        <v>-9.01</v>
      </c>
    </row>
    <row r="191">
      <c r="A191" s="54" t="inlineStr">
        <is>
          <t>재무CF</t>
        </is>
      </c>
      <c r="B191" s="55" t="n">
        <v>22.06</v>
      </c>
    </row>
    <row r="193">
      <c r="A193" s="52" t="inlineStr">
        <is>
          <t>shares</t>
        </is>
      </c>
      <c r="B193" s="52" t="n"/>
      <c r="C193" s="52" t="n"/>
      <c r="D193" s="52" t="n"/>
      <c r="E193" s="52" t="n"/>
      <c r="F193" s="52" t="n"/>
    </row>
    <row r="194">
      <c r="A194" s="53" t="inlineStr">
        <is>
          <t>항목</t>
        </is>
      </c>
      <c r="B194" s="53" t="inlineStr">
        <is>
          <t>값</t>
        </is>
      </c>
      <c r="F194" s="53" t="inlineStr">
        <is>
          <t>출처</t>
        </is>
      </c>
    </row>
    <row r="195">
      <c r="A195" s="54" t="inlineStr">
        <is>
          <t>issued</t>
        </is>
      </c>
      <c r="B195" s="57" t="n">
        <v>6832500</v>
      </c>
      <c r="F195" s="56" t="inlineStr">
        <is>
          <t>2단계 보고서 자료(회사 설명회 자료·공시)</t>
        </is>
      </c>
    </row>
    <row r="196">
      <c r="A196" s="54" t="inlineStr">
        <is>
          <t>treasury</t>
        </is>
      </c>
      <c r="B196" s="57" t="n">
        <v>411736</v>
      </c>
    </row>
    <row r="197">
      <c r="A197" s="54" t="inlineStr">
        <is>
          <t>outstanding</t>
        </is>
      </c>
      <c r="B197" s="57" t="n">
        <v>6420764</v>
      </c>
    </row>
    <row r="199">
      <c r="A199" s="52" t="inlineStr">
        <is>
          <t>reactions</t>
        </is>
      </c>
      <c r="B199" s="52" t="n"/>
      <c r="C199" s="52" t="n"/>
      <c r="D199" s="52" t="n"/>
      <c r="E199" s="52" t="n"/>
      <c r="F199" s="52" t="n"/>
    </row>
    <row r="200">
      <c r="A200" s="53" t="inlineStr">
        <is>
          <t>항목</t>
        </is>
      </c>
      <c r="B200" s="53" t="inlineStr">
        <is>
          <t>기준일</t>
        </is>
      </c>
      <c r="C200" s="53" t="inlineStr">
        <is>
          <t>다음날</t>
        </is>
      </c>
      <c r="D200" s="53" t="inlineStr">
        <is>
          <t>등락%</t>
        </is>
      </c>
      <c r="F200" s="53" t="inlineStr">
        <is>
          <t>출처</t>
        </is>
      </c>
    </row>
    <row r="201">
      <c r="A201" s="54" t="inlineStr">
        <is>
          <t>2025-01-14</t>
        </is>
      </c>
      <c r="B201" s="58" t="inlineStr">
        <is>
          <t>2025-01-14</t>
        </is>
      </c>
      <c r="C201" s="58" t="inlineStr">
        <is>
          <t>2025-01-15</t>
        </is>
      </c>
      <c r="D201" s="55" t="n">
        <v>-4.9</v>
      </c>
      <c r="F201" s="56" t="inlineStr">
        <is>
          <t>2단계 보고서 자료(회사 설명회 자료·공시)</t>
        </is>
      </c>
    </row>
    <row r="202">
      <c r="A202" s="54" t="inlineStr">
        <is>
          <t>2025-04-14</t>
        </is>
      </c>
      <c r="B202" s="58" t="inlineStr">
        <is>
          <t>2025-04-14</t>
        </is>
      </c>
      <c r="C202" s="58" t="inlineStr">
        <is>
          <t>2025-04-15</t>
        </is>
      </c>
      <c r="D202" s="55" t="n">
        <v>5.4</v>
      </c>
    </row>
    <row r="203">
      <c r="A203" s="54" t="inlineStr">
        <is>
          <t>2025-07-15</t>
        </is>
      </c>
      <c r="B203" s="58" t="inlineStr">
        <is>
          <t>2025-07-15</t>
        </is>
      </c>
      <c r="C203" s="58" t="inlineStr">
        <is>
          <t>2025-07-16</t>
        </is>
      </c>
      <c r="D203" s="55" t="n">
        <v>1.9</v>
      </c>
    </row>
    <row r="204">
      <c r="A204" s="54" t="inlineStr">
        <is>
          <t>2025-10-15</t>
        </is>
      </c>
      <c r="B204" s="58" t="inlineStr">
        <is>
          <t>2025-10-15</t>
        </is>
      </c>
      <c r="C204" s="58" t="inlineStr">
        <is>
          <t>2025-10-16</t>
        </is>
      </c>
      <c r="D204" s="55" t="n">
        <v>-12.7</v>
      </c>
    </row>
    <row r="205">
      <c r="A205" s="54" t="inlineStr">
        <is>
          <t>2026-01-14</t>
        </is>
      </c>
      <c r="B205" s="58" t="inlineStr">
        <is>
          <t>2026-01-14</t>
        </is>
      </c>
      <c r="C205" s="58" t="inlineStr">
        <is>
          <t>2026-01-15</t>
        </is>
      </c>
      <c r="D205" s="55" t="n">
        <v>-1</v>
      </c>
    </row>
    <row r="206">
      <c r="A206" s="54" t="inlineStr">
        <is>
          <t>2026-04-14</t>
        </is>
      </c>
      <c r="B206" s="58" t="inlineStr">
        <is>
          <t>2026-04-14</t>
        </is>
      </c>
      <c r="C206" s="58" t="inlineStr">
        <is>
          <t>2026-04-15</t>
        </is>
      </c>
      <c r="D206" s="55" t="n">
        <v>-0.7</v>
      </c>
    </row>
    <row r="207">
      <c r="A207" s="54" t="inlineStr">
        <is>
          <t>2026-07-15</t>
        </is>
      </c>
      <c r="B207" s="58" t="inlineStr">
        <is>
          <t>2026-07-15</t>
        </is>
      </c>
      <c r="C207" s="58" t="inlineStr">
        <is>
          <t>2026-07-16</t>
        </is>
      </c>
      <c r="D207" s="55" t="n">
        <v>-8.4</v>
      </c>
    </row>
    <row r="208">
      <c r="A208" s="54" t="inlineStr">
        <is>
          <t>2026-10-15</t>
        </is>
      </c>
      <c r="B208" s="58" t="inlineStr">
        <is>
          <t>2026-10-15</t>
        </is>
      </c>
      <c r="C208" s="58" t="inlineStr">
        <is>
          <t>2026-10-16</t>
        </is>
      </c>
      <c r="D208" s="55" t="n">
        <v>-5.9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2026-10-15</t>
        </is>
      </c>
      <c r="B4" t="inlineStr">
        <is>
          <t>2026년 8월 결산기 연간 결산단신</t>
        </is>
      </c>
      <c r="C4" t="inlineStr">
        <is>
          <t>https://www2.jpx.co.jp/disc/34400/140120261015551237.pdf</t>
        </is>
      </c>
    </row>
    <row r="5">
      <c r="A5" t="inlineStr">
        <is>
          <t>2026-07-15</t>
        </is>
      </c>
      <c r="B5" t="inlineStr">
        <is>
          <t>2026년 8월 결산기 ３분기 결산단신</t>
        </is>
      </c>
      <c r="C5" t="inlineStr">
        <is>
          <t>https://www2.jpx.co.jp/disc/34400/140120260714593290.pdf</t>
        </is>
      </c>
    </row>
    <row r="6">
      <c r="A6" t="inlineStr">
        <is>
          <t>2026-04-14</t>
        </is>
      </c>
      <c r="B6" t="inlineStr">
        <is>
          <t>2026년 8월 결산기 2분기 결산단신</t>
        </is>
      </c>
      <c r="C6" t="inlineStr">
        <is>
          <t>https://www2.jpx.co.jp/disc/34400/140120260414503770.pdf</t>
        </is>
      </c>
    </row>
    <row r="7">
      <c r="A7" t="inlineStr">
        <is>
          <t>2026-01-14</t>
        </is>
      </c>
      <c r="B7" t="inlineStr">
        <is>
          <t>2026년 8월 결산기 1분기 결산단신</t>
        </is>
      </c>
      <c r="C7" t="inlineStr">
        <is>
          <t>https://www2.jpx.co.jp/disc/34400/140120260113532875.pdf</t>
        </is>
      </c>
    </row>
    <row r="8">
      <c r="A8" t="inlineStr">
        <is>
          <t>2025-10-15</t>
        </is>
      </c>
      <c r="B8" t="inlineStr">
        <is>
          <t>2025년 8월 결산기 연간 결산단신</t>
        </is>
      </c>
      <c r="C8" t="inlineStr">
        <is>
          <t>https://www2.jpx.co.jp/disc/34400/140120251015573941.pdf</t>
        </is>
      </c>
    </row>
    <row r="9">
      <c r="A9" t="inlineStr">
        <is>
          <t>2025-07-15</t>
        </is>
      </c>
      <c r="B9" t="inlineStr">
        <is>
          <t>2025년 8월 결산기 ３분기 결산단신</t>
        </is>
      </c>
      <c r="C9" t="inlineStr">
        <is>
          <t>https://www2.jpx.co.jp/disc/34400/140120250715514345.pdf</t>
        </is>
      </c>
    </row>
    <row r="10">
      <c r="A10" t="inlineStr">
        <is>
          <t>2025-04-14</t>
        </is>
      </c>
      <c r="B10" t="inlineStr">
        <is>
          <t>2025년 8월 결산기 ２분기 결산단신</t>
        </is>
      </c>
      <c r="C10" t="inlineStr">
        <is>
          <t>https://www2.jpx.co.jp/disc/34400/140120250410512931.pdf</t>
        </is>
      </c>
    </row>
    <row r="11">
      <c r="A11" t="inlineStr">
        <is>
          <t>2025-01-14</t>
        </is>
      </c>
      <c r="B11" t="inlineStr">
        <is>
          <t>2025년 8월 결산기 １분기 결산단신</t>
        </is>
      </c>
      <c r="C11" t="inlineStr">
        <is>
          <t>https://www2.jpx.co.jp/disc/34400/140120250110549689.pdf</t>
        </is>
      </c>
    </row>
    <row r="12">
      <c r="A12" t="inlineStr">
        <is>
          <t>2024-10-15</t>
        </is>
      </c>
      <c r="B12" t="inlineStr">
        <is>
          <t>2024년 8월 결산기 연간 결산단신</t>
        </is>
      </c>
      <c r="C12" t="inlineStr">
        <is>
          <t>https://www2.jpx.co.jp/disc/34400/140120241013597519.pdf</t>
        </is>
      </c>
    </row>
    <row r="13">
      <c r="A13" t="inlineStr">
        <is>
          <t>2024-07-12</t>
        </is>
      </c>
      <c r="B13" t="inlineStr">
        <is>
          <t>2024년 8월 결산기 ３분기 결산단신</t>
        </is>
      </c>
      <c r="C13" t="inlineStr">
        <is>
          <t>https://www2.jpx.co.jp/disc/34400/140120240711547934.pdf</t>
        </is>
      </c>
    </row>
    <row r="14">
      <c r="A14" t="inlineStr">
        <is>
          <t>2024-04-15</t>
        </is>
      </c>
      <c r="B14" t="inlineStr">
        <is>
          <t>2024년 8월 결산기 ２분기 결산단신</t>
        </is>
      </c>
      <c r="C14" t="inlineStr">
        <is>
          <t>https://www2.jpx.co.jp/disc/34400/140120240415570666.pdf</t>
        </is>
      </c>
    </row>
    <row r="15">
      <c r="A15" t="inlineStr">
        <is>
          <t>2024-01-15</t>
        </is>
      </c>
      <c r="B15" t="inlineStr">
        <is>
          <t>2024년 8월 결산기 １분기 결산단신</t>
        </is>
      </c>
      <c r="C15" t="inlineStr">
        <is>
          <t>https://www2.jpx.co.jp/disc/34400/140120240115514934.pdf</t>
        </is>
      </c>
    </row>
    <row r="16">
      <c r="A16" t="inlineStr">
        <is>
          <t>2023-10-13</t>
        </is>
      </c>
      <c r="B16" t="inlineStr">
        <is>
          <t>2023년 8월 결산기 연간 결산단신</t>
        </is>
      </c>
      <c r="C16" t="inlineStr">
        <is>
          <t>https://www2.jpx.co.jp/disc/34400/140120231013566461.pdf</t>
        </is>
      </c>
    </row>
    <row r="17">
      <c r="A17" t="inlineStr">
        <is>
          <t>2023-07-14</t>
        </is>
      </c>
      <c r="B17" t="inlineStr">
        <is>
          <t>2023년 8월 결산기 ３분기 결산단신</t>
        </is>
      </c>
      <c r="C17" t="inlineStr">
        <is>
          <t>https://www2.jpx.co.jp/disc/34400/140120230714522500.pdf</t>
        </is>
      </c>
    </row>
    <row r="18">
      <c r="A18" t="inlineStr">
        <is>
          <t>2023-04-14</t>
        </is>
      </c>
      <c r="B18" t="inlineStr">
        <is>
          <t>2023년 8월 결산기 ２분기 결산단신</t>
        </is>
      </c>
      <c r="C18" t="inlineStr">
        <is>
          <t>https://www2.jpx.co.jp/disc/34400/140120230414547306.pdf</t>
        </is>
      </c>
    </row>
    <row r="19">
      <c r="A19" t="inlineStr">
        <is>
          <t>2023-01-13</t>
        </is>
      </c>
      <c r="B19" t="inlineStr">
        <is>
          <t>2023년 8월 결산기 １분기 결산단신</t>
        </is>
      </c>
      <c r="C19" t="inlineStr">
        <is>
          <t>https://www2.jpx.co.jp/disc/34400/140120230113588972.pdf</t>
        </is>
      </c>
    </row>
    <row r="20">
      <c r="A20" t="inlineStr">
        <is>
          <t>2022-10-14</t>
        </is>
      </c>
      <c r="B20" t="inlineStr">
        <is>
          <t>2022년 8월 결산기 연간 결산단신</t>
        </is>
      </c>
      <c r="C20" t="inlineStr">
        <is>
          <t>https://www2.jpx.co.jp/disc/34400/140120221014544689.pdf</t>
        </is>
      </c>
    </row>
    <row r="21">
      <c r="A21" t="inlineStr">
        <is>
          <t>2021-10-14</t>
        </is>
      </c>
      <c r="B21" t="inlineStr">
        <is>
          <t>2021년 8월 결산기 연간 결산단신</t>
        </is>
      </c>
      <c r="C21" t="inlineStr">
        <is>
          <t>https://www2.jpx.co.jp/disc/34400/140120211014410947.pdf</t>
        </is>
      </c>
    </row>
    <row r="22">
      <c r="A22" t="inlineStr">
        <is>
          <t>2020-10-14</t>
        </is>
      </c>
      <c r="B22" t="inlineStr">
        <is>
          <t>2020년 8월 결산기 연간 결산단신</t>
        </is>
      </c>
      <c r="C22" t="inlineStr">
        <is>
          <t>https://www2.jpx.co.jp/disc/34400/140120201013403221.pdf</t>
        </is>
      </c>
    </row>
    <row r="23">
      <c r="A23" t="inlineStr">
        <is>
          <t>2019-10-15</t>
        </is>
      </c>
      <c r="B23" t="inlineStr">
        <is>
          <t>2019년 8월 결산기 연간 결산단신</t>
        </is>
      </c>
      <c r="C23" t="inlineStr">
        <is>
          <t>https://www2.jpx.co.jp/disc/34400/140120191015408003.pdf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2026-10-28T09:19:42Z</dcterms:created>
  <dcterms:modified xmlns:dcterms="http://purl.org/dc/terms/" xmlns:xsi="http://www.w3.org/2001/XMLSchema-instance" xsi:type="dcterms:W3CDTF">2026-10-28T09:19:43Z</dcterms:modified>
</cp:coreProperties>
</file>