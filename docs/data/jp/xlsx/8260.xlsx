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3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이즈쓰야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5276</v>
      </c>
      <c r="D4" s="12" t="n">
        <v>6340</v>
      </c>
      <c r="E4" s="12" t="n">
        <v>5227</v>
      </c>
      <c r="F4" s="12" t="n">
        <v>5701</v>
      </c>
      <c r="G4" s="12" t="n">
        <v>5066</v>
      </c>
      <c r="H4" s="12" t="n">
        <v>6164</v>
      </c>
      <c r="I4" s="12" t="n">
        <v>5103</v>
      </c>
      <c r="J4" s="12" t="n">
        <v>5407</v>
      </c>
      <c r="K4" s="12" t="n">
        <v>4789</v>
      </c>
      <c r="L4" s="12" t="n">
        <v>5984</v>
      </c>
      <c r="M4" s="12" t="n">
        <v>4984</v>
      </c>
      <c r="N4" s="12" t="n">
        <v>5330</v>
      </c>
      <c r="O4" s="11" t="n">
        <v>79649</v>
      </c>
      <c r="P4" s="12" t="n">
        <v>78304</v>
      </c>
      <c r="Q4" s="12" t="n">
        <v>78955</v>
      </c>
      <c r="R4" s="12" t="n">
        <v>66145</v>
      </c>
      <c r="S4" s="12" t="n">
        <v>50534</v>
      </c>
      <c r="T4" s="12" t="n">
        <v>53144</v>
      </c>
      <c r="U4" s="12" t="n">
        <v>22573</v>
      </c>
      <c r="V4" s="12" t="n">
        <v>22521</v>
      </c>
      <c r="W4" s="12" t="n">
        <v>22158</v>
      </c>
      <c r="X4" s="12" t="n">
        <v>21283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DepartmentStoreReportableSegmentsMember</t>
        </is>
      </c>
      <c r="B7" s="10" t="n"/>
      <c r="C7" s="19" t="n">
        <v>5267</v>
      </c>
      <c r="D7" s="20" t="n">
        <v>6329</v>
      </c>
      <c r="E7" s="20" t="n">
        <v>5217</v>
      </c>
      <c r="F7" s="20" t="n">
        <v>5693</v>
      </c>
      <c r="G7" s="20" t="n">
        <v>5056</v>
      </c>
      <c r="H7" s="20" t="n">
        <v>6157</v>
      </c>
      <c r="I7" s="20" t="n">
        <v>5095</v>
      </c>
      <c r="J7" s="20" t="n">
        <v>5398</v>
      </c>
      <c r="K7" s="20" t="n">
        <v>4780</v>
      </c>
      <c r="L7" s="20" t="n">
        <v>5974</v>
      </c>
      <c r="M7" s="20" t="n">
        <v>4975</v>
      </c>
      <c r="N7" s="20" t="n">
        <v>5322</v>
      </c>
      <c r="O7" s="19" t="n"/>
      <c r="P7" s="20" t="n"/>
      <c r="Q7" s="20" t="n"/>
      <c r="R7" s="20" t="n"/>
      <c r="S7" s="20" t="n"/>
      <c r="T7" s="20" t="n"/>
      <c r="U7" s="20" t="n"/>
      <c r="V7" s="20" t="n">
        <v>22481</v>
      </c>
      <c r="W7" s="20" t="n">
        <v>22123</v>
      </c>
      <c r="X7" s="20" t="n">
        <v>21247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TomonokaiReportableSegmentsMember</t>
        </is>
      </c>
      <c r="B10" s="10" t="n"/>
      <c r="C10" s="19" t="n">
        <v>9</v>
      </c>
      <c r="D10" s="20" t="n">
        <v>12</v>
      </c>
      <c r="E10" s="20" t="n">
        <v>10</v>
      </c>
      <c r="F10" s="20" t="n">
        <v>8</v>
      </c>
      <c r="G10" s="20" t="n">
        <v>9</v>
      </c>
      <c r="H10" s="20" t="n">
        <v>8</v>
      </c>
      <c r="I10" s="20" t="n">
        <v>8</v>
      </c>
      <c r="J10" s="20" t="n">
        <v>9</v>
      </c>
      <c r="K10" s="20" t="n">
        <v>8</v>
      </c>
      <c r="L10" s="20" t="n">
        <v>10</v>
      </c>
      <c r="M10" s="20" t="n">
        <v>8</v>
      </c>
      <c r="N10" s="20" t="n">
        <v>9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40</v>
      </c>
      <c r="W10" s="20" t="n">
        <v>35</v>
      </c>
      <c r="X10" s="20" t="n">
        <v>35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0</v>
      </c>
      <c r="D13" s="20" t="n">
        <v>0</v>
      </c>
      <c r="E13" s="20" t="n">
        <v>0</v>
      </c>
      <c r="F13" s="20" t="n">
        <v>0</v>
      </c>
      <c r="G13" s="20" t="n">
        <v>0</v>
      </c>
      <c r="H13" s="20" t="n">
        <v>0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  <c r="N13" s="20" t="n">
        <v>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0</v>
      </c>
      <c r="W13" s="20" t="n">
        <v>0</v>
      </c>
      <c r="X13" s="20" t="n">
        <v>0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2555</v>
      </c>
      <c r="D17" s="20" t="n">
        <v>3250</v>
      </c>
      <c r="E17" s="20" t="n">
        <v>2518</v>
      </c>
      <c r="F17" s="20" t="n">
        <v>2934</v>
      </c>
      <c r="G17" s="20" t="n">
        <v>2385</v>
      </c>
      <c r="H17" s="20" t="n">
        <v>3147</v>
      </c>
      <c r="I17" s="20" t="n">
        <v>2498</v>
      </c>
      <c r="J17" s="20" t="n">
        <v>2756</v>
      </c>
      <c r="K17" s="20" t="n">
        <v>2243</v>
      </c>
      <c r="L17" s="20" t="n">
        <v>3055</v>
      </c>
      <c r="M17" s="20" t="n">
        <v>2442</v>
      </c>
      <c r="N17" s="20" t="n">
        <v>2713</v>
      </c>
      <c r="O17" s="19" t="n">
        <v>60512</v>
      </c>
      <c r="P17" s="20" t="n">
        <v>59685</v>
      </c>
      <c r="Q17" s="20" t="n">
        <v>60587</v>
      </c>
      <c r="R17" s="20" t="n">
        <v>50820</v>
      </c>
      <c r="S17" s="20" t="n">
        <v>38958</v>
      </c>
      <c r="T17" s="20" t="n">
        <v>41013</v>
      </c>
      <c r="U17" s="20" t="n">
        <v>11249</v>
      </c>
      <c r="V17" s="20" t="n">
        <v>11210</v>
      </c>
      <c r="W17" s="20" t="n">
        <v>10984</v>
      </c>
      <c r="X17" s="20" t="n">
        <v>10552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2672</v>
      </c>
      <c r="D21" s="20" t="n">
        <v>2620</v>
      </c>
      <c r="E21" s="20" t="n">
        <v>2490</v>
      </c>
      <c r="F21" s="20" t="n">
        <v>2552</v>
      </c>
      <c r="G21" s="20" t="n">
        <v>2614</v>
      </c>
      <c r="H21" s="20" t="n">
        <v>2477</v>
      </c>
      <c r="I21" s="20" t="n">
        <v>2484</v>
      </c>
      <c r="J21" s="20" t="n">
        <v>2564</v>
      </c>
      <c r="K21" s="20" t="n">
        <v>2609</v>
      </c>
      <c r="L21" s="20" t="n">
        <v>2458</v>
      </c>
      <c r="M21" s="20" t="n">
        <v>2446</v>
      </c>
      <c r="N21" s="20" t="n">
        <v>2515</v>
      </c>
      <c r="O21" s="19" t="n">
        <v>17743</v>
      </c>
      <c r="P21" s="20" t="n">
        <v>17472</v>
      </c>
      <c r="Q21" s="20" t="n">
        <v>17000</v>
      </c>
      <c r="R21" s="20" t="n">
        <v>14022</v>
      </c>
      <c r="S21" s="20" t="n">
        <v>11563</v>
      </c>
      <c r="T21" s="20" t="n">
        <v>11124</v>
      </c>
      <c r="U21" s="20" t="n">
        <v>10146</v>
      </c>
      <c r="V21" s="20" t="n">
        <v>10313</v>
      </c>
      <c r="W21" s="20" t="n">
        <v>10133</v>
      </c>
      <c r="X21" s="20" t="n">
        <v>10115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50</v>
      </c>
      <c r="D22" s="12" t="n">
        <v>471</v>
      </c>
      <c r="E22" s="12" t="n">
        <v>218</v>
      </c>
      <c r="F22" s="12" t="n">
        <v>216</v>
      </c>
      <c r="G22" s="12" t="n">
        <v>66</v>
      </c>
      <c r="H22" s="12" t="n">
        <v>540</v>
      </c>
      <c r="I22" s="12" t="n">
        <v>121</v>
      </c>
      <c r="J22" s="12" t="n">
        <v>86</v>
      </c>
      <c r="K22" s="12" t="n">
        <v>-63</v>
      </c>
      <c r="L22" s="12" t="n">
        <v>471</v>
      </c>
      <c r="M22" s="12" t="n">
        <v>96</v>
      </c>
      <c r="N22" s="12" t="n">
        <v>102</v>
      </c>
      <c r="O22" s="11" t="n">
        <v>1393</v>
      </c>
      <c r="P22" s="12" t="n">
        <v>1147</v>
      </c>
      <c r="Q22" s="12" t="n">
        <v>1368</v>
      </c>
      <c r="R22" s="12" t="n">
        <v>1302</v>
      </c>
      <c r="S22" s="12" t="n">
        <v>12</v>
      </c>
      <c r="T22" s="12" t="n">
        <v>1007</v>
      </c>
      <c r="U22" s="12" t="n">
        <v>1177</v>
      </c>
      <c r="V22" s="12" t="n">
        <v>998</v>
      </c>
      <c r="W22" s="12" t="n">
        <v>1040</v>
      </c>
      <c r="X22" s="12" t="n">
        <v>615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>
        <v>1644</v>
      </c>
      <c r="P29" s="20" t="n">
        <v>1603</v>
      </c>
      <c r="Q29" s="20" t="n">
        <v>1362</v>
      </c>
      <c r="R29" s="20" t="n">
        <v>1509</v>
      </c>
      <c r="S29" s="20" t="n">
        <v>1750</v>
      </c>
      <c r="T29" s="20" t="n">
        <v>1593</v>
      </c>
      <c r="U29" s="20" t="n">
        <v>1404</v>
      </c>
      <c r="V29" s="20" t="n">
        <v>1447</v>
      </c>
      <c r="W29" s="20" t="n">
        <v>1366</v>
      </c>
      <c r="X29" s="20" t="n">
        <v>1427</v>
      </c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/>
      <c r="F38" s="20" t="n"/>
      <c r="G38" s="20" t="n">
        <v>0</v>
      </c>
      <c r="H38" s="20" t="n">
        <v>0</v>
      </c>
      <c r="I38" s="20" t="n"/>
      <c r="J38" s="20" t="n"/>
      <c r="K38" s="20" t="n">
        <v>0</v>
      </c>
      <c r="L38" s="20" t="n">
        <v>55</v>
      </c>
      <c r="M38" s="20" t="n"/>
      <c r="N38" s="20" t="n"/>
      <c r="O38" s="19" t="n">
        <v>0</v>
      </c>
      <c r="P38" s="20" t="n">
        <v>185</v>
      </c>
      <c r="Q38" s="20" t="n">
        <v>224</v>
      </c>
      <c r="R38" s="20" t="n">
        <v>80</v>
      </c>
      <c r="S38" s="20" t="n">
        <v>0</v>
      </c>
      <c r="T38" s="20" t="n"/>
      <c r="U38" s="20" t="n"/>
      <c r="V38" s="20" t="n">
        <v>0</v>
      </c>
      <c r="W38" s="20" t="n">
        <v>2</v>
      </c>
      <c r="X38" s="20" t="n">
        <v>55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92</v>
      </c>
      <c r="P40" s="20" t="n">
        <v>246</v>
      </c>
      <c r="Q40" s="20" t="n">
        <v>3333</v>
      </c>
      <c r="R40" s="20" t="n">
        <v>413</v>
      </c>
      <c r="S40" s="20" t="n">
        <v>187</v>
      </c>
      <c r="T40" s="20" t="n">
        <v>5</v>
      </c>
      <c r="U40" s="20" t="n">
        <v>0</v>
      </c>
      <c r="V40" s="20" t="n"/>
      <c r="W40" s="20" t="n"/>
      <c r="X40" s="20" t="n"/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92</v>
      </c>
      <c r="D42" s="20" t="n">
        <v>114</v>
      </c>
      <c r="E42" s="20" t="n">
        <v>98</v>
      </c>
      <c r="F42" s="20" t="n">
        <v>62</v>
      </c>
      <c r="G42" s="20" t="n">
        <v>68</v>
      </c>
      <c r="H42" s="20" t="n">
        <v>61</v>
      </c>
      <c r="I42" s="20" t="n">
        <v>106</v>
      </c>
      <c r="J42" s="20" t="n">
        <v>83</v>
      </c>
      <c r="K42" s="20" t="n">
        <v>66</v>
      </c>
      <c r="L42" s="20" t="n">
        <v>74</v>
      </c>
      <c r="M42" s="20" t="n">
        <v>76</v>
      </c>
      <c r="N42" s="20" t="n">
        <v>63</v>
      </c>
      <c r="O42" s="19" t="n">
        <v>609</v>
      </c>
      <c r="P42" s="20" t="n">
        <v>651</v>
      </c>
      <c r="Q42" s="20" t="n">
        <v>704</v>
      </c>
      <c r="R42" s="20" t="n">
        <v>917</v>
      </c>
      <c r="S42" s="20" t="n">
        <v>776</v>
      </c>
      <c r="T42" s="20" t="n">
        <v>862</v>
      </c>
      <c r="U42" s="20" t="n">
        <v>436</v>
      </c>
      <c r="V42" s="20" t="n">
        <v>463</v>
      </c>
      <c r="W42" s="20" t="n">
        <v>289</v>
      </c>
      <c r="X42" s="20" t="n">
        <v>329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141</v>
      </c>
      <c r="D44" s="20" t="n">
        <v>102</v>
      </c>
      <c r="E44" s="20" t="n">
        <v>130</v>
      </c>
      <c r="F44" s="20" t="n">
        <v>279</v>
      </c>
      <c r="G44" s="20" t="n">
        <v>69</v>
      </c>
      <c r="H44" s="20" t="n">
        <v>111</v>
      </c>
      <c r="I44" s="20" t="n">
        <v>131</v>
      </c>
      <c r="J44" s="20" t="n">
        <v>115</v>
      </c>
      <c r="K44" s="20" t="n">
        <v>111</v>
      </c>
      <c r="L44" s="20" t="n">
        <v>114</v>
      </c>
      <c r="M44" s="20" t="n">
        <v>170</v>
      </c>
      <c r="N44" s="20" t="n">
        <v>127</v>
      </c>
      <c r="O44" s="19" t="n">
        <v>1273</v>
      </c>
      <c r="P44" s="20" t="n">
        <v>1236</v>
      </c>
      <c r="Q44" s="20" t="n">
        <v>1276</v>
      </c>
      <c r="R44" s="20" t="n">
        <v>1188</v>
      </c>
      <c r="S44" s="20" t="n">
        <v>954</v>
      </c>
      <c r="T44" s="20" t="n">
        <v>822</v>
      </c>
      <c r="U44" s="20" t="n">
        <v>537</v>
      </c>
      <c r="V44" s="20" t="n">
        <v>514</v>
      </c>
      <c r="W44" s="20" t="n">
        <v>589</v>
      </c>
      <c r="X44" s="20" t="n">
        <v>471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</v>
      </c>
      <c r="D46" s="12" t="n">
        <v>483</v>
      </c>
      <c r="E46" s="12" t="n">
        <v>186</v>
      </c>
      <c r="F46" s="12" t="n">
        <v>1</v>
      </c>
      <c r="G46" s="12" t="n">
        <v>65</v>
      </c>
      <c r="H46" s="12" t="n">
        <v>491</v>
      </c>
      <c r="I46" s="12" t="n">
        <v>96</v>
      </c>
      <c r="J46" s="12" t="n">
        <v>54</v>
      </c>
      <c r="K46" s="12" t="n">
        <v>-108</v>
      </c>
      <c r="L46" s="12" t="n">
        <v>486</v>
      </c>
      <c r="M46" s="12" t="n">
        <v>2</v>
      </c>
      <c r="N46" s="12" t="n">
        <v>37</v>
      </c>
      <c r="O46" s="11" t="n">
        <v>638</v>
      </c>
      <c r="P46" s="12" t="n">
        <v>500</v>
      </c>
      <c r="Q46" s="12" t="n">
        <v>-2312</v>
      </c>
      <c r="R46" s="12" t="n">
        <v>697</v>
      </c>
      <c r="S46" s="12" t="n">
        <v>-353</v>
      </c>
      <c r="T46" s="12" t="n">
        <v>1041</v>
      </c>
      <c r="U46" s="12" t="n">
        <v>1075</v>
      </c>
      <c r="V46" s="12" t="n">
        <v>947</v>
      </c>
      <c r="W46" s="12" t="n">
        <v>743</v>
      </c>
      <c r="X46" s="12" t="n">
        <v>528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17</v>
      </c>
      <c r="D47" s="20" t="n">
        <v>-38</v>
      </c>
      <c r="E47" s="20" t="n">
        <v>-10</v>
      </c>
      <c r="F47" s="20" t="n">
        <v>-3</v>
      </c>
      <c r="G47" s="20" t="n">
        <v>35</v>
      </c>
      <c r="H47" s="20" t="n">
        <v>-277</v>
      </c>
      <c r="I47" s="20" t="n">
        <v>-19</v>
      </c>
      <c r="J47" s="20" t="n">
        <v>22</v>
      </c>
      <c r="K47" s="20" t="n">
        <v>-3</v>
      </c>
      <c r="L47" s="20" t="n">
        <v>36</v>
      </c>
      <c r="M47" s="20" t="n">
        <v>-8</v>
      </c>
      <c r="N47" s="20" t="n">
        <v>11</v>
      </c>
      <c r="O47" s="19" t="n">
        <v>30</v>
      </c>
      <c r="P47" s="20" t="n">
        <v>-174</v>
      </c>
      <c r="Q47" s="20" t="n">
        <v>146</v>
      </c>
      <c r="R47" s="20" t="n">
        <v>287</v>
      </c>
      <c r="S47" s="20" t="n">
        <v>-464</v>
      </c>
      <c r="T47" s="20" t="n">
        <v>-129</v>
      </c>
      <c r="U47" s="20" t="n">
        <v>56</v>
      </c>
      <c r="V47" s="20" t="n">
        <v>-19</v>
      </c>
      <c r="W47" s="20" t="n">
        <v>-255</v>
      </c>
      <c r="X47" s="20" t="n">
        <v>36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-16</v>
      </c>
      <c r="D49" s="12" t="n">
        <v>522</v>
      </c>
      <c r="E49" s="12" t="n">
        <v>196</v>
      </c>
      <c r="F49" s="12" t="n">
        <v>5</v>
      </c>
      <c r="G49" s="12" t="n">
        <v>29</v>
      </c>
      <c r="H49" s="12" t="n">
        <v>769</v>
      </c>
      <c r="I49" s="12" t="n">
        <v>115</v>
      </c>
      <c r="J49" s="12" t="n">
        <v>32</v>
      </c>
      <c r="K49" s="12" t="n">
        <v>-105</v>
      </c>
      <c r="L49" s="12" t="n">
        <v>449</v>
      </c>
      <c r="M49" s="12" t="n">
        <v>11</v>
      </c>
      <c r="N49" s="12" t="n">
        <v>25</v>
      </c>
      <c r="O49" s="11" t="n">
        <v>607</v>
      </c>
      <c r="P49" s="12" t="n">
        <v>675</v>
      </c>
      <c r="Q49" s="12" t="n">
        <v>-2459</v>
      </c>
      <c r="R49" s="12" t="n">
        <v>409</v>
      </c>
      <c r="S49" s="12" t="n">
        <v>111</v>
      </c>
      <c r="T49" s="12" t="n">
        <v>1171</v>
      </c>
      <c r="U49" s="12" t="n">
        <v>1019</v>
      </c>
      <c r="V49" s="12" t="n">
        <v>966</v>
      </c>
      <c r="W49" s="12" t="n">
        <v>999</v>
      </c>
      <c r="X49" s="12" t="n">
        <v>491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-16</v>
      </c>
      <c r="D50" s="12" t="n">
        <v>522</v>
      </c>
      <c r="E50" s="12" t="n">
        <v>196</v>
      </c>
      <c r="F50" s="12" t="n">
        <v>5</v>
      </c>
      <c r="G50" s="12" t="n">
        <v>29</v>
      </c>
      <c r="H50" s="12" t="n">
        <v>769</v>
      </c>
      <c r="I50" s="12" t="n">
        <v>115</v>
      </c>
      <c r="J50" s="12" t="n">
        <v>32</v>
      </c>
      <c r="K50" s="12" t="n">
        <v>-105</v>
      </c>
      <c r="L50" s="12" t="n">
        <v>449</v>
      </c>
      <c r="M50" s="12" t="n">
        <v>11</v>
      </c>
      <c r="N50" s="12" t="n">
        <v>25</v>
      </c>
      <c r="O50" s="11" t="n">
        <v>607</v>
      </c>
      <c r="P50" s="12" t="n">
        <v>675</v>
      </c>
      <c r="Q50" s="12" t="n">
        <v>-2459</v>
      </c>
      <c r="R50" s="12" t="n">
        <v>409</v>
      </c>
      <c r="S50" s="12" t="n">
        <v>111</v>
      </c>
      <c r="T50" s="12" t="n">
        <v>1171</v>
      </c>
      <c r="U50" s="12" t="n">
        <v>1019</v>
      </c>
      <c r="V50" s="12" t="n">
        <v>966</v>
      </c>
      <c r="W50" s="12" t="n">
        <v>999</v>
      </c>
      <c r="X50" s="12" t="n">
        <v>491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(2026.10.27)</t>
        </is>
      </c>
      <c r="B53" s="27" t="n">
        <v>364</v>
      </c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>
        <v>11480495</v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 2026.10.27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5276</v>
      </c>
      <c r="D84" s="12" t="n">
        <v>6340</v>
      </c>
      <c r="E84" s="12" t="n">
        <v>5227</v>
      </c>
      <c r="F84" s="12" t="n">
        <v>5701</v>
      </c>
      <c r="G84" s="12" t="n">
        <v>5066</v>
      </c>
      <c r="H84" s="12" t="n">
        <v>6164</v>
      </c>
      <c r="I84" s="12" t="n">
        <v>5103</v>
      </c>
      <c r="J84" s="12" t="n">
        <v>5407</v>
      </c>
      <c r="K84" s="12" t="n">
        <v>4789</v>
      </c>
      <c r="L84" s="12" t="n">
        <v>5984</v>
      </c>
      <c r="M84" s="12" t="n">
        <v>4984</v>
      </c>
      <c r="N84" s="12" t="n">
        <v>5330</v>
      </c>
      <c r="T84" s="12" t="n">
        <v>14833</v>
      </c>
      <c r="U84" s="12" t="n">
        <v>6475</v>
      </c>
      <c r="V84" s="12" t="n">
        <v>6340</v>
      </c>
      <c r="W84" s="12" t="n">
        <v>6164</v>
      </c>
      <c r="X84" s="12" t="n">
        <v>5984</v>
      </c>
    </row>
    <row r="85">
      <c r="A85" s="43" t="inlineStr">
        <is>
          <t>YoY</t>
        </is>
      </c>
      <c r="B85" s="3" t="inlineStr">
        <is>
          <t>전년 같은 분기·전년 대비</t>
        </is>
      </c>
      <c r="G85" s="15">
        <f>IF(OR(G84="",C84=""),"",IF(C84&lt;=0,"",IFERROR(G84/C84-1,"")))</f>
        <v/>
      </c>
      <c r="H85" s="15">
        <f>IF(OR(H84="",D84=""),"",IF(D84&lt;=0,"",IFERROR(H84/D84-1,"")))</f>
        <v/>
      </c>
      <c r="I85" s="15">
        <f>IF(OR(I84="",E84=""),"",IF(E84&lt;=0,"",IFERROR(I84/E84-1,"")))</f>
        <v/>
      </c>
      <c r="J85" s="15">
        <f>IF(OR(J84="",F84=""),"",IF(F84&lt;=0,"",IFERROR(J84/F84-1,"")))</f>
        <v/>
      </c>
      <c r="K85" s="15">
        <f>IF(OR(K84="",G84=""),"",IF(G84&lt;=0,"",IFERROR(K84/G84-1,"")))</f>
        <v/>
      </c>
      <c r="L85" s="15">
        <f>IF(OR(L84="",H84=""),"",IF(H84&lt;=0,"",IFERROR(L84/H84-1,"")))</f>
        <v/>
      </c>
      <c r="M85" s="15">
        <f>IF(OR(M84="",I84=""),"",IF(I84&lt;=0,"",IFERROR(M84/I84-1,"")))</f>
        <v/>
      </c>
      <c r="N85" s="15">
        <f>IF(OR(N84="",J84=""),"",IF(J84&lt;=0,"",IFERROR(N84/J84-1,"")))</f>
        <v/>
      </c>
      <c r="T85" s="15">
        <f>IF(OR(T84="",S84=""),"",IF(S84&lt;=0,"",IFERROR(T84/S84-1,"")))</f>
        <v/>
      </c>
      <c r="U85" s="15">
        <f>IF(OR(U84="",T84=""),"",IF(T84&lt;=0,"",IFERROR(U84/T84-1,"")))</f>
        <v/>
      </c>
      <c r="V85" s="15">
        <f>IF(OR(V84="",U84=""),"",IF(U84&lt;=0,"",IFERROR(V84/U84-1,"")))</f>
        <v/>
      </c>
      <c r="W85" s="15">
        <f>IF(OR(W84="",V84=""),"",IF(V84&lt;=0,"",IFERROR(W84/V84-1,"")))</f>
        <v/>
      </c>
      <c r="X85" s="15">
        <f>IF(OR(X84="",W84=""),"",IF(W84&lt;=0,"",IFERROR(X84/W84-1,"")))</f>
        <v/>
      </c>
    </row>
    <row r="86">
      <c r="A86" s="18" t="inlineStr">
        <is>
          <t>매출원가</t>
        </is>
      </c>
      <c r="C86" s="20" t="n">
        <v>2555</v>
      </c>
      <c r="D86" s="20" t="n">
        <v>3250</v>
      </c>
      <c r="E86" s="20" t="n">
        <v>2518</v>
      </c>
      <c r="F86" s="20" t="n">
        <v>2934</v>
      </c>
      <c r="G86" s="20" t="n">
        <v>2385</v>
      </c>
      <c r="H86" s="20" t="n">
        <v>3147</v>
      </c>
      <c r="I86" s="20" t="n">
        <v>2498</v>
      </c>
      <c r="J86" s="20" t="n">
        <v>2756</v>
      </c>
      <c r="K86" s="20" t="n">
        <v>2243</v>
      </c>
      <c r="L86" s="20" t="n">
        <v>3055</v>
      </c>
      <c r="M86" s="20" t="n">
        <v>2442</v>
      </c>
      <c r="N86" s="20" t="n">
        <v>2713</v>
      </c>
      <c r="T86" s="20" t="n">
        <v>11490</v>
      </c>
      <c r="U86" s="20" t="n">
        <v>3428</v>
      </c>
      <c r="V86" s="20" t="n">
        <v>3250</v>
      </c>
      <c r="W86" s="20" t="n">
        <v>3147</v>
      </c>
      <c r="X86" s="20" t="n">
        <v>3055</v>
      </c>
    </row>
    <row r="87">
      <c r="A87" s="9" t="inlineStr">
        <is>
          <t>매출총이익</t>
        </is>
      </c>
      <c r="C87" s="12" t="n">
        <v>2721</v>
      </c>
      <c r="D87" s="12" t="n">
        <v>3091</v>
      </c>
      <c r="E87" s="12" t="n">
        <v>2709</v>
      </c>
      <c r="F87" s="12" t="n">
        <v>2767</v>
      </c>
      <c r="G87" s="12" t="n">
        <v>2681</v>
      </c>
      <c r="H87" s="12" t="n">
        <v>3016</v>
      </c>
      <c r="I87" s="12" t="n">
        <v>2605</v>
      </c>
      <c r="J87" s="12" t="n">
        <v>2650</v>
      </c>
      <c r="K87" s="12" t="n">
        <v>2546</v>
      </c>
      <c r="L87" s="12" t="n">
        <v>2929</v>
      </c>
      <c r="M87" s="12" t="n">
        <v>2542</v>
      </c>
      <c r="N87" s="12" t="n">
        <v>2617</v>
      </c>
      <c r="T87" s="12" t="n">
        <v>3343</v>
      </c>
      <c r="U87" s="12" t="n">
        <v>3047</v>
      </c>
      <c r="V87" s="12" t="n">
        <v>3091</v>
      </c>
      <c r="W87" s="12" t="n">
        <v>3016</v>
      </c>
      <c r="X87" s="12" t="n">
        <v>2929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판매비와 관리비</t>
        </is>
      </c>
      <c r="C89" s="20" t="n">
        <v>2672</v>
      </c>
      <c r="D89" s="20" t="n">
        <v>2620</v>
      </c>
      <c r="E89" s="20" t="n">
        <v>2490</v>
      </c>
      <c r="F89" s="20" t="n">
        <v>2552</v>
      </c>
      <c r="G89" s="20" t="n">
        <v>2614</v>
      </c>
      <c r="H89" s="20" t="n">
        <v>2477</v>
      </c>
      <c r="I89" s="20" t="n">
        <v>2484</v>
      </c>
      <c r="J89" s="20" t="n">
        <v>2564</v>
      </c>
      <c r="K89" s="20" t="n">
        <v>2609</v>
      </c>
      <c r="L89" s="20" t="n">
        <v>2458</v>
      </c>
      <c r="M89" s="20" t="n">
        <v>2446</v>
      </c>
      <c r="N89" s="20" t="n">
        <v>2515</v>
      </c>
      <c r="T89" s="20" t="n">
        <v>2832</v>
      </c>
      <c r="U89" s="20" t="n">
        <v>2618</v>
      </c>
      <c r="V89" s="20" t="n">
        <v>2620</v>
      </c>
      <c r="W89" s="20" t="n">
        <v>2477</v>
      </c>
      <c r="X89" s="20" t="n">
        <v>2458</v>
      </c>
    </row>
    <row r="90">
      <c r="A90" s="9" t="inlineStr">
        <is>
          <t>영업이익</t>
        </is>
      </c>
      <c r="C90" s="12" t="n">
        <v>50</v>
      </c>
      <c r="D90" s="12" t="n">
        <v>471</v>
      </c>
      <c r="E90" s="12" t="n">
        <v>218</v>
      </c>
      <c r="F90" s="12" t="n">
        <v>216</v>
      </c>
      <c r="G90" s="12" t="n">
        <v>66</v>
      </c>
      <c r="H90" s="12" t="n">
        <v>540</v>
      </c>
      <c r="I90" s="12" t="n">
        <v>121</v>
      </c>
      <c r="J90" s="12" t="n">
        <v>86</v>
      </c>
      <c r="K90" s="12" t="n">
        <v>-63</v>
      </c>
      <c r="L90" s="12" t="n">
        <v>471</v>
      </c>
      <c r="M90" s="12" t="n">
        <v>96</v>
      </c>
      <c r="N90" s="12" t="n">
        <v>102</v>
      </c>
      <c r="T90" s="12" t="n">
        <v>511</v>
      </c>
      <c r="U90" s="12" t="n">
        <v>430</v>
      </c>
      <c r="V90" s="12" t="n">
        <v>471</v>
      </c>
      <c r="W90" s="12" t="n">
        <v>540</v>
      </c>
      <c r="X90" s="12" t="n">
        <v>471</v>
      </c>
    </row>
    <row r="91">
      <c r="A91" s="43" t="inlineStr">
        <is>
          <t>OPM</t>
        </is>
      </c>
      <c r="B91" s="3" t="inlineStr">
        <is>
          <t>영업이익 ÷ 매출</t>
        </is>
      </c>
      <c r="C91" s="15">
        <f>IF(OR(C90="",C84=""),"",IF(C84&lt;=0,"",IFERROR(C90/C84,"")))</f>
        <v/>
      </c>
      <c r="D91" s="15">
        <f>IF(OR(D90="",D84=""),"",IF(D84&lt;=0,"",IFERROR(D90/D84,"")))</f>
        <v/>
      </c>
      <c r="E91" s="15">
        <f>IF(OR(E90="",E84=""),"",IF(E84&lt;=0,"",IFERROR(E90/E84,"")))</f>
        <v/>
      </c>
      <c r="F91" s="15">
        <f>IF(OR(F90="",F84=""),"",IF(F84&lt;=0,"",IFERROR(F90/F84,"")))</f>
        <v/>
      </c>
      <c r="G91" s="15">
        <f>IF(OR(G90="",G84=""),"",IF(G84&lt;=0,"",IFERROR(G90/G84,"")))</f>
        <v/>
      </c>
      <c r="H91" s="15">
        <f>IF(OR(H90="",H84=""),"",IF(H84&lt;=0,"",IFERROR(H90/H84,"")))</f>
        <v/>
      </c>
      <c r="I91" s="15">
        <f>IF(OR(I90="",I84=""),"",IF(I84&lt;=0,"",IFERROR(I90/I84,"")))</f>
        <v/>
      </c>
      <c r="J91" s="15">
        <f>IF(OR(J90="",J84=""),"",IF(J84&lt;=0,"",IFERROR(J90/J84,"")))</f>
        <v/>
      </c>
      <c r="K91" s="15">
        <f>IF(OR(K90="",K84=""),"",IF(K84&lt;=0,"",IFERROR(K90/K84,"")))</f>
        <v/>
      </c>
      <c r="L91" s="15">
        <f>IF(OR(L90="",L84=""),"",IF(L84&lt;=0,"",IFERROR(L90/L84,"")))</f>
        <v/>
      </c>
      <c r="M91" s="15">
        <f>IF(OR(M90="",M84=""),"",IF(M84&lt;=0,"",IFERROR(M90/M84,"")))</f>
        <v/>
      </c>
      <c r="N91" s="15">
        <f>IF(OR(N90="",N84=""),"",IF(N84&lt;=0,"",IFERROR(N90/N84,"")))</f>
        <v/>
      </c>
      <c r="T91" s="15">
        <f>IF(OR(T90="",T84=""),"",IF(T84&lt;=0,"",IFERROR(T90/T84,"")))</f>
        <v/>
      </c>
      <c r="U91" s="15">
        <f>IF(OR(U90="",U84=""),"",IF(U84&lt;=0,"",IFERROR(U90/U84,"")))</f>
        <v/>
      </c>
      <c r="V91" s="15">
        <f>IF(OR(V90="",V84=""),"",IF(V84&lt;=0,"",IFERROR(V90/V84,"")))</f>
        <v/>
      </c>
      <c r="W91" s="15">
        <f>IF(OR(W90="",W84=""),"",IF(W84&lt;=0,"",IFERROR(W90/W84,"")))</f>
        <v/>
      </c>
      <c r="X91" s="15">
        <f>IF(OR(X90="",X84=""),"",IF(X84&lt;=0,"",IFERROR(X90/X84,"")))</f>
        <v/>
      </c>
    </row>
    <row r="92">
      <c r="A92" s="43" t="inlineStr">
        <is>
          <t>YoY</t>
        </is>
      </c>
      <c r="B92" s="3" t="inlineStr">
        <is>
          <t>전년 같은 분기·전년 대비</t>
        </is>
      </c>
      <c r="G92" s="15">
        <f>IF(OR(G90="",C90=""),"",IF(C90&lt;=0,"",IFERROR(G90/C90-1,"")))</f>
        <v/>
      </c>
      <c r="H92" s="15">
        <f>IF(OR(H90="",D90=""),"",IF(D90&lt;=0,"",IFERROR(H90/D90-1,"")))</f>
        <v/>
      </c>
      <c r="I92" s="15">
        <f>IF(OR(I90="",E90=""),"",IF(E90&lt;=0,"",IFERROR(I90/E90-1,"")))</f>
        <v/>
      </c>
      <c r="J92" s="15">
        <f>IF(OR(J90="",F90=""),"",IF(F90&lt;=0,"",IFERROR(J90/F90-1,"")))</f>
        <v/>
      </c>
      <c r="K92" s="15">
        <f>IF(OR(K90="",G90=""),"",IF(G90&lt;=0,"",IFERROR(K90/G90-1,"")))</f>
        <v/>
      </c>
      <c r="L92" s="15">
        <f>IF(OR(L90="",H90=""),"",IF(H90&lt;=0,"",IFERROR(L90/H90-1,"")))</f>
        <v/>
      </c>
      <c r="M92" s="15">
        <f>IF(OR(M90="",I90=""),"",IF(I90&lt;=0,"",IFERROR(M90/I90-1,"")))</f>
        <v/>
      </c>
      <c r="N92" s="15">
        <f>IF(OR(N90="",J90=""),"",IF(J90&lt;=0,"",IFERROR(N90/J90-1,"")))</f>
        <v/>
      </c>
      <c r="T92" s="15">
        <f>IF(OR(T90="",S90=""),"",IF(S90&lt;=0,"",IFERROR(T90/S90-1,"")))</f>
        <v/>
      </c>
      <c r="U92" s="15">
        <f>IF(OR(U90="",T90=""),"",IF(T90&lt;=0,"",IFERROR(U90/T90-1,"")))</f>
        <v/>
      </c>
      <c r="V92" s="15">
        <f>IF(OR(V90="",U90=""),"",IF(U90&lt;=0,"",IFERROR(V90/U90-1,"")))</f>
        <v/>
      </c>
      <c r="W92" s="15">
        <f>IF(OR(W90="",V90=""),"",IF(V90&lt;=0,"",IFERROR(W90/V90-1,"")))</f>
        <v/>
      </c>
      <c r="X92" s="15">
        <f>IF(OR(X90="",W90=""),"",IF(W90&lt;=0,"",IFERROR(X90/W90-1,"")))</f>
        <v/>
      </c>
    </row>
    <row r="93">
      <c r="A93" s="18" t="inlineStr">
        <is>
          <t>이자수익</t>
        </is>
      </c>
      <c r="C93" s="20" t="n">
        <v>0</v>
      </c>
      <c r="D93" s="20" t="n">
        <v>0</v>
      </c>
      <c r="E93" s="20" t="n">
        <v>0</v>
      </c>
      <c r="F93" s="20" t="n">
        <v>0</v>
      </c>
      <c r="G93" s="20" t="n">
        <v>0</v>
      </c>
      <c r="H93" s="20" t="n">
        <v>1</v>
      </c>
      <c r="I93" s="20" t="n">
        <v>0</v>
      </c>
      <c r="J93" s="20" t="n">
        <v>2</v>
      </c>
      <c r="K93" s="20" t="n">
        <v>0</v>
      </c>
      <c r="L93" s="20" t="n">
        <v>3</v>
      </c>
      <c r="M93" s="20" t="n">
        <v>0</v>
      </c>
      <c r="N93" s="20" t="n">
        <v>3</v>
      </c>
      <c r="T93" s="20" t="n">
        <v>0</v>
      </c>
      <c r="U93" s="20" t="n">
        <v>0</v>
      </c>
      <c r="V93" s="20" t="n">
        <v>0</v>
      </c>
      <c r="W93" s="20" t="n">
        <v>1</v>
      </c>
      <c r="X93" s="20" t="n">
        <v>3</v>
      </c>
    </row>
    <row r="94">
      <c r="A94" s="18" t="inlineStr">
        <is>
          <t>지분법이익</t>
        </is>
      </c>
      <c r="C94" s="20" t="n">
        <v>21</v>
      </c>
      <c r="D94" s="20" t="n">
        <v>0</v>
      </c>
      <c r="E94" s="20" t="n">
        <v>7</v>
      </c>
      <c r="F94" s="20" t="n">
        <v>-7</v>
      </c>
      <c r="G94" s="20" t="n">
        <v>0</v>
      </c>
      <c r="H94" s="20" t="n">
        <v>0</v>
      </c>
      <c r="I94" s="20" t="n">
        <v>0</v>
      </c>
      <c r="J94" s="20" t="n">
        <v>7</v>
      </c>
      <c r="K94" s="20" t="n">
        <v>4</v>
      </c>
      <c r="L94" s="20" t="n">
        <v>15</v>
      </c>
      <c r="T94" s="20" t="n">
        <v>0</v>
      </c>
      <c r="U94" s="20" t="n">
        <v>0</v>
      </c>
      <c r="V94" s="20" t="n">
        <v>0</v>
      </c>
      <c r="W94" s="20" t="n">
        <v>0</v>
      </c>
      <c r="X94" s="20" t="n">
        <v>15</v>
      </c>
    </row>
    <row r="95">
      <c r="A95" s="18" t="inlineStr">
        <is>
          <t>협찬금 수입</t>
        </is>
      </c>
      <c r="C95" s="20" t="n">
        <v>1</v>
      </c>
      <c r="D95" s="20" t="n">
        <v>17</v>
      </c>
      <c r="E95" s="20" t="n">
        <v>0</v>
      </c>
      <c r="F95" s="20" t="n">
        <v>0</v>
      </c>
      <c r="G95" s="20" t="n">
        <v>6</v>
      </c>
      <c r="H95" s="20" t="n">
        <v>0</v>
      </c>
      <c r="I95" s="20" t="n">
        <v>4</v>
      </c>
      <c r="J95" s="20" t="n">
        <v>2</v>
      </c>
      <c r="K95" s="20" t="n">
        <v>2</v>
      </c>
      <c r="L95" s="20" t="n">
        <v>1</v>
      </c>
      <c r="M95" s="20" t="n">
        <v>3</v>
      </c>
      <c r="N95" s="20" t="n">
        <v>1</v>
      </c>
      <c r="T95" s="20" t="n">
        <v>3</v>
      </c>
      <c r="U95" s="20" t="n">
        <v>3</v>
      </c>
      <c r="V95" s="20" t="n">
        <v>17</v>
      </c>
      <c r="W95" s="20" t="n">
        <v>0</v>
      </c>
      <c r="X95" s="20" t="n">
        <v>1</v>
      </c>
    </row>
    <row r="96">
      <c r="A96" s="18" t="inlineStr">
        <is>
          <t>미회수 상품권 이익</t>
        </is>
      </c>
      <c r="C96" s="20" t="n">
        <v>42</v>
      </c>
      <c r="D96" s="20" t="n">
        <v>38</v>
      </c>
      <c r="E96" s="20" t="n">
        <v>41</v>
      </c>
      <c r="F96" s="20" t="n">
        <v>41</v>
      </c>
      <c r="G96" s="20" t="n">
        <v>35</v>
      </c>
      <c r="H96" s="20" t="n">
        <v>30</v>
      </c>
      <c r="I96" s="20" t="n">
        <v>36</v>
      </c>
      <c r="J96" s="20" t="n">
        <v>33</v>
      </c>
      <c r="K96" s="20" t="n">
        <v>31</v>
      </c>
      <c r="L96" s="20" t="n">
        <v>28</v>
      </c>
      <c r="M96" s="20" t="n">
        <v>35</v>
      </c>
      <c r="N96" s="20" t="n">
        <v>33</v>
      </c>
      <c r="T96" s="20" t="n">
        <v>107</v>
      </c>
      <c r="U96" s="20" t="n">
        <v>39</v>
      </c>
      <c r="V96" s="20" t="n">
        <v>38</v>
      </c>
      <c r="W96" s="20" t="n">
        <v>30</v>
      </c>
      <c r="X96" s="20" t="n">
        <v>28</v>
      </c>
    </row>
    <row r="97">
      <c r="A97" s="18" t="inlineStr">
        <is>
          <t>임대료 수익</t>
        </is>
      </c>
      <c r="C97" s="20" t="n">
        <v>17</v>
      </c>
      <c r="D97" s="20" t="n">
        <v>16</v>
      </c>
      <c r="E97" s="20" t="n">
        <v>16</v>
      </c>
      <c r="F97" s="20" t="n">
        <v>16</v>
      </c>
      <c r="G97" s="20" t="n">
        <v>17</v>
      </c>
      <c r="H97" s="20" t="n">
        <v>16</v>
      </c>
      <c r="I97" s="20" t="n">
        <v>16</v>
      </c>
      <c r="J97" s="20" t="n">
        <v>16</v>
      </c>
      <c r="K97" s="20" t="n">
        <v>16</v>
      </c>
      <c r="L97" s="20" t="n">
        <v>16</v>
      </c>
      <c r="M97" s="20" t="n">
        <v>14</v>
      </c>
      <c r="N97" s="20" t="n">
        <v>15</v>
      </c>
      <c r="T97" s="20" t="n">
        <v>16</v>
      </c>
      <c r="U97" s="20" t="n">
        <v>16</v>
      </c>
      <c r="V97" s="20" t="n">
        <v>16</v>
      </c>
      <c r="W97" s="20" t="n">
        <v>16</v>
      </c>
      <c r="X97" s="20" t="n">
        <v>16</v>
      </c>
    </row>
    <row r="98">
      <c r="A98" s="18" t="inlineStr">
        <is>
          <t>보조금 수입</t>
        </is>
      </c>
      <c r="C98" s="20" t="n">
        <v>0</v>
      </c>
      <c r="D98" s="20" t="n">
        <v>0</v>
      </c>
      <c r="T98" s="20" t="n">
        <v>32</v>
      </c>
      <c r="U98" s="20" t="n">
        <v>14</v>
      </c>
      <c r="V98" s="20" t="n">
        <v>0</v>
      </c>
    </row>
    <row r="99">
      <c r="A99" s="18" t="inlineStr">
        <is>
          <t>시스템 도입 분담금 수입</t>
        </is>
      </c>
      <c r="C99" s="20" t="n">
        <v>0</v>
      </c>
      <c r="D99" s="20" t="n">
        <v>0</v>
      </c>
      <c r="E99" s="20" t="n">
        <v>0</v>
      </c>
      <c r="F99" s="20" t="n">
        <v>0</v>
      </c>
      <c r="G99" s="20" t="n">
        <v>0</v>
      </c>
      <c r="H99" s="20" t="n">
        <v>0</v>
      </c>
      <c r="V99" s="20" t="n">
        <v>0</v>
      </c>
      <c r="W99" s="20" t="n">
        <v>0</v>
      </c>
    </row>
    <row r="100">
      <c r="A100" s="18" t="inlineStr">
        <is>
          <t>기타</t>
        </is>
      </c>
      <c r="C100" s="20" t="n">
        <v>11</v>
      </c>
      <c r="D100" s="20" t="n">
        <v>44</v>
      </c>
      <c r="E100" s="20" t="n">
        <v>32</v>
      </c>
      <c r="F100" s="20" t="n">
        <v>13</v>
      </c>
      <c r="G100" s="20" t="n">
        <v>10</v>
      </c>
      <c r="H100" s="20" t="n">
        <v>13</v>
      </c>
      <c r="I100" s="20" t="n">
        <v>48</v>
      </c>
      <c r="J100" s="20" t="n">
        <v>23</v>
      </c>
      <c r="K100" s="20" t="n">
        <v>12</v>
      </c>
      <c r="L100" s="20" t="n">
        <v>11</v>
      </c>
      <c r="M100" s="20" t="n">
        <v>22</v>
      </c>
      <c r="N100" s="20" t="n">
        <v>11</v>
      </c>
      <c r="T100" s="20" t="n">
        <v>17</v>
      </c>
      <c r="U100" s="20" t="n">
        <v>11</v>
      </c>
      <c r="V100" s="20" t="n">
        <v>44</v>
      </c>
      <c r="W100" s="20" t="n">
        <v>13</v>
      </c>
      <c r="X100" s="20" t="n">
        <v>11</v>
      </c>
    </row>
    <row r="101">
      <c r="A101" s="18" t="inlineStr">
        <is>
          <t>영업외수익 합계</t>
        </is>
      </c>
      <c r="C101" s="20" t="n">
        <v>92</v>
      </c>
      <c r="D101" s="20" t="n">
        <v>114</v>
      </c>
      <c r="E101" s="20" t="n">
        <v>98</v>
      </c>
      <c r="F101" s="20" t="n">
        <v>62</v>
      </c>
      <c r="G101" s="20" t="n">
        <v>68</v>
      </c>
      <c r="H101" s="20" t="n">
        <v>61</v>
      </c>
      <c r="I101" s="20" t="n">
        <v>106</v>
      </c>
      <c r="J101" s="20" t="n">
        <v>83</v>
      </c>
      <c r="K101" s="20" t="n">
        <v>66</v>
      </c>
      <c r="L101" s="20" t="n">
        <v>74</v>
      </c>
      <c r="M101" s="20" t="n">
        <v>76</v>
      </c>
      <c r="N101" s="20" t="n">
        <v>63</v>
      </c>
      <c r="T101" s="20" t="n">
        <v>175</v>
      </c>
      <c r="U101" s="20" t="n">
        <v>85</v>
      </c>
      <c r="V101" s="20" t="n">
        <v>114</v>
      </c>
      <c r="W101" s="20" t="n">
        <v>61</v>
      </c>
      <c r="X101" s="20" t="n">
        <v>74</v>
      </c>
    </row>
    <row r="102">
      <c r="A102" s="18" t="inlineStr">
        <is>
          <t>이자비용</t>
        </is>
      </c>
      <c r="C102" s="20" t="n">
        <v>69</v>
      </c>
      <c r="D102" s="20" t="n">
        <v>67</v>
      </c>
      <c r="E102" s="20" t="n">
        <v>67</v>
      </c>
      <c r="F102" s="20" t="n">
        <v>65</v>
      </c>
      <c r="G102" s="20" t="n">
        <v>65</v>
      </c>
      <c r="H102" s="20" t="n">
        <v>62</v>
      </c>
      <c r="I102" s="20" t="n">
        <v>65</v>
      </c>
      <c r="J102" s="20" t="n">
        <v>71</v>
      </c>
      <c r="K102" s="20" t="n">
        <v>68</v>
      </c>
      <c r="L102" s="20" t="n">
        <v>65</v>
      </c>
      <c r="M102" s="20" t="n">
        <v>68</v>
      </c>
      <c r="N102" s="20" t="n">
        <v>69</v>
      </c>
      <c r="T102" s="20" t="n">
        <v>83</v>
      </c>
      <c r="U102" s="20" t="n">
        <v>75</v>
      </c>
      <c r="V102" s="20" t="n">
        <v>67</v>
      </c>
      <c r="W102" s="20" t="n">
        <v>62</v>
      </c>
      <c r="X102" s="20" t="n">
        <v>65</v>
      </c>
    </row>
    <row r="103">
      <c r="A103" s="18" t="inlineStr">
        <is>
          <t>매출할인</t>
        </is>
      </c>
      <c r="T103" s="20" t="n">
        <v>30</v>
      </c>
      <c r="U103" s="20" t="n">
        <v>0</v>
      </c>
    </row>
    <row r="104">
      <c r="A104" s="18" t="inlineStr">
        <is>
          <t>지분법손실</t>
        </is>
      </c>
      <c r="C104" s="20" t="n">
        <v>0</v>
      </c>
      <c r="D104" s="20" t="n">
        <v>0</v>
      </c>
      <c r="E104" s="20" t="n">
        <v>0</v>
      </c>
      <c r="F104" s="20" t="n">
        <v>163</v>
      </c>
      <c r="G104" s="20" t="n">
        <v>-4</v>
      </c>
      <c r="H104" s="20" t="n">
        <v>-7</v>
      </c>
      <c r="I104" s="20" t="n">
        <v>4</v>
      </c>
      <c r="J104" s="20" t="n">
        <v>-4</v>
      </c>
      <c r="K104" s="20" t="n">
        <v>0</v>
      </c>
      <c r="L104" s="20" t="n">
        <v>0</v>
      </c>
      <c r="M104" s="20" t="n">
        <v>30</v>
      </c>
      <c r="N104" s="20" t="n">
        <v>9</v>
      </c>
      <c r="V104" s="20" t="n">
        <v>0</v>
      </c>
      <c r="W104" s="20" t="n">
        <v>-7</v>
      </c>
      <c r="X104" s="20" t="n">
        <v>0</v>
      </c>
    </row>
    <row r="105">
      <c r="A105" s="18" t="inlineStr">
        <is>
          <t>상품권 회수손실 충당금 전입</t>
        </is>
      </c>
      <c r="C105" s="20" t="n">
        <v>32</v>
      </c>
      <c r="D105" s="20" t="n">
        <v>19</v>
      </c>
      <c r="E105" s="20" t="n">
        <v>43</v>
      </c>
      <c r="F105" s="20" t="n">
        <v>28</v>
      </c>
      <c r="G105" s="20" t="n">
        <v>-7</v>
      </c>
      <c r="H105" s="20" t="n">
        <v>41</v>
      </c>
      <c r="I105" s="20" t="n">
        <v>41</v>
      </c>
      <c r="J105" s="20" t="n">
        <v>25</v>
      </c>
      <c r="K105" s="20" t="n">
        <v>24</v>
      </c>
      <c r="L105" s="20" t="n">
        <v>25</v>
      </c>
      <c r="M105" s="20" t="n">
        <v>39</v>
      </c>
      <c r="N105" s="20" t="n">
        <v>25</v>
      </c>
      <c r="T105" s="20" t="n">
        <v>60</v>
      </c>
      <c r="U105" s="20" t="n">
        <v>8</v>
      </c>
      <c r="V105" s="20" t="n">
        <v>19</v>
      </c>
      <c r="W105" s="20" t="n">
        <v>41</v>
      </c>
      <c r="X105" s="20" t="n">
        <v>25</v>
      </c>
    </row>
    <row r="106">
      <c r="A106" s="18" t="inlineStr">
        <is>
          <t>기타</t>
        </is>
      </c>
      <c r="C106" s="20" t="n">
        <v>40</v>
      </c>
      <c r="D106" s="20" t="n">
        <v>16</v>
      </c>
      <c r="E106" s="20" t="n">
        <v>20</v>
      </c>
      <c r="F106" s="20" t="n">
        <v>21</v>
      </c>
      <c r="G106" s="20" t="n">
        <v>16</v>
      </c>
      <c r="H106" s="20" t="n">
        <v>15</v>
      </c>
      <c r="I106" s="20" t="n">
        <v>19</v>
      </c>
      <c r="J106" s="20" t="n">
        <v>23</v>
      </c>
      <c r="K106" s="20" t="n">
        <v>20</v>
      </c>
      <c r="L106" s="20" t="n">
        <v>24</v>
      </c>
      <c r="M106" s="20" t="n">
        <v>33</v>
      </c>
      <c r="N106" s="20" t="n">
        <v>22</v>
      </c>
      <c r="T106" s="20" t="n">
        <v>17</v>
      </c>
      <c r="U106" s="20" t="n">
        <v>26</v>
      </c>
      <c r="V106" s="20" t="n">
        <v>16</v>
      </c>
      <c r="W106" s="20" t="n">
        <v>15</v>
      </c>
      <c r="X106" s="20" t="n">
        <v>24</v>
      </c>
    </row>
    <row r="107">
      <c r="A107" s="18" t="inlineStr">
        <is>
          <t>영업외비용 합계</t>
        </is>
      </c>
      <c r="C107" s="20" t="n">
        <v>141</v>
      </c>
      <c r="D107" s="20" t="n">
        <v>102</v>
      </c>
      <c r="E107" s="20" t="n">
        <v>130</v>
      </c>
      <c r="F107" s="20" t="n">
        <v>279</v>
      </c>
      <c r="G107" s="20" t="n">
        <v>69</v>
      </c>
      <c r="H107" s="20" t="n">
        <v>111</v>
      </c>
      <c r="I107" s="20" t="n">
        <v>131</v>
      </c>
      <c r="J107" s="20" t="n">
        <v>115</v>
      </c>
      <c r="K107" s="20" t="n">
        <v>111</v>
      </c>
      <c r="L107" s="20" t="n">
        <v>114</v>
      </c>
      <c r="M107" s="20" t="n">
        <v>170</v>
      </c>
      <c r="N107" s="20" t="n">
        <v>127</v>
      </c>
      <c r="T107" s="20" t="n">
        <v>189</v>
      </c>
      <c r="U107" s="20" t="n">
        <v>110</v>
      </c>
      <c r="V107" s="20" t="n">
        <v>102</v>
      </c>
      <c r="W107" s="20" t="n">
        <v>111</v>
      </c>
      <c r="X107" s="20" t="n">
        <v>114</v>
      </c>
    </row>
    <row r="108">
      <c r="A108" s="9" t="inlineStr">
        <is>
          <t>경상이익</t>
        </is>
      </c>
      <c r="C108" s="12" t="n">
        <v>1</v>
      </c>
      <c r="D108" s="12" t="n">
        <v>483</v>
      </c>
      <c r="E108" s="12" t="n">
        <v>186</v>
      </c>
      <c r="F108" s="12" t="n">
        <v>-1</v>
      </c>
      <c r="G108" s="12" t="n">
        <v>65</v>
      </c>
      <c r="H108" s="12" t="n">
        <v>491</v>
      </c>
      <c r="I108" s="12" t="n">
        <v>96</v>
      </c>
      <c r="J108" s="12" t="n">
        <v>54</v>
      </c>
      <c r="K108" s="12" t="n">
        <v>-108</v>
      </c>
      <c r="L108" s="12" t="n">
        <v>430</v>
      </c>
      <c r="M108" s="12" t="n">
        <v>2</v>
      </c>
      <c r="N108" s="12" t="n">
        <v>37</v>
      </c>
      <c r="T108" s="12" t="n">
        <v>497</v>
      </c>
      <c r="U108" s="12" t="n">
        <v>404</v>
      </c>
      <c r="V108" s="12" t="n">
        <v>483</v>
      </c>
      <c r="W108" s="12" t="n">
        <v>491</v>
      </c>
      <c r="X108" s="12" t="n">
        <v>430</v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IF(OR(G108="",C108=""),"",IF(C108&lt;=0,"",IFERROR(G108/C108-1,"")))</f>
        <v/>
      </c>
      <c r="H109" s="15">
        <f>IF(OR(H108="",D108=""),"",IF(D108&lt;=0,"",IFERROR(H108/D108-1,"")))</f>
        <v/>
      </c>
      <c r="I109" s="15">
        <f>IF(OR(I108="",E108=""),"",IF(E108&lt;=0,"",IFERROR(I108/E108-1,"")))</f>
        <v/>
      </c>
      <c r="J109" s="15">
        <f>IF(OR(J108="",F108=""),"",IF(F108&lt;=0,"",IFERROR(J108/F108-1,"")))</f>
        <v/>
      </c>
      <c r="K109" s="15">
        <f>IF(OR(K108="",G108=""),"",IF(G108&lt;=0,"",IFERROR(K108/G108-1,"")))</f>
        <v/>
      </c>
      <c r="L109" s="15">
        <f>IF(OR(L108="",H108=""),"",IF(H108&lt;=0,"",IFERROR(L108/H108-1,"")))</f>
        <v/>
      </c>
      <c r="M109" s="15">
        <f>IF(OR(M108="",I108=""),"",IF(I108&lt;=0,"",IFERROR(M108/I108-1,"")))</f>
        <v/>
      </c>
      <c r="N109" s="15">
        <f>IF(OR(N108="",J108=""),"",IF(J108&lt;=0,"",IFERROR(N108/J108-1,"")))</f>
        <v/>
      </c>
      <c r="T109" s="15">
        <f>IF(OR(T108="",S108=""),"",IF(S108&lt;=0,"",IFERROR(T108/S108-1,"")))</f>
        <v/>
      </c>
      <c r="U109" s="15">
        <f>IF(OR(U108="",T108=""),"",IF(T108&lt;=0,"",IFERROR(U108/T108-1,"")))</f>
        <v/>
      </c>
      <c r="V109" s="15">
        <f>IF(OR(V108="",U108=""),"",IF(U108&lt;=0,"",IFERROR(V108/U108-1,"")))</f>
        <v/>
      </c>
      <c r="W109" s="15">
        <f>IF(OR(W108="",V108=""),"",IF(V108&lt;=0,"",IFERROR(W108/V108-1,"")))</f>
        <v/>
      </c>
      <c r="X109" s="15">
        <f>IF(OR(X108="",W108=""),"",IF(W108&lt;=0,"",IFERROR(X108/W108-1,"")))</f>
        <v/>
      </c>
    </row>
    <row r="110">
      <c r="A110" s="18" t="inlineStr">
        <is>
          <t>투자유가증권 평가손실</t>
        </is>
      </c>
      <c r="T110" s="20" t="n">
        <v>0</v>
      </c>
      <c r="U110" s="20" t="n">
        <v>0</v>
      </c>
    </row>
    <row r="111">
      <c r="A111" s="18" t="inlineStr">
        <is>
          <t>특별손실 합계</t>
        </is>
      </c>
      <c r="T111" s="20" t="n">
        <v>0</v>
      </c>
      <c r="U111" s="20" t="n">
        <v>0</v>
      </c>
    </row>
    <row r="112">
      <c r="A112" s="18" t="inlineStr">
        <is>
          <t>투자유가증권 매각이익</t>
        </is>
      </c>
      <c r="C112" s="20" t="n">
        <v>0</v>
      </c>
      <c r="D112" s="20" t="n">
        <v>0</v>
      </c>
      <c r="G112" s="20" t="n">
        <v>0</v>
      </c>
      <c r="H112" s="20" t="n">
        <v>0</v>
      </c>
      <c r="K112" s="20" t="n">
        <v>0</v>
      </c>
      <c r="L112" s="20" t="n">
        <v>55</v>
      </c>
      <c r="V112" s="20" t="n">
        <v>0</v>
      </c>
      <c r="W112" s="20" t="n">
        <v>0</v>
      </c>
      <c r="X112" s="20" t="n">
        <v>55</v>
      </c>
    </row>
    <row r="113">
      <c r="A113" s="18" t="inlineStr">
        <is>
          <t>특별이익 합계</t>
        </is>
      </c>
      <c r="C113" s="20" t="n">
        <v>0</v>
      </c>
      <c r="D113" s="20" t="n">
        <v>0</v>
      </c>
      <c r="G113" s="20" t="n">
        <v>0</v>
      </c>
      <c r="H113" s="20" t="n">
        <v>0</v>
      </c>
      <c r="K113" s="20" t="n">
        <v>0</v>
      </c>
      <c r="L113" s="20" t="n">
        <v>55</v>
      </c>
      <c r="V113" s="20" t="n">
        <v>0</v>
      </c>
      <c r="W113" s="20" t="n">
        <v>0</v>
      </c>
      <c r="X113" s="20" t="n">
        <v>55</v>
      </c>
    </row>
    <row r="114">
      <c r="A114" s="9" t="inlineStr">
        <is>
          <t>법인세차감전 순이익</t>
        </is>
      </c>
      <c r="C114" s="12" t="n">
        <v>1</v>
      </c>
      <c r="D114" s="12" t="n">
        <v>483</v>
      </c>
      <c r="E114" s="12" t="n">
        <v>186</v>
      </c>
      <c r="F114" s="12" t="n">
        <v>1</v>
      </c>
      <c r="G114" s="12" t="n">
        <v>65</v>
      </c>
      <c r="H114" s="12" t="n">
        <v>491</v>
      </c>
      <c r="I114" s="12" t="n">
        <v>96</v>
      </c>
      <c r="J114" s="12" t="n">
        <v>54</v>
      </c>
      <c r="K114" s="12" t="n">
        <v>-108</v>
      </c>
      <c r="L114" s="12" t="n">
        <v>486</v>
      </c>
      <c r="M114" s="12" t="n">
        <v>2</v>
      </c>
      <c r="N114" s="12" t="n">
        <v>37</v>
      </c>
      <c r="T114" s="12" t="n">
        <v>496</v>
      </c>
      <c r="U114" s="12" t="n">
        <v>404</v>
      </c>
      <c r="V114" s="12" t="n">
        <v>483</v>
      </c>
      <c r="W114" s="12" t="n">
        <v>491</v>
      </c>
      <c r="X114" s="12" t="n">
        <v>486</v>
      </c>
    </row>
    <row r="115">
      <c r="A115" s="18" t="inlineStr">
        <is>
          <t>법인세·주민세·사업세</t>
        </is>
      </c>
      <c r="C115" s="20" t="n">
        <v>3</v>
      </c>
      <c r="D115" s="20" t="n">
        <v>2</v>
      </c>
      <c r="E115" s="20" t="n">
        <v>2</v>
      </c>
      <c r="F115" s="20" t="n">
        <v>3</v>
      </c>
      <c r="G115" s="20" t="n">
        <v>3</v>
      </c>
      <c r="H115" s="20" t="n">
        <v>3</v>
      </c>
      <c r="I115" s="20" t="n">
        <v>2</v>
      </c>
      <c r="J115" s="20" t="n">
        <v>5</v>
      </c>
      <c r="K115" s="20" t="n">
        <v>7</v>
      </c>
      <c r="L115" s="20" t="n">
        <v>5</v>
      </c>
      <c r="M115" s="20" t="n">
        <v>11</v>
      </c>
      <c r="N115" s="20" t="n">
        <v>9</v>
      </c>
      <c r="T115" s="20" t="n">
        <v>7</v>
      </c>
      <c r="U115" s="20" t="n">
        <v>2</v>
      </c>
      <c r="V115" s="20" t="n">
        <v>2</v>
      </c>
      <c r="W115" s="20" t="n">
        <v>3</v>
      </c>
      <c r="X115" s="20" t="n">
        <v>5</v>
      </c>
    </row>
    <row r="116">
      <c r="A116" s="18" t="inlineStr">
        <is>
          <t>법인세 조정액</t>
        </is>
      </c>
      <c r="C116" s="20" t="n">
        <v>13</v>
      </c>
      <c r="D116" s="20" t="n">
        <v>-41</v>
      </c>
      <c r="E116" s="20" t="n">
        <v>-12</v>
      </c>
      <c r="F116" s="20" t="n">
        <v>-7</v>
      </c>
      <c r="G116" s="20" t="n">
        <v>33</v>
      </c>
      <c r="H116" s="20" t="n">
        <v>-281</v>
      </c>
      <c r="I116" s="20" t="n">
        <v>-22</v>
      </c>
      <c r="J116" s="20" t="n">
        <v>18</v>
      </c>
      <c r="K116" s="20" t="n">
        <v>-11</v>
      </c>
      <c r="L116" s="20" t="n">
        <v>31</v>
      </c>
      <c r="M116" s="20" t="n">
        <v>-19</v>
      </c>
      <c r="N116" s="20" t="n">
        <v>2</v>
      </c>
      <c r="T116" s="20" t="n">
        <v>-116</v>
      </c>
      <c r="U116" s="20" t="n">
        <v>201</v>
      </c>
      <c r="V116" s="20" t="n">
        <v>-41</v>
      </c>
      <c r="W116" s="20" t="n">
        <v>-281</v>
      </c>
      <c r="X116" s="20" t="n">
        <v>31</v>
      </c>
    </row>
    <row r="117">
      <c r="A117" s="18" t="inlineStr">
        <is>
          <t>법인세 등 합계</t>
        </is>
      </c>
      <c r="C117" s="20" t="n">
        <v>17</v>
      </c>
      <c r="D117" s="20" t="n">
        <v>-38</v>
      </c>
      <c r="E117" s="20" t="n">
        <v>-10</v>
      </c>
      <c r="F117" s="20" t="n">
        <v>-3</v>
      </c>
      <c r="G117" s="20" t="n">
        <v>35</v>
      </c>
      <c r="H117" s="20" t="n">
        <v>-277</v>
      </c>
      <c r="I117" s="20" t="n">
        <v>-19</v>
      </c>
      <c r="J117" s="20" t="n">
        <v>22</v>
      </c>
      <c r="K117" s="20" t="n">
        <v>-3</v>
      </c>
      <c r="L117" s="20" t="n">
        <v>36</v>
      </c>
      <c r="M117" s="20" t="n">
        <v>-8</v>
      </c>
      <c r="N117" s="20" t="n">
        <v>11</v>
      </c>
      <c r="T117" s="20" t="n">
        <v>-110</v>
      </c>
      <c r="U117" s="20" t="n">
        <v>204</v>
      </c>
      <c r="V117" s="20" t="n">
        <v>-38</v>
      </c>
      <c r="W117" s="20" t="n">
        <v>-277</v>
      </c>
      <c r="X117" s="20" t="n">
        <v>36</v>
      </c>
    </row>
    <row r="118">
      <c r="A118" s="9" t="inlineStr">
        <is>
          <t>순이익</t>
        </is>
      </c>
      <c r="C118" s="12" t="n">
        <v>-16</v>
      </c>
      <c r="D118" s="12" t="n">
        <v>522</v>
      </c>
      <c r="E118" s="12" t="n">
        <v>196</v>
      </c>
      <c r="F118" s="12" t="n">
        <v>5</v>
      </c>
      <c r="G118" s="12" t="n">
        <v>29</v>
      </c>
      <c r="H118" s="12" t="n">
        <v>769</v>
      </c>
      <c r="I118" s="12" t="n">
        <v>115</v>
      </c>
      <c r="J118" s="12" t="n">
        <v>32</v>
      </c>
      <c r="K118" s="12" t="n">
        <v>-105</v>
      </c>
      <c r="L118" s="12" t="n">
        <v>449</v>
      </c>
      <c r="M118" s="12" t="n">
        <v>11</v>
      </c>
      <c r="N118" s="12" t="n">
        <v>25</v>
      </c>
      <c r="T118" s="12" t="n">
        <v>607</v>
      </c>
      <c r="U118" s="12" t="n">
        <v>200</v>
      </c>
      <c r="V118" s="12" t="n">
        <v>522</v>
      </c>
      <c r="W118" s="12" t="n">
        <v>769</v>
      </c>
      <c r="X118" s="12" t="n">
        <v>449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T119" s="15">
        <f>IF(OR(T118="",S118=""),"",IF(S118&lt;=0,"",IFERROR(T118/S118-1,"")))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9" t="inlineStr">
        <is>
          <t>지배주주 순이익</t>
        </is>
      </c>
      <c r="C120" s="12" t="n">
        <v>-16</v>
      </c>
      <c r="D120" s="12" t="n">
        <v>522</v>
      </c>
      <c r="E120" s="12" t="n">
        <v>196</v>
      </c>
      <c r="F120" s="12" t="n">
        <v>5</v>
      </c>
      <c r="G120" s="12" t="n">
        <v>29</v>
      </c>
      <c r="H120" s="12" t="n">
        <v>769</v>
      </c>
      <c r="I120" s="12" t="n">
        <v>115</v>
      </c>
      <c r="J120" s="12" t="n">
        <v>32</v>
      </c>
      <c r="K120" s="12" t="n">
        <v>-105</v>
      </c>
      <c r="L120" s="12" t="n">
        <v>449</v>
      </c>
      <c r="M120" s="12" t="n">
        <v>11</v>
      </c>
      <c r="N120" s="12" t="n">
        <v>25</v>
      </c>
      <c r="T120" s="12" t="n">
        <v>607</v>
      </c>
      <c r="U120" s="12" t="n">
        <v>200</v>
      </c>
      <c r="V120" s="12" t="n">
        <v>522</v>
      </c>
      <c r="W120" s="12" t="n">
        <v>769</v>
      </c>
      <c r="X120" s="12" t="n">
        <v>449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3">
      <c r="A123" s="16" t="inlineStr">
        <is>
          <t>포괄손익 · 전 항목</t>
        </is>
      </c>
      <c r="B123" s="42" t="inlineStr">
        <is>
          <t>분기 = 3개월 단독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  <c r="AA123" s="16" t="n"/>
      <c r="AB123" s="16" t="n"/>
      <c r="AC123" s="16" t="n"/>
    </row>
    <row r="124">
      <c r="A124" s="5" t="inlineStr">
        <is>
          <t>항목</t>
        </is>
      </c>
      <c r="B124" s="5" t="inlineStr">
        <is>
          <t>참고</t>
        </is>
      </c>
      <c r="C124" s="5" t="inlineStr">
        <is>
          <t>2024.3Q</t>
        </is>
      </c>
      <c r="D124" s="5" t="inlineStr">
        <is>
          <t>2024.4Q</t>
        </is>
      </c>
      <c r="E124" s="5" t="inlineStr">
        <is>
          <t>2025.1Q</t>
        </is>
      </c>
      <c r="F124" s="5" t="inlineStr">
        <is>
          <t>2025.2Q</t>
        </is>
      </c>
      <c r="G124" s="5" t="inlineStr">
        <is>
          <t>2025.3Q</t>
        </is>
      </c>
      <c r="H124" s="5" t="inlineStr">
        <is>
          <t>2025.4Q</t>
        </is>
      </c>
      <c r="I124" s="5" t="inlineStr">
        <is>
          <t>2026.1Q</t>
        </is>
      </c>
      <c r="J124" s="5" t="inlineStr">
        <is>
          <t>2026.2Q</t>
        </is>
      </c>
      <c r="K124" s="5" t="inlineStr">
        <is>
          <t>2026.3Q</t>
        </is>
      </c>
      <c r="L124" s="5" t="inlineStr">
        <is>
          <t>2026.4Q</t>
        </is>
      </c>
      <c r="M124" s="5" t="inlineStr">
        <is>
          <t>2027.1Q</t>
        </is>
      </c>
      <c r="N124" s="5" t="inlineStr">
        <is>
          <t>2027.2Q</t>
        </is>
      </c>
      <c r="O124" s="5" t="inlineStr">
        <is>
          <t>2017</t>
        </is>
      </c>
      <c r="P124" s="5" t="inlineStr">
        <is>
          <t>2018</t>
        </is>
      </c>
      <c r="Q124" s="5" t="inlineStr">
        <is>
          <t>2019</t>
        </is>
      </c>
      <c r="R124" s="5" t="inlineStr">
        <is>
          <t>2020</t>
        </is>
      </c>
      <c r="S124" s="5" t="inlineStr">
        <is>
          <t>2021</t>
        </is>
      </c>
      <c r="T124" s="5" t="inlineStr">
        <is>
          <t>2022</t>
        </is>
      </c>
      <c r="U124" s="5" t="inlineStr">
        <is>
          <t>2023</t>
        </is>
      </c>
      <c r="V124" s="5" t="inlineStr">
        <is>
          <t>2024</t>
        </is>
      </c>
      <c r="W124" s="5" t="inlineStr">
        <is>
          <t>2025</t>
        </is>
      </c>
      <c r="X124" s="5" t="inlineStr">
        <is>
          <t>2026</t>
        </is>
      </c>
      <c r="Y124" s="5" t="inlineStr">
        <is>
          <t>2027(MW)</t>
        </is>
      </c>
      <c r="Z124" s="5" t="inlineStr">
        <is>
          <t>2028(MW)</t>
        </is>
      </c>
      <c r="AA124" s="5" t="inlineStr">
        <is>
          <t>2029(MW)</t>
        </is>
      </c>
      <c r="AB124" s="5" t="inlineStr">
        <is>
          <t>2030(MW)</t>
        </is>
      </c>
      <c r="AC124" s="5" t="inlineStr">
        <is>
          <t>2031(MW)</t>
        </is>
      </c>
    </row>
    <row r="125">
      <c r="A125" s="9" t="inlineStr">
        <is>
          <t>순이익</t>
        </is>
      </c>
      <c r="C125" s="12" t="n">
        <v>-16</v>
      </c>
      <c r="D125" s="12" t="n">
        <v>522</v>
      </c>
      <c r="E125" s="12" t="n">
        <v>196</v>
      </c>
      <c r="F125" s="12" t="n">
        <v>5</v>
      </c>
      <c r="G125" s="12" t="n">
        <v>29</v>
      </c>
      <c r="H125" s="12" t="n">
        <v>769</v>
      </c>
      <c r="I125" s="12" t="n">
        <v>115</v>
      </c>
      <c r="J125" s="12" t="n">
        <v>32</v>
      </c>
      <c r="K125" s="12" t="n">
        <v>-105</v>
      </c>
      <c r="L125" s="12" t="n">
        <v>449</v>
      </c>
      <c r="M125" s="12" t="n">
        <v>11</v>
      </c>
      <c r="N125" s="12" t="n">
        <v>25</v>
      </c>
      <c r="T125" s="12" t="n">
        <v>607</v>
      </c>
      <c r="U125" s="12" t="n">
        <v>200</v>
      </c>
      <c r="V125" s="12" t="n">
        <v>522</v>
      </c>
      <c r="W125" s="12" t="n">
        <v>769</v>
      </c>
      <c r="X125" s="12" t="n">
        <v>449</v>
      </c>
    </row>
    <row r="126">
      <c r="A126" s="18" t="inlineStr">
        <is>
          <t>기타유가증권 평가차액</t>
        </is>
      </c>
      <c r="C126" s="20" t="n">
        <v>-1</v>
      </c>
      <c r="D126" s="20" t="n">
        <v>0</v>
      </c>
      <c r="E126" s="20" t="n">
        <v>0</v>
      </c>
      <c r="F126" s="20" t="n">
        <v>0</v>
      </c>
      <c r="G126" s="20" t="n">
        <v>-0</v>
      </c>
      <c r="H126" s="20" t="n">
        <v>0</v>
      </c>
      <c r="I126" s="20" t="n">
        <v>-1</v>
      </c>
      <c r="J126" s="20" t="n">
        <v>1</v>
      </c>
      <c r="K126" s="20" t="n">
        <v>-1</v>
      </c>
      <c r="L126" s="20" t="n">
        <v>0</v>
      </c>
      <c r="M126" s="20" t="n">
        <v>-0</v>
      </c>
      <c r="N126" s="20" t="n">
        <v>0</v>
      </c>
      <c r="T126" s="20" t="n">
        <v>0</v>
      </c>
      <c r="U126" s="20" t="n">
        <v>0</v>
      </c>
      <c r="V126" s="20" t="n">
        <v>0</v>
      </c>
      <c r="W126" s="20" t="n">
        <v>0</v>
      </c>
      <c r="X126" s="20" t="n">
        <v>0</v>
      </c>
    </row>
    <row r="127">
      <c r="A127" s="18" t="inlineStr">
        <is>
          <t>토지재평가차액금</t>
        </is>
      </c>
      <c r="E127" s="20" t="n">
        <v>0</v>
      </c>
      <c r="F127" s="20" t="n">
        <v>0</v>
      </c>
      <c r="G127" s="20" t="n">
        <v>0</v>
      </c>
      <c r="H127" s="20" t="n">
        <v>0</v>
      </c>
      <c r="I127" s="20" t="n">
        <v>-80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T127" s="20" t="n">
        <v>0</v>
      </c>
      <c r="U127" s="20" t="n">
        <v>0</v>
      </c>
      <c r="W127" s="20" t="n">
        <v>0</v>
      </c>
      <c r="X127" s="20" t="n">
        <v>0</v>
      </c>
    </row>
    <row r="128">
      <c r="A128" s="18" t="inlineStr">
        <is>
          <t>퇴직급여 조정액</t>
        </is>
      </c>
      <c r="C128" s="20" t="n">
        <v>1</v>
      </c>
      <c r="D128" s="20" t="n">
        <v>-4</v>
      </c>
      <c r="E128" s="20" t="n">
        <v>0</v>
      </c>
      <c r="F128" s="20" t="n">
        <v>1</v>
      </c>
      <c r="G128" s="20" t="n">
        <v>0</v>
      </c>
      <c r="H128" s="20" t="n">
        <v>10</v>
      </c>
      <c r="I128" s="20" t="n">
        <v>0</v>
      </c>
      <c r="J128" s="20" t="n">
        <v>0</v>
      </c>
      <c r="K128" s="20" t="n">
        <v>0</v>
      </c>
      <c r="L128" s="20" t="n">
        <v>27</v>
      </c>
      <c r="M128" s="20" t="n">
        <v>-1</v>
      </c>
      <c r="N128" s="20" t="n">
        <v>-3</v>
      </c>
      <c r="T128" s="20" t="n">
        <v>-7</v>
      </c>
      <c r="U128" s="20" t="n">
        <v>-8</v>
      </c>
      <c r="V128" s="20" t="n">
        <v>-4</v>
      </c>
      <c r="W128" s="20" t="n">
        <v>10</v>
      </c>
      <c r="X128" s="20" t="n">
        <v>27</v>
      </c>
    </row>
    <row r="129">
      <c r="A129" s="18" t="inlineStr">
        <is>
          <t>지분법 적용회사 지분 해당액</t>
        </is>
      </c>
      <c r="C129" s="20" t="n">
        <v>1</v>
      </c>
      <c r="D129" s="20" t="n">
        <v>0</v>
      </c>
      <c r="E129" s="20" t="n">
        <v>0</v>
      </c>
      <c r="F129" s="20" t="n">
        <v>0</v>
      </c>
      <c r="G129" s="20" t="n">
        <v>-1</v>
      </c>
      <c r="H129" s="20" t="n">
        <v>2</v>
      </c>
      <c r="I129" s="20" t="n">
        <v>-3</v>
      </c>
      <c r="J129" s="20" t="n">
        <v>0</v>
      </c>
      <c r="K129" s="20" t="n">
        <v>1</v>
      </c>
      <c r="L129" s="20" t="n">
        <v>3</v>
      </c>
      <c r="M129" s="20" t="n">
        <v>-1</v>
      </c>
      <c r="N129" s="20" t="n">
        <v>0</v>
      </c>
      <c r="T129" s="20" t="n">
        <v>0</v>
      </c>
      <c r="U129" s="20" t="n">
        <v>0</v>
      </c>
      <c r="V129" s="20" t="n">
        <v>0</v>
      </c>
      <c r="W129" s="20" t="n">
        <v>2</v>
      </c>
      <c r="X129" s="20" t="n">
        <v>3</v>
      </c>
    </row>
    <row r="130">
      <c r="A130" s="18" t="inlineStr">
        <is>
          <t>기타포괄손익 합계</t>
        </is>
      </c>
      <c r="C130" s="20" t="n">
        <v>1</v>
      </c>
      <c r="D130" s="20" t="n">
        <v>-5</v>
      </c>
      <c r="E130" s="20" t="n">
        <v>2</v>
      </c>
      <c r="F130" s="20" t="n">
        <v>0</v>
      </c>
      <c r="G130" s="20" t="n">
        <v>-2</v>
      </c>
      <c r="H130" s="20" t="n">
        <v>12</v>
      </c>
      <c r="I130" s="20" t="n">
        <v>-84</v>
      </c>
      <c r="J130" s="20" t="n">
        <v>0</v>
      </c>
      <c r="K130" s="20" t="n">
        <v>1</v>
      </c>
      <c r="L130" s="20" t="n">
        <v>31</v>
      </c>
      <c r="M130" s="20" t="n">
        <v>-4</v>
      </c>
      <c r="N130" s="20" t="n">
        <v>-2</v>
      </c>
      <c r="T130" s="20" t="n">
        <v>-7</v>
      </c>
      <c r="U130" s="20" t="n">
        <v>-8</v>
      </c>
      <c r="V130" s="20" t="n">
        <v>-5</v>
      </c>
      <c r="W130" s="20" t="n">
        <v>12</v>
      </c>
      <c r="X130" s="20" t="n">
        <v>31</v>
      </c>
    </row>
    <row r="131">
      <c r="A131" s="9" t="inlineStr">
        <is>
          <t>포괄이익</t>
        </is>
      </c>
      <c r="C131" s="12" t="n">
        <v>-15</v>
      </c>
      <c r="D131" s="12" t="n">
        <v>518</v>
      </c>
      <c r="E131" s="12" t="n">
        <v>199</v>
      </c>
      <c r="F131" s="12" t="n">
        <v>5</v>
      </c>
      <c r="G131" s="12" t="n">
        <v>27</v>
      </c>
      <c r="H131" s="12" t="n">
        <v>780</v>
      </c>
      <c r="I131" s="12" t="n">
        <v>30</v>
      </c>
      <c r="J131" s="12" t="n">
        <v>33</v>
      </c>
      <c r="K131" s="12" t="n">
        <v>-103</v>
      </c>
      <c r="L131" s="12" t="n">
        <v>479</v>
      </c>
      <c r="M131" s="12" t="n">
        <v>6</v>
      </c>
      <c r="N131" s="12" t="n">
        <v>24</v>
      </c>
      <c r="T131" s="12" t="n">
        <v>599</v>
      </c>
      <c r="U131" s="12" t="n">
        <v>191</v>
      </c>
      <c r="V131" s="12" t="n">
        <v>518</v>
      </c>
      <c r="W131" s="12" t="n">
        <v>780</v>
      </c>
      <c r="X131" s="12" t="n">
        <v>479</v>
      </c>
    </row>
    <row r="132">
      <c r="A132" s="9" t="inlineStr">
        <is>
          <t>지배주주 포괄이익</t>
        </is>
      </c>
      <c r="C132" s="12" t="n">
        <v>-15</v>
      </c>
      <c r="D132" s="12" t="n">
        <v>518</v>
      </c>
      <c r="E132" s="12" t="n">
        <v>199</v>
      </c>
      <c r="F132" s="12" t="n">
        <v>5</v>
      </c>
      <c r="G132" s="12" t="n">
        <v>27</v>
      </c>
      <c r="H132" s="12" t="n">
        <v>780</v>
      </c>
      <c r="I132" s="12" t="n">
        <v>30</v>
      </c>
      <c r="J132" s="12" t="n">
        <v>33</v>
      </c>
      <c r="K132" s="12" t="n">
        <v>-103</v>
      </c>
      <c r="L132" s="12" t="n">
        <v>479</v>
      </c>
      <c r="M132" s="12" t="n">
        <v>6</v>
      </c>
      <c r="N132" s="12" t="n">
        <v>24</v>
      </c>
      <c r="T132" s="12" t="n">
        <v>599</v>
      </c>
      <c r="U132" s="12" t="n">
        <v>191</v>
      </c>
      <c r="V132" s="12" t="n">
        <v>518</v>
      </c>
      <c r="W132" s="12" t="n">
        <v>780</v>
      </c>
      <c r="X132" s="12" t="n">
        <v>479</v>
      </c>
    </row>
    <row r="133">
      <c r="A133" s="9" t="inlineStr">
        <is>
          <t>비지배주주 포괄이익</t>
        </is>
      </c>
      <c r="C133" s="12" t="n">
        <v>0</v>
      </c>
      <c r="D133" s="12" t="n">
        <v>0</v>
      </c>
      <c r="E133" s="12" t="n">
        <v>0</v>
      </c>
      <c r="F133" s="12" t="n">
        <v>0</v>
      </c>
      <c r="G133" s="12" t="n">
        <v>0</v>
      </c>
      <c r="H133" s="12" t="n">
        <v>0</v>
      </c>
      <c r="I133" s="12" t="n">
        <v>0</v>
      </c>
      <c r="J133" s="12" t="n">
        <v>0</v>
      </c>
      <c r="K133" s="12" t="n">
        <v>0</v>
      </c>
      <c r="L133" s="12" t="n">
        <v>0</v>
      </c>
      <c r="M133" s="12" t="n">
        <v>0</v>
      </c>
      <c r="N133" s="12" t="n">
        <v>0</v>
      </c>
      <c r="T133" s="12" t="n">
        <v>0</v>
      </c>
      <c r="U133" s="12" t="n">
        <v>0</v>
      </c>
      <c r="V133" s="12" t="n">
        <v>0</v>
      </c>
      <c r="W133" s="12" t="n">
        <v>0</v>
      </c>
      <c r="X133" s="12" t="n">
        <v>0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2024.3Q</t>
        </is>
      </c>
      <c r="D136" s="5" t="inlineStr">
        <is>
          <t>2024.4Q</t>
        </is>
      </c>
      <c r="E136" s="5" t="inlineStr">
        <is>
          <t>2025.1Q</t>
        </is>
      </c>
      <c r="F136" s="5" t="inlineStr">
        <is>
          <t>2025.2Q</t>
        </is>
      </c>
      <c r="G136" s="5" t="inlineStr">
        <is>
          <t>2025.3Q</t>
        </is>
      </c>
      <c r="H136" s="5" t="inlineStr">
        <is>
          <t>2025.4Q</t>
        </is>
      </c>
      <c r="I136" s="5" t="inlineStr">
        <is>
          <t>2026.1Q</t>
        </is>
      </c>
      <c r="J136" s="5" t="inlineStr">
        <is>
          <t>2026.2Q</t>
        </is>
      </c>
      <c r="K136" s="5" t="inlineStr">
        <is>
          <t>2026.3Q</t>
        </is>
      </c>
      <c r="L136" s="5" t="inlineStr">
        <is>
          <t>2026.4Q</t>
        </is>
      </c>
      <c r="M136" s="5" t="inlineStr">
        <is>
          <t>2027.1Q</t>
        </is>
      </c>
      <c r="N136" s="5" t="inlineStr">
        <is>
          <t>2027.2Q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DepartmentStoreReportableSegmentsMember · 외부 고객 매출</t>
        </is>
      </c>
      <c r="C137" s="20" t="n">
        <v>5267</v>
      </c>
      <c r="D137" s="20" t="n">
        <v>6329</v>
      </c>
      <c r="E137" s="20" t="n">
        <v>5217</v>
      </c>
      <c r="F137" s="20" t="n">
        <v>5693</v>
      </c>
      <c r="G137" s="20" t="n">
        <v>5056</v>
      </c>
      <c r="H137" s="20" t="n">
        <v>6157</v>
      </c>
      <c r="I137" s="20" t="n">
        <v>5095</v>
      </c>
      <c r="J137" s="20" t="n">
        <v>5398</v>
      </c>
      <c r="K137" s="20" t="n">
        <v>4780</v>
      </c>
      <c r="L137" s="20" t="n">
        <v>5974</v>
      </c>
      <c r="M137" s="20" t="n">
        <v>4975</v>
      </c>
      <c r="N137" s="20" t="n">
        <v>5322</v>
      </c>
      <c r="V137" s="20" t="n">
        <v>6329</v>
      </c>
      <c r="W137" s="20" t="n">
        <v>6157</v>
      </c>
      <c r="X137" s="20" t="n">
        <v>5974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TomonokaiReportableSegmentsMember · 외부 고객 매출</t>
        </is>
      </c>
      <c r="C139" s="20" t="n">
        <v>9</v>
      </c>
      <c r="D139" s="20" t="n">
        <v>12</v>
      </c>
      <c r="E139" s="20" t="n">
        <v>10</v>
      </c>
      <c r="F139" s="20" t="n">
        <v>8</v>
      </c>
      <c r="G139" s="20" t="n">
        <v>9</v>
      </c>
      <c r="H139" s="20" t="n">
        <v>8</v>
      </c>
      <c r="I139" s="20" t="n">
        <v>8</v>
      </c>
      <c r="J139" s="20" t="n">
        <v>9</v>
      </c>
      <c r="K139" s="20" t="n">
        <v>8</v>
      </c>
      <c r="L139" s="20" t="n">
        <v>10</v>
      </c>
      <c r="M139" s="20" t="n">
        <v>8</v>
      </c>
      <c r="N139" s="20" t="n">
        <v>9</v>
      </c>
      <c r="V139" s="20" t="n">
        <v>12</v>
      </c>
      <c r="W139" s="20" t="n">
        <v>8</v>
      </c>
      <c r="X139" s="20" t="n">
        <v>10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기타 · 외부 고객 매출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V141" s="20" t="n">
        <v>0</v>
      </c>
      <c r="W141" s="20" t="n">
        <v>0</v>
      </c>
      <c r="X141" s="20" t="n">
        <v>0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합계 · 외부 고객 매출</t>
        </is>
      </c>
      <c r="C143" s="20" t="n">
        <v>5276</v>
      </c>
      <c r="D143" s="20" t="n">
        <v>6340</v>
      </c>
      <c r="E143" s="20" t="n">
        <v>5227</v>
      </c>
      <c r="F143" s="20" t="n">
        <v>5701</v>
      </c>
      <c r="G143" s="20" t="n">
        <v>5066</v>
      </c>
      <c r="H143" s="20" t="n">
        <v>6164</v>
      </c>
      <c r="I143" s="20" t="n">
        <v>5103</v>
      </c>
      <c r="J143" s="20" t="n">
        <v>5407</v>
      </c>
      <c r="K143" s="20" t="n">
        <v>4789</v>
      </c>
      <c r="L143" s="20" t="n">
        <v>5984</v>
      </c>
      <c r="M143" s="20" t="n">
        <v>4984</v>
      </c>
      <c r="N143" s="20" t="n">
        <v>5330</v>
      </c>
      <c r="V143" s="20" t="n">
        <v>6340</v>
      </c>
      <c r="W143" s="20" t="n">
        <v>6164</v>
      </c>
      <c r="X143" s="20" t="n">
        <v>5984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H144" s="15">
        <f>IF(OR(H143="",D143=""),"",IF(D143&lt;=0,"",IFERROR(H143/D143-1,"")))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L144" s="15">
        <f>IF(OR(L143="",H143=""),"",IF(H143&lt;=0,"",IFERROR(L143/H143-1,"")))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  <c r="V144" s="15">
        <f>IF(OR(V143="",U143=""),"",IF(U143&lt;=0,"",IFERROR(V143/U143-1,"")))</f>
        <v/>
      </c>
      <c r="W144" s="15">
        <f>IF(OR(W143="",V143=""),"",IF(V143&lt;=0,"",IFERROR(W143/V143-1,"")))</f>
        <v/>
      </c>
      <c r="X144" s="15">
        <f>IF(OR(X143="",W143=""),"",IF(W143&lt;=0,"",IFERROR(X143/W143-1,"")))</f>
        <v/>
      </c>
    </row>
    <row r="145">
      <c r="A145" s="18" t="inlineStr">
        <is>
          <t>DepartmentStoreReportableSegmentsMember · 부문 간 내부매출·대체</t>
        </is>
      </c>
      <c r="C145" s="20" t="n">
        <v>96</v>
      </c>
      <c r="D145" s="20" t="n">
        <v>104</v>
      </c>
      <c r="E145" s="20" t="n">
        <v>97</v>
      </c>
      <c r="F145" s="20" t="n">
        <v>85</v>
      </c>
      <c r="G145" s="20" t="n">
        <v>86</v>
      </c>
      <c r="H145" s="20" t="n">
        <v>94</v>
      </c>
      <c r="I145" s="20" t="n">
        <v>92</v>
      </c>
      <c r="J145" s="20" t="n">
        <v>84</v>
      </c>
      <c r="K145" s="20" t="n">
        <v>87</v>
      </c>
      <c r="L145" s="20" t="n">
        <v>92</v>
      </c>
      <c r="M145" s="20" t="n">
        <v>88</v>
      </c>
      <c r="N145" s="20" t="n">
        <v>80</v>
      </c>
      <c r="V145" s="20" t="n">
        <v>104</v>
      </c>
      <c r="W145" s="20" t="n">
        <v>94</v>
      </c>
      <c r="X145" s="20" t="n">
        <v>92</v>
      </c>
    </row>
    <row r="146">
      <c r="A146" s="18" t="inlineStr">
        <is>
          <t>TomonokaiReportableSegmentsMember · 부문 간 내부매출·대체</t>
        </is>
      </c>
      <c r="C146" s="20" t="n">
        <v>130</v>
      </c>
      <c r="D146" s="20" t="n">
        <v>135</v>
      </c>
      <c r="E146" s="20" t="n">
        <v>129</v>
      </c>
      <c r="F146" s="20" t="n">
        <v>110</v>
      </c>
      <c r="G146" s="20" t="n">
        <v>113</v>
      </c>
      <c r="H146" s="20" t="n">
        <v>127</v>
      </c>
      <c r="I146" s="20" t="n">
        <v>128</v>
      </c>
      <c r="J146" s="20" t="n">
        <v>117</v>
      </c>
      <c r="K146" s="20" t="n">
        <v>119</v>
      </c>
      <c r="L146" s="20" t="n">
        <v>131</v>
      </c>
      <c r="M146" s="20" t="n">
        <v>126</v>
      </c>
      <c r="N146" s="20" t="n">
        <v>113</v>
      </c>
      <c r="V146" s="20" t="n">
        <v>135</v>
      </c>
      <c r="W146" s="20" t="n">
        <v>127</v>
      </c>
      <c r="X146" s="20" t="n">
        <v>131</v>
      </c>
    </row>
    <row r="147">
      <c r="A147" s="18" t="inlineStr">
        <is>
          <t>기타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합계 · 부문 간 내부매출·대체</t>
        </is>
      </c>
      <c r="C148" s="20" t="n">
        <v>226</v>
      </c>
      <c r="D148" s="20" t="n">
        <v>239</v>
      </c>
      <c r="E148" s="20" t="n">
        <v>227</v>
      </c>
      <c r="F148" s="20" t="n">
        <v>194</v>
      </c>
      <c r="G148" s="20" t="n">
        <v>200</v>
      </c>
      <c r="H148" s="20" t="n">
        <v>221</v>
      </c>
      <c r="I148" s="20" t="n">
        <v>220</v>
      </c>
      <c r="J148" s="20" t="n">
        <v>201</v>
      </c>
      <c r="K148" s="20" t="n">
        <v>207</v>
      </c>
      <c r="L148" s="20" t="n">
        <v>223</v>
      </c>
      <c r="M148" s="20" t="n">
        <v>215</v>
      </c>
      <c r="N148" s="20" t="n">
        <v>193</v>
      </c>
      <c r="V148" s="20" t="n">
        <v>239</v>
      </c>
      <c r="W148" s="20" t="n">
        <v>221</v>
      </c>
      <c r="X148" s="20" t="n">
        <v>223</v>
      </c>
    </row>
    <row r="149">
      <c r="A149" s="18" t="inlineStr">
        <is>
          <t>DepartmentStoreReportableSegmentsMember · 계</t>
        </is>
      </c>
      <c r="C149" s="20" t="n">
        <v>5362</v>
      </c>
      <c r="D149" s="20" t="n">
        <v>6434</v>
      </c>
      <c r="E149" s="20" t="n">
        <v>5315</v>
      </c>
      <c r="F149" s="20" t="n">
        <v>5777</v>
      </c>
      <c r="G149" s="20" t="n">
        <v>5143</v>
      </c>
      <c r="H149" s="20" t="n">
        <v>6250</v>
      </c>
      <c r="I149" s="20" t="n">
        <v>5187</v>
      </c>
      <c r="J149" s="20" t="n">
        <v>5482</v>
      </c>
      <c r="K149" s="20" t="n">
        <v>4868</v>
      </c>
      <c r="L149" s="20" t="n">
        <v>6066</v>
      </c>
      <c r="M149" s="20" t="n">
        <v>5064</v>
      </c>
      <c r="N149" s="20" t="n">
        <v>5402</v>
      </c>
      <c r="V149" s="20" t="n">
        <v>6434</v>
      </c>
      <c r="W149" s="20" t="n">
        <v>6250</v>
      </c>
      <c r="X149" s="20" t="n">
        <v>6066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1">
      <c r="A151" s="18" t="inlineStr">
        <is>
          <t>TomonokaiReportableSegmentsMember · 계</t>
        </is>
      </c>
      <c r="C151" s="20" t="n">
        <v>139</v>
      </c>
      <c r="D151" s="20" t="n">
        <v>147</v>
      </c>
      <c r="E151" s="20" t="n">
        <v>139</v>
      </c>
      <c r="F151" s="20" t="n">
        <v>118</v>
      </c>
      <c r="G151" s="20" t="n">
        <v>122</v>
      </c>
      <c r="H151" s="20" t="n">
        <v>135</v>
      </c>
      <c r="I151" s="20" t="n">
        <v>137</v>
      </c>
      <c r="J151" s="20" t="n">
        <v>125</v>
      </c>
      <c r="K151" s="20" t="n">
        <v>128</v>
      </c>
      <c r="L151" s="20" t="n">
        <v>141</v>
      </c>
      <c r="M151" s="20" t="n">
        <v>135</v>
      </c>
      <c r="N151" s="20" t="n">
        <v>122</v>
      </c>
      <c r="V151" s="20" t="n">
        <v>147</v>
      </c>
      <c r="W151" s="20" t="n">
        <v>135</v>
      </c>
      <c r="X151" s="20" t="n">
        <v>141</v>
      </c>
    </row>
    <row r="152">
      <c r="A152" s="43" t="inlineStr">
        <is>
          <t>YoY</t>
        </is>
      </c>
      <c r="B152" s="3" t="inlineStr">
        <is>
          <t>전년 같은 분기·전년 대비</t>
        </is>
      </c>
      <c r="G152" s="15">
        <f>IF(OR(G151="",C151=""),"",IF(C151&lt;=0,"",IFERROR(G151/C151-1,"")))</f>
        <v/>
      </c>
      <c r="H152" s="15">
        <f>IF(OR(H151="",D151=""),"",IF(D151&lt;=0,"",IFERROR(H151/D151-1,"")))</f>
        <v/>
      </c>
      <c r="I152" s="15">
        <f>IF(OR(I151="",E151=""),"",IF(E151&lt;=0,"",IFERROR(I151/E151-1,"")))</f>
        <v/>
      </c>
      <c r="J152" s="15">
        <f>IF(OR(J151="",F151=""),"",IF(F151&lt;=0,"",IFERROR(J151/F151-1,"")))</f>
        <v/>
      </c>
      <c r="K152" s="15">
        <f>IF(OR(K151="",G151=""),"",IF(G151&lt;=0,"",IFERROR(K151/G151-1,"")))</f>
        <v/>
      </c>
      <c r="L152" s="15">
        <f>IF(OR(L151="",H151=""),"",IF(H151&lt;=0,"",IFERROR(L151/H151-1,"")))</f>
        <v/>
      </c>
      <c r="M152" s="15">
        <f>IF(OR(M151="",I151=""),"",IF(I151&lt;=0,"",IFERROR(M151/I151-1,"")))</f>
        <v/>
      </c>
      <c r="N152" s="15">
        <f>IF(OR(N151="",J151=""),"",IF(J151&lt;=0,"",IFERROR(N151/J151-1,"")))</f>
        <v/>
      </c>
      <c r="V152" s="15">
        <f>IF(OR(V151="",U151=""),"",IF(U151&lt;=0,"",IFERROR(V151/U151-1,"")))</f>
        <v/>
      </c>
      <c r="W152" s="15">
        <f>IF(OR(W151="",V151=""),"",IF(V151&lt;=0,"",IFERROR(W151/V151-1,"")))</f>
        <v/>
      </c>
      <c r="X152" s="15">
        <f>IF(OR(X151="",W151=""),"",IF(W151&lt;=0,"",IFERROR(X151/W151-1,"")))</f>
        <v/>
      </c>
    </row>
    <row r="153">
      <c r="A153" s="18" t="inlineStr">
        <is>
          <t>기타 · 계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합계 · 계</t>
        </is>
      </c>
      <c r="C155" s="20" t="n">
        <v>5502</v>
      </c>
      <c r="D155" s="20" t="n">
        <v>6580</v>
      </c>
      <c r="E155" s="20" t="n">
        <v>5455</v>
      </c>
      <c r="F155" s="20" t="n">
        <v>5895</v>
      </c>
      <c r="G155" s="20" t="n">
        <v>5265</v>
      </c>
      <c r="H155" s="20" t="n">
        <v>6385</v>
      </c>
      <c r="I155" s="20" t="n">
        <v>5324</v>
      </c>
      <c r="J155" s="20" t="n">
        <v>5607</v>
      </c>
      <c r="K155" s="20" t="n">
        <v>4996</v>
      </c>
      <c r="L155" s="20" t="n">
        <v>6207</v>
      </c>
      <c r="M155" s="20" t="n">
        <v>5200</v>
      </c>
      <c r="N155" s="20" t="n">
        <v>5523</v>
      </c>
      <c r="V155" s="20" t="n">
        <v>6580</v>
      </c>
      <c r="W155" s="20" t="n">
        <v>6385</v>
      </c>
      <c r="X155" s="20" t="n">
        <v>6207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DepartmentStoreReportableSegmentsMember · 부문 이익</t>
        </is>
      </c>
      <c r="C157" s="20" t="n">
        <v>53</v>
      </c>
      <c r="D157" s="20" t="n">
        <v>481</v>
      </c>
      <c r="E157" s="20" t="n">
        <v>222</v>
      </c>
      <c r="F157" s="20" t="n">
        <v>228</v>
      </c>
      <c r="G157" s="20" t="n">
        <v>80</v>
      </c>
      <c r="H157" s="20" t="n">
        <v>562</v>
      </c>
      <c r="I157" s="20" t="n">
        <v>126</v>
      </c>
      <c r="J157" s="20" t="n">
        <v>100</v>
      </c>
      <c r="K157" s="20" t="n">
        <v>-50</v>
      </c>
      <c r="L157" s="20" t="n">
        <v>490</v>
      </c>
      <c r="M157" s="20" t="n">
        <v>105</v>
      </c>
      <c r="N157" s="20" t="n">
        <v>121</v>
      </c>
      <c r="V157" s="20" t="n">
        <v>481</v>
      </c>
      <c r="W157" s="20" t="n">
        <v>562</v>
      </c>
      <c r="X157" s="20" t="n">
        <v>490</v>
      </c>
    </row>
    <row r="158">
      <c r="A158" s="43" t="inlineStr">
        <is>
          <t>OPM</t>
        </is>
      </c>
      <c r="B158" s="3" t="inlineStr">
        <is>
          <t>영업이익 ÷ 매출</t>
        </is>
      </c>
      <c r="C158" s="15">
        <f>IF(OR(C157="",C149=""),"",IF(C149&lt;=0,"",IFERROR(C157/C149,"")))</f>
        <v/>
      </c>
      <c r="D158" s="15">
        <f>IF(OR(D157="",D149=""),"",IF(D149&lt;=0,"",IFERROR(D157/D149,"")))</f>
        <v/>
      </c>
      <c r="E158" s="15">
        <f>IF(OR(E157="",E149=""),"",IF(E149&lt;=0,"",IFERROR(E157/E149,"")))</f>
        <v/>
      </c>
      <c r="F158" s="15">
        <f>IF(OR(F157="",F149=""),"",IF(F149&lt;=0,"",IFERROR(F157/F149,"")))</f>
        <v/>
      </c>
      <c r="G158" s="15">
        <f>IF(OR(G157="",G149=""),"",IF(G149&lt;=0,"",IFERROR(G157/G149,"")))</f>
        <v/>
      </c>
      <c r="H158" s="15">
        <f>IF(OR(H157="",H149=""),"",IF(H149&lt;=0,"",IFERROR(H157/H149,"")))</f>
        <v/>
      </c>
      <c r="I158" s="15">
        <f>IF(OR(I157="",I149=""),"",IF(I149&lt;=0,"",IFERROR(I157/I149,"")))</f>
        <v/>
      </c>
      <c r="J158" s="15">
        <f>IF(OR(J157="",J149=""),"",IF(J149&lt;=0,"",IFERROR(J157/J149,"")))</f>
        <v/>
      </c>
      <c r="K158" s="15">
        <f>IF(OR(K157="",K149=""),"",IF(K149&lt;=0,"",IFERROR(K157/K149,"")))</f>
        <v/>
      </c>
      <c r="L158" s="15">
        <f>IF(OR(L157="",L149=""),"",IF(L149&lt;=0,"",IFERROR(L157/L149,"")))</f>
        <v/>
      </c>
      <c r="M158" s="15">
        <f>IF(OR(M157="",M149=""),"",IF(M149&lt;=0,"",IFERROR(M157/M149,"")))</f>
        <v/>
      </c>
      <c r="N158" s="15">
        <f>IF(OR(N157="",N149=""),"",IF(N149&lt;=0,"",IFERROR(N157/N149,"")))</f>
        <v/>
      </c>
      <c r="V158" s="15">
        <f>IF(OR(V157="",V149=""),"",IF(V149&lt;=0,"",IFERROR(V157/V149,"")))</f>
        <v/>
      </c>
      <c r="W158" s="15">
        <f>IF(OR(W157="",W149=""),"",IF(W149&lt;=0,"",IFERROR(W157/W149,"")))</f>
        <v/>
      </c>
      <c r="X158" s="15">
        <f>IF(OR(X157="",X149=""),"",IF(X149&lt;=0,"",IFERROR(X157/X149,"")))</f>
        <v/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IF(OR(G157="",C157=""),"",IF(C157&lt;=0,"",IFERROR(G157/C157-1,"")))</f>
        <v/>
      </c>
      <c r="H159" s="15">
        <f>IF(OR(H157="",D157=""),"",IF(D157&lt;=0,"",IFERROR(H157/D157-1,"")))</f>
        <v/>
      </c>
      <c r="I159" s="15">
        <f>IF(OR(I157="",E157=""),"",IF(E157&lt;=0,"",IFERROR(I157/E157-1,"")))</f>
        <v/>
      </c>
      <c r="J159" s="15">
        <f>IF(OR(J157="",F157=""),"",IF(F157&lt;=0,"",IFERROR(J157/F157-1,"")))</f>
        <v/>
      </c>
      <c r="K159" s="15">
        <f>IF(OR(K157="",G157=""),"",IF(G157&lt;=0,"",IFERROR(K157/G157-1,"")))</f>
        <v/>
      </c>
      <c r="L159" s="15">
        <f>IF(OR(L157="",H157=""),"",IF(H157&lt;=0,"",IFERROR(L157/H157-1,"")))</f>
        <v/>
      </c>
      <c r="M159" s="15">
        <f>IF(OR(M157="",I157=""),"",IF(I157&lt;=0,"",IFERROR(M157/I157-1,"")))</f>
        <v/>
      </c>
      <c r="N159" s="15">
        <f>IF(OR(N157="",J157=""),"",IF(J157&lt;=0,"",IFERROR(N157/J157-1,"")))</f>
        <v/>
      </c>
      <c r="V159" s="15">
        <f>IF(OR(V157="",U157=""),"",IF(U157&lt;=0,"",IFERROR(V157/U157-1,"")))</f>
        <v/>
      </c>
      <c r="W159" s="15">
        <f>IF(OR(W157="",V157=""),"",IF(V157&lt;=0,"",IFERROR(W157/V157-1,"")))</f>
        <v/>
      </c>
      <c r="X159" s="15">
        <f>IF(OR(X157="",W157=""),"",IF(W157&lt;=0,"",IFERROR(X157/W157-1,"")))</f>
        <v/>
      </c>
    </row>
    <row r="160">
      <c r="A160" s="18" t="inlineStr">
        <is>
          <t>TomonokaiReportableSegmentsMember · 부문 이익</t>
        </is>
      </c>
      <c r="C160" s="20" t="n">
        <v>16</v>
      </c>
      <c r="D160" s="20" t="n">
        <v>8</v>
      </c>
      <c r="E160" s="20" t="n">
        <v>16</v>
      </c>
      <c r="F160" s="20" t="n">
        <v>9</v>
      </c>
      <c r="G160" s="20" t="n">
        <v>7</v>
      </c>
      <c r="H160" s="20" t="n">
        <v>0</v>
      </c>
      <c r="I160" s="20" t="n">
        <v>19</v>
      </c>
      <c r="J160" s="20" t="n">
        <v>15</v>
      </c>
      <c r="K160" s="20" t="n">
        <v>17</v>
      </c>
      <c r="L160" s="20" t="n">
        <v>7</v>
      </c>
      <c r="M160" s="20" t="n">
        <v>21</v>
      </c>
      <c r="N160" s="20" t="n">
        <v>15</v>
      </c>
      <c r="V160" s="20" t="n">
        <v>8</v>
      </c>
      <c r="W160" s="20" t="n">
        <v>0</v>
      </c>
      <c r="X160" s="20" t="n">
        <v>7</v>
      </c>
    </row>
    <row r="161">
      <c r="A161" s="43" t="inlineStr">
        <is>
          <t>OPM</t>
        </is>
      </c>
      <c r="B161" s="3" t="inlineStr">
        <is>
          <t>영업이익 ÷ 매출</t>
        </is>
      </c>
      <c r="C161" s="15">
        <f>IF(OR(C160="",C151=""),"",IF(C151&lt;=0,"",IFERROR(C160/C151,"")))</f>
        <v/>
      </c>
      <c r="D161" s="15">
        <f>IF(OR(D160="",D151=""),"",IF(D151&lt;=0,"",IFERROR(D160/D151,"")))</f>
        <v/>
      </c>
      <c r="E161" s="15">
        <f>IF(OR(E160="",E151=""),"",IF(E151&lt;=0,"",IFERROR(E160/E151,"")))</f>
        <v/>
      </c>
      <c r="F161" s="15">
        <f>IF(OR(F160="",F151=""),"",IF(F151&lt;=0,"",IFERROR(F160/F151,"")))</f>
        <v/>
      </c>
      <c r="G161" s="15">
        <f>IF(OR(G160="",G151=""),"",IF(G151&lt;=0,"",IFERROR(G160/G151,"")))</f>
        <v/>
      </c>
      <c r="H161" s="15">
        <f>IF(OR(H160="",H151=""),"",IF(H151&lt;=0,"",IFERROR(H160/H151,"")))</f>
        <v/>
      </c>
      <c r="I161" s="15">
        <f>IF(OR(I160="",I151=""),"",IF(I151&lt;=0,"",IFERROR(I160/I151,"")))</f>
        <v/>
      </c>
      <c r="J161" s="15">
        <f>IF(OR(J160="",J151=""),"",IF(J151&lt;=0,"",IFERROR(J160/J151,"")))</f>
        <v/>
      </c>
      <c r="K161" s="15">
        <f>IF(OR(K160="",K151=""),"",IF(K151&lt;=0,"",IFERROR(K160/K151,"")))</f>
        <v/>
      </c>
      <c r="L161" s="15">
        <f>IF(OR(L160="",L151=""),"",IF(L151&lt;=0,"",IFERROR(L160/L151,"")))</f>
        <v/>
      </c>
      <c r="M161" s="15">
        <f>IF(OR(M160="",M151=""),"",IF(M151&lt;=0,"",IFERROR(M160/M151,"")))</f>
        <v/>
      </c>
      <c r="N161" s="15">
        <f>IF(OR(N160="",N151=""),"",IF(N151&lt;=0,"",IFERROR(N160/N151,"")))</f>
        <v/>
      </c>
      <c r="V161" s="15">
        <f>IF(OR(V160="",V151=""),"",IF(V151&lt;=0,"",IFERROR(V160/V151,"")))</f>
        <v/>
      </c>
      <c r="W161" s="15">
        <f>IF(OR(W160="",W151=""),"",IF(W151&lt;=0,"",IFERROR(W160/W151,"")))</f>
        <v/>
      </c>
      <c r="X161" s="15">
        <f>IF(OR(X160="",X151=""),"",IF(X151&lt;=0,"",IFERROR(X160/X151,"")))</f>
        <v/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IF(OR(G160="",C160=""),"",IF(C160&lt;=0,"",IFERROR(G160/C160-1,"")))</f>
        <v/>
      </c>
      <c r="H162" s="15">
        <f>IF(OR(H160="",D160=""),"",IF(D160&lt;=0,"",IFERROR(H160/D160-1,"")))</f>
        <v/>
      </c>
      <c r="I162" s="15">
        <f>IF(OR(I160="",E160=""),"",IF(E160&lt;=0,"",IFERROR(I160/E160-1,"")))</f>
        <v/>
      </c>
      <c r="J162" s="15">
        <f>IF(OR(J160="",F160=""),"",IF(F160&lt;=0,"",IFERROR(J160/F160-1,"")))</f>
        <v/>
      </c>
      <c r="K162" s="15">
        <f>IF(OR(K160="",G160=""),"",IF(G160&lt;=0,"",IFERROR(K160/G160-1,"")))</f>
        <v/>
      </c>
      <c r="L162" s="15">
        <f>IF(OR(L160="",H160=""),"",IF(H160&lt;=0,"",IFERROR(L160/H160-1,"")))</f>
        <v/>
      </c>
      <c r="M162" s="15">
        <f>IF(OR(M160="",I160=""),"",IF(I160&lt;=0,"",IFERROR(M160/I160-1,"")))</f>
        <v/>
      </c>
      <c r="N162" s="15">
        <f>IF(OR(N160="",J160=""),"",IF(J160&lt;=0,"",IFERROR(N160/J160-1,"")))</f>
        <v/>
      </c>
      <c r="V162" s="15">
        <f>IF(OR(V160="",U160=""),"",IF(U160&lt;=0,"",IFERROR(V160/U160-1,"")))</f>
        <v/>
      </c>
      <c r="W162" s="15">
        <f>IF(OR(W160="",V160=""),"",IF(V160&lt;=0,"",IFERROR(W160/V160-1,"")))</f>
        <v/>
      </c>
      <c r="X162" s="15">
        <f>IF(OR(X160="",W160=""),"",IF(W160&lt;=0,"",IFERROR(X160/W160-1,"")))</f>
        <v/>
      </c>
    </row>
    <row r="163">
      <c r="A163" s="18" t="inlineStr">
        <is>
          <t>기타 · 부문 이익</t>
        </is>
      </c>
      <c r="C163" s="20" t="n">
        <v>0</v>
      </c>
      <c r="D163" s="20" t="n">
        <v>0</v>
      </c>
      <c r="E163" s="20" t="n">
        <v>0</v>
      </c>
      <c r="F163" s="20" t="n">
        <v>0</v>
      </c>
      <c r="G163" s="20" t="n">
        <v>0</v>
      </c>
      <c r="H163" s="20" t="n">
        <v>0</v>
      </c>
      <c r="I163" s="20" t="n">
        <v>0</v>
      </c>
      <c r="J163" s="20" t="n">
        <v>0</v>
      </c>
      <c r="K163" s="20" t="n">
        <v>0</v>
      </c>
      <c r="L163" s="20" t="n">
        <v>0</v>
      </c>
      <c r="M163" s="20" t="n">
        <v>0</v>
      </c>
      <c r="N163" s="20" t="n">
        <v>0</v>
      </c>
      <c r="V163" s="20" t="n">
        <v>0</v>
      </c>
      <c r="W163" s="20" t="n">
        <v>0</v>
      </c>
      <c r="X163" s="20" t="n">
        <v>0</v>
      </c>
    </row>
    <row r="164">
      <c r="A164" s="43" t="inlineStr">
        <is>
          <t>OPM</t>
        </is>
      </c>
      <c r="B164" s="3" t="inlineStr">
        <is>
          <t>영업이익 ÷ 매출</t>
        </is>
      </c>
      <c r="C164" s="15">
        <f>IF(OR(C163="",C153=""),"",IF(C153&lt;=0,"",IFERROR(C163/C153,"")))</f>
        <v/>
      </c>
      <c r="D164" s="15">
        <f>IF(OR(D163="",D153=""),"",IF(D153&lt;=0,"",IFERROR(D163/D153,"")))</f>
        <v/>
      </c>
      <c r="E164" s="15">
        <f>IF(OR(E163="",E153=""),"",IF(E153&lt;=0,"",IFERROR(E163/E153,"")))</f>
        <v/>
      </c>
      <c r="F164" s="15">
        <f>IF(OR(F163="",F153=""),"",IF(F153&lt;=0,"",IFERROR(F163/F153,"")))</f>
        <v/>
      </c>
      <c r="G164" s="15">
        <f>IF(OR(G163="",G153=""),"",IF(G153&lt;=0,"",IFERROR(G163/G153,"")))</f>
        <v/>
      </c>
      <c r="H164" s="15">
        <f>IF(OR(H163="",H153=""),"",IF(H153&lt;=0,"",IFERROR(H163/H153,"")))</f>
        <v/>
      </c>
      <c r="I164" s="15">
        <f>IF(OR(I163="",I153=""),"",IF(I153&lt;=0,"",IFERROR(I163/I153,"")))</f>
        <v/>
      </c>
      <c r="J164" s="15">
        <f>IF(OR(J163="",J153=""),"",IF(J153&lt;=0,"",IFERROR(J163/J153,"")))</f>
        <v/>
      </c>
      <c r="K164" s="15">
        <f>IF(OR(K163="",K153=""),"",IF(K153&lt;=0,"",IFERROR(K163/K153,"")))</f>
        <v/>
      </c>
      <c r="L164" s="15">
        <f>IF(OR(L163="",L153=""),"",IF(L153&lt;=0,"",IFERROR(L163/L153,"")))</f>
        <v/>
      </c>
      <c r="M164" s="15">
        <f>IF(OR(M163="",M153=""),"",IF(M153&lt;=0,"",IFERROR(M163/M153,"")))</f>
        <v/>
      </c>
      <c r="N164" s="15">
        <f>IF(OR(N163="",N153=""),"",IF(N153&lt;=0,"",IFERROR(N163/N153,"")))</f>
        <v/>
      </c>
      <c r="V164" s="15">
        <f>IF(OR(V163="",V153=""),"",IF(V153&lt;=0,"",IFERROR(V163/V153,"")))</f>
        <v/>
      </c>
      <c r="W164" s="15">
        <f>IF(OR(W163="",W153=""),"",IF(W153&lt;=0,"",IFERROR(W163/W153,"")))</f>
        <v/>
      </c>
      <c r="X164" s="15">
        <f>IF(OR(X163="",X153=""),"",IF(X153&lt;=0,"",IFERROR(X163/X153,"")))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IF(OR(G163="",C163=""),"",IF(C163&lt;=0,"",IFERROR(G163/C163-1,"")))</f>
        <v/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J165" s="15">
        <f>IF(OR(J163="",F163=""),"",IF(F163&lt;=0,"",IFERROR(J163/F163-1,"")))</f>
        <v/>
      </c>
      <c r="K165" s="15">
        <f>IF(OR(K163="",G163=""),"",IF(G163&lt;=0,"",IFERROR(K163/G163-1,"")))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N165" s="15">
        <f>IF(OR(N163="",J163=""),"",IF(J163&lt;=0,"",IFERROR(N163/J163-1,"")))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합계 · 부문 이익</t>
        </is>
      </c>
      <c r="C166" s="20" t="n">
        <v>70</v>
      </c>
      <c r="D166" s="20" t="n">
        <v>488</v>
      </c>
      <c r="E166" s="20" t="n">
        <v>238</v>
      </c>
      <c r="F166" s="20" t="n">
        <v>237</v>
      </c>
      <c r="G166" s="20" t="n">
        <v>87</v>
      </c>
      <c r="H166" s="20" t="n">
        <v>562</v>
      </c>
      <c r="I166" s="20" t="n">
        <v>145</v>
      </c>
      <c r="J166" s="20" t="n">
        <v>116</v>
      </c>
      <c r="K166" s="20" t="n">
        <v>-34</v>
      </c>
      <c r="L166" s="20" t="n">
        <v>497</v>
      </c>
      <c r="M166" s="20" t="n">
        <v>126</v>
      </c>
      <c r="N166" s="20" t="n">
        <v>136</v>
      </c>
      <c r="V166" s="20" t="n">
        <v>488</v>
      </c>
      <c r="W166" s="20" t="n">
        <v>562</v>
      </c>
      <c r="X166" s="20" t="n">
        <v>497</v>
      </c>
    </row>
    <row r="167">
      <c r="A167" s="43" t="inlineStr">
        <is>
          <t>OPM</t>
        </is>
      </c>
      <c r="B167" s="3" t="inlineStr">
        <is>
          <t>영업이익 ÷ 매출</t>
        </is>
      </c>
      <c r="C167" s="15">
        <f>IF(OR(C166="",C155=""),"",IF(C155&lt;=0,"",IFERROR(C166/C155,"")))</f>
        <v/>
      </c>
      <c r="D167" s="15">
        <f>IF(OR(D166="",D155=""),"",IF(D155&lt;=0,"",IFERROR(D166/D155,"")))</f>
        <v/>
      </c>
      <c r="E167" s="15">
        <f>IF(OR(E166="",E155=""),"",IF(E155&lt;=0,"",IFERROR(E166/E155,"")))</f>
        <v/>
      </c>
      <c r="F167" s="15">
        <f>IF(OR(F166="",F155=""),"",IF(F155&lt;=0,"",IFERROR(F166/F155,"")))</f>
        <v/>
      </c>
      <c r="G167" s="15">
        <f>IF(OR(G166="",G155=""),"",IF(G155&lt;=0,"",IFERROR(G166/G155,"")))</f>
        <v/>
      </c>
      <c r="H167" s="15">
        <f>IF(OR(H166="",H155=""),"",IF(H155&lt;=0,"",IFERROR(H166/H155,"")))</f>
        <v/>
      </c>
      <c r="I167" s="15">
        <f>IF(OR(I166="",I155=""),"",IF(I155&lt;=0,"",IFERROR(I166/I155,"")))</f>
        <v/>
      </c>
      <c r="J167" s="15">
        <f>IF(OR(J166="",J155=""),"",IF(J155&lt;=0,"",IFERROR(J166/J155,"")))</f>
        <v/>
      </c>
      <c r="K167" s="15">
        <f>IF(OR(K166="",K155=""),"",IF(K155&lt;=0,"",IFERROR(K166/K155,"")))</f>
        <v/>
      </c>
      <c r="L167" s="15">
        <f>IF(OR(L166="",L155=""),"",IF(L155&lt;=0,"",IFERROR(L166/L155,"")))</f>
        <v/>
      </c>
      <c r="M167" s="15">
        <f>IF(OR(M166="",M155=""),"",IF(M155&lt;=0,"",IFERROR(M166/M155,"")))</f>
        <v/>
      </c>
      <c r="N167" s="15">
        <f>IF(OR(N166="",N155=""),"",IF(N155&lt;=0,"",IFERROR(N166/N155,"")))</f>
        <v/>
      </c>
      <c r="V167" s="15">
        <f>IF(OR(V166="",V155=""),"",IF(V155&lt;=0,"",IFERROR(V166/V155,"")))</f>
        <v/>
      </c>
      <c r="W167" s="15">
        <f>IF(OR(W166="",W155=""),"",IF(W155&lt;=0,"",IFERROR(W166/W155,"")))</f>
        <v/>
      </c>
      <c r="X167" s="15">
        <f>IF(OR(X166="",X155=""),"",IF(X155&lt;=0,"",IFERROR(X166/X155,"")))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IF(OR(G166="",C166=""),"",IF(C166&lt;=0,"",IFERROR(G166/C166-1,"")))</f>
        <v/>
      </c>
      <c r="H168" s="15">
        <f>IF(OR(H166="",D166=""),"",IF(D166&lt;=0,"",IFERROR(H166/D166-1,"")))</f>
        <v/>
      </c>
      <c r="I168" s="15">
        <f>IF(OR(I166="",E166=""),"",IF(E166&lt;=0,"",IFERROR(I166/E166-1,"")))</f>
        <v/>
      </c>
      <c r="J168" s="15">
        <f>IF(OR(J166="",F166=""),"",IF(F166&lt;=0,"",IFERROR(J166/F166-1,"")))</f>
        <v/>
      </c>
      <c r="K168" s="15">
        <f>IF(OR(K166="",G166=""),"",IF(G166&lt;=0,"",IFERROR(K166/G166-1,"")))</f>
        <v/>
      </c>
      <c r="L168" s="15">
        <f>IF(OR(L166="",H166=""),"",IF(H166&lt;=0,"",IFERROR(L166/H166-1,"")))</f>
        <v/>
      </c>
      <c r="M168" s="15">
        <f>IF(OR(M166="",I166=""),"",IF(I166&lt;=0,"",IFERROR(M166/I166-1,"")))</f>
        <v/>
      </c>
      <c r="N168" s="15">
        <f>IF(OR(N166="",J166=""),"",IF(J166&lt;=0,"",IFERROR(N166/J166-1,"")))</f>
        <v/>
      </c>
      <c r="V168" s="15">
        <f>IF(OR(V166="",U166=""),"",IF(U166&lt;=0,"",IFERROR(V166/U166-1,"")))</f>
        <v/>
      </c>
      <c r="W168" s="15">
        <f>IF(OR(W166="",V166=""),"",IF(V166&lt;=0,"",IFERROR(W166/V166-1,"")))</f>
        <v/>
      </c>
      <c r="X168" s="15">
        <f>IF(OR(X166="",W166=""),"",IF(W166&lt;=0,"",IFERROR(X166/W166-1,"")))</f>
        <v/>
      </c>
    </row>
    <row r="170">
      <c r="A170" s="16" t="inlineStr">
        <is>
          <t>현금흐름표 · 전 항목</t>
        </is>
      </c>
      <c r="B170" s="42" t="inlineStr">
        <is>
          <t>분기 = 결산기 첫날부터 누계(공시 그대로)</t>
        </is>
      </c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  <c r="AA170" s="16" t="n"/>
      <c r="AB170" s="16" t="n"/>
      <c r="AC170" s="16" t="n"/>
    </row>
    <row r="171">
      <c r="A171" s="5" t="inlineStr">
        <is>
          <t>항목</t>
        </is>
      </c>
      <c r="B171" s="5" t="inlineStr">
        <is>
          <t>참고</t>
        </is>
      </c>
      <c r="C171" s="5" t="inlineStr">
        <is>
          <t>2024.3Q</t>
        </is>
      </c>
      <c r="D171" s="5" t="inlineStr">
        <is>
          <t>2024.4Q</t>
        </is>
      </c>
      <c r="E171" s="5" t="inlineStr">
        <is>
          <t>2025.1Q</t>
        </is>
      </c>
      <c r="F171" s="5" t="inlineStr">
        <is>
          <t>2025.2Q</t>
        </is>
      </c>
      <c r="G171" s="5" t="inlineStr">
        <is>
          <t>2025.3Q</t>
        </is>
      </c>
      <c r="H171" s="5" t="inlineStr">
        <is>
          <t>2025.4Q</t>
        </is>
      </c>
      <c r="I171" s="5" t="inlineStr">
        <is>
          <t>2026.1Q</t>
        </is>
      </c>
      <c r="J171" s="5" t="inlineStr">
        <is>
          <t>2026.2Q</t>
        </is>
      </c>
      <c r="K171" s="5" t="inlineStr">
        <is>
          <t>2026.3Q</t>
        </is>
      </c>
      <c r="L171" s="5" t="inlineStr">
        <is>
          <t>2026.4Q</t>
        </is>
      </c>
      <c r="M171" s="5" t="inlineStr">
        <is>
          <t>2027.1Q</t>
        </is>
      </c>
      <c r="N171" s="5" t="inlineStr">
        <is>
          <t>2027.2Q</t>
        </is>
      </c>
      <c r="O171" s="5" t="inlineStr">
        <is>
          <t>2017</t>
        </is>
      </c>
      <c r="P171" s="5" t="inlineStr">
        <is>
          <t>2018</t>
        </is>
      </c>
      <c r="Q171" s="5" t="inlineStr">
        <is>
          <t>2019</t>
        </is>
      </c>
      <c r="R171" s="5" t="inlineStr">
        <is>
          <t>2020</t>
        </is>
      </c>
      <c r="S171" s="5" t="inlineStr">
        <is>
          <t>2021</t>
        </is>
      </c>
      <c r="T171" s="5" t="inlineStr">
        <is>
          <t>2022</t>
        </is>
      </c>
      <c r="U171" s="5" t="inlineStr">
        <is>
          <t>2023</t>
        </is>
      </c>
      <c r="V171" s="5" t="inlineStr">
        <is>
          <t>2024</t>
        </is>
      </c>
      <c r="W171" s="5" t="inlineStr">
        <is>
          <t>2025</t>
        </is>
      </c>
      <c r="X171" s="5" t="inlineStr">
        <is>
          <t>2026</t>
        </is>
      </c>
      <c r="Y171" s="5" t="inlineStr">
        <is>
          <t>2027(MW)</t>
        </is>
      </c>
      <c r="Z171" s="5" t="inlineStr">
        <is>
          <t>2028(MW)</t>
        </is>
      </c>
      <c r="AA171" s="5" t="inlineStr">
        <is>
          <t>2029(MW)</t>
        </is>
      </c>
      <c r="AB171" s="5" t="inlineStr">
        <is>
          <t>2030(MW)</t>
        </is>
      </c>
      <c r="AC171" s="5" t="inlineStr">
        <is>
          <t>2031(MW)</t>
        </is>
      </c>
    </row>
    <row r="172">
      <c r="A172" s="9" t="inlineStr">
        <is>
          <t>법인세차감전 순이익</t>
        </is>
      </c>
      <c r="D172" s="12" t="n">
        <v>947</v>
      </c>
      <c r="F172" s="12" t="n">
        <v>187</v>
      </c>
      <c r="H172" s="12" t="n">
        <v>743</v>
      </c>
      <c r="J172" s="12" t="n">
        <v>150</v>
      </c>
      <c r="L172" s="12" t="n">
        <v>528</v>
      </c>
      <c r="N172" s="12" t="n">
        <v>39</v>
      </c>
      <c r="O172" s="12" t="n">
        <v>638</v>
      </c>
      <c r="P172" s="12" t="n">
        <v>500</v>
      </c>
      <c r="Q172" s="12" t="n">
        <v>-2312</v>
      </c>
      <c r="R172" s="12" t="n">
        <v>697</v>
      </c>
      <c r="S172" s="12" t="n">
        <v>-353</v>
      </c>
      <c r="T172" s="12" t="n">
        <v>1041</v>
      </c>
      <c r="U172" s="12" t="n">
        <v>1075</v>
      </c>
      <c r="V172" s="12" t="n">
        <v>947</v>
      </c>
      <c r="W172" s="12" t="n">
        <v>743</v>
      </c>
      <c r="X172" s="12" t="n">
        <v>528</v>
      </c>
    </row>
    <row r="173">
      <c r="A173" s="18" t="inlineStr">
        <is>
          <t>감가상각비</t>
        </is>
      </c>
      <c r="D173" s="20" t="n">
        <v>1452</v>
      </c>
      <c r="F173" s="20" t="n">
        <v>690</v>
      </c>
      <c r="H173" s="20" t="n">
        <v>1371</v>
      </c>
      <c r="J173" s="20" t="n">
        <v>715</v>
      </c>
      <c r="L173" s="20" t="n">
        <v>1431</v>
      </c>
      <c r="N173" s="20" t="n">
        <v>666</v>
      </c>
      <c r="O173" s="20" t="n">
        <v>1659</v>
      </c>
      <c r="P173" s="20" t="n">
        <v>1613</v>
      </c>
      <c r="Q173" s="20" t="n">
        <v>1376</v>
      </c>
      <c r="R173" s="20" t="n">
        <v>1518</v>
      </c>
      <c r="S173" s="20" t="n">
        <v>1764</v>
      </c>
      <c r="T173" s="20" t="n">
        <v>1602</v>
      </c>
      <c r="U173" s="20" t="n">
        <v>1414</v>
      </c>
      <c r="V173" s="20" t="n">
        <v>1452</v>
      </c>
      <c r="W173" s="20" t="n">
        <v>1371</v>
      </c>
      <c r="X173" s="20" t="n">
        <v>1431</v>
      </c>
    </row>
    <row r="174">
      <c r="A174" s="18" t="inlineStr">
        <is>
          <t>손상차손</t>
        </is>
      </c>
      <c r="O174" s="20" t="n">
        <v>0</v>
      </c>
      <c r="P174" s="20" t="n">
        <v>233</v>
      </c>
      <c r="Q174" s="20" t="n">
        <v>2305</v>
      </c>
      <c r="R174" s="20" t="n">
        <v>61</v>
      </c>
      <c r="S174" s="20" t="n">
        <v>159</v>
      </c>
      <c r="T174" s="20" t="n">
        <v>0</v>
      </c>
    </row>
    <row r="175">
      <c r="A175" s="18" t="inlineStr">
        <is>
          <t>자산복구부채 환입이익</t>
        </is>
      </c>
      <c r="P175" s="20" t="n">
        <v>0</v>
      </c>
      <c r="Q175" s="20" t="n">
        <v>-214</v>
      </c>
      <c r="R175" s="20" t="n">
        <v>-51</v>
      </c>
      <c r="S175" s="20" t="n">
        <v>0</v>
      </c>
    </row>
    <row r="176">
      <c r="A176" s="18" t="inlineStr">
        <is>
          <t>대손충당금 증감</t>
        </is>
      </c>
      <c r="D176" s="20" t="n">
        <v>0</v>
      </c>
      <c r="F176" s="20" t="n">
        <v>-0</v>
      </c>
      <c r="H176" s="20" t="n">
        <v>-0</v>
      </c>
      <c r="J176" s="20" t="n">
        <v>-0</v>
      </c>
      <c r="L176" s="20" t="n">
        <v>-0</v>
      </c>
      <c r="N176" s="20" t="n">
        <v>-0</v>
      </c>
      <c r="O176" s="20" t="n">
        <v>0</v>
      </c>
      <c r="P176" s="20" t="n">
        <v>7</v>
      </c>
      <c r="Q176" s="20" t="n">
        <v>24</v>
      </c>
      <c r="R176" s="20" t="n">
        <v>-19</v>
      </c>
      <c r="S176" s="20" t="n">
        <v>-7</v>
      </c>
      <c r="T176" s="20" t="n">
        <v>-2</v>
      </c>
      <c r="U176" s="20" t="n">
        <v>-0</v>
      </c>
      <c r="V176" s="20" t="n">
        <v>0</v>
      </c>
      <c r="W176" s="20" t="n">
        <v>-0</v>
      </c>
      <c r="X176" s="20" t="n">
        <v>-0</v>
      </c>
    </row>
    <row r="177">
      <c r="A177" s="18" t="inlineStr">
        <is>
          <t>상여충당금 증감</t>
        </is>
      </c>
      <c r="D177" s="20" t="n">
        <v>1</v>
      </c>
      <c r="F177" s="20" t="n">
        <v>46</v>
      </c>
      <c r="H177" s="20" t="n">
        <v>-2</v>
      </c>
      <c r="J177" s="20" t="n">
        <v>41</v>
      </c>
      <c r="L177" s="20" t="n">
        <v>-5</v>
      </c>
      <c r="N177" s="20" t="n">
        <v>47</v>
      </c>
      <c r="O177" s="20" t="n">
        <v>-27</v>
      </c>
      <c r="P177" s="20" t="n">
        <v>15</v>
      </c>
      <c r="Q177" s="20" t="n">
        <v>-4</v>
      </c>
      <c r="R177" s="20" t="n">
        <v>-5</v>
      </c>
      <c r="S177" s="20" t="n">
        <v>-2</v>
      </c>
      <c r="T177" s="20" t="n">
        <v>0</v>
      </c>
      <c r="U177" s="20" t="n">
        <v>2</v>
      </c>
      <c r="V177" s="20" t="n">
        <v>1</v>
      </c>
      <c r="W177" s="20" t="n">
        <v>-2</v>
      </c>
      <c r="X177" s="20" t="n">
        <v>-5</v>
      </c>
    </row>
    <row r="178">
      <c r="A178" s="18" t="inlineStr">
        <is>
          <t>포인트·상품권 충당금 증감</t>
        </is>
      </c>
      <c r="O178" s="20" t="n">
        <v>2</v>
      </c>
      <c r="P178" s="20" t="n">
        <v>-7</v>
      </c>
      <c r="Q178" s="20" t="n">
        <v>-16</v>
      </c>
      <c r="R178" s="20" t="n">
        <v>-19</v>
      </c>
      <c r="S178" s="20" t="n">
        <v>-69</v>
      </c>
      <c r="T178" s="20" t="n">
        <v>-22</v>
      </c>
      <c r="U178" s="20" t="n">
        <v>0</v>
      </c>
    </row>
    <row r="179">
      <c r="A179" s="18" t="inlineStr">
        <is>
          <t>상품권 회수손실 충당금 증감</t>
        </is>
      </c>
      <c r="D179" s="20" t="n">
        <v>-2</v>
      </c>
      <c r="F179" s="20" t="n">
        <v>-0</v>
      </c>
      <c r="H179" s="20" t="n">
        <v>-33</v>
      </c>
      <c r="J179" s="20" t="n">
        <v>0</v>
      </c>
      <c r="L179" s="20" t="n">
        <v>-12</v>
      </c>
      <c r="N179" s="20" t="n">
        <v>-0</v>
      </c>
      <c r="O179" s="20" t="n">
        <v>9</v>
      </c>
      <c r="P179" s="20" t="n">
        <v>31</v>
      </c>
      <c r="Q179" s="20" t="n">
        <v>-89</v>
      </c>
      <c r="R179" s="20" t="n">
        <v>15</v>
      </c>
      <c r="S179" s="20" t="n">
        <v>-4</v>
      </c>
      <c r="T179" s="20" t="n">
        <v>65</v>
      </c>
      <c r="U179" s="20" t="n">
        <v>-8</v>
      </c>
      <c r="V179" s="20" t="n">
        <v>-2</v>
      </c>
      <c r="W179" s="20" t="n">
        <v>-33</v>
      </c>
      <c r="X179" s="20" t="n">
        <v>-12</v>
      </c>
    </row>
    <row r="180">
      <c r="A180" s="18" t="inlineStr">
        <is>
          <t>사업구조개선 충당금 증감액</t>
        </is>
      </c>
      <c r="P180" s="20" t="n">
        <v>0</v>
      </c>
      <c r="Q180" s="20" t="n">
        <v>954</v>
      </c>
      <c r="R180" s="20" t="n">
        <v>-234</v>
      </c>
      <c r="S180" s="20" t="n">
        <v>0</v>
      </c>
    </row>
    <row r="181">
      <c r="A181" s="18" t="inlineStr">
        <is>
          <t>PCB 폐기물 처리비용 충당금 증감</t>
        </is>
      </c>
      <c r="O181" s="20" t="n">
        <v>6</v>
      </c>
      <c r="P181" s="20" t="n">
        <v>-4</v>
      </c>
      <c r="Q181" s="20" t="n">
        <v>-0</v>
      </c>
      <c r="R181" s="20" t="n">
        <v>0</v>
      </c>
    </row>
    <row r="182">
      <c r="A182" s="18" t="inlineStr">
        <is>
          <t>퇴직급여부채 증감</t>
        </is>
      </c>
      <c r="D182" s="20" t="n">
        <v>-72</v>
      </c>
      <c r="F182" s="20" t="n">
        <v>-25</v>
      </c>
      <c r="H182" s="20" t="n">
        <v>-46</v>
      </c>
      <c r="J182" s="20" t="n">
        <v>-99</v>
      </c>
      <c r="L182" s="20" t="n">
        <v>-109</v>
      </c>
      <c r="N182" s="20" t="n">
        <v>-1</v>
      </c>
      <c r="O182" s="20" t="n">
        <v>-80</v>
      </c>
      <c r="P182" s="20" t="n">
        <v>-114</v>
      </c>
      <c r="Q182" s="20" t="n">
        <v>29</v>
      </c>
      <c r="R182" s="20" t="n">
        <v>-38</v>
      </c>
      <c r="S182" s="20" t="n">
        <v>-95</v>
      </c>
      <c r="T182" s="20" t="n">
        <v>-38</v>
      </c>
      <c r="U182" s="20" t="n">
        <v>-43</v>
      </c>
      <c r="V182" s="20" t="n">
        <v>-72</v>
      </c>
      <c r="W182" s="20" t="n">
        <v>-46</v>
      </c>
      <c r="X182" s="20" t="n">
        <v>-109</v>
      </c>
    </row>
    <row r="183">
      <c r="A183" s="18" t="inlineStr">
        <is>
          <t>임원 주식급여 충당금 증감</t>
        </is>
      </c>
      <c r="D183" s="20" t="n">
        <v>7</v>
      </c>
      <c r="F183" s="20" t="n">
        <v>4</v>
      </c>
      <c r="H183" s="20" t="n">
        <v>9</v>
      </c>
      <c r="J183" s="20" t="n">
        <v>5</v>
      </c>
      <c r="L183" s="20" t="n">
        <v>0</v>
      </c>
      <c r="N183" s="20" t="n">
        <v>6</v>
      </c>
      <c r="U183" s="20" t="n">
        <v>0</v>
      </c>
      <c r="V183" s="20" t="n">
        <v>7</v>
      </c>
      <c r="W183" s="20" t="n">
        <v>9</v>
      </c>
      <c r="X183" s="20" t="n">
        <v>0</v>
      </c>
    </row>
    <row r="184">
      <c r="A184" s="18" t="inlineStr">
        <is>
          <t>직원 주식급여 충당금 증감</t>
        </is>
      </c>
      <c r="D184" s="20" t="n">
        <v>7</v>
      </c>
      <c r="F184" s="20" t="n">
        <v>3</v>
      </c>
      <c r="H184" s="20" t="n">
        <v>8</v>
      </c>
      <c r="J184" s="20" t="n">
        <v>3</v>
      </c>
      <c r="L184" s="20" t="n">
        <v>-0</v>
      </c>
      <c r="N184" s="20" t="n">
        <v>3</v>
      </c>
      <c r="U184" s="20" t="n">
        <v>0</v>
      </c>
      <c r="V184" s="20" t="n">
        <v>7</v>
      </c>
      <c r="W184" s="20" t="n">
        <v>8</v>
      </c>
      <c r="X184" s="20" t="n">
        <v>-0</v>
      </c>
    </row>
    <row r="185">
      <c r="A185" s="18" t="inlineStr">
        <is>
          <t>이자·배당금 수익</t>
        </is>
      </c>
      <c r="D185" s="20" t="n">
        <v>-1</v>
      </c>
      <c r="F185" s="20" t="n">
        <v>-1</v>
      </c>
      <c r="H185" s="20" t="n">
        <v>-3</v>
      </c>
      <c r="J185" s="20" t="n">
        <v>-4</v>
      </c>
      <c r="L185" s="20" t="n">
        <v>-7</v>
      </c>
      <c r="N185" s="20" t="n">
        <v>-4</v>
      </c>
      <c r="O185" s="20" t="n">
        <v>-9</v>
      </c>
      <c r="P185" s="20" t="n">
        <v>-8</v>
      </c>
      <c r="Q185" s="20" t="n">
        <v>-6</v>
      </c>
      <c r="R185" s="20" t="n">
        <v>-5</v>
      </c>
      <c r="S185" s="20" t="n">
        <v>-1</v>
      </c>
      <c r="T185" s="20" t="n">
        <v>-1</v>
      </c>
      <c r="U185" s="20" t="n">
        <v>-1</v>
      </c>
      <c r="V185" s="20" t="n">
        <v>-1</v>
      </c>
      <c r="W185" s="20" t="n">
        <v>-3</v>
      </c>
      <c r="X185" s="20" t="n">
        <v>-7</v>
      </c>
    </row>
    <row r="186">
      <c r="A186" s="18" t="inlineStr">
        <is>
          <t>보조금 수입</t>
        </is>
      </c>
      <c r="D186" s="20" t="n">
        <v>0</v>
      </c>
      <c r="R186" s="20" t="n">
        <v>0</v>
      </c>
      <c r="S186" s="20" t="n">
        <v>-198</v>
      </c>
      <c r="T186" s="20" t="n">
        <v>-184</v>
      </c>
      <c r="U186" s="20" t="n">
        <v>-86</v>
      </c>
      <c r="V186" s="20" t="n">
        <v>0</v>
      </c>
    </row>
    <row r="187">
      <c r="A187" s="18" t="inlineStr">
        <is>
          <t>이자비용</t>
        </is>
      </c>
      <c r="D187" s="20" t="n">
        <v>281</v>
      </c>
      <c r="F187" s="20" t="n">
        <v>132</v>
      </c>
      <c r="H187" s="20" t="n">
        <v>259</v>
      </c>
      <c r="J187" s="20" t="n">
        <v>136</v>
      </c>
      <c r="L187" s="20" t="n">
        <v>269</v>
      </c>
      <c r="N187" s="20" t="n">
        <v>137</v>
      </c>
      <c r="O187" s="20" t="n">
        <v>510</v>
      </c>
      <c r="P187" s="20" t="n">
        <v>468</v>
      </c>
      <c r="Q187" s="20" t="n">
        <v>436</v>
      </c>
      <c r="R187" s="20" t="n">
        <v>404</v>
      </c>
      <c r="S187" s="20" t="n">
        <v>380</v>
      </c>
      <c r="T187" s="20" t="n">
        <v>348</v>
      </c>
      <c r="U187" s="20" t="n">
        <v>317</v>
      </c>
      <c r="V187" s="20" t="n">
        <v>281</v>
      </c>
      <c r="W187" s="20" t="n">
        <v>259</v>
      </c>
      <c r="X187" s="20" t="n">
        <v>269</v>
      </c>
    </row>
    <row r="188">
      <c r="A188" s="18" t="inlineStr">
        <is>
          <t>지분법손익</t>
        </is>
      </c>
      <c r="D188" s="20" t="n">
        <v>-40</v>
      </c>
      <c r="F188" s="20" t="n">
        <v>163</v>
      </c>
      <c r="H188" s="20" t="n">
        <v>152</v>
      </c>
      <c r="J188" s="20" t="n">
        <v>-7</v>
      </c>
      <c r="L188" s="20" t="n">
        <v>-26</v>
      </c>
      <c r="N188" s="20" t="n">
        <v>39</v>
      </c>
      <c r="O188" s="20" t="n">
        <v>-32</v>
      </c>
      <c r="P188" s="20" t="n">
        <v>-56</v>
      </c>
      <c r="Q188" s="20" t="n">
        <v>-131</v>
      </c>
      <c r="R188" s="20" t="n">
        <v>-106</v>
      </c>
      <c r="S188" s="20" t="n">
        <v>-57</v>
      </c>
      <c r="T188" s="20" t="n">
        <v>-111</v>
      </c>
      <c r="U188" s="20" t="n">
        <v>-17</v>
      </c>
      <c r="V188" s="20" t="n">
        <v>-40</v>
      </c>
      <c r="W188" s="20" t="n">
        <v>152</v>
      </c>
      <c r="X188" s="20" t="n">
        <v>-26</v>
      </c>
    </row>
    <row r="189">
      <c r="A189" s="18" t="inlineStr">
        <is>
          <t>사업양도 손익</t>
        </is>
      </c>
      <c r="O189" s="20" t="n">
        <v>0</v>
      </c>
      <c r="P189" s="20" t="n">
        <v>-57</v>
      </c>
      <c r="Q189" s="20" t="n">
        <v>0</v>
      </c>
    </row>
    <row r="190">
      <c r="A190" s="18" t="inlineStr">
        <is>
          <t>투자유가증권 평가손익</t>
        </is>
      </c>
      <c r="P190" s="20" t="n">
        <v>0</v>
      </c>
      <c r="Q190" s="20" t="n">
        <v>0</v>
      </c>
      <c r="R190" s="20" t="n">
        <v>156</v>
      </c>
      <c r="S190" s="20" t="n">
        <v>2</v>
      </c>
      <c r="T190" s="20" t="n">
        <v>5</v>
      </c>
      <c r="U190" s="20" t="n">
        <v>0</v>
      </c>
    </row>
    <row r="191">
      <c r="A191" s="18" t="inlineStr">
        <is>
          <t>고정자산 수증이익</t>
        </is>
      </c>
      <c r="Q191" s="20" t="n">
        <v>0</v>
      </c>
      <c r="R191" s="20" t="n">
        <v>-126</v>
      </c>
      <c r="S191" s="20" t="n">
        <v>0</v>
      </c>
    </row>
    <row r="192">
      <c r="A192" s="18" t="inlineStr">
        <is>
          <t>고정자산 매각손익</t>
        </is>
      </c>
      <c r="O192" s="20" t="n">
        <v>67</v>
      </c>
      <c r="P192" s="20" t="n">
        <v>-128</v>
      </c>
      <c r="Q192" s="20" t="n">
        <v>0</v>
      </c>
      <c r="R192" s="20" t="n">
        <v>-28</v>
      </c>
      <c r="S192" s="20" t="n">
        <v>0</v>
      </c>
    </row>
    <row r="193">
      <c r="A193" s="18" t="inlineStr">
        <is>
          <t>고정자산 제각손실</t>
        </is>
      </c>
      <c r="O193" s="20" t="n">
        <v>24</v>
      </c>
      <c r="P193" s="20" t="n">
        <v>12</v>
      </c>
      <c r="Q193" s="20" t="n">
        <v>53</v>
      </c>
      <c r="R193" s="20" t="n">
        <v>194</v>
      </c>
      <c r="S193" s="20" t="n">
        <v>26</v>
      </c>
      <c r="T193" s="20" t="n">
        <v>0</v>
      </c>
    </row>
    <row r="194">
      <c r="A194" s="18" t="inlineStr">
        <is>
          <t>회원권 평가손실</t>
        </is>
      </c>
      <c r="O194" s="20" t="n">
        <v>0</v>
      </c>
      <c r="P194" s="20" t="n">
        <v>0</v>
      </c>
    </row>
    <row r="195">
      <c r="A195" s="18" t="inlineStr">
        <is>
          <t>투자유가증권 매각손익</t>
        </is>
      </c>
      <c r="D195" s="20" t="n">
        <v>0</v>
      </c>
      <c r="F195" s="20" t="n">
        <v>-2</v>
      </c>
      <c r="H195" s="20" t="n">
        <v>-2</v>
      </c>
      <c r="J195" s="20" t="n">
        <v>0</v>
      </c>
      <c r="L195" s="20" t="n">
        <v>-55</v>
      </c>
      <c r="Q195" s="20" t="n">
        <v>-10</v>
      </c>
      <c r="R195" s="20" t="n">
        <v>0</v>
      </c>
      <c r="V195" s="20" t="n">
        <v>0</v>
      </c>
      <c r="W195" s="20" t="n">
        <v>-2</v>
      </c>
      <c r="X195" s="20" t="n">
        <v>-55</v>
      </c>
    </row>
    <row r="196">
      <c r="A196" s="18" t="inlineStr">
        <is>
          <t>매출채권 증감</t>
        </is>
      </c>
      <c r="D196" s="20" t="n">
        <v>30</v>
      </c>
      <c r="F196" s="20" t="n">
        <v>-215</v>
      </c>
      <c r="H196" s="20" t="n">
        <v>-89</v>
      </c>
      <c r="J196" s="20" t="n">
        <v>-169</v>
      </c>
      <c r="L196" s="20" t="n">
        <v>-42</v>
      </c>
      <c r="N196" s="20" t="n">
        <v>-224</v>
      </c>
      <c r="O196" s="20" t="n">
        <v>127</v>
      </c>
      <c r="P196" s="20" t="n">
        <v>83</v>
      </c>
      <c r="Q196" s="20" t="n">
        <v>-389</v>
      </c>
      <c r="R196" s="20" t="n">
        <v>412</v>
      </c>
      <c r="S196" s="20" t="n">
        <v>164</v>
      </c>
      <c r="T196" s="20" t="n">
        <v>-32</v>
      </c>
      <c r="U196" s="20" t="n">
        <v>-250</v>
      </c>
      <c r="V196" s="20" t="n">
        <v>30</v>
      </c>
      <c r="W196" s="20" t="n">
        <v>-89</v>
      </c>
      <c r="X196" s="20" t="n">
        <v>-42</v>
      </c>
    </row>
    <row r="197">
      <c r="A197" s="18" t="inlineStr">
        <is>
          <t>재고자산 증감</t>
        </is>
      </c>
      <c r="D197" s="20" t="n">
        <v>5</v>
      </c>
      <c r="F197" s="20" t="n">
        <v>68</v>
      </c>
      <c r="H197" s="20" t="n">
        <v>-21</v>
      </c>
      <c r="J197" s="20" t="n">
        <v>121</v>
      </c>
      <c r="L197" s="20" t="n">
        <v>40</v>
      </c>
      <c r="N197" s="20" t="n">
        <v>153</v>
      </c>
      <c r="O197" s="20" t="n">
        <v>14</v>
      </c>
      <c r="P197" s="20" t="n">
        <v>-74</v>
      </c>
      <c r="Q197" s="20" t="n">
        <v>480</v>
      </c>
      <c r="R197" s="20" t="n">
        <v>367</v>
      </c>
      <c r="S197" s="20" t="n">
        <v>392</v>
      </c>
      <c r="T197" s="20" t="n">
        <v>51</v>
      </c>
      <c r="U197" s="20" t="n">
        <v>-67</v>
      </c>
      <c r="V197" s="20" t="n">
        <v>5</v>
      </c>
      <c r="W197" s="20" t="n">
        <v>-21</v>
      </c>
      <c r="X197" s="20" t="n">
        <v>40</v>
      </c>
    </row>
    <row r="198">
      <c r="A198" s="18" t="inlineStr">
        <is>
          <t>매입채무 증감</t>
        </is>
      </c>
      <c r="D198" s="20" t="n">
        <v>69</v>
      </c>
      <c r="F198" s="20" t="n">
        <v>51</v>
      </c>
      <c r="H198" s="20" t="n">
        <v>-238</v>
      </c>
      <c r="J198" s="20" t="n">
        <v>173</v>
      </c>
      <c r="L198" s="20" t="n">
        <v>151</v>
      </c>
      <c r="N198" s="20" t="n">
        <v>132</v>
      </c>
      <c r="O198" s="20" t="n">
        <v>-422</v>
      </c>
      <c r="P198" s="20" t="n">
        <v>-218</v>
      </c>
      <c r="Q198" s="20" t="n">
        <v>818</v>
      </c>
      <c r="R198" s="20" t="n">
        <v>-1999</v>
      </c>
      <c r="S198" s="20" t="n">
        <v>-1205</v>
      </c>
      <c r="T198" s="20" t="n">
        <v>-28</v>
      </c>
      <c r="U198" s="20" t="n">
        <v>305</v>
      </c>
      <c r="V198" s="20" t="n">
        <v>69</v>
      </c>
      <c r="W198" s="20" t="n">
        <v>-238</v>
      </c>
      <c r="X198" s="20" t="n">
        <v>151</v>
      </c>
    </row>
    <row r="199">
      <c r="A199" s="18" t="inlineStr">
        <is>
          <t>미지급 소비세 증감</t>
        </is>
      </c>
      <c r="D199" s="20" t="n">
        <v>-92</v>
      </c>
      <c r="F199" s="20" t="n">
        <v>85</v>
      </c>
      <c r="H199" s="20" t="n">
        <v>0</v>
      </c>
      <c r="J199" s="20" t="n">
        <v>128</v>
      </c>
      <c r="L199" s="20" t="n">
        <v>125</v>
      </c>
      <c r="N199" s="20" t="n">
        <v>-62</v>
      </c>
      <c r="O199" s="20" t="n">
        <v>-164</v>
      </c>
      <c r="P199" s="20" t="n">
        <v>43</v>
      </c>
      <c r="Q199" s="20" t="n">
        <v>41</v>
      </c>
      <c r="R199" s="20" t="n">
        <v>-82</v>
      </c>
      <c r="S199" s="20" t="n">
        <v>179</v>
      </c>
      <c r="T199" s="20" t="n">
        <v>-148</v>
      </c>
      <c r="U199" s="20" t="n">
        <v>87</v>
      </c>
      <c r="V199" s="20" t="n">
        <v>-92</v>
      </c>
      <c r="W199" s="20" t="n">
        <v>0</v>
      </c>
      <c r="X199" s="20" t="n">
        <v>125</v>
      </c>
    </row>
    <row r="200">
      <c r="A200" s="18" t="inlineStr">
        <is>
          <t>기타 자산 증감</t>
        </is>
      </c>
      <c r="D200" s="20" t="n">
        <v>34</v>
      </c>
      <c r="F200" s="20" t="n">
        <v>-56</v>
      </c>
      <c r="H200" s="20" t="n">
        <v>73</v>
      </c>
      <c r="J200" s="20" t="n">
        <v>-98</v>
      </c>
      <c r="L200" s="20" t="n">
        <v>-6</v>
      </c>
      <c r="N200" s="20" t="n">
        <v>-64</v>
      </c>
      <c r="O200" s="20" t="n">
        <v>64</v>
      </c>
      <c r="P200" s="20" t="n">
        <v>37</v>
      </c>
      <c r="Q200" s="20" t="n">
        <v>-9</v>
      </c>
      <c r="R200" s="20" t="n">
        <v>78</v>
      </c>
      <c r="S200" s="20" t="n">
        <v>122</v>
      </c>
      <c r="T200" s="20" t="n">
        <v>96</v>
      </c>
      <c r="U200" s="20" t="n">
        <v>-73</v>
      </c>
      <c r="V200" s="20" t="n">
        <v>34</v>
      </c>
      <c r="W200" s="20" t="n">
        <v>73</v>
      </c>
      <c r="X200" s="20" t="n">
        <v>-6</v>
      </c>
    </row>
    <row r="201">
      <c r="A201" s="18" t="inlineStr">
        <is>
          <t>기타 부채 증감</t>
        </is>
      </c>
      <c r="D201" s="20" t="n">
        <v>-427</v>
      </c>
      <c r="F201" s="20" t="n">
        <v>-162</v>
      </c>
      <c r="H201" s="20" t="n">
        <v>-546</v>
      </c>
      <c r="J201" s="20" t="n">
        <v>27</v>
      </c>
      <c r="L201" s="20" t="n">
        <v>-174</v>
      </c>
      <c r="N201" s="20" t="n">
        <v>-31</v>
      </c>
      <c r="O201" s="20" t="n">
        <v>27</v>
      </c>
      <c r="P201" s="20" t="n">
        <v>63</v>
      </c>
      <c r="Q201" s="20" t="n">
        <v>-759</v>
      </c>
      <c r="R201" s="20" t="n">
        <v>-149</v>
      </c>
      <c r="S201" s="20" t="n">
        <v>-58</v>
      </c>
      <c r="T201" s="20" t="n">
        <v>-473</v>
      </c>
      <c r="U201" s="20" t="n">
        <v>-381</v>
      </c>
      <c r="V201" s="20" t="n">
        <v>-427</v>
      </c>
      <c r="W201" s="20" t="n">
        <v>-546</v>
      </c>
      <c r="X201" s="20" t="n">
        <v>-174</v>
      </c>
    </row>
    <row r="202">
      <c r="A202" s="18" t="inlineStr">
        <is>
          <t>소계</t>
        </is>
      </c>
      <c r="D202" s="20" t="n">
        <v>2201</v>
      </c>
      <c r="F202" s="20" t="n">
        <v>970</v>
      </c>
      <c r="H202" s="20" t="n">
        <v>1634</v>
      </c>
      <c r="J202" s="20" t="n">
        <v>1125</v>
      </c>
      <c r="L202" s="20" t="n">
        <v>2104</v>
      </c>
      <c r="N202" s="20" t="n">
        <v>836</v>
      </c>
      <c r="O202" s="20" t="n">
        <v>2417</v>
      </c>
      <c r="P202" s="20" t="n">
        <v>2441</v>
      </c>
      <c r="Q202" s="20" t="n">
        <v>2574</v>
      </c>
      <c r="R202" s="20" t="n">
        <v>1039</v>
      </c>
      <c r="S202" s="20" t="n">
        <v>1136</v>
      </c>
      <c r="T202" s="20" t="n">
        <v>2168</v>
      </c>
      <c r="U202" s="20" t="n">
        <v>2272</v>
      </c>
      <c r="V202" s="20" t="n">
        <v>2201</v>
      </c>
      <c r="W202" s="20" t="n">
        <v>1634</v>
      </c>
      <c r="X202" s="20" t="n">
        <v>2104</v>
      </c>
    </row>
    <row r="203">
      <c r="A203" s="18" t="inlineStr">
        <is>
          <t>이자·배당금 수취</t>
        </is>
      </c>
      <c r="D203" s="20" t="n">
        <v>2</v>
      </c>
      <c r="F203" s="20" t="n">
        <v>2</v>
      </c>
      <c r="H203" s="20" t="n">
        <v>4</v>
      </c>
      <c r="J203" s="20" t="n">
        <v>5</v>
      </c>
      <c r="L203" s="20" t="n">
        <v>8</v>
      </c>
      <c r="N203" s="20" t="n">
        <v>5</v>
      </c>
      <c r="O203" s="20" t="n">
        <v>10</v>
      </c>
      <c r="P203" s="20" t="n">
        <v>9</v>
      </c>
      <c r="Q203" s="20" t="n">
        <v>8</v>
      </c>
      <c r="R203" s="20" t="n">
        <v>6</v>
      </c>
      <c r="S203" s="20" t="n">
        <v>3</v>
      </c>
      <c r="T203" s="20" t="n">
        <v>2</v>
      </c>
      <c r="U203" s="20" t="n">
        <v>2</v>
      </c>
      <c r="V203" s="20" t="n">
        <v>2</v>
      </c>
      <c r="W203" s="20" t="n">
        <v>4</v>
      </c>
      <c r="X203" s="20" t="n">
        <v>8</v>
      </c>
    </row>
    <row r="204">
      <c r="A204" s="18" t="inlineStr">
        <is>
          <t>이자 지급</t>
        </is>
      </c>
      <c r="D204" s="20" t="n">
        <v>-281</v>
      </c>
      <c r="F204" s="20" t="n">
        <v>-129</v>
      </c>
      <c r="H204" s="20" t="n">
        <v>-257</v>
      </c>
      <c r="J204" s="20" t="n">
        <v>-137</v>
      </c>
      <c r="L204" s="20" t="n">
        <v>-269</v>
      </c>
      <c r="N204" s="20" t="n">
        <v>-137</v>
      </c>
      <c r="O204" s="20" t="n">
        <v>-510</v>
      </c>
      <c r="P204" s="20" t="n">
        <v>-466</v>
      </c>
      <c r="Q204" s="20" t="n">
        <v>-434</v>
      </c>
      <c r="R204" s="20" t="n">
        <v>-405</v>
      </c>
      <c r="S204" s="20" t="n">
        <v>-376</v>
      </c>
      <c r="T204" s="20" t="n">
        <v>-346</v>
      </c>
      <c r="U204" s="20" t="n">
        <v>-314</v>
      </c>
      <c r="V204" s="20" t="n">
        <v>-281</v>
      </c>
      <c r="W204" s="20" t="n">
        <v>-257</v>
      </c>
      <c r="X204" s="20" t="n">
        <v>-269</v>
      </c>
    </row>
    <row r="205">
      <c r="A205" s="18" t="inlineStr">
        <is>
          <t>보조금 수취</t>
        </is>
      </c>
      <c r="D205" s="20" t="n">
        <v>0</v>
      </c>
      <c r="R205" s="20" t="n">
        <v>0</v>
      </c>
      <c r="S205" s="20" t="n">
        <v>198</v>
      </c>
      <c r="T205" s="20" t="n">
        <v>184</v>
      </c>
      <c r="U205" s="20" t="n">
        <v>86</v>
      </c>
      <c r="V205" s="20" t="n">
        <v>0</v>
      </c>
    </row>
    <row r="206">
      <c r="A206" s="18" t="inlineStr">
        <is>
          <t>법인세 납부</t>
        </is>
      </c>
      <c r="D206" s="20" t="n">
        <v>-10</v>
      </c>
      <c r="F206" s="20" t="n">
        <v>-10</v>
      </c>
      <c r="H206" s="20" t="n">
        <v>-10</v>
      </c>
      <c r="J206" s="20" t="n">
        <v>-11</v>
      </c>
      <c r="L206" s="20" t="n">
        <v>-11</v>
      </c>
      <c r="N206" s="20" t="n">
        <v>-19</v>
      </c>
      <c r="O206" s="20" t="n">
        <v>-35</v>
      </c>
      <c r="P206" s="20" t="n">
        <v>-91</v>
      </c>
      <c r="Q206" s="20" t="n">
        <v>-223</v>
      </c>
      <c r="R206" s="20" t="n">
        <v>-21</v>
      </c>
      <c r="S206" s="20" t="n">
        <v>-74</v>
      </c>
      <c r="T206" s="20" t="n">
        <v>-31</v>
      </c>
      <c r="U206" s="20" t="n">
        <v>-35</v>
      </c>
      <c r="V206" s="20" t="n">
        <v>-10</v>
      </c>
      <c r="W206" s="20" t="n">
        <v>-10</v>
      </c>
      <c r="X206" s="20" t="n">
        <v>-11</v>
      </c>
    </row>
    <row r="207">
      <c r="A207" s="9" t="inlineStr">
        <is>
          <t>영업활동 현금흐름</t>
        </is>
      </c>
      <c r="D207" s="12" t="n">
        <v>1912</v>
      </c>
      <c r="F207" s="12" t="n">
        <v>832</v>
      </c>
      <c r="H207" s="12" t="n">
        <v>1369</v>
      </c>
      <c r="J207" s="12" t="n">
        <v>982</v>
      </c>
      <c r="L207" s="12" t="n">
        <v>1831</v>
      </c>
      <c r="N207" s="12" t="n">
        <v>684</v>
      </c>
      <c r="O207" s="12" t="n">
        <v>1881</v>
      </c>
      <c r="P207" s="12" t="n">
        <v>1892</v>
      </c>
      <c r="Q207" s="12" t="n">
        <v>1924</v>
      </c>
      <c r="R207" s="12" t="n">
        <v>619</v>
      </c>
      <c r="S207" s="12" t="n">
        <v>887</v>
      </c>
      <c r="T207" s="12" t="n">
        <v>1978</v>
      </c>
      <c r="U207" s="12" t="n">
        <v>2011</v>
      </c>
      <c r="V207" s="12" t="n">
        <v>1912</v>
      </c>
      <c r="W207" s="12" t="n">
        <v>1369</v>
      </c>
      <c r="X207" s="12" t="n">
        <v>1831</v>
      </c>
    </row>
    <row r="208">
      <c r="A208" s="18" t="inlineStr">
        <is>
          <t>정기예금 예입</t>
        </is>
      </c>
      <c r="O208" s="20" t="n">
        <v>-80</v>
      </c>
      <c r="P208" s="20" t="n">
        <v>-80</v>
      </c>
      <c r="Q208" s="20" t="n">
        <v>-80</v>
      </c>
      <c r="R208" s="20" t="n">
        <v>-80</v>
      </c>
      <c r="S208" s="20" t="n">
        <v>0</v>
      </c>
    </row>
    <row r="209">
      <c r="A209" s="18" t="inlineStr">
        <is>
          <t>정기예금 인출</t>
        </is>
      </c>
      <c r="O209" s="20" t="n">
        <v>80</v>
      </c>
      <c r="P209" s="20" t="n">
        <v>80</v>
      </c>
      <c r="Q209" s="20" t="n">
        <v>80</v>
      </c>
      <c r="R209" s="20" t="n">
        <v>80</v>
      </c>
      <c r="S209" s="20" t="n">
        <v>50</v>
      </c>
      <c r="T209" s="20" t="n">
        <v>0</v>
      </c>
    </row>
    <row r="210">
      <c r="A210" s="18" t="inlineStr">
        <is>
          <t>유가증권 상환 수입</t>
        </is>
      </c>
      <c r="P210" s="20" t="n">
        <v>0</v>
      </c>
      <c r="Q210" s="20" t="n">
        <v>200</v>
      </c>
      <c r="R210" s="20" t="n">
        <v>300</v>
      </c>
      <c r="S210" s="20" t="n">
        <v>0</v>
      </c>
    </row>
    <row r="211">
      <c r="A211" s="18" t="inlineStr">
        <is>
          <t>유가증권 매각</t>
        </is>
      </c>
      <c r="P211" s="20" t="n">
        <v>0</v>
      </c>
      <c r="Q211" s="20" t="n">
        <v>22</v>
      </c>
      <c r="R211" s="20" t="n">
        <v>0</v>
      </c>
    </row>
    <row r="212">
      <c r="A212" s="18" t="inlineStr">
        <is>
          <t>투자유가증권 환급 수입</t>
        </is>
      </c>
      <c r="R212" s="20" t="n">
        <v>0</v>
      </c>
      <c r="S212" s="20" t="n">
        <v>15</v>
      </c>
      <c r="T212" s="20" t="n">
        <v>0</v>
      </c>
    </row>
    <row r="213">
      <c r="A213" s="18" t="inlineStr">
        <is>
          <t>투자유가증권 매각</t>
        </is>
      </c>
      <c r="D213" s="20" t="n">
        <v>1</v>
      </c>
      <c r="F213" s="20" t="n">
        <v>0</v>
      </c>
      <c r="H213" s="20" t="n">
        <v>4</v>
      </c>
      <c r="L213" s="20" t="n">
        <v>55</v>
      </c>
      <c r="S213" s="20" t="n">
        <v>0</v>
      </c>
      <c r="T213" s="20" t="n">
        <v>2</v>
      </c>
      <c r="U213" s="20" t="n">
        <v>0</v>
      </c>
      <c r="V213" s="20" t="n">
        <v>1</v>
      </c>
      <c r="W213" s="20" t="n">
        <v>4</v>
      </c>
      <c r="X213" s="20" t="n">
        <v>55</v>
      </c>
    </row>
    <row r="214">
      <c r="A214" s="18" t="inlineStr">
        <is>
          <t>유형자산 취득(설비투자)</t>
        </is>
      </c>
      <c r="D214" s="20" t="n">
        <v>-507</v>
      </c>
      <c r="F214" s="20" t="n">
        <v>-309</v>
      </c>
      <c r="H214" s="20" t="n">
        <v>-337</v>
      </c>
      <c r="J214" s="20" t="n">
        <v>-268</v>
      </c>
      <c r="L214" s="20" t="n">
        <v>-360</v>
      </c>
      <c r="N214" s="20" t="n">
        <v>-204</v>
      </c>
      <c r="O214" s="20" t="n">
        <v>-678</v>
      </c>
      <c r="P214" s="20" t="n">
        <v>-561</v>
      </c>
      <c r="Q214" s="20" t="n">
        <v>-705</v>
      </c>
      <c r="R214" s="20" t="n">
        <v>-2390</v>
      </c>
      <c r="S214" s="20" t="n">
        <v>-188</v>
      </c>
      <c r="T214" s="20" t="n">
        <v>-881</v>
      </c>
      <c r="U214" s="20" t="n">
        <v>-392</v>
      </c>
      <c r="V214" s="20" t="n">
        <v>-507</v>
      </c>
      <c r="W214" s="20" t="n">
        <v>-337</v>
      </c>
      <c r="X214" s="20" t="n">
        <v>-360</v>
      </c>
    </row>
    <row r="215">
      <c r="A215" s="18" t="inlineStr">
        <is>
          <t>유형자산 매각</t>
        </is>
      </c>
      <c r="O215" s="20" t="n">
        <v>20</v>
      </c>
      <c r="P215" s="20" t="n">
        <v>602</v>
      </c>
      <c r="Q215" s="20" t="n">
        <v>0</v>
      </c>
      <c r="R215" s="20" t="n">
        <v>132</v>
      </c>
      <c r="S215" s="20" t="n">
        <v>0</v>
      </c>
    </row>
    <row r="216">
      <c r="A216" s="18" t="inlineStr">
        <is>
          <t>유형자산 제각 지출</t>
        </is>
      </c>
      <c r="P216" s="20" t="n">
        <v>0</v>
      </c>
      <c r="Q216" s="20" t="n">
        <v>-14</v>
      </c>
      <c r="R216" s="20" t="n">
        <v>0</v>
      </c>
      <c r="S216" s="20" t="n">
        <v>-23</v>
      </c>
      <c r="T216" s="20" t="n">
        <v>0</v>
      </c>
    </row>
    <row r="217">
      <c r="A217" s="18" t="inlineStr">
        <is>
          <t>사업양도 수입</t>
        </is>
      </c>
      <c r="O217" s="20" t="n">
        <v>0</v>
      </c>
      <c r="P217" s="20" t="n">
        <v>57</v>
      </c>
      <c r="Q217" s="20" t="n">
        <v>0</v>
      </c>
    </row>
    <row r="218">
      <c r="A218" s="18" t="inlineStr">
        <is>
          <t>무형자산 취득</t>
        </is>
      </c>
      <c r="D218" s="20" t="n">
        <v>-56</v>
      </c>
      <c r="F218" s="20" t="n">
        <v>-132</v>
      </c>
      <c r="H218" s="20" t="n">
        <v>-133</v>
      </c>
      <c r="J218" s="20" t="n">
        <v>-10</v>
      </c>
      <c r="L218" s="20" t="n">
        <v>-11</v>
      </c>
      <c r="N218" s="20" t="n">
        <v>-41</v>
      </c>
      <c r="Q218" s="20" t="n">
        <v>0</v>
      </c>
      <c r="R218" s="20" t="n">
        <v>-57</v>
      </c>
      <c r="S218" s="20" t="n">
        <v>-6</v>
      </c>
      <c r="T218" s="20" t="n">
        <v>-4</v>
      </c>
      <c r="U218" s="20" t="n">
        <v>-56</v>
      </c>
      <c r="V218" s="20" t="n">
        <v>-56</v>
      </c>
      <c r="W218" s="20" t="n">
        <v>-133</v>
      </c>
      <c r="X218" s="20" t="n">
        <v>-11</v>
      </c>
    </row>
    <row r="219">
      <c r="A219" s="18" t="inlineStr">
        <is>
          <t>장기대여</t>
        </is>
      </c>
      <c r="O219" s="20" t="n">
        <v>-8</v>
      </c>
      <c r="P219" s="20" t="n">
        <v>-19</v>
      </c>
      <c r="Q219" s="20" t="n">
        <v>-14</v>
      </c>
      <c r="R219" s="20" t="n">
        <v>-15</v>
      </c>
      <c r="S219" s="20" t="n">
        <v>-4</v>
      </c>
      <c r="T219" s="20" t="n">
        <v>0</v>
      </c>
    </row>
    <row r="220">
      <c r="A220" s="18" t="inlineStr">
        <is>
          <t>장기대여금 회수</t>
        </is>
      </c>
      <c r="O220" s="20" t="n">
        <v>258</v>
      </c>
      <c r="P220" s="20" t="n">
        <v>72</v>
      </c>
      <c r="Q220" s="20" t="n">
        <v>5</v>
      </c>
      <c r="R220" s="20" t="n">
        <v>3</v>
      </c>
      <c r="S220" s="20" t="n">
        <v>3</v>
      </c>
      <c r="T220" s="20" t="n">
        <v>0</v>
      </c>
    </row>
    <row r="221">
      <c r="A221" s="18" t="inlineStr">
        <is>
          <t>회원권 매각 수입</t>
        </is>
      </c>
      <c r="R221" s="20" t="n">
        <v>0</v>
      </c>
      <c r="S221" s="20" t="n">
        <v>0</v>
      </c>
      <c r="T221" s="20" t="n">
        <v>0</v>
      </c>
      <c r="U221" s="20" t="n">
        <v>0</v>
      </c>
    </row>
    <row r="222">
      <c r="A222" s="18" t="inlineStr">
        <is>
          <t>보증금 납입</t>
        </is>
      </c>
      <c r="D222" s="20" t="n">
        <v>-7</v>
      </c>
      <c r="F222" s="20" t="n">
        <v>-0</v>
      </c>
      <c r="H222" s="20" t="n">
        <v>-0</v>
      </c>
      <c r="J222" s="20" t="n">
        <v>-3</v>
      </c>
      <c r="L222" s="20" t="n">
        <v>-3</v>
      </c>
      <c r="N222" s="20" t="n">
        <v>0</v>
      </c>
      <c r="O222" s="20" t="n">
        <v>-19</v>
      </c>
      <c r="P222" s="20" t="n">
        <v>-17</v>
      </c>
      <c r="Q222" s="20" t="n">
        <v>-9</v>
      </c>
      <c r="R222" s="20" t="n">
        <v>-13</v>
      </c>
      <c r="S222" s="20" t="n">
        <v>-0</v>
      </c>
      <c r="T222" s="20" t="n">
        <v>-0</v>
      </c>
      <c r="U222" s="20" t="n">
        <v>0</v>
      </c>
      <c r="V222" s="20" t="n">
        <v>-7</v>
      </c>
      <c r="W222" s="20" t="n">
        <v>-0</v>
      </c>
      <c r="X222" s="20" t="n">
        <v>-3</v>
      </c>
    </row>
    <row r="223">
      <c r="A223" s="18" t="inlineStr">
        <is>
          <t>보증금 회수</t>
        </is>
      </c>
      <c r="D223" s="20" t="n">
        <v>6</v>
      </c>
      <c r="F223" s="20" t="n">
        <v>1</v>
      </c>
      <c r="H223" s="20" t="n">
        <v>1</v>
      </c>
      <c r="J223" s="20" t="n">
        <v>6</v>
      </c>
      <c r="L223" s="20" t="n">
        <v>7</v>
      </c>
      <c r="N223" s="20" t="n">
        <v>1</v>
      </c>
      <c r="O223" s="20" t="n">
        <v>67</v>
      </c>
      <c r="P223" s="20" t="n">
        <v>64</v>
      </c>
      <c r="Q223" s="20" t="n">
        <v>64</v>
      </c>
      <c r="R223" s="20" t="n">
        <v>842</v>
      </c>
      <c r="S223" s="20" t="n">
        <v>88</v>
      </c>
      <c r="T223" s="20" t="n">
        <v>56</v>
      </c>
      <c r="U223" s="20" t="n">
        <v>558</v>
      </c>
      <c r="V223" s="20" t="n">
        <v>6</v>
      </c>
      <c r="W223" s="20" t="n">
        <v>1</v>
      </c>
      <c r="X223" s="20" t="n">
        <v>7</v>
      </c>
    </row>
    <row r="224">
      <c r="A224" s="18" t="inlineStr">
        <is>
          <t>자산복구부채 이행 지출</t>
        </is>
      </c>
      <c r="D224" s="20" t="n">
        <v>-14</v>
      </c>
      <c r="F224" s="20" t="n">
        <v>0</v>
      </c>
      <c r="H224" s="20" t="n">
        <v>0</v>
      </c>
      <c r="J224" s="20" t="n">
        <v>-3</v>
      </c>
      <c r="L224" s="20" t="n">
        <v>-3</v>
      </c>
      <c r="N224" s="20" t="n">
        <v>0</v>
      </c>
      <c r="O224" s="20" t="n">
        <v>-28</v>
      </c>
      <c r="P224" s="20" t="n">
        <v>-3</v>
      </c>
      <c r="Q224" s="20" t="n">
        <v>-32</v>
      </c>
      <c r="R224" s="20" t="n">
        <v>-200</v>
      </c>
      <c r="S224" s="20" t="n">
        <v>-7</v>
      </c>
      <c r="T224" s="20" t="n">
        <v>-6</v>
      </c>
      <c r="U224" s="20" t="n">
        <v>-8</v>
      </c>
      <c r="V224" s="20" t="n">
        <v>-14</v>
      </c>
      <c r="W224" s="20" t="n">
        <v>0</v>
      </c>
      <c r="X224" s="20" t="n">
        <v>-3</v>
      </c>
    </row>
    <row r="225">
      <c r="A225" s="18" t="inlineStr">
        <is>
          <t>기타</t>
        </is>
      </c>
      <c r="D225" s="20" t="n">
        <v>-30</v>
      </c>
      <c r="H225" s="20" t="n">
        <v>44</v>
      </c>
      <c r="L225" s="20" t="n">
        <v>15</v>
      </c>
      <c r="O225" s="20" t="n">
        <v>7</v>
      </c>
      <c r="P225" s="20" t="n">
        <v>-0</v>
      </c>
      <c r="Q225" s="20" t="n">
        <v>8</v>
      </c>
      <c r="R225" s="20" t="n">
        <v>5</v>
      </c>
      <c r="S225" s="20" t="n">
        <v>0</v>
      </c>
      <c r="T225" s="20" t="n">
        <v>0</v>
      </c>
      <c r="U225" s="20" t="n">
        <v>-88</v>
      </c>
      <c r="V225" s="20" t="n">
        <v>-30</v>
      </c>
      <c r="W225" s="20" t="n">
        <v>44</v>
      </c>
      <c r="X225" s="20" t="n">
        <v>15</v>
      </c>
    </row>
    <row r="226">
      <c r="A226" s="18" t="inlineStr">
        <is>
          <t>기타 증감</t>
        </is>
      </c>
      <c r="F226" s="20" t="n">
        <v>43</v>
      </c>
      <c r="J226" s="20" t="n">
        <v>14</v>
      </c>
      <c r="N226" s="20" t="n">
        <v>-21</v>
      </c>
    </row>
    <row r="227">
      <c r="A227" s="9" t="inlineStr">
        <is>
          <t>투자활동 현금흐름</t>
        </is>
      </c>
      <c r="D227" s="12" t="n">
        <v>-608</v>
      </c>
      <c r="F227" s="12" t="n">
        <v>-396</v>
      </c>
      <c r="H227" s="12" t="n">
        <v>-421</v>
      </c>
      <c r="J227" s="12" t="n">
        <v>-264</v>
      </c>
      <c r="L227" s="12" t="n">
        <v>-300</v>
      </c>
      <c r="N227" s="12" t="n">
        <v>-266</v>
      </c>
      <c r="O227" s="12" t="n">
        <v>-380</v>
      </c>
      <c r="P227" s="12" t="n">
        <v>195</v>
      </c>
      <c r="Q227" s="12" t="n">
        <v>-474</v>
      </c>
      <c r="R227" s="12" t="n">
        <v>-1394</v>
      </c>
      <c r="S227" s="12" t="n">
        <v>-72</v>
      </c>
      <c r="T227" s="12" t="n">
        <v>-833</v>
      </c>
      <c r="U227" s="12" t="n">
        <v>13</v>
      </c>
      <c r="V227" s="12" t="n">
        <v>-608</v>
      </c>
      <c r="W227" s="12" t="n">
        <v>-421</v>
      </c>
      <c r="X227" s="12" t="n">
        <v>-300</v>
      </c>
    </row>
    <row r="228">
      <c r="A228" s="18" t="inlineStr">
        <is>
          <t>단기차입금 증감</t>
        </is>
      </c>
      <c r="D228" s="20" t="n">
        <v>0</v>
      </c>
      <c r="R228" s="20" t="n">
        <v>0</v>
      </c>
      <c r="S228" s="20" t="n">
        <v>500</v>
      </c>
      <c r="T228" s="20" t="n">
        <v>0</v>
      </c>
      <c r="U228" s="20" t="n">
        <v>-500</v>
      </c>
      <c r="V228" s="20" t="n">
        <v>0</v>
      </c>
    </row>
    <row r="229">
      <c r="A229" s="18" t="inlineStr">
        <is>
          <t>장기차입</t>
        </is>
      </c>
      <c r="Q229" s="20" t="n">
        <v>0</v>
      </c>
      <c r="R229" s="20" t="n">
        <v>586</v>
      </c>
      <c r="S229" s="20" t="n">
        <v>0</v>
      </c>
    </row>
    <row r="230">
      <c r="A230" s="18" t="inlineStr">
        <is>
          <t>장기차입금 상환</t>
        </is>
      </c>
      <c r="D230" s="20" t="n">
        <v>-1333</v>
      </c>
      <c r="F230" s="20" t="n">
        <v>-666</v>
      </c>
      <c r="H230" s="20" t="n">
        <v>-1333</v>
      </c>
      <c r="J230" s="20" t="n">
        <v>-666</v>
      </c>
      <c r="L230" s="20" t="n">
        <v>-1333</v>
      </c>
      <c r="N230" s="20" t="n">
        <v>-666</v>
      </c>
      <c r="O230" s="20" t="n">
        <v>-1579</v>
      </c>
      <c r="P230" s="20" t="n">
        <v>-1791</v>
      </c>
      <c r="Q230" s="20" t="n">
        <v>-1453</v>
      </c>
      <c r="R230" s="20" t="n">
        <v>-1920</v>
      </c>
      <c r="S230" s="20" t="n">
        <v>-1333</v>
      </c>
      <c r="T230" s="20" t="n">
        <v>-1333</v>
      </c>
      <c r="U230" s="20" t="n">
        <v>-1333</v>
      </c>
      <c r="V230" s="20" t="n">
        <v>-1333</v>
      </c>
      <c r="W230" s="20" t="n">
        <v>-1333</v>
      </c>
      <c r="X230" s="20" t="n">
        <v>-1333</v>
      </c>
    </row>
    <row r="231">
      <c r="A231" s="18" t="inlineStr">
        <is>
          <t>리스부채 상환</t>
        </is>
      </c>
      <c r="D231" s="20" t="n">
        <v>-125</v>
      </c>
      <c r="F231" s="20" t="n">
        <v>-95</v>
      </c>
      <c r="H231" s="20" t="n">
        <v>-187</v>
      </c>
      <c r="J231" s="20" t="n">
        <v>-85</v>
      </c>
      <c r="L231" s="20" t="n">
        <v>-170</v>
      </c>
      <c r="N231" s="20" t="n">
        <v>-92</v>
      </c>
      <c r="O231" s="20" t="n">
        <v>-122</v>
      </c>
      <c r="P231" s="20" t="n">
        <v>-183</v>
      </c>
      <c r="Q231" s="20" t="n">
        <v>-170</v>
      </c>
      <c r="R231" s="20" t="n">
        <v>-140</v>
      </c>
      <c r="S231" s="20" t="n">
        <v>-153</v>
      </c>
      <c r="T231" s="20" t="n">
        <v>-134</v>
      </c>
      <c r="U231" s="20" t="n">
        <v>-77</v>
      </c>
      <c r="V231" s="20" t="n">
        <v>-125</v>
      </c>
      <c r="W231" s="20" t="n">
        <v>-187</v>
      </c>
      <c r="X231" s="20" t="n">
        <v>-170</v>
      </c>
    </row>
    <row r="232">
      <c r="A232" s="18" t="inlineStr">
        <is>
          <t>자기주식 취득</t>
        </is>
      </c>
      <c r="D232" s="20" t="n">
        <v>-55</v>
      </c>
      <c r="F232" s="20" t="n">
        <v>0</v>
      </c>
      <c r="H232" s="20" t="n">
        <v>-0</v>
      </c>
      <c r="J232" s="20" t="n">
        <v>-84</v>
      </c>
      <c r="L232" s="20" t="n">
        <v>-84</v>
      </c>
      <c r="N232" s="20" t="n">
        <v>-0</v>
      </c>
      <c r="O232" s="20" t="n">
        <v>-0</v>
      </c>
      <c r="P232" s="20" t="n">
        <v>-0</v>
      </c>
      <c r="Q232" s="20" t="n">
        <v>-0</v>
      </c>
      <c r="R232" s="20" t="n">
        <v>-0</v>
      </c>
      <c r="S232" s="20" t="n">
        <v>-0</v>
      </c>
      <c r="T232" s="20" t="n">
        <v>-0</v>
      </c>
      <c r="U232" s="20" t="n">
        <v>-0</v>
      </c>
      <c r="V232" s="20" t="n">
        <v>-55</v>
      </c>
      <c r="W232" s="20" t="n">
        <v>-0</v>
      </c>
      <c r="X232" s="20" t="n">
        <v>-84</v>
      </c>
    </row>
    <row r="233">
      <c r="A233" s="18" t="inlineStr">
        <is>
          <t>자기주식 매각</t>
        </is>
      </c>
      <c r="F233" s="20" t="n">
        <v>0</v>
      </c>
      <c r="H233" s="20" t="n">
        <v>0</v>
      </c>
      <c r="J233" s="20" t="n">
        <v>0</v>
      </c>
      <c r="L233" s="20" t="n">
        <v>0</v>
      </c>
      <c r="N233" s="20" t="n">
        <v>0</v>
      </c>
      <c r="O233" s="20" t="n">
        <v>0</v>
      </c>
      <c r="P233" s="20" t="n">
        <v>0</v>
      </c>
      <c r="Q233" s="20" t="n">
        <v>0</v>
      </c>
      <c r="R233" s="20" t="n">
        <v>0</v>
      </c>
      <c r="W233" s="20" t="n">
        <v>0</v>
      </c>
      <c r="X233" s="20" t="n">
        <v>0</v>
      </c>
    </row>
    <row r="234">
      <c r="A234" s="18" t="inlineStr">
        <is>
          <t>배당금 지급</t>
        </is>
      </c>
      <c r="D234" s="20" t="n">
        <v>-57</v>
      </c>
      <c r="F234" s="20" t="n">
        <v>-57</v>
      </c>
      <c r="H234" s="20" t="n">
        <v>-57</v>
      </c>
      <c r="J234" s="20" t="n">
        <v>-68</v>
      </c>
      <c r="L234" s="20" t="n">
        <v>-68</v>
      </c>
      <c r="N234" s="20" t="n">
        <v>-67</v>
      </c>
      <c r="T234" s="20" t="n">
        <v>0</v>
      </c>
      <c r="U234" s="20" t="n">
        <v>-57</v>
      </c>
      <c r="V234" s="20" t="n">
        <v>-57</v>
      </c>
      <c r="W234" s="20" t="n">
        <v>-57</v>
      </c>
      <c r="X234" s="20" t="n">
        <v>-68</v>
      </c>
    </row>
    <row r="235">
      <c r="A235" s="9" t="inlineStr">
        <is>
          <t>재무활동 현금흐름</t>
        </is>
      </c>
      <c r="D235" s="12" t="n">
        <v>-1571</v>
      </c>
      <c r="F235" s="12" t="n">
        <v>-819</v>
      </c>
      <c r="H235" s="12" t="n">
        <v>-1578</v>
      </c>
      <c r="J235" s="12" t="n">
        <v>-905</v>
      </c>
      <c r="L235" s="12" t="n">
        <v>-1657</v>
      </c>
      <c r="N235" s="12" t="n">
        <v>-827</v>
      </c>
      <c r="O235" s="12" t="n">
        <v>-1702</v>
      </c>
      <c r="P235" s="12" t="n">
        <v>-1975</v>
      </c>
      <c r="Q235" s="12" t="n">
        <v>-1624</v>
      </c>
      <c r="R235" s="12" t="n">
        <v>-1474</v>
      </c>
      <c r="S235" s="12" t="n">
        <v>-987</v>
      </c>
      <c r="T235" s="12" t="n">
        <v>-1468</v>
      </c>
      <c r="U235" s="12" t="n">
        <v>-1968</v>
      </c>
      <c r="V235" s="12" t="n">
        <v>-1571</v>
      </c>
      <c r="W235" s="12" t="n">
        <v>-1578</v>
      </c>
      <c r="X235" s="12" t="n">
        <v>-1657</v>
      </c>
    </row>
    <row r="236">
      <c r="A236" s="18" t="inlineStr">
        <is>
          <t>현금성자산 증감</t>
        </is>
      </c>
      <c r="D236" s="20" t="n">
        <v>-268</v>
      </c>
      <c r="F236" s="20" t="n">
        <v>-383</v>
      </c>
      <c r="H236" s="20" t="n">
        <v>-630</v>
      </c>
      <c r="J236" s="20" t="n">
        <v>-187</v>
      </c>
      <c r="L236" s="20" t="n">
        <v>-127</v>
      </c>
      <c r="N236" s="20" t="n">
        <v>-408</v>
      </c>
      <c r="O236" s="20" t="n">
        <v>-201</v>
      </c>
      <c r="P236" s="20" t="n">
        <v>112</v>
      </c>
      <c r="Q236" s="20" t="n">
        <v>-174</v>
      </c>
      <c r="R236" s="20" t="n">
        <v>-2249</v>
      </c>
      <c r="S236" s="20" t="n">
        <v>-173</v>
      </c>
      <c r="T236" s="20" t="n">
        <v>-323</v>
      </c>
      <c r="U236" s="20" t="n">
        <v>56</v>
      </c>
      <c r="V236" s="20" t="n">
        <v>-268</v>
      </c>
      <c r="W236" s="20" t="n">
        <v>-630</v>
      </c>
      <c r="X236" s="20" t="n">
        <v>-127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이즈쓰야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7026</v>
      </c>
      <c r="D5" s="12" t="n">
        <v>8664</v>
      </c>
      <c r="E5" s="12" t="n">
        <v>6958</v>
      </c>
      <c r="F5" s="12" t="n">
        <v>6947</v>
      </c>
      <c r="G5" s="12" t="n">
        <v>6693</v>
      </c>
      <c r="H5" s="11" t="n">
        <v>7534</v>
      </c>
      <c r="I5" s="12" t="n">
        <v>7952</v>
      </c>
      <c r="J5" s="12" t="n">
        <v>7635</v>
      </c>
      <c r="K5" s="12" t="n">
        <v>7056</v>
      </c>
      <c r="L5" s="12" t="n">
        <v>6958</v>
      </c>
    </row>
    <row r="6">
      <c r="A6" s="18" t="inlineStr">
        <is>
          <t>현금및현금성자산</t>
        </is>
      </c>
      <c r="B6" s="10" t="n"/>
      <c r="C6" s="19" t="n">
        <v>2585</v>
      </c>
      <c r="D6" s="20" t="n">
        <v>2910</v>
      </c>
      <c r="E6" s="20" t="n">
        <v>2646</v>
      </c>
      <c r="F6" s="20" t="n">
        <v>2130</v>
      </c>
      <c r="G6" s="20" t="n">
        <v>2237</v>
      </c>
      <c r="H6" s="19" t="n">
        <v>3604</v>
      </c>
      <c r="I6" s="20" t="n">
        <v>3660</v>
      </c>
      <c r="J6" s="20" t="n">
        <v>3404</v>
      </c>
      <c r="K6" s="20" t="n">
        <v>2774</v>
      </c>
      <c r="L6" s="20" t="n">
        <v>2646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2025</v>
      </c>
      <c r="D8" s="20" t="n">
        <v>2793</v>
      </c>
      <c r="E8" s="20" t="n">
        <v>1899</v>
      </c>
      <c r="F8" s="20" t="n">
        <v>2282</v>
      </c>
      <c r="G8" s="20" t="n">
        <v>2123</v>
      </c>
      <c r="H8" s="19" t="n">
        <v>1546</v>
      </c>
      <c r="I8" s="20" t="n">
        <v>1797</v>
      </c>
      <c r="J8" s="20" t="n">
        <v>1766</v>
      </c>
      <c r="K8" s="20" t="n">
        <v>1856</v>
      </c>
      <c r="L8" s="20" t="n">
        <v>1899</v>
      </c>
    </row>
    <row r="9">
      <c r="A9" s="18" t="inlineStr">
        <is>
          <t>재고자산</t>
        </is>
      </c>
      <c r="B9" s="10" t="n"/>
      <c r="C9" s="19" t="n">
        <v>1973</v>
      </c>
      <c r="D9" s="20" t="n">
        <v>2478</v>
      </c>
      <c r="E9" s="20" t="n">
        <v>2053</v>
      </c>
      <c r="F9" s="20" t="n">
        <v>2049</v>
      </c>
      <c r="G9" s="20" t="n">
        <v>1899</v>
      </c>
      <c r="H9" s="19" t="n">
        <v>2010</v>
      </c>
      <c r="I9" s="20" t="n">
        <v>2077</v>
      </c>
      <c r="J9" s="20" t="n">
        <v>2072</v>
      </c>
      <c r="K9" s="20" t="n">
        <v>2094</v>
      </c>
      <c r="L9" s="20" t="n">
        <v>2053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36835</v>
      </c>
      <c r="D11" s="12" t="n">
        <v>36528</v>
      </c>
      <c r="E11" s="12" t="n">
        <v>36371</v>
      </c>
      <c r="F11" s="12" t="n">
        <v>36121</v>
      </c>
      <c r="G11" s="12" t="n">
        <v>35897</v>
      </c>
      <c r="H11" s="11" t="n">
        <v>39766</v>
      </c>
      <c r="I11" s="12" t="n">
        <v>38391</v>
      </c>
      <c r="J11" s="12" t="n">
        <v>38044</v>
      </c>
      <c r="K11" s="12" t="n">
        <v>37438</v>
      </c>
      <c r="L11" s="12" t="n">
        <v>36371</v>
      </c>
    </row>
    <row r="12">
      <c r="A12" s="18" t="inlineStr">
        <is>
          <t>유형자산</t>
        </is>
      </c>
      <c r="B12" s="10" t="n"/>
      <c r="C12" s="19" t="n">
        <v>32294</v>
      </c>
      <c r="D12" s="20" t="n">
        <v>32020</v>
      </c>
      <c r="E12" s="20" t="n">
        <v>31897</v>
      </c>
      <c r="F12" s="20" t="n">
        <v>31674</v>
      </c>
      <c r="G12" s="20" t="n">
        <v>31473</v>
      </c>
      <c r="H12" s="19" t="n">
        <v>35345</v>
      </c>
      <c r="I12" s="20" t="n">
        <v>34389</v>
      </c>
      <c r="J12" s="20" t="n">
        <v>33648</v>
      </c>
      <c r="K12" s="20" t="n">
        <v>32821</v>
      </c>
      <c r="L12" s="20" t="n">
        <v>31897</v>
      </c>
    </row>
    <row r="13">
      <c r="A13" s="18" t="inlineStr">
        <is>
          <t>무형자산</t>
        </is>
      </c>
      <c r="B13" s="10" t="n"/>
      <c r="C13" s="19" t="n">
        <v>619</v>
      </c>
      <c r="D13" s="20" t="n">
        <v>573</v>
      </c>
      <c r="E13" s="20" t="n">
        <v>579</v>
      </c>
      <c r="F13" s="20" t="n">
        <v>567</v>
      </c>
      <c r="G13" s="20" t="n">
        <v>536</v>
      </c>
      <c r="H13" s="19" t="n">
        <v>195</v>
      </c>
      <c r="I13" s="20" t="n">
        <v>213</v>
      </c>
      <c r="J13" s="20" t="n">
        <v>532</v>
      </c>
      <c r="K13" s="20" t="n">
        <v>688</v>
      </c>
      <c r="L13" s="20" t="n">
        <v>579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43861</v>
      </c>
      <c r="D16" s="12" t="n">
        <v>45192</v>
      </c>
      <c r="E16" s="12" t="n">
        <v>43330</v>
      </c>
      <c r="F16" s="12" t="n">
        <v>43068</v>
      </c>
      <c r="G16" s="12" t="n">
        <v>42591</v>
      </c>
      <c r="H16" s="11" t="n">
        <v>47300</v>
      </c>
      <c r="I16" s="12" t="n">
        <v>46343</v>
      </c>
      <c r="J16" s="12" t="n">
        <v>45680</v>
      </c>
      <c r="K16" s="12" t="n">
        <v>44495</v>
      </c>
      <c r="L16" s="12" t="n">
        <v>43330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24905</v>
      </c>
      <c r="D18" s="12" t="n">
        <v>26726</v>
      </c>
      <c r="E18" s="12" t="n">
        <v>24767</v>
      </c>
      <c r="F18" s="12" t="n">
        <v>24895</v>
      </c>
      <c r="G18" s="12" t="n">
        <v>24754</v>
      </c>
      <c r="H18" s="11" t="n">
        <v>26378</v>
      </c>
      <c r="I18" s="12" t="n">
        <v>25971</v>
      </c>
      <c r="J18" s="12" t="n">
        <v>25561</v>
      </c>
      <c r="K18" s="12" t="n">
        <v>24772</v>
      </c>
      <c r="L18" s="12" t="n">
        <v>24767</v>
      </c>
    </row>
    <row r="19">
      <c r="A19" s="18" t="inlineStr">
        <is>
          <t>매입채무</t>
        </is>
      </c>
      <c r="B19" s="10" t="n"/>
      <c r="C19" s="19" t="n">
        <v>4121</v>
      </c>
      <c r="D19" s="20" t="n">
        <v>5116</v>
      </c>
      <c r="E19" s="20" t="n">
        <v>4075</v>
      </c>
      <c r="F19" s="20" t="n">
        <v>4381</v>
      </c>
      <c r="G19" s="20" t="n">
        <v>4215</v>
      </c>
      <c r="H19" s="19" t="n">
        <v>3811</v>
      </c>
      <c r="I19" s="20" t="n">
        <v>4116</v>
      </c>
      <c r="J19" s="20" t="n">
        <v>4186</v>
      </c>
      <c r="K19" s="20" t="n">
        <v>3948</v>
      </c>
      <c r="L19" s="20" t="n">
        <v>4075</v>
      </c>
    </row>
    <row r="20">
      <c r="A20" s="18" t="inlineStr">
        <is>
          <t>단기차입금</t>
        </is>
      </c>
      <c r="B20" s="10" t="n"/>
      <c r="C20" s="19" t="n">
        <v>11333</v>
      </c>
      <c r="D20" s="20" t="n">
        <v>11333</v>
      </c>
      <c r="E20" s="20" t="n">
        <v>11333</v>
      </c>
      <c r="F20" s="20" t="n">
        <v>11333</v>
      </c>
      <c r="G20" s="20" t="n">
        <v>11331</v>
      </c>
      <c r="H20" s="19" t="n">
        <v>11833</v>
      </c>
      <c r="I20" s="20" t="n">
        <v>11333</v>
      </c>
      <c r="J20" s="20" t="n">
        <v>11333</v>
      </c>
      <c r="K20" s="20" t="n">
        <v>11333</v>
      </c>
      <c r="L20" s="20" t="n">
        <v>11333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7124</v>
      </c>
      <c r="D23" s="12" t="n">
        <v>6738</v>
      </c>
      <c r="E23" s="12" t="n">
        <v>6355</v>
      </c>
      <c r="F23" s="12" t="n">
        <v>6027</v>
      </c>
      <c r="G23" s="12" t="n">
        <v>5666</v>
      </c>
      <c r="H23" s="11" t="n">
        <v>11892</v>
      </c>
      <c r="I23" s="12" t="n">
        <v>10260</v>
      </c>
      <c r="J23" s="12" t="n">
        <v>9151</v>
      </c>
      <c r="K23" s="12" t="n">
        <v>7801</v>
      </c>
      <c r="L23" s="12" t="n">
        <v>6355</v>
      </c>
    </row>
    <row r="24">
      <c r="A24" s="18" t="inlineStr">
        <is>
          <t>장기차입금</t>
        </is>
      </c>
      <c r="B24" s="10" t="n"/>
      <c r="C24" s="19" t="n">
        <v>1841</v>
      </c>
      <c r="D24" s="20" t="n">
        <v>1507</v>
      </c>
      <c r="E24" s="20" t="n">
        <v>1174</v>
      </c>
      <c r="F24" s="20" t="n">
        <v>840</v>
      </c>
      <c r="G24" s="20" t="n">
        <v>509</v>
      </c>
      <c r="H24" s="19" t="n">
        <v>6509</v>
      </c>
      <c r="I24" s="20" t="n">
        <v>5176</v>
      </c>
      <c r="J24" s="20" t="n">
        <v>3842</v>
      </c>
      <c r="K24" s="20" t="n">
        <v>2508</v>
      </c>
      <c r="L24" s="20" t="n">
        <v>1174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32030</v>
      </c>
      <c r="D27" s="12" t="n">
        <v>33464</v>
      </c>
      <c r="E27" s="12" t="n">
        <v>31123</v>
      </c>
      <c r="F27" s="12" t="n">
        <v>30922</v>
      </c>
      <c r="G27" s="12" t="n">
        <v>30421</v>
      </c>
      <c r="H27" s="11" t="n">
        <v>38270</v>
      </c>
      <c r="I27" s="12" t="n">
        <v>36231</v>
      </c>
      <c r="J27" s="12" t="n">
        <v>34713</v>
      </c>
      <c r="K27" s="12" t="n">
        <v>32574</v>
      </c>
      <c r="L27" s="12" t="n">
        <v>31123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11831</v>
      </c>
      <c r="D31" s="12" t="n">
        <v>11727</v>
      </c>
      <c r="E31" s="12" t="n">
        <v>12207</v>
      </c>
      <c r="F31" s="12" t="n">
        <v>12146</v>
      </c>
      <c r="G31" s="12" t="n">
        <v>12169</v>
      </c>
      <c r="H31" s="11" t="n">
        <v>9029</v>
      </c>
      <c r="I31" s="12" t="n">
        <v>10111</v>
      </c>
      <c r="J31" s="12" t="n">
        <v>10966</v>
      </c>
      <c r="K31" s="12" t="n">
        <v>11921</v>
      </c>
      <c r="L31" s="12" t="n">
        <v>12207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5658</v>
      </c>
      <c r="D33" s="20" t="n">
        <v>5553</v>
      </c>
      <c r="E33" s="20" t="n">
        <v>6002</v>
      </c>
      <c r="F33" s="20" t="n">
        <v>5945</v>
      </c>
      <c r="G33" s="20" t="n">
        <v>5971</v>
      </c>
      <c r="H33" s="19" t="n">
        <v>2632</v>
      </c>
      <c r="I33" s="20" t="n">
        <v>3727</v>
      </c>
      <c r="J33" s="20" t="n">
        <v>4637</v>
      </c>
      <c r="K33" s="20" t="n">
        <v>5579</v>
      </c>
      <c r="L33" s="20" t="n">
        <v>6002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11831</v>
      </c>
      <c r="D35" s="12" t="n">
        <v>11727</v>
      </c>
      <c r="E35" s="12" t="n">
        <v>12207</v>
      </c>
      <c r="F35" s="12" t="n">
        <v>12146</v>
      </c>
      <c r="G35" s="12" t="n">
        <v>12169</v>
      </c>
      <c r="H35" s="11" t="n">
        <v>9029</v>
      </c>
      <c r="I35" s="12" t="n">
        <v>10111</v>
      </c>
      <c r="J35" s="12" t="n">
        <v>10966</v>
      </c>
      <c r="K35" s="12" t="n">
        <v>11921</v>
      </c>
      <c r="L35" s="12" t="n">
        <v>12207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1519</v>
      </c>
      <c r="D37" s="12" t="n"/>
      <c r="E37" s="12" t="n">
        <v>1831</v>
      </c>
      <c r="F37" s="12" t="n"/>
      <c r="G37" s="12" t="n">
        <v>1533</v>
      </c>
      <c r="H37" s="11" t="n">
        <v>1978</v>
      </c>
      <c r="I37" s="12" t="n">
        <v>2011</v>
      </c>
      <c r="J37" s="12" t="n">
        <v>1912</v>
      </c>
      <c r="K37" s="12" t="n">
        <v>1369</v>
      </c>
      <c r="L37" s="12" t="n">
        <v>1831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307</v>
      </c>
      <c r="D38" s="20" t="n"/>
      <c r="E38" s="20" t="n">
        <v>371</v>
      </c>
      <c r="F38" s="20" t="n"/>
      <c r="G38" s="20" t="n">
        <v>338</v>
      </c>
      <c r="H38" s="19" t="n">
        <v>885</v>
      </c>
      <c r="I38" s="20" t="n">
        <v>448</v>
      </c>
      <c r="J38" s="20" t="n">
        <v>563</v>
      </c>
      <c r="K38" s="20" t="n">
        <v>470</v>
      </c>
      <c r="L38" s="20" t="n">
        <v>371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68</v>
      </c>
      <c r="D40" s="20" t="n"/>
      <c r="E40" s="20" t="n">
        <v>68</v>
      </c>
      <c r="F40" s="20" t="n"/>
      <c r="G40" s="20" t="n">
        <v>67</v>
      </c>
      <c r="H40" s="19" t="n">
        <v>0</v>
      </c>
      <c r="I40" s="20" t="n">
        <v>57</v>
      </c>
      <c r="J40" s="20" t="n">
        <v>57</v>
      </c>
      <c r="K40" s="20" t="n">
        <v>57</v>
      </c>
      <c r="L40" s="20" t="n">
        <v>68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IFERROR((IF(COUNT('연간'!G22:J22)&lt;4,"",SUM('연간'!G22:J22)))/(IF(COUNT('연간'!G44:J44)&lt;4,"",SUM('연간'!G44:J44))),"")</f>
        <v/>
      </c>
      <c r="D48" s="31">
        <f>IFERROR((IF(COUNT('연간'!H22:K22)&lt;4,"",SUM('연간'!H22:K22)))/(IF(COUNT('연간'!H44:K44)&lt;4,"",SUM('연간'!H44:K44))),"")</f>
        <v/>
      </c>
      <c r="E48" s="31">
        <f>IFERROR((IF(COUNT('연간'!I22:L22)&lt;4,"",SUM('연간'!I22:L22)))/(IF(COUNT('연간'!I44:L44)&lt;4,"",SUM('연간'!I44:L44))),"")</f>
        <v/>
      </c>
      <c r="F48" s="31">
        <f>IFERROR((IF(COUNT('연간'!J22:M22)&lt;4,"",SUM('연간'!J22:M22)))/(IF(COUNT('연간'!J44:M44)&lt;4,"",SUM('연간'!J44:M44))),"")</f>
        <v/>
      </c>
      <c r="G48" s="31">
        <f>IFERROR((IF(COUNT('연간'!K22:N22)&lt;4,"",SUM('연간'!K22:N22)))/(IF(COUNT('연간'!K44:N44)&lt;4,"",SUM('연간'!K44:N44))),"")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  <c r="L48" s="31">
        <f>IFERROR(('연간'!X22)/('연간'!X44),"")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IFERROR(IF((IF(COUNT('연간'!G50:J50)&lt;4,"",SUM('연간'!G50:J50)))&lt;=0,"적자",C28/(IF(COUNT('연간'!G50:J50)&lt;4,"",SUM('연간'!G50:J50)))),"")</f>
        <v/>
      </c>
      <c r="D49" s="47">
        <f>IFERROR(IF((IF(COUNT('연간'!H50:K50)&lt;4,"",SUM('연간'!H50:K50)))&lt;=0,"적자",D28/(IF(COUNT('연간'!H50:K50)&lt;4,"",SUM('연간'!H50:K50)))),"")</f>
        <v/>
      </c>
      <c r="E49" s="47">
        <f>IFERROR(IF((IF(COUNT('연간'!I50:L50)&lt;4,"",SUM('연간'!I50:L50)))&lt;=0,"적자",E28/(IF(COUNT('연간'!I50:L50)&lt;4,"",SUM('연간'!I50:L50)))),"")</f>
        <v/>
      </c>
      <c r="F49" s="47">
        <f>IFERROR(IF((IF(COUNT('연간'!J50:M50)&lt;4,"",SUM('연간'!J50:M50)))&lt;=0,"적자",F28/(IF(COUNT('연간'!J50:M50)&lt;4,"",SUM('연간'!J50:M50)))),"")</f>
        <v/>
      </c>
      <c r="G49" s="47">
        <f>IFERROR(IF((IF(COUNT('연간'!K50:N50)&lt;4,"",SUM('연간'!K50:N50)))&lt;=0,"적자",G28/(IF(COUNT('연간'!K50:N50)&lt;4,"",SUM('연간'!K50:N50)))),"")</f>
        <v/>
      </c>
      <c r="H49" s="46">
        <f>IFERROR(IF(('연간'!T50)&lt;=0,"적자",H28/('연간'!T50)),"")</f>
        <v/>
      </c>
      <c r="I49" s="47">
        <f>IFERROR(IF(('연간'!U50)&lt;=0,"적자",I28/('연간'!U50)),"")</f>
        <v/>
      </c>
      <c r="J49" s="47">
        <f>IFERROR(IF(('연간'!V50)&lt;=0,"적자",J28/('연간'!V50)),"")</f>
        <v/>
      </c>
      <c r="K49" s="47">
        <f>IFERROR(IF(('연간'!W50)&lt;=0,"적자",K28/('연간'!W50)),"")</f>
        <v/>
      </c>
      <c r="L49" s="47">
        <f>IFERROR(IF(('연간'!X50)&lt;=0,"적자",L28/('연간'!X50)),"")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IFERROR((IF(COUNT('연간'!G50:J50)&lt;4,"",SUM('연간'!G50:J50)))/C31,"")</f>
        <v/>
      </c>
      <c r="D51" s="36">
        <f>IFERROR((IF(COUNT('연간'!H50:K50)&lt;4,"",SUM('연간'!H50:K50)))/D31,"")</f>
        <v/>
      </c>
      <c r="E51" s="36">
        <f>IFERROR((IF(COUNT('연간'!I50:L50)&lt;4,"",SUM('연간'!I50:L50)))/E31,"")</f>
        <v/>
      </c>
      <c r="F51" s="36">
        <f>IFERROR((IF(COUNT('연간'!J50:M50)&lt;4,"",SUM('연간'!J50:M50)))/F31,"")</f>
        <v/>
      </c>
      <c r="G51" s="36">
        <f>IFERROR((IF(COUNT('연간'!K50:N50)&lt;4,"",SUM('연간'!K50:N50)))/G31,"")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  <c r="L51" s="36">
        <f>IFERROR(('연간'!X50)/L31,"")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IFERROR((IF(COUNT('연간'!G49:J49)&lt;4,"",SUM('연간'!G49:J49)))/C16,"")</f>
        <v/>
      </c>
      <c r="D52" s="36">
        <f>IFERROR((IF(COUNT('연간'!H49:K49)&lt;4,"",SUM('연간'!H49:K49)))/D16,"")</f>
        <v/>
      </c>
      <c r="E52" s="36">
        <f>IFERROR((IF(COUNT('연간'!I49:L49)&lt;4,"",SUM('연간'!I49:L49)))/E16,"")</f>
        <v/>
      </c>
      <c r="F52" s="36">
        <f>IFERROR((IF(COUNT('연간'!J49:M49)&lt;4,"",SUM('연간'!J49:M49)))/F16,"")</f>
        <v/>
      </c>
      <c r="G52" s="36">
        <f>IFERROR((IF(COUNT('연간'!K49:N49)&lt;4,"",SUM('연간'!K49:N49)))/G16,"")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  <c r="L52" s="36">
        <f>IFERROR(('연간'!X49)/L16,"")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IFERROR((IF(COUNT('연간'!G22:J22)&lt;4,"",SUM('연간'!G22:J22)))*(1-0.3)/(C35+C29),"")</f>
        <v/>
      </c>
      <c r="D53" s="36">
        <f>IFERROR((IF(COUNT('연간'!H22:K22)&lt;4,"",SUM('연간'!H22:K22)))*(1-0.3)/(D35+D29),"")</f>
        <v/>
      </c>
      <c r="E53" s="36">
        <f>IFERROR((IF(COUNT('연간'!I22:L22)&lt;4,"",SUM('연간'!I22:L22)))*(1-0.3)/(E35+E29),"")</f>
        <v/>
      </c>
      <c r="F53" s="36">
        <f>IFERROR((IF(COUNT('연간'!J22:M22)&lt;4,"",SUM('연간'!J22:M22)))*(1-0.3)/(F35+F29),"")</f>
        <v/>
      </c>
      <c r="G53" s="36">
        <f>IFERROR((IF(COUNT('연간'!K22:N22)&lt;4,"",SUM('연간'!K22:N22)))*(1-0.3)/(G35+G29),"")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  <c r="L53" s="36">
        <f>IFERROR(('연간'!X22)*(1-0.3)/(L35+L29),"")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IFERROR((IF(COUNT('연간'!G18:J18)&lt;4,"",SUM('연간'!G18:J18)))/(IF(COUNT('연간'!G4:J4)&lt;4,"",SUM('연간'!G4:J4))),"")</f>
        <v/>
      </c>
      <c r="D54" s="36">
        <f>IFERROR((IF(COUNT('연간'!H18:K18)&lt;4,"",SUM('연간'!H18:K18)))/(IF(COUNT('연간'!H4:K4)&lt;4,"",SUM('연간'!H4:K4))),"")</f>
        <v/>
      </c>
      <c r="E54" s="36">
        <f>IFERROR((IF(COUNT('연간'!I18:L18)&lt;4,"",SUM('연간'!I18:L18)))/(IF(COUNT('연간'!I4:L4)&lt;4,"",SUM('연간'!I4:L4))),"")</f>
        <v/>
      </c>
      <c r="F54" s="36">
        <f>IFERROR((IF(COUNT('연간'!J18:M18)&lt;4,"",SUM('연간'!J18:M18)))/(IF(COUNT('연간'!J4:M4)&lt;4,"",SUM('연간'!J4:M4))),"")</f>
        <v/>
      </c>
      <c r="G54" s="36">
        <f>IFERROR((IF(COUNT('연간'!K18:N18)&lt;4,"",SUM('연간'!K18:N18)))/(IF(COUNT('연간'!K4:N4)&lt;4,"",SUM('연간'!K4:N4))),"")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  <c r="L54" s="36">
        <f>IFERROR(('연간'!X18)/('연간'!X4),"")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IFERROR((IF(COUNT('연간'!G22:J22)&lt;4,"",SUM('연간'!G22:J22)))/(IF(COUNT('연간'!G4:J4)&lt;4,"",SUM('연간'!G4:J4))),"")</f>
        <v/>
      </c>
      <c r="D55" s="36">
        <f>IFERROR((IF(COUNT('연간'!H22:K22)&lt;4,"",SUM('연간'!H22:K22)))/(IF(COUNT('연간'!H4:K4)&lt;4,"",SUM('연간'!H4:K4))),"")</f>
        <v/>
      </c>
      <c r="E55" s="36">
        <f>IFERROR((IF(COUNT('연간'!I22:L22)&lt;4,"",SUM('연간'!I22:L22)))/(IF(COUNT('연간'!I4:L4)&lt;4,"",SUM('연간'!I4:L4))),"")</f>
        <v/>
      </c>
      <c r="F55" s="36">
        <f>IFERROR((IF(COUNT('연간'!J22:M22)&lt;4,"",SUM('연간'!J22:M22)))/(IF(COUNT('연간'!J4:M4)&lt;4,"",SUM('연간'!J4:M4))),"")</f>
        <v/>
      </c>
      <c r="G55" s="36">
        <f>IFERROR((IF(COUNT('연간'!K22:N22)&lt;4,"",SUM('연간'!K22:N22)))/(IF(COUNT('연간'!K4:N4)&lt;4,"",SUM('연간'!K4:N4))),"")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  <c r="L55" s="36">
        <f>IFERROR(('연간'!X22)/('연간'!X4),"")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IFERROR((IF(COUNT('연간'!G49:J49)&lt;4,"",SUM('연간'!G49:J49)))/(IF(COUNT('연간'!G4:J4)&lt;4,"",SUM('연간'!G4:J4))),"")</f>
        <v/>
      </c>
      <c r="D56" s="36">
        <f>IFERROR((IF(COUNT('연간'!H49:K49)&lt;4,"",SUM('연간'!H49:K49)))/(IF(COUNT('연간'!H4:K4)&lt;4,"",SUM('연간'!H4:K4))),"")</f>
        <v/>
      </c>
      <c r="E56" s="36">
        <f>IFERROR((IF(COUNT('연간'!I49:L49)&lt;4,"",SUM('연간'!I49:L49)))/(IF(COUNT('연간'!I4:L4)&lt;4,"",SUM('연간'!I4:L4))),"")</f>
        <v/>
      </c>
      <c r="F56" s="36">
        <f>IFERROR((IF(COUNT('연간'!J49:M49)&lt;4,"",SUM('연간'!J49:M49)))/(IF(COUNT('연간'!J4:M4)&lt;4,"",SUM('연간'!J4:M4))),"")</f>
        <v/>
      </c>
      <c r="G56" s="36">
        <f>IFERROR((IF(COUNT('연간'!K49:N49)&lt;4,"",SUM('연간'!K49:N49)))/(IF(COUNT('연간'!K4:N4)&lt;4,"",SUM('연간'!K4:N4))),"")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  <c r="L56" s="36">
        <f>IFERROR(('연간'!X49)/('연간'!X4),"")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IF(C37="","",IFERROR(C37/(IF(COUNT('연간'!G49:J49)&lt;4,"",SUM('연간'!G49:J49))),""))</f>
        <v/>
      </c>
      <c r="D64" s="31">
        <f>IF(D37="","",IFERROR(D37/(IF(COUNT('연간'!H49:K49)&lt;4,"",SUM('연간'!H49:K49))),""))</f>
        <v/>
      </c>
      <c r="E64" s="31">
        <f>IF(E37="","",IFERROR(E37/(IF(COUNT('연간'!I49:L49)&lt;4,"",SUM('연간'!I49:L49))),""))</f>
        <v/>
      </c>
      <c r="F64" s="31">
        <f>IF(F37="","",IFERROR(F37/(IF(COUNT('연간'!J49:M49)&lt;4,"",SUM('연간'!J49:M49))),""))</f>
        <v/>
      </c>
      <c r="G64" s="31">
        <f>IF(G37="","",IFERROR(G37/(IF(COUNT('연간'!K49:N49)&lt;4,"",SUM('연간'!K49:N49))),""))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  <c r="L64" s="31">
        <f>IF(L37="","",IFERROR(L37/('연간'!X49),""))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IF(C40="","",IFERROR(C40/(IF(COUNT('연간'!G50:J50)&lt;4,"",SUM('연간'!G50:J50))),""))</f>
        <v/>
      </c>
      <c r="D67" s="36">
        <f>IF(D40="","",IFERROR(D40/(IF(COUNT('연간'!H50:K50)&lt;4,"",SUM('연간'!H50:K50))),""))</f>
        <v/>
      </c>
      <c r="E67" s="36">
        <f>IF(E40="","",IFERROR(E40/(IF(COUNT('연간'!I50:L50)&lt;4,"",SUM('연간'!I50:L50))),""))</f>
        <v/>
      </c>
      <c r="F67" s="36">
        <f>IF(F40="","",IFERROR(F40/(IF(COUNT('연간'!J50:M50)&lt;4,"",SUM('연간'!J50:M50))),""))</f>
        <v/>
      </c>
      <c r="G67" s="36">
        <f>IF(G40="","",IFERROR(G40/(IF(COUNT('연간'!K50:N50)&lt;4,"",SUM('연간'!K50:N50))),""))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  <c r="L67" s="36">
        <f>IF(L40="","",IFERROR(L40/('연간'!X50),""))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2585</v>
      </c>
      <c r="D71" s="20" t="n">
        <v>2910</v>
      </c>
      <c r="E71" s="20" t="n">
        <v>2646</v>
      </c>
      <c r="F71" s="20" t="n">
        <v>2130</v>
      </c>
      <c r="G71" s="20" t="n">
        <v>2237</v>
      </c>
      <c r="H71" s="20" t="n">
        <v>3604</v>
      </c>
      <c r="I71" s="20" t="n">
        <v>3660</v>
      </c>
      <c r="J71" s="20" t="n">
        <v>3404</v>
      </c>
      <c r="K71" s="20" t="n">
        <v>2774</v>
      </c>
      <c r="L71" s="20" t="n">
        <v>2646</v>
      </c>
    </row>
    <row r="72">
      <c r="A72" s="18" t="inlineStr">
        <is>
          <t>받을어음·매출채권</t>
        </is>
      </c>
      <c r="C72" s="20" t="n">
        <v>2025</v>
      </c>
      <c r="D72" s="20" t="n">
        <v>2793</v>
      </c>
      <c r="E72" s="20" t="n">
        <v>1899</v>
      </c>
      <c r="F72" s="20" t="n">
        <v>2282</v>
      </c>
      <c r="G72" s="20" t="n">
        <v>2123</v>
      </c>
      <c r="H72" s="20" t="n">
        <v>1546</v>
      </c>
      <c r="I72" s="20" t="n">
        <v>1797</v>
      </c>
      <c r="J72" s="20" t="n">
        <v>1766</v>
      </c>
      <c r="K72" s="20" t="n">
        <v>1856</v>
      </c>
      <c r="L72" s="20" t="n">
        <v>1899</v>
      </c>
    </row>
    <row r="73">
      <c r="A73" s="18" t="inlineStr">
        <is>
          <t>상품</t>
        </is>
      </c>
      <c r="C73" s="20" t="n">
        <v>1952</v>
      </c>
      <c r="D73" s="20" t="n">
        <v>2457</v>
      </c>
      <c r="E73" s="20" t="n">
        <v>2031</v>
      </c>
      <c r="F73" s="20" t="n">
        <v>2027</v>
      </c>
      <c r="G73" s="20" t="n">
        <v>1876</v>
      </c>
      <c r="H73" s="20" t="n">
        <v>1989</v>
      </c>
      <c r="I73" s="20" t="n">
        <v>2058</v>
      </c>
      <c r="J73" s="20" t="n">
        <v>2052</v>
      </c>
      <c r="K73" s="20" t="n">
        <v>2073</v>
      </c>
      <c r="L73" s="20" t="n">
        <v>2031</v>
      </c>
    </row>
    <row r="74">
      <c r="A74" s="18" t="inlineStr">
        <is>
          <t>저장품</t>
        </is>
      </c>
      <c r="C74" s="20" t="n">
        <v>21</v>
      </c>
      <c r="D74" s="20" t="n">
        <v>21</v>
      </c>
      <c r="E74" s="20" t="n">
        <v>22</v>
      </c>
      <c r="F74" s="20" t="n">
        <v>22</v>
      </c>
      <c r="G74" s="20" t="n">
        <v>23</v>
      </c>
      <c r="H74" s="20" t="n">
        <v>21</v>
      </c>
      <c r="I74" s="20" t="n">
        <v>19</v>
      </c>
      <c r="J74" s="20" t="n">
        <v>20</v>
      </c>
      <c r="K74" s="20" t="n">
        <v>21</v>
      </c>
      <c r="L74" s="20" t="n">
        <v>22</v>
      </c>
    </row>
    <row r="75">
      <c r="A75" s="18" t="inlineStr">
        <is>
          <t>기타</t>
        </is>
      </c>
      <c r="C75" s="20" t="n">
        <v>441</v>
      </c>
      <c r="D75" s="20" t="n">
        <v>481</v>
      </c>
      <c r="E75" s="20" t="n">
        <v>358</v>
      </c>
      <c r="F75" s="20" t="n">
        <v>484</v>
      </c>
      <c r="G75" s="20" t="n">
        <v>432</v>
      </c>
      <c r="H75" s="20" t="n">
        <v>372</v>
      </c>
      <c r="I75" s="20" t="n">
        <v>415</v>
      </c>
      <c r="J75" s="20" t="n">
        <v>390</v>
      </c>
      <c r="K75" s="20" t="n">
        <v>331</v>
      </c>
      <c r="L75" s="20" t="n">
        <v>358</v>
      </c>
    </row>
    <row r="76">
      <c r="A76" s="18" t="inlineStr">
        <is>
          <t>대손충당금</t>
        </is>
      </c>
      <c r="H76" s="20" t="n">
        <v>-0</v>
      </c>
      <c r="I76" s="20" t="n">
        <v>-0</v>
      </c>
      <c r="J76" s="20" t="n">
        <v>-0</v>
      </c>
      <c r="K76" s="20" t="n">
        <v>0</v>
      </c>
    </row>
    <row r="77">
      <c r="A77" s="9" t="inlineStr">
        <is>
          <t>유동자산 합계</t>
        </is>
      </c>
      <c r="C77" s="12" t="n">
        <v>7026</v>
      </c>
      <c r="D77" s="12" t="n">
        <v>8664</v>
      </c>
      <c r="E77" s="12" t="n">
        <v>6958</v>
      </c>
      <c r="F77" s="12" t="n">
        <v>6947</v>
      </c>
      <c r="G77" s="12" t="n">
        <v>6693</v>
      </c>
      <c r="H77" s="12" t="n">
        <v>7534</v>
      </c>
      <c r="I77" s="12" t="n">
        <v>7952</v>
      </c>
      <c r="J77" s="12" t="n">
        <v>7635</v>
      </c>
      <c r="K77" s="12" t="n">
        <v>7056</v>
      </c>
      <c r="L77" s="12" t="n">
        <v>6958</v>
      </c>
    </row>
    <row r="78">
      <c r="A78" s="18" t="inlineStr">
        <is>
          <t>건물·구축물</t>
        </is>
      </c>
      <c r="E78" s="20" t="n">
        <v>44988</v>
      </c>
      <c r="H78" s="20" t="n">
        <v>43959</v>
      </c>
      <c r="I78" s="20" t="n">
        <v>44280</v>
      </c>
      <c r="J78" s="20" t="n">
        <v>44491</v>
      </c>
      <c r="K78" s="20" t="n">
        <v>44708</v>
      </c>
      <c r="L78" s="20" t="n">
        <v>44988</v>
      </c>
    </row>
    <row r="79">
      <c r="A79" s="18" t="inlineStr">
        <is>
          <t>감가상각누계액</t>
        </is>
      </c>
      <c r="E79" s="20" t="n">
        <v>-37322</v>
      </c>
      <c r="H79" s="20" t="n">
        <v>-33139</v>
      </c>
      <c r="I79" s="20" t="n">
        <v>-34311</v>
      </c>
      <c r="J79" s="20" t="n">
        <v>-35271</v>
      </c>
      <c r="K79" s="20" t="n">
        <v>-36232</v>
      </c>
      <c r="L79" s="20" t="n">
        <v>-37322</v>
      </c>
    </row>
    <row r="80">
      <c r="A80" s="18" t="inlineStr">
        <is>
          <t>건물·구축물(순액)</t>
        </is>
      </c>
      <c r="C80" s="20" t="n">
        <v>8006</v>
      </c>
      <c r="D80" s="20" t="n">
        <v>7759</v>
      </c>
      <c r="E80" s="20" t="n">
        <v>7666</v>
      </c>
      <c r="F80" s="20" t="n">
        <v>7429</v>
      </c>
      <c r="G80" s="20" t="n">
        <v>7245</v>
      </c>
      <c r="H80" s="20" t="n">
        <v>10819</v>
      </c>
      <c r="I80" s="20" t="n">
        <v>9968</v>
      </c>
      <c r="J80" s="20" t="n">
        <v>9220</v>
      </c>
      <c r="K80" s="20" t="n">
        <v>8475</v>
      </c>
      <c r="L80" s="20" t="n">
        <v>7666</v>
      </c>
    </row>
    <row r="81">
      <c r="A81" s="18" t="inlineStr">
        <is>
          <t>토지</t>
        </is>
      </c>
      <c r="C81" s="20" t="n">
        <v>24011</v>
      </c>
      <c r="D81" s="20" t="n">
        <v>24011</v>
      </c>
      <c r="E81" s="20" t="n">
        <v>24011</v>
      </c>
      <c r="F81" s="20" t="n">
        <v>24011</v>
      </c>
      <c r="G81" s="20" t="n">
        <v>24011</v>
      </c>
      <c r="H81" s="20" t="n">
        <v>24011</v>
      </c>
      <c r="I81" s="20" t="n">
        <v>24011</v>
      </c>
      <c r="J81" s="20" t="n">
        <v>24011</v>
      </c>
      <c r="K81" s="20" t="n">
        <v>24011</v>
      </c>
      <c r="L81" s="20" t="n">
        <v>24011</v>
      </c>
    </row>
    <row r="82">
      <c r="A82" s="18" t="inlineStr">
        <is>
          <t>리스자산</t>
        </is>
      </c>
      <c r="E82" s="20" t="n">
        <v>174</v>
      </c>
      <c r="H82" s="20" t="n">
        <v>408</v>
      </c>
      <c r="I82" s="20" t="n">
        <v>195</v>
      </c>
      <c r="J82" s="20" t="n">
        <v>205</v>
      </c>
      <c r="K82" s="20" t="n">
        <v>184</v>
      </c>
      <c r="L82" s="20" t="n">
        <v>174</v>
      </c>
    </row>
    <row r="83">
      <c r="A83" s="18" t="inlineStr">
        <is>
          <t>감가상각누계액</t>
        </is>
      </c>
      <c r="E83" s="20" t="n">
        <v>-96</v>
      </c>
      <c r="H83" s="20" t="n">
        <v>-347</v>
      </c>
      <c r="I83" s="20" t="n">
        <v>-128</v>
      </c>
      <c r="J83" s="20" t="n">
        <v>-83</v>
      </c>
      <c r="K83" s="20" t="n">
        <v>-71</v>
      </c>
      <c r="L83" s="20" t="n">
        <v>-96</v>
      </c>
    </row>
    <row r="84">
      <c r="A84" s="18" t="inlineStr">
        <is>
          <t>리스자산(순액)</t>
        </is>
      </c>
      <c r="E84" s="20" t="n">
        <v>78</v>
      </c>
      <c r="H84" s="20" t="n">
        <v>60</v>
      </c>
      <c r="I84" s="20" t="n">
        <v>67</v>
      </c>
      <c r="J84" s="20" t="n">
        <v>121</v>
      </c>
      <c r="K84" s="20" t="n">
        <v>113</v>
      </c>
      <c r="L84" s="20" t="n">
        <v>78</v>
      </c>
    </row>
    <row r="85">
      <c r="A85" s="18" t="inlineStr">
        <is>
          <t>건설중인자산</t>
        </is>
      </c>
      <c r="E85" s="20" t="n">
        <v>0</v>
      </c>
      <c r="H85" s="20" t="n">
        <v>1</v>
      </c>
      <c r="I85" s="20" t="n">
        <v>0</v>
      </c>
      <c r="J85" s="20" t="n">
        <v>3</v>
      </c>
      <c r="K85" s="20" t="n">
        <v>0</v>
      </c>
      <c r="L85" s="20" t="n">
        <v>0</v>
      </c>
    </row>
    <row r="86">
      <c r="A86" s="18" t="inlineStr">
        <is>
          <t>기타</t>
        </is>
      </c>
      <c r="E86" s="20" t="n">
        <v>2421</v>
      </c>
      <c r="H86" s="20" t="n">
        <v>2402</v>
      </c>
      <c r="I86" s="20" t="n">
        <v>2396</v>
      </c>
      <c r="J86" s="20" t="n">
        <v>2433</v>
      </c>
      <c r="K86" s="20" t="n">
        <v>2442</v>
      </c>
      <c r="L86" s="20" t="n">
        <v>2421</v>
      </c>
    </row>
    <row r="87">
      <c r="A87" s="18" t="inlineStr">
        <is>
          <t>감가상각누계액</t>
        </is>
      </c>
      <c r="E87" s="20" t="n">
        <v>-2280</v>
      </c>
      <c r="H87" s="20" t="n">
        <v>-1950</v>
      </c>
      <c r="I87" s="20" t="n">
        <v>-2055</v>
      </c>
      <c r="J87" s="20" t="n">
        <v>-2141</v>
      </c>
      <c r="K87" s="20" t="n">
        <v>-2220</v>
      </c>
      <c r="L87" s="20" t="n">
        <v>-2280</v>
      </c>
    </row>
    <row r="88">
      <c r="A88" s="18" t="inlineStr">
        <is>
          <t>기타(순액)</t>
        </is>
      </c>
      <c r="C88" s="20" t="n">
        <v>276</v>
      </c>
      <c r="D88" s="20" t="n">
        <v>249</v>
      </c>
      <c r="E88" s="20" t="n">
        <v>220</v>
      </c>
      <c r="F88" s="20" t="n">
        <v>233</v>
      </c>
      <c r="G88" s="20" t="n">
        <v>217</v>
      </c>
      <c r="H88" s="20" t="n">
        <v>451</v>
      </c>
      <c r="I88" s="20" t="n">
        <v>340</v>
      </c>
      <c r="J88" s="20" t="n">
        <v>291</v>
      </c>
      <c r="K88" s="20" t="n">
        <v>221</v>
      </c>
      <c r="L88" s="20" t="n">
        <v>220</v>
      </c>
    </row>
    <row r="89">
      <c r="A89" s="18" t="inlineStr">
        <is>
          <t>유형자산 합계</t>
        </is>
      </c>
      <c r="C89" s="20" t="n">
        <v>32294</v>
      </c>
      <c r="D89" s="20" t="n">
        <v>32020</v>
      </c>
      <c r="E89" s="20" t="n">
        <v>31897</v>
      </c>
      <c r="F89" s="20" t="n">
        <v>31674</v>
      </c>
      <c r="G89" s="20" t="n">
        <v>31473</v>
      </c>
      <c r="H89" s="20" t="n">
        <v>35345</v>
      </c>
      <c r="I89" s="20" t="n">
        <v>34389</v>
      </c>
      <c r="J89" s="20" t="n">
        <v>33648</v>
      </c>
      <c r="K89" s="20" t="n">
        <v>32821</v>
      </c>
      <c r="L89" s="20" t="n">
        <v>31897</v>
      </c>
    </row>
    <row r="90">
      <c r="A90" s="18" t="inlineStr">
        <is>
          <t>리스자산</t>
        </is>
      </c>
      <c r="E90" s="20" t="n">
        <v>389</v>
      </c>
      <c r="H90" s="20" t="n">
        <v>112</v>
      </c>
      <c r="I90" s="20" t="n">
        <v>71</v>
      </c>
      <c r="J90" s="20" t="n">
        <v>376</v>
      </c>
      <c r="K90" s="20" t="n">
        <v>457</v>
      </c>
      <c r="L90" s="20" t="n">
        <v>389</v>
      </c>
    </row>
    <row r="91">
      <c r="A91" s="18" t="inlineStr">
        <is>
          <t>개발 중 소프트웨어</t>
        </is>
      </c>
      <c r="H91" s="20" t="n">
        <v>0</v>
      </c>
      <c r="I91" s="20" t="n">
        <v>69</v>
      </c>
      <c r="J91" s="20" t="n">
        <v>38</v>
      </c>
      <c r="K91" s="20" t="n">
        <v>0</v>
      </c>
    </row>
    <row r="92">
      <c r="A92" s="18" t="inlineStr">
        <is>
          <t>기타</t>
        </is>
      </c>
      <c r="E92" s="20" t="n">
        <v>189</v>
      </c>
      <c r="H92" s="20" t="n">
        <v>83</v>
      </c>
      <c r="I92" s="20" t="n">
        <v>71</v>
      </c>
      <c r="J92" s="20" t="n">
        <v>118</v>
      </c>
      <c r="K92" s="20" t="n">
        <v>231</v>
      </c>
      <c r="L92" s="20" t="n">
        <v>189</v>
      </c>
    </row>
    <row r="93">
      <c r="A93" s="18" t="inlineStr">
        <is>
          <t>무형자산</t>
        </is>
      </c>
      <c r="C93" s="20" t="n">
        <v>619</v>
      </c>
      <c r="D93" s="20" t="n">
        <v>573</v>
      </c>
      <c r="E93" s="20" t="n">
        <v>579</v>
      </c>
      <c r="F93" s="20" t="n">
        <v>567</v>
      </c>
      <c r="G93" s="20" t="n">
        <v>536</v>
      </c>
      <c r="H93" s="20" t="n">
        <v>195</v>
      </c>
      <c r="I93" s="20" t="n">
        <v>213</v>
      </c>
      <c r="J93" s="20" t="n">
        <v>532</v>
      </c>
      <c r="K93" s="20" t="n">
        <v>688</v>
      </c>
      <c r="L93" s="20" t="n">
        <v>579</v>
      </c>
    </row>
    <row r="94">
      <c r="A94" s="18" t="inlineStr">
        <is>
          <t>투자유가증권</t>
        </is>
      </c>
      <c r="E94" s="20" t="n">
        <v>1426</v>
      </c>
      <c r="H94" s="20" t="n">
        <v>1431</v>
      </c>
      <c r="I94" s="20" t="n">
        <v>1512</v>
      </c>
      <c r="J94" s="20" t="n">
        <v>1553</v>
      </c>
      <c r="K94" s="20" t="n">
        <v>1399</v>
      </c>
      <c r="L94" s="20" t="n">
        <v>1426</v>
      </c>
    </row>
    <row r="95">
      <c r="A95" s="18" t="inlineStr">
        <is>
          <t>보증금</t>
        </is>
      </c>
      <c r="C95" s="20" t="n">
        <v>1414</v>
      </c>
      <c r="D95" s="20" t="n">
        <v>1414</v>
      </c>
      <c r="E95" s="20" t="n">
        <v>1414</v>
      </c>
      <c r="F95" s="20" t="n">
        <v>1413</v>
      </c>
      <c r="G95" s="20" t="n">
        <v>1413</v>
      </c>
      <c r="H95" s="20" t="n">
        <v>1980</v>
      </c>
      <c r="I95" s="20" t="n">
        <v>1418</v>
      </c>
      <c r="J95" s="20" t="n">
        <v>1418</v>
      </c>
      <c r="K95" s="20" t="n">
        <v>1417</v>
      </c>
      <c r="L95" s="20" t="n">
        <v>1414</v>
      </c>
    </row>
    <row r="96">
      <c r="A96" s="18" t="inlineStr">
        <is>
          <t>이연법인세자산</t>
        </is>
      </c>
      <c r="E96" s="20" t="n">
        <v>657</v>
      </c>
      <c r="H96" s="20" t="n">
        <v>451</v>
      </c>
      <c r="I96" s="20" t="n">
        <v>374</v>
      </c>
      <c r="J96" s="20" t="n">
        <v>405</v>
      </c>
      <c r="K96" s="20" t="n">
        <v>683</v>
      </c>
      <c r="L96" s="20" t="n">
        <v>657</v>
      </c>
    </row>
    <row r="97">
      <c r="A97" s="18" t="inlineStr">
        <is>
          <t>기타</t>
        </is>
      </c>
      <c r="C97" s="20" t="n">
        <v>2560</v>
      </c>
      <c r="D97" s="20" t="n">
        <v>2573</v>
      </c>
      <c r="E97" s="20" t="n">
        <v>2533</v>
      </c>
      <c r="F97" s="20" t="n">
        <v>2519</v>
      </c>
      <c r="G97" s="20" t="n">
        <v>2527</v>
      </c>
      <c r="H97" s="20" t="n">
        <v>415</v>
      </c>
      <c r="I97" s="20" t="n">
        <v>537</v>
      </c>
      <c r="J97" s="20" t="n">
        <v>540</v>
      </c>
      <c r="K97" s="20" t="n">
        <v>481</v>
      </c>
      <c r="L97" s="20" t="n">
        <v>2533</v>
      </c>
    </row>
    <row r="98">
      <c r="A98" s="18" t="inlineStr">
        <is>
          <t>대손충당금</t>
        </is>
      </c>
      <c r="C98" s="20" t="n">
        <v>-54</v>
      </c>
      <c r="D98" s="20" t="n">
        <v>-53</v>
      </c>
      <c r="E98" s="20" t="n">
        <v>-53</v>
      </c>
      <c r="F98" s="20" t="n">
        <v>-53</v>
      </c>
      <c r="G98" s="20" t="n">
        <v>-53</v>
      </c>
      <c r="H98" s="20" t="n">
        <v>-54</v>
      </c>
      <c r="I98" s="20" t="n">
        <v>-54</v>
      </c>
      <c r="J98" s="20" t="n">
        <v>-54</v>
      </c>
      <c r="K98" s="20" t="n">
        <v>-54</v>
      </c>
      <c r="L98" s="20" t="n">
        <v>-53</v>
      </c>
    </row>
    <row r="99">
      <c r="A99" s="18" t="inlineStr">
        <is>
          <t>투자 및 기타자산 합계</t>
        </is>
      </c>
      <c r="C99" s="20" t="n">
        <v>3920</v>
      </c>
      <c r="D99" s="20" t="n">
        <v>3933</v>
      </c>
      <c r="E99" s="20" t="n">
        <v>3894</v>
      </c>
      <c r="F99" s="20" t="n">
        <v>3879</v>
      </c>
      <c r="G99" s="20" t="n">
        <v>3887</v>
      </c>
      <c r="H99" s="20" t="n">
        <v>4225</v>
      </c>
      <c r="I99" s="20" t="n">
        <v>3788</v>
      </c>
      <c r="J99" s="20" t="n">
        <v>3863</v>
      </c>
      <c r="K99" s="20" t="n">
        <v>3928</v>
      </c>
      <c r="L99" s="20" t="n">
        <v>3894</v>
      </c>
    </row>
    <row r="100">
      <c r="A100" s="9" t="inlineStr">
        <is>
          <t>비유동자산 합계</t>
        </is>
      </c>
      <c r="C100" s="12" t="n">
        <v>36835</v>
      </c>
      <c r="D100" s="12" t="n">
        <v>36528</v>
      </c>
      <c r="E100" s="12" t="n">
        <v>36371</v>
      </c>
      <c r="F100" s="12" t="n">
        <v>36121</v>
      </c>
      <c r="G100" s="12" t="n">
        <v>35897</v>
      </c>
      <c r="H100" s="12" t="n">
        <v>39766</v>
      </c>
      <c r="I100" s="12" t="n">
        <v>38391</v>
      </c>
      <c r="J100" s="12" t="n">
        <v>38044</v>
      </c>
      <c r="K100" s="12" t="n">
        <v>37438</v>
      </c>
      <c r="L100" s="12" t="n">
        <v>36371</v>
      </c>
    </row>
    <row r="101">
      <c r="A101" s="9" t="inlineStr">
        <is>
          <t>자산 합계</t>
        </is>
      </c>
      <c r="C101" s="12" t="n">
        <v>43861</v>
      </c>
      <c r="D101" s="12" t="n">
        <v>45192</v>
      </c>
      <c r="E101" s="12" t="n">
        <v>43330</v>
      </c>
      <c r="F101" s="12" t="n">
        <v>43068</v>
      </c>
      <c r="G101" s="12" t="n">
        <v>42591</v>
      </c>
      <c r="H101" s="12" t="n">
        <v>47300</v>
      </c>
      <c r="I101" s="12" t="n">
        <v>46343</v>
      </c>
      <c r="J101" s="12" t="n">
        <v>45680</v>
      </c>
      <c r="K101" s="12" t="n">
        <v>44495</v>
      </c>
      <c r="L101" s="12" t="n">
        <v>43330</v>
      </c>
    </row>
    <row r="102">
      <c r="A102" s="18" t="inlineStr">
        <is>
          <t>지급어음·매입채무</t>
        </is>
      </c>
      <c r="C102" s="20" t="n">
        <v>4121</v>
      </c>
      <c r="D102" s="20" t="n">
        <v>5116</v>
      </c>
      <c r="E102" s="20" t="n">
        <v>4075</v>
      </c>
      <c r="H102" s="20" t="n">
        <v>3811</v>
      </c>
      <c r="I102" s="20" t="n">
        <v>4116</v>
      </c>
      <c r="J102" s="20" t="n">
        <v>4186</v>
      </c>
      <c r="K102" s="20" t="n">
        <v>3948</v>
      </c>
      <c r="L102" s="20" t="n">
        <v>4075</v>
      </c>
    </row>
    <row r="103">
      <c r="A103" s="18" t="inlineStr">
        <is>
          <t>매입채무</t>
        </is>
      </c>
      <c r="E103" s="20" t="n">
        <v>4075</v>
      </c>
      <c r="F103" s="20" t="n">
        <v>4381</v>
      </c>
      <c r="G103" s="20" t="n">
        <v>4215</v>
      </c>
      <c r="L103" s="20" t="n">
        <v>4075</v>
      </c>
    </row>
    <row r="104">
      <c r="A104" s="18" t="inlineStr">
        <is>
          <t>단기차입금</t>
        </is>
      </c>
      <c r="C104" s="20" t="n">
        <v>11333</v>
      </c>
      <c r="D104" s="20" t="n">
        <v>11333</v>
      </c>
      <c r="E104" s="20" t="n">
        <v>11333</v>
      </c>
      <c r="F104" s="20" t="n">
        <v>11333</v>
      </c>
      <c r="G104" s="20" t="n">
        <v>11331</v>
      </c>
      <c r="H104" s="20" t="n">
        <v>11833</v>
      </c>
      <c r="I104" s="20" t="n">
        <v>11333</v>
      </c>
      <c r="J104" s="20" t="n">
        <v>11333</v>
      </c>
      <c r="K104" s="20" t="n">
        <v>11333</v>
      </c>
      <c r="L104" s="20" t="n">
        <v>11333</v>
      </c>
    </row>
    <row r="105">
      <c r="A105" s="18" t="inlineStr">
        <is>
          <t>리스부채</t>
        </is>
      </c>
      <c r="E105" s="20" t="n">
        <v>162</v>
      </c>
      <c r="H105" s="20" t="n">
        <v>73</v>
      </c>
      <c r="I105" s="20" t="n">
        <v>59</v>
      </c>
      <c r="J105" s="20" t="n">
        <v>144</v>
      </c>
      <c r="K105" s="20" t="n">
        <v>163</v>
      </c>
      <c r="L105" s="20" t="n">
        <v>162</v>
      </c>
    </row>
    <row r="106">
      <c r="A106" s="18" t="inlineStr">
        <is>
          <t>미지급법인세</t>
        </is>
      </c>
      <c r="C106" s="20" t="n">
        <v>7</v>
      </c>
      <c r="D106" s="20" t="n">
        <v>14</v>
      </c>
      <c r="E106" s="20" t="n">
        <v>19</v>
      </c>
      <c r="F106" s="20" t="n">
        <v>11</v>
      </c>
      <c r="G106" s="20" t="n">
        <v>20</v>
      </c>
      <c r="H106" s="20" t="n">
        <v>35</v>
      </c>
      <c r="I106" s="20" t="n">
        <v>10</v>
      </c>
      <c r="J106" s="20" t="n">
        <v>10</v>
      </c>
      <c r="K106" s="20" t="n">
        <v>11</v>
      </c>
      <c r="L106" s="20" t="n">
        <v>19</v>
      </c>
    </row>
    <row r="107">
      <c r="A107" s="18" t="inlineStr">
        <is>
          <t>선수금</t>
        </is>
      </c>
      <c r="C107" s="20" t="n">
        <v>2793</v>
      </c>
      <c r="D107" s="20" t="n">
        <v>2682</v>
      </c>
      <c r="E107" s="20" t="n">
        <v>2861</v>
      </c>
      <c r="F107" s="20" t="n">
        <v>2354</v>
      </c>
      <c r="G107" s="20" t="n">
        <v>2762</v>
      </c>
      <c r="H107" s="20" t="n">
        <v>7454</v>
      </c>
      <c r="I107" s="20" t="n">
        <v>3087</v>
      </c>
      <c r="J107" s="20" t="n">
        <v>3008</v>
      </c>
      <c r="K107" s="20" t="n">
        <v>2995</v>
      </c>
      <c r="L107" s="20" t="n">
        <v>2861</v>
      </c>
    </row>
    <row r="108">
      <c r="A108" s="18" t="inlineStr">
        <is>
          <t>상여충당금</t>
        </is>
      </c>
      <c r="C108" s="20" t="n">
        <v>97</v>
      </c>
      <c r="D108" s="20" t="n">
        <v>10</v>
      </c>
      <c r="E108" s="20" t="n">
        <v>50</v>
      </c>
      <c r="F108" s="20" t="n">
        <v>103</v>
      </c>
      <c r="G108" s="20" t="n">
        <v>97</v>
      </c>
      <c r="H108" s="20" t="n">
        <v>56</v>
      </c>
      <c r="I108" s="20" t="n">
        <v>58</v>
      </c>
      <c r="J108" s="20" t="n">
        <v>59</v>
      </c>
      <c r="K108" s="20" t="n">
        <v>56</v>
      </c>
      <c r="L108" s="20" t="n">
        <v>50</v>
      </c>
    </row>
    <row r="109">
      <c r="A109" s="18" t="inlineStr">
        <is>
          <t>포인트·상품권 충당금</t>
        </is>
      </c>
      <c r="H109" s="20" t="n">
        <v>127</v>
      </c>
      <c r="I109" s="20" t="n">
        <v>0</v>
      </c>
    </row>
    <row r="110">
      <c r="A110" s="18" t="inlineStr">
        <is>
          <t>설비관련 지급어음</t>
        </is>
      </c>
      <c r="E110" s="20" t="n">
        <v>0</v>
      </c>
      <c r="H110" s="20" t="n">
        <v>211</v>
      </c>
      <c r="I110" s="20" t="n">
        <v>77</v>
      </c>
      <c r="J110" s="20" t="n">
        <v>156</v>
      </c>
      <c r="K110" s="20" t="n">
        <v>80</v>
      </c>
      <c r="L110" s="20" t="n">
        <v>0</v>
      </c>
    </row>
    <row r="111">
      <c r="A111" s="18" t="inlineStr">
        <is>
          <t>설비 관련 전자기록채무</t>
        </is>
      </c>
      <c r="E111" s="20" t="n">
        <v>73</v>
      </c>
      <c r="K111" s="20" t="n">
        <v>0</v>
      </c>
      <c r="L111" s="20" t="n">
        <v>73</v>
      </c>
    </row>
    <row r="112">
      <c r="A112" s="18" t="inlineStr">
        <is>
          <t>계약부채</t>
        </is>
      </c>
      <c r="C112" s="20" t="n">
        <v>3943</v>
      </c>
      <c r="D112" s="20" t="n">
        <v>4761</v>
      </c>
      <c r="E112" s="20" t="n">
        <v>3790</v>
      </c>
      <c r="F112" s="20" t="n">
        <v>4279</v>
      </c>
      <c r="G112" s="20" t="n">
        <v>3888</v>
      </c>
      <c r="H112" s="20" t="n">
        <v>0</v>
      </c>
      <c r="I112" s="20" t="n">
        <v>4417</v>
      </c>
      <c r="J112" s="20" t="n">
        <v>4106</v>
      </c>
      <c r="K112" s="20" t="n">
        <v>3855</v>
      </c>
      <c r="L112" s="20" t="n">
        <v>3790</v>
      </c>
    </row>
    <row r="113">
      <c r="A113" s="18" t="inlineStr">
        <is>
          <t>기타 충당금</t>
        </is>
      </c>
      <c r="H113" s="20" t="n">
        <v>183</v>
      </c>
      <c r="I113" s="20" t="n">
        <v>58</v>
      </c>
      <c r="J113" s="20" t="n">
        <v>59</v>
      </c>
      <c r="K113" s="20" t="n">
        <v>56</v>
      </c>
    </row>
    <row r="114">
      <c r="A114" s="18" t="inlineStr">
        <is>
          <t>기타</t>
        </is>
      </c>
      <c r="C114" s="20" t="n">
        <v>2608</v>
      </c>
      <c r="D114" s="20" t="n">
        <v>2806</v>
      </c>
      <c r="E114" s="20" t="n">
        <v>2636</v>
      </c>
      <c r="F114" s="20" t="n">
        <v>2431</v>
      </c>
      <c r="G114" s="20" t="n">
        <v>2438</v>
      </c>
      <c r="H114" s="20" t="n">
        <v>2774</v>
      </c>
      <c r="I114" s="20" t="n">
        <v>2810</v>
      </c>
      <c r="J114" s="20" t="n">
        <v>2554</v>
      </c>
      <c r="K114" s="20" t="n">
        <v>2326</v>
      </c>
      <c r="L114" s="20" t="n">
        <v>2636</v>
      </c>
    </row>
    <row r="115">
      <c r="A115" s="9" t="inlineStr">
        <is>
          <t>유동부채 합계</t>
        </is>
      </c>
      <c r="C115" s="12" t="n">
        <v>24905</v>
      </c>
      <c r="D115" s="12" t="n">
        <v>26726</v>
      </c>
      <c r="E115" s="12" t="n">
        <v>24767</v>
      </c>
      <c r="F115" s="12" t="n">
        <v>24895</v>
      </c>
      <c r="G115" s="12" t="n">
        <v>24754</v>
      </c>
      <c r="H115" s="12" t="n">
        <v>26378</v>
      </c>
      <c r="I115" s="12" t="n">
        <v>25971</v>
      </c>
      <c r="J115" s="12" t="n">
        <v>25561</v>
      </c>
      <c r="K115" s="12" t="n">
        <v>24772</v>
      </c>
      <c r="L115" s="12" t="n">
        <v>24767</v>
      </c>
    </row>
    <row r="116">
      <c r="A116" s="18" t="inlineStr">
        <is>
          <t>장기차입금</t>
        </is>
      </c>
      <c r="C116" s="20" t="n">
        <v>1841</v>
      </c>
      <c r="D116" s="20" t="n">
        <v>1507</v>
      </c>
      <c r="E116" s="20" t="n">
        <v>1174</v>
      </c>
      <c r="F116" s="20" t="n">
        <v>840</v>
      </c>
      <c r="G116" s="20" t="n">
        <v>509</v>
      </c>
      <c r="H116" s="20" t="n">
        <v>6509</v>
      </c>
      <c r="I116" s="20" t="n">
        <v>5176</v>
      </c>
      <c r="J116" s="20" t="n">
        <v>3842</v>
      </c>
      <c r="K116" s="20" t="n">
        <v>2508</v>
      </c>
      <c r="L116" s="20" t="n">
        <v>1174</v>
      </c>
    </row>
    <row r="117">
      <c r="A117" s="18" t="inlineStr">
        <is>
          <t>리스부채</t>
        </is>
      </c>
      <c r="E117" s="20" t="n">
        <v>304</v>
      </c>
      <c r="H117" s="20" t="n">
        <v>99</v>
      </c>
      <c r="I117" s="20" t="n">
        <v>79</v>
      </c>
      <c r="J117" s="20" t="n">
        <v>353</v>
      </c>
      <c r="K117" s="20" t="n">
        <v>406</v>
      </c>
      <c r="L117" s="20" t="n">
        <v>304</v>
      </c>
    </row>
    <row r="118">
      <c r="A118" s="18" t="inlineStr">
        <is>
          <t>재평가 관련 이연법인세부채</t>
        </is>
      </c>
      <c r="C118" s="20" t="n">
        <v>3358</v>
      </c>
      <c r="D118" s="20" t="n">
        <v>3358</v>
      </c>
      <c r="E118" s="20" t="n">
        <v>3358</v>
      </c>
      <c r="F118" s="20" t="n">
        <v>3358</v>
      </c>
      <c r="G118" s="20" t="n">
        <v>3358</v>
      </c>
      <c r="H118" s="20" t="n">
        <v>3278</v>
      </c>
      <c r="I118" s="20" t="n">
        <v>3278</v>
      </c>
      <c r="J118" s="20" t="n">
        <v>3278</v>
      </c>
      <c r="K118" s="20" t="n">
        <v>3278</v>
      </c>
      <c r="L118" s="20" t="n">
        <v>3358</v>
      </c>
    </row>
    <row r="119">
      <c r="A119" s="18" t="inlineStr">
        <is>
          <t>상품권 회수손실 충당금</t>
        </is>
      </c>
      <c r="E119" s="20" t="n">
        <v>569</v>
      </c>
      <c r="F119" s="20" t="n">
        <v>575</v>
      </c>
      <c r="I119" s="20" t="n">
        <v>618</v>
      </c>
      <c r="J119" s="20" t="n">
        <v>616</v>
      </c>
      <c r="K119" s="20" t="n">
        <v>582</v>
      </c>
      <c r="L119" s="20" t="n">
        <v>569</v>
      </c>
    </row>
    <row r="120">
      <c r="A120" s="18" t="inlineStr">
        <is>
          <t>상품권 회수손실 충당금</t>
        </is>
      </c>
      <c r="C120" s="20" t="n">
        <v>583</v>
      </c>
      <c r="D120" s="20" t="n">
        <v>578</v>
      </c>
      <c r="E120" s="20" t="n">
        <v>569</v>
      </c>
      <c r="G120" s="20" t="n">
        <v>569</v>
      </c>
      <c r="H120" s="20" t="n">
        <v>854</v>
      </c>
      <c r="I120" s="20" t="n">
        <v>618</v>
      </c>
      <c r="J120" s="20" t="n">
        <v>616</v>
      </c>
      <c r="K120" s="20" t="n">
        <v>582</v>
      </c>
      <c r="L120" s="20" t="n">
        <v>569</v>
      </c>
    </row>
    <row r="121">
      <c r="A121" s="18" t="inlineStr">
        <is>
          <t>퇴직급여부채</t>
        </is>
      </c>
      <c r="C121" s="20" t="n">
        <v>519</v>
      </c>
      <c r="D121" s="20" t="n">
        <v>522</v>
      </c>
      <c r="E121" s="20" t="n">
        <v>459</v>
      </c>
      <c r="F121" s="20" t="n">
        <v>465</v>
      </c>
      <c r="G121" s="20" t="n">
        <v>464</v>
      </c>
      <c r="H121" s="20" t="n">
        <v>783</v>
      </c>
      <c r="I121" s="20" t="n">
        <v>748</v>
      </c>
      <c r="J121" s="20" t="n">
        <v>678</v>
      </c>
      <c r="K121" s="20" t="n">
        <v>620</v>
      </c>
      <c r="L121" s="20" t="n">
        <v>459</v>
      </c>
    </row>
    <row r="122">
      <c r="A122" s="18" t="inlineStr">
        <is>
          <t>임원 주식급여 충당금</t>
        </is>
      </c>
      <c r="C122" s="20" t="n">
        <v>22</v>
      </c>
      <c r="D122" s="20" t="n">
        <v>16</v>
      </c>
      <c r="E122" s="20" t="n">
        <v>16</v>
      </c>
      <c r="F122" s="20" t="n">
        <v>20</v>
      </c>
      <c r="G122" s="20" t="n">
        <v>23</v>
      </c>
      <c r="I122" s="20" t="n">
        <v>0</v>
      </c>
      <c r="J122" s="20" t="n">
        <v>7</v>
      </c>
      <c r="K122" s="20" t="n">
        <v>16</v>
      </c>
      <c r="L122" s="20" t="n">
        <v>16</v>
      </c>
    </row>
    <row r="123">
      <c r="A123" s="18" t="inlineStr">
        <is>
          <t>기타 충당금</t>
        </is>
      </c>
      <c r="I123" s="20" t="n">
        <v>0</v>
      </c>
    </row>
    <row r="124">
      <c r="A124" s="18" t="inlineStr">
        <is>
          <t>직원 주식급여 충당금</t>
        </is>
      </c>
      <c r="I124" s="20" t="n">
        <v>0</v>
      </c>
      <c r="J124" s="20" t="n">
        <v>7</v>
      </c>
      <c r="K124" s="20" t="n">
        <v>15</v>
      </c>
    </row>
    <row r="125">
      <c r="A125" s="18" t="inlineStr">
        <is>
          <t>직원 주식급여 충당금</t>
        </is>
      </c>
      <c r="C125" s="20" t="n">
        <v>19</v>
      </c>
      <c r="D125" s="20" t="n">
        <v>15</v>
      </c>
      <c r="E125" s="20" t="n">
        <v>15</v>
      </c>
      <c r="F125" s="20" t="n">
        <v>17</v>
      </c>
      <c r="G125" s="20" t="n">
        <v>19</v>
      </c>
      <c r="J125" s="20" t="n">
        <v>7</v>
      </c>
      <c r="K125" s="20" t="n">
        <v>15</v>
      </c>
      <c r="L125" s="20" t="n">
        <v>15</v>
      </c>
    </row>
    <row r="126">
      <c r="A126" s="18" t="inlineStr">
        <is>
          <t>자산복구부채</t>
        </is>
      </c>
      <c r="C126" s="20" t="n">
        <v>257</v>
      </c>
      <c r="D126" s="20" t="n">
        <v>257</v>
      </c>
      <c r="E126" s="20" t="n">
        <v>270</v>
      </c>
      <c r="F126" s="20" t="n">
        <v>270</v>
      </c>
      <c r="G126" s="20" t="n">
        <v>271</v>
      </c>
      <c r="H126" s="20" t="n">
        <v>261</v>
      </c>
      <c r="I126" s="20" t="n">
        <v>248</v>
      </c>
      <c r="J126" s="20" t="n">
        <v>269</v>
      </c>
      <c r="K126" s="20" t="n">
        <v>257</v>
      </c>
      <c r="L126" s="20" t="n">
        <v>270</v>
      </c>
    </row>
    <row r="127">
      <c r="A127" s="18" t="inlineStr">
        <is>
          <t>예수보증금</t>
        </is>
      </c>
      <c r="E127" s="20" t="n">
        <v>107</v>
      </c>
      <c r="H127" s="20" t="n">
        <v>76</v>
      </c>
      <c r="I127" s="20" t="n">
        <v>81</v>
      </c>
      <c r="J127" s="20" t="n">
        <v>99</v>
      </c>
      <c r="K127" s="20" t="n">
        <v>104</v>
      </c>
      <c r="L127" s="20" t="n">
        <v>107</v>
      </c>
    </row>
    <row r="128">
      <c r="A128" s="18" t="inlineStr">
        <is>
          <t>기타</t>
        </is>
      </c>
      <c r="C128" s="20" t="n">
        <v>521</v>
      </c>
      <c r="D128" s="20" t="n">
        <v>479</v>
      </c>
      <c r="E128" s="20" t="n">
        <v>489</v>
      </c>
      <c r="F128" s="20" t="n">
        <v>478</v>
      </c>
      <c r="G128" s="20" t="n">
        <v>451</v>
      </c>
      <c r="H128" s="20" t="n">
        <v>30</v>
      </c>
      <c r="I128" s="20" t="n">
        <v>30</v>
      </c>
      <c r="J128" s="20" t="n">
        <v>0</v>
      </c>
      <c r="K128" s="20" t="n">
        <v>11</v>
      </c>
      <c r="L128" s="20" t="n">
        <v>489</v>
      </c>
    </row>
    <row r="129">
      <c r="A129" s="9" t="inlineStr">
        <is>
          <t>비유동부채 합계</t>
        </is>
      </c>
      <c r="C129" s="12" t="n">
        <v>7124</v>
      </c>
      <c r="D129" s="12" t="n">
        <v>6738</v>
      </c>
      <c r="E129" s="12" t="n">
        <v>6355</v>
      </c>
      <c r="F129" s="12" t="n">
        <v>6027</v>
      </c>
      <c r="G129" s="12" t="n">
        <v>5666</v>
      </c>
      <c r="H129" s="12" t="n">
        <v>11892</v>
      </c>
      <c r="I129" s="12" t="n">
        <v>10260</v>
      </c>
      <c r="J129" s="12" t="n">
        <v>9151</v>
      </c>
      <c r="K129" s="12" t="n">
        <v>7801</v>
      </c>
      <c r="L129" s="12" t="n">
        <v>6355</v>
      </c>
    </row>
    <row r="130">
      <c r="A130" s="9" t="inlineStr">
        <is>
          <t>부채 합계</t>
        </is>
      </c>
      <c r="C130" s="12" t="n">
        <v>32030</v>
      </c>
      <c r="D130" s="12" t="n">
        <v>33464</v>
      </c>
      <c r="E130" s="12" t="n">
        <v>31123</v>
      </c>
      <c r="F130" s="12" t="n">
        <v>30922</v>
      </c>
      <c r="G130" s="12" t="n">
        <v>30421</v>
      </c>
      <c r="H130" s="12" t="n">
        <v>38270</v>
      </c>
      <c r="I130" s="12" t="n">
        <v>36231</v>
      </c>
      <c r="J130" s="12" t="n">
        <v>34713</v>
      </c>
      <c r="K130" s="12" t="n">
        <v>32574</v>
      </c>
      <c r="L130" s="12" t="n">
        <v>31123</v>
      </c>
    </row>
    <row r="131">
      <c r="A131" s="18" t="inlineStr">
        <is>
          <t>자본금</t>
        </is>
      </c>
      <c r="C131" s="20" t="n">
        <v>100</v>
      </c>
      <c r="D131" s="20" t="n">
        <v>100</v>
      </c>
      <c r="E131" s="20" t="n">
        <v>100</v>
      </c>
      <c r="F131" s="20" t="n">
        <v>100</v>
      </c>
      <c r="G131" s="20" t="n">
        <v>100</v>
      </c>
      <c r="H131" s="20" t="n">
        <v>100</v>
      </c>
      <c r="I131" s="20" t="n">
        <v>100</v>
      </c>
      <c r="J131" s="20" t="n">
        <v>100</v>
      </c>
      <c r="K131" s="20" t="n">
        <v>100</v>
      </c>
      <c r="L131" s="20" t="n">
        <v>100</v>
      </c>
    </row>
    <row r="132">
      <c r="A132" s="18" t="inlineStr">
        <is>
          <t>자본잉여금</t>
        </is>
      </c>
      <c r="C132" s="20" t="n">
        <v>924</v>
      </c>
      <c r="D132" s="20" t="n">
        <v>924</v>
      </c>
      <c r="E132" s="20" t="n">
        <v>924</v>
      </c>
      <c r="F132" s="20" t="n">
        <v>924</v>
      </c>
      <c r="G132" s="20" t="n">
        <v>924</v>
      </c>
      <c r="H132" s="20" t="n">
        <v>924</v>
      </c>
      <c r="I132" s="20" t="n">
        <v>924</v>
      </c>
      <c r="J132" s="20" t="n">
        <v>924</v>
      </c>
      <c r="K132" s="20" t="n">
        <v>924</v>
      </c>
      <c r="L132" s="20" t="n">
        <v>924</v>
      </c>
    </row>
    <row r="133">
      <c r="A133" s="18" t="inlineStr">
        <is>
          <t>이익잉여금</t>
        </is>
      </c>
      <c r="C133" s="20" t="n">
        <v>5658</v>
      </c>
      <c r="D133" s="20" t="n">
        <v>5553</v>
      </c>
      <c r="E133" s="20" t="n">
        <v>6002</v>
      </c>
      <c r="F133" s="20" t="n">
        <v>5945</v>
      </c>
      <c r="G133" s="20" t="n">
        <v>5971</v>
      </c>
      <c r="H133" s="20" t="n">
        <v>2632</v>
      </c>
      <c r="I133" s="20" t="n">
        <v>3727</v>
      </c>
      <c r="J133" s="20" t="n">
        <v>4637</v>
      </c>
      <c r="K133" s="20" t="n">
        <v>5579</v>
      </c>
      <c r="L133" s="20" t="n">
        <v>6002</v>
      </c>
    </row>
    <row r="134">
      <c r="A134" s="18" t="inlineStr">
        <is>
          <t>자기주식</t>
        </is>
      </c>
      <c r="C134" s="20" t="n">
        <v>-167</v>
      </c>
      <c r="D134" s="20" t="n">
        <v>-167</v>
      </c>
      <c r="E134" s="20" t="n">
        <v>-167</v>
      </c>
      <c r="F134" s="20" t="n">
        <v>-167</v>
      </c>
      <c r="G134" s="20" t="n">
        <v>-167</v>
      </c>
      <c r="H134" s="20" t="n">
        <v>-27</v>
      </c>
      <c r="I134" s="20" t="n">
        <v>-27</v>
      </c>
      <c r="J134" s="20" t="n">
        <v>-82</v>
      </c>
      <c r="K134" s="20" t="n">
        <v>-82</v>
      </c>
      <c r="L134" s="20" t="n">
        <v>-167</v>
      </c>
    </row>
    <row r="135">
      <c r="A135" s="9" t="inlineStr">
        <is>
          <t>주주자본 합계</t>
        </is>
      </c>
      <c r="C135" s="12" t="n">
        <v>6515</v>
      </c>
      <c r="D135" s="12" t="n">
        <v>6410</v>
      </c>
      <c r="E135" s="12" t="n">
        <v>6859</v>
      </c>
      <c r="F135" s="12" t="n">
        <v>6802</v>
      </c>
      <c r="G135" s="12" t="n">
        <v>6828</v>
      </c>
      <c r="H135" s="12" t="n">
        <v>3629</v>
      </c>
      <c r="I135" s="12" t="n">
        <v>4724</v>
      </c>
      <c r="J135" s="12" t="n">
        <v>5578</v>
      </c>
      <c r="K135" s="12" t="n">
        <v>6521</v>
      </c>
      <c r="L135" s="12" t="n">
        <v>6859</v>
      </c>
    </row>
    <row r="136">
      <c r="A136" s="18" t="inlineStr">
        <is>
          <t>기타유가증권 평가차액</t>
        </is>
      </c>
      <c r="C136" s="20" t="n">
        <v>17</v>
      </c>
      <c r="D136" s="20" t="n">
        <v>18</v>
      </c>
      <c r="E136" s="20" t="n">
        <v>22</v>
      </c>
      <c r="F136" s="20" t="n">
        <v>20</v>
      </c>
      <c r="G136" s="20" t="n">
        <v>20</v>
      </c>
      <c r="H136" s="20" t="n">
        <v>21</v>
      </c>
      <c r="I136" s="20" t="n">
        <v>17</v>
      </c>
      <c r="J136" s="20" t="n">
        <v>20</v>
      </c>
      <c r="K136" s="20" t="n">
        <v>21</v>
      </c>
      <c r="L136" s="20" t="n">
        <v>22</v>
      </c>
    </row>
    <row r="137">
      <c r="A137" s="18" t="inlineStr">
        <is>
          <t>토지재평가차액금</t>
        </is>
      </c>
      <c r="C137" s="20" t="n">
        <v>5281</v>
      </c>
      <c r="D137" s="20" t="n">
        <v>5281</v>
      </c>
      <c r="E137" s="20" t="n">
        <v>5281</v>
      </c>
      <c r="F137" s="20" t="n">
        <v>5281</v>
      </c>
      <c r="G137" s="20" t="n">
        <v>5281</v>
      </c>
      <c r="H137" s="20" t="n">
        <v>5362</v>
      </c>
      <c r="I137" s="20" t="n">
        <v>5362</v>
      </c>
      <c r="J137" s="20" t="n">
        <v>5362</v>
      </c>
      <c r="K137" s="20" t="n">
        <v>5362</v>
      </c>
      <c r="L137" s="20" t="n">
        <v>5281</v>
      </c>
    </row>
    <row r="138">
      <c r="A138" s="18" t="inlineStr">
        <is>
          <t>퇴직급여 조정누계액</t>
        </is>
      </c>
      <c r="C138" s="20" t="n">
        <v>16</v>
      </c>
      <c r="D138" s="20" t="n">
        <v>16</v>
      </c>
      <c r="E138" s="20" t="n">
        <v>43</v>
      </c>
      <c r="F138" s="20" t="n">
        <v>41</v>
      </c>
      <c r="G138" s="20" t="n">
        <v>38</v>
      </c>
      <c r="H138" s="20" t="n">
        <v>16</v>
      </c>
      <c r="I138" s="20" t="n">
        <v>7</v>
      </c>
      <c r="J138" s="20" t="n">
        <v>4</v>
      </c>
      <c r="K138" s="20" t="n">
        <v>15</v>
      </c>
      <c r="L138" s="20" t="n">
        <v>43</v>
      </c>
    </row>
    <row r="139">
      <c r="A139" s="18" t="inlineStr">
        <is>
          <t>기타포괄손익누계액 합계</t>
        </is>
      </c>
      <c r="C139" s="20" t="n">
        <v>5315</v>
      </c>
      <c r="D139" s="20" t="n">
        <v>5316</v>
      </c>
      <c r="E139" s="20" t="n">
        <v>5347</v>
      </c>
      <c r="F139" s="20" t="n">
        <v>5343</v>
      </c>
      <c r="G139" s="20" t="n">
        <v>5341</v>
      </c>
      <c r="H139" s="20" t="n">
        <v>5400</v>
      </c>
      <c r="I139" s="20" t="n">
        <v>5387</v>
      </c>
      <c r="J139" s="20" t="n">
        <v>5387</v>
      </c>
      <c r="K139" s="20" t="n">
        <v>5399</v>
      </c>
      <c r="L139" s="20" t="n">
        <v>5347</v>
      </c>
    </row>
    <row r="140">
      <c r="A140" s="9" t="inlineStr">
        <is>
          <t>순자산 합계</t>
        </is>
      </c>
      <c r="C140" s="12" t="n">
        <v>11831</v>
      </c>
      <c r="D140" s="12" t="n">
        <v>11727</v>
      </c>
      <c r="E140" s="12" t="n">
        <v>12207</v>
      </c>
      <c r="F140" s="12" t="n">
        <v>12146</v>
      </c>
      <c r="G140" s="12" t="n">
        <v>12169</v>
      </c>
      <c r="H140" s="12" t="n">
        <v>9029</v>
      </c>
      <c r="I140" s="12" t="n">
        <v>10111</v>
      </c>
      <c r="J140" s="12" t="n">
        <v>10966</v>
      </c>
      <c r="K140" s="12" t="n">
        <v>11921</v>
      </c>
      <c r="L140" s="12" t="n">
        <v>12207</v>
      </c>
    </row>
    <row r="141">
      <c r="A141" s="9" t="inlineStr">
        <is>
          <t>부채·순자산 합계</t>
        </is>
      </c>
      <c r="C141" s="12" t="n">
        <v>43861</v>
      </c>
      <c r="D141" s="12" t="n">
        <v>45192</v>
      </c>
      <c r="E141" s="12" t="n">
        <v>43330</v>
      </c>
      <c r="F141" s="12" t="n">
        <v>43068</v>
      </c>
      <c r="G141" s="12" t="n">
        <v>42591</v>
      </c>
      <c r="H141" s="12" t="n">
        <v>47300</v>
      </c>
      <c r="I141" s="12" t="n">
        <v>46343</v>
      </c>
      <c r="J141" s="12" t="n">
        <v>45680</v>
      </c>
      <c r="K141" s="12" t="n">
        <v>44495</v>
      </c>
      <c r="L141" s="12" t="n">
        <v>43330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2026-10-14</t>
        </is>
      </c>
      <c r="B4" t="inlineStr">
        <is>
          <t>2027년 2월 결산기 ２분기 결산단신</t>
        </is>
      </c>
      <c r="C4" t="inlineStr">
        <is>
          <t>https://www2.jpx.co.jp/disc/82600/140120261013549679.pdf</t>
        </is>
      </c>
    </row>
    <row r="5">
      <c r="A5" t="inlineStr">
        <is>
          <t>2026-07-10</t>
        </is>
      </c>
      <c r="B5" t="inlineStr">
        <is>
          <t>2027년 2월 결산기 １분기 결산단신</t>
        </is>
      </c>
      <c r="C5" t="inlineStr">
        <is>
          <t>https://www2.jpx.co.jp/disc/82600/140120260709590771.pdf</t>
        </is>
      </c>
    </row>
    <row r="6">
      <c r="A6" t="inlineStr">
        <is>
          <t>2026-04-10</t>
        </is>
      </c>
      <c r="B6" t="inlineStr">
        <is>
          <t>2026년 2월 결산기 연간 결산단신</t>
        </is>
      </c>
      <c r="C6" t="inlineStr">
        <is>
          <t>https://www2.jpx.co.jp/disc/82600/140120260409500799.pdf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https://www2.jpx.co.jp/disc/82600/140120260113532335.pdf</t>
        </is>
      </c>
    </row>
    <row r="8">
      <c r="A8" t="inlineStr">
        <is>
          <t>2025-10-10</t>
        </is>
      </c>
      <c r="B8" t="inlineStr">
        <is>
          <t>2026년 2월 결산기 ２분기 결산단신</t>
        </is>
      </c>
      <c r="C8" t="inlineStr">
        <is>
          <t>https://www2.jpx.co.jp/disc/82600/140120251008570279.pdf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https://www2.jpx.co.jp/disc/82600/140120250709510955.pdf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https://www2.jpx.co.jp/disc/82600/140120250409511706.pdf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https://www2.jpx.co.jp/disc/82600/140120250113549787.pdf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https://www2.jpx.co.jp/disc/82600/140120241010596113.pdf</t>
        </is>
      </c>
    </row>
    <row r="13">
      <c r="A13" t="inlineStr">
        <is>
          <t>2024-07-10</t>
        </is>
      </c>
      <c r="B13" t="inlineStr">
        <is>
          <t>2025년 2월 결산기 １분기 결산단신</t>
        </is>
      </c>
      <c r="C13" t="inlineStr">
        <is>
          <t>https://www2.jpx.co.jp/disc/82600/140120240624535440.pdf</t>
        </is>
      </c>
    </row>
    <row r="14">
      <c r="A14" t="inlineStr">
        <is>
          <t>2024-04-10</t>
        </is>
      </c>
      <c r="B14" t="inlineStr">
        <is>
          <t>2024년 2월 결산기 연간 결산단신</t>
        </is>
      </c>
      <c r="C14" t="inlineStr">
        <is>
          <t>https://www2.jpx.co.jp/disc/82600/140120240320556460.pdf</t>
        </is>
      </c>
    </row>
    <row r="15">
      <c r="A15" t="inlineStr">
        <is>
          <t>2024-01-10</t>
        </is>
      </c>
      <c r="B15" t="inlineStr">
        <is>
          <t>2024년 2월 결산기 ３분기 결산단신</t>
        </is>
      </c>
      <c r="C15" t="inlineStr">
        <is>
          <t>https://www2.jpx.co.jp/disc/82600/140120231225508685.pdf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https://www2.jpx.co.jp/disc/82600/140120230926558719.pdf</t>
        </is>
      </c>
    </row>
    <row r="17">
      <c r="A17" t="inlineStr">
        <is>
          <t>2023-07-11</t>
        </is>
      </c>
      <c r="B17" t="inlineStr">
        <is>
          <t>2024년 2월 결산기 １분기 결산단신</t>
        </is>
      </c>
      <c r="C17" t="inlineStr">
        <is>
          <t>https://www2.jpx.co.jp/disc/82600/140120230623509464.pdf</t>
        </is>
      </c>
    </row>
    <row r="18">
      <c r="A18" t="inlineStr">
        <is>
          <t>2023-04-12</t>
        </is>
      </c>
      <c r="B18" t="inlineStr">
        <is>
          <t>2023년 2월 결산기 연간 결산단신</t>
        </is>
      </c>
      <c r="C18" t="inlineStr">
        <is>
          <t>https://www2.jpx.co.jp/disc/82600/140120230323535188.pdf</t>
        </is>
      </c>
    </row>
    <row r="19">
      <c r="A19" t="inlineStr">
        <is>
          <t>2023-01-11</t>
        </is>
      </c>
      <c r="B19" t="inlineStr">
        <is>
          <t>2023년 2월 결산기 ３분기 결산단신</t>
        </is>
      </c>
      <c r="C19" t="inlineStr">
        <is>
          <t>https://www2.jpx.co.jp/disc/82600/140120221221581620.pdf</t>
        </is>
      </c>
    </row>
    <row r="20">
      <c r="A20" t="inlineStr">
        <is>
          <t>2022-04-13</t>
        </is>
      </c>
      <c r="B20" t="inlineStr">
        <is>
          <t>2022년 2월 결산기 연간 결산단신</t>
        </is>
      </c>
      <c r="C20" t="inlineStr">
        <is>
          <t>https://www2.jpx.co.jp/disc/82600/140120220325511505.pdf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https://www2.jpx.co.jp/disc/82600/140120210330487326.pdf</t>
        </is>
      </c>
    </row>
    <row r="22">
      <c r="A22" t="inlineStr">
        <is>
          <t>2020-04-10</t>
        </is>
      </c>
      <c r="B22" t="inlineStr">
        <is>
          <t>2020년 2월 결산기 연간 결산단신</t>
        </is>
      </c>
      <c r="C22" t="inlineStr">
        <is>
          <t>https://www2.jpx.co.jp/disc/82600/140120200321482179.pdf</t>
        </is>
      </c>
    </row>
    <row r="23">
      <c r="A23" t="inlineStr">
        <is>
          <t>2019-04-10</t>
        </is>
      </c>
      <c r="B23" t="inlineStr">
        <is>
          <t>2019년 2월 결산기 연간 결산단신</t>
        </is>
      </c>
      <c r="C23" t="inlineStr">
        <is>
          <t>https://www2.jpx.co.jp/disc/82600/140120190321493379.pdf</t>
        </is>
      </c>
    </row>
    <row r="24">
      <c r="A24" t="inlineStr">
        <is>
          <t>2018-04-10</t>
        </is>
      </c>
      <c r="B24" t="inlineStr">
        <is>
          <t>연간 결산단신</t>
        </is>
      </c>
      <c r="C24" t="inlineStr">
        <is>
          <t>https://www2.jpx.co.jp/disc/82600/140120180326497677.pdf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2026-10-27T05:47:00Z</dcterms:created>
  <dcterms:modified xmlns:dcterms="http://purl.org/dc/terms/" xmlns:xsi="http://www.w3.org/2001/XMLSchema-instance" xsi:type="dcterms:W3CDTF">2026-10-27T05:47:01Z</dcterms:modified>
</cp:coreProperties>
</file>