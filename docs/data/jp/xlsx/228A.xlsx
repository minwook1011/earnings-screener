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오프로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11월 결산 · 일본 기준 · 2026.3Q = 2026년 11월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>
        <v>523.6420000000001</v>
      </c>
      <c r="G4" s="12" t="n">
        <v>557.123</v>
      </c>
      <c r="H4" s="12" t="n">
        <v>580.203</v>
      </c>
      <c r="I4" s="12" t="n">
        <v>620.298</v>
      </c>
      <c r="J4" s="12" t="n">
        <v>661.683</v>
      </c>
      <c r="K4" s="12" t="n">
        <v>690.417</v>
      </c>
      <c r="L4" s="12" t="n">
        <v>661.744</v>
      </c>
      <c r="M4" s="12" t="n">
        <v>698.7569999999999</v>
      </c>
      <c r="N4" s="12" t="n">
        <v>789.92</v>
      </c>
      <c r="O4" s="11" t="n"/>
      <c r="P4" s="12" t="n"/>
      <c r="Q4" s="12" t="n"/>
      <c r="R4" s="12" t="n"/>
      <c r="S4" s="12" t="n"/>
      <c r="T4" s="12" t="n"/>
      <c r="U4" s="12" t="n"/>
      <c r="V4" s="12" t="n">
        <v>1618.158</v>
      </c>
      <c r="W4" s="12" t="n">
        <v>2104.685</v>
      </c>
      <c r="X4" s="12" t="n">
        <v>2552.601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>
        <v>270.313</v>
      </c>
      <c r="G11" s="22" t="n">
        <v>277.651</v>
      </c>
      <c r="H11" s="22" t="n">
        <v>280.454</v>
      </c>
      <c r="I11" s="22" t="n">
        <v>271.476</v>
      </c>
      <c r="J11" s="22" t="n">
        <v>301.698</v>
      </c>
      <c r="K11" s="22" t="n">
        <v>315.769</v>
      </c>
      <c r="L11" s="22" t="n">
        <v>293.86</v>
      </c>
      <c r="M11" s="22" t="n">
        <v>307.138</v>
      </c>
      <c r="N11" s="22" t="n">
        <v>344.394</v>
      </c>
      <c r="O11" s="21" t="n"/>
      <c r="P11" s="22" t="n"/>
      <c r="Q11" s="22" t="n"/>
      <c r="R11" s="22" t="n"/>
      <c r="S11" s="22" t="n"/>
      <c r="T11" s="22" t="n"/>
      <c r="U11" s="22" t="n"/>
      <c r="V11" s="22" t="n">
        <v>817.385</v>
      </c>
      <c r="W11" s="22" t="n">
        <v>1066.199</v>
      </c>
      <c r="X11" s="22" t="n">
        <v>1169.397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/>
      <c r="D17" s="22" t="n"/>
      <c r="E17" s="22" t="n"/>
      <c r="F17" s="22" t="n">
        <v>228.704</v>
      </c>
      <c r="G17" s="22" t="n">
        <v>249.244</v>
      </c>
      <c r="H17" s="22" t="n">
        <v>229.246</v>
      </c>
      <c r="I17" s="22" t="n">
        <v>248.3</v>
      </c>
      <c r="J17" s="22" t="n">
        <v>254.849</v>
      </c>
      <c r="K17" s="22" t="n">
        <v>319.508</v>
      </c>
      <c r="L17" s="22" t="n">
        <v>280.264</v>
      </c>
      <c r="M17" s="22" t="n">
        <v>276.073</v>
      </c>
      <c r="N17" s="22" t="n">
        <v>281.862</v>
      </c>
      <c r="O17" s="21" t="n"/>
      <c r="P17" s="22" t="n"/>
      <c r="Q17" s="22" t="n"/>
      <c r="R17" s="22" t="n"/>
      <c r="S17" s="22" t="n"/>
      <c r="T17" s="22" t="n"/>
      <c r="U17" s="22" t="n"/>
      <c r="V17" s="22" t="n">
        <v>689.581</v>
      </c>
      <c r="W17" s="22" t="n">
        <v>824.27</v>
      </c>
      <c r="X17" s="22" t="n">
        <v>1051.903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/>
      <c r="D19" s="12" t="n"/>
      <c r="E19" s="12" t="n"/>
      <c r="F19" s="12" t="n">
        <v>24.624</v>
      </c>
      <c r="G19" s="12" t="n">
        <v>30.229</v>
      </c>
      <c r="H19" s="12" t="n">
        <v>70.502</v>
      </c>
      <c r="I19" s="12" t="n">
        <v>100.522</v>
      </c>
      <c r="J19" s="12" t="n">
        <v>105.136</v>
      </c>
      <c r="K19" s="12" t="n">
        <v>55.139</v>
      </c>
      <c r="L19" s="12" t="n">
        <v>87.619</v>
      </c>
      <c r="M19" s="12" t="n">
        <v>115.546</v>
      </c>
      <c r="N19" s="12" t="n">
        <v>163.664</v>
      </c>
      <c r="O19" s="11" t="n"/>
      <c r="P19" s="12" t="n"/>
      <c r="Q19" s="12" t="n"/>
      <c r="R19" s="12" t="n"/>
      <c r="S19" s="12" t="n"/>
      <c r="T19" s="12" t="n"/>
      <c r="U19" s="12" t="n"/>
      <c r="V19" s="12" t="n">
        <v>111.191</v>
      </c>
      <c r="W19" s="12" t="n">
        <v>214.215</v>
      </c>
      <c r="X19" s="12" t="n">
        <v>331.299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>
        <v>0</v>
      </c>
      <c r="G35" s="22" t="n">
        <v>0</v>
      </c>
      <c r="H35" s="22" t="n"/>
      <c r="I35" s="22" t="n"/>
      <c r="J35" s="22" t="n">
        <v>0</v>
      </c>
      <c r="K35" s="22" t="n">
        <v>0</v>
      </c>
      <c r="L35" s="22" t="n"/>
      <c r="M35" s="22" t="n"/>
      <c r="N35" s="22" t="n">
        <v>0</v>
      </c>
      <c r="O35" s="21" t="n"/>
      <c r="P35" s="22" t="n"/>
      <c r="Q35" s="22" t="n"/>
      <c r="R35" s="22" t="n"/>
      <c r="S35" s="22" t="n"/>
      <c r="T35" s="22" t="n"/>
      <c r="U35" s="22" t="n"/>
      <c r="V35" s="22" t="n">
        <v>0</v>
      </c>
      <c r="W35" s="22" t="n">
        <v>0.001</v>
      </c>
      <c r="X35" s="22" t="n">
        <v>0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>
        <v>0</v>
      </c>
      <c r="G37" s="22" t="n">
        <v>0</v>
      </c>
      <c r="H37" s="22" t="n"/>
      <c r="I37" s="22" t="n"/>
      <c r="J37" s="22" t="n">
        <v>7.878</v>
      </c>
      <c r="K37" s="22" t="n">
        <v>2.104</v>
      </c>
      <c r="L37" s="22" t="n"/>
      <c r="M37" s="22" t="n"/>
      <c r="N37" s="22" t="n">
        <v>0</v>
      </c>
      <c r="O37" s="21" t="n"/>
      <c r="P37" s="22" t="n"/>
      <c r="Q37" s="22" t="n"/>
      <c r="R37" s="22" t="n"/>
      <c r="S37" s="22" t="n"/>
      <c r="T37" s="22" t="n"/>
      <c r="U37" s="22" t="n"/>
      <c r="V37" s="22" t="n">
        <v>0.482</v>
      </c>
      <c r="W37" s="22" t="n">
        <v>0</v>
      </c>
      <c r="X37" s="22" t="n">
        <v>21.928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/>
      <c r="D39" s="22" t="n"/>
      <c r="E39" s="22" t="n"/>
      <c r="F39" s="22" t="n">
        <v>0.065</v>
      </c>
      <c r="G39" s="22" t="n">
        <v>0.003</v>
      </c>
      <c r="H39" s="22" t="n">
        <v>0.801</v>
      </c>
      <c r="I39" s="22" t="n">
        <v>0</v>
      </c>
      <c r="J39" s="22" t="n">
        <v>1.565</v>
      </c>
      <c r="K39" s="22" t="n">
        <v>3.391</v>
      </c>
      <c r="L39" s="22" t="n">
        <v>3.271</v>
      </c>
      <c r="M39" s="22" t="n">
        <v>3.863</v>
      </c>
      <c r="N39" s="22" t="n">
        <v>4.255</v>
      </c>
      <c r="O39" s="21" t="n"/>
      <c r="P39" s="22" t="n"/>
      <c r="Q39" s="22" t="n"/>
      <c r="R39" s="22" t="n"/>
      <c r="S39" s="22" t="n"/>
      <c r="T39" s="22" t="n"/>
      <c r="U39" s="22" t="n"/>
      <c r="V39" s="22" t="n">
        <v>1.613</v>
      </c>
      <c r="W39" s="22" t="n">
        <v>0.078</v>
      </c>
      <c r="X39" s="22" t="n">
        <v>5.757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/>
      <c r="D41" s="22" t="n"/>
      <c r="E41" s="22" t="n"/>
      <c r="F41" s="22" t="n">
        <v>0.757</v>
      </c>
      <c r="G41" s="22" t="n">
        <v>2.797</v>
      </c>
      <c r="H41" s="22" t="n">
        <v>0.003</v>
      </c>
      <c r="I41" s="22" t="n">
        <v>0.015</v>
      </c>
      <c r="J41" s="22" t="n">
        <v>0.032</v>
      </c>
      <c r="K41" s="22" t="n">
        <v>-0.028</v>
      </c>
      <c r="L41" s="22" t="n">
        <v>0.007</v>
      </c>
      <c r="M41" s="22" t="n">
        <v>0.286</v>
      </c>
      <c r="N41" s="22" t="n">
        <v>-0.002</v>
      </c>
      <c r="O41" s="21" t="n"/>
      <c r="P41" s="22" t="n"/>
      <c r="Q41" s="22" t="n"/>
      <c r="R41" s="22" t="n"/>
      <c r="S41" s="22" t="n"/>
      <c r="T41" s="22" t="n"/>
      <c r="U41" s="22" t="n"/>
      <c r="V41" s="22" t="n">
        <v>2.85</v>
      </c>
      <c r="W41" s="22" t="n">
        <v>3.554</v>
      </c>
      <c r="X41" s="22" t="n">
        <v>0.022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/>
      <c r="D43" s="12" t="n"/>
      <c r="E43" s="12" t="n"/>
      <c r="F43" s="12" t="n">
        <v>23.932</v>
      </c>
      <c r="G43" s="12" t="n">
        <v>27.436</v>
      </c>
      <c r="H43" s="12" t="n">
        <v>71.3</v>
      </c>
      <c r="I43" s="12" t="n">
        <v>88.56</v>
      </c>
      <c r="J43" s="12" t="n">
        <v>98.79300000000001</v>
      </c>
      <c r="K43" s="12" t="n">
        <v>56.452</v>
      </c>
      <c r="L43" s="12" t="n">
        <v>90.88200000000001</v>
      </c>
      <c r="M43" s="12" t="n">
        <v>119.159</v>
      </c>
      <c r="N43" s="12" t="n">
        <v>167.922</v>
      </c>
      <c r="O43" s="11" t="n"/>
      <c r="P43" s="12" t="n"/>
      <c r="Q43" s="12" t="n"/>
      <c r="R43" s="12" t="n"/>
      <c r="S43" s="12" t="n"/>
      <c r="T43" s="12" t="n"/>
      <c r="U43" s="12" t="n"/>
      <c r="V43" s="12" t="n">
        <v>109.471</v>
      </c>
      <c r="W43" s="12" t="n">
        <v>210.741</v>
      </c>
      <c r="X43" s="12" t="n">
        <v>315.105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/>
      <c r="D45" s="22" t="n"/>
      <c r="E45" s="22" t="n"/>
      <c r="F45" s="22" t="n">
        <v>8.278</v>
      </c>
      <c r="G45" s="22" t="n">
        <v>-4.066</v>
      </c>
      <c r="H45" s="22" t="n">
        <v>22.87</v>
      </c>
      <c r="I45" s="22" t="n">
        <v>27.037</v>
      </c>
      <c r="J45" s="22" t="n">
        <v>30.983</v>
      </c>
      <c r="K45" s="22" t="n">
        <v>-6.98</v>
      </c>
      <c r="L45" s="22" t="n">
        <v>28.3</v>
      </c>
      <c r="M45" s="22" t="n">
        <v>36.884</v>
      </c>
      <c r="N45" s="22" t="n">
        <v>51.836</v>
      </c>
      <c r="O45" s="21" t="n"/>
      <c r="P45" s="22" t="n"/>
      <c r="Q45" s="22" t="n"/>
      <c r="R45" s="22" t="n"/>
      <c r="S45" s="22" t="n"/>
      <c r="T45" s="22" t="n"/>
      <c r="U45" s="22" t="n"/>
      <c r="V45" s="22" t="n">
        <v>13.636</v>
      </c>
      <c r="W45" s="22" t="n">
        <v>59.868</v>
      </c>
      <c r="X45" s="22" t="n">
        <v>73.91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/>
      <c r="D47" s="12" t="n"/>
      <c r="E47" s="12" t="n"/>
      <c r="F47" s="12" t="n">
        <v>15.654</v>
      </c>
      <c r="G47" s="12" t="n">
        <v>31.501</v>
      </c>
      <c r="H47" s="12" t="n">
        <v>48.43</v>
      </c>
      <c r="I47" s="12" t="n">
        <v>61.523</v>
      </c>
      <c r="J47" s="12" t="n">
        <v>67.809</v>
      </c>
      <c r="K47" s="12" t="n">
        <v>63.433</v>
      </c>
      <c r="L47" s="12" t="n">
        <v>62.582</v>
      </c>
      <c r="M47" s="12" t="n">
        <v>82.274</v>
      </c>
      <c r="N47" s="12" t="n">
        <v>116.087</v>
      </c>
      <c r="O47" s="11" t="n"/>
      <c r="P47" s="12" t="n"/>
      <c r="Q47" s="12" t="n"/>
      <c r="R47" s="12" t="n"/>
      <c r="S47" s="12" t="n"/>
      <c r="T47" s="12" t="n"/>
      <c r="U47" s="12" t="n"/>
      <c r="V47" s="12" t="n">
        <v>95.834</v>
      </c>
      <c r="W47" s="12" t="n">
        <v>150.872</v>
      </c>
      <c r="X47" s="12" t="n">
        <v>241.195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/>
      <c r="D49" s="12" t="n"/>
      <c r="E49" s="12" t="n"/>
      <c r="F49" s="12" t="n">
        <v>15.654</v>
      </c>
      <c r="G49" s="12" t="n">
        <v>31.501</v>
      </c>
      <c r="H49" s="12" t="n">
        <v>48.43</v>
      </c>
      <c r="I49" s="12" t="n">
        <v>61.523</v>
      </c>
      <c r="J49" s="12" t="n">
        <v>67.809</v>
      </c>
      <c r="K49" s="12" t="n">
        <v>63.433</v>
      </c>
      <c r="L49" s="12" t="n">
        <v>62.582</v>
      </c>
      <c r="M49" s="12" t="n">
        <v>82.274</v>
      </c>
      <c r="N49" s="12" t="n">
        <v>116.087</v>
      </c>
      <c r="O49" s="11" t="n"/>
      <c r="P49" s="12" t="n"/>
      <c r="Q49" s="12" t="n"/>
      <c r="R49" s="12" t="n"/>
      <c r="S49" s="12" t="n"/>
      <c r="T49" s="12" t="n"/>
      <c r="U49" s="12" t="n"/>
      <c r="V49" s="12" t="n">
        <v>95.834</v>
      </c>
      <c r="W49" s="12" t="n">
        <v>150.872</v>
      </c>
      <c r="X49" s="12" t="n">
        <v>241.195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1693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2346050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매출액</t>
        </is>
      </c>
      <c r="F84" s="12" t="n">
        <v>523.6420000000001</v>
      </c>
      <c r="G84" s="12" t="n">
        <v>557.123</v>
      </c>
      <c r="H84" s="12" t="n">
        <v>580.203</v>
      </c>
      <c r="I84" s="12" t="n">
        <v>620.298</v>
      </c>
      <c r="J84" s="12" t="n">
        <v>661.683</v>
      </c>
      <c r="K84" s="12" t="n">
        <v>690.417</v>
      </c>
      <c r="L84" s="12" t="n">
        <v>661.744</v>
      </c>
      <c r="M84" s="12" t="n">
        <v>698.7569999999999</v>
      </c>
      <c r="N84" s="12" t="n">
        <v>789.92</v>
      </c>
      <c r="W84" s="12" t="n">
        <v>557.123</v>
      </c>
      <c r="X84" s="12" t="n">
        <v>690.417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F86" s="22" t="n">
        <v>270.313</v>
      </c>
      <c r="G86" s="22" t="n">
        <v>277.651</v>
      </c>
      <c r="H86" s="22" t="n">
        <v>280.454</v>
      </c>
      <c r="I86" s="22" t="n">
        <v>271.476</v>
      </c>
      <c r="J86" s="22" t="n">
        <v>301.698</v>
      </c>
      <c r="K86" s="22" t="n">
        <v>315.769</v>
      </c>
      <c r="L86" s="22" t="n">
        <v>293.86</v>
      </c>
      <c r="M86" s="22" t="n">
        <v>307.138</v>
      </c>
      <c r="N86" s="22" t="n">
        <v>344.394</v>
      </c>
      <c r="W86" s="22" t="n">
        <v>277.651</v>
      </c>
      <c r="X86" s="22" t="n">
        <v>315.769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F88" s="12" t="n">
        <v>253.329</v>
      </c>
      <c r="G88" s="12" t="n">
        <v>279.473</v>
      </c>
      <c r="H88" s="12" t="n">
        <v>299.749</v>
      </c>
      <c r="I88" s="12" t="n">
        <v>348.822</v>
      </c>
      <c r="J88" s="12" t="n">
        <v>359.985</v>
      </c>
      <c r="K88" s="12" t="n">
        <v>374.647</v>
      </c>
      <c r="L88" s="12" t="n">
        <v>367.884</v>
      </c>
      <c r="M88" s="12" t="n">
        <v>391.618</v>
      </c>
      <c r="N88" s="12" t="n">
        <v>445.527</v>
      </c>
      <c r="W88" s="12" t="n">
        <v>279.473</v>
      </c>
      <c r="X88" s="12" t="n">
        <v>374.647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F90" s="22" t="n">
        <v>228.704</v>
      </c>
      <c r="G90" s="22" t="n">
        <v>249.244</v>
      </c>
      <c r="H90" s="22" t="n">
        <v>229.246</v>
      </c>
      <c r="I90" s="22" t="n">
        <v>248.3</v>
      </c>
      <c r="J90" s="22" t="n">
        <v>254.849</v>
      </c>
      <c r="K90" s="22" t="n">
        <v>319.508</v>
      </c>
      <c r="L90" s="22" t="n">
        <v>280.264</v>
      </c>
      <c r="M90" s="22" t="n">
        <v>276.073</v>
      </c>
      <c r="N90" s="22" t="n">
        <v>281.862</v>
      </c>
      <c r="W90" s="22" t="n">
        <v>249.244</v>
      </c>
      <c r="X90" s="22" t="n">
        <v>319.508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F92" s="12" t="n">
        <v>24.624</v>
      </c>
      <c r="G92" s="12" t="n">
        <v>30.229</v>
      </c>
      <c r="H92" s="12" t="n">
        <v>70.502</v>
      </c>
      <c r="I92" s="12" t="n">
        <v>100.522</v>
      </c>
      <c r="J92" s="12" t="n">
        <v>105.136</v>
      </c>
      <c r="K92" s="12" t="n">
        <v>55.139</v>
      </c>
      <c r="L92" s="12" t="n">
        <v>87.619</v>
      </c>
      <c r="M92" s="12" t="n">
        <v>115.546</v>
      </c>
      <c r="N92" s="12" t="n">
        <v>163.664</v>
      </c>
      <c r="W92" s="12" t="n">
        <v>30.229</v>
      </c>
      <c r="X92" s="12" t="n">
        <v>55.139</v>
      </c>
    </row>
    <row r="93">
      <c r="A93" s="45" t="inlineStr">
        <is>
          <t>OPM</t>
        </is>
      </c>
      <c r="B93" s="3" t="inlineStr">
        <is>
          <t>영업이익 ÷ 매출</t>
        </is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F95" s="22" t="n">
        <v>0.068</v>
      </c>
      <c r="G95" s="22" t="n">
        <v>0</v>
      </c>
      <c r="H95" s="22" t="n">
        <v>0.801</v>
      </c>
      <c r="I95" s="22" t="n">
        <v>0</v>
      </c>
      <c r="J95" s="22" t="n">
        <v>1.565</v>
      </c>
      <c r="K95" s="22" t="n">
        <v>0.653</v>
      </c>
      <c r="L95" s="22" t="n">
        <v>0.578</v>
      </c>
      <c r="M95" s="22" t="n">
        <v>0.649</v>
      </c>
      <c r="N95" s="22" t="n">
        <v>0.923</v>
      </c>
      <c r="W95" s="22" t="n">
        <v>0</v>
      </c>
      <c r="X95" s="22" t="n">
        <v>0.653</v>
      </c>
    </row>
    <row r="96">
      <c r="A96" s="20" t="inlineStr">
        <is>
          <t>배당금수익</t>
        </is>
      </c>
      <c r="H96" s="22" t="n">
        <v>0</v>
      </c>
      <c r="I96" s="22" t="n">
        <v>0</v>
      </c>
      <c r="J96" s="22" t="n">
        <v>0</v>
      </c>
      <c r="K96" s="22" t="n">
        <v>2.722</v>
      </c>
      <c r="L96" s="22" t="n">
        <v>2.692</v>
      </c>
      <c r="M96" s="22" t="n">
        <v>2.811</v>
      </c>
      <c r="N96" s="22" t="n">
        <v>3.327</v>
      </c>
      <c r="X96" s="22" t="n">
        <v>2.722</v>
      </c>
    </row>
    <row r="97">
      <c r="A97" s="20" t="inlineStr">
        <is>
          <t>기타</t>
        </is>
      </c>
      <c r="F97" s="22" t="n">
        <v>-0.002</v>
      </c>
      <c r="G97" s="22" t="n">
        <v>0.002</v>
      </c>
      <c r="J97" s="22" t="n">
        <v>0</v>
      </c>
      <c r="K97" s="22" t="n">
        <v>0.015</v>
      </c>
      <c r="N97" s="22" t="n">
        <v>0.006</v>
      </c>
      <c r="W97" s="22" t="n">
        <v>0.002</v>
      </c>
      <c r="X97" s="22" t="n">
        <v>0.015</v>
      </c>
    </row>
    <row r="98">
      <c r="A98" s="20" t="inlineStr">
        <is>
          <t>영업외수익 합계</t>
        </is>
      </c>
      <c r="F98" s="22" t="n">
        <v>0.065</v>
      </c>
      <c r="G98" s="22" t="n">
        <v>0.003</v>
      </c>
      <c r="H98" s="22" t="n">
        <v>0.801</v>
      </c>
      <c r="I98" s="22" t="n">
        <v>0</v>
      </c>
      <c r="J98" s="22" t="n">
        <v>1.565</v>
      </c>
      <c r="K98" s="22" t="n">
        <v>3.391</v>
      </c>
      <c r="L98" s="22" t="n">
        <v>3.271</v>
      </c>
      <c r="M98" s="22" t="n">
        <v>3.863</v>
      </c>
      <c r="N98" s="22" t="n">
        <v>4.255</v>
      </c>
      <c r="W98" s="22" t="n">
        <v>0.003</v>
      </c>
      <c r="X98" s="22" t="n">
        <v>3.391</v>
      </c>
    </row>
    <row r="99">
      <c r="A99" s="45" t="inlineStr">
        <is>
          <t>YoY</t>
        </is>
      </c>
      <c r="B99" s="3" t="inlineStr">
        <is>
          <t>전년 같은 분기·전년 대비</t>
        </is>
      </c>
      <c r="G99" s="17">
        <f>IF(OR(G98="",C98=""),"",IF(G98*C98&lt;=0,"",IFERROR(G98/C98-1,"")))</f>
        <v/>
      </c>
      <c r="H99" s="17">
        <f>IF(OR(H98="",D98=""),"",IF(H98*D98&lt;=0,"",IFERROR(H98/D98-1,"")))</f>
        <v/>
      </c>
      <c r="I99" s="17">
        <f>IF(OR(I98="",E98=""),"",IF(I98*E98&lt;=0,"",IFERROR(I98/E98-1,"")))</f>
        <v/>
      </c>
      <c r="J99" s="17">
        <f>IF(OR(J98="",F98=""),"",IF(J98*F98&lt;=0,"",IFERROR(J98/F98-1,"")))</f>
        <v/>
      </c>
      <c r="K99" s="17">
        <f>IF(OR(K98="",G98=""),"",IF(K98*G98&lt;=0,"",IFERROR(K98/G98-1,"")))</f>
        <v/>
      </c>
      <c r="L99" s="17">
        <f>IF(OR(L98="",H98=""),"",IF(L98*H98&lt;=0,"",IFERROR(L98/H98-1,"")))</f>
        <v/>
      </c>
      <c r="M99" s="17">
        <f>IF(OR(M98="",I98=""),"",IF(M98*I98&lt;=0,"",IFERROR(M98/I98-1,"")))</f>
        <v/>
      </c>
      <c r="N99" s="17">
        <f>IF(OR(N98="",J98=""),"",IF(N98*J98&lt;=0,"",IFERROR(N98/J98-1,"")))</f>
        <v/>
      </c>
      <c r="W99" s="17">
        <f>IF(OR(W98="",V98=""),"",IF(W98*V98&lt;=0,"",IFERROR(W98/V98-1,"")))</f>
        <v/>
      </c>
      <c r="X99" s="17">
        <f>IF(OR(X98="",W98=""),"",IF(X98*W98&lt;=0,"",IFERROR(X98/W98-1,"")))</f>
        <v/>
      </c>
    </row>
    <row r="100">
      <c r="A100" s="20" t="inlineStr">
        <is>
          <t>기타</t>
        </is>
      </c>
      <c r="G100" s="22" t="n">
        <v>2.73</v>
      </c>
      <c r="H100" s="22" t="n">
        <v>0.003</v>
      </c>
      <c r="K100" s="22" t="n">
        <v>-0.05</v>
      </c>
      <c r="L100" s="22" t="n">
        <v>0.007</v>
      </c>
      <c r="W100" s="22" t="n">
        <v>2.73</v>
      </c>
      <c r="X100" s="22" t="n">
        <v>-0.05</v>
      </c>
    </row>
    <row r="101">
      <c r="A101" s="20" t="inlineStr">
        <is>
          <t>외환차손</t>
        </is>
      </c>
      <c r="J101" s="22" t="n">
        <v>0.032</v>
      </c>
      <c r="K101" s="22" t="n">
        <v>-0.028</v>
      </c>
      <c r="N101" s="22" t="n">
        <v>-0.002</v>
      </c>
      <c r="X101" s="22" t="n">
        <v>-0.028</v>
      </c>
    </row>
    <row r="102">
      <c r="A102" s="20" t="inlineStr">
        <is>
          <t>지급수수료</t>
        </is>
      </c>
      <c r="J102" s="22" t="n">
        <v>0</v>
      </c>
      <c r="N102" s="22" t="n">
        <v>0</v>
      </c>
    </row>
    <row r="103">
      <c r="A103" s="20" t="inlineStr">
        <is>
          <t>영업외비용 합계</t>
        </is>
      </c>
      <c r="F103" s="22" t="n">
        <v>0.757</v>
      </c>
      <c r="G103" s="22" t="n">
        <v>2.797</v>
      </c>
      <c r="H103" s="22" t="n">
        <v>0.003</v>
      </c>
      <c r="I103" s="22" t="n">
        <v>0.015</v>
      </c>
      <c r="J103" s="22" t="n">
        <v>0.032</v>
      </c>
      <c r="K103" s="22" t="n">
        <v>-0.028</v>
      </c>
      <c r="L103" s="22" t="n">
        <v>0.007</v>
      </c>
      <c r="M103" s="22" t="n">
        <v>0.286</v>
      </c>
      <c r="N103" s="22" t="n">
        <v>-0.002</v>
      </c>
      <c r="W103" s="22" t="n">
        <v>2.797</v>
      </c>
      <c r="X103" s="22" t="n">
        <v>-0.028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K104" s="17">
        <f>IF(OR(K103="",G103=""),"",IF(K103*G103&lt;=0,"",IFERROR(K103/G103-1,"")))</f>
        <v/>
      </c>
      <c r="L104" s="17">
        <f>IF(OR(L103="",H103=""),"",IF(L103*H103&lt;=0,"",IFERROR(L103/H103-1,"")))</f>
        <v/>
      </c>
      <c r="M104" s="17">
        <f>IF(OR(M103="",I103=""),"",IF(M103*I103&lt;=0,"",IFERROR(M103/I103-1,"")))</f>
        <v/>
      </c>
      <c r="N104" s="17">
        <f>IF(OR(N103="",J103=""),"",IF(N103*J103&lt;=0,"",IFERROR(N103/J103-1,"")))</f>
        <v/>
      </c>
      <c r="W104" s="17">
        <f>IF(OR(W103="",V103=""),"",IF(W103*V103&lt;=0,"",IFERROR(W103/V103-1,"")))</f>
        <v/>
      </c>
      <c r="X104" s="17">
        <f>IF(OR(X103="",W103=""),"",IF(X103*W103&lt;=0,"",IFERROR(X103/W103-1,"")))</f>
        <v/>
      </c>
    </row>
    <row r="105">
      <c r="A105" s="9" t="inlineStr">
        <is>
          <t>경상이익</t>
        </is>
      </c>
      <c r="F105" s="12" t="n">
        <v>23.932</v>
      </c>
      <c r="G105" s="12" t="n">
        <v>27.435</v>
      </c>
      <c r="H105" s="12" t="n">
        <v>71.3</v>
      </c>
      <c r="I105" s="12" t="n">
        <v>100.507</v>
      </c>
      <c r="J105" s="12" t="n">
        <v>106.67</v>
      </c>
      <c r="K105" s="12" t="n">
        <v>58.557</v>
      </c>
      <c r="L105" s="12" t="n">
        <v>90.88200000000001</v>
      </c>
      <c r="M105" s="12" t="n">
        <v>119.124</v>
      </c>
      <c r="N105" s="12" t="n">
        <v>167.922</v>
      </c>
      <c r="W105" s="12" t="n">
        <v>27.435</v>
      </c>
      <c r="X105" s="12" t="n">
        <v>58.557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IF(OR(G105="",C105=""),"",IF(C105&lt;=0,"",IFERROR(G105/C105-1,"")))</f>
        <v/>
      </c>
      <c r="H106" s="17">
        <f>IF(OR(H105="",D105=""),"",IF(D105&lt;=0,"",IFERROR(H105/D105-1,"")))</f>
        <v/>
      </c>
      <c r="I106" s="17">
        <f>IF(OR(I105="",E105=""),"",IF(E105&lt;=0,"",IFERROR(I105/E105-1,"")))</f>
        <v/>
      </c>
      <c r="J106" s="17">
        <f>IF(OR(J105="",F105=""),"",IF(F105&lt;=0,"",IFERROR(J105/F105-1,"")))</f>
        <v/>
      </c>
      <c r="K106" s="17">
        <f>IF(OR(K105="",G105=""),"",IF(G105&lt;=0,"",IFERROR(K105/G105-1,"")))</f>
        <v/>
      </c>
      <c r="L106" s="17">
        <f>IF(OR(L105="",H105=""),"",IF(H105&lt;=0,"",IFERROR(L105/H105-1,"")))</f>
        <v/>
      </c>
      <c r="M106" s="17">
        <f>IF(OR(M105="",I105=""),"",IF(I105&lt;=0,"",IFERROR(M105/I105-1,"")))</f>
        <v/>
      </c>
      <c r="N106" s="17">
        <f>IF(OR(N105="",J105=""),"",IF(J105&lt;=0,"",IFERROR(N105/J105-1,"")))</f>
        <v/>
      </c>
      <c r="W106" s="17">
        <f>IF(OR(W105="",V105=""),"",IF(V105&lt;=0,"",IFERROR(W105/V105-1,"")))</f>
        <v/>
      </c>
      <c r="X106" s="17">
        <f>IF(OR(X105="",W105=""),"",IF(W105&lt;=0,"",IFERROR(X105/W105-1,"")))</f>
        <v/>
      </c>
    </row>
    <row r="107">
      <c r="A107" s="20" t="inlineStr">
        <is>
          <t>고정자산 매각이익</t>
        </is>
      </c>
      <c r="F107" s="22" t="n">
        <v>0</v>
      </c>
      <c r="G107" s="22" t="n">
        <v>0</v>
      </c>
      <c r="J107" s="22" t="n">
        <v>0</v>
      </c>
      <c r="K107" s="22" t="n">
        <v>0</v>
      </c>
      <c r="N107" s="22" t="n">
        <v>0</v>
      </c>
      <c r="W107" s="22" t="n">
        <v>0</v>
      </c>
      <c r="X107" s="22" t="n">
        <v>0</v>
      </c>
    </row>
    <row r="108">
      <c r="A108" s="20" t="inlineStr">
        <is>
          <t>특별이익 합계</t>
        </is>
      </c>
      <c r="F108" s="22" t="n">
        <v>0</v>
      </c>
      <c r="G108" s="22" t="n">
        <v>0</v>
      </c>
      <c r="J108" s="22" t="n">
        <v>0</v>
      </c>
      <c r="K108" s="22" t="n">
        <v>0</v>
      </c>
      <c r="N108" s="22" t="n">
        <v>0</v>
      </c>
      <c r="W108" s="22" t="n">
        <v>0</v>
      </c>
      <c r="X108" s="22" t="n">
        <v>0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IF(OR(G108="",C108=""),"",IF(G108*C108&lt;=0,"",IFERROR(G108/C108-1,"")))</f>
        <v/>
      </c>
      <c r="J109" s="17">
        <f>IF(OR(J108="",F108=""),"",IF(J108*F108&lt;=0,"",IFERROR(J108/F108-1,"")))</f>
        <v/>
      </c>
      <c r="K109" s="17">
        <f>IF(OR(K108="",G108=""),"",IF(K108*G108&lt;=0,"",IFERROR(K108/G108-1,"")))</f>
        <v/>
      </c>
      <c r="N109" s="17">
        <f>IF(OR(N108="",J108=""),"",IF(N108*J108&lt;=0,"",IFERROR(N108/J108-1,"")))</f>
        <v/>
      </c>
      <c r="W109" s="17">
        <f>IF(OR(W108="",V108=""),"",IF(W108*V108&lt;=0,"",IFERROR(W108/V108-1,"")))</f>
        <v/>
      </c>
      <c r="X109" s="17">
        <f>IF(OR(X108="",W108=""),"",IF(X108*W108&lt;=0,"",IFERROR(X108/W108-1,"")))</f>
        <v/>
      </c>
    </row>
    <row r="110">
      <c r="A110" s="20" t="inlineStr">
        <is>
          <t>고정자산 제각손실</t>
        </is>
      </c>
      <c r="F110" s="22" t="n">
        <v>0</v>
      </c>
      <c r="G110" s="22" t="n">
        <v>0</v>
      </c>
      <c r="J110" s="22" t="n">
        <v>7.878</v>
      </c>
      <c r="K110" s="22" t="n">
        <v>0.119</v>
      </c>
      <c r="N110" s="22" t="n">
        <v>0</v>
      </c>
      <c r="W110" s="22" t="n">
        <v>0</v>
      </c>
      <c r="X110" s="22" t="n">
        <v>0.119</v>
      </c>
    </row>
    <row r="111">
      <c r="A111" s="20" t="inlineStr">
        <is>
          <t>특별손실 합계</t>
        </is>
      </c>
      <c r="F111" s="22" t="n">
        <v>0</v>
      </c>
      <c r="G111" s="22" t="n">
        <v>0</v>
      </c>
      <c r="J111" s="22" t="n">
        <v>7.878</v>
      </c>
      <c r="K111" s="22" t="n">
        <v>2.104</v>
      </c>
      <c r="N111" s="22" t="n">
        <v>0</v>
      </c>
      <c r="W111" s="22" t="n">
        <v>0</v>
      </c>
      <c r="X111" s="22" t="n">
        <v>2.104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IF(OR(G111="",C111=""),"",IF(G111*C111&lt;=0,"",IFERROR(G111/C111-1,"")))</f>
        <v/>
      </c>
      <c r="J112" s="17">
        <f>IF(OR(J111="",F111=""),"",IF(J111*F111&lt;=0,"",IFERROR(J111/F111-1,"")))</f>
        <v/>
      </c>
      <c r="K112" s="17">
        <f>IF(OR(K111="",G111=""),"",IF(K111*G111&lt;=0,"",IFERROR(K111/G111-1,"")))</f>
        <v/>
      </c>
      <c r="N112" s="17">
        <f>IF(OR(N111="",J111=""),"",IF(N111*J111&lt;=0,"",IFERROR(N111/J111-1,"")))</f>
        <v/>
      </c>
      <c r="W112" s="17">
        <f>IF(OR(W111="",V111=""),"",IF(W111*V111&lt;=0,"",IFERROR(W111/V111-1,"")))</f>
        <v/>
      </c>
      <c r="X112" s="17">
        <f>IF(OR(X111="",W111=""),"",IF(X111*W111&lt;=0,"",IFERROR(X111/W111-1,"")))</f>
        <v/>
      </c>
    </row>
    <row r="113">
      <c r="A113" s="9" t="inlineStr">
        <is>
          <t>법인세차감전 순이익</t>
        </is>
      </c>
      <c r="F113" s="12" t="n">
        <v>23.932</v>
      </c>
      <c r="G113" s="12" t="n">
        <v>27.436</v>
      </c>
      <c r="H113" s="12" t="n">
        <v>71.3</v>
      </c>
      <c r="I113" s="12" t="n">
        <v>88.56</v>
      </c>
      <c r="J113" s="12" t="n">
        <v>98.79300000000001</v>
      </c>
      <c r="K113" s="12" t="n">
        <v>56.452</v>
      </c>
      <c r="L113" s="12" t="n">
        <v>90.88200000000001</v>
      </c>
      <c r="M113" s="12" t="n">
        <v>119.159</v>
      </c>
      <c r="N113" s="12" t="n">
        <v>167.922</v>
      </c>
      <c r="W113" s="12" t="n">
        <v>27.436</v>
      </c>
      <c r="X113" s="12" t="n">
        <v>56.452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20" t="inlineStr">
        <is>
          <t>법인세 등</t>
        </is>
      </c>
      <c r="F115" s="22" t="n">
        <v>8.278</v>
      </c>
      <c r="G115" s="22" t="n">
        <v>-4.066</v>
      </c>
      <c r="H115" s="22" t="n">
        <v>22.87</v>
      </c>
      <c r="I115" s="22" t="n">
        <v>27.037</v>
      </c>
      <c r="J115" s="22" t="n">
        <v>30.983</v>
      </c>
      <c r="K115" s="22" t="n">
        <v>-6.98</v>
      </c>
      <c r="L115" s="22" t="n">
        <v>28.3</v>
      </c>
      <c r="M115" s="22" t="n">
        <v>36.884</v>
      </c>
      <c r="N115" s="22" t="n">
        <v>51.836</v>
      </c>
      <c r="W115" s="22" t="n">
        <v>-4.066</v>
      </c>
      <c r="X115" s="22" t="n">
        <v>-6.98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G116" s="17">
        <f>IF(OR(G115="",C115=""),"",IF(G115*C115&lt;=0,"",IFERROR(G115/C115-1,"")))</f>
        <v/>
      </c>
      <c r="H116" s="17">
        <f>IF(OR(H115="",D115=""),"",IF(H115*D115&lt;=0,"",IFERROR(H115/D115-1,"")))</f>
        <v/>
      </c>
      <c r="I116" s="17">
        <f>IF(OR(I115="",E115=""),"",IF(I115*E115&lt;=0,"",IFERROR(I115/E115-1,"")))</f>
        <v/>
      </c>
      <c r="J116" s="17">
        <f>IF(OR(J115="",F115=""),"",IF(J115*F115&lt;=0,"",IFERROR(J115/F115-1,"")))</f>
        <v/>
      </c>
      <c r="K116" s="17">
        <f>IF(OR(K115="",G115=""),"",IF(K115*G115&lt;=0,"",IFERROR(K115/G115-1,"")))</f>
        <v/>
      </c>
      <c r="L116" s="17">
        <f>IF(OR(L115="",H115=""),"",IF(L115*H115&lt;=0,"",IFERROR(L115/H115-1,"")))</f>
        <v/>
      </c>
      <c r="M116" s="17">
        <f>IF(OR(M115="",I115=""),"",IF(M115*I115&lt;=0,"",IFERROR(M115/I115-1,"")))</f>
        <v/>
      </c>
      <c r="N116" s="17">
        <f>IF(OR(N115="",J115=""),"",IF(N115*J115&lt;=0,"",IFERROR(N115/J115-1,"")))</f>
        <v/>
      </c>
      <c r="W116" s="17">
        <f>IF(OR(W115="",V115=""),"",IF(W115*V115&lt;=0,"",IFERROR(W115/V115-1,"")))</f>
        <v/>
      </c>
      <c r="X116" s="17">
        <f>IF(OR(X115="",W115=""),"",IF(X115*W115&lt;=0,"",IFERROR(X115/W115-1,"")))</f>
        <v/>
      </c>
    </row>
    <row r="117">
      <c r="A117" s="9" t="inlineStr">
        <is>
          <t>순이익</t>
        </is>
      </c>
      <c r="F117" s="12" t="n">
        <v>15.654</v>
      </c>
      <c r="G117" s="12" t="n">
        <v>31.501</v>
      </c>
      <c r="H117" s="12" t="n">
        <v>48.43</v>
      </c>
      <c r="I117" s="12" t="n">
        <v>61.523</v>
      </c>
      <c r="J117" s="12" t="n">
        <v>67.809</v>
      </c>
      <c r="K117" s="12" t="n">
        <v>63.433</v>
      </c>
      <c r="L117" s="12" t="n">
        <v>62.582</v>
      </c>
      <c r="M117" s="12" t="n">
        <v>82.274</v>
      </c>
      <c r="N117" s="12" t="n">
        <v>116.087</v>
      </c>
      <c r="W117" s="12" t="n">
        <v>31.501</v>
      </c>
      <c r="X117" s="12" t="n">
        <v>63.433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IF(OR(G117="",C117=""),"",IF(C117&lt;=0,"",IFERROR(G117/C117-1,"")))</f>
        <v/>
      </c>
      <c r="H118" s="17">
        <f>IF(OR(H117="",D117=""),"",IF(D117&lt;=0,"",IFERROR(H117/D117-1,"")))</f>
        <v/>
      </c>
      <c r="I118" s="17">
        <f>IF(OR(I117="",E117=""),"",IF(E117&lt;=0,"",IFERROR(I117/E117-1,"")))</f>
        <v/>
      </c>
      <c r="J118" s="17">
        <f>IF(OR(J117="",F117=""),"",IF(F117&lt;=0,"",IFERROR(J117/F117-1,"")))</f>
        <v/>
      </c>
      <c r="K118" s="17">
        <f>IF(OR(K117="",G117=""),"",IF(G117&lt;=0,"",IFERROR(K117/G117-1,"")))</f>
        <v/>
      </c>
      <c r="L118" s="17">
        <f>IF(OR(L117="",H117=""),"",IF(H117&lt;=0,"",IFERROR(L117/H117-1,"")))</f>
        <v/>
      </c>
      <c r="M118" s="17">
        <f>IF(OR(M117="",I117=""),"",IF(I117&lt;=0,"",IFERROR(M117/I117-1,"")))</f>
        <v/>
      </c>
      <c r="N118" s="17">
        <f>IF(OR(N117="",J117=""),"",IF(J117&lt;=0,"",IFERROR(N117/J117-1,"")))</f>
        <v/>
      </c>
      <c r="W118" s="17">
        <f>IF(OR(W117="",V117=""),"",IF(V117&lt;=0,"",IFERROR(W117/V117-1,"")))</f>
        <v/>
      </c>
      <c r="X118" s="17">
        <f>IF(OR(X117="",W117=""),"",IF(W117&lt;=0,"",IFERROR(X117/W117-1,"")))</f>
        <v/>
      </c>
    </row>
    <row r="120">
      <c r="A120" s="18" t="inlineStr">
        <is>
          <t>현금흐름표 · 전 항목</t>
        </is>
      </c>
      <c r="B120" s="44" t="inlineStr">
        <is>
          <t>분기 = 결산기 첫날부터 누계(공시 그대로)</t>
        </is>
      </c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  <c r="AC120" s="18" t="n"/>
    </row>
    <row r="121">
      <c r="A121" s="5" t="inlineStr">
        <is>
          <t>항목</t>
        </is>
      </c>
      <c r="B121" s="5" t="inlineStr">
        <is>
          <t>참고</t>
        </is>
      </c>
      <c r="C121" s="5" t="inlineStr">
        <is>
          <t>2023.4Q</t>
        </is>
      </c>
      <c r="D121" s="5" t="inlineStr">
        <is>
          <t>2024.1Q</t>
        </is>
      </c>
      <c r="E121" s="5" t="inlineStr">
        <is>
          <t>2024.2Q</t>
        </is>
      </c>
      <c r="F121" s="5" t="inlineStr">
        <is>
          <t>2024.3Q</t>
        </is>
      </c>
      <c r="G121" s="5" t="inlineStr">
        <is>
          <t>2024.4Q</t>
        </is>
      </c>
      <c r="H121" s="5" t="inlineStr">
        <is>
          <t>2025.1Q</t>
        </is>
      </c>
      <c r="I121" s="5" t="inlineStr">
        <is>
          <t>2025.2Q</t>
        </is>
      </c>
      <c r="J121" s="5" t="inlineStr">
        <is>
          <t>2025.3Q</t>
        </is>
      </c>
      <c r="K121" s="5" t="inlineStr">
        <is>
          <t>2025.4Q</t>
        </is>
      </c>
      <c r="L121" s="5" t="inlineStr">
        <is>
          <t>2026.1Q</t>
        </is>
      </c>
      <c r="M121" s="5" t="inlineStr">
        <is>
          <t>2026.2Q</t>
        </is>
      </c>
      <c r="N121" s="5" t="inlineStr">
        <is>
          <t>2026.3Q</t>
        </is>
      </c>
      <c r="O121" s="5" t="inlineStr">
        <is>
          <t>2016</t>
        </is>
      </c>
      <c r="P121" s="5" t="inlineStr">
        <is>
          <t>2017</t>
        </is>
      </c>
      <c r="Q121" s="5" t="inlineStr">
        <is>
          <t>2018</t>
        </is>
      </c>
      <c r="R121" s="5" t="inlineStr">
        <is>
          <t>2019</t>
        </is>
      </c>
      <c r="S121" s="5" t="inlineStr">
        <is>
          <t>2020</t>
        </is>
      </c>
      <c r="T121" s="5" t="inlineStr">
        <is>
          <t>2021</t>
        </is>
      </c>
      <c r="U121" s="5" t="inlineStr">
        <is>
          <t>2022</t>
        </is>
      </c>
      <c r="V121" s="5" t="inlineStr">
        <is>
          <t>2023</t>
        </is>
      </c>
      <c r="W121" s="5" t="inlineStr">
        <is>
          <t>2024</t>
        </is>
      </c>
      <c r="X121" s="5" t="inlineStr">
        <is>
          <t>2025</t>
        </is>
      </c>
      <c r="Y121" s="5" t="inlineStr">
        <is>
          <t>2026(MW)</t>
        </is>
      </c>
      <c r="Z121" s="5" t="inlineStr">
        <is>
          <t>2027(MW)</t>
        </is>
      </c>
      <c r="AA121" s="5" t="inlineStr">
        <is>
          <t>2028(MW)</t>
        </is>
      </c>
      <c r="AB121" s="5" t="inlineStr">
        <is>
          <t>2029(MW)</t>
        </is>
      </c>
      <c r="AC121" s="5" t="inlineStr">
        <is>
          <t>2030(MW)</t>
        </is>
      </c>
    </row>
    <row r="122">
      <c r="A122" s="9" t="inlineStr">
        <is>
          <t>법인세차감전 순이익</t>
        </is>
      </c>
      <c r="C122" s="12" t="n">
        <v>109.471</v>
      </c>
      <c r="E122" s="12" t="n">
        <v>159.373</v>
      </c>
      <c r="G122" s="12" t="n">
        <v>210.741</v>
      </c>
      <c r="I122" s="12" t="n">
        <v>159.86</v>
      </c>
      <c r="K122" s="12" t="n">
        <v>315.105</v>
      </c>
      <c r="M122" s="12" t="n">
        <v>210.041</v>
      </c>
      <c r="V122" s="12" t="n">
        <v>109.471</v>
      </c>
      <c r="W122" s="12" t="n">
        <v>210.741</v>
      </c>
      <c r="X122" s="12" t="n">
        <v>315.105</v>
      </c>
    </row>
    <row r="123">
      <c r="A123" s="20" t="inlineStr">
        <is>
          <t>감가상각비</t>
        </is>
      </c>
      <c r="C123" s="22" t="n">
        <v>24.905</v>
      </c>
      <c r="E123" s="22" t="n">
        <v>13.735</v>
      </c>
      <c r="G123" s="22" t="n">
        <v>30.992</v>
      </c>
      <c r="I123" s="22" t="n">
        <v>19.998</v>
      </c>
      <c r="K123" s="22" t="n">
        <v>46.583</v>
      </c>
      <c r="M123" s="22" t="n">
        <v>31.731</v>
      </c>
      <c r="V123" s="22" t="n">
        <v>24.905</v>
      </c>
      <c r="W123" s="22" t="n">
        <v>30.992</v>
      </c>
      <c r="X123" s="22" t="n">
        <v>46.583</v>
      </c>
    </row>
    <row r="124">
      <c r="A124" s="20" t="inlineStr">
        <is>
          <t>상여충당금 증감</t>
        </is>
      </c>
      <c r="C124" s="22" t="n">
        <v>16.319</v>
      </c>
      <c r="E124" s="22" t="n">
        <v>-1.827</v>
      </c>
      <c r="G124" s="22" t="n">
        <v>4.994</v>
      </c>
      <c r="I124" s="22" t="n">
        <v>-17.366</v>
      </c>
      <c r="K124" s="22" t="n">
        <v>21.829</v>
      </c>
      <c r="M124" s="22" t="n">
        <v>-20.175</v>
      </c>
      <c r="V124" s="22" t="n">
        <v>16.319</v>
      </c>
      <c r="W124" s="22" t="n">
        <v>4.994</v>
      </c>
      <c r="X124" s="22" t="n">
        <v>21.829</v>
      </c>
    </row>
    <row r="125">
      <c r="A125" s="20" t="inlineStr">
        <is>
          <t>수주손실 충당금 증감</t>
        </is>
      </c>
      <c r="C125" s="22" t="n">
        <v>0.038</v>
      </c>
      <c r="E125" s="22" t="n">
        <v>-0.038</v>
      </c>
      <c r="G125" s="22" t="n">
        <v>-0.038</v>
      </c>
      <c r="I125" s="22" t="n">
        <v>0</v>
      </c>
      <c r="V125" s="22" t="n">
        <v>0.038</v>
      </c>
      <c r="W125" s="22" t="n">
        <v>-0.038</v>
      </c>
    </row>
    <row r="126">
      <c r="A126" s="20" t="inlineStr">
        <is>
          <t>대손충당금 증감</t>
        </is>
      </c>
      <c r="C126" s="22" t="n">
        <v>0.291</v>
      </c>
      <c r="E126" s="22" t="n">
        <v>0.927</v>
      </c>
      <c r="G126" s="22" t="n">
        <v>0.927</v>
      </c>
      <c r="I126" s="22" t="n">
        <v>0</v>
      </c>
      <c r="V126" s="22" t="n">
        <v>0.291</v>
      </c>
      <c r="W126" s="22" t="n">
        <v>0.927</v>
      </c>
    </row>
    <row r="127">
      <c r="A127" s="20" t="inlineStr">
        <is>
          <t>이자수익</t>
        </is>
      </c>
      <c r="C127" s="22" t="n">
        <v>-0.005</v>
      </c>
      <c r="E127" s="22" t="n">
        <v>-0.002</v>
      </c>
      <c r="G127" s="22" t="n">
        <v>-0.07000000000000001</v>
      </c>
      <c r="I127" s="22" t="n">
        <v>-0.801</v>
      </c>
      <c r="V127" s="22" t="n">
        <v>-0.005</v>
      </c>
      <c r="W127" s="22" t="n">
        <v>-0.07000000000000001</v>
      </c>
    </row>
    <row r="128">
      <c r="A128" s="20" t="inlineStr">
        <is>
          <t>이자비용</t>
        </is>
      </c>
      <c r="C128" s="22" t="n">
        <v>0.212</v>
      </c>
      <c r="G128" s="22" t="n">
        <v>0</v>
      </c>
      <c r="V128" s="22" t="n">
        <v>0.212</v>
      </c>
      <c r="W128" s="22" t="n">
        <v>0</v>
      </c>
    </row>
    <row r="129">
      <c r="A129" s="20" t="inlineStr">
        <is>
          <t>이자·배당금 수익</t>
        </is>
      </c>
      <c r="G129" s="22" t="n">
        <v>-0.07000000000000001</v>
      </c>
      <c r="I129" s="22" t="n">
        <v>-0.801</v>
      </c>
      <c r="K129" s="22" t="n">
        <v>-5.742</v>
      </c>
      <c r="M129" s="22" t="n">
        <v>-6.731</v>
      </c>
      <c r="W129" s="22" t="n">
        <v>-0.07000000000000001</v>
      </c>
      <c r="X129" s="22" t="n">
        <v>-5.742</v>
      </c>
    </row>
    <row r="130">
      <c r="A130" s="20" t="inlineStr">
        <is>
          <t>고정자산 매각이익</t>
        </is>
      </c>
      <c r="E130" s="22" t="n">
        <v>-0.001</v>
      </c>
      <c r="I130" s="22" t="n">
        <v>0</v>
      </c>
      <c r="M130" s="22" t="n">
        <v>-0.035</v>
      </c>
    </row>
    <row r="131">
      <c r="A131" s="20" t="inlineStr">
        <is>
          <t>고정자산 제각손실</t>
        </is>
      </c>
      <c r="C131" s="22" t="n">
        <v>0.482</v>
      </c>
      <c r="E131" s="22" t="n">
        <v>0</v>
      </c>
      <c r="G131" s="22" t="n">
        <v>0</v>
      </c>
      <c r="I131" s="22" t="n">
        <v>11.946</v>
      </c>
      <c r="K131" s="22" t="n">
        <v>19.943</v>
      </c>
      <c r="M131" s="22" t="n">
        <v>0</v>
      </c>
      <c r="V131" s="22" t="n">
        <v>0.482</v>
      </c>
      <c r="W131" s="22" t="n">
        <v>0</v>
      </c>
      <c r="X131" s="22" t="n">
        <v>19.943</v>
      </c>
    </row>
    <row r="132">
      <c r="A132" s="20" t="inlineStr">
        <is>
          <t>외환차손익</t>
        </is>
      </c>
      <c r="C132" s="22" t="n">
        <v>-0.023</v>
      </c>
      <c r="E132" s="22" t="n">
        <v>-0.002</v>
      </c>
      <c r="G132" s="22" t="n">
        <v>-0.005</v>
      </c>
      <c r="I132" s="22" t="n">
        <v>0.01</v>
      </c>
      <c r="K132" s="22" t="n">
        <v>0.008999999999999999</v>
      </c>
      <c r="M132" s="22" t="n">
        <v>-0.004</v>
      </c>
      <c r="V132" s="22" t="n">
        <v>-0.023</v>
      </c>
      <c r="W132" s="22" t="n">
        <v>-0.005</v>
      </c>
      <c r="X132" s="22" t="n">
        <v>0.008999999999999999</v>
      </c>
    </row>
    <row r="133">
      <c r="A133" s="20" t="inlineStr">
        <is>
          <t>유형자산 매각손익</t>
        </is>
      </c>
      <c r="C133" s="22" t="n">
        <v>0</v>
      </c>
      <c r="G133" s="22" t="n">
        <v>-0.001</v>
      </c>
      <c r="K133" s="22" t="n">
        <v>0.042</v>
      </c>
      <c r="V133" s="22" t="n">
        <v>0</v>
      </c>
      <c r="W133" s="22" t="n">
        <v>-0.001</v>
      </c>
      <c r="X133" s="22" t="n">
        <v>0.042</v>
      </c>
    </row>
    <row r="134">
      <c r="A134" s="20" t="inlineStr">
        <is>
          <t>매출채권 증감</t>
        </is>
      </c>
      <c r="C134" s="22" t="n">
        <v>2.545</v>
      </c>
      <c r="E134" s="22" t="n">
        <v>7.945</v>
      </c>
      <c r="G134" s="22" t="n">
        <v>1.297</v>
      </c>
      <c r="I134" s="22" t="n">
        <v>1.244</v>
      </c>
      <c r="K134" s="22" t="n">
        <v>-70.398</v>
      </c>
      <c r="M134" s="22" t="n">
        <v>57.681</v>
      </c>
      <c r="V134" s="22" t="n">
        <v>2.545</v>
      </c>
      <c r="W134" s="22" t="n">
        <v>1.297</v>
      </c>
      <c r="X134" s="22" t="n">
        <v>-70.398</v>
      </c>
    </row>
    <row r="135">
      <c r="A135" s="20" t="inlineStr">
        <is>
          <t>재공품 증감</t>
        </is>
      </c>
      <c r="C135" s="22" t="n">
        <v>-0.8149999999999999</v>
      </c>
      <c r="E135" s="22" t="n">
        <v>0.476</v>
      </c>
      <c r="G135" s="22" t="n">
        <v>0.662</v>
      </c>
      <c r="I135" s="22" t="n">
        <v>-0.221</v>
      </c>
      <c r="K135" s="22" t="n">
        <v>0.062</v>
      </c>
      <c r="M135" s="22" t="n">
        <v>-0.912</v>
      </c>
      <c r="V135" s="22" t="n">
        <v>-0.8149999999999999</v>
      </c>
      <c r="W135" s="22" t="n">
        <v>0.662</v>
      </c>
      <c r="X135" s="22" t="n">
        <v>0.062</v>
      </c>
    </row>
    <row r="136">
      <c r="A136" s="20" t="inlineStr">
        <is>
          <t>선급비용 증감</t>
        </is>
      </c>
      <c r="C136" s="22" t="n">
        <v>-46.244</v>
      </c>
      <c r="E136" s="22" t="n">
        <v>-77.167</v>
      </c>
      <c r="G136" s="22" t="n">
        <v>-22.162</v>
      </c>
      <c r="I136" s="22" t="n">
        <v>-85.407</v>
      </c>
      <c r="K136" s="22" t="n">
        <v>-35.672</v>
      </c>
      <c r="M136" s="22" t="n">
        <v>-83.992</v>
      </c>
      <c r="V136" s="22" t="n">
        <v>-46.244</v>
      </c>
      <c r="W136" s="22" t="n">
        <v>-22.162</v>
      </c>
      <c r="X136" s="22" t="n">
        <v>-35.672</v>
      </c>
    </row>
    <row r="137">
      <c r="A137" s="20" t="inlineStr">
        <is>
          <t>장기선급비용 증감</t>
        </is>
      </c>
      <c r="E137" s="22" t="n">
        <v>-12.698</v>
      </c>
      <c r="I137" s="22" t="n">
        <v>-2.855</v>
      </c>
      <c r="M137" s="22" t="n">
        <v>3.961</v>
      </c>
    </row>
    <row r="138">
      <c r="A138" s="20" t="inlineStr">
        <is>
          <t>매입채무 증감</t>
        </is>
      </c>
      <c r="C138" s="22" t="n">
        <v>13.423</v>
      </c>
      <c r="E138" s="22" t="n">
        <v>-11.995</v>
      </c>
      <c r="G138" s="22" t="n">
        <v>-7.686</v>
      </c>
      <c r="I138" s="22" t="n">
        <v>9.933999999999999</v>
      </c>
      <c r="K138" s="22" t="n">
        <v>9.558</v>
      </c>
      <c r="M138" s="22" t="n">
        <v>17.436</v>
      </c>
      <c r="V138" s="22" t="n">
        <v>13.423</v>
      </c>
      <c r="W138" s="22" t="n">
        <v>-7.686</v>
      </c>
      <c r="X138" s="22" t="n">
        <v>9.558</v>
      </c>
    </row>
    <row r="139">
      <c r="A139" s="20" t="inlineStr">
        <is>
          <t>미지급금·미지급비용 증감</t>
        </is>
      </c>
      <c r="C139" s="22" t="n">
        <v>33.49</v>
      </c>
      <c r="E139" s="22" t="n">
        <v>-25.707</v>
      </c>
      <c r="G139" s="22" t="n">
        <v>8.706</v>
      </c>
      <c r="I139" s="22" t="n">
        <v>8.885</v>
      </c>
      <c r="K139" s="22" t="n">
        <v>32.875</v>
      </c>
      <c r="M139" s="22" t="n">
        <v>-32.29</v>
      </c>
      <c r="V139" s="22" t="n">
        <v>33.49</v>
      </c>
      <c r="W139" s="22" t="n">
        <v>8.706</v>
      </c>
      <c r="X139" s="22" t="n">
        <v>32.875</v>
      </c>
    </row>
    <row r="140">
      <c r="A140" s="20" t="inlineStr">
        <is>
          <t>미지급 소비세 증감</t>
        </is>
      </c>
      <c r="E140" s="22" t="n">
        <v>9.441000000000001</v>
      </c>
      <c r="I140" s="22" t="n">
        <v>-18.09</v>
      </c>
      <c r="M140" s="22" t="n">
        <v>-19.178</v>
      </c>
    </row>
    <row r="141">
      <c r="A141" s="20" t="inlineStr">
        <is>
          <t>계약부채 증감</t>
        </is>
      </c>
      <c r="C141" s="22" t="n">
        <v>146.155</v>
      </c>
      <c r="E141" s="22" t="n">
        <v>356.135</v>
      </c>
      <c r="G141" s="22" t="n">
        <v>217.574</v>
      </c>
      <c r="I141" s="22" t="n">
        <v>376.632</v>
      </c>
      <c r="K141" s="22" t="n">
        <v>159.293</v>
      </c>
      <c r="M141" s="22" t="n">
        <v>400.251</v>
      </c>
      <c r="V141" s="22" t="n">
        <v>146.155</v>
      </c>
      <c r="W141" s="22" t="n">
        <v>217.574</v>
      </c>
      <c r="X141" s="22" t="n">
        <v>159.293</v>
      </c>
    </row>
    <row r="142">
      <c r="A142" s="20" t="inlineStr">
        <is>
          <t>기타</t>
        </is>
      </c>
      <c r="C142" s="22" t="n">
        <v>-20.867</v>
      </c>
      <c r="E142" s="22" t="n">
        <v>-3.663</v>
      </c>
      <c r="G142" s="22" t="n">
        <v>41.942</v>
      </c>
      <c r="I142" s="22" t="n">
        <v>-0.45</v>
      </c>
      <c r="K142" s="22" t="n">
        <v>8.050000000000001</v>
      </c>
      <c r="M142" s="22" t="n">
        <v>-0.121</v>
      </c>
      <c r="V142" s="22" t="n">
        <v>-20.867</v>
      </c>
      <c r="W142" s="22" t="n">
        <v>41.942</v>
      </c>
      <c r="X142" s="22" t="n">
        <v>8.050000000000001</v>
      </c>
    </row>
    <row r="143">
      <c r="A143" s="20" t="inlineStr">
        <is>
          <t>소계</t>
        </is>
      </c>
      <c r="C143" s="22" t="n">
        <v>279.381</v>
      </c>
      <c r="E143" s="22" t="n">
        <v>414.929</v>
      </c>
      <c r="G143" s="22" t="n">
        <v>486.984</v>
      </c>
      <c r="I143" s="22" t="n">
        <v>463.322</v>
      </c>
      <c r="K143" s="22" t="n">
        <v>501.539</v>
      </c>
      <c r="M143" s="22" t="n">
        <v>557.662</v>
      </c>
      <c r="V143" s="22" t="n">
        <v>279.381</v>
      </c>
      <c r="W143" s="22" t="n">
        <v>486.984</v>
      </c>
      <c r="X143" s="22" t="n">
        <v>501.539</v>
      </c>
    </row>
    <row r="144">
      <c r="A144" s="20" t="inlineStr">
        <is>
          <t>이자 수취</t>
        </is>
      </c>
      <c r="C144" s="22" t="n">
        <v>0.005</v>
      </c>
      <c r="E144" s="22" t="n">
        <v>0.002</v>
      </c>
      <c r="G144" s="22" t="n">
        <v>0.07000000000000001</v>
      </c>
      <c r="I144" s="22" t="n">
        <v>0.801</v>
      </c>
      <c r="V144" s="22" t="n">
        <v>0.005</v>
      </c>
      <c r="W144" s="22" t="n">
        <v>0.07000000000000001</v>
      </c>
    </row>
    <row r="145">
      <c r="A145" s="20" t="inlineStr">
        <is>
          <t>이자 지급</t>
        </is>
      </c>
      <c r="C145" s="22" t="n">
        <v>-0.177</v>
      </c>
      <c r="G145" s="22" t="n">
        <v>0</v>
      </c>
      <c r="V145" s="22" t="n">
        <v>-0.177</v>
      </c>
      <c r="W145" s="22" t="n">
        <v>0</v>
      </c>
    </row>
    <row r="146">
      <c r="A146" s="20" t="inlineStr">
        <is>
          <t>이자·배당금 수취</t>
        </is>
      </c>
      <c r="G146" s="22" t="n">
        <v>0.07000000000000001</v>
      </c>
      <c r="I146" s="22" t="n">
        <v>0.801</v>
      </c>
      <c r="K146" s="22" t="n">
        <v>5.742</v>
      </c>
      <c r="M146" s="22" t="n">
        <v>6.731</v>
      </c>
      <c r="W146" s="22" t="n">
        <v>0.07000000000000001</v>
      </c>
      <c r="X146" s="22" t="n">
        <v>5.742</v>
      </c>
    </row>
    <row r="147">
      <c r="A147" s="20" t="inlineStr">
        <is>
          <t>법인세 납부</t>
        </is>
      </c>
      <c r="C147" s="22" t="n">
        <v>-0.53</v>
      </c>
      <c r="E147" s="22" t="n">
        <v>-32.118</v>
      </c>
      <c r="G147" s="22" t="n">
        <v>-48.177</v>
      </c>
      <c r="I147" s="22" t="n">
        <v>-38.723</v>
      </c>
      <c r="K147" s="22" t="n">
        <v>-66.88500000000001</v>
      </c>
      <c r="M147" s="22" t="n">
        <v>-62.059</v>
      </c>
      <c r="V147" s="22" t="n">
        <v>-0.53</v>
      </c>
      <c r="W147" s="22" t="n">
        <v>-48.177</v>
      </c>
      <c r="X147" s="22" t="n">
        <v>-66.88500000000001</v>
      </c>
    </row>
    <row r="148">
      <c r="A148" s="9" t="inlineStr">
        <is>
          <t>영업활동 현금흐름</t>
        </is>
      </c>
      <c r="C148" s="12" t="n">
        <v>278.679</v>
      </c>
      <c r="E148" s="12" t="n">
        <v>382.814</v>
      </c>
      <c r="G148" s="12" t="n">
        <v>438.878</v>
      </c>
      <c r="I148" s="12" t="n">
        <v>425.399</v>
      </c>
      <c r="K148" s="12" t="n">
        <v>440.396</v>
      </c>
      <c r="M148" s="12" t="n">
        <v>502.334</v>
      </c>
      <c r="V148" s="12" t="n">
        <v>278.679</v>
      </c>
      <c r="W148" s="12" t="n">
        <v>438.878</v>
      </c>
      <c r="X148" s="12" t="n">
        <v>440.396</v>
      </c>
    </row>
    <row r="149">
      <c r="A149" s="20" t="inlineStr">
        <is>
          <t>정기예금 인출</t>
        </is>
      </c>
      <c r="C149" s="22" t="n">
        <v>13.908</v>
      </c>
      <c r="G149" s="22" t="n">
        <v>0</v>
      </c>
      <c r="V149" s="22" t="n">
        <v>13.908</v>
      </c>
      <c r="W149" s="22" t="n">
        <v>0</v>
      </c>
    </row>
    <row r="150">
      <c r="A150" s="20" t="inlineStr">
        <is>
          <t>정기예금 예입</t>
        </is>
      </c>
      <c r="G150" s="22" t="n">
        <v>0</v>
      </c>
      <c r="K150" s="22" t="n">
        <v>-300</v>
      </c>
      <c r="W150" s="22" t="n">
        <v>0</v>
      </c>
      <c r="X150" s="22" t="n">
        <v>-300</v>
      </c>
    </row>
    <row r="151">
      <c r="A151" s="20" t="inlineStr">
        <is>
          <t>유형자산 취득(설비투자)</t>
        </is>
      </c>
      <c r="C151" s="22" t="n">
        <v>-57.771</v>
      </c>
      <c r="E151" s="22" t="n">
        <v>-2.705</v>
      </c>
      <c r="G151" s="22" t="n">
        <v>-3.762</v>
      </c>
      <c r="I151" s="22" t="n">
        <v>-8.311999999999999</v>
      </c>
      <c r="K151" s="22" t="n">
        <v>-21.862</v>
      </c>
      <c r="M151" s="22" t="n">
        <v>-3.731</v>
      </c>
      <c r="V151" s="22" t="n">
        <v>-57.771</v>
      </c>
      <c r="W151" s="22" t="n">
        <v>-3.762</v>
      </c>
      <c r="X151" s="22" t="n">
        <v>-21.862</v>
      </c>
    </row>
    <row r="152">
      <c r="A152" s="20" t="inlineStr">
        <is>
          <t>유형자산 매각</t>
        </is>
      </c>
      <c r="C152" s="22" t="n">
        <v>0</v>
      </c>
      <c r="E152" s="22" t="n">
        <v>0.001</v>
      </c>
      <c r="G152" s="22" t="n">
        <v>0.001</v>
      </c>
      <c r="I152" s="22" t="n">
        <v>0</v>
      </c>
      <c r="K152" s="22" t="n">
        <v>0.031</v>
      </c>
      <c r="M152" s="22" t="n">
        <v>0.098</v>
      </c>
      <c r="V152" s="22" t="n">
        <v>0</v>
      </c>
      <c r="W152" s="22" t="n">
        <v>0.001</v>
      </c>
      <c r="X152" s="22" t="n">
        <v>0.031</v>
      </c>
    </row>
    <row r="153">
      <c r="A153" s="20" t="inlineStr">
        <is>
          <t>무형자산 취득</t>
        </is>
      </c>
      <c r="C153" s="22" t="n">
        <v>-50.608</v>
      </c>
      <c r="E153" s="22" t="n">
        <v>-32.361</v>
      </c>
      <c r="G153" s="22" t="n">
        <v>-65.92700000000001</v>
      </c>
      <c r="I153" s="22" t="n">
        <v>-54.75</v>
      </c>
      <c r="K153" s="22" t="n">
        <v>-106.781</v>
      </c>
      <c r="M153" s="22" t="n">
        <v>-113.958</v>
      </c>
      <c r="V153" s="22" t="n">
        <v>-50.608</v>
      </c>
      <c r="W153" s="22" t="n">
        <v>-65.92700000000001</v>
      </c>
      <c r="X153" s="22" t="n">
        <v>-106.781</v>
      </c>
    </row>
    <row r="154">
      <c r="A154" s="20" t="inlineStr">
        <is>
          <t>임차보증금 및 보증금 반환에 따른 수입</t>
        </is>
      </c>
      <c r="C154" s="22" t="n">
        <v>37.523</v>
      </c>
      <c r="G154" s="22" t="n">
        <v>0</v>
      </c>
      <c r="V154" s="22" t="n">
        <v>37.523</v>
      </c>
      <c r="W154" s="22" t="n">
        <v>0</v>
      </c>
    </row>
    <row r="155">
      <c r="A155" s="20" t="inlineStr">
        <is>
          <t>유가증권 취득</t>
        </is>
      </c>
      <c r="G155" s="22" t="n">
        <v>0</v>
      </c>
      <c r="K155" s="22" t="n">
        <v>-1200</v>
      </c>
      <c r="W155" s="22" t="n">
        <v>0</v>
      </c>
      <c r="X155" s="22" t="n">
        <v>-1200</v>
      </c>
    </row>
    <row r="156">
      <c r="A156" s="20" t="inlineStr">
        <is>
          <t>임차보증금·보증금 납입</t>
        </is>
      </c>
      <c r="G156" s="22" t="n">
        <v>-0.242</v>
      </c>
      <c r="K156" s="22" t="n">
        <v>-0.524</v>
      </c>
      <c r="W156" s="22" t="n">
        <v>-0.242</v>
      </c>
      <c r="X156" s="22" t="n">
        <v>-0.524</v>
      </c>
    </row>
    <row r="157">
      <c r="A157" s="20" t="inlineStr">
        <is>
          <t>기타</t>
        </is>
      </c>
      <c r="C157" s="22" t="n">
        <v>-3.489</v>
      </c>
      <c r="E157" s="22" t="n">
        <v>0</v>
      </c>
      <c r="G157" s="22" t="n">
        <v>0</v>
      </c>
      <c r="I157" s="22" t="n">
        <v>-0.524</v>
      </c>
      <c r="K157" s="22" t="n">
        <v>-1.5</v>
      </c>
      <c r="M157" s="22" t="n">
        <v>0</v>
      </c>
      <c r="V157" s="22" t="n">
        <v>-3.489</v>
      </c>
      <c r="W157" s="22" t="n">
        <v>0</v>
      </c>
      <c r="X157" s="22" t="n">
        <v>-1.5</v>
      </c>
    </row>
    <row r="158">
      <c r="A158" s="9" t="inlineStr">
        <is>
          <t>투자활동 현금흐름</t>
        </is>
      </c>
      <c r="C158" s="12" t="n">
        <v>-60.437</v>
      </c>
      <c r="E158" s="12" t="n">
        <v>-35.065</v>
      </c>
      <c r="G158" s="12" t="n">
        <v>-69.93000000000001</v>
      </c>
      <c r="I158" s="12" t="n">
        <v>-63.587</v>
      </c>
      <c r="K158" s="12" t="n">
        <v>-1630.635</v>
      </c>
      <c r="M158" s="12" t="n">
        <v>-117.591</v>
      </c>
      <c r="V158" s="12" t="n">
        <v>-60.437</v>
      </c>
      <c r="W158" s="12" t="n">
        <v>-69.93000000000001</v>
      </c>
      <c r="X158" s="12" t="n">
        <v>-1630.635</v>
      </c>
    </row>
    <row r="159">
      <c r="A159" s="20" t="inlineStr">
        <is>
          <t>장기차입금 상환</t>
        </is>
      </c>
      <c r="C159" s="22" t="n">
        <v>-55.424</v>
      </c>
      <c r="G159" s="22" t="n">
        <v>0</v>
      </c>
      <c r="V159" s="22" t="n">
        <v>-55.424</v>
      </c>
      <c r="W159" s="22" t="n">
        <v>0</v>
      </c>
    </row>
    <row r="160">
      <c r="A160" s="20" t="inlineStr">
        <is>
          <t>주식 발행</t>
        </is>
      </c>
      <c r="C160" s="22" t="n">
        <v>0</v>
      </c>
      <c r="G160" s="22" t="n">
        <v>771.3</v>
      </c>
      <c r="K160" s="22" t="n">
        <v>0</v>
      </c>
      <c r="V160" s="22" t="n">
        <v>0</v>
      </c>
      <c r="W160" s="22" t="n">
        <v>771.3</v>
      </c>
      <c r="X160" s="22" t="n">
        <v>0</v>
      </c>
    </row>
    <row r="161">
      <c r="A161" s="20" t="inlineStr">
        <is>
          <t>신주예약권 행사에 따른 주식 발행</t>
        </is>
      </c>
      <c r="E161" s="22" t="n">
        <v>0</v>
      </c>
      <c r="G161" s="22" t="n">
        <v>0</v>
      </c>
      <c r="I161" s="22" t="n">
        <v>0.228</v>
      </c>
      <c r="K161" s="22" t="n">
        <v>4.422</v>
      </c>
      <c r="M161" s="22" t="n">
        <v>3.614</v>
      </c>
      <c r="W161" s="22" t="n">
        <v>0</v>
      </c>
      <c r="X161" s="22" t="n">
        <v>4.422</v>
      </c>
    </row>
    <row r="162">
      <c r="A162" s="20" t="inlineStr">
        <is>
          <t>자기주식 취득</t>
        </is>
      </c>
      <c r="I162" s="22" t="n">
        <v>0</v>
      </c>
      <c r="M162" s="22" t="n">
        <v>-61.324</v>
      </c>
    </row>
    <row r="163">
      <c r="A163" s="9" t="inlineStr">
        <is>
          <t>재무활동 현금흐름</t>
        </is>
      </c>
      <c r="C163" s="12" t="n">
        <v>-55.424</v>
      </c>
      <c r="E163" s="12" t="n">
        <v>0</v>
      </c>
      <c r="G163" s="12" t="n">
        <v>771.3</v>
      </c>
      <c r="I163" s="12" t="n">
        <v>0.228</v>
      </c>
      <c r="K163" s="12" t="n">
        <v>4.422</v>
      </c>
      <c r="M163" s="12" t="n">
        <v>-57.71</v>
      </c>
      <c r="V163" s="12" t="n">
        <v>-55.424</v>
      </c>
      <c r="W163" s="12" t="n">
        <v>771.3</v>
      </c>
      <c r="X163" s="12" t="n">
        <v>4.422</v>
      </c>
    </row>
    <row r="164">
      <c r="A164" s="20" t="inlineStr">
        <is>
          <t>현금성자산 환산차이</t>
        </is>
      </c>
      <c r="C164" s="22" t="n">
        <v>0.023</v>
      </c>
      <c r="E164" s="22" t="n">
        <v>0.002</v>
      </c>
      <c r="G164" s="22" t="n">
        <v>0.005</v>
      </c>
      <c r="I164" s="22" t="n">
        <v>-0.01</v>
      </c>
      <c r="K164" s="22" t="n">
        <v>-0.008999999999999999</v>
      </c>
      <c r="M164" s="22" t="n">
        <v>0.004</v>
      </c>
      <c r="V164" s="22" t="n">
        <v>0.023</v>
      </c>
      <c r="W164" s="22" t="n">
        <v>0.005</v>
      </c>
      <c r="X164" s="22" t="n">
        <v>-0.008999999999999999</v>
      </c>
    </row>
    <row r="165">
      <c r="A165" s="20" t="inlineStr">
        <is>
          <t>현금성자산 증감</t>
        </is>
      </c>
      <c r="C165" s="22" t="n">
        <v>162.841</v>
      </c>
      <c r="E165" s="22" t="n">
        <v>347.75</v>
      </c>
      <c r="G165" s="22" t="n">
        <v>1140.253</v>
      </c>
      <c r="I165" s="22" t="n">
        <v>362.029</v>
      </c>
      <c r="K165" s="22" t="n">
        <v>-1185.826</v>
      </c>
      <c r="M165" s="22" t="n">
        <v>327.036</v>
      </c>
      <c r="V165" s="22" t="n">
        <v>162.841</v>
      </c>
      <c r="W165" s="22" t="n">
        <v>1140.253</v>
      </c>
      <c r="X165" s="22" t="n">
        <v>-1185.826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</cols>
  <sheetData>
    <row r="1" ht="30" customHeight="1">
      <c r="A1" s="1" t="inlineStr">
        <is>
          <t>오프로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</row>
    <row r="5">
      <c r="A5" s="9" t="inlineStr">
        <is>
          <t>유동자산</t>
        </is>
      </c>
      <c r="B5" s="10" t="n"/>
      <c r="C5" s="11" t="n">
        <v>2357.994</v>
      </c>
      <c r="D5" s="12" t="n">
        <v>2414.846</v>
      </c>
      <c r="E5" s="12" t="n">
        <v>2170.387</v>
      </c>
      <c r="F5" s="12" t="n">
        <v>2771.503</v>
      </c>
      <c r="G5" s="12" t="n">
        <v>2607.302</v>
      </c>
      <c r="H5" s="11" t="n">
        <v>830.914</v>
      </c>
      <c r="I5" s="12" t="n">
        <v>1993.565</v>
      </c>
      <c r="J5" s="12" t="n">
        <v>2414.846</v>
      </c>
    </row>
    <row r="6">
      <c r="A6" s="20" t="inlineStr">
        <is>
          <t>현금및현금성자산</t>
        </is>
      </c>
      <c r="B6" s="10" t="n"/>
      <c r="C6" s="21" t="n">
        <v>836.0839999999999</v>
      </c>
      <c r="D6" s="22" t="n">
        <v>880.943</v>
      </c>
      <c r="E6" s="22" t="n">
        <v>691.052</v>
      </c>
      <c r="F6" s="22" t="n">
        <v>1207.98</v>
      </c>
      <c r="G6" s="22" t="n">
        <v>992.924</v>
      </c>
      <c r="H6" s="21" t="n">
        <v>626.516</v>
      </c>
      <c r="I6" s="22" t="n">
        <v>1766.77</v>
      </c>
      <c r="J6" s="22" t="n">
        <v>880.943</v>
      </c>
    </row>
    <row r="7">
      <c r="A7" s="20" t="inlineStr">
        <is>
          <t>단기금융상품</t>
        </is>
      </c>
      <c r="B7" s="10" t="n"/>
      <c r="C7" s="21" t="n"/>
      <c r="D7" s="22" t="n">
        <v>1200</v>
      </c>
      <c r="E7" s="22" t="n">
        <v>1200</v>
      </c>
      <c r="F7" s="22" t="n">
        <v>1200</v>
      </c>
      <c r="G7" s="22" t="n">
        <v>1200</v>
      </c>
      <c r="H7" s="21" t="n"/>
      <c r="I7" s="22" t="n">
        <v>0</v>
      </c>
      <c r="J7" s="22" t="n">
        <v>1200</v>
      </c>
    </row>
    <row r="8">
      <c r="A8" s="20" t="inlineStr">
        <is>
          <t>매출채권</t>
        </is>
      </c>
      <c r="B8" s="10" t="n"/>
      <c r="C8" s="21" t="n">
        <v>26.642</v>
      </c>
      <c r="D8" s="22" t="n">
        <v>29.655</v>
      </c>
      <c r="E8" s="22" t="n">
        <v>24.374</v>
      </c>
      <c r="F8" s="22" t="n">
        <v>28.873</v>
      </c>
      <c r="G8" s="22" t="n">
        <v>31.194</v>
      </c>
      <c r="H8" s="21" t="n">
        <v>19.825</v>
      </c>
      <c r="I8" s="22" t="n">
        <v>28.895</v>
      </c>
      <c r="J8" s="22" t="n">
        <v>29.655</v>
      </c>
    </row>
    <row r="9">
      <c r="A9" s="20" t="inlineStr">
        <is>
          <t>재고자산</t>
        </is>
      </c>
      <c r="B9" s="10" t="n"/>
      <c r="C9" s="21" t="n">
        <v>0.5629999999999999</v>
      </c>
      <c r="D9" s="22" t="n">
        <v>0.207</v>
      </c>
      <c r="E9" s="22" t="n">
        <v>1.395</v>
      </c>
      <c r="F9" s="22" t="n">
        <v>1.119</v>
      </c>
      <c r="G9" s="22" t="n">
        <v>0.059</v>
      </c>
      <c r="H9" s="21" t="n">
        <v>0.9320000000000001</v>
      </c>
      <c r="I9" s="22" t="n">
        <v>0.269</v>
      </c>
      <c r="J9" s="22" t="n">
        <v>0.207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</row>
    <row r="11">
      <c r="A11" s="9" t="inlineStr">
        <is>
          <t>비유동자산</t>
        </is>
      </c>
      <c r="B11" s="10" t="n"/>
      <c r="C11" s="11" t="n">
        <v>328.095</v>
      </c>
      <c r="D11" s="12" t="n">
        <v>368.257</v>
      </c>
      <c r="E11" s="12" t="n">
        <v>409.42</v>
      </c>
      <c r="F11" s="12" t="n">
        <v>448.616</v>
      </c>
      <c r="G11" s="12" t="n">
        <v>486.162</v>
      </c>
      <c r="H11" s="11" t="n">
        <v>265.651</v>
      </c>
      <c r="I11" s="12" t="n">
        <v>300.962</v>
      </c>
      <c r="J11" s="12" t="n">
        <v>368.257</v>
      </c>
    </row>
    <row r="12">
      <c r="A12" s="20" t="inlineStr">
        <is>
          <t>유형자산</t>
        </is>
      </c>
      <c r="B12" s="10" t="n"/>
      <c r="C12" s="21" t="n">
        <v>55.834</v>
      </c>
      <c r="D12" s="22" t="n">
        <v>62.123</v>
      </c>
      <c r="E12" s="22" t="n">
        <v>58.799</v>
      </c>
      <c r="F12" s="22" t="n">
        <v>57.38</v>
      </c>
      <c r="G12" s="22" t="n">
        <v>59.348</v>
      </c>
      <c r="H12" s="21" t="n">
        <v>61.962</v>
      </c>
      <c r="I12" s="22" t="n">
        <v>53.987</v>
      </c>
      <c r="J12" s="22" t="n">
        <v>62.123</v>
      </c>
    </row>
    <row r="13">
      <c r="A13" s="20" t="inlineStr">
        <is>
          <t>무형자산</t>
        </is>
      </c>
      <c r="B13" s="10" t="n"/>
      <c r="C13" s="21" t="n">
        <v>144.042</v>
      </c>
      <c r="D13" s="22" t="n">
        <v>167.701</v>
      </c>
      <c r="E13" s="22" t="n">
        <v>216.621</v>
      </c>
      <c r="F13" s="22" t="n">
        <v>258.341</v>
      </c>
      <c r="G13" s="22" t="n">
        <v>295.889</v>
      </c>
      <c r="H13" s="21" t="n">
        <v>67.122</v>
      </c>
      <c r="I13" s="22" t="n">
        <v>113.794</v>
      </c>
      <c r="J13" s="22" t="n">
        <v>167.701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</row>
    <row r="16">
      <c r="A16" s="9" t="inlineStr">
        <is>
          <t>자산총계</t>
        </is>
      </c>
      <c r="B16" s="10" t="n"/>
      <c r="C16" s="11" t="n">
        <v>2686.089</v>
      </c>
      <c r="D16" s="12" t="n">
        <v>2783.103</v>
      </c>
      <c r="E16" s="12" t="n">
        <v>2579.808</v>
      </c>
      <c r="F16" s="12" t="n">
        <v>3220.12</v>
      </c>
      <c r="G16" s="12" t="n">
        <v>3093.465</v>
      </c>
      <c r="H16" s="11" t="n">
        <v>1096.565</v>
      </c>
      <c r="I16" s="12" t="n">
        <v>2294.527</v>
      </c>
      <c r="J16" s="12" t="n">
        <v>2783.103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</row>
    <row r="18">
      <c r="A18" s="9" t="inlineStr">
        <is>
          <t>유동부채</t>
        </is>
      </c>
      <c r="B18" s="10" t="n"/>
      <c r="C18" s="11" t="n">
        <v>1424.803</v>
      </c>
      <c r="D18" s="12" t="n">
        <v>1458.059</v>
      </c>
      <c r="E18" s="12" t="n">
        <v>1190.834</v>
      </c>
      <c r="F18" s="12" t="n">
        <v>1807.93</v>
      </c>
      <c r="G18" s="12" t="n">
        <v>1564.23</v>
      </c>
      <c r="H18" s="11" t="n">
        <v>939.312</v>
      </c>
      <c r="I18" s="12" t="n">
        <v>1215.101</v>
      </c>
      <c r="J18" s="12" t="n">
        <v>1458.059</v>
      </c>
    </row>
    <row r="19">
      <c r="A19" s="20" t="inlineStr">
        <is>
          <t>매입채무</t>
        </is>
      </c>
      <c r="B19" s="10" t="n"/>
      <c r="C19" s="21" t="n">
        <v>42.234</v>
      </c>
      <c r="D19" s="22" t="n">
        <v>46.298</v>
      </c>
      <c r="E19" s="22" t="n">
        <v>57.327</v>
      </c>
      <c r="F19" s="22" t="n">
        <v>63.734</v>
      </c>
      <c r="G19" s="22" t="n">
        <v>90.318</v>
      </c>
      <c r="H19" s="21" t="n">
        <v>44.425</v>
      </c>
      <c r="I19" s="22" t="n">
        <v>36.739</v>
      </c>
      <c r="J19" s="22" t="n">
        <v>46.298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/>
      <c r="I23" s="12" t="n"/>
      <c r="J23" s="12" t="n"/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</row>
    <row r="27">
      <c r="A27" s="9" t="inlineStr">
        <is>
          <t>부채총계</t>
        </is>
      </c>
      <c r="B27" s="10" t="n"/>
      <c r="C27" s="11" t="n">
        <v>1424.803</v>
      </c>
      <c r="D27" s="12" t="n">
        <v>1458.059</v>
      </c>
      <c r="E27" s="12" t="n">
        <v>1190.834</v>
      </c>
      <c r="F27" s="12" t="n">
        <v>1807.93</v>
      </c>
      <c r="G27" s="12" t="n">
        <v>1564.23</v>
      </c>
      <c r="H27" s="11" t="n">
        <v>939.312</v>
      </c>
      <c r="I27" s="12" t="n">
        <v>1215.101</v>
      </c>
      <c r="J27" s="12" t="n">
        <v>1458.059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</row>
    <row r="31">
      <c r="A31" s="9" t="inlineStr">
        <is>
          <t>지배주주지분</t>
        </is>
      </c>
      <c r="B31" s="10" t="n"/>
      <c r="C31" s="11" t="n">
        <v>1261.286</v>
      </c>
      <c r="D31" s="12" t="n">
        <v>1325.043</v>
      </c>
      <c r="E31" s="12" t="n">
        <v>1388.973</v>
      </c>
      <c r="F31" s="12" t="n">
        <v>1412.19</v>
      </c>
      <c r="G31" s="12" t="n">
        <v>1529.234</v>
      </c>
      <c r="H31" s="11" t="n">
        <v>157.252</v>
      </c>
      <c r="I31" s="12" t="n">
        <v>1079.425</v>
      </c>
      <c r="J31" s="12" t="n">
        <v>1325.043</v>
      </c>
    </row>
    <row r="32">
      <c r="A32" s="20" t="inlineStr">
        <is>
          <t>자본금</t>
        </is>
      </c>
      <c r="B32" s="10" t="n"/>
      <c r="C32" s="21" t="n">
        <v>485.699</v>
      </c>
      <c r="D32" s="22" t="n">
        <v>485.861</v>
      </c>
      <c r="E32" s="22" t="n">
        <v>486.535</v>
      </c>
      <c r="F32" s="22" t="n">
        <v>487.668</v>
      </c>
      <c r="G32" s="22" t="n">
        <v>488.147</v>
      </c>
      <c r="H32" s="21" t="n">
        <v>98</v>
      </c>
      <c r="I32" s="22" t="n">
        <v>483.65</v>
      </c>
      <c r="J32" s="22" t="n">
        <v>485.861</v>
      </c>
    </row>
    <row r="33">
      <c r="A33" s="20" t="inlineStr">
        <is>
          <t>이익잉여금</t>
        </is>
      </c>
      <c r="B33" s="10" t="n"/>
      <c r="C33" s="21" t="n">
        <v>387.887</v>
      </c>
      <c r="D33" s="22" t="n">
        <v>451.321</v>
      </c>
      <c r="E33" s="22" t="n">
        <v>513.903</v>
      </c>
      <c r="F33" s="22" t="n">
        <v>596.178</v>
      </c>
      <c r="G33" s="22" t="n">
        <v>712.264</v>
      </c>
      <c r="H33" s="21" t="n">
        <v>59.252</v>
      </c>
      <c r="I33" s="22" t="n">
        <v>210.125</v>
      </c>
      <c r="J33" s="22" t="n">
        <v>451.321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</row>
    <row r="35">
      <c r="A35" s="9" t="inlineStr">
        <is>
          <t>자본총계</t>
        </is>
      </c>
      <c r="B35" s="10" t="n"/>
      <c r="C35" s="11" t="n">
        <v>1261.286</v>
      </c>
      <c r="D35" s="12" t="n">
        <v>1325.043</v>
      </c>
      <c r="E35" s="12" t="n">
        <v>1388.973</v>
      </c>
      <c r="F35" s="12" t="n">
        <v>1412.19</v>
      </c>
      <c r="G35" s="12" t="n">
        <v>1529.234</v>
      </c>
      <c r="H35" s="11" t="n">
        <v>157.252</v>
      </c>
      <c r="I35" s="12" t="n">
        <v>1079.425</v>
      </c>
      <c r="J35" s="12" t="n">
        <v>1325.043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</row>
    <row r="37">
      <c r="A37" s="9" t="inlineStr">
        <is>
          <t>영업활동현금흐름</t>
        </is>
      </c>
      <c r="B37" s="10" t="n"/>
      <c r="C37" s="11" t="n"/>
      <c r="D37" s="12" t="n">
        <v>440.396</v>
      </c>
      <c r="E37" s="12" t="n"/>
      <c r="F37" s="12" t="n">
        <v>517.331</v>
      </c>
      <c r="G37" s="12" t="n"/>
      <c r="H37" s="11" t="n">
        <v>278.679</v>
      </c>
      <c r="I37" s="12" t="n">
        <v>438.878</v>
      </c>
      <c r="J37" s="12" t="n">
        <v>440.396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128.643</v>
      </c>
      <c r="E38" s="22" t="n"/>
      <c r="F38" s="22" t="n">
        <v>183.27</v>
      </c>
      <c r="G38" s="22" t="n"/>
      <c r="H38" s="21" t="n">
        <v>108.379</v>
      </c>
      <c r="I38" s="22" t="n">
        <v>69.68899999999999</v>
      </c>
      <c r="J38" s="22" t="n">
        <v>128.643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IFERROR(('연간'!V19)/('연간'!V41),"")</f>
        <v/>
      </c>
      <c r="I48" s="33">
        <f>IFERROR(('연간'!W19)/('연간'!W41),"")</f>
        <v/>
      </c>
      <c r="J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IFERROR(IF(('연간'!V49)&lt;=0,"적자",H28/('연간'!V49)),"")</f>
        <v/>
      </c>
      <c r="I49" s="49">
        <f>IFERROR(IF(('연간'!W49)&lt;=0,"적자",I28/('연간'!W49)),"")</f>
        <v/>
      </c>
      <c r="J49" s="49">
        <f>IFERROR(IF(('연간'!X49)&lt;=0,"적자",J28/('연간'!X49)),"")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IFERROR(('연간'!V49)/H31,"")</f>
        <v/>
      </c>
      <c r="I51" s="38">
        <f>IFERROR(('연간'!W49)/I31,"")</f>
        <v/>
      </c>
      <c r="J51" s="38">
        <f>IFERROR(('연간'!X49)/J31,"")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IFERROR(('연간'!V47)/H16,"")</f>
        <v/>
      </c>
      <c r="I52" s="38">
        <f>IFERROR(('연간'!W47)/I16,"")</f>
        <v/>
      </c>
      <c r="J52" s="38">
        <f>IFERROR(('연간'!X47)/J16,"")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IFERROR(('연간'!V19)*(1-0.3)/(H35+H29),"")</f>
        <v/>
      </c>
      <c r="I53" s="38">
        <f>IFERROR(('연간'!W19)*(1-0.3)/(I35+I29),"")</f>
        <v/>
      </c>
      <c r="J53" s="38">
        <f>IFERROR(('연간'!X19)*(1-0.3)/(J35+J29),"")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IFERROR(('연간'!V13)/('연간'!V4),"")</f>
        <v/>
      </c>
      <c r="I54" s="38">
        <f>IFERROR(('연간'!W13)/('연간'!W4),"")</f>
        <v/>
      </c>
      <c r="J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IFERROR(('연간'!V19)/('연간'!V4),"")</f>
        <v/>
      </c>
      <c r="I55" s="38">
        <f>IFERROR(('연간'!W19)/('연간'!W4),"")</f>
        <v/>
      </c>
      <c r="J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IFERROR(('연간'!V47)/('연간'!V4),"")</f>
        <v/>
      </c>
      <c r="I56" s="38">
        <f>IFERROR(('연간'!W47)/('연간'!W4),"")</f>
        <v/>
      </c>
      <c r="J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IFERROR(('연간'!V4)/H16,"")</f>
        <v/>
      </c>
      <c r="I58" s="33">
        <f>IFERROR(('연간'!W4)/I16,"")</f>
        <v/>
      </c>
      <c r="J58" s="33">
        <f>IFERROR(('연간'!X4)/J16,"")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IFERROR(H8/('연간'!V4)*365,"")</f>
        <v/>
      </c>
      <c r="I59" s="51">
        <f>IFERROR(I8/('연간'!W4)*365,"")</f>
        <v/>
      </c>
      <c r="J59" s="51">
        <f>IFERROR(J8/('연간'!X4)*365,"")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IFERROR(H9/('연간'!V11)*365,"")</f>
        <v/>
      </c>
      <c r="I60" s="51">
        <f>IFERROR(I9/('연간'!W11)*365,"")</f>
        <v/>
      </c>
      <c r="J60" s="51">
        <f>IFERROR(J9/('연간'!X11)*365,"")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IFERROR(H19/('연간'!V11)*365,"")</f>
        <v/>
      </c>
      <c r="I61" s="51">
        <f>IFERROR(I19/('연간'!W11)*365,"")</f>
        <v/>
      </c>
      <c r="J61" s="51">
        <f>IFERROR(J19/('연간'!X11)*365,"")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IF(H37="","",IFERROR(H37/('연간'!V47),""))</f>
        <v/>
      </c>
      <c r="I64" s="33">
        <f>IF(I37="","",IFERROR(I37/('연간'!W47),""))</f>
        <v/>
      </c>
      <c r="J64" s="33">
        <f>IF(J37="","",IFERROR(J37/('연간'!X47),""))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IF(H39="","",IFERROR(H39/('연간'!V4),""))</f>
        <v/>
      </c>
      <c r="I65" s="38">
        <f>IF(I39="","",IFERROR(I39/('연간'!W4),""))</f>
        <v/>
      </c>
      <c r="J65" s="38">
        <f>IF(J39="","",IFERROR(J39/('연간'!X4),""))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IF(H38="","",IFERROR(H38/('연간'!V4),""))</f>
        <v/>
      </c>
      <c r="I66" s="38">
        <f>IF(I38="","",IFERROR(I38/('연간'!W4),""))</f>
        <v/>
      </c>
      <c r="J66" s="38">
        <f>IF(J38="","",IFERROR(J38/('연간'!X4),""))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IF(H40="","",IFERROR(H40/('연간'!V49),""))</f>
        <v/>
      </c>
      <c r="I67" s="38">
        <f>IF(I40="","",IFERROR(I40/('연간'!W49),""))</f>
        <v/>
      </c>
      <c r="J67" s="38">
        <f>IF(J40="","",IFERROR(J40/('연간'!X49),""))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</row>
    <row r="71">
      <c r="A71" s="20" t="inlineStr">
        <is>
          <t>현금 및 예금</t>
        </is>
      </c>
      <c r="C71" s="22" t="n">
        <v>836.0839999999999</v>
      </c>
      <c r="D71" s="22" t="n">
        <v>880.943</v>
      </c>
      <c r="E71" s="22" t="n">
        <v>691.052</v>
      </c>
      <c r="F71" s="22" t="n">
        <v>1207.98</v>
      </c>
      <c r="G71" s="22" t="n">
        <v>992.924</v>
      </c>
      <c r="H71" s="22" t="n">
        <v>626.516</v>
      </c>
      <c r="I71" s="22" t="n">
        <v>1766.77</v>
      </c>
      <c r="J71" s="22" t="n">
        <v>880.943</v>
      </c>
    </row>
    <row r="72">
      <c r="A72" s="20" t="inlineStr">
        <is>
          <t>금전신탁</t>
        </is>
      </c>
      <c r="C72" s="22" t="n">
        <v>1200</v>
      </c>
      <c r="I72" s="22" t="n">
        <v>0</v>
      </c>
    </row>
    <row r="73">
      <c r="A73" s="20" t="inlineStr">
        <is>
          <t>매출채권</t>
        </is>
      </c>
      <c r="C73" s="22" t="n">
        <v>26.642</v>
      </c>
      <c r="D73" s="22" t="n">
        <v>29.655</v>
      </c>
      <c r="E73" s="22" t="n">
        <v>24.374</v>
      </c>
      <c r="F73" s="22" t="n">
        <v>28.873</v>
      </c>
      <c r="G73" s="22" t="n">
        <v>31.194</v>
      </c>
      <c r="H73" s="22" t="n">
        <v>19.825</v>
      </c>
      <c r="I73" s="22" t="n">
        <v>28.895</v>
      </c>
      <c r="J73" s="22" t="n">
        <v>29.655</v>
      </c>
    </row>
    <row r="74">
      <c r="A74" s="20" t="inlineStr">
        <is>
          <t>계약자산</t>
        </is>
      </c>
      <c r="C74" s="22" t="n">
        <v>80.908</v>
      </c>
      <c r="D74" s="22" t="n">
        <v>107.965</v>
      </c>
      <c r="E74" s="22" t="n">
        <v>76.94</v>
      </c>
      <c r="F74" s="22" t="n">
        <v>51.066</v>
      </c>
      <c r="G74" s="22" t="n">
        <v>152.687</v>
      </c>
      <c r="H74" s="22" t="n">
        <v>48.693</v>
      </c>
      <c r="I74" s="22" t="n">
        <v>38.326</v>
      </c>
      <c r="J74" s="22" t="n">
        <v>107.965</v>
      </c>
    </row>
    <row r="75">
      <c r="A75" s="20" t="inlineStr">
        <is>
          <t>유가증권</t>
        </is>
      </c>
      <c r="D75" s="22" t="n">
        <v>1200</v>
      </c>
      <c r="E75" s="22" t="n">
        <v>1200</v>
      </c>
      <c r="F75" s="22" t="n">
        <v>1200</v>
      </c>
      <c r="G75" s="22" t="n">
        <v>1200</v>
      </c>
      <c r="I75" s="22" t="n">
        <v>0</v>
      </c>
      <c r="J75" s="22" t="n">
        <v>1200</v>
      </c>
    </row>
    <row r="76">
      <c r="A76" s="20" t="inlineStr">
        <is>
          <t>재공품</t>
        </is>
      </c>
      <c r="C76" s="22" t="n">
        <v>0.5629999999999999</v>
      </c>
      <c r="D76" s="22" t="n">
        <v>0.207</v>
      </c>
      <c r="E76" s="22" t="n">
        <v>1.395</v>
      </c>
      <c r="F76" s="22" t="n">
        <v>1.119</v>
      </c>
      <c r="G76" s="22" t="n">
        <v>0.059</v>
      </c>
      <c r="H76" s="22" t="n">
        <v>0.9320000000000001</v>
      </c>
      <c r="I76" s="22" t="n">
        <v>0.269</v>
      </c>
      <c r="J76" s="22" t="n">
        <v>0.207</v>
      </c>
    </row>
    <row r="77">
      <c r="A77" s="20" t="inlineStr">
        <is>
          <t>선급비용</t>
        </is>
      </c>
      <c r="C77" s="22" t="n">
        <v>202.977</v>
      </c>
      <c r="D77" s="22" t="n">
        <v>193.031</v>
      </c>
      <c r="H77" s="22" t="n">
        <v>135.197</v>
      </c>
      <c r="I77" s="22" t="n">
        <v>157.359</v>
      </c>
      <c r="J77" s="22" t="n">
        <v>193.031</v>
      </c>
    </row>
    <row r="78">
      <c r="A78" s="20" t="inlineStr">
        <is>
          <t>기타</t>
        </is>
      </c>
      <c r="C78" s="22" t="n">
        <v>10.816</v>
      </c>
      <c r="D78" s="22" t="n">
        <v>196.074</v>
      </c>
      <c r="E78" s="22" t="n">
        <v>176.623</v>
      </c>
      <c r="F78" s="22" t="n">
        <v>282.464</v>
      </c>
      <c r="G78" s="22" t="n">
        <v>230.435</v>
      </c>
      <c r="H78" s="22" t="n">
        <v>0.04</v>
      </c>
      <c r="I78" s="22" t="n">
        <v>1.944</v>
      </c>
      <c r="J78" s="22" t="n">
        <v>196.074</v>
      </c>
    </row>
    <row r="79">
      <c r="A79" s="20" t="inlineStr">
        <is>
          <t>대손충당금</t>
        </is>
      </c>
      <c r="H79" s="22" t="n">
        <v>-0.291</v>
      </c>
      <c r="I79" s="22" t="n">
        <v>0</v>
      </c>
    </row>
    <row r="80">
      <c r="A80" s="9" t="inlineStr">
        <is>
          <t>유동자산 합계</t>
        </is>
      </c>
      <c r="C80" s="12" t="n">
        <v>2357.994</v>
      </c>
      <c r="D80" s="12" t="n">
        <v>2414.846</v>
      </c>
      <c r="E80" s="12" t="n">
        <v>2170.387</v>
      </c>
      <c r="F80" s="12" t="n">
        <v>2771.503</v>
      </c>
      <c r="G80" s="12" t="n">
        <v>2607.302</v>
      </c>
      <c r="H80" s="12" t="n">
        <v>830.914</v>
      </c>
      <c r="I80" s="12" t="n">
        <v>1993.565</v>
      </c>
      <c r="J80" s="12" t="n">
        <v>2414.846</v>
      </c>
    </row>
    <row r="81">
      <c r="A81" s="20" t="inlineStr">
        <is>
          <t>건물</t>
        </is>
      </c>
      <c r="D81" s="22" t="n">
        <v>47.765</v>
      </c>
      <c r="H81" s="22" t="n">
        <v>46.405</v>
      </c>
      <c r="I81" s="22" t="n">
        <v>46.405</v>
      </c>
      <c r="J81" s="22" t="n">
        <v>47.765</v>
      </c>
    </row>
    <row r="82">
      <c r="A82" s="20" t="inlineStr">
        <is>
          <t>감가상각누계액</t>
        </is>
      </c>
      <c r="D82" s="22" t="n">
        <v>-12.634</v>
      </c>
      <c r="H82" s="22" t="n">
        <v>-4.245</v>
      </c>
      <c r="I82" s="22" t="n">
        <v>-8.4</v>
      </c>
      <c r="J82" s="22" t="n">
        <v>-12.634</v>
      </c>
    </row>
    <row r="83">
      <c r="A83" s="20" t="inlineStr">
        <is>
          <t>건물(순액)</t>
        </is>
      </c>
      <c r="D83" s="22" t="n">
        <v>35.131</v>
      </c>
      <c r="H83" s="22" t="n">
        <v>42.159</v>
      </c>
      <c r="I83" s="22" t="n">
        <v>38.004</v>
      </c>
      <c r="J83" s="22" t="n">
        <v>35.131</v>
      </c>
    </row>
    <row r="84">
      <c r="A84" s="20" t="inlineStr">
        <is>
          <t>공구·기구·비품</t>
        </is>
      </c>
      <c r="D84" s="22" t="n">
        <v>62.384</v>
      </c>
      <c r="H84" s="22" t="n">
        <v>43.826</v>
      </c>
      <c r="I84" s="22" t="n">
        <v>45.003</v>
      </c>
      <c r="J84" s="22" t="n">
        <v>62.384</v>
      </c>
    </row>
    <row r="85">
      <c r="A85" s="20" t="inlineStr">
        <is>
          <t>감가상각누계액</t>
        </is>
      </c>
      <c r="D85" s="22" t="n">
        <v>-35.392</v>
      </c>
      <c r="H85" s="22" t="n">
        <v>-24.024</v>
      </c>
      <c r="I85" s="22" t="n">
        <v>-29.02</v>
      </c>
      <c r="J85" s="22" t="n">
        <v>-35.392</v>
      </c>
    </row>
    <row r="86">
      <c r="A86" s="20" t="inlineStr">
        <is>
          <t>공구·기구·비품(순액)</t>
        </is>
      </c>
      <c r="D86" s="22" t="n">
        <v>26.992</v>
      </c>
      <c r="H86" s="22" t="n">
        <v>19.802</v>
      </c>
      <c r="I86" s="22" t="n">
        <v>15.983</v>
      </c>
      <c r="J86" s="22" t="n">
        <v>26.992</v>
      </c>
    </row>
    <row r="87">
      <c r="A87" s="20" t="inlineStr">
        <is>
          <t>유형자산</t>
        </is>
      </c>
      <c r="C87" s="22" t="n">
        <v>55.834</v>
      </c>
      <c r="D87" s="22" t="n">
        <v>62.123</v>
      </c>
      <c r="E87" s="22" t="n">
        <v>58.799</v>
      </c>
      <c r="F87" s="22" t="n">
        <v>57.38</v>
      </c>
      <c r="G87" s="22" t="n">
        <v>59.348</v>
      </c>
      <c r="H87" s="22" t="n">
        <v>61.962</v>
      </c>
      <c r="I87" s="22" t="n">
        <v>53.987</v>
      </c>
      <c r="J87" s="22" t="n">
        <v>62.123</v>
      </c>
    </row>
    <row r="88">
      <c r="A88" s="20" t="inlineStr">
        <is>
          <t>소프트웨어</t>
        </is>
      </c>
      <c r="D88" s="22" t="n">
        <v>146.92</v>
      </c>
      <c r="H88" s="22" t="n">
        <v>56.927</v>
      </c>
      <c r="I88" s="22" t="n">
        <v>95.03400000000001</v>
      </c>
      <c r="J88" s="22" t="n">
        <v>146.92</v>
      </c>
    </row>
    <row r="89">
      <c r="A89" s="20" t="inlineStr">
        <is>
          <t>개발 중 소프트웨어</t>
        </is>
      </c>
      <c r="D89" s="22" t="n">
        <v>20.781</v>
      </c>
      <c r="H89" s="22" t="n">
        <v>10.195</v>
      </c>
      <c r="I89" s="22" t="n">
        <v>18.76</v>
      </c>
      <c r="J89" s="22" t="n">
        <v>20.781</v>
      </c>
    </row>
    <row r="90">
      <c r="A90" s="20" t="inlineStr">
        <is>
          <t>무형자산</t>
        </is>
      </c>
      <c r="C90" s="22" t="n">
        <v>144.042</v>
      </c>
      <c r="D90" s="22" t="n">
        <v>167.701</v>
      </c>
      <c r="E90" s="22" t="n">
        <v>216.621</v>
      </c>
      <c r="F90" s="22" t="n">
        <v>258.341</v>
      </c>
      <c r="G90" s="22" t="n">
        <v>295.889</v>
      </c>
      <c r="H90" s="22" t="n">
        <v>67.122</v>
      </c>
      <c r="I90" s="22" t="n">
        <v>113.794</v>
      </c>
      <c r="J90" s="22" t="n">
        <v>167.701</v>
      </c>
    </row>
    <row r="91">
      <c r="A91" s="20" t="inlineStr">
        <is>
          <t>출자금</t>
        </is>
      </c>
      <c r="D91" s="22" t="n">
        <v>1.5</v>
      </c>
      <c r="I91" s="22" t="n">
        <v>0</v>
      </c>
      <c r="J91" s="22" t="n">
        <v>1.5</v>
      </c>
    </row>
    <row r="92">
      <c r="A92" s="20" t="inlineStr">
        <is>
          <t>장기선급비용</t>
        </is>
      </c>
      <c r="D92" s="22" t="n">
        <v>8.795</v>
      </c>
      <c r="H92" s="22" t="n">
        <v>3.666</v>
      </c>
      <c r="I92" s="22" t="n">
        <v>12.674</v>
      </c>
      <c r="J92" s="22" t="n">
        <v>8.795</v>
      </c>
    </row>
    <row r="93">
      <c r="A93" s="20" t="inlineStr">
        <is>
          <t>임차보증금·보증금</t>
        </is>
      </c>
      <c r="D93" s="22" t="n">
        <v>79.003</v>
      </c>
      <c r="H93" s="22" t="n">
        <v>95.40900000000001</v>
      </c>
      <c r="I93" s="22" t="n">
        <v>86.774</v>
      </c>
      <c r="J93" s="22" t="n">
        <v>79.003</v>
      </c>
    </row>
    <row r="94">
      <c r="A94" s="20" t="inlineStr">
        <is>
          <t>이연법인세자산</t>
        </is>
      </c>
      <c r="D94" s="22" t="n">
        <v>47.694</v>
      </c>
      <c r="H94" s="22" t="n">
        <v>37.49</v>
      </c>
      <c r="I94" s="22" t="n">
        <v>32.293</v>
      </c>
      <c r="J94" s="22" t="n">
        <v>47.694</v>
      </c>
    </row>
    <row r="95">
      <c r="A95" s="20" t="inlineStr">
        <is>
          <t>기타</t>
        </is>
      </c>
      <c r="D95" s="22" t="n">
        <v>139.65</v>
      </c>
      <c r="F95" s="22" t="n">
        <v>134.114</v>
      </c>
      <c r="G95" s="22" t="n">
        <v>132.144</v>
      </c>
      <c r="H95" s="22" t="n">
        <v>0</v>
      </c>
      <c r="I95" s="22" t="n">
        <v>2.656</v>
      </c>
      <c r="J95" s="22" t="n">
        <v>139.65</v>
      </c>
    </row>
    <row r="96">
      <c r="A96" s="20" t="inlineStr">
        <is>
          <t>대손충당금</t>
        </is>
      </c>
      <c r="D96" s="22" t="n">
        <v>-1.218</v>
      </c>
      <c r="F96" s="22" t="n">
        <v>-1.218</v>
      </c>
      <c r="G96" s="22" t="n">
        <v>-1.218</v>
      </c>
      <c r="H96" s="22" t="n">
        <v>0</v>
      </c>
      <c r="I96" s="22" t="n">
        <v>-1.218</v>
      </c>
      <c r="J96" s="22" t="n">
        <v>-1.218</v>
      </c>
    </row>
    <row r="97">
      <c r="A97" s="20" t="inlineStr">
        <is>
          <t>투자 및 기타자산 합계</t>
        </is>
      </c>
      <c r="C97" s="22" t="n">
        <v>128.218</v>
      </c>
      <c r="D97" s="22" t="n">
        <v>138.431</v>
      </c>
      <c r="E97" s="22" t="n">
        <v>133.999</v>
      </c>
      <c r="F97" s="22" t="n">
        <v>132.895</v>
      </c>
      <c r="G97" s="22" t="n">
        <v>130.925</v>
      </c>
      <c r="H97" s="22" t="n">
        <v>136.566</v>
      </c>
      <c r="I97" s="22" t="n">
        <v>133.179</v>
      </c>
      <c r="J97" s="22" t="n">
        <v>138.431</v>
      </c>
    </row>
    <row r="98">
      <c r="A98" s="9" t="inlineStr">
        <is>
          <t>비유동자산 합계</t>
        </is>
      </c>
      <c r="C98" s="12" t="n">
        <v>328.095</v>
      </c>
      <c r="D98" s="12" t="n">
        <v>368.257</v>
      </c>
      <c r="E98" s="12" t="n">
        <v>409.42</v>
      </c>
      <c r="F98" s="12" t="n">
        <v>448.616</v>
      </c>
      <c r="G98" s="12" t="n">
        <v>486.162</v>
      </c>
      <c r="H98" s="12" t="n">
        <v>265.651</v>
      </c>
      <c r="I98" s="12" t="n">
        <v>300.962</v>
      </c>
      <c r="J98" s="12" t="n">
        <v>368.257</v>
      </c>
    </row>
    <row r="99">
      <c r="A99" s="9" t="inlineStr">
        <is>
          <t>자산 합계</t>
        </is>
      </c>
      <c r="C99" s="12" t="n">
        <v>2686.089</v>
      </c>
      <c r="D99" s="12" t="n">
        <v>2783.103</v>
      </c>
      <c r="E99" s="12" t="n">
        <v>2579.808</v>
      </c>
      <c r="F99" s="12" t="n">
        <v>3220.12</v>
      </c>
      <c r="G99" s="12" t="n">
        <v>3093.465</v>
      </c>
      <c r="H99" s="12" t="n">
        <v>1096.565</v>
      </c>
      <c r="I99" s="12" t="n">
        <v>2294.527</v>
      </c>
      <c r="J99" s="12" t="n">
        <v>2783.103</v>
      </c>
    </row>
    <row r="100">
      <c r="A100" s="20" t="inlineStr">
        <is>
          <t>매입채무</t>
        </is>
      </c>
      <c r="C100" s="22" t="n">
        <v>42.234</v>
      </c>
      <c r="D100" s="22" t="n">
        <v>46.298</v>
      </c>
      <c r="E100" s="22" t="n">
        <v>57.327</v>
      </c>
      <c r="F100" s="22" t="n">
        <v>63.734</v>
      </c>
      <c r="G100" s="22" t="n">
        <v>90.318</v>
      </c>
      <c r="H100" s="22" t="n">
        <v>44.425</v>
      </c>
      <c r="I100" s="22" t="n">
        <v>36.739</v>
      </c>
      <c r="J100" s="22" t="n">
        <v>46.298</v>
      </c>
    </row>
    <row r="101">
      <c r="A101" s="20" t="inlineStr">
        <is>
          <t>미지급금</t>
        </is>
      </c>
      <c r="D101" s="22" t="n">
        <v>31.19</v>
      </c>
      <c r="H101" s="22" t="n">
        <v>33.017</v>
      </c>
      <c r="I101" s="22" t="n">
        <v>22.888</v>
      </c>
      <c r="J101" s="22" t="n">
        <v>31.19</v>
      </c>
    </row>
    <row r="102">
      <c r="A102" s="20" t="inlineStr">
        <is>
          <t>미지급비용</t>
        </is>
      </c>
      <c r="D102" s="22" t="n">
        <v>120.932</v>
      </c>
      <c r="H102" s="22" t="n">
        <v>77.523</v>
      </c>
      <c r="I102" s="22" t="n">
        <v>96.358</v>
      </c>
      <c r="J102" s="22" t="n">
        <v>120.932</v>
      </c>
    </row>
    <row r="103">
      <c r="A103" s="20" t="inlineStr">
        <is>
          <t>계약부채</t>
        </is>
      </c>
      <c r="C103" s="22" t="n">
        <v>1108.439</v>
      </c>
      <c r="D103" s="22" t="n">
        <v>1033.517</v>
      </c>
      <c r="E103" s="22" t="n">
        <v>903.169</v>
      </c>
      <c r="F103" s="22" t="n">
        <v>1433.769</v>
      </c>
      <c r="G103" s="22" t="n">
        <v>1214.487</v>
      </c>
      <c r="H103" s="22" t="n">
        <v>656.65</v>
      </c>
      <c r="I103" s="22" t="n">
        <v>874.224</v>
      </c>
      <c r="J103" s="22" t="n">
        <v>1033.517</v>
      </c>
    </row>
    <row r="104">
      <c r="A104" s="20" t="inlineStr">
        <is>
          <t>미지급법인세</t>
        </is>
      </c>
      <c r="C104" s="22" t="n">
        <v>59.431</v>
      </c>
      <c r="D104" s="22" t="n">
        <v>71.648</v>
      </c>
      <c r="E104" s="22" t="n">
        <v>32.516</v>
      </c>
      <c r="F104" s="22" t="n">
        <v>74.279</v>
      </c>
      <c r="G104" s="22" t="n">
        <v>78.122</v>
      </c>
      <c r="H104" s="22" t="n">
        <v>32.118</v>
      </c>
      <c r="I104" s="22" t="n">
        <v>53.168</v>
      </c>
      <c r="J104" s="22" t="n">
        <v>71.648</v>
      </c>
    </row>
    <row r="105">
      <c r="A105" s="20" t="inlineStr">
        <is>
          <t>상여충당금</t>
        </is>
      </c>
      <c r="C105" s="22" t="n">
        <v>50.606</v>
      </c>
      <c r="D105" s="22" t="n">
        <v>97.883</v>
      </c>
      <c r="E105" s="22" t="n">
        <v>41.727</v>
      </c>
      <c r="F105" s="22" t="n">
        <v>77.708</v>
      </c>
      <c r="G105" s="22" t="n">
        <v>41.872</v>
      </c>
      <c r="H105" s="22" t="n">
        <v>71.05800000000001</v>
      </c>
      <c r="I105" s="22" t="n">
        <v>76.053</v>
      </c>
      <c r="J105" s="22" t="n">
        <v>97.883</v>
      </c>
    </row>
    <row r="106">
      <c r="A106" s="20" t="inlineStr">
        <is>
          <t>수주손실 충당금</t>
        </is>
      </c>
      <c r="D106" s="22" t="n">
        <v>0</v>
      </c>
      <c r="E106" s="22" t="n">
        <v>0.082</v>
      </c>
      <c r="H106" s="22" t="n">
        <v>0.038</v>
      </c>
      <c r="I106" s="22" t="n">
        <v>0</v>
      </c>
      <c r="J106" s="22" t="n">
        <v>0</v>
      </c>
    </row>
    <row r="107">
      <c r="A107" s="20" t="inlineStr">
        <is>
          <t>기타</t>
        </is>
      </c>
      <c r="C107" s="22" t="n">
        <v>164.09</v>
      </c>
      <c r="D107" s="22" t="n">
        <v>208.712</v>
      </c>
      <c r="E107" s="22" t="n">
        <v>156.011</v>
      </c>
      <c r="F107" s="22" t="n">
        <v>158.438</v>
      </c>
      <c r="G107" s="22" t="n">
        <v>139.429</v>
      </c>
      <c r="H107" s="22" t="n">
        <v>24.479</v>
      </c>
      <c r="I107" s="22" t="n">
        <v>55.668</v>
      </c>
      <c r="J107" s="22" t="n">
        <v>208.712</v>
      </c>
    </row>
    <row r="108">
      <c r="A108" s="9" t="inlineStr">
        <is>
          <t>유동부채 합계</t>
        </is>
      </c>
      <c r="C108" s="12" t="n">
        <v>1424.803</v>
      </c>
      <c r="D108" s="12" t="n">
        <v>1458.059</v>
      </c>
      <c r="E108" s="12" t="n">
        <v>1190.834</v>
      </c>
      <c r="F108" s="12" t="n">
        <v>1807.93</v>
      </c>
      <c r="G108" s="12" t="n">
        <v>1564.23</v>
      </c>
      <c r="H108" s="12" t="n">
        <v>939.312</v>
      </c>
      <c r="I108" s="12" t="n">
        <v>1215.101</v>
      </c>
      <c r="J108" s="12" t="n">
        <v>1458.059</v>
      </c>
    </row>
    <row r="109">
      <c r="A109" s="9" t="inlineStr">
        <is>
          <t>부채 합계</t>
        </is>
      </c>
      <c r="C109" s="12" t="n">
        <v>1424.803</v>
      </c>
      <c r="D109" s="12" t="n">
        <v>1458.059</v>
      </c>
      <c r="E109" s="12" t="n">
        <v>1190.834</v>
      </c>
      <c r="F109" s="12" t="n">
        <v>1807.93</v>
      </c>
      <c r="G109" s="12" t="n">
        <v>1564.23</v>
      </c>
      <c r="H109" s="12" t="n">
        <v>939.312</v>
      </c>
      <c r="I109" s="12" t="n">
        <v>1215.101</v>
      </c>
      <c r="J109" s="12" t="n">
        <v>1458.059</v>
      </c>
    </row>
    <row r="110">
      <c r="A110" s="20" t="inlineStr">
        <is>
          <t>자본금</t>
        </is>
      </c>
      <c r="C110" s="22" t="n">
        <v>485.699</v>
      </c>
      <c r="D110" s="22" t="n">
        <v>485.861</v>
      </c>
      <c r="E110" s="22" t="n">
        <v>486.535</v>
      </c>
      <c r="F110" s="22" t="n">
        <v>487.668</v>
      </c>
      <c r="G110" s="22" t="n">
        <v>488.147</v>
      </c>
      <c r="H110" s="22" t="n">
        <v>98</v>
      </c>
      <c r="I110" s="22" t="n">
        <v>483.65</v>
      </c>
      <c r="J110" s="22" t="n">
        <v>485.861</v>
      </c>
    </row>
    <row r="111">
      <c r="A111" s="20" t="inlineStr">
        <is>
          <t>자본준비금</t>
        </is>
      </c>
      <c r="D111" s="22" t="n">
        <v>387.861</v>
      </c>
      <c r="H111" s="22" t="n">
        <v>0</v>
      </c>
      <c r="I111" s="22" t="n">
        <v>385.65</v>
      </c>
      <c r="J111" s="22" t="n">
        <v>387.861</v>
      </c>
    </row>
    <row r="112">
      <c r="A112" s="20" t="inlineStr">
        <is>
          <t>자본잉여금</t>
        </is>
      </c>
      <c r="C112" s="22" t="n">
        <v>387.699</v>
      </c>
      <c r="D112" s="22" t="n">
        <v>387.861</v>
      </c>
      <c r="E112" s="22" t="n">
        <v>388.535</v>
      </c>
      <c r="F112" s="22" t="n">
        <v>389.668</v>
      </c>
      <c r="G112" s="22" t="n">
        <v>390.147</v>
      </c>
      <c r="H112" s="22" t="n">
        <v>0</v>
      </c>
      <c r="I112" s="22" t="n">
        <v>385.65</v>
      </c>
      <c r="J112" s="22" t="n">
        <v>387.861</v>
      </c>
    </row>
    <row r="113">
      <c r="A113" s="20" t="inlineStr">
        <is>
          <t>이월이익잉여금</t>
        </is>
      </c>
      <c r="D113" s="22" t="n">
        <v>451.321</v>
      </c>
      <c r="H113" s="22" t="n">
        <v>59.252</v>
      </c>
      <c r="I113" s="22" t="n">
        <v>210.125</v>
      </c>
      <c r="J113" s="22" t="n">
        <v>451.321</v>
      </c>
    </row>
    <row r="114">
      <c r="A114" s="20" t="inlineStr">
        <is>
          <t>이익잉여금</t>
        </is>
      </c>
      <c r="C114" s="22" t="n">
        <v>387.887</v>
      </c>
      <c r="D114" s="22" t="n">
        <v>451.321</v>
      </c>
      <c r="E114" s="22" t="n">
        <v>513.903</v>
      </c>
      <c r="F114" s="22" t="n">
        <v>596.178</v>
      </c>
      <c r="G114" s="22" t="n">
        <v>712.264</v>
      </c>
      <c r="H114" s="22" t="n">
        <v>59.252</v>
      </c>
      <c r="I114" s="22" t="n">
        <v>210.125</v>
      </c>
      <c r="J114" s="22" t="n">
        <v>451.321</v>
      </c>
    </row>
    <row r="115">
      <c r="A115" s="20" t="inlineStr">
        <is>
          <t>자기주식</t>
        </is>
      </c>
      <c r="D115" s="22" t="n">
        <v>0</v>
      </c>
      <c r="F115" s="22" t="n">
        <v>-61.324</v>
      </c>
      <c r="G115" s="22" t="n">
        <v>-61.324</v>
      </c>
      <c r="J115" s="22" t="n">
        <v>0</v>
      </c>
    </row>
    <row r="116">
      <c r="A116" s="9" t="inlineStr">
        <is>
          <t>주주자본 합계</t>
        </is>
      </c>
      <c r="C116" s="12" t="n">
        <v>1261.286</v>
      </c>
      <c r="D116" s="12" t="n">
        <v>1325.043</v>
      </c>
      <c r="E116" s="12" t="n">
        <v>1388.973</v>
      </c>
      <c r="F116" s="12" t="n">
        <v>1412.19</v>
      </c>
      <c r="G116" s="12" t="n">
        <v>1529.234</v>
      </c>
      <c r="H116" s="12" t="n">
        <v>157.252</v>
      </c>
      <c r="I116" s="12" t="n">
        <v>1079.425</v>
      </c>
      <c r="J116" s="12" t="n">
        <v>1325.043</v>
      </c>
    </row>
    <row r="117">
      <c r="A117" s="9" t="inlineStr">
        <is>
          <t>순자산 합계</t>
        </is>
      </c>
      <c r="C117" s="12" t="n">
        <v>1261.286</v>
      </c>
      <c r="D117" s="12" t="n">
        <v>1325.043</v>
      </c>
      <c r="E117" s="12" t="n">
        <v>1388.973</v>
      </c>
      <c r="F117" s="12" t="n">
        <v>1412.19</v>
      </c>
      <c r="G117" s="12" t="n">
        <v>1529.234</v>
      </c>
      <c r="H117" s="12" t="n">
        <v>157.252</v>
      </c>
      <c r="I117" s="12" t="n">
        <v>1079.425</v>
      </c>
      <c r="J117" s="12" t="n">
        <v>1325.043</v>
      </c>
    </row>
    <row r="118">
      <c r="A118" s="9" t="inlineStr">
        <is>
          <t>부채·순자산 합계</t>
        </is>
      </c>
      <c r="C118" s="12" t="n">
        <v>2686.089</v>
      </c>
      <c r="D118" s="12" t="n">
        <v>2783.103</v>
      </c>
      <c r="E118" s="12" t="n">
        <v>2579.808</v>
      </c>
      <c r="F118" s="12" t="n">
        <v>3220.12</v>
      </c>
      <c r="G118" s="12" t="n">
        <v>3093.465</v>
      </c>
      <c r="H118" s="12" t="n">
        <v>1096.565</v>
      </c>
      <c r="I118" s="12" t="n">
        <v>2294.527</v>
      </c>
      <c r="J118" s="12" t="n">
        <v>2783.103</v>
      </c>
    </row>
  </sheetData>
  <conditionalFormatting sqref="C43:J43">
    <cfRule type="expression" priority="1" dxfId="0">
      <formula>AND(ISNUMBER(C43),C43&gt;1.0)</formula>
    </cfRule>
  </conditionalFormatting>
  <conditionalFormatting sqref="C44:J44">
    <cfRule type="expression" priority="2" dxfId="0">
      <formula>AND(ISNUMBER(C44),C44&gt;0.5)</formula>
    </cfRule>
  </conditionalFormatting>
  <conditionalFormatting sqref="C45:J45">
    <cfRule type="expression" priority="3" dxfId="0">
      <formula>AND(ISNUMBER(C45),C45&lt;0.5)</formula>
    </cfRule>
  </conditionalFormatting>
  <conditionalFormatting sqref="C46:J46">
    <cfRule type="expression" priority="4" dxfId="0">
      <formula>AND(ISNUMBER(C46),C46&lt;1.5)</formula>
    </cfRule>
  </conditionalFormatting>
  <conditionalFormatting sqref="C47:J47">
    <cfRule type="expression" priority="5" dxfId="0">
      <formula>AND(ISNUMBER(C47),C47&lt;1.0)</formula>
    </cfRule>
  </conditionalFormatting>
  <conditionalFormatting sqref="C48:J48">
    <cfRule type="expression" priority="6" dxfId="0">
      <formula>AND(ISNUMBER(C48),C48&lt;5)</formula>
    </cfRule>
  </conditionalFormatting>
  <conditionalFormatting sqref="C49:J49">
    <cfRule type="expression" priority="7" dxfId="0">
      <formula>AND(ISNUMBER(C49),C49&gt;4)</formula>
    </cfRule>
  </conditionalFormatting>
  <conditionalFormatting sqref="C51:J51">
    <cfRule type="expression" priority="8" dxfId="0">
      <formula>AND(ISNUMBER(C51),C51&lt;0.15)</formula>
    </cfRule>
  </conditionalFormatting>
  <conditionalFormatting sqref="C52:J52">
    <cfRule type="expression" priority="9" dxfId="0">
      <formula>AND(ISNUMBER(C52),C52&lt;0.05)</formula>
    </cfRule>
  </conditionalFormatting>
  <conditionalFormatting sqref="C53:J53">
    <cfRule type="expression" priority="10" dxfId="0">
      <formula>AND(ISNUMBER(C53),C53&lt;0.1)</formula>
    </cfRule>
  </conditionalFormatting>
  <conditionalFormatting sqref="C54:J54">
    <cfRule type="expression" priority="11" dxfId="0">
      <formula>AND(ISNUMBER(C54),C54&lt;0.4)</formula>
    </cfRule>
  </conditionalFormatting>
  <conditionalFormatting sqref="C55:J55">
    <cfRule type="expression" priority="12" dxfId="0">
      <formula>AND(ISNUMBER(C55),C55&lt;0.15)</formula>
    </cfRule>
  </conditionalFormatting>
  <conditionalFormatting sqref="C56:J56">
    <cfRule type="expression" priority="13" dxfId="0">
      <formula>AND(ISNUMBER(C56),C56&lt;0.1)</formula>
    </cfRule>
  </conditionalFormatting>
  <conditionalFormatting sqref="C64:J64">
    <cfRule type="expression" priority="14" dxfId="0">
      <formula>AND(ISNUMBER(C64),C64&lt;1.0)</formula>
    </cfRule>
  </conditionalFormatting>
  <conditionalFormatting sqref="C65:J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44" customWidth="1" min="5" max="5"/>
  </cols>
  <sheetData>
    <row r="1">
      <c r="A1" s="52" t="inlineStr">
        <is>
          <t>오프로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meta</t>
        </is>
      </c>
      <c r="B4" s="54" t="n"/>
      <c r="C4" s="54" t="n"/>
      <c r="D4" s="54" t="n"/>
      <c r="E4" s="54" t="n"/>
    </row>
    <row r="5">
      <c r="A5" s="55" t="inlineStr">
        <is>
          <t>항목</t>
        </is>
      </c>
      <c r="B5" s="55" t="inlineStr">
        <is>
          <t>값</t>
        </is>
      </c>
      <c r="E5" s="55" t="inlineStr">
        <is>
          <t>출처</t>
        </is>
      </c>
    </row>
    <row r="6">
      <c r="A6" s="56" t="inlineStr">
        <is>
          <t>가격</t>
        </is>
      </c>
      <c r="B6" s="57" t="n">
        <v>1752</v>
      </c>
      <c r="E6" s="58" t="inlineStr">
        <is>
          <t>2단계 보고서 자료(회사 설명회 자료·공시)</t>
        </is>
      </c>
    </row>
    <row r="7">
      <c r="A7" s="56" t="inlineStr">
        <is>
          <t>shares ex treasury</t>
        </is>
      </c>
      <c r="B7" s="57" t="n">
        <v>2306050</v>
      </c>
    </row>
    <row r="8">
      <c r="A8" s="56" t="inlineStr">
        <is>
          <t>mcap oku</t>
        </is>
      </c>
      <c r="B8" s="59" t="n">
        <v>40.4</v>
      </c>
    </row>
    <row r="10">
      <c r="A10" s="54" t="inlineStr">
        <is>
          <t>bs · 2025-11</t>
        </is>
      </c>
      <c r="B10" s="54" t="n"/>
      <c r="C10" s="54" t="n"/>
      <c r="D10" s="54" t="n"/>
      <c r="E10" s="54" t="n"/>
    </row>
    <row r="11">
      <c r="A11" s="55" t="inlineStr">
        <is>
          <t>항목</t>
        </is>
      </c>
      <c r="B11" s="55" t="inlineStr">
        <is>
          <t>값</t>
        </is>
      </c>
      <c r="E11" s="55" t="inlineStr">
        <is>
          <t>출처</t>
        </is>
      </c>
    </row>
    <row r="12">
      <c r="A12" s="56" t="inlineStr">
        <is>
          <t>cash</t>
        </is>
      </c>
      <c r="B12" s="59" t="n">
        <v>8.81</v>
      </c>
      <c r="E12" s="58" t="inlineStr">
        <is>
          <t>2단계 보고서 자료(회사 설명회 자료·공시)</t>
        </is>
      </c>
    </row>
    <row r="13">
      <c r="A13" s="56" t="inlineStr">
        <is>
          <t>securities</t>
        </is>
      </c>
      <c r="B13" s="59" t="n">
        <v>12</v>
      </c>
    </row>
    <row r="14">
      <c r="A14" s="56" t="inlineStr">
        <is>
          <t>contract liab</t>
        </is>
      </c>
      <c r="B14" s="59" t="n">
        <v>10.34</v>
      </c>
    </row>
    <row r="15">
      <c r="A15" s="56" t="inlineStr">
        <is>
          <t>equity</t>
        </is>
      </c>
      <c r="B15" s="59" t="n">
        <v>13.25</v>
      </c>
    </row>
    <row r="16">
      <c r="A16" s="56" t="inlineStr">
        <is>
          <t>합계 assets</t>
        </is>
      </c>
      <c r="B16" s="59" t="n">
        <v>27.83</v>
      </c>
    </row>
    <row r="18">
      <c r="A18" s="54" t="inlineStr">
        <is>
          <t>bs · 2026-08</t>
        </is>
      </c>
      <c r="B18" s="54" t="n"/>
      <c r="C18" s="54" t="n"/>
      <c r="D18" s="54" t="n"/>
      <c r="E18" s="54" t="n"/>
    </row>
    <row r="19">
      <c r="A19" s="55" t="inlineStr">
        <is>
          <t>항목</t>
        </is>
      </c>
      <c r="B19" s="55" t="inlineStr">
        <is>
          <t>값</t>
        </is>
      </c>
      <c r="E19" s="55" t="inlineStr">
        <is>
          <t>출처</t>
        </is>
      </c>
    </row>
    <row r="20">
      <c r="A20" s="56" t="inlineStr">
        <is>
          <t>cash</t>
        </is>
      </c>
      <c r="B20" s="59" t="n">
        <v>9.93</v>
      </c>
      <c r="E20" s="58" t="inlineStr">
        <is>
          <t>2단계 보고서 자료(회사 설명회 자료·공시)</t>
        </is>
      </c>
    </row>
    <row r="21">
      <c r="A21" s="56" t="inlineStr">
        <is>
          <t>securities</t>
        </is>
      </c>
      <c r="B21" s="59" t="n">
        <v>12</v>
      </c>
    </row>
    <row r="22">
      <c r="A22" s="56" t="inlineStr">
        <is>
          <t>contract liab</t>
        </is>
      </c>
      <c r="B22" s="59" t="n">
        <v>12.14</v>
      </c>
    </row>
    <row r="23">
      <c r="A23" s="56" t="inlineStr">
        <is>
          <t>equity</t>
        </is>
      </c>
      <c r="B23" s="59" t="n">
        <v>15.29</v>
      </c>
    </row>
    <row r="24">
      <c r="A24" s="56" t="inlineStr">
        <is>
          <t>합계 assets</t>
        </is>
      </c>
      <c r="B24" s="59" t="n">
        <v>30.93</v>
      </c>
    </row>
    <row r="25">
      <c r="A25" s="56" t="inlineStr">
        <is>
          <t>intangibles</t>
        </is>
      </c>
      <c r="B25" s="59" t="n">
        <v>2.96</v>
      </c>
    </row>
    <row r="27">
      <c r="A27" s="54" t="inlineStr">
        <is>
          <t>cf · FY2023</t>
        </is>
      </c>
      <c r="B27" s="54" t="n"/>
      <c r="C27" s="54" t="n"/>
      <c r="D27" s="54" t="n"/>
      <c r="E27" s="54" t="n"/>
    </row>
    <row r="28">
      <c r="A28" s="55" t="inlineStr">
        <is>
          <t>항목</t>
        </is>
      </c>
      <c r="B28" s="55" t="inlineStr">
        <is>
          <t>값</t>
        </is>
      </c>
      <c r="E28" s="55" t="inlineStr">
        <is>
          <t>출처</t>
        </is>
      </c>
    </row>
    <row r="29">
      <c r="A29" s="56" t="inlineStr">
        <is>
          <t>ocf</t>
        </is>
      </c>
      <c r="B29" s="59" t="n">
        <v>2.79</v>
      </c>
      <c r="E29" s="58" t="inlineStr">
        <is>
          <t>2단계 보고서 자료(회사 설명회 자료·공시)</t>
        </is>
      </c>
    </row>
    <row r="30">
      <c r="A30" s="56" t="inlineStr">
        <is>
          <t>icf</t>
        </is>
      </c>
      <c r="B30" s="59" t="n">
        <v>-0.6</v>
      </c>
    </row>
    <row r="32">
      <c r="A32" s="54" t="inlineStr">
        <is>
          <t>cf · FY2024</t>
        </is>
      </c>
      <c r="B32" s="54" t="n"/>
      <c r="C32" s="54" t="n"/>
      <c r="D32" s="54" t="n"/>
      <c r="E32" s="54" t="n"/>
    </row>
    <row r="33">
      <c r="A33" s="55" t="inlineStr">
        <is>
          <t>항목</t>
        </is>
      </c>
      <c r="B33" s="55" t="inlineStr">
        <is>
          <t>값</t>
        </is>
      </c>
      <c r="E33" s="55" t="inlineStr">
        <is>
          <t>출처</t>
        </is>
      </c>
    </row>
    <row r="34">
      <c r="A34" s="56" t="inlineStr">
        <is>
          <t>ocf</t>
        </is>
      </c>
      <c r="B34" s="59" t="n">
        <v>4.39</v>
      </c>
      <c r="E34" s="58" t="inlineStr">
        <is>
          <t>2단계 보고서 자료(회사 설명회 자료·공시)</t>
        </is>
      </c>
    </row>
    <row r="35">
      <c r="A35" s="56" t="inlineStr">
        <is>
          <t>icf</t>
        </is>
      </c>
      <c r="B35" s="59" t="n">
        <v>-0.7</v>
      </c>
    </row>
    <row r="37">
      <c r="A37" s="54" t="inlineStr">
        <is>
          <t>cf · FY2025</t>
        </is>
      </c>
      <c r="B37" s="54" t="n"/>
      <c r="C37" s="54" t="n"/>
      <c r="D37" s="54" t="n"/>
      <c r="E37" s="54" t="n"/>
    </row>
    <row r="38">
      <c r="A38" s="55" t="inlineStr">
        <is>
          <t>항목</t>
        </is>
      </c>
      <c r="B38" s="55" t="inlineStr">
        <is>
          <t>값</t>
        </is>
      </c>
      <c r="E38" s="55" t="inlineStr">
        <is>
          <t>출처</t>
        </is>
      </c>
    </row>
    <row r="39">
      <c r="A39" s="56" t="inlineStr">
        <is>
          <t>ocf</t>
        </is>
      </c>
      <c r="B39" s="59" t="n">
        <v>4.4</v>
      </c>
      <c r="E39" s="58" t="inlineStr">
        <is>
          <t>2단계 보고서 자료(회사 설명회 자료·공시)</t>
        </is>
      </c>
    </row>
    <row r="40">
      <c r="A40" s="56" t="inlineStr">
        <is>
          <t>icf</t>
        </is>
      </c>
      <c r="B40" s="59" t="n">
        <v>-16.31</v>
      </c>
    </row>
    <row r="42">
      <c r="A42" s="54" t="inlineStr">
        <is>
          <t>reactions</t>
        </is>
      </c>
      <c r="B42" s="54" t="n"/>
      <c r="C42" s="54" t="n"/>
      <c r="D42" s="54" t="n"/>
      <c r="E42" s="54" t="n"/>
    </row>
    <row r="43">
      <c r="A43" s="55" t="inlineStr">
        <is>
          <t>항목</t>
        </is>
      </c>
      <c r="B43" s="55" t="inlineStr">
        <is>
          <t>기준일</t>
        </is>
      </c>
      <c r="C43" s="55" t="inlineStr">
        <is>
          <t>다음날</t>
        </is>
      </c>
      <c r="D43" s="55" t="inlineStr">
        <is>
          <t>등락%</t>
        </is>
      </c>
      <c r="E43" s="55" t="inlineStr">
        <is>
          <t>출처</t>
        </is>
      </c>
    </row>
    <row r="44">
      <c r="A44" s="56" t="inlineStr">
        <is>
          <t>2025-01-14</t>
        </is>
      </c>
      <c r="B44" s="60" t="inlineStr">
        <is>
          <t>2025-01-14</t>
        </is>
      </c>
      <c r="C44" s="60" t="inlineStr">
        <is>
          <t>2025-01-15</t>
        </is>
      </c>
      <c r="D44" s="59" t="n">
        <v>0.4</v>
      </c>
      <c r="E44" s="58" t="inlineStr">
        <is>
          <t>2단계 보고서 자료(회사 설명회 자료·공시)</t>
        </is>
      </c>
    </row>
    <row r="45">
      <c r="A45" s="56" t="inlineStr">
        <is>
          <t>2025-04-10</t>
        </is>
      </c>
      <c r="B45" s="60" t="inlineStr">
        <is>
          <t>2025-04-10</t>
        </is>
      </c>
      <c r="C45" s="60" t="inlineStr">
        <is>
          <t>2025-04-11</t>
        </is>
      </c>
      <c r="D45" s="59" t="n">
        <v>-1.5</v>
      </c>
    </row>
    <row r="46">
      <c r="A46" s="56" t="inlineStr">
        <is>
          <t>2025-07-10</t>
        </is>
      </c>
      <c r="B46" s="60" t="inlineStr">
        <is>
          <t>2025-07-10</t>
        </is>
      </c>
      <c r="C46" s="60" t="inlineStr">
        <is>
          <t>2025-07-11</t>
        </is>
      </c>
      <c r="D46" s="59" t="n">
        <v>5.3</v>
      </c>
    </row>
    <row r="47">
      <c r="A47" s="56" t="inlineStr">
        <is>
          <t>2025-10-09</t>
        </is>
      </c>
      <c r="B47" s="60" t="inlineStr">
        <is>
          <t>2025-10-09</t>
        </is>
      </c>
      <c r="C47" s="60" t="inlineStr">
        <is>
          <t>2025-10-10</t>
        </is>
      </c>
      <c r="D47" s="59" t="n">
        <v>-0.5</v>
      </c>
    </row>
    <row r="48">
      <c r="A48" s="56" t="inlineStr">
        <is>
          <t>2026-01-13</t>
        </is>
      </c>
      <c r="B48" s="60" t="inlineStr">
        <is>
          <t>2026-01-13</t>
        </is>
      </c>
      <c r="C48" s="60" t="inlineStr">
        <is>
          <t>2026-01-14</t>
        </is>
      </c>
      <c r="D48" s="59" t="n">
        <v>-8.800000000000001</v>
      </c>
    </row>
    <row r="49">
      <c r="A49" s="56" t="inlineStr">
        <is>
          <t>2026-04-09</t>
        </is>
      </c>
      <c r="B49" s="60" t="inlineStr">
        <is>
          <t>2026-04-09</t>
        </is>
      </c>
      <c r="C49" s="60" t="inlineStr">
        <is>
          <t>2026-04-10</t>
        </is>
      </c>
      <c r="D49" s="59" t="n">
        <v>-11.2</v>
      </c>
    </row>
    <row r="50">
      <c r="A50" s="56" t="inlineStr">
        <is>
          <t>2026-07-14</t>
        </is>
      </c>
      <c r="B50" s="60" t="inlineStr">
        <is>
          <t>2026-07-14</t>
        </is>
      </c>
      <c r="C50" s="60" t="inlineStr">
        <is>
          <t>2026-07-15</t>
        </is>
      </c>
      <c r="D50" s="59" t="n">
        <v>-2.7</v>
      </c>
    </row>
    <row r="51">
      <c r="A51" s="56" t="inlineStr">
        <is>
          <t>2026-10-13</t>
        </is>
      </c>
      <c r="B51" s="60" t="inlineStr">
        <is>
          <t>2026-10-13</t>
        </is>
      </c>
      <c r="C51" s="60" t="inlineStr">
        <is>
          <t>2026-10-14</t>
        </is>
      </c>
      <c r="D51" s="59" t="n">
        <v>7.4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2026-10-13</t>
        </is>
      </c>
      <c r="B4" t="inlineStr">
        <is>
          <t>2026년 11월 결산기 ３분기 결산단신</t>
        </is>
      </c>
      <c r="C4" t="inlineStr">
        <is>
          <t>https://www2.jpx.co.jp/disc/228A0/140120261013549175.pdf</t>
        </is>
      </c>
    </row>
    <row r="5">
      <c r="A5" t="inlineStr">
        <is>
          <t>2026-07-14</t>
        </is>
      </c>
      <c r="B5" t="inlineStr">
        <is>
          <t>2026년 11월 결산기 ２분기 결산단신</t>
        </is>
      </c>
      <c r="C5" t="inlineStr">
        <is>
          <t>https://www2.jpx.co.jp/disc/228A0/140120260714593180.pdf</t>
        </is>
      </c>
    </row>
    <row r="6">
      <c r="A6" t="inlineStr">
        <is>
          <t>2026-04-09</t>
        </is>
      </c>
      <c r="B6" t="inlineStr">
        <is>
          <t>2026년 11월 결산기 １분기 결산단신</t>
        </is>
      </c>
      <c r="C6" t="inlineStr">
        <is>
          <t>https://www2.jpx.co.jp/disc/228A0/140120260409500827.pdf</t>
        </is>
      </c>
    </row>
    <row r="7">
      <c r="A7" t="inlineStr">
        <is>
          <t>2026-01-13</t>
        </is>
      </c>
      <c r="B7" t="inlineStr">
        <is>
          <t>2025년 11월 결산기 연간 결산단신</t>
        </is>
      </c>
      <c r="C7" t="inlineStr">
        <is>
          <t>https://www2.jpx.co.jp/disc/228A0/140120260113532293.pdf</t>
        </is>
      </c>
    </row>
    <row r="8">
      <c r="A8" t="inlineStr">
        <is>
          <t>2025-10-09</t>
        </is>
      </c>
      <c r="B8" t="inlineStr">
        <is>
          <t>2025년 11월 결산기 ３분기 결산단신</t>
        </is>
      </c>
      <c r="C8" t="inlineStr">
        <is>
          <t>https://www2.jpx.co.jp/disc/228A0/140120251009570971.pdf</t>
        </is>
      </c>
    </row>
    <row r="9">
      <c r="A9" t="inlineStr">
        <is>
          <t>2025-07-10</t>
        </is>
      </c>
      <c r="B9" t="inlineStr">
        <is>
          <t>2025년 11월 결산기 ２분기 결산단신</t>
        </is>
      </c>
      <c r="C9" t="inlineStr">
        <is>
          <t>https://www2.jpx.co.jp/disc/228A0/140120250710511301.pdf</t>
        </is>
      </c>
    </row>
    <row r="10">
      <c r="A10" t="inlineStr">
        <is>
          <t>2025-04-10</t>
        </is>
      </c>
      <c r="B10" t="inlineStr">
        <is>
          <t>2025년 11월 결산기 １분기 결산단신</t>
        </is>
      </c>
      <c r="C10" t="inlineStr">
        <is>
          <t>https://www2.jpx.co.jp/disc/228A0/140120250410512245.pdf</t>
        </is>
      </c>
    </row>
    <row r="11">
      <c r="A11" t="inlineStr">
        <is>
          <t>2025-01-14</t>
        </is>
      </c>
      <c r="B11" t="inlineStr">
        <is>
          <t>2024년 11월 결산기 연간 결산단신</t>
        </is>
      </c>
      <c r="C11" t="inlineStr">
        <is>
          <t>https://www2.jpx.co.jp/disc/228A0/140120250114550102.pdf</t>
        </is>
      </c>
    </row>
    <row r="12">
      <c r="A12" t="inlineStr">
        <is>
          <t>2024-10-10</t>
        </is>
      </c>
      <c r="B12" t="inlineStr">
        <is>
          <t>2024년 11월 결산기 ３분기 결산단신</t>
        </is>
      </c>
      <c r="C12" t="inlineStr">
        <is>
          <t>https://www2.jpx.co.jp/disc/228A0/140120241010596053.pdf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2026-10-28T07:01:42Z</dcterms:created>
  <dcterms:modified xmlns:dcterms="http://purl.org/dc/terms/" xmlns:xsi="http://www.w3.org/2001/XMLSchema-instance" xsi:type="dcterms:W3CDTF">2026-10-28T07:01:42Z</dcterms:modified>
</cp:coreProperties>
</file>