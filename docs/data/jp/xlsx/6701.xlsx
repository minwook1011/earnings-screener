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7">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245"/>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6701 Model</t>
        </is>
      </c>
    </row>
    <row r="2">
      <c r="A2" s="2" t="inlineStr">
        <is>
          <t>모를 땐 보수적으로</t>
        </is>
      </c>
      <c r="B2" s="3" t="inlineStr">
        <is>
          <t>(단위: 백만엔)</t>
        </is>
      </c>
      <c r="C2" s="3" t="inlineStr">
        <is>
          <t>3월 결산 · IFRS · 2027.1Q = 2027년 3월 결산기 1분기</t>
        </is>
      </c>
      <c r="Y2" s="4" t="inlineStr">
        <is>
          <t>(추정: 파란 글씨 = 직접 입력)</t>
        </is>
      </c>
    </row>
    <row r="3">
      <c r="A3" s="5" t="inlineStr">
        <is>
          <t>항목</t>
        </is>
      </c>
      <c r="B3" s="5" t="inlineStr">
        <is>
          <t>참고</t>
        </is>
      </c>
      <c r="C3" s="6" t="inlineStr">
        <is>
          <t>2024.2Q</t>
        </is>
      </c>
      <c r="D3" s="5" t="inlineStr">
        <is>
          <t>2024.3Q</t>
        </is>
      </c>
      <c r="E3" s="5" t="inlineStr">
        <is>
          <t>2024.4Q</t>
        </is>
      </c>
      <c r="F3" s="5" t="inlineStr">
        <is>
          <t>2025.1Q</t>
        </is>
      </c>
      <c r="G3" s="5" t="inlineStr">
        <is>
          <t>2025.2Q</t>
        </is>
      </c>
      <c r="H3" s="5" t="inlineStr">
        <is>
          <t>2025.3Q</t>
        </is>
      </c>
      <c r="I3" s="5" t="inlineStr">
        <is>
          <t>2025.4Q</t>
        </is>
      </c>
      <c r="J3" s="5" t="inlineStr">
        <is>
          <t>2026.1Q</t>
        </is>
      </c>
      <c r="K3" s="5" t="inlineStr">
        <is>
          <t>2026.2Q</t>
        </is>
      </c>
      <c r="L3" s="5" t="inlineStr">
        <is>
          <t>2026.3Q</t>
        </is>
      </c>
      <c r="M3" s="5" t="inlineStr">
        <is>
          <t>2026.4Q</t>
        </is>
      </c>
      <c r="N3" s="5" t="inlineStr">
        <is>
          <t>2027.1Q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 제품 합계</t>
        </is>
      </c>
      <c r="C4" s="11" t="n">
        <v>842259</v>
      </c>
      <c r="D4" s="12" t="n">
        <v>844475</v>
      </c>
      <c r="E4" s="12" t="n">
        <v>1083986</v>
      </c>
      <c r="F4" s="12" t="n">
        <v>690296</v>
      </c>
      <c r="G4" s="12" t="n">
        <v>796380</v>
      </c>
      <c r="H4" s="12" t="n">
        <v>835133</v>
      </c>
      <c r="I4" s="12" t="n">
        <v>1101622</v>
      </c>
      <c r="J4" s="12" t="n">
        <v>715658</v>
      </c>
      <c r="K4" s="12" t="n">
        <v>854121</v>
      </c>
      <c r="L4" s="12" t="n">
        <v>852538</v>
      </c>
      <c r="M4" s="12" t="n">
        <v>1160416</v>
      </c>
      <c r="N4" s="12" t="n">
        <v>819774</v>
      </c>
      <c r="O4" s="11" t="n"/>
      <c r="P4" s="12" t="n">
        <v>2844447</v>
      </c>
      <c r="Q4" s="12" t="n">
        <v>2913446</v>
      </c>
      <c r="R4" s="12" t="n">
        <v>3095234</v>
      </c>
      <c r="S4" s="12" t="n">
        <v>2994023</v>
      </c>
      <c r="T4" s="12" t="n">
        <v>3014095</v>
      </c>
      <c r="U4" s="12" t="n">
        <v>3313018</v>
      </c>
      <c r="V4" s="12" t="n">
        <v>3477262</v>
      </c>
      <c r="W4" s="12" t="n">
        <v>3423431</v>
      </c>
      <c r="X4" s="12" t="n">
        <v>3582733</v>
      </c>
      <c r="Y4" s="11">
        <f>IF(COUNT(Y7,Y10,Y13)=0,"",SUM(Y7,Y10,Y13))</f>
        <v/>
      </c>
      <c r="Z4" s="12">
        <f>IF(COUNT(Z7,Z10,Z13)=0,"",SUM(Z7,Z10,Z13))</f>
        <v/>
      </c>
      <c r="AA4" s="12">
        <f>IF(COUNT(AA7,AA10,AA13)=0,"",SUM(AA7,AA10,AA13))</f>
        <v/>
      </c>
      <c r="AB4" s="12">
        <f>IF(COUNT(AB7,AB10,AB13)=0,"",SUM(AB7,AB10,AB13))</f>
        <v/>
      </c>
      <c r="AC4" s="12">
        <f>IF(COUNT(AC7,AC10,AC13)=0,"",SUM(AC7,AC10,AC13))</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IT서비스</t>
        </is>
      </c>
      <c r="B7" s="10" t="n"/>
      <c r="C7" s="19" t="n">
        <v>457339</v>
      </c>
      <c r="D7" s="20" t="n">
        <v>470762</v>
      </c>
      <c r="E7" s="20" t="n">
        <v>600156</v>
      </c>
      <c r="F7" s="20" t="n">
        <v>501845</v>
      </c>
      <c r="G7" s="20" t="n">
        <v>578240</v>
      </c>
      <c r="H7" s="20" t="n">
        <v>586663</v>
      </c>
      <c r="I7" s="20" t="n">
        <v>793072</v>
      </c>
      <c r="J7" s="20" t="n">
        <v>567123</v>
      </c>
      <c r="K7" s="20" t="n">
        <v>541165</v>
      </c>
      <c r="L7" s="20" t="n">
        <v>603404</v>
      </c>
      <c r="M7" s="20" t="n">
        <v>797233</v>
      </c>
      <c r="N7" s="20" t="n">
        <v>621456</v>
      </c>
      <c r="O7" s="19" t="n"/>
      <c r="P7" s="20" t="n"/>
      <c r="Q7" s="20" t="n"/>
      <c r="R7" s="20" t="n"/>
      <c r="S7" s="20" t="n"/>
      <c r="T7" s="20" t="n"/>
      <c r="U7" s="20" t="n"/>
      <c r="V7" s="20" t="n">
        <v>1913992</v>
      </c>
      <c r="W7" s="20" t="n">
        <v>2459820</v>
      </c>
      <c r="X7" s="20" t="n">
        <v>2508925</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사회 인프라</t>
        </is>
      </c>
      <c r="B10" s="10" t="n"/>
      <c r="C10" s="19" t="n">
        <v>262607</v>
      </c>
      <c r="D10" s="20" t="n">
        <v>254927</v>
      </c>
      <c r="E10" s="20" t="n">
        <v>346635</v>
      </c>
      <c r="F10" s="20" t="n">
        <v>157629</v>
      </c>
      <c r="G10" s="20" t="n">
        <v>192609</v>
      </c>
      <c r="H10" s="20" t="n">
        <v>214504</v>
      </c>
      <c r="I10" s="20" t="n">
        <v>267360</v>
      </c>
      <c r="J10" s="20" t="n">
        <v>120383</v>
      </c>
      <c r="K10" s="20" t="n">
        <v>282640</v>
      </c>
      <c r="L10" s="20" t="n">
        <v>215215</v>
      </c>
      <c r="M10" s="20" t="n">
        <v>317064</v>
      </c>
      <c r="N10" s="20" t="n">
        <v>165278</v>
      </c>
      <c r="O10" s="19" t="n"/>
      <c r="P10" s="20" t="n"/>
      <c r="Q10" s="20" t="n"/>
      <c r="R10" s="20" t="n"/>
      <c r="S10" s="20" t="n"/>
      <c r="T10" s="20" t="n"/>
      <c r="U10" s="20" t="n"/>
      <c r="V10" s="20" t="n">
        <v>1077335</v>
      </c>
      <c r="W10" s="20" t="n">
        <v>832102</v>
      </c>
      <c r="X10" s="20" t="n">
        <v>935302</v>
      </c>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기타</t>
        </is>
      </c>
      <c r="B13" s="10" t="n"/>
      <c r="C13" s="19" t="n">
        <v>122313</v>
      </c>
      <c r="D13" s="20" t="n">
        <v>118786</v>
      </c>
      <c r="E13" s="20" t="n">
        <v>137195</v>
      </c>
      <c r="F13" s="20" t="n">
        <v>30822</v>
      </c>
      <c r="G13" s="20" t="n">
        <v>25531</v>
      </c>
      <c r="H13" s="20" t="n">
        <v>33966</v>
      </c>
      <c r="I13" s="20" t="n">
        <v>41190</v>
      </c>
      <c r="J13" s="20" t="n">
        <v>28152</v>
      </c>
      <c r="K13" s="20" t="n">
        <v>30316</v>
      </c>
      <c r="L13" s="20" t="n">
        <v>33919</v>
      </c>
      <c r="M13" s="20" t="n">
        <v>46119</v>
      </c>
      <c r="N13" s="20" t="n">
        <v>33040</v>
      </c>
      <c r="O13" s="19" t="n"/>
      <c r="P13" s="20" t="n"/>
      <c r="Q13" s="20" t="n"/>
      <c r="R13" s="20" t="n"/>
      <c r="S13" s="20" t="n"/>
      <c r="T13" s="20" t="n"/>
      <c r="U13" s="20" t="n"/>
      <c r="V13" s="20" t="n">
        <v>485935</v>
      </c>
      <c r="W13" s="20" t="n">
        <v>131509</v>
      </c>
      <c r="X13" s="20" t="n">
        <v>138506</v>
      </c>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6" t="inlineStr">
        <is>
          <t>매출원가</t>
        </is>
      </c>
      <c r="B16" s="16" t="n"/>
      <c r="C16" s="17" t="n"/>
      <c r="D16" s="16" t="n"/>
      <c r="E16" s="16" t="n"/>
      <c r="F16" s="16" t="n"/>
      <c r="G16" s="16" t="n"/>
      <c r="H16" s="16" t="n"/>
      <c r="I16" s="16" t="n"/>
      <c r="J16" s="16" t="n"/>
      <c r="K16" s="16" t="n"/>
      <c r="L16" s="16" t="n"/>
      <c r="M16" s="16" t="n"/>
      <c r="N16" s="16" t="n"/>
      <c r="O16" s="17" t="n"/>
      <c r="P16" s="16" t="n"/>
      <c r="Q16" s="16" t="n"/>
      <c r="R16" s="16" t="n"/>
      <c r="S16" s="16" t="n"/>
      <c r="T16" s="16" t="n"/>
      <c r="U16" s="16" t="n"/>
      <c r="V16" s="16" t="n"/>
      <c r="W16" s="16" t="n"/>
      <c r="X16" s="16" t="n"/>
      <c r="Y16" s="17" t="n"/>
      <c r="Z16" s="16" t="n"/>
      <c r="AA16" s="16" t="n"/>
      <c r="AB16" s="16" t="n"/>
      <c r="AC16" s="16" t="n"/>
    </row>
    <row r="17">
      <c r="A17" s="18" t="inlineStr">
        <is>
          <t>전체 매출원가</t>
        </is>
      </c>
      <c r="B17" s="10" t="n"/>
      <c r="C17" s="19" t="n">
        <v>605741</v>
      </c>
      <c r="D17" s="20" t="n">
        <v>597495</v>
      </c>
      <c r="E17" s="20" t="n">
        <v>748981</v>
      </c>
      <c r="F17" s="20" t="n">
        <v>500126</v>
      </c>
      <c r="G17" s="20" t="n">
        <v>563126</v>
      </c>
      <c r="H17" s="20" t="n">
        <v>556674</v>
      </c>
      <c r="I17" s="20" t="n">
        <v>742949</v>
      </c>
      <c r="J17" s="20" t="n">
        <v>499470</v>
      </c>
      <c r="K17" s="20" t="n">
        <v>581058</v>
      </c>
      <c r="L17" s="20" t="n">
        <v>579899</v>
      </c>
      <c r="M17" s="20" t="n">
        <v>741010</v>
      </c>
      <c r="N17" s="20" t="n">
        <v>551411</v>
      </c>
      <c r="O17" s="19" t="n"/>
      <c r="P17" s="20" t="n">
        <v>2046853</v>
      </c>
      <c r="Q17" s="20" t="n">
        <v>2083517</v>
      </c>
      <c r="R17" s="20" t="n">
        <v>2207675</v>
      </c>
      <c r="S17" s="20" t="n">
        <v>2132840</v>
      </c>
      <c r="T17" s="20" t="n">
        <v>2127682</v>
      </c>
      <c r="U17" s="20" t="n">
        <v>2354770</v>
      </c>
      <c r="V17" s="20" t="n">
        <v>2471404</v>
      </c>
      <c r="W17" s="20" t="n">
        <v>2362875</v>
      </c>
      <c r="X17" s="20" t="n">
        <v>2401437</v>
      </c>
      <c r="Y17" s="19" t="n"/>
      <c r="Z17" s="20" t="n"/>
      <c r="AA17" s="20" t="n"/>
      <c r="AB17" s="20" t="n"/>
      <c r="AC17" s="20" t="n"/>
    </row>
    <row r="18">
      <c r="A18" s="18" t="inlineStr">
        <is>
          <t>매출총이익</t>
        </is>
      </c>
      <c r="B18" s="10" t="n"/>
      <c r="C18" s="19">
        <f>IF(OR(C4="",C17=""),"",IFERROR(C4-C17,""))</f>
        <v/>
      </c>
      <c r="D18" s="20">
        <f>IF(OR(D4="",D17=""),"",IFERROR(D4-D17,""))</f>
        <v/>
      </c>
      <c r="E18" s="20">
        <f>IF(OR(E4="",E17=""),"",IFERROR(E4-E17,""))</f>
        <v/>
      </c>
      <c r="F18" s="20">
        <f>IF(OR(F4="",F17=""),"",IFERROR(F4-F17,""))</f>
        <v/>
      </c>
      <c r="G18" s="20">
        <f>IF(OR(G4="",G17=""),"",IFERROR(G4-G17,""))</f>
        <v/>
      </c>
      <c r="H18" s="20">
        <f>IF(OR(H4="",H17=""),"",IFERROR(H4-H17,""))</f>
        <v/>
      </c>
      <c r="I18" s="20">
        <f>IF(OR(I4="",I17=""),"",IFERROR(I4-I17,""))</f>
        <v/>
      </c>
      <c r="J18" s="20">
        <f>IF(OR(J4="",J17=""),"",IFERROR(J4-J17,""))</f>
        <v/>
      </c>
      <c r="K18" s="20">
        <f>IF(OR(K4="",K17=""),"",IFERROR(K4-K17,""))</f>
        <v/>
      </c>
      <c r="L18" s="20">
        <f>IF(OR(L4="",L17=""),"",IFERROR(L4-L17,""))</f>
        <v/>
      </c>
      <c r="M18" s="20">
        <f>IF(OR(M4="",M17=""),"",IFERROR(M4-M17,""))</f>
        <v/>
      </c>
      <c r="N18" s="20">
        <f>IF(OR(N4="",N17=""),"",IFERROR(N4-N17,""))</f>
        <v/>
      </c>
      <c r="O18" s="19">
        <f>IF(OR(O4="",O17=""),"",IFERROR(O4-O17,""))</f>
        <v/>
      </c>
      <c r="P18" s="20">
        <f>IF(OR(P4="",P17=""),"",IFERROR(P4-P17,""))</f>
        <v/>
      </c>
      <c r="Q18" s="20">
        <f>IF(OR(Q4="",Q17=""),"",IFERROR(Q4-Q17,""))</f>
        <v/>
      </c>
      <c r="R18" s="20">
        <f>IF(OR(R4="",R17=""),"",IFERROR(R4-R17,""))</f>
        <v/>
      </c>
      <c r="S18" s="20">
        <f>IF(OR(S4="",S17=""),"",IFERROR(S4-S17,""))</f>
        <v/>
      </c>
      <c r="T18" s="20">
        <f>IF(OR(T4="",T17=""),"",IFERROR(T4-T17,""))</f>
        <v/>
      </c>
      <c r="U18" s="20">
        <f>IF(OR(U4="",U17=""),"",IFERROR(U4-U17,""))</f>
        <v/>
      </c>
      <c r="V18" s="20">
        <f>IF(OR(V4="",V17=""),"",IFERROR(V4-V17,""))</f>
        <v/>
      </c>
      <c r="W18" s="20">
        <f>IF(OR(W4="",W17=""),"",IFERROR(W4-W17,""))</f>
        <v/>
      </c>
      <c r="X18" s="20">
        <f>IF(OR(X4="",X17=""),"",IFERROR(X4-X17,""))</f>
        <v/>
      </c>
      <c r="Y18" s="19" t="n"/>
      <c r="Z18" s="20" t="n"/>
      <c r="AA18" s="20" t="n"/>
      <c r="AB18" s="20" t="n"/>
      <c r="AC18" s="20" t="n"/>
    </row>
    <row r="19">
      <c r="A19" s="13" t="inlineStr">
        <is>
          <t>GPM</t>
        </is>
      </c>
      <c r="B19" s="10" t="n"/>
      <c r="C19" s="14">
        <f>IF(OR(C18="",C4=""),"",IFERROR(C18/C4,""))</f>
        <v/>
      </c>
      <c r="D19" s="15">
        <f>IF(OR(D18="",D4=""),"",IFERROR(D18/D4,""))</f>
        <v/>
      </c>
      <c r="E19" s="15">
        <f>IF(OR(E18="",E4=""),"",IFERROR(E18/E4,""))</f>
        <v/>
      </c>
      <c r="F19" s="15">
        <f>IF(OR(F18="",F4=""),"",IFERROR(F18/F4,""))</f>
        <v/>
      </c>
      <c r="G19" s="15">
        <f>IF(OR(G18="",G4=""),"",IFERROR(G18/G4,""))</f>
        <v/>
      </c>
      <c r="H19" s="15">
        <f>IF(OR(H18="",H4=""),"",IFERROR(H18/H4,""))</f>
        <v/>
      </c>
      <c r="I19" s="15">
        <f>IF(OR(I18="",I4=""),"",IFERROR(I18/I4,""))</f>
        <v/>
      </c>
      <c r="J19" s="15">
        <f>IF(OR(J18="",J4=""),"",IFERROR(J18/J4,""))</f>
        <v/>
      </c>
      <c r="K19" s="15">
        <f>IF(OR(K18="",K4=""),"",IFERROR(K18/K4,""))</f>
        <v/>
      </c>
      <c r="L19" s="15">
        <f>IF(OR(L18="",L4=""),"",IFERROR(L18/L4,""))</f>
        <v/>
      </c>
      <c r="M19" s="15">
        <f>IF(OR(M18="",M4=""),"",IFERROR(M18/M4,""))</f>
        <v/>
      </c>
      <c r="N19" s="15">
        <f>IF(OR(N18="",N4=""),"",IFERROR(N18/N4,""))</f>
        <v/>
      </c>
      <c r="O19" s="14">
        <f>IF(OR(O18="",O4=""),"",IFERROR(O18/O4,""))</f>
        <v/>
      </c>
      <c r="P19" s="15">
        <f>IF(OR(P18="",P4=""),"",IFERROR(P18/P4,""))</f>
        <v/>
      </c>
      <c r="Q19" s="15">
        <f>IF(OR(Q18="",Q4=""),"",IFERROR(Q18/Q4,""))</f>
        <v/>
      </c>
      <c r="R19" s="15">
        <f>IF(OR(R18="",R4=""),"",IFERROR(R18/R4,""))</f>
        <v/>
      </c>
      <c r="S19" s="15">
        <f>IF(OR(S18="",S4=""),"",IFERROR(S18/S4,""))</f>
        <v/>
      </c>
      <c r="T19" s="15">
        <f>IF(OR(T18="",T4=""),"",IFERROR(T18/T4,""))</f>
        <v/>
      </c>
      <c r="U19" s="15">
        <f>IF(OR(U18="",U4=""),"",IFERROR(U18/U4,""))</f>
        <v/>
      </c>
      <c r="V19" s="15">
        <f>IF(OR(V18="",V4=""),"",IFERROR(V18/V4,""))</f>
        <v/>
      </c>
      <c r="W19" s="15">
        <f>IF(OR(W18="",W4=""),"",IFERROR(W18/W4,""))</f>
        <v/>
      </c>
      <c r="X19" s="15">
        <f>IF(OR(X18="",X4=""),"",IFERROR(X18/X4,""))</f>
        <v/>
      </c>
      <c r="Y19" s="14">
        <f>IF(OR(Y18="",Y4=""),"",IFERROR(Y18/Y4,""))</f>
        <v/>
      </c>
      <c r="Z19" s="15">
        <f>IF(OR(Z18="",Z4=""),"",IFERROR(Z18/Z4,""))</f>
        <v/>
      </c>
      <c r="AA19" s="15">
        <f>IF(OR(AA18="",AA4=""),"",IFERROR(AA18/AA4,""))</f>
        <v/>
      </c>
      <c r="AB19" s="15">
        <f>IF(OR(AB18="",AB4=""),"",IFERROR(AB18/AB4,""))</f>
        <v/>
      </c>
      <c r="AC19" s="15">
        <f>IF(OR(AC18="",AC4=""),"",IFERROR(AC18/AC4,""))</f>
        <v/>
      </c>
    </row>
    <row r="20">
      <c r="A20" s="23" t="inlineStr">
        <is>
          <t>판매관리비</t>
        </is>
      </c>
      <c r="B20" s="23" t="n"/>
      <c r="C20" s="24" t="n"/>
      <c r="D20" s="23" t="n"/>
      <c r="E20" s="23" t="n"/>
      <c r="F20" s="23" t="n"/>
      <c r="G20" s="23" t="n"/>
      <c r="H20" s="23" t="n"/>
      <c r="I20" s="23" t="n"/>
      <c r="J20" s="23" t="n"/>
      <c r="K20" s="23" t="n"/>
      <c r="L20" s="23" t="n"/>
      <c r="M20" s="23" t="n"/>
      <c r="N20" s="23" t="n"/>
      <c r="O20" s="24" t="n"/>
      <c r="P20" s="23" t="n"/>
      <c r="Q20" s="23" t="n"/>
      <c r="R20" s="23" t="n"/>
      <c r="S20" s="23" t="n"/>
      <c r="T20" s="23" t="n"/>
      <c r="U20" s="23" t="n"/>
      <c r="V20" s="23" t="n"/>
      <c r="W20" s="23" t="n"/>
      <c r="X20" s="23" t="n"/>
      <c r="Y20" s="24" t="n"/>
      <c r="Z20" s="23" t="n"/>
      <c r="AA20" s="23" t="n"/>
      <c r="AB20" s="23" t="n"/>
      <c r="AC20" s="23" t="n"/>
    </row>
    <row r="21">
      <c r="A21" s="18" t="inlineStr">
        <is>
          <t>전체 판관비</t>
        </is>
      </c>
      <c r="B21" s="10" t="n"/>
      <c r="C21" s="19" t="n">
        <v>200513</v>
      </c>
      <c r="D21" s="20" t="n">
        <v>201577</v>
      </c>
      <c r="E21" s="20" t="n">
        <v>216511</v>
      </c>
      <c r="F21" s="20" t="n">
        <v>184086</v>
      </c>
      <c r="G21" s="20" t="n">
        <v>193389</v>
      </c>
      <c r="H21" s="20" t="n">
        <v>189138</v>
      </c>
      <c r="I21" s="20" t="n">
        <v>210811</v>
      </c>
      <c r="J21" s="20" t="n">
        <v>183681</v>
      </c>
      <c r="K21" s="20" t="n">
        <v>191841</v>
      </c>
      <c r="L21" s="20" t="n">
        <v>199399</v>
      </c>
      <c r="M21" s="20" t="n">
        <v>230634</v>
      </c>
      <c r="N21" s="20" t="n">
        <v>208359</v>
      </c>
      <c r="O21" s="19" t="n"/>
      <c r="P21" s="20" t="n">
        <v>729855</v>
      </c>
      <c r="Q21" s="20" t="n">
        <v>743021</v>
      </c>
      <c r="R21" s="20" t="n">
        <v>752690</v>
      </c>
      <c r="S21" s="20" t="n">
        <v>732989</v>
      </c>
      <c r="T21" s="20" t="n">
        <v>762970</v>
      </c>
      <c r="U21" s="20" t="n">
        <v>793700</v>
      </c>
      <c r="V21" s="20" t="n">
        <v>814013</v>
      </c>
      <c r="W21" s="20" t="n">
        <v>777424</v>
      </c>
      <c r="X21" s="20" t="n">
        <v>805555</v>
      </c>
      <c r="Y21" s="19" t="n"/>
      <c r="Z21" s="20" t="n"/>
      <c r="AA21" s="20" t="n"/>
      <c r="AB21" s="20" t="n"/>
      <c r="AC21" s="20" t="n"/>
    </row>
    <row r="22">
      <c r="A22" s="9" t="inlineStr">
        <is>
          <t>영업이익</t>
        </is>
      </c>
      <c r="B22" s="10" t="inlineStr">
        <is>
          <t>MW = 매출 × OPM</t>
        </is>
      </c>
      <c r="C22" s="11" t="n">
        <v>36120</v>
      </c>
      <c r="D22" s="12" t="n">
        <v>41820</v>
      </c>
      <c r="E22" s="12" t="n">
        <v>118197</v>
      </c>
      <c r="F22" s="12" t="n">
        <v>4540</v>
      </c>
      <c r="G22" s="12" t="n">
        <v>40153</v>
      </c>
      <c r="H22" s="12" t="n">
        <v>81473</v>
      </c>
      <c r="I22" s="12" t="n">
        <v>130331</v>
      </c>
      <c r="J22" s="12" t="n">
        <v>35389</v>
      </c>
      <c r="K22" s="12" t="n">
        <v>83181</v>
      </c>
      <c r="L22" s="12" t="n">
        <v>66591</v>
      </c>
      <c r="M22" s="12" t="n">
        <v>174752</v>
      </c>
      <c r="N22" s="12" t="n">
        <v>58770</v>
      </c>
      <c r="O22" s="11" t="n"/>
      <c r="P22" s="12" t="n">
        <v>63850</v>
      </c>
      <c r="Q22" s="12" t="n">
        <v>57780</v>
      </c>
      <c r="R22" s="12" t="n">
        <v>127609</v>
      </c>
      <c r="S22" s="12" t="n">
        <v>153759</v>
      </c>
      <c r="T22" s="12" t="n">
        <v>132525</v>
      </c>
      <c r="U22" s="12" t="n">
        <v>170447</v>
      </c>
      <c r="V22" s="12" t="n">
        <v>188012</v>
      </c>
      <c r="W22" s="12" t="n">
        <v>256497</v>
      </c>
      <c r="X22" s="12" t="n">
        <v>359913</v>
      </c>
      <c r="Y22" s="11">
        <f>IF(OR(Y4="",Y23=""),"",IFERROR(Y4*Y23,""))</f>
        <v/>
      </c>
      <c r="Z22" s="12">
        <f>IF(OR(Z4="",Z23=""),"",IFERROR(Z4*Z23,""))</f>
        <v/>
      </c>
      <c r="AA22" s="12">
        <f>IF(OR(AA4="",AA23=""),"",IFERROR(AA4*AA23,""))</f>
        <v/>
      </c>
      <c r="AB22" s="12">
        <f>IF(OR(AB4="",AB23=""),"",IFERROR(AB4*AB23,""))</f>
        <v/>
      </c>
      <c r="AC22" s="12">
        <f>IF(OR(AC4="",AC23=""),"",IFERROR(AC4*AC23,""))</f>
        <v/>
      </c>
    </row>
    <row r="23">
      <c r="A23" s="13" t="inlineStr">
        <is>
          <t>OPM</t>
        </is>
      </c>
      <c r="B23" s="10" t="inlineStr">
        <is>
          <t>MW 입력</t>
        </is>
      </c>
      <c r="C23" s="14">
        <f>IF(OR(C22="",C4=""),"",IFERROR(C22/C4,""))</f>
        <v/>
      </c>
      <c r="D23" s="15">
        <f>IF(OR(D22="",D4=""),"",IFERROR(D22/D4,""))</f>
        <v/>
      </c>
      <c r="E23" s="15">
        <f>IF(OR(E22="",E4=""),"",IFERROR(E22/E4,""))</f>
        <v/>
      </c>
      <c r="F23" s="15">
        <f>IF(OR(F22="",F4=""),"",IFERROR(F22/F4,""))</f>
        <v/>
      </c>
      <c r="G23" s="15">
        <f>IF(OR(G22="",G4=""),"",IFERROR(G22/G4,""))</f>
        <v/>
      </c>
      <c r="H23" s="15">
        <f>IF(OR(H22="",H4=""),"",IFERROR(H22/H4,""))</f>
        <v/>
      </c>
      <c r="I23" s="15">
        <f>IF(OR(I22="",I4=""),"",IFERROR(I22/I4,""))</f>
        <v/>
      </c>
      <c r="J23" s="15">
        <f>IF(OR(J22="",J4=""),"",IFERROR(J22/J4,""))</f>
        <v/>
      </c>
      <c r="K23" s="15">
        <f>IF(OR(K22="",K4=""),"",IFERROR(K22/K4,""))</f>
        <v/>
      </c>
      <c r="L23" s="15">
        <f>IF(OR(L22="",L4=""),"",IFERROR(L22/L4,""))</f>
        <v/>
      </c>
      <c r="M23" s="15">
        <f>IF(OR(M22="",M4=""),"",IFERROR(M22/M4,""))</f>
        <v/>
      </c>
      <c r="N23" s="15">
        <f>IF(OR(N22="",N4=""),"",IFERROR(N22/N4,""))</f>
        <v/>
      </c>
      <c r="O23" s="14">
        <f>IF(OR(O22="",O4=""),"",IFERROR(O22/O4,""))</f>
        <v/>
      </c>
      <c r="P23" s="15">
        <f>IF(OR(P22="",P4=""),"",IFERROR(P22/P4,""))</f>
        <v/>
      </c>
      <c r="Q23" s="15">
        <f>IF(OR(Q22="",Q4=""),"",IFERROR(Q22/Q4,""))</f>
        <v/>
      </c>
      <c r="R23" s="15">
        <f>IF(OR(R22="",R4=""),"",IFERROR(R22/R4,""))</f>
        <v/>
      </c>
      <c r="S23" s="15">
        <f>IF(OR(S22="",S4=""),"",IFERROR(S22/S4,""))</f>
        <v/>
      </c>
      <c r="T23" s="15">
        <f>IF(OR(T22="",T4=""),"",IFERROR(T22/T4,""))</f>
        <v/>
      </c>
      <c r="U23" s="15">
        <f>IF(OR(U22="",U4=""),"",IFERROR(U22/U4,""))</f>
        <v/>
      </c>
      <c r="V23" s="15">
        <f>IF(OR(V22="",V4=""),"",IFERROR(V22/V4,""))</f>
        <v/>
      </c>
      <c r="W23" s="15">
        <f>IF(OR(W22="",W4=""),"",IFERROR(W22/W4,""))</f>
        <v/>
      </c>
      <c r="X23" s="15">
        <f>IF(OR(X22="",X4=""),"",IFERROR(X22/X4,""))</f>
        <v/>
      </c>
      <c r="Y23" s="25" t="n"/>
      <c r="Z23" s="26" t="n"/>
      <c r="AA23" s="26" t="n"/>
      <c r="AB23" s="26" t="n"/>
      <c r="AC23" s="26" t="n"/>
    </row>
    <row r="24">
      <c r="A24" s="13" t="inlineStr">
        <is>
          <t>증가율</t>
        </is>
      </c>
      <c r="B24" s="10" t="n"/>
      <c r="C24" s="14" t="n"/>
      <c r="D24" s="15" t="n"/>
      <c r="E24" s="15" t="n"/>
      <c r="F24" s="15" t="n"/>
      <c r="G24" s="15">
        <f>IF(OR(G22="",C22=""),"",IFERROR(G22/C22-1,""))</f>
        <v/>
      </c>
      <c r="H24" s="15">
        <f>IF(OR(H22="",D22=""),"",IFERROR(H22/D22-1,""))</f>
        <v/>
      </c>
      <c r="I24" s="15">
        <f>IF(OR(I22="",E22=""),"",IFERROR(I22/E22-1,""))</f>
        <v/>
      </c>
      <c r="J24" s="15">
        <f>IF(OR(J22="",F22=""),"",IFERROR(J22/F22-1,""))</f>
        <v/>
      </c>
      <c r="K24" s="15">
        <f>IF(OR(K22="",G22=""),"",IFERROR(K22/G22-1,""))</f>
        <v/>
      </c>
      <c r="L24" s="15">
        <f>IF(OR(L22="",H22=""),"",IFERROR(L22/H22-1,""))</f>
        <v/>
      </c>
      <c r="M24" s="15">
        <f>IF(OR(M22="",I22=""),"",IFERROR(M22/I22-1,""))</f>
        <v/>
      </c>
      <c r="N24" s="15">
        <f>IF(OR(N22="",J22=""),"",IFERROR(N22/J22-1,""))</f>
        <v/>
      </c>
      <c r="O24" s="14" t="n"/>
      <c r="P24" s="15">
        <f>IF(OR(P22="",O22=""),"",IFERROR(P22/O22-1,""))</f>
        <v/>
      </c>
      <c r="Q24" s="15">
        <f>IF(OR(Q22="",P22=""),"",IFERROR(Q22/P22-1,""))</f>
        <v/>
      </c>
      <c r="R24" s="15">
        <f>IF(OR(R22="",Q22=""),"",IFERROR(R22/Q22-1,""))</f>
        <v/>
      </c>
      <c r="S24" s="15">
        <f>IF(OR(S22="",R22=""),"",IFERROR(S22/R22-1,""))</f>
        <v/>
      </c>
      <c r="T24" s="15">
        <f>IF(OR(T22="",S22=""),"",IFERROR(T22/S22-1,""))</f>
        <v/>
      </c>
      <c r="U24" s="15">
        <f>IF(OR(U22="",T22=""),"",IFERROR(U22/T22-1,""))</f>
        <v/>
      </c>
      <c r="V24" s="15">
        <f>IF(OR(V22="",U22=""),"",IFERROR(V22/U22-1,""))</f>
        <v/>
      </c>
      <c r="W24" s="15">
        <f>IF(OR(W22="",V22=""),"",IFERROR(W22/V22-1,""))</f>
        <v/>
      </c>
      <c r="X24" s="15">
        <f>IF(OR(X22="",W22=""),"",IFERROR(X22/W22-1,""))</f>
        <v/>
      </c>
      <c r="Y24" s="14">
        <f>IF(OR(Y22="",X22=""),"",IFERROR(Y22/X22-1,""))</f>
        <v/>
      </c>
      <c r="Z24" s="15">
        <f>IF(OR(Z22="",Y22=""),"",IFERROR(Z22/Y22-1,""))</f>
        <v/>
      </c>
      <c r="AA24" s="15">
        <f>IF(OR(AA22="",Z22=""),"",IFERROR(AA22/Z22-1,""))</f>
        <v/>
      </c>
      <c r="AB24" s="15">
        <f>IF(OR(AB22="",AA22=""),"",IFERROR(AB22/AA22-1,""))</f>
        <v/>
      </c>
      <c r="AC24" s="15">
        <f>IF(OR(AC22="",AB22=""),"",IFERROR(AC22/AB22-1,""))</f>
        <v/>
      </c>
    </row>
    <row r="25">
      <c r="A25" s="16" t="inlineStr">
        <is>
          <t>비용의 성격별 분류</t>
        </is>
      </c>
      <c r="B25" s="16" t="inlineStr">
        <is>
          <t>참고 데이터</t>
        </is>
      </c>
      <c r="C25" s="17" t="n"/>
      <c r="D25" s="16" t="n"/>
      <c r="E25" s="16" t="n"/>
      <c r="F25" s="16" t="n"/>
      <c r="G25" s="16" t="n"/>
      <c r="H25" s="16" t="n"/>
      <c r="I25" s="16" t="n"/>
      <c r="J25" s="16" t="n"/>
      <c r="K25" s="16" t="n"/>
      <c r="L25" s="16" t="n"/>
      <c r="M25" s="16" t="n"/>
      <c r="N25" s="16" t="n"/>
      <c r="O25" s="17" t="n"/>
      <c r="P25" s="16" t="n"/>
      <c r="Q25" s="16" t="n"/>
      <c r="R25" s="16" t="n"/>
      <c r="S25" s="16" t="n"/>
      <c r="T25" s="16" t="n"/>
      <c r="U25" s="16" t="n"/>
      <c r="V25" s="16" t="n"/>
      <c r="W25" s="16" t="n"/>
      <c r="X25" s="16" t="n"/>
      <c r="Y25" s="17" t="n"/>
      <c r="Z25" s="16" t="n"/>
      <c r="AA25" s="16" t="n"/>
      <c r="AB25" s="16" t="n"/>
      <c r="AC25" s="16" t="n"/>
    </row>
    <row r="26">
      <c r="A26" s="9" t="inlineStr">
        <is>
          <t>총 판관비</t>
        </is>
      </c>
      <c r="B26" s="10" t="n"/>
      <c r="C26" s="11" t="n"/>
      <c r="D26" s="12" t="n"/>
      <c r="E26" s="12" t="n"/>
      <c r="F26" s="12" t="n"/>
      <c r="G26" s="12" t="n"/>
      <c r="H26" s="12" t="n"/>
      <c r="I26" s="12" t="n"/>
      <c r="J26" s="12" t="n"/>
      <c r="K26" s="12" t="n"/>
      <c r="L26" s="12" t="n"/>
      <c r="M26" s="12" t="n"/>
      <c r="N26" s="12" t="n"/>
      <c r="O26" s="11">
        <f>IF(O21="","",O21)</f>
        <v/>
      </c>
      <c r="P26" s="12">
        <f>IF(P21="","",P21)</f>
        <v/>
      </c>
      <c r="Q26" s="12">
        <f>IF(Q21="","",Q21)</f>
        <v/>
      </c>
      <c r="R26" s="12">
        <f>IF(R21="","",R21)</f>
        <v/>
      </c>
      <c r="S26" s="12">
        <f>IF(S21="","",S21)</f>
        <v/>
      </c>
      <c r="T26" s="12">
        <f>IF(T21="","",T21)</f>
        <v/>
      </c>
      <c r="U26" s="12">
        <f>IF(U21="","",U21)</f>
        <v/>
      </c>
      <c r="V26" s="12">
        <f>IF(V21="","",V21)</f>
        <v/>
      </c>
      <c r="W26" s="12">
        <f>IF(W21="","",W21)</f>
        <v/>
      </c>
      <c r="X26" s="12">
        <f>IF(X21="","",X21)</f>
        <v/>
      </c>
      <c r="Y26" s="11" t="n"/>
      <c r="Z26" s="12" t="n"/>
      <c r="AA26" s="12" t="n"/>
      <c r="AB26" s="12" t="n"/>
      <c r="AC26" s="12" t="n"/>
    </row>
    <row r="27">
      <c r="A27" s="18" t="inlineStr">
        <is>
          <t>급여</t>
        </is>
      </c>
      <c r="B27" s="10" t="inlineStr">
        <is>
          <t>고정비</t>
        </is>
      </c>
      <c r="C27" s="19" t="n"/>
      <c r="D27" s="20" t="n"/>
      <c r="E27" s="20" t="n"/>
      <c r="F27" s="20" t="n"/>
      <c r="G27" s="20" t="n"/>
      <c r="H27" s="20" t="n"/>
      <c r="I27" s="20" t="n"/>
      <c r="J27" s="20" t="n"/>
      <c r="K27" s="20" t="n"/>
      <c r="L27" s="20" t="n"/>
      <c r="M27" s="20" t="n"/>
      <c r="N27" s="20" t="n"/>
      <c r="O27" s="19" t="n"/>
      <c r="P27" s="20" t="n"/>
      <c r="Q27" s="20" t="n"/>
      <c r="R27" s="20" t="n"/>
      <c r="S27" s="20" t="n"/>
      <c r="T27" s="20" t="n"/>
      <c r="U27" s="20" t="n"/>
      <c r="V27" s="20" t="n"/>
      <c r="W27" s="20" t="n"/>
      <c r="X27" s="20" t="n"/>
      <c r="Y27" s="19" t="n"/>
      <c r="Z27" s="20" t="n"/>
      <c r="AA27" s="20" t="n"/>
      <c r="AB27" s="20" t="n"/>
      <c r="AC27" s="20" t="n"/>
    </row>
    <row r="28">
      <c r="A28" s="13" t="inlineStr">
        <is>
          <t>% of Sales</t>
        </is>
      </c>
      <c r="B28" s="10" t="n"/>
      <c r="C28" s="14" t="n"/>
      <c r="D28" s="15" t="n"/>
      <c r="E28" s="15" t="n"/>
      <c r="F28" s="15" t="n"/>
      <c r="G28" s="15" t="n"/>
      <c r="H28" s="15" t="n"/>
      <c r="I28" s="15" t="n"/>
      <c r="J28" s="15" t="n"/>
      <c r="K28" s="15" t="n"/>
      <c r="L28" s="15" t="n"/>
      <c r="M28" s="15" t="n"/>
      <c r="N28" s="15" t="n"/>
      <c r="O28" s="14">
        <f>IF(OR(O27="",O4=""),"",IFERROR(O27/O4,""))</f>
        <v/>
      </c>
      <c r="P28" s="15">
        <f>IF(OR(P27="",P4=""),"",IFERROR(P27/P4,""))</f>
        <v/>
      </c>
      <c r="Q28" s="15">
        <f>IF(OR(Q27="",Q4=""),"",IFERROR(Q27/Q4,""))</f>
        <v/>
      </c>
      <c r="R28" s="15">
        <f>IF(OR(R27="",R4=""),"",IFERROR(R27/R4,""))</f>
        <v/>
      </c>
      <c r="S28" s="15">
        <f>IF(OR(S27="",S4=""),"",IFERROR(S27/S4,""))</f>
        <v/>
      </c>
      <c r="T28" s="15">
        <f>IF(OR(T27="",T4=""),"",IFERROR(T27/T4,""))</f>
        <v/>
      </c>
      <c r="U28" s="15">
        <f>IF(OR(U27="",U4=""),"",IFERROR(U27/U4,""))</f>
        <v/>
      </c>
      <c r="V28" s="15">
        <f>IF(OR(V27="",V4=""),"",IFERROR(V27/V4,""))</f>
        <v/>
      </c>
      <c r="W28" s="15">
        <f>IF(OR(W27="",W4=""),"",IFERROR(W27/W4,""))</f>
        <v/>
      </c>
      <c r="X28" s="15">
        <f>IF(OR(X27="",X4=""),"",IFERROR(X27/X4,""))</f>
        <v/>
      </c>
      <c r="Y28" s="14" t="n"/>
      <c r="Z28" s="15" t="n"/>
      <c r="AA28" s="15" t="n"/>
      <c r="AB28" s="15" t="n"/>
      <c r="AC28" s="15" t="n"/>
    </row>
    <row r="29">
      <c r="A29" s="18" t="inlineStr">
        <is>
          <t>감가상각비</t>
        </is>
      </c>
      <c r="B29" s="10" t="inlineStr">
        <is>
          <t>고정비</t>
        </is>
      </c>
      <c r="C29" s="19" t="n"/>
      <c r="D29" s="20" t="n"/>
      <c r="E29" s="20" t="n"/>
      <c r="F29" s="20" t="n"/>
      <c r="G29" s="20" t="n"/>
      <c r="H29" s="20" t="n"/>
      <c r="I29" s="20" t="n"/>
      <c r="J29" s="20" t="n"/>
      <c r="K29" s="20" t="n"/>
      <c r="L29" s="20" t="n"/>
      <c r="M29" s="20" t="n"/>
      <c r="N29" s="20" t="n"/>
      <c r="O29" s="19" t="n"/>
      <c r="P29" s="20" t="n"/>
      <c r="Q29" s="20" t="n"/>
      <c r="R29" s="20" t="n"/>
      <c r="S29" s="20" t="n"/>
      <c r="T29" s="20" t="n"/>
      <c r="U29" s="20" t="n"/>
      <c r="V29" s="20" t="n"/>
      <c r="W29" s="20" t="n"/>
      <c r="X29" s="20" t="n"/>
      <c r="Y29" s="19" t="n"/>
      <c r="Z29" s="20" t="n"/>
      <c r="AA29" s="20" t="n"/>
      <c r="AB29" s="20" t="n"/>
      <c r="AC29" s="20" t="n"/>
    </row>
    <row r="30">
      <c r="A30" s="13" t="inlineStr">
        <is>
          <t>% of Sales</t>
        </is>
      </c>
      <c r="B30" s="10" t="n"/>
      <c r="C30" s="14" t="n"/>
      <c r="D30" s="15" t="n"/>
      <c r="E30" s="15" t="n"/>
      <c r="F30" s="15" t="n"/>
      <c r="G30" s="15" t="n"/>
      <c r="H30" s="15" t="n"/>
      <c r="I30" s="15" t="n"/>
      <c r="J30" s="15" t="n"/>
      <c r="K30" s="15" t="n"/>
      <c r="L30" s="15" t="n"/>
      <c r="M30" s="15" t="n"/>
      <c r="N30" s="15" t="n"/>
      <c r="O30" s="14">
        <f>IF(OR(O29="",O4=""),"",IFERROR(O29/O4,""))</f>
        <v/>
      </c>
      <c r="P30" s="15">
        <f>IF(OR(P29="",P4=""),"",IFERROR(P29/P4,""))</f>
        <v/>
      </c>
      <c r="Q30" s="15">
        <f>IF(OR(Q29="",Q4=""),"",IFERROR(Q29/Q4,""))</f>
        <v/>
      </c>
      <c r="R30" s="15">
        <f>IF(OR(R29="",R4=""),"",IFERROR(R29/R4,""))</f>
        <v/>
      </c>
      <c r="S30" s="15">
        <f>IF(OR(S29="",S4=""),"",IFERROR(S29/S4,""))</f>
        <v/>
      </c>
      <c r="T30" s="15">
        <f>IF(OR(T29="",T4=""),"",IFERROR(T29/T4,""))</f>
        <v/>
      </c>
      <c r="U30" s="15">
        <f>IF(OR(U29="",U4=""),"",IFERROR(U29/U4,""))</f>
        <v/>
      </c>
      <c r="V30" s="15">
        <f>IF(OR(V29="",V4=""),"",IFERROR(V29/V4,""))</f>
        <v/>
      </c>
      <c r="W30" s="15">
        <f>IF(OR(W29="",W4=""),"",IFERROR(W29/W4,""))</f>
        <v/>
      </c>
      <c r="X30" s="15">
        <f>IF(OR(X29="",X4=""),"",IFERROR(X29/X4,""))</f>
        <v/>
      </c>
      <c r="Y30" s="14" t="n"/>
      <c r="Z30" s="15" t="n"/>
      <c r="AA30" s="15" t="n"/>
      <c r="AB30" s="15" t="n"/>
      <c r="AC30" s="15" t="n"/>
    </row>
    <row r="31">
      <c r="A31" s="18" t="inlineStr">
        <is>
          <t>지급수수료</t>
        </is>
      </c>
      <c r="B31" s="10" t="inlineStr">
        <is>
          <t>고정비</t>
        </is>
      </c>
      <c r="C31" s="19" t="n"/>
      <c r="D31" s="20" t="n"/>
      <c r="E31" s="20" t="n"/>
      <c r="F31" s="20" t="n"/>
      <c r="G31" s="20" t="n"/>
      <c r="H31" s="20" t="n"/>
      <c r="I31" s="20" t="n"/>
      <c r="J31" s="20" t="n"/>
      <c r="K31" s="20" t="n"/>
      <c r="L31" s="20" t="n"/>
      <c r="M31" s="20" t="n"/>
      <c r="N31" s="20" t="n"/>
      <c r="O31" s="19" t="n"/>
      <c r="P31" s="20" t="n"/>
      <c r="Q31" s="20" t="n"/>
      <c r="R31" s="20" t="n"/>
      <c r="S31" s="20" t="n"/>
      <c r="T31" s="20" t="n"/>
      <c r="U31" s="20" t="n"/>
      <c r="V31" s="20" t="n"/>
      <c r="W31" s="20" t="n"/>
      <c r="X31" s="20" t="n"/>
      <c r="Y31" s="19" t="n"/>
      <c r="Z31" s="20" t="n"/>
      <c r="AA31" s="20" t="n"/>
      <c r="AB31" s="20" t="n"/>
      <c r="AC31" s="20" t="n"/>
    </row>
    <row r="32">
      <c r="A32" s="13" t="inlineStr">
        <is>
          <t>% of Sales</t>
        </is>
      </c>
      <c r="B32" s="10" t="n"/>
      <c r="C32" s="14" t="n"/>
      <c r="D32" s="15" t="n"/>
      <c r="E32" s="15" t="n"/>
      <c r="F32" s="15" t="n"/>
      <c r="G32" s="15" t="n"/>
      <c r="H32" s="15" t="n"/>
      <c r="I32" s="15" t="n"/>
      <c r="J32" s="15" t="n"/>
      <c r="K32" s="15" t="n"/>
      <c r="L32" s="15" t="n"/>
      <c r="M32" s="15" t="n"/>
      <c r="N32" s="15" t="n"/>
      <c r="O32" s="14">
        <f>IF(OR(O31="",O4=""),"",IFERROR(O31/O4,""))</f>
        <v/>
      </c>
      <c r="P32" s="15">
        <f>IF(OR(P31="",P4=""),"",IFERROR(P31/P4,""))</f>
        <v/>
      </c>
      <c r="Q32" s="15">
        <f>IF(OR(Q31="",Q4=""),"",IFERROR(Q31/Q4,""))</f>
        <v/>
      </c>
      <c r="R32" s="15">
        <f>IF(OR(R31="",R4=""),"",IFERROR(R31/R4,""))</f>
        <v/>
      </c>
      <c r="S32" s="15">
        <f>IF(OR(S31="",S4=""),"",IFERROR(S31/S4,""))</f>
        <v/>
      </c>
      <c r="T32" s="15">
        <f>IF(OR(T31="",T4=""),"",IFERROR(T31/T4,""))</f>
        <v/>
      </c>
      <c r="U32" s="15">
        <f>IF(OR(U31="",U4=""),"",IFERROR(U31/U4,""))</f>
        <v/>
      </c>
      <c r="V32" s="15">
        <f>IF(OR(V31="",V4=""),"",IFERROR(V31/V4,""))</f>
        <v/>
      </c>
      <c r="W32" s="15">
        <f>IF(OR(W31="",W4=""),"",IFERROR(W31/W4,""))</f>
        <v/>
      </c>
      <c r="X32" s="15">
        <f>IF(OR(X31="",X4=""),"",IFERROR(X31/X4,""))</f>
        <v/>
      </c>
      <c r="Y32" s="14" t="n"/>
      <c r="Z32" s="15" t="n"/>
      <c r="AA32" s="15" t="n"/>
      <c r="AB32" s="15" t="n"/>
      <c r="AC32" s="15" t="n"/>
    </row>
    <row r="33">
      <c r="A33" s="18" t="inlineStr">
        <is>
          <t>연구개발비</t>
        </is>
      </c>
      <c r="B33" s="10" t="inlineStr">
        <is>
          <t>변동비</t>
        </is>
      </c>
      <c r="C33" s="19" t="n"/>
      <c r="D33" s="20" t="n"/>
      <c r="E33" s="20" t="n"/>
      <c r="F33" s="20" t="n"/>
      <c r="G33" s="20" t="n"/>
      <c r="H33" s="20" t="n"/>
      <c r="I33" s="20" t="n"/>
      <c r="J33" s="20" t="n"/>
      <c r="K33" s="20" t="n"/>
      <c r="L33" s="20" t="n"/>
      <c r="M33" s="20" t="n"/>
      <c r="N33" s="20" t="n"/>
      <c r="O33" s="19" t="n"/>
      <c r="P33" s="20" t="n"/>
      <c r="Q33" s="20" t="n"/>
      <c r="R33" s="20" t="n"/>
      <c r="S33" s="20" t="n"/>
      <c r="T33" s="20" t="n"/>
      <c r="U33" s="20" t="n"/>
      <c r="V33" s="20" t="n"/>
      <c r="W33" s="20" t="n"/>
      <c r="X33" s="20" t="n"/>
      <c r="Y33" s="19" t="n"/>
      <c r="Z33" s="20" t="n"/>
      <c r="AA33" s="20" t="n"/>
      <c r="AB33" s="20" t="n"/>
      <c r="AC33" s="20" t="n"/>
    </row>
    <row r="34">
      <c r="A34" s="13" t="inlineStr">
        <is>
          <t>% of Sales</t>
        </is>
      </c>
      <c r="B34" s="10" t="n"/>
      <c r="C34" s="14" t="n"/>
      <c r="D34" s="15" t="n"/>
      <c r="E34" s="15" t="n"/>
      <c r="F34" s="15" t="n"/>
      <c r="G34" s="15" t="n"/>
      <c r="H34" s="15" t="n"/>
      <c r="I34" s="15" t="n"/>
      <c r="J34" s="15" t="n"/>
      <c r="K34" s="15" t="n"/>
      <c r="L34" s="15" t="n"/>
      <c r="M34" s="15" t="n"/>
      <c r="N34" s="15" t="n"/>
      <c r="O34" s="14">
        <f>IF(OR(O33="",O4=""),"",IFERROR(O33/O4,""))</f>
        <v/>
      </c>
      <c r="P34" s="15">
        <f>IF(OR(P33="",P4=""),"",IFERROR(P33/P4,""))</f>
        <v/>
      </c>
      <c r="Q34" s="15">
        <f>IF(OR(Q33="",Q4=""),"",IFERROR(Q33/Q4,""))</f>
        <v/>
      </c>
      <c r="R34" s="15">
        <f>IF(OR(R33="",R4=""),"",IFERROR(R33/R4,""))</f>
        <v/>
      </c>
      <c r="S34" s="15">
        <f>IF(OR(S33="",S4=""),"",IFERROR(S33/S4,""))</f>
        <v/>
      </c>
      <c r="T34" s="15">
        <f>IF(OR(T33="",T4=""),"",IFERROR(T33/T4,""))</f>
        <v/>
      </c>
      <c r="U34" s="15">
        <f>IF(OR(U33="",U4=""),"",IFERROR(U33/U4,""))</f>
        <v/>
      </c>
      <c r="V34" s="15">
        <f>IF(OR(V33="",V4=""),"",IFERROR(V33/V4,""))</f>
        <v/>
      </c>
      <c r="W34" s="15">
        <f>IF(OR(W33="",W4=""),"",IFERROR(W33/W4,""))</f>
        <v/>
      </c>
      <c r="X34" s="15">
        <f>IF(OR(X33="",X4=""),"",IFERROR(X33/X4,""))</f>
        <v/>
      </c>
      <c r="Y34" s="14" t="n"/>
      <c r="Z34" s="15" t="n"/>
      <c r="AA34" s="15" t="n"/>
      <c r="AB34" s="15" t="n"/>
      <c r="AC34" s="15" t="n"/>
    </row>
    <row r="35">
      <c r="A35" s="18" t="inlineStr">
        <is>
          <t>기타비용</t>
        </is>
      </c>
      <c r="B35" s="10" t="inlineStr">
        <is>
          <t>변동비</t>
        </is>
      </c>
      <c r="C35" s="19" t="n"/>
      <c r="D35" s="20" t="n"/>
      <c r="E35" s="20" t="n"/>
      <c r="F35" s="20" t="n"/>
      <c r="G35" s="20" t="n"/>
      <c r="H35" s="20" t="n"/>
      <c r="I35" s="20" t="n"/>
      <c r="J35" s="20" t="n"/>
      <c r="K35" s="20" t="n"/>
      <c r="L35" s="20" t="n"/>
      <c r="M35" s="20" t="n"/>
      <c r="N35" s="20" t="n"/>
      <c r="O35" s="19">
        <f>IF(OR(O26="",O27="",O29="",O31="",O33=""),"",IFERROR(O26-O27-O29-O31-O33,""))</f>
        <v/>
      </c>
      <c r="P35" s="20">
        <f>IF(OR(P26="",P27="",P29="",P31="",P33=""),"",IFERROR(P26-P27-P29-P31-P33,""))</f>
        <v/>
      </c>
      <c r="Q35" s="20">
        <f>IF(OR(Q26="",Q27="",Q29="",Q31="",Q33=""),"",IFERROR(Q26-Q27-Q29-Q31-Q33,""))</f>
        <v/>
      </c>
      <c r="R35" s="20">
        <f>IF(OR(R26="",R27="",R29="",R31="",R33=""),"",IFERROR(R26-R27-R29-R31-R33,""))</f>
        <v/>
      </c>
      <c r="S35" s="20">
        <f>IF(OR(S26="",S27="",S29="",S31="",S33=""),"",IFERROR(S26-S27-S29-S31-S33,""))</f>
        <v/>
      </c>
      <c r="T35" s="20">
        <f>IF(OR(T26="",T27="",T29="",T31="",T33=""),"",IFERROR(T26-T27-T29-T31-T33,""))</f>
        <v/>
      </c>
      <c r="U35" s="20">
        <f>IF(OR(U26="",U27="",U29="",U31="",U33=""),"",IFERROR(U26-U27-U29-U31-U33,""))</f>
        <v/>
      </c>
      <c r="V35" s="20">
        <f>IF(OR(V26="",V27="",V29="",V31="",V33=""),"",IFERROR(V26-V27-V29-V31-V33,""))</f>
        <v/>
      </c>
      <c r="W35" s="20">
        <f>IF(OR(W26="",W27="",W29="",W31="",W33=""),"",IFERROR(W26-W27-W29-W31-W33,""))</f>
        <v/>
      </c>
      <c r="X35" s="20">
        <f>IF(OR(X26="",X27="",X29="",X31="",X33=""),"",IFERROR(X26-X27-X29-X31-X33,""))</f>
        <v/>
      </c>
      <c r="Y35" s="19" t="n"/>
      <c r="Z35" s="20" t="n"/>
      <c r="AA35" s="20" t="n"/>
      <c r="AB35" s="20" t="n"/>
      <c r="AC35" s="20" t="n"/>
    </row>
    <row r="36">
      <c r="A36" s="13" t="inlineStr">
        <is>
          <t>% of Sales</t>
        </is>
      </c>
      <c r="B36" s="10" t="n"/>
      <c r="C36" s="14" t="n"/>
      <c r="D36" s="15" t="n"/>
      <c r="E36" s="15" t="n"/>
      <c r="F36" s="15" t="n"/>
      <c r="G36" s="15" t="n"/>
      <c r="H36" s="15" t="n"/>
      <c r="I36" s="15" t="n"/>
      <c r="J36" s="15" t="n"/>
      <c r="K36" s="15" t="n"/>
      <c r="L36" s="15" t="n"/>
      <c r="M36" s="15" t="n"/>
      <c r="N36" s="15" t="n"/>
      <c r="O36" s="14">
        <f>IF(OR(O35="",O4=""),"",IFERROR(O35/O4,""))</f>
        <v/>
      </c>
      <c r="P36" s="15">
        <f>IF(OR(P35="",P4=""),"",IFERROR(P35/P4,""))</f>
        <v/>
      </c>
      <c r="Q36" s="15">
        <f>IF(OR(Q35="",Q4=""),"",IFERROR(Q35/Q4,""))</f>
        <v/>
      </c>
      <c r="R36" s="15">
        <f>IF(OR(R35="",R4=""),"",IFERROR(R35/R4,""))</f>
        <v/>
      </c>
      <c r="S36" s="15">
        <f>IF(OR(S35="",S4=""),"",IFERROR(S35/S4,""))</f>
        <v/>
      </c>
      <c r="T36" s="15">
        <f>IF(OR(T35="",T4=""),"",IFERROR(T35/T4,""))</f>
        <v/>
      </c>
      <c r="U36" s="15">
        <f>IF(OR(U35="",U4=""),"",IFERROR(U35/U4,""))</f>
        <v/>
      </c>
      <c r="V36" s="15">
        <f>IF(OR(V35="",V4=""),"",IFERROR(V35/V4,""))</f>
        <v/>
      </c>
      <c r="W36" s="15">
        <f>IF(OR(W35="",W4=""),"",IFERROR(W35/W4,""))</f>
        <v/>
      </c>
      <c r="X36" s="15">
        <f>IF(OR(X35="",X4=""),"",IFERROR(X35/X4,""))</f>
        <v/>
      </c>
      <c r="Y36" s="14" t="n"/>
      <c r="Z36" s="15" t="n"/>
      <c r="AA36" s="15" t="n"/>
      <c r="AB36" s="15" t="n"/>
      <c r="AC36" s="15" t="n"/>
    </row>
    <row r="37">
      <c r="A37" s="16" t="inlineStr">
        <is>
          <t>당기순이익 추정</t>
        </is>
      </c>
      <c r="B37" s="16" t="n"/>
      <c r="C37" s="17" t="n"/>
      <c r="D37" s="16" t="n"/>
      <c r="E37" s="16" t="n"/>
      <c r="F37" s="16" t="n"/>
      <c r="G37" s="16" t="n"/>
      <c r="H37" s="16" t="n"/>
      <c r="I37" s="16" t="n"/>
      <c r="J37" s="16" t="n"/>
      <c r="K37" s="16" t="n"/>
      <c r="L37" s="16" t="n"/>
      <c r="M37" s="16" t="n"/>
      <c r="N37" s="16" t="n"/>
      <c r="O37" s="17" t="n"/>
      <c r="P37" s="16" t="n"/>
      <c r="Q37" s="16" t="n"/>
      <c r="R37" s="16" t="n"/>
      <c r="S37" s="16" t="n"/>
      <c r="T37" s="16" t="n"/>
      <c r="U37" s="16" t="n"/>
      <c r="V37" s="16" t="n"/>
      <c r="W37" s="16" t="n"/>
      <c r="X37" s="16" t="n"/>
      <c r="Y37" s="17" t="n"/>
      <c r="Z37" s="16" t="n"/>
      <c r="AA37" s="16" t="n"/>
      <c r="AB37" s="16" t="n"/>
      <c r="AC37" s="16" t="n"/>
    </row>
    <row r="38">
      <c r="A38" s="18" t="inlineStr">
        <is>
          <t>기타이익</t>
        </is>
      </c>
      <c r="B38" s="10" t="n"/>
      <c r="C38" s="19" t="n"/>
      <c r="D38" s="20" t="n"/>
      <c r="E38" s="20" t="n"/>
      <c r="F38" s="20" t="n"/>
      <c r="G38" s="20" t="n"/>
      <c r="H38" s="20" t="n"/>
      <c r="I38" s="20" t="n"/>
      <c r="J38" s="20" t="n"/>
      <c r="K38" s="20" t="n"/>
      <c r="L38" s="20" t="n"/>
      <c r="M38" s="20" t="n"/>
      <c r="N38" s="20" t="n"/>
      <c r="O38" s="19" t="n"/>
      <c r="P38" s="20" t="n"/>
      <c r="Q38" s="20" t="n"/>
      <c r="R38" s="20" t="n"/>
      <c r="S38" s="20" t="n"/>
      <c r="T38" s="20" t="n"/>
      <c r="U38" s="20" t="n"/>
      <c r="V38" s="20" t="n"/>
      <c r="W38" s="20" t="n"/>
      <c r="X38" s="20" t="n"/>
      <c r="Y38" s="19">
        <f>IF(OR(Y4="",Y39=""),"",IFERROR(Y4*Y39,""))</f>
        <v/>
      </c>
      <c r="Z38" s="20">
        <f>IF(OR(Z4="",Z39=""),"",IFERROR(Z4*Z39,""))</f>
        <v/>
      </c>
      <c r="AA38" s="20">
        <f>IF(OR(AA4="",AA39=""),"",IFERROR(AA4*AA39,""))</f>
        <v/>
      </c>
      <c r="AB38" s="20">
        <f>IF(OR(AB4="",AB39=""),"",IFERROR(AB4*AB39,""))</f>
        <v/>
      </c>
      <c r="AC38" s="20">
        <f>IF(OR(AC4="",AC39=""),"",IFERROR(AC4*AC39,""))</f>
        <v/>
      </c>
    </row>
    <row r="39">
      <c r="A39" s="13" t="inlineStr">
        <is>
          <t>% of Sales</t>
        </is>
      </c>
      <c r="B39" s="10" t="inlineStr">
        <is>
          <t>MW = 최근 3년 평균</t>
        </is>
      </c>
      <c r="C39" s="14">
        <f>IF(OR(C38="",C4=""),"",IFERROR(C38/C4,""))</f>
        <v/>
      </c>
      <c r="D39" s="15">
        <f>IF(OR(D38="",D4=""),"",IFERROR(D38/D4,""))</f>
        <v/>
      </c>
      <c r="E39" s="15">
        <f>IF(OR(E38="",E4=""),"",IFERROR(E38/E4,""))</f>
        <v/>
      </c>
      <c r="F39" s="15">
        <f>IF(OR(F38="",F4=""),"",IFERROR(F38/F4,""))</f>
        <v/>
      </c>
      <c r="G39" s="15">
        <f>IF(OR(G38="",G4=""),"",IFERROR(G38/G4,""))</f>
        <v/>
      </c>
      <c r="H39" s="15">
        <f>IF(OR(H38="",H4=""),"",IFERROR(H38/H4,""))</f>
        <v/>
      </c>
      <c r="I39" s="15">
        <f>IF(OR(I38="",I4=""),"",IFERROR(I38/I4,""))</f>
        <v/>
      </c>
      <c r="J39" s="15">
        <f>IF(OR(J38="",J4=""),"",IFERROR(J38/J4,""))</f>
        <v/>
      </c>
      <c r="K39" s="15">
        <f>IF(OR(K38="",K4=""),"",IFERROR(K38/K4,""))</f>
        <v/>
      </c>
      <c r="L39" s="15">
        <f>IF(OR(L38="",L4=""),"",IFERROR(L38/L4,""))</f>
        <v/>
      </c>
      <c r="M39" s="15">
        <f>IF(OR(M38="",M4=""),"",IFERROR(M38/M4,""))</f>
        <v/>
      </c>
      <c r="N39" s="15">
        <f>IF(OR(N38="",N4=""),"",IFERROR(N38/N4,""))</f>
        <v/>
      </c>
      <c r="O39" s="14">
        <f>IF(OR(O38="",O4=""),"",IFERROR(O38/O4,""))</f>
        <v/>
      </c>
      <c r="P39" s="15">
        <f>IF(OR(P38="",P4=""),"",IFERROR(P38/P4,""))</f>
        <v/>
      </c>
      <c r="Q39" s="15">
        <f>IF(OR(Q38="",Q4=""),"",IFERROR(Q38/Q4,""))</f>
        <v/>
      </c>
      <c r="R39" s="15">
        <f>IF(OR(R38="",R4=""),"",IFERROR(R38/R4,""))</f>
        <v/>
      </c>
      <c r="S39" s="15">
        <f>IF(OR(S38="",S4=""),"",IFERROR(S38/S4,""))</f>
        <v/>
      </c>
      <c r="T39" s="15">
        <f>IF(OR(T38="",T4=""),"",IFERROR(T38/T4,""))</f>
        <v/>
      </c>
      <c r="U39" s="15">
        <f>IF(OR(U38="",U4=""),"",IFERROR(U38/U4,""))</f>
        <v/>
      </c>
      <c r="V39" s="15">
        <f>IF(OR(V38="",V4=""),"",IFERROR(V38/V4,""))</f>
        <v/>
      </c>
      <c r="W39" s="15">
        <f>IF(OR(W38="",W4=""),"",IFERROR(W38/W4,""))</f>
        <v/>
      </c>
      <c r="X39" s="15">
        <f>IF(OR(X38="",X4=""),"",IFERROR(X38/X4,""))</f>
        <v/>
      </c>
      <c r="Y39" s="25">
        <f>IFERROR(AVERAGE(V39,W39,X39),"")</f>
        <v/>
      </c>
      <c r="Z39" s="26">
        <f>Y39</f>
        <v/>
      </c>
      <c r="AA39" s="26">
        <f>Z39</f>
        <v/>
      </c>
      <c r="AB39" s="26">
        <f>AA39</f>
        <v/>
      </c>
      <c r="AC39" s="26">
        <f>AB39</f>
        <v/>
      </c>
    </row>
    <row r="40">
      <c r="A40" s="18" t="inlineStr">
        <is>
          <t>기타손실</t>
        </is>
      </c>
      <c r="B40" s="10" t="n"/>
      <c r="C40" s="19" t="n"/>
      <c r="D40" s="20" t="n"/>
      <c r="E40" s="20" t="n"/>
      <c r="F40" s="20" t="n"/>
      <c r="G40" s="20" t="n"/>
      <c r="H40" s="20" t="n"/>
      <c r="I40" s="20" t="n"/>
      <c r="J40" s="20" t="n"/>
      <c r="K40" s="20" t="n"/>
      <c r="L40" s="20" t="n"/>
      <c r="M40" s="20" t="n"/>
      <c r="N40" s="20" t="n"/>
      <c r="O40" s="19" t="n"/>
      <c r="P40" s="20" t="n"/>
      <c r="Q40" s="20" t="n"/>
      <c r="R40" s="20" t="n"/>
      <c r="S40" s="20" t="n"/>
      <c r="T40" s="20" t="n"/>
      <c r="U40" s="20" t="n"/>
      <c r="V40" s="20" t="n"/>
      <c r="W40" s="20" t="n"/>
      <c r="X40" s="20" t="n"/>
      <c r="Y40" s="19">
        <f>IF(OR(Y4="",Y41=""),"",IFERROR(Y4*Y41,""))</f>
        <v/>
      </c>
      <c r="Z40" s="20">
        <f>IF(OR(Z4="",Z41=""),"",IFERROR(Z4*Z41,""))</f>
        <v/>
      </c>
      <c r="AA40" s="20">
        <f>IF(OR(AA4="",AA41=""),"",IFERROR(AA4*AA41,""))</f>
        <v/>
      </c>
      <c r="AB40" s="20">
        <f>IF(OR(AB4="",AB41=""),"",IFERROR(AB4*AB41,""))</f>
        <v/>
      </c>
      <c r="AC40" s="20">
        <f>IF(OR(AC4="",AC41=""),"",IFERROR(AC4*AC41,""))</f>
        <v/>
      </c>
    </row>
    <row r="41">
      <c r="A41" s="13" t="inlineStr">
        <is>
          <t>% of Sales</t>
        </is>
      </c>
      <c r="B41" s="10" t="n"/>
      <c r="C41" s="14">
        <f>IF(OR(C40="",C4=""),"",IFERROR(C40/C4,""))</f>
        <v/>
      </c>
      <c r="D41" s="15">
        <f>IF(OR(D40="",D4=""),"",IFERROR(D40/D4,""))</f>
        <v/>
      </c>
      <c r="E41" s="15">
        <f>IF(OR(E40="",E4=""),"",IFERROR(E40/E4,""))</f>
        <v/>
      </c>
      <c r="F41" s="15">
        <f>IF(OR(F40="",F4=""),"",IFERROR(F40/F4,""))</f>
        <v/>
      </c>
      <c r="G41" s="15">
        <f>IF(OR(G40="",G4=""),"",IFERROR(G40/G4,""))</f>
        <v/>
      </c>
      <c r="H41" s="15">
        <f>IF(OR(H40="",H4=""),"",IFERROR(H40/H4,""))</f>
        <v/>
      </c>
      <c r="I41" s="15">
        <f>IF(OR(I40="",I4=""),"",IFERROR(I40/I4,""))</f>
        <v/>
      </c>
      <c r="J41" s="15">
        <f>IF(OR(J40="",J4=""),"",IFERROR(J40/J4,""))</f>
        <v/>
      </c>
      <c r="K41" s="15">
        <f>IF(OR(K40="",K4=""),"",IFERROR(K40/K4,""))</f>
        <v/>
      </c>
      <c r="L41" s="15">
        <f>IF(OR(L40="",L4=""),"",IFERROR(L40/L4,""))</f>
        <v/>
      </c>
      <c r="M41" s="15">
        <f>IF(OR(M40="",M4=""),"",IFERROR(M40/M4,""))</f>
        <v/>
      </c>
      <c r="N41" s="15">
        <f>IF(OR(N40="",N4=""),"",IFERROR(N40/N4,""))</f>
        <v/>
      </c>
      <c r="O41" s="14">
        <f>IF(OR(O40="",O4=""),"",IFERROR(O40/O4,""))</f>
        <v/>
      </c>
      <c r="P41" s="15">
        <f>IF(OR(P40="",P4=""),"",IFERROR(P40/P4,""))</f>
        <v/>
      </c>
      <c r="Q41" s="15">
        <f>IF(OR(Q40="",Q4=""),"",IFERROR(Q40/Q4,""))</f>
        <v/>
      </c>
      <c r="R41" s="15">
        <f>IF(OR(R40="",R4=""),"",IFERROR(R40/R4,""))</f>
        <v/>
      </c>
      <c r="S41" s="15">
        <f>IF(OR(S40="",S4=""),"",IFERROR(S40/S4,""))</f>
        <v/>
      </c>
      <c r="T41" s="15">
        <f>IF(OR(T40="",T4=""),"",IFERROR(T40/T4,""))</f>
        <v/>
      </c>
      <c r="U41" s="15">
        <f>IF(OR(U40="",U4=""),"",IFERROR(U40/U4,""))</f>
        <v/>
      </c>
      <c r="V41" s="15">
        <f>IF(OR(V40="",V4=""),"",IFERROR(V40/V4,""))</f>
        <v/>
      </c>
      <c r="W41" s="15">
        <f>IF(OR(W40="",W4=""),"",IFERROR(W40/W4,""))</f>
        <v/>
      </c>
      <c r="X41" s="15">
        <f>IF(OR(X40="",X4=""),"",IFERROR(X40/X4,""))</f>
        <v/>
      </c>
      <c r="Y41" s="25">
        <f>IFERROR(AVERAGE(V41,W41,X41),"")</f>
        <v/>
      </c>
      <c r="Z41" s="26">
        <f>Y41</f>
        <v/>
      </c>
      <c r="AA41" s="26">
        <f>Z41</f>
        <v/>
      </c>
      <c r="AB41" s="26">
        <f>AA41</f>
        <v/>
      </c>
      <c r="AC41" s="26">
        <f>AB41</f>
        <v/>
      </c>
    </row>
    <row r="42">
      <c r="A42" s="18" t="inlineStr">
        <is>
          <t>금융수익</t>
        </is>
      </c>
      <c r="B42" s="10" t="n"/>
      <c r="C42" s="19" t="n">
        <v>736</v>
      </c>
      <c r="D42" s="20" t="n">
        <v>-881</v>
      </c>
      <c r="E42" s="20" t="n">
        <v>2970</v>
      </c>
      <c r="F42" s="20" t="n">
        <v>5585</v>
      </c>
      <c r="G42" s="20" t="n">
        <v>-1014</v>
      </c>
      <c r="H42" s="20" t="n">
        <v>4825</v>
      </c>
      <c r="I42" s="20" t="n">
        <v>560</v>
      </c>
      <c r="J42" s="20" t="n">
        <v>3302</v>
      </c>
      <c r="K42" s="20" t="n">
        <v>2888</v>
      </c>
      <c r="L42" s="20" t="n">
        <v>33061</v>
      </c>
      <c r="M42" s="20" t="n">
        <v>13698</v>
      </c>
      <c r="N42" s="20" t="n">
        <v>4263</v>
      </c>
      <c r="O42" s="19" t="n"/>
      <c r="P42" s="20" t="n">
        <v>29553</v>
      </c>
      <c r="Q42" s="20" t="n">
        <v>21989</v>
      </c>
      <c r="R42" s="20" t="n">
        <v>8477</v>
      </c>
      <c r="S42" s="20" t="n">
        <v>9691</v>
      </c>
      <c r="T42" s="20" t="n">
        <v>17894</v>
      </c>
      <c r="U42" s="20" t="n">
        <v>10899</v>
      </c>
      <c r="V42" s="20" t="n">
        <v>9804</v>
      </c>
      <c r="W42" s="20" t="n">
        <v>9956</v>
      </c>
      <c r="X42" s="20" t="n">
        <v>52949</v>
      </c>
      <c r="Y42" s="19">
        <f>IF(OR(Y4="",Y43=""),"",IFERROR(Y4*Y43,""))</f>
        <v/>
      </c>
      <c r="Z42" s="20">
        <f>IF(OR(Z4="",Z43=""),"",IFERROR(Z4*Z43,""))</f>
        <v/>
      </c>
      <c r="AA42" s="20">
        <f>IF(OR(AA4="",AA43=""),"",IFERROR(AA4*AA43,""))</f>
        <v/>
      </c>
      <c r="AB42" s="20">
        <f>IF(OR(AB4="",AB43=""),"",IFERROR(AB4*AB43,""))</f>
        <v/>
      </c>
      <c r="AC42" s="20">
        <f>IF(OR(AC4="",AC43=""),"",IFERROR(AC4*AC43,""))</f>
        <v/>
      </c>
    </row>
    <row r="43">
      <c r="A43" s="13" t="inlineStr">
        <is>
          <t>% of Sales</t>
        </is>
      </c>
      <c r="B43" s="10" t="n"/>
      <c r="C43" s="14">
        <f>IF(OR(C42="",C4=""),"",IFERROR(C42/C4,""))</f>
        <v/>
      </c>
      <c r="D43" s="15">
        <f>IF(OR(D42="",D4=""),"",IFERROR(D42/D4,""))</f>
        <v/>
      </c>
      <c r="E43" s="15">
        <f>IF(OR(E42="",E4=""),"",IFERROR(E42/E4,""))</f>
        <v/>
      </c>
      <c r="F43" s="15">
        <f>IF(OR(F42="",F4=""),"",IFERROR(F42/F4,""))</f>
        <v/>
      </c>
      <c r="G43" s="15">
        <f>IF(OR(G42="",G4=""),"",IFERROR(G42/G4,""))</f>
        <v/>
      </c>
      <c r="H43" s="15">
        <f>IF(OR(H42="",H4=""),"",IFERROR(H42/H4,""))</f>
        <v/>
      </c>
      <c r="I43" s="15">
        <f>IF(OR(I42="",I4=""),"",IFERROR(I42/I4,""))</f>
        <v/>
      </c>
      <c r="J43" s="15">
        <f>IF(OR(J42="",J4=""),"",IFERROR(J42/J4,""))</f>
        <v/>
      </c>
      <c r="K43" s="15">
        <f>IF(OR(K42="",K4=""),"",IFERROR(K42/K4,""))</f>
        <v/>
      </c>
      <c r="L43" s="15">
        <f>IF(OR(L42="",L4=""),"",IFERROR(L42/L4,""))</f>
        <v/>
      </c>
      <c r="M43" s="15">
        <f>IF(OR(M42="",M4=""),"",IFERROR(M42/M4,""))</f>
        <v/>
      </c>
      <c r="N43" s="15">
        <f>IF(OR(N42="",N4=""),"",IFERROR(N42/N4,""))</f>
        <v/>
      </c>
      <c r="O43" s="14">
        <f>IF(OR(O42="",O4=""),"",IFERROR(O42/O4,""))</f>
        <v/>
      </c>
      <c r="P43" s="15">
        <f>IF(OR(P42="",P4=""),"",IFERROR(P42/P4,""))</f>
        <v/>
      </c>
      <c r="Q43" s="15">
        <f>IF(OR(Q42="",Q4=""),"",IFERROR(Q42/Q4,""))</f>
        <v/>
      </c>
      <c r="R43" s="15">
        <f>IF(OR(R42="",R4=""),"",IFERROR(R42/R4,""))</f>
        <v/>
      </c>
      <c r="S43" s="15">
        <f>IF(OR(S42="",S4=""),"",IFERROR(S42/S4,""))</f>
        <v/>
      </c>
      <c r="T43" s="15">
        <f>IF(OR(T42="",T4=""),"",IFERROR(T42/T4,""))</f>
        <v/>
      </c>
      <c r="U43" s="15">
        <f>IF(OR(U42="",U4=""),"",IFERROR(U42/U4,""))</f>
        <v/>
      </c>
      <c r="V43" s="15">
        <f>IF(OR(V42="",V4=""),"",IFERROR(V42/V4,""))</f>
        <v/>
      </c>
      <c r="W43" s="15">
        <f>IF(OR(W42="",W4=""),"",IFERROR(W42/W4,""))</f>
        <v/>
      </c>
      <c r="X43" s="15">
        <f>IF(OR(X42="",X4=""),"",IFERROR(X42/X4,""))</f>
        <v/>
      </c>
      <c r="Y43" s="25">
        <f>IFERROR(AVERAGE(V43,W43,X43),"")</f>
        <v/>
      </c>
      <c r="Z43" s="26">
        <f>Y43</f>
        <v/>
      </c>
      <c r="AA43" s="26">
        <f>Z43</f>
        <v/>
      </c>
      <c r="AB43" s="26">
        <f>AA43</f>
        <v/>
      </c>
      <c r="AC43" s="26">
        <f>AB43</f>
        <v/>
      </c>
    </row>
    <row r="44">
      <c r="A44" s="18" t="inlineStr">
        <is>
          <t>금융원가</t>
        </is>
      </c>
      <c r="B44" s="10" t="n"/>
      <c r="C44" s="19" t="n">
        <v>3178</v>
      </c>
      <c r="D44" s="20" t="n">
        <v>6579</v>
      </c>
      <c r="E44" s="20" t="n">
        <v>5398</v>
      </c>
      <c r="F44" s="20" t="n">
        <v>3667</v>
      </c>
      <c r="G44" s="20" t="n">
        <v>7062</v>
      </c>
      <c r="H44" s="20" t="n">
        <v>-933</v>
      </c>
      <c r="I44" s="20" t="n">
        <v>6783</v>
      </c>
      <c r="J44" s="20" t="n">
        <v>7660</v>
      </c>
      <c r="K44" s="20" t="n">
        <v>3261</v>
      </c>
      <c r="L44" s="20" t="n">
        <v>-1462</v>
      </c>
      <c r="M44" s="20" t="n">
        <v>8709</v>
      </c>
      <c r="N44" s="20" t="n">
        <v>6720</v>
      </c>
      <c r="O44" s="19" t="n"/>
      <c r="P44" s="20" t="n">
        <v>11568</v>
      </c>
      <c r="Q44" s="20" t="n">
        <v>8377</v>
      </c>
      <c r="R44" s="20" t="n">
        <v>15464</v>
      </c>
      <c r="S44" s="20" t="n">
        <v>10613</v>
      </c>
      <c r="T44" s="20" t="n">
        <v>11367</v>
      </c>
      <c r="U44" s="20" t="n">
        <v>17624</v>
      </c>
      <c r="V44" s="20" t="n">
        <v>18072</v>
      </c>
      <c r="W44" s="20" t="n">
        <v>16579</v>
      </c>
      <c r="X44" s="20" t="n">
        <v>18168</v>
      </c>
      <c r="Y44" s="19">
        <f>IF(OR(Y4="",Y45=""),"",IFERROR(Y4*Y45,""))</f>
        <v/>
      </c>
      <c r="Z44" s="20">
        <f>IF(OR(Z4="",Z45=""),"",IFERROR(Z4*Z45,""))</f>
        <v/>
      </c>
      <c r="AA44" s="20">
        <f>IF(OR(AA4="",AA45=""),"",IFERROR(AA4*AA45,""))</f>
        <v/>
      </c>
      <c r="AB44" s="20">
        <f>IF(OR(AB4="",AB45=""),"",IFERROR(AB4*AB45,""))</f>
        <v/>
      </c>
      <c r="AC44" s="20">
        <f>IF(OR(AC4="",AC45=""),"",IFERROR(AC4*AC45,""))</f>
        <v/>
      </c>
    </row>
    <row r="45">
      <c r="A45" s="13" t="inlineStr">
        <is>
          <t>% of Sales</t>
        </is>
      </c>
      <c r="B45" s="10" t="n"/>
      <c r="C45" s="14">
        <f>IF(OR(C44="",C4=""),"",IFERROR(C44/C4,""))</f>
        <v/>
      </c>
      <c r="D45" s="15">
        <f>IF(OR(D44="",D4=""),"",IFERROR(D44/D4,""))</f>
        <v/>
      </c>
      <c r="E45" s="15">
        <f>IF(OR(E44="",E4=""),"",IFERROR(E44/E4,""))</f>
        <v/>
      </c>
      <c r="F45" s="15">
        <f>IF(OR(F44="",F4=""),"",IFERROR(F44/F4,""))</f>
        <v/>
      </c>
      <c r="G45" s="15">
        <f>IF(OR(G44="",G4=""),"",IFERROR(G44/G4,""))</f>
        <v/>
      </c>
      <c r="H45" s="15">
        <f>IF(OR(H44="",H4=""),"",IFERROR(H44/H4,""))</f>
        <v/>
      </c>
      <c r="I45" s="15">
        <f>IF(OR(I44="",I4=""),"",IFERROR(I44/I4,""))</f>
        <v/>
      </c>
      <c r="J45" s="15">
        <f>IF(OR(J44="",J4=""),"",IFERROR(J44/J4,""))</f>
        <v/>
      </c>
      <c r="K45" s="15">
        <f>IF(OR(K44="",K4=""),"",IFERROR(K44/K4,""))</f>
        <v/>
      </c>
      <c r="L45" s="15">
        <f>IF(OR(L44="",L4=""),"",IFERROR(L44/L4,""))</f>
        <v/>
      </c>
      <c r="M45" s="15">
        <f>IF(OR(M44="",M4=""),"",IFERROR(M44/M4,""))</f>
        <v/>
      </c>
      <c r="N45" s="15">
        <f>IF(OR(N44="",N4=""),"",IFERROR(N44/N4,""))</f>
        <v/>
      </c>
      <c r="O45" s="14">
        <f>IF(OR(O44="",O4=""),"",IFERROR(O44/O4,""))</f>
        <v/>
      </c>
      <c r="P45" s="15">
        <f>IF(OR(P44="",P4=""),"",IFERROR(P44/P4,""))</f>
        <v/>
      </c>
      <c r="Q45" s="15">
        <f>IF(OR(Q44="",Q4=""),"",IFERROR(Q44/Q4,""))</f>
        <v/>
      </c>
      <c r="R45" s="15">
        <f>IF(OR(R44="",R4=""),"",IFERROR(R44/R4,""))</f>
        <v/>
      </c>
      <c r="S45" s="15">
        <f>IF(OR(S44="",S4=""),"",IFERROR(S44/S4,""))</f>
        <v/>
      </c>
      <c r="T45" s="15">
        <f>IF(OR(T44="",T4=""),"",IFERROR(T44/T4,""))</f>
        <v/>
      </c>
      <c r="U45" s="15">
        <f>IF(OR(U44="",U4=""),"",IFERROR(U44/U4,""))</f>
        <v/>
      </c>
      <c r="V45" s="15">
        <f>IF(OR(V44="",V4=""),"",IFERROR(V44/V4,""))</f>
        <v/>
      </c>
      <c r="W45" s="15">
        <f>IF(OR(W44="",W4=""),"",IFERROR(W44/W4,""))</f>
        <v/>
      </c>
      <c r="X45" s="15">
        <f>IF(OR(X44="",X4=""),"",IFERROR(X44/X4,""))</f>
        <v/>
      </c>
      <c r="Y45" s="25">
        <f>IFERROR(AVERAGE(V45,W45,X45),"")</f>
        <v/>
      </c>
      <c r="Z45" s="26">
        <f>Y45</f>
        <v/>
      </c>
      <c r="AA45" s="26">
        <f>Z45</f>
        <v/>
      </c>
      <c r="AB45" s="26">
        <f>AA45</f>
        <v/>
      </c>
      <c r="AC45" s="26">
        <f>AB45</f>
        <v/>
      </c>
    </row>
    <row r="46">
      <c r="A46" s="9" t="inlineStr">
        <is>
          <t>법인세비용차감전순이익(손실)</t>
        </is>
      </c>
      <c r="B46" s="10" t="n"/>
      <c r="C46" s="11" t="n">
        <v>34440</v>
      </c>
      <c r="D46" s="12" t="n">
        <v>36177</v>
      </c>
      <c r="E46" s="12" t="n">
        <v>116857</v>
      </c>
      <c r="F46" s="12" t="n">
        <v>-3323</v>
      </c>
      <c r="G46" s="12" t="n">
        <v>30000</v>
      </c>
      <c r="H46" s="12" t="n">
        <v>87652</v>
      </c>
      <c r="I46" s="12" t="n">
        <v>125442</v>
      </c>
      <c r="J46" s="12" t="n">
        <v>32103</v>
      </c>
      <c r="K46" s="12" t="n">
        <v>83331</v>
      </c>
      <c r="L46" s="12" t="n">
        <v>101337</v>
      </c>
      <c r="M46" s="12" t="n">
        <v>181404</v>
      </c>
      <c r="N46" s="12" t="n">
        <v>56529</v>
      </c>
      <c r="O46" s="11" t="n"/>
      <c r="P46" s="12" t="n">
        <v>86941</v>
      </c>
      <c r="Q46" s="12" t="n">
        <v>77308</v>
      </c>
      <c r="R46" s="12" t="n">
        <v>123969</v>
      </c>
      <c r="S46" s="12" t="n">
        <v>157831</v>
      </c>
      <c r="T46" s="12" t="n">
        <v>144436</v>
      </c>
      <c r="U46" s="12" t="n">
        <v>167671</v>
      </c>
      <c r="V46" s="12" t="n">
        <v>185011</v>
      </c>
      <c r="W46" s="12" t="n">
        <v>239771</v>
      </c>
      <c r="X46" s="12" t="n">
        <v>398175</v>
      </c>
      <c r="Y46" s="11">
        <f>IF(OR(Y22=""),"",IFERROR(Y22+N(Y38)-N(Y40)+N(Y42)-N(Y44),""))</f>
        <v/>
      </c>
      <c r="Z46" s="12">
        <f>IF(OR(Z22=""),"",IFERROR(Z22+N(Z38)-N(Z40)+N(Z42)-N(Z44),""))</f>
        <v/>
      </c>
      <c r="AA46" s="12">
        <f>IF(OR(AA22=""),"",IFERROR(AA22+N(AA38)-N(AA40)+N(AA42)-N(AA44),""))</f>
        <v/>
      </c>
      <c r="AB46" s="12">
        <f>IF(OR(AB22=""),"",IFERROR(AB22+N(AB38)-N(AB40)+N(AB42)-N(AB44),""))</f>
        <v/>
      </c>
      <c r="AC46" s="12">
        <f>IF(OR(AC22=""),"",IFERROR(AC22+N(AC38)-N(AC40)+N(AC42)-N(AC44),""))</f>
        <v/>
      </c>
    </row>
    <row r="47">
      <c r="A47" s="18" t="inlineStr">
        <is>
          <t>법인세비용(수익)</t>
        </is>
      </c>
      <c r="B47" s="10" t="n"/>
      <c r="C47" s="19" t="n">
        <v>9819</v>
      </c>
      <c r="D47" s="20" t="n">
        <v>11226</v>
      </c>
      <c r="E47" s="20" t="n">
        <v>-5153</v>
      </c>
      <c r="F47" s="20" t="n">
        <v>2716</v>
      </c>
      <c r="G47" s="20" t="n">
        <v>9113</v>
      </c>
      <c r="H47" s="20" t="n">
        <v>26371</v>
      </c>
      <c r="I47" s="20" t="n">
        <v>16907</v>
      </c>
      <c r="J47" s="20" t="n">
        <v>12647</v>
      </c>
      <c r="K47" s="20" t="n">
        <v>29173</v>
      </c>
      <c r="L47" s="20" t="n">
        <v>30936</v>
      </c>
      <c r="M47" s="20" t="n">
        <v>52095</v>
      </c>
      <c r="N47" s="20" t="n">
        <v>6552</v>
      </c>
      <c r="O47" s="19" t="n"/>
      <c r="P47" s="20" t="n">
        <v>26784</v>
      </c>
      <c r="Q47" s="20" t="n">
        <v>25378</v>
      </c>
      <c r="R47" s="20" t="n">
        <v>11250</v>
      </c>
      <c r="S47" s="20" t="n">
        <v>-4035</v>
      </c>
      <c r="T47" s="20" t="n">
        <v>-12267</v>
      </c>
      <c r="U47" s="20" t="n">
        <v>36155</v>
      </c>
      <c r="V47" s="20" t="n">
        <v>20259</v>
      </c>
      <c r="W47" s="20" t="n">
        <v>55107</v>
      </c>
      <c r="X47" s="20" t="n">
        <v>124851</v>
      </c>
      <c r="Y47" s="19">
        <f>IF(OR(Y46="",Y48=""),"",IFERROR(MAX(Y46,0)*Y48,""))</f>
        <v/>
      </c>
      <c r="Z47" s="20">
        <f>IF(OR(Z46="",Z48=""),"",IFERROR(MAX(Z46,0)*Z48,""))</f>
        <v/>
      </c>
      <c r="AA47" s="20">
        <f>IF(OR(AA46="",AA48=""),"",IFERROR(MAX(AA46,0)*AA48,""))</f>
        <v/>
      </c>
      <c r="AB47" s="20">
        <f>IF(OR(AB46="",AB48=""),"",IFERROR(MAX(AB46,0)*AB48,""))</f>
        <v/>
      </c>
      <c r="AC47" s="20">
        <f>IF(OR(AC46="",AC48=""),"",IFERROR(MAX(AC46,0)*AC48,""))</f>
        <v/>
      </c>
    </row>
    <row r="48">
      <c r="A48" s="13" t="inlineStr">
        <is>
          <t>법인세율</t>
        </is>
      </c>
      <c r="B48" s="10" t="inlineStr">
        <is>
          <t>MW 기본 30%</t>
        </is>
      </c>
      <c r="C48" s="14">
        <f>IF(OR(C47="",C46=""),"",IFERROR(C47/C46,""))</f>
        <v/>
      </c>
      <c r="D48" s="15">
        <f>IF(OR(D47="",D46=""),"",IFERROR(D47/D46,""))</f>
        <v/>
      </c>
      <c r="E48" s="15">
        <f>IF(OR(E47="",E46=""),"",IFERROR(E47/E46,""))</f>
        <v/>
      </c>
      <c r="F48" s="15">
        <f>IF(OR(F47="",F46=""),"",IFERROR(F47/F46,""))</f>
        <v/>
      </c>
      <c r="G48" s="15">
        <f>IF(OR(G47="",G46=""),"",IFERROR(G47/G46,""))</f>
        <v/>
      </c>
      <c r="H48" s="15">
        <f>IF(OR(H47="",H46=""),"",IFERROR(H47/H46,""))</f>
        <v/>
      </c>
      <c r="I48" s="15">
        <f>IF(OR(I47="",I46=""),"",IFERROR(I47/I46,""))</f>
        <v/>
      </c>
      <c r="J48" s="15">
        <f>IF(OR(J47="",J46=""),"",IFERROR(J47/J46,""))</f>
        <v/>
      </c>
      <c r="K48" s="15">
        <f>IF(OR(K47="",K46=""),"",IFERROR(K47/K46,""))</f>
        <v/>
      </c>
      <c r="L48" s="15">
        <f>IF(OR(L47="",L46=""),"",IFERROR(L47/L46,""))</f>
        <v/>
      </c>
      <c r="M48" s="15">
        <f>IF(OR(M47="",M46=""),"",IFERROR(M47/M46,""))</f>
        <v/>
      </c>
      <c r="N48" s="15">
        <f>IF(OR(N47="",N46=""),"",IFERROR(N47/N46,""))</f>
        <v/>
      </c>
      <c r="O48" s="14">
        <f>IF(OR(O47="",O46=""),"",IFERROR(O47/O46,""))</f>
        <v/>
      </c>
      <c r="P48" s="15">
        <f>IF(OR(P47="",P46=""),"",IFERROR(P47/P46,""))</f>
        <v/>
      </c>
      <c r="Q48" s="15">
        <f>IF(OR(Q47="",Q46=""),"",IFERROR(Q47/Q46,""))</f>
        <v/>
      </c>
      <c r="R48" s="15">
        <f>IF(OR(R47="",R46=""),"",IFERROR(R47/R46,""))</f>
        <v/>
      </c>
      <c r="S48" s="15">
        <f>IF(OR(S47="",S46=""),"",IFERROR(S47/S46,""))</f>
        <v/>
      </c>
      <c r="T48" s="15">
        <f>IF(OR(T47="",T46=""),"",IFERROR(T47/T46,""))</f>
        <v/>
      </c>
      <c r="U48" s="15">
        <f>IF(OR(U47="",U46=""),"",IFERROR(U47/U46,""))</f>
        <v/>
      </c>
      <c r="V48" s="15">
        <f>IF(OR(V47="",V46=""),"",IFERROR(V47/V46,""))</f>
        <v/>
      </c>
      <c r="W48" s="15">
        <f>IF(OR(W47="",W46=""),"",IFERROR(W47/W46,""))</f>
        <v/>
      </c>
      <c r="X48" s="15">
        <f>IF(OR(X47="",X46=""),"",IFERROR(X47/X46,""))</f>
        <v/>
      </c>
      <c r="Y48" s="25" t="n">
        <v>0.3</v>
      </c>
      <c r="Z48" s="26" t="n">
        <v>0.3</v>
      </c>
      <c r="AA48" s="26" t="n">
        <v>0.3</v>
      </c>
      <c r="AB48" s="26" t="n">
        <v>0.3</v>
      </c>
      <c r="AC48" s="26" t="n">
        <v>0.3</v>
      </c>
    </row>
    <row r="49">
      <c r="A49" s="9" t="inlineStr">
        <is>
          <t>당기순이익(손실)</t>
        </is>
      </c>
      <c r="B49" s="10" t="n"/>
      <c r="C49" s="11" t="n">
        <v>24621</v>
      </c>
      <c r="D49" s="12" t="n">
        <v>24951</v>
      </c>
      <c r="E49" s="12" t="n">
        <v>122010</v>
      </c>
      <c r="F49" s="12" t="n">
        <v>-6039</v>
      </c>
      <c r="G49" s="12" t="n">
        <v>20887</v>
      </c>
      <c r="H49" s="12" t="n">
        <v>61281</v>
      </c>
      <c r="I49" s="12" t="n">
        <v>108535</v>
      </c>
      <c r="J49" s="12" t="n">
        <v>19456</v>
      </c>
      <c r="K49" s="12" t="n">
        <v>54158</v>
      </c>
      <c r="L49" s="12" t="n">
        <v>70401</v>
      </c>
      <c r="M49" s="12" t="n">
        <v>129309</v>
      </c>
      <c r="N49" s="12" t="n">
        <v>49977</v>
      </c>
      <c r="O49" s="11" t="n"/>
      <c r="P49" s="12" t="n">
        <v>60157</v>
      </c>
      <c r="Q49" s="12" t="n">
        <v>51930</v>
      </c>
      <c r="R49" s="12" t="n">
        <v>112719</v>
      </c>
      <c r="S49" s="12" t="n">
        <v>161866</v>
      </c>
      <c r="T49" s="12" t="n">
        <v>156703</v>
      </c>
      <c r="U49" s="12" t="n">
        <v>131516</v>
      </c>
      <c r="V49" s="12" t="n">
        <v>164752</v>
      </c>
      <c r="W49" s="12" t="n">
        <v>184664</v>
      </c>
      <c r="X49" s="12" t="n">
        <v>273324</v>
      </c>
      <c r="Y49" s="11">
        <f>IF(OR(Y46=""),"",IFERROR(Y46-Y47,""))</f>
        <v/>
      </c>
      <c r="Z49" s="12">
        <f>IF(OR(Z46=""),"",IFERROR(Z46-Z47,""))</f>
        <v/>
      </c>
      <c r="AA49" s="12">
        <f>IF(OR(AA46=""),"",IFERROR(AA46-AA47,""))</f>
        <v/>
      </c>
      <c r="AB49" s="12">
        <f>IF(OR(AB46=""),"",IFERROR(AB46-AB47,""))</f>
        <v/>
      </c>
      <c r="AC49" s="12">
        <f>IF(OR(AC46=""),"",IFERROR(AC46-AC47,""))</f>
        <v/>
      </c>
    </row>
    <row r="50">
      <c r="A50" s="9" t="inlineStr">
        <is>
          <t>지배주주 순이익</t>
        </is>
      </c>
      <c r="B50" s="10" t="n"/>
      <c r="C50" s="11" t="n">
        <v>20302</v>
      </c>
      <c r="D50" s="12" t="n">
        <v>21126</v>
      </c>
      <c r="E50" s="12" t="n">
        <v>115481</v>
      </c>
      <c r="F50" s="12" t="n">
        <v>-5836</v>
      </c>
      <c r="G50" s="12" t="n">
        <v>19296</v>
      </c>
      <c r="H50" s="12" t="n">
        <v>58094</v>
      </c>
      <c r="I50" s="12" t="n">
        <v>103629</v>
      </c>
      <c r="J50" s="12" t="n">
        <v>19310</v>
      </c>
      <c r="K50" s="12" t="n">
        <v>53520</v>
      </c>
      <c r="L50" s="12" t="n">
        <v>69448</v>
      </c>
      <c r="M50" s="12" t="n">
        <v>127950</v>
      </c>
      <c r="N50" s="12" t="n">
        <v>49698</v>
      </c>
      <c r="O50" s="11" t="n"/>
      <c r="P50" s="12" t="n">
        <v>45870</v>
      </c>
      <c r="Q50" s="12" t="n">
        <v>39675</v>
      </c>
      <c r="R50" s="12" t="n">
        <v>99967</v>
      </c>
      <c r="S50" s="12" t="n">
        <v>149606</v>
      </c>
      <c r="T50" s="12" t="n">
        <v>141277</v>
      </c>
      <c r="U50" s="12" t="n">
        <v>114500</v>
      </c>
      <c r="V50" s="12" t="n">
        <v>149521</v>
      </c>
      <c r="W50" s="12" t="n">
        <v>175183</v>
      </c>
      <c r="X50" s="12" t="n">
        <v>270228</v>
      </c>
      <c r="Y50" s="11">
        <f>IF(OR(Y49="",Y51=""),"",IFERROR(Y49*Y51,""))</f>
        <v/>
      </c>
      <c r="Z50" s="12">
        <f>IF(OR(Z49="",Z51=""),"",IFERROR(Z49*Z51,""))</f>
        <v/>
      </c>
      <c r="AA50" s="12">
        <f>IF(OR(AA49="",AA51=""),"",IFERROR(AA49*AA51,""))</f>
        <v/>
      </c>
      <c r="AB50" s="12">
        <f>IF(OR(AB49="",AB51=""),"",IFERROR(AB49*AB51,""))</f>
        <v/>
      </c>
      <c r="AC50" s="12">
        <f>IF(OR(AC49="",AC51=""),"",IFERROR(AC49*AC51,""))</f>
        <v/>
      </c>
    </row>
    <row r="51">
      <c r="A51" s="13" t="inlineStr">
        <is>
          <t>지배주주 순이익률</t>
        </is>
      </c>
      <c r="B51" s="10" t="inlineStr">
        <is>
          <t>MW 기본 100%</t>
        </is>
      </c>
      <c r="C51" s="14">
        <f>IF(OR(C50="",C49=""),"",IFERROR(C50/C49,""))</f>
        <v/>
      </c>
      <c r="D51" s="15">
        <f>IF(OR(D50="",D49=""),"",IFERROR(D50/D49,""))</f>
        <v/>
      </c>
      <c r="E51" s="15">
        <f>IF(OR(E50="",E49=""),"",IFERROR(E50/E49,""))</f>
        <v/>
      </c>
      <c r="F51" s="15">
        <f>IF(OR(F50="",F49=""),"",IFERROR(F50/F49,""))</f>
        <v/>
      </c>
      <c r="G51" s="15">
        <f>IF(OR(G50="",G49=""),"",IFERROR(G50/G49,""))</f>
        <v/>
      </c>
      <c r="H51" s="15">
        <f>IF(OR(H50="",H49=""),"",IFERROR(H50/H49,""))</f>
        <v/>
      </c>
      <c r="I51" s="15">
        <f>IF(OR(I50="",I49=""),"",IFERROR(I50/I49,""))</f>
        <v/>
      </c>
      <c r="J51" s="15">
        <f>IF(OR(J50="",J49=""),"",IFERROR(J50/J49,""))</f>
        <v/>
      </c>
      <c r="K51" s="15">
        <f>IF(OR(K50="",K49=""),"",IFERROR(K50/K49,""))</f>
        <v/>
      </c>
      <c r="L51" s="15">
        <f>IF(OR(L50="",L49=""),"",IFERROR(L50/L49,""))</f>
        <v/>
      </c>
      <c r="M51" s="15">
        <f>IF(OR(M50="",M49=""),"",IFERROR(M50/M49,""))</f>
        <v/>
      </c>
      <c r="N51" s="15">
        <f>IF(OR(N50="",N49=""),"",IFERROR(N50/N49,""))</f>
        <v/>
      </c>
      <c r="O51" s="14">
        <f>IF(OR(O50="",O49=""),"",IFERROR(O50/O49,""))</f>
        <v/>
      </c>
      <c r="P51" s="15">
        <f>IF(OR(P50="",P49=""),"",IFERROR(P50/P49,""))</f>
        <v/>
      </c>
      <c r="Q51" s="15">
        <f>IF(OR(Q50="",Q49=""),"",IFERROR(Q50/Q49,""))</f>
        <v/>
      </c>
      <c r="R51" s="15">
        <f>IF(OR(R50="",R49=""),"",IFERROR(R50/R49,""))</f>
        <v/>
      </c>
      <c r="S51" s="15">
        <f>IF(OR(S50="",S49=""),"",IFERROR(S50/S49,""))</f>
        <v/>
      </c>
      <c r="T51" s="15">
        <f>IF(OR(T50="",T49=""),"",IFERROR(T50/T49,""))</f>
        <v/>
      </c>
      <c r="U51" s="15">
        <f>IF(OR(U50="",U49=""),"",IFERROR(U50/U49,""))</f>
        <v/>
      </c>
      <c r="V51" s="15">
        <f>IF(OR(V50="",V49=""),"",IFERROR(V50/V49,""))</f>
        <v/>
      </c>
      <c r="W51" s="15">
        <f>IF(OR(W50="",W49=""),"",IFERROR(W50/W49,""))</f>
        <v/>
      </c>
      <c r="X51" s="15">
        <f>IF(OR(X50="",X49=""),"",IFERROR(X50/X49,""))</f>
        <v/>
      </c>
      <c r="Y51" s="25" t="n">
        <v>1</v>
      </c>
      <c r="Z51" s="26" t="n">
        <v>1</v>
      </c>
      <c r="AA51" s="26" t="n">
        <v>1</v>
      </c>
      <c r="AB51" s="26" t="n">
        <v>1</v>
      </c>
      <c r="AC51" s="26" t="n">
        <v>1</v>
      </c>
    </row>
    <row r="52">
      <c r="A52" s="16" t="inlineStr">
        <is>
          <t>목표주가 산출</t>
        </is>
      </c>
      <c r="B52" s="16" t="n"/>
      <c r="C52" s="17" t="n"/>
      <c r="D52" s="16" t="n"/>
      <c r="E52" s="16" t="n"/>
      <c r="F52" s="16" t="n"/>
      <c r="G52" s="16" t="n"/>
      <c r="H52" s="16" t="n"/>
      <c r="I52" s="16" t="n"/>
      <c r="J52" s="16" t="n"/>
      <c r="K52" s="16" t="n"/>
      <c r="L52" s="16" t="n"/>
      <c r="M52" s="16" t="n"/>
      <c r="N52" s="16" t="n"/>
      <c r="O52" s="17" t="n"/>
      <c r="P52" s="16" t="n"/>
      <c r="Q52" s="16" t="n"/>
      <c r="R52" s="16" t="n"/>
      <c r="S52" s="16" t="n"/>
      <c r="T52" s="16" t="n"/>
      <c r="U52" s="16" t="n"/>
      <c r="V52" s="16" t="n"/>
      <c r="W52" s="16" t="n"/>
      <c r="X52" s="16" t="n"/>
      <c r="Y52" s="17" t="n"/>
      <c r="Z52" s="16" t="n"/>
      <c r="AA52" s="16" t="n"/>
      <c r="AB52" s="16" t="n"/>
      <c r="AC52" s="16" t="n"/>
    </row>
    <row r="53">
      <c r="A53" s="18" t="inlineStr">
        <is>
          <t>현재 주가 (2026.10.26)</t>
        </is>
      </c>
      <c r="B53" s="27" t="n">
        <v>5381</v>
      </c>
      <c r="C53" s="28" t="n"/>
      <c r="D53" s="29" t="n"/>
      <c r="E53" s="29" t="n"/>
      <c r="F53" s="29" t="n"/>
      <c r="G53" s="29" t="n"/>
      <c r="H53" s="29" t="n"/>
      <c r="I53" s="29" t="n"/>
      <c r="J53" s="29" t="n"/>
      <c r="K53" s="29" t="n"/>
      <c r="L53" s="29" t="n"/>
      <c r="M53" s="29" t="n"/>
      <c r="N53" s="29" t="n"/>
      <c r="O53" s="28" t="n"/>
      <c r="P53" s="29" t="n"/>
      <c r="Q53" s="29" t="n"/>
      <c r="R53" s="29" t="n"/>
      <c r="S53" s="29" t="n"/>
      <c r="T53" s="29" t="n"/>
      <c r="U53" s="29" t="n"/>
      <c r="V53" s="29" t="n"/>
      <c r="W53" s="29" t="n"/>
      <c r="X53" s="29" t="n"/>
      <c r="Y53" s="28" t="n"/>
      <c r="Z53" s="29" t="n"/>
      <c r="AA53" s="29" t="n"/>
      <c r="AB53" s="29" t="n"/>
      <c r="AC53" s="29" t="n"/>
    </row>
    <row r="54">
      <c r="A54" s="18" t="inlineStr">
        <is>
          <t>발행주식수 (보통주)</t>
        </is>
      </c>
      <c r="B54" s="27" t="n">
        <v>1364249315</v>
      </c>
      <c r="C54" s="28" t="n"/>
      <c r="D54" s="29" t="n"/>
      <c r="E54" s="29" t="n"/>
      <c r="F54" s="29" t="n"/>
      <c r="G54" s="29" t="n"/>
      <c r="H54" s="29" t="n"/>
      <c r="I54" s="29" t="n"/>
      <c r="J54" s="29" t="n"/>
      <c r="K54" s="29" t="n"/>
      <c r="L54" s="29" t="n"/>
      <c r="M54" s="29" t="n"/>
      <c r="N54" s="29" t="n"/>
      <c r="O54" s="28" t="n"/>
      <c r="P54" s="29" t="n"/>
      <c r="Q54" s="29" t="n"/>
      <c r="R54" s="29" t="n"/>
      <c r="S54" s="29" t="n"/>
      <c r="T54" s="29" t="n"/>
      <c r="U54" s="29" t="n"/>
      <c r="V54" s="29" t="n"/>
      <c r="W54" s="29" t="n"/>
      <c r="X54" s="29" t="n"/>
      <c r="Y54" s="28" t="n"/>
      <c r="Z54" s="29" t="n"/>
      <c r="AA54" s="29" t="n"/>
      <c r="AB54" s="29" t="n"/>
      <c r="AC54" s="29" t="n"/>
    </row>
    <row r="55">
      <c r="A55" s="18" t="inlineStr">
        <is>
          <t>시가총액 (백만엔)</t>
        </is>
      </c>
      <c r="B55" s="12">
        <f>IF(OR(B53="",B54=""),"",B53*B54/1000000.0)</f>
        <v/>
      </c>
      <c r="C55" s="19" t="n"/>
      <c r="D55" s="20" t="n"/>
      <c r="E55" s="20" t="n"/>
      <c r="F55" s="20" t="n"/>
      <c r="G55" s="20" t="n"/>
      <c r="H55" s="20" t="n"/>
      <c r="I55" s="20" t="n"/>
      <c r="J55" s="20" t="n"/>
      <c r="K55" s="20" t="n"/>
      <c r="L55" s="20" t="n"/>
      <c r="M55" s="20" t="n"/>
      <c r="N55" s="20" t="n"/>
      <c r="O55" s="19" t="n"/>
      <c r="P55" s="20" t="n"/>
      <c r="Q55" s="20" t="n"/>
      <c r="R55" s="20" t="n"/>
      <c r="S55" s="20" t="n"/>
      <c r="T55" s="20" t="n"/>
      <c r="U55" s="20" t="n"/>
      <c r="V55" s="20" t="n"/>
      <c r="W55" s="20" t="n"/>
      <c r="X55" s="20" t="n"/>
      <c r="Y55" s="19" t="n"/>
      <c r="Z55" s="20" t="n"/>
      <c r="AA55" s="20" t="n"/>
      <c r="AB55" s="20" t="n"/>
      <c r="AC55" s="20" t="n"/>
    </row>
    <row r="56">
      <c r="A56" s="13" t="inlineStr">
        <is>
          <t>OPM</t>
        </is>
      </c>
      <c r="B56" s="10" t="n"/>
      <c r="C56" s="14" t="n"/>
      <c r="D56" s="15" t="n"/>
      <c r="E56" s="15" t="n"/>
      <c r="F56" s="15" t="n"/>
      <c r="G56" s="15" t="n"/>
      <c r="H56" s="15" t="n"/>
      <c r="I56" s="15" t="n"/>
      <c r="J56" s="15" t="n"/>
      <c r="K56" s="15" t="n"/>
      <c r="L56" s="15" t="n"/>
      <c r="M56" s="15" t="n"/>
      <c r="N56" s="15" t="n"/>
      <c r="O56" s="14">
        <f>IF(O23="","",O23)</f>
        <v/>
      </c>
      <c r="P56" s="15">
        <f>IF(P23="","",P23)</f>
        <v/>
      </c>
      <c r="Q56" s="15">
        <f>IF(Q23="","",Q23)</f>
        <v/>
      </c>
      <c r="R56" s="15">
        <f>IF(R23="","",R23)</f>
        <v/>
      </c>
      <c r="S56" s="15">
        <f>IF(S23="","",S23)</f>
        <v/>
      </c>
      <c r="T56" s="15">
        <f>IF(T23="","",T23)</f>
        <v/>
      </c>
      <c r="U56" s="15">
        <f>IF(U23="","",U23)</f>
        <v/>
      </c>
      <c r="V56" s="15">
        <f>IF(V23="","",V23)</f>
        <v/>
      </c>
      <c r="W56" s="15">
        <f>IF(W23="","",W23)</f>
        <v/>
      </c>
      <c r="X56" s="15">
        <f>IF(X23="","",X23)</f>
        <v/>
      </c>
      <c r="Y56" s="14">
        <f>IF(Y23="","",Y23)</f>
        <v/>
      </c>
      <c r="Z56" s="15">
        <f>IF(Z23="","",Z23)</f>
        <v/>
      </c>
      <c r="AA56" s="15">
        <f>IF(AA23="","",AA23)</f>
        <v/>
      </c>
      <c r="AB56" s="15">
        <f>IF(AB23="","",AB23)</f>
        <v/>
      </c>
      <c r="AC56" s="15">
        <f>IF(AC23="","",AC23)</f>
        <v/>
      </c>
    </row>
    <row r="57">
      <c r="A57" s="13" t="inlineStr">
        <is>
          <t>지배주주 순이익 증가율</t>
        </is>
      </c>
      <c r="B57" s="10" t="n"/>
      <c r="C57" s="14" t="n"/>
      <c r="D57" s="15" t="n"/>
      <c r="E57" s="15" t="n"/>
      <c r="F57" s="15" t="n"/>
      <c r="G57" s="15" t="n"/>
      <c r="H57" s="15" t="n"/>
      <c r="I57" s="15" t="n"/>
      <c r="J57" s="15" t="n"/>
      <c r="K57" s="15" t="n"/>
      <c r="L57" s="15" t="n"/>
      <c r="M57" s="15" t="n"/>
      <c r="N57" s="15" t="n"/>
      <c r="O57" s="14" t="n"/>
      <c r="P57" s="15">
        <f>IF(OR(P50="",O50=""),"",IFERROR(P50/O50-1,""))</f>
        <v/>
      </c>
      <c r="Q57" s="15">
        <f>IF(OR(Q50="",P50=""),"",IFERROR(Q50/P50-1,""))</f>
        <v/>
      </c>
      <c r="R57" s="15">
        <f>IF(OR(R50="",Q50=""),"",IFERROR(R50/Q50-1,""))</f>
        <v/>
      </c>
      <c r="S57" s="15">
        <f>IF(OR(S50="",R50=""),"",IFERROR(S50/R50-1,""))</f>
        <v/>
      </c>
      <c r="T57" s="15">
        <f>IF(OR(T50="",S50=""),"",IFERROR(T50/S50-1,""))</f>
        <v/>
      </c>
      <c r="U57" s="15">
        <f>IF(OR(U50="",T50=""),"",IFERROR(U50/T50-1,""))</f>
        <v/>
      </c>
      <c r="V57" s="15">
        <f>IF(OR(V50="",U50=""),"",IFERROR(V50/U50-1,""))</f>
        <v/>
      </c>
      <c r="W57" s="15">
        <f>IF(OR(W50="",V50=""),"",IFERROR(W50/V50-1,""))</f>
        <v/>
      </c>
      <c r="X57" s="15">
        <f>IF(OR(X50="",W50=""),"",IFERROR(X50/W50-1,""))</f>
        <v/>
      </c>
      <c r="Y57" s="14">
        <f>IF(OR(Y50="",X50=""),"",IFERROR(Y50/X50-1,""))</f>
        <v/>
      </c>
      <c r="Z57" s="15">
        <f>IF(OR(Z50="",Y50=""),"",IFERROR(Z50/Y50-1,""))</f>
        <v/>
      </c>
      <c r="AA57" s="15">
        <f>IF(OR(AA50="",Z50=""),"",IFERROR(AA50/Z50-1,""))</f>
        <v/>
      </c>
      <c r="AB57" s="15">
        <f>IF(OR(AB50="",AA50=""),"",IFERROR(AB50/AA50-1,""))</f>
        <v/>
      </c>
      <c r="AC57" s="15">
        <f>IF(OR(AC50="",AB50=""),"",IFERROR(AC50/AB50-1,""))</f>
        <v/>
      </c>
    </row>
    <row r="58">
      <c r="A58" s="18" t="inlineStr">
        <is>
          <t>P/E (현재 주가)</t>
        </is>
      </c>
      <c r="B58" s="10" t="inlineStr">
        <is>
          <t>시총 ÷ 지배순이익</t>
        </is>
      </c>
      <c r="C58" s="30" t="n"/>
      <c r="D58" s="31" t="n"/>
      <c r="E58" s="31" t="n"/>
      <c r="F58" s="31" t="n"/>
      <c r="G58" s="31" t="n"/>
      <c r="H58" s="31" t="n"/>
      <c r="I58" s="31" t="n"/>
      <c r="J58" s="31" t="n"/>
      <c r="K58" s="31" t="n"/>
      <c r="L58" s="31" t="n"/>
      <c r="M58" s="31" t="n"/>
      <c r="N58" s="31" t="n"/>
      <c r="O58" s="30" t="n"/>
      <c r="P58" s="31" t="n"/>
      <c r="Q58" s="31" t="n"/>
      <c r="R58" s="31" t="n"/>
      <c r="S58" s="31" t="n"/>
      <c r="T58" s="31" t="n"/>
      <c r="U58" s="31" t="n"/>
      <c r="V58" s="31" t="n"/>
      <c r="W58" s="31" t="n"/>
      <c r="X58" s="31">
        <f>IF(OR($B$55="",X50=""),"",IFERROR($B$55/X50,""))</f>
        <v/>
      </c>
      <c r="Y58" s="30">
        <f>IF(OR($B$55="",Y50=""),"",IFERROR($B$55/Y50,""))</f>
        <v/>
      </c>
      <c r="Z58" s="31">
        <f>IF(OR($B$55="",Z50=""),"",IFERROR($B$55/Z50,""))</f>
        <v/>
      </c>
      <c r="AA58" s="31">
        <f>IF(OR($B$55="",AA50=""),"",IFERROR($B$55/AA50,""))</f>
        <v/>
      </c>
      <c r="AB58" s="31">
        <f>IF(OR($B$55="",AB50=""),"",IFERROR($B$55/AB50,""))</f>
        <v/>
      </c>
      <c r="AC58" s="31">
        <f>IF(OR($B$55="",AC50=""),"",IFERROR($B$55/AC50,""))</f>
        <v/>
      </c>
    </row>
    <row r="59">
      <c r="A59" s="18" t="inlineStr">
        <is>
          <t>Target P/E</t>
        </is>
      </c>
      <c r="B59" s="10" t="inlineStr">
        <is>
          <t>직접 입력</t>
        </is>
      </c>
      <c r="C59" s="30" t="n"/>
      <c r="D59" s="31" t="n"/>
      <c r="E59" s="31" t="n"/>
      <c r="F59" s="31" t="n"/>
      <c r="G59" s="31" t="n"/>
      <c r="H59" s="31" t="n"/>
      <c r="I59" s="31" t="n"/>
      <c r="J59" s="31" t="n"/>
      <c r="K59" s="31" t="n"/>
      <c r="L59" s="31" t="n"/>
      <c r="M59" s="31" t="n"/>
      <c r="N59" s="31" t="n"/>
      <c r="O59" s="30" t="n"/>
      <c r="P59" s="31" t="n"/>
      <c r="Q59" s="31" t="n"/>
      <c r="R59" s="31" t="n"/>
      <c r="S59" s="31" t="n"/>
      <c r="T59" s="31" t="n"/>
      <c r="U59" s="31" t="n"/>
      <c r="V59" s="31" t="n"/>
      <c r="W59" s="31" t="n"/>
      <c r="X59" s="31" t="n"/>
      <c r="Y59" s="32" t="n"/>
      <c r="Z59" s="33" t="n"/>
      <c r="AA59" s="33" t="n"/>
      <c r="AB59" s="33" t="n"/>
      <c r="AC59" s="33" t="n"/>
    </row>
    <row r="60">
      <c r="A60" s="18" t="inlineStr">
        <is>
          <t>EPS</t>
        </is>
      </c>
      <c r="B60" s="10" t="inlineStr">
        <is>
          <t>지배순이익 ÷ 주식수</t>
        </is>
      </c>
      <c r="C60" s="28" t="n"/>
      <c r="D60" s="29" t="n"/>
      <c r="E60" s="29" t="n"/>
      <c r="F60" s="29" t="n"/>
      <c r="G60" s="29" t="n"/>
      <c r="H60" s="29" t="n"/>
      <c r="I60" s="29" t="n"/>
      <c r="J60" s="29" t="n"/>
      <c r="K60" s="29" t="n"/>
      <c r="L60" s="29" t="n"/>
      <c r="M60" s="29" t="n"/>
      <c r="N60" s="29" t="n"/>
      <c r="O60" s="28">
        <f>IF(OR(O50="",$B$54=""),"",IFERROR(O50*1000000.0/$B$54,""))</f>
        <v/>
      </c>
      <c r="P60" s="29">
        <f>IF(OR(P50="",$B$54=""),"",IFERROR(P50*1000000.0/$B$54,""))</f>
        <v/>
      </c>
      <c r="Q60" s="29">
        <f>IF(OR(Q50="",$B$54=""),"",IFERROR(Q50*1000000.0/$B$54,""))</f>
        <v/>
      </c>
      <c r="R60" s="29">
        <f>IF(OR(R50="",$B$54=""),"",IFERROR(R50*1000000.0/$B$54,""))</f>
        <v/>
      </c>
      <c r="S60" s="29">
        <f>IF(OR(S50="",$B$54=""),"",IFERROR(S50*1000000.0/$B$54,""))</f>
        <v/>
      </c>
      <c r="T60" s="29">
        <f>IF(OR(T50="",$B$54=""),"",IFERROR(T50*1000000.0/$B$54,""))</f>
        <v/>
      </c>
      <c r="U60" s="29">
        <f>IF(OR(U50="",$B$54=""),"",IFERROR(U50*1000000.0/$B$54,""))</f>
        <v/>
      </c>
      <c r="V60" s="29">
        <f>IF(OR(V50="",$B$54=""),"",IFERROR(V50*1000000.0/$B$54,""))</f>
        <v/>
      </c>
      <c r="W60" s="29">
        <f>IF(OR(W50="",$B$54=""),"",IFERROR(W50*1000000.0/$B$54,""))</f>
        <v/>
      </c>
      <c r="X60" s="29">
        <f>IF(OR(X50="",$B$54=""),"",IFERROR(X50*1000000.0/$B$54,""))</f>
        <v/>
      </c>
      <c r="Y60" s="28">
        <f>IF(OR(Y50="",$B$54=""),"",IFERROR(Y50*1000000.0/$B$54,""))</f>
        <v/>
      </c>
      <c r="Z60" s="29">
        <f>IF(OR(Z50="",$B$54=""),"",IFERROR(Z50*1000000.0/$B$54,""))</f>
        <v/>
      </c>
      <c r="AA60" s="29">
        <f>IF(OR(AA50="",$B$54=""),"",IFERROR(AA50*1000000.0/$B$54,""))</f>
        <v/>
      </c>
      <c r="AB60" s="29">
        <f>IF(OR(AB50="",$B$54=""),"",IFERROR(AB50*1000000.0/$B$54,""))</f>
        <v/>
      </c>
      <c r="AC60" s="29">
        <f>IF(OR(AC50="",$B$54=""),"",IFERROR(AC50*1000000.0/$B$54,""))</f>
        <v/>
      </c>
    </row>
    <row r="61">
      <c r="A61" s="9" t="inlineStr">
        <is>
          <t>목표주가</t>
        </is>
      </c>
      <c r="B61" s="10" t="n"/>
      <c r="C61" s="34" t="n"/>
      <c r="D61" s="27" t="n"/>
      <c r="E61" s="27" t="n"/>
      <c r="F61" s="27" t="n"/>
      <c r="G61" s="27" t="n"/>
      <c r="H61" s="27" t="n"/>
      <c r="I61" s="27" t="n"/>
      <c r="J61" s="27" t="n"/>
      <c r="K61" s="27" t="n"/>
      <c r="L61" s="27" t="n"/>
      <c r="M61" s="27" t="n"/>
      <c r="N61" s="27" t="n"/>
      <c r="O61" s="34" t="n"/>
      <c r="P61" s="27" t="n"/>
      <c r="Q61" s="27" t="n"/>
      <c r="R61" s="27" t="n"/>
      <c r="S61" s="27" t="n"/>
      <c r="T61" s="27" t="n"/>
      <c r="U61" s="27" t="n"/>
      <c r="V61" s="27" t="n"/>
      <c r="W61" s="27" t="n"/>
      <c r="X61" s="27" t="n"/>
      <c r="Y61" s="34">
        <f>IF(OR(Y60="",Y59=""),"",IFERROR(Y60*Y59,""))</f>
        <v/>
      </c>
      <c r="Z61" s="27">
        <f>IF(OR(Z60="",Z59=""),"",IFERROR(Z60*Z59,""))</f>
        <v/>
      </c>
      <c r="AA61" s="27">
        <f>IF(OR(AA60="",AA59=""),"",IFERROR(AA60*AA59,""))</f>
        <v/>
      </c>
      <c r="AB61" s="27">
        <f>IF(OR(AB60="",AB59=""),"",IFERROR(AB60*AB59,""))</f>
        <v/>
      </c>
      <c r="AC61" s="27">
        <f>IF(OR(AC60="",AC59=""),"",IFERROR(AC60*AC59,""))</f>
        <v/>
      </c>
    </row>
    <row r="62">
      <c r="A62" s="18" t="inlineStr">
        <is>
          <t>상승여력</t>
        </is>
      </c>
      <c r="B62" s="10" t="n"/>
      <c r="C62" s="35" t="n"/>
      <c r="D62" s="36" t="n"/>
      <c r="E62" s="36" t="n"/>
      <c r="F62" s="36" t="n"/>
      <c r="G62" s="36" t="n"/>
      <c r="H62" s="36" t="n"/>
      <c r="I62" s="36" t="n"/>
      <c r="J62" s="36" t="n"/>
      <c r="K62" s="36" t="n"/>
      <c r="L62" s="36" t="n"/>
      <c r="M62" s="36" t="n"/>
      <c r="N62" s="36" t="n"/>
      <c r="O62" s="35" t="n"/>
      <c r="P62" s="36" t="n"/>
      <c r="Q62" s="36" t="n"/>
      <c r="R62" s="36" t="n"/>
      <c r="S62" s="36" t="n"/>
      <c r="T62" s="36" t="n"/>
      <c r="U62" s="36" t="n"/>
      <c r="V62" s="36" t="n"/>
      <c r="W62" s="36" t="n"/>
      <c r="X62" s="36" t="n"/>
      <c r="Y62" s="37">
        <f>IF(OR(Y61="",$B$53=""),"",IFERROR(Y61/$B$53-1,""))</f>
        <v/>
      </c>
      <c r="Z62" s="38">
        <f>IF(OR(Z61="",$B$53=""),"",IFERROR(Z61/$B$53-1,""))</f>
        <v/>
      </c>
      <c r="AA62" s="38">
        <f>IF(OR(AA61="",$B$53=""),"",IFERROR(AA61/$B$53-1,""))</f>
        <v/>
      </c>
      <c r="AB62" s="38">
        <f>IF(OR(AB61="",$B$53=""),"",IFERROR(AB61/$B$53-1,""))</f>
        <v/>
      </c>
      <c r="AC62" s="38">
        <f>IF(OR(AC61="",$B$53=""),"",IFERROR(AC61/$B$53-1,""))</f>
        <v/>
      </c>
    </row>
    <row r="63">
      <c r="A63" s="16" t="inlineStr">
        <is>
          <t>자산가치 산출</t>
        </is>
      </c>
      <c r="B63" s="16" t="inlineStr">
        <is>
          <t>최신 분기 BS</t>
        </is>
      </c>
      <c r="C63" s="17" t="n"/>
      <c r="D63" s="16" t="n"/>
      <c r="E63" s="16" t="n"/>
      <c r="F63" s="16" t="n"/>
      <c r="G63" s="16" t="n"/>
      <c r="H63" s="16" t="n"/>
      <c r="I63" s="16" t="n"/>
      <c r="J63" s="16" t="n"/>
      <c r="K63" s="16" t="n"/>
      <c r="L63" s="16" t="n"/>
      <c r="M63" s="16" t="n"/>
      <c r="N63" s="16" t="n"/>
      <c r="O63" s="17" t="n"/>
      <c r="P63" s="16" t="n"/>
      <c r="Q63" s="16" t="n"/>
      <c r="R63" s="16" t="n"/>
      <c r="S63" s="16" t="n"/>
      <c r="T63" s="16" t="n"/>
      <c r="U63" s="16" t="n"/>
      <c r="V63" s="16" t="n"/>
      <c r="W63" s="16" t="n"/>
      <c r="X63" s="16" t="n"/>
      <c r="Y63" s="17" t="n"/>
      <c r="Z63" s="16" t="n"/>
      <c r="AA63" s="16" t="n"/>
      <c r="AB63" s="16" t="n"/>
      <c r="AC63" s="16" t="n"/>
    </row>
    <row r="64">
      <c r="A64" s="18" t="inlineStr">
        <is>
          <t>현금및현금성자산</t>
        </is>
      </c>
      <c r="B64" s="10" t="n"/>
      <c r="C64" s="19" t="n"/>
      <c r="D64" s="20" t="n"/>
      <c r="E64" s="20" t="n"/>
      <c r="F64" s="20" t="n"/>
      <c r="G64" s="20" t="n"/>
      <c r="H64" s="20" t="n"/>
      <c r="I64" s="20" t="n"/>
      <c r="J64" s="20" t="n"/>
      <c r="K64" s="20" t="n"/>
      <c r="L64" s="20" t="n"/>
      <c r="M64" s="20" t="n"/>
      <c r="N64" s="20" t="n"/>
      <c r="O64" s="19" t="n"/>
      <c r="P64" s="20" t="n"/>
      <c r="Q64" s="20" t="n"/>
      <c r="R64" s="20" t="n"/>
      <c r="S64" s="20" t="n"/>
      <c r="T64" s="20" t="n"/>
      <c r="U64" s="20" t="n"/>
      <c r="V64" s="20" t="n"/>
      <c r="W64" s="20" t="n"/>
      <c r="X64" s="20">
        <f>'재무상태표'!G6</f>
        <v/>
      </c>
      <c r="Y64" s="19">
        <f>'재무상태표'!G6</f>
        <v/>
      </c>
      <c r="Z64" s="20">
        <f>'재무상태표'!G6</f>
        <v/>
      </c>
      <c r="AA64" s="20">
        <f>'재무상태표'!G6</f>
        <v/>
      </c>
      <c r="AB64" s="20">
        <f>'재무상태표'!G6</f>
        <v/>
      </c>
      <c r="AC64" s="20">
        <f>'재무상태표'!G6</f>
        <v/>
      </c>
    </row>
    <row r="65">
      <c r="A65" s="18" t="inlineStr">
        <is>
          <t>단기금융상품</t>
        </is>
      </c>
      <c r="B65" s="10" t="n"/>
      <c r="C65" s="19" t="n"/>
      <c r="D65" s="20" t="n"/>
      <c r="E65" s="20" t="n"/>
      <c r="F65" s="20" t="n"/>
      <c r="G65" s="20" t="n"/>
      <c r="H65" s="20" t="n"/>
      <c r="I65" s="20" t="n"/>
      <c r="J65" s="20" t="n"/>
      <c r="K65" s="20" t="n"/>
      <c r="L65" s="20" t="n"/>
      <c r="M65" s="20" t="n"/>
      <c r="N65" s="20" t="n"/>
      <c r="O65" s="19" t="n"/>
      <c r="P65" s="20" t="n"/>
      <c r="Q65" s="20" t="n"/>
      <c r="R65" s="20" t="n"/>
      <c r="S65" s="20" t="n"/>
      <c r="T65" s="20" t="n"/>
      <c r="U65" s="20" t="n"/>
      <c r="V65" s="20" t="n"/>
      <c r="W65" s="20" t="n"/>
      <c r="X65" s="20">
        <f>'재무상태표'!G7</f>
        <v/>
      </c>
      <c r="Y65" s="19">
        <f>'재무상태표'!G7</f>
        <v/>
      </c>
      <c r="Z65" s="20">
        <f>'재무상태표'!G7</f>
        <v/>
      </c>
      <c r="AA65" s="20">
        <f>'재무상태표'!G7</f>
        <v/>
      </c>
      <c r="AB65" s="20">
        <f>'재무상태표'!G7</f>
        <v/>
      </c>
      <c r="AC65" s="20">
        <f>'재무상태표'!G7</f>
        <v/>
      </c>
    </row>
    <row r="66">
      <c r="A66" s="18" t="inlineStr">
        <is>
          <t>투자부동산</t>
        </is>
      </c>
      <c r="B66" s="10" t="n"/>
      <c r="C66" s="19" t="n"/>
      <c r="D66" s="20" t="n"/>
      <c r="E66" s="20" t="n"/>
      <c r="F66" s="20" t="n"/>
      <c r="G66" s="20" t="n"/>
      <c r="H66" s="20" t="n"/>
      <c r="I66" s="20" t="n"/>
      <c r="J66" s="20" t="n"/>
      <c r="K66" s="20" t="n"/>
      <c r="L66" s="20" t="n"/>
      <c r="M66" s="20" t="n"/>
      <c r="N66" s="20" t="n"/>
      <c r="O66" s="19" t="n"/>
      <c r="P66" s="20" t="n"/>
      <c r="Q66" s="20" t="n"/>
      <c r="R66" s="20" t="n"/>
      <c r="S66" s="20" t="n"/>
      <c r="T66" s="20" t="n"/>
      <c r="U66" s="20" t="n"/>
      <c r="V66" s="20" t="n"/>
      <c r="W66" s="20" t="n"/>
      <c r="X66" s="20">
        <f>'재무상태표'!G14</f>
        <v/>
      </c>
      <c r="Y66" s="19">
        <f>'재무상태표'!G14</f>
        <v/>
      </c>
      <c r="Z66" s="20">
        <f>'재무상태표'!G14</f>
        <v/>
      </c>
      <c r="AA66" s="20">
        <f>'재무상태표'!G14</f>
        <v/>
      </c>
      <c r="AB66" s="20">
        <f>'재무상태표'!G14</f>
        <v/>
      </c>
      <c r="AC66" s="20">
        <f>'재무상태표'!G14</f>
        <v/>
      </c>
    </row>
    <row r="67">
      <c r="A67" s="18" t="inlineStr">
        <is>
          <t>지배자본</t>
        </is>
      </c>
      <c r="B67" s="10" t="n"/>
      <c r="C67" s="19" t="n"/>
      <c r="D67" s="20" t="n"/>
      <c r="E67" s="20" t="n"/>
      <c r="F67" s="20" t="n"/>
      <c r="G67" s="20" t="n"/>
      <c r="H67" s="20" t="n"/>
      <c r="I67" s="20" t="n"/>
      <c r="J67" s="20" t="n"/>
      <c r="K67" s="20" t="n"/>
      <c r="L67" s="20" t="n"/>
      <c r="M67" s="20" t="n"/>
      <c r="N67" s="20" t="n"/>
      <c r="O67" s="19" t="n"/>
      <c r="P67" s="20" t="n"/>
      <c r="Q67" s="20" t="n"/>
      <c r="R67" s="20" t="n"/>
      <c r="S67" s="20" t="n"/>
      <c r="T67" s="20" t="n"/>
      <c r="U67" s="20" t="n"/>
      <c r="V67" s="20" t="n"/>
      <c r="W67" s="20" t="n"/>
      <c r="X67" s="20">
        <f>'재무상태표'!G31</f>
        <v/>
      </c>
      <c r="Y67" s="19">
        <f>'재무상태표'!G31</f>
        <v/>
      </c>
      <c r="Z67" s="20">
        <f>'재무상태표'!G31</f>
        <v/>
      </c>
      <c r="AA67" s="20">
        <f>'재무상태표'!G31</f>
        <v/>
      </c>
      <c r="AB67" s="20">
        <f>'재무상태표'!G31</f>
        <v/>
      </c>
      <c r="AC67" s="20">
        <f>'재무상태표'!G31</f>
        <v/>
      </c>
    </row>
    <row r="68">
      <c r="A68" s="18" t="inlineStr">
        <is>
          <t>부채</t>
        </is>
      </c>
      <c r="B68" s="10" t="n"/>
      <c r="C68" s="19" t="n"/>
      <c r="D68" s="20" t="n"/>
      <c r="E68" s="20" t="n"/>
      <c r="F68" s="20" t="n"/>
      <c r="G68" s="20" t="n"/>
      <c r="H68" s="20" t="n"/>
      <c r="I68" s="20" t="n"/>
      <c r="J68" s="20" t="n"/>
      <c r="K68" s="20" t="n"/>
      <c r="L68" s="20" t="n"/>
      <c r="M68" s="20" t="n"/>
      <c r="N68" s="20" t="n"/>
      <c r="O68" s="19" t="n"/>
      <c r="P68" s="20" t="n"/>
      <c r="Q68" s="20" t="n"/>
      <c r="R68" s="20" t="n"/>
      <c r="S68" s="20" t="n"/>
      <c r="T68" s="20" t="n"/>
      <c r="U68" s="20" t="n"/>
      <c r="V68" s="20" t="n"/>
      <c r="W68" s="20" t="n"/>
      <c r="X68" s="20">
        <f>'재무상태표'!G27</f>
        <v/>
      </c>
      <c r="Y68" s="19">
        <f>'재무상태표'!G27</f>
        <v/>
      </c>
      <c r="Z68" s="20">
        <f>'재무상태표'!G27</f>
        <v/>
      </c>
      <c r="AA68" s="20">
        <f>'재무상태표'!G27</f>
        <v/>
      </c>
      <c r="AB68" s="20">
        <f>'재무상태표'!G27</f>
        <v/>
      </c>
      <c r="AC68" s="20">
        <f>'재무상태표'!G27</f>
        <v/>
      </c>
    </row>
    <row r="69">
      <c r="A69" s="13" t="inlineStr">
        <is>
          <t>부채비율</t>
        </is>
      </c>
      <c r="B69" s="10" t="n"/>
      <c r="C69" s="14" t="n"/>
      <c r="D69" s="15" t="n"/>
      <c r="E69" s="15" t="n"/>
      <c r="F69" s="15" t="n"/>
      <c r="G69" s="15" t="n"/>
      <c r="H69" s="15" t="n"/>
      <c r="I69" s="15" t="n"/>
      <c r="J69" s="15" t="n"/>
      <c r="K69" s="15" t="n"/>
      <c r="L69" s="15" t="n"/>
      <c r="M69" s="15" t="n"/>
      <c r="N69" s="15" t="n"/>
      <c r="O69" s="14" t="n"/>
      <c r="P69" s="15" t="n"/>
      <c r="Q69" s="15" t="n"/>
      <c r="R69" s="15" t="n"/>
      <c r="S69" s="15" t="n"/>
      <c r="T69" s="15" t="n"/>
      <c r="U69" s="15" t="n"/>
      <c r="V69" s="15" t="n"/>
      <c r="W69" s="15" t="n"/>
      <c r="X69" s="15">
        <f>IF(OR(X68="",X67=""),"",IFERROR(X68/X67,""))</f>
        <v/>
      </c>
      <c r="Y69" s="14">
        <f>IF(OR(Y68="",Y67=""),"",IFERROR(Y68/Y67,""))</f>
        <v/>
      </c>
      <c r="Z69" s="15">
        <f>IF(OR(Z68="",Z67=""),"",IFERROR(Z68/Z67,""))</f>
        <v/>
      </c>
      <c r="AA69" s="15">
        <f>IF(OR(AA68="",AA67=""),"",IFERROR(AA68/AA67,""))</f>
        <v/>
      </c>
      <c r="AB69" s="15">
        <f>IF(OR(AB68="",AB67=""),"",IFERROR(AB68/AB67,""))</f>
        <v/>
      </c>
      <c r="AC69" s="15">
        <f>IF(OR(AC68="",AC67=""),"",IFERROR(AC68/AC67,""))</f>
        <v/>
      </c>
    </row>
    <row r="70">
      <c r="A70" s="9" t="inlineStr">
        <is>
          <t>자산가치</t>
        </is>
      </c>
      <c r="B70" s="10" t="inlineStr">
        <is>
          <t>현금+단기금융+투자부동산</t>
        </is>
      </c>
      <c r="C70" s="11" t="n"/>
      <c r="D70" s="12" t="n"/>
      <c r="E70" s="12" t="n"/>
      <c r="F70" s="12" t="n"/>
      <c r="G70" s="12" t="n"/>
      <c r="H70" s="12" t="n"/>
      <c r="I70" s="12" t="n"/>
      <c r="J70" s="12" t="n"/>
      <c r="K70" s="12" t="n"/>
      <c r="L70" s="12" t="n"/>
      <c r="M70" s="12" t="n"/>
      <c r="N70" s="12" t="n"/>
      <c r="O70" s="11" t="n"/>
      <c r="P70" s="12" t="n"/>
      <c r="Q70" s="12" t="n"/>
      <c r="R70" s="12" t="n"/>
      <c r="S70" s="12" t="n"/>
      <c r="T70" s="12" t="n"/>
      <c r="U70" s="12" t="n"/>
      <c r="V70" s="12" t="n"/>
      <c r="W70" s="12" t="n"/>
      <c r="X70" s="12">
        <f>SUM(X64,X65,X66)</f>
        <v/>
      </c>
      <c r="Y70" s="11">
        <f>SUM(Y64,Y65,Y66)</f>
        <v/>
      </c>
      <c r="Z70" s="12">
        <f>SUM(Z64,Z65,Z66)</f>
        <v/>
      </c>
      <c r="AA70" s="12">
        <f>SUM(AA64,AA65,AA66)</f>
        <v/>
      </c>
      <c r="AB70" s="12">
        <f>SUM(AB64,AB65,AB66)</f>
        <v/>
      </c>
      <c r="AC70" s="12">
        <f>SUM(AC64,AC65,AC66)</f>
        <v/>
      </c>
    </row>
    <row r="71">
      <c r="A71" s="16" t="inlineStr">
        <is>
          <t>기업가치 산출</t>
        </is>
      </c>
      <c r="B71" s="16" t="n"/>
      <c r="C71" s="17" t="n"/>
      <c r="D71" s="16" t="n"/>
      <c r="E71" s="16" t="n"/>
      <c r="F71" s="16" t="n"/>
      <c r="G71" s="16" t="n"/>
      <c r="H71" s="16" t="n"/>
      <c r="I71" s="16" t="n"/>
      <c r="J71" s="16" t="n"/>
      <c r="K71" s="16" t="n"/>
      <c r="L71" s="16" t="n"/>
      <c r="M71" s="16" t="n"/>
      <c r="N71" s="16" t="n"/>
      <c r="O71" s="17" t="n"/>
      <c r="P71" s="16" t="n"/>
      <c r="Q71" s="16" t="n"/>
      <c r="R71" s="16" t="n"/>
      <c r="S71" s="16" t="n"/>
      <c r="T71" s="16" t="n"/>
      <c r="U71" s="16" t="n"/>
      <c r="V71" s="16" t="n"/>
      <c r="W71" s="16" t="n"/>
      <c r="X71" s="16" t="n"/>
      <c r="Y71" s="17" t="n"/>
      <c r="Z71" s="16" t="n"/>
      <c r="AA71" s="16" t="n"/>
      <c r="AB71" s="16" t="n"/>
      <c r="AC71" s="16" t="n"/>
    </row>
    <row r="72">
      <c r="A72" s="18" t="inlineStr">
        <is>
          <t>목표 시가총액 (P/E)</t>
        </is>
      </c>
      <c r="B72" s="10" t="inlineStr">
        <is>
          <t>지배순이익 × Target P/E</t>
        </is>
      </c>
      <c r="C72" s="19" t="n"/>
      <c r="D72" s="20" t="n"/>
      <c r="E72" s="20" t="n"/>
      <c r="F72" s="20" t="n"/>
      <c r="G72" s="20" t="n"/>
      <c r="H72" s="20" t="n"/>
      <c r="I72" s="20" t="n"/>
      <c r="J72" s="20" t="n"/>
      <c r="K72" s="20" t="n"/>
      <c r="L72" s="20" t="n"/>
      <c r="M72" s="20" t="n"/>
      <c r="N72" s="20" t="n"/>
      <c r="O72" s="19" t="n"/>
      <c r="P72" s="20" t="n"/>
      <c r="Q72" s="20" t="n"/>
      <c r="R72" s="20" t="n"/>
      <c r="S72" s="20" t="n"/>
      <c r="T72" s="20" t="n"/>
      <c r="U72" s="20" t="n"/>
      <c r="V72" s="20" t="n"/>
      <c r="W72" s="20" t="n"/>
      <c r="X72" s="20" t="n"/>
      <c r="Y72" s="19">
        <f>IF(OR(Y50="",Y59=""),"",IFERROR(Y50*Y59,""))</f>
        <v/>
      </c>
      <c r="Z72" s="20">
        <f>IF(OR(Z50="",Z59=""),"",IFERROR(Z50*Z59,""))</f>
        <v/>
      </c>
      <c r="AA72" s="20">
        <f>IF(OR(AA50="",AA59=""),"",IFERROR(AA50*AA59,""))</f>
        <v/>
      </c>
      <c r="AB72" s="20">
        <f>IF(OR(AB50="",AB59=""),"",IFERROR(AB50*AB59,""))</f>
        <v/>
      </c>
      <c r="AC72" s="20">
        <f>IF(OR(AC50="",AC59=""),"",IFERROR(AC50*AC59,""))</f>
        <v/>
      </c>
    </row>
    <row r="73">
      <c r="A73" s="9" t="inlineStr">
        <is>
          <t>기업가치</t>
        </is>
      </c>
      <c r="B73" s="10" t="inlineStr">
        <is>
          <t>목표시총 + 자산가치</t>
        </is>
      </c>
      <c r="C73" s="11" t="n"/>
      <c r="D73" s="12" t="n"/>
      <c r="E73" s="12" t="n"/>
      <c r="F73" s="12" t="n"/>
      <c r="G73" s="12" t="n"/>
      <c r="H73" s="12" t="n"/>
      <c r="I73" s="12" t="n"/>
      <c r="J73" s="12" t="n"/>
      <c r="K73" s="12" t="n"/>
      <c r="L73" s="12" t="n"/>
      <c r="M73" s="12" t="n"/>
      <c r="N73" s="12" t="n"/>
      <c r="O73" s="11" t="n"/>
      <c r="P73" s="12" t="n"/>
      <c r="Q73" s="12" t="n"/>
      <c r="R73" s="12" t="n"/>
      <c r="S73" s="12" t="n"/>
      <c r="T73" s="12" t="n"/>
      <c r="U73" s="12" t="n"/>
      <c r="V73" s="12" t="n"/>
      <c r="W73" s="12" t="n"/>
      <c r="X73" s="12" t="n"/>
      <c r="Y73" s="11">
        <f>IF(OR(Y72=""),"",IFERROR(Y72+Y70,""))</f>
        <v/>
      </c>
      <c r="Z73" s="12">
        <f>IF(OR(Z72=""),"",IFERROR(Z72+Z70,""))</f>
        <v/>
      </c>
      <c r="AA73" s="12">
        <f>IF(OR(AA72=""),"",IFERROR(AA72+AA70,""))</f>
        <v/>
      </c>
      <c r="AB73" s="12">
        <f>IF(OR(AB72=""),"",IFERROR(AB72+AB70,""))</f>
        <v/>
      </c>
      <c r="AC73" s="12">
        <f>IF(OR(AC72=""),"",IFERROR(AC72+AC70,""))</f>
        <v/>
      </c>
    </row>
    <row r="74">
      <c r="A74" s="18" t="inlineStr">
        <is>
          <t>현재 시가총액</t>
        </is>
      </c>
      <c r="B74" s="10" t="n"/>
      <c r="C74" s="19" t="n"/>
      <c r="D74" s="20" t="n"/>
      <c r="E74" s="20" t="n"/>
      <c r="F74" s="20" t="n"/>
      <c r="G74" s="20" t="n"/>
      <c r="H74" s="20" t="n"/>
      <c r="I74" s="20" t="n"/>
      <c r="J74" s="20" t="n"/>
      <c r="K74" s="20" t="n"/>
      <c r="L74" s="20" t="n"/>
      <c r="M74" s="20" t="n"/>
      <c r="N74" s="20" t="n"/>
      <c r="O74" s="19" t="n"/>
      <c r="P74" s="20" t="n"/>
      <c r="Q74" s="20" t="n"/>
      <c r="R74" s="20" t="n"/>
      <c r="S74" s="20" t="n"/>
      <c r="T74" s="20" t="n"/>
      <c r="U74" s="20" t="n"/>
      <c r="V74" s="20" t="n"/>
      <c r="W74" s="20" t="n"/>
      <c r="X74" s="20" t="n"/>
      <c r="Y74" s="19">
        <f>$B$55</f>
        <v/>
      </c>
      <c r="Z74" s="20">
        <f>$B$55</f>
        <v/>
      </c>
      <c r="AA74" s="20">
        <f>$B$55</f>
        <v/>
      </c>
      <c r="AB74" s="20">
        <f>$B$55</f>
        <v/>
      </c>
      <c r="AC74" s="20">
        <f>$B$55</f>
        <v/>
      </c>
    </row>
    <row r="75">
      <c r="A75" s="18" t="inlineStr">
        <is>
          <t>상승여력</t>
        </is>
      </c>
      <c r="B75" s="10" t="n"/>
      <c r="C75" s="35" t="n"/>
      <c r="D75" s="36" t="n"/>
      <c r="E75" s="36" t="n"/>
      <c r="F75" s="36" t="n"/>
      <c r="G75" s="36" t="n"/>
      <c r="H75" s="36" t="n"/>
      <c r="I75" s="36" t="n"/>
      <c r="J75" s="36" t="n"/>
      <c r="K75" s="36" t="n"/>
      <c r="L75" s="36" t="n"/>
      <c r="M75" s="36" t="n"/>
      <c r="N75" s="36" t="n"/>
      <c r="O75" s="35" t="n"/>
      <c r="P75" s="36" t="n"/>
      <c r="Q75" s="36" t="n"/>
      <c r="R75" s="36" t="n"/>
      <c r="S75" s="36" t="n"/>
      <c r="T75" s="36" t="n"/>
      <c r="U75" s="36" t="n"/>
      <c r="V75" s="36" t="n"/>
      <c r="W75" s="36" t="n"/>
      <c r="X75" s="36" t="n"/>
      <c r="Y75" s="37">
        <f>IF(OR(Y73="",Y74=""),"",IFERROR(Y73/Y74-1,""))</f>
        <v/>
      </c>
      <c r="Z75" s="38">
        <f>IF(OR(Z73="",Z74=""),"",IFERROR(Z73/Z74-1,""))</f>
        <v/>
      </c>
      <c r="AA75" s="38">
        <f>IF(OR(AA73="",AA74=""),"",IFERROR(AA73/AA74-1,""))</f>
        <v/>
      </c>
      <c r="AB75" s="38">
        <f>IF(OR(AB73="",AB74=""),"",IFERROR(AB73/AB74-1,""))</f>
        <v/>
      </c>
      <c r="AC75" s="38">
        <f>IF(OR(AC73="",AC74=""),"",IFERROR(AC73/AC74-1,""))</f>
        <v/>
      </c>
    </row>
    <row r="76">
      <c r="C76" s="39" t="n"/>
      <c r="O76" s="39" t="n"/>
      <c r="Y76" s="39" t="n"/>
    </row>
    <row r="77">
      <c r="A77" s="40" t="inlineStr">
        <is>
          <t>출처</t>
        </is>
      </c>
      <c r="C77" s="39" t="n"/>
      <c r="O77" s="39" t="n"/>
      <c r="Y77" s="39" t="n"/>
    </row>
    <row r="78">
      <c r="A78" s="41" t="inlineStr">
        <is>
          <t>결산단신 XBRL(TDnet·JPX 보관소) — 쓴 문서는 '출처' 시트</t>
        </is>
      </c>
      <c r="C78" s="39" t="n"/>
      <c r="O78" s="39" t="n"/>
      <c r="Y78" s="39" t="n"/>
    </row>
    <row r="79">
      <c r="A79" s="41" t="inlineStr">
        <is>
          <t>분기 = 누계에서 앞 분기를 뺀 3개월 값</t>
        </is>
      </c>
      <c r="C79" s="39" t="n"/>
      <c r="O79" s="39" t="n"/>
      <c r="Y79" s="39" t="n"/>
    </row>
    <row r="80">
      <c r="A80" s="41" t="inlineStr">
        <is>
          <t>주가: 야후 파이낸스 일봉 2026.10.26</t>
        </is>
      </c>
      <c r="C80" s="39" t="n"/>
      <c r="O80" s="39" t="n"/>
      <c r="Y80" s="39" t="n"/>
    </row>
    <row r="82">
      <c r="A82" s="16" t="inlineStr">
        <is>
          <t>손익계산서 · 전 항목</t>
        </is>
      </c>
      <c r="B82" s="42" t="inlineStr">
        <is>
          <t>분기 = 3개월 단독</t>
        </is>
      </c>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row>
    <row r="83">
      <c r="A83" s="5" t="inlineStr">
        <is>
          <t>항목</t>
        </is>
      </c>
      <c r="B83" s="5" t="inlineStr">
        <is>
          <t>참고</t>
        </is>
      </c>
      <c r="C83" s="5" t="inlineStr">
        <is>
          <t>2024.2Q</t>
        </is>
      </c>
      <c r="D83" s="5" t="inlineStr">
        <is>
          <t>2024.3Q</t>
        </is>
      </c>
      <c r="E83" s="5" t="inlineStr">
        <is>
          <t>2024.4Q</t>
        </is>
      </c>
      <c r="F83" s="5" t="inlineStr">
        <is>
          <t>2025.1Q</t>
        </is>
      </c>
      <c r="G83" s="5" t="inlineStr">
        <is>
          <t>2025.2Q</t>
        </is>
      </c>
      <c r="H83" s="5" t="inlineStr">
        <is>
          <t>2025.3Q</t>
        </is>
      </c>
      <c r="I83" s="5" t="inlineStr">
        <is>
          <t>2025.4Q</t>
        </is>
      </c>
      <c r="J83" s="5" t="inlineStr">
        <is>
          <t>2026.1Q</t>
        </is>
      </c>
      <c r="K83" s="5" t="inlineStr">
        <is>
          <t>2026.2Q</t>
        </is>
      </c>
      <c r="L83" s="5" t="inlineStr">
        <is>
          <t>2026.3Q</t>
        </is>
      </c>
      <c r="M83" s="5" t="inlineStr">
        <is>
          <t>2026.4Q</t>
        </is>
      </c>
      <c r="N83" s="5" t="inlineStr">
        <is>
          <t>2027.1Q</t>
        </is>
      </c>
      <c r="O83" s="5" t="inlineStr">
        <is>
          <t>2017</t>
        </is>
      </c>
      <c r="P83" s="5" t="inlineStr">
        <is>
          <t>2018</t>
        </is>
      </c>
      <c r="Q83" s="5" t="inlineStr">
        <is>
          <t>2019</t>
        </is>
      </c>
      <c r="R83" s="5" t="inlineStr">
        <is>
          <t>2020</t>
        </is>
      </c>
      <c r="S83" s="5" t="inlineStr">
        <is>
          <t>2021</t>
        </is>
      </c>
      <c r="T83" s="5" t="inlineStr">
        <is>
          <t>2022</t>
        </is>
      </c>
      <c r="U83" s="5" t="inlineStr">
        <is>
          <t>2023</t>
        </is>
      </c>
      <c r="V83" s="5" t="inlineStr">
        <is>
          <t>2024</t>
        </is>
      </c>
      <c r="W83" s="5" t="inlineStr">
        <is>
          <t>2025</t>
        </is>
      </c>
      <c r="X83" s="5" t="inlineStr">
        <is>
          <t>2026</t>
        </is>
      </c>
      <c r="Y83" s="5" t="inlineStr">
        <is>
          <t>2027(MW)</t>
        </is>
      </c>
      <c r="Z83" s="5" t="inlineStr">
        <is>
          <t>2028(MW)</t>
        </is>
      </c>
      <c r="AA83" s="5" t="inlineStr">
        <is>
          <t>2029(MW)</t>
        </is>
      </c>
      <c r="AB83" s="5" t="inlineStr">
        <is>
          <t>2030(MW)</t>
        </is>
      </c>
      <c r="AC83" s="5" t="inlineStr">
        <is>
          <t>2031(MW)</t>
        </is>
      </c>
    </row>
    <row r="84">
      <c r="A84" s="9" t="inlineStr">
        <is>
          <t>매출수익</t>
        </is>
      </c>
      <c r="C84" s="12" t="n">
        <v>842259</v>
      </c>
      <c r="D84" s="12" t="n">
        <v>844475</v>
      </c>
      <c r="E84" s="12" t="n">
        <v>1083986</v>
      </c>
      <c r="F84" s="12" t="n">
        <v>690296</v>
      </c>
      <c r="G84" s="12" t="n">
        <v>796380</v>
      </c>
      <c r="H84" s="12" t="n">
        <v>835133</v>
      </c>
      <c r="I84" s="12" t="n">
        <v>1101622</v>
      </c>
      <c r="J84" s="12" t="n">
        <v>715658</v>
      </c>
      <c r="K84" s="12" t="n">
        <v>854121</v>
      </c>
      <c r="L84" s="12" t="n">
        <v>852538</v>
      </c>
      <c r="M84" s="12" t="n">
        <v>1160416</v>
      </c>
      <c r="N84" s="12" t="n">
        <v>819774</v>
      </c>
      <c r="T84" s="12" t="n">
        <v>917739</v>
      </c>
      <c r="U84" s="12" t="n">
        <v>1043759</v>
      </c>
      <c r="V84" s="12" t="n">
        <v>1083986</v>
      </c>
      <c r="W84" s="12" t="n">
        <v>1101622</v>
      </c>
      <c r="X84" s="12" t="n">
        <v>1160416</v>
      </c>
    </row>
    <row r="85">
      <c r="A85" s="43" t="inlineStr">
        <is>
          <t>YoY</t>
        </is>
      </c>
      <c r="B85" s="3" t="inlineStr">
        <is>
          <t>전년 같은 분기·전년 대비</t>
        </is>
      </c>
      <c r="G85" s="15">
        <f>IF(OR(G84="",C84=""),"",IF(C84&lt;=0,"",IFERROR(G84/C84-1,"")))</f>
        <v/>
      </c>
      <c r="H85" s="15">
        <f>IF(OR(H84="",D84=""),"",IF(D84&lt;=0,"",IFERROR(H84/D84-1,"")))</f>
        <v/>
      </c>
      <c r="I85" s="15">
        <f>IF(OR(I84="",E84=""),"",IF(E84&lt;=0,"",IFERROR(I84/E84-1,"")))</f>
        <v/>
      </c>
      <c r="J85" s="15">
        <f>IF(OR(J84="",F84=""),"",IF(F84&lt;=0,"",IFERROR(J84/F84-1,"")))</f>
        <v/>
      </c>
      <c r="K85" s="15">
        <f>IF(OR(K84="",G84=""),"",IF(G84&lt;=0,"",IFERROR(K84/G84-1,"")))</f>
        <v/>
      </c>
      <c r="L85" s="15">
        <f>IF(OR(L84="",H84=""),"",IF(H84&lt;=0,"",IFERROR(L84/H84-1,"")))</f>
        <v/>
      </c>
      <c r="M85" s="15">
        <f>IF(OR(M84="",I84=""),"",IF(I84&lt;=0,"",IFERROR(M84/I84-1,"")))</f>
        <v/>
      </c>
      <c r="N85" s="15">
        <f>IF(OR(N84="",J84=""),"",IF(J84&lt;=0,"",IFERROR(N84/J84-1,"")))</f>
        <v/>
      </c>
      <c r="T85" s="15">
        <f>IF(OR(T84="",S84=""),"",IF(S84&lt;=0,"",IFERROR(T84/S84-1,"")))</f>
        <v/>
      </c>
      <c r="U85" s="15">
        <f>IF(OR(U84="",T84=""),"",IF(T84&lt;=0,"",IFERROR(U84/T84-1,"")))</f>
        <v/>
      </c>
      <c r="V85" s="15">
        <f>IF(OR(V84="",U84=""),"",IF(U84&lt;=0,"",IFERROR(V84/U84-1,"")))</f>
        <v/>
      </c>
      <c r="W85" s="15">
        <f>IF(OR(W84="",V84=""),"",IF(V84&lt;=0,"",IFERROR(W84/V84-1,"")))</f>
        <v/>
      </c>
      <c r="X85" s="15">
        <f>IF(OR(X84="",W84=""),"",IF(W84&lt;=0,"",IFERROR(X84/W84-1,"")))</f>
        <v/>
      </c>
    </row>
    <row r="86">
      <c r="A86" s="18" t="inlineStr">
        <is>
          <t>매출원가</t>
        </is>
      </c>
      <c r="C86" s="20" t="n">
        <v>605741</v>
      </c>
      <c r="D86" s="20" t="n">
        <v>597495</v>
      </c>
      <c r="E86" s="20" t="n">
        <v>748981</v>
      </c>
      <c r="F86" s="20" t="n">
        <v>500126</v>
      </c>
      <c r="G86" s="20" t="n">
        <v>563126</v>
      </c>
      <c r="H86" s="20" t="n">
        <v>556674</v>
      </c>
      <c r="I86" s="20" t="n">
        <v>742949</v>
      </c>
      <c r="J86" s="20" t="n">
        <v>499470</v>
      </c>
      <c r="K86" s="20" t="n">
        <v>581058</v>
      </c>
      <c r="L86" s="20" t="n">
        <v>579899</v>
      </c>
      <c r="M86" s="20" t="n">
        <v>741010</v>
      </c>
      <c r="N86" s="20" t="n">
        <v>551411</v>
      </c>
      <c r="T86" s="20" t="n">
        <v>625380</v>
      </c>
      <c r="U86" s="20" t="n">
        <v>707152</v>
      </c>
      <c r="V86" s="20" t="n">
        <v>748981</v>
      </c>
      <c r="W86" s="20" t="n">
        <v>742949</v>
      </c>
      <c r="X86" s="20" t="n">
        <v>741010</v>
      </c>
    </row>
    <row r="87">
      <c r="A87" s="9" t="inlineStr">
        <is>
          <t>매출총이익</t>
        </is>
      </c>
      <c r="C87" s="12" t="n">
        <v>236518</v>
      </c>
      <c r="D87" s="12" t="n">
        <v>246980</v>
      </c>
      <c r="E87" s="12" t="n">
        <v>335005</v>
      </c>
      <c r="F87" s="12" t="n">
        <v>190170</v>
      </c>
      <c r="G87" s="12" t="n">
        <v>233254</v>
      </c>
      <c r="H87" s="12" t="n">
        <v>278459</v>
      </c>
      <c r="I87" s="12" t="n">
        <v>358673</v>
      </c>
      <c r="J87" s="12" t="n">
        <v>216188</v>
      </c>
      <c r="K87" s="12" t="n">
        <v>273063</v>
      </c>
      <c r="L87" s="12" t="n">
        <v>272639</v>
      </c>
      <c r="M87" s="12" t="n">
        <v>419406</v>
      </c>
      <c r="N87" s="12" t="n">
        <v>268363</v>
      </c>
      <c r="T87" s="12" t="n">
        <v>292359</v>
      </c>
      <c r="U87" s="12" t="n">
        <v>336607</v>
      </c>
      <c r="V87" s="12" t="n">
        <v>335005</v>
      </c>
      <c r="W87" s="12" t="n">
        <v>358673</v>
      </c>
      <c r="X87" s="12" t="n">
        <v>419406</v>
      </c>
    </row>
    <row r="88">
      <c r="A88" s="43" t="inlineStr">
        <is>
          <t>YoY</t>
        </is>
      </c>
      <c r="B88" s="3" t="inlineStr">
        <is>
          <t>전년 같은 분기·전년 대비</t>
        </is>
      </c>
      <c r="G88" s="15">
        <f>IF(OR(G87="",C87=""),"",IF(C87&lt;=0,"",IFERROR(G87/C87-1,"")))</f>
        <v/>
      </c>
      <c r="H88" s="15">
        <f>IF(OR(H87="",D87=""),"",IF(D87&lt;=0,"",IFERROR(H87/D87-1,"")))</f>
        <v/>
      </c>
      <c r="I88" s="15">
        <f>IF(OR(I87="",E87=""),"",IF(E87&lt;=0,"",IFERROR(I87/E87-1,"")))</f>
        <v/>
      </c>
      <c r="J88" s="15">
        <f>IF(OR(J87="",F87=""),"",IF(F87&lt;=0,"",IFERROR(J87/F87-1,"")))</f>
        <v/>
      </c>
      <c r="K88" s="15">
        <f>IF(OR(K87="",G87=""),"",IF(G87&lt;=0,"",IFERROR(K87/G87-1,"")))</f>
        <v/>
      </c>
      <c r="L88" s="15">
        <f>IF(OR(L87="",H87=""),"",IF(H87&lt;=0,"",IFERROR(L87/H87-1,"")))</f>
        <v/>
      </c>
      <c r="M88" s="15">
        <f>IF(OR(M87="",I87=""),"",IF(I87&lt;=0,"",IFERROR(M87/I87-1,"")))</f>
        <v/>
      </c>
      <c r="N88" s="15">
        <f>IF(OR(N87="",J87=""),"",IF(J87&lt;=0,"",IFERROR(N87/J87-1,"")))</f>
        <v/>
      </c>
      <c r="T88" s="15">
        <f>IF(OR(T87="",S87=""),"",IF(S87&lt;=0,"",IFERROR(T87/S87-1,"")))</f>
        <v/>
      </c>
      <c r="U88" s="15">
        <f>IF(OR(U87="",T87=""),"",IF(T87&lt;=0,"",IFERROR(U87/T87-1,"")))</f>
        <v/>
      </c>
      <c r="V88" s="15">
        <f>IF(OR(V87="",U87=""),"",IF(U87&lt;=0,"",IFERROR(V87/U87-1,"")))</f>
        <v/>
      </c>
      <c r="W88" s="15">
        <f>IF(OR(W87="",V87=""),"",IF(V87&lt;=0,"",IFERROR(W87/V87-1,"")))</f>
        <v/>
      </c>
      <c r="X88" s="15">
        <f>IF(OR(X87="",W87=""),"",IF(W87&lt;=0,"",IFERROR(X87/W87-1,"")))</f>
        <v/>
      </c>
    </row>
    <row r="89">
      <c r="A89" s="18" t="inlineStr">
        <is>
          <t>판매비와 관리비</t>
        </is>
      </c>
      <c r="C89" s="20" t="n">
        <v>200513</v>
      </c>
      <c r="D89" s="20" t="n">
        <v>201577</v>
      </c>
      <c r="E89" s="20" t="n">
        <v>216511</v>
      </c>
      <c r="F89" s="20" t="n">
        <v>184086</v>
      </c>
      <c r="G89" s="20" t="n">
        <v>193389</v>
      </c>
      <c r="H89" s="20" t="n">
        <v>189138</v>
      </c>
      <c r="I89" s="20" t="n">
        <v>210811</v>
      </c>
      <c r="J89" s="20" t="n">
        <v>183681</v>
      </c>
      <c r="K89" s="20" t="n">
        <v>191841</v>
      </c>
      <c r="L89" s="20" t="n">
        <v>199399</v>
      </c>
      <c r="M89" s="20" t="n">
        <v>230634</v>
      </c>
      <c r="N89" s="20" t="n">
        <v>208359</v>
      </c>
      <c r="T89" s="20" t="n">
        <v>209836</v>
      </c>
      <c r="U89" s="20" t="n">
        <v>215464</v>
      </c>
      <c r="V89" s="20" t="n">
        <v>216511</v>
      </c>
      <c r="W89" s="20" t="n">
        <v>210811</v>
      </c>
      <c r="X89" s="20" t="n">
        <v>230634</v>
      </c>
    </row>
    <row r="90">
      <c r="A90" s="18" t="inlineStr">
        <is>
          <t>Other Income And Expenses Net</t>
        </is>
      </c>
      <c r="C90" s="20" t="n">
        <v>115</v>
      </c>
      <c r="D90" s="20" t="n">
        <v>-3583</v>
      </c>
      <c r="E90" s="20" t="n">
        <v>-297</v>
      </c>
      <c r="F90" s="20" t="n">
        <v>-1544</v>
      </c>
      <c r="G90" s="20" t="n">
        <v>288</v>
      </c>
      <c r="H90" s="20" t="n">
        <v>-7848</v>
      </c>
      <c r="I90" s="20" t="n">
        <v>-17531</v>
      </c>
      <c r="J90" s="20" t="n">
        <v>2882</v>
      </c>
      <c r="K90" s="20" t="n">
        <v>1959</v>
      </c>
      <c r="L90" s="20" t="n">
        <v>-6649</v>
      </c>
      <c r="M90" s="20" t="n">
        <v>-14020</v>
      </c>
      <c r="N90" s="20" t="n">
        <v>-1234</v>
      </c>
      <c r="T90" s="20" t="n">
        <v>2740</v>
      </c>
      <c r="U90" s="20" t="n">
        <v>-7795</v>
      </c>
      <c r="V90" s="20" t="n">
        <v>-297</v>
      </c>
      <c r="W90" s="20" t="n">
        <v>-17531</v>
      </c>
      <c r="X90" s="20" t="n">
        <v>-14020</v>
      </c>
    </row>
    <row r="91">
      <c r="A91" s="18" t="inlineStr">
        <is>
          <t>영업이익</t>
        </is>
      </c>
      <c r="C91" s="20" t="n">
        <v>36120</v>
      </c>
      <c r="D91" s="20" t="n">
        <v>41820</v>
      </c>
      <c r="E91" s="20" t="n">
        <v>118197</v>
      </c>
      <c r="F91" s="20" t="n">
        <v>4540</v>
      </c>
      <c r="G91" s="20" t="n">
        <v>40153</v>
      </c>
      <c r="H91" s="20" t="n">
        <v>81473</v>
      </c>
      <c r="I91" s="20" t="n">
        <v>130331</v>
      </c>
      <c r="J91" s="20" t="n">
        <v>35389</v>
      </c>
      <c r="K91" s="20" t="n">
        <v>83181</v>
      </c>
      <c r="L91" s="20" t="n">
        <v>66591</v>
      </c>
      <c r="M91" s="20" t="n">
        <v>174752</v>
      </c>
      <c r="N91" s="20" t="n">
        <v>58770</v>
      </c>
      <c r="T91" s="20" t="n">
        <v>85263</v>
      </c>
      <c r="U91" s="20" t="n">
        <v>113348</v>
      </c>
      <c r="V91" s="20" t="n">
        <v>118197</v>
      </c>
      <c r="W91" s="20" t="n">
        <v>130331</v>
      </c>
      <c r="X91" s="20" t="n">
        <v>174752</v>
      </c>
    </row>
    <row r="92">
      <c r="A92" s="43" t="inlineStr">
        <is>
          <t>OPM</t>
        </is>
      </c>
      <c r="B92" s="3" t="inlineStr">
        <is>
          <t>영업이익 ÷ 매출</t>
        </is>
      </c>
      <c r="C92" s="15">
        <f>IF(OR(C91="",C84=""),"",IF(C84&lt;=0,"",IFERROR(C91/C84,"")))</f>
        <v/>
      </c>
      <c r="D92" s="15">
        <f>IF(OR(D91="",D84=""),"",IF(D84&lt;=0,"",IFERROR(D91/D84,"")))</f>
        <v/>
      </c>
      <c r="E92" s="15">
        <f>IF(OR(E91="",E84=""),"",IF(E84&lt;=0,"",IFERROR(E91/E84,"")))</f>
        <v/>
      </c>
      <c r="F92" s="15">
        <f>IF(OR(F91="",F84=""),"",IF(F84&lt;=0,"",IFERROR(F91/F84,"")))</f>
        <v/>
      </c>
      <c r="G92" s="15">
        <f>IF(OR(G91="",G84=""),"",IF(G84&lt;=0,"",IFERROR(G91/G84,"")))</f>
        <v/>
      </c>
      <c r="H92" s="15">
        <f>IF(OR(H91="",H84=""),"",IF(H84&lt;=0,"",IFERROR(H91/H84,"")))</f>
        <v/>
      </c>
      <c r="I92" s="15">
        <f>IF(OR(I91="",I84=""),"",IF(I84&lt;=0,"",IFERROR(I91/I84,"")))</f>
        <v/>
      </c>
      <c r="J92" s="15">
        <f>IF(OR(J91="",J84=""),"",IF(J84&lt;=0,"",IFERROR(J91/J84,"")))</f>
        <v/>
      </c>
      <c r="K92" s="15">
        <f>IF(OR(K91="",K84=""),"",IF(K84&lt;=0,"",IFERROR(K91/K84,"")))</f>
        <v/>
      </c>
      <c r="L92" s="15">
        <f>IF(OR(L91="",L84=""),"",IF(L84&lt;=0,"",IFERROR(L91/L84,"")))</f>
        <v/>
      </c>
      <c r="M92" s="15">
        <f>IF(OR(M91="",M84=""),"",IF(M84&lt;=0,"",IFERROR(M91/M84,"")))</f>
        <v/>
      </c>
      <c r="N92" s="15">
        <f>IF(OR(N91="",N84=""),"",IF(N84&lt;=0,"",IFERROR(N91/N84,"")))</f>
        <v/>
      </c>
      <c r="T92" s="15">
        <f>IF(OR(T91="",T84=""),"",IF(T84&lt;=0,"",IFERROR(T91/T84,"")))</f>
        <v/>
      </c>
      <c r="U92" s="15">
        <f>IF(OR(U91="",U84=""),"",IF(U84&lt;=0,"",IFERROR(U91/U84,"")))</f>
        <v/>
      </c>
      <c r="V92" s="15">
        <f>IF(OR(V91="",V84=""),"",IF(V84&lt;=0,"",IFERROR(V91/V84,"")))</f>
        <v/>
      </c>
      <c r="W92" s="15">
        <f>IF(OR(W91="",W84=""),"",IF(W84&lt;=0,"",IFERROR(W91/W84,"")))</f>
        <v/>
      </c>
      <c r="X92" s="15">
        <f>IF(OR(X91="",X84=""),"",IF(X84&lt;=0,"",IFERROR(X91/X84,"")))</f>
        <v/>
      </c>
    </row>
    <row r="93">
      <c r="A93" s="43" t="inlineStr">
        <is>
          <t>YoY</t>
        </is>
      </c>
      <c r="B93" s="3" t="inlineStr">
        <is>
          <t>전년 같은 분기·전년 대비</t>
        </is>
      </c>
      <c r="G93" s="15">
        <f>IF(OR(G91="",C91=""),"",IF(C91&lt;=0,"",IFERROR(G91/C91-1,"")))</f>
        <v/>
      </c>
      <c r="H93" s="15">
        <f>IF(OR(H91="",D91=""),"",IF(D91&lt;=0,"",IFERROR(H91/D91-1,"")))</f>
        <v/>
      </c>
      <c r="I93" s="15">
        <f>IF(OR(I91="",E91=""),"",IF(E91&lt;=0,"",IFERROR(I91/E91-1,"")))</f>
        <v/>
      </c>
      <c r="J93" s="15">
        <f>IF(OR(J91="",F91=""),"",IF(F91&lt;=0,"",IFERROR(J91/F91-1,"")))</f>
        <v/>
      </c>
      <c r="K93" s="15">
        <f>IF(OR(K91="",G91=""),"",IF(G91&lt;=0,"",IFERROR(K91/G91-1,"")))</f>
        <v/>
      </c>
      <c r="L93" s="15">
        <f>IF(OR(L91="",H91=""),"",IF(H91&lt;=0,"",IFERROR(L91/H91-1,"")))</f>
        <v/>
      </c>
      <c r="M93" s="15">
        <f>IF(OR(M91="",I91=""),"",IF(I91&lt;=0,"",IFERROR(M91/I91-1,"")))</f>
        <v/>
      </c>
      <c r="N93" s="15">
        <f>IF(OR(N91="",J91=""),"",IF(J91&lt;=0,"",IFERROR(N91/J91-1,"")))</f>
        <v/>
      </c>
      <c r="T93" s="15">
        <f>IF(OR(T91="",S91=""),"",IF(S91&lt;=0,"",IFERROR(T91/S91-1,"")))</f>
        <v/>
      </c>
      <c r="U93" s="15">
        <f>IF(OR(U91="",T91=""),"",IF(T91&lt;=0,"",IFERROR(U91/T91-1,"")))</f>
        <v/>
      </c>
      <c r="V93" s="15">
        <f>IF(OR(V91="",U91=""),"",IF(U91&lt;=0,"",IFERROR(V91/U91-1,"")))</f>
        <v/>
      </c>
      <c r="W93" s="15">
        <f>IF(OR(W91="",V91=""),"",IF(V91&lt;=0,"",IFERROR(W91/V91-1,"")))</f>
        <v/>
      </c>
      <c r="X93" s="15">
        <f>IF(OR(X91="",W91=""),"",IF(W91&lt;=0,"",IFERROR(X91/W91-1,"")))</f>
        <v/>
      </c>
    </row>
    <row r="94">
      <c r="A94" s="18" t="inlineStr">
        <is>
          <t>금융수익</t>
        </is>
      </c>
      <c r="C94" s="20" t="n">
        <v>736</v>
      </c>
      <c r="D94" s="20" t="n">
        <v>-881</v>
      </c>
      <c r="E94" s="20" t="n">
        <v>2970</v>
      </c>
      <c r="F94" s="20" t="n">
        <v>5585</v>
      </c>
      <c r="G94" s="20" t="n">
        <v>-1014</v>
      </c>
      <c r="H94" s="20" t="n">
        <v>4825</v>
      </c>
      <c r="I94" s="20" t="n">
        <v>560</v>
      </c>
      <c r="J94" s="20" t="n">
        <v>3302</v>
      </c>
      <c r="K94" s="20" t="n">
        <v>2888</v>
      </c>
      <c r="L94" s="20" t="n">
        <v>33061</v>
      </c>
      <c r="M94" s="20" t="n">
        <v>13698</v>
      </c>
      <c r="N94" s="20" t="n">
        <v>4263</v>
      </c>
      <c r="T94" s="20" t="n">
        <v>11256</v>
      </c>
      <c r="U94" s="20" t="n">
        <v>2953</v>
      </c>
      <c r="V94" s="20" t="n">
        <v>2970</v>
      </c>
      <c r="W94" s="20" t="n">
        <v>560</v>
      </c>
      <c r="X94" s="20" t="n">
        <v>13698</v>
      </c>
    </row>
    <row r="95">
      <c r="A95" s="18" t="inlineStr">
        <is>
          <t>금융비용</t>
        </is>
      </c>
      <c r="C95" s="20" t="n">
        <v>3178</v>
      </c>
      <c r="D95" s="20" t="n">
        <v>6579</v>
      </c>
      <c r="E95" s="20" t="n">
        <v>5398</v>
      </c>
      <c r="F95" s="20" t="n">
        <v>3667</v>
      </c>
      <c r="G95" s="20" t="n">
        <v>7062</v>
      </c>
      <c r="H95" s="20" t="n">
        <v>-933</v>
      </c>
      <c r="I95" s="20" t="n">
        <v>6783</v>
      </c>
      <c r="J95" s="20" t="n">
        <v>7660</v>
      </c>
      <c r="K95" s="20" t="n">
        <v>3261</v>
      </c>
      <c r="L95" s="20" t="n">
        <v>-1462</v>
      </c>
      <c r="M95" s="20" t="n">
        <v>8709</v>
      </c>
      <c r="N95" s="20" t="n">
        <v>6720</v>
      </c>
      <c r="T95" s="20" t="n">
        <v>2592</v>
      </c>
      <c r="U95" s="20" t="n">
        <v>6353</v>
      </c>
      <c r="V95" s="20" t="n">
        <v>5398</v>
      </c>
      <c r="W95" s="20" t="n">
        <v>6783</v>
      </c>
      <c r="X95" s="20" t="n">
        <v>8709</v>
      </c>
    </row>
    <row r="96">
      <c r="A96" s="18" t="inlineStr">
        <is>
          <t>지분법이익</t>
        </is>
      </c>
      <c r="C96" s="20" t="n">
        <v>762</v>
      </c>
      <c r="D96" s="20" t="n">
        <v>1817</v>
      </c>
      <c r="E96" s="20" t="n">
        <v>1088</v>
      </c>
      <c r="F96" s="20" t="n">
        <v>-9781</v>
      </c>
      <c r="G96" s="20" t="n">
        <v>-2077</v>
      </c>
      <c r="H96" s="20" t="n">
        <v>421</v>
      </c>
      <c r="I96" s="20" t="n">
        <v>1334</v>
      </c>
      <c r="J96" s="20" t="n">
        <v>1072</v>
      </c>
      <c r="K96" s="20" t="n">
        <v>523</v>
      </c>
      <c r="L96" s="20" t="n">
        <v>223</v>
      </c>
      <c r="M96" s="20" t="n">
        <v>1663</v>
      </c>
      <c r="N96" s="20" t="n">
        <v>216</v>
      </c>
      <c r="T96" s="20" t="n">
        <v>1424</v>
      </c>
      <c r="U96" s="20" t="n">
        <v>120</v>
      </c>
      <c r="V96" s="20" t="n">
        <v>1088</v>
      </c>
      <c r="W96" s="20" t="n">
        <v>1334</v>
      </c>
      <c r="X96" s="20" t="n">
        <v>1663</v>
      </c>
    </row>
    <row r="97">
      <c r="A97" s="9" t="inlineStr">
        <is>
          <t>법인세비용차감전 중간이익</t>
        </is>
      </c>
      <c r="C97" s="12" t="n">
        <v>34440</v>
      </c>
      <c r="D97" s="12" t="n">
        <v>36177</v>
      </c>
      <c r="E97" s="12" t="n">
        <v>116857</v>
      </c>
      <c r="F97" s="12" t="n">
        <v>-3323</v>
      </c>
      <c r="G97" s="12" t="n">
        <v>30000</v>
      </c>
      <c r="H97" s="12" t="n">
        <v>87652</v>
      </c>
      <c r="I97" s="12" t="n">
        <v>125442</v>
      </c>
      <c r="J97" s="12" t="n">
        <v>32103</v>
      </c>
      <c r="K97" s="12" t="n">
        <v>83331</v>
      </c>
      <c r="L97" s="12" t="n">
        <v>101337</v>
      </c>
      <c r="M97" s="12" t="n">
        <v>181404</v>
      </c>
      <c r="N97" s="12" t="n">
        <v>56529</v>
      </c>
      <c r="T97" s="12" t="n">
        <v>95351</v>
      </c>
      <c r="U97" s="12" t="n">
        <v>110068</v>
      </c>
      <c r="V97" s="12" t="n">
        <v>116857</v>
      </c>
      <c r="W97" s="12" t="n">
        <v>125442</v>
      </c>
      <c r="X97" s="12" t="n">
        <v>181404</v>
      </c>
    </row>
    <row r="98">
      <c r="A98" s="18" t="inlineStr">
        <is>
          <t>Income Tax Expense</t>
        </is>
      </c>
      <c r="C98" s="20" t="n">
        <v>9819</v>
      </c>
      <c r="D98" s="20" t="n">
        <v>11226</v>
      </c>
      <c r="E98" s="20" t="n">
        <v>-5153</v>
      </c>
      <c r="F98" s="20" t="n">
        <v>2716</v>
      </c>
      <c r="G98" s="20" t="n">
        <v>9113</v>
      </c>
      <c r="H98" s="20" t="n">
        <v>26371</v>
      </c>
      <c r="I98" s="20" t="n">
        <v>16907</v>
      </c>
      <c r="J98" s="20" t="n">
        <v>12647</v>
      </c>
      <c r="K98" s="20" t="n">
        <v>29173</v>
      </c>
      <c r="L98" s="20" t="n">
        <v>30936</v>
      </c>
      <c r="M98" s="20" t="n">
        <v>52095</v>
      </c>
      <c r="N98" s="20" t="n">
        <v>6552</v>
      </c>
      <c r="T98" s="20" t="n">
        <v>-27883</v>
      </c>
      <c r="U98" s="20" t="n">
        <v>15847</v>
      </c>
      <c r="V98" s="20" t="n">
        <v>-5153</v>
      </c>
      <c r="W98" s="20" t="n">
        <v>16907</v>
      </c>
      <c r="X98" s="20" t="n">
        <v>52095</v>
      </c>
    </row>
    <row r="99">
      <c r="A99" s="9" t="inlineStr">
        <is>
          <t>중간이익</t>
        </is>
      </c>
      <c r="C99" s="12" t="n">
        <v>24621</v>
      </c>
      <c r="D99" s="12" t="n">
        <v>24951</v>
      </c>
      <c r="E99" s="12" t="n">
        <v>122010</v>
      </c>
      <c r="F99" s="12" t="n">
        <v>-6039</v>
      </c>
      <c r="G99" s="12" t="n">
        <v>20887</v>
      </c>
      <c r="H99" s="12" t="n">
        <v>61281</v>
      </c>
      <c r="I99" s="12" t="n">
        <v>108535</v>
      </c>
      <c r="J99" s="12" t="n">
        <v>19456</v>
      </c>
      <c r="K99" s="12" t="n">
        <v>54158</v>
      </c>
      <c r="L99" s="12" t="n">
        <v>70401</v>
      </c>
      <c r="M99" s="12" t="n">
        <v>129309</v>
      </c>
      <c r="N99" s="12" t="n">
        <v>49977</v>
      </c>
      <c r="T99" s="12" t="n">
        <v>123234</v>
      </c>
      <c r="U99" s="12" t="n">
        <v>94221</v>
      </c>
      <c r="V99" s="12" t="n">
        <v>122010</v>
      </c>
      <c r="W99" s="12" t="n">
        <v>108535</v>
      </c>
      <c r="X99" s="12" t="n">
        <v>129309</v>
      </c>
    </row>
    <row r="100">
      <c r="A100" s="18" t="inlineStr">
        <is>
          <t>기본 주당 중간이익(엔)</t>
        </is>
      </c>
      <c r="C100" s="20" t="n">
        <v>7.622e-05</v>
      </c>
      <c r="D100" s="20" t="n">
        <v>7.930000000000002e-05</v>
      </c>
      <c r="E100" s="20" t="n">
        <v>-1.553e-05</v>
      </c>
      <c r="F100" s="20" t="n">
        <v>-4.38e-06</v>
      </c>
      <c r="G100" s="20" t="n">
        <v>1.448e-05</v>
      </c>
      <c r="H100" s="20" t="n">
        <v>4.36e-05</v>
      </c>
      <c r="I100" s="20" t="n">
        <v>7.779999999999999e-05</v>
      </c>
      <c r="J100" s="20" t="n">
        <v>1.449e-05</v>
      </c>
      <c r="K100" s="20" t="n">
        <v>4.015999999999999e-05</v>
      </c>
      <c r="L100" s="20" t="n">
        <v>5.209e-05</v>
      </c>
      <c r="M100" s="20" t="n">
        <v>9.620999999999999e-05</v>
      </c>
      <c r="N100" s="20" t="n">
        <v>3.747e-05</v>
      </c>
      <c r="T100" s="20" t="n">
        <v>0.00042703</v>
      </c>
      <c r="U100" s="20" t="n">
        <v>0.00032709</v>
      </c>
      <c r="V100" s="20" t="n">
        <v>-1.553e-05</v>
      </c>
      <c r="W100" s="20" t="n">
        <v>7.779999999999999e-05</v>
      </c>
      <c r="X100" s="20" t="n">
        <v>9.620999999999999e-05</v>
      </c>
    </row>
    <row r="101">
      <c r="A101" s="18" t="inlineStr">
        <is>
          <t>희석 주당 중간이익(엔)</t>
        </is>
      </c>
      <c r="C101" s="20" t="n">
        <v>7.622e-05</v>
      </c>
      <c r="D101" s="20" t="n">
        <v>7.928999999999999e-05</v>
      </c>
      <c r="E101" s="20" t="n">
        <v>-1.552e-05</v>
      </c>
      <c r="F101" s="20" t="n">
        <v>-4.38e-06</v>
      </c>
      <c r="G101" s="20" t="n">
        <v>1.448e-05</v>
      </c>
      <c r="H101" s="20" t="n">
        <v>4.36e-05</v>
      </c>
      <c r="I101" s="20" t="n">
        <v>7.779000000000001e-05</v>
      </c>
      <c r="J101" s="20" t="n">
        <v>1.449e-05</v>
      </c>
      <c r="K101" s="20" t="n">
        <v>4.015999999999999e-05</v>
      </c>
      <c r="L101" s="20" t="n">
        <v>5.209e-05</v>
      </c>
      <c r="M101" s="20" t="n">
        <v>9.620999999999999e-05</v>
      </c>
      <c r="N101" s="20" t="n">
        <v>3.747e-05</v>
      </c>
      <c r="T101" s="20" t="n">
        <v>0.00042703</v>
      </c>
      <c r="U101" s="20" t="n">
        <v>0.00032709</v>
      </c>
      <c r="V101" s="20" t="n">
        <v>-1.552e-05</v>
      </c>
      <c r="W101" s="20" t="n">
        <v>7.779000000000001e-05</v>
      </c>
      <c r="X101" s="20" t="n">
        <v>9.620999999999999e-05</v>
      </c>
    </row>
    <row r="102">
      <c r="A102" s="9" t="inlineStr">
        <is>
          <t>Profit Loss Attributable To Owners Of Parent</t>
        </is>
      </c>
      <c r="C102" s="12" t="n">
        <v>20302</v>
      </c>
      <c r="D102" s="12" t="n">
        <v>21126</v>
      </c>
      <c r="E102" s="12" t="n">
        <v>115481</v>
      </c>
      <c r="F102" s="12" t="n">
        <v>-5836</v>
      </c>
      <c r="G102" s="12" t="n">
        <v>19296</v>
      </c>
      <c r="H102" s="12" t="n">
        <v>58094</v>
      </c>
      <c r="I102" s="12" t="n">
        <v>103629</v>
      </c>
      <c r="J102" s="12" t="n">
        <v>19310</v>
      </c>
      <c r="K102" s="12" t="n">
        <v>53520</v>
      </c>
      <c r="L102" s="12" t="n">
        <v>69448</v>
      </c>
      <c r="M102" s="12" t="n">
        <v>127950</v>
      </c>
      <c r="N102" s="12" t="n">
        <v>49698</v>
      </c>
      <c r="T102" s="12" t="n">
        <v>116344</v>
      </c>
      <c r="U102" s="12" t="n">
        <v>88131</v>
      </c>
      <c r="V102" s="12" t="n">
        <v>115481</v>
      </c>
      <c r="W102" s="12" t="n">
        <v>103629</v>
      </c>
      <c r="X102" s="12" t="n">
        <v>127950</v>
      </c>
    </row>
    <row r="103">
      <c r="A103" s="43" t="inlineStr">
        <is>
          <t>YoY</t>
        </is>
      </c>
      <c r="B103" s="3" t="inlineStr">
        <is>
          <t>전년 같은 분기·전년 대비</t>
        </is>
      </c>
      <c r="G103" s="15">
        <f>IF(OR(G102="",C102=""),"",IF(C102&lt;=0,"",IFERROR(G102/C102-1,"")))</f>
        <v/>
      </c>
      <c r="H103" s="15">
        <f>IF(OR(H102="",D102=""),"",IF(D102&lt;=0,"",IFERROR(H102/D102-1,"")))</f>
        <v/>
      </c>
      <c r="I103" s="15">
        <f>IF(OR(I102="",E102=""),"",IF(E102&lt;=0,"",IFERROR(I102/E102-1,"")))</f>
        <v/>
      </c>
      <c r="J103" s="15">
        <f>IF(OR(J102="",F102=""),"",IF(F102&lt;=0,"",IFERROR(J102/F102-1,"")))</f>
        <v/>
      </c>
      <c r="K103" s="15">
        <f>IF(OR(K102="",G102=""),"",IF(G102&lt;=0,"",IFERROR(K102/G102-1,"")))</f>
        <v/>
      </c>
      <c r="L103" s="15">
        <f>IF(OR(L102="",H102=""),"",IF(H102&lt;=0,"",IFERROR(L102/H102-1,"")))</f>
        <v/>
      </c>
      <c r="M103" s="15">
        <f>IF(OR(M102="",I102=""),"",IF(I102&lt;=0,"",IFERROR(M102/I102-1,"")))</f>
        <v/>
      </c>
      <c r="N103" s="15">
        <f>IF(OR(N102="",J102=""),"",IF(J102&lt;=0,"",IFERROR(N102/J102-1,"")))</f>
        <v/>
      </c>
      <c r="T103" s="15">
        <f>IF(OR(T102="",S102=""),"",IF(S102&lt;=0,"",IFERROR(T102/S102-1,"")))</f>
        <v/>
      </c>
      <c r="U103" s="15">
        <f>IF(OR(U102="",T102=""),"",IF(T102&lt;=0,"",IFERROR(U102/T102-1,"")))</f>
        <v/>
      </c>
      <c r="V103" s="15">
        <f>IF(OR(V102="",U102=""),"",IF(U102&lt;=0,"",IFERROR(V102/U102-1,"")))</f>
        <v/>
      </c>
      <c r="W103" s="15">
        <f>IF(OR(W102="",V102=""),"",IF(V102&lt;=0,"",IFERROR(W102/V102-1,"")))</f>
        <v/>
      </c>
      <c r="X103" s="15">
        <f>IF(OR(X102="",W102=""),"",IF(W102&lt;=0,"",IFERROR(X102/W102-1,"")))</f>
        <v/>
      </c>
    </row>
    <row r="104">
      <c r="A104" s="9" t="inlineStr">
        <is>
          <t>비지배지분</t>
        </is>
      </c>
      <c r="C104" s="12" t="n">
        <v>4319</v>
      </c>
      <c r="D104" s="12" t="n">
        <v>3825</v>
      </c>
      <c r="E104" s="12" t="n">
        <v>6529</v>
      </c>
      <c r="F104" s="12" t="n">
        <v>-203</v>
      </c>
      <c r="G104" s="12" t="n">
        <v>1591</v>
      </c>
      <c r="H104" s="12" t="n">
        <v>3187</v>
      </c>
      <c r="I104" s="12" t="n">
        <v>4906</v>
      </c>
      <c r="J104" s="12" t="n">
        <v>146</v>
      </c>
      <c r="K104" s="12" t="n">
        <v>638</v>
      </c>
      <c r="L104" s="12" t="n">
        <v>953</v>
      </c>
      <c r="M104" s="12" t="n">
        <v>1359</v>
      </c>
      <c r="N104" s="12" t="n">
        <v>279</v>
      </c>
      <c r="T104" s="12" t="n">
        <v>6890</v>
      </c>
      <c r="U104" s="12" t="n">
        <v>6090</v>
      </c>
      <c r="V104" s="12" t="n">
        <v>6529</v>
      </c>
      <c r="W104" s="12" t="n">
        <v>4906</v>
      </c>
      <c r="X104" s="12" t="n">
        <v>1359</v>
      </c>
    </row>
    <row r="106">
      <c r="A106" s="16" t="inlineStr">
        <is>
          <t>포괄손익 · 전 항목</t>
        </is>
      </c>
      <c r="B106" s="42" t="inlineStr">
        <is>
          <t>분기 = 3개월 단독</t>
        </is>
      </c>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row>
    <row r="107">
      <c r="A107" s="5" t="inlineStr">
        <is>
          <t>항목</t>
        </is>
      </c>
      <c r="B107" s="5" t="inlineStr">
        <is>
          <t>참고</t>
        </is>
      </c>
      <c r="C107" s="5" t="inlineStr">
        <is>
          <t>2024.2Q</t>
        </is>
      </c>
      <c r="D107" s="5" t="inlineStr">
        <is>
          <t>2024.3Q</t>
        </is>
      </c>
      <c r="E107" s="5" t="inlineStr">
        <is>
          <t>2024.4Q</t>
        </is>
      </c>
      <c r="F107" s="5" t="inlineStr">
        <is>
          <t>2025.1Q</t>
        </is>
      </c>
      <c r="G107" s="5" t="inlineStr">
        <is>
          <t>2025.2Q</t>
        </is>
      </c>
      <c r="H107" s="5" t="inlineStr">
        <is>
          <t>2025.3Q</t>
        </is>
      </c>
      <c r="I107" s="5" t="inlineStr">
        <is>
          <t>2025.4Q</t>
        </is>
      </c>
      <c r="J107" s="5" t="inlineStr">
        <is>
          <t>2026.1Q</t>
        </is>
      </c>
      <c r="K107" s="5" t="inlineStr">
        <is>
          <t>2026.2Q</t>
        </is>
      </c>
      <c r="L107" s="5" t="inlineStr">
        <is>
          <t>2026.3Q</t>
        </is>
      </c>
      <c r="M107" s="5" t="inlineStr">
        <is>
          <t>2026.4Q</t>
        </is>
      </c>
      <c r="N107" s="5" t="inlineStr">
        <is>
          <t>2027.1Q</t>
        </is>
      </c>
      <c r="O107" s="5" t="inlineStr">
        <is>
          <t>2017</t>
        </is>
      </c>
      <c r="P107" s="5" t="inlineStr">
        <is>
          <t>2018</t>
        </is>
      </c>
      <c r="Q107" s="5" t="inlineStr">
        <is>
          <t>2019</t>
        </is>
      </c>
      <c r="R107" s="5" t="inlineStr">
        <is>
          <t>2020</t>
        </is>
      </c>
      <c r="S107" s="5" t="inlineStr">
        <is>
          <t>2021</t>
        </is>
      </c>
      <c r="T107" s="5" t="inlineStr">
        <is>
          <t>2022</t>
        </is>
      </c>
      <c r="U107" s="5" t="inlineStr">
        <is>
          <t>2023</t>
        </is>
      </c>
      <c r="V107" s="5" t="inlineStr">
        <is>
          <t>2024</t>
        </is>
      </c>
      <c r="W107" s="5" t="inlineStr">
        <is>
          <t>2025</t>
        </is>
      </c>
      <c r="X107" s="5" t="inlineStr">
        <is>
          <t>2026</t>
        </is>
      </c>
      <c r="Y107" s="5" t="inlineStr">
        <is>
          <t>2027(MW)</t>
        </is>
      </c>
      <c r="Z107" s="5" t="inlineStr">
        <is>
          <t>2028(MW)</t>
        </is>
      </c>
      <c r="AA107" s="5" t="inlineStr">
        <is>
          <t>2029(MW)</t>
        </is>
      </c>
      <c r="AB107" s="5" t="inlineStr">
        <is>
          <t>2030(MW)</t>
        </is>
      </c>
      <c r="AC107" s="5" t="inlineStr">
        <is>
          <t>2031(MW)</t>
        </is>
      </c>
    </row>
    <row r="108">
      <c r="A108" s="9" t="inlineStr">
        <is>
          <t>중간이익</t>
        </is>
      </c>
      <c r="C108" s="12" t="n">
        <v>24621</v>
      </c>
      <c r="D108" s="12" t="n">
        <v>24951</v>
      </c>
      <c r="E108" s="12" t="n">
        <v>122010</v>
      </c>
      <c r="F108" s="12" t="n">
        <v>-6039</v>
      </c>
      <c r="G108" s="12" t="n">
        <v>20887</v>
      </c>
      <c r="H108" s="12" t="n">
        <v>61281</v>
      </c>
      <c r="I108" s="12" t="n">
        <v>108535</v>
      </c>
      <c r="J108" s="12" t="n">
        <v>19456</v>
      </c>
      <c r="K108" s="12" t="n">
        <v>54158</v>
      </c>
      <c r="L108" s="12" t="n">
        <v>70401</v>
      </c>
      <c r="M108" s="12" t="n">
        <v>129309</v>
      </c>
      <c r="N108" s="12" t="n">
        <v>49977</v>
      </c>
      <c r="T108" s="12" t="n">
        <v>123234</v>
      </c>
      <c r="U108" s="12" t="n">
        <v>94221</v>
      </c>
      <c r="V108" s="12" t="n">
        <v>122010</v>
      </c>
      <c r="W108" s="12" t="n">
        <v>108535</v>
      </c>
      <c r="X108" s="12" t="n">
        <v>129309</v>
      </c>
    </row>
    <row r="109">
      <c r="A109" s="18" t="inlineStr">
        <is>
          <t>Net Change In Fair Value Of Equity Instruments Designated As Measured At Fair Value Through Other Comprehensive Income Net Of Tax Items That Will Not Be Reclassified To Profit Or Loss OCI</t>
        </is>
      </c>
      <c r="C109" s="20" t="n">
        <v>1096</v>
      </c>
      <c r="D109" s="20" t="n">
        <v>-693</v>
      </c>
      <c r="E109" s="20" t="n">
        <v>4778</v>
      </c>
      <c r="F109" s="20" t="n">
        <v>2051</v>
      </c>
      <c r="G109" s="20" t="n">
        <v>-4537</v>
      </c>
      <c r="H109" s="20" t="n">
        <v>5496</v>
      </c>
      <c r="I109" s="20" t="n">
        <v>-1264</v>
      </c>
      <c r="J109" s="20" t="n">
        <v>1843</v>
      </c>
      <c r="K109" s="20" t="n">
        <v>3134</v>
      </c>
      <c r="L109" s="20" t="n">
        <v>1915</v>
      </c>
      <c r="M109" s="20" t="n">
        <v>2017</v>
      </c>
      <c r="N109" s="20" t="n">
        <v>3308</v>
      </c>
      <c r="T109" s="20" t="n">
        <v>12256</v>
      </c>
      <c r="U109" s="20" t="n">
        <v>-14976</v>
      </c>
      <c r="V109" s="20" t="n">
        <v>4778</v>
      </c>
      <c r="W109" s="20" t="n">
        <v>-1264</v>
      </c>
      <c r="X109" s="20" t="n">
        <v>2017</v>
      </c>
    </row>
    <row r="110">
      <c r="A110" s="18" t="inlineStr">
        <is>
          <t>확정급여제도 재측정</t>
        </is>
      </c>
      <c r="C110" s="20" t="n">
        <v>0</v>
      </c>
      <c r="D110" s="20" t="n">
        <v>0</v>
      </c>
      <c r="E110" s="20" t="n">
        <v>81217</v>
      </c>
      <c r="F110" s="20" t="n">
        <v>0</v>
      </c>
      <c r="G110" s="20" t="n">
        <v>0</v>
      </c>
      <c r="H110" s="20" t="n">
        <v>3248</v>
      </c>
      <c r="I110" s="20" t="n">
        <v>11176</v>
      </c>
      <c r="J110" s="20" t="n">
        <v>-22</v>
      </c>
      <c r="K110" s="20" t="n">
        <v>49</v>
      </c>
      <c r="L110" s="20" t="n">
        <v>-25</v>
      </c>
      <c r="M110" s="20" t="n">
        <v>21778</v>
      </c>
      <c r="N110" s="20" t="n">
        <v>-12</v>
      </c>
      <c r="T110" s="20" t="n">
        <v>27193</v>
      </c>
      <c r="U110" s="20" t="n">
        <v>23123</v>
      </c>
      <c r="V110" s="20" t="n">
        <v>81217</v>
      </c>
      <c r="W110" s="20" t="n">
        <v>11176</v>
      </c>
      <c r="X110" s="20" t="n">
        <v>21778</v>
      </c>
    </row>
    <row r="111">
      <c r="A111" s="18" t="inlineStr">
        <is>
          <t>Share Of Other Comprehensive Income Of Investments Accounted For Using Equity Method Net Of Tax Items That Will Not Be Reclassified To Profit Or Loss OCI</t>
        </is>
      </c>
      <c r="C111" s="20" t="n">
        <v>38</v>
      </c>
      <c r="D111" s="20" t="n">
        <v>-22</v>
      </c>
      <c r="E111" s="20" t="n">
        <v>114</v>
      </c>
      <c r="F111" s="20" t="n">
        <v>-172</v>
      </c>
      <c r="G111" s="20" t="n">
        <v>-34</v>
      </c>
      <c r="H111" s="20" t="n">
        <v>1</v>
      </c>
      <c r="I111" s="20" t="n">
        <v>210</v>
      </c>
      <c r="J111" s="20" t="n">
        <v>12</v>
      </c>
      <c r="K111" s="20" t="n">
        <v>401</v>
      </c>
      <c r="L111" s="20" t="n">
        <v>113</v>
      </c>
      <c r="M111" s="20" t="n">
        <v>25</v>
      </c>
      <c r="N111" s="20" t="n">
        <v>45</v>
      </c>
      <c r="T111" s="20" t="n">
        <v>84</v>
      </c>
      <c r="U111" s="20" t="n">
        <v>-65</v>
      </c>
      <c r="V111" s="20" t="n">
        <v>114</v>
      </c>
      <c r="W111" s="20" t="n">
        <v>210</v>
      </c>
      <c r="X111" s="20" t="n">
        <v>25</v>
      </c>
    </row>
    <row r="112">
      <c r="A112" s="18" t="inlineStr">
        <is>
          <t>Total Of Items That Will Not Be Reclassified To Profit Or Loss OCI</t>
        </is>
      </c>
      <c r="C112" s="20" t="n">
        <v>1134</v>
      </c>
      <c r="D112" s="20" t="n">
        <v>-715</v>
      </c>
      <c r="E112" s="20" t="n">
        <v>86109</v>
      </c>
      <c r="F112" s="20" t="n">
        <v>1879</v>
      </c>
      <c r="G112" s="20" t="n">
        <v>-4571</v>
      </c>
      <c r="H112" s="20" t="n">
        <v>8745</v>
      </c>
      <c r="I112" s="20" t="n">
        <v>10122</v>
      </c>
      <c r="J112" s="20" t="n">
        <v>1833</v>
      </c>
      <c r="K112" s="20" t="n">
        <v>3584</v>
      </c>
      <c r="L112" s="20" t="n">
        <v>2003</v>
      </c>
      <c r="M112" s="20" t="n">
        <v>23820</v>
      </c>
      <c r="N112" s="20" t="n">
        <v>3341</v>
      </c>
      <c r="T112" s="20" t="n">
        <v>39533</v>
      </c>
      <c r="U112" s="20" t="n">
        <v>8082</v>
      </c>
      <c r="V112" s="20" t="n">
        <v>86109</v>
      </c>
      <c r="W112" s="20" t="n">
        <v>10122</v>
      </c>
      <c r="X112" s="20" t="n">
        <v>23820</v>
      </c>
    </row>
    <row r="113">
      <c r="A113" s="18" t="inlineStr">
        <is>
          <t>Exchange Differences On Translation Of Foreign Operations Net Of Tax Items That May Be Reclassified To Profit Or Loss OCI</t>
        </is>
      </c>
      <c r="C113" s="20" t="n">
        <v>11649</v>
      </c>
      <c r="D113" s="20" t="n">
        <v>-5021</v>
      </c>
      <c r="E113" s="20" t="n">
        <v>12536</v>
      </c>
      <c r="F113" s="20" t="n">
        <v>48836</v>
      </c>
      <c r="G113" s="20" t="n">
        <v>-57832</v>
      </c>
      <c r="H113" s="20" t="n">
        <v>39506</v>
      </c>
      <c r="I113" s="20" t="n">
        <v>-29016</v>
      </c>
      <c r="J113" s="20" t="n">
        <v>23966</v>
      </c>
      <c r="K113" s="20" t="n">
        <v>19864</v>
      </c>
      <c r="L113" s="20" t="n">
        <v>48689</v>
      </c>
      <c r="M113" s="20" t="n">
        <v>6490</v>
      </c>
      <c r="N113" s="20" t="n">
        <v>14185</v>
      </c>
      <c r="T113" s="20" t="n">
        <v>33382</v>
      </c>
      <c r="U113" s="20" t="n">
        <v>14026</v>
      </c>
      <c r="V113" s="20" t="n">
        <v>12536</v>
      </c>
      <c r="W113" s="20" t="n">
        <v>-29016</v>
      </c>
      <c r="X113" s="20" t="n">
        <v>6490</v>
      </c>
    </row>
    <row r="114">
      <c r="A114" s="18" t="inlineStr">
        <is>
          <t>현금흐름 위험회피</t>
        </is>
      </c>
      <c r="C114" s="20" t="n">
        <v>-1685</v>
      </c>
      <c r="D114" s="20" t="n">
        <v>2007</v>
      </c>
      <c r="E114" s="20" t="n">
        <v>-2469</v>
      </c>
      <c r="F114" s="20" t="n">
        <v>-1474</v>
      </c>
      <c r="G114" s="20" t="n">
        <v>3182</v>
      </c>
      <c r="H114" s="20" t="n">
        <v>-2084</v>
      </c>
      <c r="I114" s="20" t="n">
        <v>2160</v>
      </c>
      <c r="J114" s="20" t="n">
        <v>2114</v>
      </c>
      <c r="K114" s="20" t="n">
        <v>1604</v>
      </c>
      <c r="L114" s="20" t="n">
        <v>908</v>
      </c>
      <c r="M114" s="20" t="n">
        <v>292</v>
      </c>
      <c r="N114" s="20" t="n">
        <v>18</v>
      </c>
      <c r="T114" s="20" t="n">
        <v>-1277</v>
      </c>
      <c r="U114" s="20" t="n">
        <v>753</v>
      </c>
      <c r="V114" s="20" t="n">
        <v>-2469</v>
      </c>
      <c r="W114" s="20" t="n">
        <v>2160</v>
      </c>
      <c r="X114" s="20" t="n">
        <v>292</v>
      </c>
    </row>
    <row r="115">
      <c r="A115" s="18" t="inlineStr">
        <is>
          <t>Share Of Other Comprehensive Income Of Investments Accounted For Using Equity Method Net Of Tax Items That May Be Reclassified To Profit Or Loss OCI</t>
        </is>
      </c>
      <c r="C115" s="20" t="n">
        <v>779</v>
      </c>
      <c r="D115" s="20" t="n">
        <v>-667</v>
      </c>
      <c r="E115" s="20" t="n">
        <v>846</v>
      </c>
      <c r="F115" s="20" t="n">
        <v>1386</v>
      </c>
      <c r="G115" s="20" t="n">
        <v>-1949</v>
      </c>
      <c r="H115" s="20" t="n">
        <v>-516</v>
      </c>
      <c r="I115" s="20" t="n">
        <v>-868</v>
      </c>
      <c r="J115" s="20" t="n">
        <v>-464</v>
      </c>
      <c r="K115" s="20" t="n">
        <v>592</v>
      </c>
      <c r="L115" s="20" t="n">
        <v>-211</v>
      </c>
      <c r="M115" s="20" t="n">
        <v>2</v>
      </c>
      <c r="N115" s="20" t="n">
        <v>118</v>
      </c>
      <c r="T115" s="20" t="n">
        <v>604</v>
      </c>
      <c r="U115" s="20" t="n">
        <v>-209</v>
      </c>
      <c r="V115" s="20" t="n">
        <v>846</v>
      </c>
      <c r="W115" s="20" t="n">
        <v>-868</v>
      </c>
      <c r="X115" s="20" t="n">
        <v>2</v>
      </c>
    </row>
    <row r="116">
      <c r="A116" s="18" t="inlineStr">
        <is>
          <t>Total Of Items That May Be Reclassified To Profit Or Loss OCI</t>
        </is>
      </c>
      <c r="C116" s="20" t="n">
        <v>10743</v>
      </c>
      <c r="D116" s="20" t="n">
        <v>-3681</v>
      </c>
      <c r="E116" s="20" t="n">
        <v>10913</v>
      </c>
      <c r="F116" s="20" t="n">
        <v>48748</v>
      </c>
      <c r="G116" s="20" t="n">
        <v>-56599</v>
      </c>
      <c r="H116" s="20" t="n">
        <v>36906</v>
      </c>
      <c r="I116" s="20" t="n">
        <v>-27724</v>
      </c>
      <c r="J116" s="20" t="n">
        <v>25616</v>
      </c>
      <c r="K116" s="20" t="n">
        <v>22060</v>
      </c>
      <c r="L116" s="20" t="n">
        <v>49386</v>
      </c>
      <c r="M116" s="20" t="n">
        <v>6784</v>
      </c>
      <c r="N116" s="20" t="n">
        <v>14321</v>
      </c>
      <c r="T116" s="20" t="n">
        <v>32709</v>
      </c>
      <c r="U116" s="20" t="n">
        <v>14570</v>
      </c>
      <c r="V116" s="20" t="n">
        <v>10913</v>
      </c>
      <c r="W116" s="20" t="n">
        <v>-27724</v>
      </c>
      <c r="X116" s="20" t="n">
        <v>6784</v>
      </c>
    </row>
    <row r="117">
      <c r="A117" s="18" t="inlineStr">
        <is>
          <t>Other Comprehensive Income</t>
        </is>
      </c>
      <c r="C117" s="20" t="n">
        <v>11877</v>
      </c>
      <c r="D117" s="20" t="n">
        <v>-4396</v>
      </c>
      <c r="E117" s="20" t="n">
        <v>97022</v>
      </c>
      <c r="F117" s="20" t="n">
        <v>50627</v>
      </c>
      <c r="G117" s="20" t="n">
        <v>-61170</v>
      </c>
      <c r="H117" s="20" t="n">
        <v>45651</v>
      </c>
      <c r="I117" s="20" t="n">
        <v>-17602</v>
      </c>
      <c r="J117" s="20" t="n">
        <v>27449</v>
      </c>
      <c r="K117" s="20" t="n">
        <v>25644</v>
      </c>
      <c r="L117" s="20" t="n">
        <v>51389</v>
      </c>
      <c r="M117" s="20" t="n">
        <v>30604</v>
      </c>
      <c r="N117" s="20" t="n">
        <v>17662</v>
      </c>
      <c r="T117" s="20" t="n">
        <v>72242</v>
      </c>
      <c r="U117" s="20" t="n">
        <v>22652</v>
      </c>
      <c r="V117" s="20" t="n">
        <v>97022</v>
      </c>
      <c r="W117" s="20" t="n">
        <v>-17602</v>
      </c>
      <c r="X117" s="20" t="n">
        <v>30604</v>
      </c>
    </row>
    <row r="118">
      <c r="A118" s="9" t="inlineStr">
        <is>
          <t>포괄이익</t>
        </is>
      </c>
      <c r="C118" s="12" t="n">
        <v>36498</v>
      </c>
      <c r="D118" s="12" t="n">
        <v>20555</v>
      </c>
      <c r="E118" s="12" t="n">
        <v>219032</v>
      </c>
      <c r="F118" s="12" t="n">
        <v>44588</v>
      </c>
      <c r="G118" s="12" t="n">
        <v>-40283</v>
      </c>
      <c r="H118" s="12" t="n">
        <v>106932</v>
      </c>
      <c r="I118" s="12" t="n">
        <v>90933</v>
      </c>
      <c r="J118" s="12" t="n">
        <v>46905</v>
      </c>
      <c r="K118" s="12" t="n">
        <v>79802</v>
      </c>
      <c r="L118" s="12" t="n">
        <v>121790</v>
      </c>
      <c r="M118" s="12" t="n">
        <v>159913</v>
      </c>
      <c r="N118" s="12" t="n">
        <v>67639</v>
      </c>
      <c r="T118" s="12" t="n">
        <v>195476</v>
      </c>
      <c r="U118" s="12" t="n">
        <v>116873</v>
      </c>
      <c r="V118" s="12" t="n">
        <v>219032</v>
      </c>
      <c r="W118" s="12" t="n">
        <v>90933</v>
      </c>
      <c r="X118" s="12" t="n">
        <v>159913</v>
      </c>
    </row>
    <row r="119">
      <c r="A119" s="9" t="inlineStr">
        <is>
          <t>Comprehensive Income Attributable To Owners Of Parent</t>
        </is>
      </c>
      <c r="C119" s="12" t="n">
        <v>30480</v>
      </c>
      <c r="D119" s="12" t="n">
        <v>17766</v>
      </c>
      <c r="E119" s="12" t="n">
        <v>213719</v>
      </c>
      <c r="F119" s="12" t="n">
        <v>40582</v>
      </c>
      <c r="G119" s="12" t="n">
        <v>-37710</v>
      </c>
      <c r="H119" s="12" t="n">
        <v>101386</v>
      </c>
      <c r="I119" s="12" t="n">
        <v>87213</v>
      </c>
      <c r="J119" s="12" t="n">
        <v>43006</v>
      </c>
      <c r="K119" s="12" t="n">
        <v>77336</v>
      </c>
      <c r="L119" s="12" t="n">
        <v>116608</v>
      </c>
      <c r="M119" s="12" t="n">
        <v>158029</v>
      </c>
      <c r="N119" s="12" t="n">
        <v>66908</v>
      </c>
      <c r="T119" s="12" t="n">
        <v>182064</v>
      </c>
      <c r="U119" s="12" t="n">
        <v>108368</v>
      </c>
      <c r="V119" s="12" t="n">
        <v>213719</v>
      </c>
      <c r="W119" s="12" t="n">
        <v>87213</v>
      </c>
      <c r="X119" s="12" t="n">
        <v>158029</v>
      </c>
    </row>
    <row r="120">
      <c r="A120" s="9" t="inlineStr">
        <is>
          <t>비지배지분</t>
        </is>
      </c>
      <c r="C120" s="12" t="n">
        <v>6018</v>
      </c>
      <c r="D120" s="12" t="n">
        <v>2789</v>
      </c>
      <c r="E120" s="12" t="n">
        <v>5313</v>
      </c>
      <c r="F120" s="12" t="n">
        <v>4006</v>
      </c>
      <c r="G120" s="12" t="n">
        <v>-2573</v>
      </c>
      <c r="H120" s="12" t="n">
        <v>5546</v>
      </c>
      <c r="I120" s="12" t="n">
        <v>3720</v>
      </c>
      <c r="J120" s="12" t="n">
        <v>3899</v>
      </c>
      <c r="K120" s="12" t="n">
        <v>2466</v>
      </c>
      <c r="L120" s="12" t="n">
        <v>5182</v>
      </c>
      <c r="M120" s="12" t="n">
        <v>1884</v>
      </c>
      <c r="N120" s="12" t="n">
        <v>731</v>
      </c>
      <c r="T120" s="12" t="n">
        <v>13412</v>
      </c>
      <c r="U120" s="12" t="n">
        <v>8505</v>
      </c>
      <c r="V120" s="12" t="n">
        <v>5313</v>
      </c>
      <c r="W120" s="12" t="n">
        <v>3720</v>
      </c>
      <c r="X120" s="12" t="n">
        <v>1884</v>
      </c>
    </row>
    <row r="122">
      <c r="A122" s="16" t="inlineStr">
        <is>
          <t>부문 · 전 항목</t>
        </is>
      </c>
      <c r="B122" s="42" t="inlineStr">
        <is>
          <t>부문 · 항목</t>
        </is>
      </c>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row>
    <row r="123">
      <c r="A123" s="5" t="inlineStr">
        <is>
          <t>항목</t>
        </is>
      </c>
      <c r="B123" s="5" t="inlineStr">
        <is>
          <t>참고</t>
        </is>
      </c>
      <c r="C123" s="5" t="inlineStr">
        <is>
          <t>2024.2Q</t>
        </is>
      </c>
      <c r="D123" s="5" t="inlineStr">
        <is>
          <t>2024.3Q</t>
        </is>
      </c>
      <c r="E123" s="5" t="inlineStr">
        <is>
          <t>2024.4Q</t>
        </is>
      </c>
      <c r="F123" s="5" t="inlineStr">
        <is>
          <t>2025.1Q</t>
        </is>
      </c>
      <c r="G123" s="5" t="inlineStr">
        <is>
          <t>2025.2Q</t>
        </is>
      </c>
      <c r="H123" s="5" t="inlineStr">
        <is>
          <t>2025.3Q</t>
        </is>
      </c>
      <c r="I123" s="5" t="inlineStr">
        <is>
          <t>2025.4Q</t>
        </is>
      </c>
      <c r="J123" s="5" t="inlineStr">
        <is>
          <t>2026.1Q</t>
        </is>
      </c>
      <c r="K123" s="5" t="inlineStr">
        <is>
          <t>2026.2Q</t>
        </is>
      </c>
      <c r="L123" s="5" t="inlineStr">
        <is>
          <t>2026.3Q</t>
        </is>
      </c>
      <c r="M123" s="5" t="inlineStr">
        <is>
          <t>2026.4Q</t>
        </is>
      </c>
      <c r="N123" s="5" t="inlineStr">
        <is>
          <t>2027.1Q</t>
        </is>
      </c>
      <c r="O123" s="5" t="inlineStr">
        <is>
          <t>2017</t>
        </is>
      </c>
      <c r="P123" s="5" t="inlineStr">
        <is>
          <t>2018</t>
        </is>
      </c>
      <c r="Q123" s="5" t="inlineStr">
        <is>
          <t>2019</t>
        </is>
      </c>
      <c r="R123" s="5" t="inlineStr">
        <is>
          <t>2020</t>
        </is>
      </c>
      <c r="S123" s="5" t="inlineStr">
        <is>
          <t>2021</t>
        </is>
      </c>
      <c r="T123" s="5" t="inlineStr">
        <is>
          <t>2022</t>
        </is>
      </c>
      <c r="U123" s="5" t="inlineStr">
        <is>
          <t>2023</t>
        </is>
      </c>
      <c r="V123" s="5" t="inlineStr">
        <is>
          <t>2024</t>
        </is>
      </c>
      <c r="W123" s="5" t="inlineStr">
        <is>
          <t>2025</t>
        </is>
      </c>
      <c r="X123" s="5" t="inlineStr">
        <is>
          <t>2026</t>
        </is>
      </c>
      <c r="Y123" s="5" t="inlineStr">
        <is>
          <t>2027(MW)</t>
        </is>
      </c>
      <c r="Z123" s="5" t="inlineStr">
        <is>
          <t>2028(MW)</t>
        </is>
      </c>
      <c r="AA123" s="5" t="inlineStr">
        <is>
          <t>2029(MW)</t>
        </is>
      </c>
      <c r="AB123" s="5" t="inlineStr">
        <is>
          <t>2030(MW)</t>
        </is>
      </c>
      <c r="AC123" s="5" t="inlineStr">
        <is>
          <t>2031(MW)</t>
        </is>
      </c>
    </row>
    <row r="124">
      <c r="A124" s="18" t="inlineStr">
        <is>
          <t>IT서비스 · Revenue From External Customers</t>
        </is>
      </c>
      <c r="C124" s="20" t="n">
        <v>457339</v>
      </c>
      <c r="D124" s="20" t="n">
        <v>470762</v>
      </c>
      <c r="E124" s="20" t="n">
        <v>600156</v>
      </c>
      <c r="F124" s="20" t="n">
        <v>501845</v>
      </c>
      <c r="G124" s="20" t="n">
        <v>578240</v>
      </c>
      <c r="H124" s="20" t="n">
        <v>586663</v>
      </c>
      <c r="I124" s="20" t="n">
        <v>793072</v>
      </c>
      <c r="J124" s="20" t="n">
        <v>567123</v>
      </c>
      <c r="K124" s="20" t="n">
        <v>541165</v>
      </c>
      <c r="L124" s="20" t="n">
        <v>603404</v>
      </c>
      <c r="M124" s="20" t="n">
        <v>797233</v>
      </c>
      <c r="N124" s="20" t="n">
        <v>621456</v>
      </c>
      <c r="V124" s="20" t="n">
        <v>600156</v>
      </c>
      <c r="W124" s="20" t="n">
        <v>793072</v>
      </c>
      <c r="X124" s="20" t="n">
        <v>797233</v>
      </c>
    </row>
    <row r="125">
      <c r="A125" s="43" t="inlineStr">
        <is>
          <t>YoY</t>
        </is>
      </c>
      <c r="B125" s="3" t="inlineStr">
        <is>
          <t>전년 같은 분기·전년 대비</t>
        </is>
      </c>
      <c r="G125" s="15">
        <f>IF(OR(G124="",C124=""),"",IF(C124&lt;=0,"",IFERROR(G124/C124-1,"")))</f>
        <v/>
      </c>
      <c r="H125" s="15">
        <f>IF(OR(H124="",D124=""),"",IF(D124&lt;=0,"",IFERROR(H124/D124-1,"")))</f>
        <v/>
      </c>
      <c r="I125" s="15">
        <f>IF(OR(I124="",E124=""),"",IF(E124&lt;=0,"",IFERROR(I124/E124-1,"")))</f>
        <v/>
      </c>
      <c r="J125" s="15">
        <f>IF(OR(J124="",F124=""),"",IF(F124&lt;=0,"",IFERROR(J124/F124-1,"")))</f>
        <v/>
      </c>
      <c r="K125" s="15">
        <f>IF(OR(K124="",G124=""),"",IF(G124&lt;=0,"",IFERROR(K124/G124-1,"")))</f>
        <v/>
      </c>
      <c r="L125" s="15">
        <f>IF(OR(L124="",H124=""),"",IF(H124&lt;=0,"",IFERROR(L124/H124-1,"")))</f>
        <v/>
      </c>
      <c r="M125" s="15">
        <f>IF(OR(M124="",I124=""),"",IF(I124&lt;=0,"",IFERROR(M124/I124-1,"")))</f>
        <v/>
      </c>
      <c r="N125" s="15">
        <f>IF(OR(N124="",J124=""),"",IF(J124&lt;=0,"",IFERROR(N124/J124-1,"")))</f>
        <v/>
      </c>
      <c r="V125" s="15">
        <f>IF(OR(V124="",U124=""),"",IF(U124&lt;=0,"",IFERROR(V124/U124-1,"")))</f>
        <v/>
      </c>
      <c r="W125" s="15">
        <f>IF(OR(W124="",V124=""),"",IF(V124&lt;=0,"",IFERROR(W124/V124-1,"")))</f>
        <v/>
      </c>
      <c r="X125" s="15">
        <f>IF(OR(X124="",W124=""),"",IF(W124&lt;=0,"",IFERROR(X124/W124-1,"")))</f>
        <v/>
      </c>
    </row>
    <row r="126">
      <c r="A126" s="18" t="inlineStr">
        <is>
          <t>사회 인프라 · Revenue From External Customers</t>
        </is>
      </c>
      <c r="C126" s="20" t="n">
        <v>262607</v>
      </c>
      <c r="D126" s="20" t="n">
        <v>254927</v>
      </c>
      <c r="E126" s="20" t="n">
        <v>346635</v>
      </c>
      <c r="F126" s="20" t="n">
        <v>157629</v>
      </c>
      <c r="G126" s="20" t="n">
        <v>192609</v>
      </c>
      <c r="H126" s="20" t="n">
        <v>214504</v>
      </c>
      <c r="I126" s="20" t="n">
        <v>267360</v>
      </c>
      <c r="J126" s="20" t="n">
        <v>120383</v>
      </c>
      <c r="K126" s="20" t="n">
        <v>282640</v>
      </c>
      <c r="L126" s="20" t="n">
        <v>215215</v>
      </c>
      <c r="M126" s="20" t="n">
        <v>317064</v>
      </c>
      <c r="N126" s="20" t="n">
        <v>165278</v>
      </c>
      <c r="V126" s="20" t="n">
        <v>346635</v>
      </c>
      <c r="W126" s="20" t="n">
        <v>267360</v>
      </c>
      <c r="X126" s="20" t="n">
        <v>317064</v>
      </c>
    </row>
    <row r="127">
      <c r="A127" s="43" t="inlineStr">
        <is>
          <t>YoY</t>
        </is>
      </c>
      <c r="B127" s="3" t="inlineStr">
        <is>
          <t>전년 같은 분기·전년 대비</t>
        </is>
      </c>
      <c r="G127" s="15">
        <f>IF(OR(G126="",C126=""),"",IF(C126&lt;=0,"",IFERROR(G126/C126-1,"")))</f>
        <v/>
      </c>
      <c r="H127" s="15">
        <f>IF(OR(H126="",D126=""),"",IF(D126&lt;=0,"",IFERROR(H126/D126-1,"")))</f>
        <v/>
      </c>
      <c r="I127" s="15">
        <f>IF(OR(I126="",E126=""),"",IF(E126&lt;=0,"",IFERROR(I126/E126-1,"")))</f>
        <v/>
      </c>
      <c r="J127" s="15">
        <f>IF(OR(J126="",F126=""),"",IF(F126&lt;=0,"",IFERROR(J126/F126-1,"")))</f>
        <v/>
      </c>
      <c r="K127" s="15">
        <f>IF(OR(K126="",G126=""),"",IF(G126&lt;=0,"",IFERROR(K126/G126-1,"")))</f>
        <v/>
      </c>
      <c r="L127" s="15">
        <f>IF(OR(L126="",H126=""),"",IF(H126&lt;=0,"",IFERROR(L126/H126-1,"")))</f>
        <v/>
      </c>
      <c r="M127" s="15">
        <f>IF(OR(M126="",I126=""),"",IF(I126&lt;=0,"",IFERROR(M126/I126-1,"")))</f>
        <v/>
      </c>
      <c r="N127" s="15">
        <f>IF(OR(N126="",J126=""),"",IF(J126&lt;=0,"",IFERROR(N126/J126-1,"")))</f>
        <v/>
      </c>
      <c r="V127" s="15">
        <f>IF(OR(V126="",U126=""),"",IF(U126&lt;=0,"",IFERROR(V126/U126-1,"")))</f>
        <v/>
      </c>
      <c r="W127" s="15">
        <f>IF(OR(W126="",V126=""),"",IF(V126&lt;=0,"",IFERROR(W126/V126-1,"")))</f>
        <v/>
      </c>
      <c r="X127" s="15">
        <f>IF(OR(X126="",W126=""),"",IF(W126&lt;=0,"",IFERROR(X126/W126-1,"")))</f>
        <v/>
      </c>
    </row>
    <row r="128">
      <c r="A128" s="18" t="inlineStr">
        <is>
          <t>보고부문 합계 · Revenue From External Customers</t>
        </is>
      </c>
      <c r="C128" s="20" t="n">
        <v>719946</v>
      </c>
      <c r="D128" s="20" t="n">
        <v>725689</v>
      </c>
      <c r="E128" s="20" t="n">
        <v>946791</v>
      </c>
      <c r="F128" s="20" t="n">
        <v>659474</v>
      </c>
      <c r="G128" s="20" t="n">
        <v>770849</v>
      </c>
      <c r="H128" s="20" t="n">
        <v>801167</v>
      </c>
      <c r="I128" s="20" t="n">
        <v>1060432</v>
      </c>
      <c r="J128" s="20" t="n">
        <v>687506</v>
      </c>
      <c r="K128" s="20" t="n">
        <v>823805</v>
      </c>
      <c r="L128" s="20" t="n">
        <v>818619</v>
      </c>
      <c r="M128" s="20" t="n">
        <v>1114297</v>
      </c>
      <c r="N128" s="20" t="n">
        <v>786734</v>
      </c>
      <c r="V128" s="20" t="n">
        <v>946791</v>
      </c>
      <c r="W128" s="20" t="n">
        <v>1060432</v>
      </c>
      <c r="X128" s="20" t="n">
        <v>1114297</v>
      </c>
    </row>
    <row r="129">
      <c r="A129" s="43" t="inlineStr">
        <is>
          <t>YoY</t>
        </is>
      </c>
      <c r="B129" s="3" t="inlineStr">
        <is>
          <t>전년 같은 분기·전년 대비</t>
        </is>
      </c>
      <c r="G129" s="15">
        <f>IF(OR(G128="",C128=""),"",IF(C128&lt;=0,"",IFERROR(G128/C128-1,"")))</f>
        <v/>
      </c>
      <c r="H129" s="15">
        <f>IF(OR(H128="",D128=""),"",IF(D128&lt;=0,"",IFERROR(H128/D128-1,"")))</f>
        <v/>
      </c>
      <c r="I129" s="15">
        <f>IF(OR(I128="",E128=""),"",IF(E128&lt;=0,"",IFERROR(I128/E128-1,"")))</f>
        <v/>
      </c>
      <c r="J129" s="15">
        <f>IF(OR(J128="",F128=""),"",IF(F128&lt;=0,"",IFERROR(J128/F128-1,"")))</f>
        <v/>
      </c>
      <c r="K129" s="15">
        <f>IF(OR(K128="",G128=""),"",IF(G128&lt;=0,"",IFERROR(K128/G128-1,"")))</f>
        <v/>
      </c>
      <c r="L129" s="15">
        <f>IF(OR(L128="",H128=""),"",IF(H128&lt;=0,"",IFERROR(L128/H128-1,"")))</f>
        <v/>
      </c>
      <c r="M129" s="15">
        <f>IF(OR(M128="",I128=""),"",IF(I128&lt;=0,"",IFERROR(M128/I128-1,"")))</f>
        <v/>
      </c>
      <c r="N129" s="15">
        <f>IF(OR(N128="",J128=""),"",IF(J128&lt;=0,"",IFERROR(N128/J128-1,"")))</f>
        <v/>
      </c>
      <c r="V129" s="15">
        <f>IF(OR(V128="",U128=""),"",IF(U128&lt;=0,"",IFERROR(V128/U128-1,"")))</f>
        <v/>
      </c>
      <c r="W129" s="15">
        <f>IF(OR(W128="",V128=""),"",IF(V128&lt;=0,"",IFERROR(W128/V128-1,"")))</f>
        <v/>
      </c>
      <c r="X129" s="15">
        <f>IF(OR(X128="",W128=""),"",IF(W128&lt;=0,"",IFERROR(X128/W128-1,"")))</f>
        <v/>
      </c>
    </row>
    <row r="130">
      <c r="A130" s="18" t="inlineStr">
        <is>
          <t>기타 · Revenue From External Customers</t>
        </is>
      </c>
      <c r="C130" s="20" t="n">
        <v>122313</v>
      </c>
      <c r="D130" s="20" t="n">
        <v>118786</v>
      </c>
      <c r="E130" s="20" t="n">
        <v>137195</v>
      </c>
      <c r="F130" s="20" t="n">
        <v>30822</v>
      </c>
      <c r="G130" s="20" t="n">
        <v>25531</v>
      </c>
      <c r="H130" s="20" t="n">
        <v>33966</v>
      </c>
      <c r="I130" s="20" t="n">
        <v>41190</v>
      </c>
      <c r="J130" s="20" t="n">
        <v>28152</v>
      </c>
      <c r="K130" s="20" t="n">
        <v>30316</v>
      </c>
      <c r="L130" s="20" t="n">
        <v>33919</v>
      </c>
      <c r="M130" s="20" t="n">
        <v>46119</v>
      </c>
      <c r="N130" s="20" t="n">
        <v>33040</v>
      </c>
      <c r="V130" s="20" t="n">
        <v>137195</v>
      </c>
      <c r="W130" s="20" t="n">
        <v>41190</v>
      </c>
      <c r="X130" s="20" t="n">
        <v>46119</v>
      </c>
    </row>
    <row r="131">
      <c r="A131" s="43" t="inlineStr">
        <is>
          <t>YoY</t>
        </is>
      </c>
      <c r="B131" s="3" t="inlineStr">
        <is>
          <t>전년 같은 분기·전년 대비</t>
        </is>
      </c>
      <c r="G131" s="15">
        <f>IF(OR(G130="",C130=""),"",IF(C130&lt;=0,"",IFERROR(G130/C130-1,"")))</f>
        <v/>
      </c>
      <c r="H131" s="15">
        <f>IF(OR(H130="",D130=""),"",IF(D130&lt;=0,"",IFERROR(H130/D130-1,"")))</f>
        <v/>
      </c>
      <c r="I131" s="15">
        <f>IF(OR(I130="",E130=""),"",IF(E130&lt;=0,"",IFERROR(I130/E130-1,"")))</f>
        <v/>
      </c>
      <c r="J131" s="15">
        <f>IF(OR(J130="",F130=""),"",IF(F130&lt;=0,"",IFERROR(J130/F130-1,"")))</f>
        <v/>
      </c>
      <c r="K131" s="15">
        <f>IF(OR(K130="",G130=""),"",IF(G130&lt;=0,"",IFERROR(K130/G130-1,"")))</f>
        <v/>
      </c>
      <c r="L131" s="15">
        <f>IF(OR(L130="",H130=""),"",IF(H130&lt;=0,"",IFERROR(L130/H130-1,"")))</f>
        <v/>
      </c>
      <c r="M131" s="15">
        <f>IF(OR(M130="",I130=""),"",IF(I130&lt;=0,"",IFERROR(M130/I130-1,"")))</f>
        <v/>
      </c>
      <c r="N131" s="15">
        <f>IF(OR(N130="",J130=""),"",IF(J130&lt;=0,"",IFERROR(N130/J130-1,"")))</f>
        <v/>
      </c>
      <c r="V131" s="15">
        <f>IF(OR(V130="",U130=""),"",IF(U130&lt;=0,"",IFERROR(V130/U130-1,"")))</f>
        <v/>
      </c>
      <c r="W131" s="15">
        <f>IF(OR(W130="",V130=""),"",IF(V130&lt;=0,"",IFERROR(W130/V130-1,"")))</f>
        <v/>
      </c>
      <c r="X131" s="15">
        <f>IF(OR(X130="",W130=""),"",IF(W130&lt;=0,"",IFERROR(X130/W130-1,"")))</f>
        <v/>
      </c>
    </row>
    <row r="132">
      <c r="A132" s="18" t="inlineStr">
        <is>
          <t>조정액 · Revenue From External Customers</t>
        </is>
      </c>
      <c r="C132" s="20" t="n">
        <v>0</v>
      </c>
      <c r="D132" s="20" t="n">
        <v>0</v>
      </c>
      <c r="E132" s="20" t="n">
        <v>0</v>
      </c>
      <c r="F132" s="20" t="n">
        <v>0</v>
      </c>
      <c r="G132" s="20" t="n">
        <v>0</v>
      </c>
      <c r="H132" s="20" t="n">
        <v>0</v>
      </c>
      <c r="I132" s="20" t="n">
        <v>0</v>
      </c>
      <c r="J132" s="20" t="n">
        <v>0</v>
      </c>
      <c r="K132" s="20" t="n">
        <v>0</v>
      </c>
      <c r="L132" s="20" t="n">
        <v>0</v>
      </c>
      <c r="M132" s="20" t="n">
        <v>0</v>
      </c>
      <c r="N132" s="20" t="n">
        <v>0</v>
      </c>
      <c r="V132" s="20" t="n">
        <v>0</v>
      </c>
      <c r="W132" s="20" t="n">
        <v>0</v>
      </c>
      <c r="X132" s="20" t="n">
        <v>0</v>
      </c>
    </row>
    <row r="133">
      <c r="A133" s="9" t="inlineStr">
        <is>
          <t>Revenue From External Customers</t>
        </is>
      </c>
      <c r="C133" s="12" t="n">
        <v>842259</v>
      </c>
      <c r="D133" s="12" t="n">
        <v>844475</v>
      </c>
      <c r="E133" s="12" t="n">
        <v>1083986</v>
      </c>
      <c r="F133" s="12" t="n">
        <v>690296</v>
      </c>
      <c r="G133" s="12" t="n">
        <v>796380</v>
      </c>
      <c r="H133" s="12" t="n">
        <v>835133</v>
      </c>
      <c r="I133" s="12" t="n">
        <v>1101622</v>
      </c>
      <c r="J133" s="12" t="n">
        <v>715658</v>
      </c>
      <c r="K133" s="12" t="n">
        <v>854121</v>
      </c>
      <c r="L133" s="12" t="n">
        <v>852538</v>
      </c>
      <c r="M133" s="12" t="n">
        <v>1160416</v>
      </c>
      <c r="N133" s="12" t="n">
        <v>819774</v>
      </c>
      <c r="V133" s="12" t="n">
        <v>1083986</v>
      </c>
      <c r="W133" s="12" t="n">
        <v>1101622</v>
      </c>
      <c r="X133" s="12" t="n">
        <v>1160416</v>
      </c>
    </row>
    <row r="134">
      <c r="A134" s="43" t="inlineStr">
        <is>
          <t>YoY</t>
        </is>
      </c>
      <c r="B134" s="3" t="inlineStr">
        <is>
          <t>전년 같은 분기·전년 대비</t>
        </is>
      </c>
      <c r="G134" s="15">
        <f>IF(OR(G133="",C133=""),"",IF(C133&lt;=0,"",IFERROR(G133/C133-1,"")))</f>
        <v/>
      </c>
      <c r="H134" s="15">
        <f>IF(OR(H133="",D133=""),"",IF(D133&lt;=0,"",IFERROR(H133/D133-1,"")))</f>
        <v/>
      </c>
      <c r="I134" s="15">
        <f>IF(OR(I133="",E133=""),"",IF(E133&lt;=0,"",IFERROR(I133/E133-1,"")))</f>
        <v/>
      </c>
      <c r="J134" s="15">
        <f>IF(OR(J133="",F133=""),"",IF(F133&lt;=0,"",IFERROR(J133/F133-1,"")))</f>
        <v/>
      </c>
      <c r="K134" s="15">
        <f>IF(OR(K133="",G133=""),"",IF(G133&lt;=0,"",IFERROR(K133/G133-1,"")))</f>
        <v/>
      </c>
      <c r="L134" s="15">
        <f>IF(OR(L133="",H133=""),"",IF(H133&lt;=0,"",IFERROR(L133/H133-1,"")))</f>
        <v/>
      </c>
      <c r="M134" s="15">
        <f>IF(OR(M133="",I133=""),"",IF(I133&lt;=0,"",IFERROR(M133/I133-1,"")))</f>
        <v/>
      </c>
      <c r="N134" s="15">
        <f>IF(OR(N133="",J133=""),"",IF(J133&lt;=0,"",IFERROR(N133/J133-1,"")))</f>
        <v/>
      </c>
      <c r="V134" s="15">
        <f>IF(OR(V133="",U133=""),"",IF(U133&lt;=0,"",IFERROR(V133/U133-1,"")))</f>
        <v/>
      </c>
      <c r="W134" s="15">
        <f>IF(OR(W133="",V133=""),"",IF(V133&lt;=0,"",IFERROR(W133/V133-1,"")))</f>
        <v/>
      </c>
      <c r="X134" s="15">
        <f>IF(OR(X133="",W133=""),"",IF(W133&lt;=0,"",IFERROR(X133/W133-1,"")))</f>
        <v/>
      </c>
    </row>
    <row r="135">
      <c r="A135" s="18" t="inlineStr">
        <is>
          <t>IT서비스 · Intersegment Revenue</t>
        </is>
      </c>
      <c r="C135" s="20" t="n">
        <v>10219</v>
      </c>
      <c r="D135" s="20" t="n">
        <v>11311</v>
      </c>
      <c r="E135" s="20" t="n">
        <v>16451</v>
      </c>
      <c r="F135" s="20" t="n">
        <v>283</v>
      </c>
      <c r="G135" s="20" t="n">
        <v>413</v>
      </c>
      <c r="H135" s="20" t="n">
        <v>362</v>
      </c>
      <c r="I135" s="20" t="n">
        <v>507</v>
      </c>
      <c r="J135" s="20" t="n">
        <v>330</v>
      </c>
      <c r="K135" s="20" t="n">
        <v>447</v>
      </c>
      <c r="L135" s="20" t="n">
        <v>529</v>
      </c>
      <c r="M135" s="20" t="n">
        <v>653</v>
      </c>
      <c r="N135" s="20" t="n">
        <v>344</v>
      </c>
      <c r="V135" s="20" t="n">
        <v>16451</v>
      </c>
      <c r="W135" s="20" t="n">
        <v>507</v>
      </c>
      <c r="X135" s="20" t="n">
        <v>653</v>
      </c>
    </row>
    <row r="136">
      <c r="A136" s="18" t="inlineStr">
        <is>
          <t>사회 인프라 · Intersegment Revenue</t>
        </is>
      </c>
      <c r="C136" s="20" t="n">
        <v>1283</v>
      </c>
      <c r="D136" s="20" t="n">
        <v>1705</v>
      </c>
      <c r="E136" s="20" t="n">
        <v>1972</v>
      </c>
      <c r="F136" s="20" t="n">
        <v>825</v>
      </c>
      <c r="G136" s="20" t="n">
        <v>800</v>
      </c>
      <c r="H136" s="20" t="n">
        <v>831</v>
      </c>
      <c r="I136" s="20" t="n">
        <v>993</v>
      </c>
      <c r="J136" s="20" t="n">
        <v>458</v>
      </c>
      <c r="K136" s="20" t="n">
        <v>715</v>
      </c>
      <c r="L136" s="20" t="n">
        <v>916</v>
      </c>
      <c r="M136" s="20" t="n">
        <v>1020</v>
      </c>
      <c r="N136" s="20" t="n">
        <v>630</v>
      </c>
      <c r="V136" s="20" t="n">
        <v>1972</v>
      </c>
      <c r="W136" s="20" t="n">
        <v>993</v>
      </c>
      <c r="X136" s="20" t="n">
        <v>1020</v>
      </c>
    </row>
    <row r="137">
      <c r="A137" s="18" t="inlineStr">
        <is>
          <t>보고부문 합계 · Intersegment Revenue</t>
        </is>
      </c>
      <c r="C137" s="20" t="n">
        <v>11502</v>
      </c>
      <c r="D137" s="20" t="n">
        <v>13016</v>
      </c>
      <c r="E137" s="20" t="n">
        <v>18423</v>
      </c>
      <c r="F137" s="20" t="n">
        <v>1108</v>
      </c>
      <c r="G137" s="20" t="n">
        <v>1213</v>
      </c>
      <c r="H137" s="20" t="n">
        <v>1193</v>
      </c>
      <c r="I137" s="20" t="n">
        <v>1500</v>
      </c>
      <c r="J137" s="20" t="n">
        <v>788</v>
      </c>
      <c r="K137" s="20" t="n">
        <v>1162</v>
      </c>
      <c r="L137" s="20" t="n">
        <v>1445</v>
      </c>
      <c r="M137" s="20" t="n">
        <v>1673</v>
      </c>
      <c r="N137" s="20" t="n">
        <v>974</v>
      </c>
      <c r="V137" s="20" t="n">
        <v>18423</v>
      </c>
      <c r="W137" s="20" t="n">
        <v>1500</v>
      </c>
      <c r="X137" s="20" t="n">
        <v>1673</v>
      </c>
    </row>
    <row r="138">
      <c r="A138" s="18" t="inlineStr">
        <is>
          <t>기타 · Intersegment Revenue</t>
        </is>
      </c>
      <c r="C138" s="20" t="n">
        <v>1501</v>
      </c>
      <c r="D138" s="20" t="n">
        <v>1648</v>
      </c>
      <c r="E138" s="20" t="n">
        <v>2127</v>
      </c>
      <c r="F138" s="20" t="n">
        <v>1717</v>
      </c>
      <c r="G138" s="20" t="n">
        <v>1788</v>
      </c>
      <c r="H138" s="20" t="n">
        <v>1772</v>
      </c>
      <c r="I138" s="20" t="n">
        <v>2078</v>
      </c>
      <c r="J138" s="20" t="n">
        <v>1949</v>
      </c>
      <c r="K138" s="20" t="n">
        <v>2452</v>
      </c>
      <c r="L138" s="20" t="n">
        <v>1624</v>
      </c>
      <c r="M138" s="20" t="n">
        <v>1819</v>
      </c>
      <c r="N138" s="20" t="n">
        <v>2132</v>
      </c>
      <c r="V138" s="20" t="n">
        <v>2127</v>
      </c>
      <c r="W138" s="20" t="n">
        <v>2078</v>
      </c>
      <c r="X138" s="20" t="n">
        <v>1819</v>
      </c>
    </row>
    <row r="139">
      <c r="A139" s="18" t="inlineStr">
        <is>
          <t>조정액 · Intersegment Revenue</t>
        </is>
      </c>
      <c r="C139" s="20" t="n">
        <v>-13003</v>
      </c>
      <c r="D139" s="20" t="n">
        <v>-14664</v>
      </c>
      <c r="E139" s="20" t="n">
        <v>-20550</v>
      </c>
      <c r="F139" s="20" t="n">
        <v>-2825</v>
      </c>
      <c r="G139" s="20" t="n">
        <v>-3001</v>
      </c>
      <c r="H139" s="20" t="n">
        <v>-2965</v>
      </c>
      <c r="I139" s="20" t="n">
        <v>-3578</v>
      </c>
      <c r="J139" s="20" t="n">
        <v>-2737</v>
      </c>
      <c r="K139" s="20" t="n">
        <v>-3614</v>
      </c>
      <c r="L139" s="20" t="n">
        <v>-3069</v>
      </c>
      <c r="M139" s="20" t="n">
        <v>-3492</v>
      </c>
      <c r="N139" s="20" t="n">
        <v>-3106</v>
      </c>
      <c r="V139" s="20" t="n">
        <v>-20550</v>
      </c>
      <c r="W139" s="20" t="n">
        <v>-3578</v>
      </c>
      <c r="X139" s="20" t="n">
        <v>-3492</v>
      </c>
    </row>
    <row r="140">
      <c r="A140" s="18" t="inlineStr">
        <is>
          <t>Intersegment Revenue</t>
        </is>
      </c>
      <c r="C140" s="20" t="n">
        <v>0</v>
      </c>
      <c r="D140" s="20" t="n">
        <v>0</v>
      </c>
      <c r="E140" s="20" t="n">
        <v>0</v>
      </c>
      <c r="F140" s="20" t="n">
        <v>0</v>
      </c>
      <c r="G140" s="20" t="n">
        <v>0</v>
      </c>
      <c r="H140" s="20" t="n">
        <v>0</v>
      </c>
      <c r="I140" s="20" t="n">
        <v>0</v>
      </c>
      <c r="J140" s="20" t="n">
        <v>0</v>
      </c>
      <c r="K140" s="20" t="n">
        <v>0</v>
      </c>
      <c r="L140" s="20" t="n">
        <v>0</v>
      </c>
      <c r="M140" s="20" t="n">
        <v>0</v>
      </c>
      <c r="N140" s="20" t="n">
        <v>0</v>
      </c>
      <c r="V140" s="20" t="n">
        <v>0</v>
      </c>
      <c r="W140" s="20" t="n">
        <v>0</v>
      </c>
      <c r="X140" s="20" t="n">
        <v>0</v>
      </c>
    </row>
    <row r="141">
      <c r="A141" s="18" t="inlineStr">
        <is>
          <t>IT서비스 · 계</t>
        </is>
      </c>
      <c r="C141" s="20" t="n">
        <v>467558</v>
      </c>
      <c r="D141" s="20" t="n">
        <v>482073</v>
      </c>
      <c r="E141" s="20" t="n">
        <v>616607</v>
      </c>
      <c r="F141" s="20" t="n">
        <v>502128</v>
      </c>
      <c r="G141" s="20" t="n">
        <v>578653</v>
      </c>
      <c r="H141" s="20" t="n">
        <v>587025</v>
      </c>
      <c r="I141" s="20" t="n">
        <v>793579</v>
      </c>
      <c r="J141" s="20" t="n">
        <v>567453</v>
      </c>
      <c r="K141" s="20" t="n">
        <v>541612</v>
      </c>
      <c r="L141" s="20" t="n">
        <v>603933</v>
      </c>
      <c r="M141" s="20" t="n">
        <v>797886</v>
      </c>
      <c r="N141" s="20" t="n">
        <v>621800</v>
      </c>
      <c r="V141" s="20" t="n">
        <v>616607</v>
      </c>
      <c r="W141" s="20" t="n">
        <v>793579</v>
      </c>
      <c r="X141" s="20" t="n">
        <v>797886</v>
      </c>
    </row>
    <row r="142">
      <c r="A142" s="43" t="inlineStr">
        <is>
          <t>YoY</t>
        </is>
      </c>
      <c r="B142" s="3" t="inlineStr">
        <is>
          <t>전년 같은 분기·전년 대비</t>
        </is>
      </c>
      <c r="G142" s="15">
        <f>IF(OR(G141="",C141=""),"",IF(C141&lt;=0,"",IFERROR(G141/C141-1,"")))</f>
        <v/>
      </c>
      <c r="H142" s="15">
        <f>IF(OR(H141="",D141=""),"",IF(D141&lt;=0,"",IFERROR(H141/D141-1,"")))</f>
        <v/>
      </c>
      <c r="I142" s="15">
        <f>IF(OR(I141="",E141=""),"",IF(E141&lt;=0,"",IFERROR(I141/E141-1,"")))</f>
        <v/>
      </c>
      <c r="J142" s="15">
        <f>IF(OR(J141="",F141=""),"",IF(F141&lt;=0,"",IFERROR(J141/F141-1,"")))</f>
        <v/>
      </c>
      <c r="K142" s="15">
        <f>IF(OR(K141="",G141=""),"",IF(G141&lt;=0,"",IFERROR(K141/G141-1,"")))</f>
        <v/>
      </c>
      <c r="L142" s="15">
        <f>IF(OR(L141="",H141=""),"",IF(H141&lt;=0,"",IFERROR(L141/H141-1,"")))</f>
        <v/>
      </c>
      <c r="M142" s="15">
        <f>IF(OR(M141="",I141=""),"",IF(I141&lt;=0,"",IFERROR(M141/I141-1,"")))</f>
        <v/>
      </c>
      <c r="N142" s="15">
        <f>IF(OR(N141="",J141=""),"",IF(J141&lt;=0,"",IFERROR(N141/J141-1,"")))</f>
        <v/>
      </c>
      <c r="V142" s="15">
        <f>IF(OR(V141="",U141=""),"",IF(U141&lt;=0,"",IFERROR(V141/U141-1,"")))</f>
        <v/>
      </c>
      <c r="W142" s="15">
        <f>IF(OR(W141="",V141=""),"",IF(V141&lt;=0,"",IFERROR(W141/V141-1,"")))</f>
        <v/>
      </c>
      <c r="X142" s="15">
        <f>IF(OR(X141="",W141=""),"",IF(W141&lt;=0,"",IFERROR(X141/W141-1,"")))</f>
        <v/>
      </c>
    </row>
    <row r="143">
      <c r="A143" s="18" t="inlineStr">
        <is>
          <t>사회 인프라 · 계</t>
        </is>
      </c>
      <c r="C143" s="20" t="n">
        <v>263890</v>
      </c>
      <c r="D143" s="20" t="n">
        <v>256632</v>
      </c>
      <c r="E143" s="20" t="n">
        <v>348607</v>
      </c>
      <c r="F143" s="20" t="n">
        <v>158454</v>
      </c>
      <c r="G143" s="20" t="n">
        <v>193409</v>
      </c>
      <c r="H143" s="20" t="n">
        <v>215335</v>
      </c>
      <c r="I143" s="20" t="n">
        <v>268353</v>
      </c>
      <c r="J143" s="20" t="n">
        <v>120841</v>
      </c>
      <c r="K143" s="20" t="n">
        <v>283355</v>
      </c>
      <c r="L143" s="20" t="n">
        <v>216131</v>
      </c>
      <c r="M143" s="20" t="n">
        <v>318084</v>
      </c>
      <c r="N143" s="20" t="n">
        <v>165908</v>
      </c>
      <c r="V143" s="20" t="n">
        <v>348607</v>
      </c>
      <c r="W143" s="20" t="n">
        <v>268353</v>
      </c>
      <c r="X143" s="20" t="n">
        <v>318084</v>
      </c>
    </row>
    <row r="144">
      <c r="A144" s="43" t="inlineStr">
        <is>
          <t>YoY</t>
        </is>
      </c>
      <c r="B144" s="3" t="inlineStr">
        <is>
          <t>전년 같은 분기·전년 대비</t>
        </is>
      </c>
      <c r="G144" s="15">
        <f>IF(OR(G143="",C143=""),"",IF(C143&lt;=0,"",IFERROR(G143/C143-1,"")))</f>
        <v/>
      </c>
      <c r="H144" s="15">
        <f>IF(OR(H143="",D143=""),"",IF(D143&lt;=0,"",IFERROR(H143/D143-1,"")))</f>
        <v/>
      </c>
      <c r="I144" s="15">
        <f>IF(OR(I143="",E143=""),"",IF(E143&lt;=0,"",IFERROR(I143/E143-1,"")))</f>
        <v/>
      </c>
      <c r="J144" s="15">
        <f>IF(OR(J143="",F143=""),"",IF(F143&lt;=0,"",IFERROR(J143/F143-1,"")))</f>
        <v/>
      </c>
      <c r="K144" s="15">
        <f>IF(OR(K143="",G143=""),"",IF(G143&lt;=0,"",IFERROR(K143/G143-1,"")))</f>
        <v/>
      </c>
      <c r="L144" s="15">
        <f>IF(OR(L143="",H143=""),"",IF(H143&lt;=0,"",IFERROR(L143/H143-1,"")))</f>
        <v/>
      </c>
      <c r="M144" s="15">
        <f>IF(OR(M143="",I143=""),"",IF(I143&lt;=0,"",IFERROR(M143/I143-1,"")))</f>
        <v/>
      </c>
      <c r="N144" s="15">
        <f>IF(OR(N143="",J143=""),"",IF(J143&lt;=0,"",IFERROR(N143/J143-1,"")))</f>
        <v/>
      </c>
      <c r="V144" s="15">
        <f>IF(OR(V143="",U143=""),"",IF(U143&lt;=0,"",IFERROR(V143/U143-1,"")))</f>
        <v/>
      </c>
      <c r="W144" s="15">
        <f>IF(OR(W143="",V143=""),"",IF(V143&lt;=0,"",IFERROR(W143/V143-1,"")))</f>
        <v/>
      </c>
      <c r="X144" s="15">
        <f>IF(OR(X143="",W143=""),"",IF(W143&lt;=0,"",IFERROR(X143/W143-1,"")))</f>
        <v/>
      </c>
    </row>
    <row r="145">
      <c r="A145" s="18" t="inlineStr">
        <is>
          <t>보고부문 합계 · 계</t>
        </is>
      </c>
      <c r="C145" s="20" t="n">
        <v>731448</v>
      </c>
      <c r="D145" s="20" t="n">
        <v>738705</v>
      </c>
      <c r="E145" s="20" t="n">
        <v>965214</v>
      </c>
      <c r="F145" s="20" t="n">
        <v>660582</v>
      </c>
      <c r="G145" s="20" t="n">
        <v>772062</v>
      </c>
      <c r="H145" s="20" t="n">
        <v>802360</v>
      </c>
      <c r="I145" s="20" t="n">
        <v>1061932</v>
      </c>
      <c r="J145" s="20" t="n">
        <v>688294</v>
      </c>
      <c r="K145" s="20" t="n">
        <v>824967</v>
      </c>
      <c r="L145" s="20" t="n">
        <v>820064</v>
      </c>
      <c r="M145" s="20" t="n">
        <v>1115970</v>
      </c>
      <c r="N145" s="20" t="n">
        <v>787708</v>
      </c>
      <c r="V145" s="20" t="n">
        <v>965214</v>
      </c>
      <c r="W145" s="20" t="n">
        <v>1061932</v>
      </c>
      <c r="X145" s="20" t="n">
        <v>1115970</v>
      </c>
    </row>
    <row r="146">
      <c r="A146" s="43" t="inlineStr">
        <is>
          <t>YoY</t>
        </is>
      </c>
      <c r="B146" s="3" t="inlineStr">
        <is>
          <t>전년 같은 분기·전년 대비</t>
        </is>
      </c>
      <c r="G146" s="15">
        <f>IF(OR(G145="",C145=""),"",IF(C145&lt;=0,"",IFERROR(G145/C145-1,"")))</f>
        <v/>
      </c>
      <c r="H146" s="15">
        <f>IF(OR(H145="",D145=""),"",IF(D145&lt;=0,"",IFERROR(H145/D145-1,"")))</f>
        <v/>
      </c>
      <c r="I146" s="15">
        <f>IF(OR(I145="",E145=""),"",IF(E145&lt;=0,"",IFERROR(I145/E145-1,"")))</f>
        <v/>
      </c>
      <c r="J146" s="15">
        <f>IF(OR(J145="",F145=""),"",IF(F145&lt;=0,"",IFERROR(J145/F145-1,"")))</f>
        <v/>
      </c>
      <c r="K146" s="15">
        <f>IF(OR(K145="",G145=""),"",IF(G145&lt;=0,"",IFERROR(K145/G145-1,"")))</f>
        <v/>
      </c>
      <c r="L146" s="15">
        <f>IF(OR(L145="",H145=""),"",IF(H145&lt;=0,"",IFERROR(L145/H145-1,"")))</f>
        <v/>
      </c>
      <c r="M146" s="15">
        <f>IF(OR(M145="",I145=""),"",IF(I145&lt;=0,"",IFERROR(M145/I145-1,"")))</f>
        <v/>
      </c>
      <c r="N146" s="15">
        <f>IF(OR(N145="",J145=""),"",IF(J145&lt;=0,"",IFERROR(N145/J145-1,"")))</f>
        <v/>
      </c>
      <c r="V146" s="15">
        <f>IF(OR(V145="",U145=""),"",IF(U145&lt;=0,"",IFERROR(V145/U145-1,"")))</f>
        <v/>
      </c>
      <c r="W146" s="15">
        <f>IF(OR(W145="",V145=""),"",IF(V145&lt;=0,"",IFERROR(W145/V145-1,"")))</f>
        <v/>
      </c>
      <c r="X146" s="15">
        <f>IF(OR(X145="",W145=""),"",IF(W145&lt;=0,"",IFERROR(X145/W145-1,"")))</f>
        <v/>
      </c>
    </row>
    <row r="147">
      <c r="A147" s="18" t="inlineStr">
        <is>
          <t>기타 · 계</t>
        </is>
      </c>
      <c r="C147" s="20" t="n">
        <v>123814</v>
      </c>
      <c r="D147" s="20" t="n">
        <v>120434</v>
      </c>
      <c r="E147" s="20" t="n">
        <v>139322</v>
      </c>
      <c r="F147" s="20" t="n">
        <v>32539</v>
      </c>
      <c r="G147" s="20" t="n">
        <v>27319</v>
      </c>
      <c r="H147" s="20" t="n">
        <v>35738</v>
      </c>
      <c r="I147" s="20" t="n">
        <v>43268</v>
      </c>
      <c r="J147" s="20" t="n">
        <v>30101</v>
      </c>
      <c r="K147" s="20" t="n">
        <v>32768</v>
      </c>
      <c r="L147" s="20" t="n">
        <v>35543</v>
      </c>
      <c r="M147" s="20" t="n">
        <v>47938</v>
      </c>
      <c r="N147" s="20" t="n">
        <v>35172</v>
      </c>
      <c r="V147" s="20" t="n">
        <v>139322</v>
      </c>
      <c r="W147" s="20" t="n">
        <v>43268</v>
      </c>
      <c r="X147" s="20" t="n">
        <v>47938</v>
      </c>
    </row>
    <row r="148">
      <c r="A148" s="43" t="inlineStr">
        <is>
          <t>YoY</t>
        </is>
      </c>
      <c r="B148" s="3" t="inlineStr">
        <is>
          <t>전년 같은 분기·전년 대비</t>
        </is>
      </c>
      <c r="G148" s="15">
        <f>IF(OR(G147="",C147=""),"",IF(C147&lt;=0,"",IFERROR(G147/C147-1,"")))</f>
        <v/>
      </c>
      <c r="H148" s="15">
        <f>IF(OR(H147="",D147=""),"",IF(D147&lt;=0,"",IFERROR(H147/D147-1,"")))</f>
        <v/>
      </c>
      <c r="I148" s="15">
        <f>IF(OR(I147="",E147=""),"",IF(E147&lt;=0,"",IFERROR(I147/E147-1,"")))</f>
        <v/>
      </c>
      <c r="J148" s="15">
        <f>IF(OR(J147="",F147=""),"",IF(F147&lt;=0,"",IFERROR(J147/F147-1,"")))</f>
        <v/>
      </c>
      <c r="K148" s="15">
        <f>IF(OR(K147="",G147=""),"",IF(G147&lt;=0,"",IFERROR(K147/G147-1,"")))</f>
        <v/>
      </c>
      <c r="L148" s="15">
        <f>IF(OR(L147="",H147=""),"",IF(H147&lt;=0,"",IFERROR(L147/H147-1,"")))</f>
        <v/>
      </c>
      <c r="M148" s="15">
        <f>IF(OR(M147="",I147=""),"",IF(I147&lt;=0,"",IFERROR(M147/I147-1,"")))</f>
        <v/>
      </c>
      <c r="N148" s="15">
        <f>IF(OR(N147="",J147=""),"",IF(J147&lt;=0,"",IFERROR(N147/J147-1,"")))</f>
        <v/>
      </c>
      <c r="V148" s="15">
        <f>IF(OR(V147="",U147=""),"",IF(U147&lt;=0,"",IFERROR(V147/U147-1,"")))</f>
        <v/>
      </c>
      <c r="W148" s="15">
        <f>IF(OR(W147="",V147=""),"",IF(V147&lt;=0,"",IFERROR(W147/V147-1,"")))</f>
        <v/>
      </c>
      <c r="X148" s="15">
        <f>IF(OR(X147="",W147=""),"",IF(W147&lt;=0,"",IFERROR(X147/W147-1,"")))</f>
        <v/>
      </c>
    </row>
    <row r="149">
      <c r="A149" s="18" t="inlineStr">
        <is>
          <t>조정액 · 계</t>
        </is>
      </c>
      <c r="C149" s="20" t="n">
        <v>-13003</v>
      </c>
      <c r="D149" s="20" t="n">
        <v>-14664</v>
      </c>
      <c r="E149" s="20" t="n">
        <v>-20550</v>
      </c>
      <c r="F149" s="20" t="n">
        <v>-2825</v>
      </c>
      <c r="G149" s="20" t="n">
        <v>-3001</v>
      </c>
      <c r="H149" s="20" t="n">
        <v>-2965</v>
      </c>
      <c r="I149" s="20" t="n">
        <v>-3578</v>
      </c>
      <c r="J149" s="20" t="n">
        <v>-2737</v>
      </c>
      <c r="K149" s="20" t="n">
        <v>-3614</v>
      </c>
      <c r="L149" s="20" t="n">
        <v>-3069</v>
      </c>
      <c r="M149" s="20" t="n">
        <v>-3492</v>
      </c>
      <c r="N149" s="20" t="n">
        <v>-3106</v>
      </c>
      <c r="V149" s="20" t="n">
        <v>-20550</v>
      </c>
      <c r="W149" s="20" t="n">
        <v>-3578</v>
      </c>
      <c r="X149" s="20" t="n">
        <v>-3492</v>
      </c>
    </row>
    <row r="150">
      <c r="A150" s="9" t="inlineStr">
        <is>
          <t>계</t>
        </is>
      </c>
      <c r="C150" s="12" t="n">
        <v>842259</v>
      </c>
      <c r="D150" s="12" t="n">
        <v>844475</v>
      </c>
      <c r="E150" s="12" t="n">
        <v>1083986</v>
      </c>
      <c r="F150" s="12" t="n">
        <v>690296</v>
      </c>
      <c r="G150" s="12" t="n">
        <v>796380</v>
      </c>
      <c r="H150" s="12" t="n">
        <v>835133</v>
      </c>
      <c r="I150" s="12" t="n">
        <v>1101622</v>
      </c>
      <c r="J150" s="12" t="n">
        <v>715658</v>
      </c>
      <c r="K150" s="12" t="n">
        <v>854121</v>
      </c>
      <c r="L150" s="12" t="n">
        <v>852538</v>
      </c>
      <c r="M150" s="12" t="n">
        <v>1160416</v>
      </c>
      <c r="N150" s="12" t="n">
        <v>819774</v>
      </c>
      <c r="V150" s="12" t="n">
        <v>1083986</v>
      </c>
      <c r="W150" s="12" t="n">
        <v>1101622</v>
      </c>
      <c r="X150" s="12" t="n">
        <v>1160416</v>
      </c>
    </row>
    <row r="151">
      <c r="A151" s="43" t="inlineStr">
        <is>
          <t>YoY</t>
        </is>
      </c>
      <c r="B151" s="3" t="inlineStr">
        <is>
          <t>전년 같은 분기·전년 대비</t>
        </is>
      </c>
      <c r="G151" s="15">
        <f>IF(OR(G150="",C150=""),"",IF(C150&lt;=0,"",IFERROR(G150/C150-1,"")))</f>
        <v/>
      </c>
      <c r="H151" s="15">
        <f>IF(OR(H150="",D150=""),"",IF(D150&lt;=0,"",IFERROR(H150/D150-1,"")))</f>
        <v/>
      </c>
      <c r="I151" s="15">
        <f>IF(OR(I150="",E150=""),"",IF(E150&lt;=0,"",IFERROR(I150/E150-1,"")))</f>
        <v/>
      </c>
      <c r="J151" s="15">
        <f>IF(OR(J150="",F150=""),"",IF(F150&lt;=0,"",IFERROR(J150/F150-1,"")))</f>
        <v/>
      </c>
      <c r="K151" s="15">
        <f>IF(OR(K150="",G150=""),"",IF(G150&lt;=0,"",IFERROR(K150/G150-1,"")))</f>
        <v/>
      </c>
      <c r="L151" s="15">
        <f>IF(OR(L150="",H150=""),"",IF(H150&lt;=0,"",IFERROR(L150/H150-1,"")))</f>
        <v/>
      </c>
      <c r="M151" s="15">
        <f>IF(OR(M150="",I150=""),"",IF(I150&lt;=0,"",IFERROR(M150/I150-1,"")))</f>
        <v/>
      </c>
      <c r="N151" s="15">
        <f>IF(OR(N150="",J150=""),"",IF(J150&lt;=0,"",IFERROR(N150/J150-1,"")))</f>
        <v/>
      </c>
      <c r="V151" s="15">
        <f>IF(OR(V150="",U150=""),"",IF(U150&lt;=0,"",IFERROR(V150/U150-1,"")))</f>
        <v/>
      </c>
      <c r="W151" s="15">
        <f>IF(OR(W150="",V150=""),"",IF(V150&lt;=0,"",IFERROR(W150/V150-1,"")))</f>
        <v/>
      </c>
      <c r="X151" s="15">
        <f>IF(OR(X150="",W150=""),"",IF(W150&lt;=0,"",IFERROR(X150/W150-1,"")))</f>
        <v/>
      </c>
    </row>
    <row r="152">
      <c r="A152" s="18" t="inlineStr">
        <is>
          <t>IT서비스 · 부문 손익</t>
        </is>
      </c>
      <c r="C152" s="20" t="n">
        <v>35302</v>
      </c>
      <c r="D152" s="20" t="n">
        <v>41597</v>
      </c>
      <c r="E152" s="20" t="n">
        <v>95299</v>
      </c>
      <c r="F152" s="20" t="n">
        <v>11650</v>
      </c>
      <c r="G152" s="20" t="n">
        <v>44599</v>
      </c>
      <c r="H152" s="20" t="n">
        <v>62658</v>
      </c>
      <c r="I152" s="20" t="n">
        <v>132915</v>
      </c>
      <c r="J152" s="20" t="n">
        <v>40819</v>
      </c>
      <c r="K152" s="20" t="n">
        <v>74743</v>
      </c>
      <c r="L152" s="20" t="n">
        <v>80113</v>
      </c>
      <c r="M152" s="20" t="n">
        <v>141029</v>
      </c>
      <c r="N152" s="20" t="n">
        <v>57803</v>
      </c>
      <c r="V152" s="20" t="n">
        <v>95299</v>
      </c>
      <c r="W152" s="20" t="n">
        <v>132915</v>
      </c>
      <c r="X152" s="20" t="n">
        <v>141029</v>
      </c>
    </row>
    <row r="153">
      <c r="A153" s="43" t="inlineStr">
        <is>
          <t>OPM</t>
        </is>
      </c>
      <c r="B153" s="3" t="inlineStr">
        <is>
          <t>영업이익 ÷ 매출</t>
        </is>
      </c>
      <c r="C153" s="15">
        <f>IF(OR(C152="",C141=""),"",IF(C141&lt;=0,"",IFERROR(C152/C141,"")))</f>
        <v/>
      </c>
      <c r="D153" s="15">
        <f>IF(OR(D152="",D141=""),"",IF(D141&lt;=0,"",IFERROR(D152/D141,"")))</f>
        <v/>
      </c>
      <c r="E153" s="15">
        <f>IF(OR(E152="",E141=""),"",IF(E141&lt;=0,"",IFERROR(E152/E141,"")))</f>
        <v/>
      </c>
      <c r="F153" s="15">
        <f>IF(OR(F152="",F141=""),"",IF(F141&lt;=0,"",IFERROR(F152/F141,"")))</f>
        <v/>
      </c>
      <c r="G153" s="15">
        <f>IF(OR(G152="",G141=""),"",IF(G141&lt;=0,"",IFERROR(G152/G141,"")))</f>
        <v/>
      </c>
      <c r="H153" s="15">
        <f>IF(OR(H152="",H141=""),"",IF(H141&lt;=0,"",IFERROR(H152/H141,"")))</f>
        <v/>
      </c>
      <c r="I153" s="15">
        <f>IF(OR(I152="",I141=""),"",IF(I141&lt;=0,"",IFERROR(I152/I141,"")))</f>
        <v/>
      </c>
      <c r="J153" s="15">
        <f>IF(OR(J152="",J141=""),"",IF(J141&lt;=0,"",IFERROR(J152/J141,"")))</f>
        <v/>
      </c>
      <c r="K153" s="15">
        <f>IF(OR(K152="",K141=""),"",IF(K141&lt;=0,"",IFERROR(K152/K141,"")))</f>
        <v/>
      </c>
      <c r="L153" s="15">
        <f>IF(OR(L152="",L141=""),"",IF(L141&lt;=0,"",IFERROR(L152/L141,"")))</f>
        <v/>
      </c>
      <c r="M153" s="15">
        <f>IF(OR(M152="",M141=""),"",IF(M141&lt;=0,"",IFERROR(M152/M141,"")))</f>
        <v/>
      </c>
      <c r="N153" s="15">
        <f>IF(OR(N152="",N141=""),"",IF(N141&lt;=0,"",IFERROR(N152/N141,"")))</f>
        <v/>
      </c>
      <c r="V153" s="15">
        <f>IF(OR(V152="",V141=""),"",IF(V141&lt;=0,"",IFERROR(V152/V141,"")))</f>
        <v/>
      </c>
      <c r="W153" s="15">
        <f>IF(OR(W152="",W141=""),"",IF(W141&lt;=0,"",IFERROR(W152/W141,"")))</f>
        <v/>
      </c>
      <c r="X153" s="15">
        <f>IF(OR(X152="",X141=""),"",IF(X141&lt;=0,"",IFERROR(X152/X141,"")))</f>
        <v/>
      </c>
    </row>
    <row r="154">
      <c r="A154" s="43" t="inlineStr">
        <is>
          <t>YoY</t>
        </is>
      </c>
      <c r="B154" s="3" t="inlineStr">
        <is>
          <t>전년 같은 분기·전년 대비</t>
        </is>
      </c>
      <c r="G154" s="15">
        <f>IF(OR(G152="",C152=""),"",IF(C152&lt;=0,"",IFERROR(G152/C152-1,"")))</f>
        <v/>
      </c>
      <c r="H154" s="15">
        <f>IF(OR(H152="",D152=""),"",IF(D152&lt;=0,"",IFERROR(H152/D152-1,"")))</f>
        <v/>
      </c>
      <c r="I154" s="15">
        <f>IF(OR(I152="",E152=""),"",IF(E152&lt;=0,"",IFERROR(I152/E152-1,"")))</f>
        <v/>
      </c>
      <c r="J154" s="15">
        <f>IF(OR(J152="",F152=""),"",IF(F152&lt;=0,"",IFERROR(J152/F152-1,"")))</f>
        <v/>
      </c>
      <c r="K154" s="15">
        <f>IF(OR(K152="",G152=""),"",IF(G152&lt;=0,"",IFERROR(K152/G152-1,"")))</f>
        <v/>
      </c>
      <c r="L154" s="15">
        <f>IF(OR(L152="",H152=""),"",IF(H152&lt;=0,"",IFERROR(L152/H152-1,"")))</f>
        <v/>
      </c>
      <c r="M154" s="15">
        <f>IF(OR(M152="",I152=""),"",IF(I152&lt;=0,"",IFERROR(M152/I152-1,"")))</f>
        <v/>
      </c>
      <c r="N154" s="15">
        <f>IF(OR(N152="",J152=""),"",IF(J152&lt;=0,"",IFERROR(N152/J152-1,"")))</f>
        <v/>
      </c>
      <c r="V154" s="15">
        <f>IF(OR(V152="",U152=""),"",IF(U152&lt;=0,"",IFERROR(V152/U152-1,"")))</f>
        <v/>
      </c>
      <c r="W154" s="15">
        <f>IF(OR(W152="",V152=""),"",IF(V152&lt;=0,"",IFERROR(W152/V152-1,"")))</f>
        <v/>
      </c>
      <c r="X154" s="15">
        <f>IF(OR(X152="",W152=""),"",IF(W152&lt;=0,"",IFERROR(X152/W152-1,"")))</f>
        <v/>
      </c>
    </row>
    <row r="155">
      <c r="A155" s="18" t="inlineStr">
        <is>
          <t>사회 인프라 · 부문 손익</t>
        </is>
      </c>
      <c r="C155" s="20" t="n">
        <v>13622</v>
      </c>
      <c r="D155" s="20" t="n">
        <v>10325</v>
      </c>
      <c r="E155" s="20" t="n">
        <v>38385</v>
      </c>
      <c r="F155" s="20" t="n">
        <v>1511</v>
      </c>
      <c r="G155" s="20" t="n">
        <v>10279</v>
      </c>
      <c r="H155" s="20" t="n">
        <v>27551</v>
      </c>
      <c r="I155" s="20" t="n">
        <v>21115</v>
      </c>
      <c r="J155" s="20" t="n">
        <v>3046</v>
      </c>
      <c r="K155" s="20" t="n">
        <v>25565</v>
      </c>
      <c r="L155" s="20" t="n">
        <v>-740</v>
      </c>
      <c r="M155" s="20" t="n">
        <v>46447</v>
      </c>
      <c r="N155" s="20" t="n">
        <v>16087</v>
      </c>
      <c r="V155" s="20" t="n">
        <v>38385</v>
      </c>
      <c r="W155" s="20" t="n">
        <v>21115</v>
      </c>
      <c r="X155" s="20" t="n">
        <v>46447</v>
      </c>
    </row>
    <row r="156">
      <c r="A156" s="43" t="inlineStr">
        <is>
          <t>OPM</t>
        </is>
      </c>
      <c r="B156" s="3" t="inlineStr">
        <is>
          <t>영업이익 ÷ 매출</t>
        </is>
      </c>
      <c r="C156" s="15">
        <f>IF(OR(C155="",C143=""),"",IF(C143&lt;=0,"",IFERROR(C155/C143,"")))</f>
        <v/>
      </c>
      <c r="D156" s="15">
        <f>IF(OR(D155="",D143=""),"",IF(D143&lt;=0,"",IFERROR(D155/D143,"")))</f>
        <v/>
      </c>
      <c r="E156" s="15">
        <f>IF(OR(E155="",E143=""),"",IF(E143&lt;=0,"",IFERROR(E155/E143,"")))</f>
        <v/>
      </c>
      <c r="F156" s="15">
        <f>IF(OR(F155="",F143=""),"",IF(F143&lt;=0,"",IFERROR(F155/F143,"")))</f>
        <v/>
      </c>
      <c r="G156" s="15">
        <f>IF(OR(G155="",G143=""),"",IF(G143&lt;=0,"",IFERROR(G155/G143,"")))</f>
        <v/>
      </c>
      <c r="H156" s="15">
        <f>IF(OR(H155="",H143=""),"",IF(H143&lt;=0,"",IFERROR(H155/H143,"")))</f>
        <v/>
      </c>
      <c r="I156" s="15">
        <f>IF(OR(I155="",I143=""),"",IF(I143&lt;=0,"",IFERROR(I155/I143,"")))</f>
        <v/>
      </c>
      <c r="J156" s="15">
        <f>IF(OR(J155="",J143=""),"",IF(J143&lt;=0,"",IFERROR(J155/J143,"")))</f>
        <v/>
      </c>
      <c r="K156" s="15">
        <f>IF(OR(K155="",K143=""),"",IF(K143&lt;=0,"",IFERROR(K155/K143,"")))</f>
        <v/>
      </c>
      <c r="L156" s="15">
        <f>IF(OR(L155="",L143=""),"",IF(L143&lt;=0,"",IFERROR(L155/L143,"")))</f>
        <v/>
      </c>
      <c r="M156" s="15">
        <f>IF(OR(M155="",M143=""),"",IF(M143&lt;=0,"",IFERROR(M155/M143,"")))</f>
        <v/>
      </c>
      <c r="N156" s="15">
        <f>IF(OR(N155="",N143=""),"",IF(N143&lt;=0,"",IFERROR(N155/N143,"")))</f>
        <v/>
      </c>
      <c r="V156" s="15">
        <f>IF(OR(V155="",V143=""),"",IF(V143&lt;=0,"",IFERROR(V155/V143,"")))</f>
        <v/>
      </c>
      <c r="W156" s="15">
        <f>IF(OR(W155="",W143=""),"",IF(W143&lt;=0,"",IFERROR(W155/W143,"")))</f>
        <v/>
      </c>
      <c r="X156" s="15">
        <f>IF(OR(X155="",X143=""),"",IF(X143&lt;=0,"",IFERROR(X155/X143,"")))</f>
        <v/>
      </c>
    </row>
    <row r="157">
      <c r="A157" s="43" t="inlineStr">
        <is>
          <t>YoY</t>
        </is>
      </c>
      <c r="B157" s="3" t="inlineStr">
        <is>
          <t>전년 같은 분기·전년 대비</t>
        </is>
      </c>
      <c r="G157" s="15">
        <f>IF(OR(G155="",C155=""),"",IF(C155&lt;=0,"",IFERROR(G155/C155-1,"")))</f>
        <v/>
      </c>
      <c r="H157" s="15">
        <f>IF(OR(H155="",D155=""),"",IF(D155&lt;=0,"",IFERROR(H155/D155-1,"")))</f>
        <v/>
      </c>
      <c r="I157" s="15">
        <f>IF(OR(I155="",E155=""),"",IF(E155&lt;=0,"",IFERROR(I155/E155-1,"")))</f>
        <v/>
      </c>
      <c r="J157" s="15">
        <f>IF(OR(J155="",F155=""),"",IF(F155&lt;=0,"",IFERROR(J155/F155-1,"")))</f>
        <v/>
      </c>
      <c r="K157" s="15">
        <f>IF(OR(K155="",G155=""),"",IF(G155&lt;=0,"",IFERROR(K155/G155-1,"")))</f>
        <v/>
      </c>
      <c r="L157" s="15">
        <f>IF(OR(L155="",H155=""),"",IF(H155&lt;=0,"",IFERROR(L155/H155-1,"")))</f>
        <v/>
      </c>
      <c r="M157" s="15">
        <f>IF(OR(M155="",I155=""),"",IF(I155&lt;=0,"",IFERROR(M155/I155-1,"")))</f>
        <v/>
      </c>
      <c r="N157" s="15">
        <f>IF(OR(N155="",J155=""),"",IF(J155&lt;=0,"",IFERROR(N155/J155-1,"")))</f>
        <v/>
      </c>
      <c r="V157" s="15">
        <f>IF(OR(V155="",U155=""),"",IF(U155&lt;=0,"",IFERROR(V155/U155-1,"")))</f>
        <v/>
      </c>
      <c r="W157" s="15">
        <f>IF(OR(W155="",V155=""),"",IF(V155&lt;=0,"",IFERROR(W155/V155-1,"")))</f>
        <v/>
      </c>
      <c r="X157" s="15">
        <f>IF(OR(X155="",W155=""),"",IF(W155&lt;=0,"",IFERROR(X155/W155-1,"")))</f>
        <v/>
      </c>
    </row>
    <row r="158">
      <c r="A158" s="18" t="inlineStr">
        <is>
          <t>보고부문 합계 · 부문 손익</t>
        </is>
      </c>
      <c r="C158" s="20" t="n">
        <v>48924</v>
      </c>
      <c r="D158" s="20" t="n">
        <v>51922</v>
      </c>
      <c r="E158" s="20" t="n">
        <v>133684</v>
      </c>
      <c r="F158" s="20" t="n">
        <v>13161</v>
      </c>
      <c r="G158" s="20" t="n">
        <v>54878</v>
      </c>
      <c r="H158" s="20" t="n">
        <v>90209</v>
      </c>
      <c r="I158" s="20" t="n">
        <v>154030</v>
      </c>
      <c r="J158" s="20" t="n">
        <v>43865</v>
      </c>
      <c r="K158" s="20" t="n">
        <v>100308</v>
      </c>
      <c r="L158" s="20" t="n">
        <v>79373</v>
      </c>
      <c r="M158" s="20" t="n">
        <v>187476</v>
      </c>
      <c r="N158" s="20" t="n">
        <v>73890</v>
      </c>
      <c r="V158" s="20" t="n">
        <v>133684</v>
      </c>
      <c r="W158" s="20" t="n">
        <v>154030</v>
      </c>
      <c r="X158" s="20" t="n">
        <v>187476</v>
      </c>
    </row>
    <row r="159">
      <c r="A159" s="43" t="inlineStr">
        <is>
          <t>OPM</t>
        </is>
      </c>
      <c r="B159" s="3" t="inlineStr">
        <is>
          <t>영업이익 ÷ 매출</t>
        </is>
      </c>
      <c r="C159" s="15">
        <f>IF(OR(C158="",C145=""),"",IF(C145&lt;=0,"",IFERROR(C158/C145,"")))</f>
        <v/>
      </c>
      <c r="D159" s="15">
        <f>IF(OR(D158="",D145=""),"",IF(D145&lt;=0,"",IFERROR(D158/D145,"")))</f>
        <v/>
      </c>
      <c r="E159" s="15">
        <f>IF(OR(E158="",E145=""),"",IF(E145&lt;=0,"",IFERROR(E158/E145,"")))</f>
        <v/>
      </c>
      <c r="F159" s="15">
        <f>IF(OR(F158="",F145=""),"",IF(F145&lt;=0,"",IFERROR(F158/F145,"")))</f>
        <v/>
      </c>
      <c r="G159" s="15">
        <f>IF(OR(G158="",G145=""),"",IF(G145&lt;=0,"",IFERROR(G158/G145,"")))</f>
        <v/>
      </c>
      <c r="H159" s="15">
        <f>IF(OR(H158="",H145=""),"",IF(H145&lt;=0,"",IFERROR(H158/H145,"")))</f>
        <v/>
      </c>
      <c r="I159" s="15">
        <f>IF(OR(I158="",I145=""),"",IF(I145&lt;=0,"",IFERROR(I158/I145,"")))</f>
        <v/>
      </c>
      <c r="J159" s="15">
        <f>IF(OR(J158="",J145=""),"",IF(J145&lt;=0,"",IFERROR(J158/J145,"")))</f>
        <v/>
      </c>
      <c r="K159" s="15">
        <f>IF(OR(K158="",K145=""),"",IF(K145&lt;=0,"",IFERROR(K158/K145,"")))</f>
        <v/>
      </c>
      <c r="L159" s="15">
        <f>IF(OR(L158="",L145=""),"",IF(L145&lt;=0,"",IFERROR(L158/L145,"")))</f>
        <v/>
      </c>
      <c r="M159" s="15">
        <f>IF(OR(M158="",M145=""),"",IF(M145&lt;=0,"",IFERROR(M158/M145,"")))</f>
        <v/>
      </c>
      <c r="N159" s="15">
        <f>IF(OR(N158="",N145=""),"",IF(N145&lt;=0,"",IFERROR(N158/N145,"")))</f>
        <v/>
      </c>
      <c r="V159" s="15">
        <f>IF(OR(V158="",V145=""),"",IF(V145&lt;=0,"",IFERROR(V158/V145,"")))</f>
        <v/>
      </c>
      <c r="W159" s="15">
        <f>IF(OR(W158="",W145=""),"",IF(W145&lt;=0,"",IFERROR(W158/W145,"")))</f>
        <v/>
      </c>
      <c r="X159" s="15">
        <f>IF(OR(X158="",X145=""),"",IF(X145&lt;=0,"",IFERROR(X158/X145,"")))</f>
        <v/>
      </c>
    </row>
    <row r="160">
      <c r="A160" s="43" t="inlineStr">
        <is>
          <t>YoY</t>
        </is>
      </c>
      <c r="B160" s="3" t="inlineStr">
        <is>
          <t>전년 같은 분기·전년 대비</t>
        </is>
      </c>
      <c r="G160" s="15">
        <f>IF(OR(G158="",C158=""),"",IF(C158&lt;=0,"",IFERROR(G158/C158-1,"")))</f>
        <v/>
      </c>
      <c r="H160" s="15">
        <f>IF(OR(H158="",D158=""),"",IF(D158&lt;=0,"",IFERROR(H158/D158-1,"")))</f>
        <v/>
      </c>
      <c r="I160" s="15">
        <f>IF(OR(I158="",E158=""),"",IF(E158&lt;=0,"",IFERROR(I158/E158-1,"")))</f>
        <v/>
      </c>
      <c r="J160" s="15">
        <f>IF(OR(J158="",F158=""),"",IF(F158&lt;=0,"",IFERROR(J158/F158-1,"")))</f>
        <v/>
      </c>
      <c r="K160" s="15">
        <f>IF(OR(K158="",G158=""),"",IF(G158&lt;=0,"",IFERROR(K158/G158-1,"")))</f>
        <v/>
      </c>
      <c r="L160" s="15">
        <f>IF(OR(L158="",H158=""),"",IF(H158&lt;=0,"",IFERROR(L158/H158-1,"")))</f>
        <v/>
      </c>
      <c r="M160" s="15">
        <f>IF(OR(M158="",I158=""),"",IF(I158&lt;=0,"",IFERROR(M158/I158-1,"")))</f>
        <v/>
      </c>
      <c r="N160" s="15">
        <f>IF(OR(N158="",J158=""),"",IF(J158&lt;=0,"",IFERROR(N158/J158-1,"")))</f>
        <v/>
      </c>
      <c r="V160" s="15">
        <f>IF(OR(V158="",U158=""),"",IF(U158&lt;=0,"",IFERROR(V158/U158-1,"")))</f>
        <v/>
      </c>
      <c r="W160" s="15">
        <f>IF(OR(W158="",V158=""),"",IF(V158&lt;=0,"",IFERROR(W158/V158-1,"")))</f>
        <v/>
      </c>
      <c r="X160" s="15">
        <f>IF(OR(X158="",W158=""),"",IF(W158&lt;=0,"",IFERROR(X158/W158-1,"")))</f>
        <v/>
      </c>
    </row>
    <row r="161">
      <c r="A161" s="18" t="inlineStr">
        <is>
          <t>기타 · 부문 손익</t>
        </is>
      </c>
      <c r="C161" s="20" t="n">
        <v>3152</v>
      </c>
      <c r="D161" s="20" t="n">
        <v>4532</v>
      </c>
      <c r="E161" s="20" t="n">
        <v>-676</v>
      </c>
      <c r="F161" s="20" t="n">
        <v>1211</v>
      </c>
      <c r="G161" s="20" t="n">
        <v>-1052</v>
      </c>
      <c r="H161" s="20" t="n">
        <v>-247</v>
      </c>
      <c r="I161" s="20" t="n">
        <v>-2884</v>
      </c>
      <c r="J161" s="20" t="n">
        <v>364</v>
      </c>
      <c r="K161" s="20" t="n">
        <v>-3214</v>
      </c>
      <c r="L161" s="20" t="n">
        <v>-1462</v>
      </c>
      <c r="M161" s="20" t="n">
        <v>166</v>
      </c>
      <c r="N161" s="20" t="n">
        <v>3393</v>
      </c>
      <c r="V161" s="20" t="n">
        <v>-676</v>
      </c>
      <c r="W161" s="20" t="n">
        <v>-2884</v>
      </c>
      <c r="X161" s="20" t="n">
        <v>166</v>
      </c>
    </row>
    <row r="162">
      <c r="A162" s="43" t="inlineStr">
        <is>
          <t>OPM</t>
        </is>
      </c>
      <c r="B162" s="3" t="inlineStr">
        <is>
          <t>영업이익 ÷ 매출</t>
        </is>
      </c>
      <c r="C162" s="15">
        <f>IF(OR(C161="",C147=""),"",IF(C147&lt;=0,"",IFERROR(C161/C147,"")))</f>
        <v/>
      </c>
      <c r="D162" s="15">
        <f>IF(OR(D161="",D147=""),"",IF(D147&lt;=0,"",IFERROR(D161/D147,"")))</f>
        <v/>
      </c>
      <c r="E162" s="15">
        <f>IF(OR(E161="",E147=""),"",IF(E147&lt;=0,"",IFERROR(E161/E147,"")))</f>
        <v/>
      </c>
      <c r="F162" s="15">
        <f>IF(OR(F161="",F147=""),"",IF(F147&lt;=0,"",IFERROR(F161/F147,"")))</f>
        <v/>
      </c>
      <c r="G162" s="15">
        <f>IF(OR(G161="",G147=""),"",IF(G147&lt;=0,"",IFERROR(G161/G147,"")))</f>
        <v/>
      </c>
      <c r="H162" s="15">
        <f>IF(OR(H161="",H147=""),"",IF(H147&lt;=0,"",IFERROR(H161/H147,"")))</f>
        <v/>
      </c>
      <c r="I162" s="15">
        <f>IF(OR(I161="",I147=""),"",IF(I147&lt;=0,"",IFERROR(I161/I147,"")))</f>
        <v/>
      </c>
      <c r="J162" s="15">
        <f>IF(OR(J161="",J147=""),"",IF(J147&lt;=0,"",IFERROR(J161/J147,"")))</f>
        <v/>
      </c>
      <c r="K162" s="15">
        <f>IF(OR(K161="",K147=""),"",IF(K147&lt;=0,"",IFERROR(K161/K147,"")))</f>
        <v/>
      </c>
      <c r="L162" s="15">
        <f>IF(OR(L161="",L147=""),"",IF(L147&lt;=0,"",IFERROR(L161/L147,"")))</f>
        <v/>
      </c>
      <c r="M162" s="15">
        <f>IF(OR(M161="",M147=""),"",IF(M147&lt;=0,"",IFERROR(M161/M147,"")))</f>
        <v/>
      </c>
      <c r="N162" s="15">
        <f>IF(OR(N161="",N147=""),"",IF(N147&lt;=0,"",IFERROR(N161/N147,"")))</f>
        <v/>
      </c>
      <c r="V162" s="15">
        <f>IF(OR(V161="",V147=""),"",IF(V147&lt;=0,"",IFERROR(V161/V147,"")))</f>
        <v/>
      </c>
      <c r="W162" s="15">
        <f>IF(OR(W161="",W147=""),"",IF(W147&lt;=0,"",IFERROR(W161/W147,"")))</f>
        <v/>
      </c>
      <c r="X162" s="15">
        <f>IF(OR(X161="",X147=""),"",IF(X147&lt;=0,"",IFERROR(X161/X147,"")))</f>
        <v/>
      </c>
    </row>
    <row r="163">
      <c r="A163" s="43" t="inlineStr">
        <is>
          <t>YoY</t>
        </is>
      </c>
      <c r="B163" s="3" t="inlineStr">
        <is>
          <t>전년 같은 분기·전년 대비</t>
        </is>
      </c>
      <c r="G163" s="15">
        <f>IF(OR(G161="",C161=""),"",IF(C161&lt;=0,"",IFERROR(G161/C161-1,"")))</f>
        <v/>
      </c>
      <c r="H163" s="15">
        <f>IF(OR(H161="",D161=""),"",IF(D161&lt;=0,"",IFERROR(H161/D161-1,"")))</f>
        <v/>
      </c>
      <c r="I163" s="15">
        <f>IF(OR(I161="",E161=""),"",IF(E161&lt;=0,"",IFERROR(I161/E161-1,"")))</f>
        <v/>
      </c>
      <c r="J163" s="15">
        <f>IF(OR(J161="",F161=""),"",IF(F161&lt;=0,"",IFERROR(J161/F161-1,"")))</f>
        <v/>
      </c>
      <c r="K163" s="15">
        <f>IF(OR(K161="",G161=""),"",IF(G161&lt;=0,"",IFERROR(K161/G161-1,"")))</f>
        <v/>
      </c>
      <c r="L163" s="15">
        <f>IF(OR(L161="",H161=""),"",IF(H161&lt;=0,"",IFERROR(L161/H161-1,"")))</f>
        <v/>
      </c>
      <c r="M163" s="15">
        <f>IF(OR(M161="",I161=""),"",IF(I161&lt;=0,"",IFERROR(M161/I161-1,"")))</f>
        <v/>
      </c>
      <c r="N163" s="15">
        <f>IF(OR(N161="",J161=""),"",IF(J161&lt;=0,"",IFERROR(N161/J161-1,"")))</f>
        <v/>
      </c>
      <c r="V163" s="15">
        <f>IF(OR(V161="",U161=""),"",IF(U161&lt;=0,"",IFERROR(V161/U161-1,"")))</f>
        <v/>
      </c>
      <c r="W163" s="15">
        <f>IF(OR(W161="",V161=""),"",IF(V161&lt;=0,"",IFERROR(W161/V161-1,"")))</f>
        <v/>
      </c>
      <c r="X163" s="15">
        <f>IF(OR(X161="",W161=""),"",IF(W161&lt;=0,"",IFERROR(X161/W161-1,"")))</f>
        <v/>
      </c>
    </row>
    <row r="164">
      <c r="A164" s="18" t="inlineStr">
        <is>
          <t>조정액 · 부문 손익</t>
        </is>
      </c>
      <c r="C164" s="20" t="n">
        <v>-6706</v>
      </c>
      <c r="D164" s="20" t="n">
        <v>-5264</v>
      </c>
      <c r="E164" s="20" t="n">
        <v>-6460</v>
      </c>
      <c r="F164" s="20" t="n">
        <v>-1684</v>
      </c>
      <c r="G164" s="20" t="n">
        <v>-5486</v>
      </c>
      <c r="H164" s="20" t="n">
        <v>-745</v>
      </c>
      <c r="I164" s="20" t="n">
        <v>-14232</v>
      </c>
      <c r="J164" s="20" t="n">
        <v>-4234</v>
      </c>
      <c r="K164" s="20" t="n">
        <v>-5496</v>
      </c>
      <c r="L164" s="20" t="n">
        <v>-3487</v>
      </c>
      <c r="M164" s="20" t="n">
        <v>-6832</v>
      </c>
      <c r="N164" s="20" t="n">
        <v>-2545</v>
      </c>
      <c r="V164" s="20" t="n">
        <v>-6460</v>
      </c>
      <c r="W164" s="20" t="n">
        <v>-14232</v>
      </c>
      <c r="X164" s="20" t="n">
        <v>-6832</v>
      </c>
    </row>
    <row r="165">
      <c r="A165" s="18" t="inlineStr">
        <is>
          <t>부문 손익</t>
        </is>
      </c>
      <c r="C165" s="20" t="n">
        <v>45370</v>
      </c>
      <c r="D165" s="20" t="n">
        <v>51190</v>
      </c>
      <c r="E165" s="20" t="n">
        <v>126548</v>
      </c>
      <c r="F165" s="20" t="n">
        <v>12688</v>
      </c>
      <c r="G165" s="20" t="n">
        <v>48340</v>
      </c>
      <c r="H165" s="20" t="n">
        <v>89217</v>
      </c>
      <c r="I165" s="20" t="n">
        <v>136914</v>
      </c>
      <c r="J165" s="20" t="n">
        <v>39995</v>
      </c>
      <c r="K165" s="20" t="n">
        <v>91598</v>
      </c>
      <c r="L165" s="20" t="n">
        <v>74424</v>
      </c>
      <c r="M165" s="20" t="n">
        <v>180810</v>
      </c>
      <c r="N165" s="20" t="n">
        <v>74738</v>
      </c>
      <c r="V165" s="20" t="n">
        <v>126548</v>
      </c>
      <c r="W165" s="20" t="n">
        <v>136914</v>
      </c>
      <c r="X165" s="20" t="n">
        <v>180810</v>
      </c>
    </row>
    <row r="166">
      <c r="A166" s="18" t="inlineStr">
        <is>
          <t>Amortization Of Intangible Assets Recognized As AResult Of MAnd A</t>
        </is>
      </c>
      <c r="C166" s="20" t="n">
        <v>-9086</v>
      </c>
      <c r="D166" s="20" t="n">
        <v>-9316</v>
      </c>
      <c r="E166" s="20" t="n">
        <v>62054</v>
      </c>
      <c r="F166" s="20" t="n">
        <v>-8148</v>
      </c>
      <c r="G166" s="20" t="n">
        <v>-8186</v>
      </c>
      <c r="H166" s="20" t="n">
        <v>-7744</v>
      </c>
      <c r="I166" s="20" t="n">
        <v>54738</v>
      </c>
      <c r="J166" s="20" t="n">
        <v>-6325</v>
      </c>
      <c r="K166" s="20" t="n">
        <v>-6697</v>
      </c>
      <c r="L166" s="20" t="n">
        <v>-5910</v>
      </c>
      <c r="M166" s="20" t="n">
        <v>43367</v>
      </c>
      <c r="N166" s="20" t="n">
        <v>-5750</v>
      </c>
      <c r="V166" s="20" t="n">
        <v>62054</v>
      </c>
      <c r="W166" s="20" t="n">
        <v>54738</v>
      </c>
      <c r="X166" s="20" t="n">
        <v>43367</v>
      </c>
    </row>
    <row r="167">
      <c r="A167" s="18" t="inlineStr">
        <is>
          <t>Expenses For Acquisition Of Companies</t>
        </is>
      </c>
      <c r="C167" s="20" t="n">
        <v>-164</v>
      </c>
      <c r="D167" s="20" t="n">
        <v>-54</v>
      </c>
      <c r="E167" s="20" t="n">
        <v>695</v>
      </c>
      <c r="F167" s="20" t="n">
        <v>0</v>
      </c>
      <c r="G167" s="20" t="n">
        <v>-1</v>
      </c>
      <c r="H167" s="20" t="n">
        <v>0</v>
      </c>
      <c r="I167" s="20" t="n">
        <v>3</v>
      </c>
      <c r="J167" s="20" t="n">
        <v>-1</v>
      </c>
      <c r="K167" s="20" t="n">
        <v>0</v>
      </c>
      <c r="L167" s="20" t="n">
        <v>-1923</v>
      </c>
      <c r="M167" s="20" t="n">
        <v>4403</v>
      </c>
      <c r="N167" s="20" t="n">
        <v>-7472</v>
      </c>
      <c r="V167" s="20" t="n">
        <v>695</v>
      </c>
      <c r="W167" s="20" t="n">
        <v>3</v>
      </c>
      <c r="X167" s="20" t="n">
        <v>4403</v>
      </c>
    </row>
    <row r="168">
      <c r="A168" s="18" t="inlineStr">
        <is>
          <t>Structural Reform Expenses And Impairment Losses</t>
        </is>
      </c>
      <c r="J168" s="20" t="n">
        <v>0</v>
      </c>
      <c r="N168" s="20" t="n">
        <v>-2069</v>
      </c>
    </row>
    <row r="169">
      <c r="A169" s="18" t="inlineStr">
        <is>
          <t>Stock Compensation</t>
        </is>
      </c>
      <c r="J169" s="20" t="n">
        <v>-465</v>
      </c>
      <c r="N169" s="20" t="n">
        <v>-677</v>
      </c>
    </row>
    <row r="170">
      <c r="A170" s="18" t="inlineStr">
        <is>
          <t>Other One Time Profits Losses</t>
        </is>
      </c>
      <c r="J170" s="20" t="n">
        <v>2185</v>
      </c>
      <c r="N170" s="20" t="n">
        <v>0</v>
      </c>
    </row>
    <row r="171">
      <c r="A171" s="18" t="inlineStr">
        <is>
          <t>영업이익</t>
        </is>
      </c>
      <c r="C171" s="20" t="n">
        <v>36120</v>
      </c>
      <c r="D171" s="20" t="n">
        <v>41820</v>
      </c>
      <c r="E171" s="20" t="n">
        <v>118197</v>
      </c>
      <c r="F171" s="20" t="n">
        <v>4540</v>
      </c>
      <c r="G171" s="20" t="n">
        <v>40153</v>
      </c>
      <c r="H171" s="20" t="n">
        <v>81473</v>
      </c>
      <c r="I171" s="20" t="n">
        <v>130331</v>
      </c>
      <c r="J171" s="20" t="n">
        <v>35389</v>
      </c>
      <c r="K171" s="20" t="n">
        <v>83181</v>
      </c>
      <c r="L171" s="20" t="n">
        <v>66591</v>
      </c>
      <c r="M171" s="20" t="n">
        <v>174752</v>
      </c>
      <c r="N171" s="20" t="n">
        <v>58770</v>
      </c>
      <c r="V171" s="20" t="n">
        <v>118197</v>
      </c>
      <c r="W171" s="20" t="n">
        <v>130331</v>
      </c>
      <c r="X171" s="20" t="n">
        <v>174752</v>
      </c>
    </row>
    <row r="172">
      <c r="A172" s="43" t="inlineStr">
        <is>
          <t>OPM</t>
        </is>
      </c>
      <c r="B172" s="3" t="inlineStr">
        <is>
          <t>영업이익 ÷ 매출</t>
        </is>
      </c>
      <c r="C172" s="15">
        <f>IF(OR(C171="",C133=""),"",IF(C133&lt;=0,"",IFERROR(C171/C133,"")))</f>
        <v/>
      </c>
      <c r="D172" s="15">
        <f>IF(OR(D171="",D133=""),"",IF(D133&lt;=0,"",IFERROR(D171/D133,"")))</f>
        <v/>
      </c>
      <c r="E172" s="15">
        <f>IF(OR(E171="",E133=""),"",IF(E133&lt;=0,"",IFERROR(E171/E133,"")))</f>
        <v/>
      </c>
      <c r="F172" s="15">
        <f>IF(OR(F171="",F133=""),"",IF(F133&lt;=0,"",IFERROR(F171/F133,"")))</f>
        <v/>
      </c>
      <c r="G172" s="15">
        <f>IF(OR(G171="",G133=""),"",IF(G133&lt;=0,"",IFERROR(G171/G133,"")))</f>
        <v/>
      </c>
      <c r="H172" s="15">
        <f>IF(OR(H171="",H133=""),"",IF(H133&lt;=0,"",IFERROR(H171/H133,"")))</f>
        <v/>
      </c>
      <c r="I172" s="15">
        <f>IF(OR(I171="",I133=""),"",IF(I133&lt;=0,"",IFERROR(I171/I133,"")))</f>
        <v/>
      </c>
      <c r="J172" s="15">
        <f>IF(OR(J171="",J133=""),"",IF(J133&lt;=0,"",IFERROR(J171/J133,"")))</f>
        <v/>
      </c>
      <c r="K172" s="15">
        <f>IF(OR(K171="",K133=""),"",IF(K133&lt;=0,"",IFERROR(K171/K133,"")))</f>
        <v/>
      </c>
      <c r="L172" s="15">
        <f>IF(OR(L171="",L133=""),"",IF(L133&lt;=0,"",IFERROR(L171/L133,"")))</f>
        <v/>
      </c>
      <c r="M172" s="15">
        <f>IF(OR(M171="",M133=""),"",IF(M133&lt;=0,"",IFERROR(M171/M133,"")))</f>
        <v/>
      </c>
      <c r="N172" s="15">
        <f>IF(OR(N171="",N133=""),"",IF(N133&lt;=0,"",IFERROR(N171/N133,"")))</f>
        <v/>
      </c>
      <c r="V172" s="15">
        <f>IF(OR(V171="",V133=""),"",IF(V133&lt;=0,"",IFERROR(V171/V133,"")))</f>
        <v/>
      </c>
      <c r="W172" s="15">
        <f>IF(OR(W171="",W133=""),"",IF(W133&lt;=0,"",IFERROR(W171/W133,"")))</f>
        <v/>
      </c>
      <c r="X172" s="15">
        <f>IF(OR(X171="",X133=""),"",IF(X133&lt;=0,"",IFERROR(X171/X133,"")))</f>
        <v/>
      </c>
    </row>
    <row r="173">
      <c r="A173" s="43" t="inlineStr">
        <is>
          <t>YoY</t>
        </is>
      </c>
      <c r="B173" s="3" t="inlineStr">
        <is>
          <t>전년 같은 분기·전년 대비</t>
        </is>
      </c>
      <c r="G173" s="15">
        <f>IF(OR(G171="",C171=""),"",IF(C171&lt;=0,"",IFERROR(G171/C171-1,"")))</f>
        <v/>
      </c>
      <c r="H173" s="15">
        <f>IF(OR(H171="",D171=""),"",IF(D171&lt;=0,"",IFERROR(H171/D171-1,"")))</f>
        <v/>
      </c>
      <c r="I173" s="15">
        <f>IF(OR(I171="",E171=""),"",IF(E171&lt;=0,"",IFERROR(I171/E171-1,"")))</f>
        <v/>
      </c>
      <c r="J173" s="15">
        <f>IF(OR(J171="",F171=""),"",IF(F171&lt;=0,"",IFERROR(J171/F171-1,"")))</f>
        <v/>
      </c>
      <c r="K173" s="15">
        <f>IF(OR(K171="",G171=""),"",IF(G171&lt;=0,"",IFERROR(K171/G171-1,"")))</f>
        <v/>
      </c>
      <c r="L173" s="15">
        <f>IF(OR(L171="",H171=""),"",IF(H171&lt;=0,"",IFERROR(L171/H171-1,"")))</f>
        <v/>
      </c>
      <c r="M173" s="15">
        <f>IF(OR(M171="",I171=""),"",IF(I171&lt;=0,"",IFERROR(M171/I171-1,"")))</f>
        <v/>
      </c>
      <c r="N173" s="15">
        <f>IF(OR(N171="",J171=""),"",IF(J171&lt;=0,"",IFERROR(N171/J171-1,"")))</f>
        <v/>
      </c>
      <c r="V173" s="15">
        <f>IF(OR(V171="",U171=""),"",IF(U171&lt;=0,"",IFERROR(V171/U171-1,"")))</f>
        <v/>
      </c>
      <c r="W173" s="15">
        <f>IF(OR(W171="",V171=""),"",IF(V171&lt;=0,"",IFERROR(W171/V171-1,"")))</f>
        <v/>
      </c>
      <c r="X173" s="15">
        <f>IF(OR(X171="",W171=""),"",IF(W171&lt;=0,"",IFERROR(X171/W171-1,"")))</f>
        <v/>
      </c>
    </row>
    <row r="174">
      <c r="A174" s="18" t="inlineStr">
        <is>
          <t>금융수익</t>
        </is>
      </c>
      <c r="C174" s="20" t="n">
        <v>736</v>
      </c>
      <c r="D174" s="20" t="n">
        <v>-881</v>
      </c>
      <c r="E174" s="20" t="n">
        <v>2970</v>
      </c>
      <c r="F174" s="20" t="n">
        <v>5585</v>
      </c>
      <c r="G174" s="20" t="n">
        <v>-1014</v>
      </c>
      <c r="H174" s="20" t="n">
        <v>4825</v>
      </c>
      <c r="I174" s="20" t="n">
        <v>560</v>
      </c>
      <c r="J174" s="20" t="n">
        <v>3302</v>
      </c>
      <c r="K174" s="20" t="n">
        <v>2888</v>
      </c>
      <c r="L174" s="20" t="n">
        <v>33061</v>
      </c>
      <c r="M174" s="20" t="n">
        <v>13698</v>
      </c>
      <c r="N174" s="20" t="n">
        <v>4263</v>
      </c>
      <c r="V174" s="20" t="n">
        <v>2970</v>
      </c>
      <c r="W174" s="20" t="n">
        <v>560</v>
      </c>
      <c r="X174" s="20" t="n">
        <v>13698</v>
      </c>
    </row>
    <row r="175">
      <c r="A175" s="18" t="inlineStr">
        <is>
          <t>금융비용</t>
        </is>
      </c>
      <c r="C175" s="20" t="n">
        <v>3178</v>
      </c>
      <c r="D175" s="20" t="n">
        <v>6579</v>
      </c>
      <c r="E175" s="20" t="n">
        <v>5398</v>
      </c>
      <c r="F175" s="20" t="n">
        <v>3667</v>
      </c>
      <c r="G175" s="20" t="n">
        <v>7062</v>
      </c>
      <c r="H175" s="20" t="n">
        <v>-933</v>
      </c>
      <c r="I175" s="20" t="n">
        <v>6783</v>
      </c>
      <c r="J175" s="20" t="n">
        <v>7660</v>
      </c>
      <c r="K175" s="20" t="n">
        <v>3261</v>
      </c>
      <c r="L175" s="20" t="n">
        <v>-1462</v>
      </c>
      <c r="M175" s="20" t="n">
        <v>8709</v>
      </c>
      <c r="N175" s="20" t="n">
        <v>6720</v>
      </c>
      <c r="V175" s="20" t="n">
        <v>5398</v>
      </c>
      <c r="W175" s="20" t="n">
        <v>6783</v>
      </c>
      <c r="X175" s="20" t="n">
        <v>8709</v>
      </c>
    </row>
    <row r="176">
      <c r="A176" s="18" t="inlineStr">
        <is>
          <t>지분법이익</t>
        </is>
      </c>
      <c r="C176" s="20" t="n">
        <v>762</v>
      </c>
      <c r="D176" s="20" t="n">
        <v>1817</v>
      </c>
      <c r="E176" s="20" t="n">
        <v>1088</v>
      </c>
      <c r="F176" s="20" t="n">
        <v>-9781</v>
      </c>
      <c r="G176" s="20" t="n">
        <v>-2077</v>
      </c>
      <c r="H176" s="20" t="n">
        <v>421</v>
      </c>
      <c r="I176" s="20" t="n">
        <v>1334</v>
      </c>
      <c r="J176" s="20" t="n">
        <v>1072</v>
      </c>
      <c r="K176" s="20" t="n">
        <v>523</v>
      </c>
      <c r="L176" s="20" t="n">
        <v>223</v>
      </c>
      <c r="M176" s="20" t="n">
        <v>1663</v>
      </c>
      <c r="N176" s="20" t="n">
        <v>216</v>
      </c>
      <c r="V176" s="20" t="n">
        <v>1088</v>
      </c>
      <c r="W176" s="20" t="n">
        <v>1334</v>
      </c>
      <c r="X176" s="20" t="n">
        <v>1663</v>
      </c>
    </row>
    <row r="177">
      <c r="A177" s="9" t="inlineStr">
        <is>
          <t>법인세비용차감전 중간이익</t>
        </is>
      </c>
      <c r="C177" s="12" t="n">
        <v>34440</v>
      </c>
      <c r="D177" s="12" t="n">
        <v>36177</v>
      </c>
      <c r="E177" s="12" t="n">
        <v>116857</v>
      </c>
      <c r="F177" s="12" t="n">
        <v>-3323</v>
      </c>
      <c r="G177" s="12" t="n">
        <v>30000</v>
      </c>
      <c r="H177" s="12" t="n">
        <v>87652</v>
      </c>
      <c r="I177" s="12" t="n">
        <v>125442</v>
      </c>
      <c r="J177" s="12" t="n">
        <v>32103</v>
      </c>
      <c r="K177" s="12" t="n">
        <v>83331</v>
      </c>
      <c r="L177" s="12" t="n">
        <v>101337</v>
      </c>
      <c r="M177" s="12" t="n">
        <v>181404</v>
      </c>
      <c r="N177" s="12" t="n">
        <v>56529</v>
      </c>
      <c r="V177" s="12" t="n">
        <v>116857</v>
      </c>
      <c r="W177" s="12" t="n">
        <v>125442</v>
      </c>
      <c r="X177" s="12" t="n">
        <v>181404</v>
      </c>
    </row>
    <row r="179">
      <c r="A179" s="16" t="inlineStr">
        <is>
          <t>현금흐름표 · 전 항목</t>
        </is>
      </c>
      <c r="B179" s="42" t="inlineStr">
        <is>
          <t>분기 = 결산기 첫날부터 누계(공시 그대로)</t>
        </is>
      </c>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row>
    <row r="180">
      <c r="A180" s="5" t="inlineStr">
        <is>
          <t>항목</t>
        </is>
      </c>
      <c r="B180" s="5" t="inlineStr">
        <is>
          <t>참고</t>
        </is>
      </c>
      <c r="C180" s="5" t="inlineStr">
        <is>
          <t>2024.2Q</t>
        </is>
      </c>
      <c r="D180" s="5" t="inlineStr">
        <is>
          <t>2024.3Q</t>
        </is>
      </c>
      <c r="E180" s="5" t="inlineStr">
        <is>
          <t>2024.4Q</t>
        </is>
      </c>
      <c r="F180" s="5" t="inlineStr">
        <is>
          <t>2025.1Q</t>
        </is>
      </c>
      <c r="G180" s="5" t="inlineStr">
        <is>
          <t>2025.2Q</t>
        </is>
      </c>
      <c r="H180" s="5" t="inlineStr">
        <is>
          <t>2025.3Q</t>
        </is>
      </c>
      <c r="I180" s="5" t="inlineStr">
        <is>
          <t>2025.4Q</t>
        </is>
      </c>
      <c r="J180" s="5" t="inlineStr">
        <is>
          <t>2026.1Q</t>
        </is>
      </c>
      <c r="K180" s="5" t="inlineStr">
        <is>
          <t>2026.2Q</t>
        </is>
      </c>
      <c r="L180" s="5" t="inlineStr">
        <is>
          <t>2026.3Q</t>
        </is>
      </c>
      <c r="M180" s="5" t="inlineStr">
        <is>
          <t>2026.4Q</t>
        </is>
      </c>
      <c r="N180" s="5" t="inlineStr">
        <is>
          <t>2027.1Q</t>
        </is>
      </c>
      <c r="O180" s="5" t="inlineStr">
        <is>
          <t>2017</t>
        </is>
      </c>
      <c r="P180" s="5" t="inlineStr">
        <is>
          <t>2018</t>
        </is>
      </c>
      <c r="Q180" s="5" t="inlineStr">
        <is>
          <t>2019</t>
        </is>
      </c>
      <c r="R180" s="5" t="inlineStr">
        <is>
          <t>2020</t>
        </is>
      </c>
      <c r="S180" s="5" t="inlineStr">
        <is>
          <t>2021</t>
        </is>
      </c>
      <c r="T180" s="5" t="inlineStr">
        <is>
          <t>2022</t>
        </is>
      </c>
      <c r="U180" s="5" t="inlineStr">
        <is>
          <t>2023</t>
        </is>
      </c>
      <c r="V180" s="5" t="inlineStr">
        <is>
          <t>2024</t>
        </is>
      </c>
      <c r="W180" s="5" t="inlineStr">
        <is>
          <t>2025</t>
        </is>
      </c>
      <c r="X180" s="5" t="inlineStr">
        <is>
          <t>2026</t>
        </is>
      </c>
      <c r="Y180" s="5" t="inlineStr">
        <is>
          <t>2027(MW)</t>
        </is>
      </c>
      <c r="Z180" s="5" t="inlineStr">
        <is>
          <t>2028(MW)</t>
        </is>
      </c>
      <c r="AA180" s="5" t="inlineStr">
        <is>
          <t>2029(MW)</t>
        </is>
      </c>
      <c r="AB180" s="5" t="inlineStr">
        <is>
          <t>2030(MW)</t>
        </is>
      </c>
      <c r="AC180" s="5" t="inlineStr">
        <is>
          <t>2031(MW)</t>
        </is>
      </c>
    </row>
    <row r="181">
      <c r="A181" s="9" t="inlineStr">
        <is>
          <t>법인세비용차감전 중간이익</t>
        </is>
      </c>
      <c r="C181" s="12" t="n">
        <v>31977</v>
      </c>
      <c r="D181" s="12" t="n">
        <v>68154</v>
      </c>
      <c r="E181" s="12" t="n">
        <v>185011</v>
      </c>
      <c r="F181" s="12" t="n">
        <v>-3323</v>
      </c>
      <c r="G181" s="12" t="n">
        <v>26677</v>
      </c>
      <c r="H181" s="12" t="n">
        <v>114329</v>
      </c>
      <c r="I181" s="12" t="n">
        <v>239771</v>
      </c>
      <c r="J181" s="12" t="n">
        <v>32103</v>
      </c>
      <c r="K181" s="12" t="n">
        <v>115434</v>
      </c>
      <c r="L181" s="12" t="n">
        <v>216771</v>
      </c>
      <c r="M181" s="12" t="n">
        <v>398175</v>
      </c>
      <c r="N181" s="12" t="n">
        <v>56529</v>
      </c>
      <c r="P181" s="12" t="n">
        <v>86941</v>
      </c>
      <c r="Q181" s="12" t="n">
        <v>77308</v>
      </c>
      <c r="R181" s="12" t="n">
        <v>123969</v>
      </c>
      <c r="S181" s="12" t="n">
        <v>157831</v>
      </c>
      <c r="T181" s="12" t="n">
        <v>144436</v>
      </c>
      <c r="U181" s="12" t="n">
        <v>167671</v>
      </c>
      <c r="V181" s="12" t="n">
        <v>185011</v>
      </c>
      <c r="W181" s="12" t="n">
        <v>239771</v>
      </c>
      <c r="X181" s="12" t="n">
        <v>398175</v>
      </c>
    </row>
    <row r="182">
      <c r="A182" s="18" t="inlineStr">
        <is>
          <t>감가상각비 및 상각비</t>
        </is>
      </c>
      <c r="C182" s="20" t="n">
        <v>93174</v>
      </c>
      <c r="D182" s="20" t="n">
        <v>141381</v>
      </c>
      <c r="E182" s="20" t="n">
        <v>187700</v>
      </c>
      <c r="F182" s="20" t="n">
        <v>40231</v>
      </c>
      <c r="G182" s="20" t="n">
        <v>79587</v>
      </c>
      <c r="H182" s="20" t="n">
        <v>119196</v>
      </c>
      <c r="I182" s="20" t="n">
        <v>158437</v>
      </c>
      <c r="J182" s="20" t="n">
        <v>37383</v>
      </c>
      <c r="K182" s="20" t="n">
        <v>77176</v>
      </c>
      <c r="L182" s="20" t="n">
        <v>117710</v>
      </c>
      <c r="M182" s="20" t="n">
        <v>154502</v>
      </c>
      <c r="N182" s="20" t="n">
        <v>39345</v>
      </c>
      <c r="P182" s="20" t="n">
        <v>96037</v>
      </c>
      <c r="Q182" s="20" t="n">
        <v>99745</v>
      </c>
      <c r="R182" s="20" t="n">
        <v>166360</v>
      </c>
      <c r="S182" s="20" t="n">
        <v>167613</v>
      </c>
      <c r="T182" s="20" t="n">
        <v>180539</v>
      </c>
      <c r="U182" s="20" t="n">
        <v>183298</v>
      </c>
      <c r="V182" s="20" t="n">
        <v>187700</v>
      </c>
      <c r="W182" s="20" t="n">
        <v>158437</v>
      </c>
      <c r="X182" s="20" t="n">
        <v>154502</v>
      </c>
    </row>
    <row r="183">
      <c r="A183" s="18" t="inlineStr">
        <is>
          <t>손상차손</t>
        </is>
      </c>
      <c r="C183" s="20" t="n">
        <v>112</v>
      </c>
      <c r="D183" s="20" t="n">
        <v>1329</v>
      </c>
      <c r="E183" s="20" t="n">
        <v>4735</v>
      </c>
      <c r="F183" s="20" t="n">
        <v>1284</v>
      </c>
      <c r="G183" s="20" t="n">
        <v>1660</v>
      </c>
      <c r="H183" s="20" t="n">
        <v>2210</v>
      </c>
      <c r="I183" s="20" t="n">
        <v>9590</v>
      </c>
      <c r="J183" s="20" t="n">
        <v>294</v>
      </c>
      <c r="K183" s="20" t="n">
        <v>1962</v>
      </c>
      <c r="L183" s="20" t="n">
        <v>2161</v>
      </c>
      <c r="M183" s="20" t="n">
        <v>7642</v>
      </c>
      <c r="N183" s="20" t="n">
        <v>-29</v>
      </c>
      <c r="P183" s="20" t="n">
        <v>1530</v>
      </c>
      <c r="Q183" s="20" t="n">
        <v>12607</v>
      </c>
      <c r="R183" s="20" t="n">
        <v>6384</v>
      </c>
      <c r="S183" s="20" t="n">
        <v>4035</v>
      </c>
      <c r="T183" s="20" t="n">
        <v>985</v>
      </c>
      <c r="U183" s="20" t="n">
        <v>6857</v>
      </c>
      <c r="V183" s="20" t="n">
        <v>4735</v>
      </c>
      <c r="W183" s="20" t="n">
        <v>9590</v>
      </c>
      <c r="X183" s="20" t="n">
        <v>7642</v>
      </c>
    </row>
    <row r="184">
      <c r="A184" s="18" t="inlineStr">
        <is>
          <t>충당금 증감</t>
        </is>
      </c>
      <c r="C184" s="20" t="n">
        <v>-6946</v>
      </c>
      <c r="D184" s="20" t="n">
        <v>-7727</v>
      </c>
      <c r="E184" s="20" t="n">
        <v>4307</v>
      </c>
      <c r="F184" s="20" t="n">
        <v>-1492</v>
      </c>
      <c r="G184" s="20" t="n">
        <v>-6914</v>
      </c>
      <c r="H184" s="20" t="n">
        <v>-30542</v>
      </c>
      <c r="I184" s="20" t="n">
        <v>-13864</v>
      </c>
      <c r="J184" s="20" t="n">
        <v>-4315</v>
      </c>
      <c r="K184" s="20" t="n">
        <v>-5279</v>
      </c>
      <c r="L184" s="20" t="n">
        <v>-884</v>
      </c>
      <c r="M184" s="20" t="n">
        <v>17834</v>
      </c>
      <c r="N184" s="20" t="n">
        <v>-4386</v>
      </c>
      <c r="P184" s="20" t="n">
        <v>-7450</v>
      </c>
      <c r="Q184" s="20" t="n">
        <v>15101</v>
      </c>
      <c r="R184" s="20" t="n">
        <v>-5639</v>
      </c>
      <c r="S184" s="20" t="n">
        <v>-5749</v>
      </c>
      <c r="T184" s="20" t="n">
        <v>3420</v>
      </c>
      <c r="U184" s="20" t="n">
        <v>-8173</v>
      </c>
      <c r="V184" s="20" t="n">
        <v>4307</v>
      </c>
      <c r="W184" s="20" t="n">
        <v>-13864</v>
      </c>
      <c r="X184" s="20" t="n">
        <v>17834</v>
      </c>
    </row>
    <row r="185">
      <c r="A185" s="18" t="inlineStr">
        <is>
          <t>금융수익</t>
        </is>
      </c>
      <c r="C185" s="20" t="n">
        <v>-7715</v>
      </c>
      <c r="D185" s="20" t="n">
        <v>-6834</v>
      </c>
      <c r="E185" s="20" t="n">
        <v>-9804</v>
      </c>
      <c r="F185" s="20" t="n">
        <v>-5585</v>
      </c>
      <c r="G185" s="20" t="n">
        <v>-4571</v>
      </c>
      <c r="H185" s="20" t="n">
        <v>-9396</v>
      </c>
      <c r="I185" s="20" t="n">
        <v>-9956</v>
      </c>
      <c r="J185" s="20" t="n">
        <v>-3302</v>
      </c>
      <c r="K185" s="20" t="n">
        <v>-6190</v>
      </c>
      <c r="L185" s="20" t="n">
        <v>-39251</v>
      </c>
      <c r="M185" s="20" t="n">
        <v>-52949</v>
      </c>
      <c r="N185" s="20" t="n">
        <v>-4263</v>
      </c>
      <c r="P185" s="20" t="n">
        <v>-29553</v>
      </c>
      <c r="Q185" s="20" t="n">
        <v>-21989</v>
      </c>
      <c r="R185" s="20" t="n">
        <v>-8477</v>
      </c>
      <c r="S185" s="20" t="n">
        <v>-9691</v>
      </c>
      <c r="T185" s="20" t="n">
        <v>-17894</v>
      </c>
      <c r="U185" s="20" t="n">
        <v>-10899</v>
      </c>
      <c r="V185" s="20" t="n">
        <v>-9804</v>
      </c>
      <c r="W185" s="20" t="n">
        <v>-9956</v>
      </c>
      <c r="X185" s="20" t="n">
        <v>-52949</v>
      </c>
    </row>
    <row r="186">
      <c r="A186" s="18" t="inlineStr">
        <is>
          <t>금융비용</t>
        </is>
      </c>
      <c r="C186" s="20" t="n">
        <v>6095</v>
      </c>
      <c r="D186" s="20" t="n">
        <v>12674</v>
      </c>
      <c r="E186" s="20" t="n">
        <v>18072</v>
      </c>
      <c r="F186" s="20" t="n">
        <v>3667</v>
      </c>
      <c r="G186" s="20" t="n">
        <v>10729</v>
      </c>
      <c r="H186" s="20" t="n">
        <v>9796</v>
      </c>
      <c r="I186" s="20" t="n">
        <v>16579</v>
      </c>
      <c r="J186" s="20" t="n">
        <v>7660</v>
      </c>
      <c r="K186" s="20" t="n">
        <v>10921</v>
      </c>
      <c r="L186" s="20" t="n">
        <v>9459</v>
      </c>
      <c r="M186" s="20" t="n">
        <v>18168</v>
      </c>
      <c r="N186" s="20" t="n">
        <v>6720</v>
      </c>
      <c r="P186" s="20" t="n">
        <v>11568</v>
      </c>
      <c r="Q186" s="20" t="n">
        <v>8377</v>
      </c>
      <c r="R186" s="20" t="n">
        <v>15464</v>
      </c>
      <c r="S186" s="20" t="n">
        <v>10613</v>
      </c>
      <c r="T186" s="20" t="n">
        <v>11367</v>
      </c>
      <c r="U186" s="20" t="n">
        <v>17624</v>
      </c>
      <c r="V186" s="20" t="n">
        <v>18072</v>
      </c>
      <c r="W186" s="20" t="n">
        <v>16579</v>
      </c>
      <c r="X186" s="20" t="n">
        <v>18168</v>
      </c>
    </row>
    <row r="187">
      <c r="A187" s="18" t="inlineStr">
        <is>
          <t>지분법손익</t>
        </is>
      </c>
      <c r="C187" s="20" t="n">
        <v>-2362</v>
      </c>
      <c r="D187" s="20" t="n">
        <v>-4179</v>
      </c>
      <c r="E187" s="20" t="n">
        <v>-5267</v>
      </c>
      <c r="F187" s="20" t="n">
        <v>9781</v>
      </c>
      <c r="G187" s="20" t="n">
        <v>11858</v>
      </c>
      <c r="H187" s="20" t="n">
        <v>11437</v>
      </c>
      <c r="I187" s="20" t="n">
        <v>10103</v>
      </c>
      <c r="J187" s="20" t="n">
        <v>-1072</v>
      </c>
      <c r="K187" s="20" t="n">
        <v>-1595</v>
      </c>
      <c r="L187" s="20" t="n">
        <v>-1818</v>
      </c>
      <c r="M187" s="20" t="n">
        <v>-3481</v>
      </c>
      <c r="N187" s="20" t="n">
        <v>-216</v>
      </c>
      <c r="P187" s="20" t="n">
        <v>-5106</v>
      </c>
      <c r="Q187" s="20" t="n">
        <v>-5916</v>
      </c>
      <c r="R187" s="20" t="n">
        <v>-3347</v>
      </c>
      <c r="S187" s="20" t="n">
        <v>-4994</v>
      </c>
      <c r="T187" s="20" t="n">
        <v>-5384</v>
      </c>
      <c r="U187" s="20" t="n">
        <v>-3949</v>
      </c>
      <c r="V187" s="20" t="n">
        <v>-5267</v>
      </c>
      <c r="W187" s="20" t="n">
        <v>10103</v>
      </c>
      <c r="X187" s="20" t="n">
        <v>-3481</v>
      </c>
    </row>
    <row r="188">
      <c r="A188" s="18" t="inlineStr">
        <is>
          <t>매출채권 및 기타채권 증감액</t>
        </is>
      </c>
      <c r="C188" s="20" t="n">
        <v>211314</v>
      </c>
      <c r="D188" s="20" t="n">
        <v>244001</v>
      </c>
      <c r="E188" s="20" t="n">
        <v>-64754</v>
      </c>
      <c r="F188" s="20" t="n">
        <v>333089</v>
      </c>
      <c r="G188" s="20" t="n">
        <v>323273</v>
      </c>
      <c r="H188" s="20" t="n">
        <v>266819</v>
      </c>
      <c r="I188" s="20" t="n">
        <v>-55795</v>
      </c>
      <c r="J188" s="20" t="n">
        <v>392280</v>
      </c>
      <c r="K188" s="20" t="n">
        <v>321638</v>
      </c>
      <c r="L188" s="20" t="n">
        <v>357585</v>
      </c>
      <c r="M188" s="20" t="n">
        <v>-101432</v>
      </c>
      <c r="N188" s="20" t="n">
        <v>473687</v>
      </c>
      <c r="P188" s="20" t="n">
        <v>12244</v>
      </c>
      <c r="Q188" s="20" t="n">
        <v>-41470</v>
      </c>
      <c r="R188" s="20" t="n">
        <v>-26263</v>
      </c>
      <c r="S188" s="20" t="n">
        <v>4120</v>
      </c>
      <c r="T188" s="20" t="n">
        <v>25469</v>
      </c>
      <c r="U188" s="20" t="n">
        <v>-77305</v>
      </c>
      <c r="V188" s="20" t="n">
        <v>-64754</v>
      </c>
      <c r="W188" s="20" t="n">
        <v>-55795</v>
      </c>
      <c r="X188" s="20" t="n">
        <v>-101432</v>
      </c>
    </row>
    <row r="189">
      <c r="A189" s="18" t="inlineStr">
        <is>
          <t>계약자산 증감액</t>
        </is>
      </c>
      <c r="P189" s="20" t="n">
        <v>0</v>
      </c>
      <c r="Q189" s="20" t="n">
        <v>-16951</v>
      </c>
    </row>
    <row r="190">
      <c r="A190" s="18" t="inlineStr">
        <is>
          <t>계약자산 증감액</t>
        </is>
      </c>
      <c r="E190" s="20" t="n">
        <v>-69375</v>
      </c>
      <c r="I190" s="20" t="n">
        <v>36464</v>
      </c>
      <c r="M190" s="20" t="n">
        <v>-43129</v>
      </c>
      <c r="Q190" s="20" t="n">
        <v>-16951</v>
      </c>
      <c r="R190" s="20" t="n">
        <v>11911</v>
      </c>
      <c r="S190" s="20" t="n">
        <v>-20139</v>
      </c>
      <c r="T190" s="20" t="n">
        <v>-5946</v>
      </c>
      <c r="U190" s="20" t="n">
        <v>-46278</v>
      </c>
      <c r="V190" s="20" t="n">
        <v>-69375</v>
      </c>
      <c r="W190" s="20" t="n">
        <v>36464</v>
      </c>
      <c r="X190" s="20" t="n">
        <v>-43129</v>
      </c>
    </row>
    <row r="191">
      <c r="A191" s="18" t="inlineStr">
        <is>
          <t>재고자산 증감</t>
        </is>
      </c>
      <c r="C191" s="20" t="n">
        <v>-63320</v>
      </c>
      <c r="D191" s="20" t="n">
        <v>-103599</v>
      </c>
      <c r="E191" s="20" t="n">
        <v>-6658</v>
      </c>
      <c r="F191" s="20" t="n">
        <v>-55185</v>
      </c>
      <c r="G191" s="20" t="n">
        <v>-58296</v>
      </c>
      <c r="H191" s="20" t="n">
        <v>-57544</v>
      </c>
      <c r="I191" s="20" t="n">
        <v>52731</v>
      </c>
      <c r="J191" s="20" t="n">
        <v>-66834</v>
      </c>
      <c r="K191" s="20" t="n">
        <v>-80332</v>
      </c>
      <c r="L191" s="20" t="n">
        <v>-87372</v>
      </c>
      <c r="M191" s="20" t="n">
        <v>14729</v>
      </c>
      <c r="N191" s="20" t="n">
        <v>-77871</v>
      </c>
      <c r="P191" s="20" t="n">
        <v>-16115</v>
      </c>
      <c r="Q191" s="20" t="n">
        <v>-16716</v>
      </c>
      <c r="R191" s="20" t="n">
        <v>11430</v>
      </c>
      <c r="S191" s="20" t="n">
        <v>19249</v>
      </c>
      <c r="T191" s="20" t="n">
        <v>-58848</v>
      </c>
      <c r="U191" s="20" t="n">
        <v>-23428</v>
      </c>
      <c r="V191" s="20" t="n">
        <v>-6658</v>
      </c>
      <c r="W191" s="20" t="n">
        <v>52731</v>
      </c>
      <c r="X191" s="20" t="n">
        <v>14729</v>
      </c>
    </row>
    <row r="192">
      <c r="A192" s="18" t="inlineStr">
        <is>
          <t>매입채무 및 기타채무 증감액</t>
        </is>
      </c>
      <c r="C192" s="20" t="n">
        <v>-43722</v>
      </c>
      <c r="D192" s="20" t="n">
        <v>-42469</v>
      </c>
      <c r="E192" s="20" t="n">
        <v>24224</v>
      </c>
      <c r="F192" s="20" t="n">
        <v>-71848</v>
      </c>
      <c r="G192" s="20" t="n">
        <v>-92705</v>
      </c>
      <c r="H192" s="20" t="n">
        <v>-74310</v>
      </c>
      <c r="I192" s="20" t="n">
        <v>-12579</v>
      </c>
      <c r="J192" s="20" t="n">
        <v>-66966</v>
      </c>
      <c r="K192" s="20" t="n">
        <v>-81782</v>
      </c>
      <c r="L192" s="20" t="n">
        <v>-70065</v>
      </c>
      <c r="M192" s="20" t="n">
        <v>-8919</v>
      </c>
      <c r="N192" s="20" t="n">
        <v>-60174</v>
      </c>
      <c r="P192" s="20" t="n">
        <v>17036</v>
      </c>
      <c r="Q192" s="20" t="n">
        <v>4415</v>
      </c>
      <c r="R192" s="20" t="n">
        <v>1653</v>
      </c>
      <c r="S192" s="20" t="n">
        <v>4926</v>
      </c>
      <c r="T192" s="20" t="n">
        <v>-27434</v>
      </c>
      <c r="U192" s="20" t="n">
        <v>41114</v>
      </c>
      <c r="V192" s="20" t="n">
        <v>24224</v>
      </c>
      <c r="W192" s="20" t="n">
        <v>-12579</v>
      </c>
      <c r="X192" s="20" t="n">
        <v>-8919</v>
      </c>
    </row>
    <row r="193">
      <c r="A193" s="18" t="inlineStr">
        <is>
          <t>계약부채 증감</t>
        </is>
      </c>
      <c r="P193" s="20" t="n">
        <v>0</v>
      </c>
      <c r="Q193" s="20" t="n">
        <v>21500</v>
      </c>
    </row>
    <row r="194">
      <c r="A194" s="18" t="inlineStr">
        <is>
          <t>퇴직급여 부채·자산 증감액</t>
        </is>
      </c>
      <c r="F194" s="20" t="n">
        <v>-2657</v>
      </c>
      <c r="J194" s="20" t="n">
        <v>137322</v>
      </c>
    </row>
    <row r="195">
      <c r="A195" s="18" t="inlineStr">
        <is>
          <t>계약부채 증감</t>
        </is>
      </c>
      <c r="E195" s="20" t="n">
        <v>91147</v>
      </c>
      <c r="I195" s="20" t="n">
        <v>15575</v>
      </c>
      <c r="M195" s="20" t="n">
        <v>44351</v>
      </c>
      <c r="Q195" s="20" t="n">
        <v>21500</v>
      </c>
      <c r="R195" s="20" t="n">
        <v>11536</v>
      </c>
      <c r="S195" s="20" t="n">
        <v>24652</v>
      </c>
      <c r="T195" s="20" t="n">
        <v>-1775</v>
      </c>
      <c r="U195" s="20" t="n">
        <v>16522</v>
      </c>
      <c r="V195" s="20" t="n">
        <v>91147</v>
      </c>
      <c r="W195" s="20" t="n">
        <v>15575</v>
      </c>
      <c r="X195" s="20" t="n">
        <v>44351</v>
      </c>
    </row>
    <row r="196">
      <c r="A196" s="18" t="inlineStr">
        <is>
          <t>퇴직급여 부채·자산 증감액</t>
        </is>
      </c>
      <c r="G196" s="20" t="n">
        <v>-4965</v>
      </c>
      <c r="H196" s="20" t="n">
        <v>-19506</v>
      </c>
      <c r="I196" s="20" t="n">
        <v>-6916</v>
      </c>
      <c r="J196" s="20" t="n">
        <v>137322</v>
      </c>
      <c r="K196" s="20" t="n">
        <v>134854</v>
      </c>
      <c r="L196" s="20" t="n">
        <v>133222</v>
      </c>
      <c r="M196" s="20" t="n">
        <v>131937</v>
      </c>
      <c r="N196" s="20" t="n">
        <v>-1024</v>
      </c>
      <c r="W196" s="20" t="n">
        <v>-6916</v>
      </c>
      <c r="X196" s="20" t="n">
        <v>131937</v>
      </c>
    </row>
    <row r="197">
      <c r="A197" s="18" t="inlineStr">
        <is>
          <t>기타(순액)</t>
        </is>
      </c>
      <c r="C197" s="20" t="n">
        <v>-163205</v>
      </c>
      <c r="D197" s="20" t="n">
        <v>-227513</v>
      </c>
      <c r="E197" s="20" t="n">
        <v>-33608</v>
      </c>
      <c r="F197" s="20" t="n">
        <v>-125953</v>
      </c>
      <c r="G197" s="20" t="n">
        <v>-203789</v>
      </c>
      <c r="H197" s="20" t="n">
        <v>-236359</v>
      </c>
      <c r="I197" s="20" t="n">
        <v>-48858</v>
      </c>
      <c r="J197" s="20" t="n">
        <v>-157724</v>
      </c>
      <c r="K197" s="20" t="n">
        <v>-252320</v>
      </c>
      <c r="L197" s="20" t="n">
        <v>-377242</v>
      </c>
      <c r="M197" s="20" t="n">
        <v>-34131</v>
      </c>
      <c r="N197" s="20" t="n">
        <v>-162501</v>
      </c>
      <c r="P197" s="20" t="n">
        <v>-16701</v>
      </c>
      <c r="Q197" s="20" t="n">
        <v>-48544</v>
      </c>
      <c r="R197" s="20" t="n">
        <v>-20517</v>
      </c>
      <c r="S197" s="20" t="n">
        <v>-50443</v>
      </c>
      <c r="T197" s="20" t="n">
        <v>-58824</v>
      </c>
      <c r="U197" s="20" t="n">
        <v>-72837</v>
      </c>
      <c r="V197" s="20" t="n">
        <v>-33608</v>
      </c>
      <c r="W197" s="20" t="n">
        <v>-48858</v>
      </c>
      <c r="X197" s="20" t="n">
        <v>-34131</v>
      </c>
    </row>
    <row r="198">
      <c r="A198" s="18" t="inlineStr">
        <is>
          <t>소계</t>
        </is>
      </c>
      <c r="C198" s="20" t="n">
        <v>55402</v>
      </c>
      <c r="D198" s="20" t="n">
        <v>75218</v>
      </c>
      <c r="E198" s="20" t="n">
        <v>325730</v>
      </c>
      <c r="F198" s="20" t="n">
        <v>122009</v>
      </c>
      <c r="G198" s="20" t="n">
        <v>82544</v>
      </c>
      <c r="H198" s="20" t="n">
        <v>96130</v>
      </c>
      <c r="I198" s="20" t="n">
        <v>391282</v>
      </c>
      <c r="J198" s="20" t="n">
        <v>306829</v>
      </c>
      <c r="K198" s="20" t="n">
        <v>234487</v>
      </c>
      <c r="L198" s="20" t="n">
        <v>260276</v>
      </c>
      <c r="M198" s="20" t="n">
        <v>543297</v>
      </c>
      <c r="N198" s="20" t="n">
        <v>265817</v>
      </c>
      <c r="P198" s="20" t="n">
        <v>150431</v>
      </c>
      <c r="Q198" s="20" t="n">
        <v>87467</v>
      </c>
      <c r="R198" s="20" t="n">
        <v>284464</v>
      </c>
      <c r="S198" s="20" t="n">
        <v>302023</v>
      </c>
      <c r="T198" s="20" t="n">
        <v>190111</v>
      </c>
      <c r="U198" s="20" t="n">
        <v>190217</v>
      </c>
      <c r="V198" s="20" t="n">
        <v>325730</v>
      </c>
      <c r="W198" s="20" t="n">
        <v>391282</v>
      </c>
      <c r="X198" s="20" t="n">
        <v>543297</v>
      </c>
    </row>
    <row r="199">
      <c r="A199" s="18" t="inlineStr">
        <is>
          <t>이자·배당금 수취</t>
        </is>
      </c>
      <c r="P199" s="20" t="n">
        <v>6076</v>
      </c>
      <c r="Q199" s="20" t="n">
        <v>7580</v>
      </c>
      <c r="R199" s="20" t="n">
        <v>6947</v>
      </c>
      <c r="S199" s="20" t="n">
        <v>5161</v>
      </c>
      <c r="T199" s="20" t="n">
        <v>5876</v>
      </c>
    </row>
    <row r="200">
      <c r="A200" s="18" t="inlineStr">
        <is>
          <t>이자 수취</t>
        </is>
      </c>
      <c r="C200" s="20" t="n">
        <v>3120</v>
      </c>
      <c r="D200" s="20" t="n">
        <v>4516</v>
      </c>
      <c r="E200" s="20" t="n">
        <v>5896</v>
      </c>
      <c r="F200" s="20" t="n">
        <v>1168</v>
      </c>
      <c r="G200" s="20" t="n">
        <v>2682</v>
      </c>
      <c r="H200" s="20" t="n">
        <v>3811</v>
      </c>
      <c r="I200" s="20" t="n">
        <v>5738</v>
      </c>
      <c r="J200" s="20" t="n">
        <v>1368</v>
      </c>
      <c r="K200" s="20" t="n">
        <v>2896</v>
      </c>
      <c r="L200" s="20" t="n">
        <v>4115</v>
      </c>
      <c r="M200" s="20" t="n">
        <v>5887</v>
      </c>
      <c r="N200" s="20" t="n">
        <v>1376</v>
      </c>
      <c r="T200" s="20" t="n">
        <v>1917</v>
      </c>
      <c r="U200" s="20" t="n">
        <v>3038</v>
      </c>
      <c r="V200" s="20" t="n">
        <v>5896</v>
      </c>
      <c r="W200" s="20" t="n">
        <v>5738</v>
      </c>
      <c r="X200" s="20" t="n">
        <v>5887</v>
      </c>
    </row>
    <row r="201">
      <c r="A201" s="18" t="inlineStr">
        <is>
          <t>배당금 수취액</t>
        </is>
      </c>
      <c r="C201" s="20" t="n">
        <v>2701</v>
      </c>
      <c r="D201" s="20" t="n">
        <v>3178</v>
      </c>
      <c r="E201" s="20" t="n">
        <v>3330</v>
      </c>
      <c r="F201" s="20" t="n">
        <v>2065</v>
      </c>
      <c r="G201" s="20" t="n">
        <v>2333</v>
      </c>
      <c r="H201" s="20" t="n">
        <v>3013</v>
      </c>
      <c r="I201" s="20" t="n">
        <v>3595</v>
      </c>
      <c r="J201" s="20" t="n">
        <v>2773</v>
      </c>
      <c r="K201" s="20" t="n">
        <v>2908</v>
      </c>
      <c r="L201" s="20" t="n">
        <v>3177</v>
      </c>
      <c r="M201" s="20" t="n">
        <v>3212</v>
      </c>
      <c r="N201" s="20" t="n">
        <v>2655</v>
      </c>
      <c r="T201" s="20" t="n">
        <v>3959</v>
      </c>
      <c r="U201" s="20" t="n">
        <v>3697</v>
      </c>
      <c r="V201" s="20" t="n">
        <v>3330</v>
      </c>
      <c r="W201" s="20" t="n">
        <v>3595</v>
      </c>
      <c r="X201" s="20" t="n">
        <v>3212</v>
      </c>
    </row>
    <row r="202">
      <c r="A202" s="18" t="inlineStr">
        <is>
          <t>이자 지급</t>
        </is>
      </c>
      <c r="C202" s="20" t="n">
        <v>-4489</v>
      </c>
      <c r="D202" s="20" t="n">
        <v>-6803</v>
      </c>
      <c r="E202" s="20" t="n">
        <v>-10980</v>
      </c>
      <c r="F202" s="20" t="n">
        <v>-3565</v>
      </c>
      <c r="G202" s="20" t="n">
        <v>-4267</v>
      </c>
      <c r="H202" s="20" t="n">
        <v>-6665</v>
      </c>
      <c r="I202" s="20" t="n">
        <v>-9098</v>
      </c>
      <c r="J202" s="20" t="n">
        <v>-2344</v>
      </c>
      <c r="K202" s="20" t="n">
        <v>-4719</v>
      </c>
      <c r="L202" s="20" t="n">
        <v>-6582</v>
      </c>
      <c r="M202" s="20" t="n">
        <v>-9713</v>
      </c>
      <c r="N202" s="20" t="n">
        <v>-2551</v>
      </c>
      <c r="P202" s="20" t="n">
        <v>-5764</v>
      </c>
      <c r="Q202" s="20" t="n">
        <v>-6350</v>
      </c>
      <c r="R202" s="20" t="n">
        <v>-9052</v>
      </c>
      <c r="S202" s="20" t="n">
        <v>-7813</v>
      </c>
      <c r="T202" s="20" t="n">
        <v>-8508</v>
      </c>
      <c r="U202" s="20" t="n">
        <v>-7418</v>
      </c>
      <c r="V202" s="20" t="n">
        <v>-10980</v>
      </c>
      <c r="W202" s="20" t="n">
        <v>-9098</v>
      </c>
      <c r="X202" s="20" t="n">
        <v>-9713</v>
      </c>
    </row>
    <row r="203">
      <c r="A203" s="18" t="inlineStr">
        <is>
          <t>법인소득세 지급액</t>
        </is>
      </c>
      <c r="C203" s="20" t="n">
        <v>-29908</v>
      </c>
      <c r="D203" s="20" t="n">
        <v>-48325</v>
      </c>
      <c r="E203" s="20" t="n">
        <v>-52748</v>
      </c>
      <c r="F203" s="20" t="n">
        <v>-17936</v>
      </c>
      <c r="G203" s="20" t="n">
        <v>-24587</v>
      </c>
      <c r="H203" s="20" t="n">
        <v>-44493</v>
      </c>
      <c r="I203" s="20" t="n">
        <v>-47109</v>
      </c>
      <c r="J203" s="20" t="n">
        <v>-55561</v>
      </c>
      <c r="K203" s="20" t="n">
        <v>-58172</v>
      </c>
      <c r="L203" s="20" t="n">
        <v>-94778</v>
      </c>
      <c r="M203" s="20" t="n">
        <v>-104220</v>
      </c>
      <c r="N203" s="20" t="n">
        <v>-107119</v>
      </c>
      <c r="P203" s="20" t="n">
        <v>-20762</v>
      </c>
      <c r="Q203" s="20" t="n">
        <v>-24462</v>
      </c>
      <c r="R203" s="20" t="n">
        <v>-20496</v>
      </c>
      <c r="S203" s="20" t="n">
        <v>-24464</v>
      </c>
      <c r="T203" s="20" t="n">
        <v>-39962</v>
      </c>
      <c r="U203" s="20" t="n">
        <v>-37407</v>
      </c>
      <c r="V203" s="20" t="n">
        <v>-52748</v>
      </c>
      <c r="W203" s="20" t="n">
        <v>-47109</v>
      </c>
      <c r="X203" s="20" t="n">
        <v>-104220</v>
      </c>
    </row>
    <row r="204">
      <c r="A204" s="9" t="inlineStr">
        <is>
          <t>영업활동 현금흐름</t>
        </is>
      </c>
      <c r="C204" s="12" t="n">
        <v>26826</v>
      </c>
      <c r="D204" s="12" t="n">
        <v>27784</v>
      </c>
      <c r="E204" s="12" t="n">
        <v>271228</v>
      </c>
      <c r="F204" s="12" t="n">
        <v>103741</v>
      </c>
      <c r="G204" s="12" t="n">
        <v>58705</v>
      </c>
      <c r="H204" s="12" t="n">
        <v>51796</v>
      </c>
      <c r="I204" s="12" t="n">
        <v>344408</v>
      </c>
      <c r="J204" s="12" t="n">
        <v>253065</v>
      </c>
      <c r="K204" s="12" t="n">
        <v>177400</v>
      </c>
      <c r="L204" s="12" t="n">
        <v>166208</v>
      </c>
      <c r="M204" s="12" t="n">
        <v>438463</v>
      </c>
      <c r="N204" s="12" t="n">
        <v>160178</v>
      </c>
      <c r="P204" s="12" t="n">
        <v>129981</v>
      </c>
      <c r="Q204" s="12" t="n">
        <v>64235</v>
      </c>
      <c r="R204" s="12" t="n">
        <v>261863</v>
      </c>
      <c r="S204" s="12" t="n">
        <v>274907</v>
      </c>
      <c r="T204" s="12" t="n">
        <v>147517</v>
      </c>
      <c r="U204" s="12" t="n">
        <v>152127</v>
      </c>
      <c r="V204" s="12" t="n">
        <v>271228</v>
      </c>
      <c r="W204" s="12" t="n">
        <v>344408</v>
      </c>
      <c r="X204" s="12" t="n">
        <v>438463</v>
      </c>
    </row>
    <row r="205">
      <c r="A205" s="18" t="inlineStr">
        <is>
          <t>유형자산 취득(설비투자)</t>
        </is>
      </c>
      <c r="C205" s="20" t="n">
        <v>-36954</v>
      </c>
      <c r="D205" s="20" t="n">
        <v>-51478</v>
      </c>
      <c r="E205" s="20" t="n">
        <v>-75176</v>
      </c>
      <c r="F205" s="20" t="n">
        <v>-18228</v>
      </c>
      <c r="G205" s="20" t="n">
        <v>-42335</v>
      </c>
      <c r="H205" s="20" t="n">
        <v>-49816</v>
      </c>
      <c r="I205" s="20" t="n">
        <v>-126410</v>
      </c>
      <c r="J205" s="20" t="n">
        <v>-4358</v>
      </c>
      <c r="K205" s="20" t="n">
        <v>-13762</v>
      </c>
      <c r="L205" s="20" t="n">
        <v>-54960</v>
      </c>
      <c r="M205" s="20" t="n">
        <v>-70325</v>
      </c>
      <c r="N205" s="20" t="n">
        <v>-13459</v>
      </c>
      <c r="P205" s="20" t="n">
        <v>-43253</v>
      </c>
      <c r="Q205" s="20" t="n">
        <v>-48929</v>
      </c>
      <c r="R205" s="20" t="n">
        <v>-72825</v>
      </c>
      <c r="S205" s="20" t="n">
        <v>-59307</v>
      </c>
      <c r="T205" s="20" t="n">
        <v>-56949</v>
      </c>
      <c r="U205" s="20" t="n">
        <v>-56391</v>
      </c>
      <c r="V205" s="20" t="n">
        <v>-75176</v>
      </c>
      <c r="W205" s="20" t="n">
        <v>-126410</v>
      </c>
      <c r="X205" s="20" t="n">
        <v>-70325</v>
      </c>
    </row>
    <row r="206">
      <c r="A206" s="18" t="inlineStr">
        <is>
          <t>유형자산 매각</t>
        </is>
      </c>
      <c r="C206" s="20" t="n">
        <v>3169</v>
      </c>
      <c r="D206" s="20" t="n">
        <v>5465</v>
      </c>
      <c r="E206" s="20" t="n">
        <v>7656</v>
      </c>
      <c r="F206" s="20" t="n">
        <v>2804</v>
      </c>
      <c r="G206" s="20" t="n">
        <v>4918</v>
      </c>
      <c r="H206" s="20" t="n">
        <v>7048</v>
      </c>
      <c r="I206" s="20" t="n">
        <v>8701</v>
      </c>
      <c r="J206" s="20" t="n">
        <v>2549</v>
      </c>
      <c r="K206" s="20" t="n">
        <v>3451</v>
      </c>
      <c r="L206" s="20" t="n">
        <v>5298</v>
      </c>
      <c r="M206" s="20" t="n">
        <v>31947</v>
      </c>
      <c r="N206" s="20" t="n">
        <v>1269</v>
      </c>
      <c r="P206" s="20" t="n">
        <v>6334</v>
      </c>
      <c r="Q206" s="20" t="n">
        <v>4283</v>
      </c>
      <c r="R206" s="20" t="n">
        <v>6903</v>
      </c>
      <c r="S206" s="20" t="n">
        <v>41761</v>
      </c>
      <c r="T206" s="20" t="n">
        <v>15373</v>
      </c>
      <c r="U206" s="20" t="n">
        <v>12387</v>
      </c>
      <c r="V206" s="20" t="n">
        <v>7656</v>
      </c>
      <c r="W206" s="20" t="n">
        <v>8701</v>
      </c>
      <c r="X206" s="20" t="n">
        <v>31947</v>
      </c>
    </row>
    <row r="207">
      <c r="A207" s="18" t="inlineStr">
        <is>
          <t>무형자산 취득 지출</t>
        </is>
      </c>
      <c r="C207" s="20" t="n">
        <v>-11169</v>
      </c>
      <c r="D207" s="20" t="n">
        <v>-16070</v>
      </c>
      <c r="E207" s="20" t="n">
        <v>-24591</v>
      </c>
      <c r="F207" s="20" t="n">
        <v>-5304</v>
      </c>
      <c r="G207" s="20" t="n">
        <v>-11204</v>
      </c>
      <c r="H207" s="20" t="n">
        <v>-17847</v>
      </c>
      <c r="I207" s="20" t="n">
        <v>-24215</v>
      </c>
      <c r="J207" s="20" t="n">
        <v>-5489</v>
      </c>
      <c r="K207" s="20" t="n">
        <v>-10158</v>
      </c>
      <c r="L207" s="20" t="n">
        <v>-15420</v>
      </c>
      <c r="M207" s="20" t="n">
        <v>-21231</v>
      </c>
      <c r="N207" s="20" t="n">
        <v>-4728</v>
      </c>
      <c r="P207" s="20" t="n">
        <v>-10134</v>
      </c>
      <c r="Q207" s="20" t="n">
        <v>-11764</v>
      </c>
      <c r="R207" s="20" t="n">
        <v>-16372</v>
      </c>
      <c r="S207" s="20" t="n">
        <v>-11629</v>
      </c>
      <c r="T207" s="20" t="n">
        <v>-14157</v>
      </c>
      <c r="U207" s="20" t="n">
        <v>-21323</v>
      </c>
      <c r="V207" s="20" t="n">
        <v>-24591</v>
      </c>
      <c r="W207" s="20" t="n">
        <v>-24215</v>
      </c>
      <c r="X207" s="20" t="n">
        <v>-21231</v>
      </c>
    </row>
    <row r="208">
      <c r="A208" s="18" t="inlineStr">
        <is>
          <t>매도가능금융자산 취득</t>
        </is>
      </c>
      <c r="P208" s="20" t="n">
        <v>-2336</v>
      </c>
      <c r="Q208" s="20" t="n">
        <v>0</v>
      </c>
    </row>
    <row r="209">
      <c r="A209" s="18" t="inlineStr">
        <is>
          <t>기타포괄손익-공정가치 지분상품 취득 지출</t>
        </is>
      </c>
      <c r="P209" s="20" t="n">
        <v>0</v>
      </c>
      <c r="Q209" s="20" t="n">
        <v>-7375</v>
      </c>
    </row>
    <row r="210">
      <c r="A210" s="18" t="inlineStr">
        <is>
          <t>매도가능금융자산 매각</t>
        </is>
      </c>
      <c r="P210" s="20" t="n">
        <v>12442</v>
      </c>
      <c r="Q210" s="20" t="n">
        <v>0</v>
      </c>
    </row>
    <row r="211">
      <c r="A211" s="18" t="inlineStr">
        <is>
          <t>기타포괄손익-공정가치 지분상품 매각 수입</t>
        </is>
      </c>
      <c r="P211" s="20" t="n">
        <v>0</v>
      </c>
      <c r="Q211" s="20" t="n">
        <v>2293</v>
      </c>
    </row>
    <row r="212">
      <c r="A212" s="18" t="inlineStr">
        <is>
          <t>기타포괄손익-공정가치 지분상품 취득 지출</t>
        </is>
      </c>
      <c r="C212" s="20" t="n">
        <v>-11</v>
      </c>
      <c r="D212" s="20" t="n">
        <v>-333</v>
      </c>
      <c r="E212" s="20" t="n">
        <v>-367</v>
      </c>
      <c r="F212" s="20" t="n">
        <v>-230</v>
      </c>
      <c r="G212" s="20" t="n">
        <v>-373</v>
      </c>
      <c r="H212" s="20" t="n">
        <v>-5781</v>
      </c>
      <c r="I212" s="20" t="n">
        <v>-5804</v>
      </c>
      <c r="J212" s="20" t="n">
        <v>-3</v>
      </c>
      <c r="K212" s="20" t="n">
        <v>-151</v>
      </c>
      <c r="L212" s="20" t="n">
        <v>-1050</v>
      </c>
      <c r="M212" s="20" t="n">
        <v>-2021</v>
      </c>
      <c r="N212" s="20" t="n">
        <v>-920</v>
      </c>
      <c r="Q212" s="20" t="n">
        <v>-7375</v>
      </c>
      <c r="R212" s="20" t="n">
        <v>-1820</v>
      </c>
      <c r="S212" s="20" t="n">
        <v>-2620</v>
      </c>
      <c r="T212" s="20" t="n">
        <v>-11679</v>
      </c>
      <c r="U212" s="20" t="n">
        <v>-2094</v>
      </c>
      <c r="V212" s="20" t="n">
        <v>-367</v>
      </c>
      <c r="W212" s="20" t="n">
        <v>-5804</v>
      </c>
      <c r="X212" s="20" t="n">
        <v>-2021</v>
      </c>
    </row>
    <row r="213">
      <c r="A213" s="18" t="inlineStr">
        <is>
          <t>기타포괄손익-공정가치 지분상품 매각 수입</t>
        </is>
      </c>
      <c r="C213" s="20" t="n">
        <v>11876</v>
      </c>
      <c r="D213" s="20" t="n">
        <v>14466</v>
      </c>
      <c r="E213" s="20" t="n">
        <v>16676</v>
      </c>
      <c r="F213" s="20" t="n">
        <v>9</v>
      </c>
      <c r="G213" s="20" t="n">
        <v>716</v>
      </c>
      <c r="H213" s="20" t="n">
        <v>2748</v>
      </c>
      <c r="I213" s="20" t="n">
        <v>7394</v>
      </c>
      <c r="J213" s="20" t="n">
        <v>6810</v>
      </c>
      <c r="K213" s="20" t="n">
        <v>9598</v>
      </c>
      <c r="L213" s="20" t="n">
        <v>14148</v>
      </c>
      <c r="M213" s="20" t="n">
        <v>16686</v>
      </c>
      <c r="N213" s="20" t="n">
        <v>2884</v>
      </c>
      <c r="Q213" s="20" t="n">
        <v>2293</v>
      </c>
      <c r="R213" s="20" t="n">
        <v>12279</v>
      </c>
      <c r="S213" s="20" t="n">
        <v>97107</v>
      </c>
      <c r="T213" s="20" t="n">
        <v>18443</v>
      </c>
      <c r="U213" s="20" t="n">
        <v>19182</v>
      </c>
      <c r="V213" s="20" t="n">
        <v>16676</v>
      </c>
      <c r="W213" s="20" t="n">
        <v>7394</v>
      </c>
      <c r="X213" s="20" t="n">
        <v>16686</v>
      </c>
    </row>
    <row r="214">
      <c r="A214" s="18" t="inlineStr">
        <is>
          <t>자회사 취득 지출</t>
        </is>
      </c>
      <c r="C214" s="20" t="n">
        <v>-811</v>
      </c>
      <c r="D214" s="20" t="n">
        <v>-811</v>
      </c>
      <c r="E214" s="20" t="n">
        <v>-811</v>
      </c>
      <c r="F214" s="20" t="n">
        <v>0</v>
      </c>
      <c r="G214" s="20" t="n">
        <v>0</v>
      </c>
      <c r="H214" s="20" t="n">
        <v>-878</v>
      </c>
      <c r="I214" s="20" t="n">
        <v>-878</v>
      </c>
      <c r="J214" s="20" t="n">
        <v>-2312</v>
      </c>
      <c r="K214" s="20" t="n">
        <v>-3924</v>
      </c>
      <c r="L214" s="20" t="n">
        <v>-4422</v>
      </c>
      <c r="M214" s="20" t="n">
        <v>-11987</v>
      </c>
      <c r="N214" s="20" t="n">
        <v>-413356</v>
      </c>
      <c r="P214" s="20" t="n">
        <v>-23110</v>
      </c>
      <c r="Q214" s="20" t="n">
        <v>-47930</v>
      </c>
      <c r="R214" s="20" t="n">
        <v>-6935</v>
      </c>
      <c r="S214" s="20" t="n">
        <v>-202588</v>
      </c>
      <c r="T214" s="20" t="n">
        <v>-12214</v>
      </c>
      <c r="U214" s="20" t="n">
        <v>-6935</v>
      </c>
      <c r="V214" s="20" t="n">
        <v>-811</v>
      </c>
      <c r="W214" s="20" t="n">
        <v>-878</v>
      </c>
      <c r="X214" s="20" t="n">
        <v>-11987</v>
      </c>
    </row>
    <row r="215">
      <c r="A215" s="18" t="inlineStr">
        <is>
          <t>자회사 취득 수입</t>
        </is>
      </c>
      <c r="P215" s="20" t="n">
        <v>5</v>
      </c>
      <c r="Q215" s="20" t="n">
        <v>17</v>
      </c>
    </row>
    <row r="216">
      <c r="A216" s="18" t="inlineStr">
        <is>
          <t>자회사 취득 수입</t>
        </is>
      </c>
      <c r="Q216" s="20" t="n">
        <v>17</v>
      </c>
      <c r="R216" s="20" t="n">
        <v>52</v>
      </c>
      <c r="S216" s="20" t="n">
        <v>100</v>
      </c>
      <c r="T216" s="20" t="n">
        <v>0</v>
      </c>
    </row>
    <row r="217">
      <c r="A217" s="18" t="inlineStr">
        <is>
          <t>자회사 매각 수입</t>
        </is>
      </c>
      <c r="C217" s="20" t="n">
        <v>1892</v>
      </c>
      <c r="D217" s="20" t="n">
        <v>1892</v>
      </c>
      <c r="E217" s="20" t="n">
        <v>1892</v>
      </c>
      <c r="F217" s="20" t="n">
        <v>0</v>
      </c>
      <c r="G217" s="20" t="n">
        <v>0</v>
      </c>
      <c r="H217" s="20" t="n">
        <v>0</v>
      </c>
      <c r="I217" s="20" t="n">
        <v>0</v>
      </c>
      <c r="J217" s="20" t="n">
        <v>2824</v>
      </c>
      <c r="K217" s="20" t="n">
        <v>13821</v>
      </c>
      <c r="L217" s="20" t="n">
        <v>13821</v>
      </c>
      <c r="M217" s="20" t="n">
        <v>13821</v>
      </c>
      <c r="N217" s="20" t="n">
        <v>0</v>
      </c>
      <c r="P217" s="20" t="n">
        <v>228</v>
      </c>
      <c r="Q217" s="20" t="n">
        <v>20230</v>
      </c>
      <c r="R217" s="20" t="n">
        <v>0</v>
      </c>
      <c r="S217" s="20" t="n">
        <v>8444</v>
      </c>
      <c r="T217" s="20" t="n">
        <v>5078</v>
      </c>
      <c r="U217" s="20" t="n">
        <v>9679</v>
      </c>
      <c r="V217" s="20" t="n">
        <v>1892</v>
      </c>
      <c r="W217" s="20" t="n">
        <v>0</v>
      </c>
      <c r="X217" s="20" t="n">
        <v>13821</v>
      </c>
    </row>
    <row r="218">
      <c r="A218" s="18" t="inlineStr">
        <is>
          <t>자회사 매각 지출</t>
        </is>
      </c>
      <c r="D218" s="20" t="n">
        <v>0</v>
      </c>
      <c r="E218" s="20" t="n">
        <v>-9008</v>
      </c>
      <c r="H218" s="20" t="n">
        <v>-490</v>
      </c>
      <c r="I218" s="20" t="n">
        <v>-490</v>
      </c>
      <c r="L218" s="20" t="n">
        <v>0</v>
      </c>
      <c r="M218" s="20" t="n">
        <v>-789</v>
      </c>
      <c r="Q218" s="20" t="n">
        <v>0</v>
      </c>
      <c r="R218" s="20" t="n">
        <v>-220</v>
      </c>
      <c r="S218" s="20" t="n">
        <v>-2969</v>
      </c>
      <c r="T218" s="20" t="n">
        <v>-92</v>
      </c>
      <c r="U218" s="20" t="n">
        <v>0</v>
      </c>
      <c r="V218" s="20" t="n">
        <v>-9008</v>
      </c>
      <c r="W218" s="20" t="n">
        <v>-490</v>
      </c>
      <c r="X218" s="20" t="n">
        <v>-789</v>
      </c>
    </row>
    <row r="219">
      <c r="A219" s="18" t="inlineStr">
        <is>
          <t>관계·공동기업 투자 취득 지출</t>
        </is>
      </c>
      <c r="C219" s="20" t="n">
        <v>-80</v>
      </c>
      <c r="D219" s="20" t="n">
        <v>-80</v>
      </c>
      <c r="E219" s="20" t="n">
        <v>-276</v>
      </c>
      <c r="F219" s="20" t="n">
        <v>0</v>
      </c>
      <c r="G219" s="20" t="n">
        <v>-5440</v>
      </c>
      <c r="H219" s="20" t="n">
        <v>-5440</v>
      </c>
      <c r="I219" s="20" t="n">
        <v>-5795</v>
      </c>
      <c r="K219" s="20" t="n">
        <v>-658</v>
      </c>
      <c r="L219" s="20" t="n">
        <v>-683</v>
      </c>
      <c r="M219" s="20" t="n">
        <v>-683</v>
      </c>
      <c r="P219" s="20" t="n">
        <v>-471</v>
      </c>
      <c r="Q219" s="20" t="n">
        <v>-1148</v>
      </c>
      <c r="R219" s="20" t="n">
        <v>-376</v>
      </c>
      <c r="S219" s="20" t="n">
        <v>-230</v>
      </c>
      <c r="T219" s="20" t="n">
        <v>-137</v>
      </c>
      <c r="U219" s="20" t="n">
        <v>-198</v>
      </c>
      <c r="V219" s="20" t="n">
        <v>-276</v>
      </c>
      <c r="W219" s="20" t="n">
        <v>-5795</v>
      </c>
      <c r="X219" s="20" t="n">
        <v>-683</v>
      </c>
    </row>
    <row r="220">
      <c r="A220" s="18" t="inlineStr">
        <is>
          <t>관계·공동기업 투자 매각 수입</t>
        </is>
      </c>
      <c r="C220" s="20" t="n">
        <v>209</v>
      </c>
      <c r="D220" s="20" t="n">
        <v>209</v>
      </c>
      <c r="E220" s="20" t="n">
        <v>226</v>
      </c>
      <c r="F220" s="20" t="n">
        <v>20</v>
      </c>
      <c r="G220" s="20" t="n">
        <v>20</v>
      </c>
      <c r="H220" s="20" t="n">
        <v>15874</v>
      </c>
      <c r="I220" s="20" t="n">
        <v>15874</v>
      </c>
      <c r="J220" s="20" t="n">
        <v>0</v>
      </c>
      <c r="K220" s="20" t="n">
        <v>0</v>
      </c>
      <c r="L220" s="20" t="n">
        <v>82937</v>
      </c>
      <c r="M220" s="20" t="n">
        <v>83003</v>
      </c>
      <c r="N220" s="20" t="n">
        <v>204</v>
      </c>
      <c r="P220" s="20" t="n">
        <v>21997</v>
      </c>
      <c r="Q220" s="20" t="n">
        <v>13816</v>
      </c>
      <c r="R220" s="20" t="n">
        <v>2098</v>
      </c>
      <c r="S220" s="20" t="n">
        <v>8448</v>
      </c>
      <c r="T220" s="20" t="n">
        <v>2197</v>
      </c>
      <c r="U220" s="20" t="n">
        <v>1951</v>
      </c>
      <c r="V220" s="20" t="n">
        <v>226</v>
      </c>
      <c r="W220" s="20" t="n">
        <v>15874</v>
      </c>
      <c r="X220" s="20" t="n">
        <v>83003</v>
      </c>
    </row>
    <row r="221">
      <c r="A221" s="18" t="inlineStr">
        <is>
          <t>대여금 회수</t>
        </is>
      </c>
      <c r="P221" s="20" t="n">
        <v>25466</v>
      </c>
      <c r="Q221" s="20" t="n">
        <v>94</v>
      </c>
      <c r="R221" s="20" t="n">
        <v>44</v>
      </c>
    </row>
    <row r="222">
      <c r="A222" s="18" t="inlineStr">
        <is>
          <t>Income By Settlement In Derivatives Inv CF</t>
        </is>
      </c>
      <c r="J222" s="20" t="n">
        <v>0</v>
      </c>
      <c r="N222" s="20" t="n">
        <v>27561</v>
      </c>
    </row>
    <row r="223">
      <c r="A223" s="18" t="inlineStr">
        <is>
          <t>기타(순액)</t>
        </is>
      </c>
      <c r="C223" s="20" t="n">
        <v>-3138</v>
      </c>
      <c r="D223" s="20" t="n">
        <v>-73</v>
      </c>
      <c r="E223" s="20" t="n">
        <v>7764</v>
      </c>
      <c r="F223" s="20" t="n">
        <v>-797</v>
      </c>
      <c r="G223" s="20" t="n">
        <v>769</v>
      </c>
      <c r="H223" s="20" t="n">
        <v>1194</v>
      </c>
      <c r="I223" s="20" t="n">
        <v>459</v>
      </c>
      <c r="J223" s="20" t="n">
        <v>79</v>
      </c>
      <c r="K223" s="20" t="n">
        <v>-1463</v>
      </c>
      <c r="L223" s="20" t="n">
        <v>-4031</v>
      </c>
      <c r="M223" s="20" t="n">
        <v>-4735</v>
      </c>
      <c r="N223" s="20" t="n">
        <v>-813</v>
      </c>
      <c r="P223" s="20" t="n">
        <v>-1399</v>
      </c>
      <c r="Q223" s="20" t="n">
        <v>-262</v>
      </c>
      <c r="R223" s="20" t="n">
        <v>-6807</v>
      </c>
      <c r="S223" s="20" t="n">
        <v>992</v>
      </c>
      <c r="T223" s="20" t="n">
        <v>-9240</v>
      </c>
      <c r="U223" s="20" t="n">
        <v>-5849</v>
      </c>
      <c r="V223" s="20" t="n">
        <v>7764</v>
      </c>
      <c r="W223" s="20" t="n">
        <v>459</v>
      </c>
      <c r="X223" s="20" t="n">
        <v>-4735</v>
      </c>
    </row>
    <row r="224">
      <c r="A224" s="9" t="inlineStr">
        <is>
          <t>투자활동 현금흐름</t>
        </is>
      </c>
      <c r="C224" s="12" t="n">
        <v>-35017</v>
      </c>
      <c r="D224" s="12" t="n">
        <v>-46813</v>
      </c>
      <c r="E224" s="12" t="n">
        <v>-76015</v>
      </c>
      <c r="F224" s="12" t="n">
        <v>-21726</v>
      </c>
      <c r="G224" s="12" t="n">
        <v>-52929</v>
      </c>
      <c r="H224" s="12" t="n">
        <v>-53388</v>
      </c>
      <c r="I224" s="12" t="n">
        <v>-131164</v>
      </c>
      <c r="J224" s="12" t="n">
        <v>100</v>
      </c>
      <c r="K224" s="12" t="n">
        <v>-3246</v>
      </c>
      <c r="L224" s="12" t="n">
        <v>35638</v>
      </c>
      <c r="M224" s="12" t="n">
        <v>33686</v>
      </c>
      <c r="N224" s="12" t="n">
        <v>-401358</v>
      </c>
      <c r="P224" s="12" t="n">
        <v>-14231</v>
      </c>
      <c r="Q224" s="12" t="n">
        <v>-76675</v>
      </c>
      <c r="R224" s="12" t="n">
        <v>-84023</v>
      </c>
      <c r="S224" s="12" t="n">
        <v>-122491</v>
      </c>
      <c r="T224" s="12" t="n">
        <v>-63377</v>
      </c>
      <c r="U224" s="12" t="n">
        <v>-49591</v>
      </c>
      <c r="V224" s="12" t="n">
        <v>-76015</v>
      </c>
      <c r="W224" s="12" t="n">
        <v>-131164</v>
      </c>
      <c r="X224" s="12" t="n">
        <v>33686</v>
      </c>
    </row>
    <row r="225">
      <c r="A225" s="18" t="inlineStr">
        <is>
          <t>단기차입금 순증감</t>
        </is>
      </c>
      <c r="C225" s="20" t="n">
        <v>51851</v>
      </c>
      <c r="D225" s="20" t="n">
        <v>86503</v>
      </c>
      <c r="E225" s="20" t="n">
        <v>-21345</v>
      </c>
      <c r="F225" s="20" t="n">
        <v>-954</v>
      </c>
      <c r="G225" s="20" t="n">
        <v>48527</v>
      </c>
      <c r="H225" s="20" t="n">
        <v>106101</v>
      </c>
      <c r="I225" s="20" t="n">
        <v>134217</v>
      </c>
      <c r="J225" s="20" t="n">
        <v>-136831</v>
      </c>
      <c r="K225" s="20" t="n">
        <v>-139158</v>
      </c>
      <c r="L225" s="20" t="n">
        <v>-138517</v>
      </c>
      <c r="M225" s="20" t="n">
        <v>-147629</v>
      </c>
      <c r="N225" s="20" t="n">
        <v>4168</v>
      </c>
      <c r="P225" s="20" t="n">
        <v>8214</v>
      </c>
      <c r="Q225" s="20" t="n">
        <v>48234</v>
      </c>
      <c r="R225" s="20" t="n">
        <v>-4349</v>
      </c>
      <c r="S225" s="20" t="n">
        <v>-47333</v>
      </c>
      <c r="T225" s="20" t="n">
        <v>38696</v>
      </c>
      <c r="U225" s="20" t="n">
        <v>-39978</v>
      </c>
      <c r="V225" s="20" t="n">
        <v>-21345</v>
      </c>
      <c r="W225" s="20" t="n">
        <v>134217</v>
      </c>
      <c r="X225" s="20" t="n">
        <v>-147629</v>
      </c>
    </row>
    <row r="226">
      <c r="A226" s="18" t="inlineStr">
        <is>
          <t>장기차입</t>
        </is>
      </c>
      <c r="C226" s="20" t="n">
        <v>0</v>
      </c>
      <c r="D226" s="20" t="n">
        <v>0</v>
      </c>
      <c r="E226" s="20" t="n">
        <v>0</v>
      </c>
      <c r="F226" s="20" t="n">
        <v>1502</v>
      </c>
      <c r="G226" s="20" t="n">
        <v>572</v>
      </c>
      <c r="H226" s="20" t="n">
        <v>1675</v>
      </c>
      <c r="I226" s="20" t="n">
        <v>1962</v>
      </c>
      <c r="J226" s="20" t="n">
        <v>1008</v>
      </c>
      <c r="K226" s="20" t="n">
        <v>1812</v>
      </c>
      <c r="L226" s="20" t="n">
        <v>27429</v>
      </c>
      <c r="M226" s="20" t="n">
        <v>27508</v>
      </c>
      <c r="N226" s="20" t="n">
        <v>940</v>
      </c>
      <c r="P226" s="20" t="n">
        <v>11512</v>
      </c>
      <c r="Q226" s="20" t="n">
        <v>9681</v>
      </c>
      <c r="R226" s="20" t="n">
        <v>37879</v>
      </c>
      <c r="S226" s="20" t="n">
        <v>99181</v>
      </c>
      <c r="T226" s="20" t="n">
        <v>382</v>
      </c>
      <c r="U226" s="20" t="n">
        <v>40000</v>
      </c>
      <c r="V226" s="20" t="n">
        <v>0</v>
      </c>
      <c r="W226" s="20" t="n">
        <v>1962</v>
      </c>
      <c r="X226" s="20" t="n">
        <v>27508</v>
      </c>
    </row>
    <row r="227">
      <c r="A227" s="18" t="inlineStr">
        <is>
          <t>장기차입금 상환</t>
        </is>
      </c>
      <c r="C227" s="20" t="n">
        <v>-39119</v>
      </c>
      <c r="D227" s="20" t="n">
        <v>-42226</v>
      </c>
      <c r="E227" s="20" t="n">
        <v>-46696</v>
      </c>
      <c r="F227" s="20" t="n">
        <v>-92</v>
      </c>
      <c r="G227" s="20" t="n">
        <v>-199</v>
      </c>
      <c r="H227" s="20" t="n">
        <v>-30293</v>
      </c>
      <c r="I227" s="20" t="n">
        <v>-36231</v>
      </c>
      <c r="J227" s="20" t="n">
        <v>-168</v>
      </c>
      <c r="K227" s="20" t="n">
        <v>-388</v>
      </c>
      <c r="L227" s="20" t="n">
        <v>-47633</v>
      </c>
      <c r="M227" s="20" t="n">
        <v>-49903</v>
      </c>
      <c r="N227" s="20" t="n">
        <v>-293</v>
      </c>
      <c r="P227" s="20" t="n">
        <v>-65864</v>
      </c>
      <c r="Q227" s="20" t="n">
        <v>-157778</v>
      </c>
      <c r="R227" s="20" t="n">
        <v>-48723</v>
      </c>
      <c r="S227" s="20" t="n">
        <v>-44009</v>
      </c>
      <c r="T227" s="20" t="n">
        <v>-137650</v>
      </c>
      <c r="U227" s="20" t="n">
        <v>-49550</v>
      </c>
      <c r="V227" s="20" t="n">
        <v>-46696</v>
      </c>
      <c r="W227" s="20" t="n">
        <v>-36231</v>
      </c>
      <c r="X227" s="20" t="n">
        <v>-49903</v>
      </c>
    </row>
    <row r="228">
      <c r="A228" s="18" t="inlineStr">
        <is>
          <t>사채 발행</t>
        </is>
      </c>
      <c r="C228" s="20" t="n">
        <v>40000</v>
      </c>
      <c r="D228" s="20" t="n">
        <v>40000</v>
      </c>
      <c r="E228" s="20" t="n">
        <v>40000</v>
      </c>
      <c r="G228" s="20" t="n">
        <v>30000</v>
      </c>
      <c r="H228" s="20" t="n">
        <v>30000</v>
      </c>
      <c r="I228" s="20" t="n">
        <v>30000</v>
      </c>
      <c r="J228" s="20" t="n">
        <v>0</v>
      </c>
      <c r="K228" s="20" t="n">
        <v>30000</v>
      </c>
      <c r="L228" s="20" t="n">
        <v>30000</v>
      </c>
      <c r="M228" s="20" t="n">
        <v>30000</v>
      </c>
      <c r="N228" s="20" t="n">
        <v>50000</v>
      </c>
      <c r="P228" s="20" t="n">
        <v>100000</v>
      </c>
      <c r="Q228" s="20" t="n">
        <v>50011</v>
      </c>
      <c r="R228" s="20" t="n">
        <v>0</v>
      </c>
      <c r="S228" s="20" t="n">
        <v>35000</v>
      </c>
      <c r="T228" s="20" t="n">
        <v>0</v>
      </c>
      <c r="U228" s="20" t="n">
        <v>110000</v>
      </c>
      <c r="V228" s="20" t="n">
        <v>40000</v>
      </c>
      <c r="W228" s="20" t="n">
        <v>30000</v>
      </c>
      <c r="X228" s="20" t="n">
        <v>30000</v>
      </c>
    </row>
    <row r="229">
      <c r="A229" s="18" t="inlineStr">
        <is>
          <t>사채 상환</t>
        </is>
      </c>
      <c r="C229" s="20" t="n">
        <v>-40000</v>
      </c>
      <c r="D229" s="20" t="n">
        <v>-40000</v>
      </c>
      <c r="E229" s="20" t="n">
        <v>-40000</v>
      </c>
      <c r="F229" s="20" t="n">
        <v>-25000</v>
      </c>
      <c r="G229" s="20" t="n">
        <v>-25000</v>
      </c>
      <c r="H229" s="20" t="n">
        <v>-25000</v>
      </c>
      <c r="I229" s="20" t="n">
        <v>-25000</v>
      </c>
      <c r="J229" s="20" t="n">
        <v>-15000</v>
      </c>
      <c r="K229" s="20" t="n">
        <v>-25000</v>
      </c>
      <c r="L229" s="20" t="n">
        <v>-25000</v>
      </c>
      <c r="M229" s="20" t="n">
        <v>-25000</v>
      </c>
      <c r="N229" s="20" t="n">
        <v>0</v>
      </c>
      <c r="P229" s="20" t="n">
        <v>-40000</v>
      </c>
      <c r="Q229" s="20" t="n">
        <v>0</v>
      </c>
      <c r="R229" s="20" t="n">
        <v>0</v>
      </c>
      <c r="S229" s="20" t="n">
        <v>-55000</v>
      </c>
      <c r="T229" s="20" t="n">
        <v>0</v>
      </c>
      <c r="U229" s="20" t="n">
        <v>-55000</v>
      </c>
      <c r="V229" s="20" t="n">
        <v>-40000</v>
      </c>
      <c r="W229" s="20" t="n">
        <v>-25000</v>
      </c>
      <c r="X229" s="20" t="n">
        <v>-25000</v>
      </c>
    </row>
    <row r="230">
      <c r="A230" s="18" t="inlineStr">
        <is>
          <t>리스부채 상환 지출</t>
        </is>
      </c>
      <c r="C230" s="20" t="n">
        <v>-32887</v>
      </c>
      <c r="D230" s="20" t="n">
        <v>-47823</v>
      </c>
      <c r="E230" s="20" t="n">
        <v>-63117</v>
      </c>
      <c r="F230" s="20" t="n">
        <v>-15241</v>
      </c>
      <c r="G230" s="20" t="n">
        <v>-28235</v>
      </c>
      <c r="H230" s="20" t="n">
        <v>-42068</v>
      </c>
      <c r="I230" s="20" t="n">
        <v>-56596</v>
      </c>
      <c r="J230" s="20" t="n">
        <v>-14205</v>
      </c>
      <c r="K230" s="20" t="n">
        <v>-27957</v>
      </c>
      <c r="L230" s="20" t="n">
        <v>-41136</v>
      </c>
      <c r="M230" s="20" t="n">
        <v>-54890</v>
      </c>
      <c r="N230" s="20" t="n">
        <v>-14301</v>
      </c>
      <c r="Q230" s="20" t="n">
        <v>0</v>
      </c>
      <c r="R230" s="20" t="n">
        <v>-53620</v>
      </c>
      <c r="S230" s="20" t="n">
        <v>-57530</v>
      </c>
      <c r="T230" s="20" t="n">
        <v>-57283</v>
      </c>
      <c r="U230" s="20" t="n">
        <v>-60879</v>
      </c>
      <c r="V230" s="20" t="n">
        <v>-63117</v>
      </c>
      <c r="W230" s="20" t="n">
        <v>-56596</v>
      </c>
      <c r="X230" s="20" t="n">
        <v>-54890</v>
      </c>
    </row>
    <row r="231">
      <c r="A231" s="18" t="inlineStr">
        <is>
          <t>주식 발행</t>
        </is>
      </c>
      <c r="R231" s="20" t="n">
        <v>0</v>
      </c>
      <c r="S231" s="20" t="n">
        <v>60893</v>
      </c>
      <c r="T231" s="20" t="n">
        <v>0</v>
      </c>
    </row>
    <row r="232">
      <c r="A232" s="18" t="inlineStr">
        <is>
          <t>비지배지분에 자회사 지분 매각 수입</t>
        </is>
      </c>
      <c r="P232" s="20" t="n">
        <v>0</v>
      </c>
      <c r="Q232" s="20" t="n">
        <v>18810</v>
      </c>
      <c r="R232" s="20" t="n">
        <v>0</v>
      </c>
      <c r="S232" s="20" t="n">
        <v>35000</v>
      </c>
      <c r="T232" s="20" t="n">
        <v>0</v>
      </c>
    </row>
    <row r="233">
      <c r="A233" s="18" t="inlineStr">
        <is>
          <t>비지배지분으로부터 자회사 지분 취득 지출</t>
        </is>
      </c>
      <c r="E233" s="20" t="n">
        <v>0</v>
      </c>
      <c r="F233" s="20" t="n">
        <v>0</v>
      </c>
      <c r="G233" s="20" t="n">
        <v>0</v>
      </c>
      <c r="H233" s="20" t="n">
        <v>0</v>
      </c>
      <c r="I233" s="20" t="n">
        <v>-111003</v>
      </c>
      <c r="J233" s="20" t="n">
        <v>-126567</v>
      </c>
      <c r="K233" s="20" t="n">
        <v>-127432</v>
      </c>
      <c r="L233" s="20" t="n">
        <v>-127630</v>
      </c>
      <c r="M233" s="20" t="n">
        <v>-129832</v>
      </c>
      <c r="N233" s="20" t="n">
        <v>0</v>
      </c>
      <c r="V233" s="20" t="n">
        <v>0</v>
      </c>
      <c r="W233" s="20" t="n">
        <v>-111003</v>
      </c>
      <c r="X233" s="20" t="n">
        <v>-129832</v>
      </c>
    </row>
    <row r="234">
      <c r="A234" s="18" t="inlineStr">
        <is>
          <t>배당금 지급</t>
        </is>
      </c>
      <c r="C234" s="20" t="n">
        <v>-14652</v>
      </c>
      <c r="D234" s="20" t="n">
        <v>-30563</v>
      </c>
      <c r="E234" s="20" t="n">
        <v>-30655</v>
      </c>
      <c r="F234" s="20" t="n">
        <v>-15806</v>
      </c>
      <c r="G234" s="20" t="n">
        <v>-16004</v>
      </c>
      <c r="H234" s="20" t="n">
        <v>-34598</v>
      </c>
      <c r="I234" s="20" t="n">
        <v>-34682</v>
      </c>
      <c r="J234" s="20" t="n">
        <v>-18506</v>
      </c>
      <c r="K234" s="20" t="n">
        <v>-18678</v>
      </c>
      <c r="L234" s="20" t="n">
        <v>-39964</v>
      </c>
      <c r="M234" s="20" t="n">
        <v>-40043</v>
      </c>
      <c r="N234" s="20" t="n">
        <v>-28959</v>
      </c>
      <c r="P234" s="20" t="n">
        <v>-15586</v>
      </c>
      <c r="Q234" s="20" t="n">
        <v>-15586</v>
      </c>
      <c r="R234" s="20" t="n">
        <v>-18177</v>
      </c>
      <c r="S234" s="20" t="n">
        <v>-21296</v>
      </c>
      <c r="T234" s="20" t="n">
        <v>-27259</v>
      </c>
      <c r="U234" s="20" t="n">
        <v>-28522</v>
      </c>
      <c r="V234" s="20" t="n">
        <v>-30655</v>
      </c>
      <c r="W234" s="20" t="n">
        <v>-34682</v>
      </c>
      <c r="X234" s="20" t="n">
        <v>-40043</v>
      </c>
    </row>
    <row r="235">
      <c r="A235" s="18" t="inlineStr">
        <is>
          <t>비지배지분 배당금 지급액</t>
        </is>
      </c>
      <c r="C235" s="20" t="n">
        <v>-3934</v>
      </c>
      <c r="D235" s="20" t="n">
        <v>-8692</v>
      </c>
      <c r="E235" s="20" t="n">
        <v>-8715</v>
      </c>
      <c r="F235" s="20" t="n">
        <v>-2475</v>
      </c>
      <c r="G235" s="20" t="n">
        <v>-4446</v>
      </c>
      <c r="H235" s="20" t="n">
        <v>-7005</v>
      </c>
      <c r="I235" s="20" t="n">
        <v>-7013</v>
      </c>
      <c r="J235" s="20" t="n">
        <v>-300</v>
      </c>
      <c r="K235" s="20" t="n">
        <v>-1680</v>
      </c>
      <c r="L235" s="20" t="n">
        <v>-1685</v>
      </c>
      <c r="M235" s="20" t="n">
        <v>-1685</v>
      </c>
      <c r="N235" s="20" t="n">
        <v>-364</v>
      </c>
      <c r="P235" s="20" t="n">
        <v>-4258</v>
      </c>
      <c r="Q235" s="20" t="n">
        <v>-4261</v>
      </c>
      <c r="R235" s="20" t="n">
        <v>-4939</v>
      </c>
      <c r="S235" s="20" t="n">
        <v>-5396</v>
      </c>
      <c r="T235" s="20" t="n">
        <v>-6093</v>
      </c>
      <c r="U235" s="20" t="n">
        <v>-8733</v>
      </c>
      <c r="V235" s="20" t="n">
        <v>-8715</v>
      </c>
      <c r="W235" s="20" t="n">
        <v>-7013</v>
      </c>
      <c r="X235" s="20" t="n">
        <v>-1685</v>
      </c>
    </row>
    <row r="236">
      <c r="A236" s="18" t="inlineStr">
        <is>
          <t>자기주식 처분</t>
        </is>
      </c>
      <c r="E236" s="20" t="n">
        <v>567</v>
      </c>
      <c r="R236" s="20" t="n">
        <v>63</v>
      </c>
      <c r="S236" s="20" t="n">
        <v>3239</v>
      </c>
      <c r="T236" s="20" t="n">
        <v>243</v>
      </c>
      <c r="U236" s="20" t="n">
        <v>865</v>
      </c>
      <c r="V236" s="20" t="n">
        <v>567</v>
      </c>
    </row>
    <row r="237">
      <c r="A237" s="18" t="inlineStr">
        <is>
          <t>자기주식 처분</t>
        </is>
      </c>
      <c r="C237" s="20" t="n">
        <v>1636</v>
      </c>
      <c r="D237" s="20" t="n">
        <v>1645</v>
      </c>
      <c r="E237" s="20" t="n">
        <v>567</v>
      </c>
      <c r="G237" s="20" t="n">
        <v>470</v>
      </c>
      <c r="H237" s="20" t="n">
        <v>470</v>
      </c>
      <c r="I237" s="20" t="n">
        <v>470</v>
      </c>
      <c r="V237" s="20" t="n">
        <v>567</v>
      </c>
      <c r="W237" s="20" t="n">
        <v>470</v>
      </c>
    </row>
    <row r="238">
      <c r="A238" s="18" t="inlineStr">
        <is>
          <t>상환옵션부 우선주 발행 수입</t>
        </is>
      </c>
      <c r="C238" s="20" t="n">
        <v>15797</v>
      </c>
      <c r="D238" s="20" t="n">
        <v>15797</v>
      </c>
      <c r="E238" s="20" t="n">
        <v>15797</v>
      </c>
      <c r="F238" s="20" t="n">
        <v>0</v>
      </c>
      <c r="G238" s="20" t="n">
        <v>0</v>
      </c>
      <c r="H238" s="20" t="n">
        <v>0</v>
      </c>
      <c r="I238" s="20" t="n">
        <v>0</v>
      </c>
      <c r="U238" s="20" t="n">
        <v>0</v>
      </c>
      <c r="V238" s="20" t="n">
        <v>15797</v>
      </c>
      <c r="W238" s="20" t="n">
        <v>0</v>
      </c>
    </row>
    <row r="239">
      <c r="A239" s="18" t="inlineStr">
        <is>
          <t>자기주식 취득</t>
        </is>
      </c>
      <c r="C239" s="20" t="n">
        <v>-1113</v>
      </c>
      <c r="D239" s="20" t="n">
        <v>-1128</v>
      </c>
      <c r="E239" s="20" t="n">
        <v>-74</v>
      </c>
      <c r="I239" s="20" t="n">
        <v>-98</v>
      </c>
      <c r="M239" s="20" t="n">
        <v>-27329</v>
      </c>
      <c r="T239" s="20" t="n">
        <v>-570</v>
      </c>
      <c r="U239" s="20" t="n">
        <v>-30547</v>
      </c>
      <c r="V239" s="20" t="n">
        <v>-74</v>
      </c>
      <c r="W239" s="20" t="n">
        <v>-98</v>
      </c>
      <c r="X239" s="20" t="n">
        <v>-27329</v>
      </c>
    </row>
    <row r="240">
      <c r="A240" s="18" t="inlineStr">
        <is>
          <t>기타(순액)</t>
        </is>
      </c>
      <c r="C240" s="20" t="n">
        <v>-1383</v>
      </c>
      <c r="D240" s="20" t="n">
        <v>-1898</v>
      </c>
      <c r="E240" s="20" t="n">
        <v>-1344</v>
      </c>
      <c r="F240" s="20" t="n">
        <v>-141</v>
      </c>
      <c r="G240" s="20" t="n">
        <v>225</v>
      </c>
      <c r="H240" s="20" t="n">
        <v>194</v>
      </c>
      <c r="I240" s="20" t="n">
        <v>470</v>
      </c>
      <c r="J240" s="20" t="n">
        <v>350</v>
      </c>
      <c r="K240" s="20" t="n">
        <v>822</v>
      </c>
      <c r="L240" s="20" t="n">
        <v>825</v>
      </c>
      <c r="M240" s="20" t="n">
        <v>853</v>
      </c>
      <c r="N240" s="20" t="n">
        <v>816</v>
      </c>
      <c r="P240" s="20" t="n">
        <v>-1257</v>
      </c>
      <c r="Q240" s="20" t="n">
        <v>386</v>
      </c>
      <c r="R240" s="20" t="n">
        <v>119</v>
      </c>
      <c r="S240" s="20" t="n">
        <v>-1355</v>
      </c>
      <c r="T240" s="20" t="n">
        <v>-82</v>
      </c>
      <c r="U240" s="20" t="n">
        <v>-442</v>
      </c>
      <c r="V240" s="20" t="n">
        <v>-1344</v>
      </c>
      <c r="W240" s="20" t="n">
        <v>470</v>
      </c>
      <c r="X240" s="20" t="n">
        <v>853</v>
      </c>
    </row>
    <row r="241">
      <c r="A241" s="9" t="inlineStr">
        <is>
          <t>재무활동 현금흐름</t>
        </is>
      </c>
      <c r="C241" s="12" t="n">
        <v>-22691</v>
      </c>
      <c r="D241" s="12" t="n">
        <v>-27257</v>
      </c>
      <c r="E241" s="12" t="n">
        <v>-155508</v>
      </c>
      <c r="F241" s="12" t="n">
        <v>-58207</v>
      </c>
      <c r="G241" s="12" t="n">
        <v>5440</v>
      </c>
      <c r="H241" s="12" t="n">
        <v>-994</v>
      </c>
      <c r="I241" s="12" t="n">
        <v>-103974</v>
      </c>
      <c r="J241" s="12" t="n">
        <v>-310219</v>
      </c>
      <c r="K241" s="12" t="n">
        <v>-307659</v>
      </c>
      <c r="L241" s="12" t="n">
        <v>-363311</v>
      </c>
      <c r="M241" s="12" t="n">
        <v>-417950</v>
      </c>
      <c r="N241" s="12" t="n">
        <v>12007</v>
      </c>
      <c r="P241" s="12" t="n">
        <v>-7239</v>
      </c>
      <c r="Q241" s="12" t="n">
        <v>-50503</v>
      </c>
      <c r="R241" s="12" t="n">
        <v>-91747</v>
      </c>
      <c r="S241" s="12" t="n">
        <v>1394</v>
      </c>
      <c r="T241" s="12" t="n">
        <v>-189616</v>
      </c>
      <c r="U241" s="12" t="n">
        <v>-122786</v>
      </c>
      <c r="V241" s="12" t="n">
        <v>-155508</v>
      </c>
      <c r="W241" s="12" t="n">
        <v>-103974</v>
      </c>
      <c r="X241" s="12" t="n">
        <v>-417950</v>
      </c>
    </row>
    <row r="242">
      <c r="A242" s="18" t="inlineStr">
        <is>
          <t>현금성자산 환율변동 효과</t>
        </is>
      </c>
      <c r="C242" s="20" t="n">
        <v>14517</v>
      </c>
      <c r="D242" s="20" t="n">
        <v>9796</v>
      </c>
      <c r="E242" s="20" t="n">
        <v>17323</v>
      </c>
      <c r="F242" s="20" t="n">
        <v>9478</v>
      </c>
      <c r="G242" s="20" t="n">
        <v>-3722</v>
      </c>
      <c r="H242" s="20" t="n">
        <v>7001</v>
      </c>
      <c r="I242" s="20" t="n">
        <v>-1145</v>
      </c>
      <c r="J242" s="20" t="n">
        <v>-869</v>
      </c>
      <c r="K242" s="20" t="n">
        <v>3006</v>
      </c>
      <c r="L242" s="20" t="n">
        <v>18187</v>
      </c>
      <c r="M242" s="20" t="n">
        <v>20220</v>
      </c>
      <c r="N242" s="20" t="n">
        <v>4838</v>
      </c>
      <c r="P242" s="20" t="n">
        <v>-2447</v>
      </c>
      <c r="Q242" s="20" t="n">
        <v>-1275</v>
      </c>
      <c r="R242" s="20" t="n">
        <v>-4496</v>
      </c>
      <c r="S242" s="20" t="n">
        <v>6122</v>
      </c>
      <c r="T242" s="20" t="n">
        <v>12909</v>
      </c>
      <c r="U242" s="20" t="n">
        <v>8934</v>
      </c>
      <c r="V242" s="20" t="n">
        <v>17323</v>
      </c>
      <c r="W242" s="20" t="n">
        <v>-1145</v>
      </c>
      <c r="X242" s="20" t="n">
        <v>20220</v>
      </c>
    </row>
    <row r="243">
      <c r="A243" s="18" t="inlineStr">
        <is>
          <t>현금성자산 증감</t>
        </is>
      </c>
      <c r="C243" s="20" t="n">
        <v>-16365</v>
      </c>
      <c r="D243" s="20" t="n">
        <v>-36490</v>
      </c>
      <c r="E243" s="20" t="n">
        <v>57028</v>
      </c>
      <c r="F243" s="20" t="n">
        <v>33286</v>
      </c>
      <c r="G243" s="20" t="n">
        <v>7494</v>
      </c>
      <c r="H243" s="20" t="n">
        <v>4415</v>
      </c>
      <c r="I243" s="20" t="n">
        <v>108125</v>
      </c>
      <c r="J243" s="20" t="n">
        <v>-57923</v>
      </c>
      <c r="K243" s="20" t="n">
        <v>-130499</v>
      </c>
      <c r="L243" s="20" t="n">
        <v>-143278</v>
      </c>
      <c r="M243" s="20" t="n">
        <v>74419</v>
      </c>
      <c r="N243" s="20" t="n">
        <v>-224335</v>
      </c>
      <c r="P243" s="20" t="n">
        <v>106064</v>
      </c>
      <c r="Q243" s="20" t="n">
        <v>-64218</v>
      </c>
      <c r="R243" s="20" t="n">
        <v>81597</v>
      </c>
      <c r="S243" s="20" t="n">
        <v>159932</v>
      </c>
      <c r="T243" s="20" t="n">
        <v>-92567</v>
      </c>
      <c r="U243" s="20" t="n">
        <v>-11316</v>
      </c>
      <c r="V243" s="20" t="n">
        <v>57028</v>
      </c>
      <c r="W243" s="20" t="n">
        <v>108125</v>
      </c>
      <c r="X243" s="20" t="n">
        <v>74419</v>
      </c>
    </row>
    <row r="244">
      <c r="A244" s="18" t="inlineStr">
        <is>
          <t>매각예정자산 대체에 따른 현금성자산 증감액</t>
        </is>
      </c>
      <c r="P244" s="20" t="n">
        <v>-9</v>
      </c>
      <c r="Q244" s="20" t="n">
        <v>-3493</v>
      </c>
    </row>
    <row r="245">
      <c r="A245" s="18" t="inlineStr">
        <is>
          <t>매각예정자산 대체에 따른 현금성자산 증감액</t>
        </is>
      </c>
      <c r="Q245" s="20" t="n">
        <v>-3493</v>
      </c>
      <c r="R245" s="20" t="n">
        <v>-659</v>
      </c>
      <c r="S245" s="20" t="n">
        <v>4161</v>
      </c>
      <c r="T245" s="20" t="n">
        <v>0</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9"/>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6701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2026.1Q</t>
        </is>
      </c>
      <c r="D3" s="5" t="inlineStr">
        <is>
          <t>2026.2Q</t>
        </is>
      </c>
      <c r="E3" s="5" t="inlineStr">
        <is>
          <t>2026.3Q</t>
        </is>
      </c>
      <c r="F3" s="5" t="inlineStr">
        <is>
          <t>2026.4Q</t>
        </is>
      </c>
      <c r="G3" s="5" t="inlineStr">
        <is>
          <t>2027.1Q</t>
        </is>
      </c>
      <c r="H3" s="6" t="inlineStr">
        <is>
          <t>2022</t>
        </is>
      </c>
      <c r="I3" s="5" t="inlineStr">
        <is>
          <t>2023</t>
        </is>
      </c>
      <c r="J3" s="5" t="inlineStr">
        <is>
          <t>2024</t>
        </is>
      </c>
      <c r="K3" s="5" t="inlineStr">
        <is>
          <t>2025</t>
        </is>
      </c>
      <c r="L3" s="5" t="inlineStr">
        <is>
          <t>2026</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1905233</v>
      </c>
      <c r="D5" s="12" t="n">
        <v>2002572</v>
      </c>
      <c r="E5" s="12" t="n">
        <v>2097345</v>
      </c>
      <c r="F5" s="12" t="n">
        <v>2459093</v>
      </c>
      <c r="G5" s="12" t="n">
        <v>2015816</v>
      </c>
      <c r="H5" s="11" t="n">
        <v>1836690</v>
      </c>
      <c r="I5" s="12" t="n">
        <v>1995903</v>
      </c>
      <c r="J5" s="12" t="n">
        <v>2141784</v>
      </c>
      <c r="K5" s="12" t="n">
        <v>2224994</v>
      </c>
      <c r="L5" s="12" t="n">
        <v>2459093</v>
      </c>
    </row>
    <row r="6">
      <c r="A6" s="18" t="inlineStr">
        <is>
          <t>현금및현금성자산</t>
        </is>
      </c>
      <c r="B6" s="10" t="n"/>
      <c r="C6" s="19" t="n">
        <v>526692</v>
      </c>
      <c r="D6" s="20" t="n">
        <v>454116</v>
      </c>
      <c r="E6" s="20" t="n">
        <v>441337</v>
      </c>
      <c r="F6" s="20" t="n">
        <v>659034</v>
      </c>
      <c r="G6" s="20" t="n">
        <v>434699</v>
      </c>
      <c r="H6" s="19" t="n">
        <v>430778</v>
      </c>
      <c r="I6" s="20" t="n">
        <v>419462</v>
      </c>
      <c r="J6" s="20" t="n">
        <v>476490</v>
      </c>
      <c r="K6" s="20" t="n">
        <v>584615</v>
      </c>
      <c r="L6" s="20" t="n">
        <v>659034</v>
      </c>
    </row>
    <row r="7">
      <c r="A7" s="18" t="inlineStr">
        <is>
          <t>단기금융상품</t>
        </is>
      </c>
      <c r="B7" s="10" t="n"/>
      <c r="C7" s="19" t="n">
        <v>10974</v>
      </c>
      <c r="D7" s="20" t="n">
        <v>8844</v>
      </c>
      <c r="E7" s="20" t="n">
        <v>18190</v>
      </c>
      <c r="F7" s="20" t="n">
        <v>28461</v>
      </c>
      <c r="G7" s="20" t="n">
        <v>59379</v>
      </c>
      <c r="H7" s="19" t="n">
        <v>17554</v>
      </c>
      <c r="I7" s="20" t="n">
        <v>15776</v>
      </c>
      <c r="J7" s="20" t="n">
        <v>15729</v>
      </c>
      <c r="K7" s="20" t="n">
        <v>9830</v>
      </c>
      <c r="L7" s="20" t="n">
        <v>28461</v>
      </c>
    </row>
    <row r="8">
      <c r="A8" s="18" t="inlineStr">
        <is>
          <t>매출채권</t>
        </is>
      </c>
      <c r="B8" s="10" t="n"/>
      <c r="C8" s="19" t="n">
        <v>489507</v>
      </c>
      <c r="D8" s="20" t="n">
        <v>561368</v>
      </c>
      <c r="E8" s="20" t="n">
        <v>531557</v>
      </c>
      <c r="F8" s="20" t="n">
        <v>994066</v>
      </c>
      <c r="G8" s="20" t="n">
        <v>565529</v>
      </c>
      <c r="H8" s="19" t="n">
        <v>722334</v>
      </c>
      <c r="I8" s="20" t="n">
        <v>799875</v>
      </c>
      <c r="J8" s="20" t="n">
        <v>829497</v>
      </c>
      <c r="K8" s="20" t="n">
        <v>878434</v>
      </c>
      <c r="L8" s="20" t="n">
        <v>994066</v>
      </c>
    </row>
    <row r="9">
      <c r="A9" s="18" t="inlineStr">
        <is>
          <t>재고자산</t>
        </is>
      </c>
      <c r="B9" s="10" t="n"/>
      <c r="C9" s="19" t="n">
        <v>250483</v>
      </c>
      <c r="D9" s="20" t="n">
        <v>264210</v>
      </c>
      <c r="E9" s="20" t="n">
        <v>273071</v>
      </c>
      <c r="F9" s="20" t="n">
        <v>171181</v>
      </c>
      <c r="G9" s="20" t="n">
        <v>250786</v>
      </c>
      <c r="H9" s="19" t="n">
        <v>246244</v>
      </c>
      <c r="I9" s="20" t="n">
        <v>267576</v>
      </c>
      <c r="J9" s="20" t="n">
        <v>242634</v>
      </c>
      <c r="K9" s="20" t="n">
        <v>184779</v>
      </c>
      <c r="L9" s="20" t="n">
        <v>171181</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1969711</v>
      </c>
      <c r="D11" s="12" t="n">
        <v>1986340</v>
      </c>
      <c r="E11" s="12" t="n">
        <v>2009971</v>
      </c>
      <c r="F11" s="12" t="n">
        <v>2007691</v>
      </c>
      <c r="G11" s="12" t="n">
        <v>2491011</v>
      </c>
      <c r="H11" s="11" t="n">
        <v>1925043</v>
      </c>
      <c r="I11" s="12" t="n">
        <v>1988147</v>
      </c>
      <c r="J11" s="12" t="n">
        <v>2085730</v>
      </c>
      <c r="K11" s="12" t="n">
        <v>2090374</v>
      </c>
      <c r="L11" s="12" t="n">
        <v>2007691</v>
      </c>
    </row>
    <row r="12">
      <c r="A12" s="18" t="inlineStr">
        <is>
          <t>유형자산</t>
        </is>
      </c>
      <c r="B12" s="10" t="n"/>
      <c r="C12" s="19" t="n">
        <v>577635</v>
      </c>
      <c r="D12" s="20" t="n">
        <v>573548</v>
      </c>
      <c r="E12" s="20" t="n">
        <v>591197</v>
      </c>
      <c r="F12" s="20" t="n">
        <v>564064</v>
      </c>
      <c r="G12" s="20" t="n">
        <v>600107</v>
      </c>
      <c r="H12" s="19" t="n">
        <v>540257</v>
      </c>
      <c r="I12" s="20" t="n">
        <v>563384</v>
      </c>
      <c r="J12" s="20" t="n">
        <v>510970</v>
      </c>
      <c r="K12" s="20" t="n">
        <v>580165</v>
      </c>
      <c r="L12" s="20" t="n">
        <v>564064</v>
      </c>
    </row>
    <row r="13">
      <c r="A13" s="18" t="inlineStr">
        <is>
          <t>무형자산</t>
        </is>
      </c>
      <c r="B13" s="10" t="n"/>
      <c r="C13" s="19" t="n">
        <v>358935</v>
      </c>
      <c r="D13" s="20" t="n">
        <v>362192</v>
      </c>
      <c r="E13" s="20" t="n">
        <v>367815</v>
      </c>
      <c r="F13" s="20" t="n">
        <v>368945</v>
      </c>
      <c r="G13" s="20" t="n">
        <v>370303</v>
      </c>
      <c r="H13" s="19" t="n">
        <v>374703</v>
      </c>
      <c r="I13" s="20" t="n">
        <v>378250</v>
      </c>
      <c r="J13" s="20" t="n">
        <v>371762</v>
      </c>
      <c r="K13" s="20" t="n">
        <v>351904</v>
      </c>
      <c r="L13" s="20" t="n">
        <v>368945</v>
      </c>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3874944</v>
      </c>
      <c r="D16" s="12" t="n">
        <v>3988912</v>
      </c>
      <c r="E16" s="12" t="n">
        <v>4107316</v>
      </c>
      <c r="F16" s="12" t="n">
        <v>4466784</v>
      </c>
      <c r="G16" s="12" t="n">
        <v>4506827</v>
      </c>
      <c r="H16" s="11" t="n">
        <v>3761733</v>
      </c>
      <c r="I16" s="12" t="n">
        <v>3984050</v>
      </c>
      <c r="J16" s="12" t="n">
        <v>4227514</v>
      </c>
      <c r="K16" s="12" t="n">
        <v>4315368</v>
      </c>
      <c r="L16" s="12" t="n">
        <v>4466784</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1293960</v>
      </c>
      <c r="D18" s="12" t="n">
        <v>1298526</v>
      </c>
      <c r="E18" s="12" t="n">
        <v>1321898</v>
      </c>
      <c r="F18" s="12" t="n">
        <v>1563977</v>
      </c>
      <c r="G18" s="12" t="n">
        <v>1499291</v>
      </c>
      <c r="H18" s="11" t="n">
        <v>1333983</v>
      </c>
      <c r="I18" s="12" t="n">
        <v>1365509</v>
      </c>
      <c r="J18" s="12" t="n">
        <v>1469353</v>
      </c>
      <c r="K18" s="12" t="n">
        <v>1633416</v>
      </c>
      <c r="L18" s="12" t="n">
        <v>1563977</v>
      </c>
    </row>
    <row r="19">
      <c r="A19" s="18" t="inlineStr">
        <is>
          <t>매입채무</t>
        </is>
      </c>
      <c r="B19" s="10" t="n"/>
      <c r="C19" s="19" t="n">
        <v>429020</v>
      </c>
      <c r="D19" s="20" t="n">
        <v>413855</v>
      </c>
      <c r="E19" s="20" t="n">
        <v>403368</v>
      </c>
      <c r="F19" s="20" t="n">
        <v>476503</v>
      </c>
      <c r="G19" s="20" t="n">
        <v>426305</v>
      </c>
      <c r="H19" s="19" t="n">
        <v>446788</v>
      </c>
      <c r="I19" s="20" t="n">
        <v>497625</v>
      </c>
      <c r="J19" s="20" t="n">
        <v>519762</v>
      </c>
      <c r="K19" s="20" t="n">
        <v>492833</v>
      </c>
      <c r="L19" s="20" t="n">
        <v>476503</v>
      </c>
    </row>
    <row r="20">
      <c r="A20" s="18" t="inlineStr">
        <is>
          <t>단기차입금</t>
        </is>
      </c>
      <c r="B20" s="10" t="n"/>
      <c r="C20" s="19" t="n"/>
      <c r="D20" s="20" t="n"/>
      <c r="E20" s="20" t="n"/>
      <c r="F20" s="20" t="n"/>
      <c r="G20" s="20" t="n"/>
      <c r="H20" s="19" t="n"/>
      <c r="I20" s="20" t="n"/>
      <c r="J20" s="20" t="n"/>
      <c r="K20" s="20" t="n"/>
      <c r="L20" s="20" t="n"/>
    </row>
    <row r="21">
      <c r="A21" s="18" t="inlineStr">
        <is>
          <t>유동성장기부채</t>
        </is>
      </c>
      <c r="B21" s="10" t="n"/>
      <c r="C21" s="19" t="n"/>
      <c r="D21" s="20" t="n"/>
      <c r="E21" s="20" t="n"/>
      <c r="F21" s="20" t="n"/>
      <c r="G21" s="20" t="n"/>
      <c r="H21" s="19" t="n"/>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609224</v>
      </c>
      <c r="D23" s="12" t="n">
        <v>639501</v>
      </c>
      <c r="E23" s="12" t="n">
        <v>633940</v>
      </c>
      <c r="F23" s="12" t="n">
        <v>620920</v>
      </c>
      <c r="G23" s="12" t="n">
        <v>687821</v>
      </c>
      <c r="H23" s="11" t="n">
        <v>641108</v>
      </c>
      <c r="I23" s="12" t="n">
        <v>705817</v>
      </c>
      <c r="J23" s="12" t="n">
        <v>668638</v>
      </c>
      <c r="K23" s="12" t="n">
        <v>610441</v>
      </c>
      <c r="L23" s="12" t="n">
        <v>620920</v>
      </c>
    </row>
    <row r="24">
      <c r="A24" s="18" t="inlineStr">
        <is>
          <t>장기차입금</t>
        </is>
      </c>
      <c r="B24" s="10" t="n"/>
      <c r="C24" s="19" t="n"/>
      <c r="D24" s="20" t="n"/>
      <c r="E24" s="20" t="n"/>
      <c r="F24" s="20" t="n"/>
      <c r="G24" s="20" t="n"/>
      <c r="H24" s="19" t="n"/>
      <c r="I24" s="20" t="n"/>
      <c r="J24" s="20" t="n"/>
      <c r="K24" s="20" t="n"/>
      <c r="L24" s="20" t="n"/>
    </row>
    <row r="25">
      <c r="A25" s="18" t="inlineStr">
        <is>
          <t>사채</t>
        </is>
      </c>
      <c r="B25" s="10" t="n"/>
      <c r="C25" s="19" t="n">
        <v>256658</v>
      </c>
      <c r="D25" s="20" t="n">
        <v>286866</v>
      </c>
      <c r="E25" s="20" t="n">
        <v>272103</v>
      </c>
      <c r="F25" s="20" t="n">
        <v>272107</v>
      </c>
      <c r="G25" s="20" t="n">
        <v>307486</v>
      </c>
      <c r="H25" s="19" t="n">
        <v>257899</v>
      </c>
      <c r="I25" s="20" t="n">
        <v>320794</v>
      </c>
      <c r="J25" s="20" t="n">
        <v>298279</v>
      </c>
      <c r="K25" s="20" t="n">
        <v>255842</v>
      </c>
      <c r="L25" s="20" t="n">
        <v>272107</v>
      </c>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1903184</v>
      </c>
      <c r="D27" s="12" t="n">
        <v>1938027</v>
      </c>
      <c r="E27" s="12" t="n">
        <v>1955838</v>
      </c>
      <c r="F27" s="12" t="n">
        <v>2184897</v>
      </c>
      <c r="G27" s="12" t="n">
        <v>2187112</v>
      </c>
      <c r="H27" s="11" t="n">
        <v>1975091</v>
      </c>
      <c r="I27" s="12" t="n">
        <v>2071326</v>
      </c>
      <c r="J27" s="12" t="n">
        <v>2137991</v>
      </c>
      <c r="K27" s="12" t="n">
        <v>2243857</v>
      </c>
      <c r="L27" s="12" t="n">
        <v>2184897</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1893294</v>
      </c>
      <c r="D31" s="12" t="n">
        <v>1971357</v>
      </c>
      <c r="E31" s="12" t="n">
        <v>2066464</v>
      </c>
      <c r="F31" s="12" t="n">
        <v>2196578</v>
      </c>
      <c r="G31" s="12" t="n">
        <v>2234070</v>
      </c>
      <c r="H31" s="11" t="n">
        <v>1513503</v>
      </c>
      <c r="I31" s="12" t="n">
        <v>1623817</v>
      </c>
      <c r="J31" s="12" t="n">
        <v>1915613</v>
      </c>
      <c r="K31" s="12" t="n">
        <v>1952018</v>
      </c>
      <c r="L31" s="12" t="n">
        <v>2196578</v>
      </c>
    </row>
    <row r="32">
      <c r="A32" s="18" t="inlineStr">
        <is>
          <t>자본금</t>
        </is>
      </c>
      <c r="B32" s="10" t="n"/>
      <c r="C32" s="19" t="n">
        <v>427831</v>
      </c>
      <c r="D32" s="20" t="n">
        <v>427831</v>
      </c>
      <c r="E32" s="20" t="n">
        <v>427831</v>
      </c>
      <c r="F32" s="20" t="n">
        <v>427831</v>
      </c>
      <c r="G32" s="20" t="n">
        <v>427831</v>
      </c>
      <c r="H32" s="19" t="n">
        <v>427831</v>
      </c>
      <c r="I32" s="20" t="n">
        <v>427831</v>
      </c>
      <c r="J32" s="20" t="n">
        <v>427831</v>
      </c>
      <c r="K32" s="20" t="n">
        <v>427831</v>
      </c>
      <c r="L32" s="20" t="n">
        <v>427831</v>
      </c>
    </row>
    <row r="33">
      <c r="A33" s="18" t="inlineStr">
        <is>
          <t>이익잉여금</t>
        </is>
      </c>
      <c r="B33" s="10" t="n"/>
      <c r="C33" s="19" t="n">
        <v>987371</v>
      </c>
      <c r="D33" s="20" t="n">
        <v>1041160</v>
      </c>
      <c r="E33" s="20" t="n">
        <v>1088991</v>
      </c>
      <c r="F33" s="20" t="n">
        <v>1216327</v>
      </c>
      <c r="G33" s="20" t="n">
        <v>1236615</v>
      </c>
      <c r="H33" s="19" t="n">
        <v>678653</v>
      </c>
      <c r="I33" s="20" t="n">
        <v>764604</v>
      </c>
      <c r="J33" s="20" t="n">
        <v>883453</v>
      </c>
      <c r="K33" s="20" t="n">
        <v>1023945</v>
      </c>
      <c r="L33" s="20" t="n">
        <v>1216327</v>
      </c>
    </row>
    <row r="34">
      <c r="A34" s="18" t="inlineStr">
        <is>
          <t>비지배지분</t>
        </is>
      </c>
      <c r="B34" s="10" t="n"/>
      <c r="C34" s="19" t="n">
        <v>78466</v>
      </c>
      <c r="D34" s="20" t="n">
        <v>79528</v>
      </c>
      <c r="E34" s="20" t="n">
        <v>85014</v>
      </c>
      <c r="F34" s="20" t="n">
        <v>85309</v>
      </c>
      <c r="G34" s="20" t="n">
        <v>85645</v>
      </c>
      <c r="H34" s="19" t="n">
        <v>273139</v>
      </c>
      <c r="I34" s="20" t="n">
        <v>288907</v>
      </c>
      <c r="J34" s="20" t="n">
        <v>173910</v>
      </c>
      <c r="K34" s="20" t="n">
        <v>119493</v>
      </c>
      <c r="L34" s="20" t="n">
        <v>85309</v>
      </c>
    </row>
    <row r="35">
      <c r="A35" s="9" t="inlineStr">
        <is>
          <t>자본총계</t>
        </is>
      </c>
      <c r="B35" s="10" t="n"/>
      <c r="C35" s="11" t="n">
        <v>1971760</v>
      </c>
      <c r="D35" s="12" t="n">
        <v>2050885</v>
      </c>
      <c r="E35" s="12" t="n">
        <v>2151478</v>
      </c>
      <c r="F35" s="12" t="n">
        <v>2281887</v>
      </c>
      <c r="G35" s="12" t="n">
        <v>2319715</v>
      </c>
      <c r="H35" s="11" t="n">
        <v>1786642</v>
      </c>
      <c r="I35" s="12" t="n">
        <v>1912724</v>
      </c>
      <c r="J35" s="12" t="n">
        <v>2089523</v>
      </c>
      <c r="K35" s="12" t="n">
        <v>2071511</v>
      </c>
      <c r="L35" s="12" t="n">
        <v>2281887</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493732</v>
      </c>
      <c r="D37" s="12" t="n">
        <v>463103</v>
      </c>
      <c r="E37" s="12" t="n">
        <v>458820</v>
      </c>
      <c r="F37" s="12" t="n">
        <v>438463</v>
      </c>
      <c r="G37" s="12" t="n">
        <v>345576</v>
      </c>
      <c r="H37" s="11" t="n">
        <v>147517</v>
      </c>
      <c r="I37" s="12" t="n">
        <v>152127</v>
      </c>
      <c r="J37" s="12" t="n">
        <v>271228</v>
      </c>
      <c r="K37" s="12" t="n">
        <v>344408</v>
      </c>
      <c r="L37" s="12" t="n">
        <v>438463</v>
      </c>
    </row>
    <row r="38">
      <c r="A38" s="18" t="inlineStr">
        <is>
          <t>CAPEX (유·무형 취득)</t>
        </is>
      </c>
      <c r="B38" s="10" t="inlineStr">
        <is>
          <t>양수로 입력</t>
        </is>
      </c>
      <c r="C38" s="19" t="n">
        <v>136940</v>
      </c>
      <c r="D38" s="20" t="n">
        <v>121006</v>
      </c>
      <c r="E38" s="20" t="n">
        <v>153342</v>
      </c>
      <c r="F38" s="20" t="n">
        <v>91556</v>
      </c>
      <c r="G38" s="20" t="n">
        <v>99896</v>
      </c>
      <c r="H38" s="19" t="n">
        <v>71106</v>
      </c>
      <c r="I38" s="20" t="n">
        <v>77714</v>
      </c>
      <c r="J38" s="20" t="n">
        <v>99767</v>
      </c>
      <c r="K38" s="20" t="n">
        <v>150625</v>
      </c>
      <c r="L38" s="20" t="n">
        <v>91556</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37382</v>
      </c>
      <c r="D40" s="20" t="n">
        <v>37356</v>
      </c>
      <c r="E40" s="20" t="n">
        <v>40048</v>
      </c>
      <c r="F40" s="20" t="n">
        <v>40043</v>
      </c>
      <c r="G40" s="20" t="n">
        <v>50496</v>
      </c>
      <c r="H40" s="19" t="n">
        <v>27259</v>
      </c>
      <c r="I40" s="20" t="n">
        <v>28522</v>
      </c>
      <c r="J40" s="20" t="n">
        <v>30655</v>
      </c>
      <c r="K40" s="20" t="n">
        <v>34682</v>
      </c>
      <c r="L40" s="20" t="n">
        <v>40043</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IFERROR((IF(COUNT('연간'!G22:J22)&lt;4,"",SUM('연간'!G22:J22)))/(IF(COUNT('연간'!G44:J44)&lt;4,"",SUM('연간'!G44:J44))),"")</f>
        <v/>
      </c>
      <c r="D48" s="31">
        <f>IFERROR((IF(COUNT('연간'!H22:K22)&lt;4,"",SUM('연간'!H22:K22)))/(IF(COUNT('연간'!H44:K44)&lt;4,"",SUM('연간'!H44:K44))),"")</f>
        <v/>
      </c>
      <c r="E48" s="31">
        <f>IFERROR((IF(COUNT('연간'!I22:L22)&lt;4,"",SUM('연간'!I22:L22)))/(IF(COUNT('연간'!I44:L44)&lt;4,"",SUM('연간'!I44:L44))),"")</f>
        <v/>
      </c>
      <c r="F48" s="31">
        <f>IFERROR((IF(COUNT('연간'!J22:M22)&lt;4,"",SUM('연간'!J22:M22)))/(IF(COUNT('연간'!J44:M44)&lt;4,"",SUM('연간'!J44:M44))),"")</f>
        <v/>
      </c>
      <c r="G48" s="31">
        <f>IFERROR((IF(COUNT('연간'!K22:N22)&lt;4,"",SUM('연간'!K22:N22)))/(IF(COUNT('연간'!K44:N44)&lt;4,"",SUM('연간'!K44:N44))),"")</f>
        <v/>
      </c>
      <c r="H48" s="30">
        <f>IFERROR(('연간'!T22)/('연간'!T44),"")</f>
        <v/>
      </c>
      <c r="I48" s="31">
        <f>IFERROR(('연간'!U22)/('연간'!U44),"")</f>
        <v/>
      </c>
      <c r="J48" s="31">
        <f>IFERROR(('연간'!V22)/('연간'!V44),"")</f>
        <v/>
      </c>
      <c r="K48" s="31">
        <f>IFERROR(('연간'!W22)/('연간'!W44),"")</f>
        <v/>
      </c>
      <c r="L48" s="31">
        <f>IFERROR(('연간'!X22)/('연간'!X44),"")</f>
        <v/>
      </c>
    </row>
    <row r="49">
      <c r="A49" s="45" t="inlineStr">
        <is>
          <t>차입금 상환연수</t>
        </is>
      </c>
      <c r="B49" s="10" t="inlineStr">
        <is>
          <t>4년↓ (버핏)</t>
        </is>
      </c>
      <c r="C49" s="46">
        <f>IFERROR(IF((IF(COUNT('연간'!G50:J50)&lt;4,"",SUM('연간'!G50:J50)))&lt;=0,"적자",C28/(IF(COUNT('연간'!G50:J50)&lt;4,"",SUM('연간'!G50:J50)))),"")</f>
        <v/>
      </c>
      <c r="D49" s="47">
        <f>IFERROR(IF((IF(COUNT('연간'!H50:K50)&lt;4,"",SUM('연간'!H50:K50)))&lt;=0,"적자",D28/(IF(COUNT('연간'!H50:K50)&lt;4,"",SUM('연간'!H50:K50)))),"")</f>
        <v/>
      </c>
      <c r="E49" s="47">
        <f>IFERROR(IF((IF(COUNT('연간'!I50:L50)&lt;4,"",SUM('연간'!I50:L50)))&lt;=0,"적자",E28/(IF(COUNT('연간'!I50:L50)&lt;4,"",SUM('연간'!I50:L50)))),"")</f>
        <v/>
      </c>
      <c r="F49" s="47">
        <f>IFERROR(IF((IF(COUNT('연간'!J50:M50)&lt;4,"",SUM('연간'!J50:M50)))&lt;=0,"적자",F28/(IF(COUNT('연간'!J50:M50)&lt;4,"",SUM('연간'!J50:M50)))),"")</f>
        <v/>
      </c>
      <c r="G49" s="47">
        <f>IFERROR(IF((IF(COUNT('연간'!K50:N50)&lt;4,"",SUM('연간'!K50:N50)))&lt;=0,"적자",G28/(IF(COUNT('연간'!K50:N50)&lt;4,"",SUM('연간'!K50:N50)))),"")</f>
        <v/>
      </c>
      <c r="H49" s="46">
        <f>IFERROR(IF(('연간'!T50)&lt;=0,"적자",H28/('연간'!T50)),"")</f>
        <v/>
      </c>
      <c r="I49" s="47">
        <f>IFERROR(IF(('연간'!U50)&lt;=0,"적자",I28/('연간'!U50)),"")</f>
        <v/>
      </c>
      <c r="J49" s="47">
        <f>IFERROR(IF(('연간'!V50)&lt;=0,"적자",J28/('연간'!V50)),"")</f>
        <v/>
      </c>
      <c r="K49" s="47">
        <f>IFERROR(IF(('연간'!W50)&lt;=0,"적자",K28/('연간'!W50)),"")</f>
        <v/>
      </c>
      <c r="L49" s="47">
        <f>IFERROR(IF(('연간'!X50)&lt;=0,"적자",L28/('연간'!X50)),"")</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IFERROR((IF(COUNT('연간'!G50:J50)&lt;4,"",SUM('연간'!G50:J50)))/C31,"")</f>
        <v/>
      </c>
      <c r="D51" s="36">
        <f>IFERROR((IF(COUNT('연간'!H50:K50)&lt;4,"",SUM('연간'!H50:K50)))/D31,"")</f>
        <v/>
      </c>
      <c r="E51" s="36">
        <f>IFERROR((IF(COUNT('연간'!I50:L50)&lt;4,"",SUM('연간'!I50:L50)))/E31,"")</f>
        <v/>
      </c>
      <c r="F51" s="36">
        <f>IFERROR((IF(COUNT('연간'!J50:M50)&lt;4,"",SUM('연간'!J50:M50)))/F31,"")</f>
        <v/>
      </c>
      <c r="G51" s="36">
        <f>IFERROR((IF(COUNT('연간'!K50:N50)&lt;4,"",SUM('연간'!K50:N50)))/G31,"")</f>
        <v/>
      </c>
      <c r="H51" s="35">
        <f>IFERROR(('연간'!T50)/H31,"")</f>
        <v/>
      </c>
      <c r="I51" s="36">
        <f>IFERROR(('연간'!U50)/I31,"")</f>
        <v/>
      </c>
      <c r="J51" s="36">
        <f>IFERROR(('연간'!V50)/J31,"")</f>
        <v/>
      </c>
      <c r="K51" s="36">
        <f>IFERROR(('연간'!W50)/K31,"")</f>
        <v/>
      </c>
      <c r="L51" s="36">
        <f>IFERROR(('연간'!X50)/L31,"")</f>
        <v/>
      </c>
    </row>
    <row r="52">
      <c r="A52" s="45" t="inlineStr">
        <is>
          <t>ROA</t>
        </is>
      </c>
      <c r="B52" s="10" t="inlineStr">
        <is>
          <t>5%↑</t>
        </is>
      </c>
      <c r="C52" s="35">
        <f>IFERROR((IF(COUNT('연간'!G49:J49)&lt;4,"",SUM('연간'!G49:J49)))/C16,"")</f>
        <v/>
      </c>
      <c r="D52" s="36">
        <f>IFERROR((IF(COUNT('연간'!H49:K49)&lt;4,"",SUM('연간'!H49:K49)))/D16,"")</f>
        <v/>
      </c>
      <c r="E52" s="36">
        <f>IFERROR((IF(COUNT('연간'!I49:L49)&lt;4,"",SUM('연간'!I49:L49)))/E16,"")</f>
        <v/>
      </c>
      <c r="F52" s="36">
        <f>IFERROR((IF(COUNT('연간'!J49:M49)&lt;4,"",SUM('연간'!J49:M49)))/F16,"")</f>
        <v/>
      </c>
      <c r="G52" s="36">
        <f>IFERROR((IF(COUNT('연간'!K49:N49)&lt;4,"",SUM('연간'!K49:N49)))/G16,"")</f>
        <v/>
      </c>
      <c r="H52" s="35">
        <f>IFERROR(('연간'!T49)/H16,"")</f>
        <v/>
      </c>
      <c r="I52" s="36">
        <f>IFERROR(('연간'!U49)/I16,"")</f>
        <v/>
      </c>
      <c r="J52" s="36">
        <f>IFERROR(('연간'!V49)/J16,"")</f>
        <v/>
      </c>
      <c r="K52" s="36">
        <f>IFERROR(('연간'!W49)/K16,"")</f>
        <v/>
      </c>
      <c r="L52" s="36">
        <f>IFERROR(('연간'!X49)/L16,"")</f>
        <v/>
      </c>
    </row>
    <row r="53">
      <c r="A53" s="45" t="inlineStr">
        <is>
          <t>ROIC</t>
        </is>
      </c>
      <c r="B53" s="10" t="inlineStr">
        <is>
          <t>10%↑ (세후영업이익 기준)</t>
        </is>
      </c>
      <c r="C53" s="35">
        <f>IFERROR((IF(COUNT('연간'!G22:J22)&lt;4,"",SUM('연간'!G22:J22)))*(1-0.3)/(C35+C29),"")</f>
        <v/>
      </c>
      <c r="D53" s="36">
        <f>IFERROR((IF(COUNT('연간'!H22:K22)&lt;4,"",SUM('연간'!H22:K22)))*(1-0.3)/(D35+D29),"")</f>
        <v/>
      </c>
      <c r="E53" s="36">
        <f>IFERROR((IF(COUNT('연간'!I22:L22)&lt;4,"",SUM('연간'!I22:L22)))*(1-0.3)/(E35+E29),"")</f>
        <v/>
      </c>
      <c r="F53" s="36">
        <f>IFERROR((IF(COUNT('연간'!J22:M22)&lt;4,"",SUM('연간'!J22:M22)))*(1-0.3)/(F35+F29),"")</f>
        <v/>
      </c>
      <c r="G53" s="36">
        <f>IFERROR((IF(COUNT('연간'!K22:N22)&lt;4,"",SUM('연간'!K22:N22)))*(1-0.3)/(G35+G29),"")</f>
        <v/>
      </c>
      <c r="H53" s="35">
        <f>IFERROR(('연간'!T22)*(1-0.3)/(H35+H29),"")</f>
        <v/>
      </c>
      <c r="I53" s="36">
        <f>IFERROR(('연간'!U22)*(1-0.3)/(I35+I29),"")</f>
        <v/>
      </c>
      <c r="J53" s="36">
        <f>IFERROR(('연간'!V22)*(1-0.3)/(J35+J29),"")</f>
        <v/>
      </c>
      <c r="K53" s="36">
        <f>IFERROR(('연간'!W22)*(1-0.3)/(K35+K29),"")</f>
        <v/>
      </c>
      <c r="L53" s="36">
        <f>IFERROR(('연간'!X22)*(1-0.3)/(L35+L29),"")</f>
        <v/>
      </c>
    </row>
    <row r="54">
      <c r="A54" s="45" t="inlineStr">
        <is>
          <t>매출총이익률 (GPM)</t>
        </is>
      </c>
      <c r="B54" s="10" t="inlineStr">
        <is>
          <t>40%↑ (해자 신호)</t>
        </is>
      </c>
      <c r="C54" s="35">
        <f>IFERROR((IF(COUNT('연간'!G18:J18)&lt;4,"",SUM('연간'!G18:J18)))/(IF(COUNT('연간'!G4:J4)&lt;4,"",SUM('연간'!G4:J4))),"")</f>
        <v/>
      </c>
      <c r="D54" s="36">
        <f>IFERROR((IF(COUNT('연간'!H18:K18)&lt;4,"",SUM('연간'!H18:K18)))/(IF(COUNT('연간'!H4:K4)&lt;4,"",SUM('연간'!H4:K4))),"")</f>
        <v/>
      </c>
      <c r="E54" s="36">
        <f>IFERROR((IF(COUNT('연간'!I18:L18)&lt;4,"",SUM('연간'!I18:L18)))/(IF(COUNT('연간'!I4:L4)&lt;4,"",SUM('연간'!I4:L4))),"")</f>
        <v/>
      </c>
      <c r="F54" s="36">
        <f>IFERROR((IF(COUNT('연간'!J18:M18)&lt;4,"",SUM('연간'!J18:M18)))/(IF(COUNT('연간'!J4:M4)&lt;4,"",SUM('연간'!J4:M4))),"")</f>
        <v/>
      </c>
      <c r="G54" s="36">
        <f>IFERROR((IF(COUNT('연간'!K18:N18)&lt;4,"",SUM('연간'!K18:N18)))/(IF(COUNT('연간'!K4:N4)&lt;4,"",SUM('연간'!K4:N4))),"")</f>
        <v/>
      </c>
      <c r="H54" s="35">
        <f>IFERROR(('연간'!T18)/('연간'!T4),"")</f>
        <v/>
      </c>
      <c r="I54" s="36">
        <f>IFERROR(('연간'!U18)/('연간'!U4),"")</f>
        <v/>
      </c>
      <c r="J54" s="36">
        <f>IFERROR(('연간'!V18)/('연간'!V4),"")</f>
        <v/>
      </c>
      <c r="K54" s="36">
        <f>IFERROR(('연간'!W18)/('연간'!W4),"")</f>
        <v/>
      </c>
      <c r="L54" s="36">
        <f>IFERROR(('연간'!X18)/('연간'!X4),"")</f>
        <v/>
      </c>
    </row>
    <row r="55">
      <c r="A55" s="45" t="inlineStr">
        <is>
          <t>영업이익률 (OPM)</t>
        </is>
      </c>
      <c r="B55" s="10" t="inlineStr">
        <is>
          <t>15%↑</t>
        </is>
      </c>
      <c r="C55" s="35">
        <f>IFERROR((IF(COUNT('연간'!G22:J22)&lt;4,"",SUM('연간'!G22:J22)))/(IF(COUNT('연간'!G4:J4)&lt;4,"",SUM('연간'!G4:J4))),"")</f>
        <v/>
      </c>
      <c r="D55" s="36">
        <f>IFERROR((IF(COUNT('연간'!H22:K22)&lt;4,"",SUM('연간'!H22:K22)))/(IF(COUNT('연간'!H4:K4)&lt;4,"",SUM('연간'!H4:K4))),"")</f>
        <v/>
      </c>
      <c r="E55" s="36">
        <f>IFERROR((IF(COUNT('연간'!I22:L22)&lt;4,"",SUM('연간'!I22:L22)))/(IF(COUNT('연간'!I4:L4)&lt;4,"",SUM('연간'!I4:L4))),"")</f>
        <v/>
      </c>
      <c r="F55" s="36">
        <f>IFERROR((IF(COUNT('연간'!J22:M22)&lt;4,"",SUM('연간'!J22:M22)))/(IF(COUNT('연간'!J4:M4)&lt;4,"",SUM('연간'!J4:M4))),"")</f>
        <v/>
      </c>
      <c r="G55" s="36">
        <f>IFERROR((IF(COUNT('연간'!K22:N22)&lt;4,"",SUM('연간'!K22:N22)))/(IF(COUNT('연간'!K4:N4)&lt;4,"",SUM('연간'!K4:N4))),"")</f>
        <v/>
      </c>
      <c r="H55" s="35">
        <f>IFERROR(('연간'!T22)/('연간'!T4),"")</f>
        <v/>
      </c>
      <c r="I55" s="36">
        <f>IFERROR(('연간'!U22)/('연간'!U4),"")</f>
        <v/>
      </c>
      <c r="J55" s="36">
        <f>IFERROR(('연간'!V22)/('연간'!V4),"")</f>
        <v/>
      </c>
      <c r="K55" s="36">
        <f>IFERROR(('연간'!W22)/('연간'!W4),"")</f>
        <v/>
      </c>
      <c r="L55" s="36">
        <f>IFERROR(('연간'!X22)/('연간'!X4),"")</f>
        <v/>
      </c>
    </row>
    <row r="56">
      <c r="A56" s="45" t="inlineStr">
        <is>
          <t>순이익률</t>
        </is>
      </c>
      <c r="B56" s="10" t="inlineStr">
        <is>
          <t>10%↑</t>
        </is>
      </c>
      <c r="C56" s="35">
        <f>IFERROR((IF(COUNT('연간'!G49:J49)&lt;4,"",SUM('연간'!G49:J49)))/(IF(COUNT('연간'!G4:J4)&lt;4,"",SUM('연간'!G4:J4))),"")</f>
        <v/>
      </c>
      <c r="D56" s="36">
        <f>IFERROR((IF(COUNT('연간'!H49:K49)&lt;4,"",SUM('연간'!H49:K49)))/(IF(COUNT('연간'!H4:K4)&lt;4,"",SUM('연간'!H4:K4))),"")</f>
        <v/>
      </c>
      <c r="E56" s="36">
        <f>IFERROR((IF(COUNT('연간'!I49:L49)&lt;4,"",SUM('연간'!I49:L49)))/(IF(COUNT('연간'!I4:L4)&lt;4,"",SUM('연간'!I4:L4))),"")</f>
        <v/>
      </c>
      <c r="F56" s="36">
        <f>IFERROR((IF(COUNT('연간'!J49:M49)&lt;4,"",SUM('연간'!J49:M49)))/(IF(COUNT('연간'!J4:M4)&lt;4,"",SUM('연간'!J4:M4))),"")</f>
        <v/>
      </c>
      <c r="G56" s="36">
        <f>IFERROR((IF(COUNT('연간'!K49:N49)&lt;4,"",SUM('연간'!K49:N49)))/(IF(COUNT('연간'!K4:N4)&lt;4,"",SUM('연간'!K4:N4))),"")</f>
        <v/>
      </c>
      <c r="H56" s="35">
        <f>IFERROR(('연간'!T49)/('연간'!T4),"")</f>
        <v/>
      </c>
      <c r="I56" s="36">
        <f>IFERROR(('연간'!U49)/('연간'!U4),"")</f>
        <v/>
      </c>
      <c r="J56" s="36">
        <f>IFERROR(('연간'!V49)/('연간'!V4),"")</f>
        <v/>
      </c>
      <c r="K56" s="36">
        <f>IFERROR(('연간'!W49)/('연간'!W4),"")</f>
        <v/>
      </c>
      <c r="L56" s="36">
        <f>IFERROR(('연간'!X49)/('연간'!X4),"")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IFERROR(C9/(IF(COUNT('연간'!G17:J17)&lt;4,"",SUM('연간'!G17:J17)))*365,"")</f>
        <v/>
      </c>
      <c r="D60" s="49">
        <f>IFERROR(D9/(IF(COUNT('연간'!H17:K17)&lt;4,"",SUM('연간'!H17:K17)))*365,"")</f>
        <v/>
      </c>
      <c r="E60" s="49">
        <f>IFERROR(E9/(IF(COUNT('연간'!I17:L17)&lt;4,"",SUM('연간'!I17:L17)))*365,"")</f>
        <v/>
      </c>
      <c r="F60" s="49">
        <f>IFERROR(F9/(IF(COUNT('연간'!J17:M17)&lt;4,"",SUM('연간'!J17:M17)))*365,"")</f>
        <v/>
      </c>
      <c r="G60" s="49">
        <f>IFERROR(G9/(IF(COUNT('연간'!K17:N17)&lt;4,"",SUM('연간'!K17:N17)))*365,"")</f>
        <v/>
      </c>
      <c r="H60" s="48">
        <f>IFERROR(H9/('연간'!T17)*365,"")</f>
        <v/>
      </c>
      <c r="I60" s="49">
        <f>IFERROR(I9/('연간'!U17)*365,"")</f>
        <v/>
      </c>
      <c r="J60" s="49">
        <f>IFERROR(J9/('연간'!V17)*365,"")</f>
        <v/>
      </c>
      <c r="K60" s="49">
        <f>IFERROR(K9/('연간'!W17)*365,"")</f>
        <v/>
      </c>
      <c r="L60" s="49">
        <f>IFERROR(L9/('연간'!X17)*365,"")</f>
        <v/>
      </c>
    </row>
    <row r="61">
      <c r="A61" s="45" t="inlineStr">
        <is>
          <t>매입채무회전일수</t>
        </is>
      </c>
      <c r="B61" s="10" t="inlineStr">
        <is>
          <t>길수록 유리</t>
        </is>
      </c>
      <c r="C61" s="48">
        <f>IFERROR(C19/(IF(COUNT('연간'!G17:J17)&lt;4,"",SUM('연간'!G17:J17)))*365,"")</f>
        <v/>
      </c>
      <c r="D61" s="49">
        <f>IFERROR(D19/(IF(COUNT('연간'!H17:K17)&lt;4,"",SUM('연간'!H17:K17)))*365,"")</f>
        <v/>
      </c>
      <c r="E61" s="49">
        <f>IFERROR(E19/(IF(COUNT('연간'!I17:L17)&lt;4,"",SUM('연간'!I17:L17)))*365,"")</f>
        <v/>
      </c>
      <c r="F61" s="49">
        <f>IFERROR(F19/(IF(COUNT('연간'!J17:M17)&lt;4,"",SUM('연간'!J17:M17)))*365,"")</f>
        <v/>
      </c>
      <c r="G61" s="49">
        <f>IFERROR(G19/(IF(COUNT('연간'!K17:N17)&lt;4,"",SUM('연간'!K17:N17)))*365,"")</f>
        <v/>
      </c>
      <c r="H61" s="48">
        <f>IFERROR(H19/('연간'!T17)*365,"")</f>
        <v/>
      </c>
      <c r="I61" s="49">
        <f>IFERROR(I19/('연간'!U17)*365,"")</f>
        <v/>
      </c>
      <c r="J61" s="49">
        <f>IFERROR(J19/('연간'!V17)*365,"")</f>
        <v/>
      </c>
      <c r="K61" s="49">
        <f>IFERROR(K19/('연간'!W17)*365,"")</f>
        <v/>
      </c>
      <c r="L61" s="49">
        <f>IFERROR(L19/('연간'!X17)*365,"")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IF(C37="","",IFERROR(C37/(IF(COUNT('연간'!G49:J49)&lt;4,"",SUM('연간'!G49:J49))),""))</f>
        <v/>
      </c>
      <c r="D64" s="31">
        <f>IF(D37="","",IFERROR(D37/(IF(COUNT('연간'!H49:K49)&lt;4,"",SUM('연간'!H49:K49))),""))</f>
        <v/>
      </c>
      <c r="E64" s="31">
        <f>IF(E37="","",IFERROR(E37/(IF(COUNT('연간'!I49:L49)&lt;4,"",SUM('연간'!I49:L49))),""))</f>
        <v/>
      </c>
      <c r="F64" s="31">
        <f>IF(F37="","",IFERROR(F37/(IF(COUNT('연간'!J49:M49)&lt;4,"",SUM('연간'!J49:M49))),""))</f>
        <v/>
      </c>
      <c r="G64" s="31">
        <f>IF(G37="","",IFERROR(G37/(IF(COUNT('연간'!K49:N49)&lt;4,"",SUM('연간'!K49:N49))),""))</f>
        <v/>
      </c>
      <c r="H64" s="30">
        <f>IF(H37="","",IFERROR(H37/('연간'!T49),""))</f>
        <v/>
      </c>
      <c r="I64" s="31">
        <f>IF(I37="","",IFERROR(I37/('연간'!U49),""))</f>
        <v/>
      </c>
      <c r="J64" s="31">
        <f>IF(J37="","",IFERROR(J37/('연간'!V49),""))</f>
        <v/>
      </c>
      <c r="K64" s="31">
        <f>IF(K37="","",IFERROR(K37/('연간'!W49),""))</f>
        <v/>
      </c>
      <c r="L64" s="31">
        <f>IF(L37="","",IFERROR(L37/('연간'!X49),""))</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IF(C40="","",IFERROR(C40/(IF(COUNT('연간'!G50:J50)&lt;4,"",SUM('연간'!G50:J50))),""))</f>
        <v/>
      </c>
      <c r="D67" s="36">
        <f>IF(D40="","",IFERROR(D40/(IF(COUNT('연간'!H50:K50)&lt;4,"",SUM('연간'!H50:K50))),""))</f>
        <v/>
      </c>
      <c r="E67" s="36">
        <f>IF(E40="","",IFERROR(E40/(IF(COUNT('연간'!I50:L50)&lt;4,"",SUM('연간'!I50:L50))),""))</f>
        <v/>
      </c>
      <c r="F67" s="36">
        <f>IF(F40="","",IFERROR(F40/(IF(COUNT('연간'!J50:M50)&lt;4,"",SUM('연간'!J50:M50))),""))</f>
        <v/>
      </c>
      <c r="G67" s="36">
        <f>IF(G40="","",IFERROR(G40/(IF(COUNT('연간'!K50:N50)&lt;4,"",SUM('연간'!K50:N50))),""))</f>
        <v/>
      </c>
      <c r="H67" s="35">
        <f>IF(H40="","",IFERROR(H40/('연간'!T50),""))</f>
        <v/>
      </c>
      <c r="I67" s="36">
        <f>IF(I40="","",IFERROR(I40/('연간'!U50),""))</f>
        <v/>
      </c>
      <c r="J67" s="36">
        <f>IF(J40="","",IFERROR(J40/('연간'!V50),""))</f>
        <v/>
      </c>
      <c r="K67" s="36">
        <f>IF(K40="","",IFERROR(K40/('연간'!W50),""))</f>
        <v/>
      </c>
      <c r="L67" s="36">
        <f>IF(L40="","",IFERROR(L40/('연간'!X50),""))</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2026.1Q</t>
        </is>
      </c>
      <c r="D70" s="5" t="inlineStr">
        <is>
          <t>2026.2Q</t>
        </is>
      </c>
      <c r="E70" s="5" t="inlineStr">
        <is>
          <t>2026.3Q</t>
        </is>
      </c>
      <c r="F70" s="5" t="inlineStr">
        <is>
          <t>2026.4Q</t>
        </is>
      </c>
      <c r="G70" s="5" t="inlineStr">
        <is>
          <t>2027.1Q</t>
        </is>
      </c>
      <c r="H70" s="5" t="inlineStr">
        <is>
          <t>2022</t>
        </is>
      </c>
      <c r="I70" s="5" t="inlineStr">
        <is>
          <t>2023</t>
        </is>
      </c>
      <c r="J70" s="5" t="inlineStr">
        <is>
          <t>2024</t>
        </is>
      </c>
      <c r="K70" s="5" t="inlineStr">
        <is>
          <t>2025</t>
        </is>
      </c>
      <c r="L70" s="5" t="inlineStr">
        <is>
          <t>2026</t>
        </is>
      </c>
    </row>
    <row r="71">
      <c r="A71" s="18" t="inlineStr">
        <is>
          <t>현금및현금성자산</t>
        </is>
      </c>
      <c r="C71" s="20" t="n">
        <v>526692</v>
      </c>
      <c r="D71" s="20" t="n">
        <v>454116</v>
      </c>
      <c r="E71" s="20" t="n">
        <v>441337</v>
      </c>
      <c r="F71" s="20" t="n">
        <v>659034</v>
      </c>
      <c r="G71" s="20" t="n">
        <v>434699</v>
      </c>
      <c r="H71" s="20" t="n">
        <v>430778</v>
      </c>
      <c r="I71" s="20" t="n">
        <v>419462</v>
      </c>
      <c r="J71" s="20" t="n">
        <v>476490</v>
      </c>
      <c r="K71" s="20" t="n">
        <v>584615</v>
      </c>
      <c r="L71" s="20" t="n">
        <v>659034</v>
      </c>
    </row>
    <row r="72">
      <c r="A72" s="18" t="inlineStr">
        <is>
          <t>영업채권 및 기타채권</t>
        </is>
      </c>
      <c r="C72" s="20" t="n">
        <v>489507</v>
      </c>
      <c r="D72" s="20" t="n">
        <v>561368</v>
      </c>
      <c r="E72" s="20" t="n">
        <v>531557</v>
      </c>
      <c r="F72" s="20" t="n">
        <v>994066</v>
      </c>
      <c r="G72" s="20" t="n">
        <v>565529</v>
      </c>
      <c r="H72" s="20" t="n">
        <v>722334</v>
      </c>
      <c r="I72" s="20" t="n">
        <v>799875</v>
      </c>
      <c r="J72" s="20" t="n">
        <v>829497</v>
      </c>
      <c r="K72" s="20" t="n">
        <v>878434</v>
      </c>
      <c r="L72" s="20" t="n">
        <v>994066</v>
      </c>
    </row>
    <row r="73">
      <c r="A73" s="18" t="inlineStr">
        <is>
          <t>계약자산</t>
        </is>
      </c>
      <c r="C73" s="20" t="n">
        <v>398085</v>
      </c>
      <c r="D73" s="20" t="n">
        <v>499092</v>
      </c>
      <c r="E73" s="20" t="n">
        <v>617475</v>
      </c>
      <c r="F73" s="20" t="n">
        <v>420278</v>
      </c>
      <c r="G73" s="20" t="n">
        <v>476635</v>
      </c>
      <c r="H73" s="20" t="n">
        <v>285890</v>
      </c>
      <c r="I73" s="20" t="n">
        <v>335852</v>
      </c>
      <c r="J73" s="20" t="n">
        <v>411715</v>
      </c>
      <c r="K73" s="20" t="n">
        <v>374511</v>
      </c>
      <c r="L73" s="20" t="n">
        <v>420278</v>
      </c>
    </row>
    <row r="74">
      <c r="A74" s="18" t="inlineStr">
        <is>
          <t>재고자산</t>
        </is>
      </c>
      <c r="C74" s="20" t="n">
        <v>250483</v>
      </c>
      <c r="D74" s="20" t="n">
        <v>264210</v>
      </c>
      <c r="E74" s="20" t="n">
        <v>273071</v>
      </c>
      <c r="F74" s="20" t="n">
        <v>171181</v>
      </c>
      <c r="G74" s="20" t="n">
        <v>250786</v>
      </c>
      <c r="H74" s="20" t="n">
        <v>246244</v>
      </c>
      <c r="I74" s="20" t="n">
        <v>267576</v>
      </c>
      <c r="J74" s="20" t="n">
        <v>242634</v>
      </c>
      <c r="K74" s="20" t="n">
        <v>184779</v>
      </c>
      <c r="L74" s="20" t="n">
        <v>171181</v>
      </c>
    </row>
    <row r="75">
      <c r="A75" s="18" t="inlineStr">
        <is>
          <t>기타금융자산</t>
        </is>
      </c>
      <c r="C75" s="20" t="n">
        <v>10974</v>
      </c>
      <c r="D75" s="20" t="n">
        <v>8844</v>
      </c>
      <c r="E75" s="20" t="n">
        <v>18190</v>
      </c>
      <c r="F75" s="20" t="n">
        <v>28461</v>
      </c>
      <c r="G75" s="20" t="n">
        <v>59379</v>
      </c>
      <c r="H75" s="20" t="n">
        <v>17554</v>
      </c>
      <c r="I75" s="20" t="n">
        <v>15776</v>
      </c>
      <c r="J75" s="20" t="n">
        <v>15729</v>
      </c>
      <c r="K75" s="20" t="n">
        <v>9830</v>
      </c>
      <c r="L75" s="20" t="n">
        <v>28461</v>
      </c>
    </row>
    <row r="76">
      <c r="A76" s="18" t="inlineStr">
        <is>
          <t>기타유동자산</t>
        </is>
      </c>
      <c r="C76" s="20" t="n">
        <v>219416</v>
      </c>
      <c r="D76" s="20" t="n">
        <v>214942</v>
      </c>
      <c r="E76" s="20" t="n">
        <v>215715</v>
      </c>
      <c r="F76" s="20" t="n">
        <v>186073</v>
      </c>
      <c r="G76" s="20" t="n">
        <v>228788</v>
      </c>
      <c r="H76" s="20" t="n">
        <v>133890</v>
      </c>
      <c r="I76" s="20" t="n">
        <v>157362</v>
      </c>
      <c r="J76" s="20" t="n">
        <v>165719</v>
      </c>
      <c r="K76" s="20" t="n">
        <v>181883</v>
      </c>
      <c r="L76" s="20" t="n">
        <v>186073</v>
      </c>
    </row>
    <row r="77">
      <c r="A77" s="18" t="inlineStr">
        <is>
          <t>소계</t>
        </is>
      </c>
      <c r="I77" s="20" t="n">
        <v>1995903</v>
      </c>
    </row>
    <row r="78">
      <c r="A78" s="9" t="inlineStr">
        <is>
          <t>소계</t>
        </is>
      </c>
      <c r="C78" s="12" t="n">
        <v>1895157</v>
      </c>
      <c r="D78" s="12" t="n">
        <v>2002572</v>
      </c>
      <c r="E78" s="12" t="n">
        <v>2097345</v>
      </c>
      <c r="F78" s="12" t="n">
        <v>2459093</v>
      </c>
      <c r="I78" s="12" t="n">
        <v>1995903</v>
      </c>
      <c r="J78" s="12" t="n">
        <v>2141784</v>
      </c>
      <c r="K78" s="12" t="n">
        <v>2214052</v>
      </c>
      <c r="L78" s="12" t="n">
        <v>2459093</v>
      </c>
    </row>
    <row r="79">
      <c r="A79" s="18" t="inlineStr">
        <is>
          <t>매각예정 자산</t>
        </is>
      </c>
      <c r="C79" s="20" t="n">
        <v>10076</v>
      </c>
      <c r="D79" s="20" t="n">
        <v>0</v>
      </c>
      <c r="E79" s="20" t="n">
        <v>0</v>
      </c>
      <c r="F79" s="20" t="n">
        <v>0</v>
      </c>
      <c r="I79" s="20" t="n">
        <v>0</v>
      </c>
      <c r="J79" s="20" t="n">
        <v>0</v>
      </c>
      <c r="K79" s="20" t="n">
        <v>10942</v>
      </c>
      <c r="L79" s="20" t="n">
        <v>0</v>
      </c>
    </row>
    <row r="80">
      <c r="A80" s="9" t="inlineStr">
        <is>
          <t>유동자산 합계</t>
        </is>
      </c>
      <c r="C80" s="12" t="n">
        <v>1905233</v>
      </c>
      <c r="D80" s="12" t="n">
        <v>2002572</v>
      </c>
      <c r="E80" s="12" t="n">
        <v>2097345</v>
      </c>
      <c r="F80" s="12" t="n">
        <v>2459093</v>
      </c>
      <c r="G80" s="12" t="n">
        <v>2015816</v>
      </c>
      <c r="H80" s="12" t="n">
        <v>1836690</v>
      </c>
      <c r="I80" s="12" t="n">
        <v>1995903</v>
      </c>
      <c r="J80" s="12" t="n">
        <v>2141784</v>
      </c>
      <c r="K80" s="12" t="n">
        <v>2224994</v>
      </c>
      <c r="L80" s="12" t="n">
        <v>2459093</v>
      </c>
    </row>
    <row r="81">
      <c r="A81" s="18" t="inlineStr">
        <is>
          <t>유형자산(순액)</t>
        </is>
      </c>
      <c r="C81" s="20" t="n">
        <v>577635</v>
      </c>
      <c r="D81" s="20" t="n">
        <v>573548</v>
      </c>
      <c r="E81" s="20" t="n">
        <v>591197</v>
      </c>
      <c r="F81" s="20" t="n">
        <v>564064</v>
      </c>
      <c r="G81" s="20" t="n">
        <v>600107</v>
      </c>
      <c r="H81" s="20" t="n">
        <v>540257</v>
      </c>
      <c r="I81" s="20" t="n">
        <v>563384</v>
      </c>
      <c r="J81" s="20" t="n">
        <v>510970</v>
      </c>
      <c r="K81" s="20" t="n">
        <v>580165</v>
      </c>
      <c r="L81" s="20" t="n">
        <v>564064</v>
      </c>
    </row>
    <row r="82">
      <c r="A82" s="18" t="inlineStr">
        <is>
          <t>영업권</t>
        </is>
      </c>
      <c r="C82" s="20" t="n">
        <v>412091</v>
      </c>
      <c r="D82" s="20" t="n">
        <v>422921</v>
      </c>
      <c r="E82" s="20" t="n">
        <v>446326</v>
      </c>
      <c r="F82" s="20" t="n">
        <v>450501</v>
      </c>
      <c r="G82" s="20" t="n">
        <v>855129</v>
      </c>
      <c r="H82" s="20" t="n">
        <v>335978</v>
      </c>
      <c r="I82" s="20" t="n">
        <v>355572</v>
      </c>
      <c r="J82" s="20" t="n">
        <v>392290</v>
      </c>
      <c r="K82" s="20" t="n">
        <v>393881</v>
      </c>
      <c r="L82" s="20" t="n">
        <v>450501</v>
      </c>
    </row>
    <row r="83">
      <c r="A83" s="18" t="inlineStr">
        <is>
          <t>무형자산(순액)</t>
        </is>
      </c>
      <c r="C83" s="20" t="n">
        <v>358935</v>
      </c>
      <c r="D83" s="20" t="n">
        <v>362192</v>
      </c>
      <c r="E83" s="20" t="n">
        <v>367815</v>
      </c>
      <c r="F83" s="20" t="n">
        <v>368945</v>
      </c>
      <c r="G83" s="20" t="n">
        <v>370303</v>
      </c>
      <c r="H83" s="20" t="n">
        <v>374703</v>
      </c>
      <c r="I83" s="20" t="n">
        <v>378250</v>
      </c>
      <c r="J83" s="20" t="n">
        <v>371762</v>
      </c>
      <c r="K83" s="20" t="n">
        <v>351904</v>
      </c>
      <c r="L83" s="20" t="n">
        <v>368945</v>
      </c>
    </row>
    <row r="84">
      <c r="A84" s="18" t="inlineStr">
        <is>
          <t>지분법 투자</t>
        </is>
      </c>
      <c r="C84" s="20" t="n">
        <v>106921</v>
      </c>
      <c r="D84" s="20" t="n">
        <v>109159</v>
      </c>
      <c r="E84" s="20" t="n">
        <v>46547</v>
      </c>
      <c r="F84" s="20" t="n">
        <v>48129</v>
      </c>
      <c r="G84" s="20" t="n">
        <v>47950</v>
      </c>
      <c r="H84" s="20" t="n">
        <v>76470</v>
      </c>
      <c r="I84" s="20" t="n">
        <v>80425</v>
      </c>
      <c r="J84" s="20" t="n">
        <v>107925</v>
      </c>
      <c r="K84" s="20" t="n">
        <v>107242</v>
      </c>
      <c r="L84" s="20" t="n">
        <v>48129</v>
      </c>
    </row>
    <row r="85">
      <c r="A85" s="18" t="inlineStr">
        <is>
          <t>기타금융자산</t>
        </is>
      </c>
      <c r="C85" s="20" t="n">
        <v>215653</v>
      </c>
      <c r="D85" s="20" t="n">
        <v>220518</v>
      </c>
      <c r="E85" s="20" t="n">
        <v>227109</v>
      </c>
      <c r="F85" s="20" t="n">
        <v>228929</v>
      </c>
      <c r="G85" s="20" t="n">
        <v>232168</v>
      </c>
      <c r="H85" s="20" t="n">
        <v>236544</v>
      </c>
      <c r="I85" s="20" t="n">
        <v>207731</v>
      </c>
      <c r="J85" s="20" t="n">
        <v>203099</v>
      </c>
      <c r="K85" s="20" t="n">
        <v>221133</v>
      </c>
      <c r="L85" s="20" t="n">
        <v>228929</v>
      </c>
    </row>
    <row r="86">
      <c r="A86" s="18" t="inlineStr">
        <is>
          <t>이연법인세자산</t>
        </is>
      </c>
      <c r="C86" s="20" t="n">
        <v>178066</v>
      </c>
      <c r="D86" s="20" t="n">
        <v>175284</v>
      </c>
      <c r="E86" s="20" t="n">
        <v>202927</v>
      </c>
      <c r="F86" s="20" t="n">
        <v>186670</v>
      </c>
      <c r="G86" s="20" t="n">
        <v>214677</v>
      </c>
      <c r="H86" s="20" t="n">
        <v>153313</v>
      </c>
      <c r="I86" s="20" t="n">
        <v>159930</v>
      </c>
      <c r="J86" s="20" t="n">
        <v>156888</v>
      </c>
      <c r="K86" s="20" t="n">
        <v>177216</v>
      </c>
      <c r="L86" s="20" t="n">
        <v>186670</v>
      </c>
    </row>
    <row r="87">
      <c r="A87" s="18" t="inlineStr">
        <is>
          <t>기타비유동자산</t>
        </is>
      </c>
      <c r="C87" s="20" t="n">
        <v>120410</v>
      </c>
      <c r="D87" s="20" t="n">
        <v>122718</v>
      </c>
      <c r="E87" s="20" t="n">
        <v>128050</v>
      </c>
      <c r="F87" s="20" t="n">
        <v>160453</v>
      </c>
      <c r="G87" s="20" t="n">
        <v>170677</v>
      </c>
      <c r="H87" s="20" t="n">
        <v>207778</v>
      </c>
      <c r="I87" s="20" t="n">
        <v>242855</v>
      </c>
      <c r="J87" s="20" t="n">
        <v>342796</v>
      </c>
      <c r="K87" s="20" t="n">
        <v>258833</v>
      </c>
      <c r="L87" s="20" t="n">
        <v>160453</v>
      </c>
    </row>
    <row r="88">
      <c r="A88" s="18" t="inlineStr">
        <is>
          <t>비유동자산 합계</t>
        </is>
      </c>
      <c r="C88" s="20" t="n">
        <v>1969711</v>
      </c>
      <c r="D88" s="20" t="n">
        <v>1986340</v>
      </c>
      <c r="E88" s="20" t="n">
        <v>2009971</v>
      </c>
      <c r="F88" s="20" t="n">
        <v>2007691</v>
      </c>
      <c r="G88" s="20" t="n">
        <v>2491011</v>
      </c>
      <c r="H88" s="20" t="n">
        <v>1925043</v>
      </c>
      <c r="I88" s="20" t="n">
        <v>1988147</v>
      </c>
      <c r="J88" s="20" t="n">
        <v>2085730</v>
      </c>
      <c r="K88" s="20" t="n">
        <v>2090374</v>
      </c>
      <c r="L88" s="20" t="n">
        <v>2007691</v>
      </c>
    </row>
    <row r="89">
      <c r="A89" s="18" t="inlineStr">
        <is>
          <t>자산 합계</t>
        </is>
      </c>
      <c r="C89" s="20" t="n">
        <v>3874944</v>
      </c>
      <c r="D89" s="20" t="n">
        <v>3988912</v>
      </c>
      <c r="E89" s="20" t="n">
        <v>4107316</v>
      </c>
      <c r="F89" s="20" t="n">
        <v>4466784</v>
      </c>
      <c r="G89" s="20" t="n">
        <v>4506827</v>
      </c>
      <c r="H89" s="20" t="n">
        <v>3761733</v>
      </c>
      <c r="I89" s="20" t="n">
        <v>3984050</v>
      </c>
      <c r="J89" s="20" t="n">
        <v>4227514</v>
      </c>
      <c r="K89" s="20" t="n">
        <v>4315368</v>
      </c>
      <c r="L89" s="20" t="n">
        <v>4466784</v>
      </c>
    </row>
    <row r="90">
      <c r="A90" s="18" t="inlineStr">
        <is>
          <t>영업채무 및 기타채무</t>
        </is>
      </c>
      <c r="C90" s="20" t="n">
        <v>429020</v>
      </c>
      <c r="D90" s="20" t="n">
        <v>413855</v>
      </c>
      <c r="E90" s="20" t="n">
        <v>403368</v>
      </c>
      <c r="F90" s="20" t="n">
        <v>476503</v>
      </c>
      <c r="G90" s="20" t="n">
        <v>426305</v>
      </c>
      <c r="H90" s="20" t="n">
        <v>446788</v>
      </c>
      <c r="I90" s="20" t="n">
        <v>497625</v>
      </c>
      <c r="J90" s="20" t="n">
        <v>519762</v>
      </c>
      <c r="K90" s="20" t="n">
        <v>492833</v>
      </c>
      <c r="L90" s="20" t="n">
        <v>476503</v>
      </c>
    </row>
    <row r="91">
      <c r="A91" s="18" t="inlineStr">
        <is>
          <t>계약부채</t>
        </is>
      </c>
      <c r="C91" s="20" t="n">
        <v>423463</v>
      </c>
      <c r="D91" s="20" t="n">
        <v>430771</v>
      </c>
      <c r="E91" s="20" t="n">
        <v>421773</v>
      </c>
      <c r="F91" s="20" t="n">
        <v>463393</v>
      </c>
      <c r="G91" s="20" t="n">
        <v>511285</v>
      </c>
      <c r="H91" s="20" t="n">
        <v>266158</v>
      </c>
      <c r="I91" s="20" t="n">
        <v>287859</v>
      </c>
      <c r="J91" s="20" t="n">
        <v>389908</v>
      </c>
      <c r="K91" s="20" t="n">
        <v>405778</v>
      </c>
      <c r="L91" s="20" t="n">
        <v>463393</v>
      </c>
    </row>
    <row r="92">
      <c r="A92" s="18" t="inlineStr">
        <is>
          <t>사채 및 차입금</t>
        </is>
      </c>
      <c r="C92" s="20" t="n">
        <v>81651</v>
      </c>
      <c r="D92" s="20" t="n">
        <v>70241</v>
      </c>
      <c r="E92" s="20" t="n">
        <v>65269</v>
      </c>
      <c r="F92" s="20" t="n">
        <v>54966</v>
      </c>
      <c r="G92" s="20" t="n">
        <v>94476</v>
      </c>
      <c r="H92" s="20" t="n">
        <v>186774</v>
      </c>
      <c r="I92" s="20" t="n">
        <v>130867</v>
      </c>
      <c r="J92" s="20" t="n">
        <v>84665</v>
      </c>
      <c r="K92" s="20" t="n">
        <v>233886</v>
      </c>
      <c r="L92" s="20" t="n">
        <v>54966</v>
      </c>
    </row>
    <row r="93">
      <c r="A93" s="18" t="inlineStr">
        <is>
          <t>미지급비용</t>
        </is>
      </c>
      <c r="C93" s="20" t="n">
        <v>167693</v>
      </c>
      <c r="D93" s="20" t="n">
        <v>201639</v>
      </c>
      <c r="E93" s="20" t="n">
        <v>205875</v>
      </c>
      <c r="F93" s="20" t="n">
        <v>255022</v>
      </c>
      <c r="G93" s="20" t="n">
        <v>201859</v>
      </c>
      <c r="H93" s="20" t="n">
        <v>232257</v>
      </c>
      <c r="I93" s="20" t="n">
        <v>240870</v>
      </c>
      <c r="J93" s="20" t="n">
        <v>252713</v>
      </c>
      <c r="K93" s="20" t="n">
        <v>249989</v>
      </c>
      <c r="L93" s="20" t="n">
        <v>255022</v>
      </c>
    </row>
    <row r="94">
      <c r="A94" s="18" t="inlineStr">
        <is>
          <t>리스부채</t>
        </is>
      </c>
      <c r="C94" s="20" t="n">
        <v>53108</v>
      </c>
      <c r="D94" s="20" t="n">
        <v>52003</v>
      </c>
      <c r="E94" s="20" t="n">
        <v>53071</v>
      </c>
      <c r="F94" s="20" t="n">
        <v>51412</v>
      </c>
      <c r="G94" s="20" t="n">
        <v>54626</v>
      </c>
      <c r="H94" s="20" t="n">
        <v>49462</v>
      </c>
      <c r="I94" s="20" t="n">
        <v>47056</v>
      </c>
      <c r="J94" s="20" t="n">
        <v>52579</v>
      </c>
      <c r="K94" s="20" t="n">
        <v>52519</v>
      </c>
      <c r="L94" s="20" t="n">
        <v>51412</v>
      </c>
    </row>
    <row r="95">
      <c r="A95" s="18" t="inlineStr">
        <is>
          <t>기타금융부채</t>
        </is>
      </c>
      <c r="C95" s="20" t="n">
        <v>12071</v>
      </c>
      <c r="D95" s="20" t="n">
        <v>9898</v>
      </c>
      <c r="E95" s="20" t="n">
        <v>10860</v>
      </c>
      <c r="F95" s="20" t="n">
        <v>6472</v>
      </c>
      <c r="G95" s="20" t="n">
        <v>64527</v>
      </c>
      <c r="H95" s="20" t="n">
        <v>21397</v>
      </c>
      <c r="I95" s="20" t="n">
        <v>21950</v>
      </c>
      <c r="J95" s="20" t="n">
        <v>20185</v>
      </c>
      <c r="K95" s="20" t="n">
        <v>15787</v>
      </c>
      <c r="L95" s="20" t="n">
        <v>6472</v>
      </c>
    </row>
    <row r="96">
      <c r="A96" s="18" t="inlineStr">
        <is>
          <t>미지급법인세 등</t>
        </is>
      </c>
      <c r="C96" s="20" t="n">
        <v>18574</v>
      </c>
      <c r="D96" s="20" t="n">
        <v>43744</v>
      </c>
      <c r="E96" s="20" t="n">
        <v>62568</v>
      </c>
      <c r="F96" s="20" t="n">
        <v>107506</v>
      </c>
      <c r="G96" s="20" t="n">
        <v>23260</v>
      </c>
      <c r="H96" s="20" t="n">
        <v>17403</v>
      </c>
      <c r="I96" s="20" t="n">
        <v>20951</v>
      </c>
      <c r="J96" s="20" t="n">
        <v>22494</v>
      </c>
      <c r="K96" s="20" t="n">
        <v>59180</v>
      </c>
      <c r="L96" s="20" t="n">
        <v>107506</v>
      </c>
    </row>
    <row r="97">
      <c r="A97" s="18" t="inlineStr">
        <is>
          <t>충당금</t>
        </is>
      </c>
      <c r="C97" s="20" t="n">
        <v>40226</v>
      </c>
      <c r="D97" s="20" t="n">
        <v>37269</v>
      </c>
      <c r="E97" s="20" t="n">
        <v>41509</v>
      </c>
      <c r="F97" s="20" t="n">
        <v>58857</v>
      </c>
      <c r="G97" s="20" t="n">
        <v>54832</v>
      </c>
      <c r="H97" s="20" t="n">
        <v>62077</v>
      </c>
      <c r="I97" s="20" t="n">
        <v>57574</v>
      </c>
      <c r="J97" s="20" t="n">
        <v>57642</v>
      </c>
      <c r="K97" s="20" t="n">
        <v>42415</v>
      </c>
      <c r="L97" s="20" t="n">
        <v>58857</v>
      </c>
    </row>
    <row r="98">
      <c r="A98" s="18" t="inlineStr">
        <is>
          <t>기타유동부채</t>
        </is>
      </c>
      <c r="C98" s="20" t="n">
        <v>62085</v>
      </c>
      <c r="D98" s="20" t="n">
        <v>39106</v>
      </c>
      <c r="E98" s="20" t="n">
        <v>57605</v>
      </c>
      <c r="F98" s="20" t="n">
        <v>89846</v>
      </c>
      <c r="G98" s="20" t="n">
        <v>68121</v>
      </c>
      <c r="H98" s="20" t="n">
        <v>51667</v>
      </c>
      <c r="I98" s="20" t="n">
        <v>60757</v>
      </c>
      <c r="J98" s="20" t="n">
        <v>69405</v>
      </c>
      <c r="K98" s="20" t="n">
        <v>74500</v>
      </c>
      <c r="L98" s="20" t="n">
        <v>89846</v>
      </c>
    </row>
    <row r="99">
      <c r="A99" s="18" t="inlineStr">
        <is>
          <t>소계</t>
        </is>
      </c>
      <c r="I99" s="20" t="n">
        <v>1365509</v>
      </c>
    </row>
    <row r="100">
      <c r="A100" s="18" t="inlineStr">
        <is>
          <t>소계</t>
        </is>
      </c>
      <c r="C100" s="20" t="n">
        <v>1287891</v>
      </c>
      <c r="D100" s="20" t="n">
        <v>1298526</v>
      </c>
      <c r="E100" s="20" t="n">
        <v>1321898</v>
      </c>
      <c r="F100" s="20" t="n">
        <v>1563977</v>
      </c>
      <c r="I100" s="20" t="n">
        <v>1365509</v>
      </c>
      <c r="J100" s="20" t="n">
        <v>1469353</v>
      </c>
      <c r="K100" s="20" t="n">
        <v>1626887</v>
      </c>
      <c r="L100" s="20" t="n">
        <v>1563977</v>
      </c>
    </row>
    <row r="101">
      <c r="A101" s="18" t="inlineStr">
        <is>
          <t>매각예정 자산 직접 관련 부채</t>
        </is>
      </c>
      <c r="C101" s="20" t="n">
        <v>6069</v>
      </c>
      <c r="D101" s="20" t="n">
        <v>0</v>
      </c>
      <c r="E101" s="20" t="n">
        <v>0</v>
      </c>
      <c r="F101" s="20" t="n">
        <v>0</v>
      </c>
      <c r="I101" s="20" t="n">
        <v>0</v>
      </c>
      <c r="J101" s="20" t="n">
        <v>0</v>
      </c>
      <c r="K101" s="20" t="n">
        <v>6529</v>
      </c>
      <c r="L101" s="20" t="n">
        <v>0</v>
      </c>
    </row>
    <row r="102">
      <c r="A102" s="18" t="inlineStr">
        <is>
          <t>유동부채 합계</t>
        </is>
      </c>
      <c r="C102" s="20" t="n">
        <v>1293960</v>
      </c>
      <c r="D102" s="20" t="n">
        <v>1298526</v>
      </c>
      <c r="E102" s="20" t="n">
        <v>1321898</v>
      </c>
      <c r="F102" s="20" t="n">
        <v>1563977</v>
      </c>
      <c r="G102" s="20" t="n">
        <v>1499291</v>
      </c>
      <c r="H102" s="20" t="n">
        <v>1333983</v>
      </c>
      <c r="I102" s="20" t="n">
        <v>1365509</v>
      </c>
      <c r="J102" s="20" t="n">
        <v>1469353</v>
      </c>
      <c r="K102" s="20" t="n">
        <v>1633416</v>
      </c>
      <c r="L102" s="20" t="n">
        <v>1563977</v>
      </c>
    </row>
    <row r="103">
      <c r="A103" s="18" t="inlineStr">
        <is>
          <t>사채 및 차입금</t>
        </is>
      </c>
      <c r="C103" s="20" t="n">
        <v>256658</v>
      </c>
      <c r="D103" s="20" t="n">
        <v>286866</v>
      </c>
      <c r="E103" s="20" t="n">
        <v>272103</v>
      </c>
      <c r="F103" s="20" t="n">
        <v>272107</v>
      </c>
      <c r="G103" s="20" t="n">
        <v>307486</v>
      </c>
      <c r="H103" s="20" t="n">
        <v>257899</v>
      </c>
      <c r="I103" s="20" t="n">
        <v>320794</v>
      </c>
      <c r="J103" s="20" t="n">
        <v>298279</v>
      </c>
      <c r="K103" s="20" t="n">
        <v>255842</v>
      </c>
      <c r="L103" s="20" t="n">
        <v>272107</v>
      </c>
    </row>
    <row r="104">
      <c r="A104" s="18" t="inlineStr">
        <is>
          <t>리스부채</t>
        </is>
      </c>
      <c r="C104" s="20" t="n">
        <v>122068</v>
      </c>
      <c r="D104" s="20" t="n">
        <v>116350</v>
      </c>
      <c r="E104" s="20" t="n">
        <v>122931</v>
      </c>
      <c r="F104" s="20" t="n">
        <v>110730</v>
      </c>
      <c r="G104" s="20" t="n">
        <v>134779</v>
      </c>
      <c r="H104" s="20" t="n">
        <v>103241</v>
      </c>
      <c r="I104" s="20" t="n">
        <v>109764</v>
      </c>
      <c r="J104" s="20" t="n">
        <v>113121</v>
      </c>
      <c r="K104" s="20" t="n">
        <v>124112</v>
      </c>
      <c r="L104" s="20" t="n">
        <v>110730</v>
      </c>
    </row>
    <row r="105">
      <c r="A105" s="18" t="inlineStr">
        <is>
          <t>기타금융부채</t>
        </is>
      </c>
      <c r="C105" s="20" t="n">
        <v>22546</v>
      </c>
      <c r="D105" s="20" t="n">
        <v>22995</v>
      </c>
      <c r="E105" s="20" t="n">
        <v>24035</v>
      </c>
      <c r="F105" s="20" t="n">
        <v>30008</v>
      </c>
      <c r="G105" s="20" t="n">
        <v>34563</v>
      </c>
      <c r="H105" s="20" t="n">
        <v>26937</v>
      </c>
      <c r="I105" s="20" t="n">
        <v>20428</v>
      </c>
      <c r="J105" s="20" t="n">
        <v>28838</v>
      </c>
      <c r="K105" s="20" t="n">
        <v>22168</v>
      </c>
      <c r="L105" s="20" t="n">
        <v>30008</v>
      </c>
    </row>
    <row r="106">
      <c r="A106" s="18" t="inlineStr">
        <is>
          <t>퇴직급여부채</t>
        </is>
      </c>
      <c r="C106" s="20" t="n">
        <v>135220</v>
      </c>
      <c r="D106" s="20" t="n">
        <v>132926</v>
      </c>
      <c r="E106" s="20" t="n">
        <v>131587</v>
      </c>
      <c r="F106" s="20" t="n">
        <v>123162</v>
      </c>
      <c r="G106" s="20" t="n">
        <v>122468</v>
      </c>
      <c r="H106" s="20" t="n">
        <v>179599</v>
      </c>
      <c r="I106" s="20" t="n">
        <v>179106</v>
      </c>
      <c r="J106" s="20" t="n">
        <v>157646</v>
      </c>
      <c r="K106" s="20" t="n">
        <v>137916</v>
      </c>
      <c r="L106" s="20" t="n">
        <v>123162</v>
      </c>
    </row>
    <row r="107">
      <c r="A107" s="18" t="inlineStr">
        <is>
          <t>충당금</t>
        </is>
      </c>
      <c r="C107" s="20" t="n">
        <v>26709</v>
      </c>
      <c r="D107" s="20" t="n">
        <v>33344</v>
      </c>
      <c r="E107" s="20" t="n">
        <v>34418</v>
      </c>
      <c r="F107" s="20" t="n">
        <v>36609</v>
      </c>
      <c r="G107" s="20" t="n">
        <v>37894</v>
      </c>
      <c r="H107" s="20" t="n">
        <v>18910</v>
      </c>
      <c r="I107" s="20" t="n">
        <v>20470</v>
      </c>
      <c r="J107" s="20" t="n">
        <v>23960</v>
      </c>
      <c r="K107" s="20" t="n">
        <v>26142</v>
      </c>
      <c r="L107" s="20" t="n">
        <v>36609</v>
      </c>
    </row>
    <row r="108">
      <c r="A108" s="18" t="inlineStr">
        <is>
          <t>기타비유동부채</t>
        </is>
      </c>
      <c r="C108" s="20" t="n">
        <v>46023</v>
      </c>
      <c r="D108" s="20" t="n">
        <v>47020</v>
      </c>
      <c r="E108" s="20" t="n">
        <v>48866</v>
      </c>
      <c r="F108" s="20" t="n">
        <v>48304</v>
      </c>
      <c r="G108" s="20" t="n">
        <v>50631</v>
      </c>
      <c r="H108" s="20" t="n">
        <v>54522</v>
      </c>
      <c r="I108" s="20" t="n">
        <v>55255</v>
      </c>
      <c r="J108" s="20" t="n">
        <v>46794</v>
      </c>
      <c r="K108" s="20" t="n">
        <v>44261</v>
      </c>
      <c r="L108" s="20" t="n">
        <v>48304</v>
      </c>
    </row>
    <row r="109">
      <c r="A109" s="18" t="inlineStr">
        <is>
          <t>비유동부채 합계</t>
        </is>
      </c>
      <c r="C109" s="20" t="n">
        <v>609224</v>
      </c>
      <c r="D109" s="20" t="n">
        <v>639501</v>
      </c>
      <c r="E109" s="20" t="n">
        <v>633940</v>
      </c>
      <c r="F109" s="20" t="n">
        <v>620920</v>
      </c>
      <c r="G109" s="20" t="n">
        <v>687821</v>
      </c>
      <c r="H109" s="20" t="n">
        <v>641108</v>
      </c>
      <c r="I109" s="20" t="n">
        <v>705817</v>
      </c>
      <c r="J109" s="20" t="n">
        <v>668638</v>
      </c>
      <c r="K109" s="20" t="n">
        <v>610441</v>
      </c>
      <c r="L109" s="20" t="n">
        <v>620920</v>
      </c>
    </row>
    <row r="110">
      <c r="A110" s="18" t="inlineStr">
        <is>
          <t>부채 합계</t>
        </is>
      </c>
      <c r="C110" s="20" t="n">
        <v>1903184</v>
      </c>
      <c r="D110" s="20" t="n">
        <v>1938027</v>
      </c>
      <c r="E110" s="20" t="n">
        <v>1955838</v>
      </c>
      <c r="F110" s="20" t="n">
        <v>2184897</v>
      </c>
      <c r="G110" s="20" t="n">
        <v>2187112</v>
      </c>
      <c r="H110" s="20" t="n">
        <v>1975091</v>
      </c>
      <c r="I110" s="20" t="n">
        <v>2071326</v>
      </c>
      <c r="J110" s="20" t="n">
        <v>2137991</v>
      </c>
      <c r="K110" s="20" t="n">
        <v>2243857</v>
      </c>
      <c r="L110" s="20" t="n">
        <v>2184897</v>
      </c>
    </row>
    <row r="111">
      <c r="A111" s="18" t="inlineStr">
        <is>
          <t>자본금</t>
        </is>
      </c>
      <c r="C111" s="20" t="n">
        <v>427831</v>
      </c>
      <c r="D111" s="20" t="n">
        <v>427831</v>
      </c>
      <c r="E111" s="20" t="n">
        <v>427831</v>
      </c>
      <c r="F111" s="20" t="n">
        <v>427831</v>
      </c>
      <c r="G111" s="20" t="n">
        <v>427831</v>
      </c>
      <c r="H111" s="20" t="n">
        <v>427831</v>
      </c>
      <c r="I111" s="20" t="n">
        <v>427831</v>
      </c>
      <c r="J111" s="20" t="n">
        <v>427831</v>
      </c>
      <c r="K111" s="20" t="n">
        <v>427831</v>
      </c>
      <c r="L111" s="20" t="n">
        <v>427831</v>
      </c>
    </row>
    <row r="112">
      <c r="A112" s="18" t="inlineStr">
        <is>
          <t>자본잉여금</t>
        </is>
      </c>
      <c r="C112" s="20" t="n">
        <v>0</v>
      </c>
      <c r="D112" s="20" t="n">
        <v>0</v>
      </c>
      <c r="E112" s="20" t="n">
        <v>0</v>
      </c>
      <c r="F112" s="20" t="n">
        <v>0</v>
      </c>
      <c r="G112" s="20" t="n">
        <v>0</v>
      </c>
      <c r="H112" s="20" t="n">
        <v>169090</v>
      </c>
      <c r="I112" s="20" t="n">
        <v>165034</v>
      </c>
      <c r="J112" s="20" t="n">
        <v>167451</v>
      </c>
      <c r="K112" s="20" t="n">
        <v>46704</v>
      </c>
      <c r="L112" s="20" t="n">
        <v>0</v>
      </c>
    </row>
    <row r="113">
      <c r="A113" s="18" t="inlineStr">
        <is>
          <t>이익잉여금</t>
        </is>
      </c>
      <c r="C113" s="20" t="n">
        <v>987371</v>
      </c>
      <c r="D113" s="20" t="n">
        <v>1041160</v>
      </c>
      <c r="E113" s="20" t="n">
        <v>1088991</v>
      </c>
      <c r="F113" s="20" t="n">
        <v>1216327</v>
      </c>
      <c r="G113" s="20" t="n">
        <v>1236615</v>
      </c>
      <c r="H113" s="20" t="n">
        <v>678653</v>
      </c>
      <c r="I113" s="20" t="n">
        <v>764604</v>
      </c>
      <c r="J113" s="20" t="n">
        <v>883453</v>
      </c>
      <c r="K113" s="20" t="n">
        <v>1023945</v>
      </c>
      <c r="L113" s="20" t="n">
        <v>1216327</v>
      </c>
    </row>
    <row r="114">
      <c r="A114" s="18" t="inlineStr">
        <is>
          <t>자기주식</t>
        </is>
      </c>
      <c r="C114" s="20" t="n">
        <v>-30731</v>
      </c>
      <c r="D114" s="20" t="n">
        <v>-30273</v>
      </c>
      <c r="E114" s="20" t="n">
        <v>-30283</v>
      </c>
      <c r="F114" s="20" t="n">
        <v>-57584</v>
      </c>
      <c r="G114" s="20" t="n">
        <v>-57590</v>
      </c>
      <c r="H114" s="20" t="n">
        <v>-1906</v>
      </c>
      <c r="I114" s="20" t="n">
        <v>-31588</v>
      </c>
      <c r="J114" s="20" t="n">
        <v>-31097</v>
      </c>
      <c r="K114" s="20" t="n">
        <v>-30725</v>
      </c>
      <c r="L114" s="20" t="n">
        <v>-57584</v>
      </c>
    </row>
    <row r="115">
      <c r="A115" s="18" t="inlineStr">
        <is>
          <t>기타자본구성요소</t>
        </is>
      </c>
      <c r="C115" s="20" t="n">
        <v>508823</v>
      </c>
      <c r="D115" s="20" t="n">
        <v>532639</v>
      </c>
      <c r="E115" s="20" t="n">
        <v>579925</v>
      </c>
      <c r="F115" s="20" t="n">
        <v>610004</v>
      </c>
      <c r="G115" s="20" t="n">
        <v>627214</v>
      </c>
      <c r="H115" s="20" t="n">
        <v>239835</v>
      </c>
      <c r="I115" s="20" t="n">
        <v>297936</v>
      </c>
      <c r="J115" s="20" t="n">
        <v>467975</v>
      </c>
      <c r="K115" s="20" t="n">
        <v>484263</v>
      </c>
      <c r="L115" s="20" t="n">
        <v>610004</v>
      </c>
    </row>
    <row r="116">
      <c r="A116" s="18" t="inlineStr">
        <is>
          <t>지배기업 소유주 귀속 지분 합계</t>
        </is>
      </c>
      <c r="C116" s="20" t="n">
        <v>1893294</v>
      </c>
      <c r="D116" s="20" t="n">
        <v>1971357</v>
      </c>
      <c r="E116" s="20" t="n">
        <v>2066464</v>
      </c>
      <c r="F116" s="20" t="n">
        <v>2196578</v>
      </c>
      <c r="G116" s="20" t="n">
        <v>2234070</v>
      </c>
      <c r="H116" s="20" t="n">
        <v>1513503</v>
      </c>
      <c r="I116" s="20" t="n">
        <v>1623817</v>
      </c>
      <c r="J116" s="20" t="n">
        <v>1915613</v>
      </c>
      <c r="K116" s="20" t="n">
        <v>1952018</v>
      </c>
      <c r="L116" s="20" t="n">
        <v>2196578</v>
      </c>
    </row>
    <row r="117">
      <c r="A117" s="18" t="inlineStr">
        <is>
          <t>비지배지분</t>
        </is>
      </c>
      <c r="C117" s="20" t="n">
        <v>78466</v>
      </c>
      <c r="D117" s="20" t="n">
        <v>79528</v>
      </c>
      <c r="E117" s="20" t="n">
        <v>85014</v>
      </c>
      <c r="F117" s="20" t="n">
        <v>85309</v>
      </c>
      <c r="G117" s="20" t="n">
        <v>85645</v>
      </c>
      <c r="H117" s="20" t="n">
        <v>273139</v>
      </c>
      <c r="I117" s="20" t="n">
        <v>288907</v>
      </c>
      <c r="J117" s="20" t="n">
        <v>173910</v>
      </c>
      <c r="K117" s="20" t="n">
        <v>119493</v>
      </c>
      <c r="L117" s="20" t="n">
        <v>85309</v>
      </c>
    </row>
    <row r="118">
      <c r="A118" s="18" t="inlineStr">
        <is>
          <t>자본 합계</t>
        </is>
      </c>
      <c r="C118" s="20" t="n">
        <v>1971760</v>
      </c>
      <c r="D118" s="20" t="n">
        <v>2050885</v>
      </c>
      <c r="E118" s="20" t="n">
        <v>2151478</v>
      </c>
      <c r="F118" s="20" t="n">
        <v>2281887</v>
      </c>
      <c r="G118" s="20" t="n">
        <v>2319715</v>
      </c>
      <c r="H118" s="20" t="n">
        <v>1786642</v>
      </c>
      <c r="I118" s="20" t="n">
        <v>1912724</v>
      </c>
      <c r="J118" s="20" t="n">
        <v>2089523</v>
      </c>
      <c r="K118" s="20" t="n">
        <v>2071511</v>
      </c>
      <c r="L118" s="20" t="n">
        <v>2281887</v>
      </c>
    </row>
    <row r="119">
      <c r="A119" s="18" t="inlineStr">
        <is>
          <t>부채및자본 합계</t>
        </is>
      </c>
      <c r="C119" s="20" t="n">
        <v>3874944</v>
      </c>
      <c r="D119" s="20" t="n">
        <v>3988912</v>
      </c>
      <c r="E119" s="20" t="n">
        <v>4107316</v>
      </c>
      <c r="F119" s="20" t="n">
        <v>4466784</v>
      </c>
      <c r="G119" s="20" t="n">
        <v>4506827</v>
      </c>
      <c r="H119" s="20" t="n">
        <v>3761733</v>
      </c>
      <c r="I119" s="20" t="n">
        <v>3984050</v>
      </c>
      <c r="J119" s="20" t="n">
        <v>4227514</v>
      </c>
      <c r="K119" s="20" t="n">
        <v>4315368</v>
      </c>
      <c r="L119" s="20" t="n">
        <v>4466784</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1" t="inlineStr">
        <is>
          <t>공시일</t>
        </is>
      </c>
      <c r="B3" s="51" t="inlineStr">
        <is>
          <t>문서</t>
        </is>
      </c>
      <c r="C3" s="51" t="inlineStr">
        <is>
          <t>PDF</t>
        </is>
      </c>
    </row>
    <row r="4">
      <c r="A4" t="inlineStr">
        <is>
          <t>2026-07-29</t>
        </is>
      </c>
      <c r="B4" t="inlineStr">
        <is>
          <t>2027년 3월 결산기 1분기 결산단신</t>
        </is>
      </c>
      <c r="C4" t="inlineStr">
        <is>
          <t>https://www2.jpx.co.jp/disc/67010/140120260729501413.pdf</t>
        </is>
      </c>
    </row>
    <row r="5">
      <c r="A5" t="inlineStr">
        <is>
          <t>2026-04-28</t>
        </is>
      </c>
      <c r="B5" t="inlineStr">
        <is>
          <t>2026년 3월 결산기 연간 결산단신</t>
        </is>
      </c>
      <c r="C5" t="inlineStr">
        <is>
          <t>https://www2.jpx.co.jp/disc/67010/140120260424510884.pdf</t>
        </is>
      </c>
    </row>
    <row r="6">
      <c r="A6" t="inlineStr">
        <is>
          <t>2026-01-29</t>
        </is>
      </c>
      <c r="B6" t="inlineStr">
        <is>
          <t>2026년 3월 결산기 3분기 결산단신</t>
        </is>
      </c>
      <c r="C6" t="inlineStr">
        <is>
          <t>https://www2.jpx.co.jp/disc/67010/140120260127539212.pdf</t>
        </is>
      </c>
    </row>
    <row r="7">
      <c r="A7" t="inlineStr">
        <is>
          <t>2025-10-29</t>
        </is>
      </c>
      <c r="B7" t="inlineStr">
        <is>
          <t>2026년 3월 결산기 2분기 결산단신</t>
        </is>
      </c>
      <c r="C7" t="inlineStr">
        <is>
          <t>https://www2.jpx.co.jp/disc/67010/140120251028580711.pdf</t>
        </is>
      </c>
    </row>
    <row r="8">
      <c r="A8" t="inlineStr">
        <is>
          <t>2025-07-29</t>
        </is>
      </c>
      <c r="B8" t="inlineStr">
        <is>
          <t>2026년 3월 결산기 1분기 결산단신</t>
        </is>
      </c>
      <c r="C8" t="inlineStr">
        <is>
          <t>https://www2.jpx.co.jp/disc/67010/140120250725520576.pdf</t>
        </is>
      </c>
    </row>
    <row r="9">
      <c r="A9" t="inlineStr">
        <is>
          <t>2025-04-28</t>
        </is>
      </c>
      <c r="B9" t="inlineStr">
        <is>
          <t>2025년 3월 결산기 연간 결산단신</t>
        </is>
      </c>
      <c r="C9" t="inlineStr">
        <is>
          <t>https://www2.jpx.co.jp/disc/67010/140120250425525045.pdf</t>
        </is>
      </c>
    </row>
    <row r="10">
      <c r="A10" t="inlineStr">
        <is>
          <t>2025-01-30</t>
        </is>
      </c>
      <c r="B10" t="inlineStr">
        <is>
          <t>2025년 3월 결산기 3분기 결산단신</t>
        </is>
      </c>
      <c r="C10" t="inlineStr">
        <is>
          <t>https://www2.jpx.co.jp/disc/67010/140120250121553270.pdf</t>
        </is>
      </c>
    </row>
    <row r="11">
      <c r="A11" t="inlineStr">
        <is>
          <t>2024-10-29</t>
        </is>
      </c>
      <c r="B11" t="inlineStr">
        <is>
          <t>2025년 3월 결산기 2분기 결산단신</t>
        </is>
      </c>
      <c r="C11" t="inlineStr">
        <is>
          <t>https://www2.jpx.co.jp/disc/67010/140120241029504562.pdf</t>
        </is>
      </c>
    </row>
    <row r="12">
      <c r="A12" t="inlineStr">
        <is>
          <t>2024-07-30</t>
        </is>
      </c>
      <c r="B12" t="inlineStr">
        <is>
          <t>2025년 3월 결산기 1분기 결산단신</t>
        </is>
      </c>
      <c r="C12" t="inlineStr">
        <is>
          <t>https://www2.jpx.co.jp/disc/67010/140120240730557358.pdf</t>
        </is>
      </c>
    </row>
    <row r="13">
      <c r="A13" t="inlineStr">
        <is>
          <t>2024-04-26</t>
        </is>
      </c>
      <c r="B13" t="inlineStr">
        <is>
          <t>2024년 3월 결산기 연간 결산단신</t>
        </is>
      </c>
      <c r="C13" t="inlineStr">
        <is>
          <t>https://www2.jpx.co.jp/disc/67010/140120240415571137.pdf</t>
        </is>
      </c>
    </row>
    <row r="14">
      <c r="A14" t="inlineStr">
        <is>
          <t>2024-01-30</t>
        </is>
      </c>
      <c r="B14" t="inlineStr">
        <is>
          <t>2024년 3월 결산기 3분기 결산단신</t>
        </is>
      </c>
      <c r="C14" t="inlineStr">
        <is>
          <t>https://www2.jpx.co.jp/disc/67010/140120240126519784.pdf</t>
        </is>
      </c>
    </row>
    <row r="15">
      <c r="A15" t="inlineStr">
        <is>
          <t>2023-10-30</t>
        </is>
      </c>
      <c r="B15" t="inlineStr">
        <is>
          <t>2024년 3월 결산기 2분기 결산단신</t>
        </is>
      </c>
      <c r="C15" t="inlineStr">
        <is>
          <t>https://www2.jpx.co.jp/disc/67010/140120231027573444.pdf</t>
        </is>
      </c>
    </row>
    <row r="16">
      <c r="A16" t="inlineStr">
        <is>
          <t>2023-07-28</t>
        </is>
      </c>
      <c r="B16" t="inlineStr">
        <is>
          <t>2024년 3월 결산기 1분기 결산단신</t>
        </is>
      </c>
      <c r="C16" t="inlineStr">
        <is>
          <t>https://www2.jpx.co.jp/disc/67010/140120230727528569.pdf</t>
        </is>
      </c>
    </row>
    <row r="17">
      <c r="A17" t="inlineStr">
        <is>
          <t>2023-04-28</t>
        </is>
      </c>
      <c r="B17" t="inlineStr">
        <is>
          <t>2023년 3월 결산기 연간 결산단신</t>
        </is>
      </c>
      <c r="C17" t="inlineStr">
        <is>
          <t>https://www2.jpx.co.jp/disc/67010/140120230427555574.pdf</t>
        </is>
      </c>
    </row>
    <row r="18">
      <c r="A18" t="inlineStr">
        <is>
          <t>2023-01-30</t>
        </is>
      </c>
      <c r="B18" t="inlineStr">
        <is>
          <t>2023년 3월 결산기 3분기 결산단신</t>
        </is>
      </c>
      <c r="C18" t="inlineStr">
        <is>
          <t>https://www2.jpx.co.jp/disc/67010/140120230127595135.pdf</t>
        </is>
      </c>
    </row>
    <row r="19">
      <c r="A19" t="inlineStr">
        <is>
          <t>2022-10-28</t>
        </is>
      </c>
      <c r="B19" t="inlineStr">
        <is>
          <t>2023년 3월 결산기 2분기 결산단신</t>
        </is>
      </c>
      <c r="C19" t="inlineStr">
        <is>
          <t>https://www2.jpx.co.jp/disc/67010/140120221023547881.pdf</t>
        </is>
      </c>
    </row>
    <row r="20">
      <c r="A20" t="inlineStr">
        <is>
          <t>2022-04-28</t>
        </is>
      </c>
      <c r="B20" t="inlineStr">
        <is>
          <t>2022년 3월 결산기 연간 결산단신</t>
        </is>
      </c>
      <c r="C20" t="inlineStr">
        <is>
          <t>https://www2.jpx.co.jp/disc/67010/140120220426528820.pdf</t>
        </is>
      </c>
    </row>
    <row r="21">
      <c r="A21" t="inlineStr">
        <is>
          <t>2021-05-12</t>
        </is>
      </c>
      <c r="B21" t="inlineStr">
        <is>
          <t>2021년 3월 결산기 연간 결산단신</t>
        </is>
      </c>
      <c r="C21" t="inlineStr">
        <is>
          <t>https://www2.jpx.co.jp/disc/67010/140120210510410207.pdf</t>
        </is>
      </c>
    </row>
    <row r="22">
      <c r="A22" t="inlineStr">
        <is>
          <t>2020-05-12</t>
        </is>
      </c>
      <c r="B22" t="inlineStr">
        <is>
          <t>2020년 3월 결산기 연간 결산단신</t>
        </is>
      </c>
      <c r="C22" t="inlineStr">
        <is>
          <t>https://www2.jpx.co.jp/disc/67010/140120200511408936.pdf</t>
        </is>
      </c>
    </row>
    <row r="23">
      <c r="A23" t="inlineStr">
        <is>
          <t>2019-04-26</t>
        </is>
      </c>
      <c r="B23" t="inlineStr">
        <is>
          <t>2019년 3월 결산기 연간 결산단신</t>
        </is>
      </c>
      <c r="C23" t="inlineStr">
        <is>
          <t>https://www2.jpx.co.jp/disc/67010/140120190425412089.pdf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2026-10-26T10:56:05Z</dcterms:created>
  <dcterms:modified xmlns:dcterms="http://purl.org/dc/terms/" xmlns:xsi="http://www.w3.org/2001/XMLSchema-instance" xsi:type="dcterms:W3CDTF">2026-10-26T10:56:06Z</dcterms:modified>
</cp:coreProperties>
</file>