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259"/>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6701 Model</t>
        </is>
      </c>
    </row>
    <row r="2">
      <c r="A2" s="2" t="inlineStr">
        <is>
          <t>모를 땐 보수적으로</t>
        </is>
      </c>
      <c r="B2" s="3" t="inlineStr">
        <is>
          <t>(단위: 백만엔)</t>
        </is>
      </c>
      <c r="C2" s="3" t="inlineStr">
        <is>
          <t>3월 결산 · IFRS · 2027.2Q = 2027년 3월 결산기 2분기</t>
        </is>
      </c>
      <c r="Y2" s="4" t="inlineStr">
        <is>
          <t>(추정: 파란 글씨 = 직접 입력)</t>
        </is>
      </c>
    </row>
    <row r="3">
      <c r="A3" s="5" t="inlineStr">
        <is>
          <t>항목</t>
        </is>
      </c>
      <c r="B3" s="5" t="inlineStr">
        <is>
          <t>참고</t>
        </is>
      </c>
      <c r="C3" s="6" t="inlineStr">
        <is>
          <t>2024.3Q</t>
        </is>
      </c>
      <c r="D3" s="5" t="inlineStr">
        <is>
          <t>2024.4Q</t>
        </is>
      </c>
      <c r="E3" s="5" t="inlineStr">
        <is>
          <t>2025.1Q</t>
        </is>
      </c>
      <c r="F3" s="5" t="inlineStr">
        <is>
          <t>2025.2Q</t>
        </is>
      </c>
      <c r="G3" s="5" t="inlineStr">
        <is>
          <t>2025.3Q</t>
        </is>
      </c>
      <c r="H3" s="5" t="inlineStr">
        <is>
          <t>2025.4Q</t>
        </is>
      </c>
      <c r="I3" s="5" t="inlineStr">
        <is>
          <t>2026.1Q</t>
        </is>
      </c>
      <c r="J3" s="5" t="inlineStr">
        <is>
          <t>2026.2Q</t>
        </is>
      </c>
      <c r="K3" s="5" t="inlineStr">
        <is>
          <t>2026.3Q</t>
        </is>
      </c>
      <c r="L3" s="5" t="inlineStr">
        <is>
          <t>2026.4Q</t>
        </is>
      </c>
      <c r="M3" s="5" t="inlineStr">
        <is>
          <t>2027.1Q</t>
        </is>
      </c>
      <c r="N3" s="5" t="inlineStr">
        <is>
          <t>2027.2Q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844475</v>
      </c>
      <c r="D4" s="12" t="n">
        <v>1083986</v>
      </c>
      <c r="E4" s="12" t="n">
        <v>690296</v>
      </c>
      <c r="F4" s="12" t="n">
        <v>796380</v>
      </c>
      <c r="G4" s="12" t="n">
        <v>835133</v>
      </c>
      <c r="H4" s="12" t="n">
        <v>1101622</v>
      </c>
      <c r="I4" s="12" t="n">
        <v>715658</v>
      </c>
      <c r="J4" s="12" t="n">
        <v>854121</v>
      </c>
      <c r="K4" s="12" t="n">
        <v>852538</v>
      </c>
      <c r="L4" s="12" t="n">
        <v>1160416</v>
      </c>
      <c r="M4" s="12" t="n">
        <v>819774</v>
      </c>
      <c r="N4" s="12" t="n">
        <v>934083</v>
      </c>
      <c r="O4" s="11" t="n"/>
      <c r="P4" s="12" t="n">
        <v>2844447</v>
      </c>
      <c r="Q4" s="12" t="n">
        <v>2913446</v>
      </c>
      <c r="R4" s="12" t="n">
        <v>3095234</v>
      </c>
      <c r="S4" s="12" t="n">
        <v>2994023</v>
      </c>
      <c r="T4" s="12" t="n">
        <v>3014095</v>
      </c>
      <c r="U4" s="12" t="n">
        <v>3313018</v>
      </c>
      <c r="V4" s="12" t="n">
        <v>3477262</v>
      </c>
      <c r="W4" s="12" t="n">
        <v>3423431</v>
      </c>
      <c r="X4" s="12" t="n">
        <v>3582733</v>
      </c>
      <c r="Y4" s="11">
        <f>IF(COUNT(Y7,Y10,Y13)=0,"",SUM(Y7,Y10,Y13))</f>
        <v/>
      </c>
      <c r="Z4" s="12">
        <f>IF(COUNT(Z7,Z10,Z13)=0,"",SUM(Z7,Z10,Z13))</f>
        <v/>
      </c>
      <c r="AA4" s="12">
        <f>IF(COUNT(AA7,AA10,AA13)=0,"",SUM(AA7,AA10,AA13))</f>
        <v/>
      </c>
      <c r="AB4" s="12">
        <f>IF(COUNT(AB7,AB10,AB13)=0,"",SUM(AB7,AB10,AB13))</f>
        <v/>
      </c>
      <c r="AC4" s="12">
        <f>IF(COUNT(AC7,AC10,AC13)=0,"",SUM(AC7,AC10,AC13))</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IT서비스</t>
        </is>
      </c>
      <c r="B7" s="10" t="n"/>
      <c r="C7" s="19" t="n">
        <v>470762</v>
      </c>
      <c r="D7" s="20" t="n">
        <v>600156</v>
      </c>
      <c r="E7" s="20" t="n">
        <v>501845</v>
      </c>
      <c r="F7" s="20" t="n">
        <v>578240</v>
      </c>
      <c r="G7" s="20" t="n">
        <v>586663</v>
      </c>
      <c r="H7" s="20" t="n">
        <v>793072</v>
      </c>
      <c r="I7" s="20" t="n">
        <v>567123</v>
      </c>
      <c r="J7" s="20" t="n">
        <v>647820</v>
      </c>
      <c r="K7" s="20" t="n">
        <v>496749</v>
      </c>
      <c r="L7" s="20" t="n">
        <v>797233</v>
      </c>
      <c r="M7" s="20" t="n">
        <v>621456</v>
      </c>
      <c r="N7" s="20" t="n">
        <v>709045</v>
      </c>
      <c r="O7" s="19" t="n"/>
      <c r="P7" s="20" t="n"/>
      <c r="Q7" s="20" t="n"/>
      <c r="R7" s="20" t="n"/>
      <c r="S7" s="20" t="n"/>
      <c r="T7" s="20" t="n"/>
      <c r="U7" s="20" t="n"/>
      <c r="V7" s="20" t="n">
        <v>1913992</v>
      </c>
      <c r="W7" s="20" t="n">
        <v>2459820</v>
      </c>
      <c r="X7" s="20" t="n">
        <v>2508925</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사회 인프라</t>
        </is>
      </c>
      <c r="B10" s="10" t="n"/>
      <c r="C10" s="19" t="n">
        <v>254927</v>
      </c>
      <c r="D10" s="20" t="n">
        <v>346635</v>
      </c>
      <c r="E10" s="20" t="n">
        <v>157629</v>
      </c>
      <c r="F10" s="20" t="n">
        <v>192609</v>
      </c>
      <c r="G10" s="20" t="n">
        <v>214504</v>
      </c>
      <c r="H10" s="20" t="n">
        <v>267360</v>
      </c>
      <c r="I10" s="20" t="n">
        <v>120383</v>
      </c>
      <c r="J10" s="20" t="n">
        <v>176026</v>
      </c>
      <c r="K10" s="20" t="n">
        <v>321829</v>
      </c>
      <c r="L10" s="20" t="n">
        <v>317064</v>
      </c>
      <c r="M10" s="20" t="n">
        <v>165278</v>
      </c>
      <c r="N10" s="20" t="n">
        <v>191251</v>
      </c>
      <c r="O10" s="19" t="n"/>
      <c r="P10" s="20" t="n"/>
      <c r="Q10" s="20" t="n"/>
      <c r="R10" s="20" t="n"/>
      <c r="S10" s="20" t="n"/>
      <c r="T10" s="20" t="n"/>
      <c r="U10" s="20" t="n"/>
      <c r="V10" s="20" t="n">
        <v>1077335</v>
      </c>
      <c r="W10" s="20" t="n">
        <v>832102</v>
      </c>
      <c r="X10" s="20" t="n">
        <v>935302</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기타</t>
        </is>
      </c>
      <c r="B13" s="10" t="n"/>
      <c r="C13" s="19" t="n">
        <v>118786</v>
      </c>
      <c r="D13" s="20" t="n">
        <v>137195</v>
      </c>
      <c r="E13" s="20" t="n">
        <v>30822</v>
      </c>
      <c r="F13" s="20" t="n">
        <v>25531</v>
      </c>
      <c r="G13" s="20" t="n">
        <v>33966</v>
      </c>
      <c r="H13" s="20" t="n">
        <v>41190</v>
      </c>
      <c r="I13" s="20" t="n">
        <v>28152</v>
      </c>
      <c r="J13" s="20" t="n">
        <v>30275</v>
      </c>
      <c r="K13" s="20" t="n">
        <v>33960</v>
      </c>
      <c r="L13" s="20" t="n">
        <v>46119</v>
      </c>
      <c r="M13" s="20" t="n">
        <v>33040</v>
      </c>
      <c r="N13" s="20" t="n">
        <v>33787</v>
      </c>
      <c r="O13" s="19" t="n"/>
      <c r="P13" s="20" t="n"/>
      <c r="Q13" s="20" t="n"/>
      <c r="R13" s="20" t="n"/>
      <c r="S13" s="20" t="n"/>
      <c r="T13" s="20" t="n"/>
      <c r="U13" s="20" t="n"/>
      <c r="V13" s="20" t="n">
        <v>485935</v>
      </c>
      <c r="W13" s="20" t="n">
        <v>131509</v>
      </c>
      <c r="X13" s="20" t="n">
        <v>138506</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6" t="inlineStr">
        <is>
          <t>매출원가</t>
        </is>
      </c>
      <c r="B16" s="16" t="n"/>
      <c r="C16" s="17" t="n"/>
      <c r="D16" s="16" t="n"/>
      <c r="E16" s="16" t="n"/>
      <c r="F16" s="16" t="n"/>
      <c r="G16" s="16" t="n"/>
      <c r="H16" s="16" t="n"/>
      <c r="I16" s="16" t="n"/>
      <c r="J16" s="16" t="n"/>
      <c r="K16" s="16" t="n"/>
      <c r="L16" s="16" t="n"/>
      <c r="M16" s="16" t="n"/>
      <c r="N16" s="16" t="n"/>
      <c r="O16" s="17" t="n"/>
      <c r="P16" s="16" t="n"/>
      <c r="Q16" s="16" t="n"/>
      <c r="R16" s="16" t="n"/>
      <c r="S16" s="16" t="n"/>
      <c r="T16" s="16" t="n"/>
      <c r="U16" s="16" t="n"/>
      <c r="V16" s="16" t="n"/>
      <c r="W16" s="16" t="n"/>
      <c r="X16" s="16" t="n"/>
      <c r="Y16" s="17" t="n"/>
      <c r="Z16" s="16" t="n"/>
      <c r="AA16" s="16" t="n"/>
      <c r="AB16" s="16" t="n"/>
      <c r="AC16" s="16" t="n"/>
    </row>
    <row r="17">
      <c r="A17" s="18" t="inlineStr">
        <is>
          <t>전체 매출원가</t>
        </is>
      </c>
      <c r="B17" s="10" t="n"/>
      <c r="C17" s="19" t="n">
        <v>597495</v>
      </c>
      <c r="D17" s="20" t="n">
        <v>748981</v>
      </c>
      <c r="E17" s="20" t="n">
        <v>500126</v>
      </c>
      <c r="F17" s="20" t="n">
        <v>563126</v>
      </c>
      <c r="G17" s="20" t="n">
        <v>556674</v>
      </c>
      <c r="H17" s="20" t="n">
        <v>742949</v>
      </c>
      <c r="I17" s="20" t="n">
        <v>499470</v>
      </c>
      <c r="J17" s="20" t="n">
        <v>581058</v>
      </c>
      <c r="K17" s="20" t="n">
        <v>579899</v>
      </c>
      <c r="L17" s="20" t="n">
        <v>741010</v>
      </c>
      <c r="M17" s="20" t="n">
        <v>551411</v>
      </c>
      <c r="N17" s="20" t="n">
        <v>613705</v>
      </c>
      <c r="O17" s="19" t="n"/>
      <c r="P17" s="20" t="n">
        <v>2046853</v>
      </c>
      <c r="Q17" s="20" t="n">
        <v>2083517</v>
      </c>
      <c r="R17" s="20" t="n">
        <v>2207675</v>
      </c>
      <c r="S17" s="20" t="n">
        <v>2132840</v>
      </c>
      <c r="T17" s="20" t="n">
        <v>2127682</v>
      </c>
      <c r="U17" s="20" t="n">
        <v>2354770</v>
      </c>
      <c r="V17" s="20" t="n">
        <v>2471404</v>
      </c>
      <c r="W17" s="20" t="n">
        <v>2362875</v>
      </c>
      <c r="X17" s="20" t="n">
        <v>2401437</v>
      </c>
      <c r="Y17" s="19" t="n"/>
      <c r="Z17" s="20" t="n"/>
      <c r="AA17" s="20" t="n"/>
      <c r="AB17" s="20" t="n"/>
      <c r="AC17" s="20" t="n"/>
    </row>
    <row r="18">
      <c r="A18" s="13" t="inlineStr">
        <is>
          <t>YoY</t>
        </is>
      </c>
      <c r="B18" s="10" t="n"/>
      <c r="C18" s="14" t="n"/>
      <c r="D18" s="15" t="n"/>
      <c r="E18" s="15" t="n"/>
      <c r="F18" s="15" t="n"/>
      <c r="G18" s="15">
        <f>IF(OR(G17="",C17=""),"",IF(C17&lt;=0,"",IFERROR(G17/C17-1,"")))</f>
        <v/>
      </c>
      <c r="H18" s="15">
        <f>IF(OR(H17="",D17=""),"",IF(D17&lt;=0,"",IFERROR(H17/D17-1,"")))</f>
        <v/>
      </c>
      <c r="I18" s="15">
        <f>IF(OR(I17="",E17=""),"",IF(E17&lt;=0,"",IFERROR(I17/E17-1,"")))</f>
        <v/>
      </c>
      <c r="J18" s="15">
        <f>IF(OR(J17="",F17=""),"",IF(F17&lt;=0,"",IFERROR(J17/F17-1,"")))</f>
        <v/>
      </c>
      <c r="K18" s="15">
        <f>IF(OR(K17="",G17=""),"",IF(G17&lt;=0,"",IFERROR(K17/G17-1,"")))</f>
        <v/>
      </c>
      <c r="L18" s="15">
        <f>IF(OR(L17="",H17=""),"",IF(H17&lt;=0,"",IFERROR(L17/H17-1,"")))</f>
        <v/>
      </c>
      <c r="M18" s="15">
        <f>IF(OR(M17="",I17=""),"",IF(I17&lt;=0,"",IFERROR(M17/I17-1,"")))</f>
        <v/>
      </c>
      <c r="N18" s="15">
        <f>IF(OR(N17="",J17=""),"",IF(J17&lt;=0,"",IFERROR(N17/J17-1,"")))</f>
        <v/>
      </c>
      <c r="O18" s="14" t="n"/>
      <c r="P18" s="15">
        <f>IF(OR(P17="",O17=""),"",IF(O17&lt;=0,"",IFERROR(P17/O17-1,"")))</f>
        <v/>
      </c>
      <c r="Q18" s="15">
        <f>IF(OR(Q17="",P17=""),"",IF(P17&lt;=0,"",IFERROR(Q17/P17-1,"")))</f>
        <v/>
      </c>
      <c r="R18" s="15">
        <f>IF(OR(R17="",Q17=""),"",IF(Q17&lt;=0,"",IFERROR(R17/Q17-1,"")))</f>
        <v/>
      </c>
      <c r="S18" s="15">
        <f>IF(OR(S17="",R17=""),"",IF(R17&lt;=0,"",IFERROR(S17/R17-1,"")))</f>
        <v/>
      </c>
      <c r="T18" s="15">
        <f>IF(OR(T17="",S17=""),"",IF(S17&lt;=0,"",IFERROR(T17/S17-1,"")))</f>
        <v/>
      </c>
      <c r="U18" s="15">
        <f>IF(OR(U17="",T17=""),"",IF(T17&lt;=0,"",IFERROR(U17/T17-1,"")))</f>
        <v/>
      </c>
      <c r="V18" s="15">
        <f>IF(OR(V17="",U17=""),"",IF(U17&lt;=0,"",IFERROR(V17/U17-1,"")))</f>
        <v/>
      </c>
      <c r="W18" s="15">
        <f>IF(OR(W17="",V17=""),"",IF(V17&lt;=0,"",IFERROR(W17/V17-1,"")))</f>
        <v/>
      </c>
      <c r="X18" s="15">
        <f>IF(OR(X17="",W17=""),"",IF(W17&lt;=0,"",IFERROR(X17/W17-1,"")))</f>
        <v/>
      </c>
      <c r="Y18" s="14">
        <f>IF(OR(Y17="",X17=""),"",IF(X17&lt;=0,"",IFERROR(Y17/X17-1,"")))</f>
        <v/>
      </c>
      <c r="Z18" s="15">
        <f>IF(OR(Z17="",Y17=""),"",IF(Y17&lt;=0,"",IFERROR(Z17/Y17-1,"")))</f>
        <v/>
      </c>
      <c r="AA18" s="15">
        <f>IF(OR(AA17="",Z17=""),"",IF(Z17&lt;=0,"",IFERROR(AA17/Z17-1,"")))</f>
        <v/>
      </c>
      <c r="AB18" s="15">
        <f>IF(OR(AB17="",AA17=""),"",IF(AA17&lt;=0,"",IFERROR(AB17/AA17-1,"")))</f>
        <v/>
      </c>
      <c r="AC18" s="15">
        <f>IF(OR(AC17="",AB17=""),"",IF(AB17&lt;=0,"",IFERROR(AC17/AB17-1,"")))</f>
        <v/>
      </c>
    </row>
    <row r="19">
      <c r="A19" s="18" t="inlineStr">
        <is>
          <t>매출총이익</t>
        </is>
      </c>
      <c r="B19" s="10" t="n"/>
      <c r="C19" s="19">
        <f>IF(OR(C4="",C17=""),"",IFERROR(C4-C17,""))</f>
        <v/>
      </c>
      <c r="D19" s="20">
        <f>IF(OR(D4="",D17=""),"",IFERROR(D4-D17,""))</f>
        <v/>
      </c>
      <c r="E19" s="20">
        <f>IF(OR(E4="",E17=""),"",IFERROR(E4-E17,""))</f>
        <v/>
      </c>
      <c r="F19" s="20">
        <f>IF(OR(F4="",F17=""),"",IFERROR(F4-F17,""))</f>
        <v/>
      </c>
      <c r="G19" s="20">
        <f>IF(OR(G4="",G17=""),"",IFERROR(G4-G17,""))</f>
        <v/>
      </c>
      <c r="H19" s="20">
        <f>IF(OR(H4="",H17=""),"",IFERROR(H4-H17,""))</f>
        <v/>
      </c>
      <c r="I19" s="20">
        <f>IF(OR(I4="",I17=""),"",IFERROR(I4-I17,""))</f>
        <v/>
      </c>
      <c r="J19" s="20">
        <f>IF(OR(J4="",J17=""),"",IFERROR(J4-J17,""))</f>
        <v/>
      </c>
      <c r="K19" s="20">
        <f>IF(OR(K4="",K17=""),"",IFERROR(K4-K17,""))</f>
        <v/>
      </c>
      <c r="L19" s="20">
        <f>IF(OR(L4="",L17=""),"",IFERROR(L4-L17,""))</f>
        <v/>
      </c>
      <c r="M19" s="20">
        <f>IF(OR(M4="",M17=""),"",IFERROR(M4-M17,""))</f>
        <v/>
      </c>
      <c r="N19" s="20">
        <f>IF(OR(N4="",N17=""),"",IFERROR(N4-N17,""))</f>
        <v/>
      </c>
      <c r="O19" s="19">
        <f>IF(OR(O4="",O17=""),"",IFERROR(O4-O17,""))</f>
        <v/>
      </c>
      <c r="P19" s="20">
        <f>IF(OR(P4="",P17=""),"",IFERROR(P4-P17,""))</f>
        <v/>
      </c>
      <c r="Q19" s="20">
        <f>IF(OR(Q4="",Q17=""),"",IFERROR(Q4-Q17,""))</f>
        <v/>
      </c>
      <c r="R19" s="20">
        <f>IF(OR(R4="",R17=""),"",IFERROR(R4-R17,""))</f>
        <v/>
      </c>
      <c r="S19" s="20">
        <f>IF(OR(S4="",S17=""),"",IFERROR(S4-S17,""))</f>
        <v/>
      </c>
      <c r="T19" s="20">
        <f>IF(OR(T4="",T17=""),"",IFERROR(T4-T17,""))</f>
        <v/>
      </c>
      <c r="U19" s="20">
        <f>IF(OR(U4="",U17=""),"",IFERROR(U4-U17,""))</f>
        <v/>
      </c>
      <c r="V19" s="20">
        <f>IF(OR(V4="",V17=""),"",IFERROR(V4-V17,""))</f>
        <v/>
      </c>
      <c r="W19" s="20">
        <f>IF(OR(W4="",W17=""),"",IFERROR(W4-W17,""))</f>
        <v/>
      </c>
      <c r="X19" s="20">
        <f>IF(OR(X4="",X17=""),"",IFERROR(X4-X17,""))</f>
        <v/>
      </c>
      <c r="Y19" s="19" t="n"/>
      <c r="Z19" s="20" t="n"/>
      <c r="AA19" s="20" t="n"/>
      <c r="AB19" s="20" t="n"/>
      <c r="AC19" s="20" t="n"/>
    </row>
    <row r="20">
      <c r="A20" s="13" t="inlineStr">
        <is>
          <t>GPM</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IF(OR(G19="",C19=""),"",IF(C19&lt;=0,"",IFERROR(G19/C19-1,"")))</f>
        <v/>
      </c>
      <c r="H21" s="15">
        <f>IF(OR(H19="",D19=""),"",IF(D19&lt;=0,"",IFERROR(H19/D19-1,"")))</f>
        <v/>
      </c>
      <c r="I21" s="15">
        <f>IF(OR(I19="",E19=""),"",IF(E19&lt;=0,"",IFERROR(I19/E19-1,"")))</f>
        <v/>
      </c>
      <c r="J21" s="15">
        <f>IF(OR(J19="",F19=""),"",IF(F19&lt;=0,"",IFERROR(J19/F19-1,"")))</f>
        <v/>
      </c>
      <c r="K21" s="15">
        <f>IF(OR(K19="",G19=""),"",IF(G19&lt;=0,"",IFERROR(K19/G19-1,"")))</f>
        <v/>
      </c>
      <c r="L21" s="15">
        <f>IF(OR(L19="",H19=""),"",IF(H19&lt;=0,"",IFERROR(L19/H19-1,"")))</f>
        <v/>
      </c>
      <c r="M21" s="15">
        <f>IF(OR(M19="",I19=""),"",IF(I19&lt;=0,"",IFERROR(M19/I19-1,"")))</f>
        <v/>
      </c>
      <c r="N21" s="15">
        <f>IF(OR(N19="",J19=""),"",IF(J19&lt;=0,"",IFERROR(N19/J19-1,"")))</f>
        <v/>
      </c>
      <c r="O21" s="14" t="n"/>
      <c r="P21" s="15">
        <f>IF(OR(P19="",O19=""),"",IF(O19&lt;=0,"",IFERROR(P19/O19-1,"")))</f>
        <v/>
      </c>
      <c r="Q21" s="15">
        <f>IF(OR(Q19="",P19=""),"",IF(P19&lt;=0,"",IFERROR(Q19/P19-1,"")))</f>
        <v/>
      </c>
      <c r="R21" s="15">
        <f>IF(OR(R19="",Q19=""),"",IF(Q19&lt;=0,"",IFERROR(R19/Q19-1,"")))</f>
        <v/>
      </c>
      <c r="S21" s="15">
        <f>IF(OR(S19="",R19=""),"",IF(R19&lt;=0,"",IFERROR(S19/R19-1,"")))</f>
        <v/>
      </c>
      <c r="T21" s="15">
        <f>IF(OR(T19="",S19=""),"",IF(S19&lt;=0,"",IFERROR(T19/S19-1,"")))</f>
        <v/>
      </c>
      <c r="U21" s="15">
        <f>IF(OR(U19="",T19=""),"",IF(T19&lt;=0,"",IFERROR(U19/T19-1,"")))</f>
        <v/>
      </c>
      <c r="V21" s="15">
        <f>IF(OR(V19="",U19=""),"",IF(U19&lt;=0,"",IFERROR(V19/U19-1,"")))</f>
        <v/>
      </c>
      <c r="W21" s="15">
        <f>IF(OR(W19="",V19=""),"",IF(V19&lt;=0,"",IFERROR(W19/V19-1,"")))</f>
        <v/>
      </c>
      <c r="X21" s="15">
        <f>IF(OR(X19="",W19=""),"",IF(W19&lt;=0,"",IFERROR(X19/W19-1,"")))</f>
        <v/>
      </c>
      <c r="Y21" s="14">
        <f>IF(OR(Y19="",X19=""),"",IF(X19&lt;=0,"",IFERROR(Y19/X19-1,"")))</f>
        <v/>
      </c>
      <c r="Z21" s="15">
        <f>IF(OR(Z19="",Y19=""),"",IF(Y19&lt;=0,"",IFERROR(Z19/Y19-1,"")))</f>
        <v/>
      </c>
      <c r="AA21" s="15">
        <f>IF(OR(AA19="",Z19=""),"",IF(Z19&lt;=0,"",IFERROR(AA19/Z19-1,"")))</f>
        <v/>
      </c>
      <c r="AB21" s="15">
        <f>IF(OR(AB19="",AA19=""),"",IF(AA19&lt;=0,"",IFERROR(AB19/AA19-1,"")))</f>
        <v/>
      </c>
      <c r="AC21" s="15">
        <f>IF(OR(AC19="",AB19=""),"",IF(AB19&lt;=0,"",IFERROR(AC19/AB19-1,"")))</f>
        <v/>
      </c>
    </row>
    <row r="22">
      <c r="A22" s="23" t="inlineStr">
        <is>
          <t>판매관리비</t>
        </is>
      </c>
      <c r="B22" s="23" t="n"/>
      <c r="C22" s="24" t="n"/>
      <c r="D22" s="23" t="n"/>
      <c r="E22" s="23" t="n"/>
      <c r="F22" s="23" t="n"/>
      <c r="G22" s="23" t="n"/>
      <c r="H22" s="23" t="n"/>
      <c r="I22" s="23" t="n"/>
      <c r="J22" s="23" t="n"/>
      <c r="K22" s="23" t="n"/>
      <c r="L22" s="23" t="n"/>
      <c r="M22" s="23" t="n"/>
      <c r="N22" s="23" t="n"/>
      <c r="O22" s="24" t="n"/>
      <c r="P22" s="23" t="n"/>
      <c r="Q22" s="23" t="n"/>
      <c r="R22" s="23" t="n"/>
      <c r="S22" s="23" t="n"/>
      <c r="T22" s="23" t="n"/>
      <c r="U22" s="23" t="n"/>
      <c r="V22" s="23" t="n"/>
      <c r="W22" s="23" t="n"/>
      <c r="X22" s="23" t="n"/>
      <c r="Y22" s="24" t="n"/>
      <c r="Z22" s="23" t="n"/>
      <c r="AA22" s="23" t="n"/>
      <c r="AB22" s="23" t="n"/>
      <c r="AC22" s="23" t="n"/>
    </row>
    <row r="23">
      <c r="A23" s="18" t="inlineStr">
        <is>
          <t>전체 판관비</t>
        </is>
      </c>
      <c r="B23" s="10" t="n"/>
      <c r="C23" s="19" t="n">
        <v>201577</v>
      </c>
      <c r="D23" s="20" t="n">
        <v>216511</v>
      </c>
      <c r="E23" s="20" t="n">
        <v>184086</v>
      </c>
      <c r="F23" s="20" t="n">
        <v>193389</v>
      </c>
      <c r="G23" s="20" t="n">
        <v>189138</v>
      </c>
      <c r="H23" s="20" t="n">
        <v>210811</v>
      </c>
      <c r="I23" s="20" t="n">
        <v>183681</v>
      </c>
      <c r="J23" s="20" t="n">
        <v>191841</v>
      </c>
      <c r="K23" s="20" t="n">
        <v>199399</v>
      </c>
      <c r="L23" s="20" t="n">
        <v>230634</v>
      </c>
      <c r="M23" s="20" t="n">
        <v>208359</v>
      </c>
      <c r="N23" s="20" t="n">
        <v>215865</v>
      </c>
      <c r="O23" s="19" t="n"/>
      <c r="P23" s="20" t="n">
        <v>729855</v>
      </c>
      <c r="Q23" s="20" t="n">
        <v>743021</v>
      </c>
      <c r="R23" s="20" t="n">
        <v>752690</v>
      </c>
      <c r="S23" s="20" t="n">
        <v>732989</v>
      </c>
      <c r="T23" s="20" t="n">
        <v>762970</v>
      </c>
      <c r="U23" s="20" t="n">
        <v>793700</v>
      </c>
      <c r="V23" s="20" t="n">
        <v>814013</v>
      </c>
      <c r="W23" s="20" t="n">
        <v>777424</v>
      </c>
      <c r="X23" s="20" t="n">
        <v>805555</v>
      </c>
      <c r="Y23" s="19" t="n"/>
      <c r="Z23" s="20" t="n"/>
      <c r="AA23" s="20" t="n"/>
      <c r="AB23" s="20" t="n"/>
      <c r="AC23" s="20" t="n"/>
    </row>
    <row r="24">
      <c r="A24" s="13" t="inlineStr">
        <is>
          <t>YoY</t>
        </is>
      </c>
      <c r="B24" s="10" t="n"/>
      <c r="C24" s="14" t="n"/>
      <c r="D24" s="15" t="n"/>
      <c r="E24" s="15" t="n"/>
      <c r="F24" s="15" t="n"/>
      <c r="G24" s="15">
        <f>IF(OR(G23="",C23=""),"",IF(C23&lt;=0,"",IFERROR(G23/C23-1,"")))</f>
        <v/>
      </c>
      <c r="H24" s="15">
        <f>IF(OR(H23="",D23=""),"",IF(D23&lt;=0,"",IFERROR(H23/D23-1,"")))</f>
        <v/>
      </c>
      <c r="I24" s="15">
        <f>IF(OR(I23="",E23=""),"",IF(E23&lt;=0,"",IFERROR(I23/E23-1,"")))</f>
        <v/>
      </c>
      <c r="J24" s="15">
        <f>IF(OR(J23="",F23=""),"",IF(F23&lt;=0,"",IFERROR(J23/F23-1,"")))</f>
        <v/>
      </c>
      <c r="K24" s="15">
        <f>IF(OR(K23="",G23=""),"",IF(G23&lt;=0,"",IFERROR(K23/G23-1,"")))</f>
        <v/>
      </c>
      <c r="L24" s="15">
        <f>IF(OR(L23="",H23=""),"",IF(H23&lt;=0,"",IFERROR(L23/H23-1,"")))</f>
        <v/>
      </c>
      <c r="M24" s="15">
        <f>IF(OR(M23="",I23=""),"",IF(I23&lt;=0,"",IFERROR(M23/I23-1,"")))</f>
        <v/>
      </c>
      <c r="N24" s="15">
        <f>IF(OR(N23="",J23=""),"",IF(J23&lt;=0,"",IFERROR(N23/J23-1,"")))</f>
        <v/>
      </c>
      <c r="O24" s="14" t="n"/>
      <c r="P24" s="15">
        <f>IF(OR(P23="",O23=""),"",IF(O23&lt;=0,"",IFERROR(P23/O23-1,"")))</f>
        <v/>
      </c>
      <c r="Q24" s="15">
        <f>IF(OR(Q23="",P23=""),"",IF(P23&lt;=0,"",IFERROR(Q23/P23-1,"")))</f>
        <v/>
      </c>
      <c r="R24" s="15">
        <f>IF(OR(R23="",Q23=""),"",IF(Q23&lt;=0,"",IFERROR(R23/Q23-1,"")))</f>
        <v/>
      </c>
      <c r="S24" s="15">
        <f>IF(OR(S23="",R23=""),"",IF(R23&lt;=0,"",IFERROR(S23/R23-1,"")))</f>
        <v/>
      </c>
      <c r="T24" s="15">
        <f>IF(OR(T23="",S23=""),"",IF(S23&lt;=0,"",IFERROR(T23/S23-1,"")))</f>
        <v/>
      </c>
      <c r="U24" s="15">
        <f>IF(OR(U23="",T23=""),"",IF(T23&lt;=0,"",IFERROR(U23/T23-1,"")))</f>
        <v/>
      </c>
      <c r="V24" s="15">
        <f>IF(OR(V23="",U23=""),"",IF(U23&lt;=0,"",IFERROR(V23/U23-1,"")))</f>
        <v/>
      </c>
      <c r="W24" s="15">
        <f>IF(OR(W23="",V23=""),"",IF(V23&lt;=0,"",IFERROR(W23/V23-1,"")))</f>
        <v/>
      </c>
      <c r="X24" s="15">
        <f>IF(OR(X23="",W23=""),"",IF(W23&lt;=0,"",IFERROR(X23/W23-1,"")))</f>
        <v/>
      </c>
      <c r="Y24" s="14">
        <f>IF(OR(Y23="",X23=""),"",IF(X23&lt;=0,"",IFERROR(Y23/X23-1,"")))</f>
        <v/>
      </c>
      <c r="Z24" s="15">
        <f>IF(OR(Z23="",Y23=""),"",IF(Y23&lt;=0,"",IFERROR(Z23/Y23-1,"")))</f>
        <v/>
      </c>
      <c r="AA24" s="15">
        <f>IF(OR(AA23="",Z23=""),"",IF(Z23&lt;=0,"",IFERROR(AA23/Z23-1,"")))</f>
        <v/>
      </c>
      <c r="AB24" s="15">
        <f>IF(OR(AB23="",AA23=""),"",IF(AA23&lt;=0,"",IFERROR(AB23/AA23-1,"")))</f>
        <v/>
      </c>
      <c r="AC24" s="15">
        <f>IF(OR(AC23="",AB23=""),"",IF(AB23&lt;=0,"",IFERROR(AC23/AB23-1,"")))</f>
        <v/>
      </c>
    </row>
    <row r="25">
      <c r="A25" s="9" t="inlineStr">
        <is>
          <t>영업이익</t>
        </is>
      </c>
      <c r="B25" s="10" t="inlineStr">
        <is>
          <t>MW = 매출 × OPM</t>
        </is>
      </c>
      <c r="C25" s="11" t="n">
        <v>41820</v>
      </c>
      <c r="D25" s="12" t="n">
        <v>118197</v>
      </c>
      <c r="E25" s="12" t="n">
        <v>4540</v>
      </c>
      <c r="F25" s="12" t="n">
        <v>40153</v>
      </c>
      <c r="G25" s="12" t="n">
        <v>81473</v>
      </c>
      <c r="H25" s="12" t="n">
        <v>130331</v>
      </c>
      <c r="I25" s="12" t="n">
        <v>35389</v>
      </c>
      <c r="J25" s="12" t="n">
        <v>83181</v>
      </c>
      <c r="K25" s="12" t="n">
        <v>66591</v>
      </c>
      <c r="L25" s="12" t="n">
        <v>174752</v>
      </c>
      <c r="M25" s="12" t="n">
        <v>58770</v>
      </c>
      <c r="N25" s="12" t="n">
        <v>87384</v>
      </c>
      <c r="O25" s="11" t="n"/>
      <c r="P25" s="12" t="n">
        <v>63850</v>
      </c>
      <c r="Q25" s="12" t="n">
        <v>57780</v>
      </c>
      <c r="R25" s="12" t="n">
        <v>127609</v>
      </c>
      <c r="S25" s="12" t="n">
        <v>153759</v>
      </c>
      <c r="T25" s="12" t="n">
        <v>132525</v>
      </c>
      <c r="U25" s="12" t="n">
        <v>170447</v>
      </c>
      <c r="V25" s="12" t="n">
        <v>188012</v>
      </c>
      <c r="W25" s="12" t="n">
        <v>256497</v>
      </c>
      <c r="X25" s="12" t="n">
        <v>359913</v>
      </c>
      <c r="Y25" s="11">
        <f>IF(OR(Y4="",Y26=""),"",IFERROR(Y4*Y26,""))</f>
        <v/>
      </c>
      <c r="Z25" s="12">
        <f>IF(OR(Z4="",Z26=""),"",IFERROR(Z4*Z26,""))</f>
        <v/>
      </c>
      <c r="AA25" s="12">
        <f>IF(OR(AA4="",AA26=""),"",IFERROR(AA4*AA26,""))</f>
        <v/>
      </c>
      <c r="AB25" s="12">
        <f>IF(OR(AB4="",AB26=""),"",IFERROR(AB4*AB26,""))</f>
        <v/>
      </c>
      <c r="AC25" s="12">
        <f>IF(OR(AC4="",AC26=""),"",IFERROR(AC4*AC26,""))</f>
        <v/>
      </c>
    </row>
    <row r="26">
      <c r="A26" s="13" t="inlineStr">
        <is>
          <t>OPM</t>
        </is>
      </c>
      <c r="B26" s="10" t="inlineStr">
        <is>
          <t>MW 입력</t>
        </is>
      </c>
      <c r="C26" s="14">
        <f>IF(OR(C25="",C4=""),"",IFERROR(C25/C4,""))</f>
        <v/>
      </c>
      <c r="D26" s="15">
        <f>IF(OR(D25="",D4=""),"",IFERROR(D25/D4,""))</f>
        <v/>
      </c>
      <c r="E26" s="15">
        <f>IF(OR(E25="",E4=""),"",IFERROR(E25/E4,""))</f>
        <v/>
      </c>
      <c r="F26" s="15">
        <f>IF(OR(F25="",F4=""),"",IFERROR(F25/F4,""))</f>
        <v/>
      </c>
      <c r="G26" s="15">
        <f>IF(OR(G25="",G4=""),"",IFERROR(G25/G4,""))</f>
        <v/>
      </c>
      <c r="H26" s="15">
        <f>IF(OR(H25="",H4=""),"",IFERROR(H25/H4,""))</f>
        <v/>
      </c>
      <c r="I26" s="15">
        <f>IF(OR(I25="",I4=""),"",IFERROR(I25/I4,""))</f>
        <v/>
      </c>
      <c r="J26" s="15">
        <f>IF(OR(J25="",J4=""),"",IFERROR(J25/J4,""))</f>
        <v/>
      </c>
      <c r="K26" s="15">
        <f>IF(OR(K25="",K4=""),"",IFERROR(K25/K4,""))</f>
        <v/>
      </c>
      <c r="L26" s="15">
        <f>IF(OR(L25="",L4=""),"",IFERROR(L25/L4,""))</f>
        <v/>
      </c>
      <c r="M26" s="15">
        <f>IF(OR(M25="",M4=""),"",IFERROR(M25/M4,""))</f>
        <v/>
      </c>
      <c r="N26" s="15">
        <f>IF(OR(N25="",N4=""),"",IFERROR(N25/N4,""))</f>
        <v/>
      </c>
      <c r="O26" s="14">
        <f>IF(OR(O25="",O4=""),"",IFERROR(O25/O4,""))</f>
        <v/>
      </c>
      <c r="P26" s="15">
        <f>IF(OR(P25="",P4=""),"",IFERROR(P25/P4,""))</f>
        <v/>
      </c>
      <c r="Q26" s="15">
        <f>IF(OR(Q25="",Q4=""),"",IFERROR(Q25/Q4,""))</f>
        <v/>
      </c>
      <c r="R26" s="15">
        <f>IF(OR(R25="",R4=""),"",IFERROR(R25/R4,""))</f>
        <v/>
      </c>
      <c r="S26" s="15">
        <f>IF(OR(S25="",S4=""),"",IFERROR(S25/S4,""))</f>
        <v/>
      </c>
      <c r="T26" s="15">
        <f>IF(OR(T25="",T4=""),"",IFERROR(T25/T4,""))</f>
        <v/>
      </c>
      <c r="U26" s="15">
        <f>IF(OR(U25="",U4=""),"",IFERROR(U25/U4,""))</f>
        <v/>
      </c>
      <c r="V26" s="15">
        <f>IF(OR(V25="",V4=""),"",IFERROR(V25/V4,""))</f>
        <v/>
      </c>
      <c r="W26" s="15">
        <f>IF(OR(W25="",W4=""),"",IFERROR(W25/W4,""))</f>
        <v/>
      </c>
      <c r="X26" s="15">
        <f>IF(OR(X25="",X4=""),"",IFERROR(X25/X4,""))</f>
        <v/>
      </c>
      <c r="Y26" s="25" t="n"/>
      <c r="Z26" s="26" t="n"/>
      <c r="AA26" s="26" t="n"/>
      <c r="AB26" s="26" t="n"/>
      <c r="AC26" s="26" t="n"/>
    </row>
    <row r="27">
      <c r="A27" s="13" t="inlineStr">
        <is>
          <t>증가율</t>
        </is>
      </c>
      <c r="B27" s="10" t="n"/>
      <c r="C27" s="14" t="n"/>
      <c r="D27" s="15" t="n"/>
      <c r="E27" s="15" t="n"/>
      <c r="F27" s="15" t="n"/>
      <c r="G27" s="15">
        <f>IF(OR(G25="",C25=""),"",IFERROR(G25/C25-1,""))</f>
        <v/>
      </c>
      <c r="H27" s="15">
        <f>IF(OR(H25="",D25=""),"",IFERROR(H25/D25-1,""))</f>
        <v/>
      </c>
      <c r="I27" s="15">
        <f>IF(OR(I25="",E25=""),"",IFERROR(I25/E25-1,""))</f>
        <v/>
      </c>
      <c r="J27" s="15">
        <f>IF(OR(J25="",F25=""),"",IFERROR(J25/F25-1,""))</f>
        <v/>
      </c>
      <c r="K27" s="15">
        <f>IF(OR(K25="",G25=""),"",IFERROR(K25/G25-1,""))</f>
        <v/>
      </c>
      <c r="L27" s="15">
        <f>IF(OR(L25="",H25=""),"",IFERROR(L25/H25-1,""))</f>
        <v/>
      </c>
      <c r="M27" s="15">
        <f>IF(OR(M25="",I25=""),"",IFERROR(M25/I25-1,""))</f>
        <v/>
      </c>
      <c r="N27" s="15">
        <f>IF(OR(N25="",J25=""),"",IFERROR(N25/J25-1,""))</f>
        <v/>
      </c>
      <c r="O27" s="14" t="n"/>
      <c r="P27" s="15">
        <f>IF(OR(P25="",O25=""),"",IFERROR(P25/O25-1,""))</f>
        <v/>
      </c>
      <c r="Q27" s="15">
        <f>IF(OR(Q25="",P25=""),"",IFERROR(Q25/P25-1,""))</f>
        <v/>
      </c>
      <c r="R27" s="15">
        <f>IF(OR(R25="",Q25=""),"",IFERROR(R25/Q25-1,""))</f>
        <v/>
      </c>
      <c r="S27" s="15">
        <f>IF(OR(S25="",R25=""),"",IFERROR(S25/R25-1,""))</f>
        <v/>
      </c>
      <c r="T27" s="15">
        <f>IF(OR(T25="",S25=""),"",IFERROR(T25/S25-1,""))</f>
        <v/>
      </c>
      <c r="U27" s="15">
        <f>IF(OR(U25="",T25=""),"",IFERROR(U25/T25-1,""))</f>
        <v/>
      </c>
      <c r="V27" s="15">
        <f>IF(OR(V25="",U25=""),"",IFERROR(V25/U25-1,""))</f>
        <v/>
      </c>
      <c r="W27" s="15">
        <f>IF(OR(W25="",V25=""),"",IFERROR(W25/V25-1,""))</f>
        <v/>
      </c>
      <c r="X27" s="15">
        <f>IF(OR(X25="",W25=""),"",IFERROR(X25/W25-1,""))</f>
        <v/>
      </c>
      <c r="Y27" s="14">
        <f>IF(OR(Y25="",X25=""),"",IFERROR(Y25/X25-1,""))</f>
        <v/>
      </c>
      <c r="Z27" s="15">
        <f>IF(OR(Z25="",Y25=""),"",IFERROR(Z25/Y25-1,""))</f>
        <v/>
      </c>
      <c r="AA27" s="15">
        <f>IF(OR(AA25="",Z25=""),"",IFERROR(AA25/Z25-1,""))</f>
        <v/>
      </c>
      <c r="AB27" s="15">
        <f>IF(OR(AB25="",AA25=""),"",IFERROR(AB25/AA25-1,""))</f>
        <v/>
      </c>
      <c r="AC27" s="15">
        <f>IF(OR(AC25="",AB25=""),"",IFERROR(AC25/AB25-1,""))</f>
        <v/>
      </c>
    </row>
    <row r="28">
      <c r="A28" s="16" t="inlineStr">
        <is>
          <t>비용의 성격별 분류</t>
        </is>
      </c>
      <c r="B28" s="16" t="inlineStr">
        <is>
          <t>참고 데이터</t>
        </is>
      </c>
      <c r="C28" s="17" t="n"/>
      <c r="D28" s="16" t="n"/>
      <c r="E28" s="16" t="n"/>
      <c r="F28" s="16" t="n"/>
      <c r="G28" s="16" t="n"/>
      <c r="H28" s="16" t="n"/>
      <c r="I28" s="16" t="n"/>
      <c r="J28" s="16" t="n"/>
      <c r="K28" s="16" t="n"/>
      <c r="L28" s="16" t="n"/>
      <c r="M28" s="16" t="n"/>
      <c r="N28" s="16" t="n"/>
      <c r="O28" s="17" t="n"/>
      <c r="P28" s="16" t="n"/>
      <c r="Q28" s="16" t="n"/>
      <c r="R28" s="16" t="n"/>
      <c r="S28" s="16" t="n"/>
      <c r="T28" s="16" t="n"/>
      <c r="U28" s="16" t="n"/>
      <c r="V28" s="16" t="n"/>
      <c r="W28" s="16" t="n"/>
      <c r="X28" s="16" t="n"/>
      <c r="Y28" s="17" t="n"/>
      <c r="Z28" s="16" t="n"/>
      <c r="AA28" s="16" t="n"/>
      <c r="AB28" s="16" t="n"/>
      <c r="AC28" s="16" t="n"/>
    </row>
    <row r="29">
      <c r="A29" s="9" t="inlineStr">
        <is>
          <t>총 판관비</t>
        </is>
      </c>
      <c r="B29" s="10" t="n"/>
      <c r="C29" s="11" t="n"/>
      <c r="D29" s="12" t="n"/>
      <c r="E29" s="12" t="n"/>
      <c r="F29" s="12" t="n"/>
      <c r="G29" s="12" t="n"/>
      <c r="H29" s="12" t="n"/>
      <c r="I29" s="12" t="n"/>
      <c r="J29" s="12" t="n"/>
      <c r="K29" s="12" t="n"/>
      <c r="L29" s="12" t="n"/>
      <c r="M29" s="12" t="n"/>
      <c r="N29" s="12" t="n"/>
      <c r="O29" s="11">
        <f>IF(O23="","",O23)</f>
        <v/>
      </c>
      <c r="P29" s="12">
        <f>IF(P23="","",P23)</f>
        <v/>
      </c>
      <c r="Q29" s="12">
        <f>IF(Q23="","",Q23)</f>
        <v/>
      </c>
      <c r="R29" s="12">
        <f>IF(R23="","",R23)</f>
        <v/>
      </c>
      <c r="S29" s="12">
        <f>IF(S23="","",S23)</f>
        <v/>
      </c>
      <c r="T29" s="12">
        <f>IF(T23="","",T23)</f>
        <v/>
      </c>
      <c r="U29" s="12">
        <f>IF(U23="","",U23)</f>
        <v/>
      </c>
      <c r="V29" s="12">
        <f>IF(V23="","",V23)</f>
        <v/>
      </c>
      <c r="W29" s="12">
        <f>IF(W23="","",W23)</f>
        <v/>
      </c>
      <c r="X29" s="12">
        <f>IF(X23="","",X23)</f>
        <v/>
      </c>
      <c r="Y29" s="11" t="n"/>
      <c r="Z29" s="12" t="n"/>
      <c r="AA29" s="12" t="n"/>
      <c r="AB29" s="12" t="n"/>
      <c r="AC29" s="12" t="n"/>
    </row>
    <row r="30">
      <c r="A30" s="18" t="inlineStr">
        <is>
          <t>급여</t>
        </is>
      </c>
      <c r="B30" s="10" t="inlineStr">
        <is>
          <t>고정비</t>
        </is>
      </c>
      <c r="C30" s="19" t="n"/>
      <c r="D30" s="20" t="n"/>
      <c r="E30" s="20" t="n"/>
      <c r="F30" s="20" t="n"/>
      <c r="G30" s="20" t="n"/>
      <c r="H30" s="20" t="n"/>
      <c r="I30" s="20" t="n"/>
      <c r="J30" s="20" t="n"/>
      <c r="K30" s="20" t="n"/>
      <c r="L30" s="20" t="n"/>
      <c r="M30" s="20" t="n"/>
      <c r="N30" s="20" t="n"/>
      <c r="O30" s="19" t="n"/>
      <c r="P30" s="20" t="n"/>
      <c r="Q30" s="20" t="n"/>
      <c r="R30" s="20" t="n"/>
      <c r="S30" s="20" t="n"/>
      <c r="T30" s="20" t="n"/>
      <c r="U30" s="20" t="n"/>
      <c r="V30" s="20" t="n"/>
      <c r="W30" s="20" t="n"/>
      <c r="X30" s="20" t="n"/>
      <c r="Y30" s="19" t="n"/>
      <c r="Z30" s="20" t="n"/>
      <c r="AA30" s="20" t="n"/>
      <c r="AB30" s="20" t="n"/>
      <c r="AC30" s="20" t="n"/>
    </row>
    <row r="31">
      <c r="A31" s="13" t="inlineStr">
        <is>
          <t>% of Sales</t>
        </is>
      </c>
      <c r="B31" s="10" t="n"/>
      <c r="C31" s="14" t="n"/>
      <c r="D31" s="15" t="n"/>
      <c r="E31" s="15" t="n"/>
      <c r="F31" s="15" t="n"/>
      <c r="G31" s="15" t="n"/>
      <c r="H31" s="15" t="n"/>
      <c r="I31" s="15" t="n"/>
      <c r="J31" s="15" t="n"/>
      <c r="K31" s="15" t="n"/>
      <c r="L31" s="15" t="n"/>
      <c r="M31" s="15" t="n"/>
      <c r="N31" s="15" t="n"/>
      <c r="O31" s="14">
        <f>IF(OR(O30="",O4=""),"",IFERROR(O30/O4,""))</f>
        <v/>
      </c>
      <c r="P31" s="15">
        <f>IF(OR(P30="",P4=""),"",IFERROR(P30/P4,""))</f>
        <v/>
      </c>
      <c r="Q31" s="15">
        <f>IF(OR(Q30="",Q4=""),"",IFERROR(Q30/Q4,""))</f>
        <v/>
      </c>
      <c r="R31" s="15">
        <f>IF(OR(R30="",R4=""),"",IFERROR(R30/R4,""))</f>
        <v/>
      </c>
      <c r="S31" s="15">
        <f>IF(OR(S30="",S4=""),"",IFERROR(S30/S4,""))</f>
        <v/>
      </c>
      <c r="T31" s="15">
        <f>IF(OR(T30="",T4=""),"",IFERROR(T30/T4,""))</f>
        <v/>
      </c>
      <c r="U31" s="15">
        <f>IF(OR(U30="",U4=""),"",IFERROR(U30/U4,""))</f>
        <v/>
      </c>
      <c r="V31" s="15">
        <f>IF(OR(V30="",V4=""),"",IFERROR(V30/V4,""))</f>
        <v/>
      </c>
      <c r="W31" s="15">
        <f>IF(OR(W30="",W4=""),"",IFERROR(W30/W4,""))</f>
        <v/>
      </c>
      <c r="X31" s="15">
        <f>IF(OR(X30="",X4=""),"",IFERROR(X30/X4,""))</f>
        <v/>
      </c>
      <c r="Y31" s="14" t="n"/>
      <c r="Z31" s="15" t="n"/>
      <c r="AA31" s="15" t="n"/>
      <c r="AB31" s="15" t="n"/>
      <c r="AC31" s="15" t="n"/>
    </row>
    <row r="32">
      <c r="A32" s="18" t="inlineStr">
        <is>
          <t>감가상각비</t>
        </is>
      </c>
      <c r="B32" s="10" t="inlineStr">
        <is>
          <t>고정비</t>
        </is>
      </c>
      <c r="C32" s="19" t="n"/>
      <c r="D32" s="20" t="n"/>
      <c r="E32" s="20" t="n"/>
      <c r="F32" s="20" t="n"/>
      <c r="G32" s="20" t="n"/>
      <c r="H32" s="20" t="n"/>
      <c r="I32" s="20" t="n"/>
      <c r="J32" s="20" t="n"/>
      <c r="K32" s="20" t="n"/>
      <c r="L32" s="20" t="n"/>
      <c r="M32" s="20" t="n"/>
      <c r="N32" s="20" t="n"/>
      <c r="O32" s="19" t="n"/>
      <c r="P32" s="20" t="n"/>
      <c r="Q32" s="20" t="n"/>
      <c r="R32" s="20" t="n"/>
      <c r="S32" s="20" t="n"/>
      <c r="T32" s="20" t="n"/>
      <c r="U32" s="20" t="n"/>
      <c r="V32" s="20" t="n"/>
      <c r="W32" s="20" t="n"/>
      <c r="X32" s="20" t="n"/>
      <c r="Y32" s="19" t="n"/>
      <c r="Z32" s="20" t="n"/>
      <c r="AA32" s="20" t="n"/>
      <c r="AB32" s="20" t="n"/>
      <c r="AC32" s="20" t="n"/>
    </row>
    <row r="33">
      <c r="A33" s="13" t="inlineStr">
        <is>
          <t>% of Sales</t>
        </is>
      </c>
      <c r="B33" s="10" t="n"/>
      <c r="C33" s="14" t="n"/>
      <c r="D33" s="15" t="n"/>
      <c r="E33" s="15" t="n"/>
      <c r="F33" s="15" t="n"/>
      <c r="G33" s="15" t="n"/>
      <c r="H33" s="15" t="n"/>
      <c r="I33" s="15" t="n"/>
      <c r="J33" s="15" t="n"/>
      <c r="K33" s="15" t="n"/>
      <c r="L33" s="15" t="n"/>
      <c r="M33" s="15" t="n"/>
      <c r="N33" s="15" t="n"/>
      <c r="O33" s="14">
        <f>IF(OR(O32="",O4=""),"",IFERROR(O32/O4,""))</f>
        <v/>
      </c>
      <c r="P33" s="15">
        <f>IF(OR(P32="",P4=""),"",IFERROR(P32/P4,""))</f>
        <v/>
      </c>
      <c r="Q33" s="15">
        <f>IF(OR(Q32="",Q4=""),"",IFERROR(Q32/Q4,""))</f>
        <v/>
      </c>
      <c r="R33" s="15">
        <f>IF(OR(R32="",R4=""),"",IFERROR(R32/R4,""))</f>
        <v/>
      </c>
      <c r="S33" s="15">
        <f>IF(OR(S32="",S4=""),"",IFERROR(S32/S4,""))</f>
        <v/>
      </c>
      <c r="T33" s="15">
        <f>IF(OR(T32="",T4=""),"",IFERROR(T32/T4,""))</f>
        <v/>
      </c>
      <c r="U33" s="15">
        <f>IF(OR(U32="",U4=""),"",IFERROR(U32/U4,""))</f>
        <v/>
      </c>
      <c r="V33" s="15">
        <f>IF(OR(V32="",V4=""),"",IFERROR(V32/V4,""))</f>
        <v/>
      </c>
      <c r="W33" s="15">
        <f>IF(OR(W32="",W4=""),"",IFERROR(W32/W4,""))</f>
        <v/>
      </c>
      <c r="X33" s="15">
        <f>IF(OR(X32="",X4=""),"",IFERROR(X32/X4,""))</f>
        <v/>
      </c>
      <c r="Y33" s="14" t="n"/>
      <c r="Z33" s="15" t="n"/>
      <c r="AA33" s="15" t="n"/>
      <c r="AB33" s="15" t="n"/>
      <c r="AC33" s="15" t="n"/>
    </row>
    <row r="34">
      <c r="A34" s="18" t="inlineStr">
        <is>
          <t>지급수수료</t>
        </is>
      </c>
      <c r="B34" s="10" t="inlineStr">
        <is>
          <t>고정비</t>
        </is>
      </c>
      <c r="C34" s="19" t="n"/>
      <c r="D34" s="20" t="n"/>
      <c r="E34" s="20" t="n"/>
      <c r="F34" s="20" t="n"/>
      <c r="G34" s="20" t="n"/>
      <c r="H34" s="20" t="n"/>
      <c r="I34" s="20" t="n"/>
      <c r="J34" s="20" t="n"/>
      <c r="K34" s="20" t="n"/>
      <c r="L34" s="20" t="n"/>
      <c r="M34" s="20" t="n"/>
      <c r="N34" s="20" t="n"/>
      <c r="O34" s="19" t="n"/>
      <c r="P34" s="20" t="n"/>
      <c r="Q34" s="20" t="n"/>
      <c r="R34" s="20" t="n"/>
      <c r="S34" s="20" t="n"/>
      <c r="T34" s="20" t="n"/>
      <c r="U34" s="20" t="n"/>
      <c r="V34" s="20" t="n"/>
      <c r="W34" s="20" t="n"/>
      <c r="X34" s="20" t="n"/>
      <c r="Y34" s="19" t="n"/>
      <c r="Z34" s="20" t="n"/>
      <c r="AA34" s="20" t="n"/>
      <c r="AB34" s="20" t="n"/>
      <c r="AC34" s="20" t="n"/>
    </row>
    <row r="35">
      <c r="A35" s="13" t="inlineStr">
        <is>
          <t>% of Sales</t>
        </is>
      </c>
      <c r="B35" s="10" t="n"/>
      <c r="C35" s="14" t="n"/>
      <c r="D35" s="15" t="n"/>
      <c r="E35" s="15" t="n"/>
      <c r="F35" s="15" t="n"/>
      <c r="G35" s="15" t="n"/>
      <c r="H35" s="15" t="n"/>
      <c r="I35" s="15" t="n"/>
      <c r="J35" s="15" t="n"/>
      <c r="K35" s="15" t="n"/>
      <c r="L35" s="15" t="n"/>
      <c r="M35" s="15" t="n"/>
      <c r="N35" s="15" t="n"/>
      <c r="O35" s="14">
        <f>IF(OR(O34="",O4=""),"",IFERROR(O34/O4,""))</f>
        <v/>
      </c>
      <c r="P35" s="15">
        <f>IF(OR(P34="",P4=""),"",IFERROR(P34/P4,""))</f>
        <v/>
      </c>
      <c r="Q35" s="15">
        <f>IF(OR(Q34="",Q4=""),"",IFERROR(Q34/Q4,""))</f>
        <v/>
      </c>
      <c r="R35" s="15">
        <f>IF(OR(R34="",R4=""),"",IFERROR(R34/R4,""))</f>
        <v/>
      </c>
      <c r="S35" s="15">
        <f>IF(OR(S34="",S4=""),"",IFERROR(S34/S4,""))</f>
        <v/>
      </c>
      <c r="T35" s="15">
        <f>IF(OR(T34="",T4=""),"",IFERROR(T34/T4,""))</f>
        <v/>
      </c>
      <c r="U35" s="15">
        <f>IF(OR(U34="",U4=""),"",IFERROR(U34/U4,""))</f>
        <v/>
      </c>
      <c r="V35" s="15">
        <f>IF(OR(V34="",V4=""),"",IFERROR(V34/V4,""))</f>
        <v/>
      </c>
      <c r="W35" s="15">
        <f>IF(OR(W34="",W4=""),"",IFERROR(W34/W4,""))</f>
        <v/>
      </c>
      <c r="X35" s="15">
        <f>IF(OR(X34="",X4=""),"",IFERROR(X34/X4,""))</f>
        <v/>
      </c>
      <c r="Y35" s="14" t="n"/>
      <c r="Z35" s="15" t="n"/>
      <c r="AA35" s="15" t="n"/>
      <c r="AB35" s="15" t="n"/>
      <c r="AC35" s="15" t="n"/>
    </row>
    <row r="36">
      <c r="A36" s="18" t="inlineStr">
        <is>
          <t>연구개발비</t>
        </is>
      </c>
      <c r="B36" s="10" t="inlineStr">
        <is>
          <t>변동비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기타비용</t>
        </is>
      </c>
      <c r="B38" s="10" t="inlineStr">
        <is>
          <t>변동비</t>
        </is>
      </c>
      <c r="C38" s="19" t="n"/>
      <c r="D38" s="20" t="n"/>
      <c r="E38" s="20" t="n"/>
      <c r="F38" s="20" t="n"/>
      <c r="G38" s="20" t="n"/>
      <c r="H38" s="20" t="n"/>
      <c r="I38" s="20" t="n"/>
      <c r="J38" s="20" t="n"/>
      <c r="K38" s="20" t="n"/>
      <c r="L38" s="20" t="n"/>
      <c r="M38" s="20" t="n"/>
      <c r="N38" s="20" t="n"/>
      <c r="O38" s="19">
        <f>IF(OR(O29="",O30="",O32="",O34="",O36=""),"",IFERROR(O29-O30-O32-O34-O36,""))</f>
        <v/>
      </c>
      <c r="P38" s="20">
        <f>IF(OR(P29="",P30="",P32="",P34="",P36=""),"",IFERROR(P29-P30-P32-P34-P36,""))</f>
        <v/>
      </c>
      <c r="Q38" s="20">
        <f>IF(OR(Q29="",Q30="",Q32="",Q34="",Q36=""),"",IFERROR(Q29-Q30-Q32-Q34-Q36,""))</f>
        <v/>
      </c>
      <c r="R38" s="20">
        <f>IF(OR(R29="",R30="",R32="",R34="",R36=""),"",IFERROR(R29-R30-R32-R34-R36,""))</f>
        <v/>
      </c>
      <c r="S38" s="20">
        <f>IF(OR(S29="",S30="",S32="",S34="",S36=""),"",IFERROR(S29-S30-S32-S34-S36,""))</f>
        <v/>
      </c>
      <c r="T38" s="20">
        <f>IF(OR(T29="",T30="",T32="",T34="",T36=""),"",IFERROR(T29-T30-T32-T34-T36,""))</f>
        <v/>
      </c>
      <c r="U38" s="20">
        <f>IF(OR(U29="",U30="",U32="",U34="",U36=""),"",IFERROR(U29-U30-U32-U34-U36,""))</f>
        <v/>
      </c>
      <c r="V38" s="20">
        <f>IF(OR(V29="",V30="",V32="",V34="",V36=""),"",IFERROR(V29-V30-V32-V34-V36,""))</f>
        <v/>
      </c>
      <c r="W38" s="20">
        <f>IF(OR(W29="",W30="",W32="",W34="",W36=""),"",IFERROR(W29-W30-W32-W34-W36,""))</f>
        <v/>
      </c>
      <c r="X38" s="20">
        <f>IF(OR(X29="",X30="",X32="",X34="",X36=""),"",IFERROR(X29-X30-X32-X34-X36,""))</f>
        <v/>
      </c>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6" t="inlineStr">
        <is>
          <t>당기순이익 추정</t>
        </is>
      </c>
      <c r="B40" s="16" t="n"/>
      <c r="C40" s="17" t="n"/>
      <c r="D40" s="16" t="n"/>
      <c r="E40" s="16" t="n"/>
      <c r="F40" s="16" t="n"/>
      <c r="G40" s="16" t="n"/>
      <c r="H40" s="16" t="n"/>
      <c r="I40" s="16" t="n"/>
      <c r="J40" s="16" t="n"/>
      <c r="K40" s="16" t="n"/>
      <c r="L40" s="16" t="n"/>
      <c r="M40" s="16" t="n"/>
      <c r="N40" s="16" t="n"/>
      <c r="O40" s="17" t="n"/>
      <c r="P40" s="16" t="n"/>
      <c r="Q40" s="16" t="n"/>
      <c r="R40" s="16" t="n"/>
      <c r="S40" s="16" t="n"/>
      <c r="T40" s="16" t="n"/>
      <c r="U40" s="16" t="n"/>
      <c r="V40" s="16" t="n"/>
      <c r="W40" s="16" t="n"/>
      <c r="X40" s="16" t="n"/>
      <c r="Y40" s="17" t="n"/>
      <c r="Z40" s="16" t="n"/>
      <c r="AA40" s="16" t="n"/>
      <c r="AB40" s="16" t="n"/>
      <c r="AC40" s="16" t="n"/>
    </row>
    <row r="41">
      <c r="A41" s="18" t="inlineStr">
        <is>
          <t>기타이익</t>
        </is>
      </c>
      <c r="B41" s="10" t="n"/>
      <c r="C41" s="19" t="n"/>
      <c r="D41" s="20" t="n"/>
      <c r="E41" s="20" t="n"/>
      <c r="F41" s="20" t="n"/>
      <c r="G41" s="20" t="n"/>
      <c r="H41" s="20" t="n"/>
      <c r="I41" s="20" t="n"/>
      <c r="J41" s="20" t="n"/>
      <c r="K41" s="20" t="n"/>
      <c r="L41" s="20" t="n"/>
      <c r="M41" s="20" t="n"/>
      <c r="N41" s="20" t="n"/>
      <c r="O41" s="19" t="n"/>
      <c r="P41" s="20" t="n"/>
      <c r="Q41" s="20" t="n"/>
      <c r="R41" s="20" t="n"/>
      <c r="S41" s="20" t="n"/>
      <c r="T41" s="20" t="n"/>
      <c r="U41" s="20" t="n"/>
      <c r="V41" s="20" t="n"/>
      <c r="W41" s="20" t="n"/>
      <c r="X41" s="20" t="n"/>
      <c r="Y41" s="19">
        <f>IF(OR(Y4="",Y42=""),"",IFERROR(Y4*Y42,""))</f>
        <v/>
      </c>
      <c r="Z41" s="20">
        <f>IF(OR(Z4="",Z42=""),"",IFERROR(Z4*Z42,""))</f>
        <v/>
      </c>
      <c r="AA41" s="20">
        <f>IF(OR(AA4="",AA42=""),"",IFERROR(AA4*AA42,""))</f>
        <v/>
      </c>
      <c r="AB41" s="20">
        <f>IF(OR(AB4="",AB42=""),"",IFERROR(AB4*AB42,""))</f>
        <v/>
      </c>
      <c r="AC41" s="20">
        <f>IF(OR(AC4="",AC42=""),"",IFERROR(AC4*AC42,""))</f>
        <v/>
      </c>
    </row>
    <row r="42">
      <c r="A42" s="13" t="inlineStr">
        <is>
          <t>% of Sales</t>
        </is>
      </c>
      <c r="B42" s="10" t="inlineStr">
        <is>
          <t>MW = 최근 3년 평균</t>
        </is>
      </c>
      <c r="C42" s="14">
        <f>IF(OR(C41="",C4=""),"",IFERROR(C41/C4,""))</f>
        <v/>
      </c>
      <c r="D42" s="15">
        <f>IF(OR(D41="",D4=""),"",IFERROR(D41/D4,""))</f>
        <v/>
      </c>
      <c r="E42" s="15">
        <f>IF(OR(E41="",E4=""),"",IFERROR(E41/E4,""))</f>
        <v/>
      </c>
      <c r="F42" s="15">
        <f>IF(OR(F41="",F4=""),"",IFERROR(F41/F4,""))</f>
        <v/>
      </c>
      <c r="G42" s="15">
        <f>IF(OR(G41="",G4=""),"",IFERROR(G41/G4,""))</f>
        <v/>
      </c>
      <c r="H42" s="15">
        <f>IF(OR(H41="",H4=""),"",IFERROR(H41/H4,""))</f>
        <v/>
      </c>
      <c r="I42" s="15">
        <f>IF(OR(I41="",I4=""),"",IFERROR(I41/I4,""))</f>
        <v/>
      </c>
      <c r="J42" s="15">
        <f>IF(OR(J41="",J4=""),"",IFERROR(J41/J4,""))</f>
        <v/>
      </c>
      <c r="K42" s="15">
        <f>IF(OR(K41="",K4=""),"",IFERROR(K41/K4,""))</f>
        <v/>
      </c>
      <c r="L42" s="15">
        <f>IF(OR(L41="",L4=""),"",IFERROR(L41/L4,""))</f>
        <v/>
      </c>
      <c r="M42" s="15">
        <f>IF(OR(M41="",M4=""),"",IFERROR(M41/M4,""))</f>
        <v/>
      </c>
      <c r="N42" s="15">
        <f>IF(OR(N41="",N4=""),"",IFERROR(N41/N4,""))</f>
        <v/>
      </c>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25">
        <f>IFERROR(AVERAGE(V42,W42,X42),"")</f>
        <v/>
      </c>
      <c r="Z42" s="26">
        <f>Y42</f>
        <v/>
      </c>
      <c r="AA42" s="26">
        <f>Z42</f>
        <v/>
      </c>
      <c r="AB42" s="26">
        <f>AA42</f>
        <v/>
      </c>
      <c r="AC42" s="26">
        <f>AB42</f>
        <v/>
      </c>
    </row>
    <row r="43">
      <c r="A43" s="18" t="inlineStr">
        <is>
          <t>기타손실</t>
        </is>
      </c>
      <c r="B43" s="10" t="n"/>
      <c r="C43" s="19" t="n"/>
      <c r="D43" s="20" t="n"/>
      <c r="E43" s="20" t="n"/>
      <c r="F43" s="20" t="n"/>
      <c r="G43" s="20" t="n"/>
      <c r="H43" s="20" t="n"/>
      <c r="I43" s="20" t="n"/>
      <c r="J43" s="20" t="n"/>
      <c r="K43" s="20" t="n"/>
      <c r="L43" s="20" t="n"/>
      <c r="M43" s="20" t="n"/>
      <c r="N43" s="20" t="n"/>
      <c r="O43" s="19" t="n"/>
      <c r="P43" s="20" t="n"/>
      <c r="Q43" s="20" t="n"/>
      <c r="R43" s="20" t="n"/>
      <c r="S43" s="20" t="n"/>
      <c r="T43" s="20" t="n"/>
      <c r="U43" s="20" t="n"/>
      <c r="V43" s="20" t="n"/>
      <c r="W43" s="20" t="n"/>
      <c r="X43" s="20" t="n"/>
      <c r="Y43" s="19">
        <f>IF(OR(Y4="",Y44=""),"",IFERROR(Y4*Y44,""))</f>
        <v/>
      </c>
      <c r="Z43" s="20">
        <f>IF(OR(Z4="",Z44=""),"",IFERROR(Z4*Z44,""))</f>
        <v/>
      </c>
      <c r="AA43" s="20">
        <f>IF(OR(AA4="",AA44=""),"",IFERROR(AA4*AA44,""))</f>
        <v/>
      </c>
      <c r="AB43" s="20">
        <f>IF(OR(AB4="",AB44=""),"",IFERROR(AB4*AB44,""))</f>
        <v/>
      </c>
      <c r="AC43" s="20">
        <f>IF(OR(AC4="",AC44=""),"",IFERROR(AC4*AC44,""))</f>
        <v/>
      </c>
    </row>
    <row r="44">
      <c r="A44" s="13" t="inlineStr">
        <is>
          <t>% of Sales</t>
        </is>
      </c>
      <c r="B44" s="10" t="n"/>
      <c r="C44" s="14">
        <f>IF(OR(C43="",C4=""),"",IFERROR(C43/C4,""))</f>
        <v/>
      </c>
      <c r="D44" s="15">
        <f>IF(OR(D43="",D4=""),"",IFERROR(D43/D4,""))</f>
        <v/>
      </c>
      <c r="E44" s="15">
        <f>IF(OR(E43="",E4=""),"",IFERROR(E43/E4,""))</f>
        <v/>
      </c>
      <c r="F44" s="15">
        <f>IF(OR(F43="",F4=""),"",IFERROR(F43/F4,""))</f>
        <v/>
      </c>
      <c r="G44" s="15">
        <f>IF(OR(G43="",G4=""),"",IFERROR(G43/G4,""))</f>
        <v/>
      </c>
      <c r="H44" s="15">
        <f>IF(OR(H43="",H4=""),"",IFERROR(H43/H4,""))</f>
        <v/>
      </c>
      <c r="I44" s="15">
        <f>IF(OR(I43="",I4=""),"",IFERROR(I43/I4,""))</f>
        <v/>
      </c>
      <c r="J44" s="15">
        <f>IF(OR(J43="",J4=""),"",IFERROR(J43/J4,""))</f>
        <v/>
      </c>
      <c r="K44" s="15">
        <f>IF(OR(K43="",K4=""),"",IFERROR(K43/K4,""))</f>
        <v/>
      </c>
      <c r="L44" s="15">
        <f>IF(OR(L43="",L4=""),"",IFERROR(L43/L4,""))</f>
        <v/>
      </c>
      <c r="M44" s="15">
        <f>IF(OR(M43="",M4=""),"",IFERROR(M43/M4,""))</f>
        <v/>
      </c>
      <c r="N44" s="15">
        <f>IF(OR(N43="",N4=""),"",IFERROR(N43/N4,""))</f>
        <v/>
      </c>
      <c r="O44" s="14">
        <f>IF(OR(O43="",O4=""),"",IFERROR(O43/O4,""))</f>
        <v/>
      </c>
      <c r="P44" s="15">
        <f>IF(OR(P43="",P4=""),"",IFERROR(P43/P4,""))</f>
        <v/>
      </c>
      <c r="Q44" s="15">
        <f>IF(OR(Q43="",Q4=""),"",IFERROR(Q43/Q4,""))</f>
        <v/>
      </c>
      <c r="R44" s="15">
        <f>IF(OR(R43="",R4=""),"",IFERROR(R43/R4,""))</f>
        <v/>
      </c>
      <c r="S44" s="15">
        <f>IF(OR(S43="",S4=""),"",IFERROR(S43/S4,""))</f>
        <v/>
      </c>
      <c r="T44" s="15">
        <f>IF(OR(T43="",T4=""),"",IFERROR(T43/T4,""))</f>
        <v/>
      </c>
      <c r="U44" s="15">
        <f>IF(OR(U43="",U4=""),"",IFERROR(U43/U4,""))</f>
        <v/>
      </c>
      <c r="V44" s="15">
        <f>IF(OR(V43="",V4=""),"",IFERROR(V43/V4,""))</f>
        <v/>
      </c>
      <c r="W44" s="15">
        <f>IF(OR(W43="",W4=""),"",IFERROR(W43/W4,""))</f>
        <v/>
      </c>
      <c r="X44" s="15">
        <f>IF(OR(X43="",X4=""),"",IFERROR(X43/X4,""))</f>
        <v/>
      </c>
      <c r="Y44" s="25">
        <f>IFERROR(AVERAGE(V44,W44,X44),"")</f>
        <v/>
      </c>
      <c r="Z44" s="26">
        <f>Y44</f>
        <v/>
      </c>
      <c r="AA44" s="26">
        <f>Z44</f>
        <v/>
      </c>
      <c r="AB44" s="26">
        <f>AA44</f>
        <v/>
      </c>
      <c r="AC44" s="26">
        <f>AB44</f>
        <v/>
      </c>
    </row>
    <row r="45">
      <c r="A45" s="18" t="inlineStr">
        <is>
          <t>금융수익</t>
        </is>
      </c>
      <c r="B45" s="10" t="n"/>
      <c r="C45" s="19" t="n">
        <v>-881</v>
      </c>
      <c r="D45" s="20" t="n">
        <v>2970</v>
      </c>
      <c r="E45" s="20" t="n">
        <v>5585</v>
      </c>
      <c r="F45" s="20" t="n">
        <v>-1014</v>
      </c>
      <c r="G45" s="20" t="n">
        <v>4825</v>
      </c>
      <c r="H45" s="20" t="n">
        <v>560</v>
      </c>
      <c r="I45" s="20" t="n">
        <v>3302</v>
      </c>
      <c r="J45" s="20" t="n">
        <v>2888</v>
      </c>
      <c r="K45" s="20" t="n">
        <v>33061</v>
      </c>
      <c r="L45" s="20" t="n">
        <v>13698</v>
      </c>
      <c r="M45" s="20" t="n">
        <v>4263</v>
      </c>
      <c r="N45" s="20" t="n">
        <v>5220</v>
      </c>
      <c r="O45" s="19" t="n"/>
      <c r="P45" s="20" t="n">
        <v>29553</v>
      </c>
      <c r="Q45" s="20" t="n">
        <v>21989</v>
      </c>
      <c r="R45" s="20" t="n">
        <v>8477</v>
      </c>
      <c r="S45" s="20" t="n">
        <v>9691</v>
      </c>
      <c r="T45" s="20" t="n">
        <v>17894</v>
      </c>
      <c r="U45" s="20" t="n">
        <v>10899</v>
      </c>
      <c r="V45" s="20" t="n">
        <v>9804</v>
      </c>
      <c r="W45" s="20" t="n">
        <v>9956</v>
      </c>
      <c r="X45" s="20" t="n">
        <v>52949</v>
      </c>
      <c r="Y45" s="19">
        <f>IF(OR(Y4="",Y46=""),"",IFERROR(Y4*Y46,""))</f>
        <v/>
      </c>
      <c r="Z45" s="20">
        <f>IF(OR(Z4="",Z46=""),"",IFERROR(Z4*Z46,""))</f>
        <v/>
      </c>
      <c r="AA45" s="20">
        <f>IF(OR(AA4="",AA46=""),"",IFERROR(AA4*AA46,""))</f>
        <v/>
      </c>
      <c r="AB45" s="20">
        <f>IF(OR(AB4="",AB46=""),"",IFERROR(AB4*AB46,""))</f>
        <v/>
      </c>
      <c r="AC45" s="20">
        <f>IF(OR(AC4="",AC46=""),"",IFERROR(AC4*AC46,""))</f>
        <v/>
      </c>
    </row>
    <row r="46">
      <c r="A46" s="13" t="inlineStr">
        <is>
          <t>% of Sales</t>
        </is>
      </c>
      <c r="B46" s="10" t="n"/>
      <c r="C46" s="14">
        <f>IF(OR(C45="",C4=""),"",IFERROR(C45/C4,""))</f>
        <v/>
      </c>
      <c r="D46" s="15">
        <f>IF(OR(D45="",D4=""),"",IFERROR(D45/D4,""))</f>
        <v/>
      </c>
      <c r="E46" s="15">
        <f>IF(OR(E45="",E4=""),"",IFERROR(E45/E4,""))</f>
        <v/>
      </c>
      <c r="F46" s="15">
        <f>IF(OR(F45="",F4=""),"",IFERROR(F45/F4,""))</f>
        <v/>
      </c>
      <c r="G46" s="15">
        <f>IF(OR(G45="",G4=""),"",IFERROR(G45/G4,""))</f>
        <v/>
      </c>
      <c r="H46" s="15">
        <f>IF(OR(H45="",H4=""),"",IFERROR(H45/H4,""))</f>
        <v/>
      </c>
      <c r="I46" s="15">
        <f>IF(OR(I45="",I4=""),"",IFERROR(I45/I4,""))</f>
        <v/>
      </c>
      <c r="J46" s="15">
        <f>IF(OR(J45="",J4=""),"",IFERROR(J45/J4,""))</f>
        <v/>
      </c>
      <c r="K46" s="15">
        <f>IF(OR(K45="",K4=""),"",IFERROR(K45/K4,""))</f>
        <v/>
      </c>
      <c r="L46" s="15">
        <f>IF(OR(L45="",L4=""),"",IFERROR(L45/L4,""))</f>
        <v/>
      </c>
      <c r="M46" s="15">
        <f>IF(OR(M45="",M4=""),"",IFERROR(M45/M4,""))</f>
        <v/>
      </c>
      <c r="N46" s="15">
        <f>IF(OR(N45="",N4=""),"",IFERROR(N45/N4,""))</f>
        <v/>
      </c>
      <c r="O46" s="14">
        <f>IF(OR(O45="",O4=""),"",IFERROR(O45/O4,""))</f>
        <v/>
      </c>
      <c r="P46" s="15">
        <f>IF(OR(P45="",P4=""),"",IFERROR(P45/P4,""))</f>
        <v/>
      </c>
      <c r="Q46" s="15">
        <f>IF(OR(Q45="",Q4=""),"",IFERROR(Q45/Q4,""))</f>
        <v/>
      </c>
      <c r="R46" s="15">
        <f>IF(OR(R45="",R4=""),"",IFERROR(R45/R4,""))</f>
        <v/>
      </c>
      <c r="S46" s="15">
        <f>IF(OR(S45="",S4=""),"",IFERROR(S45/S4,""))</f>
        <v/>
      </c>
      <c r="T46" s="15">
        <f>IF(OR(T45="",T4=""),"",IFERROR(T45/T4,""))</f>
        <v/>
      </c>
      <c r="U46" s="15">
        <f>IF(OR(U45="",U4=""),"",IFERROR(U45/U4,""))</f>
        <v/>
      </c>
      <c r="V46" s="15">
        <f>IF(OR(V45="",V4=""),"",IFERROR(V45/V4,""))</f>
        <v/>
      </c>
      <c r="W46" s="15">
        <f>IF(OR(W45="",W4=""),"",IFERROR(W45/W4,""))</f>
        <v/>
      </c>
      <c r="X46" s="15">
        <f>IF(OR(X45="",X4=""),"",IFERROR(X45/X4,""))</f>
        <v/>
      </c>
      <c r="Y46" s="25">
        <f>IFERROR(AVERAGE(V46,W46,X46),"")</f>
        <v/>
      </c>
      <c r="Z46" s="26">
        <f>Y46</f>
        <v/>
      </c>
      <c r="AA46" s="26">
        <f>Z46</f>
        <v/>
      </c>
      <c r="AB46" s="26">
        <f>AA46</f>
        <v/>
      </c>
      <c r="AC46" s="26">
        <f>AB46</f>
        <v/>
      </c>
    </row>
    <row r="47">
      <c r="A47" s="18" t="inlineStr">
        <is>
          <t>금융원가</t>
        </is>
      </c>
      <c r="B47" s="10" t="n"/>
      <c r="C47" s="19" t="n">
        <v>6579</v>
      </c>
      <c r="D47" s="20" t="n">
        <v>5398</v>
      </c>
      <c r="E47" s="20" t="n">
        <v>3667</v>
      </c>
      <c r="F47" s="20" t="n">
        <v>7062</v>
      </c>
      <c r="G47" s="20" t="n">
        <v>-933</v>
      </c>
      <c r="H47" s="20" t="n">
        <v>6783</v>
      </c>
      <c r="I47" s="20" t="n">
        <v>7660</v>
      </c>
      <c r="J47" s="20" t="n">
        <v>3261</v>
      </c>
      <c r="K47" s="20" t="n">
        <v>-1462</v>
      </c>
      <c r="L47" s="20" t="n">
        <v>8709</v>
      </c>
      <c r="M47" s="20" t="n">
        <v>6720</v>
      </c>
      <c r="N47" s="20" t="n">
        <v>7089</v>
      </c>
      <c r="O47" s="19" t="n"/>
      <c r="P47" s="20" t="n">
        <v>11568</v>
      </c>
      <c r="Q47" s="20" t="n">
        <v>8377</v>
      </c>
      <c r="R47" s="20" t="n">
        <v>15464</v>
      </c>
      <c r="S47" s="20" t="n">
        <v>10613</v>
      </c>
      <c r="T47" s="20" t="n">
        <v>11367</v>
      </c>
      <c r="U47" s="20" t="n">
        <v>17624</v>
      </c>
      <c r="V47" s="20" t="n">
        <v>18072</v>
      </c>
      <c r="W47" s="20" t="n">
        <v>16579</v>
      </c>
      <c r="X47" s="20" t="n">
        <v>18168</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n"/>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9" t="inlineStr">
        <is>
          <t>법인세비용차감전순이익(손실)</t>
        </is>
      </c>
      <c r="B49" s="10" t="n"/>
      <c r="C49" s="11" t="n">
        <v>36177</v>
      </c>
      <c r="D49" s="12" t="n">
        <v>116857</v>
      </c>
      <c r="E49" s="12" t="n">
        <v>-3323</v>
      </c>
      <c r="F49" s="12" t="n">
        <v>30000</v>
      </c>
      <c r="G49" s="12" t="n">
        <v>87652</v>
      </c>
      <c r="H49" s="12" t="n">
        <v>125442</v>
      </c>
      <c r="I49" s="12" t="n">
        <v>32103</v>
      </c>
      <c r="J49" s="12" t="n">
        <v>83331</v>
      </c>
      <c r="K49" s="12" t="n">
        <v>101337</v>
      </c>
      <c r="L49" s="12" t="n">
        <v>181404</v>
      </c>
      <c r="M49" s="12" t="n">
        <v>56529</v>
      </c>
      <c r="N49" s="12" t="n">
        <v>85669</v>
      </c>
      <c r="O49" s="11" t="n"/>
      <c r="P49" s="12" t="n">
        <v>86941</v>
      </c>
      <c r="Q49" s="12" t="n">
        <v>77308</v>
      </c>
      <c r="R49" s="12" t="n">
        <v>123969</v>
      </c>
      <c r="S49" s="12" t="n">
        <v>157831</v>
      </c>
      <c r="T49" s="12" t="n">
        <v>144436</v>
      </c>
      <c r="U49" s="12" t="n">
        <v>167671</v>
      </c>
      <c r="V49" s="12" t="n">
        <v>185011</v>
      </c>
      <c r="W49" s="12" t="n">
        <v>239771</v>
      </c>
      <c r="X49" s="12" t="n">
        <v>398175</v>
      </c>
      <c r="Y49" s="11">
        <f>IF(OR(Y25=""),"",IFERROR(Y25+N(Y41)-N(Y43)+N(Y45)-N(Y47),""))</f>
        <v/>
      </c>
      <c r="Z49" s="12">
        <f>IF(OR(Z25=""),"",IFERROR(Z25+N(Z41)-N(Z43)+N(Z45)-N(Z47),""))</f>
        <v/>
      </c>
      <c r="AA49" s="12">
        <f>IF(OR(AA25=""),"",IFERROR(AA25+N(AA41)-N(AA43)+N(AA45)-N(AA47),""))</f>
        <v/>
      </c>
      <c r="AB49" s="12">
        <f>IF(OR(AB25=""),"",IFERROR(AB25+N(AB41)-N(AB43)+N(AB45)-N(AB47),""))</f>
        <v/>
      </c>
      <c r="AC49" s="12">
        <f>IF(OR(AC25=""),"",IFERROR(AC25+N(AC41)-N(AC43)+N(AC45)-N(AC47),""))</f>
        <v/>
      </c>
    </row>
    <row r="50">
      <c r="A50" s="13" t="inlineStr">
        <is>
          <t>YoY</t>
        </is>
      </c>
      <c r="B50" s="10" t="n"/>
      <c r="C50" s="14" t="n"/>
      <c r="D50" s="15" t="n"/>
      <c r="E50" s="15" t="n"/>
      <c r="F50" s="15" t="n"/>
      <c r="G50" s="15">
        <f>IF(OR(G49="",C49=""),"",IF(C49&lt;=0,"",IFERROR(G49/C49-1,"")))</f>
        <v/>
      </c>
      <c r="H50" s="15">
        <f>IF(OR(H49="",D49=""),"",IF(D49&lt;=0,"",IFERROR(H49/D49-1,"")))</f>
        <v/>
      </c>
      <c r="I50" s="15">
        <f>IF(OR(I49="",E49=""),"",IF(E49&lt;=0,"",IFERROR(I49/E49-1,"")))</f>
        <v/>
      </c>
      <c r="J50" s="15">
        <f>IF(OR(J49="",F49=""),"",IF(F49&lt;=0,"",IFERROR(J49/F49-1,"")))</f>
        <v/>
      </c>
      <c r="K50" s="15">
        <f>IF(OR(K49="",G49=""),"",IF(G49&lt;=0,"",IFERROR(K49/G49-1,"")))</f>
        <v/>
      </c>
      <c r="L50" s="15">
        <f>IF(OR(L49="",H49=""),"",IF(H49&lt;=0,"",IFERROR(L49/H49-1,"")))</f>
        <v/>
      </c>
      <c r="M50" s="15">
        <f>IF(OR(M49="",I49=""),"",IF(I49&lt;=0,"",IFERROR(M49/I49-1,"")))</f>
        <v/>
      </c>
      <c r="N50" s="15">
        <f>IF(OR(N49="",J49=""),"",IF(J49&lt;=0,"",IFERROR(N49/J49-1,"")))</f>
        <v/>
      </c>
      <c r="O50" s="14" t="n"/>
      <c r="P50" s="15">
        <f>IF(OR(P49="",O49=""),"",IF(O49&lt;=0,"",IFERROR(P49/O49-1,"")))</f>
        <v/>
      </c>
      <c r="Q50" s="15">
        <f>IF(OR(Q49="",P49=""),"",IF(P49&lt;=0,"",IFERROR(Q49/P49-1,"")))</f>
        <v/>
      </c>
      <c r="R50" s="15">
        <f>IF(OR(R49="",Q49=""),"",IF(Q49&lt;=0,"",IFERROR(R49/Q49-1,"")))</f>
        <v/>
      </c>
      <c r="S50" s="15">
        <f>IF(OR(S49="",R49=""),"",IF(R49&lt;=0,"",IFERROR(S49/R49-1,"")))</f>
        <v/>
      </c>
      <c r="T50" s="15">
        <f>IF(OR(T49="",S49=""),"",IF(S49&lt;=0,"",IFERROR(T49/S49-1,"")))</f>
        <v/>
      </c>
      <c r="U50" s="15">
        <f>IF(OR(U49="",T49=""),"",IF(T49&lt;=0,"",IFERROR(U49/T49-1,"")))</f>
        <v/>
      </c>
      <c r="V50" s="15">
        <f>IF(OR(V49="",U49=""),"",IF(U49&lt;=0,"",IFERROR(V49/U49-1,"")))</f>
        <v/>
      </c>
      <c r="W50" s="15">
        <f>IF(OR(W49="",V49=""),"",IF(V49&lt;=0,"",IFERROR(W49/V49-1,"")))</f>
        <v/>
      </c>
      <c r="X50" s="15">
        <f>IF(OR(X49="",W49=""),"",IF(W49&lt;=0,"",IFERROR(X49/W49-1,"")))</f>
        <v/>
      </c>
      <c r="Y50" s="14">
        <f>IF(OR(Y49="",X49=""),"",IF(X49&lt;=0,"",IFERROR(Y49/X49-1,"")))</f>
        <v/>
      </c>
      <c r="Z50" s="15">
        <f>IF(OR(Z49="",Y49=""),"",IF(Y49&lt;=0,"",IFERROR(Z49/Y49-1,"")))</f>
        <v/>
      </c>
      <c r="AA50" s="15">
        <f>IF(OR(AA49="",Z49=""),"",IF(Z49&lt;=0,"",IFERROR(AA49/Z49-1,"")))</f>
        <v/>
      </c>
      <c r="AB50" s="15">
        <f>IF(OR(AB49="",AA49=""),"",IF(AA49&lt;=0,"",IFERROR(AB49/AA49-1,"")))</f>
        <v/>
      </c>
      <c r="AC50" s="15">
        <f>IF(OR(AC49="",AB49=""),"",IF(AB49&lt;=0,"",IFERROR(AC49/AB49-1,"")))</f>
        <v/>
      </c>
    </row>
    <row r="51">
      <c r="A51" s="18" t="inlineStr">
        <is>
          <t>법인세비용(수익)</t>
        </is>
      </c>
      <c r="B51" s="10" t="n"/>
      <c r="C51" s="19" t="n">
        <v>11226</v>
      </c>
      <c r="D51" s="20" t="n">
        <v>-5153</v>
      </c>
      <c r="E51" s="20" t="n">
        <v>2716</v>
      </c>
      <c r="F51" s="20" t="n">
        <v>9113</v>
      </c>
      <c r="G51" s="20" t="n">
        <v>26371</v>
      </c>
      <c r="H51" s="20" t="n">
        <v>16907</v>
      </c>
      <c r="I51" s="20" t="n">
        <v>12647</v>
      </c>
      <c r="J51" s="20" t="n">
        <v>29173</v>
      </c>
      <c r="K51" s="20" t="n">
        <v>30936</v>
      </c>
      <c r="L51" s="20" t="n">
        <v>52095</v>
      </c>
      <c r="M51" s="20" t="n">
        <v>6552</v>
      </c>
      <c r="N51" s="20" t="n">
        <v>17986</v>
      </c>
      <c r="O51" s="19" t="n"/>
      <c r="P51" s="20" t="n">
        <v>26784</v>
      </c>
      <c r="Q51" s="20" t="n">
        <v>25378</v>
      </c>
      <c r="R51" s="20" t="n">
        <v>11250</v>
      </c>
      <c r="S51" s="20" t="n">
        <v>-4035</v>
      </c>
      <c r="T51" s="20" t="n">
        <v>-12267</v>
      </c>
      <c r="U51" s="20" t="n">
        <v>36155</v>
      </c>
      <c r="V51" s="20" t="n">
        <v>20259</v>
      </c>
      <c r="W51" s="20" t="n">
        <v>55107</v>
      </c>
      <c r="X51" s="20" t="n">
        <v>124851</v>
      </c>
      <c r="Y51" s="19">
        <f>IF(OR(Y49="",Y52=""),"",IFERROR(MAX(Y49,0)*Y52,""))</f>
        <v/>
      </c>
      <c r="Z51" s="20">
        <f>IF(OR(Z49="",Z52=""),"",IFERROR(MAX(Z49,0)*Z52,""))</f>
        <v/>
      </c>
      <c r="AA51" s="20">
        <f>IF(OR(AA49="",AA52=""),"",IFERROR(MAX(AA49,0)*AA52,""))</f>
        <v/>
      </c>
      <c r="AB51" s="20">
        <f>IF(OR(AB49="",AB52=""),"",IFERROR(MAX(AB49,0)*AB52,""))</f>
        <v/>
      </c>
      <c r="AC51" s="20">
        <f>IF(OR(AC49="",AC52=""),"",IFERROR(MAX(AC49,0)*AC52,""))</f>
        <v/>
      </c>
    </row>
    <row r="52">
      <c r="A52" s="13" t="inlineStr">
        <is>
          <t>법인세율</t>
        </is>
      </c>
      <c r="B52" s="10" t="inlineStr">
        <is>
          <t>MW 기본 30%</t>
        </is>
      </c>
      <c r="C52" s="14">
        <f>IF(OR(C51="",C49=""),"",IFERROR(C51/C49,""))</f>
        <v/>
      </c>
      <c r="D52" s="15">
        <f>IF(OR(D51="",D49=""),"",IFERROR(D51/D49,""))</f>
        <v/>
      </c>
      <c r="E52" s="15">
        <f>IF(OR(E51="",E49=""),"",IFERROR(E51/E49,""))</f>
        <v/>
      </c>
      <c r="F52" s="15">
        <f>IF(OR(F51="",F49=""),"",IFERROR(F51/F49,""))</f>
        <v/>
      </c>
      <c r="G52" s="15">
        <f>IF(OR(G51="",G49=""),"",IFERROR(G51/G49,""))</f>
        <v/>
      </c>
      <c r="H52" s="15">
        <f>IF(OR(H51="",H49=""),"",IFERROR(H51/H49,""))</f>
        <v/>
      </c>
      <c r="I52" s="15">
        <f>IF(OR(I51="",I49=""),"",IFERROR(I51/I49,""))</f>
        <v/>
      </c>
      <c r="J52" s="15">
        <f>IF(OR(J51="",J49=""),"",IFERROR(J51/J49,""))</f>
        <v/>
      </c>
      <c r="K52" s="15">
        <f>IF(OR(K51="",K49=""),"",IFERROR(K51/K49,""))</f>
        <v/>
      </c>
      <c r="L52" s="15">
        <f>IF(OR(L51="",L49=""),"",IFERROR(L51/L49,""))</f>
        <v/>
      </c>
      <c r="M52" s="15">
        <f>IF(OR(M51="",M49=""),"",IFERROR(M51/M49,""))</f>
        <v/>
      </c>
      <c r="N52" s="15">
        <f>IF(OR(N51="",N49=""),"",IFERROR(N51/N49,""))</f>
        <v/>
      </c>
      <c r="O52" s="14">
        <f>IF(OR(O51="",O49=""),"",IFERROR(O51/O49,""))</f>
        <v/>
      </c>
      <c r="P52" s="15">
        <f>IF(OR(P51="",P49=""),"",IFERROR(P51/P49,""))</f>
        <v/>
      </c>
      <c r="Q52" s="15">
        <f>IF(OR(Q51="",Q49=""),"",IFERROR(Q51/Q49,""))</f>
        <v/>
      </c>
      <c r="R52" s="15">
        <f>IF(OR(R51="",R49=""),"",IFERROR(R51/R49,""))</f>
        <v/>
      </c>
      <c r="S52" s="15">
        <f>IF(OR(S51="",S49=""),"",IFERROR(S51/S49,""))</f>
        <v/>
      </c>
      <c r="T52" s="15">
        <f>IF(OR(T51="",T49=""),"",IFERROR(T51/T49,""))</f>
        <v/>
      </c>
      <c r="U52" s="15">
        <f>IF(OR(U51="",U49=""),"",IFERROR(U51/U49,""))</f>
        <v/>
      </c>
      <c r="V52" s="15">
        <f>IF(OR(V51="",V49=""),"",IFERROR(V51/V49,""))</f>
        <v/>
      </c>
      <c r="W52" s="15">
        <f>IF(OR(W51="",W49=""),"",IFERROR(W51/W49,""))</f>
        <v/>
      </c>
      <c r="X52" s="15">
        <f>IF(OR(X51="",X49=""),"",IFERROR(X51/X49,""))</f>
        <v/>
      </c>
      <c r="Y52" s="25" t="n">
        <v>0.3</v>
      </c>
      <c r="Z52" s="26" t="n">
        <v>0.3</v>
      </c>
      <c r="AA52" s="26" t="n">
        <v>0.3</v>
      </c>
      <c r="AB52" s="26" t="n">
        <v>0.3</v>
      </c>
      <c r="AC52" s="26" t="n">
        <v>0.3</v>
      </c>
    </row>
    <row r="53">
      <c r="A53" s="9" t="inlineStr">
        <is>
          <t>당기순이익(손실)</t>
        </is>
      </c>
      <c r="B53" s="10" t="n"/>
      <c r="C53" s="11" t="n">
        <v>24951</v>
      </c>
      <c r="D53" s="12" t="n">
        <v>122010</v>
      </c>
      <c r="E53" s="12" t="n">
        <v>-6039</v>
      </c>
      <c r="F53" s="12" t="n">
        <v>20887</v>
      </c>
      <c r="G53" s="12" t="n">
        <v>61281</v>
      </c>
      <c r="H53" s="12" t="n">
        <v>108535</v>
      </c>
      <c r="I53" s="12" t="n">
        <v>19456</v>
      </c>
      <c r="J53" s="12" t="n">
        <v>54158</v>
      </c>
      <c r="K53" s="12" t="n">
        <v>70401</v>
      </c>
      <c r="L53" s="12" t="n">
        <v>129309</v>
      </c>
      <c r="M53" s="12" t="n">
        <v>49977</v>
      </c>
      <c r="N53" s="12" t="n">
        <v>67683</v>
      </c>
      <c r="O53" s="11" t="n"/>
      <c r="P53" s="12" t="n">
        <v>60157</v>
      </c>
      <c r="Q53" s="12" t="n">
        <v>51930</v>
      </c>
      <c r="R53" s="12" t="n">
        <v>112719</v>
      </c>
      <c r="S53" s="12" t="n">
        <v>161866</v>
      </c>
      <c r="T53" s="12" t="n">
        <v>156703</v>
      </c>
      <c r="U53" s="12" t="n">
        <v>131516</v>
      </c>
      <c r="V53" s="12" t="n">
        <v>164752</v>
      </c>
      <c r="W53" s="12" t="n">
        <v>184664</v>
      </c>
      <c r="X53" s="12" t="n">
        <v>273324</v>
      </c>
      <c r="Y53" s="11">
        <f>IF(OR(Y49=""),"",IFERROR(Y49-Y51,""))</f>
        <v/>
      </c>
      <c r="Z53" s="12">
        <f>IF(OR(Z49=""),"",IFERROR(Z49-Z51,""))</f>
        <v/>
      </c>
      <c r="AA53" s="12">
        <f>IF(OR(AA49=""),"",IFERROR(AA49-AA51,""))</f>
        <v/>
      </c>
      <c r="AB53" s="12">
        <f>IF(OR(AB49=""),"",IFERROR(AB49-AB51,""))</f>
        <v/>
      </c>
      <c r="AC53" s="12">
        <f>IF(OR(AC49=""),"",IFERROR(AC49-AC51,""))</f>
        <v/>
      </c>
    </row>
    <row r="54">
      <c r="A54" s="13" t="inlineStr">
        <is>
          <t>YoY</t>
        </is>
      </c>
      <c r="B54" s="10" t="n"/>
      <c r="C54" s="14" t="n"/>
      <c r="D54" s="15" t="n"/>
      <c r="E54" s="15" t="n"/>
      <c r="F54" s="15" t="n"/>
      <c r="G54" s="15">
        <f>IF(OR(G53="",C53=""),"",IF(C53&lt;=0,"",IFERROR(G53/C53-1,"")))</f>
        <v/>
      </c>
      <c r="H54" s="15">
        <f>IF(OR(H53="",D53=""),"",IF(D53&lt;=0,"",IFERROR(H53/D53-1,"")))</f>
        <v/>
      </c>
      <c r="I54" s="15">
        <f>IF(OR(I53="",E53=""),"",IF(E53&lt;=0,"",IFERROR(I53/E53-1,"")))</f>
        <v/>
      </c>
      <c r="J54" s="15">
        <f>IF(OR(J53="",F53=""),"",IF(F53&lt;=0,"",IFERROR(J53/F53-1,"")))</f>
        <v/>
      </c>
      <c r="K54" s="15">
        <f>IF(OR(K53="",G53=""),"",IF(G53&lt;=0,"",IFERROR(K53/G53-1,"")))</f>
        <v/>
      </c>
      <c r="L54" s="15">
        <f>IF(OR(L53="",H53=""),"",IF(H53&lt;=0,"",IFERROR(L53/H53-1,"")))</f>
        <v/>
      </c>
      <c r="M54" s="15">
        <f>IF(OR(M53="",I53=""),"",IF(I53&lt;=0,"",IFERROR(M53/I53-1,"")))</f>
        <v/>
      </c>
      <c r="N54" s="15">
        <f>IF(OR(N53="",J53=""),"",IF(J53&lt;=0,"",IFERROR(N53/J53-1,"")))</f>
        <v/>
      </c>
      <c r="O54" s="14" t="n"/>
      <c r="P54" s="15">
        <f>IF(OR(P53="",O53=""),"",IF(O53&lt;=0,"",IFERROR(P53/O53-1,"")))</f>
        <v/>
      </c>
      <c r="Q54" s="15">
        <f>IF(OR(Q53="",P53=""),"",IF(P53&lt;=0,"",IFERROR(Q53/P53-1,"")))</f>
        <v/>
      </c>
      <c r="R54" s="15">
        <f>IF(OR(R53="",Q53=""),"",IF(Q53&lt;=0,"",IFERROR(R53/Q53-1,"")))</f>
        <v/>
      </c>
      <c r="S54" s="15">
        <f>IF(OR(S53="",R53=""),"",IF(R53&lt;=0,"",IFERROR(S53/R53-1,"")))</f>
        <v/>
      </c>
      <c r="T54" s="15">
        <f>IF(OR(T53="",S53=""),"",IF(S53&lt;=0,"",IFERROR(T53/S53-1,"")))</f>
        <v/>
      </c>
      <c r="U54" s="15">
        <f>IF(OR(U53="",T53=""),"",IF(T53&lt;=0,"",IFERROR(U53/T53-1,"")))</f>
        <v/>
      </c>
      <c r="V54" s="15">
        <f>IF(OR(V53="",U53=""),"",IF(U53&lt;=0,"",IFERROR(V53/U53-1,"")))</f>
        <v/>
      </c>
      <c r="W54" s="15">
        <f>IF(OR(W53="",V53=""),"",IF(V53&lt;=0,"",IFERROR(W53/V53-1,"")))</f>
        <v/>
      </c>
      <c r="X54" s="15">
        <f>IF(OR(X53="",W53=""),"",IF(W53&lt;=0,"",IFERROR(X53/W53-1,"")))</f>
        <v/>
      </c>
      <c r="Y54" s="14">
        <f>IF(OR(Y53="",X53=""),"",IF(X53&lt;=0,"",IFERROR(Y53/X53-1,"")))</f>
        <v/>
      </c>
      <c r="Z54" s="15">
        <f>IF(OR(Z53="",Y53=""),"",IF(Y53&lt;=0,"",IFERROR(Z53/Y53-1,"")))</f>
        <v/>
      </c>
      <c r="AA54" s="15">
        <f>IF(OR(AA53="",Z53=""),"",IF(Z53&lt;=0,"",IFERROR(AA53/Z53-1,"")))</f>
        <v/>
      </c>
      <c r="AB54" s="15">
        <f>IF(OR(AB53="",AA53=""),"",IF(AA53&lt;=0,"",IFERROR(AB53/AA53-1,"")))</f>
        <v/>
      </c>
      <c r="AC54" s="15">
        <f>IF(OR(AC53="",AB53=""),"",IF(AB53&lt;=0,"",IFERROR(AC53/AB53-1,"")))</f>
        <v/>
      </c>
    </row>
    <row r="55">
      <c r="A55" s="9" t="inlineStr">
        <is>
          <t>지배주주 순이익</t>
        </is>
      </c>
      <c r="B55" s="10" t="n"/>
      <c r="C55" s="11" t="n">
        <v>21126</v>
      </c>
      <c r="D55" s="12" t="n">
        <v>115481</v>
      </c>
      <c r="E55" s="12" t="n">
        <v>-5836</v>
      </c>
      <c r="F55" s="12" t="n">
        <v>19296</v>
      </c>
      <c r="G55" s="12" t="n">
        <v>58094</v>
      </c>
      <c r="H55" s="12" t="n">
        <v>103629</v>
      </c>
      <c r="I55" s="12" t="n">
        <v>19310</v>
      </c>
      <c r="J55" s="12" t="n">
        <v>53520</v>
      </c>
      <c r="K55" s="12" t="n">
        <v>69448</v>
      </c>
      <c r="L55" s="12" t="n">
        <v>127950</v>
      </c>
      <c r="M55" s="12" t="n">
        <v>49698</v>
      </c>
      <c r="N55" s="12" t="n">
        <v>66741</v>
      </c>
      <c r="O55" s="11" t="n"/>
      <c r="P55" s="12" t="n">
        <v>45870</v>
      </c>
      <c r="Q55" s="12" t="n">
        <v>39675</v>
      </c>
      <c r="R55" s="12" t="n">
        <v>99967</v>
      </c>
      <c r="S55" s="12" t="n">
        <v>149606</v>
      </c>
      <c r="T55" s="12" t="n">
        <v>141277</v>
      </c>
      <c r="U55" s="12" t="n">
        <v>114500</v>
      </c>
      <c r="V55" s="12" t="n">
        <v>149521</v>
      </c>
      <c r="W55" s="12" t="n">
        <v>175183</v>
      </c>
      <c r="X55" s="12" t="n">
        <v>270228</v>
      </c>
      <c r="Y55" s="11">
        <f>IF(OR(Y53="",Y56=""),"",IFERROR(Y53*Y56,""))</f>
        <v/>
      </c>
      <c r="Z55" s="12">
        <f>IF(OR(Z53="",Z56=""),"",IFERROR(Z53*Z56,""))</f>
        <v/>
      </c>
      <c r="AA55" s="12">
        <f>IF(OR(AA53="",AA56=""),"",IFERROR(AA53*AA56,""))</f>
        <v/>
      </c>
      <c r="AB55" s="12">
        <f>IF(OR(AB53="",AB56=""),"",IFERROR(AB53*AB56,""))</f>
        <v/>
      </c>
      <c r="AC55" s="12">
        <f>IF(OR(AC53="",AC56=""),"",IFERROR(AC53*AC56,""))</f>
        <v/>
      </c>
    </row>
    <row r="56">
      <c r="A56" s="13" t="inlineStr">
        <is>
          <t>지배주주 순이익률</t>
        </is>
      </c>
      <c r="B56" s="10" t="inlineStr">
        <is>
          <t>MW 기본 100%</t>
        </is>
      </c>
      <c r="C56" s="14">
        <f>IF(OR(C55="",C53=""),"",IFERROR(C55/C53,""))</f>
        <v/>
      </c>
      <c r="D56" s="15">
        <f>IF(OR(D55="",D53=""),"",IFERROR(D55/D53,""))</f>
        <v/>
      </c>
      <c r="E56" s="15">
        <f>IF(OR(E55="",E53=""),"",IFERROR(E55/E53,""))</f>
        <v/>
      </c>
      <c r="F56" s="15">
        <f>IF(OR(F55="",F53=""),"",IFERROR(F55/F53,""))</f>
        <v/>
      </c>
      <c r="G56" s="15">
        <f>IF(OR(G55="",G53=""),"",IFERROR(G55/G53,""))</f>
        <v/>
      </c>
      <c r="H56" s="15">
        <f>IF(OR(H55="",H53=""),"",IFERROR(H55/H53,""))</f>
        <v/>
      </c>
      <c r="I56" s="15">
        <f>IF(OR(I55="",I53=""),"",IFERROR(I55/I53,""))</f>
        <v/>
      </c>
      <c r="J56" s="15">
        <f>IF(OR(J55="",J53=""),"",IFERROR(J55/J53,""))</f>
        <v/>
      </c>
      <c r="K56" s="15">
        <f>IF(OR(K55="",K53=""),"",IFERROR(K55/K53,""))</f>
        <v/>
      </c>
      <c r="L56" s="15">
        <f>IF(OR(L55="",L53=""),"",IFERROR(L55/L53,""))</f>
        <v/>
      </c>
      <c r="M56" s="15">
        <f>IF(OR(M55="",M53=""),"",IFERROR(M55/M53,""))</f>
        <v/>
      </c>
      <c r="N56" s="15">
        <f>IF(OR(N55="",N53=""),"",IFERROR(N55/N53,""))</f>
        <v/>
      </c>
      <c r="O56" s="14">
        <f>IF(OR(O55="",O53=""),"",IFERROR(O55/O53,""))</f>
        <v/>
      </c>
      <c r="P56" s="15">
        <f>IF(OR(P55="",P53=""),"",IFERROR(P55/P53,""))</f>
        <v/>
      </c>
      <c r="Q56" s="15">
        <f>IF(OR(Q55="",Q53=""),"",IFERROR(Q55/Q53,""))</f>
        <v/>
      </c>
      <c r="R56" s="15">
        <f>IF(OR(R55="",R53=""),"",IFERROR(R55/R53,""))</f>
        <v/>
      </c>
      <c r="S56" s="15">
        <f>IF(OR(S55="",S53=""),"",IFERROR(S55/S53,""))</f>
        <v/>
      </c>
      <c r="T56" s="15">
        <f>IF(OR(T55="",T53=""),"",IFERROR(T55/T53,""))</f>
        <v/>
      </c>
      <c r="U56" s="15">
        <f>IF(OR(U55="",U53=""),"",IFERROR(U55/U53,""))</f>
        <v/>
      </c>
      <c r="V56" s="15">
        <f>IF(OR(V55="",V53=""),"",IFERROR(V55/V53,""))</f>
        <v/>
      </c>
      <c r="W56" s="15">
        <f>IF(OR(W55="",W53=""),"",IFERROR(W55/W53,""))</f>
        <v/>
      </c>
      <c r="X56" s="15">
        <f>IF(OR(X55="",X53=""),"",IFERROR(X55/X53,""))</f>
        <v/>
      </c>
      <c r="Y56" s="25" t="n">
        <v>1</v>
      </c>
      <c r="Z56" s="26" t="n">
        <v>1</v>
      </c>
      <c r="AA56" s="26" t="n">
        <v>1</v>
      </c>
      <c r="AB56" s="26" t="n">
        <v>1</v>
      </c>
      <c r="AC56" s="26" t="n">
        <v>1</v>
      </c>
    </row>
    <row r="57">
      <c r="A57" s="13" t="inlineStr">
        <is>
          <t>지배주주 순이익 YoY</t>
        </is>
      </c>
      <c r="B57" s="10" t="n"/>
      <c r="C57" s="14" t="n"/>
      <c r="D57" s="15" t="n"/>
      <c r="E57" s="15" t="n"/>
      <c r="F57" s="15" t="n"/>
      <c r="G57" s="15">
        <f>IF(OR(G55="",C55=""),"",IF(C55&lt;=0,"",IFERROR(G55/C55-1,"")))</f>
        <v/>
      </c>
      <c r="H57" s="15">
        <f>IF(OR(H55="",D55=""),"",IF(D55&lt;=0,"",IFERROR(H55/D55-1,"")))</f>
        <v/>
      </c>
      <c r="I57" s="15">
        <f>IF(OR(I55="",E55=""),"",IF(E55&lt;=0,"",IFERROR(I55/E55-1,"")))</f>
        <v/>
      </c>
      <c r="J57" s="15">
        <f>IF(OR(J55="",F55=""),"",IF(F55&lt;=0,"",IFERROR(J55/F55-1,"")))</f>
        <v/>
      </c>
      <c r="K57" s="15">
        <f>IF(OR(K55="",G55=""),"",IF(G55&lt;=0,"",IFERROR(K55/G55-1,"")))</f>
        <v/>
      </c>
      <c r="L57" s="15">
        <f>IF(OR(L55="",H55=""),"",IF(H55&lt;=0,"",IFERROR(L55/H55-1,"")))</f>
        <v/>
      </c>
      <c r="M57" s="15">
        <f>IF(OR(M55="",I55=""),"",IF(I55&lt;=0,"",IFERROR(M55/I55-1,"")))</f>
        <v/>
      </c>
      <c r="N57" s="15">
        <f>IF(OR(N55="",J55=""),"",IF(J55&lt;=0,"",IFERROR(N55/J55-1,"")))</f>
        <v/>
      </c>
      <c r="O57" s="14" t="n"/>
      <c r="P57" s="15">
        <f>IF(OR(P55="",O55=""),"",IF(O55&lt;=0,"",IFERROR(P55/O55-1,"")))</f>
        <v/>
      </c>
      <c r="Q57" s="15">
        <f>IF(OR(Q55="",P55=""),"",IF(P55&lt;=0,"",IFERROR(Q55/P55-1,"")))</f>
        <v/>
      </c>
      <c r="R57" s="15">
        <f>IF(OR(R55="",Q55=""),"",IF(Q55&lt;=0,"",IFERROR(R55/Q55-1,"")))</f>
        <v/>
      </c>
      <c r="S57" s="15">
        <f>IF(OR(S55="",R55=""),"",IF(R55&lt;=0,"",IFERROR(S55/R55-1,"")))</f>
        <v/>
      </c>
      <c r="T57" s="15">
        <f>IF(OR(T55="",S55=""),"",IF(S55&lt;=0,"",IFERROR(T55/S55-1,"")))</f>
        <v/>
      </c>
      <c r="U57" s="15">
        <f>IF(OR(U55="",T55=""),"",IF(T55&lt;=0,"",IFERROR(U55/T55-1,"")))</f>
        <v/>
      </c>
      <c r="V57" s="15">
        <f>IF(OR(V55="",U55=""),"",IF(U55&lt;=0,"",IFERROR(V55/U55-1,"")))</f>
        <v/>
      </c>
      <c r="W57" s="15">
        <f>IF(OR(W55="",V55=""),"",IF(V55&lt;=0,"",IFERROR(W55/V55-1,"")))</f>
        <v/>
      </c>
      <c r="X57" s="15">
        <f>IF(OR(X55="",W55=""),"",IF(W55&lt;=0,"",IFERROR(X55/W55-1,"")))</f>
        <v/>
      </c>
      <c r="Y57" s="14">
        <f>IF(OR(Y55="",X55=""),"",IF(X55&lt;=0,"",IFERROR(Y55/X55-1,"")))</f>
        <v/>
      </c>
      <c r="Z57" s="15">
        <f>IF(OR(Z55="",Y55=""),"",IF(Y55&lt;=0,"",IFERROR(Z55/Y55-1,"")))</f>
        <v/>
      </c>
      <c r="AA57" s="15">
        <f>IF(OR(AA55="",Z55=""),"",IF(Z55&lt;=0,"",IFERROR(AA55/Z55-1,"")))</f>
        <v/>
      </c>
      <c r="AB57" s="15">
        <f>IF(OR(AB55="",AA55=""),"",IF(AA55&lt;=0,"",IFERROR(AB55/AA55-1,"")))</f>
        <v/>
      </c>
      <c r="AC57" s="15">
        <f>IF(OR(AC55="",AB55=""),"",IF(AB55&lt;=0,"",IFERROR(AC55/AB55-1,"")))</f>
        <v/>
      </c>
    </row>
    <row r="58">
      <c r="A58" s="16" t="inlineStr">
        <is>
          <t>목표주가 산출</t>
        </is>
      </c>
      <c r="B58" s="16" t="n"/>
      <c r="C58" s="17" t="n"/>
      <c r="D58" s="16" t="n"/>
      <c r="E58" s="16" t="n"/>
      <c r="F58" s="16" t="n"/>
      <c r="G58" s="16" t="n"/>
      <c r="H58" s="16" t="n"/>
      <c r="I58" s="16" t="n"/>
      <c r="J58" s="16" t="n"/>
      <c r="K58" s="16" t="n"/>
      <c r="L58" s="16" t="n"/>
      <c r="M58" s="16" t="n"/>
      <c r="N58" s="16" t="n"/>
      <c r="O58" s="17" t="n"/>
      <c r="P58" s="16" t="n"/>
      <c r="Q58" s="16" t="n"/>
      <c r="R58" s="16" t="n"/>
      <c r="S58" s="16" t="n"/>
      <c r="T58" s="16" t="n"/>
      <c r="U58" s="16" t="n"/>
      <c r="V58" s="16" t="n"/>
      <c r="W58" s="16" t="n"/>
      <c r="X58" s="16" t="n"/>
      <c r="Y58" s="17" t="n"/>
      <c r="Z58" s="16" t="n"/>
      <c r="AA58" s="16" t="n"/>
      <c r="AB58" s="16" t="n"/>
      <c r="AC58" s="16" t="n"/>
    </row>
    <row r="59">
      <c r="A59" s="18" t="inlineStr">
        <is>
          <t>현재 주가 (2026.10.28)</t>
        </is>
      </c>
      <c r="B59" s="27" t="n">
        <v>5292</v>
      </c>
      <c r="C59" s="28" t="n"/>
      <c r="D59" s="29" t="n"/>
      <c r="E59" s="29" t="n"/>
      <c r="F59" s="29" t="n"/>
      <c r="G59" s="29" t="n"/>
      <c r="H59" s="29" t="n"/>
      <c r="I59" s="29" t="n"/>
      <c r="J59" s="29" t="n"/>
      <c r="K59" s="29" t="n"/>
      <c r="L59" s="29" t="n"/>
      <c r="M59" s="29" t="n"/>
      <c r="N59" s="29" t="n"/>
      <c r="O59" s="28" t="n"/>
      <c r="P59" s="29" t="n"/>
      <c r="Q59" s="29" t="n"/>
      <c r="R59" s="29" t="n"/>
      <c r="S59" s="29" t="n"/>
      <c r="T59" s="29" t="n"/>
      <c r="U59" s="29" t="n"/>
      <c r="V59" s="29" t="n"/>
      <c r="W59" s="29" t="n"/>
      <c r="X59" s="29" t="n"/>
      <c r="Y59" s="28" t="n"/>
      <c r="Z59" s="29" t="n"/>
      <c r="AA59" s="29" t="n"/>
      <c r="AB59" s="29" t="n"/>
      <c r="AC59" s="29" t="n"/>
    </row>
    <row r="60">
      <c r="A60" s="18" t="inlineStr">
        <is>
          <t>발행주식수 (보통주)</t>
        </is>
      </c>
      <c r="B60" s="27" t="n">
        <v>1364249315</v>
      </c>
      <c r="C60" s="28" t="n"/>
      <c r="D60" s="29" t="n"/>
      <c r="E60" s="29" t="n"/>
      <c r="F60" s="29" t="n"/>
      <c r="G60" s="29" t="n"/>
      <c r="H60" s="29" t="n"/>
      <c r="I60" s="29" t="n"/>
      <c r="J60" s="29" t="n"/>
      <c r="K60" s="29" t="n"/>
      <c r="L60" s="29" t="n"/>
      <c r="M60" s="29" t="n"/>
      <c r="N60" s="29" t="n"/>
      <c r="O60" s="28" t="n"/>
      <c r="P60" s="29" t="n"/>
      <c r="Q60" s="29" t="n"/>
      <c r="R60" s="29" t="n"/>
      <c r="S60" s="29" t="n"/>
      <c r="T60" s="29" t="n"/>
      <c r="U60" s="29" t="n"/>
      <c r="V60" s="29" t="n"/>
      <c r="W60" s="29" t="n"/>
      <c r="X60" s="29" t="n"/>
      <c r="Y60" s="28" t="n"/>
      <c r="Z60" s="29" t="n"/>
      <c r="AA60" s="29" t="n"/>
      <c r="AB60" s="29" t="n"/>
      <c r="AC60" s="29" t="n"/>
    </row>
    <row r="61">
      <c r="A61" s="18" t="inlineStr">
        <is>
          <t>시가총액 (백만엔)</t>
        </is>
      </c>
      <c r="B61" s="12">
        <f>IF(OR(B59="",B60=""),"",B59*B60/1000000.0)</f>
        <v/>
      </c>
      <c r="C61" s="19" t="n"/>
      <c r="D61" s="20" t="n"/>
      <c r="E61" s="20" t="n"/>
      <c r="F61" s="20" t="n"/>
      <c r="G61" s="20" t="n"/>
      <c r="H61" s="20" t="n"/>
      <c r="I61" s="20" t="n"/>
      <c r="J61" s="20" t="n"/>
      <c r="K61" s="20" t="n"/>
      <c r="L61" s="20" t="n"/>
      <c r="M61" s="20" t="n"/>
      <c r="N61" s="20" t="n"/>
      <c r="O61" s="19" t="n"/>
      <c r="P61" s="20" t="n"/>
      <c r="Q61" s="20" t="n"/>
      <c r="R61" s="20" t="n"/>
      <c r="S61" s="20" t="n"/>
      <c r="T61" s="20" t="n"/>
      <c r="U61" s="20" t="n"/>
      <c r="V61" s="20" t="n"/>
      <c r="W61" s="20" t="n"/>
      <c r="X61" s="20" t="n"/>
      <c r="Y61" s="19" t="n"/>
      <c r="Z61" s="20" t="n"/>
      <c r="AA61" s="20" t="n"/>
      <c r="AB61" s="20" t="n"/>
      <c r="AC61" s="20" t="n"/>
    </row>
    <row r="62">
      <c r="A62" s="13" t="inlineStr">
        <is>
          <t>OPM</t>
        </is>
      </c>
      <c r="B62" s="10" t="n"/>
      <c r="C62" s="14" t="n"/>
      <c r="D62" s="15" t="n"/>
      <c r="E62" s="15" t="n"/>
      <c r="F62" s="15" t="n"/>
      <c r="G62" s="15" t="n"/>
      <c r="H62" s="15" t="n"/>
      <c r="I62" s="15" t="n"/>
      <c r="J62" s="15" t="n"/>
      <c r="K62" s="15" t="n"/>
      <c r="L62" s="15" t="n"/>
      <c r="M62" s="15" t="n"/>
      <c r="N62" s="15" t="n"/>
      <c r="O62" s="14">
        <f>IF(O26="","",O26)</f>
        <v/>
      </c>
      <c r="P62" s="15">
        <f>IF(P26="","",P26)</f>
        <v/>
      </c>
      <c r="Q62" s="15">
        <f>IF(Q26="","",Q26)</f>
        <v/>
      </c>
      <c r="R62" s="15">
        <f>IF(R26="","",R26)</f>
        <v/>
      </c>
      <c r="S62" s="15">
        <f>IF(S26="","",S26)</f>
        <v/>
      </c>
      <c r="T62" s="15">
        <f>IF(T26="","",T26)</f>
        <v/>
      </c>
      <c r="U62" s="15">
        <f>IF(U26="","",U26)</f>
        <v/>
      </c>
      <c r="V62" s="15">
        <f>IF(V26="","",V26)</f>
        <v/>
      </c>
      <c r="W62" s="15">
        <f>IF(W26="","",W26)</f>
        <v/>
      </c>
      <c r="X62" s="15">
        <f>IF(X26="","",X26)</f>
        <v/>
      </c>
      <c r="Y62" s="14">
        <f>IF(Y26="","",Y26)</f>
        <v/>
      </c>
      <c r="Z62" s="15">
        <f>IF(Z26="","",Z26)</f>
        <v/>
      </c>
      <c r="AA62" s="15">
        <f>IF(AA26="","",AA26)</f>
        <v/>
      </c>
      <c r="AB62" s="15">
        <f>IF(AB26="","",AB26)</f>
        <v/>
      </c>
      <c r="AC62" s="15">
        <f>IF(AC26="","",AC26)</f>
        <v/>
      </c>
    </row>
    <row r="63">
      <c r="A63" s="13" t="inlineStr">
        <is>
          <t>지배주주 순이익 증가율</t>
        </is>
      </c>
      <c r="B63" s="10" t="n"/>
      <c r="C63" s="14" t="n"/>
      <c r="D63" s="15" t="n"/>
      <c r="E63" s="15" t="n"/>
      <c r="F63" s="15" t="n"/>
      <c r="G63" s="15" t="n"/>
      <c r="H63" s="15" t="n"/>
      <c r="I63" s="15" t="n"/>
      <c r="J63" s="15" t="n"/>
      <c r="K63" s="15" t="n"/>
      <c r="L63" s="15" t="n"/>
      <c r="M63" s="15" t="n"/>
      <c r="N63" s="15" t="n"/>
      <c r="O63" s="14" t="n"/>
      <c r="P63" s="15">
        <f>IF(OR(P55="",O55=""),"",IFERROR(P55/O55-1,""))</f>
        <v/>
      </c>
      <c r="Q63" s="15">
        <f>IF(OR(Q55="",P55=""),"",IFERROR(Q55/P55-1,""))</f>
        <v/>
      </c>
      <c r="R63" s="15">
        <f>IF(OR(R55="",Q55=""),"",IFERROR(R55/Q55-1,""))</f>
        <v/>
      </c>
      <c r="S63" s="15">
        <f>IF(OR(S55="",R55=""),"",IFERROR(S55/R55-1,""))</f>
        <v/>
      </c>
      <c r="T63" s="15">
        <f>IF(OR(T55="",S55=""),"",IFERROR(T55/S55-1,""))</f>
        <v/>
      </c>
      <c r="U63" s="15">
        <f>IF(OR(U55="",T55=""),"",IFERROR(U55/T55-1,""))</f>
        <v/>
      </c>
      <c r="V63" s="15">
        <f>IF(OR(V55="",U55=""),"",IFERROR(V55/U55-1,""))</f>
        <v/>
      </c>
      <c r="W63" s="15">
        <f>IF(OR(W55="",V55=""),"",IFERROR(W55/V55-1,""))</f>
        <v/>
      </c>
      <c r="X63" s="15">
        <f>IF(OR(X55="",W55=""),"",IFERROR(X55/W55-1,""))</f>
        <v/>
      </c>
      <c r="Y63" s="14">
        <f>IF(OR(Y55="",X55=""),"",IFERROR(Y55/X55-1,""))</f>
        <v/>
      </c>
      <c r="Z63" s="15">
        <f>IF(OR(Z55="",Y55=""),"",IFERROR(Z55/Y55-1,""))</f>
        <v/>
      </c>
      <c r="AA63" s="15">
        <f>IF(OR(AA55="",Z55=""),"",IFERROR(AA55/Z55-1,""))</f>
        <v/>
      </c>
      <c r="AB63" s="15">
        <f>IF(OR(AB55="",AA55=""),"",IFERROR(AB55/AA55-1,""))</f>
        <v/>
      </c>
      <c r="AC63" s="15">
        <f>IF(OR(AC55="",AB55=""),"",IFERROR(AC55/AB55-1,""))</f>
        <v/>
      </c>
    </row>
    <row r="64">
      <c r="A64" s="18" t="inlineStr">
        <is>
          <t>P/E (현재 주가)</t>
        </is>
      </c>
      <c r="B64" s="10" t="inlineStr">
        <is>
          <t>시총 ÷ 지배순이익</t>
        </is>
      </c>
      <c r="C64" s="30" t="n"/>
      <c r="D64" s="31" t="n"/>
      <c r="E64" s="31" t="n"/>
      <c r="F64" s="31" t="n"/>
      <c r="G64" s="31" t="n"/>
      <c r="H64" s="31" t="n"/>
      <c r="I64" s="31" t="n"/>
      <c r="J64" s="31" t="n"/>
      <c r="K64" s="31" t="n"/>
      <c r="L64" s="31" t="n"/>
      <c r="M64" s="31" t="n"/>
      <c r="N64" s="31" t="n"/>
      <c r="O64" s="30" t="n"/>
      <c r="P64" s="31" t="n"/>
      <c r="Q64" s="31" t="n"/>
      <c r="R64" s="31" t="n"/>
      <c r="S64" s="31" t="n"/>
      <c r="T64" s="31" t="n"/>
      <c r="U64" s="31" t="n"/>
      <c r="V64" s="31" t="n"/>
      <c r="W64" s="31" t="n"/>
      <c r="X64" s="31">
        <f>IF(OR($B$61="",X55=""),"",IFERROR($B$61/X55,""))</f>
        <v/>
      </c>
      <c r="Y64" s="30">
        <f>IF(OR($B$61="",Y55=""),"",IFERROR($B$61/Y55,""))</f>
        <v/>
      </c>
      <c r="Z64" s="31">
        <f>IF(OR($B$61="",Z55=""),"",IFERROR($B$61/Z55,""))</f>
        <v/>
      </c>
      <c r="AA64" s="31">
        <f>IF(OR($B$61="",AA55=""),"",IFERROR($B$61/AA55,""))</f>
        <v/>
      </c>
      <c r="AB64" s="31">
        <f>IF(OR($B$61="",AB55=""),"",IFERROR($B$61/AB55,""))</f>
        <v/>
      </c>
      <c r="AC64" s="31">
        <f>IF(OR($B$61="",AC55=""),"",IFERROR($B$61/AC55,""))</f>
        <v/>
      </c>
    </row>
    <row r="65">
      <c r="A65" s="18" t="inlineStr">
        <is>
          <t>Target P/E</t>
        </is>
      </c>
      <c r="B65" s="10" t="inlineStr">
        <is>
          <t>직접 입력</t>
        </is>
      </c>
      <c r="C65" s="30" t="n"/>
      <c r="D65" s="31" t="n"/>
      <c r="E65" s="31" t="n"/>
      <c r="F65" s="31" t="n"/>
      <c r="G65" s="31" t="n"/>
      <c r="H65" s="31" t="n"/>
      <c r="I65" s="31" t="n"/>
      <c r="J65" s="31" t="n"/>
      <c r="K65" s="31" t="n"/>
      <c r="L65" s="31" t="n"/>
      <c r="M65" s="31" t="n"/>
      <c r="N65" s="31" t="n"/>
      <c r="O65" s="30" t="n"/>
      <c r="P65" s="31" t="n"/>
      <c r="Q65" s="31" t="n"/>
      <c r="R65" s="31" t="n"/>
      <c r="S65" s="31" t="n"/>
      <c r="T65" s="31" t="n"/>
      <c r="U65" s="31" t="n"/>
      <c r="V65" s="31" t="n"/>
      <c r="W65" s="31" t="n"/>
      <c r="X65" s="31" t="n"/>
      <c r="Y65" s="32" t="n"/>
      <c r="Z65" s="33" t="n"/>
      <c r="AA65" s="33" t="n"/>
      <c r="AB65" s="33" t="n"/>
      <c r="AC65" s="33" t="n"/>
    </row>
    <row r="66">
      <c r="A66" s="18" t="inlineStr">
        <is>
          <t>EPS</t>
        </is>
      </c>
      <c r="B66" s="10" t="inlineStr">
        <is>
          <t>지배순이익 ÷ 주식수</t>
        </is>
      </c>
      <c r="C66" s="28" t="n"/>
      <c r="D66" s="29" t="n"/>
      <c r="E66" s="29" t="n"/>
      <c r="F66" s="29" t="n"/>
      <c r="G66" s="29" t="n"/>
      <c r="H66" s="29" t="n"/>
      <c r="I66" s="29" t="n"/>
      <c r="J66" s="29" t="n"/>
      <c r="K66" s="29" t="n"/>
      <c r="L66" s="29" t="n"/>
      <c r="M66" s="29" t="n"/>
      <c r="N66" s="29" t="n"/>
      <c r="O66" s="28">
        <f>IF(OR(O55="",$B$60=""),"",IFERROR(O55*1000000.0/$B$60,""))</f>
        <v/>
      </c>
      <c r="P66" s="29">
        <f>IF(OR(P55="",$B$60=""),"",IFERROR(P55*1000000.0/$B$60,""))</f>
        <v/>
      </c>
      <c r="Q66" s="29">
        <f>IF(OR(Q55="",$B$60=""),"",IFERROR(Q55*1000000.0/$B$60,""))</f>
        <v/>
      </c>
      <c r="R66" s="29">
        <f>IF(OR(R55="",$B$60=""),"",IFERROR(R55*1000000.0/$B$60,""))</f>
        <v/>
      </c>
      <c r="S66" s="29">
        <f>IF(OR(S55="",$B$60=""),"",IFERROR(S55*1000000.0/$B$60,""))</f>
        <v/>
      </c>
      <c r="T66" s="29">
        <f>IF(OR(T55="",$B$60=""),"",IFERROR(T55*1000000.0/$B$60,""))</f>
        <v/>
      </c>
      <c r="U66" s="29">
        <f>IF(OR(U55="",$B$60=""),"",IFERROR(U55*1000000.0/$B$60,""))</f>
        <v/>
      </c>
      <c r="V66" s="29">
        <f>IF(OR(V55="",$B$60=""),"",IFERROR(V55*1000000.0/$B$60,""))</f>
        <v/>
      </c>
      <c r="W66" s="29">
        <f>IF(OR(W55="",$B$60=""),"",IFERROR(W55*1000000.0/$B$60,""))</f>
        <v/>
      </c>
      <c r="X66" s="29">
        <f>IF(OR(X55="",$B$60=""),"",IFERROR(X55*1000000.0/$B$60,""))</f>
        <v/>
      </c>
      <c r="Y66" s="28">
        <f>IF(OR(Y55="",$B$60=""),"",IFERROR(Y55*1000000.0/$B$60,""))</f>
        <v/>
      </c>
      <c r="Z66" s="29">
        <f>IF(OR(Z55="",$B$60=""),"",IFERROR(Z55*1000000.0/$B$60,""))</f>
        <v/>
      </c>
      <c r="AA66" s="29">
        <f>IF(OR(AA55="",$B$60=""),"",IFERROR(AA55*1000000.0/$B$60,""))</f>
        <v/>
      </c>
      <c r="AB66" s="29">
        <f>IF(OR(AB55="",$B$60=""),"",IFERROR(AB55*1000000.0/$B$60,""))</f>
        <v/>
      </c>
      <c r="AC66" s="29">
        <f>IF(OR(AC55="",$B$60=""),"",IFERROR(AC55*1000000.0/$B$60,""))</f>
        <v/>
      </c>
    </row>
    <row r="67">
      <c r="A67" s="9" t="inlineStr">
        <is>
          <t>목표주가</t>
        </is>
      </c>
      <c r="B67" s="10" t="n"/>
      <c r="C67" s="34" t="n"/>
      <c r="D67" s="27" t="n"/>
      <c r="E67" s="27" t="n"/>
      <c r="F67" s="27" t="n"/>
      <c r="G67" s="27" t="n"/>
      <c r="H67" s="27" t="n"/>
      <c r="I67" s="27" t="n"/>
      <c r="J67" s="27" t="n"/>
      <c r="K67" s="27" t="n"/>
      <c r="L67" s="27" t="n"/>
      <c r="M67" s="27" t="n"/>
      <c r="N67" s="27" t="n"/>
      <c r="O67" s="34" t="n"/>
      <c r="P67" s="27" t="n"/>
      <c r="Q67" s="27" t="n"/>
      <c r="R67" s="27" t="n"/>
      <c r="S67" s="27" t="n"/>
      <c r="T67" s="27" t="n"/>
      <c r="U67" s="27" t="n"/>
      <c r="V67" s="27" t="n"/>
      <c r="W67" s="27" t="n"/>
      <c r="X67" s="27" t="n"/>
      <c r="Y67" s="34">
        <f>IF(OR(Y66="",Y65=""),"",IFERROR(Y66*Y65,""))</f>
        <v/>
      </c>
      <c r="Z67" s="27">
        <f>IF(OR(Z66="",Z65=""),"",IFERROR(Z66*Z65,""))</f>
        <v/>
      </c>
      <c r="AA67" s="27">
        <f>IF(OR(AA66="",AA65=""),"",IFERROR(AA66*AA65,""))</f>
        <v/>
      </c>
      <c r="AB67" s="27">
        <f>IF(OR(AB66="",AB65=""),"",IFERROR(AB66*AB65,""))</f>
        <v/>
      </c>
      <c r="AC67" s="27">
        <f>IF(OR(AC66="",AC65=""),"",IFERROR(AC66*AC65,""))</f>
        <v/>
      </c>
    </row>
    <row r="68">
      <c r="A68" s="18" t="inlineStr">
        <is>
          <t>상승여력</t>
        </is>
      </c>
      <c r="B68" s="10" t="n"/>
      <c r="C68" s="35" t="n"/>
      <c r="D68" s="36" t="n"/>
      <c r="E68" s="36" t="n"/>
      <c r="F68" s="36" t="n"/>
      <c r="G68" s="36" t="n"/>
      <c r="H68" s="36" t="n"/>
      <c r="I68" s="36" t="n"/>
      <c r="J68" s="36" t="n"/>
      <c r="K68" s="36" t="n"/>
      <c r="L68" s="36" t="n"/>
      <c r="M68" s="36" t="n"/>
      <c r="N68" s="36" t="n"/>
      <c r="O68" s="35" t="n"/>
      <c r="P68" s="36" t="n"/>
      <c r="Q68" s="36" t="n"/>
      <c r="R68" s="36" t="n"/>
      <c r="S68" s="36" t="n"/>
      <c r="T68" s="36" t="n"/>
      <c r="U68" s="36" t="n"/>
      <c r="V68" s="36" t="n"/>
      <c r="W68" s="36" t="n"/>
      <c r="X68" s="36" t="n"/>
      <c r="Y68" s="37">
        <f>IF(OR(Y67="",$B$59=""),"",IFERROR(Y67/$B$59-1,""))</f>
        <v/>
      </c>
      <c r="Z68" s="38">
        <f>IF(OR(Z67="",$B$59=""),"",IFERROR(Z67/$B$59-1,""))</f>
        <v/>
      </c>
      <c r="AA68" s="38">
        <f>IF(OR(AA67="",$B$59=""),"",IFERROR(AA67/$B$59-1,""))</f>
        <v/>
      </c>
      <c r="AB68" s="38">
        <f>IF(OR(AB67="",$B$59=""),"",IFERROR(AB67/$B$59-1,""))</f>
        <v/>
      </c>
      <c r="AC68" s="38">
        <f>IF(OR(AC67="",$B$59=""),"",IFERROR(AC67/$B$59-1,""))</f>
        <v/>
      </c>
    </row>
    <row r="69">
      <c r="A69" s="16" t="inlineStr">
        <is>
          <t>자산가치 산출</t>
        </is>
      </c>
      <c r="B69" s="16" t="inlineStr">
        <is>
          <t>최신 분기 BS</t>
        </is>
      </c>
      <c r="C69" s="17" t="n"/>
      <c r="D69" s="16" t="n"/>
      <c r="E69" s="16" t="n"/>
      <c r="F69" s="16" t="n"/>
      <c r="G69" s="16" t="n"/>
      <c r="H69" s="16" t="n"/>
      <c r="I69" s="16" t="n"/>
      <c r="J69" s="16" t="n"/>
      <c r="K69" s="16" t="n"/>
      <c r="L69" s="16" t="n"/>
      <c r="M69" s="16" t="n"/>
      <c r="N69" s="16" t="n"/>
      <c r="O69" s="17" t="n"/>
      <c r="P69" s="16" t="n"/>
      <c r="Q69" s="16" t="n"/>
      <c r="R69" s="16" t="n"/>
      <c r="S69" s="16" t="n"/>
      <c r="T69" s="16" t="n"/>
      <c r="U69" s="16" t="n"/>
      <c r="V69" s="16" t="n"/>
      <c r="W69" s="16" t="n"/>
      <c r="X69" s="16" t="n"/>
      <c r="Y69" s="17" t="n"/>
      <c r="Z69" s="16" t="n"/>
      <c r="AA69" s="16" t="n"/>
      <c r="AB69" s="16" t="n"/>
      <c r="AC69" s="16" t="n"/>
    </row>
    <row r="70">
      <c r="A70" s="18" t="inlineStr">
        <is>
          <t>현금및현금성자산</t>
        </is>
      </c>
      <c r="B70" s="10" t="n"/>
      <c r="C70" s="19" t="n"/>
      <c r="D70" s="20" t="n"/>
      <c r="E70" s="20" t="n"/>
      <c r="F70" s="20" t="n"/>
      <c r="G70" s="20" t="n"/>
      <c r="H70" s="20" t="n"/>
      <c r="I70" s="20" t="n"/>
      <c r="J70" s="20" t="n"/>
      <c r="K70" s="20" t="n"/>
      <c r="L70" s="20" t="n"/>
      <c r="M70" s="20" t="n"/>
      <c r="N70" s="20" t="n"/>
      <c r="O70" s="19" t="n"/>
      <c r="P70" s="20" t="n"/>
      <c r="Q70" s="20" t="n"/>
      <c r="R70" s="20" t="n"/>
      <c r="S70" s="20" t="n"/>
      <c r="T70" s="20" t="n"/>
      <c r="U70" s="20" t="n"/>
      <c r="V70" s="20" t="n"/>
      <c r="W70" s="20" t="n"/>
      <c r="X70" s="20">
        <f>'재무상태표'!G6</f>
        <v/>
      </c>
      <c r="Y70" s="19">
        <f>'재무상태표'!G6</f>
        <v/>
      </c>
      <c r="Z70" s="20">
        <f>'재무상태표'!G6</f>
        <v/>
      </c>
      <c r="AA70" s="20">
        <f>'재무상태표'!G6</f>
        <v/>
      </c>
      <c r="AB70" s="20">
        <f>'재무상태표'!G6</f>
        <v/>
      </c>
      <c r="AC70" s="20">
        <f>'재무상태표'!G6</f>
        <v/>
      </c>
    </row>
    <row r="71">
      <c r="A71" s="18" t="inlineStr">
        <is>
          <t>단기금융상품</t>
        </is>
      </c>
      <c r="B71" s="10" t="n"/>
      <c r="C71" s="19" t="n"/>
      <c r="D71" s="20" t="n"/>
      <c r="E71" s="20" t="n"/>
      <c r="F71" s="20" t="n"/>
      <c r="G71" s="20" t="n"/>
      <c r="H71" s="20" t="n"/>
      <c r="I71" s="20" t="n"/>
      <c r="J71" s="20" t="n"/>
      <c r="K71" s="20" t="n"/>
      <c r="L71" s="20" t="n"/>
      <c r="M71" s="20" t="n"/>
      <c r="N71" s="20" t="n"/>
      <c r="O71" s="19" t="n"/>
      <c r="P71" s="20" t="n"/>
      <c r="Q71" s="20" t="n"/>
      <c r="R71" s="20" t="n"/>
      <c r="S71" s="20" t="n"/>
      <c r="T71" s="20" t="n"/>
      <c r="U71" s="20" t="n"/>
      <c r="V71" s="20" t="n"/>
      <c r="W71" s="20" t="n"/>
      <c r="X71" s="20">
        <f>'재무상태표'!G7</f>
        <v/>
      </c>
      <c r="Y71" s="19">
        <f>'재무상태표'!G7</f>
        <v/>
      </c>
      <c r="Z71" s="20">
        <f>'재무상태표'!G7</f>
        <v/>
      </c>
      <c r="AA71" s="20">
        <f>'재무상태표'!G7</f>
        <v/>
      </c>
      <c r="AB71" s="20">
        <f>'재무상태표'!G7</f>
        <v/>
      </c>
      <c r="AC71" s="20">
        <f>'재무상태표'!G7</f>
        <v/>
      </c>
    </row>
    <row r="72">
      <c r="A72" s="18" t="inlineStr">
        <is>
          <t>투자부동산</t>
        </is>
      </c>
      <c r="B72" s="10" t="n"/>
      <c r="C72" s="19" t="n"/>
      <c r="D72" s="20" t="n"/>
      <c r="E72" s="20" t="n"/>
      <c r="F72" s="20" t="n"/>
      <c r="G72" s="20" t="n"/>
      <c r="H72" s="20" t="n"/>
      <c r="I72" s="20" t="n"/>
      <c r="J72" s="20" t="n"/>
      <c r="K72" s="20" t="n"/>
      <c r="L72" s="20" t="n"/>
      <c r="M72" s="20" t="n"/>
      <c r="N72" s="20" t="n"/>
      <c r="O72" s="19" t="n"/>
      <c r="P72" s="20" t="n"/>
      <c r="Q72" s="20" t="n"/>
      <c r="R72" s="20" t="n"/>
      <c r="S72" s="20" t="n"/>
      <c r="T72" s="20" t="n"/>
      <c r="U72" s="20" t="n"/>
      <c r="V72" s="20" t="n"/>
      <c r="W72" s="20" t="n"/>
      <c r="X72" s="20">
        <f>'재무상태표'!G14</f>
        <v/>
      </c>
      <c r="Y72" s="19">
        <f>'재무상태표'!G14</f>
        <v/>
      </c>
      <c r="Z72" s="20">
        <f>'재무상태표'!G14</f>
        <v/>
      </c>
      <c r="AA72" s="20">
        <f>'재무상태표'!G14</f>
        <v/>
      </c>
      <c r="AB72" s="20">
        <f>'재무상태표'!G14</f>
        <v/>
      </c>
      <c r="AC72" s="20">
        <f>'재무상태표'!G14</f>
        <v/>
      </c>
    </row>
    <row r="73">
      <c r="A73" s="18" t="inlineStr">
        <is>
          <t>지배자본</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'재무상태표'!G31</f>
        <v/>
      </c>
      <c r="Y73" s="19">
        <f>'재무상태표'!G31</f>
        <v/>
      </c>
      <c r="Z73" s="20">
        <f>'재무상태표'!G31</f>
        <v/>
      </c>
      <c r="AA73" s="20">
        <f>'재무상태표'!G31</f>
        <v/>
      </c>
      <c r="AB73" s="20">
        <f>'재무상태표'!G31</f>
        <v/>
      </c>
      <c r="AC73" s="20">
        <f>'재무상태표'!G31</f>
        <v/>
      </c>
    </row>
    <row r="74">
      <c r="A74" s="18" t="inlineStr">
        <is>
          <t>부채</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'재무상태표'!G27</f>
        <v/>
      </c>
      <c r="Y74" s="19">
        <f>'재무상태표'!G27</f>
        <v/>
      </c>
      <c r="Z74" s="20">
        <f>'재무상태표'!G27</f>
        <v/>
      </c>
      <c r="AA74" s="20">
        <f>'재무상태표'!G27</f>
        <v/>
      </c>
      <c r="AB74" s="20">
        <f>'재무상태표'!G27</f>
        <v/>
      </c>
      <c r="AC74" s="20">
        <f>'재무상태표'!G27</f>
        <v/>
      </c>
    </row>
    <row r="75">
      <c r="A75" s="13" t="inlineStr">
        <is>
          <t>부채비율</t>
        </is>
      </c>
      <c r="B75" s="10" t="n"/>
      <c r="C75" s="14" t="n"/>
      <c r="D75" s="15" t="n"/>
      <c r="E75" s="15" t="n"/>
      <c r="F75" s="15" t="n"/>
      <c r="G75" s="15" t="n"/>
      <c r="H75" s="15" t="n"/>
      <c r="I75" s="15" t="n"/>
      <c r="J75" s="15" t="n"/>
      <c r="K75" s="15" t="n"/>
      <c r="L75" s="15" t="n"/>
      <c r="M75" s="15" t="n"/>
      <c r="N75" s="15" t="n"/>
      <c r="O75" s="14" t="n"/>
      <c r="P75" s="15" t="n"/>
      <c r="Q75" s="15" t="n"/>
      <c r="R75" s="15" t="n"/>
      <c r="S75" s="15" t="n"/>
      <c r="T75" s="15" t="n"/>
      <c r="U75" s="15" t="n"/>
      <c r="V75" s="15" t="n"/>
      <c r="W75" s="15" t="n"/>
      <c r="X75" s="15">
        <f>IF(OR(X74="",X73=""),"",IFERROR(X74/X73,""))</f>
        <v/>
      </c>
      <c r="Y75" s="14">
        <f>IF(OR(Y74="",Y73=""),"",IFERROR(Y74/Y73,""))</f>
        <v/>
      </c>
      <c r="Z75" s="15">
        <f>IF(OR(Z74="",Z73=""),"",IFERROR(Z74/Z73,""))</f>
        <v/>
      </c>
      <c r="AA75" s="15">
        <f>IF(OR(AA74="",AA73=""),"",IFERROR(AA74/AA73,""))</f>
        <v/>
      </c>
      <c r="AB75" s="15">
        <f>IF(OR(AB74="",AB73=""),"",IFERROR(AB74/AB73,""))</f>
        <v/>
      </c>
      <c r="AC75" s="15">
        <f>IF(OR(AC74="",AC73=""),"",IFERROR(AC74/AC73,""))</f>
        <v/>
      </c>
    </row>
    <row r="76">
      <c r="A76" s="9" t="inlineStr">
        <is>
          <t>자산가치</t>
        </is>
      </c>
      <c r="B76" s="10" t="inlineStr">
        <is>
          <t>현금+단기금융+투자부동산</t>
        </is>
      </c>
      <c r="C76" s="11" t="n"/>
      <c r="D76" s="12" t="n"/>
      <c r="E76" s="12" t="n"/>
      <c r="F76" s="12" t="n"/>
      <c r="G76" s="12" t="n"/>
      <c r="H76" s="12" t="n"/>
      <c r="I76" s="12" t="n"/>
      <c r="J76" s="12" t="n"/>
      <c r="K76" s="12" t="n"/>
      <c r="L76" s="12" t="n"/>
      <c r="M76" s="12" t="n"/>
      <c r="N76" s="12" t="n"/>
      <c r="O76" s="11" t="n"/>
      <c r="P76" s="12" t="n"/>
      <c r="Q76" s="12" t="n"/>
      <c r="R76" s="12" t="n"/>
      <c r="S76" s="12" t="n"/>
      <c r="T76" s="12" t="n"/>
      <c r="U76" s="12" t="n"/>
      <c r="V76" s="12" t="n"/>
      <c r="W76" s="12" t="n"/>
      <c r="X76" s="12">
        <f>SUM(X70,X71,X72)</f>
        <v/>
      </c>
      <c r="Y76" s="11">
        <f>SUM(Y70,Y71,Y72)</f>
        <v/>
      </c>
      <c r="Z76" s="12">
        <f>SUM(Z70,Z71,Z72)</f>
        <v/>
      </c>
      <c r="AA76" s="12">
        <f>SUM(AA70,AA71,AA72)</f>
        <v/>
      </c>
      <c r="AB76" s="12">
        <f>SUM(AB70,AB71,AB72)</f>
        <v/>
      </c>
      <c r="AC76" s="12">
        <f>SUM(AC70,AC71,AC72)</f>
        <v/>
      </c>
    </row>
    <row r="77">
      <c r="A77" s="16" t="inlineStr">
        <is>
          <t>기업가치 산출</t>
        </is>
      </c>
      <c r="B77" s="16" t="n"/>
      <c r="C77" s="17" t="n"/>
      <c r="D77" s="16" t="n"/>
      <c r="E77" s="16" t="n"/>
      <c r="F77" s="16" t="n"/>
      <c r="G77" s="16" t="n"/>
      <c r="H77" s="16" t="n"/>
      <c r="I77" s="16" t="n"/>
      <c r="J77" s="16" t="n"/>
      <c r="K77" s="16" t="n"/>
      <c r="L77" s="16" t="n"/>
      <c r="M77" s="16" t="n"/>
      <c r="N77" s="16" t="n"/>
      <c r="O77" s="17" t="n"/>
      <c r="P77" s="16" t="n"/>
      <c r="Q77" s="16" t="n"/>
      <c r="R77" s="16" t="n"/>
      <c r="S77" s="16" t="n"/>
      <c r="T77" s="16" t="n"/>
      <c r="U77" s="16" t="n"/>
      <c r="V77" s="16" t="n"/>
      <c r="W77" s="16" t="n"/>
      <c r="X77" s="16" t="n"/>
      <c r="Y77" s="17" t="n"/>
      <c r="Z77" s="16" t="n"/>
      <c r="AA77" s="16" t="n"/>
      <c r="AB77" s="16" t="n"/>
      <c r="AC77" s="16" t="n"/>
    </row>
    <row r="78">
      <c r="A78" s="18" t="inlineStr">
        <is>
          <t>목표 시가총액 (P/E)</t>
        </is>
      </c>
      <c r="B78" s="10" t="inlineStr">
        <is>
          <t>지배순이익 × Target P/E</t>
        </is>
      </c>
      <c r="C78" s="19" t="n"/>
      <c r="D78" s="20" t="n"/>
      <c r="E78" s="20" t="n"/>
      <c r="F78" s="20" t="n"/>
      <c r="G78" s="20" t="n"/>
      <c r="H78" s="20" t="n"/>
      <c r="I78" s="20" t="n"/>
      <c r="J78" s="20" t="n"/>
      <c r="K78" s="20" t="n"/>
      <c r="L78" s="20" t="n"/>
      <c r="M78" s="20" t="n"/>
      <c r="N78" s="20" t="n"/>
      <c r="O78" s="19" t="n"/>
      <c r="P78" s="20" t="n"/>
      <c r="Q78" s="20" t="n"/>
      <c r="R78" s="20" t="n"/>
      <c r="S78" s="20" t="n"/>
      <c r="T78" s="20" t="n"/>
      <c r="U78" s="20" t="n"/>
      <c r="V78" s="20" t="n"/>
      <c r="W78" s="20" t="n"/>
      <c r="X78" s="20" t="n"/>
      <c r="Y78" s="19">
        <f>IF(OR(Y55="",Y65=""),"",IFERROR(Y55*Y65,""))</f>
        <v/>
      </c>
      <c r="Z78" s="20">
        <f>IF(OR(Z55="",Z65=""),"",IFERROR(Z55*Z65,""))</f>
        <v/>
      </c>
      <c r="AA78" s="20">
        <f>IF(OR(AA55="",AA65=""),"",IFERROR(AA55*AA65,""))</f>
        <v/>
      </c>
      <c r="AB78" s="20">
        <f>IF(OR(AB55="",AB65=""),"",IFERROR(AB55*AB65,""))</f>
        <v/>
      </c>
      <c r="AC78" s="20">
        <f>IF(OR(AC55="",AC65=""),"",IFERROR(AC55*AC65,""))</f>
        <v/>
      </c>
    </row>
    <row r="79">
      <c r="A79" s="9" t="inlineStr">
        <is>
          <t>기업가치</t>
        </is>
      </c>
      <c r="B79" s="10" t="inlineStr">
        <is>
          <t>목표시총 + 자산가치</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t="n"/>
      <c r="Y79" s="11">
        <f>IF(OR(Y78=""),"",IFERROR(Y78+Y76,""))</f>
        <v/>
      </c>
      <c r="Z79" s="12">
        <f>IF(OR(Z78=""),"",IFERROR(Z78+Z76,""))</f>
        <v/>
      </c>
      <c r="AA79" s="12">
        <f>IF(OR(AA78=""),"",IFERROR(AA78+AA76,""))</f>
        <v/>
      </c>
      <c r="AB79" s="12">
        <f>IF(OR(AB78=""),"",IFERROR(AB78+AB76,""))</f>
        <v/>
      </c>
      <c r="AC79" s="12">
        <f>IF(OR(AC78=""),"",IFERROR(AC78+AC76,""))</f>
        <v/>
      </c>
    </row>
    <row r="80">
      <c r="A80" s="18" t="inlineStr">
        <is>
          <t>현재 시가총액</t>
        </is>
      </c>
      <c r="B80" s="10" t="n"/>
      <c r="C80" s="19" t="n"/>
      <c r="D80" s="20" t="n"/>
      <c r="E80" s="20" t="n"/>
      <c r="F80" s="20" t="n"/>
      <c r="G80" s="20" t="n"/>
      <c r="H80" s="20" t="n"/>
      <c r="I80" s="20" t="n"/>
      <c r="J80" s="20" t="n"/>
      <c r="K80" s="20" t="n"/>
      <c r="L80" s="20" t="n"/>
      <c r="M80" s="20" t="n"/>
      <c r="N80" s="20" t="n"/>
      <c r="O80" s="19" t="n"/>
      <c r="P80" s="20" t="n"/>
      <c r="Q80" s="20" t="n"/>
      <c r="R80" s="20" t="n"/>
      <c r="S80" s="20" t="n"/>
      <c r="T80" s="20" t="n"/>
      <c r="U80" s="20" t="n"/>
      <c r="V80" s="20" t="n"/>
      <c r="W80" s="20" t="n"/>
      <c r="X80" s="20" t="n"/>
      <c r="Y80" s="19">
        <f>$B$61</f>
        <v/>
      </c>
      <c r="Z80" s="20">
        <f>$B$61</f>
        <v/>
      </c>
      <c r="AA80" s="20">
        <f>$B$61</f>
        <v/>
      </c>
      <c r="AB80" s="20">
        <f>$B$61</f>
        <v/>
      </c>
      <c r="AC80" s="20">
        <f>$B$61</f>
        <v/>
      </c>
    </row>
    <row r="81">
      <c r="A81" s="18" t="inlineStr">
        <is>
          <t>상승여력</t>
        </is>
      </c>
      <c r="B81" s="10" t="n"/>
      <c r="C81" s="35" t="n"/>
      <c r="D81" s="36" t="n"/>
      <c r="E81" s="36" t="n"/>
      <c r="F81" s="36" t="n"/>
      <c r="G81" s="36" t="n"/>
      <c r="H81" s="36" t="n"/>
      <c r="I81" s="36" t="n"/>
      <c r="J81" s="36" t="n"/>
      <c r="K81" s="36" t="n"/>
      <c r="L81" s="36" t="n"/>
      <c r="M81" s="36" t="n"/>
      <c r="N81" s="36" t="n"/>
      <c r="O81" s="35" t="n"/>
      <c r="P81" s="36" t="n"/>
      <c r="Q81" s="36" t="n"/>
      <c r="R81" s="36" t="n"/>
      <c r="S81" s="36" t="n"/>
      <c r="T81" s="36" t="n"/>
      <c r="U81" s="36" t="n"/>
      <c r="V81" s="36" t="n"/>
      <c r="W81" s="36" t="n"/>
      <c r="X81" s="36" t="n"/>
      <c r="Y81" s="37">
        <f>IF(OR(Y79="",Y80=""),"",IFERROR(Y79/Y80-1,""))</f>
        <v/>
      </c>
      <c r="Z81" s="38">
        <f>IF(OR(Z79="",Z80=""),"",IFERROR(Z79/Z80-1,""))</f>
        <v/>
      </c>
      <c r="AA81" s="38">
        <f>IF(OR(AA79="",AA80=""),"",IFERROR(AA79/AA80-1,""))</f>
        <v/>
      </c>
      <c r="AB81" s="38">
        <f>IF(OR(AB79="",AB80=""),"",IFERROR(AB79/AB80-1,""))</f>
        <v/>
      </c>
      <c r="AC81" s="38">
        <f>IF(OR(AC79="",AC80=""),"",IFERROR(AC79/AC80-1,""))</f>
        <v/>
      </c>
    </row>
    <row r="82">
      <c r="C82" s="39" t="n"/>
      <c r="O82" s="39" t="n"/>
      <c r="Y82" s="39" t="n"/>
    </row>
    <row r="83">
      <c r="A83" s="40" t="inlineStr">
        <is>
          <t>출처</t>
        </is>
      </c>
      <c r="C83" s="39" t="n"/>
      <c r="O83" s="39" t="n"/>
      <c r="Y83" s="39" t="n"/>
    </row>
    <row r="84">
      <c r="A84" s="41" t="inlineStr">
        <is>
          <t>결산단신 XBRL(TDnet·JPX 보관소) — 쓴 문서는 '출처' 시트</t>
        </is>
      </c>
      <c r="C84" s="39" t="n"/>
      <c r="O84" s="39" t="n"/>
      <c r="Y84" s="39" t="n"/>
    </row>
    <row r="85">
      <c r="A85" s="41" t="inlineStr">
        <is>
          <t>분기 = 누계에서 앞 분기를 뺀 3개월 값</t>
        </is>
      </c>
      <c r="C85" s="39" t="n"/>
      <c r="O85" s="39" t="n"/>
      <c r="Y85" s="39" t="n"/>
    </row>
    <row r="86">
      <c r="A86" s="41" t="inlineStr">
        <is>
          <t>주가: 야후 파이낸스 일봉 2026.10.28</t>
        </is>
      </c>
      <c r="C86" s="39" t="n"/>
      <c r="O86" s="39" t="n"/>
      <c r="Y86" s="39" t="n"/>
    </row>
    <row r="88">
      <c r="A88" s="16" t="inlineStr">
        <is>
          <t>손익계산서 · 전 항목</t>
        </is>
      </c>
      <c r="B88" s="42" t="inlineStr">
        <is>
          <t>분기 = 3개월 단독</t>
        </is>
      </c>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row>
    <row r="89">
      <c r="A89" s="5" t="inlineStr">
        <is>
          <t>항목</t>
        </is>
      </c>
      <c r="B89" s="5" t="inlineStr">
        <is>
          <t>참고</t>
        </is>
      </c>
      <c r="C89" s="5" t="inlineStr">
        <is>
          <t>2024.3Q</t>
        </is>
      </c>
      <c r="D89" s="5" t="inlineStr">
        <is>
          <t>2024.4Q</t>
        </is>
      </c>
      <c r="E89" s="5" t="inlineStr">
        <is>
          <t>2025.1Q</t>
        </is>
      </c>
      <c r="F89" s="5" t="inlineStr">
        <is>
          <t>2025.2Q</t>
        </is>
      </c>
      <c r="G89" s="5" t="inlineStr">
        <is>
          <t>2025.3Q</t>
        </is>
      </c>
      <c r="H89" s="5" t="inlineStr">
        <is>
          <t>2025.4Q</t>
        </is>
      </c>
      <c r="I89" s="5" t="inlineStr">
        <is>
          <t>2026.1Q</t>
        </is>
      </c>
      <c r="J89" s="5" t="inlineStr">
        <is>
          <t>2026.2Q</t>
        </is>
      </c>
      <c r="K89" s="5" t="inlineStr">
        <is>
          <t>2026.3Q</t>
        </is>
      </c>
      <c r="L89" s="5" t="inlineStr">
        <is>
          <t>2026.4Q</t>
        </is>
      </c>
      <c r="M89" s="5" t="inlineStr">
        <is>
          <t>2027.1Q</t>
        </is>
      </c>
      <c r="N89" s="5" t="inlineStr">
        <is>
          <t>2027.2Q</t>
        </is>
      </c>
      <c r="O89" s="5" t="inlineStr">
        <is>
          <t>2017</t>
        </is>
      </c>
      <c r="P89" s="5" t="inlineStr">
        <is>
          <t>2018</t>
        </is>
      </c>
      <c r="Q89" s="5" t="inlineStr">
        <is>
          <t>2019</t>
        </is>
      </c>
      <c r="R89" s="5" t="inlineStr">
        <is>
          <t>2020</t>
        </is>
      </c>
      <c r="S89" s="5" t="inlineStr">
        <is>
          <t>2021</t>
        </is>
      </c>
      <c r="T89" s="5" t="inlineStr">
        <is>
          <t>2022</t>
        </is>
      </c>
      <c r="U89" s="5" t="inlineStr">
        <is>
          <t>2023</t>
        </is>
      </c>
      <c r="V89" s="5" t="inlineStr">
        <is>
          <t>2024</t>
        </is>
      </c>
      <c r="W89" s="5" t="inlineStr">
        <is>
          <t>2025</t>
        </is>
      </c>
      <c r="X89" s="5" t="inlineStr">
        <is>
          <t>2026</t>
        </is>
      </c>
      <c r="Y89" s="5" t="inlineStr">
        <is>
          <t>2027(MW)</t>
        </is>
      </c>
      <c r="Z89" s="5" t="inlineStr">
        <is>
          <t>2028(MW)</t>
        </is>
      </c>
      <c r="AA89" s="5" t="inlineStr">
        <is>
          <t>2029(MW)</t>
        </is>
      </c>
      <c r="AB89" s="5" t="inlineStr">
        <is>
          <t>2030(MW)</t>
        </is>
      </c>
      <c r="AC89" s="5" t="inlineStr">
        <is>
          <t>2031(MW)</t>
        </is>
      </c>
    </row>
    <row r="90">
      <c r="A90" s="9" t="inlineStr">
        <is>
          <t>매출수익</t>
        </is>
      </c>
      <c r="C90" s="12" t="n">
        <v>844475</v>
      </c>
      <c r="D90" s="12" t="n">
        <v>1083986</v>
      </c>
      <c r="E90" s="12" t="n">
        <v>690296</v>
      </c>
      <c r="F90" s="12" t="n">
        <v>796380</v>
      </c>
      <c r="G90" s="12" t="n">
        <v>835133</v>
      </c>
      <c r="H90" s="12" t="n">
        <v>1101622</v>
      </c>
      <c r="I90" s="12" t="n">
        <v>715658</v>
      </c>
      <c r="J90" s="12" t="n">
        <v>854121</v>
      </c>
      <c r="K90" s="12" t="n">
        <v>852538</v>
      </c>
      <c r="L90" s="12" t="n">
        <v>1160416</v>
      </c>
      <c r="M90" s="12" t="n">
        <v>819774</v>
      </c>
      <c r="N90" s="12" t="n">
        <v>934083</v>
      </c>
      <c r="T90" s="12" t="n">
        <v>917739</v>
      </c>
      <c r="U90" s="12" t="n">
        <v>1043759</v>
      </c>
      <c r="V90" s="12" t="n">
        <v>1083986</v>
      </c>
      <c r="W90" s="12" t="n">
        <v>1101622</v>
      </c>
      <c r="X90" s="12" t="n">
        <v>1160416</v>
      </c>
    </row>
    <row r="91">
      <c r="A91" s="43" t="inlineStr">
        <is>
          <t>YoY</t>
        </is>
      </c>
      <c r="B91" s="3" t="inlineStr">
        <is>
          <t>전년 같은 분기·전년 대비</t>
        </is>
      </c>
      <c r="G91" s="15">
        <f>IF(OR(G90="",C90=""),"",IF(C90&lt;=0,"",IFERROR(G90/C90-1,"")))</f>
        <v/>
      </c>
      <c r="H91" s="15">
        <f>IF(OR(H90="",D90=""),"",IF(D90&lt;=0,"",IFERROR(H90/D90-1,"")))</f>
        <v/>
      </c>
      <c r="I91" s="15">
        <f>IF(OR(I90="",E90=""),"",IF(E90&lt;=0,"",IFERROR(I90/E90-1,"")))</f>
        <v/>
      </c>
      <c r="J91" s="15">
        <f>IF(OR(J90="",F90=""),"",IF(F90&lt;=0,"",IFERROR(J90/F90-1,"")))</f>
        <v/>
      </c>
      <c r="K91" s="15">
        <f>IF(OR(K90="",G90=""),"",IF(G90&lt;=0,"",IFERROR(K90/G90-1,"")))</f>
        <v/>
      </c>
      <c r="L91" s="15">
        <f>IF(OR(L90="",H90=""),"",IF(H90&lt;=0,"",IFERROR(L90/H90-1,"")))</f>
        <v/>
      </c>
      <c r="M91" s="15">
        <f>IF(OR(M90="",I90=""),"",IF(I90&lt;=0,"",IFERROR(M90/I90-1,"")))</f>
        <v/>
      </c>
      <c r="N91" s="15">
        <f>IF(OR(N90="",J90=""),"",IF(J90&lt;=0,"",IFERROR(N90/J90-1,"")))</f>
        <v/>
      </c>
      <c r="T91" s="15">
        <f>IF(OR(T90="",S90=""),"",IF(S90&lt;=0,"",IFERROR(T90/S90-1,"")))</f>
        <v/>
      </c>
      <c r="U91" s="15">
        <f>IF(OR(U90="",T90=""),"",IF(T90&lt;=0,"",IFERROR(U90/T90-1,"")))</f>
        <v/>
      </c>
      <c r="V91" s="15">
        <f>IF(OR(V90="",U90=""),"",IF(U90&lt;=0,"",IFERROR(V90/U90-1,"")))</f>
        <v/>
      </c>
      <c r="W91" s="15">
        <f>IF(OR(W90="",V90=""),"",IF(V90&lt;=0,"",IFERROR(W90/V90-1,"")))</f>
        <v/>
      </c>
      <c r="X91" s="15">
        <f>IF(OR(X90="",W90=""),"",IF(W90&lt;=0,"",IFERROR(X90/W90-1,"")))</f>
        <v/>
      </c>
    </row>
    <row r="92">
      <c r="A92" s="18" t="inlineStr">
        <is>
          <t>매출원가</t>
        </is>
      </c>
      <c r="C92" s="20" t="n">
        <v>597495</v>
      </c>
      <c r="D92" s="20" t="n">
        <v>748981</v>
      </c>
      <c r="E92" s="20" t="n">
        <v>500126</v>
      </c>
      <c r="F92" s="20" t="n">
        <v>563126</v>
      </c>
      <c r="G92" s="20" t="n">
        <v>556674</v>
      </c>
      <c r="H92" s="20" t="n">
        <v>742949</v>
      </c>
      <c r="I92" s="20" t="n">
        <v>499470</v>
      </c>
      <c r="J92" s="20" t="n">
        <v>581058</v>
      </c>
      <c r="K92" s="20" t="n">
        <v>579899</v>
      </c>
      <c r="L92" s="20" t="n">
        <v>741010</v>
      </c>
      <c r="M92" s="20" t="n">
        <v>551411</v>
      </c>
      <c r="N92" s="20" t="n">
        <v>613705</v>
      </c>
      <c r="T92" s="20" t="n">
        <v>625380</v>
      </c>
      <c r="U92" s="20" t="n">
        <v>707152</v>
      </c>
      <c r="V92" s="20" t="n">
        <v>748981</v>
      </c>
      <c r="W92" s="20" t="n">
        <v>742949</v>
      </c>
      <c r="X92" s="20" t="n">
        <v>741010</v>
      </c>
    </row>
    <row r="93">
      <c r="A93" s="43" t="inlineStr">
        <is>
          <t>YoY</t>
        </is>
      </c>
      <c r="B93" s="3" t="inlineStr">
        <is>
          <t>전년 같은 분기·전년 대비</t>
        </is>
      </c>
      <c r="G93" s="15">
        <f>IF(OR(G92="",C92=""),"",IF(G92*C92&lt;=0,"",IFERROR(G92/C92-1,"")))</f>
        <v/>
      </c>
      <c r="H93" s="15">
        <f>IF(OR(H92="",D92=""),"",IF(H92*D92&lt;=0,"",IFERROR(H92/D92-1,"")))</f>
        <v/>
      </c>
      <c r="I93" s="15">
        <f>IF(OR(I92="",E92=""),"",IF(I92*E92&lt;=0,"",IFERROR(I92/E92-1,"")))</f>
        <v/>
      </c>
      <c r="J93" s="15">
        <f>IF(OR(J92="",F92=""),"",IF(J92*F92&lt;=0,"",IFERROR(J92/F92-1,"")))</f>
        <v/>
      </c>
      <c r="K93" s="15">
        <f>IF(OR(K92="",G92=""),"",IF(K92*G92&lt;=0,"",IFERROR(K92/G92-1,"")))</f>
        <v/>
      </c>
      <c r="L93" s="15">
        <f>IF(OR(L92="",H92=""),"",IF(L92*H92&lt;=0,"",IFERROR(L92/H92-1,"")))</f>
        <v/>
      </c>
      <c r="M93" s="15">
        <f>IF(OR(M92="",I92=""),"",IF(M92*I92&lt;=0,"",IFERROR(M92/I92-1,"")))</f>
        <v/>
      </c>
      <c r="N93" s="15">
        <f>IF(OR(N92="",J92=""),"",IF(N92*J92&lt;=0,"",IFERROR(N92/J92-1,"")))</f>
        <v/>
      </c>
      <c r="T93" s="15">
        <f>IF(OR(T92="",S92=""),"",IF(T92*S92&lt;=0,"",IFERROR(T92/S92-1,"")))</f>
        <v/>
      </c>
      <c r="U93" s="15">
        <f>IF(OR(U92="",T92=""),"",IF(U92*T92&lt;=0,"",IFERROR(U92/T92-1,"")))</f>
        <v/>
      </c>
      <c r="V93" s="15">
        <f>IF(OR(V92="",U92=""),"",IF(V92*U92&lt;=0,"",IFERROR(V92/U92-1,"")))</f>
        <v/>
      </c>
      <c r="W93" s="15">
        <f>IF(OR(W92="",V92=""),"",IF(W92*V92&lt;=0,"",IFERROR(W92/V92-1,"")))</f>
        <v/>
      </c>
      <c r="X93" s="15">
        <f>IF(OR(X92="",W92=""),"",IF(X92*W92&lt;=0,"",IFERROR(X92/W92-1,"")))</f>
        <v/>
      </c>
    </row>
    <row r="94">
      <c r="A94" s="9" t="inlineStr">
        <is>
          <t>매출총이익</t>
        </is>
      </c>
      <c r="C94" s="12" t="n">
        <v>246980</v>
      </c>
      <c r="D94" s="12" t="n">
        <v>335005</v>
      </c>
      <c r="E94" s="12" t="n">
        <v>190170</v>
      </c>
      <c r="F94" s="12" t="n">
        <v>233254</v>
      </c>
      <c r="G94" s="12" t="n">
        <v>278459</v>
      </c>
      <c r="H94" s="12" t="n">
        <v>358673</v>
      </c>
      <c r="I94" s="12" t="n">
        <v>216188</v>
      </c>
      <c r="J94" s="12" t="n">
        <v>273063</v>
      </c>
      <c r="K94" s="12" t="n">
        <v>272639</v>
      </c>
      <c r="L94" s="12" t="n">
        <v>419406</v>
      </c>
      <c r="M94" s="12" t="n">
        <v>268363</v>
      </c>
      <c r="N94" s="12" t="n">
        <v>320378</v>
      </c>
      <c r="T94" s="12" t="n">
        <v>292359</v>
      </c>
      <c r="U94" s="12" t="n">
        <v>336607</v>
      </c>
      <c r="V94" s="12" t="n">
        <v>335005</v>
      </c>
      <c r="W94" s="12" t="n">
        <v>358673</v>
      </c>
      <c r="X94" s="12" t="n">
        <v>419406</v>
      </c>
    </row>
    <row r="95">
      <c r="A95" s="43" t="inlineStr">
        <is>
          <t>YoY</t>
        </is>
      </c>
      <c r="B95" s="3" t="inlineStr">
        <is>
          <t>전년 같은 분기·전년 대비</t>
        </is>
      </c>
      <c r="G95" s="15">
        <f>IF(OR(G94="",C94=""),"",IF(C94&lt;=0,"",IFERROR(G94/C94-1,"")))</f>
        <v/>
      </c>
      <c r="H95" s="15">
        <f>IF(OR(H94="",D94=""),"",IF(D94&lt;=0,"",IFERROR(H94/D94-1,"")))</f>
        <v/>
      </c>
      <c r="I95" s="15">
        <f>IF(OR(I94="",E94=""),"",IF(E94&lt;=0,"",IFERROR(I94/E94-1,"")))</f>
        <v/>
      </c>
      <c r="J95" s="15">
        <f>IF(OR(J94="",F94=""),"",IF(F94&lt;=0,"",IFERROR(J94/F94-1,"")))</f>
        <v/>
      </c>
      <c r="K95" s="15">
        <f>IF(OR(K94="",G94=""),"",IF(G94&lt;=0,"",IFERROR(K94/G94-1,"")))</f>
        <v/>
      </c>
      <c r="L95" s="15">
        <f>IF(OR(L94="",H94=""),"",IF(H94&lt;=0,"",IFERROR(L94/H94-1,"")))</f>
        <v/>
      </c>
      <c r="M95" s="15">
        <f>IF(OR(M94="",I94=""),"",IF(I94&lt;=0,"",IFERROR(M94/I94-1,"")))</f>
        <v/>
      </c>
      <c r="N95" s="15">
        <f>IF(OR(N94="",J94=""),"",IF(J94&lt;=0,"",IFERROR(N94/J94-1,"")))</f>
        <v/>
      </c>
      <c r="T95" s="15">
        <f>IF(OR(T94="",S94=""),"",IF(S94&lt;=0,"",IFERROR(T94/S94-1,"")))</f>
        <v/>
      </c>
      <c r="U95" s="15">
        <f>IF(OR(U94="",T94=""),"",IF(T94&lt;=0,"",IFERROR(U94/T94-1,"")))</f>
        <v/>
      </c>
      <c r="V95" s="15">
        <f>IF(OR(V94="",U94=""),"",IF(U94&lt;=0,"",IFERROR(V94/U94-1,"")))</f>
        <v/>
      </c>
      <c r="W95" s="15">
        <f>IF(OR(W94="",V94=""),"",IF(V94&lt;=0,"",IFERROR(W94/V94-1,"")))</f>
        <v/>
      </c>
      <c r="X95" s="15">
        <f>IF(OR(X94="",W94=""),"",IF(W94&lt;=0,"",IFERROR(X94/W94-1,"")))</f>
        <v/>
      </c>
    </row>
    <row r="96">
      <c r="A96" s="18" t="inlineStr">
        <is>
          <t>판매비와 관리비</t>
        </is>
      </c>
      <c r="C96" s="20" t="n">
        <v>201577</v>
      </c>
      <c r="D96" s="20" t="n">
        <v>216511</v>
      </c>
      <c r="E96" s="20" t="n">
        <v>184086</v>
      </c>
      <c r="F96" s="20" t="n">
        <v>193389</v>
      </c>
      <c r="G96" s="20" t="n">
        <v>189138</v>
      </c>
      <c r="H96" s="20" t="n">
        <v>210811</v>
      </c>
      <c r="I96" s="20" t="n">
        <v>183681</v>
      </c>
      <c r="J96" s="20" t="n">
        <v>191841</v>
      </c>
      <c r="K96" s="20" t="n">
        <v>199399</v>
      </c>
      <c r="L96" s="20" t="n">
        <v>230634</v>
      </c>
      <c r="M96" s="20" t="n">
        <v>208359</v>
      </c>
      <c r="N96" s="20" t="n">
        <v>215865</v>
      </c>
      <c r="T96" s="20" t="n">
        <v>209836</v>
      </c>
      <c r="U96" s="20" t="n">
        <v>215464</v>
      </c>
      <c r="V96" s="20" t="n">
        <v>216511</v>
      </c>
      <c r="W96" s="20" t="n">
        <v>210811</v>
      </c>
      <c r="X96" s="20" t="n">
        <v>230634</v>
      </c>
    </row>
    <row r="97">
      <c r="A97" s="43" t="inlineStr">
        <is>
          <t>YoY</t>
        </is>
      </c>
      <c r="B97" s="3" t="inlineStr">
        <is>
          <t>전년 같은 분기·전년 대비</t>
        </is>
      </c>
      <c r="G97" s="15">
        <f>IF(OR(G96="",C96=""),"",IF(G96*C96&lt;=0,"",IFERROR(G96/C96-1,"")))</f>
        <v/>
      </c>
      <c r="H97" s="15">
        <f>IF(OR(H96="",D96=""),"",IF(H96*D96&lt;=0,"",IFERROR(H96/D96-1,"")))</f>
        <v/>
      </c>
      <c r="I97" s="15">
        <f>IF(OR(I96="",E96=""),"",IF(I96*E96&lt;=0,"",IFERROR(I96/E96-1,"")))</f>
        <v/>
      </c>
      <c r="J97" s="15">
        <f>IF(OR(J96="",F96=""),"",IF(J96*F96&lt;=0,"",IFERROR(J96/F96-1,"")))</f>
        <v/>
      </c>
      <c r="K97" s="15">
        <f>IF(OR(K96="",G96=""),"",IF(K96*G96&lt;=0,"",IFERROR(K96/G96-1,"")))</f>
        <v/>
      </c>
      <c r="L97" s="15">
        <f>IF(OR(L96="",H96=""),"",IF(L96*H96&lt;=0,"",IFERROR(L96/H96-1,"")))</f>
        <v/>
      </c>
      <c r="M97" s="15">
        <f>IF(OR(M96="",I96=""),"",IF(M96*I96&lt;=0,"",IFERROR(M96/I96-1,"")))</f>
        <v/>
      </c>
      <c r="N97" s="15">
        <f>IF(OR(N96="",J96=""),"",IF(N96*J96&lt;=0,"",IFERROR(N96/J96-1,"")))</f>
        <v/>
      </c>
      <c r="T97" s="15">
        <f>IF(OR(T96="",S96=""),"",IF(T96*S96&lt;=0,"",IFERROR(T96/S96-1,"")))</f>
        <v/>
      </c>
      <c r="U97" s="15">
        <f>IF(OR(U96="",T96=""),"",IF(U96*T96&lt;=0,"",IFERROR(U96/T96-1,"")))</f>
        <v/>
      </c>
      <c r="V97" s="15">
        <f>IF(OR(V96="",U96=""),"",IF(V96*U96&lt;=0,"",IFERROR(V96/U96-1,"")))</f>
        <v/>
      </c>
      <c r="W97" s="15">
        <f>IF(OR(W96="",V96=""),"",IF(W96*V96&lt;=0,"",IFERROR(W96/V96-1,"")))</f>
        <v/>
      </c>
      <c r="X97" s="15">
        <f>IF(OR(X96="",W96=""),"",IF(X96*W96&lt;=0,"",IFERROR(X96/W96-1,"")))</f>
        <v/>
      </c>
    </row>
    <row r="98">
      <c r="A98" s="18" t="inlineStr">
        <is>
          <t>Other Income And Expenses Net</t>
        </is>
      </c>
      <c r="C98" s="20" t="n">
        <v>-3583</v>
      </c>
      <c r="D98" s="20" t="n">
        <v>-297</v>
      </c>
      <c r="E98" s="20" t="n">
        <v>-1544</v>
      </c>
      <c r="F98" s="20" t="n">
        <v>288</v>
      </c>
      <c r="G98" s="20" t="n">
        <v>-7848</v>
      </c>
      <c r="H98" s="20" t="n">
        <v>-17531</v>
      </c>
      <c r="I98" s="20" t="n">
        <v>2882</v>
      </c>
      <c r="J98" s="20" t="n">
        <v>1959</v>
      </c>
      <c r="K98" s="20" t="n">
        <v>-6649</v>
      </c>
      <c r="L98" s="20" t="n">
        <v>-14020</v>
      </c>
      <c r="M98" s="20" t="n">
        <v>-1234</v>
      </c>
      <c r="N98" s="20" t="n">
        <v>-17129</v>
      </c>
      <c r="T98" s="20" t="n">
        <v>2740</v>
      </c>
      <c r="U98" s="20" t="n">
        <v>-7795</v>
      </c>
      <c r="V98" s="20" t="n">
        <v>-297</v>
      </c>
      <c r="W98" s="20" t="n">
        <v>-17531</v>
      </c>
      <c r="X98" s="20" t="n">
        <v>-14020</v>
      </c>
    </row>
    <row r="99">
      <c r="A99" s="18" t="inlineStr">
        <is>
          <t>영업이익</t>
        </is>
      </c>
      <c r="C99" s="20" t="n">
        <v>41820</v>
      </c>
      <c r="D99" s="20" t="n">
        <v>118197</v>
      </c>
      <c r="E99" s="20" t="n">
        <v>4540</v>
      </c>
      <c r="F99" s="20" t="n">
        <v>40153</v>
      </c>
      <c r="G99" s="20" t="n">
        <v>81473</v>
      </c>
      <c r="H99" s="20" t="n">
        <v>130331</v>
      </c>
      <c r="I99" s="20" t="n">
        <v>35389</v>
      </c>
      <c r="J99" s="20" t="n">
        <v>83181</v>
      </c>
      <c r="K99" s="20" t="n">
        <v>66591</v>
      </c>
      <c r="L99" s="20" t="n">
        <v>174752</v>
      </c>
      <c r="M99" s="20" t="n">
        <v>58770</v>
      </c>
      <c r="N99" s="20" t="n">
        <v>87384</v>
      </c>
      <c r="T99" s="20" t="n">
        <v>85263</v>
      </c>
      <c r="U99" s="20" t="n">
        <v>113348</v>
      </c>
      <c r="V99" s="20" t="n">
        <v>118197</v>
      </c>
      <c r="W99" s="20" t="n">
        <v>130331</v>
      </c>
      <c r="X99" s="20" t="n">
        <v>174752</v>
      </c>
    </row>
    <row r="100">
      <c r="A100" s="43" t="inlineStr">
        <is>
          <t>OPM</t>
        </is>
      </c>
      <c r="B100" s="3" t="inlineStr">
        <is>
          <t>영업이익 ÷ 매출</t>
        </is>
      </c>
      <c r="C100" s="15">
        <f>IF(OR(C99="",C90=""),"",IF(C90&lt;=0,"",IFERROR(C99/C90,"")))</f>
        <v/>
      </c>
      <c r="D100" s="15">
        <f>IF(OR(D99="",D90=""),"",IF(D90&lt;=0,"",IFERROR(D99/D90,"")))</f>
        <v/>
      </c>
      <c r="E100" s="15">
        <f>IF(OR(E99="",E90=""),"",IF(E90&lt;=0,"",IFERROR(E99/E90,"")))</f>
        <v/>
      </c>
      <c r="F100" s="15">
        <f>IF(OR(F99="",F90=""),"",IF(F90&lt;=0,"",IFERROR(F99/F90,"")))</f>
        <v/>
      </c>
      <c r="G100" s="15">
        <f>IF(OR(G99="",G90=""),"",IF(G90&lt;=0,"",IFERROR(G99/G90,"")))</f>
        <v/>
      </c>
      <c r="H100" s="15">
        <f>IF(OR(H99="",H90=""),"",IF(H90&lt;=0,"",IFERROR(H99/H90,"")))</f>
        <v/>
      </c>
      <c r="I100" s="15">
        <f>IF(OR(I99="",I90=""),"",IF(I90&lt;=0,"",IFERROR(I99/I90,"")))</f>
        <v/>
      </c>
      <c r="J100" s="15">
        <f>IF(OR(J99="",J90=""),"",IF(J90&lt;=0,"",IFERROR(J99/J90,"")))</f>
        <v/>
      </c>
      <c r="K100" s="15">
        <f>IF(OR(K99="",K90=""),"",IF(K90&lt;=0,"",IFERROR(K99/K90,"")))</f>
        <v/>
      </c>
      <c r="L100" s="15">
        <f>IF(OR(L99="",L90=""),"",IF(L90&lt;=0,"",IFERROR(L99/L90,"")))</f>
        <v/>
      </c>
      <c r="M100" s="15">
        <f>IF(OR(M99="",M90=""),"",IF(M90&lt;=0,"",IFERROR(M99/M90,"")))</f>
        <v/>
      </c>
      <c r="N100" s="15">
        <f>IF(OR(N99="",N90=""),"",IF(N90&lt;=0,"",IFERROR(N99/N90,"")))</f>
        <v/>
      </c>
      <c r="T100" s="15">
        <f>IF(OR(T99="",T90=""),"",IF(T90&lt;=0,"",IFERROR(T99/T90,"")))</f>
        <v/>
      </c>
      <c r="U100" s="15">
        <f>IF(OR(U99="",U90=""),"",IF(U90&lt;=0,"",IFERROR(U99/U90,"")))</f>
        <v/>
      </c>
      <c r="V100" s="15">
        <f>IF(OR(V99="",V90=""),"",IF(V90&lt;=0,"",IFERROR(V99/V90,"")))</f>
        <v/>
      </c>
      <c r="W100" s="15">
        <f>IF(OR(W99="",W90=""),"",IF(W90&lt;=0,"",IFERROR(W99/W90,"")))</f>
        <v/>
      </c>
      <c r="X100" s="15">
        <f>IF(OR(X99="",X90=""),"",IF(X90&lt;=0,"",IFERROR(X99/X90,"")))</f>
        <v/>
      </c>
    </row>
    <row r="101">
      <c r="A101" s="43" t="inlineStr">
        <is>
          <t>YoY</t>
        </is>
      </c>
      <c r="B101" s="3" t="inlineStr">
        <is>
          <t>전년 같은 분기·전년 대비</t>
        </is>
      </c>
      <c r="G101" s="15">
        <f>IF(OR(G99="",C99=""),"",IF(C99&lt;=0,"",IFERROR(G99/C99-1,"")))</f>
        <v/>
      </c>
      <c r="H101" s="15">
        <f>IF(OR(H99="",D99=""),"",IF(D99&lt;=0,"",IFERROR(H99/D99-1,"")))</f>
        <v/>
      </c>
      <c r="I101" s="15">
        <f>IF(OR(I99="",E99=""),"",IF(E99&lt;=0,"",IFERROR(I99/E99-1,"")))</f>
        <v/>
      </c>
      <c r="J101" s="15">
        <f>IF(OR(J99="",F99=""),"",IF(F99&lt;=0,"",IFERROR(J99/F99-1,"")))</f>
        <v/>
      </c>
      <c r="K101" s="15">
        <f>IF(OR(K99="",G99=""),"",IF(G99&lt;=0,"",IFERROR(K99/G99-1,"")))</f>
        <v/>
      </c>
      <c r="L101" s="15">
        <f>IF(OR(L99="",H99=""),"",IF(H99&lt;=0,"",IFERROR(L99/H99-1,"")))</f>
        <v/>
      </c>
      <c r="M101" s="15">
        <f>IF(OR(M99="",I99=""),"",IF(I99&lt;=0,"",IFERROR(M99/I99-1,"")))</f>
        <v/>
      </c>
      <c r="N101" s="15">
        <f>IF(OR(N99="",J99=""),"",IF(J99&lt;=0,"",IFERROR(N99/J99-1,"")))</f>
        <v/>
      </c>
      <c r="T101" s="15">
        <f>IF(OR(T99="",S99=""),"",IF(S99&lt;=0,"",IFERROR(T99/S99-1,"")))</f>
        <v/>
      </c>
      <c r="U101" s="15">
        <f>IF(OR(U99="",T99=""),"",IF(T99&lt;=0,"",IFERROR(U99/T99-1,"")))</f>
        <v/>
      </c>
      <c r="V101" s="15">
        <f>IF(OR(V99="",U99=""),"",IF(U99&lt;=0,"",IFERROR(V99/U99-1,"")))</f>
        <v/>
      </c>
      <c r="W101" s="15">
        <f>IF(OR(W99="",V99=""),"",IF(V99&lt;=0,"",IFERROR(W99/V99-1,"")))</f>
        <v/>
      </c>
      <c r="X101" s="15">
        <f>IF(OR(X99="",W99=""),"",IF(W99&lt;=0,"",IFERROR(X99/W99-1,"")))</f>
        <v/>
      </c>
    </row>
    <row r="102">
      <c r="A102" s="18" t="inlineStr">
        <is>
          <t>금융수익</t>
        </is>
      </c>
      <c r="C102" s="20" t="n">
        <v>-881</v>
      </c>
      <c r="D102" s="20" t="n">
        <v>2970</v>
      </c>
      <c r="E102" s="20" t="n">
        <v>5585</v>
      </c>
      <c r="F102" s="20" t="n">
        <v>-1014</v>
      </c>
      <c r="G102" s="20" t="n">
        <v>4825</v>
      </c>
      <c r="H102" s="20" t="n">
        <v>560</v>
      </c>
      <c r="I102" s="20" t="n">
        <v>3302</v>
      </c>
      <c r="J102" s="20" t="n">
        <v>2888</v>
      </c>
      <c r="K102" s="20" t="n">
        <v>33061</v>
      </c>
      <c r="L102" s="20" t="n">
        <v>13698</v>
      </c>
      <c r="M102" s="20" t="n">
        <v>4263</v>
      </c>
      <c r="N102" s="20" t="n">
        <v>5220</v>
      </c>
      <c r="T102" s="20" t="n">
        <v>11256</v>
      </c>
      <c r="U102" s="20" t="n">
        <v>2953</v>
      </c>
      <c r="V102" s="20" t="n">
        <v>2970</v>
      </c>
      <c r="W102" s="20" t="n">
        <v>560</v>
      </c>
      <c r="X102" s="20" t="n">
        <v>13698</v>
      </c>
    </row>
    <row r="103">
      <c r="A103" s="43" t="inlineStr">
        <is>
          <t>YoY</t>
        </is>
      </c>
      <c r="B103" s="3" t="inlineStr">
        <is>
          <t>전년 같은 분기·전년 대비</t>
        </is>
      </c>
      <c r="G103" s="15">
        <f>IF(OR(G102="",C102=""),"",IF(G102*C102&lt;=0,"",IFERROR(G102/C102-1,"")))</f>
        <v/>
      </c>
      <c r="H103" s="15">
        <f>IF(OR(H102="",D102=""),"",IF(H102*D102&lt;=0,"",IFERROR(H102/D102-1,"")))</f>
        <v/>
      </c>
      <c r="I103" s="15">
        <f>IF(OR(I102="",E102=""),"",IF(I102*E102&lt;=0,"",IFERROR(I102/E102-1,"")))</f>
        <v/>
      </c>
      <c r="J103" s="15">
        <f>IF(OR(J102="",F102=""),"",IF(J102*F102&lt;=0,"",IFERROR(J102/F102-1,"")))</f>
        <v/>
      </c>
      <c r="K103" s="15">
        <f>IF(OR(K102="",G102=""),"",IF(K102*G102&lt;=0,"",IFERROR(K102/G102-1,"")))</f>
        <v/>
      </c>
      <c r="L103" s="15">
        <f>IF(OR(L102="",H102=""),"",IF(L102*H102&lt;=0,"",IFERROR(L102/H102-1,"")))</f>
        <v/>
      </c>
      <c r="M103" s="15">
        <f>IF(OR(M102="",I102=""),"",IF(M102*I102&lt;=0,"",IFERROR(M102/I102-1,"")))</f>
        <v/>
      </c>
      <c r="N103" s="15">
        <f>IF(OR(N102="",J102=""),"",IF(N102*J102&lt;=0,"",IFERROR(N102/J102-1,"")))</f>
        <v/>
      </c>
      <c r="T103" s="15">
        <f>IF(OR(T102="",S102=""),"",IF(T102*S102&lt;=0,"",IFERROR(T102/S102-1,"")))</f>
        <v/>
      </c>
      <c r="U103" s="15">
        <f>IF(OR(U102="",T102=""),"",IF(U102*T102&lt;=0,"",IFERROR(U102/T102-1,"")))</f>
        <v/>
      </c>
      <c r="V103" s="15">
        <f>IF(OR(V102="",U102=""),"",IF(V102*U102&lt;=0,"",IFERROR(V102/U102-1,"")))</f>
        <v/>
      </c>
      <c r="W103" s="15">
        <f>IF(OR(W102="",V102=""),"",IF(W102*V102&lt;=0,"",IFERROR(W102/V102-1,"")))</f>
        <v/>
      </c>
      <c r="X103" s="15">
        <f>IF(OR(X102="",W102=""),"",IF(X102*W102&lt;=0,"",IFERROR(X102/W102-1,"")))</f>
        <v/>
      </c>
    </row>
    <row r="104">
      <c r="A104" s="18" t="inlineStr">
        <is>
          <t>금융비용</t>
        </is>
      </c>
      <c r="C104" s="20" t="n">
        <v>6579</v>
      </c>
      <c r="D104" s="20" t="n">
        <v>5398</v>
      </c>
      <c r="E104" s="20" t="n">
        <v>3667</v>
      </c>
      <c r="F104" s="20" t="n">
        <v>7062</v>
      </c>
      <c r="G104" s="20" t="n">
        <v>-933</v>
      </c>
      <c r="H104" s="20" t="n">
        <v>6783</v>
      </c>
      <c r="I104" s="20" t="n">
        <v>7660</v>
      </c>
      <c r="J104" s="20" t="n">
        <v>3261</v>
      </c>
      <c r="K104" s="20" t="n">
        <v>-1462</v>
      </c>
      <c r="L104" s="20" t="n">
        <v>8709</v>
      </c>
      <c r="M104" s="20" t="n">
        <v>6720</v>
      </c>
      <c r="N104" s="20" t="n">
        <v>7089</v>
      </c>
      <c r="T104" s="20" t="n">
        <v>2592</v>
      </c>
      <c r="U104" s="20" t="n">
        <v>6353</v>
      </c>
      <c r="V104" s="20" t="n">
        <v>5398</v>
      </c>
      <c r="W104" s="20" t="n">
        <v>6783</v>
      </c>
      <c r="X104" s="20" t="n">
        <v>8709</v>
      </c>
    </row>
    <row r="105">
      <c r="A105" s="43" t="inlineStr">
        <is>
          <t>YoY</t>
        </is>
      </c>
      <c r="B105" s="3" t="inlineStr">
        <is>
          <t>전년 같은 분기·전년 대비</t>
        </is>
      </c>
      <c r="G105" s="15">
        <f>IF(OR(G104="",C104=""),"",IF(G104*C104&lt;=0,"",IFERROR(G104/C104-1,"")))</f>
        <v/>
      </c>
      <c r="H105" s="15">
        <f>IF(OR(H104="",D104=""),"",IF(H104*D104&lt;=0,"",IFERROR(H104/D104-1,"")))</f>
        <v/>
      </c>
      <c r="I105" s="15">
        <f>IF(OR(I104="",E104=""),"",IF(I104*E104&lt;=0,"",IFERROR(I104/E104-1,"")))</f>
        <v/>
      </c>
      <c r="J105" s="15">
        <f>IF(OR(J104="",F104=""),"",IF(J104*F104&lt;=0,"",IFERROR(J104/F104-1,"")))</f>
        <v/>
      </c>
      <c r="K105" s="15">
        <f>IF(OR(K104="",G104=""),"",IF(K104*G104&lt;=0,"",IFERROR(K104/G104-1,"")))</f>
        <v/>
      </c>
      <c r="L105" s="15">
        <f>IF(OR(L104="",H104=""),"",IF(L104*H104&lt;=0,"",IFERROR(L104/H104-1,"")))</f>
        <v/>
      </c>
      <c r="M105" s="15">
        <f>IF(OR(M104="",I104=""),"",IF(M104*I104&lt;=0,"",IFERROR(M104/I104-1,"")))</f>
        <v/>
      </c>
      <c r="N105" s="15">
        <f>IF(OR(N104="",J104=""),"",IF(N104*J104&lt;=0,"",IFERROR(N104/J104-1,"")))</f>
        <v/>
      </c>
      <c r="T105" s="15">
        <f>IF(OR(T104="",S104=""),"",IF(T104*S104&lt;=0,"",IFERROR(T104/S104-1,"")))</f>
        <v/>
      </c>
      <c r="U105" s="15">
        <f>IF(OR(U104="",T104=""),"",IF(U104*T104&lt;=0,"",IFERROR(U104/T104-1,"")))</f>
        <v/>
      </c>
      <c r="V105" s="15">
        <f>IF(OR(V104="",U104=""),"",IF(V104*U104&lt;=0,"",IFERROR(V104/U104-1,"")))</f>
        <v/>
      </c>
      <c r="W105" s="15">
        <f>IF(OR(W104="",V104=""),"",IF(W104*V104&lt;=0,"",IFERROR(W104/V104-1,"")))</f>
        <v/>
      </c>
      <c r="X105" s="15">
        <f>IF(OR(X104="",W104=""),"",IF(X104*W104&lt;=0,"",IFERROR(X104/W104-1,"")))</f>
        <v/>
      </c>
    </row>
    <row r="106">
      <c r="A106" s="18" t="inlineStr">
        <is>
          <t>지분법이익</t>
        </is>
      </c>
      <c r="C106" s="20" t="n">
        <v>1817</v>
      </c>
      <c r="D106" s="20" t="n">
        <v>1088</v>
      </c>
      <c r="E106" s="20" t="n">
        <v>-9781</v>
      </c>
      <c r="F106" s="20" t="n">
        <v>-2077</v>
      </c>
      <c r="G106" s="20" t="n">
        <v>421</v>
      </c>
      <c r="H106" s="20" t="n">
        <v>1334</v>
      </c>
      <c r="I106" s="20" t="n">
        <v>1072</v>
      </c>
      <c r="J106" s="20" t="n">
        <v>523</v>
      </c>
      <c r="K106" s="20" t="n">
        <v>223</v>
      </c>
      <c r="L106" s="20" t="n">
        <v>1663</v>
      </c>
      <c r="M106" s="20" t="n">
        <v>216</v>
      </c>
      <c r="N106" s="20" t="n">
        <v>154</v>
      </c>
      <c r="T106" s="20" t="n">
        <v>1424</v>
      </c>
      <c r="U106" s="20" t="n">
        <v>120</v>
      </c>
      <c r="V106" s="20" t="n">
        <v>1088</v>
      </c>
      <c r="W106" s="20" t="n">
        <v>1334</v>
      </c>
      <c r="X106" s="20" t="n">
        <v>1663</v>
      </c>
    </row>
    <row r="107">
      <c r="A107" s="9" t="inlineStr">
        <is>
          <t>법인세비용차감전 중간이익</t>
        </is>
      </c>
      <c r="C107" s="12" t="n">
        <v>36177</v>
      </c>
      <c r="D107" s="12" t="n">
        <v>116857</v>
      </c>
      <c r="E107" s="12" t="n">
        <v>-3323</v>
      </c>
      <c r="F107" s="12" t="n">
        <v>30000</v>
      </c>
      <c r="G107" s="12" t="n">
        <v>87652</v>
      </c>
      <c r="H107" s="12" t="n">
        <v>125442</v>
      </c>
      <c r="I107" s="12" t="n">
        <v>32103</v>
      </c>
      <c r="J107" s="12" t="n">
        <v>83331</v>
      </c>
      <c r="K107" s="12" t="n">
        <v>101337</v>
      </c>
      <c r="L107" s="12" t="n">
        <v>181404</v>
      </c>
      <c r="M107" s="12" t="n">
        <v>56529</v>
      </c>
      <c r="N107" s="12" t="n">
        <v>85669</v>
      </c>
      <c r="T107" s="12" t="n">
        <v>95351</v>
      </c>
      <c r="U107" s="12" t="n">
        <v>110068</v>
      </c>
      <c r="V107" s="12" t="n">
        <v>116857</v>
      </c>
      <c r="W107" s="12" t="n">
        <v>125442</v>
      </c>
      <c r="X107" s="12" t="n">
        <v>181404</v>
      </c>
    </row>
    <row r="108">
      <c r="A108" s="18" t="inlineStr">
        <is>
          <t>법인소득세 비용</t>
        </is>
      </c>
      <c r="C108" s="20" t="n">
        <v>11226</v>
      </c>
      <c r="D108" s="20" t="n">
        <v>-5153</v>
      </c>
      <c r="E108" s="20" t="n">
        <v>2716</v>
      </c>
      <c r="F108" s="20" t="n">
        <v>9113</v>
      </c>
      <c r="G108" s="20" t="n">
        <v>26371</v>
      </c>
      <c r="H108" s="20" t="n">
        <v>16907</v>
      </c>
      <c r="I108" s="20" t="n">
        <v>12647</v>
      </c>
      <c r="J108" s="20" t="n">
        <v>29173</v>
      </c>
      <c r="K108" s="20" t="n">
        <v>30936</v>
      </c>
      <c r="L108" s="20" t="n">
        <v>52095</v>
      </c>
      <c r="M108" s="20" t="n">
        <v>6552</v>
      </c>
      <c r="N108" s="20" t="n">
        <v>17986</v>
      </c>
      <c r="T108" s="20" t="n">
        <v>-27883</v>
      </c>
      <c r="U108" s="20" t="n">
        <v>15847</v>
      </c>
      <c r="V108" s="20" t="n">
        <v>-5153</v>
      </c>
      <c r="W108" s="20" t="n">
        <v>16907</v>
      </c>
      <c r="X108" s="20" t="n">
        <v>52095</v>
      </c>
    </row>
    <row r="109">
      <c r="A109" s="43" t="inlineStr">
        <is>
          <t>YoY</t>
        </is>
      </c>
      <c r="B109" s="3" t="inlineStr">
        <is>
          <t>전년 같은 분기·전년 대비</t>
        </is>
      </c>
      <c r="G109" s="15">
        <f>IF(OR(G108="",C108=""),"",IF(G108*C108&lt;=0,"",IFERROR(G108/C108-1,"")))</f>
        <v/>
      </c>
      <c r="H109" s="15">
        <f>IF(OR(H108="",D108=""),"",IF(H108*D108&lt;=0,"",IFERROR(H108/D108-1,"")))</f>
        <v/>
      </c>
      <c r="I109" s="15">
        <f>IF(OR(I108="",E108=""),"",IF(I108*E108&lt;=0,"",IFERROR(I108/E108-1,"")))</f>
        <v/>
      </c>
      <c r="J109" s="15">
        <f>IF(OR(J108="",F108=""),"",IF(J108*F108&lt;=0,"",IFERROR(J108/F108-1,"")))</f>
        <v/>
      </c>
      <c r="K109" s="15">
        <f>IF(OR(K108="",G108=""),"",IF(K108*G108&lt;=0,"",IFERROR(K108/G108-1,"")))</f>
        <v/>
      </c>
      <c r="L109" s="15">
        <f>IF(OR(L108="",H108=""),"",IF(L108*H108&lt;=0,"",IFERROR(L108/H108-1,"")))</f>
        <v/>
      </c>
      <c r="M109" s="15">
        <f>IF(OR(M108="",I108=""),"",IF(M108*I108&lt;=0,"",IFERROR(M108/I108-1,"")))</f>
        <v/>
      </c>
      <c r="N109" s="15">
        <f>IF(OR(N108="",J108=""),"",IF(N108*J108&lt;=0,"",IFERROR(N108/J108-1,"")))</f>
        <v/>
      </c>
      <c r="T109" s="15">
        <f>IF(OR(T108="",S108=""),"",IF(T108*S108&lt;=0,"",IFERROR(T108/S108-1,"")))</f>
        <v/>
      </c>
      <c r="U109" s="15">
        <f>IF(OR(U108="",T108=""),"",IF(U108*T108&lt;=0,"",IFERROR(U108/T108-1,"")))</f>
        <v/>
      </c>
      <c r="V109" s="15">
        <f>IF(OR(V108="",U108=""),"",IF(V108*U108&lt;=0,"",IFERROR(V108/U108-1,"")))</f>
        <v/>
      </c>
      <c r="W109" s="15">
        <f>IF(OR(W108="",V108=""),"",IF(W108*V108&lt;=0,"",IFERROR(W108/V108-1,"")))</f>
        <v/>
      </c>
      <c r="X109" s="15">
        <f>IF(OR(X108="",W108=""),"",IF(X108*W108&lt;=0,"",IFERROR(X108/W108-1,"")))</f>
        <v/>
      </c>
    </row>
    <row r="110">
      <c r="A110" s="9" t="inlineStr">
        <is>
          <t>중간이익</t>
        </is>
      </c>
      <c r="C110" s="12" t="n">
        <v>24951</v>
      </c>
      <c r="D110" s="12" t="n">
        <v>122010</v>
      </c>
      <c r="E110" s="12" t="n">
        <v>-6039</v>
      </c>
      <c r="F110" s="12" t="n">
        <v>20887</v>
      </c>
      <c r="G110" s="12" t="n">
        <v>61281</v>
      </c>
      <c r="H110" s="12" t="n">
        <v>108535</v>
      </c>
      <c r="I110" s="12" t="n">
        <v>19456</v>
      </c>
      <c r="J110" s="12" t="n">
        <v>54158</v>
      </c>
      <c r="K110" s="12" t="n">
        <v>70401</v>
      </c>
      <c r="L110" s="12" t="n">
        <v>129309</v>
      </c>
      <c r="M110" s="12" t="n">
        <v>49977</v>
      </c>
      <c r="N110" s="12" t="n">
        <v>67683</v>
      </c>
      <c r="T110" s="12" t="n">
        <v>123234</v>
      </c>
      <c r="U110" s="12" t="n">
        <v>94221</v>
      </c>
      <c r="V110" s="12" t="n">
        <v>122010</v>
      </c>
      <c r="W110" s="12" t="n">
        <v>108535</v>
      </c>
      <c r="X110" s="12" t="n">
        <v>129309</v>
      </c>
    </row>
    <row r="111">
      <c r="A111" s="43" t="inlineStr">
        <is>
          <t>YoY</t>
        </is>
      </c>
      <c r="B111" s="3" t="inlineStr">
        <is>
          <t>전년 같은 분기·전년 대비</t>
        </is>
      </c>
      <c r="G111" s="15">
        <f>IF(OR(G110="",C110=""),"",IF(C110&lt;=0,"",IFERROR(G110/C110-1,"")))</f>
        <v/>
      </c>
      <c r="H111" s="15">
        <f>IF(OR(H110="",D110=""),"",IF(D110&lt;=0,"",IFERROR(H110/D110-1,"")))</f>
        <v/>
      </c>
      <c r="I111" s="15">
        <f>IF(OR(I110="",E110=""),"",IF(E110&lt;=0,"",IFERROR(I110/E110-1,"")))</f>
        <v/>
      </c>
      <c r="J111" s="15">
        <f>IF(OR(J110="",F110=""),"",IF(F110&lt;=0,"",IFERROR(J110/F110-1,"")))</f>
        <v/>
      </c>
      <c r="K111" s="15">
        <f>IF(OR(K110="",G110=""),"",IF(G110&lt;=0,"",IFERROR(K110/G110-1,"")))</f>
        <v/>
      </c>
      <c r="L111" s="15">
        <f>IF(OR(L110="",H110=""),"",IF(H110&lt;=0,"",IFERROR(L110/H110-1,"")))</f>
        <v/>
      </c>
      <c r="M111" s="15">
        <f>IF(OR(M110="",I110=""),"",IF(I110&lt;=0,"",IFERROR(M110/I110-1,"")))</f>
        <v/>
      </c>
      <c r="N111" s="15">
        <f>IF(OR(N110="",J110=""),"",IF(J110&lt;=0,"",IFERROR(N110/J110-1,"")))</f>
        <v/>
      </c>
      <c r="T111" s="15">
        <f>IF(OR(T110="",S110=""),"",IF(S110&lt;=0,"",IFERROR(T110/S110-1,"")))</f>
        <v/>
      </c>
      <c r="U111" s="15">
        <f>IF(OR(U110="",T110=""),"",IF(T110&lt;=0,"",IFERROR(U110/T110-1,"")))</f>
        <v/>
      </c>
      <c r="V111" s="15">
        <f>IF(OR(V110="",U110=""),"",IF(U110&lt;=0,"",IFERROR(V110/U110-1,"")))</f>
        <v/>
      </c>
      <c r="W111" s="15">
        <f>IF(OR(W110="",V110=""),"",IF(V110&lt;=0,"",IFERROR(W110/V110-1,"")))</f>
        <v/>
      </c>
      <c r="X111" s="15">
        <f>IF(OR(X110="",W110=""),"",IF(W110&lt;=0,"",IFERROR(X110/W110-1,"")))</f>
        <v/>
      </c>
    </row>
    <row r="112">
      <c r="A112" s="18" t="inlineStr">
        <is>
          <t>기본 주당 중간이익(엔)</t>
        </is>
      </c>
      <c r="C112" s="20" t="n">
        <v>7.930000000000002e-05</v>
      </c>
      <c r="D112" s="20" t="n">
        <v>-1.553e-05</v>
      </c>
      <c r="E112" s="20" t="n">
        <v>-4.38e-06</v>
      </c>
      <c r="F112" s="20" t="n">
        <v>1.448e-05</v>
      </c>
      <c r="G112" s="20" t="n">
        <v>4.36e-05</v>
      </c>
      <c r="H112" s="20" t="n">
        <v>7.779999999999999e-05</v>
      </c>
      <c r="I112" s="20" t="n">
        <v>1.449e-05</v>
      </c>
      <c r="J112" s="20" t="n">
        <v>4.015999999999999e-05</v>
      </c>
      <c r="K112" s="20" t="n">
        <v>5.209e-05</v>
      </c>
      <c r="L112" s="20" t="n">
        <v>9.620999999999999e-05</v>
      </c>
      <c r="M112" s="20" t="n">
        <v>3.747e-05</v>
      </c>
      <c r="N112" s="20" t="n">
        <v>5.031e-05</v>
      </c>
      <c r="T112" s="20" t="n">
        <v>0.00042703</v>
      </c>
      <c r="U112" s="20" t="n">
        <v>0.00032709</v>
      </c>
      <c r="V112" s="20" t="n">
        <v>-1.553e-05</v>
      </c>
      <c r="W112" s="20" t="n">
        <v>7.779999999999999e-05</v>
      </c>
      <c r="X112" s="20" t="n">
        <v>9.620999999999999e-05</v>
      </c>
    </row>
    <row r="113">
      <c r="A113" s="18" t="inlineStr">
        <is>
          <t>희석 주당 중간이익(엔)</t>
        </is>
      </c>
      <c r="C113" s="20" t="n">
        <v>7.928999999999999e-05</v>
      </c>
      <c r="D113" s="20" t="n">
        <v>-1.552e-05</v>
      </c>
      <c r="E113" s="20" t="n">
        <v>-4.38e-06</v>
      </c>
      <c r="F113" s="20" t="n">
        <v>1.448e-05</v>
      </c>
      <c r="G113" s="20" t="n">
        <v>4.36e-05</v>
      </c>
      <c r="H113" s="20" t="n">
        <v>7.779000000000001e-05</v>
      </c>
      <c r="I113" s="20" t="n">
        <v>1.449e-05</v>
      </c>
      <c r="J113" s="20" t="n">
        <v>4.015999999999999e-05</v>
      </c>
      <c r="K113" s="20" t="n">
        <v>5.209e-05</v>
      </c>
      <c r="L113" s="20" t="n">
        <v>9.620999999999999e-05</v>
      </c>
      <c r="M113" s="20" t="n">
        <v>3.747e-05</v>
      </c>
      <c r="N113" s="20" t="n">
        <v>5.031e-05</v>
      </c>
      <c r="T113" s="20" t="n">
        <v>0.00042703</v>
      </c>
      <c r="U113" s="20" t="n">
        <v>0.00032709</v>
      </c>
      <c r="V113" s="20" t="n">
        <v>-1.552e-05</v>
      </c>
      <c r="W113" s="20" t="n">
        <v>7.779000000000001e-05</v>
      </c>
      <c r="X113" s="20" t="n">
        <v>9.620999999999999e-05</v>
      </c>
    </row>
    <row r="114">
      <c r="A114" s="9" t="inlineStr">
        <is>
          <t>지배기업 소유주</t>
        </is>
      </c>
      <c r="C114" s="12" t="n">
        <v>21126</v>
      </c>
      <c r="D114" s="12" t="n">
        <v>115481</v>
      </c>
      <c r="E114" s="12" t="n">
        <v>-5836</v>
      </c>
      <c r="F114" s="12" t="n">
        <v>19296</v>
      </c>
      <c r="G114" s="12" t="n">
        <v>58094</v>
      </c>
      <c r="H114" s="12" t="n">
        <v>103629</v>
      </c>
      <c r="I114" s="12" t="n">
        <v>19310</v>
      </c>
      <c r="J114" s="12" t="n">
        <v>53520</v>
      </c>
      <c r="K114" s="12" t="n">
        <v>69448</v>
      </c>
      <c r="L114" s="12" t="n">
        <v>127950</v>
      </c>
      <c r="M114" s="12" t="n">
        <v>49698</v>
      </c>
      <c r="N114" s="12" t="n">
        <v>66741</v>
      </c>
      <c r="T114" s="12" t="n">
        <v>116344</v>
      </c>
      <c r="U114" s="12" t="n">
        <v>88131</v>
      </c>
      <c r="V114" s="12" t="n">
        <v>115481</v>
      </c>
      <c r="W114" s="12" t="n">
        <v>103629</v>
      </c>
      <c r="X114" s="12" t="n">
        <v>127950</v>
      </c>
    </row>
    <row r="115">
      <c r="A115" s="43" t="inlineStr">
        <is>
          <t>YoY</t>
        </is>
      </c>
      <c r="B115" s="3" t="inlineStr">
        <is>
          <t>전년 같은 분기·전년 대비</t>
        </is>
      </c>
      <c r="G115" s="15">
        <f>IF(OR(G114="",C114=""),"",IF(C114&lt;=0,"",IFERROR(G114/C114-1,"")))</f>
        <v/>
      </c>
      <c r="H115" s="15">
        <f>IF(OR(H114="",D114=""),"",IF(D114&lt;=0,"",IFERROR(H114/D114-1,"")))</f>
        <v/>
      </c>
      <c r="I115" s="15">
        <f>IF(OR(I114="",E114=""),"",IF(E114&lt;=0,"",IFERROR(I114/E114-1,"")))</f>
        <v/>
      </c>
      <c r="J115" s="15">
        <f>IF(OR(J114="",F114=""),"",IF(F114&lt;=0,"",IFERROR(J114/F114-1,"")))</f>
        <v/>
      </c>
      <c r="K115" s="15">
        <f>IF(OR(K114="",G114=""),"",IF(G114&lt;=0,"",IFERROR(K114/G114-1,"")))</f>
        <v/>
      </c>
      <c r="L115" s="15">
        <f>IF(OR(L114="",H114=""),"",IF(H114&lt;=0,"",IFERROR(L114/H114-1,"")))</f>
        <v/>
      </c>
      <c r="M115" s="15">
        <f>IF(OR(M114="",I114=""),"",IF(I114&lt;=0,"",IFERROR(M114/I114-1,"")))</f>
        <v/>
      </c>
      <c r="N115" s="15">
        <f>IF(OR(N114="",J114=""),"",IF(J114&lt;=0,"",IFERROR(N114/J114-1,"")))</f>
        <v/>
      </c>
      <c r="T115" s="15">
        <f>IF(OR(T114="",S114=""),"",IF(S114&lt;=0,"",IFERROR(T114/S114-1,"")))</f>
        <v/>
      </c>
      <c r="U115" s="15">
        <f>IF(OR(U114="",T114=""),"",IF(T114&lt;=0,"",IFERROR(U114/T114-1,"")))</f>
        <v/>
      </c>
      <c r="V115" s="15">
        <f>IF(OR(V114="",U114=""),"",IF(U114&lt;=0,"",IFERROR(V114/U114-1,"")))</f>
        <v/>
      </c>
      <c r="W115" s="15">
        <f>IF(OR(W114="",V114=""),"",IF(V114&lt;=0,"",IFERROR(W114/V114-1,"")))</f>
        <v/>
      </c>
      <c r="X115" s="15">
        <f>IF(OR(X114="",W114=""),"",IF(W114&lt;=0,"",IFERROR(X114/W114-1,"")))</f>
        <v/>
      </c>
    </row>
    <row r="116">
      <c r="A116" s="9" t="inlineStr">
        <is>
          <t>비지배지분</t>
        </is>
      </c>
      <c r="C116" s="12" t="n">
        <v>3825</v>
      </c>
      <c r="D116" s="12" t="n">
        <v>6529</v>
      </c>
      <c r="E116" s="12" t="n">
        <v>-203</v>
      </c>
      <c r="F116" s="12" t="n">
        <v>1591</v>
      </c>
      <c r="G116" s="12" t="n">
        <v>3187</v>
      </c>
      <c r="H116" s="12" t="n">
        <v>4906</v>
      </c>
      <c r="I116" s="12" t="n">
        <v>146</v>
      </c>
      <c r="J116" s="12" t="n">
        <v>638</v>
      </c>
      <c r="K116" s="12" t="n">
        <v>953</v>
      </c>
      <c r="L116" s="12" t="n">
        <v>1359</v>
      </c>
      <c r="M116" s="12" t="n">
        <v>279</v>
      </c>
      <c r="N116" s="12" t="n">
        <v>942</v>
      </c>
      <c r="T116" s="12" t="n">
        <v>6890</v>
      </c>
      <c r="U116" s="12" t="n">
        <v>6090</v>
      </c>
      <c r="V116" s="12" t="n">
        <v>6529</v>
      </c>
      <c r="W116" s="12" t="n">
        <v>4906</v>
      </c>
      <c r="X116" s="12" t="n">
        <v>1359</v>
      </c>
    </row>
    <row r="118">
      <c r="A118" s="16" t="inlineStr">
        <is>
          <t>포괄손익 · 전 항목</t>
        </is>
      </c>
      <c r="B118" s="42" t="inlineStr">
        <is>
          <t>분기 = 3개월 단독</t>
        </is>
      </c>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row>
    <row r="119">
      <c r="A119" s="5" t="inlineStr">
        <is>
          <t>항목</t>
        </is>
      </c>
      <c r="B119" s="5" t="inlineStr">
        <is>
          <t>참고</t>
        </is>
      </c>
      <c r="C119" s="5" t="inlineStr">
        <is>
          <t>2024.3Q</t>
        </is>
      </c>
      <c r="D119" s="5" t="inlineStr">
        <is>
          <t>2024.4Q</t>
        </is>
      </c>
      <c r="E119" s="5" t="inlineStr">
        <is>
          <t>2025.1Q</t>
        </is>
      </c>
      <c r="F119" s="5" t="inlineStr">
        <is>
          <t>2025.2Q</t>
        </is>
      </c>
      <c r="G119" s="5" t="inlineStr">
        <is>
          <t>2025.3Q</t>
        </is>
      </c>
      <c r="H119" s="5" t="inlineStr">
        <is>
          <t>2025.4Q</t>
        </is>
      </c>
      <c r="I119" s="5" t="inlineStr">
        <is>
          <t>2026.1Q</t>
        </is>
      </c>
      <c r="J119" s="5" t="inlineStr">
        <is>
          <t>2026.2Q</t>
        </is>
      </c>
      <c r="K119" s="5" t="inlineStr">
        <is>
          <t>2026.3Q</t>
        </is>
      </c>
      <c r="L119" s="5" t="inlineStr">
        <is>
          <t>2026.4Q</t>
        </is>
      </c>
      <c r="M119" s="5" t="inlineStr">
        <is>
          <t>2027.1Q</t>
        </is>
      </c>
      <c r="N119" s="5" t="inlineStr">
        <is>
          <t>2027.2Q</t>
        </is>
      </c>
      <c r="O119" s="5" t="inlineStr">
        <is>
          <t>2017</t>
        </is>
      </c>
      <c r="P119" s="5" t="inlineStr">
        <is>
          <t>2018</t>
        </is>
      </c>
      <c r="Q119" s="5" t="inlineStr">
        <is>
          <t>2019</t>
        </is>
      </c>
      <c r="R119" s="5" t="inlineStr">
        <is>
          <t>2020</t>
        </is>
      </c>
      <c r="S119" s="5" t="inlineStr">
        <is>
          <t>2021</t>
        </is>
      </c>
      <c r="T119" s="5" t="inlineStr">
        <is>
          <t>2022</t>
        </is>
      </c>
      <c r="U119" s="5" t="inlineStr">
        <is>
          <t>2023</t>
        </is>
      </c>
      <c r="V119" s="5" t="inlineStr">
        <is>
          <t>2024</t>
        </is>
      </c>
      <c r="W119" s="5" t="inlineStr">
        <is>
          <t>2025</t>
        </is>
      </c>
      <c r="X119" s="5" t="inlineStr">
        <is>
          <t>2026</t>
        </is>
      </c>
      <c r="Y119" s="5" t="inlineStr">
        <is>
          <t>2027(MW)</t>
        </is>
      </c>
      <c r="Z119" s="5" t="inlineStr">
        <is>
          <t>2028(MW)</t>
        </is>
      </c>
      <c r="AA119" s="5" t="inlineStr">
        <is>
          <t>2029(MW)</t>
        </is>
      </c>
      <c r="AB119" s="5" t="inlineStr">
        <is>
          <t>2030(MW)</t>
        </is>
      </c>
      <c r="AC119" s="5" t="inlineStr">
        <is>
          <t>2031(MW)</t>
        </is>
      </c>
    </row>
    <row r="120">
      <c r="A120" s="9" t="inlineStr">
        <is>
          <t>중간이익</t>
        </is>
      </c>
      <c r="C120" s="12" t="n">
        <v>24951</v>
      </c>
      <c r="D120" s="12" t="n">
        <v>122010</v>
      </c>
      <c r="E120" s="12" t="n">
        <v>-6039</v>
      </c>
      <c r="F120" s="12" t="n">
        <v>20887</v>
      </c>
      <c r="G120" s="12" t="n">
        <v>61281</v>
      </c>
      <c r="H120" s="12" t="n">
        <v>108535</v>
      </c>
      <c r="I120" s="12" t="n">
        <v>19456</v>
      </c>
      <c r="J120" s="12" t="n">
        <v>54158</v>
      </c>
      <c r="K120" s="12" t="n">
        <v>70401</v>
      </c>
      <c r="L120" s="12" t="n">
        <v>129309</v>
      </c>
      <c r="M120" s="12" t="n">
        <v>49977</v>
      </c>
      <c r="N120" s="12" t="n">
        <v>67683</v>
      </c>
      <c r="T120" s="12" t="n">
        <v>123234</v>
      </c>
      <c r="U120" s="12" t="n">
        <v>94221</v>
      </c>
      <c r="V120" s="12" t="n">
        <v>122010</v>
      </c>
      <c r="W120" s="12" t="n">
        <v>108535</v>
      </c>
      <c r="X120" s="12" t="n">
        <v>129309</v>
      </c>
    </row>
    <row r="121">
      <c r="A121" s="18" t="inlineStr">
        <is>
          <t>Net Change In Fair Value Of Equity Instruments Designated As Measured At Fair Value Through Other Comprehensive Income Net Of Tax Items That Will Not Be Reclassified To Profit Or Loss OCI</t>
        </is>
      </c>
      <c r="C121" s="20" t="n">
        <v>-693</v>
      </c>
      <c r="D121" s="20" t="n">
        <v>4778</v>
      </c>
      <c r="E121" s="20" t="n">
        <v>2051</v>
      </c>
      <c r="F121" s="20" t="n">
        <v>-4537</v>
      </c>
      <c r="G121" s="20" t="n">
        <v>5496</v>
      </c>
      <c r="H121" s="20" t="n">
        <v>-1264</v>
      </c>
      <c r="I121" s="20" t="n">
        <v>1843</v>
      </c>
      <c r="J121" s="20" t="n">
        <v>3134</v>
      </c>
      <c r="K121" s="20" t="n">
        <v>1915</v>
      </c>
      <c r="L121" s="20" t="n">
        <v>2017</v>
      </c>
      <c r="M121" s="20" t="n">
        <v>3308</v>
      </c>
      <c r="N121" s="20" t="n">
        <v>-2069</v>
      </c>
      <c r="T121" s="20" t="n">
        <v>12256</v>
      </c>
      <c r="U121" s="20" t="n">
        <v>-14976</v>
      </c>
      <c r="V121" s="20" t="n">
        <v>4778</v>
      </c>
      <c r="W121" s="20" t="n">
        <v>-1264</v>
      </c>
      <c r="X121" s="20" t="n">
        <v>2017</v>
      </c>
    </row>
    <row r="122">
      <c r="A122" s="18" t="inlineStr">
        <is>
          <t>확정급여제도 재측정</t>
        </is>
      </c>
      <c r="C122" s="20" t="n">
        <v>0</v>
      </c>
      <c r="D122" s="20" t="n">
        <v>81217</v>
      </c>
      <c r="E122" s="20" t="n">
        <v>0</v>
      </c>
      <c r="F122" s="20" t="n">
        <v>0</v>
      </c>
      <c r="G122" s="20" t="n">
        <v>3248</v>
      </c>
      <c r="H122" s="20" t="n">
        <v>11176</v>
      </c>
      <c r="I122" s="20" t="n">
        <v>-22</v>
      </c>
      <c r="J122" s="20" t="n">
        <v>49</v>
      </c>
      <c r="K122" s="20" t="n">
        <v>-25</v>
      </c>
      <c r="L122" s="20" t="n">
        <v>21778</v>
      </c>
      <c r="M122" s="20" t="n">
        <v>-12</v>
      </c>
      <c r="N122" s="20" t="n">
        <v>22</v>
      </c>
      <c r="T122" s="20" t="n">
        <v>27193</v>
      </c>
      <c r="U122" s="20" t="n">
        <v>23123</v>
      </c>
      <c r="V122" s="20" t="n">
        <v>81217</v>
      </c>
      <c r="W122" s="20" t="n">
        <v>11176</v>
      </c>
      <c r="X122" s="20" t="n">
        <v>21778</v>
      </c>
    </row>
    <row r="123">
      <c r="A123" s="18" t="inlineStr">
        <is>
          <t>Share Of Other Comprehensive Income Of Investments Accounted For Using Equity Method Net Of Tax Items That Will Not Be Reclassified To Profit Or Loss OCI</t>
        </is>
      </c>
      <c r="C123" s="20" t="n">
        <v>-22</v>
      </c>
      <c r="D123" s="20" t="n">
        <v>114</v>
      </c>
      <c r="E123" s="20" t="n">
        <v>-172</v>
      </c>
      <c r="F123" s="20" t="n">
        <v>-34</v>
      </c>
      <c r="G123" s="20" t="n">
        <v>1</v>
      </c>
      <c r="H123" s="20" t="n">
        <v>210</v>
      </c>
      <c r="I123" s="20" t="n">
        <v>12</v>
      </c>
      <c r="J123" s="20" t="n">
        <v>401</v>
      </c>
      <c r="K123" s="20" t="n">
        <v>113</v>
      </c>
      <c r="L123" s="20" t="n">
        <v>25</v>
      </c>
      <c r="M123" s="20" t="n">
        <v>45</v>
      </c>
      <c r="N123" s="20" t="n">
        <v>82</v>
      </c>
      <c r="T123" s="20" t="n">
        <v>84</v>
      </c>
      <c r="U123" s="20" t="n">
        <v>-65</v>
      </c>
      <c r="V123" s="20" t="n">
        <v>114</v>
      </c>
      <c r="W123" s="20" t="n">
        <v>210</v>
      </c>
      <c r="X123" s="20" t="n">
        <v>25</v>
      </c>
    </row>
    <row r="124">
      <c r="A124" s="18" t="inlineStr">
        <is>
          <t>당기손익으로 재분류되지 않는 항목 합계</t>
        </is>
      </c>
      <c r="C124" s="20" t="n">
        <v>-715</v>
      </c>
      <c r="D124" s="20" t="n">
        <v>86109</v>
      </c>
      <c r="E124" s="20" t="n">
        <v>1879</v>
      </c>
      <c r="F124" s="20" t="n">
        <v>-4571</v>
      </c>
      <c r="G124" s="20" t="n">
        <v>8745</v>
      </c>
      <c r="H124" s="20" t="n">
        <v>10122</v>
      </c>
      <c r="I124" s="20" t="n">
        <v>1833</v>
      </c>
      <c r="J124" s="20" t="n">
        <v>3584</v>
      </c>
      <c r="K124" s="20" t="n">
        <v>2003</v>
      </c>
      <c r="L124" s="20" t="n">
        <v>23820</v>
      </c>
      <c r="M124" s="20" t="n">
        <v>3341</v>
      </c>
      <c r="N124" s="20" t="n">
        <v>-1965</v>
      </c>
      <c r="T124" s="20" t="n">
        <v>39533</v>
      </c>
      <c r="U124" s="20" t="n">
        <v>8082</v>
      </c>
      <c r="V124" s="20" t="n">
        <v>86109</v>
      </c>
      <c r="W124" s="20" t="n">
        <v>10122</v>
      </c>
      <c r="X124" s="20" t="n">
        <v>23820</v>
      </c>
    </row>
    <row r="125">
      <c r="A125" s="18" t="inlineStr">
        <is>
          <t>해외사업 환산차액</t>
        </is>
      </c>
      <c r="C125" s="20" t="n">
        <v>-5021</v>
      </c>
      <c r="D125" s="20" t="n">
        <v>12536</v>
      </c>
      <c r="E125" s="20" t="n">
        <v>48836</v>
      </c>
      <c r="F125" s="20" t="n">
        <v>-57832</v>
      </c>
      <c r="G125" s="20" t="n">
        <v>39506</v>
      </c>
      <c r="H125" s="20" t="n">
        <v>-29016</v>
      </c>
      <c r="I125" s="20" t="n">
        <v>23966</v>
      </c>
      <c r="J125" s="20" t="n">
        <v>19864</v>
      </c>
      <c r="K125" s="20" t="n">
        <v>48689</v>
      </c>
      <c r="L125" s="20" t="n">
        <v>6490</v>
      </c>
      <c r="M125" s="20" t="n">
        <v>14185</v>
      </c>
      <c r="N125" s="20" t="n">
        <v>-50706</v>
      </c>
      <c r="T125" s="20" t="n">
        <v>33382</v>
      </c>
      <c r="U125" s="20" t="n">
        <v>14026</v>
      </c>
      <c r="V125" s="20" t="n">
        <v>12536</v>
      </c>
      <c r="W125" s="20" t="n">
        <v>-29016</v>
      </c>
      <c r="X125" s="20" t="n">
        <v>6490</v>
      </c>
    </row>
    <row r="126">
      <c r="A126" s="18" t="inlineStr">
        <is>
          <t>현금흐름 위험회피</t>
        </is>
      </c>
      <c r="C126" s="20" t="n">
        <v>2007</v>
      </c>
      <c r="D126" s="20" t="n">
        <v>-2469</v>
      </c>
      <c r="E126" s="20" t="n">
        <v>-1474</v>
      </c>
      <c r="F126" s="20" t="n">
        <v>3182</v>
      </c>
      <c r="G126" s="20" t="n">
        <v>-2084</v>
      </c>
      <c r="H126" s="20" t="n">
        <v>2160</v>
      </c>
      <c r="I126" s="20" t="n">
        <v>2114</v>
      </c>
      <c r="J126" s="20" t="n">
        <v>1604</v>
      </c>
      <c r="K126" s="20" t="n">
        <v>908</v>
      </c>
      <c r="L126" s="20" t="n">
        <v>292</v>
      </c>
      <c r="M126" s="20" t="n">
        <v>18</v>
      </c>
      <c r="N126" s="20" t="n">
        <v>-1250</v>
      </c>
      <c r="T126" s="20" t="n">
        <v>-1277</v>
      </c>
      <c r="U126" s="20" t="n">
        <v>753</v>
      </c>
      <c r="V126" s="20" t="n">
        <v>-2469</v>
      </c>
      <c r="W126" s="20" t="n">
        <v>2160</v>
      </c>
      <c r="X126" s="20" t="n">
        <v>292</v>
      </c>
    </row>
    <row r="127">
      <c r="A127" s="18" t="inlineStr">
        <is>
          <t>Share Of Other Comprehensive Income Of Investments Accounted For Using Equity Method Net Of Tax Items That May Be Reclassified To Profit Or Loss OCI</t>
        </is>
      </c>
      <c r="C127" s="20" t="n">
        <v>-667</v>
      </c>
      <c r="D127" s="20" t="n">
        <v>846</v>
      </c>
      <c r="E127" s="20" t="n">
        <v>1386</v>
      </c>
      <c r="F127" s="20" t="n">
        <v>-1949</v>
      </c>
      <c r="G127" s="20" t="n">
        <v>-516</v>
      </c>
      <c r="H127" s="20" t="n">
        <v>-868</v>
      </c>
      <c r="I127" s="20" t="n">
        <v>-464</v>
      </c>
      <c r="J127" s="20" t="n">
        <v>592</v>
      </c>
      <c r="K127" s="20" t="n">
        <v>-211</v>
      </c>
      <c r="L127" s="20" t="n">
        <v>2</v>
      </c>
      <c r="M127" s="20" t="n">
        <v>118</v>
      </c>
      <c r="N127" s="20" t="n">
        <v>-240</v>
      </c>
      <c r="T127" s="20" t="n">
        <v>604</v>
      </c>
      <c r="U127" s="20" t="n">
        <v>-209</v>
      </c>
      <c r="V127" s="20" t="n">
        <v>846</v>
      </c>
      <c r="W127" s="20" t="n">
        <v>-868</v>
      </c>
      <c r="X127" s="20" t="n">
        <v>2</v>
      </c>
    </row>
    <row r="128">
      <c r="A128" s="18" t="inlineStr">
        <is>
          <t>당기손익으로 재분류될 수 있는 항목 합계</t>
        </is>
      </c>
      <c r="C128" s="20" t="n">
        <v>-3681</v>
      </c>
      <c r="D128" s="20" t="n">
        <v>10913</v>
      </c>
      <c r="E128" s="20" t="n">
        <v>48748</v>
      </c>
      <c r="F128" s="20" t="n">
        <v>-56599</v>
      </c>
      <c r="G128" s="20" t="n">
        <v>36906</v>
      </c>
      <c r="H128" s="20" t="n">
        <v>-27724</v>
      </c>
      <c r="I128" s="20" t="n">
        <v>25616</v>
      </c>
      <c r="J128" s="20" t="n">
        <v>22060</v>
      </c>
      <c r="K128" s="20" t="n">
        <v>49386</v>
      </c>
      <c r="L128" s="20" t="n">
        <v>6784</v>
      </c>
      <c r="M128" s="20" t="n">
        <v>14321</v>
      </c>
      <c r="N128" s="20" t="n">
        <v>-52196</v>
      </c>
      <c r="T128" s="20" t="n">
        <v>32709</v>
      </c>
      <c r="U128" s="20" t="n">
        <v>14570</v>
      </c>
      <c r="V128" s="20" t="n">
        <v>10913</v>
      </c>
      <c r="W128" s="20" t="n">
        <v>-27724</v>
      </c>
      <c r="X128" s="20" t="n">
        <v>6784</v>
      </c>
    </row>
    <row r="129">
      <c r="A129" s="18" t="inlineStr">
        <is>
          <t>세후 기타포괄이익</t>
        </is>
      </c>
      <c r="C129" s="20" t="n">
        <v>-4396</v>
      </c>
      <c r="D129" s="20" t="n">
        <v>97022</v>
      </c>
      <c r="E129" s="20" t="n">
        <v>50627</v>
      </c>
      <c r="F129" s="20" t="n">
        <v>-61170</v>
      </c>
      <c r="G129" s="20" t="n">
        <v>45651</v>
      </c>
      <c r="H129" s="20" t="n">
        <v>-17602</v>
      </c>
      <c r="I129" s="20" t="n">
        <v>27449</v>
      </c>
      <c r="J129" s="20" t="n">
        <v>25644</v>
      </c>
      <c r="K129" s="20" t="n">
        <v>51389</v>
      </c>
      <c r="L129" s="20" t="n">
        <v>30604</v>
      </c>
      <c r="M129" s="20" t="n">
        <v>17662</v>
      </c>
      <c r="N129" s="20" t="n">
        <v>-54161</v>
      </c>
      <c r="T129" s="20" t="n">
        <v>72242</v>
      </c>
      <c r="U129" s="20" t="n">
        <v>22652</v>
      </c>
      <c r="V129" s="20" t="n">
        <v>97022</v>
      </c>
      <c r="W129" s="20" t="n">
        <v>-17602</v>
      </c>
      <c r="X129" s="20" t="n">
        <v>30604</v>
      </c>
    </row>
    <row r="130">
      <c r="A130" s="9" t="inlineStr">
        <is>
          <t>포괄이익</t>
        </is>
      </c>
      <c r="C130" s="12" t="n">
        <v>20555</v>
      </c>
      <c r="D130" s="12" t="n">
        <v>219032</v>
      </c>
      <c r="E130" s="12" t="n">
        <v>44588</v>
      </c>
      <c r="F130" s="12" t="n">
        <v>-40283</v>
      </c>
      <c r="G130" s="12" t="n">
        <v>106932</v>
      </c>
      <c r="H130" s="12" t="n">
        <v>90933</v>
      </c>
      <c r="I130" s="12" t="n">
        <v>46905</v>
      </c>
      <c r="J130" s="12" t="n">
        <v>79802</v>
      </c>
      <c r="K130" s="12" t="n">
        <v>121790</v>
      </c>
      <c r="L130" s="12" t="n">
        <v>159913</v>
      </c>
      <c r="M130" s="12" t="n">
        <v>67639</v>
      </c>
      <c r="N130" s="12" t="n">
        <v>13522</v>
      </c>
      <c r="T130" s="12" t="n">
        <v>195476</v>
      </c>
      <c r="U130" s="12" t="n">
        <v>116873</v>
      </c>
      <c r="V130" s="12" t="n">
        <v>219032</v>
      </c>
      <c r="W130" s="12" t="n">
        <v>90933</v>
      </c>
      <c r="X130" s="12" t="n">
        <v>159913</v>
      </c>
    </row>
    <row r="131">
      <c r="A131" s="9" t="inlineStr">
        <is>
          <t>지배기업 소유주</t>
        </is>
      </c>
      <c r="C131" s="12" t="n">
        <v>17766</v>
      </c>
      <c r="D131" s="12" t="n">
        <v>213719</v>
      </c>
      <c r="E131" s="12" t="n">
        <v>40582</v>
      </c>
      <c r="F131" s="12" t="n">
        <v>-37710</v>
      </c>
      <c r="G131" s="12" t="n">
        <v>101386</v>
      </c>
      <c r="H131" s="12" t="n">
        <v>87213</v>
      </c>
      <c r="I131" s="12" t="n">
        <v>43006</v>
      </c>
      <c r="J131" s="12" t="n">
        <v>77336</v>
      </c>
      <c r="K131" s="12" t="n">
        <v>116608</v>
      </c>
      <c r="L131" s="12" t="n">
        <v>158029</v>
      </c>
      <c r="M131" s="12" t="n">
        <v>66908</v>
      </c>
      <c r="N131" s="12" t="n">
        <v>16536</v>
      </c>
      <c r="T131" s="12" t="n">
        <v>182064</v>
      </c>
      <c r="U131" s="12" t="n">
        <v>108368</v>
      </c>
      <c r="V131" s="12" t="n">
        <v>213719</v>
      </c>
      <c r="W131" s="12" t="n">
        <v>87213</v>
      </c>
      <c r="X131" s="12" t="n">
        <v>158029</v>
      </c>
    </row>
    <row r="132">
      <c r="A132" s="9" t="inlineStr">
        <is>
          <t>비지배지분</t>
        </is>
      </c>
      <c r="C132" s="12" t="n">
        <v>2789</v>
      </c>
      <c r="D132" s="12" t="n">
        <v>5313</v>
      </c>
      <c r="E132" s="12" t="n">
        <v>4006</v>
      </c>
      <c r="F132" s="12" t="n">
        <v>-2573</v>
      </c>
      <c r="G132" s="12" t="n">
        <v>5546</v>
      </c>
      <c r="H132" s="12" t="n">
        <v>3720</v>
      </c>
      <c r="I132" s="12" t="n">
        <v>3899</v>
      </c>
      <c r="J132" s="12" t="n">
        <v>2466</v>
      </c>
      <c r="K132" s="12" t="n">
        <v>5182</v>
      </c>
      <c r="L132" s="12" t="n">
        <v>1884</v>
      </c>
      <c r="M132" s="12" t="n">
        <v>731</v>
      </c>
      <c r="N132" s="12" t="n">
        <v>-3014</v>
      </c>
      <c r="T132" s="12" t="n">
        <v>13412</v>
      </c>
      <c r="U132" s="12" t="n">
        <v>8505</v>
      </c>
      <c r="V132" s="12" t="n">
        <v>5313</v>
      </c>
      <c r="W132" s="12" t="n">
        <v>3720</v>
      </c>
      <c r="X132" s="12" t="n">
        <v>1884</v>
      </c>
    </row>
    <row r="134">
      <c r="A134" s="16" t="inlineStr">
        <is>
          <t>부문 · 전 항목</t>
        </is>
      </c>
      <c r="B134" s="42" t="inlineStr">
        <is>
          <t>부문 · 항목</t>
        </is>
      </c>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c r="AB134" s="16" t="n"/>
      <c r="AC134" s="16" t="n"/>
    </row>
    <row r="135">
      <c r="A135" s="5" t="inlineStr">
        <is>
          <t>항목</t>
        </is>
      </c>
      <c r="B135" s="5" t="inlineStr">
        <is>
          <t>참고</t>
        </is>
      </c>
      <c r="C135" s="5" t="inlineStr">
        <is>
          <t>2024.3Q</t>
        </is>
      </c>
      <c r="D135" s="5" t="inlineStr">
        <is>
          <t>2024.4Q</t>
        </is>
      </c>
      <c r="E135" s="5" t="inlineStr">
        <is>
          <t>2025.1Q</t>
        </is>
      </c>
      <c r="F135" s="5" t="inlineStr">
        <is>
          <t>2025.2Q</t>
        </is>
      </c>
      <c r="G135" s="5" t="inlineStr">
        <is>
          <t>2025.3Q</t>
        </is>
      </c>
      <c r="H135" s="5" t="inlineStr">
        <is>
          <t>2025.4Q</t>
        </is>
      </c>
      <c r="I135" s="5" t="inlineStr">
        <is>
          <t>2026.1Q</t>
        </is>
      </c>
      <c r="J135" s="5" t="inlineStr">
        <is>
          <t>2026.2Q</t>
        </is>
      </c>
      <c r="K135" s="5" t="inlineStr">
        <is>
          <t>2026.3Q</t>
        </is>
      </c>
      <c r="L135" s="5" t="inlineStr">
        <is>
          <t>2026.4Q</t>
        </is>
      </c>
      <c r="M135" s="5" t="inlineStr">
        <is>
          <t>2027.1Q</t>
        </is>
      </c>
      <c r="N135" s="5" t="inlineStr">
        <is>
          <t>2027.2Q</t>
        </is>
      </c>
      <c r="O135" s="5" t="inlineStr">
        <is>
          <t>2017</t>
        </is>
      </c>
      <c r="P135" s="5" t="inlineStr">
        <is>
          <t>2018</t>
        </is>
      </c>
      <c r="Q135" s="5" t="inlineStr">
        <is>
          <t>2019</t>
        </is>
      </c>
      <c r="R135" s="5" t="inlineStr">
        <is>
          <t>2020</t>
        </is>
      </c>
      <c r="S135" s="5" t="inlineStr">
        <is>
          <t>2021</t>
        </is>
      </c>
      <c r="T135" s="5" t="inlineStr">
        <is>
          <t>2022</t>
        </is>
      </c>
      <c r="U135" s="5" t="inlineStr">
        <is>
          <t>2023</t>
        </is>
      </c>
      <c r="V135" s="5" t="inlineStr">
        <is>
          <t>2024</t>
        </is>
      </c>
      <c r="W135" s="5" t="inlineStr">
        <is>
          <t>2025</t>
        </is>
      </c>
      <c r="X135" s="5" t="inlineStr">
        <is>
          <t>2026</t>
        </is>
      </c>
      <c r="Y135" s="5" t="inlineStr">
        <is>
          <t>2027(MW)</t>
        </is>
      </c>
      <c r="Z135" s="5" t="inlineStr">
        <is>
          <t>2028(MW)</t>
        </is>
      </c>
      <c r="AA135" s="5" t="inlineStr">
        <is>
          <t>2029(MW)</t>
        </is>
      </c>
      <c r="AB135" s="5" t="inlineStr">
        <is>
          <t>2030(MW)</t>
        </is>
      </c>
      <c r="AC135" s="5" t="inlineStr">
        <is>
          <t>2031(MW)</t>
        </is>
      </c>
    </row>
    <row r="136">
      <c r="A136" s="18" t="inlineStr">
        <is>
          <t>IT서비스 · Revenue From External Customers</t>
        </is>
      </c>
      <c r="C136" s="20" t="n">
        <v>470762</v>
      </c>
      <c r="D136" s="20" t="n">
        <v>600156</v>
      </c>
      <c r="E136" s="20" t="n">
        <v>501845</v>
      </c>
      <c r="F136" s="20" t="n">
        <v>578240</v>
      </c>
      <c r="G136" s="20" t="n">
        <v>586663</v>
      </c>
      <c r="H136" s="20" t="n">
        <v>793072</v>
      </c>
      <c r="I136" s="20" t="n">
        <v>567123</v>
      </c>
      <c r="J136" s="20" t="n">
        <v>647820</v>
      </c>
      <c r="K136" s="20" t="n">
        <v>496749</v>
      </c>
      <c r="L136" s="20" t="n">
        <v>797233</v>
      </c>
      <c r="M136" s="20" t="n">
        <v>621456</v>
      </c>
      <c r="N136" s="20" t="n">
        <v>709045</v>
      </c>
      <c r="V136" s="20" t="n">
        <v>600156</v>
      </c>
      <c r="W136" s="20" t="n">
        <v>793072</v>
      </c>
      <c r="X136" s="20" t="n">
        <v>797233</v>
      </c>
    </row>
    <row r="137">
      <c r="A137" s="43" t="inlineStr">
        <is>
          <t>YoY</t>
        </is>
      </c>
      <c r="B137" s="3" t="inlineStr">
        <is>
          <t>전년 같은 분기·전년 대비</t>
        </is>
      </c>
      <c r="G137" s="15">
        <f>IF(OR(G136="",C136=""),"",IF(C136&lt;=0,"",IFERROR(G136/C136-1,"")))</f>
        <v/>
      </c>
      <c r="H137" s="15">
        <f>IF(OR(H136="",D136=""),"",IF(D136&lt;=0,"",IFERROR(H136/D136-1,"")))</f>
        <v/>
      </c>
      <c r="I137" s="15">
        <f>IF(OR(I136="",E136=""),"",IF(E136&lt;=0,"",IFERROR(I136/E136-1,"")))</f>
        <v/>
      </c>
      <c r="J137" s="15">
        <f>IF(OR(J136="",F136=""),"",IF(F136&lt;=0,"",IFERROR(J136/F136-1,"")))</f>
        <v/>
      </c>
      <c r="K137" s="15">
        <f>IF(OR(K136="",G136=""),"",IF(G136&lt;=0,"",IFERROR(K136/G136-1,"")))</f>
        <v/>
      </c>
      <c r="L137" s="15">
        <f>IF(OR(L136="",H136=""),"",IF(H136&lt;=0,"",IFERROR(L136/H136-1,"")))</f>
        <v/>
      </c>
      <c r="M137" s="15">
        <f>IF(OR(M136="",I136=""),"",IF(I136&lt;=0,"",IFERROR(M136/I136-1,"")))</f>
        <v/>
      </c>
      <c r="N137" s="15">
        <f>IF(OR(N136="",J136=""),"",IF(J136&lt;=0,"",IFERROR(N136/J136-1,"")))</f>
        <v/>
      </c>
      <c r="V137" s="15">
        <f>IF(OR(V136="",U136=""),"",IF(U136&lt;=0,"",IFERROR(V136/U136-1,"")))</f>
        <v/>
      </c>
      <c r="W137" s="15">
        <f>IF(OR(W136="",V136=""),"",IF(V136&lt;=0,"",IFERROR(W136/V136-1,"")))</f>
        <v/>
      </c>
      <c r="X137" s="15">
        <f>IF(OR(X136="",W136=""),"",IF(W136&lt;=0,"",IFERROR(X136/W136-1,"")))</f>
        <v/>
      </c>
    </row>
    <row r="138">
      <c r="A138" s="18" t="inlineStr">
        <is>
          <t>사회 인프라 · Revenue From External Customers</t>
        </is>
      </c>
      <c r="C138" s="20" t="n">
        <v>254927</v>
      </c>
      <c r="D138" s="20" t="n">
        <v>346635</v>
      </c>
      <c r="E138" s="20" t="n">
        <v>157629</v>
      </c>
      <c r="F138" s="20" t="n">
        <v>192609</v>
      </c>
      <c r="G138" s="20" t="n">
        <v>214504</v>
      </c>
      <c r="H138" s="20" t="n">
        <v>267360</v>
      </c>
      <c r="I138" s="20" t="n">
        <v>120383</v>
      </c>
      <c r="J138" s="20" t="n">
        <v>176026</v>
      </c>
      <c r="K138" s="20" t="n">
        <v>321829</v>
      </c>
      <c r="L138" s="20" t="n">
        <v>317064</v>
      </c>
      <c r="M138" s="20" t="n">
        <v>165278</v>
      </c>
      <c r="N138" s="20" t="n">
        <v>191251</v>
      </c>
      <c r="V138" s="20" t="n">
        <v>346635</v>
      </c>
      <c r="W138" s="20" t="n">
        <v>267360</v>
      </c>
      <c r="X138" s="20" t="n">
        <v>317064</v>
      </c>
    </row>
    <row r="139">
      <c r="A139" s="43" t="inlineStr">
        <is>
          <t>YoY</t>
        </is>
      </c>
      <c r="B139" s="3" t="inlineStr">
        <is>
          <t>전년 같은 분기·전년 대비</t>
        </is>
      </c>
      <c r="G139" s="15">
        <f>IF(OR(G138="",C138=""),"",IF(C138&lt;=0,"",IFERROR(G138/C138-1,"")))</f>
        <v/>
      </c>
      <c r="H139" s="15">
        <f>IF(OR(H138="",D138=""),"",IF(D138&lt;=0,"",IFERROR(H138/D138-1,"")))</f>
        <v/>
      </c>
      <c r="I139" s="15">
        <f>IF(OR(I138="",E138=""),"",IF(E138&lt;=0,"",IFERROR(I138/E138-1,"")))</f>
        <v/>
      </c>
      <c r="J139" s="15">
        <f>IF(OR(J138="",F138=""),"",IF(F138&lt;=0,"",IFERROR(J138/F138-1,"")))</f>
        <v/>
      </c>
      <c r="K139" s="15">
        <f>IF(OR(K138="",G138=""),"",IF(G138&lt;=0,"",IFERROR(K138/G138-1,"")))</f>
        <v/>
      </c>
      <c r="L139" s="15">
        <f>IF(OR(L138="",H138=""),"",IF(H138&lt;=0,"",IFERROR(L138/H138-1,"")))</f>
        <v/>
      </c>
      <c r="M139" s="15">
        <f>IF(OR(M138="",I138=""),"",IF(I138&lt;=0,"",IFERROR(M138/I138-1,"")))</f>
        <v/>
      </c>
      <c r="N139" s="15">
        <f>IF(OR(N138="",J138=""),"",IF(J138&lt;=0,"",IFERROR(N138/J138-1,"")))</f>
        <v/>
      </c>
      <c r="V139" s="15">
        <f>IF(OR(V138="",U138=""),"",IF(U138&lt;=0,"",IFERROR(V138/U138-1,"")))</f>
        <v/>
      </c>
      <c r="W139" s="15">
        <f>IF(OR(W138="",V138=""),"",IF(V138&lt;=0,"",IFERROR(W138/V138-1,"")))</f>
        <v/>
      </c>
      <c r="X139" s="15">
        <f>IF(OR(X138="",W138=""),"",IF(W138&lt;=0,"",IFERROR(X138/W138-1,"")))</f>
        <v/>
      </c>
    </row>
    <row r="140">
      <c r="A140" s="18" t="inlineStr">
        <is>
          <t>보고부문 합계 · Revenue From External Customers</t>
        </is>
      </c>
      <c r="C140" s="20" t="n">
        <v>725689</v>
      </c>
      <c r="D140" s="20" t="n">
        <v>946791</v>
      </c>
      <c r="E140" s="20" t="n">
        <v>659474</v>
      </c>
      <c r="F140" s="20" t="n">
        <v>770849</v>
      </c>
      <c r="G140" s="20" t="n">
        <v>801167</v>
      </c>
      <c r="H140" s="20" t="n">
        <v>1060432</v>
      </c>
      <c r="I140" s="20" t="n">
        <v>687506</v>
      </c>
      <c r="J140" s="20" t="n">
        <v>823846</v>
      </c>
      <c r="K140" s="20" t="n">
        <v>818578</v>
      </c>
      <c r="L140" s="20" t="n">
        <v>1114297</v>
      </c>
      <c r="M140" s="20" t="n">
        <v>786734</v>
      </c>
      <c r="N140" s="20" t="n">
        <v>900296</v>
      </c>
      <c r="V140" s="20" t="n">
        <v>946791</v>
      </c>
      <c r="W140" s="20" t="n">
        <v>1060432</v>
      </c>
      <c r="X140" s="20" t="n">
        <v>1114297</v>
      </c>
    </row>
    <row r="141">
      <c r="A141" s="43" t="inlineStr">
        <is>
          <t>YoY</t>
        </is>
      </c>
      <c r="B141" s="3" t="inlineStr">
        <is>
          <t>전년 같은 분기·전년 대비</t>
        </is>
      </c>
      <c r="G141" s="15">
        <f>IF(OR(G140="",C140=""),"",IF(C140&lt;=0,"",IFERROR(G140/C140-1,"")))</f>
        <v/>
      </c>
      <c r="H141" s="15">
        <f>IF(OR(H140="",D140=""),"",IF(D140&lt;=0,"",IFERROR(H140/D140-1,"")))</f>
        <v/>
      </c>
      <c r="I141" s="15">
        <f>IF(OR(I140="",E140=""),"",IF(E140&lt;=0,"",IFERROR(I140/E140-1,"")))</f>
        <v/>
      </c>
      <c r="J141" s="15">
        <f>IF(OR(J140="",F140=""),"",IF(F140&lt;=0,"",IFERROR(J140/F140-1,"")))</f>
        <v/>
      </c>
      <c r="K141" s="15">
        <f>IF(OR(K140="",G140=""),"",IF(G140&lt;=0,"",IFERROR(K140/G140-1,"")))</f>
        <v/>
      </c>
      <c r="L141" s="15">
        <f>IF(OR(L140="",H140=""),"",IF(H140&lt;=0,"",IFERROR(L140/H140-1,"")))</f>
        <v/>
      </c>
      <c r="M141" s="15">
        <f>IF(OR(M140="",I140=""),"",IF(I140&lt;=0,"",IFERROR(M140/I140-1,"")))</f>
        <v/>
      </c>
      <c r="N141" s="15">
        <f>IF(OR(N140="",J140=""),"",IF(J140&lt;=0,"",IFERROR(N140/J140-1,"")))</f>
        <v/>
      </c>
      <c r="V141" s="15">
        <f>IF(OR(V140="",U140=""),"",IF(U140&lt;=0,"",IFERROR(V140/U140-1,"")))</f>
        <v/>
      </c>
      <c r="W141" s="15">
        <f>IF(OR(W140="",V140=""),"",IF(V140&lt;=0,"",IFERROR(W140/V140-1,"")))</f>
        <v/>
      </c>
      <c r="X141" s="15">
        <f>IF(OR(X140="",W140=""),"",IF(W140&lt;=0,"",IFERROR(X140/W140-1,"")))</f>
        <v/>
      </c>
    </row>
    <row r="142">
      <c r="A142" s="18" t="inlineStr">
        <is>
          <t>기타 · Revenue From External Customers</t>
        </is>
      </c>
      <c r="C142" s="20" t="n">
        <v>118786</v>
      </c>
      <c r="D142" s="20" t="n">
        <v>137195</v>
      </c>
      <c r="E142" s="20" t="n">
        <v>30822</v>
      </c>
      <c r="F142" s="20" t="n">
        <v>25531</v>
      </c>
      <c r="G142" s="20" t="n">
        <v>33966</v>
      </c>
      <c r="H142" s="20" t="n">
        <v>41190</v>
      </c>
      <c r="I142" s="20" t="n">
        <v>28152</v>
      </c>
      <c r="J142" s="20" t="n">
        <v>30275</v>
      </c>
      <c r="K142" s="20" t="n">
        <v>33960</v>
      </c>
      <c r="L142" s="20" t="n">
        <v>46119</v>
      </c>
      <c r="M142" s="20" t="n">
        <v>33040</v>
      </c>
      <c r="N142" s="20" t="n">
        <v>33787</v>
      </c>
      <c r="V142" s="20" t="n">
        <v>137195</v>
      </c>
      <c r="W142" s="20" t="n">
        <v>41190</v>
      </c>
      <c r="X142" s="20" t="n">
        <v>46119</v>
      </c>
    </row>
    <row r="143">
      <c r="A143" s="43" t="inlineStr">
        <is>
          <t>YoY</t>
        </is>
      </c>
      <c r="B143" s="3" t="inlineStr">
        <is>
          <t>전년 같은 분기·전년 대비</t>
        </is>
      </c>
      <c r="G143" s="15">
        <f>IF(OR(G142="",C142=""),"",IF(C142&lt;=0,"",IFERROR(G142/C142-1,"")))</f>
        <v/>
      </c>
      <c r="H143" s="15">
        <f>IF(OR(H142="",D142=""),"",IF(D142&lt;=0,"",IFERROR(H142/D142-1,"")))</f>
        <v/>
      </c>
      <c r="I143" s="15">
        <f>IF(OR(I142="",E142=""),"",IF(E142&lt;=0,"",IFERROR(I142/E142-1,"")))</f>
        <v/>
      </c>
      <c r="J143" s="15">
        <f>IF(OR(J142="",F142=""),"",IF(F142&lt;=0,"",IFERROR(J142/F142-1,"")))</f>
        <v/>
      </c>
      <c r="K143" s="15">
        <f>IF(OR(K142="",G142=""),"",IF(G142&lt;=0,"",IFERROR(K142/G142-1,"")))</f>
        <v/>
      </c>
      <c r="L143" s="15">
        <f>IF(OR(L142="",H142=""),"",IF(H142&lt;=0,"",IFERROR(L142/H142-1,"")))</f>
        <v/>
      </c>
      <c r="M143" s="15">
        <f>IF(OR(M142="",I142=""),"",IF(I142&lt;=0,"",IFERROR(M142/I142-1,"")))</f>
        <v/>
      </c>
      <c r="N143" s="15">
        <f>IF(OR(N142="",J142=""),"",IF(J142&lt;=0,"",IFERROR(N142/J142-1,"")))</f>
        <v/>
      </c>
      <c r="V143" s="15">
        <f>IF(OR(V142="",U142=""),"",IF(U142&lt;=0,"",IFERROR(V142/U142-1,"")))</f>
        <v/>
      </c>
      <c r="W143" s="15">
        <f>IF(OR(W142="",V142=""),"",IF(V142&lt;=0,"",IFERROR(W142/V142-1,"")))</f>
        <v/>
      </c>
      <c r="X143" s="15">
        <f>IF(OR(X142="",W142=""),"",IF(W142&lt;=0,"",IFERROR(X142/W142-1,"")))</f>
        <v/>
      </c>
    </row>
    <row r="144">
      <c r="A144" s="18" t="inlineStr">
        <is>
          <t>조정액 · Revenue From External Customers</t>
        </is>
      </c>
      <c r="C144" s="20" t="n">
        <v>0</v>
      </c>
      <c r="D144" s="20" t="n">
        <v>0</v>
      </c>
      <c r="E144" s="20" t="n">
        <v>0</v>
      </c>
      <c r="F144" s="20" t="n">
        <v>0</v>
      </c>
      <c r="G144" s="20" t="n">
        <v>0</v>
      </c>
      <c r="H144" s="20" t="n">
        <v>0</v>
      </c>
      <c r="I144" s="20" t="n">
        <v>0</v>
      </c>
      <c r="J144" s="20" t="n">
        <v>0</v>
      </c>
      <c r="K144" s="20" t="n">
        <v>0</v>
      </c>
      <c r="L144" s="20" t="n">
        <v>0</v>
      </c>
      <c r="M144" s="20" t="n">
        <v>0</v>
      </c>
      <c r="N144" s="20" t="n">
        <v>0</v>
      </c>
      <c r="V144" s="20" t="n">
        <v>0</v>
      </c>
      <c r="W144" s="20" t="n">
        <v>0</v>
      </c>
      <c r="X144" s="20" t="n">
        <v>0</v>
      </c>
    </row>
    <row r="145">
      <c r="A145" s="9" t="inlineStr">
        <is>
          <t>Revenue From External Customers</t>
        </is>
      </c>
      <c r="C145" s="12" t="n">
        <v>844475</v>
      </c>
      <c r="D145" s="12" t="n">
        <v>1083986</v>
      </c>
      <c r="E145" s="12" t="n">
        <v>690296</v>
      </c>
      <c r="F145" s="12" t="n">
        <v>796380</v>
      </c>
      <c r="G145" s="12" t="n">
        <v>835133</v>
      </c>
      <c r="H145" s="12" t="n">
        <v>1101622</v>
      </c>
      <c r="I145" s="12" t="n">
        <v>715658</v>
      </c>
      <c r="J145" s="12" t="n">
        <v>854121</v>
      </c>
      <c r="K145" s="12" t="n">
        <v>852538</v>
      </c>
      <c r="L145" s="12" t="n">
        <v>1160416</v>
      </c>
      <c r="M145" s="12" t="n">
        <v>819774</v>
      </c>
      <c r="N145" s="12" t="n">
        <v>934083</v>
      </c>
      <c r="V145" s="12" t="n">
        <v>1083986</v>
      </c>
      <c r="W145" s="12" t="n">
        <v>1101622</v>
      </c>
      <c r="X145" s="12" t="n">
        <v>1160416</v>
      </c>
    </row>
    <row r="146">
      <c r="A146" s="43" t="inlineStr">
        <is>
          <t>YoY</t>
        </is>
      </c>
      <c r="B146" s="3" t="inlineStr">
        <is>
          <t>전년 같은 분기·전년 대비</t>
        </is>
      </c>
      <c r="G146" s="15">
        <f>IF(OR(G145="",C145=""),"",IF(C145&lt;=0,"",IFERROR(G145/C145-1,"")))</f>
        <v/>
      </c>
      <c r="H146" s="15">
        <f>IF(OR(H145="",D145=""),"",IF(D145&lt;=0,"",IFERROR(H145/D145-1,"")))</f>
        <v/>
      </c>
      <c r="I146" s="15">
        <f>IF(OR(I145="",E145=""),"",IF(E145&lt;=0,"",IFERROR(I145/E145-1,"")))</f>
        <v/>
      </c>
      <c r="J146" s="15">
        <f>IF(OR(J145="",F145=""),"",IF(F145&lt;=0,"",IFERROR(J145/F145-1,"")))</f>
        <v/>
      </c>
      <c r="K146" s="15">
        <f>IF(OR(K145="",G145=""),"",IF(G145&lt;=0,"",IFERROR(K145/G145-1,"")))</f>
        <v/>
      </c>
      <c r="L146" s="15">
        <f>IF(OR(L145="",H145=""),"",IF(H145&lt;=0,"",IFERROR(L145/H145-1,"")))</f>
        <v/>
      </c>
      <c r="M146" s="15">
        <f>IF(OR(M145="",I145=""),"",IF(I145&lt;=0,"",IFERROR(M145/I145-1,"")))</f>
        <v/>
      </c>
      <c r="N146" s="15">
        <f>IF(OR(N145="",J145=""),"",IF(J145&lt;=0,"",IFERROR(N145/J145-1,"")))</f>
        <v/>
      </c>
      <c r="V146" s="15">
        <f>IF(OR(V145="",U145=""),"",IF(U145&lt;=0,"",IFERROR(V145/U145-1,"")))</f>
        <v/>
      </c>
      <c r="W146" s="15">
        <f>IF(OR(W145="",V145=""),"",IF(V145&lt;=0,"",IFERROR(W145/V145-1,"")))</f>
        <v/>
      </c>
      <c r="X146" s="15">
        <f>IF(OR(X145="",W145=""),"",IF(W145&lt;=0,"",IFERROR(X145/W145-1,"")))</f>
        <v/>
      </c>
    </row>
    <row r="147">
      <c r="A147" s="18" t="inlineStr">
        <is>
          <t>IT서비스 · Intersegment Revenue</t>
        </is>
      </c>
      <c r="C147" s="20" t="n">
        <v>11311</v>
      </c>
      <c r="D147" s="20" t="n">
        <v>16451</v>
      </c>
      <c r="E147" s="20" t="n">
        <v>283</v>
      </c>
      <c r="F147" s="20" t="n">
        <v>413</v>
      </c>
      <c r="G147" s="20" t="n">
        <v>362</v>
      </c>
      <c r="H147" s="20" t="n">
        <v>507</v>
      </c>
      <c r="I147" s="20" t="n">
        <v>330</v>
      </c>
      <c r="J147" s="20" t="n">
        <v>410</v>
      </c>
      <c r="K147" s="20" t="n">
        <v>566</v>
      </c>
      <c r="L147" s="20" t="n">
        <v>653</v>
      </c>
      <c r="M147" s="20" t="n">
        <v>344</v>
      </c>
      <c r="N147" s="20" t="n">
        <v>1105</v>
      </c>
      <c r="V147" s="20" t="n">
        <v>16451</v>
      </c>
      <c r="W147" s="20" t="n">
        <v>507</v>
      </c>
      <c r="X147" s="20" t="n">
        <v>653</v>
      </c>
    </row>
    <row r="148">
      <c r="A148" s="18" t="inlineStr">
        <is>
          <t>사회 인프라 · Intersegment Revenue</t>
        </is>
      </c>
      <c r="C148" s="20" t="n">
        <v>1705</v>
      </c>
      <c r="D148" s="20" t="n">
        <v>1972</v>
      </c>
      <c r="E148" s="20" t="n">
        <v>825</v>
      </c>
      <c r="F148" s="20" t="n">
        <v>800</v>
      </c>
      <c r="G148" s="20" t="n">
        <v>831</v>
      </c>
      <c r="H148" s="20" t="n">
        <v>993</v>
      </c>
      <c r="I148" s="20" t="n">
        <v>458</v>
      </c>
      <c r="J148" s="20" t="n">
        <v>479</v>
      </c>
      <c r="K148" s="20" t="n">
        <v>1152</v>
      </c>
      <c r="L148" s="20" t="n">
        <v>1020</v>
      </c>
      <c r="M148" s="20" t="n">
        <v>630</v>
      </c>
      <c r="N148" s="20" t="n">
        <v>781</v>
      </c>
      <c r="V148" s="20" t="n">
        <v>1972</v>
      </c>
      <c r="W148" s="20" t="n">
        <v>993</v>
      </c>
      <c r="X148" s="20" t="n">
        <v>1020</v>
      </c>
    </row>
    <row r="149">
      <c r="A149" s="18" t="inlineStr">
        <is>
          <t>보고부문 합계 · Intersegment Revenue</t>
        </is>
      </c>
      <c r="C149" s="20" t="n">
        <v>13016</v>
      </c>
      <c r="D149" s="20" t="n">
        <v>18423</v>
      </c>
      <c r="E149" s="20" t="n">
        <v>1108</v>
      </c>
      <c r="F149" s="20" t="n">
        <v>1213</v>
      </c>
      <c r="G149" s="20" t="n">
        <v>1193</v>
      </c>
      <c r="H149" s="20" t="n">
        <v>1500</v>
      </c>
      <c r="I149" s="20" t="n">
        <v>788</v>
      </c>
      <c r="J149" s="20" t="n">
        <v>889</v>
      </c>
      <c r="K149" s="20" t="n">
        <v>1718</v>
      </c>
      <c r="L149" s="20" t="n">
        <v>1673</v>
      </c>
      <c r="M149" s="20" t="n">
        <v>974</v>
      </c>
      <c r="N149" s="20" t="n">
        <v>1886</v>
      </c>
      <c r="V149" s="20" t="n">
        <v>18423</v>
      </c>
      <c r="W149" s="20" t="n">
        <v>1500</v>
      </c>
      <c r="X149" s="20" t="n">
        <v>1673</v>
      </c>
    </row>
    <row r="150">
      <c r="A150" s="18" t="inlineStr">
        <is>
          <t>기타 · Intersegment Revenue</t>
        </is>
      </c>
      <c r="C150" s="20" t="n">
        <v>1648</v>
      </c>
      <c r="D150" s="20" t="n">
        <v>2127</v>
      </c>
      <c r="E150" s="20" t="n">
        <v>1717</v>
      </c>
      <c r="F150" s="20" t="n">
        <v>1788</v>
      </c>
      <c r="G150" s="20" t="n">
        <v>1772</v>
      </c>
      <c r="H150" s="20" t="n">
        <v>2078</v>
      </c>
      <c r="I150" s="20" t="n">
        <v>1949</v>
      </c>
      <c r="J150" s="20" t="n">
        <v>2033</v>
      </c>
      <c r="K150" s="20" t="n">
        <v>2043</v>
      </c>
      <c r="L150" s="20" t="n">
        <v>1819</v>
      </c>
      <c r="M150" s="20" t="n">
        <v>2132</v>
      </c>
      <c r="N150" s="20" t="n">
        <v>2248</v>
      </c>
      <c r="V150" s="20" t="n">
        <v>2127</v>
      </c>
      <c r="W150" s="20" t="n">
        <v>2078</v>
      </c>
      <c r="X150" s="20" t="n">
        <v>1819</v>
      </c>
    </row>
    <row r="151">
      <c r="A151" s="18" t="inlineStr">
        <is>
          <t>조정액 · Intersegment Revenue</t>
        </is>
      </c>
      <c r="C151" s="20" t="n">
        <v>-14664</v>
      </c>
      <c r="D151" s="20" t="n">
        <v>-20550</v>
      </c>
      <c r="E151" s="20" t="n">
        <v>-2825</v>
      </c>
      <c r="F151" s="20" t="n">
        <v>-3001</v>
      </c>
      <c r="G151" s="20" t="n">
        <v>-2965</v>
      </c>
      <c r="H151" s="20" t="n">
        <v>-3578</v>
      </c>
      <c r="I151" s="20" t="n">
        <v>-2737</v>
      </c>
      <c r="J151" s="20" t="n">
        <v>-2922</v>
      </c>
      <c r="K151" s="20" t="n">
        <v>-3761</v>
      </c>
      <c r="L151" s="20" t="n">
        <v>-3492</v>
      </c>
      <c r="M151" s="20" t="n">
        <v>-3106</v>
      </c>
      <c r="N151" s="20" t="n">
        <v>-4134</v>
      </c>
      <c r="V151" s="20" t="n">
        <v>-20550</v>
      </c>
      <c r="W151" s="20" t="n">
        <v>-3578</v>
      </c>
      <c r="X151" s="20" t="n">
        <v>-3492</v>
      </c>
    </row>
    <row r="152">
      <c r="A152" s="18" t="inlineStr">
        <is>
          <t>Intersegment Revenue</t>
        </is>
      </c>
      <c r="C152" s="20" t="n">
        <v>0</v>
      </c>
      <c r="D152" s="20" t="n">
        <v>0</v>
      </c>
      <c r="E152" s="20" t="n">
        <v>0</v>
      </c>
      <c r="F152" s="20" t="n">
        <v>0</v>
      </c>
      <c r="G152" s="20" t="n">
        <v>0</v>
      </c>
      <c r="H152" s="20" t="n">
        <v>0</v>
      </c>
      <c r="I152" s="20" t="n">
        <v>0</v>
      </c>
      <c r="J152" s="20" t="n">
        <v>0</v>
      </c>
      <c r="K152" s="20" t="n">
        <v>0</v>
      </c>
      <c r="L152" s="20" t="n">
        <v>0</v>
      </c>
      <c r="M152" s="20" t="n">
        <v>0</v>
      </c>
      <c r="N152" s="20" t="n">
        <v>0</v>
      </c>
      <c r="V152" s="20" t="n">
        <v>0</v>
      </c>
      <c r="W152" s="20" t="n">
        <v>0</v>
      </c>
      <c r="X152" s="20" t="n">
        <v>0</v>
      </c>
    </row>
    <row r="153">
      <c r="A153" s="18" t="inlineStr">
        <is>
          <t>IT서비스 · 계</t>
        </is>
      </c>
      <c r="C153" s="20" t="n">
        <v>482073</v>
      </c>
      <c r="D153" s="20" t="n">
        <v>616607</v>
      </c>
      <c r="E153" s="20" t="n">
        <v>502128</v>
      </c>
      <c r="F153" s="20" t="n">
        <v>578653</v>
      </c>
      <c r="G153" s="20" t="n">
        <v>587025</v>
      </c>
      <c r="H153" s="20" t="n">
        <v>793579</v>
      </c>
      <c r="I153" s="20" t="n">
        <v>567453</v>
      </c>
      <c r="J153" s="20" t="n">
        <v>648230</v>
      </c>
      <c r="K153" s="20" t="n">
        <v>497315</v>
      </c>
      <c r="L153" s="20" t="n">
        <v>797886</v>
      </c>
      <c r="M153" s="20" t="n">
        <v>621800</v>
      </c>
      <c r="N153" s="20" t="n">
        <v>710150</v>
      </c>
      <c r="V153" s="20" t="n">
        <v>616607</v>
      </c>
      <c r="W153" s="20" t="n">
        <v>793579</v>
      </c>
      <c r="X153" s="20" t="n">
        <v>797886</v>
      </c>
    </row>
    <row r="154">
      <c r="A154" s="43" t="inlineStr">
        <is>
          <t>YoY</t>
        </is>
      </c>
      <c r="B154" s="3" t="inlineStr">
        <is>
          <t>전년 같은 분기·전년 대비</t>
        </is>
      </c>
      <c r="G154" s="15">
        <f>IF(OR(G153="",C153=""),"",IF(C153&lt;=0,"",IFERROR(G153/C153-1,"")))</f>
        <v/>
      </c>
      <c r="H154" s="15">
        <f>IF(OR(H153="",D153=""),"",IF(D153&lt;=0,"",IFERROR(H153/D153-1,"")))</f>
        <v/>
      </c>
      <c r="I154" s="15">
        <f>IF(OR(I153="",E153=""),"",IF(E153&lt;=0,"",IFERROR(I153/E153-1,"")))</f>
        <v/>
      </c>
      <c r="J154" s="15">
        <f>IF(OR(J153="",F153=""),"",IF(F153&lt;=0,"",IFERROR(J153/F153-1,"")))</f>
        <v/>
      </c>
      <c r="K154" s="15">
        <f>IF(OR(K153="",G153=""),"",IF(G153&lt;=0,"",IFERROR(K153/G153-1,"")))</f>
        <v/>
      </c>
      <c r="L154" s="15">
        <f>IF(OR(L153="",H153=""),"",IF(H153&lt;=0,"",IFERROR(L153/H153-1,"")))</f>
        <v/>
      </c>
      <c r="M154" s="15">
        <f>IF(OR(M153="",I153=""),"",IF(I153&lt;=0,"",IFERROR(M153/I153-1,"")))</f>
        <v/>
      </c>
      <c r="N154" s="15">
        <f>IF(OR(N153="",J153=""),"",IF(J153&lt;=0,"",IFERROR(N153/J153-1,"")))</f>
        <v/>
      </c>
      <c r="V154" s="15">
        <f>IF(OR(V153="",U153=""),"",IF(U153&lt;=0,"",IFERROR(V153/U153-1,"")))</f>
        <v/>
      </c>
      <c r="W154" s="15">
        <f>IF(OR(W153="",V153=""),"",IF(V153&lt;=0,"",IFERROR(W153/V153-1,"")))</f>
        <v/>
      </c>
      <c r="X154" s="15">
        <f>IF(OR(X153="",W153=""),"",IF(W153&lt;=0,"",IFERROR(X153/W153-1,"")))</f>
        <v/>
      </c>
    </row>
    <row r="155">
      <c r="A155" s="18" t="inlineStr">
        <is>
          <t>사회 인프라 · 계</t>
        </is>
      </c>
      <c r="C155" s="20" t="n">
        <v>256632</v>
      </c>
      <c r="D155" s="20" t="n">
        <v>348607</v>
      </c>
      <c r="E155" s="20" t="n">
        <v>158454</v>
      </c>
      <c r="F155" s="20" t="n">
        <v>193409</v>
      </c>
      <c r="G155" s="20" t="n">
        <v>215335</v>
      </c>
      <c r="H155" s="20" t="n">
        <v>268353</v>
      </c>
      <c r="I155" s="20" t="n">
        <v>120841</v>
      </c>
      <c r="J155" s="20" t="n">
        <v>176505</v>
      </c>
      <c r="K155" s="20" t="n">
        <v>322981</v>
      </c>
      <c r="L155" s="20" t="n">
        <v>318084</v>
      </c>
      <c r="M155" s="20" t="n">
        <v>165908</v>
      </c>
      <c r="N155" s="20" t="n">
        <v>192032</v>
      </c>
      <c r="V155" s="20" t="n">
        <v>348607</v>
      </c>
      <c r="W155" s="20" t="n">
        <v>268353</v>
      </c>
      <c r="X155" s="20" t="n">
        <v>318084</v>
      </c>
    </row>
    <row r="156">
      <c r="A156" s="43" t="inlineStr">
        <is>
          <t>YoY</t>
        </is>
      </c>
      <c r="B156" s="3" t="inlineStr">
        <is>
          <t>전년 같은 분기·전년 대비</t>
        </is>
      </c>
      <c r="G156" s="15">
        <f>IF(OR(G155="",C155=""),"",IF(C155&lt;=0,"",IFERROR(G155/C155-1,"")))</f>
        <v/>
      </c>
      <c r="H156" s="15">
        <f>IF(OR(H155="",D155=""),"",IF(D155&lt;=0,"",IFERROR(H155/D155-1,"")))</f>
        <v/>
      </c>
      <c r="I156" s="15">
        <f>IF(OR(I155="",E155=""),"",IF(E155&lt;=0,"",IFERROR(I155/E155-1,"")))</f>
        <v/>
      </c>
      <c r="J156" s="15">
        <f>IF(OR(J155="",F155=""),"",IF(F155&lt;=0,"",IFERROR(J155/F155-1,"")))</f>
        <v/>
      </c>
      <c r="K156" s="15">
        <f>IF(OR(K155="",G155=""),"",IF(G155&lt;=0,"",IFERROR(K155/G155-1,"")))</f>
        <v/>
      </c>
      <c r="L156" s="15">
        <f>IF(OR(L155="",H155=""),"",IF(H155&lt;=0,"",IFERROR(L155/H155-1,"")))</f>
        <v/>
      </c>
      <c r="M156" s="15">
        <f>IF(OR(M155="",I155=""),"",IF(I155&lt;=0,"",IFERROR(M155/I155-1,"")))</f>
        <v/>
      </c>
      <c r="N156" s="15">
        <f>IF(OR(N155="",J155=""),"",IF(J155&lt;=0,"",IFERROR(N155/J155-1,"")))</f>
        <v/>
      </c>
      <c r="V156" s="15">
        <f>IF(OR(V155="",U155=""),"",IF(U155&lt;=0,"",IFERROR(V155/U155-1,"")))</f>
        <v/>
      </c>
      <c r="W156" s="15">
        <f>IF(OR(W155="",V155=""),"",IF(V155&lt;=0,"",IFERROR(W155/V155-1,"")))</f>
        <v/>
      </c>
      <c r="X156" s="15">
        <f>IF(OR(X155="",W155=""),"",IF(W155&lt;=0,"",IFERROR(X155/W155-1,"")))</f>
        <v/>
      </c>
    </row>
    <row r="157">
      <c r="A157" s="18" t="inlineStr">
        <is>
          <t>보고부문 합계 · 계</t>
        </is>
      </c>
      <c r="C157" s="20" t="n">
        <v>738705</v>
      </c>
      <c r="D157" s="20" t="n">
        <v>965214</v>
      </c>
      <c r="E157" s="20" t="n">
        <v>660582</v>
      </c>
      <c r="F157" s="20" t="n">
        <v>772062</v>
      </c>
      <c r="G157" s="20" t="n">
        <v>802360</v>
      </c>
      <c r="H157" s="20" t="n">
        <v>1061932</v>
      </c>
      <c r="I157" s="20" t="n">
        <v>688294</v>
      </c>
      <c r="J157" s="20" t="n">
        <v>824735</v>
      </c>
      <c r="K157" s="20" t="n">
        <v>820296</v>
      </c>
      <c r="L157" s="20" t="n">
        <v>1115970</v>
      </c>
      <c r="M157" s="20" t="n">
        <v>787708</v>
      </c>
      <c r="N157" s="20" t="n">
        <v>902182</v>
      </c>
      <c r="V157" s="20" t="n">
        <v>965214</v>
      </c>
      <c r="W157" s="20" t="n">
        <v>1061932</v>
      </c>
      <c r="X157" s="20" t="n">
        <v>1115970</v>
      </c>
    </row>
    <row r="158">
      <c r="A158" s="43" t="inlineStr">
        <is>
          <t>YoY</t>
        </is>
      </c>
      <c r="B158" s="3" t="inlineStr">
        <is>
          <t>전년 같은 분기·전년 대비</t>
        </is>
      </c>
      <c r="G158" s="15">
        <f>IF(OR(G157="",C157=""),"",IF(C157&lt;=0,"",IFERROR(G157/C157-1,"")))</f>
        <v/>
      </c>
      <c r="H158" s="15">
        <f>IF(OR(H157="",D157=""),"",IF(D157&lt;=0,"",IFERROR(H157/D157-1,"")))</f>
        <v/>
      </c>
      <c r="I158" s="15">
        <f>IF(OR(I157="",E157=""),"",IF(E157&lt;=0,"",IFERROR(I157/E157-1,"")))</f>
        <v/>
      </c>
      <c r="J158" s="15">
        <f>IF(OR(J157="",F157=""),"",IF(F157&lt;=0,"",IFERROR(J157/F157-1,"")))</f>
        <v/>
      </c>
      <c r="K158" s="15">
        <f>IF(OR(K157="",G157=""),"",IF(G157&lt;=0,"",IFERROR(K157/G157-1,"")))</f>
        <v/>
      </c>
      <c r="L158" s="15">
        <f>IF(OR(L157="",H157=""),"",IF(H157&lt;=0,"",IFERROR(L157/H157-1,"")))</f>
        <v/>
      </c>
      <c r="M158" s="15">
        <f>IF(OR(M157="",I157=""),"",IF(I157&lt;=0,"",IFERROR(M157/I157-1,"")))</f>
        <v/>
      </c>
      <c r="N158" s="15">
        <f>IF(OR(N157="",J157=""),"",IF(J157&lt;=0,"",IFERROR(N157/J157-1,"")))</f>
        <v/>
      </c>
      <c r="V158" s="15">
        <f>IF(OR(V157="",U157=""),"",IF(U157&lt;=0,"",IFERROR(V157/U157-1,"")))</f>
        <v/>
      </c>
      <c r="W158" s="15">
        <f>IF(OR(W157="",V157=""),"",IF(V157&lt;=0,"",IFERROR(W157/V157-1,"")))</f>
        <v/>
      </c>
      <c r="X158" s="15">
        <f>IF(OR(X157="",W157=""),"",IF(W157&lt;=0,"",IFERROR(X157/W157-1,"")))</f>
        <v/>
      </c>
    </row>
    <row r="159">
      <c r="A159" s="18" t="inlineStr">
        <is>
          <t>기타 · 계</t>
        </is>
      </c>
      <c r="C159" s="20" t="n">
        <v>120434</v>
      </c>
      <c r="D159" s="20" t="n">
        <v>139322</v>
      </c>
      <c r="E159" s="20" t="n">
        <v>32539</v>
      </c>
      <c r="F159" s="20" t="n">
        <v>27319</v>
      </c>
      <c r="G159" s="20" t="n">
        <v>35738</v>
      </c>
      <c r="H159" s="20" t="n">
        <v>43268</v>
      </c>
      <c r="I159" s="20" t="n">
        <v>30101</v>
      </c>
      <c r="J159" s="20" t="n">
        <v>32308</v>
      </c>
      <c r="K159" s="20" t="n">
        <v>36003</v>
      </c>
      <c r="L159" s="20" t="n">
        <v>47938</v>
      </c>
      <c r="M159" s="20" t="n">
        <v>35172</v>
      </c>
      <c r="N159" s="20" t="n">
        <v>36035</v>
      </c>
      <c r="V159" s="20" t="n">
        <v>139322</v>
      </c>
      <c r="W159" s="20" t="n">
        <v>43268</v>
      </c>
      <c r="X159" s="20" t="n">
        <v>47938</v>
      </c>
    </row>
    <row r="160">
      <c r="A160" s="43" t="inlineStr">
        <is>
          <t>YoY</t>
        </is>
      </c>
      <c r="B160" s="3" t="inlineStr">
        <is>
          <t>전년 같은 분기·전년 대비</t>
        </is>
      </c>
      <c r="G160" s="15">
        <f>IF(OR(G159="",C159=""),"",IF(C159&lt;=0,"",IFERROR(G159/C159-1,"")))</f>
        <v/>
      </c>
      <c r="H160" s="15">
        <f>IF(OR(H159="",D159=""),"",IF(D159&lt;=0,"",IFERROR(H159/D159-1,"")))</f>
        <v/>
      </c>
      <c r="I160" s="15">
        <f>IF(OR(I159="",E159=""),"",IF(E159&lt;=0,"",IFERROR(I159/E159-1,"")))</f>
        <v/>
      </c>
      <c r="J160" s="15">
        <f>IF(OR(J159="",F159=""),"",IF(F159&lt;=0,"",IFERROR(J159/F159-1,"")))</f>
        <v/>
      </c>
      <c r="K160" s="15">
        <f>IF(OR(K159="",G159=""),"",IF(G159&lt;=0,"",IFERROR(K159/G159-1,"")))</f>
        <v/>
      </c>
      <c r="L160" s="15">
        <f>IF(OR(L159="",H159=""),"",IF(H159&lt;=0,"",IFERROR(L159/H159-1,"")))</f>
        <v/>
      </c>
      <c r="M160" s="15">
        <f>IF(OR(M159="",I159=""),"",IF(I159&lt;=0,"",IFERROR(M159/I159-1,"")))</f>
        <v/>
      </c>
      <c r="N160" s="15">
        <f>IF(OR(N159="",J159=""),"",IF(J159&lt;=0,"",IFERROR(N159/J159-1,"")))</f>
        <v/>
      </c>
      <c r="V160" s="15">
        <f>IF(OR(V159="",U159=""),"",IF(U159&lt;=0,"",IFERROR(V159/U159-1,"")))</f>
        <v/>
      </c>
      <c r="W160" s="15">
        <f>IF(OR(W159="",V159=""),"",IF(V159&lt;=0,"",IFERROR(W159/V159-1,"")))</f>
        <v/>
      </c>
      <c r="X160" s="15">
        <f>IF(OR(X159="",W159=""),"",IF(W159&lt;=0,"",IFERROR(X159/W159-1,"")))</f>
        <v/>
      </c>
    </row>
    <row r="161">
      <c r="A161" s="18" t="inlineStr">
        <is>
          <t>조정액 · 계</t>
        </is>
      </c>
      <c r="C161" s="20" t="n">
        <v>-14664</v>
      </c>
      <c r="D161" s="20" t="n">
        <v>-20550</v>
      </c>
      <c r="E161" s="20" t="n">
        <v>-2825</v>
      </c>
      <c r="F161" s="20" t="n">
        <v>-3001</v>
      </c>
      <c r="G161" s="20" t="n">
        <v>-2965</v>
      </c>
      <c r="H161" s="20" t="n">
        <v>-3578</v>
      </c>
      <c r="I161" s="20" t="n">
        <v>-2737</v>
      </c>
      <c r="J161" s="20" t="n">
        <v>-2922</v>
      </c>
      <c r="K161" s="20" t="n">
        <v>-3761</v>
      </c>
      <c r="L161" s="20" t="n">
        <v>-3492</v>
      </c>
      <c r="M161" s="20" t="n">
        <v>-3106</v>
      </c>
      <c r="N161" s="20" t="n">
        <v>-4134</v>
      </c>
      <c r="V161" s="20" t="n">
        <v>-20550</v>
      </c>
      <c r="W161" s="20" t="n">
        <v>-3578</v>
      </c>
      <c r="X161" s="20" t="n">
        <v>-3492</v>
      </c>
    </row>
    <row r="162">
      <c r="A162" s="9" t="inlineStr">
        <is>
          <t>계</t>
        </is>
      </c>
      <c r="C162" s="12" t="n">
        <v>844475</v>
      </c>
      <c r="D162" s="12" t="n">
        <v>1083986</v>
      </c>
      <c r="E162" s="12" t="n">
        <v>690296</v>
      </c>
      <c r="F162" s="12" t="n">
        <v>796380</v>
      </c>
      <c r="G162" s="12" t="n">
        <v>835133</v>
      </c>
      <c r="H162" s="12" t="n">
        <v>1101622</v>
      </c>
      <c r="I162" s="12" t="n">
        <v>715658</v>
      </c>
      <c r="J162" s="12" t="n">
        <v>854121</v>
      </c>
      <c r="K162" s="12" t="n">
        <v>852538</v>
      </c>
      <c r="L162" s="12" t="n">
        <v>1160416</v>
      </c>
      <c r="M162" s="12" t="n">
        <v>819774</v>
      </c>
      <c r="N162" s="12" t="n">
        <v>934083</v>
      </c>
      <c r="V162" s="12" t="n">
        <v>1083986</v>
      </c>
      <c r="W162" s="12" t="n">
        <v>1101622</v>
      </c>
      <c r="X162" s="12" t="n">
        <v>1160416</v>
      </c>
    </row>
    <row r="163">
      <c r="A163" s="43" t="inlineStr">
        <is>
          <t>YoY</t>
        </is>
      </c>
      <c r="B163" s="3" t="inlineStr">
        <is>
          <t>전년 같은 분기·전년 대비</t>
        </is>
      </c>
      <c r="G163" s="15">
        <f>IF(OR(G162="",C162=""),"",IF(C162&lt;=0,"",IFERROR(G162/C162-1,"")))</f>
        <v/>
      </c>
      <c r="H163" s="15">
        <f>IF(OR(H162="",D162=""),"",IF(D162&lt;=0,"",IFERROR(H162/D162-1,"")))</f>
        <v/>
      </c>
      <c r="I163" s="15">
        <f>IF(OR(I162="",E162=""),"",IF(E162&lt;=0,"",IFERROR(I162/E162-1,"")))</f>
        <v/>
      </c>
      <c r="J163" s="15">
        <f>IF(OR(J162="",F162=""),"",IF(F162&lt;=0,"",IFERROR(J162/F162-1,"")))</f>
        <v/>
      </c>
      <c r="K163" s="15">
        <f>IF(OR(K162="",G162=""),"",IF(G162&lt;=0,"",IFERROR(K162/G162-1,"")))</f>
        <v/>
      </c>
      <c r="L163" s="15">
        <f>IF(OR(L162="",H162=""),"",IF(H162&lt;=0,"",IFERROR(L162/H162-1,"")))</f>
        <v/>
      </c>
      <c r="M163" s="15">
        <f>IF(OR(M162="",I162=""),"",IF(I162&lt;=0,"",IFERROR(M162/I162-1,"")))</f>
        <v/>
      </c>
      <c r="N163" s="15">
        <f>IF(OR(N162="",J162=""),"",IF(J162&lt;=0,"",IFERROR(N162/J162-1,"")))</f>
        <v/>
      </c>
      <c r="V163" s="15">
        <f>IF(OR(V162="",U162=""),"",IF(U162&lt;=0,"",IFERROR(V162/U162-1,"")))</f>
        <v/>
      </c>
      <c r="W163" s="15">
        <f>IF(OR(W162="",V162=""),"",IF(V162&lt;=0,"",IFERROR(W162/V162-1,"")))</f>
        <v/>
      </c>
      <c r="X163" s="15">
        <f>IF(OR(X162="",W162=""),"",IF(W162&lt;=0,"",IFERROR(X162/W162-1,"")))</f>
        <v/>
      </c>
    </row>
    <row r="164">
      <c r="A164" s="18" t="inlineStr">
        <is>
          <t>IT서비스 · 부문 손익</t>
        </is>
      </c>
      <c r="C164" s="20" t="n">
        <v>41597</v>
      </c>
      <c r="D164" s="20" t="n">
        <v>95299</v>
      </c>
      <c r="E164" s="20" t="n">
        <v>11650</v>
      </c>
      <c r="F164" s="20" t="n">
        <v>44599</v>
      </c>
      <c r="G164" s="20" t="n">
        <v>62658</v>
      </c>
      <c r="H164" s="20" t="n">
        <v>132915</v>
      </c>
      <c r="I164" s="20" t="n">
        <v>40819</v>
      </c>
      <c r="J164" s="20" t="n">
        <v>82432</v>
      </c>
      <c r="K164" s="20" t="n">
        <v>72424</v>
      </c>
      <c r="L164" s="20" t="n">
        <v>141029</v>
      </c>
      <c r="M164" s="20" t="n">
        <v>57803</v>
      </c>
      <c r="N164" s="20" t="n">
        <v>102570</v>
      </c>
      <c r="V164" s="20" t="n">
        <v>95299</v>
      </c>
      <c r="W164" s="20" t="n">
        <v>132915</v>
      </c>
      <c r="X164" s="20" t="n">
        <v>141029</v>
      </c>
    </row>
    <row r="165">
      <c r="A165" s="43" t="inlineStr">
        <is>
          <t>OPM</t>
        </is>
      </c>
      <c r="B165" s="3" t="inlineStr">
        <is>
          <t>영업이익 ÷ 매출</t>
        </is>
      </c>
      <c r="C165" s="15">
        <f>IF(OR(C164="",C153=""),"",IF(C153&lt;=0,"",IFERROR(C164/C153,"")))</f>
        <v/>
      </c>
      <c r="D165" s="15">
        <f>IF(OR(D164="",D153=""),"",IF(D153&lt;=0,"",IFERROR(D164/D153,"")))</f>
        <v/>
      </c>
      <c r="E165" s="15">
        <f>IF(OR(E164="",E153=""),"",IF(E153&lt;=0,"",IFERROR(E164/E153,"")))</f>
        <v/>
      </c>
      <c r="F165" s="15">
        <f>IF(OR(F164="",F153=""),"",IF(F153&lt;=0,"",IFERROR(F164/F153,"")))</f>
        <v/>
      </c>
      <c r="G165" s="15">
        <f>IF(OR(G164="",G153=""),"",IF(G153&lt;=0,"",IFERROR(G164/G153,"")))</f>
        <v/>
      </c>
      <c r="H165" s="15">
        <f>IF(OR(H164="",H153=""),"",IF(H153&lt;=0,"",IFERROR(H164/H153,"")))</f>
        <v/>
      </c>
      <c r="I165" s="15">
        <f>IF(OR(I164="",I153=""),"",IF(I153&lt;=0,"",IFERROR(I164/I153,"")))</f>
        <v/>
      </c>
      <c r="J165" s="15">
        <f>IF(OR(J164="",J153=""),"",IF(J153&lt;=0,"",IFERROR(J164/J153,"")))</f>
        <v/>
      </c>
      <c r="K165" s="15">
        <f>IF(OR(K164="",K153=""),"",IF(K153&lt;=0,"",IFERROR(K164/K153,"")))</f>
        <v/>
      </c>
      <c r="L165" s="15">
        <f>IF(OR(L164="",L153=""),"",IF(L153&lt;=0,"",IFERROR(L164/L153,"")))</f>
        <v/>
      </c>
      <c r="M165" s="15">
        <f>IF(OR(M164="",M153=""),"",IF(M153&lt;=0,"",IFERROR(M164/M153,"")))</f>
        <v/>
      </c>
      <c r="N165" s="15">
        <f>IF(OR(N164="",N153=""),"",IF(N153&lt;=0,"",IFERROR(N164/N153,"")))</f>
        <v/>
      </c>
      <c r="V165" s="15">
        <f>IF(OR(V164="",V153=""),"",IF(V153&lt;=0,"",IFERROR(V164/V153,"")))</f>
        <v/>
      </c>
      <c r="W165" s="15">
        <f>IF(OR(W164="",W153=""),"",IF(W153&lt;=0,"",IFERROR(W164/W153,"")))</f>
        <v/>
      </c>
      <c r="X165" s="15">
        <f>IF(OR(X164="",X153=""),"",IF(X153&lt;=0,"",IFERROR(X164/X153,"")))</f>
        <v/>
      </c>
    </row>
    <row r="166">
      <c r="A166" s="43" t="inlineStr">
        <is>
          <t>YoY</t>
        </is>
      </c>
      <c r="B166" s="3" t="inlineStr">
        <is>
          <t>전년 같은 분기·전년 대비</t>
        </is>
      </c>
      <c r="G166" s="15">
        <f>IF(OR(G164="",C164=""),"",IF(C164&lt;=0,"",IFERROR(G164/C164-1,"")))</f>
        <v/>
      </c>
      <c r="H166" s="15">
        <f>IF(OR(H164="",D164=""),"",IF(D164&lt;=0,"",IFERROR(H164/D164-1,"")))</f>
        <v/>
      </c>
      <c r="I166" s="15">
        <f>IF(OR(I164="",E164=""),"",IF(E164&lt;=0,"",IFERROR(I164/E164-1,"")))</f>
        <v/>
      </c>
      <c r="J166" s="15">
        <f>IF(OR(J164="",F164=""),"",IF(F164&lt;=0,"",IFERROR(J164/F164-1,"")))</f>
        <v/>
      </c>
      <c r="K166" s="15">
        <f>IF(OR(K164="",G164=""),"",IF(G164&lt;=0,"",IFERROR(K164/G164-1,"")))</f>
        <v/>
      </c>
      <c r="L166" s="15">
        <f>IF(OR(L164="",H164=""),"",IF(H164&lt;=0,"",IFERROR(L164/H164-1,"")))</f>
        <v/>
      </c>
      <c r="M166" s="15">
        <f>IF(OR(M164="",I164=""),"",IF(I164&lt;=0,"",IFERROR(M164/I164-1,"")))</f>
        <v/>
      </c>
      <c r="N166" s="15">
        <f>IF(OR(N164="",J164=""),"",IF(J164&lt;=0,"",IFERROR(N164/J164-1,"")))</f>
        <v/>
      </c>
      <c r="V166" s="15">
        <f>IF(OR(V164="",U164=""),"",IF(U164&lt;=0,"",IFERROR(V164/U164-1,"")))</f>
        <v/>
      </c>
      <c r="W166" s="15">
        <f>IF(OR(W164="",V164=""),"",IF(V164&lt;=0,"",IFERROR(W164/V164-1,"")))</f>
        <v/>
      </c>
      <c r="X166" s="15">
        <f>IF(OR(X164="",W164=""),"",IF(W164&lt;=0,"",IFERROR(X164/W164-1,"")))</f>
        <v/>
      </c>
    </row>
    <row r="167">
      <c r="A167" s="18" t="inlineStr">
        <is>
          <t>사회 인프라 · 부문 손익</t>
        </is>
      </c>
      <c r="C167" s="20" t="n">
        <v>10325</v>
      </c>
      <c r="D167" s="20" t="n">
        <v>38385</v>
      </c>
      <c r="E167" s="20" t="n">
        <v>1511</v>
      </c>
      <c r="F167" s="20" t="n">
        <v>10279</v>
      </c>
      <c r="G167" s="20" t="n">
        <v>27551</v>
      </c>
      <c r="H167" s="20" t="n">
        <v>21115</v>
      </c>
      <c r="I167" s="20" t="n">
        <v>3046</v>
      </c>
      <c r="J167" s="20" t="n">
        <v>10719</v>
      </c>
      <c r="K167" s="20" t="n">
        <v>14106</v>
      </c>
      <c r="L167" s="20" t="n">
        <v>46447</v>
      </c>
      <c r="M167" s="20" t="n">
        <v>16087</v>
      </c>
      <c r="N167" s="20" t="n">
        <v>20285</v>
      </c>
      <c r="V167" s="20" t="n">
        <v>38385</v>
      </c>
      <c r="W167" s="20" t="n">
        <v>21115</v>
      </c>
      <c r="X167" s="20" t="n">
        <v>46447</v>
      </c>
    </row>
    <row r="168">
      <c r="A168" s="43" t="inlineStr">
        <is>
          <t>OPM</t>
        </is>
      </c>
      <c r="B168" s="3" t="inlineStr">
        <is>
          <t>영업이익 ÷ 매출</t>
        </is>
      </c>
      <c r="C168" s="15">
        <f>IF(OR(C167="",C155=""),"",IF(C155&lt;=0,"",IFERROR(C167/C155,"")))</f>
        <v/>
      </c>
      <c r="D168" s="15">
        <f>IF(OR(D167="",D155=""),"",IF(D155&lt;=0,"",IFERROR(D167/D155,"")))</f>
        <v/>
      </c>
      <c r="E168" s="15">
        <f>IF(OR(E167="",E155=""),"",IF(E155&lt;=0,"",IFERROR(E167/E155,"")))</f>
        <v/>
      </c>
      <c r="F168" s="15">
        <f>IF(OR(F167="",F155=""),"",IF(F155&lt;=0,"",IFERROR(F167/F155,"")))</f>
        <v/>
      </c>
      <c r="G168" s="15">
        <f>IF(OR(G167="",G155=""),"",IF(G155&lt;=0,"",IFERROR(G167/G155,"")))</f>
        <v/>
      </c>
      <c r="H168" s="15">
        <f>IF(OR(H167="",H155=""),"",IF(H155&lt;=0,"",IFERROR(H167/H155,"")))</f>
        <v/>
      </c>
      <c r="I168" s="15">
        <f>IF(OR(I167="",I155=""),"",IF(I155&lt;=0,"",IFERROR(I167/I155,"")))</f>
        <v/>
      </c>
      <c r="J168" s="15">
        <f>IF(OR(J167="",J155=""),"",IF(J155&lt;=0,"",IFERROR(J167/J155,"")))</f>
        <v/>
      </c>
      <c r="K168" s="15">
        <f>IF(OR(K167="",K155=""),"",IF(K155&lt;=0,"",IFERROR(K167/K155,"")))</f>
        <v/>
      </c>
      <c r="L168" s="15">
        <f>IF(OR(L167="",L155=""),"",IF(L155&lt;=0,"",IFERROR(L167/L155,"")))</f>
        <v/>
      </c>
      <c r="M168" s="15">
        <f>IF(OR(M167="",M155=""),"",IF(M155&lt;=0,"",IFERROR(M167/M155,"")))</f>
        <v/>
      </c>
      <c r="N168" s="15">
        <f>IF(OR(N167="",N155=""),"",IF(N155&lt;=0,"",IFERROR(N167/N155,"")))</f>
        <v/>
      </c>
      <c r="V168" s="15">
        <f>IF(OR(V167="",V155=""),"",IF(V155&lt;=0,"",IFERROR(V167/V155,"")))</f>
        <v/>
      </c>
      <c r="W168" s="15">
        <f>IF(OR(W167="",W155=""),"",IF(W155&lt;=0,"",IFERROR(W167/W155,"")))</f>
        <v/>
      </c>
      <c r="X168" s="15">
        <f>IF(OR(X167="",X155=""),"",IF(X155&lt;=0,"",IFERROR(X167/X155,"")))</f>
        <v/>
      </c>
    </row>
    <row r="169">
      <c r="A169" s="43" t="inlineStr">
        <is>
          <t>YoY</t>
        </is>
      </c>
      <c r="B169" s="3" t="inlineStr">
        <is>
          <t>전년 같은 분기·전년 대비</t>
        </is>
      </c>
      <c r="G169" s="15">
        <f>IF(OR(G167="",C167=""),"",IF(C167&lt;=0,"",IFERROR(G167/C167-1,"")))</f>
        <v/>
      </c>
      <c r="H169" s="15">
        <f>IF(OR(H167="",D167=""),"",IF(D167&lt;=0,"",IFERROR(H167/D167-1,"")))</f>
        <v/>
      </c>
      <c r="I169" s="15">
        <f>IF(OR(I167="",E167=""),"",IF(E167&lt;=0,"",IFERROR(I167/E167-1,"")))</f>
        <v/>
      </c>
      <c r="J169" s="15">
        <f>IF(OR(J167="",F167=""),"",IF(F167&lt;=0,"",IFERROR(J167/F167-1,"")))</f>
        <v/>
      </c>
      <c r="K169" s="15">
        <f>IF(OR(K167="",G167=""),"",IF(G167&lt;=0,"",IFERROR(K167/G167-1,"")))</f>
        <v/>
      </c>
      <c r="L169" s="15">
        <f>IF(OR(L167="",H167=""),"",IF(H167&lt;=0,"",IFERROR(L167/H167-1,"")))</f>
        <v/>
      </c>
      <c r="M169" s="15">
        <f>IF(OR(M167="",I167=""),"",IF(I167&lt;=0,"",IFERROR(M167/I167-1,"")))</f>
        <v/>
      </c>
      <c r="N169" s="15">
        <f>IF(OR(N167="",J167=""),"",IF(J167&lt;=0,"",IFERROR(N167/J167-1,"")))</f>
        <v/>
      </c>
      <c r="V169" s="15">
        <f>IF(OR(V167="",U167=""),"",IF(U167&lt;=0,"",IFERROR(V167/U167-1,"")))</f>
        <v/>
      </c>
      <c r="W169" s="15">
        <f>IF(OR(W167="",V167=""),"",IF(V167&lt;=0,"",IFERROR(W167/V167-1,"")))</f>
        <v/>
      </c>
      <c r="X169" s="15">
        <f>IF(OR(X167="",W167=""),"",IF(W167&lt;=0,"",IFERROR(X167/W167-1,"")))</f>
        <v/>
      </c>
    </row>
    <row r="170">
      <c r="A170" s="18" t="inlineStr">
        <is>
          <t>보고부문 합계 · 부문 손익</t>
        </is>
      </c>
      <c r="C170" s="20" t="n">
        <v>51922</v>
      </c>
      <c r="D170" s="20" t="n">
        <v>133684</v>
      </c>
      <c r="E170" s="20" t="n">
        <v>13161</v>
      </c>
      <c r="F170" s="20" t="n">
        <v>54878</v>
      </c>
      <c r="G170" s="20" t="n">
        <v>90209</v>
      </c>
      <c r="H170" s="20" t="n">
        <v>154030</v>
      </c>
      <c r="I170" s="20" t="n">
        <v>43865</v>
      </c>
      <c r="J170" s="20" t="n">
        <v>93151</v>
      </c>
      <c r="K170" s="20" t="n">
        <v>86530</v>
      </c>
      <c r="L170" s="20" t="n">
        <v>187476</v>
      </c>
      <c r="M170" s="20" t="n">
        <v>73890</v>
      </c>
      <c r="N170" s="20" t="n">
        <v>122855</v>
      </c>
      <c r="V170" s="20" t="n">
        <v>133684</v>
      </c>
      <c r="W170" s="20" t="n">
        <v>154030</v>
      </c>
      <c r="X170" s="20" t="n">
        <v>187476</v>
      </c>
    </row>
    <row r="171">
      <c r="A171" s="43" t="inlineStr">
        <is>
          <t>OPM</t>
        </is>
      </c>
      <c r="B171" s="3" t="inlineStr">
        <is>
          <t>영업이익 ÷ 매출</t>
        </is>
      </c>
      <c r="C171" s="15">
        <f>IF(OR(C170="",C157=""),"",IF(C157&lt;=0,"",IFERROR(C170/C157,"")))</f>
        <v/>
      </c>
      <c r="D171" s="15">
        <f>IF(OR(D170="",D157=""),"",IF(D157&lt;=0,"",IFERROR(D170/D157,"")))</f>
        <v/>
      </c>
      <c r="E171" s="15">
        <f>IF(OR(E170="",E157=""),"",IF(E157&lt;=0,"",IFERROR(E170/E157,"")))</f>
        <v/>
      </c>
      <c r="F171" s="15">
        <f>IF(OR(F170="",F157=""),"",IF(F157&lt;=0,"",IFERROR(F170/F157,"")))</f>
        <v/>
      </c>
      <c r="G171" s="15">
        <f>IF(OR(G170="",G157=""),"",IF(G157&lt;=0,"",IFERROR(G170/G157,"")))</f>
        <v/>
      </c>
      <c r="H171" s="15">
        <f>IF(OR(H170="",H157=""),"",IF(H157&lt;=0,"",IFERROR(H170/H157,"")))</f>
        <v/>
      </c>
      <c r="I171" s="15">
        <f>IF(OR(I170="",I157=""),"",IF(I157&lt;=0,"",IFERROR(I170/I157,"")))</f>
        <v/>
      </c>
      <c r="J171" s="15">
        <f>IF(OR(J170="",J157=""),"",IF(J157&lt;=0,"",IFERROR(J170/J157,"")))</f>
        <v/>
      </c>
      <c r="K171" s="15">
        <f>IF(OR(K170="",K157=""),"",IF(K157&lt;=0,"",IFERROR(K170/K157,"")))</f>
        <v/>
      </c>
      <c r="L171" s="15">
        <f>IF(OR(L170="",L157=""),"",IF(L157&lt;=0,"",IFERROR(L170/L157,"")))</f>
        <v/>
      </c>
      <c r="M171" s="15">
        <f>IF(OR(M170="",M157=""),"",IF(M157&lt;=0,"",IFERROR(M170/M157,"")))</f>
        <v/>
      </c>
      <c r="N171" s="15">
        <f>IF(OR(N170="",N157=""),"",IF(N157&lt;=0,"",IFERROR(N170/N157,"")))</f>
        <v/>
      </c>
      <c r="V171" s="15">
        <f>IF(OR(V170="",V157=""),"",IF(V157&lt;=0,"",IFERROR(V170/V157,"")))</f>
        <v/>
      </c>
      <c r="W171" s="15">
        <f>IF(OR(W170="",W157=""),"",IF(W157&lt;=0,"",IFERROR(W170/W157,"")))</f>
        <v/>
      </c>
      <c r="X171" s="15">
        <f>IF(OR(X170="",X157=""),"",IF(X157&lt;=0,"",IFERROR(X170/X157,"")))</f>
        <v/>
      </c>
    </row>
    <row r="172">
      <c r="A172" s="43" t="inlineStr">
        <is>
          <t>YoY</t>
        </is>
      </c>
      <c r="B172" s="3" t="inlineStr">
        <is>
          <t>전년 같은 분기·전년 대비</t>
        </is>
      </c>
      <c r="G172" s="15">
        <f>IF(OR(G170="",C170=""),"",IF(C170&lt;=0,"",IFERROR(G170/C170-1,"")))</f>
        <v/>
      </c>
      <c r="H172" s="15">
        <f>IF(OR(H170="",D170=""),"",IF(D170&lt;=0,"",IFERROR(H170/D170-1,"")))</f>
        <v/>
      </c>
      <c r="I172" s="15">
        <f>IF(OR(I170="",E170=""),"",IF(E170&lt;=0,"",IFERROR(I170/E170-1,"")))</f>
        <v/>
      </c>
      <c r="J172" s="15">
        <f>IF(OR(J170="",F170=""),"",IF(F170&lt;=0,"",IFERROR(J170/F170-1,"")))</f>
        <v/>
      </c>
      <c r="K172" s="15">
        <f>IF(OR(K170="",G170=""),"",IF(G170&lt;=0,"",IFERROR(K170/G170-1,"")))</f>
        <v/>
      </c>
      <c r="L172" s="15">
        <f>IF(OR(L170="",H170=""),"",IF(H170&lt;=0,"",IFERROR(L170/H170-1,"")))</f>
        <v/>
      </c>
      <c r="M172" s="15">
        <f>IF(OR(M170="",I170=""),"",IF(I170&lt;=0,"",IFERROR(M170/I170-1,"")))</f>
        <v/>
      </c>
      <c r="N172" s="15">
        <f>IF(OR(N170="",J170=""),"",IF(J170&lt;=0,"",IFERROR(N170/J170-1,"")))</f>
        <v/>
      </c>
      <c r="V172" s="15">
        <f>IF(OR(V170="",U170=""),"",IF(U170&lt;=0,"",IFERROR(V170/U170-1,"")))</f>
        <v/>
      </c>
      <c r="W172" s="15">
        <f>IF(OR(W170="",V170=""),"",IF(V170&lt;=0,"",IFERROR(W170/V170-1,"")))</f>
        <v/>
      </c>
      <c r="X172" s="15">
        <f>IF(OR(X170="",W170=""),"",IF(W170&lt;=0,"",IFERROR(X170/W170-1,"")))</f>
        <v/>
      </c>
    </row>
    <row r="173">
      <c r="A173" s="18" t="inlineStr">
        <is>
          <t>기타 · 부문 손익</t>
        </is>
      </c>
      <c r="C173" s="20" t="n">
        <v>4532</v>
      </c>
      <c r="D173" s="20" t="n">
        <v>-676</v>
      </c>
      <c r="E173" s="20" t="n">
        <v>1211</v>
      </c>
      <c r="F173" s="20" t="n">
        <v>-1052</v>
      </c>
      <c r="G173" s="20" t="n">
        <v>-247</v>
      </c>
      <c r="H173" s="20" t="n">
        <v>-2884</v>
      </c>
      <c r="I173" s="20" t="n">
        <v>364</v>
      </c>
      <c r="J173" s="20" t="n">
        <v>66</v>
      </c>
      <c r="K173" s="20" t="n">
        <v>-4742</v>
      </c>
      <c r="L173" s="20" t="n">
        <v>166</v>
      </c>
      <c r="M173" s="20" t="n">
        <v>3393</v>
      </c>
      <c r="N173" s="20" t="n">
        <v>1962</v>
      </c>
      <c r="V173" s="20" t="n">
        <v>-676</v>
      </c>
      <c r="W173" s="20" t="n">
        <v>-2884</v>
      </c>
      <c r="X173" s="20" t="n">
        <v>166</v>
      </c>
    </row>
    <row r="174">
      <c r="A174" s="43" t="inlineStr">
        <is>
          <t>OPM</t>
        </is>
      </c>
      <c r="B174" s="3" t="inlineStr">
        <is>
          <t>영업이익 ÷ 매출</t>
        </is>
      </c>
      <c r="C174" s="15">
        <f>IF(OR(C173="",C159=""),"",IF(C159&lt;=0,"",IFERROR(C173/C159,"")))</f>
        <v/>
      </c>
      <c r="D174" s="15">
        <f>IF(OR(D173="",D159=""),"",IF(D159&lt;=0,"",IFERROR(D173/D159,"")))</f>
        <v/>
      </c>
      <c r="E174" s="15">
        <f>IF(OR(E173="",E159=""),"",IF(E159&lt;=0,"",IFERROR(E173/E159,"")))</f>
        <v/>
      </c>
      <c r="F174" s="15">
        <f>IF(OR(F173="",F159=""),"",IF(F159&lt;=0,"",IFERROR(F173/F159,"")))</f>
        <v/>
      </c>
      <c r="G174" s="15">
        <f>IF(OR(G173="",G159=""),"",IF(G159&lt;=0,"",IFERROR(G173/G159,"")))</f>
        <v/>
      </c>
      <c r="H174" s="15">
        <f>IF(OR(H173="",H159=""),"",IF(H159&lt;=0,"",IFERROR(H173/H159,"")))</f>
        <v/>
      </c>
      <c r="I174" s="15">
        <f>IF(OR(I173="",I159=""),"",IF(I159&lt;=0,"",IFERROR(I173/I159,"")))</f>
        <v/>
      </c>
      <c r="J174" s="15">
        <f>IF(OR(J173="",J159=""),"",IF(J159&lt;=0,"",IFERROR(J173/J159,"")))</f>
        <v/>
      </c>
      <c r="K174" s="15">
        <f>IF(OR(K173="",K159=""),"",IF(K159&lt;=0,"",IFERROR(K173/K159,"")))</f>
        <v/>
      </c>
      <c r="L174" s="15">
        <f>IF(OR(L173="",L159=""),"",IF(L159&lt;=0,"",IFERROR(L173/L159,"")))</f>
        <v/>
      </c>
      <c r="M174" s="15">
        <f>IF(OR(M173="",M159=""),"",IF(M159&lt;=0,"",IFERROR(M173/M159,"")))</f>
        <v/>
      </c>
      <c r="N174" s="15">
        <f>IF(OR(N173="",N159=""),"",IF(N159&lt;=0,"",IFERROR(N173/N159,"")))</f>
        <v/>
      </c>
      <c r="V174" s="15">
        <f>IF(OR(V173="",V159=""),"",IF(V159&lt;=0,"",IFERROR(V173/V159,"")))</f>
        <v/>
      </c>
      <c r="W174" s="15">
        <f>IF(OR(W173="",W159=""),"",IF(W159&lt;=0,"",IFERROR(W173/W159,"")))</f>
        <v/>
      </c>
      <c r="X174" s="15">
        <f>IF(OR(X173="",X159=""),"",IF(X159&lt;=0,"",IFERROR(X173/X159,"")))</f>
        <v/>
      </c>
    </row>
    <row r="175">
      <c r="A175" s="43" t="inlineStr">
        <is>
          <t>YoY</t>
        </is>
      </c>
      <c r="B175" s="3" t="inlineStr">
        <is>
          <t>전년 같은 분기·전년 대비</t>
        </is>
      </c>
      <c r="G175" s="15">
        <f>IF(OR(G173="",C173=""),"",IF(C173&lt;=0,"",IFERROR(G173/C173-1,"")))</f>
        <v/>
      </c>
      <c r="H175" s="15">
        <f>IF(OR(H173="",D173=""),"",IF(D173&lt;=0,"",IFERROR(H173/D173-1,"")))</f>
        <v/>
      </c>
      <c r="I175" s="15">
        <f>IF(OR(I173="",E173=""),"",IF(E173&lt;=0,"",IFERROR(I173/E173-1,"")))</f>
        <v/>
      </c>
      <c r="J175" s="15">
        <f>IF(OR(J173="",F173=""),"",IF(F173&lt;=0,"",IFERROR(J173/F173-1,"")))</f>
        <v/>
      </c>
      <c r="K175" s="15">
        <f>IF(OR(K173="",G173=""),"",IF(G173&lt;=0,"",IFERROR(K173/G173-1,"")))</f>
        <v/>
      </c>
      <c r="L175" s="15">
        <f>IF(OR(L173="",H173=""),"",IF(H173&lt;=0,"",IFERROR(L173/H173-1,"")))</f>
        <v/>
      </c>
      <c r="M175" s="15">
        <f>IF(OR(M173="",I173=""),"",IF(I173&lt;=0,"",IFERROR(M173/I173-1,"")))</f>
        <v/>
      </c>
      <c r="N175" s="15">
        <f>IF(OR(N173="",J173=""),"",IF(J173&lt;=0,"",IFERROR(N173/J173-1,"")))</f>
        <v/>
      </c>
      <c r="V175" s="15">
        <f>IF(OR(V173="",U173=""),"",IF(U173&lt;=0,"",IFERROR(V173/U173-1,"")))</f>
        <v/>
      </c>
      <c r="W175" s="15">
        <f>IF(OR(W173="",V173=""),"",IF(V173&lt;=0,"",IFERROR(W173/V173-1,"")))</f>
        <v/>
      </c>
      <c r="X175" s="15">
        <f>IF(OR(X173="",W173=""),"",IF(W173&lt;=0,"",IFERROR(X173/W173-1,"")))</f>
        <v/>
      </c>
    </row>
    <row r="176">
      <c r="A176" s="18" t="inlineStr">
        <is>
          <t>조정액 · 부문 손익</t>
        </is>
      </c>
      <c r="C176" s="20" t="n">
        <v>-5264</v>
      </c>
      <c r="D176" s="20" t="n">
        <v>-6460</v>
      </c>
      <c r="E176" s="20" t="n">
        <v>-1684</v>
      </c>
      <c r="F176" s="20" t="n">
        <v>-5486</v>
      </c>
      <c r="G176" s="20" t="n">
        <v>-745</v>
      </c>
      <c r="H176" s="20" t="n">
        <v>-14232</v>
      </c>
      <c r="I176" s="20" t="n">
        <v>-4234</v>
      </c>
      <c r="J176" s="20" t="n">
        <v>-5723</v>
      </c>
      <c r="K176" s="20" t="n">
        <v>-3260</v>
      </c>
      <c r="L176" s="20" t="n">
        <v>-6832</v>
      </c>
      <c r="M176" s="20" t="n">
        <v>-2545</v>
      </c>
      <c r="N176" s="20" t="n">
        <v>-11257</v>
      </c>
      <c r="V176" s="20" t="n">
        <v>-6460</v>
      </c>
      <c r="W176" s="20" t="n">
        <v>-14232</v>
      </c>
      <c r="X176" s="20" t="n">
        <v>-6832</v>
      </c>
    </row>
    <row r="177">
      <c r="A177" s="18" t="inlineStr">
        <is>
          <t>부문 손익</t>
        </is>
      </c>
      <c r="C177" s="20" t="n">
        <v>51190</v>
      </c>
      <c r="D177" s="20" t="n">
        <v>126548</v>
      </c>
      <c r="E177" s="20" t="n">
        <v>12688</v>
      </c>
      <c r="F177" s="20" t="n">
        <v>48340</v>
      </c>
      <c r="G177" s="20" t="n">
        <v>89217</v>
      </c>
      <c r="H177" s="20" t="n">
        <v>136914</v>
      </c>
      <c r="I177" s="20" t="n">
        <v>39995</v>
      </c>
      <c r="J177" s="20" t="n">
        <v>87494</v>
      </c>
      <c r="K177" s="20" t="n">
        <v>78528</v>
      </c>
      <c r="L177" s="20" t="n">
        <v>180810</v>
      </c>
      <c r="M177" s="20" t="n">
        <v>74738</v>
      </c>
      <c r="N177" s="20" t="n">
        <v>113560</v>
      </c>
      <c r="V177" s="20" t="n">
        <v>126548</v>
      </c>
      <c r="W177" s="20" t="n">
        <v>136914</v>
      </c>
      <c r="X177" s="20" t="n">
        <v>180810</v>
      </c>
    </row>
    <row r="178">
      <c r="A178" s="18" t="inlineStr">
        <is>
          <t>Amortization Of Intangible Assets Recognized As AResult Of MAnd A</t>
        </is>
      </c>
      <c r="C178" s="20" t="n">
        <v>-9316</v>
      </c>
      <c r="D178" s="20" t="n">
        <v>62054</v>
      </c>
      <c r="E178" s="20" t="n">
        <v>-8148</v>
      </c>
      <c r="F178" s="20" t="n">
        <v>-8186</v>
      </c>
      <c r="G178" s="20" t="n">
        <v>-7744</v>
      </c>
      <c r="H178" s="20" t="n">
        <v>54738</v>
      </c>
      <c r="I178" s="20" t="n">
        <v>-6325</v>
      </c>
      <c r="J178" s="20" t="n">
        <v>-6697</v>
      </c>
      <c r="K178" s="20" t="n">
        <v>-5910</v>
      </c>
      <c r="L178" s="20" t="n">
        <v>43367</v>
      </c>
      <c r="M178" s="20" t="n">
        <v>-5750</v>
      </c>
      <c r="N178" s="20" t="n">
        <v>-5799</v>
      </c>
      <c r="V178" s="20" t="n">
        <v>62054</v>
      </c>
      <c r="W178" s="20" t="n">
        <v>54738</v>
      </c>
      <c r="X178" s="20" t="n">
        <v>43367</v>
      </c>
    </row>
    <row r="179">
      <c r="A179" s="18" t="inlineStr">
        <is>
          <t>Expenses For Acquisition Of Companies</t>
        </is>
      </c>
      <c r="C179" s="20" t="n">
        <v>-54</v>
      </c>
      <c r="D179" s="20" t="n">
        <v>695</v>
      </c>
      <c r="E179" s="20" t="n">
        <v>0</v>
      </c>
      <c r="F179" s="20" t="n">
        <v>-1</v>
      </c>
      <c r="G179" s="20" t="n">
        <v>0</v>
      </c>
      <c r="H179" s="20" t="n">
        <v>3</v>
      </c>
      <c r="I179" s="20" t="n">
        <v>-1</v>
      </c>
      <c r="J179" s="20" t="n">
        <v>0</v>
      </c>
      <c r="K179" s="20" t="n">
        <v>-1923</v>
      </c>
      <c r="L179" s="20" t="n">
        <v>4403</v>
      </c>
      <c r="M179" s="20" t="n">
        <v>-7472</v>
      </c>
      <c r="N179" s="20" t="n">
        <v>-245</v>
      </c>
      <c r="V179" s="20" t="n">
        <v>695</v>
      </c>
      <c r="W179" s="20" t="n">
        <v>3</v>
      </c>
      <c r="X179" s="20" t="n">
        <v>4403</v>
      </c>
    </row>
    <row r="180">
      <c r="A180" s="18" t="inlineStr">
        <is>
          <t>Structural Reform Expenses And Impairment Losses</t>
        </is>
      </c>
      <c r="I180" s="20" t="n">
        <v>0</v>
      </c>
      <c r="J180" s="20" t="n">
        <v>-1557</v>
      </c>
      <c r="M180" s="20" t="n">
        <v>-2069</v>
      </c>
      <c r="N180" s="20" t="n">
        <v>-20951</v>
      </c>
    </row>
    <row r="181">
      <c r="A181" s="18" t="inlineStr">
        <is>
          <t>Stock Compensation</t>
        </is>
      </c>
      <c r="I181" s="20" t="n">
        <v>-465</v>
      </c>
      <c r="J181" s="20" t="n">
        <v>-566</v>
      </c>
      <c r="M181" s="20" t="n">
        <v>-677</v>
      </c>
      <c r="N181" s="20" t="n">
        <v>-1516</v>
      </c>
    </row>
    <row r="182">
      <c r="A182" s="18" t="inlineStr">
        <is>
          <t>Other One Time Profits Losses</t>
        </is>
      </c>
      <c r="I182" s="20" t="n">
        <v>2185</v>
      </c>
      <c r="J182" s="20" t="n">
        <v>4507</v>
      </c>
      <c r="M182" s="20" t="n">
        <v>0</v>
      </c>
      <c r="N182" s="20" t="n">
        <v>2335</v>
      </c>
    </row>
    <row r="183">
      <c r="A183" s="18" t="inlineStr">
        <is>
          <t>영업이익</t>
        </is>
      </c>
      <c r="C183" s="20" t="n">
        <v>41820</v>
      </c>
      <c r="D183" s="20" t="n">
        <v>118197</v>
      </c>
      <c r="E183" s="20" t="n">
        <v>4540</v>
      </c>
      <c r="F183" s="20" t="n">
        <v>40153</v>
      </c>
      <c r="G183" s="20" t="n">
        <v>81473</v>
      </c>
      <c r="H183" s="20" t="n">
        <v>130331</v>
      </c>
      <c r="I183" s="20" t="n">
        <v>35389</v>
      </c>
      <c r="J183" s="20" t="n">
        <v>83181</v>
      </c>
      <c r="K183" s="20" t="n">
        <v>66591</v>
      </c>
      <c r="L183" s="20" t="n">
        <v>174752</v>
      </c>
      <c r="M183" s="20" t="n">
        <v>58770</v>
      </c>
      <c r="N183" s="20" t="n">
        <v>87384</v>
      </c>
      <c r="V183" s="20" t="n">
        <v>118197</v>
      </c>
      <c r="W183" s="20" t="n">
        <v>130331</v>
      </c>
      <c r="X183" s="20" t="n">
        <v>174752</v>
      </c>
    </row>
    <row r="184">
      <c r="A184" s="43" t="inlineStr">
        <is>
          <t>OPM</t>
        </is>
      </c>
      <c r="B184" s="3" t="inlineStr">
        <is>
          <t>영업이익 ÷ 매출</t>
        </is>
      </c>
      <c r="C184" s="15">
        <f>IF(OR(C183="",C145=""),"",IF(C145&lt;=0,"",IFERROR(C183/C145,"")))</f>
        <v/>
      </c>
      <c r="D184" s="15">
        <f>IF(OR(D183="",D145=""),"",IF(D145&lt;=0,"",IFERROR(D183/D145,"")))</f>
        <v/>
      </c>
      <c r="E184" s="15">
        <f>IF(OR(E183="",E145=""),"",IF(E145&lt;=0,"",IFERROR(E183/E145,"")))</f>
        <v/>
      </c>
      <c r="F184" s="15">
        <f>IF(OR(F183="",F145=""),"",IF(F145&lt;=0,"",IFERROR(F183/F145,"")))</f>
        <v/>
      </c>
      <c r="G184" s="15">
        <f>IF(OR(G183="",G145=""),"",IF(G145&lt;=0,"",IFERROR(G183/G145,"")))</f>
        <v/>
      </c>
      <c r="H184" s="15">
        <f>IF(OR(H183="",H145=""),"",IF(H145&lt;=0,"",IFERROR(H183/H145,"")))</f>
        <v/>
      </c>
      <c r="I184" s="15">
        <f>IF(OR(I183="",I145=""),"",IF(I145&lt;=0,"",IFERROR(I183/I145,"")))</f>
        <v/>
      </c>
      <c r="J184" s="15">
        <f>IF(OR(J183="",J145=""),"",IF(J145&lt;=0,"",IFERROR(J183/J145,"")))</f>
        <v/>
      </c>
      <c r="K184" s="15">
        <f>IF(OR(K183="",K145=""),"",IF(K145&lt;=0,"",IFERROR(K183/K145,"")))</f>
        <v/>
      </c>
      <c r="L184" s="15">
        <f>IF(OR(L183="",L145=""),"",IF(L145&lt;=0,"",IFERROR(L183/L145,"")))</f>
        <v/>
      </c>
      <c r="M184" s="15">
        <f>IF(OR(M183="",M145=""),"",IF(M145&lt;=0,"",IFERROR(M183/M145,"")))</f>
        <v/>
      </c>
      <c r="N184" s="15">
        <f>IF(OR(N183="",N145=""),"",IF(N145&lt;=0,"",IFERROR(N183/N145,"")))</f>
        <v/>
      </c>
      <c r="V184" s="15">
        <f>IF(OR(V183="",V145=""),"",IF(V145&lt;=0,"",IFERROR(V183/V145,"")))</f>
        <v/>
      </c>
      <c r="W184" s="15">
        <f>IF(OR(W183="",W145=""),"",IF(W145&lt;=0,"",IFERROR(W183/W145,"")))</f>
        <v/>
      </c>
      <c r="X184" s="15">
        <f>IF(OR(X183="",X145=""),"",IF(X145&lt;=0,"",IFERROR(X183/X145,"")))</f>
        <v/>
      </c>
    </row>
    <row r="185">
      <c r="A185" s="43" t="inlineStr">
        <is>
          <t>YoY</t>
        </is>
      </c>
      <c r="B185" s="3" t="inlineStr">
        <is>
          <t>전년 같은 분기·전년 대비</t>
        </is>
      </c>
      <c r="G185" s="15">
        <f>IF(OR(G183="",C183=""),"",IF(C183&lt;=0,"",IFERROR(G183/C183-1,"")))</f>
        <v/>
      </c>
      <c r="H185" s="15">
        <f>IF(OR(H183="",D183=""),"",IF(D183&lt;=0,"",IFERROR(H183/D183-1,"")))</f>
        <v/>
      </c>
      <c r="I185" s="15">
        <f>IF(OR(I183="",E183=""),"",IF(E183&lt;=0,"",IFERROR(I183/E183-1,"")))</f>
        <v/>
      </c>
      <c r="J185" s="15">
        <f>IF(OR(J183="",F183=""),"",IF(F183&lt;=0,"",IFERROR(J183/F183-1,"")))</f>
        <v/>
      </c>
      <c r="K185" s="15">
        <f>IF(OR(K183="",G183=""),"",IF(G183&lt;=0,"",IFERROR(K183/G183-1,"")))</f>
        <v/>
      </c>
      <c r="L185" s="15">
        <f>IF(OR(L183="",H183=""),"",IF(H183&lt;=0,"",IFERROR(L183/H183-1,"")))</f>
        <v/>
      </c>
      <c r="M185" s="15">
        <f>IF(OR(M183="",I183=""),"",IF(I183&lt;=0,"",IFERROR(M183/I183-1,"")))</f>
        <v/>
      </c>
      <c r="N185" s="15">
        <f>IF(OR(N183="",J183=""),"",IF(J183&lt;=0,"",IFERROR(N183/J183-1,"")))</f>
        <v/>
      </c>
      <c r="V185" s="15">
        <f>IF(OR(V183="",U183=""),"",IF(U183&lt;=0,"",IFERROR(V183/U183-1,"")))</f>
        <v/>
      </c>
      <c r="W185" s="15">
        <f>IF(OR(W183="",V183=""),"",IF(V183&lt;=0,"",IFERROR(W183/V183-1,"")))</f>
        <v/>
      </c>
      <c r="X185" s="15">
        <f>IF(OR(X183="",W183=""),"",IF(W183&lt;=0,"",IFERROR(X183/W183-1,"")))</f>
        <v/>
      </c>
    </row>
    <row r="186">
      <c r="A186" s="18" t="inlineStr">
        <is>
          <t>금융수익</t>
        </is>
      </c>
      <c r="C186" s="20" t="n">
        <v>-881</v>
      </c>
      <c r="D186" s="20" t="n">
        <v>2970</v>
      </c>
      <c r="E186" s="20" t="n">
        <v>5585</v>
      </c>
      <c r="F186" s="20" t="n">
        <v>-1014</v>
      </c>
      <c r="G186" s="20" t="n">
        <v>4825</v>
      </c>
      <c r="H186" s="20" t="n">
        <v>560</v>
      </c>
      <c r="I186" s="20" t="n">
        <v>3302</v>
      </c>
      <c r="J186" s="20" t="n">
        <v>2888</v>
      </c>
      <c r="K186" s="20" t="n">
        <v>33061</v>
      </c>
      <c r="L186" s="20" t="n">
        <v>13698</v>
      </c>
      <c r="M186" s="20" t="n">
        <v>4263</v>
      </c>
      <c r="N186" s="20" t="n">
        <v>5220</v>
      </c>
      <c r="V186" s="20" t="n">
        <v>2970</v>
      </c>
      <c r="W186" s="20" t="n">
        <v>560</v>
      </c>
      <c r="X186" s="20" t="n">
        <v>13698</v>
      </c>
    </row>
    <row r="187">
      <c r="A187" s="43" t="inlineStr">
        <is>
          <t>YoY</t>
        </is>
      </c>
      <c r="B187" s="3" t="inlineStr">
        <is>
          <t>전년 같은 분기·전년 대비</t>
        </is>
      </c>
      <c r="G187" s="15">
        <f>IF(OR(G186="",C186=""),"",IF(G186*C186&lt;=0,"",IFERROR(G186/C186-1,"")))</f>
        <v/>
      </c>
      <c r="H187" s="15">
        <f>IF(OR(H186="",D186=""),"",IF(H186*D186&lt;=0,"",IFERROR(H186/D186-1,"")))</f>
        <v/>
      </c>
      <c r="I187" s="15">
        <f>IF(OR(I186="",E186=""),"",IF(I186*E186&lt;=0,"",IFERROR(I186/E186-1,"")))</f>
        <v/>
      </c>
      <c r="J187" s="15">
        <f>IF(OR(J186="",F186=""),"",IF(J186*F186&lt;=0,"",IFERROR(J186/F186-1,"")))</f>
        <v/>
      </c>
      <c r="K187" s="15">
        <f>IF(OR(K186="",G186=""),"",IF(K186*G186&lt;=0,"",IFERROR(K186/G186-1,"")))</f>
        <v/>
      </c>
      <c r="L187" s="15">
        <f>IF(OR(L186="",H186=""),"",IF(L186*H186&lt;=0,"",IFERROR(L186/H186-1,"")))</f>
        <v/>
      </c>
      <c r="M187" s="15">
        <f>IF(OR(M186="",I186=""),"",IF(M186*I186&lt;=0,"",IFERROR(M186/I186-1,"")))</f>
        <v/>
      </c>
      <c r="N187" s="15">
        <f>IF(OR(N186="",J186=""),"",IF(N186*J186&lt;=0,"",IFERROR(N186/J186-1,"")))</f>
        <v/>
      </c>
      <c r="V187" s="15">
        <f>IF(OR(V186="",U186=""),"",IF(V186*U186&lt;=0,"",IFERROR(V186/U186-1,"")))</f>
        <v/>
      </c>
      <c r="W187" s="15">
        <f>IF(OR(W186="",V186=""),"",IF(W186*V186&lt;=0,"",IFERROR(W186/V186-1,"")))</f>
        <v/>
      </c>
      <c r="X187" s="15">
        <f>IF(OR(X186="",W186=""),"",IF(X186*W186&lt;=0,"",IFERROR(X186/W186-1,"")))</f>
        <v/>
      </c>
    </row>
    <row r="188">
      <c r="A188" s="18" t="inlineStr">
        <is>
          <t>금융비용</t>
        </is>
      </c>
      <c r="C188" s="20" t="n">
        <v>6579</v>
      </c>
      <c r="D188" s="20" t="n">
        <v>5398</v>
      </c>
      <c r="E188" s="20" t="n">
        <v>3667</v>
      </c>
      <c r="F188" s="20" t="n">
        <v>7062</v>
      </c>
      <c r="G188" s="20" t="n">
        <v>-933</v>
      </c>
      <c r="H188" s="20" t="n">
        <v>6783</v>
      </c>
      <c r="I188" s="20" t="n">
        <v>7660</v>
      </c>
      <c r="J188" s="20" t="n">
        <v>3261</v>
      </c>
      <c r="K188" s="20" t="n">
        <v>-1462</v>
      </c>
      <c r="L188" s="20" t="n">
        <v>8709</v>
      </c>
      <c r="M188" s="20" t="n">
        <v>6720</v>
      </c>
      <c r="N188" s="20" t="n">
        <v>7089</v>
      </c>
      <c r="V188" s="20" t="n">
        <v>5398</v>
      </c>
      <c r="W188" s="20" t="n">
        <v>6783</v>
      </c>
      <c r="X188" s="20" t="n">
        <v>8709</v>
      </c>
    </row>
    <row r="189">
      <c r="A189" s="43" t="inlineStr">
        <is>
          <t>YoY</t>
        </is>
      </c>
      <c r="B189" s="3" t="inlineStr">
        <is>
          <t>전년 같은 분기·전년 대비</t>
        </is>
      </c>
      <c r="G189" s="15">
        <f>IF(OR(G188="",C188=""),"",IF(G188*C188&lt;=0,"",IFERROR(G188/C188-1,"")))</f>
        <v/>
      </c>
      <c r="H189" s="15">
        <f>IF(OR(H188="",D188=""),"",IF(H188*D188&lt;=0,"",IFERROR(H188/D188-1,"")))</f>
        <v/>
      </c>
      <c r="I189" s="15">
        <f>IF(OR(I188="",E188=""),"",IF(I188*E188&lt;=0,"",IFERROR(I188/E188-1,"")))</f>
        <v/>
      </c>
      <c r="J189" s="15">
        <f>IF(OR(J188="",F188=""),"",IF(J188*F188&lt;=0,"",IFERROR(J188/F188-1,"")))</f>
        <v/>
      </c>
      <c r="K189" s="15">
        <f>IF(OR(K188="",G188=""),"",IF(K188*G188&lt;=0,"",IFERROR(K188/G188-1,"")))</f>
        <v/>
      </c>
      <c r="L189" s="15">
        <f>IF(OR(L188="",H188=""),"",IF(L188*H188&lt;=0,"",IFERROR(L188/H188-1,"")))</f>
        <v/>
      </c>
      <c r="M189" s="15">
        <f>IF(OR(M188="",I188=""),"",IF(M188*I188&lt;=0,"",IFERROR(M188/I188-1,"")))</f>
        <v/>
      </c>
      <c r="N189" s="15">
        <f>IF(OR(N188="",J188=""),"",IF(N188*J188&lt;=0,"",IFERROR(N188/J188-1,"")))</f>
        <v/>
      </c>
      <c r="V189" s="15">
        <f>IF(OR(V188="",U188=""),"",IF(V188*U188&lt;=0,"",IFERROR(V188/U188-1,"")))</f>
        <v/>
      </c>
      <c r="W189" s="15">
        <f>IF(OR(W188="",V188=""),"",IF(W188*V188&lt;=0,"",IFERROR(W188/V188-1,"")))</f>
        <v/>
      </c>
      <c r="X189" s="15">
        <f>IF(OR(X188="",W188=""),"",IF(X188*W188&lt;=0,"",IFERROR(X188/W188-1,"")))</f>
        <v/>
      </c>
    </row>
    <row r="190">
      <c r="A190" s="18" t="inlineStr">
        <is>
          <t>지분법이익</t>
        </is>
      </c>
      <c r="C190" s="20" t="n">
        <v>1817</v>
      </c>
      <c r="D190" s="20" t="n">
        <v>1088</v>
      </c>
      <c r="E190" s="20" t="n">
        <v>-9781</v>
      </c>
      <c r="F190" s="20" t="n">
        <v>-2077</v>
      </c>
      <c r="G190" s="20" t="n">
        <v>421</v>
      </c>
      <c r="H190" s="20" t="n">
        <v>1334</v>
      </c>
      <c r="I190" s="20" t="n">
        <v>1072</v>
      </c>
      <c r="J190" s="20" t="n">
        <v>523</v>
      </c>
      <c r="K190" s="20" t="n">
        <v>223</v>
      </c>
      <c r="L190" s="20" t="n">
        <v>1663</v>
      </c>
      <c r="M190" s="20" t="n">
        <v>216</v>
      </c>
      <c r="N190" s="20" t="n">
        <v>154</v>
      </c>
      <c r="V190" s="20" t="n">
        <v>1088</v>
      </c>
      <c r="W190" s="20" t="n">
        <v>1334</v>
      </c>
      <c r="X190" s="20" t="n">
        <v>1663</v>
      </c>
    </row>
    <row r="191">
      <c r="A191" s="9" t="inlineStr">
        <is>
          <t>법인세비용차감전 중간이익</t>
        </is>
      </c>
      <c r="C191" s="12" t="n">
        <v>36177</v>
      </c>
      <c r="D191" s="12" t="n">
        <v>116857</v>
      </c>
      <c r="E191" s="12" t="n">
        <v>-3323</v>
      </c>
      <c r="F191" s="12" t="n">
        <v>30000</v>
      </c>
      <c r="G191" s="12" t="n">
        <v>87652</v>
      </c>
      <c r="H191" s="12" t="n">
        <v>125442</v>
      </c>
      <c r="I191" s="12" t="n">
        <v>32103</v>
      </c>
      <c r="J191" s="12" t="n">
        <v>83331</v>
      </c>
      <c r="K191" s="12" t="n">
        <v>101337</v>
      </c>
      <c r="L191" s="12" t="n">
        <v>181404</v>
      </c>
      <c r="M191" s="12" t="n">
        <v>56529</v>
      </c>
      <c r="N191" s="12" t="n">
        <v>85669</v>
      </c>
      <c r="V191" s="12" t="n">
        <v>116857</v>
      </c>
      <c r="W191" s="12" t="n">
        <v>125442</v>
      </c>
      <c r="X191" s="12" t="n">
        <v>181404</v>
      </c>
    </row>
    <row r="193">
      <c r="A193" s="16" t="inlineStr">
        <is>
          <t>현금흐름표 · 전 항목</t>
        </is>
      </c>
      <c r="B193" s="42" t="inlineStr">
        <is>
          <t>분기 = 결산기 첫날부터 누계(공시 그대로)</t>
        </is>
      </c>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c r="AB193" s="16" t="n"/>
      <c r="AC193" s="16" t="n"/>
    </row>
    <row r="194">
      <c r="A194" s="5" t="inlineStr">
        <is>
          <t>항목</t>
        </is>
      </c>
      <c r="B194" s="5" t="inlineStr">
        <is>
          <t>참고</t>
        </is>
      </c>
      <c r="C194" s="5" t="inlineStr">
        <is>
          <t>2024.3Q</t>
        </is>
      </c>
      <c r="D194" s="5" t="inlineStr">
        <is>
          <t>2024.4Q</t>
        </is>
      </c>
      <c r="E194" s="5" t="inlineStr">
        <is>
          <t>2025.1Q</t>
        </is>
      </c>
      <c r="F194" s="5" t="inlineStr">
        <is>
          <t>2025.2Q</t>
        </is>
      </c>
      <c r="G194" s="5" t="inlineStr">
        <is>
          <t>2025.3Q</t>
        </is>
      </c>
      <c r="H194" s="5" t="inlineStr">
        <is>
          <t>2025.4Q</t>
        </is>
      </c>
      <c r="I194" s="5" t="inlineStr">
        <is>
          <t>2026.1Q</t>
        </is>
      </c>
      <c r="J194" s="5" t="inlineStr">
        <is>
          <t>2026.2Q</t>
        </is>
      </c>
      <c r="K194" s="5" t="inlineStr">
        <is>
          <t>2026.3Q</t>
        </is>
      </c>
      <c r="L194" s="5" t="inlineStr">
        <is>
          <t>2026.4Q</t>
        </is>
      </c>
      <c r="M194" s="5" t="inlineStr">
        <is>
          <t>2027.1Q</t>
        </is>
      </c>
      <c r="N194" s="5" t="inlineStr">
        <is>
          <t>2027.2Q</t>
        </is>
      </c>
      <c r="O194" s="5" t="inlineStr">
        <is>
          <t>2017</t>
        </is>
      </c>
      <c r="P194" s="5" t="inlineStr">
        <is>
          <t>2018</t>
        </is>
      </c>
      <c r="Q194" s="5" t="inlineStr">
        <is>
          <t>2019</t>
        </is>
      </c>
      <c r="R194" s="5" t="inlineStr">
        <is>
          <t>2020</t>
        </is>
      </c>
      <c r="S194" s="5" t="inlineStr">
        <is>
          <t>2021</t>
        </is>
      </c>
      <c r="T194" s="5" t="inlineStr">
        <is>
          <t>2022</t>
        </is>
      </c>
      <c r="U194" s="5" t="inlineStr">
        <is>
          <t>2023</t>
        </is>
      </c>
      <c r="V194" s="5" t="inlineStr">
        <is>
          <t>2024</t>
        </is>
      </c>
      <c r="W194" s="5" t="inlineStr">
        <is>
          <t>2025</t>
        </is>
      </c>
      <c r="X194" s="5" t="inlineStr">
        <is>
          <t>2026</t>
        </is>
      </c>
      <c r="Y194" s="5" t="inlineStr">
        <is>
          <t>2027(MW)</t>
        </is>
      </c>
      <c r="Z194" s="5" t="inlineStr">
        <is>
          <t>2028(MW)</t>
        </is>
      </c>
      <c r="AA194" s="5" t="inlineStr">
        <is>
          <t>2029(MW)</t>
        </is>
      </c>
      <c r="AB194" s="5" t="inlineStr">
        <is>
          <t>2030(MW)</t>
        </is>
      </c>
      <c r="AC194" s="5" t="inlineStr">
        <is>
          <t>2031(MW)</t>
        </is>
      </c>
    </row>
    <row r="195">
      <c r="A195" s="9" t="inlineStr">
        <is>
          <t>법인세비용차감전 중간이익</t>
        </is>
      </c>
      <c r="C195" s="12" t="n">
        <v>68154</v>
      </c>
      <c r="D195" s="12" t="n">
        <v>185011</v>
      </c>
      <c r="E195" s="12" t="n">
        <v>-3323</v>
      </c>
      <c r="F195" s="12" t="n">
        <v>26677</v>
      </c>
      <c r="G195" s="12" t="n">
        <v>114329</v>
      </c>
      <c r="H195" s="12" t="n">
        <v>239771</v>
      </c>
      <c r="I195" s="12" t="n">
        <v>32103</v>
      </c>
      <c r="J195" s="12" t="n">
        <v>115434</v>
      </c>
      <c r="K195" s="12" t="n">
        <v>216771</v>
      </c>
      <c r="L195" s="12" t="n">
        <v>398175</v>
      </c>
      <c r="M195" s="12" t="n">
        <v>56529</v>
      </c>
      <c r="N195" s="12" t="n">
        <v>142198</v>
      </c>
      <c r="P195" s="12" t="n">
        <v>86941</v>
      </c>
      <c r="Q195" s="12" t="n">
        <v>77308</v>
      </c>
      <c r="R195" s="12" t="n">
        <v>123969</v>
      </c>
      <c r="S195" s="12" t="n">
        <v>157831</v>
      </c>
      <c r="T195" s="12" t="n">
        <v>144436</v>
      </c>
      <c r="U195" s="12" t="n">
        <v>167671</v>
      </c>
      <c r="V195" s="12" t="n">
        <v>185011</v>
      </c>
      <c r="W195" s="12" t="n">
        <v>239771</v>
      </c>
      <c r="X195" s="12" t="n">
        <v>398175</v>
      </c>
    </row>
    <row r="196">
      <c r="A196" s="18" t="inlineStr">
        <is>
          <t>감가상각비 및 상각비</t>
        </is>
      </c>
      <c r="C196" s="20" t="n">
        <v>141381</v>
      </c>
      <c r="D196" s="20" t="n">
        <v>187700</v>
      </c>
      <c r="E196" s="20" t="n">
        <v>40231</v>
      </c>
      <c r="F196" s="20" t="n">
        <v>79587</v>
      </c>
      <c r="G196" s="20" t="n">
        <v>119196</v>
      </c>
      <c r="H196" s="20" t="n">
        <v>158437</v>
      </c>
      <c r="I196" s="20" t="n">
        <v>37383</v>
      </c>
      <c r="J196" s="20" t="n">
        <v>77176</v>
      </c>
      <c r="K196" s="20" t="n">
        <v>117710</v>
      </c>
      <c r="L196" s="20" t="n">
        <v>154502</v>
      </c>
      <c r="M196" s="20" t="n">
        <v>39345</v>
      </c>
      <c r="N196" s="20" t="n">
        <v>76052</v>
      </c>
      <c r="P196" s="20" t="n">
        <v>96037</v>
      </c>
      <c r="Q196" s="20" t="n">
        <v>99745</v>
      </c>
      <c r="R196" s="20" t="n">
        <v>166360</v>
      </c>
      <c r="S196" s="20" t="n">
        <v>167613</v>
      </c>
      <c r="T196" s="20" t="n">
        <v>180539</v>
      </c>
      <c r="U196" s="20" t="n">
        <v>183298</v>
      </c>
      <c r="V196" s="20" t="n">
        <v>187700</v>
      </c>
      <c r="W196" s="20" t="n">
        <v>158437</v>
      </c>
      <c r="X196" s="20" t="n">
        <v>154502</v>
      </c>
    </row>
    <row r="197">
      <c r="A197" s="18" t="inlineStr">
        <is>
          <t>손상차손</t>
        </is>
      </c>
      <c r="C197" s="20" t="n">
        <v>1329</v>
      </c>
      <c r="D197" s="20" t="n">
        <v>4735</v>
      </c>
      <c r="E197" s="20" t="n">
        <v>1284</v>
      </c>
      <c r="F197" s="20" t="n">
        <v>1660</v>
      </c>
      <c r="G197" s="20" t="n">
        <v>2210</v>
      </c>
      <c r="H197" s="20" t="n">
        <v>9590</v>
      </c>
      <c r="I197" s="20" t="n">
        <v>294</v>
      </c>
      <c r="J197" s="20" t="n">
        <v>1962</v>
      </c>
      <c r="K197" s="20" t="n">
        <v>2161</v>
      </c>
      <c r="L197" s="20" t="n">
        <v>7642</v>
      </c>
      <c r="M197" s="20" t="n">
        <v>-29</v>
      </c>
      <c r="N197" s="20" t="n">
        <v>114</v>
      </c>
      <c r="P197" s="20" t="n">
        <v>1530</v>
      </c>
      <c r="Q197" s="20" t="n">
        <v>12607</v>
      </c>
      <c r="R197" s="20" t="n">
        <v>6384</v>
      </c>
      <c r="S197" s="20" t="n">
        <v>4035</v>
      </c>
      <c r="T197" s="20" t="n">
        <v>985</v>
      </c>
      <c r="U197" s="20" t="n">
        <v>6857</v>
      </c>
      <c r="V197" s="20" t="n">
        <v>4735</v>
      </c>
      <c r="W197" s="20" t="n">
        <v>9590</v>
      </c>
      <c r="X197" s="20" t="n">
        <v>7642</v>
      </c>
    </row>
    <row r="198">
      <c r="A198" s="18" t="inlineStr">
        <is>
          <t>충당금 증감</t>
        </is>
      </c>
      <c r="C198" s="20" t="n">
        <v>-7727</v>
      </c>
      <c r="D198" s="20" t="n">
        <v>4307</v>
      </c>
      <c r="E198" s="20" t="n">
        <v>-1492</v>
      </c>
      <c r="F198" s="20" t="n">
        <v>-6914</v>
      </c>
      <c r="G198" s="20" t="n">
        <v>-30542</v>
      </c>
      <c r="H198" s="20" t="n">
        <v>-13864</v>
      </c>
      <c r="I198" s="20" t="n">
        <v>-4315</v>
      </c>
      <c r="J198" s="20" t="n">
        <v>-5279</v>
      </c>
      <c r="K198" s="20" t="n">
        <v>-884</v>
      </c>
      <c r="L198" s="20" t="n">
        <v>17834</v>
      </c>
      <c r="M198" s="20" t="n">
        <v>-4386</v>
      </c>
      <c r="N198" s="20" t="n">
        <v>-2343</v>
      </c>
      <c r="P198" s="20" t="n">
        <v>-7450</v>
      </c>
      <c r="Q198" s="20" t="n">
        <v>15101</v>
      </c>
      <c r="R198" s="20" t="n">
        <v>-5639</v>
      </c>
      <c r="S198" s="20" t="n">
        <v>-5749</v>
      </c>
      <c r="T198" s="20" t="n">
        <v>3420</v>
      </c>
      <c r="U198" s="20" t="n">
        <v>-8173</v>
      </c>
      <c r="V198" s="20" t="n">
        <v>4307</v>
      </c>
      <c r="W198" s="20" t="n">
        <v>-13864</v>
      </c>
      <c r="X198" s="20" t="n">
        <v>17834</v>
      </c>
    </row>
    <row r="199">
      <c r="A199" s="18" t="inlineStr">
        <is>
          <t>금융수익</t>
        </is>
      </c>
      <c r="C199" s="20" t="n">
        <v>-6834</v>
      </c>
      <c r="D199" s="20" t="n">
        <v>-9804</v>
      </c>
      <c r="E199" s="20" t="n">
        <v>-5585</v>
      </c>
      <c r="F199" s="20" t="n">
        <v>-4571</v>
      </c>
      <c r="G199" s="20" t="n">
        <v>-9396</v>
      </c>
      <c r="H199" s="20" t="n">
        <v>-9956</v>
      </c>
      <c r="I199" s="20" t="n">
        <v>-3302</v>
      </c>
      <c r="J199" s="20" t="n">
        <v>-6190</v>
      </c>
      <c r="K199" s="20" t="n">
        <v>-39251</v>
      </c>
      <c r="L199" s="20" t="n">
        <v>-52949</v>
      </c>
      <c r="M199" s="20" t="n">
        <v>-4263</v>
      </c>
      <c r="N199" s="20" t="n">
        <v>-9483</v>
      </c>
      <c r="P199" s="20" t="n">
        <v>-29553</v>
      </c>
      <c r="Q199" s="20" t="n">
        <v>-21989</v>
      </c>
      <c r="R199" s="20" t="n">
        <v>-8477</v>
      </c>
      <c r="S199" s="20" t="n">
        <v>-9691</v>
      </c>
      <c r="T199" s="20" t="n">
        <v>-17894</v>
      </c>
      <c r="U199" s="20" t="n">
        <v>-10899</v>
      </c>
      <c r="V199" s="20" t="n">
        <v>-9804</v>
      </c>
      <c r="W199" s="20" t="n">
        <v>-9956</v>
      </c>
      <c r="X199" s="20" t="n">
        <v>-52949</v>
      </c>
    </row>
    <row r="200">
      <c r="A200" s="18" t="inlineStr">
        <is>
          <t>금융비용</t>
        </is>
      </c>
      <c r="C200" s="20" t="n">
        <v>12674</v>
      </c>
      <c r="D200" s="20" t="n">
        <v>18072</v>
      </c>
      <c r="E200" s="20" t="n">
        <v>3667</v>
      </c>
      <c r="F200" s="20" t="n">
        <v>10729</v>
      </c>
      <c r="G200" s="20" t="n">
        <v>9796</v>
      </c>
      <c r="H200" s="20" t="n">
        <v>16579</v>
      </c>
      <c r="I200" s="20" t="n">
        <v>7660</v>
      </c>
      <c r="J200" s="20" t="n">
        <v>10921</v>
      </c>
      <c r="K200" s="20" t="n">
        <v>9459</v>
      </c>
      <c r="L200" s="20" t="n">
        <v>18168</v>
      </c>
      <c r="M200" s="20" t="n">
        <v>6720</v>
      </c>
      <c r="N200" s="20" t="n">
        <v>13809</v>
      </c>
      <c r="P200" s="20" t="n">
        <v>11568</v>
      </c>
      <c r="Q200" s="20" t="n">
        <v>8377</v>
      </c>
      <c r="R200" s="20" t="n">
        <v>15464</v>
      </c>
      <c r="S200" s="20" t="n">
        <v>10613</v>
      </c>
      <c r="T200" s="20" t="n">
        <v>11367</v>
      </c>
      <c r="U200" s="20" t="n">
        <v>17624</v>
      </c>
      <c r="V200" s="20" t="n">
        <v>18072</v>
      </c>
      <c r="W200" s="20" t="n">
        <v>16579</v>
      </c>
      <c r="X200" s="20" t="n">
        <v>18168</v>
      </c>
    </row>
    <row r="201">
      <c r="A201" s="18" t="inlineStr">
        <is>
          <t>지분법손익</t>
        </is>
      </c>
      <c r="C201" s="20" t="n">
        <v>-4179</v>
      </c>
      <c r="D201" s="20" t="n">
        <v>-5267</v>
      </c>
      <c r="E201" s="20" t="n">
        <v>9781</v>
      </c>
      <c r="F201" s="20" t="n">
        <v>11858</v>
      </c>
      <c r="G201" s="20" t="n">
        <v>11437</v>
      </c>
      <c r="H201" s="20" t="n">
        <v>10103</v>
      </c>
      <c r="I201" s="20" t="n">
        <v>-1072</v>
      </c>
      <c r="J201" s="20" t="n">
        <v>-1595</v>
      </c>
      <c r="K201" s="20" t="n">
        <v>-1818</v>
      </c>
      <c r="L201" s="20" t="n">
        <v>-3481</v>
      </c>
      <c r="M201" s="20" t="n">
        <v>-216</v>
      </c>
      <c r="N201" s="20" t="n">
        <v>-370</v>
      </c>
      <c r="P201" s="20" t="n">
        <v>-5106</v>
      </c>
      <c r="Q201" s="20" t="n">
        <v>-5916</v>
      </c>
      <c r="R201" s="20" t="n">
        <v>-3347</v>
      </c>
      <c r="S201" s="20" t="n">
        <v>-4994</v>
      </c>
      <c r="T201" s="20" t="n">
        <v>-5384</v>
      </c>
      <c r="U201" s="20" t="n">
        <v>-3949</v>
      </c>
      <c r="V201" s="20" t="n">
        <v>-5267</v>
      </c>
      <c r="W201" s="20" t="n">
        <v>10103</v>
      </c>
      <c r="X201" s="20" t="n">
        <v>-3481</v>
      </c>
    </row>
    <row r="202">
      <c r="A202" s="18" t="inlineStr">
        <is>
          <t>매출채권 및 기타채권 증감액</t>
        </is>
      </c>
      <c r="C202" s="20" t="n">
        <v>244001</v>
      </c>
      <c r="D202" s="20" t="n">
        <v>-64754</v>
      </c>
      <c r="E202" s="20" t="n">
        <v>333089</v>
      </c>
      <c r="F202" s="20" t="n">
        <v>323273</v>
      </c>
      <c r="G202" s="20" t="n">
        <v>266819</v>
      </c>
      <c r="H202" s="20" t="n">
        <v>-55795</v>
      </c>
      <c r="I202" s="20" t="n">
        <v>392280</v>
      </c>
      <c r="J202" s="20" t="n">
        <v>321638</v>
      </c>
      <c r="K202" s="20" t="n">
        <v>357585</v>
      </c>
      <c r="L202" s="20" t="n">
        <v>-101432</v>
      </c>
      <c r="M202" s="20" t="n">
        <v>473687</v>
      </c>
      <c r="N202" s="20" t="n">
        <v>400320</v>
      </c>
      <c r="P202" s="20" t="n">
        <v>12244</v>
      </c>
      <c r="Q202" s="20" t="n">
        <v>-41470</v>
      </c>
      <c r="R202" s="20" t="n">
        <v>-26263</v>
      </c>
      <c r="S202" s="20" t="n">
        <v>4120</v>
      </c>
      <c r="T202" s="20" t="n">
        <v>25469</v>
      </c>
      <c r="U202" s="20" t="n">
        <v>-77305</v>
      </c>
      <c r="V202" s="20" t="n">
        <v>-64754</v>
      </c>
      <c r="W202" s="20" t="n">
        <v>-55795</v>
      </c>
      <c r="X202" s="20" t="n">
        <v>-101432</v>
      </c>
    </row>
    <row r="203">
      <c r="A203" s="18" t="inlineStr">
        <is>
          <t>계약자산 증감액</t>
        </is>
      </c>
      <c r="P203" s="20" t="n">
        <v>0</v>
      </c>
      <c r="Q203" s="20" t="n">
        <v>-16951</v>
      </c>
    </row>
    <row r="204">
      <c r="A204" s="18" t="inlineStr">
        <is>
          <t>계약자산 증감액</t>
        </is>
      </c>
      <c r="D204" s="20" t="n">
        <v>-69375</v>
      </c>
      <c r="H204" s="20" t="n">
        <v>36464</v>
      </c>
      <c r="L204" s="20" t="n">
        <v>-43129</v>
      </c>
      <c r="Q204" s="20" t="n">
        <v>-16951</v>
      </c>
      <c r="R204" s="20" t="n">
        <v>11911</v>
      </c>
      <c r="S204" s="20" t="n">
        <v>-20139</v>
      </c>
      <c r="T204" s="20" t="n">
        <v>-5946</v>
      </c>
      <c r="U204" s="20" t="n">
        <v>-46278</v>
      </c>
      <c r="V204" s="20" t="n">
        <v>-69375</v>
      </c>
      <c r="W204" s="20" t="n">
        <v>36464</v>
      </c>
      <c r="X204" s="20" t="n">
        <v>-43129</v>
      </c>
    </row>
    <row r="205">
      <c r="A205" s="18" t="inlineStr">
        <is>
          <t>재고자산 증감</t>
        </is>
      </c>
      <c r="C205" s="20" t="n">
        <v>-103599</v>
      </c>
      <c r="D205" s="20" t="n">
        <v>-6658</v>
      </c>
      <c r="E205" s="20" t="n">
        <v>-55185</v>
      </c>
      <c r="F205" s="20" t="n">
        <v>-58296</v>
      </c>
      <c r="G205" s="20" t="n">
        <v>-57544</v>
      </c>
      <c r="H205" s="20" t="n">
        <v>52731</v>
      </c>
      <c r="I205" s="20" t="n">
        <v>-66834</v>
      </c>
      <c r="J205" s="20" t="n">
        <v>-80332</v>
      </c>
      <c r="K205" s="20" t="n">
        <v>-87372</v>
      </c>
      <c r="L205" s="20" t="n">
        <v>14729</v>
      </c>
      <c r="M205" s="20" t="n">
        <v>-77871</v>
      </c>
      <c r="N205" s="20" t="n">
        <v>-108129</v>
      </c>
      <c r="P205" s="20" t="n">
        <v>-16115</v>
      </c>
      <c r="Q205" s="20" t="n">
        <v>-16716</v>
      </c>
      <c r="R205" s="20" t="n">
        <v>11430</v>
      </c>
      <c r="S205" s="20" t="n">
        <v>19249</v>
      </c>
      <c r="T205" s="20" t="n">
        <v>-58848</v>
      </c>
      <c r="U205" s="20" t="n">
        <v>-23428</v>
      </c>
      <c r="V205" s="20" t="n">
        <v>-6658</v>
      </c>
      <c r="W205" s="20" t="n">
        <v>52731</v>
      </c>
      <c r="X205" s="20" t="n">
        <v>14729</v>
      </c>
    </row>
    <row r="206">
      <c r="A206" s="18" t="inlineStr">
        <is>
          <t>매입채무 및 기타채무 증감액</t>
        </is>
      </c>
      <c r="C206" s="20" t="n">
        <v>-42469</v>
      </c>
      <c r="D206" s="20" t="n">
        <v>24224</v>
      </c>
      <c r="E206" s="20" t="n">
        <v>-71848</v>
      </c>
      <c r="F206" s="20" t="n">
        <v>-92705</v>
      </c>
      <c r="G206" s="20" t="n">
        <v>-74310</v>
      </c>
      <c r="H206" s="20" t="n">
        <v>-12579</v>
      </c>
      <c r="I206" s="20" t="n">
        <v>-66966</v>
      </c>
      <c r="J206" s="20" t="n">
        <v>-81782</v>
      </c>
      <c r="K206" s="20" t="n">
        <v>-70065</v>
      </c>
      <c r="L206" s="20" t="n">
        <v>-8919</v>
      </c>
      <c r="M206" s="20" t="n">
        <v>-60174</v>
      </c>
      <c r="N206" s="20" t="n">
        <v>-97453</v>
      </c>
      <c r="P206" s="20" t="n">
        <v>17036</v>
      </c>
      <c r="Q206" s="20" t="n">
        <v>4415</v>
      </c>
      <c r="R206" s="20" t="n">
        <v>1653</v>
      </c>
      <c r="S206" s="20" t="n">
        <v>4926</v>
      </c>
      <c r="T206" s="20" t="n">
        <v>-27434</v>
      </c>
      <c r="U206" s="20" t="n">
        <v>41114</v>
      </c>
      <c r="V206" s="20" t="n">
        <v>24224</v>
      </c>
      <c r="W206" s="20" t="n">
        <v>-12579</v>
      </c>
      <c r="X206" s="20" t="n">
        <v>-8919</v>
      </c>
    </row>
    <row r="207">
      <c r="A207" s="18" t="inlineStr">
        <is>
          <t>계약부채 증감</t>
        </is>
      </c>
      <c r="P207" s="20" t="n">
        <v>0</v>
      </c>
      <c r="Q207" s="20" t="n">
        <v>21500</v>
      </c>
    </row>
    <row r="208">
      <c r="A208" s="18" t="inlineStr">
        <is>
          <t>퇴직급여 부채·자산 증감액</t>
        </is>
      </c>
      <c r="E208" s="20" t="n">
        <v>-2657</v>
      </c>
      <c r="I208" s="20" t="n">
        <v>137322</v>
      </c>
    </row>
    <row r="209">
      <c r="A209" s="18" t="inlineStr">
        <is>
          <t>계약부채 증감</t>
        </is>
      </c>
      <c r="D209" s="20" t="n">
        <v>91147</v>
      </c>
      <c r="H209" s="20" t="n">
        <v>15575</v>
      </c>
      <c r="L209" s="20" t="n">
        <v>44351</v>
      </c>
      <c r="Q209" s="20" t="n">
        <v>21500</v>
      </c>
      <c r="R209" s="20" t="n">
        <v>11536</v>
      </c>
      <c r="S209" s="20" t="n">
        <v>24652</v>
      </c>
      <c r="T209" s="20" t="n">
        <v>-1775</v>
      </c>
      <c r="U209" s="20" t="n">
        <v>16522</v>
      </c>
      <c r="V209" s="20" t="n">
        <v>91147</v>
      </c>
      <c r="W209" s="20" t="n">
        <v>15575</v>
      </c>
      <c r="X209" s="20" t="n">
        <v>44351</v>
      </c>
    </row>
    <row r="210">
      <c r="A210" s="18" t="inlineStr">
        <is>
          <t>퇴직급여 부채·자산 증감액</t>
        </is>
      </c>
      <c r="F210" s="20" t="n">
        <v>-4965</v>
      </c>
      <c r="G210" s="20" t="n">
        <v>-19506</v>
      </c>
      <c r="H210" s="20" t="n">
        <v>-6916</v>
      </c>
      <c r="I210" s="20" t="n">
        <v>137322</v>
      </c>
      <c r="J210" s="20" t="n">
        <v>134854</v>
      </c>
      <c r="K210" s="20" t="n">
        <v>133222</v>
      </c>
      <c r="L210" s="20" t="n">
        <v>131937</v>
      </c>
      <c r="M210" s="20" t="n">
        <v>-1024</v>
      </c>
      <c r="N210" s="20" t="n">
        <v>-2353</v>
      </c>
      <c r="W210" s="20" t="n">
        <v>-6916</v>
      </c>
      <c r="X210" s="20" t="n">
        <v>131937</v>
      </c>
    </row>
    <row r="211">
      <c r="A211" s="18" t="inlineStr">
        <is>
          <t>기타(순액)</t>
        </is>
      </c>
      <c r="C211" s="20" t="n">
        <v>-227513</v>
      </c>
      <c r="D211" s="20" t="n">
        <v>-33608</v>
      </c>
      <c r="E211" s="20" t="n">
        <v>-125953</v>
      </c>
      <c r="F211" s="20" t="n">
        <v>-203789</v>
      </c>
      <c r="G211" s="20" t="n">
        <v>-236359</v>
      </c>
      <c r="H211" s="20" t="n">
        <v>-48858</v>
      </c>
      <c r="I211" s="20" t="n">
        <v>-157724</v>
      </c>
      <c r="J211" s="20" t="n">
        <v>-252320</v>
      </c>
      <c r="K211" s="20" t="n">
        <v>-377242</v>
      </c>
      <c r="L211" s="20" t="n">
        <v>-34131</v>
      </c>
      <c r="M211" s="20" t="n">
        <v>-162501</v>
      </c>
      <c r="N211" s="20" t="n">
        <v>-290187</v>
      </c>
      <c r="P211" s="20" t="n">
        <v>-16701</v>
      </c>
      <c r="Q211" s="20" t="n">
        <v>-48544</v>
      </c>
      <c r="R211" s="20" t="n">
        <v>-20517</v>
      </c>
      <c r="S211" s="20" t="n">
        <v>-50443</v>
      </c>
      <c r="T211" s="20" t="n">
        <v>-58824</v>
      </c>
      <c r="U211" s="20" t="n">
        <v>-72837</v>
      </c>
      <c r="V211" s="20" t="n">
        <v>-33608</v>
      </c>
      <c r="W211" s="20" t="n">
        <v>-48858</v>
      </c>
      <c r="X211" s="20" t="n">
        <v>-34131</v>
      </c>
    </row>
    <row r="212">
      <c r="A212" s="18" t="inlineStr">
        <is>
          <t>소계</t>
        </is>
      </c>
      <c r="C212" s="20" t="n">
        <v>75218</v>
      </c>
      <c r="D212" s="20" t="n">
        <v>325730</v>
      </c>
      <c r="E212" s="20" t="n">
        <v>122009</v>
      </c>
      <c r="F212" s="20" t="n">
        <v>82544</v>
      </c>
      <c r="G212" s="20" t="n">
        <v>96130</v>
      </c>
      <c r="H212" s="20" t="n">
        <v>391282</v>
      </c>
      <c r="I212" s="20" t="n">
        <v>306829</v>
      </c>
      <c r="J212" s="20" t="n">
        <v>234487</v>
      </c>
      <c r="K212" s="20" t="n">
        <v>260276</v>
      </c>
      <c r="L212" s="20" t="n">
        <v>543297</v>
      </c>
      <c r="M212" s="20" t="n">
        <v>265817</v>
      </c>
      <c r="N212" s="20" t="n">
        <v>122175</v>
      </c>
      <c r="P212" s="20" t="n">
        <v>150431</v>
      </c>
      <c r="Q212" s="20" t="n">
        <v>87467</v>
      </c>
      <c r="R212" s="20" t="n">
        <v>284464</v>
      </c>
      <c r="S212" s="20" t="n">
        <v>302023</v>
      </c>
      <c r="T212" s="20" t="n">
        <v>190111</v>
      </c>
      <c r="U212" s="20" t="n">
        <v>190217</v>
      </c>
      <c r="V212" s="20" t="n">
        <v>325730</v>
      </c>
      <c r="W212" s="20" t="n">
        <v>391282</v>
      </c>
      <c r="X212" s="20" t="n">
        <v>543297</v>
      </c>
    </row>
    <row r="213">
      <c r="A213" s="18" t="inlineStr">
        <is>
          <t>이자·배당금 수취</t>
        </is>
      </c>
      <c r="P213" s="20" t="n">
        <v>6076</v>
      </c>
      <c r="Q213" s="20" t="n">
        <v>7580</v>
      </c>
      <c r="R213" s="20" t="n">
        <v>6947</v>
      </c>
      <c r="S213" s="20" t="n">
        <v>5161</v>
      </c>
      <c r="T213" s="20" t="n">
        <v>5876</v>
      </c>
    </row>
    <row r="214">
      <c r="A214" s="18" t="inlineStr">
        <is>
          <t>이자 수취</t>
        </is>
      </c>
      <c r="C214" s="20" t="n">
        <v>4516</v>
      </c>
      <c r="D214" s="20" t="n">
        <v>5896</v>
      </c>
      <c r="E214" s="20" t="n">
        <v>1168</v>
      </c>
      <c r="F214" s="20" t="n">
        <v>2682</v>
      </c>
      <c r="G214" s="20" t="n">
        <v>3811</v>
      </c>
      <c r="H214" s="20" t="n">
        <v>5738</v>
      </c>
      <c r="I214" s="20" t="n">
        <v>1368</v>
      </c>
      <c r="J214" s="20" t="n">
        <v>2896</v>
      </c>
      <c r="K214" s="20" t="n">
        <v>4115</v>
      </c>
      <c r="L214" s="20" t="n">
        <v>5887</v>
      </c>
      <c r="M214" s="20" t="n">
        <v>1376</v>
      </c>
      <c r="N214" s="20" t="n">
        <v>4210</v>
      </c>
      <c r="T214" s="20" t="n">
        <v>1917</v>
      </c>
      <c r="U214" s="20" t="n">
        <v>3038</v>
      </c>
      <c r="V214" s="20" t="n">
        <v>5896</v>
      </c>
      <c r="W214" s="20" t="n">
        <v>5738</v>
      </c>
      <c r="X214" s="20" t="n">
        <v>5887</v>
      </c>
    </row>
    <row r="215">
      <c r="A215" s="18" t="inlineStr">
        <is>
          <t>배당금 수취액</t>
        </is>
      </c>
      <c r="C215" s="20" t="n">
        <v>3178</v>
      </c>
      <c r="D215" s="20" t="n">
        <v>3330</v>
      </c>
      <c r="E215" s="20" t="n">
        <v>2065</v>
      </c>
      <c r="F215" s="20" t="n">
        <v>2333</v>
      </c>
      <c r="G215" s="20" t="n">
        <v>3013</v>
      </c>
      <c r="H215" s="20" t="n">
        <v>3595</v>
      </c>
      <c r="I215" s="20" t="n">
        <v>2773</v>
      </c>
      <c r="J215" s="20" t="n">
        <v>2908</v>
      </c>
      <c r="K215" s="20" t="n">
        <v>3177</v>
      </c>
      <c r="L215" s="20" t="n">
        <v>3212</v>
      </c>
      <c r="M215" s="20" t="n">
        <v>2655</v>
      </c>
      <c r="N215" s="20" t="n">
        <v>2933</v>
      </c>
      <c r="T215" s="20" t="n">
        <v>3959</v>
      </c>
      <c r="U215" s="20" t="n">
        <v>3697</v>
      </c>
      <c r="V215" s="20" t="n">
        <v>3330</v>
      </c>
      <c r="W215" s="20" t="n">
        <v>3595</v>
      </c>
      <c r="X215" s="20" t="n">
        <v>3212</v>
      </c>
    </row>
    <row r="216">
      <c r="A216" s="18" t="inlineStr">
        <is>
          <t>이자 지급</t>
        </is>
      </c>
      <c r="C216" s="20" t="n">
        <v>-6803</v>
      </c>
      <c r="D216" s="20" t="n">
        <v>-10980</v>
      </c>
      <c r="E216" s="20" t="n">
        <v>-3565</v>
      </c>
      <c r="F216" s="20" t="n">
        <v>-4267</v>
      </c>
      <c r="G216" s="20" t="n">
        <v>-6665</v>
      </c>
      <c r="H216" s="20" t="n">
        <v>-9098</v>
      </c>
      <c r="I216" s="20" t="n">
        <v>-2344</v>
      </c>
      <c r="J216" s="20" t="n">
        <v>-4719</v>
      </c>
      <c r="K216" s="20" t="n">
        <v>-6582</v>
      </c>
      <c r="L216" s="20" t="n">
        <v>-9713</v>
      </c>
      <c r="M216" s="20" t="n">
        <v>-2551</v>
      </c>
      <c r="N216" s="20" t="n">
        <v>-6036</v>
      </c>
      <c r="P216" s="20" t="n">
        <v>-5764</v>
      </c>
      <c r="Q216" s="20" t="n">
        <v>-6350</v>
      </c>
      <c r="R216" s="20" t="n">
        <v>-9052</v>
      </c>
      <c r="S216" s="20" t="n">
        <v>-7813</v>
      </c>
      <c r="T216" s="20" t="n">
        <v>-8508</v>
      </c>
      <c r="U216" s="20" t="n">
        <v>-7418</v>
      </c>
      <c r="V216" s="20" t="n">
        <v>-10980</v>
      </c>
      <c r="W216" s="20" t="n">
        <v>-9098</v>
      </c>
      <c r="X216" s="20" t="n">
        <v>-9713</v>
      </c>
    </row>
    <row r="217">
      <c r="A217" s="18" t="inlineStr">
        <is>
          <t>법인소득세 지급액</t>
        </is>
      </c>
      <c r="C217" s="20" t="n">
        <v>-48325</v>
      </c>
      <c r="D217" s="20" t="n">
        <v>-52748</v>
      </c>
      <c r="E217" s="20" t="n">
        <v>-17936</v>
      </c>
      <c r="F217" s="20" t="n">
        <v>-24587</v>
      </c>
      <c r="G217" s="20" t="n">
        <v>-44493</v>
      </c>
      <c r="H217" s="20" t="n">
        <v>-47109</v>
      </c>
      <c r="I217" s="20" t="n">
        <v>-55561</v>
      </c>
      <c r="J217" s="20" t="n">
        <v>-58172</v>
      </c>
      <c r="K217" s="20" t="n">
        <v>-94778</v>
      </c>
      <c r="L217" s="20" t="n">
        <v>-104220</v>
      </c>
      <c r="M217" s="20" t="n">
        <v>-107119</v>
      </c>
      <c r="N217" s="20" t="n">
        <v>-104682</v>
      </c>
      <c r="P217" s="20" t="n">
        <v>-20762</v>
      </c>
      <c r="Q217" s="20" t="n">
        <v>-24462</v>
      </c>
      <c r="R217" s="20" t="n">
        <v>-20496</v>
      </c>
      <c r="S217" s="20" t="n">
        <v>-24464</v>
      </c>
      <c r="T217" s="20" t="n">
        <v>-39962</v>
      </c>
      <c r="U217" s="20" t="n">
        <v>-37407</v>
      </c>
      <c r="V217" s="20" t="n">
        <v>-52748</v>
      </c>
      <c r="W217" s="20" t="n">
        <v>-47109</v>
      </c>
      <c r="X217" s="20" t="n">
        <v>-104220</v>
      </c>
    </row>
    <row r="218">
      <c r="A218" s="9" t="inlineStr">
        <is>
          <t>영업활동 현금흐름</t>
        </is>
      </c>
      <c r="C218" s="12" t="n">
        <v>27784</v>
      </c>
      <c r="D218" s="12" t="n">
        <v>271228</v>
      </c>
      <c r="E218" s="12" t="n">
        <v>103741</v>
      </c>
      <c r="F218" s="12" t="n">
        <v>58705</v>
      </c>
      <c r="G218" s="12" t="n">
        <v>51796</v>
      </c>
      <c r="H218" s="12" t="n">
        <v>344408</v>
      </c>
      <c r="I218" s="12" t="n">
        <v>253065</v>
      </c>
      <c r="J218" s="12" t="n">
        <v>177400</v>
      </c>
      <c r="K218" s="12" t="n">
        <v>166208</v>
      </c>
      <c r="L218" s="12" t="n">
        <v>438463</v>
      </c>
      <c r="M218" s="12" t="n">
        <v>160178</v>
      </c>
      <c r="N218" s="12" t="n">
        <v>18600</v>
      </c>
      <c r="P218" s="12" t="n">
        <v>129981</v>
      </c>
      <c r="Q218" s="12" t="n">
        <v>64235</v>
      </c>
      <c r="R218" s="12" t="n">
        <v>261863</v>
      </c>
      <c r="S218" s="12" t="n">
        <v>274907</v>
      </c>
      <c r="T218" s="12" t="n">
        <v>147517</v>
      </c>
      <c r="U218" s="12" t="n">
        <v>152127</v>
      </c>
      <c r="V218" s="12" t="n">
        <v>271228</v>
      </c>
      <c r="W218" s="12" t="n">
        <v>344408</v>
      </c>
      <c r="X218" s="12" t="n">
        <v>438463</v>
      </c>
    </row>
    <row r="219">
      <c r="A219" s="18" t="inlineStr">
        <is>
          <t>유형자산 취득(설비투자)</t>
        </is>
      </c>
      <c r="C219" s="20" t="n">
        <v>-51478</v>
      </c>
      <c r="D219" s="20" t="n">
        <v>-75176</v>
      </c>
      <c r="E219" s="20" t="n">
        <v>-18228</v>
      </c>
      <c r="F219" s="20" t="n">
        <v>-42335</v>
      </c>
      <c r="G219" s="20" t="n">
        <v>-49816</v>
      </c>
      <c r="H219" s="20" t="n">
        <v>-126410</v>
      </c>
      <c r="I219" s="20" t="n">
        <v>-4358</v>
      </c>
      <c r="J219" s="20" t="n">
        <v>-13762</v>
      </c>
      <c r="K219" s="20" t="n">
        <v>-54960</v>
      </c>
      <c r="L219" s="20" t="n">
        <v>-70325</v>
      </c>
      <c r="M219" s="20" t="n">
        <v>-13459</v>
      </c>
      <c r="N219" s="20" t="n">
        <v>-43652</v>
      </c>
      <c r="P219" s="20" t="n">
        <v>-43253</v>
      </c>
      <c r="Q219" s="20" t="n">
        <v>-48929</v>
      </c>
      <c r="R219" s="20" t="n">
        <v>-72825</v>
      </c>
      <c r="S219" s="20" t="n">
        <v>-59307</v>
      </c>
      <c r="T219" s="20" t="n">
        <v>-56949</v>
      </c>
      <c r="U219" s="20" t="n">
        <v>-56391</v>
      </c>
      <c r="V219" s="20" t="n">
        <v>-75176</v>
      </c>
      <c r="W219" s="20" t="n">
        <v>-126410</v>
      </c>
      <c r="X219" s="20" t="n">
        <v>-70325</v>
      </c>
    </row>
    <row r="220">
      <c r="A220" s="18" t="inlineStr">
        <is>
          <t>유형자산 매각</t>
        </is>
      </c>
      <c r="C220" s="20" t="n">
        <v>5465</v>
      </c>
      <c r="D220" s="20" t="n">
        <v>7656</v>
      </c>
      <c r="E220" s="20" t="n">
        <v>2804</v>
      </c>
      <c r="F220" s="20" t="n">
        <v>4918</v>
      </c>
      <c r="G220" s="20" t="n">
        <v>7048</v>
      </c>
      <c r="H220" s="20" t="n">
        <v>8701</v>
      </c>
      <c r="I220" s="20" t="n">
        <v>2549</v>
      </c>
      <c r="J220" s="20" t="n">
        <v>3451</v>
      </c>
      <c r="K220" s="20" t="n">
        <v>5298</v>
      </c>
      <c r="L220" s="20" t="n">
        <v>31947</v>
      </c>
      <c r="M220" s="20" t="n">
        <v>1269</v>
      </c>
      <c r="N220" s="20" t="n">
        <v>3908</v>
      </c>
      <c r="P220" s="20" t="n">
        <v>6334</v>
      </c>
      <c r="Q220" s="20" t="n">
        <v>4283</v>
      </c>
      <c r="R220" s="20" t="n">
        <v>6903</v>
      </c>
      <c r="S220" s="20" t="n">
        <v>41761</v>
      </c>
      <c r="T220" s="20" t="n">
        <v>15373</v>
      </c>
      <c r="U220" s="20" t="n">
        <v>12387</v>
      </c>
      <c r="V220" s="20" t="n">
        <v>7656</v>
      </c>
      <c r="W220" s="20" t="n">
        <v>8701</v>
      </c>
      <c r="X220" s="20" t="n">
        <v>31947</v>
      </c>
    </row>
    <row r="221">
      <c r="A221" s="18" t="inlineStr">
        <is>
          <t>무형자산 취득 지출</t>
        </is>
      </c>
      <c r="C221" s="20" t="n">
        <v>-16070</v>
      </c>
      <c r="D221" s="20" t="n">
        <v>-24591</v>
      </c>
      <c r="E221" s="20" t="n">
        <v>-5304</v>
      </c>
      <c r="F221" s="20" t="n">
        <v>-11204</v>
      </c>
      <c r="G221" s="20" t="n">
        <v>-17847</v>
      </c>
      <c r="H221" s="20" t="n">
        <v>-24215</v>
      </c>
      <c r="I221" s="20" t="n">
        <v>-5489</v>
      </c>
      <c r="J221" s="20" t="n">
        <v>-10158</v>
      </c>
      <c r="K221" s="20" t="n">
        <v>-15420</v>
      </c>
      <c r="L221" s="20" t="n">
        <v>-21231</v>
      </c>
      <c r="M221" s="20" t="n">
        <v>-4728</v>
      </c>
      <c r="N221" s="20" t="n">
        <v>-10927</v>
      </c>
      <c r="P221" s="20" t="n">
        <v>-10134</v>
      </c>
      <c r="Q221" s="20" t="n">
        <v>-11764</v>
      </c>
      <c r="R221" s="20" t="n">
        <v>-16372</v>
      </c>
      <c r="S221" s="20" t="n">
        <v>-11629</v>
      </c>
      <c r="T221" s="20" t="n">
        <v>-14157</v>
      </c>
      <c r="U221" s="20" t="n">
        <v>-21323</v>
      </c>
      <c r="V221" s="20" t="n">
        <v>-24591</v>
      </c>
      <c r="W221" s="20" t="n">
        <v>-24215</v>
      </c>
      <c r="X221" s="20" t="n">
        <v>-21231</v>
      </c>
    </row>
    <row r="222">
      <c r="A222" s="18" t="inlineStr">
        <is>
          <t>매도가능금융자산 취득</t>
        </is>
      </c>
      <c r="P222" s="20" t="n">
        <v>-2336</v>
      </c>
      <c r="Q222" s="20" t="n">
        <v>0</v>
      </c>
    </row>
    <row r="223">
      <c r="A223" s="18" t="inlineStr">
        <is>
          <t>기타포괄손익-공정가치 지분상품 취득 지출</t>
        </is>
      </c>
      <c r="P223" s="20" t="n">
        <v>0</v>
      </c>
      <c r="Q223" s="20" t="n">
        <v>-7375</v>
      </c>
    </row>
    <row r="224">
      <c r="A224" s="18" t="inlineStr">
        <is>
          <t>매도가능금융자산 매각</t>
        </is>
      </c>
      <c r="P224" s="20" t="n">
        <v>12442</v>
      </c>
      <c r="Q224" s="20" t="n">
        <v>0</v>
      </c>
    </row>
    <row r="225">
      <c r="A225" s="18" t="inlineStr">
        <is>
          <t>기타포괄손익-공정가치 지분상품 매각 수입</t>
        </is>
      </c>
      <c r="P225" s="20" t="n">
        <v>0</v>
      </c>
      <c r="Q225" s="20" t="n">
        <v>2293</v>
      </c>
    </row>
    <row r="226">
      <c r="A226" s="18" t="inlineStr">
        <is>
          <t>기타포괄손익-공정가치 지분상품 취득 지출</t>
        </is>
      </c>
      <c r="C226" s="20" t="n">
        <v>-333</v>
      </c>
      <c r="D226" s="20" t="n">
        <v>-367</v>
      </c>
      <c r="E226" s="20" t="n">
        <v>-230</v>
      </c>
      <c r="F226" s="20" t="n">
        <v>-373</v>
      </c>
      <c r="G226" s="20" t="n">
        <v>-5781</v>
      </c>
      <c r="H226" s="20" t="n">
        <v>-5804</v>
      </c>
      <c r="I226" s="20" t="n">
        <v>-3</v>
      </c>
      <c r="J226" s="20" t="n">
        <v>-151</v>
      </c>
      <c r="K226" s="20" t="n">
        <v>-1050</v>
      </c>
      <c r="L226" s="20" t="n">
        <v>-2021</v>
      </c>
      <c r="M226" s="20" t="n">
        <v>-920</v>
      </c>
      <c r="N226" s="20" t="n">
        <v>-1336</v>
      </c>
      <c r="Q226" s="20" t="n">
        <v>-7375</v>
      </c>
      <c r="R226" s="20" t="n">
        <v>-1820</v>
      </c>
      <c r="S226" s="20" t="n">
        <v>-2620</v>
      </c>
      <c r="T226" s="20" t="n">
        <v>-11679</v>
      </c>
      <c r="U226" s="20" t="n">
        <v>-2094</v>
      </c>
      <c r="V226" s="20" t="n">
        <v>-367</v>
      </c>
      <c r="W226" s="20" t="n">
        <v>-5804</v>
      </c>
      <c r="X226" s="20" t="n">
        <v>-2021</v>
      </c>
    </row>
    <row r="227">
      <c r="A227" s="18" t="inlineStr">
        <is>
          <t>기타포괄손익-공정가치 지분상품 매각 수입</t>
        </is>
      </c>
      <c r="C227" s="20" t="n">
        <v>14466</v>
      </c>
      <c r="D227" s="20" t="n">
        <v>16676</v>
      </c>
      <c r="E227" s="20" t="n">
        <v>9</v>
      </c>
      <c r="F227" s="20" t="n">
        <v>716</v>
      </c>
      <c r="G227" s="20" t="n">
        <v>2748</v>
      </c>
      <c r="H227" s="20" t="n">
        <v>7394</v>
      </c>
      <c r="I227" s="20" t="n">
        <v>6810</v>
      </c>
      <c r="J227" s="20" t="n">
        <v>9598</v>
      </c>
      <c r="K227" s="20" t="n">
        <v>14148</v>
      </c>
      <c r="L227" s="20" t="n">
        <v>16686</v>
      </c>
      <c r="M227" s="20" t="n">
        <v>2884</v>
      </c>
      <c r="N227" s="20" t="n">
        <v>11162</v>
      </c>
      <c r="Q227" s="20" t="n">
        <v>2293</v>
      </c>
      <c r="R227" s="20" t="n">
        <v>12279</v>
      </c>
      <c r="S227" s="20" t="n">
        <v>97107</v>
      </c>
      <c r="T227" s="20" t="n">
        <v>18443</v>
      </c>
      <c r="U227" s="20" t="n">
        <v>19182</v>
      </c>
      <c r="V227" s="20" t="n">
        <v>16676</v>
      </c>
      <c r="W227" s="20" t="n">
        <v>7394</v>
      </c>
      <c r="X227" s="20" t="n">
        <v>16686</v>
      </c>
    </row>
    <row r="228">
      <c r="A228" s="18" t="inlineStr">
        <is>
          <t>자회사 취득 지출</t>
        </is>
      </c>
      <c r="C228" s="20" t="n">
        <v>-811</v>
      </c>
      <c r="D228" s="20" t="n">
        <v>-811</v>
      </c>
      <c r="E228" s="20" t="n">
        <v>0</v>
      </c>
      <c r="F228" s="20" t="n">
        <v>0</v>
      </c>
      <c r="G228" s="20" t="n">
        <v>-878</v>
      </c>
      <c r="H228" s="20" t="n">
        <v>-878</v>
      </c>
      <c r="I228" s="20" t="n">
        <v>-2312</v>
      </c>
      <c r="J228" s="20" t="n">
        <v>-3924</v>
      </c>
      <c r="K228" s="20" t="n">
        <v>-4422</v>
      </c>
      <c r="L228" s="20" t="n">
        <v>-11987</v>
      </c>
      <c r="M228" s="20" t="n">
        <v>-413356</v>
      </c>
      <c r="N228" s="20" t="n">
        <v>-413357</v>
      </c>
      <c r="P228" s="20" t="n">
        <v>-23110</v>
      </c>
      <c r="Q228" s="20" t="n">
        <v>-47930</v>
      </c>
      <c r="R228" s="20" t="n">
        <v>-6935</v>
      </c>
      <c r="S228" s="20" t="n">
        <v>-202588</v>
      </c>
      <c r="T228" s="20" t="n">
        <v>-12214</v>
      </c>
      <c r="U228" s="20" t="n">
        <v>-6935</v>
      </c>
      <c r="V228" s="20" t="n">
        <v>-811</v>
      </c>
      <c r="W228" s="20" t="n">
        <v>-878</v>
      </c>
      <c r="X228" s="20" t="n">
        <v>-11987</v>
      </c>
    </row>
    <row r="229">
      <c r="A229" s="18" t="inlineStr">
        <is>
          <t>자회사 취득 수입</t>
        </is>
      </c>
      <c r="P229" s="20" t="n">
        <v>5</v>
      </c>
      <c r="Q229" s="20" t="n">
        <v>17</v>
      </c>
    </row>
    <row r="230">
      <c r="A230" s="18" t="inlineStr">
        <is>
          <t>자회사 취득 수입</t>
        </is>
      </c>
      <c r="Q230" s="20" t="n">
        <v>17</v>
      </c>
      <c r="R230" s="20" t="n">
        <v>52</v>
      </c>
      <c r="S230" s="20" t="n">
        <v>100</v>
      </c>
      <c r="T230" s="20" t="n">
        <v>0</v>
      </c>
    </row>
    <row r="231">
      <c r="A231" s="18" t="inlineStr">
        <is>
          <t>자회사 매각 수입</t>
        </is>
      </c>
      <c r="C231" s="20" t="n">
        <v>1892</v>
      </c>
      <c r="D231" s="20" t="n">
        <v>1892</v>
      </c>
      <c r="E231" s="20" t="n">
        <v>0</v>
      </c>
      <c r="F231" s="20" t="n">
        <v>0</v>
      </c>
      <c r="G231" s="20" t="n">
        <v>0</v>
      </c>
      <c r="H231" s="20" t="n">
        <v>0</v>
      </c>
      <c r="I231" s="20" t="n">
        <v>2824</v>
      </c>
      <c r="J231" s="20" t="n">
        <v>13821</v>
      </c>
      <c r="K231" s="20" t="n">
        <v>13821</v>
      </c>
      <c r="L231" s="20" t="n">
        <v>13821</v>
      </c>
      <c r="M231" s="20" t="n">
        <v>0</v>
      </c>
      <c r="N231" s="20" t="n">
        <v>952</v>
      </c>
      <c r="P231" s="20" t="n">
        <v>228</v>
      </c>
      <c r="Q231" s="20" t="n">
        <v>20230</v>
      </c>
      <c r="R231" s="20" t="n">
        <v>0</v>
      </c>
      <c r="S231" s="20" t="n">
        <v>8444</v>
      </c>
      <c r="T231" s="20" t="n">
        <v>5078</v>
      </c>
      <c r="U231" s="20" t="n">
        <v>9679</v>
      </c>
      <c r="V231" s="20" t="n">
        <v>1892</v>
      </c>
      <c r="W231" s="20" t="n">
        <v>0</v>
      </c>
      <c r="X231" s="20" t="n">
        <v>13821</v>
      </c>
    </row>
    <row r="232">
      <c r="A232" s="18" t="inlineStr">
        <is>
          <t>자회사 매각 지출</t>
        </is>
      </c>
      <c r="C232" s="20" t="n">
        <v>0</v>
      </c>
      <c r="D232" s="20" t="n">
        <v>-9008</v>
      </c>
      <c r="G232" s="20" t="n">
        <v>-490</v>
      </c>
      <c r="H232" s="20" t="n">
        <v>-490</v>
      </c>
      <c r="K232" s="20" t="n">
        <v>0</v>
      </c>
      <c r="L232" s="20" t="n">
        <v>-789</v>
      </c>
      <c r="Q232" s="20" t="n">
        <v>0</v>
      </c>
      <c r="R232" s="20" t="n">
        <v>-220</v>
      </c>
      <c r="S232" s="20" t="n">
        <v>-2969</v>
      </c>
      <c r="T232" s="20" t="n">
        <v>-92</v>
      </c>
      <c r="U232" s="20" t="n">
        <v>0</v>
      </c>
      <c r="V232" s="20" t="n">
        <v>-9008</v>
      </c>
      <c r="W232" s="20" t="n">
        <v>-490</v>
      </c>
      <c r="X232" s="20" t="n">
        <v>-789</v>
      </c>
    </row>
    <row r="233">
      <c r="A233" s="18" t="inlineStr">
        <is>
          <t>관계·공동기업 투자 취득 지출</t>
        </is>
      </c>
      <c r="C233" s="20" t="n">
        <v>-80</v>
      </c>
      <c r="D233" s="20" t="n">
        <v>-276</v>
      </c>
      <c r="E233" s="20" t="n">
        <v>0</v>
      </c>
      <c r="F233" s="20" t="n">
        <v>-5440</v>
      </c>
      <c r="G233" s="20" t="n">
        <v>-5440</v>
      </c>
      <c r="H233" s="20" t="n">
        <v>-5795</v>
      </c>
      <c r="J233" s="20" t="n">
        <v>-658</v>
      </c>
      <c r="K233" s="20" t="n">
        <v>-683</v>
      </c>
      <c r="L233" s="20" t="n">
        <v>-683</v>
      </c>
      <c r="N233" s="20" t="n">
        <v>-1830</v>
      </c>
      <c r="P233" s="20" t="n">
        <v>-471</v>
      </c>
      <c r="Q233" s="20" t="n">
        <v>-1148</v>
      </c>
      <c r="R233" s="20" t="n">
        <v>-376</v>
      </c>
      <c r="S233" s="20" t="n">
        <v>-230</v>
      </c>
      <c r="T233" s="20" t="n">
        <v>-137</v>
      </c>
      <c r="U233" s="20" t="n">
        <v>-198</v>
      </c>
      <c r="V233" s="20" t="n">
        <v>-276</v>
      </c>
      <c r="W233" s="20" t="n">
        <v>-5795</v>
      </c>
      <c r="X233" s="20" t="n">
        <v>-683</v>
      </c>
    </row>
    <row r="234">
      <c r="A234" s="18" t="inlineStr">
        <is>
          <t>관계·공동기업 투자 매각 수입</t>
        </is>
      </c>
      <c r="C234" s="20" t="n">
        <v>209</v>
      </c>
      <c r="D234" s="20" t="n">
        <v>226</v>
      </c>
      <c r="E234" s="20" t="n">
        <v>20</v>
      </c>
      <c r="F234" s="20" t="n">
        <v>20</v>
      </c>
      <c r="G234" s="20" t="n">
        <v>15874</v>
      </c>
      <c r="H234" s="20" t="n">
        <v>15874</v>
      </c>
      <c r="I234" s="20" t="n">
        <v>0</v>
      </c>
      <c r="J234" s="20" t="n">
        <v>0</v>
      </c>
      <c r="K234" s="20" t="n">
        <v>82937</v>
      </c>
      <c r="L234" s="20" t="n">
        <v>83003</v>
      </c>
      <c r="M234" s="20" t="n">
        <v>204</v>
      </c>
      <c r="N234" s="20" t="n">
        <v>204</v>
      </c>
      <c r="P234" s="20" t="n">
        <v>21997</v>
      </c>
      <c r="Q234" s="20" t="n">
        <v>13816</v>
      </c>
      <c r="R234" s="20" t="n">
        <v>2098</v>
      </c>
      <c r="S234" s="20" t="n">
        <v>8448</v>
      </c>
      <c r="T234" s="20" t="n">
        <v>2197</v>
      </c>
      <c r="U234" s="20" t="n">
        <v>1951</v>
      </c>
      <c r="V234" s="20" t="n">
        <v>226</v>
      </c>
      <c r="W234" s="20" t="n">
        <v>15874</v>
      </c>
      <c r="X234" s="20" t="n">
        <v>83003</v>
      </c>
    </row>
    <row r="235">
      <c r="A235" s="18" t="inlineStr">
        <is>
          <t>대여금 회수</t>
        </is>
      </c>
      <c r="P235" s="20" t="n">
        <v>25466</v>
      </c>
      <c r="Q235" s="20" t="n">
        <v>94</v>
      </c>
      <c r="R235" s="20" t="n">
        <v>44</v>
      </c>
    </row>
    <row r="236">
      <c r="A236" s="18" t="inlineStr">
        <is>
          <t>Income By Settlement In Derivatives Inv CF</t>
        </is>
      </c>
      <c r="I236" s="20" t="n">
        <v>0</v>
      </c>
      <c r="J236" s="20" t="n">
        <v>0</v>
      </c>
      <c r="M236" s="20" t="n">
        <v>27561</v>
      </c>
      <c r="N236" s="20" t="n">
        <v>27674</v>
      </c>
    </row>
    <row r="237">
      <c r="A237" s="18" t="inlineStr">
        <is>
          <t>기타(순액)</t>
        </is>
      </c>
      <c r="C237" s="20" t="n">
        <v>-73</v>
      </c>
      <c r="D237" s="20" t="n">
        <v>7764</v>
      </c>
      <c r="E237" s="20" t="n">
        <v>-797</v>
      </c>
      <c r="F237" s="20" t="n">
        <v>769</v>
      </c>
      <c r="G237" s="20" t="n">
        <v>1194</v>
      </c>
      <c r="H237" s="20" t="n">
        <v>459</v>
      </c>
      <c r="I237" s="20" t="n">
        <v>79</v>
      </c>
      <c r="J237" s="20" t="n">
        <v>-1463</v>
      </c>
      <c r="K237" s="20" t="n">
        <v>-4031</v>
      </c>
      <c r="L237" s="20" t="n">
        <v>-4735</v>
      </c>
      <c r="M237" s="20" t="n">
        <v>-813</v>
      </c>
      <c r="N237" s="20" t="n">
        <v>-3991</v>
      </c>
      <c r="P237" s="20" t="n">
        <v>-1399</v>
      </c>
      <c r="Q237" s="20" t="n">
        <v>-262</v>
      </c>
      <c r="R237" s="20" t="n">
        <v>-6807</v>
      </c>
      <c r="S237" s="20" t="n">
        <v>992</v>
      </c>
      <c r="T237" s="20" t="n">
        <v>-9240</v>
      </c>
      <c r="U237" s="20" t="n">
        <v>-5849</v>
      </c>
      <c r="V237" s="20" t="n">
        <v>7764</v>
      </c>
      <c r="W237" s="20" t="n">
        <v>459</v>
      </c>
      <c r="X237" s="20" t="n">
        <v>-4735</v>
      </c>
    </row>
    <row r="238">
      <c r="A238" s="9" t="inlineStr">
        <is>
          <t>투자활동 현금흐름</t>
        </is>
      </c>
      <c r="C238" s="12" t="n">
        <v>-46813</v>
      </c>
      <c r="D238" s="12" t="n">
        <v>-76015</v>
      </c>
      <c r="E238" s="12" t="n">
        <v>-21726</v>
      </c>
      <c r="F238" s="12" t="n">
        <v>-52929</v>
      </c>
      <c r="G238" s="12" t="n">
        <v>-53388</v>
      </c>
      <c r="H238" s="12" t="n">
        <v>-131164</v>
      </c>
      <c r="I238" s="12" t="n">
        <v>100</v>
      </c>
      <c r="J238" s="12" t="n">
        <v>-3246</v>
      </c>
      <c r="K238" s="12" t="n">
        <v>35638</v>
      </c>
      <c r="L238" s="12" t="n">
        <v>33686</v>
      </c>
      <c r="M238" s="12" t="n">
        <v>-401358</v>
      </c>
      <c r="N238" s="12" t="n">
        <v>-431193</v>
      </c>
      <c r="P238" s="12" t="n">
        <v>-14231</v>
      </c>
      <c r="Q238" s="12" t="n">
        <v>-76675</v>
      </c>
      <c r="R238" s="12" t="n">
        <v>-84023</v>
      </c>
      <c r="S238" s="12" t="n">
        <v>-122491</v>
      </c>
      <c r="T238" s="12" t="n">
        <v>-63377</v>
      </c>
      <c r="U238" s="12" t="n">
        <v>-49591</v>
      </c>
      <c r="V238" s="12" t="n">
        <v>-76015</v>
      </c>
      <c r="W238" s="12" t="n">
        <v>-131164</v>
      </c>
      <c r="X238" s="12" t="n">
        <v>33686</v>
      </c>
    </row>
    <row r="239">
      <c r="A239" s="18" t="inlineStr">
        <is>
          <t>단기차입금 순증감</t>
        </is>
      </c>
      <c r="C239" s="20" t="n">
        <v>86503</v>
      </c>
      <c r="D239" s="20" t="n">
        <v>-21345</v>
      </c>
      <c r="E239" s="20" t="n">
        <v>-954</v>
      </c>
      <c r="F239" s="20" t="n">
        <v>48527</v>
      </c>
      <c r="G239" s="20" t="n">
        <v>106101</v>
      </c>
      <c r="H239" s="20" t="n">
        <v>134217</v>
      </c>
      <c r="I239" s="20" t="n">
        <v>-136831</v>
      </c>
      <c r="J239" s="20" t="n">
        <v>-139158</v>
      </c>
      <c r="K239" s="20" t="n">
        <v>-138517</v>
      </c>
      <c r="L239" s="20" t="n">
        <v>-147629</v>
      </c>
      <c r="M239" s="20" t="n">
        <v>4168</v>
      </c>
      <c r="N239" s="20" t="n">
        <v>121494</v>
      </c>
      <c r="P239" s="20" t="n">
        <v>8214</v>
      </c>
      <c r="Q239" s="20" t="n">
        <v>48234</v>
      </c>
      <c r="R239" s="20" t="n">
        <v>-4349</v>
      </c>
      <c r="S239" s="20" t="n">
        <v>-47333</v>
      </c>
      <c r="T239" s="20" t="n">
        <v>38696</v>
      </c>
      <c r="U239" s="20" t="n">
        <v>-39978</v>
      </c>
      <c r="V239" s="20" t="n">
        <v>-21345</v>
      </c>
      <c r="W239" s="20" t="n">
        <v>134217</v>
      </c>
      <c r="X239" s="20" t="n">
        <v>-147629</v>
      </c>
    </row>
    <row r="240">
      <c r="A240" s="18" t="inlineStr">
        <is>
          <t>장기차입</t>
        </is>
      </c>
      <c r="C240" s="20" t="n">
        <v>0</v>
      </c>
      <c r="D240" s="20" t="n">
        <v>0</v>
      </c>
      <c r="E240" s="20" t="n">
        <v>1502</v>
      </c>
      <c r="F240" s="20" t="n">
        <v>572</v>
      </c>
      <c r="G240" s="20" t="n">
        <v>1675</v>
      </c>
      <c r="H240" s="20" t="n">
        <v>1962</v>
      </c>
      <c r="I240" s="20" t="n">
        <v>1008</v>
      </c>
      <c r="J240" s="20" t="n">
        <v>1812</v>
      </c>
      <c r="K240" s="20" t="n">
        <v>27429</v>
      </c>
      <c r="L240" s="20" t="n">
        <v>27508</v>
      </c>
      <c r="M240" s="20" t="n">
        <v>940</v>
      </c>
      <c r="N240" s="20" t="n">
        <v>943</v>
      </c>
      <c r="P240" s="20" t="n">
        <v>11512</v>
      </c>
      <c r="Q240" s="20" t="n">
        <v>9681</v>
      </c>
      <c r="R240" s="20" t="n">
        <v>37879</v>
      </c>
      <c r="S240" s="20" t="n">
        <v>99181</v>
      </c>
      <c r="T240" s="20" t="n">
        <v>382</v>
      </c>
      <c r="U240" s="20" t="n">
        <v>40000</v>
      </c>
      <c r="V240" s="20" t="n">
        <v>0</v>
      </c>
      <c r="W240" s="20" t="n">
        <v>1962</v>
      </c>
      <c r="X240" s="20" t="n">
        <v>27508</v>
      </c>
    </row>
    <row r="241">
      <c r="A241" s="18" t="inlineStr">
        <is>
          <t>장기차입금 상환</t>
        </is>
      </c>
      <c r="C241" s="20" t="n">
        <v>-42226</v>
      </c>
      <c r="D241" s="20" t="n">
        <v>-46696</v>
      </c>
      <c r="E241" s="20" t="n">
        <v>-92</v>
      </c>
      <c r="F241" s="20" t="n">
        <v>-199</v>
      </c>
      <c r="G241" s="20" t="n">
        <v>-30293</v>
      </c>
      <c r="H241" s="20" t="n">
        <v>-36231</v>
      </c>
      <c r="I241" s="20" t="n">
        <v>-168</v>
      </c>
      <c r="J241" s="20" t="n">
        <v>-388</v>
      </c>
      <c r="K241" s="20" t="n">
        <v>-47633</v>
      </c>
      <c r="L241" s="20" t="n">
        <v>-49903</v>
      </c>
      <c r="M241" s="20" t="n">
        <v>-293</v>
      </c>
      <c r="N241" s="20" t="n">
        <v>-591</v>
      </c>
      <c r="P241" s="20" t="n">
        <v>-65864</v>
      </c>
      <c r="Q241" s="20" t="n">
        <v>-157778</v>
      </c>
      <c r="R241" s="20" t="n">
        <v>-48723</v>
      </c>
      <c r="S241" s="20" t="n">
        <v>-44009</v>
      </c>
      <c r="T241" s="20" t="n">
        <v>-137650</v>
      </c>
      <c r="U241" s="20" t="n">
        <v>-49550</v>
      </c>
      <c r="V241" s="20" t="n">
        <v>-46696</v>
      </c>
      <c r="W241" s="20" t="n">
        <v>-36231</v>
      </c>
      <c r="X241" s="20" t="n">
        <v>-49903</v>
      </c>
    </row>
    <row r="242">
      <c r="A242" s="18" t="inlineStr">
        <is>
          <t>사채 발행</t>
        </is>
      </c>
      <c r="C242" s="20" t="n">
        <v>40000</v>
      </c>
      <c r="D242" s="20" t="n">
        <v>40000</v>
      </c>
      <c r="F242" s="20" t="n">
        <v>30000</v>
      </c>
      <c r="G242" s="20" t="n">
        <v>30000</v>
      </c>
      <c r="H242" s="20" t="n">
        <v>30000</v>
      </c>
      <c r="I242" s="20" t="n">
        <v>0</v>
      </c>
      <c r="J242" s="20" t="n">
        <v>30000</v>
      </c>
      <c r="K242" s="20" t="n">
        <v>30000</v>
      </c>
      <c r="L242" s="20" t="n">
        <v>30000</v>
      </c>
      <c r="M242" s="20" t="n">
        <v>50000</v>
      </c>
      <c r="N242" s="20" t="n">
        <v>129580</v>
      </c>
      <c r="P242" s="20" t="n">
        <v>100000</v>
      </c>
      <c r="Q242" s="20" t="n">
        <v>50011</v>
      </c>
      <c r="R242" s="20" t="n">
        <v>0</v>
      </c>
      <c r="S242" s="20" t="n">
        <v>35000</v>
      </c>
      <c r="T242" s="20" t="n">
        <v>0</v>
      </c>
      <c r="U242" s="20" t="n">
        <v>110000</v>
      </c>
      <c r="V242" s="20" t="n">
        <v>40000</v>
      </c>
      <c r="W242" s="20" t="n">
        <v>30000</v>
      </c>
      <c r="X242" s="20" t="n">
        <v>30000</v>
      </c>
    </row>
    <row r="243">
      <c r="A243" s="18" t="inlineStr">
        <is>
          <t>사채 상환</t>
        </is>
      </c>
      <c r="C243" s="20" t="n">
        <v>-40000</v>
      </c>
      <c r="D243" s="20" t="n">
        <v>-40000</v>
      </c>
      <c r="E243" s="20" t="n">
        <v>-25000</v>
      </c>
      <c r="F243" s="20" t="n">
        <v>-25000</v>
      </c>
      <c r="G243" s="20" t="n">
        <v>-25000</v>
      </c>
      <c r="H243" s="20" t="n">
        <v>-25000</v>
      </c>
      <c r="I243" s="20" t="n">
        <v>-15000</v>
      </c>
      <c r="J243" s="20" t="n">
        <v>-25000</v>
      </c>
      <c r="K243" s="20" t="n">
        <v>-25000</v>
      </c>
      <c r="L243" s="20" t="n">
        <v>-25000</v>
      </c>
      <c r="M243" s="20" t="n">
        <v>0</v>
      </c>
      <c r="N243" s="20" t="n">
        <v>0</v>
      </c>
      <c r="P243" s="20" t="n">
        <v>-40000</v>
      </c>
      <c r="Q243" s="20" t="n">
        <v>0</v>
      </c>
      <c r="R243" s="20" t="n">
        <v>0</v>
      </c>
      <c r="S243" s="20" t="n">
        <v>-55000</v>
      </c>
      <c r="T243" s="20" t="n">
        <v>0</v>
      </c>
      <c r="U243" s="20" t="n">
        <v>-55000</v>
      </c>
      <c r="V243" s="20" t="n">
        <v>-40000</v>
      </c>
      <c r="W243" s="20" t="n">
        <v>-25000</v>
      </c>
      <c r="X243" s="20" t="n">
        <v>-25000</v>
      </c>
    </row>
    <row r="244">
      <c r="A244" s="18" t="inlineStr">
        <is>
          <t>리스부채 상환 지출</t>
        </is>
      </c>
      <c r="C244" s="20" t="n">
        <v>-47823</v>
      </c>
      <c r="D244" s="20" t="n">
        <v>-63117</v>
      </c>
      <c r="E244" s="20" t="n">
        <v>-15241</v>
      </c>
      <c r="F244" s="20" t="n">
        <v>-28235</v>
      </c>
      <c r="G244" s="20" t="n">
        <v>-42068</v>
      </c>
      <c r="H244" s="20" t="n">
        <v>-56596</v>
      </c>
      <c r="I244" s="20" t="n">
        <v>-14205</v>
      </c>
      <c r="J244" s="20" t="n">
        <v>-27957</v>
      </c>
      <c r="K244" s="20" t="n">
        <v>-41136</v>
      </c>
      <c r="L244" s="20" t="n">
        <v>-54890</v>
      </c>
      <c r="M244" s="20" t="n">
        <v>-14301</v>
      </c>
      <c r="N244" s="20" t="n">
        <v>-29574</v>
      </c>
      <c r="Q244" s="20" t="n">
        <v>0</v>
      </c>
      <c r="R244" s="20" t="n">
        <v>-53620</v>
      </c>
      <c r="S244" s="20" t="n">
        <v>-57530</v>
      </c>
      <c r="T244" s="20" t="n">
        <v>-57283</v>
      </c>
      <c r="U244" s="20" t="n">
        <v>-60879</v>
      </c>
      <c r="V244" s="20" t="n">
        <v>-63117</v>
      </c>
      <c r="W244" s="20" t="n">
        <v>-56596</v>
      </c>
      <c r="X244" s="20" t="n">
        <v>-54890</v>
      </c>
    </row>
    <row r="245">
      <c r="A245" s="18" t="inlineStr">
        <is>
          <t>주식 발행</t>
        </is>
      </c>
      <c r="R245" s="20" t="n">
        <v>0</v>
      </c>
      <c r="S245" s="20" t="n">
        <v>60893</v>
      </c>
      <c r="T245" s="20" t="n">
        <v>0</v>
      </c>
    </row>
    <row r="246">
      <c r="A246" s="18" t="inlineStr">
        <is>
          <t>비지배지분에 자회사 지분 매각 수입</t>
        </is>
      </c>
      <c r="P246" s="20" t="n">
        <v>0</v>
      </c>
      <c r="Q246" s="20" t="n">
        <v>18810</v>
      </c>
      <c r="R246" s="20" t="n">
        <v>0</v>
      </c>
      <c r="S246" s="20" t="n">
        <v>35000</v>
      </c>
      <c r="T246" s="20" t="n">
        <v>0</v>
      </c>
    </row>
    <row r="247">
      <c r="A247" s="18" t="inlineStr">
        <is>
          <t>비지배지분으로부터 자회사 지분 취득 지출</t>
        </is>
      </c>
      <c r="D247" s="20" t="n">
        <v>0</v>
      </c>
      <c r="E247" s="20" t="n">
        <v>0</v>
      </c>
      <c r="F247" s="20" t="n">
        <v>0</v>
      </c>
      <c r="G247" s="20" t="n">
        <v>0</v>
      </c>
      <c r="H247" s="20" t="n">
        <v>-111003</v>
      </c>
      <c r="I247" s="20" t="n">
        <v>-126567</v>
      </c>
      <c r="J247" s="20" t="n">
        <v>-127432</v>
      </c>
      <c r="K247" s="20" t="n">
        <v>-127630</v>
      </c>
      <c r="L247" s="20" t="n">
        <v>-129832</v>
      </c>
      <c r="M247" s="20" t="n">
        <v>0</v>
      </c>
      <c r="N247" s="20" t="n">
        <v>0</v>
      </c>
      <c r="V247" s="20" t="n">
        <v>0</v>
      </c>
      <c r="W247" s="20" t="n">
        <v>-111003</v>
      </c>
      <c r="X247" s="20" t="n">
        <v>-129832</v>
      </c>
    </row>
    <row r="248">
      <c r="A248" s="18" t="inlineStr">
        <is>
          <t>배당금 지급</t>
        </is>
      </c>
      <c r="C248" s="20" t="n">
        <v>-30563</v>
      </c>
      <c r="D248" s="20" t="n">
        <v>-30655</v>
      </c>
      <c r="E248" s="20" t="n">
        <v>-15806</v>
      </c>
      <c r="F248" s="20" t="n">
        <v>-16004</v>
      </c>
      <c r="G248" s="20" t="n">
        <v>-34598</v>
      </c>
      <c r="H248" s="20" t="n">
        <v>-34682</v>
      </c>
      <c r="I248" s="20" t="n">
        <v>-18506</v>
      </c>
      <c r="J248" s="20" t="n">
        <v>-18678</v>
      </c>
      <c r="K248" s="20" t="n">
        <v>-39964</v>
      </c>
      <c r="L248" s="20" t="n">
        <v>-40043</v>
      </c>
      <c r="M248" s="20" t="n">
        <v>-28959</v>
      </c>
      <c r="N248" s="20" t="n">
        <v>-29192</v>
      </c>
      <c r="P248" s="20" t="n">
        <v>-15586</v>
      </c>
      <c r="Q248" s="20" t="n">
        <v>-15586</v>
      </c>
      <c r="R248" s="20" t="n">
        <v>-18177</v>
      </c>
      <c r="S248" s="20" t="n">
        <v>-21296</v>
      </c>
      <c r="T248" s="20" t="n">
        <v>-27259</v>
      </c>
      <c r="U248" s="20" t="n">
        <v>-28522</v>
      </c>
      <c r="V248" s="20" t="n">
        <v>-30655</v>
      </c>
      <c r="W248" s="20" t="n">
        <v>-34682</v>
      </c>
      <c r="X248" s="20" t="n">
        <v>-40043</v>
      </c>
    </row>
    <row r="249">
      <c r="A249" s="18" t="inlineStr">
        <is>
          <t>비지배지분 배당금 지급액</t>
        </is>
      </c>
      <c r="C249" s="20" t="n">
        <v>-8692</v>
      </c>
      <c r="D249" s="20" t="n">
        <v>-8715</v>
      </c>
      <c r="E249" s="20" t="n">
        <v>-2475</v>
      </c>
      <c r="F249" s="20" t="n">
        <v>-4446</v>
      </c>
      <c r="G249" s="20" t="n">
        <v>-7005</v>
      </c>
      <c r="H249" s="20" t="n">
        <v>-7013</v>
      </c>
      <c r="I249" s="20" t="n">
        <v>-300</v>
      </c>
      <c r="J249" s="20" t="n">
        <v>-1680</v>
      </c>
      <c r="K249" s="20" t="n">
        <v>-1685</v>
      </c>
      <c r="L249" s="20" t="n">
        <v>-1685</v>
      </c>
      <c r="M249" s="20" t="n">
        <v>-364</v>
      </c>
      <c r="N249" s="20" t="n">
        <v>-2562</v>
      </c>
      <c r="P249" s="20" t="n">
        <v>-4258</v>
      </c>
      <c r="Q249" s="20" t="n">
        <v>-4261</v>
      </c>
      <c r="R249" s="20" t="n">
        <v>-4939</v>
      </c>
      <c r="S249" s="20" t="n">
        <v>-5396</v>
      </c>
      <c r="T249" s="20" t="n">
        <v>-6093</v>
      </c>
      <c r="U249" s="20" t="n">
        <v>-8733</v>
      </c>
      <c r="V249" s="20" t="n">
        <v>-8715</v>
      </c>
      <c r="W249" s="20" t="n">
        <v>-7013</v>
      </c>
      <c r="X249" s="20" t="n">
        <v>-1685</v>
      </c>
    </row>
    <row r="250">
      <c r="A250" s="18" t="inlineStr">
        <is>
          <t>자기주식 처분</t>
        </is>
      </c>
      <c r="D250" s="20" t="n">
        <v>567</v>
      </c>
      <c r="R250" s="20" t="n">
        <v>63</v>
      </c>
      <c r="S250" s="20" t="n">
        <v>3239</v>
      </c>
      <c r="T250" s="20" t="n">
        <v>243</v>
      </c>
      <c r="U250" s="20" t="n">
        <v>865</v>
      </c>
      <c r="V250" s="20" t="n">
        <v>567</v>
      </c>
    </row>
    <row r="251">
      <c r="A251" s="18" t="inlineStr">
        <is>
          <t>자기주식 처분</t>
        </is>
      </c>
      <c r="C251" s="20" t="n">
        <v>1645</v>
      </c>
      <c r="D251" s="20" t="n">
        <v>567</v>
      </c>
      <c r="F251" s="20" t="n">
        <v>470</v>
      </c>
      <c r="G251" s="20" t="n">
        <v>470</v>
      </c>
      <c r="H251" s="20" t="n">
        <v>470</v>
      </c>
      <c r="V251" s="20" t="n">
        <v>567</v>
      </c>
      <c r="W251" s="20" t="n">
        <v>470</v>
      </c>
    </row>
    <row r="252">
      <c r="A252" s="18" t="inlineStr">
        <is>
          <t>상환옵션부 우선주 발행 수입</t>
        </is>
      </c>
      <c r="C252" s="20" t="n">
        <v>15797</v>
      </c>
      <c r="D252" s="20" t="n">
        <v>15797</v>
      </c>
      <c r="E252" s="20" t="n">
        <v>0</v>
      </c>
      <c r="F252" s="20" t="n">
        <v>0</v>
      </c>
      <c r="G252" s="20" t="n">
        <v>0</v>
      </c>
      <c r="H252" s="20" t="n">
        <v>0</v>
      </c>
      <c r="U252" s="20" t="n">
        <v>0</v>
      </c>
      <c r="V252" s="20" t="n">
        <v>15797</v>
      </c>
      <c r="W252" s="20" t="n">
        <v>0</v>
      </c>
    </row>
    <row r="253">
      <c r="A253" s="18" t="inlineStr">
        <is>
          <t>자기주식 취득</t>
        </is>
      </c>
      <c r="C253" s="20" t="n">
        <v>-1128</v>
      </c>
      <c r="D253" s="20" t="n">
        <v>-74</v>
      </c>
      <c r="H253" s="20" t="n">
        <v>-98</v>
      </c>
      <c r="L253" s="20" t="n">
        <v>-27329</v>
      </c>
      <c r="T253" s="20" t="n">
        <v>-570</v>
      </c>
      <c r="U253" s="20" t="n">
        <v>-30547</v>
      </c>
      <c r="V253" s="20" t="n">
        <v>-74</v>
      </c>
      <c r="W253" s="20" t="n">
        <v>-98</v>
      </c>
      <c r="X253" s="20" t="n">
        <v>-27329</v>
      </c>
    </row>
    <row r="254">
      <c r="A254" s="18" t="inlineStr">
        <is>
          <t>기타(순액)</t>
        </is>
      </c>
      <c r="C254" s="20" t="n">
        <v>-1898</v>
      </c>
      <c r="D254" s="20" t="n">
        <v>-1344</v>
      </c>
      <c r="E254" s="20" t="n">
        <v>-141</v>
      </c>
      <c r="F254" s="20" t="n">
        <v>225</v>
      </c>
      <c r="G254" s="20" t="n">
        <v>194</v>
      </c>
      <c r="H254" s="20" t="n">
        <v>470</v>
      </c>
      <c r="I254" s="20" t="n">
        <v>350</v>
      </c>
      <c r="J254" s="20" t="n">
        <v>822</v>
      </c>
      <c r="K254" s="20" t="n">
        <v>825</v>
      </c>
      <c r="L254" s="20" t="n">
        <v>853</v>
      </c>
      <c r="M254" s="20" t="n">
        <v>816</v>
      </c>
      <c r="N254" s="20" t="n">
        <v>2709</v>
      </c>
      <c r="P254" s="20" t="n">
        <v>-1257</v>
      </c>
      <c r="Q254" s="20" t="n">
        <v>386</v>
      </c>
      <c r="R254" s="20" t="n">
        <v>119</v>
      </c>
      <c r="S254" s="20" t="n">
        <v>-1355</v>
      </c>
      <c r="T254" s="20" t="n">
        <v>-82</v>
      </c>
      <c r="U254" s="20" t="n">
        <v>-442</v>
      </c>
      <c r="V254" s="20" t="n">
        <v>-1344</v>
      </c>
      <c r="W254" s="20" t="n">
        <v>470</v>
      </c>
      <c r="X254" s="20" t="n">
        <v>853</v>
      </c>
    </row>
    <row r="255">
      <c r="A255" s="9" t="inlineStr">
        <is>
          <t>재무활동 현금흐름</t>
        </is>
      </c>
      <c r="C255" s="12" t="n">
        <v>-27257</v>
      </c>
      <c r="D255" s="12" t="n">
        <v>-155508</v>
      </c>
      <c r="E255" s="12" t="n">
        <v>-58207</v>
      </c>
      <c r="F255" s="12" t="n">
        <v>5440</v>
      </c>
      <c r="G255" s="12" t="n">
        <v>-994</v>
      </c>
      <c r="H255" s="12" t="n">
        <v>-103974</v>
      </c>
      <c r="I255" s="12" t="n">
        <v>-310219</v>
      </c>
      <c r="J255" s="12" t="n">
        <v>-307659</v>
      </c>
      <c r="K255" s="12" t="n">
        <v>-363311</v>
      </c>
      <c r="L255" s="12" t="n">
        <v>-417950</v>
      </c>
      <c r="M255" s="12" t="n">
        <v>12007</v>
      </c>
      <c r="N255" s="12" t="n">
        <v>192807</v>
      </c>
      <c r="P255" s="12" t="n">
        <v>-7239</v>
      </c>
      <c r="Q255" s="12" t="n">
        <v>-50503</v>
      </c>
      <c r="R255" s="12" t="n">
        <v>-91747</v>
      </c>
      <c r="S255" s="12" t="n">
        <v>1394</v>
      </c>
      <c r="T255" s="12" t="n">
        <v>-189616</v>
      </c>
      <c r="U255" s="12" t="n">
        <v>-122786</v>
      </c>
      <c r="V255" s="12" t="n">
        <v>-155508</v>
      </c>
      <c r="W255" s="12" t="n">
        <v>-103974</v>
      </c>
      <c r="X255" s="12" t="n">
        <v>-417950</v>
      </c>
    </row>
    <row r="256">
      <c r="A256" s="18" t="inlineStr">
        <is>
          <t>현금성자산 환율변동 효과</t>
        </is>
      </c>
      <c r="C256" s="20" t="n">
        <v>9796</v>
      </c>
      <c r="D256" s="20" t="n">
        <v>17323</v>
      </c>
      <c r="E256" s="20" t="n">
        <v>9478</v>
      </c>
      <c r="F256" s="20" t="n">
        <v>-3722</v>
      </c>
      <c r="G256" s="20" t="n">
        <v>7001</v>
      </c>
      <c r="H256" s="20" t="n">
        <v>-1145</v>
      </c>
      <c r="I256" s="20" t="n">
        <v>-869</v>
      </c>
      <c r="J256" s="20" t="n">
        <v>3006</v>
      </c>
      <c r="K256" s="20" t="n">
        <v>18187</v>
      </c>
      <c r="L256" s="20" t="n">
        <v>20220</v>
      </c>
      <c r="M256" s="20" t="n">
        <v>4838</v>
      </c>
      <c r="N256" s="20" t="n">
        <v>-3458</v>
      </c>
      <c r="P256" s="20" t="n">
        <v>-2447</v>
      </c>
      <c r="Q256" s="20" t="n">
        <v>-1275</v>
      </c>
      <c r="R256" s="20" t="n">
        <v>-4496</v>
      </c>
      <c r="S256" s="20" t="n">
        <v>6122</v>
      </c>
      <c r="T256" s="20" t="n">
        <v>12909</v>
      </c>
      <c r="U256" s="20" t="n">
        <v>8934</v>
      </c>
      <c r="V256" s="20" t="n">
        <v>17323</v>
      </c>
      <c r="W256" s="20" t="n">
        <v>-1145</v>
      </c>
      <c r="X256" s="20" t="n">
        <v>20220</v>
      </c>
    </row>
    <row r="257">
      <c r="A257" s="18" t="inlineStr">
        <is>
          <t>현금성자산 증감</t>
        </is>
      </c>
      <c r="C257" s="20" t="n">
        <v>-36490</v>
      </c>
      <c r="D257" s="20" t="n">
        <v>57028</v>
      </c>
      <c r="E257" s="20" t="n">
        <v>33286</v>
      </c>
      <c r="F257" s="20" t="n">
        <v>7494</v>
      </c>
      <c r="G257" s="20" t="n">
        <v>4415</v>
      </c>
      <c r="H257" s="20" t="n">
        <v>108125</v>
      </c>
      <c r="I257" s="20" t="n">
        <v>-57923</v>
      </c>
      <c r="J257" s="20" t="n">
        <v>-130499</v>
      </c>
      <c r="K257" s="20" t="n">
        <v>-143278</v>
      </c>
      <c r="L257" s="20" t="n">
        <v>74419</v>
      </c>
      <c r="M257" s="20" t="n">
        <v>-224335</v>
      </c>
      <c r="N257" s="20" t="n">
        <v>-223244</v>
      </c>
      <c r="P257" s="20" t="n">
        <v>106064</v>
      </c>
      <c r="Q257" s="20" t="n">
        <v>-64218</v>
      </c>
      <c r="R257" s="20" t="n">
        <v>81597</v>
      </c>
      <c r="S257" s="20" t="n">
        <v>159932</v>
      </c>
      <c r="T257" s="20" t="n">
        <v>-92567</v>
      </c>
      <c r="U257" s="20" t="n">
        <v>-11316</v>
      </c>
      <c r="V257" s="20" t="n">
        <v>57028</v>
      </c>
      <c r="W257" s="20" t="n">
        <v>108125</v>
      </c>
      <c r="X257" s="20" t="n">
        <v>74419</v>
      </c>
    </row>
    <row r="258">
      <c r="A258" s="18" t="inlineStr">
        <is>
          <t>매각예정자산 대체에 따른 현금성자산 증감액</t>
        </is>
      </c>
      <c r="P258" s="20" t="n">
        <v>-9</v>
      </c>
      <c r="Q258" s="20" t="n">
        <v>-3493</v>
      </c>
    </row>
    <row r="259">
      <c r="A259" s="18" t="inlineStr">
        <is>
          <t>매각예정자산 대체에 따른 현금성자산 증감액</t>
        </is>
      </c>
      <c r="Q259" s="20" t="n">
        <v>-3493</v>
      </c>
      <c r="R259" s="20" t="n">
        <v>-659</v>
      </c>
      <c r="S259" s="20" t="n">
        <v>4161</v>
      </c>
      <c r="T259" s="20" t="n">
        <v>0</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9"/>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6701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2026.2Q</t>
        </is>
      </c>
      <c r="D3" s="5" t="inlineStr">
        <is>
          <t>2026.3Q</t>
        </is>
      </c>
      <c r="E3" s="5" t="inlineStr">
        <is>
          <t>2026.4Q</t>
        </is>
      </c>
      <c r="F3" s="5" t="inlineStr">
        <is>
          <t>2027.1Q</t>
        </is>
      </c>
      <c r="G3" s="5" t="inlineStr">
        <is>
          <t>2027.2Q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2002572</v>
      </c>
      <c r="D5" s="12" t="n">
        <v>2097345</v>
      </c>
      <c r="E5" s="12" t="n">
        <v>2459093</v>
      </c>
      <c r="F5" s="12" t="n">
        <v>2015816</v>
      </c>
      <c r="G5" s="12" t="n">
        <v>2205580</v>
      </c>
      <c r="H5" s="11" t="n">
        <v>1836690</v>
      </c>
      <c r="I5" s="12" t="n">
        <v>1995903</v>
      </c>
      <c r="J5" s="12" t="n">
        <v>2141784</v>
      </c>
      <c r="K5" s="12" t="n">
        <v>2224994</v>
      </c>
      <c r="L5" s="12" t="n">
        <v>2459093</v>
      </c>
    </row>
    <row r="6">
      <c r="A6" s="18" t="inlineStr">
        <is>
          <t>현금및현금성자산</t>
        </is>
      </c>
      <c r="B6" s="10" t="n"/>
      <c r="C6" s="19" t="n">
        <v>454116</v>
      </c>
      <c r="D6" s="20" t="n">
        <v>441337</v>
      </c>
      <c r="E6" s="20" t="n">
        <v>659034</v>
      </c>
      <c r="F6" s="20" t="n">
        <v>434699</v>
      </c>
      <c r="G6" s="20" t="n">
        <v>435790</v>
      </c>
      <c r="H6" s="19" t="n">
        <v>430778</v>
      </c>
      <c r="I6" s="20" t="n">
        <v>419462</v>
      </c>
      <c r="J6" s="20" t="n">
        <v>476490</v>
      </c>
      <c r="K6" s="20" t="n">
        <v>584615</v>
      </c>
      <c r="L6" s="20" t="n">
        <v>659034</v>
      </c>
    </row>
    <row r="7">
      <c r="A7" s="18" t="inlineStr">
        <is>
          <t>단기금융상품</t>
        </is>
      </c>
      <c r="B7" s="10" t="n"/>
      <c r="C7" s="19" t="n">
        <v>8844</v>
      </c>
      <c r="D7" s="20" t="n">
        <v>18190</v>
      </c>
      <c r="E7" s="20" t="n">
        <v>28461</v>
      </c>
      <c r="F7" s="20" t="n">
        <v>59379</v>
      </c>
      <c r="G7" s="20" t="n">
        <v>53043</v>
      </c>
      <c r="H7" s="19" t="n">
        <v>17554</v>
      </c>
      <c r="I7" s="20" t="n">
        <v>15776</v>
      </c>
      <c r="J7" s="20" t="n">
        <v>15729</v>
      </c>
      <c r="K7" s="20" t="n">
        <v>9830</v>
      </c>
      <c r="L7" s="20" t="n">
        <v>28461</v>
      </c>
    </row>
    <row r="8">
      <c r="A8" s="18" t="inlineStr">
        <is>
          <t>매출채권</t>
        </is>
      </c>
      <c r="B8" s="10" t="n"/>
      <c r="C8" s="19" t="n">
        <v>561368</v>
      </c>
      <c r="D8" s="20" t="n">
        <v>531557</v>
      </c>
      <c r="E8" s="20" t="n">
        <v>994066</v>
      </c>
      <c r="F8" s="20" t="n">
        <v>565529</v>
      </c>
      <c r="G8" s="20" t="n">
        <v>632899</v>
      </c>
      <c r="H8" s="19" t="n">
        <v>722334</v>
      </c>
      <c r="I8" s="20" t="n">
        <v>799875</v>
      </c>
      <c r="J8" s="20" t="n">
        <v>829497</v>
      </c>
      <c r="K8" s="20" t="n">
        <v>878434</v>
      </c>
      <c r="L8" s="20" t="n">
        <v>994066</v>
      </c>
    </row>
    <row r="9">
      <c r="A9" s="18" t="inlineStr">
        <is>
          <t>재고자산</t>
        </is>
      </c>
      <c r="B9" s="10" t="n"/>
      <c r="C9" s="19" t="n">
        <v>264210</v>
      </c>
      <c r="D9" s="20" t="n">
        <v>273071</v>
      </c>
      <c r="E9" s="20" t="n">
        <v>171181</v>
      </c>
      <c r="F9" s="20" t="n">
        <v>250786</v>
      </c>
      <c r="G9" s="20" t="n">
        <v>279960</v>
      </c>
      <c r="H9" s="19" t="n">
        <v>246244</v>
      </c>
      <c r="I9" s="20" t="n">
        <v>267576</v>
      </c>
      <c r="J9" s="20" t="n">
        <v>242634</v>
      </c>
      <c r="K9" s="20" t="n">
        <v>184779</v>
      </c>
      <c r="L9" s="20" t="n">
        <v>171181</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1986340</v>
      </c>
      <c r="D11" s="12" t="n">
        <v>2009971</v>
      </c>
      <c r="E11" s="12" t="n">
        <v>2007691</v>
      </c>
      <c r="F11" s="12" t="n">
        <v>2491011</v>
      </c>
      <c r="G11" s="12" t="n">
        <v>2433350</v>
      </c>
      <c r="H11" s="11" t="n">
        <v>1925043</v>
      </c>
      <c r="I11" s="12" t="n">
        <v>1988147</v>
      </c>
      <c r="J11" s="12" t="n">
        <v>2085730</v>
      </c>
      <c r="K11" s="12" t="n">
        <v>2090374</v>
      </c>
      <c r="L11" s="12" t="n">
        <v>2007691</v>
      </c>
    </row>
    <row r="12">
      <c r="A12" s="18" t="inlineStr">
        <is>
          <t>유형자산</t>
        </is>
      </c>
      <c r="B12" s="10" t="n"/>
      <c r="C12" s="19" t="n">
        <v>573548</v>
      </c>
      <c r="D12" s="20" t="n">
        <v>591197</v>
      </c>
      <c r="E12" s="20" t="n">
        <v>564064</v>
      </c>
      <c r="F12" s="20" t="n">
        <v>600107</v>
      </c>
      <c r="G12" s="20" t="n">
        <v>593874</v>
      </c>
      <c r="H12" s="19" t="n">
        <v>540257</v>
      </c>
      <c r="I12" s="20" t="n">
        <v>563384</v>
      </c>
      <c r="J12" s="20" t="n">
        <v>510970</v>
      </c>
      <c r="K12" s="20" t="n">
        <v>580165</v>
      </c>
      <c r="L12" s="20" t="n">
        <v>564064</v>
      </c>
    </row>
    <row r="13">
      <c r="A13" s="18" t="inlineStr">
        <is>
          <t>무형자산</t>
        </is>
      </c>
      <c r="B13" s="10" t="n"/>
      <c r="C13" s="19" t="n">
        <v>362192</v>
      </c>
      <c r="D13" s="20" t="n">
        <v>367815</v>
      </c>
      <c r="E13" s="20" t="n">
        <v>368945</v>
      </c>
      <c r="F13" s="20" t="n">
        <v>370303</v>
      </c>
      <c r="G13" s="20" t="n">
        <v>354144</v>
      </c>
      <c r="H13" s="19" t="n">
        <v>374703</v>
      </c>
      <c r="I13" s="20" t="n">
        <v>378250</v>
      </c>
      <c r="J13" s="20" t="n">
        <v>371762</v>
      </c>
      <c r="K13" s="20" t="n">
        <v>351904</v>
      </c>
      <c r="L13" s="20" t="n">
        <v>368945</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3988912</v>
      </c>
      <c r="D16" s="12" t="n">
        <v>4107316</v>
      </c>
      <c r="E16" s="12" t="n">
        <v>4466784</v>
      </c>
      <c r="F16" s="12" t="n">
        <v>4506827</v>
      </c>
      <c r="G16" s="12" t="n">
        <v>4638930</v>
      </c>
      <c r="H16" s="11" t="n">
        <v>3761733</v>
      </c>
      <c r="I16" s="12" t="n">
        <v>3984050</v>
      </c>
      <c r="J16" s="12" t="n">
        <v>4227514</v>
      </c>
      <c r="K16" s="12" t="n">
        <v>4315368</v>
      </c>
      <c r="L16" s="12" t="n">
        <v>4466784</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1298526</v>
      </c>
      <c r="D18" s="12" t="n">
        <v>1321898</v>
      </c>
      <c r="E18" s="12" t="n">
        <v>1563977</v>
      </c>
      <c r="F18" s="12" t="n">
        <v>1499291</v>
      </c>
      <c r="G18" s="12" t="n">
        <v>1623041</v>
      </c>
      <c r="H18" s="11" t="n">
        <v>1333983</v>
      </c>
      <c r="I18" s="12" t="n">
        <v>1365509</v>
      </c>
      <c r="J18" s="12" t="n">
        <v>1469353</v>
      </c>
      <c r="K18" s="12" t="n">
        <v>1633416</v>
      </c>
      <c r="L18" s="12" t="n">
        <v>1563977</v>
      </c>
    </row>
    <row r="19">
      <c r="A19" s="18" t="inlineStr">
        <is>
          <t>매입채무</t>
        </is>
      </c>
      <c r="B19" s="10" t="n"/>
      <c r="C19" s="19" t="n">
        <v>413855</v>
      </c>
      <c r="D19" s="20" t="n">
        <v>403368</v>
      </c>
      <c r="E19" s="20" t="n">
        <v>476503</v>
      </c>
      <c r="F19" s="20" t="n">
        <v>426305</v>
      </c>
      <c r="G19" s="20" t="n">
        <v>376115</v>
      </c>
      <c r="H19" s="19" t="n">
        <v>446788</v>
      </c>
      <c r="I19" s="20" t="n">
        <v>497625</v>
      </c>
      <c r="J19" s="20" t="n">
        <v>519762</v>
      </c>
      <c r="K19" s="20" t="n">
        <v>492833</v>
      </c>
      <c r="L19" s="20" t="n">
        <v>476503</v>
      </c>
    </row>
    <row r="20">
      <c r="A20" s="18" t="inlineStr">
        <is>
          <t>단기차입금</t>
        </is>
      </c>
      <c r="B20" s="10" t="n"/>
      <c r="C20" s="19" t="n"/>
      <c r="D20" s="20" t="n"/>
      <c r="E20" s="20" t="n"/>
      <c r="F20" s="20" t="n"/>
      <c r="G20" s="20" t="n"/>
      <c r="H20" s="19" t="n"/>
      <c r="I20" s="20" t="n"/>
      <c r="J20" s="20" t="n"/>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639501</v>
      </c>
      <c r="D23" s="12" t="n">
        <v>633940</v>
      </c>
      <c r="E23" s="12" t="n">
        <v>620920</v>
      </c>
      <c r="F23" s="12" t="n">
        <v>687821</v>
      </c>
      <c r="G23" s="12" t="n">
        <v>681725</v>
      </c>
      <c r="H23" s="11" t="n">
        <v>641108</v>
      </c>
      <c r="I23" s="12" t="n">
        <v>705817</v>
      </c>
      <c r="J23" s="12" t="n">
        <v>668638</v>
      </c>
      <c r="K23" s="12" t="n">
        <v>610441</v>
      </c>
      <c r="L23" s="12" t="n">
        <v>620920</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v>286866</v>
      </c>
      <c r="D25" s="20" t="n">
        <v>272103</v>
      </c>
      <c r="E25" s="20" t="n">
        <v>272107</v>
      </c>
      <c r="F25" s="20" t="n">
        <v>307486</v>
      </c>
      <c r="G25" s="20" t="n">
        <v>325518</v>
      </c>
      <c r="H25" s="19" t="n">
        <v>257899</v>
      </c>
      <c r="I25" s="20" t="n">
        <v>320794</v>
      </c>
      <c r="J25" s="20" t="n">
        <v>298279</v>
      </c>
      <c r="K25" s="20" t="n">
        <v>255842</v>
      </c>
      <c r="L25" s="20" t="n">
        <v>272107</v>
      </c>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1938027</v>
      </c>
      <c r="D27" s="12" t="n">
        <v>1955838</v>
      </c>
      <c r="E27" s="12" t="n">
        <v>2184897</v>
      </c>
      <c r="F27" s="12" t="n">
        <v>2187112</v>
      </c>
      <c r="G27" s="12" t="n">
        <v>2304766</v>
      </c>
      <c r="H27" s="11" t="n">
        <v>1975091</v>
      </c>
      <c r="I27" s="12" t="n">
        <v>2071326</v>
      </c>
      <c r="J27" s="12" t="n">
        <v>2137991</v>
      </c>
      <c r="K27" s="12" t="n">
        <v>2243857</v>
      </c>
      <c r="L27" s="12" t="n">
        <v>2184897</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1971357</v>
      </c>
      <c r="D31" s="12" t="n">
        <v>2066464</v>
      </c>
      <c r="E31" s="12" t="n">
        <v>2196578</v>
      </c>
      <c r="F31" s="12" t="n">
        <v>2234070</v>
      </c>
      <c r="G31" s="12" t="n">
        <v>2253990</v>
      </c>
      <c r="H31" s="11" t="n">
        <v>1513503</v>
      </c>
      <c r="I31" s="12" t="n">
        <v>1623817</v>
      </c>
      <c r="J31" s="12" t="n">
        <v>1915613</v>
      </c>
      <c r="K31" s="12" t="n">
        <v>1952018</v>
      </c>
      <c r="L31" s="12" t="n">
        <v>2196578</v>
      </c>
    </row>
    <row r="32">
      <c r="A32" s="18" t="inlineStr">
        <is>
          <t>자본금</t>
        </is>
      </c>
      <c r="B32" s="10" t="n"/>
      <c r="C32" s="19" t="n">
        <v>427831</v>
      </c>
      <c r="D32" s="20" t="n">
        <v>427831</v>
      </c>
      <c r="E32" s="20" t="n">
        <v>427831</v>
      </c>
      <c r="F32" s="20" t="n">
        <v>427831</v>
      </c>
      <c r="G32" s="20" t="n">
        <v>427831</v>
      </c>
      <c r="H32" s="19" t="n">
        <v>427831</v>
      </c>
      <c r="I32" s="20" t="n">
        <v>427831</v>
      </c>
      <c r="J32" s="20" t="n">
        <v>427831</v>
      </c>
      <c r="K32" s="20" t="n">
        <v>427831</v>
      </c>
      <c r="L32" s="20" t="n">
        <v>427831</v>
      </c>
    </row>
    <row r="33">
      <c r="A33" s="18" t="inlineStr">
        <is>
          <t>이익잉여금</t>
        </is>
      </c>
      <c r="B33" s="10" t="n"/>
      <c r="C33" s="19" t="n">
        <v>1041160</v>
      </c>
      <c r="D33" s="20" t="n">
        <v>1088991</v>
      </c>
      <c r="E33" s="20" t="n">
        <v>1216327</v>
      </c>
      <c r="F33" s="20" t="n">
        <v>1236615</v>
      </c>
      <c r="G33" s="20" t="n">
        <v>1303539</v>
      </c>
      <c r="H33" s="19" t="n">
        <v>678653</v>
      </c>
      <c r="I33" s="20" t="n">
        <v>764604</v>
      </c>
      <c r="J33" s="20" t="n">
        <v>883453</v>
      </c>
      <c r="K33" s="20" t="n">
        <v>1023945</v>
      </c>
      <c r="L33" s="20" t="n">
        <v>1216327</v>
      </c>
    </row>
    <row r="34">
      <c r="A34" s="18" t="inlineStr">
        <is>
          <t>비지배지분</t>
        </is>
      </c>
      <c r="B34" s="10" t="n"/>
      <c r="C34" s="19" t="n">
        <v>79528</v>
      </c>
      <c r="D34" s="20" t="n">
        <v>85014</v>
      </c>
      <c r="E34" s="20" t="n">
        <v>85309</v>
      </c>
      <c r="F34" s="20" t="n">
        <v>85645</v>
      </c>
      <c r="G34" s="20" t="n">
        <v>80174</v>
      </c>
      <c r="H34" s="19" t="n">
        <v>273139</v>
      </c>
      <c r="I34" s="20" t="n">
        <v>288907</v>
      </c>
      <c r="J34" s="20" t="n">
        <v>173910</v>
      </c>
      <c r="K34" s="20" t="n">
        <v>119493</v>
      </c>
      <c r="L34" s="20" t="n">
        <v>85309</v>
      </c>
    </row>
    <row r="35">
      <c r="A35" s="9" t="inlineStr">
        <is>
          <t>자본총계</t>
        </is>
      </c>
      <c r="B35" s="10" t="n"/>
      <c r="C35" s="11" t="n">
        <v>2050885</v>
      </c>
      <c r="D35" s="12" t="n">
        <v>2151478</v>
      </c>
      <c r="E35" s="12" t="n">
        <v>2281887</v>
      </c>
      <c r="F35" s="12" t="n">
        <v>2319715</v>
      </c>
      <c r="G35" s="12" t="n">
        <v>2334164</v>
      </c>
      <c r="H35" s="11" t="n">
        <v>1786642</v>
      </c>
      <c r="I35" s="12" t="n">
        <v>1912724</v>
      </c>
      <c r="J35" s="12" t="n">
        <v>2089523</v>
      </c>
      <c r="K35" s="12" t="n">
        <v>2071511</v>
      </c>
      <c r="L35" s="12" t="n">
        <v>2281887</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463103</v>
      </c>
      <c r="D37" s="12" t="n">
        <v>458820</v>
      </c>
      <c r="E37" s="12" t="n">
        <v>438463</v>
      </c>
      <c r="F37" s="12" t="n">
        <v>345576</v>
      </c>
      <c r="G37" s="12" t="n">
        <v>279663</v>
      </c>
      <c r="H37" s="11" t="n">
        <v>147517</v>
      </c>
      <c r="I37" s="12" t="n">
        <v>152127</v>
      </c>
      <c r="J37" s="12" t="n">
        <v>271228</v>
      </c>
      <c r="K37" s="12" t="n">
        <v>344408</v>
      </c>
      <c r="L37" s="12" t="n">
        <v>438463</v>
      </c>
    </row>
    <row r="38">
      <c r="A38" s="18" t="inlineStr">
        <is>
          <t>CAPEX (유·무형 취득)</t>
        </is>
      </c>
      <c r="B38" s="10" t="inlineStr">
        <is>
          <t>양수로 입력</t>
        </is>
      </c>
      <c r="C38" s="19" t="n">
        <v>121006</v>
      </c>
      <c r="D38" s="20" t="n">
        <v>153342</v>
      </c>
      <c r="E38" s="20" t="n">
        <v>91556</v>
      </c>
      <c r="F38" s="20" t="n">
        <v>99896</v>
      </c>
      <c r="G38" s="20" t="n">
        <v>122215</v>
      </c>
      <c r="H38" s="19" t="n">
        <v>71106</v>
      </c>
      <c r="I38" s="20" t="n">
        <v>77714</v>
      </c>
      <c r="J38" s="20" t="n">
        <v>99767</v>
      </c>
      <c r="K38" s="20" t="n">
        <v>150625</v>
      </c>
      <c r="L38" s="20" t="n">
        <v>91556</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37356</v>
      </c>
      <c r="D40" s="20" t="n">
        <v>40048</v>
      </c>
      <c r="E40" s="20" t="n">
        <v>40043</v>
      </c>
      <c r="F40" s="20" t="n">
        <v>50496</v>
      </c>
      <c r="G40" s="20" t="n">
        <v>50557</v>
      </c>
      <c r="H40" s="19" t="n">
        <v>27259</v>
      </c>
      <c r="I40" s="20" t="n">
        <v>28522</v>
      </c>
      <c r="J40" s="20" t="n">
        <v>30655</v>
      </c>
      <c r="K40" s="20" t="n">
        <v>34682</v>
      </c>
      <c r="L40" s="20" t="n">
        <v>40043</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IFERROR((IF(COUNT('연간'!G25:J25)&lt;4,"",SUM('연간'!G25:J25)))/(IF(COUNT('연간'!G47:J47)&lt;4,"",SUM('연간'!G47:J47))),"")</f>
        <v/>
      </c>
      <c r="D48" s="31">
        <f>IFERROR((IF(COUNT('연간'!H25:K25)&lt;4,"",SUM('연간'!H25:K25)))/(IF(COUNT('연간'!H47:K47)&lt;4,"",SUM('연간'!H47:K47))),"")</f>
        <v/>
      </c>
      <c r="E48" s="31">
        <f>IFERROR((IF(COUNT('연간'!I25:L25)&lt;4,"",SUM('연간'!I25:L25)))/(IF(COUNT('연간'!I47:L47)&lt;4,"",SUM('연간'!I47:L47))),"")</f>
        <v/>
      </c>
      <c r="F48" s="31">
        <f>IFERROR((IF(COUNT('연간'!J25:M25)&lt;4,"",SUM('연간'!J25:M25)))/(IF(COUNT('연간'!J47:M47)&lt;4,"",SUM('연간'!J47:M47))),"")</f>
        <v/>
      </c>
      <c r="G48" s="31">
        <f>IFERROR((IF(COUNT('연간'!K25:N25)&lt;4,"",SUM('연간'!K25:N25)))/(IF(COUNT('연간'!K47:N47)&lt;4,"",SUM('연간'!K47:N47))),"")</f>
        <v/>
      </c>
      <c r="H48" s="30">
        <f>IFERROR(('연간'!T25)/('연간'!T47),"")</f>
        <v/>
      </c>
      <c r="I48" s="31">
        <f>IFERROR(('연간'!U25)/('연간'!U47),"")</f>
        <v/>
      </c>
      <c r="J48" s="31">
        <f>IFERROR(('연간'!V25)/('연간'!V47),"")</f>
        <v/>
      </c>
      <c r="K48" s="31">
        <f>IFERROR(('연간'!W25)/('연간'!W47),"")</f>
        <v/>
      </c>
      <c r="L48" s="31">
        <f>IFERROR(('연간'!X25)/('연간'!X47),"")</f>
        <v/>
      </c>
    </row>
    <row r="49">
      <c r="A49" s="45" t="inlineStr">
        <is>
          <t>차입금 상환연수</t>
        </is>
      </c>
      <c r="B49" s="10" t="inlineStr">
        <is>
          <t>4년↓ (버핏)</t>
        </is>
      </c>
      <c r="C49" s="46">
        <f>IFERROR(IF((IF(COUNT('연간'!G55:J55)&lt;4,"",SUM('연간'!G55:J55)))&lt;=0,"적자",C28/(IF(COUNT('연간'!G55:J55)&lt;4,"",SUM('연간'!G55:J55)))),"")</f>
        <v/>
      </c>
      <c r="D49" s="47">
        <f>IFERROR(IF((IF(COUNT('연간'!H55:K55)&lt;4,"",SUM('연간'!H55:K55)))&lt;=0,"적자",D28/(IF(COUNT('연간'!H55:K55)&lt;4,"",SUM('연간'!H55:K55)))),"")</f>
        <v/>
      </c>
      <c r="E49" s="47">
        <f>IFERROR(IF((IF(COUNT('연간'!I55:L55)&lt;4,"",SUM('연간'!I55:L55)))&lt;=0,"적자",E28/(IF(COUNT('연간'!I55:L55)&lt;4,"",SUM('연간'!I55:L55)))),"")</f>
        <v/>
      </c>
      <c r="F49" s="47">
        <f>IFERROR(IF((IF(COUNT('연간'!J55:M55)&lt;4,"",SUM('연간'!J55:M55)))&lt;=0,"적자",F28/(IF(COUNT('연간'!J55:M55)&lt;4,"",SUM('연간'!J55:M55)))),"")</f>
        <v/>
      </c>
      <c r="G49" s="47">
        <f>IFERROR(IF((IF(COUNT('연간'!K55:N55)&lt;4,"",SUM('연간'!K55:N55)))&lt;=0,"적자",G28/(IF(COUNT('연간'!K55:N55)&lt;4,"",SUM('연간'!K55:N55)))),"")</f>
        <v/>
      </c>
      <c r="H49" s="46">
        <f>IFERROR(IF(('연간'!T55)&lt;=0,"적자",H28/('연간'!T55)),"")</f>
        <v/>
      </c>
      <c r="I49" s="47">
        <f>IFERROR(IF(('연간'!U55)&lt;=0,"적자",I28/('연간'!U55)),"")</f>
        <v/>
      </c>
      <c r="J49" s="47">
        <f>IFERROR(IF(('연간'!V55)&lt;=0,"적자",J28/('연간'!V55)),"")</f>
        <v/>
      </c>
      <c r="K49" s="47">
        <f>IFERROR(IF(('연간'!W55)&lt;=0,"적자",K28/('연간'!W55)),"")</f>
        <v/>
      </c>
      <c r="L49" s="47">
        <f>IFERROR(IF(('연간'!X55)&lt;=0,"적자",L28/('연간'!X55)),"")</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IFERROR((IF(COUNT('연간'!G55:J55)&lt;4,"",SUM('연간'!G55:J55)))/C31,"")</f>
        <v/>
      </c>
      <c r="D51" s="36">
        <f>IFERROR((IF(COUNT('연간'!H55:K55)&lt;4,"",SUM('연간'!H55:K55)))/D31,"")</f>
        <v/>
      </c>
      <c r="E51" s="36">
        <f>IFERROR((IF(COUNT('연간'!I55:L55)&lt;4,"",SUM('연간'!I55:L55)))/E31,"")</f>
        <v/>
      </c>
      <c r="F51" s="36">
        <f>IFERROR((IF(COUNT('연간'!J55:M55)&lt;4,"",SUM('연간'!J55:M55)))/F31,"")</f>
        <v/>
      </c>
      <c r="G51" s="36">
        <f>IFERROR((IF(COUNT('연간'!K55:N55)&lt;4,"",SUM('연간'!K55:N55)))/G31,"")</f>
        <v/>
      </c>
      <c r="H51" s="35">
        <f>IFERROR(('연간'!T55)/H31,"")</f>
        <v/>
      </c>
      <c r="I51" s="36">
        <f>IFERROR(('연간'!U55)/I31,"")</f>
        <v/>
      </c>
      <c r="J51" s="36">
        <f>IFERROR(('연간'!V55)/J31,"")</f>
        <v/>
      </c>
      <c r="K51" s="36">
        <f>IFERROR(('연간'!W55)/K31,"")</f>
        <v/>
      </c>
      <c r="L51" s="36">
        <f>IFERROR(('연간'!X55)/L31,"")</f>
        <v/>
      </c>
    </row>
    <row r="52">
      <c r="A52" s="45" t="inlineStr">
        <is>
          <t>ROA</t>
        </is>
      </c>
      <c r="B52" s="10" t="inlineStr">
        <is>
          <t>5%↑</t>
        </is>
      </c>
      <c r="C52" s="35">
        <f>IFERROR((IF(COUNT('연간'!G53:J53)&lt;4,"",SUM('연간'!G53:J53)))/C16,"")</f>
        <v/>
      </c>
      <c r="D52" s="36">
        <f>IFERROR((IF(COUNT('연간'!H53:K53)&lt;4,"",SUM('연간'!H53:K53)))/D16,"")</f>
        <v/>
      </c>
      <c r="E52" s="36">
        <f>IFERROR((IF(COUNT('연간'!I53:L53)&lt;4,"",SUM('연간'!I53:L53)))/E16,"")</f>
        <v/>
      </c>
      <c r="F52" s="36">
        <f>IFERROR((IF(COUNT('연간'!J53:M53)&lt;4,"",SUM('연간'!J53:M53)))/F16,"")</f>
        <v/>
      </c>
      <c r="G52" s="36">
        <f>IFERROR((IF(COUNT('연간'!K53:N53)&lt;4,"",SUM('연간'!K53:N53)))/G16,"")</f>
        <v/>
      </c>
      <c r="H52" s="35">
        <f>IFERROR(('연간'!T53)/H16,"")</f>
        <v/>
      </c>
      <c r="I52" s="36">
        <f>IFERROR(('연간'!U53)/I16,"")</f>
        <v/>
      </c>
      <c r="J52" s="36">
        <f>IFERROR(('연간'!V53)/J16,"")</f>
        <v/>
      </c>
      <c r="K52" s="36">
        <f>IFERROR(('연간'!W53)/K16,"")</f>
        <v/>
      </c>
      <c r="L52" s="36">
        <f>IFERROR(('연간'!X53)/L16,"")</f>
        <v/>
      </c>
    </row>
    <row r="53">
      <c r="A53" s="45" t="inlineStr">
        <is>
          <t>ROIC</t>
        </is>
      </c>
      <c r="B53" s="10" t="inlineStr">
        <is>
          <t>10%↑ (세후영업이익 기준)</t>
        </is>
      </c>
      <c r="C53" s="35">
        <f>IFERROR((IF(COUNT('연간'!G25:J25)&lt;4,"",SUM('연간'!G25:J25)))*(1-0.3)/(C35+C29),"")</f>
        <v/>
      </c>
      <c r="D53" s="36">
        <f>IFERROR((IF(COUNT('연간'!H25:K25)&lt;4,"",SUM('연간'!H25:K25)))*(1-0.3)/(D35+D29),"")</f>
        <v/>
      </c>
      <c r="E53" s="36">
        <f>IFERROR((IF(COUNT('연간'!I25:L25)&lt;4,"",SUM('연간'!I25:L25)))*(1-0.3)/(E35+E29),"")</f>
        <v/>
      </c>
      <c r="F53" s="36">
        <f>IFERROR((IF(COUNT('연간'!J25:M25)&lt;4,"",SUM('연간'!J25:M25)))*(1-0.3)/(F35+F29),"")</f>
        <v/>
      </c>
      <c r="G53" s="36">
        <f>IFERROR((IF(COUNT('연간'!K25:N25)&lt;4,"",SUM('연간'!K25:N25)))*(1-0.3)/(G35+G29),"")</f>
        <v/>
      </c>
      <c r="H53" s="35">
        <f>IFERROR(('연간'!T25)*(1-0.3)/(H35+H29),"")</f>
        <v/>
      </c>
      <c r="I53" s="36">
        <f>IFERROR(('연간'!U25)*(1-0.3)/(I35+I29),"")</f>
        <v/>
      </c>
      <c r="J53" s="36">
        <f>IFERROR(('연간'!V25)*(1-0.3)/(J35+J29),"")</f>
        <v/>
      </c>
      <c r="K53" s="36">
        <f>IFERROR(('연간'!W25)*(1-0.3)/(K35+K29),"")</f>
        <v/>
      </c>
      <c r="L53" s="36">
        <f>IFERROR(('연간'!X25)*(1-0.3)/(L35+L29),"")</f>
        <v/>
      </c>
    </row>
    <row r="54">
      <c r="A54" s="45" t="inlineStr">
        <is>
          <t>매출총이익률 (GPM)</t>
        </is>
      </c>
      <c r="B54" s="10" t="inlineStr">
        <is>
          <t>40%↑ (해자 신호)</t>
        </is>
      </c>
      <c r="C54" s="35">
        <f>IFERROR((IF(COUNT('연간'!G19:J19)&lt;4,"",SUM('연간'!G19:J19)))/(IF(COUNT('연간'!G4:J4)&lt;4,"",SUM('연간'!G4:J4))),"")</f>
        <v/>
      </c>
      <c r="D54" s="36">
        <f>IFERROR((IF(COUNT('연간'!H19:K19)&lt;4,"",SUM('연간'!H19:K19)))/(IF(COUNT('연간'!H4:K4)&lt;4,"",SUM('연간'!H4:K4))),"")</f>
        <v/>
      </c>
      <c r="E54" s="36">
        <f>IFERROR((IF(COUNT('연간'!I19:L19)&lt;4,"",SUM('연간'!I19:L19)))/(IF(COUNT('연간'!I4:L4)&lt;4,"",SUM('연간'!I4:L4))),"")</f>
        <v/>
      </c>
      <c r="F54" s="36">
        <f>IFERROR((IF(COUNT('연간'!J19:M19)&lt;4,"",SUM('연간'!J19:M19)))/(IF(COUNT('연간'!J4:M4)&lt;4,"",SUM('연간'!J4:M4))),"")</f>
        <v/>
      </c>
      <c r="G54" s="36">
        <f>IFERROR((IF(COUNT('연간'!K19:N19)&lt;4,"",SUM('연간'!K19:N19)))/(IF(COUNT('연간'!K4:N4)&lt;4,"",SUM('연간'!K4:N4))),"")</f>
        <v/>
      </c>
      <c r="H54" s="35">
        <f>IFERROR(('연간'!T19)/('연간'!T4),"")</f>
        <v/>
      </c>
      <c r="I54" s="36">
        <f>IFERROR(('연간'!U19)/('연간'!U4),"")</f>
        <v/>
      </c>
      <c r="J54" s="36">
        <f>IFERROR(('연간'!V19)/('연간'!V4),"")</f>
        <v/>
      </c>
      <c r="K54" s="36">
        <f>IFERROR(('연간'!W19)/('연간'!W4),"")</f>
        <v/>
      </c>
      <c r="L54" s="36">
        <f>IFERROR(('연간'!X19)/('연간'!X4),"")</f>
        <v/>
      </c>
    </row>
    <row r="55">
      <c r="A55" s="45" t="inlineStr">
        <is>
          <t>영업이익률 (OPM)</t>
        </is>
      </c>
      <c r="B55" s="10" t="inlineStr">
        <is>
          <t>15%↑</t>
        </is>
      </c>
      <c r="C55" s="35">
        <f>IFERROR((IF(COUNT('연간'!G25:J25)&lt;4,"",SUM('연간'!G25:J25)))/(IF(COUNT('연간'!G4:J4)&lt;4,"",SUM('연간'!G4:J4))),"")</f>
        <v/>
      </c>
      <c r="D55" s="36">
        <f>IFERROR((IF(COUNT('연간'!H25:K25)&lt;4,"",SUM('연간'!H25:K25)))/(IF(COUNT('연간'!H4:K4)&lt;4,"",SUM('연간'!H4:K4))),"")</f>
        <v/>
      </c>
      <c r="E55" s="36">
        <f>IFERROR((IF(COUNT('연간'!I25:L25)&lt;4,"",SUM('연간'!I25:L25)))/(IF(COUNT('연간'!I4:L4)&lt;4,"",SUM('연간'!I4:L4))),"")</f>
        <v/>
      </c>
      <c r="F55" s="36">
        <f>IFERROR((IF(COUNT('연간'!J25:M25)&lt;4,"",SUM('연간'!J25:M25)))/(IF(COUNT('연간'!J4:M4)&lt;4,"",SUM('연간'!J4:M4))),"")</f>
        <v/>
      </c>
      <c r="G55" s="36">
        <f>IFERROR((IF(COUNT('연간'!K25:N25)&lt;4,"",SUM('연간'!K25:N25)))/(IF(COUNT('연간'!K4:N4)&lt;4,"",SUM('연간'!K4:N4))),"")</f>
        <v/>
      </c>
      <c r="H55" s="35">
        <f>IFERROR(('연간'!T25)/('연간'!T4),"")</f>
        <v/>
      </c>
      <c r="I55" s="36">
        <f>IFERROR(('연간'!U25)/('연간'!U4),"")</f>
        <v/>
      </c>
      <c r="J55" s="36">
        <f>IFERROR(('연간'!V25)/('연간'!V4),"")</f>
        <v/>
      </c>
      <c r="K55" s="36">
        <f>IFERROR(('연간'!W25)/('연간'!W4),"")</f>
        <v/>
      </c>
      <c r="L55" s="36">
        <f>IFERROR(('연간'!X25)/('연간'!X4),"")</f>
        <v/>
      </c>
    </row>
    <row r="56">
      <c r="A56" s="45" t="inlineStr">
        <is>
          <t>순이익률</t>
        </is>
      </c>
      <c r="B56" s="10" t="inlineStr">
        <is>
          <t>10%↑</t>
        </is>
      </c>
      <c r="C56" s="35">
        <f>IFERROR((IF(COUNT('연간'!G53:J53)&lt;4,"",SUM('연간'!G53:J53)))/(IF(COUNT('연간'!G4:J4)&lt;4,"",SUM('연간'!G4:J4))),"")</f>
        <v/>
      </c>
      <c r="D56" s="36">
        <f>IFERROR((IF(COUNT('연간'!H53:K53)&lt;4,"",SUM('연간'!H53:K53)))/(IF(COUNT('연간'!H4:K4)&lt;4,"",SUM('연간'!H4:K4))),"")</f>
        <v/>
      </c>
      <c r="E56" s="36">
        <f>IFERROR((IF(COUNT('연간'!I53:L53)&lt;4,"",SUM('연간'!I53:L53)))/(IF(COUNT('연간'!I4:L4)&lt;4,"",SUM('연간'!I4:L4))),"")</f>
        <v/>
      </c>
      <c r="F56" s="36">
        <f>IFERROR((IF(COUNT('연간'!J53:M53)&lt;4,"",SUM('연간'!J53:M53)))/(IF(COUNT('연간'!J4:M4)&lt;4,"",SUM('연간'!J4:M4))),"")</f>
        <v/>
      </c>
      <c r="G56" s="36">
        <f>IFERROR((IF(COUNT('연간'!K53:N53)&lt;4,"",SUM('연간'!K53:N53)))/(IF(COUNT('연간'!K4:N4)&lt;4,"",SUM('연간'!K4:N4))),"")</f>
        <v/>
      </c>
      <c r="H56" s="35">
        <f>IFERROR(('연간'!T53)/('연간'!T4),"")</f>
        <v/>
      </c>
      <c r="I56" s="36">
        <f>IFERROR(('연간'!U53)/('연간'!U4),"")</f>
        <v/>
      </c>
      <c r="J56" s="36">
        <f>IFERROR(('연간'!V53)/('연간'!V4),"")</f>
        <v/>
      </c>
      <c r="K56" s="36">
        <f>IFERROR(('연간'!W53)/('연간'!W4),"")</f>
        <v/>
      </c>
      <c r="L56" s="36">
        <f>IFERROR(('연간'!X53)/('연간'!X4),"")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IFERROR(C9/(IF(COUNT('연간'!G17:J17)&lt;4,"",SUM('연간'!G17:J17)))*365,"")</f>
        <v/>
      </c>
      <c r="D60" s="49">
        <f>IFERROR(D9/(IF(COUNT('연간'!H17:K17)&lt;4,"",SUM('연간'!H17:K17)))*365,"")</f>
        <v/>
      </c>
      <c r="E60" s="49">
        <f>IFERROR(E9/(IF(COUNT('연간'!I17:L17)&lt;4,"",SUM('연간'!I17:L17)))*365,"")</f>
        <v/>
      </c>
      <c r="F60" s="49">
        <f>IFERROR(F9/(IF(COUNT('연간'!J17:M17)&lt;4,"",SUM('연간'!J17:M17)))*365,"")</f>
        <v/>
      </c>
      <c r="G60" s="49">
        <f>IFERROR(G9/(IF(COUNT('연간'!K17:N17)&lt;4,"",SUM('연간'!K17:N17)))*365,"")</f>
        <v/>
      </c>
      <c r="H60" s="48">
        <f>IFERROR(H9/('연간'!T17)*365,"")</f>
        <v/>
      </c>
      <c r="I60" s="49">
        <f>IFERROR(I9/('연간'!U17)*365,"")</f>
        <v/>
      </c>
      <c r="J60" s="49">
        <f>IFERROR(J9/('연간'!V17)*365,"")</f>
        <v/>
      </c>
      <c r="K60" s="49">
        <f>IFERROR(K9/('연간'!W17)*365,"")</f>
        <v/>
      </c>
      <c r="L60" s="49">
        <f>IFERROR(L9/('연간'!X17)*365,"")</f>
        <v/>
      </c>
    </row>
    <row r="61">
      <c r="A61" s="45" t="inlineStr">
        <is>
          <t>매입채무회전일수</t>
        </is>
      </c>
      <c r="B61" s="10" t="inlineStr">
        <is>
          <t>길수록 유리</t>
        </is>
      </c>
      <c r="C61" s="48">
        <f>IFERROR(C19/(IF(COUNT('연간'!G17:J17)&lt;4,"",SUM('연간'!G17:J17)))*365,"")</f>
        <v/>
      </c>
      <c r="D61" s="49">
        <f>IFERROR(D19/(IF(COUNT('연간'!H17:K17)&lt;4,"",SUM('연간'!H17:K17)))*365,"")</f>
        <v/>
      </c>
      <c r="E61" s="49">
        <f>IFERROR(E19/(IF(COUNT('연간'!I17:L17)&lt;4,"",SUM('연간'!I17:L17)))*365,"")</f>
        <v/>
      </c>
      <c r="F61" s="49">
        <f>IFERROR(F19/(IF(COUNT('연간'!J17:M17)&lt;4,"",SUM('연간'!J17:M17)))*365,"")</f>
        <v/>
      </c>
      <c r="G61" s="49">
        <f>IFERROR(G19/(IF(COUNT('연간'!K17:N17)&lt;4,"",SUM('연간'!K17:N17)))*365,"")</f>
        <v/>
      </c>
      <c r="H61" s="48">
        <f>IFERROR(H19/('연간'!T17)*365,"")</f>
        <v/>
      </c>
      <c r="I61" s="49">
        <f>IFERROR(I19/('연간'!U17)*365,"")</f>
        <v/>
      </c>
      <c r="J61" s="49">
        <f>IFERROR(J19/('연간'!V17)*365,"")</f>
        <v/>
      </c>
      <c r="K61" s="49">
        <f>IFERROR(K19/('연간'!W17)*365,"")</f>
        <v/>
      </c>
      <c r="L61" s="49">
        <f>IFERROR(L19/('연간'!X17)*365,"")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IF(C37="","",IFERROR(C37/(IF(COUNT('연간'!G53:J53)&lt;4,"",SUM('연간'!G53:J53))),""))</f>
        <v/>
      </c>
      <c r="D64" s="31">
        <f>IF(D37="","",IFERROR(D37/(IF(COUNT('연간'!H53:K53)&lt;4,"",SUM('연간'!H53:K53))),""))</f>
        <v/>
      </c>
      <c r="E64" s="31">
        <f>IF(E37="","",IFERROR(E37/(IF(COUNT('연간'!I53:L53)&lt;4,"",SUM('연간'!I53:L53))),""))</f>
        <v/>
      </c>
      <c r="F64" s="31">
        <f>IF(F37="","",IFERROR(F37/(IF(COUNT('연간'!J53:M53)&lt;4,"",SUM('연간'!J53:M53))),""))</f>
        <v/>
      </c>
      <c r="G64" s="31">
        <f>IF(G37="","",IFERROR(G37/(IF(COUNT('연간'!K53:N53)&lt;4,"",SUM('연간'!K53:N53))),""))</f>
        <v/>
      </c>
      <c r="H64" s="30">
        <f>IF(H37="","",IFERROR(H37/('연간'!T53),""))</f>
        <v/>
      </c>
      <c r="I64" s="31">
        <f>IF(I37="","",IFERROR(I37/('연간'!U53),""))</f>
        <v/>
      </c>
      <c r="J64" s="31">
        <f>IF(J37="","",IFERROR(J37/('연간'!V53),""))</f>
        <v/>
      </c>
      <c r="K64" s="31">
        <f>IF(K37="","",IFERROR(K37/('연간'!W53),""))</f>
        <v/>
      </c>
      <c r="L64" s="31">
        <f>IF(L37="","",IFERROR(L37/('연간'!X53),""))</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IF(C40="","",IFERROR(C40/(IF(COUNT('연간'!G55:J55)&lt;4,"",SUM('연간'!G55:J55))),""))</f>
        <v/>
      </c>
      <c r="D67" s="36">
        <f>IF(D40="","",IFERROR(D40/(IF(COUNT('연간'!H55:K55)&lt;4,"",SUM('연간'!H55:K55))),""))</f>
        <v/>
      </c>
      <c r="E67" s="36">
        <f>IF(E40="","",IFERROR(E40/(IF(COUNT('연간'!I55:L55)&lt;4,"",SUM('연간'!I55:L55))),""))</f>
        <v/>
      </c>
      <c r="F67" s="36">
        <f>IF(F40="","",IFERROR(F40/(IF(COUNT('연간'!J55:M55)&lt;4,"",SUM('연간'!J55:M55))),""))</f>
        <v/>
      </c>
      <c r="G67" s="36">
        <f>IF(G40="","",IFERROR(G40/(IF(COUNT('연간'!K55:N55)&lt;4,"",SUM('연간'!K55:N55))),""))</f>
        <v/>
      </c>
      <c r="H67" s="35">
        <f>IF(H40="","",IFERROR(H40/('연간'!T55),""))</f>
        <v/>
      </c>
      <c r="I67" s="36">
        <f>IF(I40="","",IFERROR(I40/('연간'!U55),""))</f>
        <v/>
      </c>
      <c r="J67" s="36">
        <f>IF(J40="","",IFERROR(J40/('연간'!V55),""))</f>
        <v/>
      </c>
      <c r="K67" s="36">
        <f>IF(K40="","",IFERROR(K40/('연간'!W55),""))</f>
        <v/>
      </c>
      <c r="L67" s="36">
        <f>IF(L40="","",IFERROR(L40/('연간'!X55),""))</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2026.2Q</t>
        </is>
      </c>
      <c r="D70" s="5" t="inlineStr">
        <is>
          <t>2026.3Q</t>
        </is>
      </c>
      <c r="E70" s="5" t="inlineStr">
        <is>
          <t>2026.4Q</t>
        </is>
      </c>
      <c r="F70" s="5" t="inlineStr">
        <is>
          <t>2027.1Q</t>
        </is>
      </c>
      <c r="G70" s="5" t="inlineStr">
        <is>
          <t>2027.2Q</t>
        </is>
      </c>
      <c r="H70" s="5" t="inlineStr">
        <is>
          <t>2022</t>
        </is>
      </c>
      <c r="I70" s="5" t="inlineStr">
        <is>
          <t>2023</t>
        </is>
      </c>
      <c r="J70" s="5" t="inlineStr">
        <is>
          <t>2024</t>
        </is>
      </c>
      <c r="K70" s="5" t="inlineStr">
        <is>
          <t>2025</t>
        </is>
      </c>
      <c r="L70" s="5" t="inlineStr">
        <is>
          <t>2026</t>
        </is>
      </c>
    </row>
    <row r="71">
      <c r="A71" s="18" t="inlineStr">
        <is>
          <t>현금및현금성자산</t>
        </is>
      </c>
      <c r="C71" s="20" t="n">
        <v>454116</v>
      </c>
      <c r="D71" s="20" t="n">
        <v>441337</v>
      </c>
      <c r="E71" s="20" t="n">
        <v>659034</v>
      </c>
      <c r="F71" s="20" t="n">
        <v>434699</v>
      </c>
      <c r="G71" s="20" t="n">
        <v>435790</v>
      </c>
      <c r="H71" s="20" t="n">
        <v>430778</v>
      </c>
      <c r="I71" s="20" t="n">
        <v>419462</v>
      </c>
      <c r="J71" s="20" t="n">
        <v>476490</v>
      </c>
      <c r="K71" s="20" t="n">
        <v>584615</v>
      </c>
      <c r="L71" s="20" t="n">
        <v>659034</v>
      </c>
    </row>
    <row r="72">
      <c r="A72" s="18" t="inlineStr">
        <is>
          <t>영업채권 및 기타채권</t>
        </is>
      </c>
      <c r="C72" s="20" t="n">
        <v>561368</v>
      </c>
      <c r="D72" s="20" t="n">
        <v>531557</v>
      </c>
      <c r="E72" s="20" t="n">
        <v>994066</v>
      </c>
      <c r="F72" s="20" t="n">
        <v>565529</v>
      </c>
      <c r="G72" s="20" t="n">
        <v>632899</v>
      </c>
      <c r="H72" s="20" t="n">
        <v>722334</v>
      </c>
      <c r="I72" s="20" t="n">
        <v>799875</v>
      </c>
      <c r="J72" s="20" t="n">
        <v>829497</v>
      </c>
      <c r="K72" s="20" t="n">
        <v>878434</v>
      </c>
      <c r="L72" s="20" t="n">
        <v>994066</v>
      </c>
    </row>
    <row r="73">
      <c r="A73" s="18" t="inlineStr">
        <is>
          <t>계약자산</t>
        </is>
      </c>
      <c r="C73" s="20" t="n">
        <v>499092</v>
      </c>
      <c r="D73" s="20" t="n">
        <v>617475</v>
      </c>
      <c r="E73" s="20" t="n">
        <v>420278</v>
      </c>
      <c r="F73" s="20" t="n">
        <v>476635</v>
      </c>
      <c r="G73" s="20" t="n">
        <v>581814</v>
      </c>
      <c r="H73" s="20" t="n">
        <v>285890</v>
      </c>
      <c r="I73" s="20" t="n">
        <v>335852</v>
      </c>
      <c r="J73" s="20" t="n">
        <v>411715</v>
      </c>
      <c r="K73" s="20" t="n">
        <v>374511</v>
      </c>
      <c r="L73" s="20" t="n">
        <v>420278</v>
      </c>
    </row>
    <row r="74">
      <c r="A74" s="18" t="inlineStr">
        <is>
          <t>재고자산</t>
        </is>
      </c>
      <c r="C74" s="20" t="n">
        <v>264210</v>
      </c>
      <c r="D74" s="20" t="n">
        <v>273071</v>
      </c>
      <c r="E74" s="20" t="n">
        <v>171181</v>
      </c>
      <c r="F74" s="20" t="n">
        <v>250786</v>
      </c>
      <c r="G74" s="20" t="n">
        <v>279960</v>
      </c>
      <c r="H74" s="20" t="n">
        <v>246244</v>
      </c>
      <c r="I74" s="20" t="n">
        <v>267576</v>
      </c>
      <c r="J74" s="20" t="n">
        <v>242634</v>
      </c>
      <c r="K74" s="20" t="n">
        <v>184779</v>
      </c>
      <c r="L74" s="20" t="n">
        <v>171181</v>
      </c>
    </row>
    <row r="75">
      <c r="A75" s="18" t="inlineStr">
        <is>
          <t>기타금융자산</t>
        </is>
      </c>
      <c r="C75" s="20" t="n">
        <v>8844</v>
      </c>
      <c r="D75" s="20" t="n">
        <v>18190</v>
      </c>
      <c r="E75" s="20" t="n">
        <v>28461</v>
      </c>
      <c r="F75" s="20" t="n">
        <v>59379</v>
      </c>
      <c r="G75" s="20" t="n">
        <v>53043</v>
      </c>
      <c r="H75" s="20" t="n">
        <v>17554</v>
      </c>
      <c r="I75" s="20" t="n">
        <v>15776</v>
      </c>
      <c r="J75" s="20" t="n">
        <v>15729</v>
      </c>
      <c r="K75" s="20" t="n">
        <v>9830</v>
      </c>
      <c r="L75" s="20" t="n">
        <v>28461</v>
      </c>
    </row>
    <row r="76">
      <c r="A76" s="18" t="inlineStr">
        <is>
          <t>기타유동자산</t>
        </is>
      </c>
      <c r="C76" s="20" t="n">
        <v>214942</v>
      </c>
      <c r="D76" s="20" t="n">
        <v>215715</v>
      </c>
      <c r="E76" s="20" t="n">
        <v>186073</v>
      </c>
      <c r="F76" s="20" t="n">
        <v>228788</v>
      </c>
      <c r="G76" s="20" t="n">
        <v>222074</v>
      </c>
      <c r="H76" s="20" t="n">
        <v>133890</v>
      </c>
      <c r="I76" s="20" t="n">
        <v>157362</v>
      </c>
      <c r="J76" s="20" t="n">
        <v>165719</v>
      </c>
      <c r="K76" s="20" t="n">
        <v>181883</v>
      </c>
      <c r="L76" s="20" t="n">
        <v>186073</v>
      </c>
    </row>
    <row r="77">
      <c r="A77" s="18" t="inlineStr">
        <is>
          <t>소계</t>
        </is>
      </c>
      <c r="I77" s="20" t="n">
        <v>1995903</v>
      </c>
    </row>
    <row r="78">
      <c r="A78" s="9" t="inlineStr">
        <is>
          <t>소계</t>
        </is>
      </c>
      <c r="C78" s="12" t="n">
        <v>2002572</v>
      </c>
      <c r="D78" s="12" t="n">
        <v>2097345</v>
      </c>
      <c r="E78" s="12" t="n">
        <v>2459093</v>
      </c>
      <c r="I78" s="12" t="n">
        <v>1995903</v>
      </c>
      <c r="J78" s="12" t="n">
        <v>2141784</v>
      </c>
      <c r="K78" s="12" t="n">
        <v>2214052</v>
      </c>
      <c r="L78" s="12" t="n">
        <v>2459093</v>
      </c>
    </row>
    <row r="79">
      <c r="A79" s="18" t="inlineStr">
        <is>
          <t>매각예정 자산</t>
        </is>
      </c>
      <c r="C79" s="20" t="n">
        <v>0</v>
      </c>
      <c r="D79" s="20" t="n">
        <v>0</v>
      </c>
      <c r="E79" s="20" t="n">
        <v>0</v>
      </c>
      <c r="I79" s="20" t="n">
        <v>0</v>
      </c>
      <c r="J79" s="20" t="n">
        <v>0</v>
      </c>
      <c r="K79" s="20" t="n">
        <v>10942</v>
      </c>
      <c r="L79" s="20" t="n">
        <v>0</v>
      </c>
    </row>
    <row r="80">
      <c r="A80" s="9" t="inlineStr">
        <is>
          <t>유동자산 합계</t>
        </is>
      </c>
      <c r="C80" s="12" t="n">
        <v>2002572</v>
      </c>
      <c r="D80" s="12" t="n">
        <v>2097345</v>
      </c>
      <c r="E80" s="12" t="n">
        <v>2459093</v>
      </c>
      <c r="F80" s="12" t="n">
        <v>2015816</v>
      </c>
      <c r="G80" s="12" t="n">
        <v>2205580</v>
      </c>
      <c r="H80" s="12" t="n">
        <v>1836690</v>
      </c>
      <c r="I80" s="12" t="n">
        <v>1995903</v>
      </c>
      <c r="J80" s="12" t="n">
        <v>2141784</v>
      </c>
      <c r="K80" s="12" t="n">
        <v>2224994</v>
      </c>
      <c r="L80" s="12" t="n">
        <v>2459093</v>
      </c>
    </row>
    <row r="81">
      <c r="A81" s="18" t="inlineStr">
        <is>
          <t>유형자산(순액)</t>
        </is>
      </c>
      <c r="C81" s="20" t="n">
        <v>573548</v>
      </c>
      <c r="D81" s="20" t="n">
        <v>591197</v>
      </c>
      <c r="E81" s="20" t="n">
        <v>564064</v>
      </c>
      <c r="F81" s="20" t="n">
        <v>600107</v>
      </c>
      <c r="G81" s="20" t="n">
        <v>593874</v>
      </c>
      <c r="H81" s="20" t="n">
        <v>540257</v>
      </c>
      <c r="I81" s="20" t="n">
        <v>563384</v>
      </c>
      <c r="J81" s="20" t="n">
        <v>510970</v>
      </c>
      <c r="K81" s="20" t="n">
        <v>580165</v>
      </c>
      <c r="L81" s="20" t="n">
        <v>564064</v>
      </c>
    </row>
    <row r="82">
      <c r="A82" s="18" t="inlineStr">
        <is>
          <t>영업권</t>
        </is>
      </c>
      <c r="C82" s="20" t="n">
        <v>422921</v>
      </c>
      <c r="D82" s="20" t="n">
        <v>446326</v>
      </c>
      <c r="E82" s="20" t="n">
        <v>450501</v>
      </c>
      <c r="F82" s="20" t="n">
        <v>855129</v>
      </c>
      <c r="G82" s="20" t="n">
        <v>824176</v>
      </c>
      <c r="H82" s="20" t="n">
        <v>335978</v>
      </c>
      <c r="I82" s="20" t="n">
        <v>355572</v>
      </c>
      <c r="J82" s="20" t="n">
        <v>392290</v>
      </c>
      <c r="K82" s="20" t="n">
        <v>393881</v>
      </c>
      <c r="L82" s="20" t="n">
        <v>450501</v>
      </c>
    </row>
    <row r="83">
      <c r="A83" s="18" t="inlineStr">
        <is>
          <t>무형자산(순액)</t>
        </is>
      </c>
      <c r="C83" s="20" t="n">
        <v>362192</v>
      </c>
      <c r="D83" s="20" t="n">
        <v>367815</v>
      </c>
      <c r="E83" s="20" t="n">
        <v>368945</v>
      </c>
      <c r="F83" s="20" t="n">
        <v>370303</v>
      </c>
      <c r="G83" s="20" t="n">
        <v>354144</v>
      </c>
      <c r="H83" s="20" t="n">
        <v>374703</v>
      </c>
      <c r="I83" s="20" t="n">
        <v>378250</v>
      </c>
      <c r="J83" s="20" t="n">
        <v>371762</v>
      </c>
      <c r="K83" s="20" t="n">
        <v>351904</v>
      </c>
      <c r="L83" s="20" t="n">
        <v>368945</v>
      </c>
    </row>
    <row r="84">
      <c r="A84" s="18" t="inlineStr">
        <is>
          <t>지분법 투자</t>
        </is>
      </c>
      <c r="C84" s="20" t="n">
        <v>109159</v>
      </c>
      <c r="D84" s="20" t="n">
        <v>46547</v>
      </c>
      <c r="E84" s="20" t="n">
        <v>48129</v>
      </c>
      <c r="F84" s="20" t="n">
        <v>47950</v>
      </c>
      <c r="G84" s="20" t="n">
        <v>49770</v>
      </c>
      <c r="H84" s="20" t="n">
        <v>76470</v>
      </c>
      <c r="I84" s="20" t="n">
        <v>80425</v>
      </c>
      <c r="J84" s="20" t="n">
        <v>107925</v>
      </c>
      <c r="K84" s="20" t="n">
        <v>107242</v>
      </c>
      <c r="L84" s="20" t="n">
        <v>48129</v>
      </c>
    </row>
    <row r="85">
      <c r="A85" s="18" t="inlineStr">
        <is>
          <t>기타금융자산</t>
        </is>
      </c>
      <c r="C85" s="20" t="n">
        <v>220518</v>
      </c>
      <c r="D85" s="20" t="n">
        <v>227109</v>
      </c>
      <c r="E85" s="20" t="n">
        <v>228929</v>
      </c>
      <c r="F85" s="20" t="n">
        <v>232168</v>
      </c>
      <c r="G85" s="20" t="n">
        <v>224896</v>
      </c>
      <c r="H85" s="20" t="n">
        <v>236544</v>
      </c>
      <c r="I85" s="20" t="n">
        <v>207731</v>
      </c>
      <c r="J85" s="20" t="n">
        <v>203099</v>
      </c>
      <c r="K85" s="20" t="n">
        <v>221133</v>
      </c>
      <c r="L85" s="20" t="n">
        <v>228929</v>
      </c>
    </row>
    <row r="86">
      <c r="A86" s="18" t="inlineStr">
        <is>
          <t>이연법인세자산</t>
        </is>
      </c>
      <c r="C86" s="20" t="n">
        <v>175284</v>
      </c>
      <c r="D86" s="20" t="n">
        <v>202927</v>
      </c>
      <c r="E86" s="20" t="n">
        <v>186670</v>
      </c>
      <c r="F86" s="20" t="n">
        <v>214677</v>
      </c>
      <c r="G86" s="20" t="n">
        <v>224929</v>
      </c>
      <c r="H86" s="20" t="n">
        <v>153313</v>
      </c>
      <c r="I86" s="20" t="n">
        <v>159930</v>
      </c>
      <c r="J86" s="20" t="n">
        <v>156888</v>
      </c>
      <c r="K86" s="20" t="n">
        <v>177216</v>
      </c>
      <c r="L86" s="20" t="n">
        <v>186670</v>
      </c>
    </row>
    <row r="87">
      <c r="A87" s="18" t="inlineStr">
        <is>
          <t>기타비유동자산</t>
        </is>
      </c>
      <c r="C87" s="20" t="n">
        <v>122718</v>
      </c>
      <c r="D87" s="20" t="n">
        <v>128050</v>
      </c>
      <c r="E87" s="20" t="n">
        <v>160453</v>
      </c>
      <c r="F87" s="20" t="n">
        <v>170677</v>
      </c>
      <c r="G87" s="20" t="n">
        <v>161561</v>
      </c>
      <c r="H87" s="20" t="n">
        <v>207778</v>
      </c>
      <c r="I87" s="20" t="n">
        <v>242855</v>
      </c>
      <c r="J87" s="20" t="n">
        <v>342796</v>
      </c>
      <c r="K87" s="20" t="n">
        <v>258833</v>
      </c>
      <c r="L87" s="20" t="n">
        <v>160453</v>
      </c>
    </row>
    <row r="88">
      <c r="A88" s="18" t="inlineStr">
        <is>
          <t>비유동자산 합계</t>
        </is>
      </c>
      <c r="C88" s="20" t="n">
        <v>1986340</v>
      </c>
      <c r="D88" s="20" t="n">
        <v>2009971</v>
      </c>
      <c r="E88" s="20" t="n">
        <v>2007691</v>
      </c>
      <c r="F88" s="20" t="n">
        <v>2491011</v>
      </c>
      <c r="G88" s="20" t="n">
        <v>2433350</v>
      </c>
      <c r="H88" s="20" t="n">
        <v>1925043</v>
      </c>
      <c r="I88" s="20" t="n">
        <v>1988147</v>
      </c>
      <c r="J88" s="20" t="n">
        <v>2085730</v>
      </c>
      <c r="K88" s="20" t="n">
        <v>2090374</v>
      </c>
      <c r="L88" s="20" t="n">
        <v>2007691</v>
      </c>
    </row>
    <row r="89">
      <c r="A89" s="18" t="inlineStr">
        <is>
          <t>자산 합계</t>
        </is>
      </c>
      <c r="C89" s="20" t="n">
        <v>3988912</v>
      </c>
      <c r="D89" s="20" t="n">
        <v>4107316</v>
      </c>
      <c r="E89" s="20" t="n">
        <v>4466784</v>
      </c>
      <c r="F89" s="20" t="n">
        <v>4506827</v>
      </c>
      <c r="G89" s="20" t="n">
        <v>4638930</v>
      </c>
      <c r="H89" s="20" t="n">
        <v>3761733</v>
      </c>
      <c r="I89" s="20" t="n">
        <v>3984050</v>
      </c>
      <c r="J89" s="20" t="n">
        <v>4227514</v>
      </c>
      <c r="K89" s="20" t="n">
        <v>4315368</v>
      </c>
      <c r="L89" s="20" t="n">
        <v>4466784</v>
      </c>
    </row>
    <row r="90">
      <c r="A90" s="18" t="inlineStr">
        <is>
          <t>영업채무 및 기타채무</t>
        </is>
      </c>
      <c r="C90" s="20" t="n">
        <v>413855</v>
      </c>
      <c r="D90" s="20" t="n">
        <v>403368</v>
      </c>
      <c r="E90" s="20" t="n">
        <v>476503</v>
      </c>
      <c r="F90" s="20" t="n">
        <v>426305</v>
      </c>
      <c r="G90" s="20" t="n">
        <v>376115</v>
      </c>
      <c r="H90" s="20" t="n">
        <v>446788</v>
      </c>
      <c r="I90" s="20" t="n">
        <v>497625</v>
      </c>
      <c r="J90" s="20" t="n">
        <v>519762</v>
      </c>
      <c r="K90" s="20" t="n">
        <v>492833</v>
      </c>
      <c r="L90" s="20" t="n">
        <v>476503</v>
      </c>
    </row>
    <row r="91">
      <c r="A91" s="18" t="inlineStr">
        <is>
          <t>계약부채</t>
        </is>
      </c>
      <c r="C91" s="20" t="n">
        <v>430771</v>
      </c>
      <c r="D91" s="20" t="n">
        <v>421773</v>
      </c>
      <c r="E91" s="20" t="n">
        <v>463393</v>
      </c>
      <c r="F91" s="20" t="n">
        <v>511285</v>
      </c>
      <c r="G91" s="20" t="n">
        <v>483020</v>
      </c>
      <c r="H91" s="20" t="n">
        <v>266158</v>
      </c>
      <c r="I91" s="20" t="n">
        <v>287859</v>
      </c>
      <c r="J91" s="20" t="n">
        <v>389908</v>
      </c>
      <c r="K91" s="20" t="n">
        <v>405778</v>
      </c>
      <c r="L91" s="20" t="n">
        <v>463393</v>
      </c>
    </row>
    <row r="92">
      <c r="A92" s="18" t="inlineStr">
        <is>
          <t>사채 및 차입금</t>
        </is>
      </c>
      <c r="C92" s="20" t="n">
        <v>70241</v>
      </c>
      <c r="D92" s="20" t="n">
        <v>65269</v>
      </c>
      <c r="E92" s="20" t="n">
        <v>54966</v>
      </c>
      <c r="F92" s="20" t="n">
        <v>94476</v>
      </c>
      <c r="G92" s="20" t="n">
        <v>271549</v>
      </c>
      <c r="H92" s="20" t="n">
        <v>186774</v>
      </c>
      <c r="I92" s="20" t="n">
        <v>130867</v>
      </c>
      <c r="J92" s="20" t="n">
        <v>84665</v>
      </c>
      <c r="K92" s="20" t="n">
        <v>233886</v>
      </c>
      <c r="L92" s="20" t="n">
        <v>54966</v>
      </c>
    </row>
    <row r="93">
      <c r="A93" s="18" t="inlineStr">
        <is>
          <t>미지급비용</t>
        </is>
      </c>
      <c r="C93" s="20" t="n">
        <v>201639</v>
      </c>
      <c r="D93" s="20" t="n">
        <v>205875</v>
      </c>
      <c r="E93" s="20" t="n">
        <v>255022</v>
      </c>
      <c r="F93" s="20" t="n">
        <v>201859</v>
      </c>
      <c r="G93" s="20" t="n">
        <v>223753</v>
      </c>
      <c r="H93" s="20" t="n">
        <v>232257</v>
      </c>
      <c r="I93" s="20" t="n">
        <v>240870</v>
      </c>
      <c r="J93" s="20" t="n">
        <v>252713</v>
      </c>
      <c r="K93" s="20" t="n">
        <v>249989</v>
      </c>
      <c r="L93" s="20" t="n">
        <v>255022</v>
      </c>
    </row>
    <row r="94">
      <c r="A94" s="18" t="inlineStr">
        <is>
          <t>리스부채</t>
        </is>
      </c>
      <c r="C94" s="20" t="n">
        <v>52003</v>
      </c>
      <c r="D94" s="20" t="n">
        <v>53071</v>
      </c>
      <c r="E94" s="20" t="n">
        <v>51412</v>
      </c>
      <c r="F94" s="20" t="n">
        <v>54626</v>
      </c>
      <c r="G94" s="20" t="n">
        <v>52096</v>
      </c>
      <c r="H94" s="20" t="n">
        <v>49462</v>
      </c>
      <c r="I94" s="20" t="n">
        <v>47056</v>
      </c>
      <c r="J94" s="20" t="n">
        <v>52579</v>
      </c>
      <c r="K94" s="20" t="n">
        <v>52519</v>
      </c>
      <c r="L94" s="20" t="n">
        <v>51412</v>
      </c>
    </row>
    <row r="95">
      <c r="A95" s="18" t="inlineStr">
        <is>
          <t>기타금융부채</t>
        </is>
      </c>
      <c r="C95" s="20" t="n">
        <v>9898</v>
      </c>
      <c r="D95" s="20" t="n">
        <v>10860</v>
      </c>
      <c r="E95" s="20" t="n">
        <v>6472</v>
      </c>
      <c r="F95" s="20" t="n">
        <v>64527</v>
      </c>
      <c r="G95" s="20" t="n">
        <v>56693</v>
      </c>
      <c r="H95" s="20" t="n">
        <v>21397</v>
      </c>
      <c r="I95" s="20" t="n">
        <v>21950</v>
      </c>
      <c r="J95" s="20" t="n">
        <v>20185</v>
      </c>
      <c r="K95" s="20" t="n">
        <v>15787</v>
      </c>
      <c r="L95" s="20" t="n">
        <v>6472</v>
      </c>
    </row>
    <row r="96">
      <c r="A96" s="18" t="inlineStr">
        <is>
          <t>미지급법인세 등</t>
        </is>
      </c>
      <c r="C96" s="20" t="n">
        <v>43744</v>
      </c>
      <c r="D96" s="20" t="n">
        <v>62568</v>
      </c>
      <c r="E96" s="20" t="n">
        <v>107506</v>
      </c>
      <c r="F96" s="20" t="n">
        <v>23260</v>
      </c>
      <c r="G96" s="20" t="n">
        <v>55777</v>
      </c>
      <c r="H96" s="20" t="n">
        <v>17403</v>
      </c>
      <c r="I96" s="20" t="n">
        <v>20951</v>
      </c>
      <c r="J96" s="20" t="n">
        <v>22494</v>
      </c>
      <c r="K96" s="20" t="n">
        <v>59180</v>
      </c>
      <c r="L96" s="20" t="n">
        <v>107506</v>
      </c>
    </row>
    <row r="97">
      <c r="A97" s="18" t="inlineStr">
        <is>
          <t>충당금</t>
        </is>
      </c>
      <c r="C97" s="20" t="n">
        <v>37269</v>
      </c>
      <c r="D97" s="20" t="n">
        <v>41509</v>
      </c>
      <c r="E97" s="20" t="n">
        <v>58857</v>
      </c>
      <c r="F97" s="20" t="n">
        <v>54832</v>
      </c>
      <c r="G97" s="20" t="n">
        <v>60114</v>
      </c>
      <c r="H97" s="20" t="n">
        <v>62077</v>
      </c>
      <c r="I97" s="20" t="n">
        <v>57574</v>
      </c>
      <c r="J97" s="20" t="n">
        <v>57642</v>
      </c>
      <c r="K97" s="20" t="n">
        <v>42415</v>
      </c>
      <c r="L97" s="20" t="n">
        <v>58857</v>
      </c>
    </row>
    <row r="98">
      <c r="A98" s="18" t="inlineStr">
        <is>
          <t>기타유동부채</t>
        </is>
      </c>
      <c r="C98" s="20" t="n">
        <v>39106</v>
      </c>
      <c r="D98" s="20" t="n">
        <v>57605</v>
      </c>
      <c r="E98" s="20" t="n">
        <v>89846</v>
      </c>
      <c r="F98" s="20" t="n">
        <v>68121</v>
      </c>
      <c r="G98" s="20" t="n">
        <v>43924</v>
      </c>
      <c r="H98" s="20" t="n">
        <v>51667</v>
      </c>
      <c r="I98" s="20" t="n">
        <v>60757</v>
      </c>
      <c r="J98" s="20" t="n">
        <v>69405</v>
      </c>
      <c r="K98" s="20" t="n">
        <v>74500</v>
      </c>
      <c r="L98" s="20" t="n">
        <v>89846</v>
      </c>
    </row>
    <row r="99">
      <c r="A99" s="18" t="inlineStr">
        <is>
          <t>소계</t>
        </is>
      </c>
      <c r="I99" s="20" t="n">
        <v>1365509</v>
      </c>
    </row>
    <row r="100">
      <c r="A100" s="18" t="inlineStr">
        <is>
          <t>소계</t>
        </is>
      </c>
      <c r="C100" s="20" t="n">
        <v>1298526</v>
      </c>
      <c r="D100" s="20" t="n">
        <v>1321898</v>
      </c>
      <c r="E100" s="20" t="n">
        <v>1563977</v>
      </c>
      <c r="I100" s="20" t="n">
        <v>1365509</v>
      </c>
      <c r="J100" s="20" t="n">
        <v>1469353</v>
      </c>
      <c r="K100" s="20" t="n">
        <v>1626887</v>
      </c>
      <c r="L100" s="20" t="n">
        <v>1563977</v>
      </c>
    </row>
    <row r="101">
      <c r="A101" s="18" t="inlineStr">
        <is>
          <t>매각예정 자산 직접 관련 부채</t>
        </is>
      </c>
      <c r="C101" s="20" t="n">
        <v>0</v>
      </c>
      <c r="D101" s="20" t="n">
        <v>0</v>
      </c>
      <c r="E101" s="20" t="n">
        <v>0</v>
      </c>
      <c r="I101" s="20" t="n">
        <v>0</v>
      </c>
      <c r="J101" s="20" t="n">
        <v>0</v>
      </c>
      <c r="K101" s="20" t="n">
        <v>6529</v>
      </c>
      <c r="L101" s="20" t="n">
        <v>0</v>
      </c>
    </row>
    <row r="102">
      <c r="A102" s="18" t="inlineStr">
        <is>
          <t>유동부채 합계</t>
        </is>
      </c>
      <c r="C102" s="20" t="n">
        <v>1298526</v>
      </c>
      <c r="D102" s="20" t="n">
        <v>1321898</v>
      </c>
      <c r="E102" s="20" t="n">
        <v>1563977</v>
      </c>
      <c r="F102" s="20" t="n">
        <v>1499291</v>
      </c>
      <c r="G102" s="20" t="n">
        <v>1623041</v>
      </c>
      <c r="H102" s="20" t="n">
        <v>1333983</v>
      </c>
      <c r="I102" s="20" t="n">
        <v>1365509</v>
      </c>
      <c r="J102" s="20" t="n">
        <v>1469353</v>
      </c>
      <c r="K102" s="20" t="n">
        <v>1633416</v>
      </c>
      <c r="L102" s="20" t="n">
        <v>1563977</v>
      </c>
    </row>
    <row r="103">
      <c r="A103" s="18" t="inlineStr">
        <is>
          <t>사채 및 차입금</t>
        </is>
      </c>
      <c r="C103" s="20" t="n">
        <v>286866</v>
      </c>
      <c r="D103" s="20" t="n">
        <v>272103</v>
      </c>
      <c r="E103" s="20" t="n">
        <v>272107</v>
      </c>
      <c r="F103" s="20" t="n">
        <v>307486</v>
      </c>
      <c r="G103" s="20" t="n">
        <v>325518</v>
      </c>
      <c r="H103" s="20" t="n">
        <v>257899</v>
      </c>
      <c r="I103" s="20" t="n">
        <v>320794</v>
      </c>
      <c r="J103" s="20" t="n">
        <v>298279</v>
      </c>
      <c r="K103" s="20" t="n">
        <v>255842</v>
      </c>
      <c r="L103" s="20" t="n">
        <v>272107</v>
      </c>
    </row>
    <row r="104">
      <c r="A104" s="18" t="inlineStr">
        <is>
          <t>리스부채</t>
        </is>
      </c>
      <c r="C104" s="20" t="n">
        <v>116350</v>
      </c>
      <c r="D104" s="20" t="n">
        <v>122931</v>
      </c>
      <c r="E104" s="20" t="n">
        <v>110730</v>
      </c>
      <c r="F104" s="20" t="n">
        <v>134779</v>
      </c>
      <c r="G104" s="20" t="n">
        <v>125560</v>
      </c>
      <c r="H104" s="20" t="n">
        <v>103241</v>
      </c>
      <c r="I104" s="20" t="n">
        <v>109764</v>
      </c>
      <c r="J104" s="20" t="n">
        <v>113121</v>
      </c>
      <c r="K104" s="20" t="n">
        <v>124112</v>
      </c>
      <c r="L104" s="20" t="n">
        <v>110730</v>
      </c>
    </row>
    <row r="105">
      <c r="A105" s="18" t="inlineStr">
        <is>
          <t>기타금융부채</t>
        </is>
      </c>
      <c r="C105" s="20" t="n">
        <v>22995</v>
      </c>
      <c r="D105" s="20" t="n">
        <v>24035</v>
      </c>
      <c r="E105" s="20" t="n">
        <v>30008</v>
      </c>
      <c r="F105" s="20" t="n">
        <v>34563</v>
      </c>
      <c r="G105" s="20" t="n">
        <v>31463</v>
      </c>
      <c r="H105" s="20" t="n">
        <v>26937</v>
      </c>
      <c r="I105" s="20" t="n">
        <v>20428</v>
      </c>
      <c r="J105" s="20" t="n">
        <v>28838</v>
      </c>
      <c r="K105" s="20" t="n">
        <v>22168</v>
      </c>
      <c r="L105" s="20" t="n">
        <v>30008</v>
      </c>
    </row>
    <row r="106">
      <c r="A106" s="18" t="inlineStr">
        <is>
          <t>퇴직급여부채</t>
        </is>
      </c>
      <c r="C106" s="20" t="n">
        <v>132926</v>
      </c>
      <c r="D106" s="20" t="n">
        <v>131587</v>
      </c>
      <c r="E106" s="20" t="n">
        <v>123162</v>
      </c>
      <c r="F106" s="20" t="n">
        <v>122468</v>
      </c>
      <c r="G106" s="20" t="n">
        <v>120617</v>
      </c>
      <c r="H106" s="20" t="n">
        <v>179599</v>
      </c>
      <c r="I106" s="20" t="n">
        <v>179106</v>
      </c>
      <c r="J106" s="20" t="n">
        <v>157646</v>
      </c>
      <c r="K106" s="20" t="n">
        <v>137916</v>
      </c>
      <c r="L106" s="20" t="n">
        <v>123162</v>
      </c>
    </row>
    <row r="107">
      <c r="A107" s="18" t="inlineStr">
        <is>
          <t>충당금</t>
        </is>
      </c>
      <c r="C107" s="20" t="n">
        <v>33344</v>
      </c>
      <c r="D107" s="20" t="n">
        <v>34418</v>
      </c>
      <c r="E107" s="20" t="n">
        <v>36609</v>
      </c>
      <c r="F107" s="20" t="n">
        <v>37894</v>
      </c>
      <c r="G107" s="20" t="n">
        <v>32350</v>
      </c>
      <c r="H107" s="20" t="n">
        <v>18910</v>
      </c>
      <c r="I107" s="20" t="n">
        <v>20470</v>
      </c>
      <c r="J107" s="20" t="n">
        <v>23960</v>
      </c>
      <c r="K107" s="20" t="n">
        <v>26142</v>
      </c>
      <c r="L107" s="20" t="n">
        <v>36609</v>
      </c>
    </row>
    <row r="108">
      <c r="A108" s="18" t="inlineStr">
        <is>
          <t>기타비유동부채</t>
        </is>
      </c>
      <c r="C108" s="20" t="n">
        <v>47020</v>
      </c>
      <c r="D108" s="20" t="n">
        <v>48866</v>
      </c>
      <c r="E108" s="20" t="n">
        <v>48304</v>
      </c>
      <c r="F108" s="20" t="n">
        <v>50631</v>
      </c>
      <c r="G108" s="20" t="n">
        <v>46217</v>
      </c>
      <c r="H108" s="20" t="n">
        <v>54522</v>
      </c>
      <c r="I108" s="20" t="n">
        <v>55255</v>
      </c>
      <c r="J108" s="20" t="n">
        <v>46794</v>
      </c>
      <c r="K108" s="20" t="n">
        <v>44261</v>
      </c>
      <c r="L108" s="20" t="n">
        <v>48304</v>
      </c>
    </row>
    <row r="109">
      <c r="A109" s="18" t="inlineStr">
        <is>
          <t>비유동부채 합계</t>
        </is>
      </c>
      <c r="C109" s="20" t="n">
        <v>639501</v>
      </c>
      <c r="D109" s="20" t="n">
        <v>633940</v>
      </c>
      <c r="E109" s="20" t="n">
        <v>620920</v>
      </c>
      <c r="F109" s="20" t="n">
        <v>687821</v>
      </c>
      <c r="G109" s="20" t="n">
        <v>681725</v>
      </c>
      <c r="H109" s="20" t="n">
        <v>641108</v>
      </c>
      <c r="I109" s="20" t="n">
        <v>705817</v>
      </c>
      <c r="J109" s="20" t="n">
        <v>668638</v>
      </c>
      <c r="K109" s="20" t="n">
        <v>610441</v>
      </c>
      <c r="L109" s="20" t="n">
        <v>620920</v>
      </c>
    </row>
    <row r="110">
      <c r="A110" s="18" t="inlineStr">
        <is>
          <t>부채 합계</t>
        </is>
      </c>
      <c r="C110" s="20" t="n">
        <v>1938027</v>
      </c>
      <c r="D110" s="20" t="n">
        <v>1955838</v>
      </c>
      <c r="E110" s="20" t="n">
        <v>2184897</v>
      </c>
      <c r="F110" s="20" t="n">
        <v>2187112</v>
      </c>
      <c r="G110" s="20" t="n">
        <v>2304766</v>
      </c>
      <c r="H110" s="20" t="n">
        <v>1975091</v>
      </c>
      <c r="I110" s="20" t="n">
        <v>2071326</v>
      </c>
      <c r="J110" s="20" t="n">
        <v>2137991</v>
      </c>
      <c r="K110" s="20" t="n">
        <v>2243857</v>
      </c>
      <c r="L110" s="20" t="n">
        <v>2184897</v>
      </c>
    </row>
    <row r="111">
      <c r="A111" s="18" t="inlineStr">
        <is>
          <t>자본금</t>
        </is>
      </c>
      <c r="C111" s="20" t="n">
        <v>427831</v>
      </c>
      <c r="D111" s="20" t="n">
        <v>427831</v>
      </c>
      <c r="E111" s="20" t="n">
        <v>427831</v>
      </c>
      <c r="F111" s="20" t="n">
        <v>427831</v>
      </c>
      <c r="G111" s="20" t="n">
        <v>427831</v>
      </c>
      <c r="H111" s="20" t="n">
        <v>427831</v>
      </c>
      <c r="I111" s="20" t="n">
        <v>427831</v>
      </c>
      <c r="J111" s="20" t="n">
        <v>427831</v>
      </c>
      <c r="K111" s="20" t="n">
        <v>427831</v>
      </c>
      <c r="L111" s="20" t="n">
        <v>427831</v>
      </c>
    </row>
    <row r="112">
      <c r="A112" s="18" t="inlineStr">
        <is>
          <t>자본잉여금</t>
        </is>
      </c>
      <c r="C112" s="20" t="n">
        <v>0</v>
      </c>
      <c r="D112" s="20" t="n">
        <v>0</v>
      </c>
      <c r="E112" s="20" t="n">
        <v>0</v>
      </c>
      <c r="F112" s="20" t="n">
        <v>0</v>
      </c>
      <c r="G112" s="20" t="n">
        <v>1307</v>
      </c>
      <c r="H112" s="20" t="n">
        <v>169090</v>
      </c>
      <c r="I112" s="20" t="n">
        <v>165034</v>
      </c>
      <c r="J112" s="20" t="n">
        <v>167451</v>
      </c>
      <c r="K112" s="20" t="n">
        <v>46704</v>
      </c>
      <c r="L112" s="20" t="n">
        <v>0</v>
      </c>
    </row>
    <row r="113">
      <c r="A113" s="18" t="inlineStr">
        <is>
          <t>이익잉여금</t>
        </is>
      </c>
      <c r="C113" s="20" t="n">
        <v>1041160</v>
      </c>
      <c r="D113" s="20" t="n">
        <v>1088991</v>
      </c>
      <c r="E113" s="20" t="n">
        <v>1216327</v>
      </c>
      <c r="F113" s="20" t="n">
        <v>1236615</v>
      </c>
      <c r="G113" s="20" t="n">
        <v>1303539</v>
      </c>
      <c r="H113" s="20" t="n">
        <v>678653</v>
      </c>
      <c r="I113" s="20" t="n">
        <v>764604</v>
      </c>
      <c r="J113" s="20" t="n">
        <v>883453</v>
      </c>
      <c r="K113" s="20" t="n">
        <v>1023945</v>
      </c>
      <c r="L113" s="20" t="n">
        <v>1216327</v>
      </c>
    </row>
    <row r="114">
      <c r="A114" s="18" t="inlineStr">
        <is>
          <t>자기주식</t>
        </is>
      </c>
      <c r="C114" s="20" t="n">
        <v>-30273</v>
      </c>
      <c r="D114" s="20" t="n">
        <v>-30283</v>
      </c>
      <c r="E114" s="20" t="n">
        <v>-57584</v>
      </c>
      <c r="F114" s="20" t="n">
        <v>-57590</v>
      </c>
      <c r="G114" s="20" t="n">
        <v>-55696</v>
      </c>
      <c r="H114" s="20" t="n">
        <v>-1906</v>
      </c>
      <c r="I114" s="20" t="n">
        <v>-31588</v>
      </c>
      <c r="J114" s="20" t="n">
        <v>-31097</v>
      </c>
      <c r="K114" s="20" t="n">
        <v>-30725</v>
      </c>
      <c r="L114" s="20" t="n">
        <v>-57584</v>
      </c>
    </row>
    <row r="115">
      <c r="A115" s="18" t="inlineStr">
        <is>
          <t>기타자본구성요소</t>
        </is>
      </c>
      <c r="C115" s="20" t="n">
        <v>532639</v>
      </c>
      <c r="D115" s="20" t="n">
        <v>579925</v>
      </c>
      <c r="E115" s="20" t="n">
        <v>610004</v>
      </c>
      <c r="F115" s="20" t="n">
        <v>627214</v>
      </c>
      <c r="G115" s="20" t="n">
        <v>577009</v>
      </c>
      <c r="H115" s="20" t="n">
        <v>239835</v>
      </c>
      <c r="I115" s="20" t="n">
        <v>297936</v>
      </c>
      <c r="J115" s="20" t="n">
        <v>467975</v>
      </c>
      <c r="K115" s="20" t="n">
        <v>484263</v>
      </c>
      <c r="L115" s="20" t="n">
        <v>610004</v>
      </c>
    </row>
    <row r="116">
      <c r="A116" s="18" t="inlineStr">
        <is>
          <t>지배기업 소유주 귀속 지분 합계</t>
        </is>
      </c>
      <c r="C116" s="20" t="n">
        <v>1971357</v>
      </c>
      <c r="D116" s="20" t="n">
        <v>2066464</v>
      </c>
      <c r="E116" s="20" t="n">
        <v>2196578</v>
      </c>
      <c r="F116" s="20" t="n">
        <v>2234070</v>
      </c>
      <c r="G116" s="20" t="n">
        <v>2253990</v>
      </c>
      <c r="H116" s="20" t="n">
        <v>1513503</v>
      </c>
      <c r="I116" s="20" t="n">
        <v>1623817</v>
      </c>
      <c r="J116" s="20" t="n">
        <v>1915613</v>
      </c>
      <c r="K116" s="20" t="n">
        <v>1952018</v>
      </c>
      <c r="L116" s="20" t="n">
        <v>2196578</v>
      </c>
    </row>
    <row r="117">
      <c r="A117" s="18" t="inlineStr">
        <is>
          <t>비지배지분</t>
        </is>
      </c>
      <c r="C117" s="20" t="n">
        <v>79528</v>
      </c>
      <c r="D117" s="20" t="n">
        <v>85014</v>
      </c>
      <c r="E117" s="20" t="n">
        <v>85309</v>
      </c>
      <c r="F117" s="20" t="n">
        <v>85645</v>
      </c>
      <c r="G117" s="20" t="n">
        <v>80174</v>
      </c>
      <c r="H117" s="20" t="n">
        <v>273139</v>
      </c>
      <c r="I117" s="20" t="n">
        <v>288907</v>
      </c>
      <c r="J117" s="20" t="n">
        <v>173910</v>
      </c>
      <c r="K117" s="20" t="n">
        <v>119493</v>
      </c>
      <c r="L117" s="20" t="n">
        <v>85309</v>
      </c>
    </row>
    <row r="118">
      <c r="A118" s="18" t="inlineStr">
        <is>
          <t>자본 합계</t>
        </is>
      </c>
      <c r="C118" s="20" t="n">
        <v>2050885</v>
      </c>
      <c r="D118" s="20" t="n">
        <v>2151478</v>
      </c>
      <c r="E118" s="20" t="n">
        <v>2281887</v>
      </c>
      <c r="F118" s="20" t="n">
        <v>2319715</v>
      </c>
      <c r="G118" s="20" t="n">
        <v>2334164</v>
      </c>
      <c r="H118" s="20" t="n">
        <v>1786642</v>
      </c>
      <c r="I118" s="20" t="n">
        <v>1912724</v>
      </c>
      <c r="J118" s="20" t="n">
        <v>2089523</v>
      </c>
      <c r="K118" s="20" t="n">
        <v>2071511</v>
      </c>
      <c r="L118" s="20" t="n">
        <v>2281887</v>
      </c>
    </row>
    <row r="119">
      <c r="A119" s="18" t="inlineStr">
        <is>
          <t>부채및자본 합계</t>
        </is>
      </c>
      <c r="C119" s="20" t="n">
        <v>3988912</v>
      </c>
      <c r="D119" s="20" t="n">
        <v>4107316</v>
      </c>
      <c r="E119" s="20" t="n">
        <v>4466784</v>
      </c>
      <c r="F119" s="20" t="n">
        <v>4506827</v>
      </c>
      <c r="G119" s="20" t="n">
        <v>4638930</v>
      </c>
      <c r="H119" s="20" t="n">
        <v>3761733</v>
      </c>
      <c r="I119" s="20" t="n">
        <v>3984050</v>
      </c>
      <c r="J119" s="20" t="n">
        <v>4227514</v>
      </c>
      <c r="K119" s="20" t="n">
        <v>4315368</v>
      </c>
      <c r="L119" s="20" t="n">
        <v>4466784</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2026-10-28</t>
        </is>
      </c>
      <c r="B4" t="inlineStr">
        <is>
          <t>2027년 3월 결산기 2분기 결산단신</t>
        </is>
      </c>
      <c r="C4" t="inlineStr">
        <is>
          <t>https://www2.jpx.co.jp/disc/67010/140120261027556514.pdf</t>
        </is>
      </c>
    </row>
    <row r="5">
      <c r="A5" t="inlineStr">
        <is>
          <t>2026-07-29</t>
        </is>
      </c>
      <c r="B5" t="inlineStr">
        <is>
          <t>2027년 3월 결산기 1분기 결산단신</t>
        </is>
      </c>
      <c r="C5" t="inlineStr">
        <is>
          <t>https://www2.jpx.co.jp/disc/67010/140120260729501413.pdf</t>
        </is>
      </c>
    </row>
    <row r="6">
      <c r="A6" t="inlineStr">
        <is>
          <t>2026-04-28</t>
        </is>
      </c>
      <c r="B6" t="inlineStr">
        <is>
          <t>2026년 3월 결산기 연간 결산단신</t>
        </is>
      </c>
      <c r="C6" t="inlineStr">
        <is>
          <t>https://www2.jpx.co.jp/disc/67010/140120260424510884.pdf</t>
        </is>
      </c>
    </row>
    <row r="7">
      <c r="A7" t="inlineStr">
        <is>
          <t>2026-01-29</t>
        </is>
      </c>
      <c r="B7" t="inlineStr">
        <is>
          <t>2026년 3월 결산기 3분기 결산단신</t>
        </is>
      </c>
      <c r="C7" t="inlineStr">
        <is>
          <t>https://www2.jpx.co.jp/disc/67010/140120260127539212.pdf</t>
        </is>
      </c>
    </row>
    <row r="8">
      <c r="A8" t="inlineStr">
        <is>
          <t>2025-10-29</t>
        </is>
      </c>
      <c r="B8" t="inlineStr">
        <is>
          <t>2026년 3월 결산기 2분기 결산단신</t>
        </is>
      </c>
      <c r="C8" t="inlineStr">
        <is>
          <t>https://www2.jpx.co.jp/disc/67010/140120251028580711.pdf</t>
        </is>
      </c>
    </row>
    <row r="9">
      <c r="A9" t="inlineStr">
        <is>
          <t>2025-07-29</t>
        </is>
      </c>
      <c r="B9" t="inlineStr">
        <is>
          <t>2026년 3월 결산기 1분기 결산단신</t>
        </is>
      </c>
      <c r="C9" t="inlineStr">
        <is>
          <t>https://www2.jpx.co.jp/disc/67010/140120250725520576.pdf</t>
        </is>
      </c>
    </row>
    <row r="10">
      <c r="A10" t="inlineStr">
        <is>
          <t>2025-04-28</t>
        </is>
      </c>
      <c r="B10" t="inlineStr">
        <is>
          <t>2025년 3월 결산기 연간 결산단신</t>
        </is>
      </c>
      <c r="C10" t="inlineStr">
        <is>
          <t>https://www2.jpx.co.jp/disc/67010/140120250425525045.pdf</t>
        </is>
      </c>
    </row>
    <row r="11">
      <c r="A11" t="inlineStr">
        <is>
          <t>2025-01-30</t>
        </is>
      </c>
      <c r="B11" t="inlineStr">
        <is>
          <t>2025년 3월 결산기 3분기 결산단신</t>
        </is>
      </c>
      <c r="C11" t="inlineStr">
        <is>
          <t>https://www2.jpx.co.jp/disc/67010/140120250121553270.pdf</t>
        </is>
      </c>
    </row>
    <row r="12">
      <c r="A12" t="inlineStr">
        <is>
          <t>2024-10-29</t>
        </is>
      </c>
      <c r="B12" t="inlineStr">
        <is>
          <t>2025년 3월 결산기 2분기 결산단신</t>
        </is>
      </c>
      <c r="C12" t="inlineStr">
        <is>
          <t>https://www2.jpx.co.jp/disc/67010/140120241029504562.pdf</t>
        </is>
      </c>
    </row>
    <row r="13">
      <c r="A13" t="inlineStr">
        <is>
          <t>2024-07-30</t>
        </is>
      </c>
      <c r="B13" t="inlineStr">
        <is>
          <t>2025년 3월 결산기 1분기 결산단신</t>
        </is>
      </c>
      <c r="C13" t="inlineStr">
        <is>
          <t>https://www2.jpx.co.jp/disc/67010/140120240730557358.pdf</t>
        </is>
      </c>
    </row>
    <row r="14">
      <c r="A14" t="inlineStr">
        <is>
          <t>2024-04-26</t>
        </is>
      </c>
      <c r="B14" t="inlineStr">
        <is>
          <t>2024년 3월 결산기 연간 결산단신</t>
        </is>
      </c>
      <c r="C14" t="inlineStr">
        <is>
          <t>https://www2.jpx.co.jp/disc/67010/140120240415571137.pdf</t>
        </is>
      </c>
    </row>
    <row r="15">
      <c r="A15" t="inlineStr">
        <is>
          <t>2024-01-30</t>
        </is>
      </c>
      <c r="B15" t="inlineStr">
        <is>
          <t>2024년 3월 결산기 3분기 결산단신</t>
        </is>
      </c>
      <c r="C15" t="inlineStr">
        <is>
          <t>https://www2.jpx.co.jp/disc/67010/140120240126519784.pdf</t>
        </is>
      </c>
    </row>
    <row r="16">
      <c r="A16" t="inlineStr">
        <is>
          <t>2023-10-30</t>
        </is>
      </c>
      <c r="B16" t="inlineStr">
        <is>
          <t>2024년 3월 결산기 2분기 결산단신</t>
        </is>
      </c>
      <c r="C16" t="inlineStr">
        <is>
          <t>https://www2.jpx.co.jp/disc/67010/140120231027573444.pdf</t>
        </is>
      </c>
    </row>
    <row r="17">
      <c r="A17" t="inlineStr">
        <is>
          <t>2023-07-28</t>
        </is>
      </c>
      <c r="B17" t="inlineStr">
        <is>
          <t>2024년 3월 결산기 1분기 결산단신</t>
        </is>
      </c>
      <c r="C17" t="inlineStr">
        <is>
          <t>https://www2.jpx.co.jp/disc/67010/140120230727528569.pdf</t>
        </is>
      </c>
    </row>
    <row r="18">
      <c r="A18" t="inlineStr">
        <is>
          <t>2023-04-28</t>
        </is>
      </c>
      <c r="B18" t="inlineStr">
        <is>
          <t>2023년 3월 결산기 연간 결산단신</t>
        </is>
      </c>
      <c r="C18" t="inlineStr">
        <is>
          <t>https://www2.jpx.co.jp/disc/67010/140120230427555574.pdf</t>
        </is>
      </c>
    </row>
    <row r="19">
      <c r="A19" t="inlineStr">
        <is>
          <t>2023-01-30</t>
        </is>
      </c>
      <c r="B19" t="inlineStr">
        <is>
          <t>2023년 3월 결산기 3분기 결산단신</t>
        </is>
      </c>
      <c r="C19" t="inlineStr">
        <is>
          <t>https://www2.jpx.co.jp/disc/67010/140120230127595135.pdf</t>
        </is>
      </c>
    </row>
    <row r="20">
      <c r="A20" t="inlineStr">
        <is>
          <t>2022-04-28</t>
        </is>
      </c>
      <c r="B20" t="inlineStr">
        <is>
          <t>2022년 3월 결산기 연간 결산단신</t>
        </is>
      </c>
      <c r="C20" t="inlineStr">
        <is>
          <t>https://www2.jpx.co.jp/disc/67010/140120220426528820.pdf</t>
        </is>
      </c>
    </row>
    <row r="21">
      <c r="A21" t="inlineStr">
        <is>
          <t>2021-05-12</t>
        </is>
      </c>
      <c r="B21" t="inlineStr">
        <is>
          <t>2021년 3월 결산기 연간 결산단신</t>
        </is>
      </c>
      <c r="C21" t="inlineStr">
        <is>
          <t>https://www2.jpx.co.jp/disc/67010/140120210510410207.pdf</t>
        </is>
      </c>
    </row>
    <row r="22">
      <c r="A22" t="inlineStr">
        <is>
          <t>2020-05-12</t>
        </is>
      </c>
      <c r="B22" t="inlineStr">
        <is>
          <t>2020년 3월 결산기 연간 결산단신</t>
        </is>
      </c>
      <c r="C22" t="inlineStr">
        <is>
          <t>https://www2.jpx.co.jp/disc/67010/140120200511408936.pdf</t>
        </is>
      </c>
    </row>
    <row r="23">
      <c r="A23" t="inlineStr">
        <is>
          <t>2019-04-26</t>
        </is>
      </c>
      <c r="B23" t="inlineStr">
        <is>
          <t>2019년 3월 결산기 연간 결산단신</t>
        </is>
      </c>
      <c r="C23" t="inlineStr">
        <is>
          <t>https://www2.jpx.co.jp/disc/67010/140120190425412089.pdf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2026-10-28T07:04:55Z</dcterms:created>
  <dcterms:modified xmlns:dcterms="http://purl.org/dc/terms/" xmlns:xsi="http://www.w3.org/2001/XMLSchema-instance" xsi:type="dcterms:W3CDTF">2026-10-28T07:04:55Z</dcterms:modified>
</cp:coreProperties>
</file>