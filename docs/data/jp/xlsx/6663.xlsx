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6663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11월 결산 · 일본 기준 · 2026.4Q = 2026년 11월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865.849</v>
      </c>
      <c r="D4" s="12" t="n">
        <v>894.376</v>
      </c>
      <c r="E4" s="12" t="n">
        <v>997.932</v>
      </c>
      <c r="F4" s="12" t="n">
        <v>653.308</v>
      </c>
      <c r="G4" s="12" t="n">
        <v>783.899</v>
      </c>
      <c r="H4" s="12" t="n">
        <v>823.261</v>
      </c>
      <c r="I4" s="12" t="n">
        <v>1011.058</v>
      </c>
      <c r="J4" s="12" t="n">
        <v>901.082</v>
      </c>
      <c r="K4" s="12" t="n">
        <v>820.764</v>
      </c>
      <c r="L4" s="12" t="n">
        <v>961.948</v>
      </c>
      <c r="M4" s="12" t="n">
        <v>1105.708</v>
      </c>
      <c r="N4" s="12" t="n">
        <v>863.247</v>
      </c>
      <c r="O4" s="11" t="n">
        <v>4979.906</v>
      </c>
      <c r="P4" s="12" t="n">
        <v>4238.765</v>
      </c>
      <c r="Q4" s="12" t="n">
        <v>4582.357</v>
      </c>
      <c r="R4" s="12" t="n">
        <v>3896.341</v>
      </c>
      <c r="S4" s="12" t="n">
        <v>3175.189</v>
      </c>
      <c r="T4" s="12" t="n">
        <v>3917.94</v>
      </c>
      <c r="U4" s="12" t="n">
        <v>3625.517</v>
      </c>
      <c r="V4" s="12" t="n">
        <v>3411.465</v>
      </c>
      <c r="W4" s="12" t="n">
        <v>3519.3</v>
      </c>
      <c r="X4" s="12" t="n">
        <v>3751.667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전자기판 사업</t>
        </is>
      </c>
      <c r="B7" s="10" t="n"/>
      <c r="C7" s="19" t="n">
        <v>572.255</v>
      </c>
      <c r="D7" s="20" t="n">
        <v>580.651</v>
      </c>
      <c r="E7" s="20" t="n">
        <v>564.595</v>
      </c>
      <c r="F7" s="20" t="n">
        <v>701.874</v>
      </c>
      <c r="G7" s="20" t="n">
        <v>574.353</v>
      </c>
      <c r="H7" s="20" t="n">
        <v>584.717</v>
      </c>
      <c r="I7" s="20" t="n">
        <v>548.37</v>
      </c>
      <c r="J7" s="20" t="n">
        <v>559.268</v>
      </c>
      <c r="K7" s="20" t="n">
        <v>649.97</v>
      </c>
      <c r="L7" s="20" t="n">
        <v>673.0940000000001</v>
      </c>
      <c r="M7" s="20" t="n">
        <v>703.259</v>
      </c>
      <c r="N7" s="20" t="n">
        <v>383</v>
      </c>
      <c r="O7" s="19" t="n"/>
      <c r="P7" s="20" t="n"/>
      <c r="Q7" s="20" t="n"/>
      <c r="R7" s="20" t="n"/>
      <c r="S7" s="20" t="n"/>
      <c r="T7" s="20" t="n"/>
      <c r="U7" s="20" t="n"/>
      <c r="V7" s="20" t="n">
        <v>2419.375</v>
      </c>
      <c r="W7" s="20" t="n">
        <v>2266.708</v>
      </c>
      <c r="X7" s="20" t="n">
        <v>2409.323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테스트시스템 사업</t>
        </is>
      </c>
      <c r="B10" s="10" t="n"/>
      <c r="C10" s="19" t="n">
        <v>175.585</v>
      </c>
      <c r="D10" s="20" t="n">
        <v>173.913</v>
      </c>
      <c r="E10" s="20" t="n">
        <v>243.186</v>
      </c>
      <c r="F10" s="20" t="n">
        <v>-171.931</v>
      </c>
      <c r="G10" s="20" t="n">
        <v>77.95399999999999</v>
      </c>
      <c r="H10" s="20" t="n">
        <v>61.254</v>
      </c>
      <c r="I10" s="20" t="n">
        <v>80.82299999999999</v>
      </c>
      <c r="J10" s="20" t="n">
        <v>477.705</v>
      </c>
      <c r="K10" s="20" t="n">
        <v>76.842</v>
      </c>
      <c r="L10" s="20" t="n">
        <v>116.365</v>
      </c>
      <c r="M10" s="20" t="n">
        <v>96.63500000000001</v>
      </c>
      <c r="N10" s="20" t="n">
        <v>161.14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420.753</v>
      </c>
      <c r="W10" s="20" t="n">
        <v>697.736</v>
      </c>
      <c r="X10" s="20" t="n">
        <v>450.982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경면연마기 사업</t>
        </is>
      </c>
      <c r="B13" s="10" t="n"/>
      <c r="C13" s="19" t="n">
        <v>102.012</v>
      </c>
      <c r="D13" s="20" t="n">
        <v>90.459</v>
      </c>
      <c r="E13" s="20" t="n">
        <v>134.637</v>
      </c>
      <c r="F13" s="20" t="n">
        <v>69.611</v>
      </c>
      <c r="G13" s="20" t="n">
        <v>119.334</v>
      </c>
      <c r="H13" s="20" t="n">
        <v>97.19</v>
      </c>
      <c r="I13" s="20" t="n">
        <v>104.111</v>
      </c>
      <c r="J13" s="20" t="n">
        <v>101.201</v>
      </c>
      <c r="K13" s="20" t="n">
        <v>65.52</v>
      </c>
      <c r="L13" s="20" t="n">
        <v>133.173</v>
      </c>
      <c r="M13" s="20" t="n">
        <v>145.709</v>
      </c>
      <c r="N13" s="20" t="n">
        <v>101.265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396.719</v>
      </c>
      <c r="W13" s="20" t="n">
        <v>421.836</v>
      </c>
      <c r="X13" s="20" t="n">
        <v>445.667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산업기계시스템 사업</t>
        </is>
      </c>
      <c r="B16" s="10" t="n"/>
      <c r="C16" s="19" t="n">
        <v>15.995</v>
      </c>
      <c r="D16" s="20" t="n">
        <v>49.354</v>
      </c>
      <c r="E16" s="20" t="n">
        <v>55.512</v>
      </c>
      <c r="F16" s="20" t="n">
        <v>53.756</v>
      </c>
      <c r="G16" s="20" t="n">
        <v>12.257</v>
      </c>
      <c r="H16" s="20" t="n">
        <v>80.099</v>
      </c>
      <c r="I16" s="20" t="n">
        <v>277.755</v>
      </c>
      <c r="J16" s="20" t="n">
        <v>-237.092</v>
      </c>
      <c r="K16" s="20" t="n">
        <v>28.43</v>
      </c>
      <c r="L16" s="20" t="n">
        <v>39.316</v>
      </c>
      <c r="M16" s="20" t="n">
        <v>160.106</v>
      </c>
      <c r="N16" s="20" t="n">
        <v>217.841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174.617</v>
      </c>
      <c r="W16" s="20" t="n">
        <v>133.019</v>
      </c>
      <c r="X16" s="20" t="n">
        <v>445.693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593.605</v>
      </c>
      <c r="D20" s="20" t="n">
        <v>670.452</v>
      </c>
      <c r="E20" s="20" t="n">
        <v>697.359</v>
      </c>
      <c r="F20" s="20" t="n">
        <v>505.74</v>
      </c>
      <c r="G20" s="20" t="n">
        <v>562.78</v>
      </c>
      <c r="H20" s="20" t="n">
        <v>583.814</v>
      </c>
      <c r="I20" s="20" t="n">
        <v>759.414</v>
      </c>
      <c r="J20" s="20" t="n">
        <v>603.213</v>
      </c>
      <c r="K20" s="20" t="n">
        <v>546.9829999999999</v>
      </c>
      <c r="L20" s="20" t="n">
        <v>652.153</v>
      </c>
      <c r="M20" s="20" t="n">
        <v>795.755</v>
      </c>
      <c r="N20" s="20" t="n">
        <v>632.715</v>
      </c>
      <c r="O20" s="19" t="n">
        <v>3747.426</v>
      </c>
      <c r="P20" s="20" t="n">
        <v>3095.518</v>
      </c>
      <c r="Q20" s="20" t="n">
        <v>3263.75</v>
      </c>
      <c r="R20" s="20" t="n">
        <v>2834.274</v>
      </c>
      <c r="S20" s="20" t="n">
        <v>2540.878</v>
      </c>
      <c r="T20" s="20" t="n">
        <v>2726.187</v>
      </c>
      <c r="U20" s="20" t="n">
        <v>2583.747</v>
      </c>
      <c r="V20" s="20" t="n">
        <v>2467.156</v>
      </c>
      <c r="W20" s="20" t="n">
        <v>2509.221</v>
      </c>
      <c r="X20" s="20" t="n">
        <v>2627.606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270.476</v>
      </c>
      <c r="D26" s="20" t="n">
        <v>260.157</v>
      </c>
      <c r="E26" s="20" t="n">
        <v>269.416</v>
      </c>
      <c r="F26" s="20" t="n">
        <v>286.133</v>
      </c>
      <c r="G26" s="20" t="n">
        <v>280.648</v>
      </c>
      <c r="H26" s="20" t="n">
        <v>237.353</v>
      </c>
      <c r="I26" s="20" t="n">
        <v>227.358</v>
      </c>
      <c r="J26" s="20" t="n">
        <v>318.807</v>
      </c>
      <c r="K26" s="20" t="n">
        <v>249.62</v>
      </c>
      <c r="L26" s="20" t="n">
        <v>250.577</v>
      </c>
      <c r="M26" s="20" t="n">
        <v>253.717</v>
      </c>
      <c r="N26" s="20" t="n">
        <v>227.574</v>
      </c>
      <c r="O26" s="19" t="n">
        <v>1175.282</v>
      </c>
      <c r="P26" s="20" t="n">
        <v>1173.203</v>
      </c>
      <c r="Q26" s="20" t="n">
        <v>1196.519</v>
      </c>
      <c r="R26" s="20" t="n">
        <v>1175.836</v>
      </c>
      <c r="S26" s="20" t="n">
        <v>1060.003</v>
      </c>
      <c r="T26" s="20" t="n">
        <v>1070.503</v>
      </c>
      <c r="U26" s="20" t="n">
        <v>1069.554</v>
      </c>
      <c r="V26" s="20" t="n">
        <v>1086.182</v>
      </c>
      <c r="W26" s="20" t="n">
        <v>1064.166</v>
      </c>
      <c r="X26" s="20" t="n">
        <v>981.4880000000001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1.767</v>
      </c>
      <c r="D28" s="12" t="n">
        <v>-36.232</v>
      </c>
      <c r="E28" s="12" t="n">
        <v>31.156</v>
      </c>
      <c r="F28" s="12" t="n">
        <v>-138.564</v>
      </c>
      <c r="G28" s="12" t="n">
        <v>-59.528</v>
      </c>
      <c r="H28" s="12" t="n">
        <v>2.093</v>
      </c>
      <c r="I28" s="12" t="n">
        <v>24.286</v>
      </c>
      <c r="J28" s="12" t="n">
        <v>-20.939</v>
      </c>
      <c r="K28" s="12" t="n">
        <v>24.16</v>
      </c>
      <c r="L28" s="12" t="n">
        <v>59.218</v>
      </c>
      <c r="M28" s="12" t="n">
        <v>56.236</v>
      </c>
      <c r="N28" s="12" t="n">
        <v>2.958</v>
      </c>
      <c r="O28" s="11" t="n">
        <v>57.197</v>
      </c>
      <c r="P28" s="12" t="n">
        <v>-29.956</v>
      </c>
      <c r="Q28" s="12" t="n">
        <v>122.086</v>
      </c>
      <c r="R28" s="12" t="n">
        <v>-113.769</v>
      </c>
      <c r="S28" s="12" t="n">
        <v>-425.693</v>
      </c>
      <c r="T28" s="12" t="n">
        <v>121.249</v>
      </c>
      <c r="U28" s="12" t="n">
        <v>-27.783</v>
      </c>
      <c r="V28" s="12" t="n">
        <v>-141.873</v>
      </c>
      <c r="W28" s="12" t="n">
        <v>-54.088</v>
      </c>
      <c r="X28" s="12" t="n">
        <v>142.572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8.366</v>
      </c>
      <c r="D44" s="20" t="n">
        <v>0</v>
      </c>
      <c r="E44" s="20" t="n">
        <v>0</v>
      </c>
      <c r="F44" s="20" t="n">
        <v>90.357</v>
      </c>
      <c r="G44" s="20" t="n">
        <v>44.754</v>
      </c>
      <c r="H44" s="20" t="n">
        <v>0</v>
      </c>
      <c r="I44" s="20" t="n">
        <v>14.29</v>
      </c>
      <c r="J44" s="20" t="n">
        <v>-50.541</v>
      </c>
      <c r="K44" s="20" t="n">
        <v>0</v>
      </c>
      <c r="L44" s="20" t="n">
        <v>0</v>
      </c>
      <c r="M44" s="20" t="n">
        <v>0</v>
      </c>
      <c r="N44" s="20" t="n">
        <v>59.169</v>
      </c>
      <c r="O44" s="19" t="n">
        <v>0.033</v>
      </c>
      <c r="P44" s="20" t="n">
        <v>14.381</v>
      </c>
      <c r="Q44" s="20" t="n">
        <v>1.776</v>
      </c>
      <c r="R44" s="20" t="n">
        <v>43.855</v>
      </c>
      <c r="S44" s="20" t="n">
        <v>0</v>
      </c>
      <c r="T44" s="20" t="n">
        <v>9.981999999999999</v>
      </c>
      <c r="U44" s="20" t="n">
        <v>5.958</v>
      </c>
      <c r="V44" s="20" t="n">
        <v>98.723</v>
      </c>
      <c r="W44" s="20" t="n">
        <v>8.503</v>
      </c>
      <c r="X44" s="20" t="n">
        <v>59.169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8.366</v>
      </c>
      <c r="D46" s="20" t="n">
        <v>0.04</v>
      </c>
      <c r="E46" s="20" t="n">
        <v>0</v>
      </c>
      <c r="F46" s="20" t="n">
        <v>105.003</v>
      </c>
      <c r="G46" s="20" t="n">
        <v>0</v>
      </c>
      <c r="H46" s="20" t="n">
        <v>44.417</v>
      </c>
      <c r="I46" s="20" t="n">
        <v>0</v>
      </c>
      <c r="J46" s="20" t="n">
        <v>-32.805</v>
      </c>
      <c r="K46" s="20" t="n">
        <v>8.57</v>
      </c>
      <c r="L46" s="20" t="n">
        <v>0.157</v>
      </c>
      <c r="M46" s="20" t="n">
        <v>0.126</v>
      </c>
      <c r="N46" s="20" t="n">
        <v>39.533</v>
      </c>
      <c r="O46" s="19" t="n">
        <v>107.946</v>
      </c>
      <c r="P46" s="20" t="n">
        <v>25.709</v>
      </c>
      <c r="Q46" s="20" t="n">
        <v>6.774</v>
      </c>
      <c r="R46" s="20" t="n">
        <v>16.732</v>
      </c>
      <c r="S46" s="20" t="n">
        <v>302.05</v>
      </c>
      <c r="T46" s="20" t="n">
        <v>5.281</v>
      </c>
      <c r="U46" s="20" t="n">
        <v>8.981</v>
      </c>
      <c r="V46" s="20" t="n">
        <v>113.409</v>
      </c>
      <c r="W46" s="20" t="n">
        <v>11.612</v>
      </c>
      <c r="X46" s="20" t="n">
        <v>48.386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5.244</v>
      </c>
      <c r="D48" s="20" t="n">
        <v>2.85</v>
      </c>
      <c r="E48" s="20" t="n">
        <v>7.246</v>
      </c>
      <c r="F48" s="20" t="n">
        <v>34.618</v>
      </c>
      <c r="G48" s="20" t="n">
        <v>3.628</v>
      </c>
      <c r="H48" s="20" t="n">
        <v>2.836</v>
      </c>
      <c r="I48" s="20" t="n">
        <v>10.154</v>
      </c>
      <c r="J48" s="20" t="n">
        <v>7.777</v>
      </c>
      <c r="K48" s="20" t="n">
        <v>3.561</v>
      </c>
      <c r="L48" s="20" t="n">
        <v>1.799</v>
      </c>
      <c r="M48" s="20" t="n">
        <v>9.898999999999999</v>
      </c>
      <c r="N48" s="20" t="n">
        <v>17.687</v>
      </c>
      <c r="O48" s="19" t="n">
        <v>66.099</v>
      </c>
      <c r="P48" s="20" t="n">
        <v>69.571</v>
      </c>
      <c r="Q48" s="20" t="n">
        <v>32.171</v>
      </c>
      <c r="R48" s="20" t="n">
        <v>47.923</v>
      </c>
      <c r="S48" s="20" t="n">
        <v>132.555</v>
      </c>
      <c r="T48" s="20" t="n">
        <v>147.987</v>
      </c>
      <c r="U48" s="20" t="n">
        <v>88.18300000000001</v>
      </c>
      <c r="V48" s="20" t="n">
        <v>49.958</v>
      </c>
      <c r="W48" s="20" t="n">
        <v>24.395</v>
      </c>
      <c r="X48" s="20" t="n">
        <v>32.946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3.143</v>
      </c>
      <c r="D50" s="20" t="n">
        <v>5.582</v>
      </c>
      <c r="E50" s="20" t="n">
        <v>6.459</v>
      </c>
      <c r="F50" s="20" t="n">
        <v>0.977</v>
      </c>
      <c r="G50" s="20" t="n">
        <v>4.895</v>
      </c>
      <c r="H50" s="20" t="n">
        <v>4.034</v>
      </c>
      <c r="I50" s="20" t="n">
        <v>6.238</v>
      </c>
      <c r="J50" s="20" t="n">
        <v>2.383</v>
      </c>
      <c r="K50" s="20" t="n">
        <v>5.193</v>
      </c>
      <c r="L50" s="20" t="n">
        <v>4.087</v>
      </c>
      <c r="M50" s="20" t="n">
        <v>6.55</v>
      </c>
      <c r="N50" s="20" t="n">
        <v>1.347</v>
      </c>
      <c r="O50" s="19" t="n">
        <v>29.313</v>
      </c>
      <c r="P50" s="20" t="n">
        <v>17.679</v>
      </c>
      <c r="Q50" s="20" t="n">
        <v>23.617</v>
      </c>
      <c r="R50" s="20" t="n">
        <v>22.001</v>
      </c>
      <c r="S50" s="20" t="n">
        <v>21.106</v>
      </c>
      <c r="T50" s="20" t="n">
        <v>15.591</v>
      </c>
      <c r="U50" s="20" t="n">
        <v>14.688</v>
      </c>
      <c r="V50" s="20" t="n">
        <v>16.161</v>
      </c>
      <c r="W50" s="20" t="n">
        <v>17.55</v>
      </c>
      <c r="X50" s="20" t="n">
        <v>17.177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3.868</v>
      </c>
      <c r="D52" s="12" t="n">
        <v>-39.004</v>
      </c>
      <c r="E52" s="12" t="n">
        <v>31.944</v>
      </c>
      <c r="F52" s="12" t="n">
        <v>-119.57</v>
      </c>
      <c r="G52" s="12" t="n">
        <v>-16.041</v>
      </c>
      <c r="H52" s="12" t="n">
        <v>-43.522</v>
      </c>
      <c r="I52" s="12" t="n">
        <v>42.491</v>
      </c>
      <c r="J52" s="12" t="n">
        <v>-33.28</v>
      </c>
      <c r="K52" s="12" t="n">
        <v>13.958</v>
      </c>
      <c r="L52" s="12" t="n">
        <v>56.773</v>
      </c>
      <c r="M52" s="12" t="n">
        <v>59.458</v>
      </c>
      <c r="N52" s="12" t="n">
        <v>38.936</v>
      </c>
      <c r="O52" s="11" t="n">
        <v>-13.928</v>
      </c>
      <c r="P52" s="12" t="n">
        <v>10.607</v>
      </c>
      <c r="Q52" s="12" t="n">
        <v>125.642</v>
      </c>
      <c r="R52" s="12" t="n">
        <v>-60.724</v>
      </c>
      <c r="S52" s="12" t="n">
        <v>-616.295</v>
      </c>
      <c r="T52" s="12" t="n">
        <v>258.347</v>
      </c>
      <c r="U52" s="12" t="n">
        <v>42.687</v>
      </c>
      <c r="V52" s="12" t="n">
        <v>-122.762</v>
      </c>
      <c r="W52" s="12" t="n">
        <v>-50.352</v>
      </c>
      <c r="X52" s="12" t="n">
        <v>169.125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-2.955</v>
      </c>
      <c r="D54" s="20" t="n">
        <v>-6.702</v>
      </c>
      <c r="E54" s="20" t="n">
        <v>11.049</v>
      </c>
      <c r="F54" s="20" t="n">
        <v>2.46</v>
      </c>
      <c r="G54" s="20" t="n">
        <v>5.441</v>
      </c>
      <c r="H54" s="20" t="n">
        <v>2.487</v>
      </c>
      <c r="I54" s="20" t="n">
        <v>7.327</v>
      </c>
      <c r="J54" s="20" t="n">
        <v>15.714</v>
      </c>
      <c r="K54" s="20" t="n">
        <v>10.847</v>
      </c>
      <c r="L54" s="20" t="n">
        <v>18.318</v>
      </c>
      <c r="M54" s="20" t="n">
        <v>19.159</v>
      </c>
      <c r="N54" s="20" t="n">
        <v>-12.026</v>
      </c>
      <c r="O54" s="19" t="n">
        <v>-73.999</v>
      </c>
      <c r="P54" s="20" t="n">
        <v>8.608000000000001</v>
      </c>
      <c r="Q54" s="20" t="n">
        <v>42.068</v>
      </c>
      <c r="R54" s="20" t="n">
        <v>153.236</v>
      </c>
      <c r="S54" s="20" t="n">
        <v>19.111</v>
      </c>
      <c r="T54" s="20" t="n">
        <v>20.943</v>
      </c>
      <c r="U54" s="20" t="n">
        <v>9.534000000000001</v>
      </c>
      <c r="V54" s="20" t="n">
        <v>3.852</v>
      </c>
      <c r="W54" s="20" t="n">
        <v>30.969</v>
      </c>
      <c r="X54" s="20" t="n">
        <v>36.298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6.824</v>
      </c>
      <c r="D56" s="12" t="n">
        <v>-32.302</v>
      </c>
      <c r="E56" s="12" t="n">
        <v>20.893</v>
      </c>
      <c r="F56" s="12" t="n">
        <v>-122.03</v>
      </c>
      <c r="G56" s="12" t="n">
        <v>-21.483</v>
      </c>
      <c r="H56" s="12" t="n">
        <v>-46.008</v>
      </c>
      <c r="I56" s="12" t="n">
        <v>35.164</v>
      </c>
      <c r="J56" s="12" t="n">
        <v>-48.995</v>
      </c>
      <c r="K56" s="12" t="n">
        <v>3.111</v>
      </c>
      <c r="L56" s="12" t="n">
        <v>38.454</v>
      </c>
      <c r="M56" s="12" t="n">
        <v>40.3</v>
      </c>
      <c r="N56" s="12" t="n">
        <v>50.962</v>
      </c>
      <c r="O56" s="11" t="n">
        <v>60.07</v>
      </c>
      <c r="P56" s="12" t="n">
        <v>1.998</v>
      </c>
      <c r="Q56" s="12" t="n">
        <v>83.57299999999999</v>
      </c>
      <c r="R56" s="12" t="n">
        <v>-213.961</v>
      </c>
      <c r="S56" s="12" t="n">
        <v>-635.4059999999999</v>
      </c>
      <c r="T56" s="12" t="n">
        <v>237.403</v>
      </c>
      <c r="U56" s="12" t="n">
        <v>33.153</v>
      </c>
      <c r="V56" s="12" t="n">
        <v>-126.615</v>
      </c>
      <c r="W56" s="12" t="n">
        <v>-81.322</v>
      </c>
      <c r="X56" s="12" t="n">
        <v>132.827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6.212</v>
      </c>
      <c r="D58" s="12" t="n">
        <v>-32.363</v>
      </c>
      <c r="E58" s="12" t="n">
        <v>20.368</v>
      </c>
      <c r="F58" s="12" t="n">
        <v>-120.753</v>
      </c>
      <c r="G58" s="12" t="n">
        <v>-20.089</v>
      </c>
      <c r="H58" s="12" t="n">
        <v>-45.145</v>
      </c>
      <c r="I58" s="12" t="n">
        <v>35.619</v>
      </c>
      <c r="J58" s="12" t="n">
        <v>-50.165</v>
      </c>
      <c r="K58" s="12" t="n">
        <v>2.112</v>
      </c>
      <c r="L58" s="12" t="n">
        <v>37.012</v>
      </c>
      <c r="M58" s="12" t="n">
        <v>35.333</v>
      </c>
      <c r="N58" s="12" t="n">
        <v>62.238</v>
      </c>
      <c r="O58" s="11" t="n">
        <v>56.722</v>
      </c>
      <c r="P58" s="12" t="n">
        <v>5.366</v>
      </c>
      <c r="Q58" s="12" t="n">
        <v>69.34099999999999</v>
      </c>
      <c r="R58" s="12" t="n">
        <v>-213.563</v>
      </c>
      <c r="S58" s="12" t="n">
        <v>-630.016</v>
      </c>
      <c r="T58" s="12" t="n">
        <v>241.185</v>
      </c>
      <c r="U58" s="12" t="n">
        <v>39.764</v>
      </c>
      <c r="V58" s="12" t="n">
        <v>-126.536</v>
      </c>
      <c r="W58" s="12" t="n">
        <v>-79.78</v>
      </c>
      <c r="X58" s="12" t="n">
        <v>136.695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307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6062400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2024.1Q</t>
        </is>
      </c>
      <c r="D92" s="5" t="inlineStr">
        <is>
          <t>2024.2Q</t>
        </is>
      </c>
      <c r="E92" s="5" t="inlineStr">
        <is>
          <t>2024.3Q</t>
        </is>
      </c>
      <c r="F92" s="5" t="inlineStr">
        <is>
          <t>2024.4Q</t>
        </is>
      </c>
      <c r="G92" s="5" t="inlineStr">
        <is>
          <t>2025.1Q</t>
        </is>
      </c>
      <c r="H92" s="5" t="inlineStr">
        <is>
          <t>2025.2Q</t>
        </is>
      </c>
      <c r="I92" s="5" t="inlineStr">
        <is>
          <t>2025.3Q</t>
        </is>
      </c>
      <c r="J92" s="5" t="inlineStr">
        <is>
          <t>2025.4Q</t>
        </is>
      </c>
      <c r="K92" s="5" t="inlineStr">
        <is>
          <t>2026.1Q</t>
        </is>
      </c>
      <c r="L92" s="5" t="inlineStr">
        <is>
          <t>2026.2Q</t>
        </is>
      </c>
      <c r="M92" s="5" t="inlineStr">
        <is>
          <t>2026.3Q</t>
        </is>
      </c>
      <c r="N92" s="5" t="inlineStr">
        <is>
          <t>2026.4Q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865.849</v>
      </c>
      <c r="D93" s="12" t="n">
        <v>894.376</v>
      </c>
      <c r="E93" s="12" t="n">
        <v>997.932</v>
      </c>
      <c r="F93" s="12" t="n">
        <v>653.308</v>
      </c>
      <c r="G93" s="12" t="n">
        <v>783.899</v>
      </c>
      <c r="H93" s="12" t="n">
        <v>823.261</v>
      </c>
      <c r="I93" s="12" t="n">
        <v>1011.058</v>
      </c>
      <c r="J93" s="12" t="n">
        <v>901.082</v>
      </c>
      <c r="K93" s="12" t="n">
        <v>820.764</v>
      </c>
      <c r="L93" s="12" t="n">
        <v>961.948</v>
      </c>
      <c r="M93" s="12" t="n">
        <v>1105.708</v>
      </c>
      <c r="N93" s="12" t="n">
        <v>863.247</v>
      </c>
      <c r="T93" s="12" t="n">
        <v>1302.656</v>
      </c>
      <c r="U93" s="12" t="n">
        <v>1121.016</v>
      </c>
      <c r="V93" s="12" t="n">
        <v>653.308</v>
      </c>
      <c r="W93" s="12" t="n">
        <v>901.082</v>
      </c>
      <c r="X93" s="12" t="n">
        <v>863.247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593.605</v>
      </c>
      <c r="D95" s="20" t="n">
        <v>670.452</v>
      </c>
      <c r="E95" s="20" t="n">
        <v>697.359</v>
      </c>
      <c r="F95" s="20" t="n">
        <v>505.74</v>
      </c>
      <c r="G95" s="20" t="n">
        <v>562.78</v>
      </c>
      <c r="H95" s="20" t="n">
        <v>583.814</v>
      </c>
      <c r="I95" s="20" t="n">
        <v>759.414</v>
      </c>
      <c r="J95" s="20" t="n">
        <v>603.213</v>
      </c>
      <c r="K95" s="20" t="n">
        <v>546.9829999999999</v>
      </c>
      <c r="L95" s="20" t="n">
        <v>652.153</v>
      </c>
      <c r="M95" s="20" t="n">
        <v>795.755</v>
      </c>
      <c r="N95" s="20" t="n">
        <v>632.715</v>
      </c>
      <c r="T95" s="20" t="n">
        <v>850.837</v>
      </c>
      <c r="U95" s="20" t="n">
        <v>758.547</v>
      </c>
      <c r="V95" s="20" t="n">
        <v>505.74</v>
      </c>
      <c r="W95" s="20" t="n">
        <v>603.213</v>
      </c>
      <c r="X95" s="20" t="n">
        <v>632.715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272.244</v>
      </c>
      <c r="D97" s="12" t="n">
        <v>223.924</v>
      </c>
      <c r="E97" s="12" t="n">
        <v>300.572</v>
      </c>
      <c r="F97" s="12" t="n">
        <v>147.569</v>
      </c>
      <c r="G97" s="12" t="n">
        <v>221.119</v>
      </c>
      <c r="H97" s="12" t="n">
        <v>239.446</v>
      </c>
      <c r="I97" s="12" t="n">
        <v>251.645</v>
      </c>
      <c r="J97" s="12" t="n">
        <v>297.868</v>
      </c>
      <c r="K97" s="12" t="n">
        <v>273.78</v>
      </c>
      <c r="L97" s="12" t="n">
        <v>309.795</v>
      </c>
      <c r="M97" s="12" t="n">
        <v>309.954</v>
      </c>
      <c r="N97" s="12" t="n">
        <v>230.531</v>
      </c>
      <c r="T97" s="12" t="n">
        <v>451.82</v>
      </c>
      <c r="U97" s="12" t="n">
        <v>362.469</v>
      </c>
      <c r="V97" s="12" t="n">
        <v>147.569</v>
      </c>
      <c r="W97" s="12" t="n">
        <v>297.868</v>
      </c>
      <c r="X97" s="12" t="n">
        <v>230.531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판매비와 관리비</t>
        </is>
      </c>
      <c r="C99" s="20" t="n">
        <v>270.476</v>
      </c>
      <c r="D99" s="20" t="n">
        <v>260.157</v>
      </c>
      <c r="E99" s="20" t="n">
        <v>269.416</v>
      </c>
      <c r="F99" s="20" t="n">
        <v>286.133</v>
      </c>
      <c r="G99" s="20" t="n">
        <v>280.648</v>
      </c>
      <c r="H99" s="20" t="n">
        <v>237.353</v>
      </c>
      <c r="I99" s="20" t="n">
        <v>227.358</v>
      </c>
      <c r="J99" s="20" t="n">
        <v>318.807</v>
      </c>
      <c r="K99" s="20" t="n">
        <v>249.62</v>
      </c>
      <c r="L99" s="20" t="n">
        <v>250.577</v>
      </c>
      <c r="M99" s="20" t="n">
        <v>253.717</v>
      </c>
      <c r="N99" s="20" t="n">
        <v>227.574</v>
      </c>
      <c r="T99" s="20" t="n">
        <v>263.73</v>
      </c>
      <c r="U99" s="20" t="n">
        <v>251.488</v>
      </c>
      <c r="V99" s="20" t="n">
        <v>286.133</v>
      </c>
      <c r="W99" s="20" t="n">
        <v>318.807</v>
      </c>
      <c r="X99" s="20" t="n">
        <v>227.574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IF(OR(G99="",C99=""),"",IF(G99*C99&lt;=0,"",IFERROR(G99/C99-1,"")))</f>
        <v/>
      </c>
      <c r="H100" s="15">
        <f>IF(OR(H99="",D99=""),"",IF(H99*D99&lt;=0,"",IFERROR(H99/D99-1,"")))</f>
        <v/>
      </c>
      <c r="I100" s="15">
        <f>IF(OR(I99="",E99=""),"",IF(I99*E99&lt;=0,"",IFERROR(I99/E99-1,"")))</f>
        <v/>
      </c>
      <c r="J100" s="15">
        <f>IF(OR(J99="",F99=""),"",IF(J99*F99&lt;=0,"",IFERROR(J99/F99-1,"")))</f>
        <v/>
      </c>
      <c r="K100" s="15">
        <f>IF(OR(K99="",G99=""),"",IF(K99*G99&lt;=0,"",IFERROR(K99/G99-1,"")))</f>
        <v/>
      </c>
      <c r="L100" s="15">
        <f>IF(OR(L99="",H99=""),"",IF(L99*H99&lt;=0,"",IFERROR(L99/H99-1,"")))</f>
        <v/>
      </c>
      <c r="M100" s="15">
        <f>IF(OR(M99="",I99=""),"",IF(M99*I99&lt;=0,"",IFERROR(M99/I99-1,"")))</f>
        <v/>
      </c>
      <c r="N100" s="15">
        <f>IF(OR(N99="",J99=""),"",IF(N99*J99&lt;=0,"",IFERROR(N99/J99-1,"")))</f>
        <v/>
      </c>
      <c r="T100" s="15">
        <f>IF(OR(T99="",S99=""),"",IF(T99*S99&lt;=0,"",IFERROR(T99/S99-1,"")))</f>
        <v/>
      </c>
      <c r="U100" s="15">
        <f>IF(OR(U99="",T99=""),"",IF(U99*T99&lt;=0,"",IFERROR(U99/T99-1,"")))</f>
        <v/>
      </c>
      <c r="V100" s="15">
        <f>IF(OR(V99="",U99=""),"",IF(V99*U99&lt;=0,"",IFERROR(V99/U99-1,"")))</f>
        <v/>
      </c>
      <c r="W100" s="15">
        <f>IF(OR(W99="",V99=""),"",IF(W99*V99&lt;=0,"",IFERROR(W99/V99-1,"")))</f>
        <v/>
      </c>
      <c r="X100" s="15">
        <f>IF(OR(X99="",W99=""),"",IF(X99*W99&lt;=0,"",IFERROR(X99/W99-1,"")))</f>
        <v/>
      </c>
    </row>
    <row r="101">
      <c r="A101" s="9" t="inlineStr">
        <is>
          <t>영업이익(손실)</t>
        </is>
      </c>
      <c r="C101" s="12" t="n">
        <v>1.767</v>
      </c>
      <c r="D101" s="12" t="n">
        <v>-36.232</v>
      </c>
      <c r="E101" s="12" t="n">
        <v>31.156</v>
      </c>
      <c r="F101" s="12" t="n">
        <v>-138.564</v>
      </c>
      <c r="G101" s="12" t="n">
        <v>-59.528</v>
      </c>
      <c r="H101" s="12" t="n">
        <v>2.093</v>
      </c>
      <c r="I101" s="12" t="n">
        <v>24.286</v>
      </c>
      <c r="J101" s="12" t="n">
        <v>-20.939</v>
      </c>
      <c r="K101" s="12" t="n">
        <v>24.16</v>
      </c>
      <c r="L101" s="12" t="n">
        <v>59.218</v>
      </c>
      <c r="M101" s="12" t="n">
        <v>56.236</v>
      </c>
      <c r="N101" s="12" t="n">
        <v>2.958</v>
      </c>
      <c r="T101" s="12" t="n">
        <v>188.088</v>
      </c>
      <c r="U101" s="12" t="n">
        <v>110.981</v>
      </c>
      <c r="V101" s="12" t="n">
        <v>-138.564</v>
      </c>
      <c r="W101" s="12" t="n">
        <v>-20.939</v>
      </c>
      <c r="X101" s="12" t="n">
        <v>2.958</v>
      </c>
    </row>
    <row r="102">
      <c r="A102" s="43" t="inlineStr">
        <is>
          <t>OPM</t>
        </is>
      </c>
      <c r="B102" s="3" t="inlineStr">
        <is>
          <t>영업이익 ÷ 매출</t>
        </is>
      </c>
      <c r="C102" s="15">
        <f>IF(OR(C101="",C93=""),"",IF(C93&lt;=0,"",IFERROR(C101/C93,"")))</f>
        <v/>
      </c>
      <c r="D102" s="15">
        <f>IF(OR(D101="",D93=""),"",IF(D93&lt;=0,"",IFERROR(D101/D93,"")))</f>
        <v/>
      </c>
      <c r="E102" s="15">
        <f>IF(OR(E101="",E93=""),"",IF(E93&lt;=0,"",IFERROR(E101/E93,"")))</f>
        <v/>
      </c>
      <c r="F102" s="15">
        <f>IF(OR(F101="",F93=""),"",IF(F93&lt;=0,"",IFERROR(F101/F93,"")))</f>
        <v/>
      </c>
      <c r="G102" s="15">
        <f>IF(OR(G101="",G93=""),"",IF(G93&lt;=0,"",IFERROR(G101/G93,"")))</f>
        <v/>
      </c>
      <c r="H102" s="15">
        <f>IF(OR(H101="",H93=""),"",IF(H93&lt;=0,"",IFERROR(H101/H93,"")))</f>
        <v/>
      </c>
      <c r="I102" s="15">
        <f>IF(OR(I101="",I93=""),"",IF(I93&lt;=0,"",IFERROR(I101/I93,"")))</f>
        <v/>
      </c>
      <c r="J102" s="15">
        <f>IF(OR(J101="",J93=""),"",IF(J93&lt;=0,"",IFERROR(J101/J93,"")))</f>
        <v/>
      </c>
      <c r="K102" s="15">
        <f>IF(OR(K101="",K93=""),"",IF(K93&lt;=0,"",IFERROR(K101/K93,"")))</f>
        <v/>
      </c>
      <c r="L102" s="15">
        <f>IF(OR(L101="",L93=""),"",IF(L93&lt;=0,"",IFERROR(L101/L93,"")))</f>
        <v/>
      </c>
      <c r="M102" s="15">
        <f>IF(OR(M101="",M93=""),"",IF(M93&lt;=0,"",IFERROR(M101/M93,"")))</f>
        <v/>
      </c>
      <c r="N102" s="15">
        <f>IF(OR(N101="",N93=""),"",IF(N93&lt;=0,"",IFERROR(N101/N93,"")))</f>
        <v/>
      </c>
      <c r="T102" s="15">
        <f>IF(OR(T101="",T93=""),"",IF(T93&lt;=0,"",IFERROR(T101/T93,"")))</f>
        <v/>
      </c>
      <c r="U102" s="15">
        <f>IF(OR(U101="",U93=""),"",IF(U93&lt;=0,"",IFERROR(U101/U93,"")))</f>
        <v/>
      </c>
      <c r="V102" s="15">
        <f>IF(OR(V101="",V93=""),"",IF(V93&lt;=0,"",IFERROR(V101/V93,"")))</f>
        <v/>
      </c>
      <c r="W102" s="15">
        <f>IF(OR(W101="",W93=""),"",IF(W93&lt;=0,"",IFERROR(W101/W93,"")))</f>
        <v/>
      </c>
      <c r="X102" s="15">
        <f>IF(OR(X101="",X93=""),"",IF(X93&lt;=0,"",IFERROR(X101/X93,"")))</f>
        <v/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IF(OR(G101="",C101=""),"",IF(C101&lt;=0,"",IFERROR(G101/C101-1,"")))</f>
        <v/>
      </c>
      <c r="H103" s="15">
        <f>IF(OR(H101="",D101=""),"",IF(D101&lt;=0,"",IFERROR(H101/D101-1,"")))</f>
        <v/>
      </c>
      <c r="I103" s="15">
        <f>IF(OR(I101="",E101=""),"",IF(E101&lt;=0,"",IFERROR(I101/E101-1,"")))</f>
        <v/>
      </c>
      <c r="J103" s="15">
        <f>IF(OR(J101="",F101=""),"",IF(F101&lt;=0,"",IFERROR(J101/F101-1,"")))</f>
        <v/>
      </c>
      <c r="K103" s="15">
        <f>IF(OR(K101="",G101=""),"",IF(G101&lt;=0,"",IFERROR(K101/G101-1,"")))</f>
        <v/>
      </c>
      <c r="L103" s="15">
        <f>IF(OR(L101="",H101=""),"",IF(H101&lt;=0,"",IFERROR(L101/H101-1,"")))</f>
        <v/>
      </c>
      <c r="M103" s="15">
        <f>IF(OR(M101="",I101=""),"",IF(I101&lt;=0,"",IFERROR(M101/I101-1,"")))</f>
        <v/>
      </c>
      <c r="N103" s="15">
        <f>IF(OR(N101="",J101=""),"",IF(J101&lt;=0,"",IFERROR(N101/J101-1,"")))</f>
        <v/>
      </c>
      <c r="T103" s="15">
        <f>IF(OR(T101="",S101=""),"",IF(S101&lt;=0,"",IFERROR(T101/S101-1,"")))</f>
        <v/>
      </c>
      <c r="U103" s="15">
        <f>IF(OR(U101="",T101=""),"",IF(T101&lt;=0,"",IFERROR(U101/T101-1,"")))</f>
        <v/>
      </c>
      <c r="V103" s="15">
        <f>IF(OR(V101="",U101=""),"",IF(U101&lt;=0,"",IFERROR(V101/U101-1,"")))</f>
        <v/>
      </c>
      <c r="W103" s="15">
        <f>IF(OR(W101="",V101=""),"",IF(V101&lt;=0,"",IFERROR(W101/V101-1,"")))</f>
        <v/>
      </c>
      <c r="X103" s="15">
        <f>IF(OR(X101="",W101=""),"",IF(W101&lt;=0,"",IFERROR(X101/W101-1,"")))</f>
        <v/>
      </c>
    </row>
    <row r="104">
      <c r="A104" s="18" t="inlineStr">
        <is>
          <t>이자수익</t>
        </is>
      </c>
      <c r="C104" s="20" t="n">
        <v>0.385</v>
      </c>
      <c r="D104" s="20" t="n">
        <v>0.36</v>
      </c>
      <c r="E104" s="20" t="n">
        <v>0.471</v>
      </c>
      <c r="F104" s="20" t="n">
        <v>0.344</v>
      </c>
      <c r="G104" s="20" t="n">
        <v>0.393</v>
      </c>
      <c r="H104" s="20" t="n">
        <v>0.27</v>
      </c>
      <c r="I104" s="20" t="n">
        <v>0.254</v>
      </c>
      <c r="J104" s="20" t="n">
        <v>0.664</v>
      </c>
      <c r="K104" s="20" t="n">
        <v>0.133</v>
      </c>
      <c r="L104" s="20" t="n">
        <v>0.429</v>
      </c>
      <c r="M104" s="20" t="n">
        <v>0.839</v>
      </c>
      <c r="N104" s="20" t="n">
        <v>-0.269</v>
      </c>
      <c r="T104" s="20" t="n">
        <v>0.366</v>
      </c>
      <c r="U104" s="20" t="n">
        <v>0.37</v>
      </c>
      <c r="V104" s="20" t="n">
        <v>0.344</v>
      </c>
      <c r="W104" s="20" t="n">
        <v>0.664</v>
      </c>
      <c r="X104" s="20" t="n">
        <v>-0.269</v>
      </c>
    </row>
    <row r="105">
      <c r="A105" s="18" t="inlineStr">
        <is>
          <t>배당금수익</t>
        </is>
      </c>
      <c r="E105" s="20" t="n">
        <v>3.145</v>
      </c>
      <c r="F105" s="20" t="n">
        <v>2.819</v>
      </c>
      <c r="I105" s="20" t="n">
        <v>7.541</v>
      </c>
      <c r="J105" s="20" t="n">
        <v>1.973</v>
      </c>
      <c r="M105" s="20" t="n">
        <v>9.340999999999999</v>
      </c>
      <c r="N105" s="20" t="n">
        <v>4.581</v>
      </c>
      <c r="T105" s="20" t="n">
        <v>0.291</v>
      </c>
      <c r="U105" s="20" t="n">
        <v>4.986</v>
      </c>
      <c r="V105" s="20" t="n">
        <v>2.819</v>
      </c>
      <c r="W105" s="20" t="n">
        <v>1.973</v>
      </c>
      <c r="X105" s="20" t="n">
        <v>4.581</v>
      </c>
    </row>
    <row r="106">
      <c r="A106" s="18" t="inlineStr">
        <is>
          <t>외환차익</t>
        </is>
      </c>
      <c r="G106" s="20" t="n">
        <v>0</v>
      </c>
      <c r="H106" s="20" t="n">
        <v>0</v>
      </c>
      <c r="K106" s="20" t="n">
        <v>1.754</v>
      </c>
      <c r="L106" s="20" t="n">
        <v>0.082</v>
      </c>
      <c r="T106" s="20" t="n">
        <v>-9.506</v>
      </c>
      <c r="U106" s="20" t="n">
        <v>11.658</v>
      </c>
    </row>
    <row r="107">
      <c r="A107" s="18" t="inlineStr">
        <is>
          <t>보조금 수입</t>
        </is>
      </c>
      <c r="C107" s="20" t="n">
        <v>2.515</v>
      </c>
      <c r="D107" s="20" t="n">
        <v>0</v>
      </c>
      <c r="E107" s="20" t="n">
        <v>0.508</v>
      </c>
      <c r="F107" s="20" t="n">
        <v>6.239</v>
      </c>
      <c r="G107" s="20" t="n">
        <v>1.475</v>
      </c>
      <c r="H107" s="20" t="n">
        <v>0</v>
      </c>
      <c r="K107" s="20" t="n">
        <v>0.9</v>
      </c>
      <c r="L107" s="20" t="n">
        <v>0.2</v>
      </c>
      <c r="T107" s="20" t="n">
        <v>79.97499999999999</v>
      </c>
      <c r="U107" s="20" t="n">
        <v>32.162</v>
      </c>
      <c r="V107" s="20" t="n">
        <v>6.239</v>
      </c>
    </row>
    <row r="108">
      <c r="A108" s="18" t="inlineStr">
        <is>
          <t>작업부산물 매각이익</t>
        </is>
      </c>
      <c r="C108" s="20" t="n">
        <v>0.091</v>
      </c>
      <c r="D108" s="20" t="n">
        <v>0</v>
      </c>
      <c r="E108" s="20" t="n">
        <v>0</v>
      </c>
      <c r="F108" s="20" t="n">
        <v>22.596</v>
      </c>
      <c r="T108" s="20" t="n">
        <v>1.512</v>
      </c>
      <c r="U108" s="20" t="n">
        <v>-1.237</v>
      </c>
      <c r="V108" s="20" t="n">
        <v>22.596</v>
      </c>
    </row>
    <row r="109">
      <c r="A109" s="18" t="inlineStr">
        <is>
          <t>기타</t>
        </is>
      </c>
      <c r="C109" s="20" t="n">
        <v>2.344</v>
      </c>
      <c r="D109" s="20" t="n">
        <v>1.787</v>
      </c>
      <c r="E109" s="20" t="n">
        <v>6.146</v>
      </c>
      <c r="F109" s="20" t="n">
        <v>-0.605</v>
      </c>
      <c r="G109" s="20" t="n">
        <v>1.759</v>
      </c>
      <c r="H109" s="20" t="n">
        <v>2.541</v>
      </c>
      <c r="I109" s="20" t="n">
        <v>3.835</v>
      </c>
      <c r="J109" s="20" t="n">
        <v>1.362</v>
      </c>
      <c r="K109" s="20" t="n">
        <v>0.774</v>
      </c>
      <c r="L109" s="20" t="n">
        <v>1.034</v>
      </c>
      <c r="M109" s="20" t="n">
        <v>2.655</v>
      </c>
      <c r="N109" s="20" t="n">
        <v>3.456</v>
      </c>
      <c r="T109" s="20" t="n">
        <v>3.105</v>
      </c>
      <c r="U109" s="20" t="n">
        <v>0.701</v>
      </c>
      <c r="V109" s="20" t="n">
        <v>-0.605</v>
      </c>
      <c r="W109" s="20" t="n">
        <v>1.362</v>
      </c>
      <c r="X109" s="20" t="n">
        <v>3.456</v>
      </c>
    </row>
    <row r="110">
      <c r="A110" s="18" t="inlineStr">
        <is>
          <t>영업외수익 합계</t>
        </is>
      </c>
      <c r="C110" s="20" t="n">
        <v>5.244</v>
      </c>
      <c r="D110" s="20" t="n">
        <v>2.85</v>
      </c>
      <c r="E110" s="20" t="n">
        <v>7.246</v>
      </c>
      <c r="F110" s="20" t="n">
        <v>34.618</v>
      </c>
      <c r="G110" s="20" t="n">
        <v>3.628</v>
      </c>
      <c r="H110" s="20" t="n">
        <v>2.836</v>
      </c>
      <c r="I110" s="20" t="n">
        <v>10.154</v>
      </c>
      <c r="J110" s="20" t="n">
        <v>7.777</v>
      </c>
      <c r="K110" s="20" t="n">
        <v>3.561</v>
      </c>
      <c r="L110" s="20" t="n">
        <v>1.799</v>
      </c>
      <c r="M110" s="20" t="n">
        <v>9.898999999999999</v>
      </c>
      <c r="N110" s="20" t="n">
        <v>17.687</v>
      </c>
      <c r="T110" s="20" t="n">
        <v>75.74299999999999</v>
      </c>
      <c r="U110" s="20" t="n">
        <v>48.641</v>
      </c>
      <c r="V110" s="20" t="n">
        <v>34.618</v>
      </c>
      <c r="W110" s="20" t="n">
        <v>7.777</v>
      </c>
      <c r="X110" s="20" t="n">
        <v>17.687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IF(OR(G110="",C110=""),"",IF(G110*C110&lt;=0,"",IFERROR(G110/C110-1,"")))</f>
        <v/>
      </c>
      <c r="H111" s="15">
        <f>IF(OR(H110="",D110=""),"",IF(H110*D110&lt;=0,"",IFERROR(H110/D110-1,"")))</f>
        <v/>
      </c>
      <c r="I111" s="15">
        <f>IF(OR(I110="",E110=""),"",IF(I110*E110&lt;=0,"",IFERROR(I110/E110-1,"")))</f>
        <v/>
      </c>
      <c r="J111" s="15">
        <f>IF(OR(J110="",F110=""),"",IF(J110*F110&lt;=0,"",IFERROR(J110/F110-1,"")))</f>
        <v/>
      </c>
      <c r="K111" s="15">
        <f>IF(OR(K110="",G110=""),"",IF(K110*G110&lt;=0,"",IFERROR(K110/G110-1,"")))</f>
        <v/>
      </c>
      <c r="L111" s="15">
        <f>IF(OR(L110="",H110=""),"",IF(L110*H110&lt;=0,"",IFERROR(L110/H110-1,"")))</f>
        <v/>
      </c>
      <c r="M111" s="15">
        <f>IF(OR(M110="",I110=""),"",IF(M110*I110&lt;=0,"",IFERROR(M110/I110-1,"")))</f>
        <v/>
      </c>
      <c r="N111" s="15">
        <f>IF(OR(N110="",J110=""),"",IF(N110*J110&lt;=0,"",IFERROR(N110/J110-1,"")))</f>
        <v/>
      </c>
      <c r="T111" s="15">
        <f>IF(OR(T110="",S110=""),"",IF(T110*S110&lt;=0,"",IFERROR(T110/S110-1,"")))</f>
        <v/>
      </c>
      <c r="U111" s="15">
        <f>IF(OR(U110="",T110=""),"",IF(U110*T110&lt;=0,"",IFERROR(U110/T110-1,"")))</f>
        <v/>
      </c>
      <c r="V111" s="15">
        <f>IF(OR(V110="",U110=""),"",IF(V110*U110&lt;=0,"",IFERROR(V110/U110-1,"")))</f>
        <v/>
      </c>
      <c r="W111" s="15">
        <f>IF(OR(W110="",V110=""),"",IF(W110*V110&lt;=0,"",IFERROR(W110/V110-1,"")))</f>
        <v/>
      </c>
      <c r="X111" s="15">
        <f>IF(OR(X110="",W110=""),"",IF(X110*W110&lt;=0,"",IFERROR(X110/W110-1,"")))</f>
        <v/>
      </c>
    </row>
    <row r="112">
      <c r="A112" s="18" t="inlineStr">
        <is>
          <t>이자비용</t>
        </is>
      </c>
      <c r="C112" s="20" t="n">
        <v>2.412</v>
      </c>
      <c r="D112" s="20" t="n">
        <v>2.863</v>
      </c>
      <c r="E112" s="20" t="n">
        <v>2.891</v>
      </c>
      <c r="F112" s="20" t="n">
        <v>1.429</v>
      </c>
      <c r="G112" s="20" t="n">
        <v>3.184</v>
      </c>
      <c r="H112" s="20" t="n">
        <v>3.655</v>
      </c>
      <c r="I112" s="20" t="n">
        <v>3.385</v>
      </c>
      <c r="J112" s="20" t="n">
        <v>0.647</v>
      </c>
      <c r="K112" s="20" t="n">
        <v>3.385</v>
      </c>
      <c r="L112" s="20" t="n">
        <v>3.941</v>
      </c>
      <c r="M112" s="20" t="n">
        <v>4.195</v>
      </c>
      <c r="N112" s="20" t="n">
        <v>1.724</v>
      </c>
      <c r="T112" s="20" t="n">
        <v>2.667</v>
      </c>
      <c r="U112" s="20" t="n">
        <v>2.327</v>
      </c>
      <c r="V112" s="20" t="n">
        <v>1.429</v>
      </c>
      <c r="W112" s="20" t="n">
        <v>0.647</v>
      </c>
      <c r="X112" s="20" t="n">
        <v>1.724</v>
      </c>
    </row>
    <row r="113">
      <c r="A113" s="18" t="inlineStr">
        <is>
          <t>채권매각손실</t>
        </is>
      </c>
      <c r="C113" s="20" t="n">
        <v>0.654</v>
      </c>
      <c r="D113" s="20" t="n">
        <v>1.356</v>
      </c>
      <c r="E113" s="20" t="n">
        <v>0.744</v>
      </c>
      <c r="F113" s="20" t="n">
        <v>0.841</v>
      </c>
      <c r="G113" s="20" t="n">
        <v>0.732</v>
      </c>
      <c r="H113" s="20" t="n">
        <v>1.108</v>
      </c>
      <c r="I113" s="20" t="n">
        <v>0.697</v>
      </c>
      <c r="J113" s="20" t="n">
        <v>0.997</v>
      </c>
      <c r="K113" s="20" t="n">
        <v>1.402</v>
      </c>
      <c r="L113" s="20" t="n">
        <v>0.124</v>
      </c>
      <c r="M113" s="20" t="n">
        <v>0.099</v>
      </c>
      <c r="N113" s="20" t="n">
        <v>1.569</v>
      </c>
      <c r="T113" s="20" t="n">
        <v>0.61</v>
      </c>
      <c r="U113" s="20" t="n">
        <v>1.009</v>
      </c>
      <c r="V113" s="20" t="n">
        <v>0.841</v>
      </c>
      <c r="W113" s="20" t="n">
        <v>0.997</v>
      </c>
      <c r="X113" s="20" t="n">
        <v>1.569</v>
      </c>
    </row>
    <row r="114">
      <c r="A114" s="18" t="inlineStr">
        <is>
          <t>외환차손</t>
        </is>
      </c>
      <c r="C114" s="20" t="n">
        <v>0</v>
      </c>
      <c r="D114" s="20" t="n">
        <v>1.349</v>
      </c>
      <c r="E114" s="20" t="n">
        <v>2.522</v>
      </c>
      <c r="F114" s="20" t="n">
        <v>-3.871</v>
      </c>
      <c r="J114" s="20" t="n">
        <v>0.358</v>
      </c>
      <c r="T114" s="20" t="n">
        <v>0</v>
      </c>
      <c r="V114" s="20" t="n">
        <v>-3.871</v>
      </c>
      <c r="W114" s="20" t="n">
        <v>0.358</v>
      </c>
    </row>
    <row r="115">
      <c r="A115" s="18" t="inlineStr">
        <is>
          <t>기타</t>
        </is>
      </c>
      <c r="C115" s="20" t="n">
        <v>0.076</v>
      </c>
      <c r="D115" s="20" t="n">
        <v>1.363</v>
      </c>
      <c r="E115" s="20" t="n">
        <v>-1.048</v>
      </c>
      <c r="F115" s="20" t="n">
        <v>0.341</v>
      </c>
      <c r="G115" s="20" t="n">
        <v>0.978</v>
      </c>
      <c r="H115" s="20" t="n">
        <v>-0.729</v>
      </c>
      <c r="I115" s="20" t="n">
        <v>2.157</v>
      </c>
      <c r="J115" s="20" t="n">
        <v>-1.997</v>
      </c>
      <c r="K115" s="20" t="n">
        <v>0.405</v>
      </c>
      <c r="L115" s="20" t="n">
        <v>0.022</v>
      </c>
      <c r="M115" s="20" t="n">
        <v>2.257</v>
      </c>
      <c r="N115" s="20" t="n">
        <v>-2.627</v>
      </c>
      <c r="T115" s="20" t="n">
        <v>0.638</v>
      </c>
      <c r="U115" s="20" t="n">
        <v>-1.744</v>
      </c>
      <c r="V115" s="20" t="n">
        <v>0.341</v>
      </c>
      <c r="W115" s="20" t="n">
        <v>-1.997</v>
      </c>
      <c r="X115" s="20" t="n">
        <v>-2.627</v>
      </c>
    </row>
    <row r="116">
      <c r="A116" s="18" t="inlineStr">
        <is>
          <t>영업외비용 합계</t>
        </is>
      </c>
      <c r="C116" s="20" t="n">
        <v>3.143</v>
      </c>
      <c r="D116" s="20" t="n">
        <v>5.582</v>
      </c>
      <c r="E116" s="20" t="n">
        <v>6.459</v>
      </c>
      <c r="F116" s="20" t="n">
        <v>0.977</v>
      </c>
      <c r="G116" s="20" t="n">
        <v>4.895</v>
      </c>
      <c r="H116" s="20" t="n">
        <v>4.034</v>
      </c>
      <c r="I116" s="20" t="n">
        <v>6.238</v>
      </c>
      <c r="J116" s="20" t="n">
        <v>2.383</v>
      </c>
      <c r="K116" s="20" t="n">
        <v>5.193</v>
      </c>
      <c r="L116" s="20" t="n">
        <v>4.087</v>
      </c>
      <c r="M116" s="20" t="n">
        <v>6.55</v>
      </c>
      <c r="N116" s="20" t="n">
        <v>1.347</v>
      </c>
      <c r="T116" s="20" t="n">
        <v>5.42</v>
      </c>
      <c r="U116" s="20" t="n">
        <v>0.346</v>
      </c>
      <c r="V116" s="20" t="n">
        <v>0.977</v>
      </c>
      <c r="W116" s="20" t="n">
        <v>2.383</v>
      </c>
      <c r="X116" s="20" t="n">
        <v>1.347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T117" s="15">
        <f>IF(OR(T116="",S116=""),"",IF(T116*S116&lt;=0,"",IFERROR(T116/S116-1,"")))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9" t="inlineStr">
        <is>
          <t>경상이익(손실)</t>
        </is>
      </c>
      <c r="C118" s="12" t="n">
        <v>3.868</v>
      </c>
      <c r="D118" s="12" t="n">
        <v>-38.964</v>
      </c>
      <c r="E118" s="12" t="n">
        <v>31.944</v>
      </c>
      <c r="F118" s="12" t="n">
        <v>-104.924</v>
      </c>
      <c r="G118" s="12" t="n">
        <v>-60.795</v>
      </c>
      <c r="H118" s="12" t="n">
        <v>0.895</v>
      </c>
      <c r="I118" s="12" t="n">
        <v>28.202</v>
      </c>
      <c r="J118" s="12" t="n">
        <v>-15.544</v>
      </c>
      <c r="K118" s="12" t="n">
        <v>22.528</v>
      </c>
      <c r="L118" s="12" t="n">
        <v>56.93</v>
      </c>
      <c r="M118" s="12" t="n">
        <v>59.584</v>
      </c>
      <c r="N118" s="12" t="n">
        <v>19.3</v>
      </c>
      <c r="T118" s="12" t="n">
        <v>258.412</v>
      </c>
      <c r="U118" s="12" t="n">
        <v>159.274</v>
      </c>
      <c r="V118" s="12" t="n">
        <v>-104.924</v>
      </c>
      <c r="W118" s="12" t="n">
        <v>-15.544</v>
      </c>
      <c r="X118" s="12" t="n">
        <v>19.3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투자유가증권 매각이익</t>
        </is>
      </c>
      <c r="C120" s="20" t="n">
        <v>0</v>
      </c>
      <c r="D120" s="20" t="n">
        <v>0</v>
      </c>
      <c r="E120" s="20" t="n">
        <v>0</v>
      </c>
      <c r="F120" s="20" t="n">
        <v>0</v>
      </c>
      <c r="G120" s="20" t="n">
        <v>44.754</v>
      </c>
      <c r="H120" s="20" t="n">
        <v>0</v>
      </c>
      <c r="I120" s="20" t="n">
        <v>0</v>
      </c>
      <c r="J120" s="20" t="n">
        <v>-44.617</v>
      </c>
      <c r="K120" s="20" t="n">
        <v>0</v>
      </c>
      <c r="L120" s="20" t="n">
        <v>0</v>
      </c>
      <c r="M120" s="20" t="n">
        <v>0</v>
      </c>
      <c r="N120" s="20" t="n">
        <v>44.754</v>
      </c>
      <c r="V120" s="20" t="n">
        <v>0</v>
      </c>
      <c r="W120" s="20" t="n">
        <v>-44.617</v>
      </c>
      <c r="X120" s="20" t="n">
        <v>44.754</v>
      </c>
    </row>
    <row r="121">
      <c r="A121" s="18" t="inlineStr">
        <is>
          <t>보조금 수입</t>
        </is>
      </c>
      <c r="C121" s="20" t="n">
        <v>8.366</v>
      </c>
      <c r="D121" s="20" t="n">
        <v>0</v>
      </c>
      <c r="E121" s="20" t="n">
        <v>0</v>
      </c>
      <c r="F121" s="20" t="n">
        <v>90.357</v>
      </c>
      <c r="G121" s="20" t="n">
        <v>0</v>
      </c>
      <c r="H121" s="20" t="n">
        <v>0</v>
      </c>
      <c r="I121" s="20" t="n">
        <v>0</v>
      </c>
      <c r="J121" s="20" t="n">
        <v>8.366</v>
      </c>
      <c r="T121" s="20" t="n">
        <v>-5</v>
      </c>
      <c r="U121" s="20" t="n">
        <v>-93.723</v>
      </c>
      <c r="V121" s="20" t="n">
        <v>90.357</v>
      </c>
      <c r="W121" s="20" t="n">
        <v>8.366</v>
      </c>
    </row>
    <row r="122">
      <c r="A122" s="18" t="inlineStr">
        <is>
          <t>관계회사 유상감자 환급차익</t>
        </is>
      </c>
      <c r="J122" s="20" t="n">
        <v>-14.289</v>
      </c>
      <c r="N122" s="20" t="n">
        <v>14.414</v>
      </c>
      <c r="W122" s="20" t="n">
        <v>-14.289</v>
      </c>
      <c r="X122" s="20" t="n">
        <v>14.414</v>
      </c>
    </row>
    <row r="123">
      <c r="A123" s="18" t="inlineStr">
        <is>
          <t>특별이익 합계</t>
        </is>
      </c>
      <c r="C123" s="20" t="n">
        <v>8.366</v>
      </c>
      <c r="D123" s="20" t="n">
        <v>0</v>
      </c>
      <c r="E123" s="20" t="n">
        <v>0</v>
      </c>
      <c r="F123" s="20" t="n">
        <v>90.357</v>
      </c>
      <c r="G123" s="20" t="n">
        <v>44.754</v>
      </c>
      <c r="H123" s="20" t="n">
        <v>0</v>
      </c>
      <c r="I123" s="20" t="n">
        <v>14.29</v>
      </c>
      <c r="J123" s="20" t="n">
        <v>-50.541</v>
      </c>
      <c r="K123" s="20" t="n">
        <v>0</v>
      </c>
      <c r="L123" s="20" t="n">
        <v>0</v>
      </c>
      <c r="M123" s="20" t="n">
        <v>0</v>
      </c>
      <c r="N123" s="20" t="n">
        <v>59.169</v>
      </c>
      <c r="T123" s="20" t="n">
        <v>4.982</v>
      </c>
      <c r="U123" s="20" t="n">
        <v>-92.765</v>
      </c>
      <c r="V123" s="20" t="n">
        <v>90.357</v>
      </c>
      <c r="W123" s="20" t="n">
        <v>-50.541</v>
      </c>
      <c r="X123" s="20" t="n">
        <v>59.169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IF(OR(G123="",C123=""),"",IF(G123*C123&lt;=0,"",IFERROR(G123/C123-1,"")))</f>
        <v/>
      </c>
      <c r="H124" s="15">
        <f>IF(OR(H123="",D123=""),"",IF(H123*D123&lt;=0,"",IFERROR(H123/D123-1,"")))</f>
        <v/>
      </c>
      <c r="I124" s="15">
        <f>IF(OR(I123="",E123=""),"",IF(I123*E123&lt;=0,"",IFERROR(I123/E123-1,"")))</f>
        <v/>
      </c>
      <c r="J124" s="15">
        <f>IF(OR(J123="",F123=""),"",IF(J123*F123&lt;=0,"",IFERROR(J123/F123-1,"")))</f>
        <v/>
      </c>
      <c r="K124" s="15">
        <f>IF(OR(K123="",G123=""),"",IF(K123*G123&lt;=0,"",IFERROR(K123/G123-1,"")))</f>
        <v/>
      </c>
      <c r="L124" s="15">
        <f>IF(OR(L123="",H123=""),"",IF(L123*H123&lt;=0,"",IFERROR(L123/H123-1,"")))</f>
        <v/>
      </c>
      <c r="M124" s="15">
        <f>IF(OR(M123="",I123=""),"",IF(M123*I123&lt;=0,"",IFERROR(M123/I123-1,"")))</f>
        <v/>
      </c>
      <c r="N124" s="15">
        <f>IF(OR(N123="",J123=""),"",IF(N123*J123&lt;=0,"",IFERROR(N123/J123-1,"")))</f>
        <v/>
      </c>
      <c r="T124" s="15">
        <f>IF(OR(T123="",S123=""),"",IF(T123*S123&lt;=0,"",IFERROR(T123/S123-1,"")))</f>
        <v/>
      </c>
      <c r="U124" s="15">
        <f>IF(OR(U123="",T123=""),"",IF(U123*T123&lt;=0,"",IFERROR(U123/T123-1,"")))</f>
        <v/>
      </c>
      <c r="V124" s="15">
        <f>IF(OR(V123="",U123=""),"",IF(V123*U123&lt;=0,"",IFERROR(V123/U123-1,"")))</f>
        <v/>
      </c>
      <c r="W124" s="15">
        <f>IF(OR(W123="",V123=""),"",IF(W123*V123&lt;=0,"",IFERROR(W123/V123-1,"")))</f>
        <v/>
      </c>
      <c r="X124" s="15">
        <f>IF(OR(X123="",W123=""),"",IF(X123*W123&lt;=0,"",IFERROR(X123/W123-1,"")))</f>
        <v/>
      </c>
    </row>
    <row r="125">
      <c r="A125" s="18" t="inlineStr">
        <is>
          <t>고정자산 제각손실</t>
        </is>
      </c>
      <c r="C125" s="20" t="n">
        <v>0</v>
      </c>
      <c r="D125" s="20" t="n">
        <v>0.04</v>
      </c>
      <c r="E125" s="20" t="n">
        <v>0</v>
      </c>
      <c r="F125" s="20" t="n">
        <v>0.09</v>
      </c>
      <c r="G125" s="20" t="n">
        <v>0</v>
      </c>
      <c r="H125" s="20" t="n">
        <v>0</v>
      </c>
      <c r="I125" s="20" t="n">
        <v>0</v>
      </c>
      <c r="J125" s="20" t="n">
        <v>0.04</v>
      </c>
      <c r="K125" s="20" t="n">
        <v>0</v>
      </c>
      <c r="L125" s="20" t="n">
        <v>0</v>
      </c>
      <c r="M125" s="20" t="n">
        <v>0</v>
      </c>
      <c r="N125" s="20" t="n">
        <v>0.01</v>
      </c>
      <c r="T125" s="20" t="n">
        <v>0</v>
      </c>
      <c r="U125" s="20" t="n">
        <v>0.049</v>
      </c>
      <c r="V125" s="20" t="n">
        <v>0.09</v>
      </c>
      <c r="W125" s="20" t="n">
        <v>0.04</v>
      </c>
      <c r="X125" s="20" t="n">
        <v>0.01</v>
      </c>
    </row>
    <row r="126">
      <c r="A126" s="18" t="inlineStr">
        <is>
          <t>고정자산 압축손실</t>
        </is>
      </c>
      <c r="C126" s="20" t="n">
        <v>8.366</v>
      </c>
      <c r="D126" s="20" t="n">
        <v>0</v>
      </c>
      <c r="E126" s="20" t="n">
        <v>0</v>
      </c>
      <c r="F126" s="20" t="n">
        <v>90.357</v>
      </c>
      <c r="G126" s="20" t="n">
        <v>0</v>
      </c>
      <c r="H126" s="20" t="n">
        <v>0</v>
      </c>
      <c r="I126" s="20" t="n">
        <v>0</v>
      </c>
      <c r="J126" s="20" t="n">
        <v>8.366</v>
      </c>
      <c r="T126" s="20" t="n">
        <v>-5</v>
      </c>
      <c r="U126" s="20" t="n">
        <v>-93.723</v>
      </c>
      <c r="V126" s="20" t="n">
        <v>90.357</v>
      </c>
      <c r="W126" s="20" t="n">
        <v>8.366</v>
      </c>
    </row>
    <row r="127">
      <c r="A127" s="18" t="inlineStr">
        <is>
          <t>투자유가증권 평가손실</t>
        </is>
      </c>
      <c r="C127" s="20" t="n">
        <v>0</v>
      </c>
      <c r="D127" s="20" t="n">
        <v>0</v>
      </c>
      <c r="E127" s="20" t="n">
        <v>0</v>
      </c>
      <c r="F127" s="20" t="n">
        <v>0.075</v>
      </c>
      <c r="T127" s="20" t="n">
        <v>0</v>
      </c>
      <c r="U127" s="20" t="n">
        <v>-0.075</v>
      </c>
      <c r="V127" s="20" t="n">
        <v>0.075</v>
      </c>
    </row>
    <row r="128">
      <c r="A128" s="18" t="inlineStr">
        <is>
          <t>조기 특별퇴직금</t>
        </is>
      </c>
      <c r="E128" s="20" t="n">
        <v>0</v>
      </c>
      <c r="G128" s="20" t="n">
        <v>0</v>
      </c>
      <c r="H128" s="20" t="n">
        <v>44.417</v>
      </c>
      <c r="I128" s="20" t="n">
        <v>0</v>
      </c>
      <c r="J128" s="20" t="n">
        <v>-44.417</v>
      </c>
      <c r="K128" s="20" t="n">
        <v>8.57</v>
      </c>
      <c r="L128" s="20" t="n">
        <v>0.157</v>
      </c>
      <c r="M128" s="20" t="n">
        <v>0.126</v>
      </c>
      <c r="N128" s="20" t="n">
        <v>35.564</v>
      </c>
      <c r="W128" s="20" t="n">
        <v>-44.417</v>
      </c>
      <c r="X128" s="20" t="n">
        <v>35.564</v>
      </c>
    </row>
    <row r="129">
      <c r="A129" s="18" t="inlineStr">
        <is>
          <t>특별손실 합계</t>
        </is>
      </c>
      <c r="C129" s="20" t="n">
        <v>8.366</v>
      </c>
      <c r="D129" s="20" t="n">
        <v>0.04</v>
      </c>
      <c r="E129" s="20" t="n">
        <v>0</v>
      </c>
      <c r="F129" s="20" t="n">
        <v>105.003</v>
      </c>
      <c r="G129" s="20" t="n">
        <v>0</v>
      </c>
      <c r="H129" s="20" t="n">
        <v>44.417</v>
      </c>
      <c r="I129" s="20" t="n">
        <v>0</v>
      </c>
      <c r="J129" s="20" t="n">
        <v>-32.805</v>
      </c>
      <c r="K129" s="20" t="n">
        <v>8.57</v>
      </c>
      <c r="L129" s="20" t="n">
        <v>0.157</v>
      </c>
      <c r="M129" s="20" t="n">
        <v>0.126</v>
      </c>
      <c r="N129" s="20" t="n">
        <v>39.533</v>
      </c>
      <c r="T129" s="20" t="n">
        <v>0.281</v>
      </c>
      <c r="U129" s="20" t="n">
        <v>-89.919</v>
      </c>
      <c r="V129" s="20" t="n">
        <v>105.003</v>
      </c>
      <c r="W129" s="20" t="n">
        <v>-32.805</v>
      </c>
      <c r="X129" s="20" t="n">
        <v>39.533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IF(OR(G129="",C129=""),"",IF(G129*C129&lt;=0,"",IFERROR(G129/C129-1,"")))</f>
        <v/>
      </c>
      <c r="H130" s="15">
        <f>IF(OR(H129="",D129=""),"",IF(H129*D129&lt;=0,"",IFERROR(H129/D129-1,"")))</f>
        <v/>
      </c>
      <c r="I130" s="15">
        <f>IF(OR(I129="",E129=""),"",IF(I129*E129&lt;=0,"",IFERROR(I129/E129-1,"")))</f>
        <v/>
      </c>
      <c r="J130" s="15">
        <f>IF(OR(J129="",F129=""),"",IF(J129*F129&lt;=0,"",IFERROR(J129/F129-1,"")))</f>
        <v/>
      </c>
      <c r="K130" s="15">
        <f>IF(OR(K129="",G129=""),"",IF(K129*G129&lt;=0,"",IFERROR(K129/G129-1,"")))</f>
        <v/>
      </c>
      <c r="L130" s="15">
        <f>IF(OR(L129="",H129=""),"",IF(L129*H129&lt;=0,"",IFERROR(L129/H129-1,"")))</f>
        <v/>
      </c>
      <c r="M130" s="15">
        <f>IF(OR(M129="",I129=""),"",IF(M129*I129&lt;=0,"",IFERROR(M129/I129-1,"")))</f>
        <v/>
      </c>
      <c r="N130" s="15">
        <f>IF(OR(N129="",J129=""),"",IF(N129*J129&lt;=0,"",IFERROR(N129/J129-1,"")))</f>
        <v/>
      </c>
      <c r="T130" s="15">
        <f>IF(OR(T129="",S129=""),"",IF(T129*S129&lt;=0,"",IFERROR(T129/S129-1,"")))</f>
        <v/>
      </c>
      <c r="U130" s="15">
        <f>IF(OR(U129="",T129=""),"",IF(U129*T129&lt;=0,"",IFERROR(U129/T129-1,"")))</f>
        <v/>
      </c>
      <c r="V130" s="15">
        <f>IF(OR(V129="",U129=""),"",IF(V129*U129&lt;=0,"",IFERROR(V129/U129-1,"")))</f>
        <v/>
      </c>
      <c r="W130" s="15">
        <f>IF(OR(W129="",V129=""),"",IF(W129*V129&lt;=0,"",IFERROR(W129/V129-1,"")))</f>
        <v/>
      </c>
      <c r="X130" s="15">
        <f>IF(OR(X129="",W129=""),"",IF(X129*W129&lt;=0,"",IFERROR(X129/W129-1,"")))</f>
        <v/>
      </c>
    </row>
    <row r="131">
      <c r="A131" s="9" t="inlineStr">
        <is>
          <t>법인세차감전 중간순이익(손실)</t>
        </is>
      </c>
      <c r="C131" s="12" t="n">
        <v>3.868</v>
      </c>
      <c r="D131" s="12" t="n">
        <v>-39.004</v>
      </c>
      <c r="E131" s="12" t="n">
        <v>31.944</v>
      </c>
      <c r="F131" s="12" t="n">
        <v>-119.57</v>
      </c>
      <c r="G131" s="12" t="n">
        <v>-16.041</v>
      </c>
      <c r="H131" s="12" t="n">
        <v>-43.522</v>
      </c>
      <c r="I131" s="12" t="n">
        <v>42.491</v>
      </c>
      <c r="J131" s="12" t="n">
        <v>-33.28</v>
      </c>
      <c r="K131" s="12" t="n">
        <v>13.958</v>
      </c>
      <c r="L131" s="12" t="n">
        <v>56.773</v>
      </c>
      <c r="M131" s="12" t="n">
        <v>59.458</v>
      </c>
      <c r="N131" s="12" t="n">
        <v>38.936</v>
      </c>
      <c r="T131" s="12" t="n">
        <v>263.113</v>
      </c>
      <c r="U131" s="12" t="n">
        <v>156.427</v>
      </c>
      <c r="V131" s="12" t="n">
        <v>-119.57</v>
      </c>
      <c r="W131" s="12" t="n">
        <v>-33.28</v>
      </c>
      <c r="X131" s="12" t="n">
        <v>38.936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T132" s="15">
        <f>IF(OR(T131="",S131=""),"",IF(S131&lt;=0,"",IFERROR(T131/S131-1,"")))</f>
        <v/>
      </c>
      <c r="U132" s="15">
        <f>IF(OR(U131="",T131=""),"",IF(T131&lt;=0,"",IFERROR(U131/T131-1,"")))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법인세 등</t>
        </is>
      </c>
      <c r="C133" s="20" t="n">
        <v>-2.955</v>
      </c>
      <c r="D133" s="20" t="n">
        <v>-6.702</v>
      </c>
      <c r="E133" s="20" t="n">
        <v>11.049</v>
      </c>
      <c r="F133" s="20" t="n">
        <v>2.46</v>
      </c>
      <c r="G133" s="20" t="n">
        <v>5.441</v>
      </c>
      <c r="H133" s="20" t="n">
        <v>2.487</v>
      </c>
      <c r="I133" s="20" t="n">
        <v>7.327</v>
      </c>
      <c r="J133" s="20" t="n">
        <v>15.714</v>
      </c>
      <c r="K133" s="20" t="n">
        <v>10.847</v>
      </c>
      <c r="L133" s="20" t="n">
        <v>18.318</v>
      </c>
      <c r="M133" s="20" t="n">
        <v>19.159</v>
      </c>
      <c r="N133" s="20" t="n">
        <v>-12.026</v>
      </c>
      <c r="T133" s="20" t="n">
        <v>19.68</v>
      </c>
      <c r="U133" s="20" t="n">
        <v>-11.914</v>
      </c>
      <c r="V133" s="20" t="n">
        <v>2.46</v>
      </c>
      <c r="W133" s="20" t="n">
        <v>15.714</v>
      </c>
      <c r="X133" s="20" t="n">
        <v>-12.026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IF(OR(G133="",C133=""),"",IF(G133*C133&lt;=0,"",IFERROR(G133/C133-1,"")))</f>
        <v/>
      </c>
      <c r="H134" s="15">
        <f>IF(OR(H133="",D133=""),"",IF(H133*D133&lt;=0,"",IFERROR(H133/D133-1,"")))</f>
        <v/>
      </c>
      <c r="I134" s="15">
        <f>IF(OR(I133="",E133=""),"",IF(I133*E133&lt;=0,"",IFERROR(I133/E133-1,"")))</f>
        <v/>
      </c>
      <c r="J134" s="15">
        <f>IF(OR(J133="",F133=""),"",IF(J133*F133&lt;=0,"",IFERROR(J133/F133-1,"")))</f>
        <v/>
      </c>
      <c r="K134" s="15">
        <f>IF(OR(K133="",G133=""),"",IF(K133*G133&lt;=0,"",IFERROR(K133/G133-1,"")))</f>
        <v/>
      </c>
      <c r="L134" s="15">
        <f>IF(OR(L133="",H133=""),"",IF(L133*H133&lt;=0,"",IFERROR(L133/H133-1,"")))</f>
        <v/>
      </c>
      <c r="M134" s="15">
        <f>IF(OR(M133="",I133=""),"",IF(M133*I133&lt;=0,"",IFERROR(M133/I133-1,"")))</f>
        <v/>
      </c>
      <c r="N134" s="15">
        <f>IF(OR(N133="",J133=""),"",IF(N133*J133&lt;=0,"",IFERROR(N133/J133-1,"")))</f>
        <v/>
      </c>
      <c r="T134" s="15">
        <f>IF(OR(T133="",S133=""),"",IF(T133*S133&lt;=0,"",IFERROR(T133/S133-1,"")))</f>
        <v/>
      </c>
      <c r="U134" s="15">
        <f>IF(OR(U133="",T133=""),"",IF(U133*T133&lt;=0,"",IFERROR(U133/T133-1,"")))</f>
        <v/>
      </c>
      <c r="V134" s="15">
        <f>IF(OR(V133="",U133=""),"",IF(V133*U133&lt;=0,"",IFERROR(V133/U133-1,"")))</f>
        <v/>
      </c>
      <c r="W134" s="15">
        <f>IF(OR(W133="",V133=""),"",IF(W133*V133&lt;=0,"",IFERROR(W133/V133-1,"")))</f>
        <v/>
      </c>
      <c r="X134" s="15">
        <f>IF(OR(X133="",W133=""),"",IF(X133*W133&lt;=0,"",IFERROR(X133/W133-1,"")))</f>
        <v/>
      </c>
    </row>
    <row r="135">
      <c r="A135" s="9" t="inlineStr">
        <is>
          <t>중간순이익(손실)</t>
        </is>
      </c>
      <c r="C135" s="12" t="n">
        <v>6.824</v>
      </c>
      <c r="D135" s="12" t="n">
        <v>-32.302</v>
      </c>
      <c r="E135" s="12" t="n">
        <v>20.893</v>
      </c>
      <c r="F135" s="12" t="n">
        <v>-122.03</v>
      </c>
      <c r="G135" s="12" t="n">
        <v>-21.483</v>
      </c>
      <c r="H135" s="12" t="n">
        <v>-46.008</v>
      </c>
      <c r="I135" s="12" t="n">
        <v>35.164</v>
      </c>
      <c r="J135" s="12" t="n">
        <v>-48.995</v>
      </c>
      <c r="K135" s="12" t="n">
        <v>3.111</v>
      </c>
      <c r="L135" s="12" t="n">
        <v>38.454</v>
      </c>
      <c r="M135" s="12" t="n">
        <v>40.3</v>
      </c>
      <c r="N135" s="12" t="n">
        <v>50.962</v>
      </c>
      <c r="T135" s="12" t="n">
        <v>243.432</v>
      </c>
      <c r="U135" s="12" t="n">
        <v>168.342</v>
      </c>
      <c r="V135" s="12" t="n">
        <v>-122.03</v>
      </c>
      <c r="W135" s="12" t="n">
        <v>-48.995</v>
      </c>
      <c r="X135" s="12" t="n">
        <v>50.962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IF(OR(G135="",C135=""),"",IF(C135&lt;=0,"",IFERROR(G135/C135-1,"")))</f>
        <v/>
      </c>
      <c r="H136" s="15">
        <f>IF(OR(H135="",D135=""),"",IF(D135&lt;=0,"",IFERROR(H135/D135-1,"")))</f>
        <v/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K136" s="15">
        <f>IF(OR(K135="",G135=""),"",IF(G135&lt;=0,"",IFERROR(K135/G135-1,"")))</f>
        <v/>
      </c>
      <c r="L136" s="15">
        <f>IF(OR(L135="",H135=""),"",IF(H135&lt;=0,"",IFERROR(L135/H135-1,"")))</f>
        <v/>
      </c>
      <c r="M136" s="15">
        <f>IF(OR(M135="",I135=""),"",IF(I135&lt;=0,"",IFERROR(M135/I135-1,"")))</f>
        <v/>
      </c>
      <c r="N136" s="15">
        <f>IF(OR(N135="",J135=""),"",IF(J135&lt;=0,"",IFERROR(N135/J135-1,"")))</f>
        <v/>
      </c>
      <c r="T136" s="15">
        <f>IF(OR(T135="",S135=""),"",IF(S135&lt;=0,"",IFERROR(T135/S135-1,"")))</f>
        <v/>
      </c>
      <c r="U136" s="15">
        <f>IF(OR(U135="",T135=""),"",IF(T135&lt;=0,"",IFERROR(U135/T135-1,"")))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7">
      <c r="A137" s="9" t="inlineStr">
        <is>
          <t>비지배주주 순손익</t>
        </is>
      </c>
      <c r="C137" s="12" t="n">
        <v>0.611</v>
      </c>
      <c r="D137" s="12" t="n">
        <v>0.061</v>
      </c>
      <c r="E137" s="12" t="n">
        <v>0.525</v>
      </c>
      <c r="F137" s="12" t="n">
        <v>-1.275</v>
      </c>
      <c r="G137" s="12" t="n">
        <v>-1.393</v>
      </c>
      <c r="H137" s="12" t="n">
        <v>-0.864</v>
      </c>
      <c r="I137" s="12" t="n">
        <v>-0.455</v>
      </c>
      <c r="J137" s="12" t="n">
        <v>1.171</v>
      </c>
      <c r="K137" s="12" t="n">
        <v>0.998</v>
      </c>
      <c r="L137" s="12" t="n">
        <v>1.443</v>
      </c>
      <c r="M137" s="12" t="n">
        <v>4.966</v>
      </c>
      <c r="N137" s="12" t="n">
        <v>-11.275</v>
      </c>
      <c r="T137" s="12" t="n">
        <v>-1.83</v>
      </c>
      <c r="U137" s="12" t="n">
        <v>-6.063</v>
      </c>
      <c r="V137" s="12" t="n">
        <v>-1.275</v>
      </c>
      <c r="W137" s="12" t="n">
        <v>1.171</v>
      </c>
      <c r="X137" s="12" t="n">
        <v>-11.275</v>
      </c>
    </row>
    <row r="138">
      <c r="A138" s="9" t="inlineStr">
        <is>
          <t>지배주주 귀속 중간순이익(손실)</t>
        </is>
      </c>
      <c r="C138" s="12" t="n">
        <v>6.212</v>
      </c>
      <c r="D138" s="12" t="n">
        <v>-32.363</v>
      </c>
      <c r="E138" s="12" t="n">
        <v>20.368</v>
      </c>
      <c r="F138" s="12" t="n">
        <v>-120.753</v>
      </c>
      <c r="G138" s="12" t="n">
        <v>-20.089</v>
      </c>
      <c r="H138" s="12" t="n">
        <v>-45.145</v>
      </c>
      <c r="I138" s="12" t="n">
        <v>35.619</v>
      </c>
      <c r="J138" s="12" t="n">
        <v>-50.165</v>
      </c>
      <c r="K138" s="12" t="n">
        <v>2.112</v>
      </c>
      <c r="L138" s="12" t="n">
        <v>37.012</v>
      </c>
      <c r="M138" s="12" t="n">
        <v>35.333</v>
      </c>
      <c r="N138" s="12" t="n">
        <v>62.238</v>
      </c>
      <c r="T138" s="12" t="n">
        <v>245.262</v>
      </c>
      <c r="U138" s="12" t="n">
        <v>174.406</v>
      </c>
      <c r="V138" s="12" t="n">
        <v>-120.753</v>
      </c>
      <c r="W138" s="12" t="n">
        <v>-50.165</v>
      </c>
      <c r="X138" s="12" t="n">
        <v>62.238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1">
      <c r="A141" s="16" t="inlineStr">
        <is>
          <t>포괄손익 · 전 항목</t>
        </is>
      </c>
      <c r="B141" s="42" t="inlineStr">
        <is>
          <t>분기 = 3개월 단독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2024.1Q</t>
        </is>
      </c>
      <c r="D142" s="5" t="inlineStr">
        <is>
          <t>2024.2Q</t>
        </is>
      </c>
      <c r="E142" s="5" t="inlineStr">
        <is>
          <t>2024.3Q</t>
        </is>
      </c>
      <c r="F142" s="5" t="inlineStr">
        <is>
          <t>2024.4Q</t>
        </is>
      </c>
      <c r="G142" s="5" t="inlineStr">
        <is>
          <t>2025.1Q</t>
        </is>
      </c>
      <c r="H142" s="5" t="inlineStr">
        <is>
          <t>2025.2Q</t>
        </is>
      </c>
      <c r="I142" s="5" t="inlineStr">
        <is>
          <t>2025.3Q</t>
        </is>
      </c>
      <c r="J142" s="5" t="inlineStr">
        <is>
          <t>2025.4Q</t>
        </is>
      </c>
      <c r="K142" s="5" t="inlineStr">
        <is>
          <t>2026.1Q</t>
        </is>
      </c>
      <c r="L142" s="5" t="inlineStr">
        <is>
          <t>2026.2Q</t>
        </is>
      </c>
      <c r="M142" s="5" t="inlineStr">
        <is>
          <t>2026.3Q</t>
        </is>
      </c>
      <c r="N142" s="5" t="inlineStr">
        <is>
          <t>2026.4Q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9" t="inlineStr">
        <is>
          <t>중간순이익(손실)</t>
        </is>
      </c>
      <c r="C143" s="12" t="n">
        <v>6.824</v>
      </c>
      <c r="D143" s="12" t="n">
        <v>-32.302</v>
      </c>
      <c r="E143" s="12" t="n">
        <v>20.893</v>
      </c>
      <c r="F143" s="12" t="n">
        <v>-122.03</v>
      </c>
      <c r="G143" s="12" t="n">
        <v>-21.483</v>
      </c>
      <c r="H143" s="12" t="n">
        <v>-46.008</v>
      </c>
      <c r="I143" s="12" t="n">
        <v>35.164</v>
      </c>
      <c r="J143" s="12" t="n">
        <v>-48.995</v>
      </c>
      <c r="K143" s="12" t="n">
        <v>3.111</v>
      </c>
      <c r="L143" s="12" t="n">
        <v>38.454</v>
      </c>
      <c r="M143" s="12" t="n">
        <v>40.3</v>
      </c>
      <c r="N143" s="12" t="n">
        <v>50.962</v>
      </c>
      <c r="T143" s="12" t="n">
        <v>243.432</v>
      </c>
      <c r="U143" s="12" t="n">
        <v>168.342</v>
      </c>
      <c r="V143" s="12" t="n">
        <v>-122.03</v>
      </c>
      <c r="W143" s="12" t="n">
        <v>-48.995</v>
      </c>
      <c r="X143" s="12" t="n">
        <v>50.962</v>
      </c>
    </row>
    <row r="144">
      <c r="A144" s="18" t="inlineStr">
        <is>
          <t>기타유가증권 평가차액</t>
        </is>
      </c>
      <c r="C144" s="20" t="n">
        <v>42.299</v>
      </c>
      <c r="D144" s="20" t="n">
        <v>-1.06</v>
      </c>
      <c r="E144" s="20" t="n">
        <v>-3.439</v>
      </c>
      <c r="F144" s="20" t="n">
        <v>-31.007</v>
      </c>
      <c r="G144" s="20" t="n">
        <v>-9.359</v>
      </c>
      <c r="H144" s="20" t="n">
        <v>14.615</v>
      </c>
      <c r="I144" s="20" t="n">
        <v>32.083</v>
      </c>
      <c r="J144" s="20" t="n">
        <v>33.304</v>
      </c>
      <c r="K144" s="20" t="n">
        <v>46.881</v>
      </c>
      <c r="L144" s="20" t="n">
        <v>41.185</v>
      </c>
      <c r="M144" s="20" t="n">
        <v>66.982</v>
      </c>
      <c r="N144" s="20" t="n">
        <v>-94.583</v>
      </c>
      <c r="T144" s="20" t="n">
        <v>-30.296</v>
      </c>
      <c r="U144" s="20" t="n">
        <v>-3.746</v>
      </c>
      <c r="V144" s="20" t="n">
        <v>-31.007</v>
      </c>
      <c r="W144" s="20" t="n">
        <v>33.304</v>
      </c>
      <c r="X144" s="20" t="n">
        <v>-94.583</v>
      </c>
    </row>
    <row r="145">
      <c r="A145" s="18" t="inlineStr">
        <is>
          <t>해외사업환산조정</t>
        </is>
      </c>
      <c r="C145" s="20" t="n">
        <v>1.691</v>
      </c>
      <c r="D145" s="20" t="n">
        <v>4.535</v>
      </c>
      <c r="E145" s="20" t="n">
        <v>-5.291</v>
      </c>
      <c r="F145" s="20" t="n">
        <v>8.835000000000001</v>
      </c>
      <c r="G145" s="20" t="n">
        <v>-0.665</v>
      </c>
      <c r="H145" s="20" t="n">
        <v>-6.203</v>
      </c>
      <c r="I145" s="20" t="n">
        <v>-7.782</v>
      </c>
      <c r="J145" s="20" t="n">
        <v>21.315</v>
      </c>
      <c r="K145" s="20" t="n">
        <v>2.703</v>
      </c>
      <c r="L145" s="20" t="n">
        <v>1.687</v>
      </c>
      <c r="M145" s="20" t="n">
        <v>-0.783</v>
      </c>
      <c r="N145" s="20" t="n">
        <v>-11.914</v>
      </c>
      <c r="T145" s="20" t="n">
        <v>-5.23</v>
      </c>
      <c r="U145" s="20" t="n">
        <v>7.911</v>
      </c>
      <c r="V145" s="20" t="n">
        <v>8.835000000000001</v>
      </c>
      <c r="W145" s="20" t="n">
        <v>21.315</v>
      </c>
      <c r="X145" s="20" t="n">
        <v>-11.914</v>
      </c>
    </row>
    <row r="146">
      <c r="A146" s="18" t="inlineStr">
        <is>
          <t>기타포괄손익 합계</t>
        </is>
      </c>
      <c r="C146" s="20" t="n">
        <v>43.99</v>
      </c>
      <c r="D146" s="20" t="n">
        <v>3.476</v>
      </c>
      <c r="E146" s="20" t="n">
        <v>-8.731</v>
      </c>
      <c r="F146" s="20" t="n">
        <v>-22.172</v>
      </c>
      <c r="G146" s="20" t="n">
        <v>-10.025</v>
      </c>
      <c r="H146" s="20" t="n">
        <v>8.413</v>
      </c>
      <c r="I146" s="20" t="n">
        <v>24.301</v>
      </c>
      <c r="J146" s="20" t="n">
        <v>54.62</v>
      </c>
      <c r="K146" s="20" t="n">
        <v>49.584</v>
      </c>
      <c r="L146" s="20" t="n">
        <v>42.872</v>
      </c>
      <c r="M146" s="20" t="n">
        <v>66.199</v>
      </c>
      <c r="N146" s="20" t="n">
        <v>-106.497</v>
      </c>
      <c r="T146" s="20" t="n">
        <v>-35.527</v>
      </c>
      <c r="U146" s="20" t="n">
        <v>4.165</v>
      </c>
      <c r="V146" s="20" t="n">
        <v>-22.172</v>
      </c>
      <c r="W146" s="20" t="n">
        <v>54.62</v>
      </c>
      <c r="X146" s="20" t="n">
        <v>-106.497</v>
      </c>
    </row>
    <row r="147">
      <c r="A147" s="9" t="inlineStr">
        <is>
          <t>포괄이익</t>
        </is>
      </c>
      <c r="C147" s="12" t="n">
        <v>50.815</v>
      </c>
      <c r="D147" s="12" t="n">
        <v>-28.828</v>
      </c>
      <c r="E147" s="12" t="n">
        <v>12.163</v>
      </c>
      <c r="F147" s="12" t="n">
        <v>-144.201</v>
      </c>
      <c r="G147" s="12" t="n">
        <v>-31.508</v>
      </c>
      <c r="H147" s="12" t="n">
        <v>-37.596</v>
      </c>
      <c r="I147" s="12" t="n">
        <v>59.466</v>
      </c>
      <c r="J147" s="12" t="n">
        <v>5.626</v>
      </c>
      <c r="K147" s="12" t="n">
        <v>52.696</v>
      </c>
      <c r="L147" s="12" t="n">
        <v>81.32599999999999</v>
      </c>
      <c r="M147" s="12" t="n">
        <v>106.498</v>
      </c>
      <c r="N147" s="12" t="n">
        <v>-55.535</v>
      </c>
      <c r="T147" s="12" t="n">
        <v>207.906</v>
      </c>
      <c r="U147" s="12" t="n">
        <v>172.507</v>
      </c>
      <c r="V147" s="12" t="n">
        <v>-144.201</v>
      </c>
      <c r="W147" s="12" t="n">
        <v>5.626</v>
      </c>
      <c r="X147" s="12" t="n">
        <v>-55.535</v>
      </c>
    </row>
    <row r="148">
      <c r="A148" s="9" t="inlineStr">
        <is>
          <t>지배주주 포괄이익</t>
        </is>
      </c>
      <c r="C148" s="12" t="n">
        <v>50.055</v>
      </c>
      <c r="D148" s="12" t="n">
        <v>-29.266</v>
      </c>
      <c r="E148" s="12" t="n">
        <v>11.415</v>
      </c>
      <c r="F148" s="12" t="n">
        <v>-144.168</v>
      </c>
      <c r="G148" s="12" t="n">
        <v>-30.44</v>
      </c>
      <c r="H148" s="12" t="n">
        <v>-34.475</v>
      </c>
      <c r="I148" s="12" t="n">
        <v>58.044</v>
      </c>
      <c r="J148" s="12" t="n">
        <v>1.635</v>
      </c>
      <c r="K148" s="12" t="n">
        <v>50.9</v>
      </c>
      <c r="L148" s="12" t="n">
        <v>79.892</v>
      </c>
      <c r="M148" s="12" t="n">
        <v>102.441</v>
      </c>
      <c r="N148" s="12" t="n">
        <v>-45.751</v>
      </c>
      <c r="T148" s="12" t="n">
        <v>211.334</v>
      </c>
      <c r="U148" s="12" t="n">
        <v>176.487</v>
      </c>
      <c r="V148" s="12" t="n">
        <v>-144.168</v>
      </c>
      <c r="W148" s="12" t="n">
        <v>1.635</v>
      </c>
      <c r="X148" s="12" t="n">
        <v>-45.751</v>
      </c>
    </row>
    <row r="149">
      <c r="A149" s="9" t="inlineStr">
        <is>
          <t>비지배주주 포괄이익</t>
        </is>
      </c>
      <c r="C149" s="12" t="n">
        <v>0.76</v>
      </c>
      <c r="D149" s="12" t="n">
        <v>0.438</v>
      </c>
      <c r="E149" s="12" t="n">
        <v>0.748</v>
      </c>
      <c r="F149" s="12" t="n">
        <v>-0.033</v>
      </c>
      <c r="G149" s="12" t="n">
        <v>-1.067</v>
      </c>
      <c r="H149" s="12" t="n">
        <v>-3.121</v>
      </c>
      <c r="I149" s="12" t="n">
        <v>1.421</v>
      </c>
      <c r="J149" s="12" t="n">
        <v>3.99</v>
      </c>
      <c r="K149" s="12" t="n">
        <v>1.795</v>
      </c>
      <c r="L149" s="12" t="n">
        <v>1.435</v>
      </c>
      <c r="M149" s="12" t="n">
        <v>4.057</v>
      </c>
      <c r="N149" s="12" t="n">
        <v>-9.784000000000001</v>
      </c>
      <c r="T149" s="12" t="n">
        <v>-3.427</v>
      </c>
      <c r="U149" s="12" t="n">
        <v>-3.98</v>
      </c>
      <c r="V149" s="12" t="n">
        <v>-0.033</v>
      </c>
      <c r="W149" s="12" t="n">
        <v>3.99</v>
      </c>
      <c r="X149" s="12" t="n">
        <v>-9.784000000000001</v>
      </c>
    </row>
    <row r="151">
      <c r="A151" s="16" t="inlineStr">
        <is>
          <t>부문 · 전 항목</t>
        </is>
      </c>
      <c r="B151" s="42" t="inlineStr">
        <is>
          <t>부문 · 항목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2024.1Q</t>
        </is>
      </c>
      <c r="D152" s="5" t="inlineStr">
        <is>
          <t>2024.2Q</t>
        </is>
      </c>
      <c r="E152" s="5" t="inlineStr">
        <is>
          <t>2024.3Q</t>
        </is>
      </c>
      <c r="F152" s="5" t="inlineStr">
        <is>
          <t>2024.4Q</t>
        </is>
      </c>
      <c r="G152" s="5" t="inlineStr">
        <is>
          <t>2025.1Q</t>
        </is>
      </c>
      <c r="H152" s="5" t="inlineStr">
        <is>
          <t>2025.2Q</t>
        </is>
      </c>
      <c r="I152" s="5" t="inlineStr">
        <is>
          <t>2025.3Q</t>
        </is>
      </c>
      <c r="J152" s="5" t="inlineStr">
        <is>
          <t>2025.4Q</t>
        </is>
      </c>
      <c r="K152" s="5" t="inlineStr">
        <is>
          <t>2026.1Q</t>
        </is>
      </c>
      <c r="L152" s="5" t="inlineStr">
        <is>
          <t>2026.2Q</t>
        </is>
      </c>
      <c r="M152" s="5" t="inlineStr">
        <is>
          <t>2026.3Q</t>
        </is>
      </c>
      <c r="N152" s="5" t="inlineStr">
        <is>
          <t>2026.4Q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18" t="inlineStr">
        <is>
          <t>전자기판 사업 · 외부 고객 매출</t>
        </is>
      </c>
      <c r="C153" s="20" t="n">
        <v>572.255</v>
      </c>
      <c r="D153" s="20" t="n">
        <v>580.651</v>
      </c>
      <c r="E153" s="20" t="n">
        <v>564.595</v>
      </c>
      <c r="F153" s="20" t="n">
        <v>701.874</v>
      </c>
      <c r="G153" s="20" t="n">
        <v>574.353</v>
      </c>
      <c r="H153" s="20" t="n">
        <v>584.717</v>
      </c>
      <c r="I153" s="20" t="n">
        <v>548.37</v>
      </c>
      <c r="J153" s="20" t="n">
        <v>559.268</v>
      </c>
      <c r="K153" s="20" t="n">
        <v>649.97</v>
      </c>
      <c r="L153" s="20" t="n">
        <v>673.0940000000001</v>
      </c>
      <c r="M153" s="20" t="n">
        <v>703.259</v>
      </c>
      <c r="N153" s="20" t="n">
        <v>383</v>
      </c>
      <c r="V153" s="20" t="n">
        <v>701.874</v>
      </c>
      <c r="W153" s="20" t="n">
        <v>559.268</v>
      </c>
      <c r="X153" s="20" t="n">
        <v>383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테스트시스템 사업 · 외부 고객 매출</t>
        </is>
      </c>
      <c r="C155" s="20" t="n">
        <v>175.585</v>
      </c>
      <c r="D155" s="20" t="n">
        <v>173.913</v>
      </c>
      <c r="E155" s="20" t="n">
        <v>243.186</v>
      </c>
      <c r="F155" s="20" t="n">
        <v>-171.931</v>
      </c>
      <c r="G155" s="20" t="n">
        <v>77.95399999999999</v>
      </c>
      <c r="H155" s="20" t="n">
        <v>61.254</v>
      </c>
      <c r="I155" s="20" t="n">
        <v>80.82299999999999</v>
      </c>
      <c r="J155" s="20" t="n">
        <v>477.705</v>
      </c>
      <c r="K155" s="20" t="n">
        <v>76.842</v>
      </c>
      <c r="L155" s="20" t="n">
        <v>116.365</v>
      </c>
      <c r="M155" s="20" t="n">
        <v>96.63500000000001</v>
      </c>
      <c r="N155" s="20" t="n">
        <v>161.14</v>
      </c>
      <c r="V155" s="20" t="n">
        <v>-171.931</v>
      </c>
      <c r="W155" s="20" t="n">
        <v>477.705</v>
      </c>
      <c r="X155" s="20" t="n">
        <v>161.14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경면연마기 사업 · 외부 고객 매출</t>
        </is>
      </c>
      <c r="C157" s="20" t="n">
        <v>102.012</v>
      </c>
      <c r="D157" s="20" t="n">
        <v>90.459</v>
      </c>
      <c r="E157" s="20" t="n">
        <v>134.637</v>
      </c>
      <c r="F157" s="20" t="n">
        <v>69.611</v>
      </c>
      <c r="G157" s="20" t="n">
        <v>119.334</v>
      </c>
      <c r="H157" s="20" t="n">
        <v>97.19</v>
      </c>
      <c r="I157" s="20" t="n">
        <v>104.111</v>
      </c>
      <c r="J157" s="20" t="n">
        <v>101.201</v>
      </c>
      <c r="K157" s="20" t="n">
        <v>65.52</v>
      </c>
      <c r="L157" s="20" t="n">
        <v>133.173</v>
      </c>
      <c r="M157" s="20" t="n">
        <v>145.709</v>
      </c>
      <c r="N157" s="20" t="n">
        <v>101.265</v>
      </c>
      <c r="V157" s="20" t="n">
        <v>69.611</v>
      </c>
      <c r="W157" s="20" t="n">
        <v>101.201</v>
      </c>
      <c r="X157" s="20" t="n">
        <v>101.265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산업기계시스템 사업 · 외부 고객 매출</t>
        </is>
      </c>
      <c r="C159" s="20" t="n">
        <v>15.995</v>
      </c>
      <c r="D159" s="20" t="n">
        <v>49.354</v>
      </c>
      <c r="E159" s="20" t="n">
        <v>55.512</v>
      </c>
      <c r="F159" s="20" t="n">
        <v>53.756</v>
      </c>
      <c r="G159" s="20" t="n">
        <v>12.257</v>
      </c>
      <c r="H159" s="20" t="n">
        <v>80.099</v>
      </c>
      <c r="I159" s="20" t="n">
        <v>277.755</v>
      </c>
      <c r="J159" s="20" t="n">
        <v>-237.092</v>
      </c>
      <c r="K159" s="20" t="n">
        <v>28.43</v>
      </c>
      <c r="L159" s="20" t="n">
        <v>39.316</v>
      </c>
      <c r="M159" s="20" t="n">
        <v>160.106</v>
      </c>
      <c r="N159" s="20" t="n">
        <v>217.841</v>
      </c>
      <c r="V159" s="20" t="n">
        <v>53.756</v>
      </c>
      <c r="W159" s="20" t="n">
        <v>-237.092</v>
      </c>
      <c r="X159" s="20" t="n">
        <v>217.841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보고부문 합계 · 외부 고객 매출</t>
        </is>
      </c>
      <c r="C161" s="20" t="n">
        <v>865.849</v>
      </c>
      <c r="D161" s="20" t="n">
        <v>894.376</v>
      </c>
      <c r="E161" s="20" t="n">
        <v>997.932</v>
      </c>
      <c r="F161" s="20" t="n">
        <v>653.308</v>
      </c>
      <c r="G161" s="20" t="n">
        <v>783.899</v>
      </c>
      <c r="H161" s="20" t="n">
        <v>823.261</v>
      </c>
      <c r="I161" s="20" t="n">
        <v>1011.058</v>
      </c>
      <c r="J161" s="20" t="n">
        <v>901.082</v>
      </c>
      <c r="K161" s="20" t="n">
        <v>820.764</v>
      </c>
      <c r="L161" s="20" t="n">
        <v>961.948</v>
      </c>
      <c r="M161" s="20" t="n">
        <v>1105.708</v>
      </c>
      <c r="N161" s="20" t="n">
        <v>863.247</v>
      </c>
      <c r="V161" s="20" t="n">
        <v>653.308</v>
      </c>
      <c r="W161" s="20" t="n">
        <v>901.082</v>
      </c>
      <c r="X161" s="20" t="n">
        <v>863.247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조정액 · 외부 고객 매출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9" t="inlineStr">
        <is>
          <t>외부 고객 매출</t>
        </is>
      </c>
      <c r="C164" s="12" t="n">
        <v>865.849</v>
      </c>
      <c r="D164" s="12" t="n">
        <v>894.376</v>
      </c>
      <c r="E164" s="12" t="n">
        <v>997.932</v>
      </c>
      <c r="F164" s="12" t="n">
        <v>653.308</v>
      </c>
      <c r="G164" s="12" t="n">
        <v>783.899</v>
      </c>
      <c r="H164" s="12" t="n">
        <v>823.261</v>
      </c>
      <c r="I164" s="12" t="n">
        <v>1011.058</v>
      </c>
      <c r="J164" s="12" t="n">
        <v>901.082</v>
      </c>
      <c r="K164" s="12" t="n">
        <v>820.764</v>
      </c>
      <c r="L164" s="12" t="n">
        <v>961.948</v>
      </c>
      <c r="M164" s="12" t="n">
        <v>1105.708</v>
      </c>
      <c r="N164" s="12" t="n">
        <v>863.247</v>
      </c>
      <c r="V164" s="12" t="n">
        <v>653.308</v>
      </c>
      <c r="W164" s="12" t="n">
        <v>901.082</v>
      </c>
      <c r="X164" s="12" t="n">
        <v>863.247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전자기판 사업 · 부문 간 내부매출·대체</t>
        </is>
      </c>
      <c r="C166" s="20" t="n">
        <v>0</v>
      </c>
      <c r="D166" s="20" t="n">
        <v>0</v>
      </c>
      <c r="E166" s="20" t="n">
        <v>0</v>
      </c>
      <c r="F166" s="20" t="n">
        <v>0</v>
      </c>
      <c r="G166" s="20" t="n">
        <v>0</v>
      </c>
      <c r="H166" s="20" t="n">
        <v>0</v>
      </c>
      <c r="I166" s="20" t="n">
        <v>0</v>
      </c>
      <c r="J166" s="20" t="n">
        <v>0</v>
      </c>
      <c r="K166" s="20" t="n">
        <v>0</v>
      </c>
      <c r="L166" s="20" t="n">
        <v>0</v>
      </c>
      <c r="M166" s="20" t="n">
        <v>0</v>
      </c>
      <c r="N166" s="20" t="n">
        <v>0</v>
      </c>
      <c r="V166" s="20" t="n">
        <v>0</v>
      </c>
      <c r="W166" s="20" t="n">
        <v>0</v>
      </c>
      <c r="X166" s="20" t="n">
        <v>0</v>
      </c>
    </row>
    <row r="167">
      <c r="A167" s="18" t="inlineStr">
        <is>
          <t>테스트시스템 사업 · 부문 간 내부매출·대체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0</v>
      </c>
      <c r="I167" s="20" t="n">
        <v>0</v>
      </c>
      <c r="J167" s="20" t="n">
        <v>0</v>
      </c>
      <c r="K167" s="20" t="n">
        <v>0</v>
      </c>
      <c r="L167" s="20" t="n">
        <v>0</v>
      </c>
      <c r="M167" s="20" t="n">
        <v>0</v>
      </c>
      <c r="N167" s="20" t="n">
        <v>0</v>
      </c>
      <c r="V167" s="20" t="n">
        <v>0</v>
      </c>
      <c r="W167" s="20" t="n">
        <v>0</v>
      </c>
      <c r="X167" s="20" t="n">
        <v>0</v>
      </c>
    </row>
    <row r="168">
      <c r="A168" s="18" t="inlineStr">
        <is>
          <t>경면연마기 사업 · 부문 간 내부매출·대체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0</v>
      </c>
      <c r="X168" s="20" t="n">
        <v>0</v>
      </c>
    </row>
    <row r="169">
      <c r="A169" s="18" t="inlineStr">
        <is>
          <t>산업기계시스템 사업 · 부문 간 내부매출·대체</t>
        </is>
      </c>
      <c r="C169" s="20" t="n">
        <v>0.219</v>
      </c>
      <c r="D169" s="20" t="n">
        <v>0</v>
      </c>
      <c r="E169" s="20" t="n">
        <v>0</v>
      </c>
      <c r="F169" s="20" t="n">
        <v>0.755</v>
      </c>
      <c r="G169" s="20" t="n">
        <v>0</v>
      </c>
      <c r="H169" s="20" t="n">
        <v>0</v>
      </c>
      <c r="I169" s="20" t="n">
        <v>0</v>
      </c>
      <c r="J169" s="20" t="n">
        <v>0.219</v>
      </c>
      <c r="K169" s="20" t="n">
        <v>0</v>
      </c>
      <c r="L169" s="20" t="n">
        <v>0</v>
      </c>
      <c r="M169" s="20" t="n">
        <v>0</v>
      </c>
      <c r="N169" s="20" t="n">
        <v>0</v>
      </c>
      <c r="V169" s="20" t="n">
        <v>0.755</v>
      </c>
      <c r="W169" s="20" t="n">
        <v>0.219</v>
      </c>
      <c r="X169" s="20" t="n">
        <v>0</v>
      </c>
    </row>
    <row r="170">
      <c r="A170" s="18" t="inlineStr">
        <is>
          <t>보고부문 합계 · 부문 간 내부매출·대체</t>
        </is>
      </c>
      <c r="C170" s="20" t="n">
        <v>0.219</v>
      </c>
      <c r="D170" s="20" t="n">
        <v>0</v>
      </c>
      <c r="E170" s="20" t="n">
        <v>0</v>
      </c>
      <c r="F170" s="20" t="n">
        <v>0.755</v>
      </c>
      <c r="G170" s="20" t="n">
        <v>0</v>
      </c>
      <c r="H170" s="20" t="n">
        <v>0</v>
      </c>
      <c r="I170" s="20" t="n">
        <v>0</v>
      </c>
      <c r="J170" s="20" t="n">
        <v>0.219</v>
      </c>
      <c r="K170" s="20" t="n">
        <v>0</v>
      </c>
      <c r="L170" s="20" t="n">
        <v>0</v>
      </c>
      <c r="M170" s="20" t="n">
        <v>0</v>
      </c>
      <c r="N170" s="20" t="n">
        <v>0</v>
      </c>
      <c r="V170" s="20" t="n">
        <v>0.755</v>
      </c>
      <c r="W170" s="20" t="n">
        <v>0.219</v>
      </c>
      <c r="X170" s="20" t="n">
        <v>0</v>
      </c>
    </row>
    <row r="171">
      <c r="A171" s="18" t="inlineStr">
        <is>
          <t>조정액 · 부문 간 내부매출·대체</t>
        </is>
      </c>
      <c r="C171" s="20" t="n">
        <v>-0.219</v>
      </c>
      <c r="D171" s="20" t="n">
        <v>0</v>
      </c>
      <c r="E171" s="20" t="n">
        <v>0</v>
      </c>
      <c r="F171" s="20" t="n">
        <v>-0.755</v>
      </c>
      <c r="G171" s="20" t="n">
        <v>0</v>
      </c>
      <c r="H171" s="20" t="n">
        <v>0</v>
      </c>
      <c r="I171" s="20" t="n">
        <v>0</v>
      </c>
      <c r="J171" s="20" t="n">
        <v>-0.219</v>
      </c>
      <c r="K171" s="20" t="n">
        <v>0</v>
      </c>
      <c r="L171" s="20" t="n">
        <v>0</v>
      </c>
      <c r="M171" s="20" t="n">
        <v>0</v>
      </c>
      <c r="N171" s="20" t="n">
        <v>0</v>
      </c>
      <c r="V171" s="20" t="n">
        <v>-0.755</v>
      </c>
      <c r="W171" s="20" t="n">
        <v>-0.219</v>
      </c>
      <c r="X171" s="20" t="n">
        <v>0</v>
      </c>
    </row>
    <row r="172">
      <c r="A172" s="18" t="inlineStr">
        <is>
          <t>부문 간 내부매출·대체</t>
        </is>
      </c>
      <c r="C172" s="20" t="n">
        <v>0</v>
      </c>
      <c r="D172" s="20" t="n">
        <v>0</v>
      </c>
      <c r="E172" s="20" t="n">
        <v>0</v>
      </c>
      <c r="F172" s="20" t="n">
        <v>0</v>
      </c>
      <c r="G172" s="20" t="n">
        <v>0</v>
      </c>
      <c r="H172" s="20" t="n">
        <v>0</v>
      </c>
      <c r="I172" s="20" t="n">
        <v>0</v>
      </c>
      <c r="J172" s="20" t="n">
        <v>0</v>
      </c>
      <c r="K172" s="20" t="n">
        <v>0</v>
      </c>
      <c r="L172" s="20" t="n">
        <v>0</v>
      </c>
      <c r="M172" s="20" t="n">
        <v>0</v>
      </c>
      <c r="N172" s="20" t="n">
        <v>0</v>
      </c>
      <c r="V172" s="20" t="n">
        <v>0</v>
      </c>
      <c r="W172" s="20" t="n">
        <v>0</v>
      </c>
      <c r="X172" s="20" t="n">
        <v>0</v>
      </c>
    </row>
    <row r="173">
      <c r="A173" s="18" t="inlineStr">
        <is>
          <t>전자기판 사업 · 계</t>
        </is>
      </c>
      <c r="C173" s="20" t="n">
        <v>572.255</v>
      </c>
      <c r="D173" s="20" t="n">
        <v>580.651</v>
      </c>
      <c r="E173" s="20" t="n">
        <v>564.595</v>
      </c>
      <c r="F173" s="20" t="n">
        <v>701.874</v>
      </c>
      <c r="G173" s="20" t="n">
        <v>574.353</v>
      </c>
      <c r="H173" s="20" t="n">
        <v>584.717</v>
      </c>
      <c r="I173" s="20" t="n">
        <v>548.37</v>
      </c>
      <c r="J173" s="20" t="n">
        <v>559.268</v>
      </c>
      <c r="K173" s="20" t="n">
        <v>649.97</v>
      </c>
      <c r="L173" s="20" t="n">
        <v>673.0940000000001</v>
      </c>
      <c r="M173" s="20" t="n">
        <v>703.259</v>
      </c>
      <c r="N173" s="20" t="n">
        <v>383</v>
      </c>
      <c r="V173" s="20" t="n">
        <v>701.874</v>
      </c>
      <c r="W173" s="20" t="n">
        <v>559.268</v>
      </c>
      <c r="X173" s="20" t="n">
        <v>383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테스트시스템 사업 · 계</t>
        </is>
      </c>
      <c r="C175" s="20" t="n">
        <v>175.585</v>
      </c>
      <c r="D175" s="20" t="n">
        <v>173.913</v>
      </c>
      <c r="E175" s="20" t="n">
        <v>243.186</v>
      </c>
      <c r="F175" s="20" t="n">
        <v>-171.931</v>
      </c>
      <c r="G175" s="20" t="n">
        <v>77.95399999999999</v>
      </c>
      <c r="H175" s="20" t="n">
        <v>61.254</v>
      </c>
      <c r="I175" s="20" t="n">
        <v>80.82299999999999</v>
      </c>
      <c r="J175" s="20" t="n">
        <v>477.705</v>
      </c>
      <c r="K175" s="20" t="n">
        <v>76.842</v>
      </c>
      <c r="L175" s="20" t="n">
        <v>116.365</v>
      </c>
      <c r="M175" s="20" t="n">
        <v>96.63500000000001</v>
      </c>
      <c r="N175" s="20" t="n">
        <v>161.14</v>
      </c>
      <c r="V175" s="20" t="n">
        <v>-171.931</v>
      </c>
      <c r="W175" s="20" t="n">
        <v>477.705</v>
      </c>
      <c r="X175" s="20" t="n">
        <v>161.14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경면연마기 사업 · 계</t>
        </is>
      </c>
      <c r="C177" s="20" t="n">
        <v>102.012</v>
      </c>
      <c r="D177" s="20" t="n">
        <v>90.459</v>
      </c>
      <c r="E177" s="20" t="n">
        <v>134.637</v>
      </c>
      <c r="F177" s="20" t="n">
        <v>69.611</v>
      </c>
      <c r="G177" s="20" t="n">
        <v>119.334</v>
      </c>
      <c r="H177" s="20" t="n">
        <v>97.19</v>
      </c>
      <c r="I177" s="20" t="n">
        <v>104.111</v>
      </c>
      <c r="J177" s="20" t="n">
        <v>101.201</v>
      </c>
      <c r="K177" s="20" t="n">
        <v>65.52</v>
      </c>
      <c r="L177" s="20" t="n">
        <v>133.173</v>
      </c>
      <c r="M177" s="20" t="n">
        <v>145.709</v>
      </c>
      <c r="N177" s="20" t="n">
        <v>101.265</v>
      </c>
      <c r="V177" s="20" t="n">
        <v>69.611</v>
      </c>
      <c r="W177" s="20" t="n">
        <v>101.201</v>
      </c>
      <c r="X177" s="20" t="n">
        <v>101.265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산업기계시스템 사업 · 계</t>
        </is>
      </c>
      <c r="C179" s="20" t="n">
        <v>16.215</v>
      </c>
      <c r="D179" s="20" t="n">
        <v>49.353</v>
      </c>
      <c r="E179" s="20" t="n">
        <v>55.513</v>
      </c>
      <c r="F179" s="20" t="n">
        <v>54.51</v>
      </c>
      <c r="G179" s="20" t="n">
        <v>12.257</v>
      </c>
      <c r="H179" s="20" t="n">
        <v>80.099</v>
      </c>
      <c r="I179" s="20" t="n">
        <v>277.755</v>
      </c>
      <c r="J179" s="20" t="n">
        <v>-236.873</v>
      </c>
      <c r="K179" s="20" t="n">
        <v>28.43</v>
      </c>
      <c r="L179" s="20" t="n">
        <v>39.316</v>
      </c>
      <c r="M179" s="20" t="n">
        <v>160.106</v>
      </c>
      <c r="N179" s="20" t="n">
        <v>217.841</v>
      </c>
      <c r="V179" s="20" t="n">
        <v>54.51</v>
      </c>
      <c r="W179" s="20" t="n">
        <v>-236.873</v>
      </c>
      <c r="X179" s="20" t="n">
        <v>217.841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보고부문 합계 · 계</t>
        </is>
      </c>
      <c r="C181" s="20" t="n">
        <v>866.068</v>
      </c>
      <c r="D181" s="20" t="n">
        <v>894.376</v>
      </c>
      <c r="E181" s="20" t="n">
        <v>997.932</v>
      </c>
      <c r="F181" s="20" t="n">
        <v>654.063</v>
      </c>
      <c r="G181" s="20" t="n">
        <v>783.899</v>
      </c>
      <c r="H181" s="20" t="n">
        <v>823.261</v>
      </c>
      <c r="I181" s="20" t="n">
        <v>1011.058</v>
      </c>
      <c r="J181" s="20" t="n">
        <v>901.301</v>
      </c>
      <c r="K181" s="20" t="n">
        <v>820.764</v>
      </c>
      <c r="L181" s="20" t="n">
        <v>961.948</v>
      </c>
      <c r="M181" s="20" t="n">
        <v>1105.708</v>
      </c>
      <c r="N181" s="20" t="n">
        <v>863.247</v>
      </c>
      <c r="V181" s="20" t="n">
        <v>654.063</v>
      </c>
      <c r="W181" s="20" t="n">
        <v>901.301</v>
      </c>
      <c r="X181" s="20" t="n">
        <v>863.247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조정액 · 계</t>
        </is>
      </c>
      <c r="C183" s="20" t="n">
        <v>-0.219</v>
      </c>
      <c r="D183" s="20" t="n">
        <v>0</v>
      </c>
      <c r="E183" s="20" t="n">
        <v>0</v>
      </c>
      <c r="F183" s="20" t="n">
        <v>-0.755</v>
      </c>
      <c r="G183" s="20" t="n">
        <v>0</v>
      </c>
      <c r="H183" s="20" t="n">
        <v>0</v>
      </c>
      <c r="I183" s="20" t="n">
        <v>0</v>
      </c>
      <c r="J183" s="20" t="n">
        <v>-0.219</v>
      </c>
      <c r="K183" s="20" t="n">
        <v>0</v>
      </c>
      <c r="L183" s="20" t="n">
        <v>0</v>
      </c>
      <c r="M183" s="20" t="n">
        <v>0</v>
      </c>
      <c r="N183" s="20" t="n">
        <v>0</v>
      </c>
      <c r="V183" s="20" t="n">
        <v>-0.755</v>
      </c>
      <c r="W183" s="20" t="n">
        <v>-0.219</v>
      </c>
      <c r="X183" s="20" t="n">
        <v>0</v>
      </c>
    </row>
    <row r="184">
      <c r="A184" s="9" t="inlineStr">
        <is>
          <t>계</t>
        </is>
      </c>
      <c r="C184" s="12" t="n">
        <v>865.849</v>
      </c>
      <c r="D184" s="12" t="n">
        <v>894.376</v>
      </c>
      <c r="E184" s="12" t="n">
        <v>997.932</v>
      </c>
      <c r="F184" s="12" t="n">
        <v>653.308</v>
      </c>
      <c r="G184" s="12" t="n">
        <v>783.899</v>
      </c>
      <c r="H184" s="12" t="n">
        <v>823.261</v>
      </c>
      <c r="I184" s="12" t="n">
        <v>1011.058</v>
      </c>
      <c r="J184" s="12" t="n">
        <v>901.082</v>
      </c>
      <c r="K184" s="12" t="n">
        <v>820.764</v>
      </c>
      <c r="L184" s="12" t="n">
        <v>961.948</v>
      </c>
      <c r="M184" s="12" t="n">
        <v>1105.708</v>
      </c>
      <c r="N184" s="12" t="n">
        <v>863.247</v>
      </c>
      <c r="V184" s="12" t="n">
        <v>653.308</v>
      </c>
      <c r="W184" s="12" t="n">
        <v>901.082</v>
      </c>
      <c r="X184" s="12" t="n">
        <v>863.247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전자기판 사업 · 부문 이익(손실)</t>
        </is>
      </c>
      <c r="C186" s="20" t="n">
        <v>102.564</v>
      </c>
      <c r="D186" s="20" t="n">
        <v>61.148</v>
      </c>
      <c r="E186" s="20" t="n">
        <v>80.17400000000001</v>
      </c>
      <c r="F186" s="20" t="n">
        <v>155.358</v>
      </c>
      <c r="G186" s="20" t="n">
        <v>97.246</v>
      </c>
      <c r="H186" s="20" t="n">
        <v>115.904</v>
      </c>
      <c r="I186" s="20" t="n">
        <v>93.089</v>
      </c>
      <c r="J186" s="20" t="n">
        <v>26.564</v>
      </c>
      <c r="K186" s="20" t="n">
        <v>158.827</v>
      </c>
      <c r="L186" s="20" t="n">
        <v>136.731</v>
      </c>
      <c r="M186" s="20" t="n">
        <v>141.296</v>
      </c>
      <c r="N186" s="20" t="n">
        <v>64.027</v>
      </c>
      <c r="V186" s="20" t="n">
        <v>155.358</v>
      </c>
      <c r="W186" s="20" t="n">
        <v>26.564</v>
      </c>
      <c r="X186" s="20" t="n">
        <v>64.027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IF(OR(C186="",C173=""),"",IF(C173&lt;=0,"",IFERROR(C186/C173,"")))</f>
        <v/>
      </c>
      <c r="D187" s="15">
        <f>IF(OR(D186="",D173=""),"",IF(D173&lt;=0,"",IFERROR(D186/D173,"")))</f>
        <v/>
      </c>
      <c r="E187" s="15">
        <f>IF(OR(E186="",E173=""),"",IF(E173&lt;=0,"",IFERROR(E186/E173,"")))</f>
        <v/>
      </c>
      <c r="F187" s="15">
        <f>IF(OR(F186="",F173=""),"",IF(F173&lt;=0,"",IFERROR(F186/F173,"")))</f>
        <v/>
      </c>
      <c r="G187" s="15">
        <f>IF(OR(G186="",G173=""),"",IF(G173&lt;=0,"",IFERROR(G186/G173,"")))</f>
        <v/>
      </c>
      <c r="H187" s="15">
        <f>IF(OR(H186="",H173=""),"",IF(H173&lt;=0,"",IFERROR(H186/H173,"")))</f>
        <v/>
      </c>
      <c r="I187" s="15">
        <f>IF(OR(I186="",I173=""),"",IF(I173&lt;=0,"",IFERROR(I186/I173,"")))</f>
        <v/>
      </c>
      <c r="J187" s="15">
        <f>IF(OR(J186="",J173=""),"",IF(J173&lt;=0,"",IFERROR(J186/J173,"")))</f>
        <v/>
      </c>
      <c r="K187" s="15">
        <f>IF(OR(K186="",K173=""),"",IF(K173&lt;=0,"",IFERROR(K186/K173,"")))</f>
        <v/>
      </c>
      <c r="L187" s="15">
        <f>IF(OR(L186="",L173=""),"",IF(L173&lt;=0,"",IFERROR(L186/L173,"")))</f>
        <v/>
      </c>
      <c r="M187" s="15">
        <f>IF(OR(M186="",M173=""),"",IF(M173&lt;=0,"",IFERROR(M186/M173,"")))</f>
        <v/>
      </c>
      <c r="N187" s="15">
        <f>IF(OR(N186="",N173=""),"",IF(N173&lt;=0,"",IFERROR(N186/N173,"")))</f>
        <v/>
      </c>
      <c r="V187" s="15">
        <f>IF(OR(V186="",V173=""),"",IF(V173&lt;=0,"",IFERROR(V186/V173,"")))</f>
        <v/>
      </c>
      <c r="W187" s="15">
        <f>IF(OR(W186="",W173=""),"",IF(W173&lt;=0,"",IFERROR(W186/W173,"")))</f>
        <v/>
      </c>
      <c r="X187" s="15">
        <f>IF(OR(X186="",X173=""),"",IF(X173&lt;=0,"",IFERROR(X186/X173,"")))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테스트시스템 사업 · 부문 이익(손실)</t>
        </is>
      </c>
      <c r="C189" s="20" t="n">
        <v>18.803</v>
      </c>
      <c r="D189" s="20" t="n">
        <v>12.857</v>
      </c>
      <c r="E189" s="20" t="n">
        <v>24.595</v>
      </c>
      <c r="F189" s="20" t="n">
        <v>-150.815</v>
      </c>
      <c r="G189" s="20" t="n">
        <v>-39.937</v>
      </c>
      <c r="H189" s="20" t="n">
        <v>-30.22</v>
      </c>
      <c r="I189" s="20" t="n">
        <v>-17.631</v>
      </c>
      <c r="J189" s="20" t="n">
        <v>110.743</v>
      </c>
      <c r="K189" s="20" t="n">
        <v>-28.166</v>
      </c>
      <c r="L189" s="20" t="n">
        <v>-5.772</v>
      </c>
      <c r="M189" s="20" t="n">
        <v>-14.6</v>
      </c>
      <c r="N189" s="20" t="n">
        <v>14.571</v>
      </c>
      <c r="V189" s="20" t="n">
        <v>-150.815</v>
      </c>
      <c r="W189" s="20" t="n">
        <v>110.743</v>
      </c>
      <c r="X189" s="20" t="n">
        <v>14.571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IF(OR(C189="",C175=""),"",IF(C175&lt;=0,"",IFERROR(C189/C175,"")))</f>
        <v/>
      </c>
      <c r="D190" s="15">
        <f>IF(OR(D189="",D175=""),"",IF(D175&lt;=0,"",IFERROR(D189/D175,"")))</f>
        <v/>
      </c>
      <c r="E190" s="15">
        <f>IF(OR(E189="",E175=""),"",IF(E175&lt;=0,"",IFERROR(E189/E175,"")))</f>
        <v/>
      </c>
      <c r="F190" s="15">
        <f>IF(OR(F189="",F175=""),"",IF(F175&lt;=0,"",IFERROR(F189/F175,"")))</f>
        <v/>
      </c>
      <c r="G190" s="15">
        <f>IF(OR(G189="",G175=""),"",IF(G175&lt;=0,"",IFERROR(G189/G175,"")))</f>
        <v/>
      </c>
      <c r="H190" s="15">
        <f>IF(OR(H189="",H175=""),"",IF(H175&lt;=0,"",IFERROR(H189/H175,"")))</f>
        <v/>
      </c>
      <c r="I190" s="15">
        <f>IF(OR(I189="",I175=""),"",IF(I175&lt;=0,"",IFERROR(I189/I175,"")))</f>
        <v/>
      </c>
      <c r="J190" s="15">
        <f>IF(OR(J189="",J175=""),"",IF(J175&lt;=0,"",IFERROR(J189/J175,"")))</f>
        <v/>
      </c>
      <c r="K190" s="15">
        <f>IF(OR(K189="",K175=""),"",IF(K175&lt;=0,"",IFERROR(K189/K175,"")))</f>
        <v/>
      </c>
      <c r="L190" s="15">
        <f>IF(OR(L189="",L175=""),"",IF(L175&lt;=0,"",IFERROR(L189/L175,"")))</f>
        <v/>
      </c>
      <c r="M190" s="15">
        <f>IF(OR(M189="",M175=""),"",IF(M175&lt;=0,"",IFERROR(M189/M175,"")))</f>
        <v/>
      </c>
      <c r="N190" s="15">
        <f>IF(OR(N189="",N175=""),"",IF(N175&lt;=0,"",IFERROR(N189/N175,"")))</f>
        <v/>
      </c>
      <c r="V190" s="15">
        <f>IF(OR(V189="",V175=""),"",IF(V175&lt;=0,"",IFERROR(V189/V175,"")))</f>
        <v/>
      </c>
      <c r="W190" s="15">
        <f>IF(OR(W189="",W175=""),"",IF(W175&lt;=0,"",IFERROR(W189/W175,"")))</f>
        <v/>
      </c>
      <c r="X190" s="15">
        <f>IF(OR(X189="",X175=""),"",IF(X175&lt;=0,"",IFERROR(X189/X175,"")))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경면연마기 사업 · 부문 이익(손실)</t>
        </is>
      </c>
      <c r="C192" s="20" t="n">
        <v>8.965999999999999</v>
      </c>
      <c r="D192" s="20" t="n">
        <v>7.526</v>
      </c>
      <c r="E192" s="20" t="n">
        <v>36.912</v>
      </c>
      <c r="F192" s="20" t="n">
        <v>-3.828</v>
      </c>
      <c r="G192" s="20" t="n">
        <v>22.907</v>
      </c>
      <c r="H192" s="20" t="n">
        <v>9.861000000000001</v>
      </c>
      <c r="I192" s="20" t="n">
        <v>19.718</v>
      </c>
      <c r="J192" s="20" t="n">
        <v>17.249</v>
      </c>
      <c r="K192" s="20" t="n">
        <v>5.319</v>
      </c>
      <c r="L192" s="20" t="n">
        <v>35.308</v>
      </c>
      <c r="M192" s="20" t="n">
        <v>31.352</v>
      </c>
      <c r="N192" s="20" t="n">
        <v>-1.719</v>
      </c>
      <c r="V192" s="20" t="n">
        <v>-3.828</v>
      </c>
      <c r="W192" s="20" t="n">
        <v>17.249</v>
      </c>
      <c r="X192" s="20" t="n">
        <v>-1.719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IF(OR(C192="",C177=""),"",IF(C177&lt;=0,"",IFERROR(C192/C177,"")))</f>
        <v/>
      </c>
      <c r="D193" s="15">
        <f>IF(OR(D192="",D177=""),"",IF(D177&lt;=0,"",IFERROR(D192/D177,"")))</f>
        <v/>
      </c>
      <c r="E193" s="15">
        <f>IF(OR(E192="",E177=""),"",IF(E177&lt;=0,"",IFERROR(E192/E177,"")))</f>
        <v/>
      </c>
      <c r="F193" s="15">
        <f>IF(OR(F192="",F177=""),"",IF(F177&lt;=0,"",IFERROR(F192/F177,"")))</f>
        <v/>
      </c>
      <c r="G193" s="15">
        <f>IF(OR(G192="",G177=""),"",IF(G177&lt;=0,"",IFERROR(G192/G177,"")))</f>
        <v/>
      </c>
      <c r="H193" s="15">
        <f>IF(OR(H192="",H177=""),"",IF(H177&lt;=0,"",IFERROR(H192/H177,"")))</f>
        <v/>
      </c>
      <c r="I193" s="15">
        <f>IF(OR(I192="",I177=""),"",IF(I177&lt;=0,"",IFERROR(I192/I177,"")))</f>
        <v/>
      </c>
      <c r="J193" s="15">
        <f>IF(OR(J192="",J177=""),"",IF(J177&lt;=0,"",IFERROR(J192/J177,"")))</f>
        <v/>
      </c>
      <c r="K193" s="15">
        <f>IF(OR(K192="",K177=""),"",IF(K177&lt;=0,"",IFERROR(K192/K177,"")))</f>
        <v/>
      </c>
      <c r="L193" s="15">
        <f>IF(OR(L192="",L177=""),"",IF(L177&lt;=0,"",IFERROR(L192/L177,"")))</f>
        <v/>
      </c>
      <c r="M193" s="15">
        <f>IF(OR(M192="",M177=""),"",IF(M177&lt;=0,"",IFERROR(M192/M177,"")))</f>
        <v/>
      </c>
      <c r="N193" s="15">
        <f>IF(OR(N192="",N177=""),"",IF(N177&lt;=0,"",IFERROR(N192/N177,"")))</f>
        <v/>
      </c>
      <c r="V193" s="15">
        <f>IF(OR(V192="",V177=""),"",IF(V177&lt;=0,"",IFERROR(V192/V177,"")))</f>
        <v/>
      </c>
      <c r="W193" s="15">
        <f>IF(OR(W192="",W177=""),"",IF(W177&lt;=0,"",IFERROR(W192/W177,"")))</f>
        <v/>
      </c>
      <c r="X193" s="15">
        <f>IF(OR(X192="",X177=""),"",IF(X177&lt;=0,"",IFERROR(X192/X177,"")))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산업기계시스템 사업 · 부문 이익(손실)</t>
        </is>
      </c>
      <c r="C195" s="20" t="n">
        <v>-13.909</v>
      </c>
      <c r="D195" s="20" t="n">
        <v>-5.657</v>
      </c>
      <c r="E195" s="20" t="n">
        <v>-0.189</v>
      </c>
      <c r="F195" s="20" t="n">
        <v>-20.508</v>
      </c>
      <c r="G195" s="20" t="n">
        <v>-12.568</v>
      </c>
      <c r="H195" s="20" t="n">
        <v>10.597</v>
      </c>
      <c r="I195" s="20" t="n">
        <v>29.494</v>
      </c>
      <c r="J195" s="20" t="n">
        <v>-57.091</v>
      </c>
      <c r="K195" s="20" t="n">
        <v>-6.845</v>
      </c>
      <c r="L195" s="20" t="n">
        <v>1.045</v>
      </c>
      <c r="M195" s="20" t="n">
        <v>14.589</v>
      </c>
      <c r="N195" s="20" t="n">
        <v>31.397</v>
      </c>
      <c r="V195" s="20" t="n">
        <v>-20.508</v>
      </c>
      <c r="W195" s="20" t="n">
        <v>-57.091</v>
      </c>
      <c r="X195" s="20" t="n">
        <v>31.397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IF(OR(C195="",C179=""),"",IF(C179&lt;=0,"",IFERROR(C195/C179,"")))</f>
        <v/>
      </c>
      <c r="D196" s="15">
        <f>IF(OR(D195="",D179=""),"",IF(D179&lt;=0,"",IFERROR(D195/D179,"")))</f>
        <v/>
      </c>
      <c r="E196" s="15">
        <f>IF(OR(E195="",E179=""),"",IF(E179&lt;=0,"",IFERROR(E195/E179,"")))</f>
        <v/>
      </c>
      <c r="F196" s="15">
        <f>IF(OR(F195="",F179=""),"",IF(F179&lt;=0,"",IFERROR(F195/F179,"")))</f>
        <v/>
      </c>
      <c r="G196" s="15">
        <f>IF(OR(G195="",G179=""),"",IF(G179&lt;=0,"",IFERROR(G195/G179,"")))</f>
        <v/>
      </c>
      <c r="H196" s="15">
        <f>IF(OR(H195="",H179=""),"",IF(H179&lt;=0,"",IFERROR(H195/H179,"")))</f>
        <v/>
      </c>
      <c r="I196" s="15">
        <f>IF(OR(I195="",I179=""),"",IF(I179&lt;=0,"",IFERROR(I195/I179,"")))</f>
        <v/>
      </c>
      <c r="J196" s="15">
        <f>IF(OR(J195="",J179=""),"",IF(J179&lt;=0,"",IFERROR(J195/J179,"")))</f>
        <v/>
      </c>
      <c r="K196" s="15">
        <f>IF(OR(K195="",K179=""),"",IF(K179&lt;=0,"",IFERROR(K195/K179,"")))</f>
        <v/>
      </c>
      <c r="L196" s="15">
        <f>IF(OR(L195="",L179=""),"",IF(L179&lt;=0,"",IFERROR(L195/L179,"")))</f>
        <v/>
      </c>
      <c r="M196" s="15">
        <f>IF(OR(M195="",M179=""),"",IF(M179&lt;=0,"",IFERROR(M195/M179,"")))</f>
        <v/>
      </c>
      <c r="N196" s="15">
        <f>IF(OR(N195="",N179=""),"",IF(N179&lt;=0,"",IFERROR(N195/N179,"")))</f>
        <v/>
      </c>
      <c r="V196" s="15">
        <f>IF(OR(V195="",V179=""),"",IF(V179&lt;=0,"",IFERROR(V195/V179,"")))</f>
        <v/>
      </c>
      <c r="W196" s="15">
        <f>IF(OR(W195="",W179=""),"",IF(W179&lt;=0,"",IFERROR(W195/W179,"")))</f>
        <v/>
      </c>
      <c r="X196" s="15">
        <f>IF(OR(X195="",X179=""),"",IF(X179&lt;=0,"",IFERROR(X195/X179,"")))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V197" s="15">
        <f>IF(OR(V195="",U195=""),"",IF(U195&lt;=0,"",IFERROR(V195/U195-1,"")))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8">
      <c r="A198" s="18" t="inlineStr">
        <is>
          <t>보고부문 합계 · 부문 이익(손실)</t>
        </is>
      </c>
      <c r="C198" s="20" t="n">
        <v>116.424</v>
      </c>
      <c r="D198" s="20" t="n">
        <v>75.875</v>
      </c>
      <c r="E198" s="20" t="n">
        <v>141.492</v>
      </c>
      <c r="F198" s="20" t="n">
        <v>-19.794</v>
      </c>
      <c r="G198" s="20" t="n">
        <v>67.648</v>
      </c>
      <c r="H198" s="20" t="n">
        <v>106.142</v>
      </c>
      <c r="I198" s="20" t="n">
        <v>124.671</v>
      </c>
      <c r="J198" s="20" t="n">
        <v>97.465</v>
      </c>
      <c r="K198" s="20" t="n">
        <v>129.135</v>
      </c>
      <c r="L198" s="20" t="n">
        <v>167.311</v>
      </c>
      <c r="M198" s="20" t="n">
        <v>172.639</v>
      </c>
      <c r="N198" s="20" t="n">
        <v>108.275</v>
      </c>
      <c r="V198" s="20" t="n">
        <v>-19.794</v>
      </c>
      <c r="W198" s="20" t="n">
        <v>97.465</v>
      </c>
      <c r="X198" s="20" t="n">
        <v>108.275</v>
      </c>
    </row>
    <row r="199">
      <c r="A199" s="43" t="inlineStr">
        <is>
          <t>OPM</t>
        </is>
      </c>
      <c r="B199" s="3" t="inlineStr">
        <is>
          <t>영업이익 ÷ 매출</t>
        </is>
      </c>
      <c r="C199" s="15">
        <f>IF(OR(C198="",C181=""),"",IF(C181&lt;=0,"",IFERROR(C198/C181,"")))</f>
        <v/>
      </c>
      <c r="D199" s="15">
        <f>IF(OR(D198="",D181=""),"",IF(D181&lt;=0,"",IFERROR(D198/D181,"")))</f>
        <v/>
      </c>
      <c r="E199" s="15">
        <f>IF(OR(E198="",E181=""),"",IF(E181&lt;=0,"",IFERROR(E198/E181,"")))</f>
        <v/>
      </c>
      <c r="F199" s="15">
        <f>IF(OR(F198="",F181=""),"",IF(F181&lt;=0,"",IFERROR(F198/F181,"")))</f>
        <v/>
      </c>
      <c r="G199" s="15">
        <f>IF(OR(G198="",G181=""),"",IF(G181&lt;=0,"",IFERROR(G198/G181,"")))</f>
        <v/>
      </c>
      <c r="H199" s="15">
        <f>IF(OR(H198="",H181=""),"",IF(H181&lt;=0,"",IFERROR(H198/H181,"")))</f>
        <v/>
      </c>
      <c r="I199" s="15">
        <f>IF(OR(I198="",I181=""),"",IF(I181&lt;=0,"",IFERROR(I198/I181,"")))</f>
        <v/>
      </c>
      <c r="J199" s="15">
        <f>IF(OR(J198="",J181=""),"",IF(J181&lt;=0,"",IFERROR(J198/J181,"")))</f>
        <v/>
      </c>
      <c r="K199" s="15">
        <f>IF(OR(K198="",K181=""),"",IF(K181&lt;=0,"",IFERROR(K198/K181,"")))</f>
        <v/>
      </c>
      <c r="L199" s="15">
        <f>IF(OR(L198="",L181=""),"",IF(L181&lt;=0,"",IFERROR(L198/L181,"")))</f>
        <v/>
      </c>
      <c r="M199" s="15">
        <f>IF(OR(M198="",M181=""),"",IF(M181&lt;=0,"",IFERROR(M198/M181,"")))</f>
        <v/>
      </c>
      <c r="N199" s="15">
        <f>IF(OR(N198="",N181=""),"",IF(N181&lt;=0,"",IFERROR(N198/N181,"")))</f>
        <v/>
      </c>
      <c r="V199" s="15">
        <f>IF(OR(V198="",V181=""),"",IF(V181&lt;=0,"",IFERROR(V198/V181,"")))</f>
        <v/>
      </c>
      <c r="W199" s="15">
        <f>IF(OR(W198="",W181=""),"",IF(W181&lt;=0,"",IFERROR(W198/W181,"")))</f>
        <v/>
      </c>
      <c r="X199" s="15">
        <f>IF(OR(X198="",X181=""),"",IF(X181&lt;=0,"",IFERROR(X198/X181,"")))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IF(OR(G198="",C198=""),"",IF(C198&lt;=0,"",IFERROR(G198/C198-1,"")))</f>
        <v/>
      </c>
      <c r="H200" s="15">
        <f>IF(OR(H198="",D198=""),"",IF(D198&lt;=0,"",IFERROR(H198/D198-1,"")))</f>
        <v/>
      </c>
      <c r="I200" s="15">
        <f>IF(OR(I198="",E198=""),"",IF(E198&lt;=0,"",IFERROR(I198/E198-1,"")))</f>
        <v/>
      </c>
      <c r="J200" s="15">
        <f>IF(OR(J198="",F198=""),"",IF(F198&lt;=0,"",IFERROR(J198/F198-1,"")))</f>
        <v/>
      </c>
      <c r="K200" s="15">
        <f>IF(OR(K198="",G198=""),"",IF(G198&lt;=0,"",IFERROR(K198/G198-1,"")))</f>
        <v/>
      </c>
      <c r="L200" s="15">
        <f>IF(OR(L198="",H198=""),"",IF(H198&lt;=0,"",IFERROR(L198/H198-1,"")))</f>
        <v/>
      </c>
      <c r="M200" s="15">
        <f>IF(OR(M198="",I198=""),"",IF(I198&lt;=0,"",IFERROR(M198/I198-1,"")))</f>
        <v/>
      </c>
      <c r="N200" s="15">
        <f>IF(OR(N198="",J198=""),"",IF(J198&lt;=0,"",IFERROR(N198/J198-1,"")))</f>
        <v/>
      </c>
      <c r="V200" s="15">
        <f>IF(OR(V198="",U198=""),"",IF(U198&lt;=0,"",IFERROR(V198/U198-1,"")))</f>
        <v/>
      </c>
      <c r="W200" s="15">
        <f>IF(OR(W198="",V198=""),"",IF(V198&lt;=0,"",IFERROR(W198/V198-1,"")))</f>
        <v/>
      </c>
      <c r="X200" s="15">
        <f>IF(OR(X198="",W198=""),"",IF(W198&lt;=0,"",IFERROR(X198/W198-1,"")))</f>
        <v/>
      </c>
    </row>
    <row r="201">
      <c r="A201" s="18" t="inlineStr">
        <is>
          <t>조정액 · 부문 이익(손실)</t>
        </is>
      </c>
      <c r="C201" s="20" t="n">
        <v>-114.656</v>
      </c>
      <c r="D201" s="20" t="n">
        <v>-112.108</v>
      </c>
      <c r="E201" s="20" t="n">
        <v>-110.337</v>
      </c>
      <c r="F201" s="20" t="n">
        <v>-118.769</v>
      </c>
      <c r="G201" s="20" t="n">
        <v>-127.177</v>
      </c>
      <c r="H201" s="20" t="n">
        <v>-104.049</v>
      </c>
      <c r="I201" s="20" t="n">
        <v>-100.385</v>
      </c>
      <c r="J201" s="20" t="n">
        <v>-118.403</v>
      </c>
      <c r="K201" s="20" t="n">
        <v>-104.975</v>
      </c>
      <c r="L201" s="20" t="n">
        <v>-108.093</v>
      </c>
      <c r="M201" s="20" t="n">
        <v>-116.402</v>
      </c>
      <c r="N201" s="20" t="n">
        <v>-105.317</v>
      </c>
      <c r="V201" s="20" t="n">
        <v>-118.769</v>
      </c>
      <c r="W201" s="20" t="n">
        <v>-118.403</v>
      </c>
      <c r="X201" s="20" t="n">
        <v>-105.317</v>
      </c>
    </row>
    <row r="202">
      <c r="A202" s="9" t="inlineStr">
        <is>
          <t>부문 이익(손실)</t>
        </is>
      </c>
      <c r="C202" s="12" t="n">
        <v>1.767</v>
      </c>
      <c r="D202" s="12" t="n">
        <v>-36.232</v>
      </c>
      <c r="E202" s="12" t="n">
        <v>31.156</v>
      </c>
      <c r="F202" s="12" t="n">
        <v>-138.564</v>
      </c>
      <c r="G202" s="12" t="n">
        <v>-59.528</v>
      </c>
      <c r="H202" s="12" t="n">
        <v>2.093</v>
      </c>
      <c r="I202" s="12" t="n">
        <v>24.286</v>
      </c>
      <c r="J202" s="12" t="n">
        <v>-20.939</v>
      </c>
      <c r="K202" s="12" t="n">
        <v>24.16</v>
      </c>
      <c r="L202" s="12" t="n">
        <v>59.218</v>
      </c>
      <c r="M202" s="12" t="n">
        <v>56.236</v>
      </c>
      <c r="N202" s="12" t="n">
        <v>2.958</v>
      </c>
      <c r="V202" s="12" t="n">
        <v>-138.564</v>
      </c>
      <c r="W202" s="12" t="n">
        <v>-20.939</v>
      </c>
      <c r="X202" s="12" t="n">
        <v>2.958</v>
      </c>
    </row>
    <row r="203">
      <c r="A203" s="43" t="inlineStr">
        <is>
          <t>OPM</t>
        </is>
      </c>
      <c r="B203" s="3" t="inlineStr">
        <is>
          <t>영업이익 ÷ 매출</t>
        </is>
      </c>
      <c r="C203" s="15">
        <f>IF(OR(C202="",C164=""),"",IF(C164&lt;=0,"",IFERROR(C202/C164,"")))</f>
        <v/>
      </c>
      <c r="D203" s="15">
        <f>IF(OR(D202="",D164=""),"",IF(D164&lt;=0,"",IFERROR(D202/D164,"")))</f>
        <v/>
      </c>
      <c r="E203" s="15">
        <f>IF(OR(E202="",E164=""),"",IF(E164&lt;=0,"",IFERROR(E202/E164,"")))</f>
        <v/>
      </c>
      <c r="F203" s="15">
        <f>IF(OR(F202="",F164=""),"",IF(F164&lt;=0,"",IFERROR(F202/F164,"")))</f>
        <v/>
      </c>
      <c r="G203" s="15">
        <f>IF(OR(G202="",G164=""),"",IF(G164&lt;=0,"",IFERROR(G202/G164,"")))</f>
        <v/>
      </c>
      <c r="H203" s="15">
        <f>IF(OR(H202="",H164=""),"",IF(H164&lt;=0,"",IFERROR(H202/H164,"")))</f>
        <v/>
      </c>
      <c r="I203" s="15">
        <f>IF(OR(I202="",I164=""),"",IF(I164&lt;=0,"",IFERROR(I202/I164,"")))</f>
        <v/>
      </c>
      <c r="J203" s="15">
        <f>IF(OR(J202="",J164=""),"",IF(J164&lt;=0,"",IFERROR(J202/J164,"")))</f>
        <v/>
      </c>
      <c r="K203" s="15">
        <f>IF(OR(K202="",K164=""),"",IF(K164&lt;=0,"",IFERROR(K202/K164,"")))</f>
        <v/>
      </c>
      <c r="L203" s="15">
        <f>IF(OR(L202="",L164=""),"",IF(L164&lt;=0,"",IFERROR(L202/L164,"")))</f>
        <v/>
      </c>
      <c r="M203" s="15">
        <f>IF(OR(M202="",M164=""),"",IF(M164&lt;=0,"",IFERROR(M202/M164,"")))</f>
        <v/>
      </c>
      <c r="N203" s="15">
        <f>IF(OR(N202="",N164=""),"",IF(N164&lt;=0,"",IFERROR(N202/N164,"")))</f>
        <v/>
      </c>
      <c r="V203" s="15">
        <f>IF(OR(V202="",V164=""),"",IF(V164&lt;=0,"",IFERROR(V202/V164,"")))</f>
        <v/>
      </c>
      <c r="W203" s="15">
        <f>IF(OR(W202="",W164=""),"",IF(W164&lt;=0,"",IFERROR(W202/W164,"")))</f>
        <v/>
      </c>
      <c r="X203" s="15">
        <f>IF(OR(X202="",X164=""),"",IF(X164&lt;=0,"",IFERROR(X202/X164,"")))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I204" s="15">
        <f>IF(OR(I202="",E202=""),"",IF(E202&lt;=0,"",IFERROR(I202/E202-1,"")))</f>
        <v/>
      </c>
      <c r="J204" s="15">
        <f>IF(OR(J202="",F202=""),"",IF(F202&lt;=0,"",IFERROR(J202/F202-1,"")))</f>
        <v/>
      </c>
      <c r="K204" s="15">
        <f>IF(OR(K202="",G202=""),"",IF(G202&lt;=0,"",IFERROR(K202/G202-1,"")))</f>
        <v/>
      </c>
      <c r="L204" s="15">
        <f>IF(OR(L202="",H202=""),"",IF(H202&lt;=0,"",IFERROR(L202/H202-1,"")))</f>
        <v/>
      </c>
      <c r="M204" s="15">
        <f>IF(OR(M202="",I202=""),"",IF(I202&lt;=0,"",IFERROR(M202/I202-1,"")))</f>
        <v/>
      </c>
      <c r="N204" s="15">
        <f>IF(OR(N202="",J202=""),"",IF(J202&lt;=0,"",IFERROR(N202/J202-1,"")))</f>
        <v/>
      </c>
      <c r="V204" s="15">
        <f>IF(OR(V202="",U202=""),"",IF(U202&lt;=0,"",IFERROR(V202/U202-1,"")))</f>
        <v/>
      </c>
      <c r="W204" s="15">
        <f>IF(OR(W202="",V202=""),"",IF(V202&lt;=0,"",IFERROR(W202/V202-1,"")))</f>
        <v/>
      </c>
      <c r="X204" s="15">
        <f>IF(OR(X202="",W202=""),"",IF(W202&lt;=0,"",IFERROR(X202/W202-1,"")))</f>
        <v/>
      </c>
    </row>
    <row r="206">
      <c r="A206" s="16" t="inlineStr">
        <is>
          <t>현금흐름표 · 전 항목</t>
        </is>
      </c>
      <c r="B206" s="42" t="inlineStr">
        <is>
          <t>분기 = 결산기 첫날부터 누계(공시 그대로)</t>
        </is>
      </c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</row>
    <row r="207">
      <c r="A207" s="5" t="inlineStr">
        <is>
          <t>항목</t>
        </is>
      </c>
      <c r="B207" s="5" t="inlineStr">
        <is>
          <t>참고</t>
        </is>
      </c>
      <c r="C207" s="5" t="inlineStr">
        <is>
          <t>2024.1Q</t>
        </is>
      </c>
      <c r="D207" s="5" t="inlineStr">
        <is>
          <t>2024.2Q</t>
        </is>
      </c>
      <c r="E207" s="5" t="inlineStr">
        <is>
          <t>2024.3Q</t>
        </is>
      </c>
      <c r="F207" s="5" t="inlineStr">
        <is>
          <t>2024.4Q</t>
        </is>
      </c>
      <c r="G207" s="5" t="inlineStr">
        <is>
          <t>2025.1Q</t>
        </is>
      </c>
      <c r="H207" s="5" t="inlineStr">
        <is>
          <t>2025.2Q</t>
        </is>
      </c>
      <c r="I207" s="5" t="inlineStr">
        <is>
          <t>2025.3Q</t>
        </is>
      </c>
      <c r="J207" s="5" t="inlineStr">
        <is>
          <t>2025.4Q</t>
        </is>
      </c>
      <c r="K207" s="5" t="inlineStr">
        <is>
          <t>2026.1Q</t>
        </is>
      </c>
      <c r="L207" s="5" t="inlineStr">
        <is>
          <t>2026.2Q</t>
        </is>
      </c>
      <c r="M207" s="5" t="inlineStr">
        <is>
          <t>2026.3Q</t>
        </is>
      </c>
      <c r="N207" s="5" t="inlineStr">
        <is>
          <t>2026.4Q</t>
        </is>
      </c>
      <c r="O207" s="5" t="inlineStr">
        <is>
          <t>2017</t>
        </is>
      </c>
      <c r="P207" s="5" t="inlineStr">
        <is>
          <t>2018</t>
        </is>
      </c>
      <c r="Q207" s="5" t="inlineStr">
        <is>
          <t>2019</t>
        </is>
      </c>
      <c r="R207" s="5" t="inlineStr">
        <is>
          <t>2020</t>
        </is>
      </c>
      <c r="S207" s="5" t="inlineStr">
        <is>
          <t>2021</t>
        </is>
      </c>
      <c r="T207" s="5" t="inlineStr">
        <is>
          <t>2022</t>
        </is>
      </c>
      <c r="U207" s="5" t="inlineStr">
        <is>
          <t>2023</t>
        </is>
      </c>
      <c r="V207" s="5" t="inlineStr">
        <is>
          <t>2024</t>
        </is>
      </c>
      <c r="W207" s="5" t="inlineStr">
        <is>
          <t>2025</t>
        </is>
      </c>
      <c r="X207" s="5" t="inlineStr">
        <is>
          <t>2026</t>
        </is>
      </c>
      <c r="Y207" s="5" t="inlineStr">
        <is>
          <t>2027(MW)</t>
        </is>
      </c>
      <c r="Z207" s="5" t="inlineStr">
        <is>
          <t>2028(MW)</t>
        </is>
      </c>
      <c r="AA207" s="5" t="inlineStr">
        <is>
          <t>2029(MW)</t>
        </is>
      </c>
      <c r="AB207" s="5" t="inlineStr">
        <is>
          <t>2030(MW)</t>
        </is>
      </c>
      <c r="AC207" s="5" t="inlineStr">
        <is>
          <t>2031(MW)</t>
        </is>
      </c>
    </row>
    <row r="208">
      <c r="A208" s="9" t="inlineStr">
        <is>
          <t>법인세차감전 중간순이익(손실)</t>
        </is>
      </c>
      <c r="D208" s="12" t="n">
        <v>-35.136</v>
      </c>
      <c r="F208" s="12" t="n">
        <v>-122.762</v>
      </c>
      <c r="H208" s="12" t="n">
        <v>-59.563</v>
      </c>
      <c r="J208" s="12" t="n">
        <v>-50.352</v>
      </c>
      <c r="L208" s="12" t="n">
        <v>70.73099999999999</v>
      </c>
      <c r="N208" s="12" t="n">
        <v>169.125</v>
      </c>
      <c r="O208" s="12" t="n">
        <v>-13.928</v>
      </c>
      <c r="P208" s="12" t="n">
        <v>10.607</v>
      </c>
      <c r="Q208" s="12" t="n">
        <v>125.642</v>
      </c>
      <c r="R208" s="12" t="n">
        <v>-60.724</v>
      </c>
      <c r="S208" s="12" t="n">
        <v>-616.295</v>
      </c>
      <c r="T208" s="12" t="n">
        <v>258.347</v>
      </c>
      <c r="U208" s="12" t="n">
        <v>42.687</v>
      </c>
      <c r="V208" s="12" t="n">
        <v>-122.762</v>
      </c>
      <c r="W208" s="12" t="n">
        <v>-50.352</v>
      </c>
      <c r="X208" s="12" t="n">
        <v>169.125</v>
      </c>
    </row>
    <row r="209">
      <c r="A209" s="18" t="inlineStr">
        <is>
          <t>감가상각비</t>
        </is>
      </c>
      <c r="D209" s="20" t="n">
        <v>67.721</v>
      </c>
      <c r="F209" s="20" t="n">
        <v>117.797</v>
      </c>
      <c r="H209" s="20" t="n">
        <v>61.792</v>
      </c>
      <c r="J209" s="20" t="n">
        <v>140.288</v>
      </c>
      <c r="L209" s="20" t="n">
        <v>52.278</v>
      </c>
      <c r="N209" s="20" t="n">
        <v>126.503</v>
      </c>
      <c r="O209" s="20" t="n">
        <v>160.162</v>
      </c>
      <c r="P209" s="20" t="n">
        <v>128.606</v>
      </c>
      <c r="Q209" s="20" t="n">
        <v>108.881</v>
      </c>
      <c r="R209" s="20" t="n">
        <v>107.797</v>
      </c>
      <c r="S209" s="20" t="n">
        <v>111.927</v>
      </c>
      <c r="T209" s="20" t="n">
        <v>126.822</v>
      </c>
      <c r="U209" s="20" t="n">
        <v>105.953</v>
      </c>
      <c r="V209" s="20" t="n">
        <v>117.797</v>
      </c>
      <c r="W209" s="20" t="n">
        <v>140.288</v>
      </c>
      <c r="X209" s="20" t="n">
        <v>126.503</v>
      </c>
    </row>
    <row r="210">
      <c r="A210" s="18" t="inlineStr">
        <is>
          <t>손상차손</t>
        </is>
      </c>
      <c r="F210" s="20" t="n">
        <v>14.479</v>
      </c>
      <c r="J210" s="20" t="n">
        <v>3.206</v>
      </c>
      <c r="N210" s="20" t="n">
        <v>3.957</v>
      </c>
      <c r="O210" s="20" t="n">
        <v>107.545</v>
      </c>
      <c r="P210" s="20" t="n">
        <v>11.232</v>
      </c>
      <c r="Q210" s="20" t="n">
        <v>6.439</v>
      </c>
      <c r="R210" s="20" t="n">
        <v>15.298</v>
      </c>
      <c r="S210" s="20" t="n">
        <v>282.006</v>
      </c>
      <c r="T210" s="20" t="n">
        <v>5.281</v>
      </c>
      <c r="U210" s="20" t="n">
        <v>3.831</v>
      </c>
      <c r="V210" s="20" t="n">
        <v>14.479</v>
      </c>
      <c r="W210" s="20" t="n">
        <v>3.206</v>
      </c>
      <c r="X210" s="20" t="n">
        <v>3.957</v>
      </c>
    </row>
    <row r="211">
      <c r="A211" s="18" t="inlineStr">
        <is>
          <t>투자유가증권 평가손익</t>
        </is>
      </c>
      <c r="D211" s="20" t="n">
        <v>0</v>
      </c>
      <c r="F211" s="20" t="n">
        <v>0.075</v>
      </c>
      <c r="J211" s="20" t="n">
        <v>0</v>
      </c>
      <c r="O211" s="20" t="n">
        <v>0.02</v>
      </c>
      <c r="P211" s="20" t="n">
        <v>0</v>
      </c>
      <c r="Q211" s="20" t="n">
        <v>0.01</v>
      </c>
      <c r="R211" s="20" t="n">
        <v>1.357</v>
      </c>
      <c r="S211" s="20" t="n">
        <v>20.005</v>
      </c>
      <c r="T211" s="20" t="n">
        <v>0</v>
      </c>
      <c r="U211" s="20" t="n">
        <v>0</v>
      </c>
      <c r="V211" s="20" t="n">
        <v>0.075</v>
      </c>
      <c r="W211" s="20" t="n">
        <v>0</v>
      </c>
    </row>
    <row r="212">
      <c r="A212" s="18" t="inlineStr">
        <is>
          <t>임원 퇴직위로 충당금 증감</t>
        </is>
      </c>
      <c r="O212" s="20" t="n">
        <v>9.378</v>
      </c>
      <c r="P212" s="20" t="n">
        <v>9.385</v>
      </c>
      <c r="Q212" s="20" t="n">
        <v>-5.33</v>
      </c>
      <c r="R212" s="20" t="n">
        <v>0</v>
      </c>
      <c r="S212" s="20" t="n">
        <v>0</v>
      </c>
      <c r="T212" s="20" t="n">
        <v>-16.674</v>
      </c>
      <c r="U212" s="20" t="n">
        <v>0</v>
      </c>
    </row>
    <row r="213">
      <c r="A213" s="18" t="inlineStr">
        <is>
          <t>제품보증 충당금 증감</t>
        </is>
      </c>
      <c r="D213" s="20" t="n">
        <v>0.286</v>
      </c>
      <c r="F213" s="20" t="n">
        <v>0.4</v>
      </c>
      <c r="H213" s="20" t="n">
        <v>-0.194</v>
      </c>
      <c r="J213" s="20" t="n">
        <v>-0.13</v>
      </c>
      <c r="L213" s="20" t="n">
        <v>0.114</v>
      </c>
      <c r="N213" s="20" t="n">
        <v>0.12</v>
      </c>
      <c r="O213" s="20" t="n">
        <v>0.87</v>
      </c>
      <c r="P213" s="20" t="n">
        <v>-0.44</v>
      </c>
      <c r="Q213" s="20" t="n">
        <v>0.96</v>
      </c>
      <c r="R213" s="20" t="n">
        <v>-0.84</v>
      </c>
      <c r="S213" s="20" t="n">
        <v>2.192</v>
      </c>
      <c r="T213" s="20" t="n">
        <v>-2.912</v>
      </c>
      <c r="U213" s="20" t="n">
        <v>-0.38</v>
      </c>
      <c r="V213" s="20" t="n">
        <v>0.4</v>
      </c>
      <c r="W213" s="20" t="n">
        <v>-0.13</v>
      </c>
      <c r="X213" s="20" t="n">
        <v>0.12</v>
      </c>
    </row>
    <row r="214">
      <c r="A214" s="18" t="inlineStr">
        <is>
          <t>대손충당금 증감</t>
        </is>
      </c>
      <c r="D214" s="20" t="n">
        <v>-0.187</v>
      </c>
      <c r="F214" s="20" t="n">
        <v>-0.361</v>
      </c>
      <c r="H214" s="20" t="n">
        <v>-0.157</v>
      </c>
      <c r="J214" s="20" t="n">
        <v>-0.373</v>
      </c>
      <c r="L214" s="20" t="n">
        <v>-0.468</v>
      </c>
      <c r="N214" s="20" t="n">
        <v>-0.054</v>
      </c>
      <c r="O214" s="20" t="n">
        <v>-0.031</v>
      </c>
      <c r="P214" s="20" t="n">
        <v>-0.5</v>
      </c>
      <c r="Q214" s="20" t="n">
        <v>-0.252</v>
      </c>
      <c r="R214" s="20" t="n">
        <v>-1.135</v>
      </c>
      <c r="S214" s="20" t="n">
        <v>0.8179999999999999</v>
      </c>
      <c r="T214" s="20" t="n">
        <v>-1.302</v>
      </c>
      <c r="U214" s="20" t="n">
        <v>-0.316</v>
      </c>
      <c r="V214" s="20" t="n">
        <v>-0.361</v>
      </c>
      <c r="W214" s="20" t="n">
        <v>-0.373</v>
      </c>
      <c r="X214" s="20" t="n">
        <v>-0.054</v>
      </c>
    </row>
    <row r="215">
      <c r="A215" s="18" t="inlineStr">
        <is>
          <t>퇴직급여부채 증감</t>
        </is>
      </c>
      <c r="D215" s="20" t="n">
        <v>8.26</v>
      </c>
      <c r="F215" s="20" t="n">
        <v>18.305</v>
      </c>
      <c r="H215" s="20" t="n">
        <v>-17.978</v>
      </c>
      <c r="J215" s="20" t="n">
        <v>19.014</v>
      </c>
      <c r="L215" s="20" t="n">
        <v>10.263</v>
      </c>
      <c r="N215" s="20" t="n">
        <v>-6.321</v>
      </c>
      <c r="O215" s="20" t="n">
        <v>41.657</v>
      </c>
      <c r="P215" s="20" t="n">
        <v>27.357</v>
      </c>
      <c r="Q215" s="20" t="n">
        <v>36.786</v>
      </c>
      <c r="R215" s="20" t="n">
        <v>15.165</v>
      </c>
      <c r="S215" s="20" t="n">
        <v>40.52</v>
      </c>
      <c r="T215" s="20" t="n">
        <v>-9.164</v>
      </c>
      <c r="U215" s="20" t="n">
        <v>21.528</v>
      </c>
      <c r="V215" s="20" t="n">
        <v>18.305</v>
      </c>
      <c r="W215" s="20" t="n">
        <v>19.014</v>
      </c>
      <c r="X215" s="20" t="n">
        <v>-6.321</v>
      </c>
    </row>
    <row r="216">
      <c r="A216" s="18" t="inlineStr">
        <is>
          <t>이자·배당금 수익</t>
        </is>
      </c>
      <c r="D216" s="20" t="n">
        <v>-1.447</v>
      </c>
      <c r="F216" s="20" t="n">
        <v>-8.227</v>
      </c>
      <c r="H216" s="20" t="n">
        <v>-0.6879999999999999</v>
      </c>
      <c r="J216" s="20" t="n">
        <v>-11.119</v>
      </c>
      <c r="L216" s="20" t="n">
        <v>-0.615</v>
      </c>
      <c r="N216" s="20" t="n">
        <v>-15.106</v>
      </c>
      <c r="O216" s="20" t="n">
        <v>-7.88</v>
      </c>
      <c r="P216" s="20" t="n">
        <v>-7.72</v>
      </c>
      <c r="Q216" s="20" t="n">
        <v>-7.776</v>
      </c>
      <c r="R216" s="20" t="n">
        <v>-7.946</v>
      </c>
      <c r="S216" s="20" t="n">
        <v>-7.317</v>
      </c>
      <c r="T216" s="20" t="n">
        <v>-7.239</v>
      </c>
      <c r="U216" s="20" t="n">
        <v>-9.786</v>
      </c>
      <c r="V216" s="20" t="n">
        <v>-8.227</v>
      </c>
      <c r="W216" s="20" t="n">
        <v>-11.119</v>
      </c>
      <c r="X216" s="20" t="n">
        <v>-15.106</v>
      </c>
    </row>
    <row r="217">
      <c r="A217" s="18" t="inlineStr">
        <is>
          <t>보험 해약환급금</t>
        </is>
      </c>
      <c r="J217" s="20" t="n">
        <v>0</v>
      </c>
      <c r="N217" s="20" t="n">
        <v>-8.044</v>
      </c>
      <c r="O217" s="20" t="n">
        <v>0</v>
      </c>
      <c r="P217" s="20" t="n">
        <v>-28.497</v>
      </c>
      <c r="Q217" s="20" t="n">
        <v>-0.819</v>
      </c>
      <c r="R217" s="20" t="n">
        <v>0</v>
      </c>
      <c r="W217" s="20" t="n">
        <v>0</v>
      </c>
      <c r="X217" s="20" t="n">
        <v>-8.044</v>
      </c>
    </row>
    <row r="218">
      <c r="A218" s="18" t="inlineStr">
        <is>
          <t>이자비용</t>
        </is>
      </c>
      <c r="D218" s="20" t="n">
        <v>5.275</v>
      </c>
      <c r="F218" s="20" t="n">
        <v>9.595000000000001</v>
      </c>
      <c r="H218" s="20" t="n">
        <v>6.839</v>
      </c>
      <c r="J218" s="20" t="n">
        <v>10.871</v>
      </c>
      <c r="L218" s="20" t="n">
        <v>7.326</v>
      </c>
      <c r="N218" s="20" t="n">
        <v>13.245</v>
      </c>
      <c r="O218" s="20" t="n">
        <v>13.935</v>
      </c>
      <c r="P218" s="20" t="n">
        <v>11.796</v>
      </c>
      <c r="Q218" s="20" t="n">
        <v>10.153</v>
      </c>
      <c r="R218" s="20" t="n">
        <v>9.074</v>
      </c>
      <c r="S218" s="20" t="n">
        <v>9.734999999999999</v>
      </c>
      <c r="T218" s="20" t="n">
        <v>10.072</v>
      </c>
      <c r="U218" s="20" t="n">
        <v>9.69</v>
      </c>
      <c r="V218" s="20" t="n">
        <v>9.595000000000001</v>
      </c>
      <c r="W218" s="20" t="n">
        <v>10.871</v>
      </c>
      <c r="X218" s="20" t="n">
        <v>13.245</v>
      </c>
    </row>
    <row r="219">
      <c r="A219" s="18" t="inlineStr">
        <is>
          <t>보조금 수입</t>
        </is>
      </c>
      <c r="D219" s="20" t="n">
        <v>-2.515</v>
      </c>
      <c r="F219" s="20" t="n">
        <v>-9.262</v>
      </c>
      <c r="H219" s="20" t="n">
        <v>-1.475</v>
      </c>
      <c r="J219" s="20" t="n">
        <v>-3.777</v>
      </c>
      <c r="L219" s="20" t="n">
        <v>-1.1</v>
      </c>
      <c r="N219" s="20" t="n">
        <v>-1.875</v>
      </c>
      <c r="R219" s="20" t="n">
        <v>-2.695</v>
      </c>
      <c r="S219" s="20" t="n">
        <v>-99.97499999999999</v>
      </c>
      <c r="T219" s="20" t="n">
        <v>-110.088</v>
      </c>
      <c r="U219" s="20" t="n">
        <v>-40.224</v>
      </c>
      <c r="V219" s="20" t="n">
        <v>-9.262</v>
      </c>
      <c r="W219" s="20" t="n">
        <v>-3.777</v>
      </c>
      <c r="X219" s="20" t="n">
        <v>-1.875</v>
      </c>
    </row>
    <row r="220">
      <c r="A220" s="18" t="inlineStr">
        <is>
          <t>보조금 수입</t>
        </is>
      </c>
      <c r="D220" s="20" t="n">
        <v>-8.366</v>
      </c>
      <c r="F220" s="20" t="n">
        <v>-98.723</v>
      </c>
      <c r="H220" s="20" t="n">
        <v>0</v>
      </c>
      <c r="J220" s="20" t="n">
        <v>-8.366</v>
      </c>
      <c r="N220" s="20" t="n">
        <v>0</v>
      </c>
      <c r="T220" s="20" t="n">
        <v>0</v>
      </c>
      <c r="U220" s="20" t="n">
        <v>-5</v>
      </c>
      <c r="V220" s="20" t="n">
        <v>-98.723</v>
      </c>
      <c r="W220" s="20" t="n">
        <v>-8.366</v>
      </c>
      <c r="X220" s="20" t="n">
        <v>0</v>
      </c>
    </row>
    <row r="221">
      <c r="A221" s="18" t="inlineStr">
        <is>
          <t>투자유가증권 매각손익</t>
        </is>
      </c>
      <c r="D221" s="20" t="n">
        <v>0</v>
      </c>
      <c r="H221" s="20" t="n">
        <v>-44.754</v>
      </c>
      <c r="J221" s="20" t="n">
        <v>-0.137</v>
      </c>
      <c r="L221" s="20" t="n">
        <v>0</v>
      </c>
      <c r="N221" s="20" t="n">
        <v>-44.754</v>
      </c>
      <c r="W221" s="20" t="n">
        <v>-0.137</v>
      </c>
      <c r="X221" s="20" t="n">
        <v>-44.754</v>
      </c>
    </row>
    <row r="222">
      <c r="A222" s="18" t="inlineStr">
        <is>
          <t>고정자산 제각손실</t>
        </is>
      </c>
      <c r="D222" s="20" t="n">
        <v>0.04</v>
      </c>
      <c r="F222" s="20" t="n">
        <v>0.13</v>
      </c>
      <c r="H222" s="20" t="n">
        <v>0</v>
      </c>
      <c r="J222" s="20" t="n">
        <v>0.04</v>
      </c>
      <c r="L222" s="20" t="n">
        <v>0</v>
      </c>
      <c r="N222" s="20" t="n">
        <v>0.01</v>
      </c>
      <c r="O222" s="20" t="n">
        <v>0.38</v>
      </c>
      <c r="P222" s="20" t="n">
        <v>0.103</v>
      </c>
      <c r="Q222" s="20" t="n">
        <v>0.323</v>
      </c>
      <c r="R222" s="20" t="n">
        <v>0.076</v>
      </c>
      <c r="S222" s="20" t="n">
        <v>0.039</v>
      </c>
      <c r="T222" s="20" t="n">
        <v>0</v>
      </c>
      <c r="U222" s="20" t="n">
        <v>0.149</v>
      </c>
      <c r="V222" s="20" t="n">
        <v>0.13</v>
      </c>
      <c r="W222" s="20" t="n">
        <v>0.04</v>
      </c>
      <c r="X222" s="20" t="n">
        <v>0.01</v>
      </c>
    </row>
    <row r="223">
      <c r="A223" s="18" t="inlineStr">
        <is>
          <t>고정자산 압축손실</t>
        </is>
      </c>
      <c r="D223" s="20" t="n">
        <v>8.366</v>
      </c>
      <c r="F223" s="20" t="n">
        <v>98.723</v>
      </c>
      <c r="H223" s="20" t="n">
        <v>0</v>
      </c>
      <c r="J223" s="20" t="n">
        <v>8.366</v>
      </c>
      <c r="N223" s="20" t="n">
        <v>0</v>
      </c>
      <c r="U223" s="20" t="n">
        <v>5</v>
      </c>
      <c r="V223" s="20" t="n">
        <v>98.723</v>
      </c>
      <c r="W223" s="20" t="n">
        <v>8.366</v>
      </c>
      <c r="X223" s="20" t="n">
        <v>0</v>
      </c>
    </row>
    <row r="224">
      <c r="A224" s="18" t="inlineStr">
        <is>
          <t>조기 특별퇴직금</t>
        </is>
      </c>
      <c r="D224" s="20" t="n">
        <v>0</v>
      </c>
      <c r="H224" s="20" t="n">
        <v>44.417</v>
      </c>
      <c r="J224" s="20" t="n">
        <v>0</v>
      </c>
      <c r="L224" s="20" t="n">
        <v>8.727</v>
      </c>
      <c r="N224" s="20" t="n">
        <v>44.417</v>
      </c>
      <c r="W224" s="20" t="n">
        <v>0</v>
      </c>
      <c r="X224" s="20" t="n">
        <v>44.417</v>
      </c>
    </row>
    <row r="225">
      <c r="A225" s="18" t="inlineStr">
        <is>
          <t>매출채권 증감</t>
        </is>
      </c>
      <c r="D225" s="20" t="n">
        <v>65.53700000000001</v>
      </c>
      <c r="F225" s="20" t="n">
        <v>40.341</v>
      </c>
      <c r="H225" s="20" t="n">
        <v>-25.508</v>
      </c>
      <c r="J225" s="20" t="n">
        <v>73.744</v>
      </c>
      <c r="L225" s="20" t="n">
        <v>419.368</v>
      </c>
      <c r="N225" s="20" t="n">
        <v>-438.479</v>
      </c>
      <c r="O225" s="20" t="n">
        <v>123.653</v>
      </c>
      <c r="P225" s="20" t="n">
        <v>147.255</v>
      </c>
      <c r="Q225" s="20" t="n">
        <v>-152.989</v>
      </c>
      <c r="R225" s="20" t="n">
        <v>180.261</v>
      </c>
      <c r="S225" s="20" t="n">
        <v>196.07</v>
      </c>
      <c r="T225" s="20" t="n">
        <v>-401.787</v>
      </c>
      <c r="U225" s="20" t="n">
        <v>243.898</v>
      </c>
      <c r="V225" s="20" t="n">
        <v>40.341</v>
      </c>
      <c r="W225" s="20" t="n">
        <v>73.744</v>
      </c>
      <c r="X225" s="20" t="n">
        <v>-438.479</v>
      </c>
    </row>
    <row r="226">
      <c r="A226" s="18" t="inlineStr">
        <is>
          <t>재고자산 증감</t>
        </is>
      </c>
      <c r="D226" s="20" t="n">
        <v>47.962</v>
      </c>
      <c r="F226" s="20" t="n">
        <v>-88.36199999999999</v>
      </c>
      <c r="H226" s="20" t="n">
        <v>5.258</v>
      </c>
      <c r="J226" s="20" t="n">
        <v>148.37</v>
      </c>
      <c r="L226" s="20" t="n">
        <v>-55.002</v>
      </c>
      <c r="N226" s="20" t="n">
        <v>64.36</v>
      </c>
      <c r="O226" s="20" t="n">
        <v>112.984</v>
      </c>
      <c r="P226" s="20" t="n">
        <v>-142.61</v>
      </c>
      <c r="Q226" s="20" t="n">
        <v>-75.699</v>
      </c>
      <c r="R226" s="20" t="n">
        <v>43.527</v>
      </c>
      <c r="S226" s="20" t="n">
        <v>112.971</v>
      </c>
      <c r="T226" s="20" t="n">
        <v>132.135</v>
      </c>
      <c r="U226" s="20" t="n">
        <v>-58.889</v>
      </c>
      <c r="V226" s="20" t="n">
        <v>-88.36199999999999</v>
      </c>
      <c r="W226" s="20" t="n">
        <v>148.37</v>
      </c>
      <c r="X226" s="20" t="n">
        <v>64.36</v>
      </c>
    </row>
    <row r="227">
      <c r="A227" s="18" t="inlineStr">
        <is>
          <t>매입채무 증감</t>
        </is>
      </c>
      <c r="D227" s="20" t="n">
        <v>-3.86</v>
      </c>
      <c r="F227" s="20" t="n">
        <v>-13.894</v>
      </c>
      <c r="H227" s="20" t="n">
        <v>-6.267</v>
      </c>
      <c r="J227" s="20" t="n">
        <v>-10.587</v>
      </c>
      <c r="L227" s="20" t="n">
        <v>-9.042999999999999</v>
      </c>
      <c r="N227" s="20" t="n">
        <v>27.101</v>
      </c>
      <c r="O227" s="20" t="n">
        <v>-160.066</v>
      </c>
      <c r="P227" s="20" t="n">
        <v>92.43899999999999</v>
      </c>
      <c r="Q227" s="20" t="n">
        <v>-88.718</v>
      </c>
      <c r="R227" s="20" t="n">
        <v>17.328</v>
      </c>
      <c r="S227" s="20" t="n">
        <v>-2.638</v>
      </c>
      <c r="T227" s="20" t="n">
        <v>-33.754</v>
      </c>
      <c r="U227" s="20" t="n">
        <v>-9.114000000000001</v>
      </c>
      <c r="V227" s="20" t="n">
        <v>-13.894</v>
      </c>
      <c r="W227" s="20" t="n">
        <v>-10.587</v>
      </c>
      <c r="X227" s="20" t="n">
        <v>27.101</v>
      </c>
    </row>
    <row r="228">
      <c r="A228" s="18" t="inlineStr">
        <is>
          <t>기타</t>
        </is>
      </c>
      <c r="D228" s="20" t="n">
        <v>115.154</v>
      </c>
      <c r="F228" s="20" t="n">
        <v>-3.67</v>
      </c>
      <c r="H228" s="20" t="n">
        <v>171.796</v>
      </c>
      <c r="J228" s="20" t="n">
        <v>-63.785</v>
      </c>
      <c r="L228" s="20" t="n">
        <v>29.26</v>
      </c>
      <c r="N228" s="20" t="n">
        <v>62.887</v>
      </c>
      <c r="O228" s="20" t="n">
        <v>-23.076</v>
      </c>
      <c r="P228" s="20" t="n">
        <v>-20.622</v>
      </c>
      <c r="Q228" s="20" t="n">
        <v>31.505</v>
      </c>
      <c r="R228" s="20" t="n">
        <v>12.9</v>
      </c>
      <c r="S228" s="20" t="n">
        <v>-103.486</v>
      </c>
      <c r="T228" s="20" t="n">
        <v>106.41</v>
      </c>
      <c r="U228" s="20" t="n">
        <v>-62.971</v>
      </c>
      <c r="V228" s="20" t="n">
        <v>-3.67</v>
      </c>
      <c r="W228" s="20" t="n">
        <v>-63.785</v>
      </c>
      <c r="X228" s="20" t="n">
        <v>62.887</v>
      </c>
    </row>
    <row r="229">
      <c r="A229" s="18" t="inlineStr">
        <is>
          <t>소계</t>
        </is>
      </c>
      <c r="D229" s="20" t="n">
        <v>267.09</v>
      </c>
      <c r="F229" s="20" t="n">
        <v>-45.416</v>
      </c>
      <c r="H229" s="20" t="n">
        <v>133.515</v>
      </c>
      <c r="J229" s="20" t="n">
        <v>255.272</v>
      </c>
      <c r="L229" s="20" t="n">
        <v>531.8390000000001</v>
      </c>
      <c r="N229" s="20" t="n">
        <v>-2.907</v>
      </c>
      <c r="O229" s="20" t="n">
        <v>365.604</v>
      </c>
      <c r="P229" s="20" t="n">
        <v>238.392</v>
      </c>
      <c r="Q229" s="20" t="n">
        <v>-10.883</v>
      </c>
      <c r="R229" s="20" t="n">
        <v>329.445</v>
      </c>
      <c r="S229" s="20" t="n">
        <v>-53.426</v>
      </c>
      <c r="T229" s="20" t="n">
        <v>56.144</v>
      </c>
      <c r="U229" s="20" t="n">
        <v>246.056</v>
      </c>
      <c r="V229" s="20" t="n">
        <v>-45.416</v>
      </c>
      <c r="W229" s="20" t="n">
        <v>255.272</v>
      </c>
      <c r="X229" s="20" t="n">
        <v>-2.907</v>
      </c>
    </row>
    <row r="230">
      <c r="A230" s="18" t="inlineStr">
        <is>
          <t>이자·배당금 수취</t>
        </is>
      </c>
      <c r="D230" s="20" t="n">
        <v>1.447</v>
      </c>
      <c r="F230" s="20" t="n">
        <v>8.233000000000001</v>
      </c>
      <c r="H230" s="20" t="n">
        <v>0.765</v>
      </c>
      <c r="J230" s="20" t="n">
        <v>11.221</v>
      </c>
      <c r="L230" s="20" t="n">
        <v>0.615</v>
      </c>
      <c r="N230" s="20" t="n">
        <v>15.183</v>
      </c>
      <c r="O230" s="20" t="n">
        <v>7.873</v>
      </c>
      <c r="P230" s="20" t="n">
        <v>7.804</v>
      </c>
      <c r="Q230" s="20" t="n">
        <v>7.776</v>
      </c>
      <c r="R230" s="20" t="n">
        <v>8.039999999999999</v>
      </c>
      <c r="S230" s="20" t="n">
        <v>7.317</v>
      </c>
      <c r="T230" s="20" t="n">
        <v>7.239</v>
      </c>
      <c r="U230" s="20" t="n">
        <v>9.786</v>
      </c>
      <c r="V230" s="20" t="n">
        <v>8.233000000000001</v>
      </c>
      <c r="W230" s="20" t="n">
        <v>11.221</v>
      </c>
      <c r="X230" s="20" t="n">
        <v>15.183</v>
      </c>
    </row>
    <row r="231">
      <c r="A231" s="18" t="inlineStr">
        <is>
          <t>이자 지급</t>
        </is>
      </c>
      <c r="D231" s="20" t="n">
        <v>-5.848</v>
      </c>
      <c r="F231" s="20" t="n">
        <v>-9.574999999999999</v>
      </c>
      <c r="H231" s="20" t="n">
        <v>-7.652</v>
      </c>
      <c r="J231" s="20" t="n">
        <v>-10.946</v>
      </c>
      <c r="L231" s="20" t="n">
        <v>-8.494999999999999</v>
      </c>
      <c r="N231" s="20" t="n">
        <v>-13.22</v>
      </c>
      <c r="O231" s="20" t="n">
        <v>-13.989</v>
      </c>
      <c r="P231" s="20" t="n">
        <v>-11.825</v>
      </c>
      <c r="Q231" s="20" t="n">
        <v>-9.292999999999999</v>
      </c>
      <c r="R231" s="20" t="n">
        <v>-9.031000000000001</v>
      </c>
      <c r="S231" s="20" t="n">
        <v>-9.744</v>
      </c>
      <c r="T231" s="20" t="n">
        <v>-10.142</v>
      </c>
      <c r="U231" s="20" t="n">
        <v>-9.717000000000001</v>
      </c>
      <c r="V231" s="20" t="n">
        <v>-9.574999999999999</v>
      </c>
      <c r="W231" s="20" t="n">
        <v>-10.946</v>
      </c>
      <c r="X231" s="20" t="n">
        <v>-13.22</v>
      </c>
    </row>
    <row r="232">
      <c r="A232" s="18" t="inlineStr">
        <is>
          <t>조기 특별퇴직금 지급액</t>
        </is>
      </c>
      <c r="H232" s="20" t="n">
        <v>0</v>
      </c>
      <c r="J232" s="20" t="n">
        <v>0</v>
      </c>
      <c r="L232" s="20" t="n">
        <v>-8.727</v>
      </c>
      <c r="N232" s="20" t="n">
        <v>-44.417</v>
      </c>
      <c r="W232" s="20" t="n">
        <v>0</v>
      </c>
      <c r="X232" s="20" t="n">
        <v>-44.417</v>
      </c>
    </row>
    <row r="233">
      <c r="A233" s="18" t="inlineStr">
        <is>
          <t>보조금 수취</t>
        </is>
      </c>
      <c r="D233" s="20" t="n">
        <v>2.515</v>
      </c>
      <c r="F233" s="20" t="n">
        <v>9.262</v>
      </c>
      <c r="H233" s="20" t="n">
        <v>1.475</v>
      </c>
      <c r="J233" s="20" t="n">
        <v>3.777</v>
      </c>
      <c r="L233" s="20" t="n">
        <v>1.1</v>
      </c>
      <c r="N233" s="20" t="n">
        <v>1.875</v>
      </c>
      <c r="R233" s="20" t="n">
        <v>0.5</v>
      </c>
      <c r="S233" s="20" t="n">
        <v>99.31399999999999</v>
      </c>
      <c r="T233" s="20" t="n">
        <v>110.749</v>
      </c>
      <c r="U233" s="20" t="n">
        <v>40.224</v>
      </c>
      <c r="V233" s="20" t="n">
        <v>9.262</v>
      </c>
      <c r="W233" s="20" t="n">
        <v>3.777</v>
      </c>
      <c r="X233" s="20" t="n">
        <v>1.875</v>
      </c>
    </row>
    <row r="234">
      <c r="A234" s="18" t="inlineStr">
        <is>
          <t>보조금 수취</t>
        </is>
      </c>
      <c r="F234" s="20" t="n">
        <v>0</v>
      </c>
      <c r="O234" s="20" t="n">
        <v>21.999</v>
      </c>
      <c r="P234" s="20" t="n">
        <v>0.5</v>
      </c>
      <c r="Q234" s="20" t="n">
        <v>0.5</v>
      </c>
      <c r="R234" s="20" t="n">
        <v>0.5</v>
      </c>
      <c r="T234" s="20" t="n">
        <v>0</v>
      </c>
      <c r="U234" s="20" t="n">
        <v>5</v>
      </c>
      <c r="V234" s="20" t="n">
        <v>0</v>
      </c>
    </row>
    <row r="235">
      <c r="A235" s="18" t="inlineStr">
        <is>
          <t>법인세 납부</t>
        </is>
      </c>
      <c r="D235" s="20" t="n">
        <v>-8.871</v>
      </c>
      <c r="F235" s="20" t="n">
        <v>-8.026</v>
      </c>
      <c r="H235" s="20" t="n">
        <v>-12.249</v>
      </c>
      <c r="J235" s="20" t="n">
        <v>-11.71</v>
      </c>
      <c r="L235" s="20" t="n">
        <v>-30.662</v>
      </c>
      <c r="N235" s="20" t="n">
        <v>-20.288</v>
      </c>
      <c r="O235" s="20" t="n">
        <v>-9.704000000000001</v>
      </c>
      <c r="P235" s="20" t="n">
        <v>-17.904</v>
      </c>
      <c r="Q235" s="20" t="n">
        <v>-21.072</v>
      </c>
      <c r="R235" s="20" t="n">
        <v>-67.13</v>
      </c>
      <c r="S235" s="20" t="n">
        <v>-21.001</v>
      </c>
      <c r="T235" s="20" t="n">
        <v>-6.551</v>
      </c>
      <c r="U235" s="20" t="n">
        <v>-59.143</v>
      </c>
      <c r="V235" s="20" t="n">
        <v>-8.026</v>
      </c>
      <c r="W235" s="20" t="n">
        <v>-11.71</v>
      </c>
      <c r="X235" s="20" t="n">
        <v>-20.288</v>
      </c>
    </row>
    <row r="236">
      <c r="A236" s="18" t="inlineStr">
        <is>
          <t>법인세 환급</t>
        </is>
      </c>
      <c r="D236" s="20" t="n">
        <v>1.044</v>
      </c>
      <c r="F236" s="20" t="n">
        <v>18.048</v>
      </c>
      <c r="H236" s="20" t="n">
        <v>2.11</v>
      </c>
      <c r="J236" s="20" t="n">
        <v>1.086</v>
      </c>
      <c r="L236" s="20" t="n">
        <v>0</v>
      </c>
      <c r="N236" s="20" t="n">
        <v>2.113</v>
      </c>
      <c r="R236" s="20" t="n">
        <v>0</v>
      </c>
      <c r="S236" s="20" t="n">
        <v>27.815</v>
      </c>
      <c r="T236" s="20" t="n">
        <v>7.74</v>
      </c>
      <c r="U236" s="20" t="n">
        <v>0.919</v>
      </c>
      <c r="V236" s="20" t="n">
        <v>18.048</v>
      </c>
      <c r="W236" s="20" t="n">
        <v>1.086</v>
      </c>
      <c r="X236" s="20" t="n">
        <v>2.113</v>
      </c>
    </row>
    <row r="237">
      <c r="A237" s="9" t="inlineStr">
        <is>
          <t>영업활동 현금흐름</t>
        </is>
      </c>
      <c r="D237" s="12" t="n">
        <v>257.376</v>
      </c>
      <c r="F237" s="12" t="n">
        <v>-27.472</v>
      </c>
      <c r="H237" s="12" t="n">
        <v>117.964</v>
      </c>
      <c r="J237" s="12" t="n">
        <v>248.699</v>
      </c>
      <c r="L237" s="12" t="n">
        <v>485.669</v>
      </c>
      <c r="N237" s="12" t="n">
        <v>-61.662</v>
      </c>
      <c r="O237" s="12" t="n">
        <v>371.783</v>
      </c>
      <c r="P237" s="12" t="n">
        <v>216.966</v>
      </c>
      <c r="Q237" s="12" t="n">
        <v>-32.973</v>
      </c>
      <c r="R237" s="12" t="n">
        <v>261.824</v>
      </c>
      <c r="S237" s="12" t="n">
        <v>50.275</v>
      </c>
      <c r="T237" s="12" t="n">
        <v>165.18</v>
      </c>
      <c r="U237" s="12" t="n">
        <v>233.127</v>
      </c>
      <c r="V237" s="12" t="n">
        <v>-27.472</v>
      </c>
      <c r="W237" s="12" t="n">
        <v>248.699</v>
      </c>
      <c r="X237" s="12" t="n">
        <v>-61.662</v>
      </c>
    </row>
    <row r="238">
      <c r="A238" s="18" t="inlineStr">
        <is>
          <t>정기예금 증감</t>
        </is>
      </c>
      <c r="D238" s="20" t="n">
        <v>-12.002</v>
      </c>
      <c r="F238" s="20" t="n">
        <v>7.229</v>
      </c>
      <c r="H238" s="20" t="n">
        <v>-11.221</v>
      </c>
      <c r="J238" s="20" t="n">
        <v>-20.818</v>
      </c>
      <c r="L238" s="20" t="n">
        <v>-397.916</v>
      </c>
      <c r="N238" s="20" t="n">
        <v>20.591</v>
      </c>
      <c r="O238" s="20" t="n">
        <v>-10.099</v>
      </c>
      <c r="P238" s="20" t="n">
        <v>-2.149</v>
      </c>
      <c r="Q238" s="20" t="n">
        <v>-0.16</v>
      </c>
      <c r="R238" s="20" t="n">
        <v>-273.16</v>
      </c>
      <c r="S238" s="20" t="n">
        <v>0.275</v>
      </c>
      <c r="T238" s="20" t="n">
        <v>-0.019</v>
      </c>
      <c r="U238" s="20" t="n">
        <v>17.987</v>
      </c>
      <c r="V238" s="20" t="n">
        <v>7.229</v>
      </c>
      <c r="W238" s="20" t="n">
        <v>-20.818</v>
      </c>
      <c r="X238" s="20" t="n">
        <v>20.591</v>
      </c>
    </row>
    <row r="239">
      <c r="A239" s="18" t="inlineStr">
        <is>
          <t>유형자산 취득(설비투자)</t>
        </is>
      </c>
      <c r="D239" s="20" t="n">
        <v>-9.462</v>
      </c>
      <c r="F239" s="20" t="n">
        <v>-136.214</v>
      </c>
      <c r="H239" s="20" t="n">
        <v>-11.43</v>
      </c>
      <c r="J239" s="20" t="n">
        <v>-16.897</v>
      </c>
      <c r="L239" s="20" t="n">
        <v>-2.815</v>
      </c>
      <c r="N239" s="20" t="n">
        <v>-43.125</v>
      </c>
      <c r="O239" s="20" t="n">
        <v>-59.778</v>
      </c>
      <c r="P239" s="20" t="n">
        <v>-13.355</v>
      </c>
      <c r="Q239" s="20" t="n">
        <v>-17.446</v>
      </c>
      <c r="R239" s="20" t="n">
        <v>-38.415</v>
      </c>
      <c r="S239" s="20" t="n">
        <v>-30.105</v>
      </c>
      <c r="T239" s="20" t="n">
        <v>-7.976</v>
      </c>
      <c r="U239" s="20" t="n">
        <v>-56.465</v>
      </c>
      <c r="V239" s="20" t="n">
        <v>-136.214</v>
      </c>
      <c r="W239" s="20" t="n">
        <v>-16.897</v>
      </c>
      <c r="X239" s="20" t="n">
        <v>-43.125</v>
      </c>
    </row>
    <row r="240">
      <c r="A240" s="18" t="inlineStr">
        <is>
          <t>유형자산 매각</t>
        </is>
      </c>
      <c r="P240" s="20" t="n">
        <v>0</v>
      </c>
      <c r="Q240" s="20" t="n">
        <v>5.529</v>
      </c>
      <c r="R240" s="20" t="n">
        <v>203.416</v>
      </c>
      <c r="S240" s="20" t="n">
        <v>0</v>
      </c>
    </row>
    <row r="241">
      <c r="A241" s="18" t="inlineStr">
        <is>
          <t>투자유가증권 취득</t>
        </is>
      </c>
      <c r="D241" s="20" t="n">
        <v>-1.2</v>
      </c>
      <c r="F241" s="20" t="n">
        <v>-2.4</v>
      </c>
      <c r="H241" s="20" t="n">
        <v>-1.2</v>
      </c>
      <c r="J241" s="20" t="n">
        <v>-2.4</v>
      </c>
      <c r="L241" s="20" t="n">
        <v>-1.2</v>
      </c>
      <c r="N241" s="20" t="n">
        <v>-2.4</v>
      </c>
      <c r="O241" s="20" t="n">
        <v>-25.34</v>
      </c>
      <c r="P241" s="20" t="n">
        <v>-2.4</v>
      </c>
      <c r="Q241" s="20" t="n">
        <v>-2.4</v>
      </c>
      <c r="R241" s="20" t="n">
        <v>-2.684</v>
      </c>
      <c r="S241" s="20" t="n">
        <v>-2.4</v>
      </c>
      <c r="T241" s="20" t="n">
        <v>-2.4</v>
      </c>
      <c r="U241" s="20" t="n">
        <v>-2.4</v>
      </c>
      <c r="V241" s="20" t="n">
        <v>-2.4</v>
      </c>
      <c r="W241" s="20" t="n">
        <v>-2.4</v>
      </c>
      <c r="X241" s="20" t="n">
        <v>-2.4</v>
      </c>
    </row>
    <row r="242">
      <c r="A242" s="18" t="inlineStr">
        <is>
          <t>투자유가증권 매각</t>
        </is>
      </c>
      <c r="D242" s="20" t="n">
        <v>0</v>
      </c>
      <c r="F242" s="20" t="n">
        <v>0</v>
      </c>
      <c r="H242" s="20" t="n">
        <v>77.97199999999999</v>
      </c>
      <c r="J242" s="20" t="n">
        <v>0.338</v>
      </c>
      <c r="L242" s="20" t="n">
        <v>0</v>
      </c>
      <c r="N242" s="20" t="n">
        <v>77.97199999999999</v>
      </c>
      <c r="O242" s="20" t="n">
        <v>0.08</v>
      </c>
      <c r="P242" s="20" t="n">
        <v>0</v>
      </c>
      <c r="Q242" s="20" t="n">
        <v>0</v>
      </c>
      <c r="R242" s="20" t="n">
        <v>1.131</v>
      </c>
      <c r="S242" s="20" t="n">
        <v>0</v>
      </c>
      <c r="T242" s="20" t="n">
        <v>18.292</v>
      </c>
      <c r="U242" s="20" t="n">
        <v>1.138</v>
      </c>
      <c r="V242" s="20" t="n">
        <v>0</v>
      </c>
      <c r="W242" s="20" t="n">
        <v>0.338</v>
      </c>
      <c r="X242" s="20" t="n">
        <v>77.97199999999999</v>
      </c>
    </row>
    <row r="243">
      <c r="A243" s="18" t="inlineStr">
        <is>
          <t>투자유가증권 청산 수입</t>
        </is>
      </c>
      <c r="S243" s="20" t="n">
        <v>0</v>
      </c>
      <c r="T243" s="20" t="n">
        <v>1.308</v>
      </c>
      <c r="U243" s="20" t="n">
        <v>0</v>
      </c>
    </row>
    <row r="244">
      <c r="A244" s="18" t="inlineStr">
        <is>
          <t>유가증권 상환 수입</t>
        </is>
      </c>
      <c r="D244" s="20" t="n">
        <v>0</v>
      </c>
      <c r="F244" s="20" t="n">
        <v>10</v>
      </c>
      <c r="H244" s="20" t="n">
        <v>100</v>
      </c>
      <c r="J244" s="20" t="n">
        <v>50</v>
      </c>
      <c r="L244" s="20" t="n">
        <v>0</v>
      </c>
      <c r="N244" s="20" t="n">
        <v>100</v>
      </c>
      <c r="O244" s="20" t="n">
        <v>10</v>
      </c>
      <c r="P244" s="20" t="n">
        <v>30</v>
      </c>
      <c r="Q244" s="20" t="n">
        <v>0</v>
      </c>
      <c r="R244" s="20" t="n">
        <v>30</v>
      </c>
      <c r="S244" s="20" t="n">
        <v>0</v>
      </c>
      <c r="U244" s="20" t="n">
        <v>0</v>
      </c>
      <c r="V244" s="20" t="n">
        <v>10</v>
      </c>
      <c r="W244" s="20" t="n">
        <v>50</v>
      </c>
      <c r="X244" s="20" t="n">
        <v>100</v>
      </c>
    </row>
    <row r="245">
      <c r="A245" s="18" t="inlineStr">
        <is>
          <t>무형자산 취득</t>
        </is>
      </c>
      <c r="D245" s="20" t="n">
        <v>-19.57</v>
      </c>
      <c r="F245" s="20" t="n">
        <v>-39.594</v>
      </c>
      <c r="H245" s="20" t="n">
        <v>-4.078</v>
      </c>
      <c r="J245" s="20" t="n">
        <v>-19.57</v>
      </c>
      <c r="L245" s="20" t="n">
        <v>-0.3</v>
      </c>
      <c r="N245" s="20" t="n">
        <v>-4.078</v>
      </c>
      <c r="T245" s="20" t="n">
        <v>-10.821</v>
      </c>
      <c r="U245" s="20" t="n">
        <v>-30.811</v>
      </c>
      <c r="V245" s="20" t="n">
        <v>-39.594</v>
      </c>
      <c r="W245" s="20" t="n">
        <v>-19.57</v>
      </c>
      <c r="X245" s="20" t="n">
        <v>-4.078</v>
      </c>
    </row>
    <row r="246">
      <c r="A246" s="18" t="inlineStr">
        <is>
          <t>보조금 수취</t>
        </is>
      </c>
      <c r="D246" s="20" t="n">
        <v>8.366</v>
      </c>
      <c r="F246" s="20" t="n">
        <v>98.723</v>
      </c>
      <c r="H246" s="20" t="n">
        <v>0</v>
      </c>
      <c r="J246" s="20" t="n">
        <v>8.366</v>
      </c>
      <c r="N246" s="20" t="n">
        <v>0</v>
      </c>
      <c r="U246" s="20" t="n">
        <v>0</v>
      </c>
      <c r="V246" s="20" t="n">
        <v>98.723</v>
      </c>
      <c r="W246" s="20" t="n">
        <v>8.366</v>
      </c>
      <c r="X246" s="20" t="n">
        <v>0</v>
      </c>
    </row>
    <row r="247">
      <c r="A247" s="18" t="inlineStr">
        <is>
          <t>보험적립금 적립</t>
        </is>
      </c>
      <c r="D247" s="20" t="n">
        <v>-0.761</v>
      </c>
      <c r="F247" s="20" t="n">
        <v>-22.301</v>
      </c>
      <c r="H247" s="20" t="n">
        <v>-0.761</v>
      </c>
      <c r="J247" s="20" t="n">
        <v>-4.065</v>
      </c>
      <c r="L247" s="20" t="n">
        <v>-0.284</v>
      </c>
      <c r="N247" s="20" t="n">
        <v>-4.193</v>
      </c>
      <c r="O247" s="20" t="n">
        <v>-5.524</v>
      </c>
      <c r="P247" s="20" t="n">
        <v>-5.524</v>
      </c>
      <c r="Q247" s="20" t="n">
        <v>-5.847</v>
      </c>
      <c r="R247" s="20" t="n">
        <v>-6.221</v>
      </c>
      <c r="S247" s="20" t="n">
        <v>-6.221</v>
      </c>
      <c r="T247" s="20" t="n">
        <v>-6.238</v>
      </c>
      <c r="U247" s="20" t="n">
        <v>-6.246</v>
      </c>
      <c r="V247" s="20" t="n">
        <v>-22.301</v>
      </c>
      <c r="W247" s="20" t="n">
        <v>-4.065</v>
      </c>
      <c r="X247" s="20" t="n">
        <v>-4.193</v>
      </c>
    </row>
    <row r="248">
      <c r="A248" s="18" t="inlineStr">
        <is>
          <t>보험적립금 해약</t>
        </is>
      </c>
      <c r="F248" s="20" t="n">
        <v>19.718</v>
      </c>
      <c r="J248" s="20" t="n">
        <v>0</v>
      </c>
      <c r="N248" s="20" t="n">
        <v>19.9</v>
      </c>
      <c r="O248" s="20" t="n">
        <v>0</v>
      </c>
      <c r="P248" s="20" t="n">
        <v>61.148</v>
      </c>
      <c r="Q248" s="20" t="n">
        <v>0</v>
      </c>
      <c r="U248" s="20" t="n">
        <v>0</v>
      </c>
      <c r="V248" s="20" t="n">
        <v>19.718</v>
      </c>
      <c r="W248" s="20" t="n">
        <v>0</v>
      </c>
      <c r="X248" s="20" t="n">
        <v>19.9</v>
      </c>
    </row>
    <row r="249">
      <c r="A249" s="18" t="inlineStr">
        <is>
          <t>기타</t>
        </is>
      </c>
      <c r="F249" s="20" t="n">
        <v>0</v>
      </c>
      <c r="O249" s="20" t="n">
        <v>-7.313</v>
      </c>
      <c r="P249" s="20" t="n">
        <v>7.801</v>
      </c>
      <c r="Q249" s="20" t="n">
        <v>0.57</v>
      </c>
      <c r="R249" s="20" t="n">
        <v>-2.661</v>
      </c>
      <c r="S249" s="20" t="n">
        <v>-4.909</v>
      </c>
      <c r="T249" s="20" t="n">
        <v>0</v>
      </c>
      <c r="U249" s="20" t="n">
        <v>0.01</v>
      </c>
      <c r="V249" s="20" t="n">
        <v>0</v>
      </c>
    </row>
    <row r="250">
      <c r="A250" s="9" t="inlineStr">
        <is>
          <t>투자활동 현금흐름</t>
        </is>
      </c>
      <c r="D250" s="12" t="n">
        <v>-34.63</v>
      </c>
      <c r="F250" s="12" t="n">
        <v>-64.839</v>
      </c>
      <c r="H250" s="12" t="n">
        <v>149.28</v>
      </c>
      <c r="J250" s="12" t="n">
        <v>-5.047</v>
      </c>
      <c r="L250" s="12" t="n">
        <v>-402.516</v>
      </c>
      <c r="N250" s="12" t="n">
        <v>164.667</v>
      </c>
      <c r="O250" s="12" t="n">
        <v>-97.976</v>
      </c>
      <c r="P250" s="12" t="n">
        <v>75.51900000000001</v>
      </c>
      <c r="Q250" s="12" t="n">
        <v>-19.754</v>
      </c>
      <c r="R250" s="12" t="n">
        <v>-88.596</v>
      </c>
      <c r="S250" s="12" t="n">
        <v>-43.361</v>
      </c>
      <c r="T250" s="12" t="n">
        <v>-7.855</v>
      </c>
      <c r="U250" s="12" t="n">
        <v>-76.788</v>
      </c>
      <c r="V250" s="12" t="n">
        <v>-64.839</v>
      </c>
      <c r="W250" s="12" t="n">
        <v>-5.047</v>
      </c>
      <c r="X250" s="12" t="n">
        <v>164.667</v>
      </c>
    </row>
    <row r="251">
      <c r="A251" s="18" t="inlineStr">
        <is>
          <t>단기차입금 순증감</t>
        </is>
      </c>
      <c r="D251" s="20" t="n">
        <v>180</v>
      </c>
      <c r="F251" s="20" t="n">
        <v>-14</v>
      </c>
      <c r="H251" s="20" t="n">
        <v>180</v>
      </c>
      <c r="J251" s="20" t="n">
        <v>0</v>
      </c>
      <c r="L251" s="20" t="n">
        <v>210</v>
      </c>
      <c r="N251" s="20" t="n">
        <v>-30</v>
      </c>
      <c r="O251" s="20" t="n">
        <v>-90</v>
      </c>
      <c r="P251" s="20" t="n">
        <v>-20</v>
      </c>
      <c r="Q251" s="20" t="n">
        <v>-78</v>
      </c>
      <c r="R251" s="20" t="n">
        <v>-22</v>
      </c>
      <c r="S251" s="20" t="n">
        <v>-138</v>
      </c>
      <c r="T251" s="20" t="n">
        <v>-19.339</v>
      </c>
      <c r="U251" s="20" t="n">
        <v>9.920999999999999</v>
      </c>
      <c r="V251" s="20" t="n">
        <v>-14</v>
      </c>
      <c r="W251" s="20" t="n">
        <v>0</v>
      </c>
      <c r="X251" s="20" t="n">
        <v>-30</v>
      </c>
    </row>
    <row r="252">
      <c r="A252" s="18" t="inlineStr">
        <is>
          <t>장기차입</t>
        </is>
      </c>
      <c r="D252" s="20" t="n">
        <v>250</v>
      </c>
      <c r="F252" s="20" t="n">
        <v>280</v>
      </c>
      <c r="H252" s="20" t="n">
        <v>250</v>
      </c>
      <c r="J252" s="20" t="n">
        <v>250</v>
      </c>
      <c r="L252" s="20" t="n">
        <v>210</v>
      </c>
      <c r="N252" s="20" t="n">
        <v>250</v>
      </c>
      <c r="O252" s="20" t="n">
        <v>200</v>
      </c>
      <c r="P252" s="20" t="n">
        <v>300</v>
      </c>
      <c r="Q252" s="20" t="n">
        <v>170</v>
      </c>
      <c r="R252" s="20" t="n">
        <v>320</v>
      </c>
      <c r="S252" s="20" t="n">
        <v>490</v>
      </c>
      <c r="T252" s="20" t="n">
        <v>550</v>
      </c>
      <c r="U252" s="20" t="n">
        <v>300</v>
      </c>
      <c r="V252" s="20" t="n">
        <v>280</v>
      </c>
      <c r="W252" s="20" t="n">
        <v>250</v>
      </c>
      <c r="X252" s="20" t="n">
        <v>250</v>
      </c>
    </row>
    <row r="253">
      <c r="A253" s="18" t="inlineStr">
        <is>
          <t>장기차입금 상환</t>
        </is>
      </c>
      <c r="D253" s="20" t="n">
        <v>-150.012</v>
      </c>
      <c r="F253" s="20" t="n">
        <v>-324.891</v>
      </c>
      <c r="H253" s="20" t="n">
        <v>-164.695</v>
      </c>
      <c r="J253" s="20" t="n">
        <v>-310.988</v>
      </c>
      <c r="L253" s="20" t="n">
        <v>-158.876</v>
      </c>
      <c r="N253" s="20" t="n">
        <v>-341.675</v>
      </c>
      <c r="O253" s="20" t="n">
        <v>-321.573</v>
      </c>
      <c r="P253" s="20" t="n">
        <v>-251.284</v>
      </c>
      <c r="Q253" s="20" t="n">
        <v>-243.961</v>
      </c>
      <c r="R253" s="20" t="n">
        <v>-275.745</v>
      </c>
      <c r="S253" s="20" t="n">
        <v>-378.328</v>
      </c>
      <c r="T253" s="20" t="n">
        <v>-399.752</v>
      </c>
      <c r="U253" s="20" t="n">
        <v>-368.592</v>
      </c>
      <c r="V253" s="20" t="n">
        <v>-324.891</v>
      </c>
      <c r="W253" s="20" t="n">
        <v>-310.988</v>
      </c>
      <c r="X253" s="20" t="n">
        <v>-341.675</v>
      </c>
    </row>
    <row r="254">
      <c r="A254" s="18" t="inlineStr">
        <is>
          <t>장기 미지급금 상환 지출</t>
        </is>
      </c>
      <c r="D254" s="20" t="n">
        <v>-40.685</v>
      </c>
      <c r="F254" s="20" t="n">
        <v>-64.30800000000001</v>
      </c>
      <c r="H254" s="20" t="n">
        <v>-37.33</v>
      </c>
      <c r="J254" s="20" t="n">
        <v>-80.16</v>
      </c>
      <c r="L254" s="20" t="n">
        <v>-24.893</v>
      </c>
      <c r="N254" s="20" t="n">
        <v>-64.39100000000001</v>
      </c>
      <c r="O254" s="20" t="n">
        <v>-88.669</v>
      </c>
      <c r="P254" s="20" t="n">
        <v>-80.995</v>
      </c>
      <c r="Q254" s="20" t="n">
        <v>-69.16800000000001</v>
      </c>
      <c r="R254" s="20" t="n">
        <v>-65.19</v>
      </c>
      <c r="S254" s="20" t="n">
        <v>-62.636</v>
      </c>
      <c r="T254" s="20" t="n">
        <v>-52.678</v>
      </c>
      <c r="U254" s="20" t="n">
        <v>-57.788</v>
      </c>
      <c r="V254" s="20" t="n">
        <v>-64.30800000000001</v>
      </c>
      <c r="W254" s="20" t="n">
        <v>-80.16</v>
      </c>
      <c r="X254" s="20" t="n">
        <v>-64.39100000000001</v>
      </c>
    </row>
    <row r="255">
      <c r="A255" s="18" t="inlineStr">
        <is>
          <t>자기주식 취득</t>
        </is>
      </c>
      <c r="F255" s="20" t="n">
        <v>-0</v>
      </c>
      <c r="J255" s="20" t="n">
        <v>0</v>
      </c>
      <c r="O255" s="20" t="n">
        <v>0</v>
      </c>
      <c r="P255" s="20" t="n">
        <v>-0.012</v>
      </c>
      <c r="Q255" s="20" t="n">
        <v>-0.042</v>
      </c>
      <c r="R255" s="20" t="n">
        <v>0</v>
      </c>
      <c r="T255" s="20" t="n">
        <v>0</v>
      </c>
      <c r="U255" s="20" t="n">
        <v>-0.017</v>
      </c>
      <c r="V255" s="20" t="n">
        <v>-0</v>
      </c>
      <c r="W255" s="20" t="n">
        <v>0</v>
      </c>
    </row>
    <row r="256">
      <c r="A256" s="18" t="inlineStr">
        <is>
          <t>배당금 지급</t>
        </is>
      </c>
      <c r="D256" s="20" t="n">
        <v>-17.836</v>
      </c>
      <c r="F256" s="20" t="n">
        <v>-17.836</v>
      </c>
      <c r="H256" s="20" t="n">
        <v>-17.958</v>
      </c>
      <c r="J256" s="20" t="n">
        <v>-17.836</v>
      </c>
      <c r="L256" s="20" t="n">
        <v>-35.917</v>
      </c>
      <c r="N256" s="20" t="n">
        <v>-17.958</v>
      </c>
      <c r="O256" s="20" t="n">
        <v>-17.549</v>
      </c>
      <c r="P256" s="20" t="n">
        <v>-17.549</v>
      </c>
      <c r="Q256" s="20" t="n">
        <v>-17.549</v>
      </c>
      <c r="R256" s="20" t="n">
        <v>-29.352</v>
      </c>
      <c r="S256" s="20" t="n">
        <v>-17.61</v>
      </c>
      <c r="T256" s="20" t="n">
        <v>-17.724</v>
      </c>
      <c r="U256" s="20" t="n">
        <v>-29.519</v>
      </c>
      <c r="V256" s="20" t="n">
        <v>-17.836</v>
      </c>
      <c r="W256" s="20" t="n">
        <v>-17.836</v>
      </c>
      <c r="X256" s="20" t="n">
        <v>-17.958</v>
      </c>
    </row>
    <row r="257">
      <c r="A257" s="18" t="inlineStr">
        <is>
          <t>기타</t>
        </is>
      </c>
      <c r="R257" s="20" t="n">
        <v>0</v>
      </c>
      <c r="S257" s="20" t="n">
        <v>31.953</v>
      </c>
      <c r="T257" s="20" t="n">
        <v>0</v>
      </c>
    </row>
    <row r="258">
      <c r="A258" s="9" t="inlineStr">
        <is>
          <t>재무활동 현금흐름</t>
        </is>
      </c>
      <c r="D258" s="12" t="n">
        <v>221.466</v>
      </c>
      <c r="F258" s="12" t="n">
        <v>-141.036</v>
      </c>
      <c r="H258" s="12" t="n">
        <v>210.016</v>
      </c>
      <c r="J258" s="12" t="n">
        <v>-158.984</v>
      </c>
      <c r="L258" s="12" t="n">
        <v>200.313</v>
      </c>
      <c r="N258" s="12" t="n">
        <v>-204.024</v>
      </c>
      <c r="O258" s="12" t="n">
        <v>-317.791</v>
      </c>
      <c r="P258" s="12" t="n">
        <v>-69.84099999999999</v>
      </c>
      <c r="Q258" s="12" t="n">
        <v>-238.721</v>
      </c>
      <c r="R258" s="12" t="n">
        <v>-72.288</v>
      </c>
      <c r="S258" s="12" t="n">
        <v>-74.621</v>
      </c>
      <c r="T258" s="12" t="n">
        <v>60.504</v>
      </c>
      <c r="U258" s="12" t="n">
        <v>-145.995</v>
      </c>
      <c r="V258" s="12" t="n">
        <v>-141.036</v>
      </c>
      <c r="W258" s="12" t="n">
        <v>-158.984</v>
      </c>
      <c r="X258" s="12" t="n">
        <v>-204.024</v>
      </c>
    </row>
    <row r="259">
      <c r="A259" s="18" t="inlineStr">
        <is>
          <t>현금성자산 환산차이</t>
        </is>
      </c>
      <c r="D259" s="20" t="n">
        <v>4.92</v>
      </c>
      <c r="F259" s="20" t="n">
        <v>5.013</v>
      </c>
      <c r="H259" s="20" t="n">
        <v>-5.235</v>
      </c>
      <c r="J259" s="20" t="n">
        <v>3.898</v>
      </c>
      <c r="L259" s="20" t="n">
        <v>3.802</v>
      </c>
      <c r="N259" s="20" t="n">
        <v>-9.992000000000001</v>
      </c>
      <c r="O259" s="20" t="n">
        <v>-11.484</v>
      </c>
      <c r="P259" s="20" t="n">
        <v>4.78</v>
      </c>
      <c r="Q259" s="20" t="n">
        <v>-0.727</v>
      </c>
      <c r="R259" s="20" t="n">
        <v>4.106</v>
      </c>
      <c r="S259" s="20" t="n">
        <v>-5.024</v>
      </c>
      <c r="T259" s="20" t="n">
        <v>4.452</v>
      </c>
      <c r="U259" s="20" t="n">
        <v>11.938</v>
      </c>
      <c r="V259" s="20" t="n">
        <v>5.013</v>
      </c>
      <c r="W259" s="20" t="n">
        <v>3.898</v>
      </c>
      <c r="X259" s="20" t="n">
        <v>-9.992000000000001</v>
      </c>
    </row>
    <row r="260">
      <c r="A260" s="18" t="inlineStr">
        <is>
          <t>현금성자산 증감</t>
        </is>
      </c>
      <c r="D260" s="20" t="n">
        <v>449.133</v>
      </c>
      <c r="F260" s="20" t="n">
        <v>-228.334</v>
      </c>
      <c r="H260" s="20" t="n">
        <v>472.025</v>
      </c>
      <c r="J260" s="20" t="n">
        <v>88.566</v>
      </c>
      <c r="L260" s="20" t="n">
        <v>287.269</v>
      </c>
      <c r="N260" s="20" t="n">
        <v>-111.012</v>
      </c>
      <c r="O260" s="20" t="n">
        <v>-55.469</v>
      </c>
      <c r="P260" s="20" t="n">
        <v>227.425</v>
      </c>
      <c r="Q260" s="20" t="n">
        <v>-292.176</v>
      </c>
      <c r="R260" s="20" t="n">
        <v>105.045</v>
      </c>
      <c r="S260" s="20" t="n">
        <v>-72.73099999999999</v>
      </c>
      <c r="T260" s="20" t="n">
        <v>222.282</v>
      </c>
      <c r="U260" s="20" t="n">
        <v>22.283</v>
      </c>
      <c r="V260" s="20" t="n">
        <v>-228.334</v>
      </c>
      <c r="W260" s="20" t="n">
        <v>88.566</v>
      </c>
      <c r="X260" s="20" t="n">
        <v>-111.012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6663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2777.075</v>
      </c>
      <c r="D5" s="12" t="n">
        <v>2604.667</v>
      </c>
      <c r="E5" s="12" t="n">
        <v>2811.898</v>
      </c>
      <c r="F5" s="12" t="n">
        <v>2941.501</v>
      </c>
      <c r="G5" s="12" t="n">
        <v>2936.269</v>
      </c>
      <c r="H5" s="11" t="n">
        <v>2767.155</v>
      </c>
      <c r="I5" s="12" t="n">
        <v>2916.735</v>
      </c>
      <c r="J5" s="12" t="n">
        <v>2777.075</v>
      </c>
      <c r="K5" s="12" t="n">
        <v>2936.269</v>
      </c>
    </row>
    <row r="6">
      <c r="A6" s="18" t="inlineStr">
        <is>
          <t>현금및현금성자산</t>
        </is>
      </c>
      <c r="B6" s="10" t="n"/>
      <c r="C6" s="19" t="n">
        <v>1650.048</v>
      </c>
      <c r="D6" s="20" t="n">
        <v>1257.565</v>
      </c>
      <c r="E6" s="20" t="n">
        <v>1707.71</v>
      </c>
      <c r="F6" s="20" t="n">
        <v>1942.751</v>
      </c>
      <c r="G6" s="20" t="n">
        <v>1867.696</v>
      </c>
      <c r="H6" s="19" t="n">
        <v>1665.094</v>
      </c>
      <c r="I6" s="20" t="n">
        <v>1769.981</v>
      </c>
      <c r="J6" s="20" t="n">
        <v>1650.048</v>
      </c>
      <c r="K6" s="20" t="n">
        <v>1867.696</v>
      </c>
    </row>
    <row r="7">
      <c r="A7" s="18" t="inlineStr">
        <is>
          <t>단기금융상품</t>
        </is>
      </c>
      <c r="B7" s="10" t="n"/>
      <c r="C7" s="19" t="n">
        <v>0</v>
      </c>
      <c r="D7" s="20" t="n">
        <v>0</v>
      </c>
      <c r="E7" s="20" t="n"/>
      <c r="F7" s="20" t="n"/>
      <c r="G7" s="20" t="n"/>
      <c r="H7" s="19" t="n">
        <v>0</v>
      </c>
      <c r="I7" s="20" t="n">
        <v>150</v>
      </c>
      <c r="J7" s="20" t="n">
        <v>0</v>
      </c>
      <c r="K7" s="20" t="n"/>
    </row>
    <row r="8">
      <c r="A8" s="18" t="inlineStr">
        <is>
          <t>매출채권</t>
        </is>
      </c>
      <c r="B8" s="10" t="n"/>
      <c r="C8" s="19" t="n">
        <v>721.239</v>
      </c>
      <c r="D8" s="20" t="n">
        <v>1001.287</v>
      </c>
      <c r="E8" s="20" t="n">
        <v>701.593</v>
      </c>
      <c r="F8" s="20" t="n">
        <v>583.3680000000001</v>
      </c>
      <c r="G8" s="20" t="n">
        <v>665.74</v>
      </c>
      <c r="H8" s="19" t="n">
        <v>519.277</v>
      </c>
      <c r="I8" s="20" t="n">
        <v>580.8869999999999</v>
      </c>
      <c r="J8" s="20" t="n">
        <v>721.239</v>
      </c>
      <c r="K8" s="20" t="n">
        <v>665.74</v>
      </c>
    </row>
    <row r="9">
      <c r="A9" s="18" t="inlineStr">
        <is>
          <t>재고자산</t>
        </is>
      </c>
      <c r="B9" s="10" t="n"/>
      <c r="C9" s="19" t="n">
        <v>376.169</v>
      </c>
      <c r="D9" s="20" t="n">
        <v>325.345</v>
      </c>
      <c r="E9" s="20" t="n">
        <v>389.142</v>
      </c>
      <c r="F9" s="20" t="n">
        <v>380.619</v>
      </c>
      <c r="G9" s="20" t="n">
        <v>354.352</v>
      </c>
      <c r="H9" s="19" t="n">
        <v>549.6849999999999</v>
      </c>
      <c r="I9" s="20" t="n">
        <v>379.4</v>
      </c>
      <c r="J9" s="20" t="n">
        <v>376.169</v>
      </c>
      <c r="K9" s="20" t="n">
        <v>354.352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1971.903</v>
      </c>
      <c r="D11" s="12" t="n">
        <v>1966.304</v>
      </c>
      <c r="E11" s="12" t="n">
        <v>2013.61</v>
      </c>
      <c r="F11" s="12" t="n">
        <v>2075.974</v>
      </c>
      <c r="G11" s="12" t="n">
        <v>2182.812</v>
      </c>
      <c r="H11" s="11" t="n">
        <v>2059.079</v>
      </c>
      <c r="I11" s="12" t="n">
        <v>2023.229</v>
      </c>
      <c r="J11" s="12" t="n">
        <v>1971.903</v>
      </c>
      <c r="K11" s="12" t="n">
        <v>2182.812</v>
      </c>
    </row>
    <row r="12">
      <c r="A12" s="18" t="inlineStr">
        <is>
          <t>유형자산</t>
        </is>
      </c>
      <c r="B12" s="10" t="n"/>
      <c r="C12" s="19" t="n">
        <v>1380.279</v>
      </c>
      <c r="D12" s="20" t="n">
        <v>1356.225</v>
      </c>
      <c r="E12" s="20" t="n">
        <v>1335.302</v>
      </c>
      <c r="F12" s="20" t="n">
        <v>1332.055</v>
      </c>
      <c r="G12" s="20" t="n">
        <v>1343.384</v>
      </c>
      <c r="H12" s="19" t="n">
        <v>1412.807</v>
      </c>
      <c r="I12" s="20" t="n">
        <v>1439.542</v>
      </c>
      <c r="J12" s="20" t="n">
        <v>1380.279</v>
      </c>
      <c r="K12" s="20" t="n">
        <v>1343.384</v>
      </c>
    </row>
    <row r="13">
      <c r="A13" s="18" t="inlineStr">
        <is>
          <t>무형자산</t>
        </is>
      </c>
      <c r="B13" s="10" t="n"/>
      <c r="C13" s="19" t="n">
        <v>46.476</v>
      </c>
      <c r="D13" s="20" t="n">
        <v>41.841</v>
      </c>
      <c r="E13" s="20" t="n">
        <v>37.556</v>
      </c>
      <c r="F13" s="20" t="n">
        <v>33.567</v>
      </c>
      <c r="G13" s="20" t="n">
        <v>32.753</v>
      </c>
      <c r="H13" s="19" t="n">
        <v>63.814</v>
      </c>
      <c r="I13" s="20" t="n">
        <v>60.9</v>
      </c>
      <c r="J13" s="20" t="n">
        <v>46.476</v>
      </c>
      <c r="K13" s="20" t="n">
        <v>32.753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4748.978</v>
      </c>
      <c r="D16" s="12" t="n">
        <v>4570.972</v>
      </c>
      <c r="E16" s="12" t="n">
        <v>4825.509</v>
      </c>
      <c r="F16" s="12" t="n">
        <v>5017.476</v>
      </c>
      <c r="G16" s="12" t="n">
        <v>5119.082</v>
      </c>
      <c r="H16" s="11" t="n">
        <v>4826.234</v>
      </c>
      <c r="I16" s="12" t="n">
        <v>4939.964</v>
      </c>
      <c r="J16" s="12" t="n">
        <v>4748.978</v>
      </c>
      <c r="K16" s="12" t="n">
        <v>5119.082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1107.225</v>
      </c>
      <c r="D18" s="12" t="n">
        <v>784.061</v>
      </c>
      <c r="E18" s="12" t="n">
        <v>1021.765</v>
      </c>
      <c r="F18" s="12" t="n">
        <v>1024.752</v>
      </c>
      <c r="G18" s="12" t="n">
        <v>1035.066</v>
      </c>
      <c r="H18" s="11" t="n">
        <v>1051.918</v>
      </c>
      <c r="I18" s="12" t="n">
        <v>1144.982</v>
      </c>
      <c r="J18" s="12" t="n">
        <v>1107.225</v>
      </c>
      <c r="K18" s="12" t="n">
        <v>1035.066</v>
      </c>
    </row>
    <row r="19">
      <c r="A19" s="18" t="inlineStr">
        <is>
          <t>매입채무</t>
        </is>
      </c>
      <c r="B19" s="10" t="n"/>
      <c r="C19" s="19" t="n">
        <v>183.237</v>
      </c>
      <c r="D19" s="20" t="n">
        <v>135.614</v>
      </c>
      <c r="E19" s="20" t="n">
        <v>124.486</v>
      </c>
      <c r="F19" s="20" t="n">
        <v>127.169</v>
      </c>
      <c r="G19" s="20" t="n">
        <v>171.248</v>
      </c>
      <c r="H19" s="19" t="n">
        <v>97.02800000000001</v>
      </c>
      <c r="I19" s="20" t="n">
        <v>143.291</v>
      </c>
      <c r="J19" s="20" t="n">
        <v>183.237</v>
      </c>
      <c r="K19" s="20" t="n">
        <v>171.248</v>
      </c>
    </row>
    <row r="20">
      <c r="A20" s="18" t="inlineStr">
        <is>
          <t>단기차입금</t>
        </is>
      </c>
      <c r="B20" s="10" t="n"/>
      <c r="C20" s="19" t="n">
        <v>562.165</v>
      </c>
      <c r="D20" s="20" t="n">
        <v>290.668</v>
      </c>
      <c r="E20" s="20" t="n">
        <v>510.689</v>
      </c>
      <c r="F20" s="20" t="n">
        <v>510.959</v>
      </c>
      <c r="G20" s="20" t="n">
        <v>500.824</v>
      </c>
      <c r="H20" s="19" t="n">
        <v>571.4160000000001</v>
      </c>
      <c r="I20" s="20" t="n">
        <v>598.676</v>
      </c>
      <c r="J20" s="20" t="n">
        <v>562.165</v>
      </c>
      <c r="K20" s="20" t="n">
        <v>500.824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1137.966</v>
      </c>
      <c r="D23" s="12" t="n">
        <v>1088.5</v>
      </c>
      <c r="E23" s="12" t="n">
        <v>1088.554</v>
      </c>
      <c r="F23" s="12" t="n">
        <v>1173.526</v>
      </c>
      <c r="G23" s="12" t="n">
        <v>1158.321</v>
      </c>
      <c r="H23" s="11" t="n">
        <v>1234.38</v>
      </c>
      <c r="I23" s="12" t="n">
        <v>1225.434</v>
      </c>
      <c r="J23" s="12" t="n">
        <v>1137.966</v>
      </c>
      <c r="K23" s="12" t="n">
        <v>1158.321</v>
      </c>
    </row>
    <row r="24">
      <c r="A24" s="18" t="inlineStr">
        <is>
          <t>장기차입금</t>
        </is>
      </c>
      <c r="B24" s="10" t="n"/>
      <c r="C24" s="19" t="n">
        <v>331.575</v>
      </c>
      <c r="D24" s="20" t="n">
        <v>280.582</v>
      </c>
      <c r="E24" s="20" t="n">
        <v>268.76</v>
      </c>
      <c r="F24" s="20" t="n">
        <v>321.414</v>
      </c>
      <c r="G24" s="20" t="n">
        <v>288.921</v>
      </c>
      <c r="H24" s="19" t="n">
        <v>479.739</v>
      </c>
      <c r="I24" s="20" t="n">
        <v>394.737</v>
      </c>
      <c r="J24" s="20" t="n">
        <v>331.575</v>
      </c>
      <c r="K24" s="20" t="n">
        <v>288.921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2245.191</v>
      </c>
      <c r="D27" s="12" t="n">
        <v>1872.562</v>
      </c>
      <c r="E27" s="12" t="n">
        <v>2110.319</v>
      </c>
      <c r="F27" s="12" t="n">
        <v>2198.279</v>
      </c>
      <c r="G27" s="12" t="n">
        <v>2193.387</v>
      </c>
      <c r="H27" s="11" t="n">
        <v>2286.298</v>
      </c>
      <c r="I27" s="12" t="n">
        <v>2370.417</v>
      </c>
      <c r="J27" s="12" t="n">
        <v>2245.191</v>
      </c>
      <c r="K27" s="12" t="n">
        <v>2193.387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2474.671</v>
      </c>
      <c r="D31" s="12" t="n">
        <v>2669.024</v>
      </c>
      <c r="E31" s="12" t="n">
        <v>2684.008</v>
      </c>
      <c r="F31" s="12" t="n">
        <v>2786.58</v>
      </c>
      <c r="G31" s="12" t="n">
        <v>2889.021</v>
      </c>
      <c r="H31" s="11" t="n">
        <v>2509.989</v>
      </c>
      <c r="I31" s="12" t="n">
        <v>2536.942</v>
      </c>
      <c r="J31" s="12" t="n">
        <v>2474.671</v>
      </c>
      <c r="K31" s="12" t="n">
        <v>2889.021</v>
      </c>
    </row>
    <row r="32">
      <c r="A32" s="18" t="inlineStr">
        <is>
          <t>자본금</t>
        </is>
      </c>
      <c r="B32" s="10" t="n"/>
      <c r="C32" s="19" t="n">
        <v>822.1950000000001</v>
      </c>
      <c r="D32" s="20" t="n">
        <v>822.1950000000001</v>
      </c>
      <c r="E32" s="20" t="n">
        <v>822.1950000000001</v>
      </c>
      <c r="F32" s="20" t="n">
        <v>833.535</v>
      </c>
      <c r="G32" s="20" t="n">
        <v>833.535</v>
      </c>
      <c r="H32" s="19" t="n">
        <v>815.198</v>
      </c>
      <c r="I32" s="20" t="n">
        <v>822.1950000000001</v>
      </c>
      <c r="J32" s="20" t="n">
        <v>822.1950000000001</v>
      </c>
      <c r="K32" s="20" t="n">
        <v>833.535</v>
      </c>
    </row>
    <row r="33">
      <c r="A33" s="18" t="inlineStr">
        <is>
          <t>이익잉여금</t>
        </is>
      </c>
      <c r="B33" s="10" t="n"/>
      <c r="C33" s="19" t="n">
        <v>511.788</v>
      </c>
      <c r="D33" s="20" t="n">
        <v>678.098</v>
      </c>
      <c r="E33" s="20" t="n">
        <v>644.294</v>
      </c>
      <c r="F33" s="20" t="n">
        <v>681.306</v>
      </c>
      <c r="G33" s="20" t="n">
        <v>716.639</v>
      </c>
      <c r="H33" s="19" t="n">
        <v>648.872</v>
      </c>
      <c r="I33" s="20" t="n">
        <v>633.359</v>
      </c>
      <c r="J33" s="20" t="n">
        <v>511.788</v>
      </c>
      <c r="K33" s="20" t="n">
        <v>716.639</v>
      </c>
    </row>
    <row r="34">
      <c r="A34" s="18" t="inlineStr">
        <is>
          <t>비지배지분</t>
        </is>
      </c>
      <c r="B34" s="10" t="n"/>
      <c r="C34" s="19" t="n">
        <v>29.115</v>
      </c>
      <c r="D34" s="20" t="n">
        <v>29.386</v>
      </c>
      <c r="E34" s="20" t="n">
        <v>31.181</v>
      </c>
      <c r="F34" s="20" t="n">
        <v>32.616</v>
      </c>
      <c r="G34" s="20" t="n">
        <v>36.673</v>
      </c>
      <c r="H34" s="19" t="n">
        <v>29.947</v>
      </c>
      <c r="I34" s="20" t="n">
        <v>32.605</v>
      </c>
      <c r="J34" s="20" t="n">
        <v>29.115</v>
      </c>
      <c r="K34" s="20" t="n">
        <v>36.673</v>
      </c>
    </row>
    <row r="35">
      <c r="A35" s="9" t="inlineStr">
        <is>
          <t>자본총계</t>
        </is>
      </c>
      <c r="B35" s="10" t="n"/>
      <c r="C35" s="11" t="n">
        <v>2503.786</v>
      </c>
      <c r="D35" s="12" t="n">
        <v>2698.41</v>
      </c>
      <c r="E35" s="12" t="n">
        <v>2715.189</v>
      </c>
      <c r="F35" s="12" t="n">
        <v>2819.196</v>
      </c>
      <c r="G35" s="12" t="n">
        <v>2925.694</v>
      </c>
      <c r="H35" s="11" t="n">
        <v>2539.936</v>
      </c>
      <c r="I35" s="12" t="n">
        <v>2569.547</v>
      </c>
      <c r="J35" s="12" t="n">
        <v>2503.786</v>
      </c>
      <c r="K35" s="12" t="n">
        <v>2925.694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>
        <v>248.699</v>
      </c>
      <c r="D37" s="12" t="n"/>
      <c r="E37" s="12" t="n">
        <v>616.404</v>
      </c>
      <c r="F37" s="12" t="n"/>
      <c r="G37" s="12" t="n">
        <v>-61.662</v>
      </c>
      <c r="H37" s="11" t="n">
        <v>233.127</v>
      </c>
      <c r="I37" s="12" t="n">
        <v>-27.472</v>
      </c>
      <c r="J37" s="12" t="n">
        <v>248.699</v>
      </c>
      <c r="K37" s="12" t="n">
        <v>-61.662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36.467</v>
      </c>
      <c r="D38" s="20" t="n"/>
      <c r="E38" s="20" t="n">
        <v>24.074</v>
      </c>
      <c r="F38" s="20" t="n"/>
      <c r="G38" s="20" t="n">
        <v>47.203</v>
      </c>
      <c r="H38" s="19" t="n">
        <v>87.276</v>
      </c>
      <c r="I38" s="20" t="n">
        <v>175.808</v>
      </c>
      <c r="J38" s="20" t="n">
        <v>36.467</v>
      </c>
      <c r="K38" s="20" t="n">
        <v>47.203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17.836</v>
      </c>
      <c r="D40" s="20" t="n"/>
      <c r="E40" s="20" t="n">
        <v>35.795</v>
      </c>
      <c r="F40" s="20" t="n"/>
      <c r="G40" s="20" t="n">
        <v>17.958</v>
      </c>
      <c r="H40" s="19" t="n">
        <v>29.519</v>
      </c>
      <c r="I40" s="20" t="n">
        <v>17.836</v>
      </c>
      <c r="J40" s="20" t="n">
        <v>17.836</v>
      </c>
      <c r="K40" s="20" t="n">
        <v>17.958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IFERROR(('연간'!U28)/('연간'!U50),"")</f>
        <v/>
      </c>
      <c r="I48" s="31">
        <f>IFERROR(('연간'!V28)/('연간'!V50),"")</f>
        <v/>
      </c>
      <c r="J48" s="31">
        <f>IFERROR(('연간'!W28)/('연간'!W50),"")</f>
        <v/>
      </c>
      <c r="K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IFERROR(IF(('연간'!U58)&lt;=0,"적자",H28/('연간'!U58)),"")</f>
        <v/>
      </c>
      <c r="I49" s="47">
        <f>IFERROR(IF(('연간'!V58)&lt;=0,"적자",I28/('연간'!V58)),"")</f>
        <v/>
      </c>
      <c r="J49" s="47">
        <f>IFERROR(IF(('연간'!W58)&lt;=0,"적자",J28/('연간'!W58)),"")</f>
        <v/>
      </c>
      <c r="K49" s="47">
        <f>IFERROR(IF(('연간'!X58)&lt;=0,"적자",K28/('연간'!X58)),"")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IFERROR(('연간'!U58)/H31,"")</f>
        <v/>
      </c>
      <c r="I51" s="36">
        <f>IFERROR(('연간'!V58)/I31,"")</f>
        <v/>
      </c>
      <c r="J51" s="36">
        <f>IFERROR(('연간'!W58)/J31,"")</f>
        <v/>
      </c>
      <c r="K51" s="36">
        <f>IFERROR(('연간'!X58)/K31,"")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IFERROR(('연간'!U56)/H16,"")</f>
        <v/>
      </c>
      <c r="I52" s="36">
        <f>IFERROR(('연간'!V56)/I16,"")</f>
        <v/>
      </c>
      <c r="J52" s="36">
        <f>IFERROR(('연간'!W56)/J16,"")</f>
        <v/>
      </c>
      <c r="K52" s="36">
        <f>IFERROR(('연간'!X56)/K16,"")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IFERROR(('연간'!U28)*(1-0.3)/(H35+H29),"")</f>
        <v/>
      </c>
      <c r="I53" s="36">
        <f>IFERROR(('연간'!V28)*(1-0.3)/(I35+I29),"")</f>
        <v/>
      </c>
      <c r="J53" s="36">
        <f>IFERROR(('연간'!W28)*(1-0.3)/(J35+J29),"")</f>
        <v/>
      </c>
      <c r="K53" s="36">
        <f>IFERROR(('연간'!X28)*(1-0.3)/(K35+K29),"")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IFERROR(('연간'!U22)/('연간'!U4),"")</f>
        <v/>
      </c>
      <c r="I54" s="36">
        <f>IFERROR(('연간'!V22)/('연간'!V4),"")</f>
        <v/>
      </c>
      <c r="J54" s="36">
        <f>IFERROR(('연간'!W22)/('연간'!W4),"")</f>
        <v/>
      </c>
      <c r="K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IFERROR(('연간'!U28)/('연간'!U4),"")</f>
        <v/>
      </c>
      <c r="I55" s="36">
        <f>IFERROR(('연간'!V28)/('연간'!V4),"")</f>
        <v/>
      </c>
      <c r="J55" s="36">
        <f>IFERROR(('연간'!W28)/('연간'!W4),"")</f>
        <v/>
      </c>
      <c r="K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IFERROR(('연간'!U56)/('연간'!U4),"")</f>
        <v/>
      </c>
      <c r="I56" s="36">
        <f>IFERROR(('연간'!V56)/('연간'!V4),"")</f>
        <v/>
      </c>
      <c r="J56" s="36">
        <f>IFERROR(('연간'!W56)/('연간'!W4),"")</f>
        <v/>
      </c>
      <c r="K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IFERROR(('연간'!U4)/H16,"")</f>
        <v/>
      </c>
      <c r="I58" s="31">
        <f>IFERROR(('연간'!V4)/I16,"")</f>
        <v/>
      </c>
      <c r="J58" s="31">
        <f>IFERROR(('연간'!W4)/J16,"")</f>
        <v/>
      </c>
      <c r="K58" s="31">
        <f>IFERROR(('연간'!X4)/K16,"")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IFERROR(H8/('연간'!U4)*365,"")</f>
        <v/>
      </c>
      <c r="I59" s="49">
        <f>IFERROR(I8/('연간'!V4)*365,"")</f>
        <v/>
      </c>
      <c r="J59" s="49">
        <f>IFERROR(J8/('연간'!W4)*365,"")</f>
        <v/>
      </c>
      <c r="K59" s="49">
        <f>IFERROR(K8/('연간'!X4)*365,"")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IFERROR(H9/('연간'!U20)*365,"")</f>
        <v/>
      </c>
      <c r="I60" s="49">
        <f>IFERROR(I9/('연간'!V20)*365,"")</f>
        <v/>
      </c>
      <c r="J60" s="49">
        <f>IFERROR(J9/('연간'!W20)*365,"")</f>
        <v/>
      </c>
      <c r="K60" s="49">
        <f>IFERROR(K9/('연간'!X20)*365,"")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IFERROR(H19/('연간'!U20)*365,"")</f>
        <v/>
      </c>
      <c r="I61" s="49">
        <f>IFERROR(I19/('연간'!V20)*365,"")</f>
        <v/>
      </c>
      <c r="J61" s="49">
        <f>IFERROR(J19/('연간'!W20)*365,"")</f>
        <v/>
      </c>
      <c r="K61" s="49">
        <f>IFERROR(K19/('연간'!X20)*365,"")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IF(H37="","",IFERROR(H37/('연간'!U56),""))</f>
        <v/>
      </c>
      <c r="I64" s="31">
        <f>IF(I37="","",IFERROR(I37/('연간'!V56),""))</f>
        <v/>
      </c>
      <c r="J64" s="31">
        <f>IF(J37="","",IFERROR(J37/('연간'!W56),""))</f>
        <v/>
      </c>
      <c r="K64" s="31">
        <f>IF(K37="","",IFERROR(K37/('연간'!X56),""))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IF(H39="","",IFERROR(H39/('연간'!U4),""))</f>
        <v/>
      </c>
      <c r="I65" s="36">
        <f>IF(I39="","",IFERROR(I39/('연간'!V4),""))</f>
        <v/>
      </c>
      <c r="J65" s="36">
        <f>IF(J39="","",IFERROR(J39/('연간'!W4),""))</f>
        <v/>
      </c>
      <c r="K65" s="36">
        <f>IF(K39="","",IFERROR(K39/('연간'!X4),""))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IF(H38="","",IFERROR(H38/('연간'!U4),""))</f>
        <v/>
      </c>
      <c r="I66" s="36">
        <f>IF(I38="","",IFERROR(I38/('연간'!V4),""))</f>
        <v/>
      </c>
      <c r="J66" s="36">
        <f>IF(J38="","",IFERROR(J38/('연간'!W4),""))</f>
        <v/>
      </c>
      <c r="K66" s="36">
        <f>IF(K38="","",IFERROR(K38/('연간'!X4),""))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IF(H40="","",IFERROR(H40/('연간'!U58),""))</f>
        <v/>
      </c>
      <c r="I67" s="36">
        <f>IF(I40="","",IFERROR(I40/('연간'!V58),""))</f>
        <v/>
      </c>
      <c r="J67" s="36">
        <f>IF(J40="","",IFERROR(J40/('연간'!W58),""))</f>
        <v/>
      </c>
      <c r="K67" s="36">
        <f>IF(K40="","",IFERROR(K40/('연간'!X58),""))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1650.048</v>
      </c>
      <c r="D71" s="20" t="n">
        <v>1257.565</v>
      </c>
      <c r="E71" s="20" t="n">
        <v>1707.71</v>
      </c>
      <c r="F71" s="20" t="n">
        <v>1942.751</v>
      </c>
      <c r="G71" s="20" t="n">
        <v>1867.696</v>
      </c>
      <c r="H71" s="20" t="n">
        <v>1665.094</v>
      </c>
      <c r="I71" s="20" t="n">
        <v>1769.981</v>
      </c>
      <c r="J71" s="20" t="n">
        <v>1650.048</v>
      </c>
      <c r="K71" s="20" t="n">
        <v>1867.696</v>
      </c>
    </row>
    <row r="72">
      <c r="A72" s="18" t="inlineStr">
        <is>
          <t>받을어음</t>
        </is>
      </c>
      <c r="D72" s="20" t="n">
        <v>70.181</v>
      </c>
    </row>
    <row r="73">
      <c r="A73" s="18" t="inlineStr">
        <is>
          <t>매출채권</t>
        </is>
      </c>
      <c r="D73" s="20" t="n">
        <v>931.106</v>
      </c>
    </row>
    <row r="74">
      <c r="A74" s="18" t="inlineStr">
        <is>
          <t>유가증권</t>
        </is>
      </c>
      <c r="C74" s="20" t="n">
        <v>0</v>
      </c>
      <c r="D74" s="20" t="n">
        <v>0</v>
      </c>
      <c r="H74" s="20" t="n">
        <v>0</v>
      </c>
      <c r="I74" s="20" t="n">
        <v>150</v>
      </c>
      <c r="J74" s="20" t="n">
        <v>0</v>
      </c>
    </row>
    <row r="75">
      <c r="A75" s="18" t="inlineStr">
        <is>
          <t>받을어음·매출채권</t>
        </is>
      </c>
      <c r="C75" s="20" t="n">
        <v>721.239</v>
      </c>
      <c r="D75" s="20" t="n">
        <v>1001.287</v>
      </c>
      <c r="E75" s="20" t="n">
        <v>701.593</v>
      </c>
      <c r="F75" s="20" t="n">
        <v>583.3680000000001</v>
      </c>
      <c r="G75" s="20" t="n">
        <v>665.74</v>
      </c>
      <c r="H75" s="20" t="n">
        <v>519.277</v>
      </c>
      <c r="I75" s="20" t="n">
        <v>580.8869999999999</v>
      </c>
      <c r="J75" s="20" t="n">
        <v>721.239</v>
      </c>
      <c r="K75" s="20" t="n">
        <v>665.74</v>
      </c>
    </row>
    <row r="76">
      <c r="A76" s="18" t="inlineStr">
        <is>
          <t>상품·제품</t>
        </is>
      </c>
      <c r="C76" s="20" t="n">
        <v>30.292</v>
      </c>
      <c r="D76" s="20" t="n">
        <v>43.562</v>
      </c>
      <c r="E76" s="20" t="n">
        <v>106.195</v>
      </c>
      <c r="F76" s="20" t="n">
        <v>84.083</v>
      </c>
      <c r="G76" s="20" t="n">
        <v>40.833</v>
      </c>
      <c r="H76" s="20" t="n">
        <v>59.271</v>
      </c>
      <c r="I76" s="20" t="n">
        <v>64.167</v>
      </c>
      <c r="J76" s="20" t="n">
        <v>30.292</v>
      </c>
      <c r="K76" s="20" t="n">
        <v>40.833</v>
      </c>
    </row>
    <row r="77">
      <c r="A77" s="18" t="inlineStr">
        <is>
          <t>재공품</t>
        </is>
      </c>
      <c r="C77" s="20" t="n">
        <v>236.825</v>
      </c>
      <c r="D77" s="20" t="n">
        <v>167.599</v>
      </c>
      <c r="E77" s="20" t="n">
        <v>154.431</v>
      </c>
      <c r="F77" s="20" t="n">
        <v>176.987</v>
      </c>
      <c r="G77" s="20" t="n">
        <v>184.615</v>
      </c>
      <c r="H77" s="20" t="n">
        <v>359.059</v>
      </c>
      <c r="I77" s="20" t="n">
        <v>183.924</v>
      </c>
      <c r="J77" s="20" t="n">
        <v>236.825</v>
      </c>
      <c r="K77" s="20" t="n">
        <v>184.615</v>
      </c>
    </row>
    <row r="78">
      <c r="A78" s="18" t="inlineStr">
        <is>
          <t>원재료·저장품</t>
        </is>
      </c>
      <c r="C78" s="20" t="n">
        <v>109.052</v>
      </c>
      <c r="D78" s="20" t="n">
        <v>114.184</v>
      </c>
      <c r="E78" s="20" t="n">
        <v>128.516</v>
      </c>
      <c r="F78" s="20" t="n">
        <v>119.549</v>
      </c>
      <c r="G78" s="20" t="n">
        <v>128.904</v>
      </c>
      <c r="H78" s="20" t="n">
        <v>131.355</v>
      </c>
      <c r="I78" s="20" t="n">
        <v>131.309</v>
      </c>
      <c r="J78" s="20" t="n">
        <v>109.052</v>
      </c>
      <c r="K78" s="20" t="n">
        <v>128.904</v>
      </c>
    </row>
    <row r="79">
      <c r="A79" s="18" t="inlineStr">
        <is>
          <t>기타</t>
        </is>
      </c>
      <c r="C79" s="20" t="n">
        <v>30.108</v>
      </c>
      <c r="D79" s="20" t="n">
        <v>21.143</v>
      </c>
      <c r="E79" s="20" t="n">
        <v>13.931</v>
      </c>
      <c r="F79" s="20" t="n">
        <v>35.146</v>
      </c>
      <c r="G79" s="20" t="n">
        <v>48.918</v>
      </c>
      <c r="H79" s="20" t="n">
        <v>33.414</v>
      </c>
      <c r="I79" s="20" t="n">
        <v>36.846</v>
      </c>
      <c r="J79" s="20" t="n">
        <v>30.108</v>
      </c>
      <c r="K79" s="20" t="n">
        <v>48.918</v>
      </c>
    </row>
    <row r="80">
      <c r="A80" s="18" t="inlineStr">
        <is>
          <t>대손충당금</t>
        </is>
      </c>
      <c r="C80" s="20" t="n">
        <v>-0.489</v>
      </c>
      <c r="D80" s="20" t="n">
        <v>-0.674</v>
      </c>
      <c r="E80" s="20" t="n">
        <v>-0.48</v>
      </c>
      <c r="F80" s="20" t="n">
        <v>-0.385</v>
      </c>
      <c r="G80" s="20" t="n">
        <v>-0.439</v>
      </c>
      <c r="H80" s="20" t="n">
        <v>-0.318</v>
      </c>
      <c r="I80" s="20" t="n">
        <v>-0.381</v>
      </c>
      <c r="J80" s="20" t="n">
        <v>-0.489</v>
      </c>
      <c r="K80" s="20" t="n">
        <v>-0.439</v>
      </c>
    </row>
    <row r="81">
      <c r="A81" s="9" t="inlineStr">
        <is>
          <t>유동자산 합계</t>
        </is>
      </c>
      <c r="C81" s="12" t="n">
        <v>2777.075</v>
      </c>
      <c r="D81" s="12" t="n">
        <v>2604.667</v>
      </c>
      <c r="E81" s="12" t="n">
        <v>2811.898</v>
      </c>
      <c r="F81" s="12" t="n">
        <v>2941.501</v>
      </c>
      <c r="G81" s="12" t="n">
        <v>2936.269</v>
      </c>
      <c r="H81" s="12" t="n">
        <v>2767.155</v>
      </c>
      <c r="I81" s="12" t="n">
        <v>2916.735</v>
      </c>
      <c r="J81" s="12" t="n">
        <v>2777.075</v>
      </c>
      <c r="K81" s="12" t="n">
        <v>2936.269</v>
      </c>
    </row>
    <row r="82">
      <c r="A82" s="18" t="inlineStr">
        <is>
          <t>건물·구축물(순액)</t>
        </is>
      </c>
      <c r="C82" s="20" t="n">
        <v>259.827</v>
      </c>
      <c r="D82" s="20" t="n">
        <v>248.937</v>
      </c>
      <c r="E82" s="20" t="n">
        <v>243.392</v>
      </c>
      <c r="F82" s="20" t="n">
        <v>240.416</v>
      </c>
      <c r="G82" s="20" t="n">
        <v>235.983</v>
      </c>
      <c r="H82" s="20" t="n">
        <v>298.222</v>
      </c>
      <c r="I82" s="20" t="n">
        <v>280.888</v>
      </c>
      <c r="J82" s="20" t="n">
        <v>259.827</v>
      </c>
      <c r="K82" s="20" t="n">
        <v>235.983</v>
      </c>
    </row>
    <row r="83">
      <c r="A83" s="18" t="inlineStr">
        <is>
          <t>기계장치·운반구(순액)</t>
        </is>
      </c>
      <c r="C83" s="20" t="n">
        <v>176.639</v>
      </c>
      <c r="D83" s="20" t="n">
        <v>160.447</v>
      </c>
      <c r="E83" s="20" t="n">
        <v>147.444</v>
      </c>
      <c r="F83" s="20" t="n">
        <v>147.226</v>
      </c>
      <c r="G83" s="20" t="n">
        <v>141.914</v>
      </c>
      <c r="H83" s="20" t="n">
        <v>176.698</v>
      </c>
      <c r="I83" s="20" t="n">
        <v>214.749</v>
      </c>
      <c r="J83" s="20" t="n">
        <v>176.639</v>
      </c>
      <c r="K83" s="20" t="n">
        <v>141.914</v>
      </c>
    </row>
    <row r="84">
      <c r="A84" s="18" t="inlineStr">
        <is>
          <t>토지</t>
        </is>
      </c>
      <c r="C84" s="20" t="n">
        <v>912.633</v>
      </c>
      <c r="D84" s="20" t="n">
        <v>914.686</v>
      </c>
      <c r="E84" s="20" t="n">
        <v>914.686</v>
      </c>
      <c r="F84" s="20" t="n">
        <v>914.686</v>
      </c>
      <c r="G84" s="20" t="n">
        <v>930.21</v>
      </c>
      <c r="H84" s="20" t="n">
        <v>912.019</v>
      </c>
      <c r="I84" s="20" t="n">
        <v>906.424</v>
      </c>
      <c r="J84" s="20" t="n">
        <v>912.633</v>
      </c>
      <c r="K84" s="20" t="n">
        <v>930.21</v>
      </c>
    </row>
    <row r="85">
      <c r="A85" s="18" t="inlineStr">
        <is>
          <t>기타(순액)</t>
        </is>
      </c>
      <c r="C85" s="20" t="n">
        <v>31.179</v>
      </c>
      <c r="D85" s="20" t="n">
        <v>32.154</v>
      </c>
      <c r="E85" s="20" t="n">
        <v>29.779</v>
      </c>
      <c r="F85" s="20" t="n">
        <v>29.726</v>
      </c>
      <c r="G85" s="20" t="n">
        <v>35.274</v>
      </c>
      <c r="H85" s="20" t="n">
        <v>25.867</v>
      </c>
      <c r="I85" s="20" t="n">
        <v>37.481</v>
      </c>
      <c r="J85" s="20" t="n">
        <v>31.179</v>
      </c>
      <c r="K85" s="20" t="n">
        <v>35.274</v>
      </c>
    </row>
    <row r="86">
      <c r="A86" s="18" t="inlineStr">
        <is>
          <t>유형자산 합계</t>
        </is>
      </c>
      <c r="C86" s="20" t="n">
        <v>1380.279</v>
      </c>
      <c r="D86" s="20" t="n">
        <v>1356.225</v>
      </c>
      <c r="E86" s="20" t="n">
        <v>1335.302</v>
      </c>
      <c r="F86" s="20" t="n">
        <v>1332.055</v>
      </c>
      <c r="G86" s="20" t="n">
        <v>1343.384</v>
      </c>
      <c r="H86" s="20" t="n">
        <v>1412.807</v>
      </c>
      <c r="I86" s="20" t="n">
        <v>1439.542</v>
      </c>
      <c r="J86" s="20" t="n">
        <v>1380.279</v>
      </c>
      <c r="K86" s="20" t="n">
        <v>1343.384</v>
      </c>
    </row>
    <row r="87">
      <c r="A87" s="18" t="inlineStr">
        <is>
          <t>기타</t>
        </is>
      </c>
      <c r="C87" s="20" t="n">
        <v>46.476</v>
      </c>
      <c r="D87" s="20" t="n">
        <v>41.841</v>
      </c>
      <c r="E87" s="20" t="n">
        <v>37.556</v>
      </c>
      <c r="F87" s="20" t="n">
        <v>33.567</v>
      </c>
      <c r="G87" s="20" t="n">
        <v>32.753</v>
      </c>
      <c r="H87" s="20" t="n">
        <v>63.814</v>
      </c>
      <c r="I87" s="20" t="n">
        <v>60.9</v>
      </c>
      <c r="J87" s="20" t="n">
        <v>46.476</v>
      </c>
      <c r="K87" s="20" t="n">
        <v>32.753</v>
      </c>
    </row>
    <row r="88">
      <c r="A88" s="18" t="inlineStr">
        <is>
          <t>무형자산 합계</t>
        </is>
      </c>
      <c r="C88" s="20" t="n">
        <v>46.476</v>
      </c>
      <c r="D88" s="20" t="n">
        <v>41.841</v>
      </c>
      <c r="E88" s="20" t="n">
        <v>37.556</v>
      </c>
      <c r="F88" s="20" t="n">
        <v>33.567</v>
      </c>
      <c r="G88" s="20" t="n">
        <v>32.753</v>
      </c>
      <c r="H88" s="20" t="n">
        <v>63.814</v>
      </c>
      <c r="I88" s="20" t="n">
        <v>60.9</v>
      </c>
      <c r="J88" s="20" t="n">
        <v>46.476</v>
      </c>
      <c r="K88" s="20" t="n">
        <v>32.753</v>
      </c>
    </row>
    <row r="89">
      <c r="A89" s="18" t="inlineStr">
        <is>
          <t>투자유가증권</t>
        </is>
      </c>
      <c r="D89" s="20" t="n">
        <v>394.918</v>
      </c>
      <c r="F89" s="20" t="n">
        <v>526.788</v>
      </c>
      <c r="G89" s="20" t="n">
        <v>625.021</v>
      </c>
      <c r="K89" s="20" t="n">
        <v>625.021</v>
      </c>
    </row>
    <row r="90">
      <c r="A90" s="18" t="inlineStr">
        <is>
          <t>보험적립금</t>
        </is>
      </c>
      <c r="D90" s="20" t="n">
        <v>119.619</v>
      </c>
    </row>
    <row r="91">
      <c r="A91" s="18" t="inlineStr">
        <is>
          <t>이연법인세자산</t>
        </is>
      </c>
      <c r="D91" s="20" t="n">
        <v>2.476</v>
      </c>
    </row>
    <row r="92">
      <c r="A92" s="18" t="inlineStr">
        <is>
          <t>기타</t>
        </is>
      </c>
      <c r="C92" s="20" t="n">
        <v>548.529</v>
      </c>
      <c r="D92" s="20" t="n">
        <v>176.61</v>
      </c>
      <c r="E92" s="20" t="n">
        <v>643.953</v>
      </c>
      <c r="F92" s="20" t="n">
        <v>186.675</v>
      </c>
      <c r="G92" s="20" t="n">
        <v>184.675</v>
      </c>
      <c r="H92" s="20" t="n">
        <v>586.5599999999999</v>
      </c>
      <c r="I92" s="20" t="n">
        <v>526.528</v>
      </c>
      <c r="J92" s="20" t="n">
        <v>548.529</v>
      </c>
      <c r="K92" s="20" t="n">
        <v>184.675</v>
      </c>
    </row>
    <row r="93">
      <c r="A93" s="18" t="inlineStr">
        <is>
          <t>대손충당금</t>
        </is>
      </c>
      <c r="C93" s="20" t="n">
        <v>-3.382</v>
      </c>
      <c r="D93" s="20" t="n">
        <v>-3.292</v>
      </c>
      <c r="E93" s="20" t="n">
        <v>-3.202</v>
      </c>
      <c r="F93" s="20" t="n">
        <v>-3.112</v>
      </c>
      <c r="G93" s="20" t="n">
        <v>-3.022</v>
      </c>
      <c r="H93" s="20" t="n">
        <v>-4.102</v>
      </c>
      <c r="I93" s="20" t="n">
        <v>-3.742</v>
      </c>
      <c r="J93" s="20" t="n">
        <v>-3.382</v>
      </c>
      <c r="K93" s="20" t="n">
        <v>-3.022</v>
      </c>
    </row>
    <row r="94">
      <c r="A94" s="18" t="inlineStr">
        <is>
          <t>투자 및 기타자산 합계</t>
        </is>
      </c>
      <c r="C94" s="20" t="n">
        <v>545.147</v>
      </c>
      <c r="D94" s="20" t="n">
        <v>568.237</v>
      </c>
      <c r="E94" s="20" t="n">
        <v>640.751</v>
      </c>
      <c r="F94" s="20" t="n">
        <v>710.351</v>
      </c>
      <c r="G94" s="20" t="n">
        <v>806.674</v>
      </c>
      <c r="H94" s="20" t="n">
        <v>582.457</v>
      </c>
      <c r="I94" s="20" t="n">
        <v>522.785</v>
      </c>
      <c r="J94" s="20" t="n">
        <v>545.147</v>
      </c>
      <c r="K94" s="20" t="n">
        <v>806.674</v>
      </c>
    </row>
    <row r="95">
      <c r="A95" s="9" t="inlineStr">
        <is>
          <t>비유동자산 합계</t>
        </is>
      </c>
      <c r="C95" s="12" t="n">
        <v>1971.903</v>
      </c>
      <c r="D95" s="12" t="n">
        <v>1966.304</v>
      </c>
      <c r="E95" s="12" t="n">
        <v>2013.61</v>
      </c>
      <c r="F95" s="12" t="n">
        <v>2075.974</v>
      </c>
      <c r="G95" s="12" t="n">
        <v>2182.812</v>
      </c>
      <c r="H95" s="12" t="n">
        <v>2059.079</v>
      </c>
      <c r="I95" s="12" t="n">
        <v>2023.229</v>
      </c>
      <c r="J95" s="12" t="n">
        <v>1971.903</v>
      </c>
      <c r="K95" s="12" t="n">
        <v>2182.812</v>
      </c>
    </row>
    <row r="96">
      <c r="A96" s="9" t="inlineStr">
        <is>
          <t>자산 합계</t>
        </is>
      </c>
      <c r="C96" s="12" t="n">
        <v>4748.978</v>
      </c>
      <c r="D96" s="12" t="n">
        <v>4570.972</v>
      </c>
      <c r="E96" s="12" t="n">
        <v>4825.509</v>
      </c>
      <c r="F96" s="12" t="n">
        <v>5017.476</v>
      </c>
      <c r="G96" s="12" t="n">
        <v>5119.082</v>
      </c>
      <c r="H96" s="12" t="n">
        <v>4826.234</v>
      </c>
      <c r="I96" s="12" t="n">
        <v>4939.964</v>
      </c>
      <c r="J96" s="12" t="n">
        <v>4748.978</v>
      </c>
      <c r="K96" s="12" t="n">
        <v>5119.082</v>
      </c>
    </row>
    <row r="97">
      <c r="A97" s="18" t="inlineStr">
        <is>
          <t>매입채무</t>
        </is>
      </c>
      <c r="C97" s="20" t="n">
        <v>183.237</v>
      </c>
      <c r="D97" s="20" t="n">
        <v>135.614</v>
      </c>
      <c r="E97" s="20" t="n">
        <v>124.486</v>
      </c>
      <c r="F97" s="20" t="n">
        <v>127.169</v>
      </c>
      <c r="G97" s="20" t="n">
        <v>171.248</v>
      </c>
      <c r="H97" s="20" t="n">
        <v>97.02800000000001</v>
      </c>
      <c r="I97" s="20" t="n">
        <v>143.291</v>
      </c>
      <c r="J97" s="20" t="n">
        <v>183.237</v>
      </c>
      <c r="K97" s="20" t="n">
        <v>171.248</v>
      </c>
    </row>
    <row r="98">
      <c r="A98" s="18" t="inlineStr">
        <is>
          <t>단기차입금</t>
        </is>
      </c>
      <c r="C98" s="20" t="n">
        <v>562.165</v>
      </c>
      <c r="D98" s="20" t="n">
        <v>290.668</v>
      </c>
      <c r="E98" s="20" t="n">
        <v>510.689</v>
      </c>
      <c r="F98" s="20" t="n">
        <v>510.959</v>
      </c>
      <c r="G98" s="20" t="n">
        <v>500.824</v>
      </c>
      <c r="H98" s="20" t="n">
        <v>571.4160000000001</v>
      </c>
      <c r="I98" s="20" t="n">
        <v>598.676</v>
      </c>
      <c r="J98" s="20" t="n">
        <v>562.165</v>
      </c>
      <c r="K98" s="20" t="n">
        <v>500.824</v>
      </c>
    </row>
    <row r="99">
      <c r="A99" s="18" t="inlineStr">
        <is>
          <t>미지급법인세</t>
        </is>
      </c>
      <c r="C99" s="20" t="n">
        <v>13.967</v>
      </c>
      <c r="D99" s="20" t="n">
        <v>42.264</v>
      </c>
      <c r="E99" s="20" t="n">
        <v>16.693</v>
      </c>
      <c r="F99" s="20" t="n">
        <v>40.557</v>
      </c>
      <c r="G99" s="20" t="n">
        <v>34.081</v>
      </c>
      <c r="H99" s="20" t="n">
        <v>9.441000000000001</v>
      </c>
      <c r="I99" s="20" t="n">
        <v>15.618</v>
      </c>
      <c r="J99" s="20" t="n">
        <v>13.967</v>
      </c>
      <c r="K99" s="20" t="n">
        <v>34.081</v>
      </c>
    </row>
    <row r="100">
      <c r="A100" s="18" t="inlineStr">
        <is>
          <t>계약부채</t>
        </is>
      </c>
      <c r="D100" s="20" t="n">
        <v>43.377</v>
      </c>
    </row>
    <row r="101">
      <c r="A101" s="18" t="inlineStr">
        <is>
          <t>상여충당금</t>
        </is>
      </c>
      <c r="C101" s="20" t="n">
        <v>33.999</v>
      </c>
      <c r="D101" s="20" t="n">
        <v>0</v>
      </c>
      <c r="E101" s="20" t="n">
        <v>42.999</v>
      </c>
      <c r="G101" s="20" t="n">
        <v>53.999</v>
      </c>
      <c r="H101" s="20" t="n">
        <v>48.249</v>
      </c>
      <c r="I101" s="20" t="n">
        <v>28.998</v>
      </c>
      <c r="J101" s="20" t="n">
        <v>33.999</v>
      </c>
      <c r="K101" s="20" t="n">
        <v>53.999</v>
      </c>
    </row>
    <row r="102">
      <c r="A102" s="18" t="inlineStr">
        <is>
          <t>제품보증 충당금</t>
        </is>
      </c>
      <c r="C102" s="20" t="n">
        <v>0.234</v>
      </c>
      <c r="D102" s="20" t="n">
        <v>0.71</v>
      </c>
      <c r="E102" s="20" t="n">
        <v>0.738</v>
      </c>
      <c r="F102" s="20" t="n">
        <v>0.824</v>
      </c>
      <c r="G102" s="20" t="n">
        <v>0.856</v>
      </c>
      <c r="H102" s="20" t="n">
        <v>0.314</v>
      </c>
      <c r="I102" s="20" t="n">
        <v>1.28</v>
      </c>
      <c r="J102" s="20" t="n">
        <v>0.234</v>
      </c>
      <c r="K102" s="20" t="n">
        <v>0.856</v>
      </c>
    </row>
    <row r="103">
      <c r="A103" s="18" t="inlineStr">
        <is>
          <t>기타</t>
        </is>
      </c>
      <c r="C103" s="20" t="n">
        <v>313.622</v>
      </c>
      <c r="D103" s="20" t="n">
        <v>314.803</v>
      </c>
      <c r="E103" s="20" t="n">
        <v>326.159</v>
      </c>
      <c r="F103" s="20" t="n">
        <v>345.243</v>
      </c>
      <c r="G103" s="20" t="n">
        <v>274.056</v>
      </c>
      <c r="H103" s="20" t="n">
        <v>325.468</v>
      </c>
      <c r="I103" s="20" t="n">
        <v>357.118</v>
      </c>
      <c r="J103" s="20" t="n">
        <v>313.622</v>
      </c>
      <c r="K103" s="20" t="n">
        <v>274.056</v>
      </c>
    </row>
    <row r="104">
      <c r="A104" s="9" t="inlineStr">
        <is>
          <t>유동부채 합계</t>
        </is>
      </c>
      <c r="C104" s="12" t="n">
        <v>1107.225</v>
      </c>
      <c r="D104" s="12" t="n">
        <v>784.061</v>
      </c>
      <c r="E104" s="12" t="n">
        <v>1021.765</v>
      </c>
      <c r="F104" s="12" t="n">
        <v>1024.752</v>
      </c>
      <c r="G104" s="12" t="n">
        <v>1035.066</v>
      </c>
      <c r="H104" s="12" t="n">
        <v>1051.918</v>
      </c>
      <c r="I104" s="12" t="n">
        <v>1144.982</v>
      </c>
      <c r="J104" s="12" t="n">
        <v>1107.225</v>
      </c>
      <c r="K104" s="12" t="n">
        <v>1035.066</v>
      </c>
    </row>
    <row r="105">
      <c r="A105" s="18" t="inlineStr">
        <is>
          <t>장기차입금</t>
        </is>
      </c>
      <c r="C105" s="20" t="n">
        <v>331.575</v>
      </c>
      <c r="D105" s="20" t="n">
        <v>280.582</v>
      </c>
      <c r="E105" s="20" t="n">
        <v>268.76</v>
      </c>
      <c r="F105" s="20" t="n">
        <v>321.414</v>
      </c>
      <c r="G105" s="20" t="n">
        <v>288.921</v>
      </c>
      <c r="H105" s="20" t="n">
        <v>479.739</v>
      </c>
      <c r="I105" s="20" t="n">
        <v>394.737</v>
      </c>
      <c r="J105" s="20" t="n">
        <v>331.575</v>
      </c>
      <c r="K105" s="20" t="n">
        <v>288.921</v>
      </c>
    </row>
    <row r="106">
      <c r="A106" s="18" t="inlineStr">
        <is>
          <t>장기미지급금</t>
        </is>
      </c>
      <c r="C106" s="20" t="n">
        <v>89.857</v>
      </c>
      <c r="D106" s="20" t="n">
        <v>78.67</v>
      </c>
      <c r="E106" s="20" t="n">
        <v>67.483</v>
      </c>
      <c r="F106" s="20" t="n">
        <v>70.03100000000001</v>
      </c>
      <c r="G106" s="20" t="n">
        <v>58.907</v>
      </c>
      <c r="H106" s="20" t="n">
        <v>65.086</v>
      </c>
      <c r="I106" s="20" t="n">
        <v>122.001</v>
      </c>
      <c r="J106" s="20" t="n">
        <v>89.857</v>
      </c>
      <c r="K106" s="20" t="n">
        <v>58.907</v>
      </c>
    </row>
    <row r="107">
      <c r="A107" s="18" t="inlineStr">
        <is>
          <t>임원 퇴직위로 충당금</t>
        </is>
      </c>
      <c r="C107" s="20" t="n">
        <v>164.37</v>
      </c>
      <c r="D107" s="20" t="n">
        <v>164.37</v>
      </c>
      <c r="E107" s="20" t="n">
        <v>164.37</v>
      </c>
      <c r="F107" s="20" t="n">
        <v>164.37</v>
      </c>
      <c r="G107" s="20" t="n">
        <v>164.37</v>
      </c>
      <c r="H107" s="20" t="n">
        <v>164.37</v>
      </c>
      <c r="I107" s="20" t="n">
        <v>164.37</v>
      </c>
      <c r="J107" s="20" t="n">
        <v>164.37</v>
      </c>
      <c r="K107" s="20" t="n">
        <v>164.37</v>
      </c>
    </row>
    <row r="108">
      <c r="A108" s="18" t="inlineStr">
        <is>
          <t>퇴직급여부채</t>
        </is>
      </c>
      <c r="C108" s="20" t="n">
        <v>529.124</v>
      </c>
      <c r="D108" s="20" t="n">
        <v>533.389</v>
      </c>
      <c r="E108" s="20" t="n">
        <v>532.627</v>
      </c>
      <c r="F108" s="20" t="n">
        <v>543.653</v>
      </c>
      <c r="G108" s="20" t="n">
        <v>541.418</v>
      </c>
      <c r="H108" s="20" t="n">
        <v>515.936</v>
      </c>
      <c r="I108" s="20" t="n">
        <v>535.077</v>
      </c>
      <c r="J108" s="20" t="n">
        <v>529.124</v>
      </c>
      <c r="K108" s="20" t="n">
        <v>541.418</v>
      </c>
    </row>
    <row r="109">
      <c r="A109" s="18" t="inlineStr">
        <is>
          <t>자산복구부채</t>
        </is>
      </c>
      <c r="C109" s="20" t="n">
        <v>9.247999999999999</v>
      </c>
      <c r="D109" s="20" t="n">
        <v>9.247999999999999</v>
      </c>
      <c r="E109" s="20" t="n">
        <v>9.247999999999999</v>
      </c>
      <c r="F109" s="20" t="n">
        <v>9.247999999999999</v>
      </c>
      <c r="G109" s="20" t="n">
        <v>9.249000000000001</v>
      </c>
      <c r="H109" s="20" t="n">
        <v>9.247</v>
      </c>
      <c r="I109" s="20" t="n">
        <v>9.247</v>
      </c>
      <c r="J109" s="20" t="n">
        <v>9.247999999999999</v>
      </c>
      <c r="K109" s="20" t="n">
        <v>9.249000000000001</v>
      </c>
    </row>
    <row r="110">
      <c r="A110" s="18" t="inlineStr">
        <is>
          <t>기타</t>
        </is>
      </c>
      <c r="C110" s="20" t="n">
        <v>13.79</v>
      </c>
      <c r="J110" s="20" t="n">
        <v>13.79</v>
      </c>
    </row>
    <row r="111">
      <c r="A111" s="18" t="inlineStr">
        <is>
          <t>이연법인세부채</t>
        </is>
      </c>
      <c r="D111" s="20" t="n">
        <v>22.239</v>
      </c>
      <c r="E111" s="20" t="n">
        <v>46.063</v>
      </c>
      <c r="F111" s="20" t="n">
        <v>64.807</v>
      </c>
      <c r="G111" s="20" t="n">
        <v>95.453</v>
      </c>
      <c r="K111" s="20" t="n">
        <v>95.453</v>
      </c>
    </row>
    <row r="112">
      <c r="A112" s="9" t="inlineStr">
        <is>
          <t>비유동부채 합계</t>
        </is>
      </c>
      <c r="C112" s="12" t="n">
        <v>1137.966</v>
      </c>
      <c r="D112" s="12" t="n">
        <v>1088.5</v>
      </c>
      <c r="E112" s="12" t="n">
        <v>1088.554</v>
      </c>
      <c r="F112" s="12" t="n">
        <v>1173.526</v>
      </c>
      <c r="G112" s="12" t="n">
        <v>1158.321</v>
      </c>
      <c r="H112" s="12" t="n">
        <v>1234.38</v>
      </c>
      <c r="I112" s="12" t="n">
        <v>1225.434</v>
      </c>
      <c r="J112" s="12" t="n">
        <v>1137.966</v>
      </c>
      <c r="K112" s="12" t="n">
        <v>1158.321</v>
      </c>
    </row>
    <row r="113">
      <c r="A113" s="9" t="inlineStr">
        <is>
          <t>부채 합계</t>
        </is>
      </c>
      <c r="C113" s="12" t="n">
        <v>2245.191</v>
      </c>
      <c r="D113" s="12" t="n">
        <v>1872.562</v>
      </c>
      <c r="E113" s="12" t="n">
        <v>2110.319</v>
      </c>
      <c r="F113" s="12" t="n">
        <v>2198.279</v>
      </c>
      <c r="G113" s="12" t="n">
        <v>2193.387</v>
      </c>
      <c r="H113" s="12" t="n">
        <v>2286.298</v>
      </c>
      <c r="I113" s="12" t="n">
        <v>2370.417</v>
      </c>
      <c r="J113" s="12" t="n">
        <v>2245.191</v>
      </c>
      <c r="K113" s="12" t="n">
        <v>2193.387</v>
      </c>
    </row>
    <row r="114">
      <c r="A114" s="18" t="inlineStr">
        <is>
          <t>자본금</t>
        </is>
      </c>
      <c r="C114" s="20" t="n">
        <v>822.1950000000001</v>
      </c>
      <c r="D114" s="20" t="n">
        <v>822.1950000000001</v>
      </c>
      <c r="E114" s="20" t="n">
        <v>822.1950000000001</v>
      </c>
      <c r="F114" s="20" t="n">
        <v>833.535</v>
      </c>
      <c r="G114" s="20" t="n">
        <v>833.535</v>
      </c>
      <c r="H114" s="20" t="n">
        <v>815.198</v>
      </c>
      <c r="I114" s="20" t="n">
        <v>822.1950000000001</v>
      </c>
      <c r="J114" s="20" t="n">
        <v>822.1950000000001</v>
      </c>
      <c r="K114" s="20" t="n">
        <v>833.535</v>
      </c>
    </row>
    <row r="115">
      <c r="A115" s="18" t="inlineStr">
        <is>
          <t>자본잉여금</t>
        </is>
      </c>
      <c r="C115" s="20" t="n">
        <v>945.495</v>
      </c>
      <c r="D115" s="20" t="n">
        <v>945.495</v>
      </c>
      <c r="E115" s="20" t="n">
        <v>945.495</v>
      </c>
      <c r="F115" s="20" t="n">
        <v>956.835</v>
      </c>
      <c r="G115" s="20" t="n">
        <v>956.835</v>
      </c>
      <c r="H115" s="20" t="n">
        <v>938.498</v>
      </c>
      <c r="I115" s="20" t="n">
        <v>945.495</v>
      </c>
      <c r="J115" s="20" t="n">
        <v>945.495</v>
      </c>
      <c r="K115" s="20" t="n">
        <v>956.835</v>
      </c>
    </row>
    <row r="116">
      <c r="A116" s="18" t="inlineStr">
        <is>
          <t>이익잉여금</t>
        </is>
      </c>
      <c r="C116" s="20" t="n">
        <v>511.788</v>
      </c>
      <c r="D116" s="20" t="n">
        <v>678.098</v>
      </c>
      <c r="E116" s="20" t="n">
        <v>644.294</v>
      </c>
      <c r="F116" s="20" t="n">
        <v>681.306</v>
      </c>
      <c r="G116" s="20" t="n">
        <v>716.639</v>
      </c>
      <c r="H116" s="20" t="n">
        <v>648.872</v>
      </c>
      <c r="I116" s="20" t="n">
        <v>633.359</v>
      </c>
      <c r="J116" s="20" t="n">
        <v>511.788</v>
      </c>
      <c r="K116" s="20" t="n">
        <v>716.639</v>
      </c>
    </row>
    <row r="117">
      <c r="A117" s="18" t="inlineStr">
        <is>
          <t>자기주식</t>
        </is>
      </c>
      <c r="C117" s="20" t="n">
        <v>-0.116</v>
      </c>
      <c r="D117" s="20" t="n">
        <v>-0.116</v>
      </c>
      <c r="E117" s="20" t="n">
        <v>-0.116</v>
      </c>
      <c r="F117" s="20" t="n">
        <v>-0.116</v>
      </c>
      <c r="G117" s="20" t="n">
        <v>-0.116</v>
      </c>
      <c r="H117" s="20" t="n">
        <v>-0.116</v>
      </c>
      <c r="I117" s="20" t="n">
        <v>-0.116</v>
      </c>
      <c r="J117" s="20" t="n">
        <v>-0.116</v>
      </c>
      <c r="K117" s="20" t="n">
        <v>-0.116</v>
      </c>
    </row>
    <row r="118">
      <c r="A118" s="9" t="inlineStr">
        <is>
          <t>주주자본 합계</t>
        </is>
      </c>
      <c r="C118" s="12" t="n">
        <v>2279.363</v>
      </c>
      <c r="D118" s="12" t="n">
        <v>2445.673</v>
      </c>
      <c r="E118" s="12" t="n">
        <v>2411.869</v>
      </c>
      <c r="F118" s="12" t="n">
        <v>2471.561</v>
      </c>
      <c r="G118" s="12" t="n">
        <v>2506.894</v>
      </c>
      <c r="H118" s="12" t="n">
        <v>2402.453</v>
      </c>
      <c r="I118" s="12" t="n">
        <v>2400.934</v>
      </c>
      <c r="J118" s="12" t="n">
        <v>2279.363</v>
      </c>
      <c r="K118" s="12" t="n">
        <v>2506.894</v>
      </c>
    </row>
    <row r="119">
      <c r="A119" s="18" t="inlineStr">
        <is>
          <t>기타유가증권 평가차액</t>
        </is>
      </c>
      <c r="C119" s="20" t="n">
        <v>157.8</v>
      </c>
      <c r="D119" s="20" t="n">
        <v>180.926</v>
      </c>
      <c r="E119" s="20" t="n">
        <v>227.807</v>
      </c>
      <c r="F119" s="20" t="n">
        <v>268.992</v>
      </c>
      <c r="G119" s="20" t="n">
        <v>335.974</v>
      </c>
      <c r="H119" s="20" t="n">
        <v>62.382</v>
      </c>
      <c r="I119" s="20" t="n">
        <v>87.617</v>
      </c>
      <c r="J119" s="20" t="n">
        <v>157.8</v>
      </c>
      <c r="K119" s="20" t="n">
        <v>335.974</v>
      </c>
    </row>
    <row r="120">
      <c r="A120" s="18" t="inlineStr">
        <is>
          <t>해외사업환산조정</t>
        </is>
      </c>
      <c r="C120" s="20" t="n">
        <v>37.507</v>
      </c>
      <c r="D120" s="20" t="n">
        <v>42.424</v>
      </c>
      <c r="E120" s="20" t="n">
        <v>44.33</v>
      </c>
      <c r="F120" s="20" t="n">
        <v>46.025</v>
      </c>
      <c r="G120" s="20" t="n">
        <v>46.151</v>
      </c>
      <c r="H120" s="20" t="n">
        <v>45.152</v>
      </c>
      <c r="I120" s="20" t="n">
        <v>48.389</v>
      </c>
      <c r="J120" s="20" t="n">
        <v>37.507</v>
      </c>
      <c r="K120" s="20" t="n">
        <v>46.151</v>
      </c>
    </row>
    <row r="121">
      <c r="A121" s="18" t="inlineStr">
        <is>
          <t>기타포괄손익누계액 합계</t>
        </is>
      </c>
      <c r="C121" s="20" t="n">
        <v>195.307</v>
      </c>
      <c r="D121" s="20" t="n">
        <v>223.35</v>
      </c>
      <c r="E121" s="20" t="n">
        <v>272.138</v>
      </c>
      <c r="F121" s="20" t="n">
        <v>315.018</v>
      </c>
      <c r="G121" s="20" t="n">
        <v>382.126</v>
      </c>
      <c r="H121" s="20" t="n">
        <v>107.535</v>
      </c>
      <c r="I121" s="20" t="n">
        <v>136.007</v>
      </c>
      <c r="J121" s="20" t="n">
        <v>195.307</v>
      </c>
      <c r="K121" s="20" t="n">
        <v>382.126</v>
      </c>
    </row>
    <row r="122">
      <c r="A122" s="18" t="inlineStr">
        <is>
          <t>비지배지분</t>
        </is>
      </c>
      <c r="C122" s="20" t="n">
        <v>29.115</v>
      </c>
      <c r="D122" s="20" t="n">
        <v>29.386</v>
      </c>
      <c r="E122" s="20" t="n">
        <v>31.181</v>
      </c>
      <c r="F122" s="20" t="n">
        <v>32.616</v>
      </c>
      <c r="G122" s="20" t="n">
        <v>36.673</v>
      </c>
      <c r="H122" s="20" t="n">
        <v>29.947</v>
      </c>
      <c r="I122" s="20" t="n">
        <v>32.605</v>
      </c>
      <c r="J122" s="20" t="n">
        <v>29.115</v>
      </c>
      <c r="K122" s="20" t="n">
        <v>36.673</v>
      </c>
    </row>
    <row r="123">
      <c r="A123" s="9" t="inlineStr">
        <is>
          <t>순자산 합계</t>
        </is>
      </c>
      <c r="C123" s="12" t="n">
        <v>2503.786</v>
      </c>
      <c r="D123" s="12" t="n">
        <v>2698.41</v>
      </c>
      <c r="E123" s="12" t="n">
        <v>2715.189</v>
      </c>
      <c r="F123" s="12" t="n">
        <v>2819.196</v>
      </c>
      <c r="G123" s="12" t="n">
        <v>2925.694</v>
      </c>
      <c r="H123" s="12" t="n">
        <v>2539.936</v>
      </c>
      <c r="I123" s="12" t="n">
        <v>2569.547</v>
      </c>
      <c r="J123" s="12" t="n">
        <v>2503.786</v>
      </c>
      <c r="K123" s="12" t="n">
        <v>2925.694</v>
      </c>
    </row>
    <row r="124">
      <c r="A124" s="9" t="inlineStr">
        <is>
          <t>부채·순자산 합계</t>
        </is>
      </c>
      <c r="C124" s="12" t="n">
        <v>4748.978</v>
      </c>
      <c r="D124" s="12" t="n">
        <v>4570.972</v>
      </c>
      <c r="E124" s="12" t="n">
        <v>4825.509</v>
      </c>
      <c r="F124" s="12" t="n">
        <v>5017.476</v>
      </c>
      <c r="G124" s="12" t="n">
        <v>5119.082</v>
      </c>
      <c r="H124" s="12" t="n">
        <v>4826.234</v>
      </c>
      <c r="I124" s="12" t="n">
        <v>4939.964</v>
      </c>
      <c r="J124" s="12" t="n">
        <v>4748.978</v>
      </c>
      <c r="K124" s="12" t="n">
        <v>5119.082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2026-10-26</t>
        </is>
      </c>
      <c r="B4" t="inlineStr">
        <is>
          <t>2026년 12월 결산기 3분기 결산단신</t>
        </is>
      </c>
      <c r="C4" t="inlineStr">
        <is>
          <t>https://www2.jpx.co.jp/disc/66630/140120261006546367.pdf</t>
        </is>
      </c>
    </row>
    <row r="5">
      <c r="A5" t="inlineStr">
        <is>
          <t>2026-07-30</t>
        </is>
      </c>
      <c r="B5" t="inlineStr">
        <is>
          <t>2026년 12월 결산기 2분기 결산단신</t>
        </is>
      </c>
      <c r="C5" t="inlineStr">
        <is>
          <t>https://www2.jpx.co.jp/disc/66630/140120260713592535.pdf</t>
        </is>
      </c>
    </row>
    <row r="6">
      <c r="A6" t="inlineStr">
        <is>
          <t>2026-04-24</t>
        </is>
      </c>
      <c r="B6" t="inlineStr">
        <is>
          <t>2026년 12월 결산기 1분기 결산단신</t>
        </is>
      </c>
      <c r="C6" t="inlineStr">
        <is>
          <t>https://www2.jpx.co.jp/disc/66630/140120260406598632.pdf</t>
        </is>
      </c>
    </row>
    <row r="7">
      <c r="A7" t="inlineStr">
        <is>
          <t>2026-01-30</t>
        </is>
      </c>
      <c r="B7" t="inlineStr">
        <is>
          <t>2025년 12월 결산기 연간 결산단신</t>
        </is>
      </c>
      <c r="C7" t="inlineStr">
        <is>
          <t>https://www2.jpx.co.jp/disc/66630/140120260115534361.pdf</t>
        </is>
      </c>
    </row>
    <row r="8">
      <c r="A8" t="inlineStr">
        <is>
          <t>2025-10-24</t>
        </is>
      </c>
      <c r="B8" t="inlineStr">
        <is>
          <t>2025년 12월 결산기 3분기 결산단신</t>
        </is>
      </c>
      <c r="C8" t="inlineStr">
        <is>
          <t>https://www2.jpx.co.jp/disc/66630/140120251007569636.pdf</t>
        </is>
      </c>
    </row>
    <row r="9">
      <c r="A9" t="inlineStr">
        <is>
          <t>2025-07-30</t>
        </is>
      </c>
      <c r="B9" t="inlineStr">
        <is>
          <t>2025년 12월 결산기 2분기 결산단신</t>
        </is>
      </c>
      <c r="C9" t="inlineStr">
        <is>
          <t>https://www2.jpx.co.jp/disc/66630/140120250618592901.pdf</t>
        </is>
      </c>
    </row>
    <row r="10">
      <c r="A10" t="inlineStr">
        <is>
          <t>2025-04-25</t>
        </is>
      </c>
      <c r="B10" t="inlineStr">
        <is>
          <t>2025년 12월 결산기 1분기 결산단신</t>
        </is>
      </c>
      <c r="C10" t="inlineStr">
        <is>
          <t>https://www2.jpx.co.jp/disc/66630/140120250404509322.pdf</t>
        </is>
      </c>
    </row>
    <row r="11">
      <c r="A11" t="inlineStr">
        <is>
          <t>2025-01-31</t>
        </is>
      </c>
      <c r="B11" t="inlineStr">
        <is>
          <t>2024년 12월 결산기 연간 결산단신</t>
        </is>
      </c>
      <c r="C11" t="inlineStr">
        <is>
          <t>https://www2.jpx.co.jp/disc/66630/140120241218540676.pdf</t>
        </is>
      </c>
    </row>
    <row r="12">
      <c r="A12" t="inlineStr">
        <is>
          <t>2024-10-25</t>
        </is>
      </c>
      <c r="B12" t="inlineStr">
        <is>
          <t>2024년 12월 결산기 3분기 결산단신</t>
        </is>
      </c>
      <c r="C12" t="inlineStr">
        <is>
          <t>https://www2.jpx.co.jp/disc/66630/140120240912583995.pdf</t>
        </is>
      </c>
    </row>
    <row r="13">
      <c r="A13" t="inlineStr">
        <is>
          <t>2024-07-30</t>
        </is>
      </c>
      <c r="B13" t="inlineStr">
        <is>
          <t>2024년 12월 결산기 2분기 결산단신</t>
        </is>
      </c>
      <c r="C13" t="inlineStr">
        <is>
          <t>https://www2.jpx.co.jp/disc/66630/140120240722552383.pdf</t>
        </is>
      </c>
    </row>
    <row r="14">
      <c r="A14" t="inlineStr">
        <is>
          <t>2024-04-26</t>
        </is>
      </c>
      <c r="B14" t="inlineStr">
        <is>
          <t>2024년 12월 결산기 1분기 결산단신</t>
        </is>
      </c>
      <c r="C14" t="inlineStr">
        <is>
          <t>https://www2.jpx.co.jp/disc/66630/140120240401564224.pdf</t>
        </is>
      </c>
    </row>
    <row r="15">
      <c r="A15" t="inlineStr">
        <is>
          <t>2024-01-30</t>
        </is>
      </c>
      <c r="B15" t="inlineStr">
        <is>
          <t>2023년 12월 결산기 연간 결산단신</t>
        </is>
      </c>
      <c r="C15" t="inlineStr">
        <is>
          <t>https://www2.jpx.co.jp/disc/66630/140120231221506600.pdf</t>
        </is>
      </c>
    </row>
    <row r="16">
      <c r="A16" t="inlineStr">
        <is>
          <t>2023-10-25</t>
        </is>
      </c>
      <c r="B16" t="inlineStr">
        <is>
          <t>2023년 12월 결산기 3분기 결산단신</t>
        </is>
      </c>
      <c r="C16" t="inlineStr">
        <is>
          <t>https://www2.jpx.co.jp/disc/66630/140120230921556740.pdf</t>
        </is>
      </c>
    </row>
    <row r="17">
      <c r="A17" t="inlineStr">
        <is>
          <t>2023-07-28</t>
        </is>
      </c>
      <c r="B17" t="inlineStr">
        <is>
          <t>2023년 12월 결산기 2분기 결산단신</t>
        </is>
      </c>
      <c r="C17" t="inlineStr">
        <is>
          <t>https://www2.jpx.co.jp/disc/66630/140120230519576416.pdf</t>
        </is>
      </c>
    </row>
    <row r="18">
      <c r="A18" t="inlineStr">
        <is>
          <t>2023-04-25</t>
        </is>
      </c>
      <c r="B18" t="inlineStr">
        <is>
          <t>2023년 12월 결산기 1분기 결산단신</t>
        </is>
      </c>
      <c r="C18" t="inlineStr">
        <is>
          <t>https://www2.jpx.co.jp/disc/66630/140120230404542663.pdf</t>
        </is>
      </c>
    </row>
    <row r="19">
      <c r="A19" t="inlineStr">
        <is>
          <t>2023-01-30</t>
        </is>
      </c>
      <c r="B19" t="inlineStr">
        <is>
          <t>2022년 12월 결산기 연간 결산단신</t>
        </is>
      </c>
      <c r="C19" t="inlineStr">
        <is>
          <t>https://www2.jpx.co.jp/disc/66630/140120230116590054.pdf</t>
        </is>
      </c>
    </row>
    <row r="20">
      <c r="A20" t="inlineStr">
        <is>
          <t>2022-01-28</t>
        </is>
      </c>
      <c r="B20" t="inlineStr">
        <is>
          <t>2021년 12월 결산기 연간 결산단신</t>
        </is>
      </c>
      <c r="C20" t="inlineStr">
        <is>
          <t>https://www2.jpx.co.jp/disc/66630/140120220107564910.pdf</t>
        </is>
      </c>
    </row>
    <row r="21">
      <c r="A21" t="inlineStr">
        <is>
          <t>2021-01-29</t>
        </is>
      </c>
      <c r="B21" t="inlineStr">
        <is>
          <t>2020년 12월 결산기 연간 결산단신</t>
        </is>
      </c>
      <c r="C21" t="inlineStr">
        <is>
          <t>https://www2.jpx.co.jp/disc/66630/140120210112443071.pdf</t>
        </is>
      </c>
    </row>
    <row r="22">
      <c r="A22" t="inlineStr">
        <is>
          <t>2020-01-31</t>
        </is>
      </c>
      <c r="B22" t="inlineStr">
        <is>
          <t>2019년 12월 결산기 연간 결산단신</t>
        </is>
      </c>
      <c r="C22" t="inlineStr">
        <is>
          <t>https://www2.jpx.co.jp/disc/66630/140120200116447183.pdf</t>
        </is>
      </c>
    </row>
    <row r="23">
      <c r="A23" t="inlineStr">
        <is>
          <t>2019-01-30</t>
        </is>
      </c>
      <c r="B23" t="inlineStr">
        <is>
          <t>연간 결산단신</t>
        </is>
      </c>
      <c r="C23" t="inlineStr">
        <is>
          <t>https://www2.jpx.co.jp/disc/66630/140120190123462681.pdf</t>
        </is>
      </c>
    </row>
    <row r="24">
      <c r="A24" t="inlineStr">
        <is>
          <t>2018-01-30</t>
        </is>
      </c>
      <c r="B24" t="inlineStr">
        <is>
          <t>연간 결산단신</t>
        </is>
      </c>
      <c r="C24" t="inlineStr">
        <is>
          <t>https://www2.jpx.co.jp/disc/66630/140120171227443538.pdf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2026-10-28T07:04:52Z</dcterms:created>
  <dcterms:modified xmlns:dcterms="http://purl.org/dc/terms/" xmlns:xsi="http://www.w3.org/2001/XMLSchema-instance" xsi:type="dcterms:W3CDTF">2026-10-28T07:04:53Z</dcterms:modified>
</cp:coreProperties>
</file>