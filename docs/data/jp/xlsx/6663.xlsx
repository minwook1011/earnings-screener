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6663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11월 결산 · 일본 기준 · 2026.4Q = 2026년 11월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865.849</v>
      </c>
      <c r="D4" s="12" t="n">
        <v>894.376</v>
      </c>
      <c r="E4" s="12" t="n">
        <v>997.932</v>
      </c>
      <c r="F4" s="12" t="n">
        <v>653.308</v>
      </c>
      <c r="G4" s="12" t="n">
        <v>783.899</v>
      </c>
      <c r="H4" s="12" t="n">
        <v>823.261</v>
      </c>
      <c r="I4" s="12" t="n">
        <v>1011.058</v>
      </c>
      <c r="J4" s="12" t="n">
        <v>901.082</v>
      </c>
      <c r="K4" s="12" t="n">
        <v>820.764</v>
      </c>
      <c r="L4" s="12" t="n">
        <v>961.948</v>
      </c>
      <c r="M4" s="12" t="n"/>
      <c r="N4" s="12" t="n"/>
      <c r="O4" s="11" t="n">
        <v>4979.906</v>
      </c>
      <c r="P4" s="12" t="n">
        <v>4238.765</v>
      </c>
      <c r="Q4" s="12" t="n">
        <v>4582.357</v>
      </c>
      <c r="R4" s="12" t="n">
        <v>3896.341</v>
      </c>
      <c r="S4" s="12" t="n">
        <v>3175.189</v>
      </c>
      <c r="T4" s="12" t="n">
        <v>3917.94</v>
      </c>
      <c r="U4" s="12" t="n">
        <v>3625.517</v>
      </c>
      <c r="V4" s="12" t="n">
        <v>3411.465</v>
      </c>
      <c r="W4" s="12" t="n">
        <v>3519.3</v>
      </c>
      <c r="X4" s="12" t="n">
        <v>3751.667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>
        <v>572.255</v>
      </c>
      <c r="D7" s="20" t="n">
        <v>580.651</v>
      </c>
      <c r="E7" s="20" t="n">
        <v>564.595</v>
      </c>
      <c r="F7" s="20" t="n">
        <v>701.874</v>
      </c>
      <c r="G7" s="20" t="n">
        <v>574.353</v>
      </c>
      <c r="H7" s="20" t="n">
        <v>584.717</v>
      </c>
      <c r="I7" s="20" t="n">
        <v>548.37</v>
      </c>
      <c r="J7" s="20" t="n">
        <v>559.268</v>
      </c>
      <c r="K7" s="20" t="n">
        <v>649.97</v>
      </c>
      <c r="L7" s="20" t="n">
        <v>673.0940000000001</v>
      </c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2419.375</v>
      </c>
      <c r="W7" s="20" t="n">
        <v>2266.708</v>
      </c>
      <c r="X7" s="20" t="n">
        <v>2409.323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>
        <v>175.585</v>
      </c>
      <c r="D10" s="20" t="n">
        <v>173.913</v>
      </c>
      <c r="E10" s="20" t="n">
        <v>243.186</v>
      </c>
      <c r="F10" s="20" t="n">
        <v>-171.931</v>
      </c>
      <c r="G10" s="20" t="n">
        <v>77.95399999999999</v>
      </c>
      <c r="H10" s="20" t="n">
        <v>61.254</v>
      </c>
      <c r="I10" s="20" t="n">
        <v>80.82299999999999</v>
      </c>
      <c r="J10" s="20" t="n">
        <v>477.705</v>
      </c>
      <c r="K10" s="20" t="n">
        <v>76.842</v>
      </c>
      <c r="L10" s="20" t="n">
        <v>116.365</v>
      </c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420.753</v>
      </c>
      <c r="W10" s="20" t="n">
        <v>697.736</v>
      </c>
      <c r="X10" s="20" t="n">
        <v>450.982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부문</t>
        </is>
      </c>
      <c r="B13" s="10" t="n"/>
      <c r="C13" s="19" t="n">
        <v>102.012</v>
      </c>
      <c r="D13" s="20" t="n">
        <v>90.459</v>
      </c>
      <c r="E13" s="20" t="n">
        <v>134.637</v>
      </c>
      <c r="F13" s="20" t="n">
        <v>69.611</v>
      </c>
      <c r="G13" s="20" t="n">
        <v>119.334</v>
      </c>
      <c r="H13" s="20" t="n">
        <v>97.19</v>
      </c>
      <c r="I13" s="20" t="n">
        <v>104.111</v>
      </c>
      <c r="J13" s="20" t="n">
        <v>101.201</v>
      </c>
      <c r="K13" s="20" t="n">
        <v>65.52</v>
      </c>
      <c r="L13" s="20" t="n">
        <v>133.173</v>
      </c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396.719</v>
      </c>
      <c r="W13" s="20" t="n">
        <v>421.836</v>
      </c>
      <c r="X13" s="20" t="n">
        <v>445.667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부문</t>
        </is>
      </c>
      <c r="B16" s="10" t="n"/>
      <c r="C16" s="19" t="n">
        <v>15.995</v>
      </c>
      <c r="D16" s="20" t="n">
        <v>49.354</v>
      </c>
      <c r="E16" s="20" t="n">
        <v>55.512</v>
      </c>
      <c r="F16" s="20" t="n">
        <v>53.756</v>
      </c>
      <c r="G16" s="20" t="n">
        <v>12.257</v>
      </c>
      <c r="H16" s="20" t="n">
        <v>80.099</v>
      </c>
      <c r="I16" s="20" t="n">
        <v>277.755</v>
      </c>
      <c r="J16" s="20" t="n">
        <v>-237.092</v>
      </c>
      <c r="K16" s="20" t="n">
        <v>28.43</v>
      </c>
      <c r="L16" s="20" t="n">
        <v>39.316</v>
      </c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174.617</v>
      </c>
      <c r="W16" s="20" t="n">
        <v>133.019</v>
      </c>
      <c r="X16" s="20" t="n">
        <v>445.693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593.605</v>
      </c>
      <c r="D20" s="20" t="n">
        <v>670.452</v>
      </c>
      <c r="E20" s="20" t="n">
        <v>697.359</v>
      </c>
      <c r="F20" s="20" t="n">
        <v>505.74</v>
      </c>
      <c r="G20" s="20" t="n">
        <v>562.78</v>
      </c>
      <c r="H20" s="20" t="n">
        <v>583.814</v>
      </c>
      <c r="I20" s="20" t="n">
        <v>759.414</v>
      </c>
      <c r="J20" s="20" t="n">
        <v>603.213</v>
      </c>
      <c r="K20" s="20" t="n">
        <v>546.9829999999999</v>
      </c>
      <c r="L20" s="20" t="n">
        <v>652.153</v>
      </c>
      <c r="M20" s="20" t="n"/>
      <c r="N20" s="20" t="n"/>
      <c r="O20" s="19" t="n">
        <v>3747.426</v>
      </c>
      <c r="P20" s="20" t="n">
        <v>3095.518</v>
      </c>
      <c r="Q20" s="20" t="n">
        <v>3263.75</v>
      </c>
      <c r="R20" s="20" t="n">
        <v>2834.274</v>
      </c>
      <c r="S20" s="20" t="n">
        <v>2540.878</v>
      </c>
      <c r="T20" s="20" t="n">
        <v>2726.187</v>
      </c>
      <c r="U20" s="20" t="n">
        <v>2583.747</v>
      </c>
      <c r="V20" s="20" t="n">
        <v>2467.156</v>
      </c>
      <c r="W20" s="20" t="n">
        <v>2509.221</v>
      </c>
      <c r="X20" s="20" t="n">
        <v>2627.606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270.476</v>
      </c>
      <c r="D24" s="20" t="n">
        <v>260.157</v>
      </c>
      <c r="E24" s="20" t="n">
        <v>269.416</v>
      </c>
      <c r="F24" s="20" t="n">
        <v>286.133</v>
      </c>
      <c r="G24" s="20" t="n">
        <v>280.648</v>
      </c>
      <c r="H24" s="20" t="n">
        <v>237.353</v>
      </c>
      <c r="I24" s="20" t="n">
        <v>227.358</v>
      </c>
      <c r="J24" s="20" t="n">
        <v>318.807</v>
      </c>
      <c r="K24" s="20" t="n">
        <v>249.62</v>
      </c>
      <c r="L24" s="20" t="n">
        <v>250.577</v>
      </c>
      <c r="M24" s="20" t="n"/>
      <c r="N24" s="20" t="n"/>
      <c r="O24" s="19" t="n">
        <v>1175.282</v>
      </c>
      <c r="P24" s="20" t="n">
        <v>1173.203</v>
      </c>
      <c r="Q24" s="20" t="n">
        <v>1196.519</v>
      </c>
      <c r="R24" s="20" t="n">
        <v>1175.836</v>
      </c>
      <c r="S24" s="20" t="n">
        <v>1060.003</v>
      </c>
      <c r="T24" s="20" t="n">
        <v>1070.503</v>
      </c>
      <c r="U24" s="20" t="n">
        <v>1069.554</v>
      </c>
      <c r="V24" s="20" t="n">
        <v>1086.182</v>
      </c>
      <c r="W24" s="20" t="n">
        <v>1064.166</v>
      </c>
      <c r="X24" s="20" t="n">
        <v>981.4880000000001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1.767</v>
      </c>
      <c r="D25" s="12" t="n">
        <v>-36.232</v>
      </c>
      <c r="E25" s="12" t="n">
        <v>31.156</v>
      </c>
      <c r="F25" s="12" t="n">
        <v>-138.564</v>
      </c>
      <c r="G25" s="12" t="n">
        <v>-59.528</v>
      </c>
      <c r="H25" s="12" t="n">
        <v>2.093</v>
      </c>
      <c r="I25" s="12" t="n">
        <v>24.286</v>
      </c>
      <c r="J25" s="12" t="n">
        <v>-20.939</v>
      </c>
      <c r="K25" s="12" t="n">
        <v>24.16</v>
      </c>
      <c r="L25" s="12" t="n">
        <v>59.218</v>
      </c>
      <c r="M25" s="12" t="n"/>
      <c r="N25" s="12" t="n"/>
      <c r="O25" s="11" t="n">
        <v>57.197</v>
      </c>
      <c r="P25" s="12" t="n">
        <v>-29.956</v>
      </c>
      <c r="Q25" s="12" t="n">
        <v>122.086</v>
      </c>
      <c r="R25" s="12" t="n">
        <v>-113.769</v>
      </c>
      <c r="S25" s="12" t="n">
        <v>-425.693</v>
      </c>
      <c r="T25" s="12" t="n">
        <v>121.249</v>
      </c>
      <c r="U25" s="12" t="n">
        <v>-27.783</v>
      </c>
      <c r="V25" s="12" t="n">
        <v>-141.873</v>
      </c>
      <c r="W25" s="12" t="n">
        <v>-54.088</v>
      </c>
      <c r="X25" s="12" t="n">
        <v>142.572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8.366</v>
      </c>
      <c r="D41" s="20" t="n">
        <v>0</v>
      </c>
      <c r="E41" s="20" t="n">
        <v>0</v>
      </c>
      <c r="F41" s="20" t="n">
        <v>90.357</v>
      </c>
      <c r="G41" s="20" t="n">
        <v>44.754</v>
      </c>
      <c r="H41" s="20" t="n">
        <v>0</v>
      </c>
      <c r="I41" s="20" t="n">
        <v>14.29</v>
      </c>
      <c r="J41" s="20" t="n">
        <v>-50.541</v>
      </c>
      <c r="K41" s="20" t="n">
        <v>0</v>
      </c>
      <c r="L41" s="20" t="n">
        <v>0</v>
      </c>
      <c r="M41" s="20" t="n"/>
      <c r="N41" s="20" t="n"/>
      <c r="O41" s="19" t="n">
        <v>0.033</v>
      </c>
      <c r="P41" s="20" t="n">
        <v>14.381</v>
      </c>
      <c r="Q41" s="20" t="n">
        <v>1.776</v>
      </c>
      <c r="R41" s="20" t="n">
        <v>43.855</v>
      </c>
      <c r="S41" s="20" t="n">
        <v>0</v>
      </c>
      <c r="T41" s="20" t="n">
        <v>9.981999999999999</v>
      </c>
      <c r="U41" s="20" t="n">
        <v>5.958</v>
      </c>
      <c r="V41" s="20" t="n">
        <v>98.723</v>
      </c>
      <c r="W41" s="20" t="n">
        <v>8.503</v>
      </c>
      <c r="X41" s="20" t="n">
        <v>59.169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8.366</v>
      </c>
      <c r="D43" s="20" t="n">
        <v>0.04</v>
      </c>
      <c r="E43" s="20" t="n">
        <v>0</v>
      </c>
      <c r="F43" s="20" t="n">
        <v>105.003</v>
      </c>
      <c r="G43" s="20" t="n">
        <v>0</v>
      </c>
      <c r="H43" s="20" t="n">
        <v>44.417</v>
      </c>
      <c r="I43" s="20" t="n">
        <v>0</v>
      </c>
      <c r="J43" s="20" t="n">
        <v>-32.805</v>
      </c>
      <c r="K43" s="20" t="n">
        <v>8.57</v>
      </c>
      <c r="L43" s="20" t="n">
        <v>0.157</v>
      </c>
      <c r="M43" s="20" t="n"/>
      <c r="N43" s="20" t="n"/>
      <c r="O43" s="19" t="n">
        <v>107.946</v>
      </c>
      <c r="P43" s="20" t="n">
        <v>25.709</v>
      </c>
      <c r="Q43" s="20" t="n">
        <v>6.774</v>
      </c>
      <c r="R43" s="20" t="n">
        <v>16.732</v>
      </c>
      <c r="S43" s="20" t="n">
        <v>302.05</v>
      </c>
      <c r="T43" s="20" t="n">
        <v>5.281</v>
      </c>
      <c r="U43" s="20" t="n">
        <v>8.981</v>
      </c>
      <c r="V43" s="20" t="n">
        <v>113.409</v>
      </c>
      <c r="W43" s="20" t="n">
        <v>11.612</v>
      </c>
      <c r="X43" s="20" t="n">
        <v>48.386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5.244</v>
      </c>
      <c r="D45" s="20" t="n">
        <v>2.85</v>
      </c>
      <c r="E45" s="20" t="n">
        <v>7.246</v>
      </c>
      <c r="F45" s="20" t="n">
        <v>34.618</v>
      </c>
      <c r="G45" s="20" t="n">
        <v>3.628</v>
      </c>
      <c r="H45" s="20" t="n">
        <v>2.836</v>
      </c>
      <c r="I45" s="20" t="n">
        <v>10.154</v>
      </c>
      <c r="J45" s="20" t="n">
        <v>7.777</v>
      </c>
      <c r="K45" s="20" t="n">
        <v>3.561</v>
      </c>
      <c r="L45" s="20" t="n">
        <v>1.799</v>
      </c>
      <c r="M45" s="20" t="n"/>
      <c r="N45" s="20" t="n"/>
      <c r="O45" s="19" t="n">
        <v>66.099</v>
      </c>
      <c r="P45" s="20" t="n">
        <v>69.571</v>
      </c>
      <c r="Q45" s="20" t="n">
        <v>32.171</v>
      </c>
      <c r="R45" s="20" t="n">
        <v>47.923</v>
      </c>
      <c r="S45" s="20" t="n">
        <v>132.555</v>
      </c>
      <c r="T45" s="20" t="n">
        <v>147.987</v>
      </c>
      <c r="U45" s="20" t="n">
        <v>88.18300000000001</v>
      </c>
      <c r="V45" s="20" t="n">
        <v>49.958</v>
      </c>
      <c r="W45" s="20" t="n">
        <v>24.395</v>
      </c>
      <c r="X45" s="20" t="n">
        <v>32.946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3.143</v>
      </c>
      <c r="D47" s="20" t="n">
        <v>5.582</v>
      </c>
      <c r="E47" s="20" t="n">
        <v>6.459</v>
      </c>
      <c r="F47" s="20" t="n">
        <v>0.977</v>
      </c>
      <c r="G47" s="20" t="n">
        <v>4.895</v>
      </c>
      <c r="H47" s="20" t="n">
        <v>4.034</v>
      </c>
      <c r="I47" s="20" t="n">
        <v>6.238</v>
      </c>
      <c r="J47" s="20" t="n">
        <v>2.383</v>
      </c>
      <c r="K47" s="20" t="n">
        <v>5.193</v>
      </c>
      <c r="L47" s="20" t="n">
        <v>4.087</v>
      </c>
      <c r="M47" s="20" t="n"/>
      <c r="N47" s="20" t="n"/>
      <c r="O47" s="19" t="n">
        <v>29.313</v>
      </c>
      <c r="P47" s="20" t="n">
        <v>17.679</v>
      </c>
      <c r="Q47" s="20" t="n">
        <v>23.617</v>
      </c>
      <c r="R47" s="20" t="n">
        <v>22.001</v>
      </c>
      <c r="S47" s="20" t="n">
        <v>21.106</v>
      </c>
      <c r="T47" s="20" t="n">
        <v>15.591</v>
      </c>
      <c r="U47" s="20" t="n">
        <v>14.688</v>
      </c>
      <c r="V47" s="20" t="n">
        <v>16.161</v>
      </c>
      <c r="W47" s="20" t="n">
        <v>17.55</v>
      </c>
      <c r="X47" s="20" t="n">
        <v>17.177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3.868</v>
      </c>
      <c r="D49" s="12" t="n">
        <v>-39.004</v>
      </c>
      <c r="E49" s="12" t="n">
        <v>31.944</v>
      </c>
      <c r="F49" s="12" t="n">
        <v>-119.57</v>
      </c>
      <c r="G49" s="12" t="n">
        <v>-16.041</v>
      </c>
      <c r="H49" s="12" t="n">
        <v>-43.522</v>
      </c>
      <c r="I49" s="12" t="n">
        <v>42.491</v>
      </c>
      <c r="J49" s="12" t="n">
        <v>-33.28</v>
      </c>
      <c r="K49" s="12" t="n">
        <v>13.958</v>
      </c>
      <c r="L49" s="12" t="n">
        <v>56.773</v>
      </c>
      <c r="M49" s="12" t="n"/>
      <c r="N49" s="12" t="n"/>
      <c r="O49" s="11" t="n">
        <v>-13.928</v>
      </c>
      <c r="P49" s="12" t="n">
        <v>10.607</v>
      </c>
      <c r="Q49" s="12" t="n">
        <v>125.642</v>
      </c>
      <c r="R49" s="12" t="n">
        <v>-60.724</v>
      </c>
      <c r="S49" s="12" t="n">
        <v>-616.295</v>
      </c>
      <c r="T49" s="12" t="n">
        <v>258.347</v>
      </c>
      <c r="U49" s="12" t="n">
        <v>42.687</v>
      </c>
      <c r="V49" s="12" t="n">
        <v>-122.762</v>
      </c>
      <c r="W49" s="12" t="n">
        <v>-50.352</v>
      </c>
      <c r="X49" s="12" t="n">
        <v>169.125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-2.955</v>
      </c>
      <c r="D50" s="20" t="n">
        <v>-6.702</v>
      </c>
      <c r="E50" s="20" t="n">
        <v>11.049</v>
      </c>
      <c r="F50" s="20" t="n">
        <v>2.46</v>
      </c>
      <c r="G50" s="20" t="n">
        <v>5.441</v>
      </c>
      <c r="H50" s="20" t="n">
        <v>2.487</v>
      </c>
      <c r="I50" s="20" t="n">
        <v>7.327</v>
      </c>
      <c r="J50" s="20" t="n">
        <v>15.714</v>
      </c>
      <c r="K50" s="20" t="n">
        <v>10.847</v>
      </c>
      <c r="L50" s="20" t="n">
        <v>18.318</v>
      </c>
      <c r="M50" s="20" t="n"/>
      <c r="N50" s="20" t="n"/>
      <c r="O50" s="19" t="n">
        <v>-73.999</v>
      </c>
      <c r="P50" s="20" t="n">
        <v>8.608000000000001</v>
      </c>
      <c r="Q50" s="20" t="n">
        <v>42.068</v>
      </c>
      <c r="R50" s="20" t="n">
        <v>153.236</v>
      </c>
      <c r="S50" s="20" t="n">
        <v>19.111</v>
      </c>
      <c r="T50" s="20" t="n">
        <v>20.943</v>
      </c>
      <c r="U50" s="20" t="n">
        <v>9.534000000000001</v>
      </c>
      <c r="V50" s="20" t="n">
        <v>3.852</v>
      </c>
      <c r="W50" s="20" t="n">
        <v>30.969</v>
      </c>
      <c r="X50" s="20" t="n">
        <v>36.298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6.824</v>
      </c>
      <c r="D52" s="12" t="n">
        <v>-32.302</v>
      </c>
      <c r="E52" s="12" t="n">
        <v>20.893</v>
      </c>
      <c r="F52" s="12" t="n">
        <v>-122.03</v>
      </c>
      <c r="G52" s="12" t="n">
        <v>-21.483</v>
      </c>
      <c r="H52" s="12" t="n">
        <v>-46.008</v>
      </c>
      <c r="I52" s="12" t="n">
        <v>35.164</v>
      </c>
      <c r="J52" s="12" t="n">
        <v>-48.995</v>
      </c>
      <c r="K52" s="12" t="n">
        <v>3.111</v>
      </c>
      <c r="L52" s="12" t="n">
        <v>38.454</v>
      </c>
      <c r="M52" s="12" t="n"/>
      <c r="N52" s="12" t="n"/>
      <c r="O52" s="11" t="n">
        <v>60.07</v>
      </c>
      <c r="P52" s="12" t="n">
        <v>1.998</v>
      </c>
      <c r="Q52" s="12" t="n">
        <v>83.57299999999999</v>
      </c>
      <c r="R52" s="12" t="n">
        <v>-213.961</v>
      </c>
      <c r="S52" s="12" t="n">
        <v>-635.4059999999999</v>
      </c>
      <c r="T52" s="12" t="n">
        <v>237.403</v>
      </c>
      <c r="U52" s="12" t="n">
        <v>33.153</v>
      </c>
      <c r="V52" s="12" t="n">
        <v>-126.615</v>
      </c>
      <c r="W52" s="12" t="n">
        <v>-81.322</v>
      </c>
      <c r="X52" s="12" t="n">
        <v>132.827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6.212</v>
      </c>
      <c r="D53" s="12" t="n">
        <v>-32.363</v>
      </c>
      <c r="E53" s="12" t="n">
        <v>20.368</v>
      </c>
      <c r="F53" s="12" t="n">
        <v>-120.753</v>
      </c>
      <c r="G53" s="12" t="n">
        <v>-20.089</v>
      </c>
      <c r="H53" s="12" t="n">
        <v>-45.145</v>
      </c>
      <c r="I53" s="12" t="n">
        <v>35.619</v>
      </c>
      <c r="J53" s="12" t="n">
        <v>-50.165</v>
      </c>
      <c r="K53" s="12" t="n">
        <v>2.112</v>
      </c>
      <c r="L53" s="12" t="n">
        <v>37.012</v>
      </c>
      <c r="M53" s="12" t="n"/>
      <c r="N53" s="12" t="n"/>
      <c r="O53" s="11" t="n">
        <v>56.722</v>
      </c>
      <c r="P53" s="12" t="n">
        <v>5.366</v>
      </c>
      <c r="Q53" s="12" t="n">
        <v>69.34099999999999</v>
      </c>
      <c r="R53" s="12" t="n">
        <v>-213.563</v>
      </c>
      <c r="S53" s="12" t="n">
        <v>-630.016</v>
      </c>
      <c r="T53" s="12" t="n">
        <v>241.185</v>
      </c>
      <c r="U53" s="12" t="n">
        <v>39.764</v>
      </c>
      <c r="V53" s="12" t="n">
        <v>-126.536</v>
      </c>
      <c r="W53" s="12" t="n">
        <v>-79.78</v>
      </c>
      <c r="X53" s="12" t="n">
        <v>136.695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2024.1Q</t>
        </is>
      </c>
      <c r="D86" s="5" t="inlineStr">
        <is>
          <t>2024.2Q</t>
        </is>
      </c>
      <c r="E86" s="5" t="inlineStr">
        <is>
          <t>2024.3Q</t>
        </is>
      </c>
      <c r="F86" s="5" t="inlineStr">
        <is>
          <t>2024.4Q</t>
        </is>
      </c>
      <c r="G86" s="5" t="inlineStr">
        <is>
          <t>2025.1Q</t>
        </is>
      </c>
      <c r="H86" s="5" t="inlineStr">
        <is>
          <t>2025.2Q</t>
        </is>
      </c>
      <c r="I86" s="5" t="inlineStr">
        <is>
          <t>2025.3Q</t>
        </is>
      </c>
      <c r="J86" s="5" t="inlineStr">
        <is>
          <t>2025.4Q</t>
        </is>
      </c>
      <c r="K86" s="5" t="inlineStr">
        <is>
          <t>2026.1Q</t>
        </is>
      </c>
      <c r="L86" s="5" t="inlineStr">
        <is>
          <t>2026.2Q</t>
        </is>
      </c>
      <c r="M86" s="5" t="inlineStr">
        <is>
          <t>2026.3Q</t>
        </is>
      </c>
      <c r="N86" s="5" t="inlineStr">
        <is>
          <t>2026.4Q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865.849</v>
      </c>
      <c r="D87" s="12" t="n">
        <v>894.376</v>
      </c>
      <c r="E87" s="12" t="n">
        <v>997.932</v>
      </c>
      <c r="F87" s="12" t="n">
        <v>653.308</v>
      </c>
      <c r="G87" s="12" t="n">
        <v>783.899</v>
      </c>
      <c r="H87" s="12" t="n">
        <v>823.261</v>
      </c>
      <c r="I87" s="12" t="n">
        <v>1011.058</v>
      </c>
      <c r="J87" s="12" t="n">
        <v>901.082</v>
      </c>
      <c r="K87" s="12" t="n">
        <v>820.764</v>
      </c>
      <c r="L87" s="12" t="n">
        <v>961.948</v>
      </c>
      <c r="S87" s="12" t="n">
        <v>466.728</v>
      </c>
      <c r="T87" s="12" t="n">
        <v>1302.656</v>
      </c>
      <c r="U87" s="12" t="n">
        <v>1121.016</v>
      </c>
      <c r="V87" s="12" t="n">
        <v>653.308</v>
      </c>
      <c r="W87" s="12" t="n">
        <v>901.082</v>
      </c>
    </row>
    <row r="88">
      <c r="A88" s="18" t="inlineStr">
        <is>
          <t>매출원가</t>
        </is>
      </c>
      <c r="C88" s="20" t="n">
        <v>593.605</v>
      </c>
      <c r="D88" s="20" t="n">
        <v>670.452</v>
      </c>
      <c r="E88" s="20" t="n">
        <v>697.359</v>
      </c>
      <c r="F88" s="20" t="n">
        <v>505.74</v>
      </c>
      <c r="G88" s="20" t="n">
        <v>562.78</v>
      </c>
      <c r="H88" s="20" t="n">
        <v>583.814</v>
      </c>
      <c r="I88" s="20" t="n">
        <v>759.414</v>
      </c>
      <c r="J88" s="20" t="n">
        <v>603.213</v>
      </c>
      <c r="K88" s="20" t="n">
        <v>546.9829999999999</v>
      </c>
      <c r="L88" s="20" t="n">
        <v>652.153</v>
      </c>
      <c r="S88" s="20" t="n">
        <v>600.479</v>
      </c>
      <c r="T88" s="20" t="n">
        <v>850.837</v>
      </c>
      <c r="U88" s="20" t="n">
        <v>758.547</v>
      </c>
      <c r="V88" s="20" t="n">
        <v>505.74</v>
      </c>
      <c r="W88" s="20" t="n">
        <v>603.213</v>
      </c>
    </row>
    <row r="89">
      <c r="A89" s="9" t="inlineStr">
        <is>
          <t>매출총이익</t>
        </is>
      </c>
      <c r="C89" s="12" t="n">
        <v>272.244</v>
      </c>
      <c r="D89" s="12" t="n">
        <v>223.924</v>
      </c>
      <c r="E89" s="12" t="n">
        <v>300.572</v>
      </c>
      <c r="F89" s="12" t="n">
        <v>147.569</v>
      </c>
      <c r="G89" s="12" t="n">
        <v>221.119</v>
      </c>
      <c r="H89" s="12" t="n">
        <v>239.446</v>
      </c>
      <c r="I89" s="12" t="n">
        <v>251.645</v>
      </c>
      <c r="J89" s="12" t="n">
        <v>297.868</v>
      </c>
      <c r="K89" s="12" t="n">
        <v>273.78</v>
      </c>
      <c r="L89" s="12" t="n">
        <v>309.795</v>
      </c>
      <c r="S89" s="12" t="n">
        <v>-133.752</v>
      </c>
      <c r="T89" s="12" t="n">
        <v>451.82</v>
      </c>
      <c r="U89" s="12" t="n">
        <v>362.469</v>
      </c>
      <c r="V89" s="12" t="n">
        <v>147.569</v>
      </c>
      <c r="W89" s="12" t="n">
        <v>297.868</v>
      </c>
    </row>
    <row r="90">
      <c r="A90" s="18" t="inlineStr">
        <is>
          <t>판매비와 관리비</t>
        </is>
      </c>
      <c r="C90" s="20" t="n">
        <v>270.476</v>
      </c>
      <c r="D90" s="20" t="n">
        <v>260.157</v>
      </c>
      <c r="E90" s="20" t="n">
        <v>269.416</v>
      </c>
      <c r="F90" s="20" t="n">
        <v>286.133</v>
      </c>
      <c r="G90" s="20" t="n">
        <v>280.648</v>
      </c>
      <c r="H90" s="20" t="n">
        <v>237.353</v>
      </c>
      <c r="I90" s="20" t="n">
        <v>227.358</v>
      </c>
      <c r="J90" s="20" t="n">
        <v>318.807</v>
      </c>
      <c r="K90" s="20" t="n">
        <v>249.62</v>
      </c>
      <c r="L90" s="20" t="n">
        <v>250.577</v>
      </c>
      <c r="S90" s="20" t="n">
        <v>274.263</v>
      </c>
      <c r="T90" s="20" t="n">
        <v>263.73</v>
      </c>
      <c r="U90" s="20" t="n">
        <v>251.488</v>
      </c>
      <c r="V90" s="20" t="n">
        <v>286.133</v>
      </c>
      <c r="W90" s="20" t="n">
        <v>318.807</v>
      </c>
    </row>
    <row r="91">
      <c r="A91" s="9" t="inlineStr">
        <is>
          <t>영업이익(손실)</t>
        </is>
      </c>
      <c r="C91" s="12" t="n">
        <v>1.767</v>
      </c>
      <c r="D91" s="12" t="n">
        <v>-36.232</v>
      </c>
      <c r="E91" s="12" t="n">
        <v>31.156</v>
      </c>
      <c r="F91" s="12" t="n">
        <v>-138.564</v>
      </c>
      <c r="G91" s="12" t="n">
        <v>-59.528</v>
      </c>
      <c r="H91" s="12" t="n">
        <v>2.093</v>
      </c>
      <c r="I91" s="12" t="n">
        <v>24.286</v>
      </c>
      <c r="J91" s="12" t="n">
        <v>-20.939</v>
      </c>
      <c r="K91" s="12" t="n">
        <v>24.16</v>
      </c>
      <c r="L91" s="12" t="n">
        <v>59.218</v>
      </c>
      <c r="S91" s="12" t="n">
        <v>-408.015</v>
      </c>
      <c r="T91" s="12" t="n">
        <v>188.088</v>
      </c>
      <c r="U91" s="12" t="n">
        <v>110.981</v>
      </c>
      <c r="V91" s="12" t="n">
        <v>-138.564</v>
      </c>
      <c r="W91" s="12" t="n">
        <v>-20.939</v>
      </c>
    </row>
    <row r="92">
      <c r="A92" s="18" t="inlineStr">
        <is>
          <t>이자수익</t>
        </is>
      </c>
      <c r="C92" s="20" t="n">
        <v>0.385</v>
      </c>
      <c r="D92" s="20" t="n">
        <v>0.36</v>
      </c>
      <c r="E92" s="20" t="n">
        <v>0.471</v>
      </c>
      <c r="F92" s="20" t="n">
        <v>0.344</v>
      </c>
      <c r="G92" s="20" t="n">
        <v>0.393</v>
      </c>
      <c r="H92" s="20" t="n">
        <v>0.27</v>
      </c>
      <c r="I92" s="20" t="n">
        <v>0.254</v>
      </c>
      <c r="J92" s="20" t="n">
        <v>0.664</v>
      </c>
      <c r="K92" s="20" t="n">
        <v>0.133</v>
      </c>
      <c r="L92" s="20" t="n">
        <v>0.429</v>
      </c>
      <c r="S92" s="20" t="n">
        <v>0.52</v>
      </c>
      <c r="T92" s="20" t="n">
        <v>0.366</v>
      </c>
      <c r="U92" s="20" t="n">
        <v>0.37</v>
      </c>
      <c r="V92" s="20" t="n">
        <v>0.344</v>
      </c>
      <c r="W92" s="20" t="n">
        <v>0.664</v>
      </c>
    </row>
    <row r="93">
      <c r="A93" s="18" t="inlineStr">
        <is>
          <t>배당금수익</t>
        </is>
      </c>
      <c r="E93" s="20" t="n">
        <v>3.145</v>
      </c>
      <c r="F93" s="20" t="n">
        <v>2.819</v>
      </c>
      <c r="I93" s="20" t="n">
        <v>7.541</v>
      </c>
      <c r="J93" s="20" t="n">
        <v>1.973</v>
      </c>
      <c r="S93" s="20" t="n">
        <v>0.486</v>
      </c>
      <c r="T93" s="20" t="n">
        <v>0.291</v>
      </c>
      <c r="U93" s="20" t="n">
        <v>4.986</v>
      </c>
      <c r="V93" s="20" t="n">
        <v>2.819</v>
      </c>
      <c r="W93" s="20" t="n">
        <v>1.973</v>
      </c>
    </row>
    <row r="94">
      <c r="A94" s="18" t="inlineStr">
        <is>
          <t>외환차익</t>
        </is>
      </c>
      <c r="G94" s="20" t="n">
        <v>0</v>
      </c>
      <c r="H94" s="20" t="n">
        <v>0</v>
      </c>
      <c r="K94" s="20" t="n">
        <v>1.754</v>
      </c>
      <c r="L94" s="20" t="n">
        <v>0.082</v>
      </c>
      <c r="S94" s="20" t="n">
        <v>-6.06</v>
      </c>
      <c r="T94" s="20" t="n">
        <v>-9.506</v>
      </c>
      <c r="U94" s="20" t="n">
        <v>11.658</v>
      </c>
    </row>
    <row r="95">
      <c r="A95" s="18" t="inlineStr">
        <is>
          <t>보조금 수입</t>
        </is>
      </c>
      <c r="C95" s="20" t="n">
        <v>2.515</v>
      </c>
      <c r="D95" s="20" t="n">
        <v>0</v>
      </c>
      <c r="E95" s="20" t="n">
        <v>0.508</v>
      </c>
      <c r="F95" s="20" t="n">
        <v>6.239</v>
      </c>
      <c r="G95" s="20" t="n">
        <v>1.475</v>
      </c>
      <c r="H95" s="20" t="n">
        <v>0</v>
      </c>
      <c r="K95" s="20" t="n">
        <v>0.9</v>
      </c>
      <c r="L95" s="20" t="n">
        <v>0.2</v>
      </c>
      <c r="S95" s="20" t="n">
        <v>9.893000000000001</v>
      </c>
      <c r="T95" s="20" t="n">
        <v>79.97499999999999</v>
      </c>
      <c r="U95" s="20" t="n">
        <v>32.162</v>
      </c>
      <c r="V95" s="20" t="n">
        <v>6.239</v>
      </c>
    </row>
    <row r="96">
      <c r="A96" s="18" t="inlineStr">
        <is>
          <t>작업부산물 매각이익</t>
        </is>
      </c>
      <c r="C96" s="20" t="n">
        <v>0.091</v>
      </c>
      <c r="D96" s="20" t="n">
        <v>0</v>
      </c>
      <c r="E96" s="20" t="n">
        <v>0</v>
      </c>
      <c r="F96" s="20" t="n">
        <v>22.596</v>
      </c>
      <c r="S96" s="20" t="n">
        <v>11.971</v>
      </c>
      <c r="T96" s="20" t="n">
        <v>1.512</v>
      </c>
      <c r="U96" s="20" t="n">
        <v>-1.237</v>
      </c>
      <c r="V96" s="20" t="n">
        <v>22.596</v>
      </c>
    </row>
    <row r="97">
      <c r="A97" s="18" t="inlineStr">
        <is>
          <t>기타</t>
        </is>
      </c>
      <c r="C97" s="20" t="n">
        <v>2.344</v>
      </c>
      <c r="D97" s="20" t="n">
        <v>1.787</v>
      </c>
      <c r="E97" s="20" t="n">
        <v>6.146</v>
      </c>
      <c r="F97" s="20" t="n">
        <v>-0.605</v>
      </c>
      <c r="G97" s="20" t="n">
        <v>1.759</v>
      </c>
      <c r="H97" s="20" t="n">
        <v>2.541</v>
      </c>
      <c r="I97" s="20" t="n">
        <v>3.835</v>
      </c>
      <c r="J97" s="20" t="n">
        <v>1.362</v>
      </c>
      <c r="K97" s="20" t="n">
        <v>0.774</v>
      </c>
      <c r="L97" s="20" t="n">
        <v>1.034</v>
      </c>
      <c r="S97" s="20" t="n">
        <v>5.786</v>
      </c>
      <c r="T97" s="20" t="n">
        <v>3.105</v>
      </c>
      <c r="U97" s="20" t="n">
        <v>0.701</v>
      </c>
      <c r="V97" s="20" t="n">
        <v>-0.605</v>
      </c>
      <c r="W97" s="20" t="n">
        <v>1.362</v>
      </c>
    </row>
    <row r="98">
      <c r="A98" s="18" t="inlineStr">
        <is>
          <t>영업외수익 합계</t>
        </is>
      </c>
      <c r="C98" s="20" t="n">
        <v>5.244</v>
      </c>
      <c r="D98" s="20" t="n">
        <v>2.85</v>
      </c>
      <c r="E98" s="20" t="n">
        <v>7.246</v>
      </c>
      <c r="F98" s="20" t="n">
        <v>34.618</v>
      </c>
      <c r="G98" s="20" t="n">
        <v>3.628</v>
      </c>
      <c r="H98" s="20" t="n">
        <v>2.836</v>
      </c>
      <c r="I98" s="20" t="n">
        <v>10.154</v>
      </c>
      <c r="J98" s="20" t="n">
        <v>7.777</v>
      </c>
      <c r="K98" s="20" t="n">
        <v>3.561</v>
      </c>
      <c r="L98" s="20" t="n">
        <v>1.799</v>
      </c>
      <c r="S98" s="20" t="n">
        <v>22.596</v>
      </c>
      <c r="T98" s="20" t="n">
        <v>75.74299999999999</v>
      </c>
      <c r="U98" s="20" t="n">
        <v>48.641</v>
      </c>
      <c r="V98" s="20" t="n">
        <v>34.618</v>
      </c>
      <c r="W98" s="20" t="n">
        <v>7.777</v>
      </c>
    </row>
    <row r="99">
      <c r="A99" s="18" t="inlineStr">
        <is>
          <t>이자비용</t>
        </is>
      </c>
      <c r="C99" s="20" t="n">
        <v>2.412</v>
      </c>
      <c r="D99" s="20" t="n">
        <v>2.863</v>
      </c>
      <c r="E99" s="20" t="n">
        <v>2.891</v>
      </c>
      <c r="F99" s="20" t="n">
        <v>1.429</v>
      </c>
      <c r="G99" s="20" t="n">
        <v>3.184</v>
      </c>
      <c r="H99" s="20" t="n">
        <v>3.655</v>
      </c>
      <c r="I99" s="20" t="n">
        <v>3.385</v>
      </c>
      <c r="J99" s="20" t="n">
        <v>0.647</v>
      </c>
      <c r="K99" s="20" t="n">
        <v>3.385</v>
      </c>
      <c r="L99" s="20" t="n">
        <v>3.941</v>
      </c>
      <c r="S99" s="20" t="n">
        <v>2.004</v>
      </c>
      <c r="T99" s="20" t="n">
        <v>2.667</v>
      </c>
      <c r="U99" s="20" t="n">
        <v>2.327</v>
      </c>
      <c r="V99" s="20" t="n">
        <v>1.429</v>
      </c>
      <c r="W99" s="20" t="n">
        <v>0.647</v>
      </c>
    </row>
    <row r="100">
      <c r="A100" s="18" t="inlineStr">
        <is>
          <t>Loss On Transfer Of Receivables NOE</t>
        </is>
      </c>
      <c r="C100" s="20" t="n">
        <v>0.654</v>
      </c>
      <c r="D100" s="20" t="n">
        <v>1.356</v>
      </c>
      <c r="E100" s="20" t="n">
        <v>0.744</v>
      </c>
      <c r="F100" s="20" t="n">
        <v>0.841</v>
      </c>
      <c r="G100" s="20" t="n">
        <v>0.732</v>
      </c>
      <c r="H100" s="20" t="n">
        <v>1.108</v>
      </c>
      <c r="I100" s="20" t="n">
        <v>0.697</v>
      </c>
      <c r="J100" s="20" t="n">
        <v>0.997</v>
      </c>
      <c r="K100" s="20" t="n">
        <v>1.402</v>
      </c>
      <c r="L100" s="20" t="n">
        <v>0.124</v>
      </c>
      <c r="S100" s="20" t="n">
        <v>0.827</v>
      </c>
      <c r="T100" s="20" t="n">
        <v>0.61</v>
      </c>
      <c r="U100" s="20" t="n">
        <v>1.009</v>
      </c>
      <c r="V100" s="20" t="n">
        <v>0.841</v>
      </c>
      <c r="W100" s="20" t="n">
        <v>0.997</v>
      </c>
    </row>
    <row r="101">
      <c r="A101" s="18" t="inlineStr">
        <is>
          <t>Amortization Of Restricted Stock Compensation NOE</t>
        </is>
      </c>
      <c r="S101" s="20" t="n">
        <v>-1.504</v>
      </c>
      <c r="T101" s="20" t="n">
        <v>1.504</v>
      </c>
    </row>
    <row r="102">
      <c r="A102" s="18" t="inlineStr">
        <is>
          <t>외환차손</t>
        </is>
      </c>
      <c r="C102" s="20" t="n">
        <v>0</v>
      </c>
      <c r="D102" s="20" t="n">
        <v>1.349</v>
      </c>
      <c r="E102" s="20" t="n">
        <v>2.522</v>
      </c>
      <c r="F102" s="20" t="n">
        <v>-3.871</v>
      </c>
      <c r="J102" s="20" t="n">
        <v>0.358</v>
      </c>
      <c r="T102" s="20" t="n">
        <v>0</v>
      </c>
      <c r="V102" s="20" t="n">
        <v>-3.871</v>
      </c>
      <c r="W102" s="20" t="n">
        <v>0.358</v>
      </c>
    </row>
    <row r="103">
      <c r="A103" s="18" t="inlineStr">
        <is>
          <t>기타</t>
        </is>
      </c>
      <c r="C103" s="20" t="n">
        <v>0.076</v>
      </c>
      <c r="D103" s="20" t="n">
        <v>1.363</v>
      </c>
      <c r="E103" s="20" t="n">
        <v>-1.048</v>
      </c>
      <c r="F103" s="20" t="n">
        <v>0.341</v>
      </c>
      <c r="G103" s="20" t="n">
        <v>0.978</v>
      </c>
      <c r="H103" s="20" t="n">
        <v>-0.729</v>
      </c>
      <c r="I103" s="20" t="n">
        <v>-0.221</v>
      </c>
      <c r="J103" s="20" t="n">
        <v>0.381</v>
      </c>
      <c r="K103" s="20" t="n">
        <v>0.405</v>
      </c>
      <c r="L103" s="20" t="n">
        <v>0.022</v>
      </c>
      <c r="S103" s="20" t="n">
        <v>0.404</v>
      </c>
      <c r="T103" s="20" t="n">
        <v>0.638</v>
      </c>
      <c r="U103" s="20" t="n">
        <v>-1.744</v>
      </c>
      <c r="V103" s="20" t="n">
        <v>0.341</v>
      </c>
      <c r="W103" s="20" t="n">
        <v>0.381</v>
      </c>
    </row>
    <row r="104">
      <c r="A104" s="18" t="inlineStr">
        <is>
          <t>영업외비용 합계</t>
        </is>
      </c>
      <c r="C104" s="20" t="n">
        <v>3.143</v>
      </c>
      <c r="D104" s="20" t="n">
        <v>5.582</v>
      </c>
      <c r="E104" s="20" t="n">
        <v>6.459</v>
      </c>
      <c r="F104" s="20" t="n">
        <v>0.977</v>
      </c>
      <c r="G104" s="20" t="n">
        <v>4.895</v>
      </c>
      <c r="H104" s="20" t="n">
        <v>4.034</v>
      </c>
      <c r="I104" s="20" t="n">
        <v>6.238</v>
      </c>
      <c r="J104" s="20" t="n">
        <v>2.383</v>
      </c>
      <c r="K104" s="20" t="n">
        <v>5.193</v>
      </c>
      <c r="L104" s="20" t="n">
        <v>4.087</v>
      </c>
      <c r="S104" s="20" t="n">
        <v>8.994999999999999</v>
      </c>
      <c r="T104" s="20" t="n">
        <v>5.42</v>
      </c>
      <c r="U104" s="20" t="n">
        <v>0.346</v>
      </c>
      <c r="V104" s="20" t="n">
        <v>0.977</v>
      </c>
      <c r="W104" s="20" t="n">
        <v>2.383</v>
      </c>
    </row>
    <row r="105">
      <c r="A105" s="9" t="inlineStr">
        <is>
          <t>Ordinary Income</t>
        </is>
      </c>
      <c r="C105" s="12" t="n">
        <v>3.868</v>
      </c>
      <c r="D105" s="12" t="n">
        <v>-38.964</v>
      </c>
      <c r="E105" s="12" t="n">
        <v>31.944</v>
      </c>
      <c r="F105" s="12" t="n">
        <v>-104.924</v>
      </c>
      <c r="G105" s="12" t="n">
        <v>-60.795</v>
      </c>
      <c r="H105" s="12" t="n">
        <v>0.895</v>
      </c>
      <c r="I105" s="12" t="n">
        <v>28.202</v>
      </c>
      <c r="J105" s="12" t="n">
        <v>-15.544</v>
      </c>
      <c r="K105" s="12" t="n">
        <v>22.528</v>
      </c>
      <c r="L105" s="12" t="n">
        <v>56.93</v>
      </c>
      <c r="S105" s="12" t="n">
        <v>-394.414</v>
      </c>
      <c r="T105" s="12" t="n">
        <v>258.412</v>
      </c>
      <c r="U105" s="12" t="n">
        <v>159.274</v>
      </c>
      <c r="V105" s="12" t="n">
        <v>-104.924</v>
      </c>
      <c r="W105" s="12" t="n">
        <v>-15.544</v>
      </c>
    </row>
    <row r="106">
      <c r="A106" s="18" t="inlineStr">
        <is>
          <t>투자유가증권 매각이익</t>
        </is>
      </c>
      <c r="C106" s="20" t="n">
        <v>0</v>
      </c>
      <c r="D106" s="20" t="n">
        <v>0</v>
      </c>
      <c r="E106" s="20" t="n">
        <v>0</v>
      </c>
      <c r="F106" s="20" t="n">
        <v>0</v>
      </c>
      <c r="G106" s="20" t="n">
        <v>44.754</v>
      </c>
      <c r="H106" s="20" t="n">
        <v>0</v>
      </c>
      <c r="I106" s="20" t="n">
        <v>0</v>
      </c>
      <c r="J106" s="20" t="n">
        <v>-44.617</v>
      </c>
      <c r="K106" s="20" t="n">
        <v>0</v>
      </c>
      <c r="L106" s="20" t="n">
        <v>0</v>
      </c>
      <c r="S106" s="20" t="n">
        <v>-7.69</v>
      </c>
      <c r="T106" s="20" t="n">
        <v>8.673</v>
      </c>
      <c r="V106" s="20" t="n">
        <v>0</v>
      </c>
      <c r="W106" s="20" t="n">
        <v>-44.617</v>
      </c>
    </row>
    <row r="107">
      <c r="A107" s="18" t="inlineStr">
        <is>
          <t>보조금 수입</t>
        </is>
      </c>
      <c r="C107" s="20" t="n">
        <v>8.366</v>
      </c>
      <c r="D107" s="20" t="n">
        <v>0</v>
      </c>
      <c r="E107" s="20" t="n">
        <v>0</v>
      </c>
      <c r="F107" s="20" t="n">
        <v>90.357</v>
      </c>
      <c r="G107" s="20" t="n">
        <v>0</v>
      </c>
      <c r="H107" s="20" t="n">
        <v>0</v>
      </c>
      <c r="I107" s="20" t="n">
        <v>0</v>
      </c>
      <c r="J107" s="20" t="n">
        <v>8.366</v>
      </c>
      <c r="T107" s="20" t="n">
        <v>-5</v>
      </c>
      <c r="U107" s="20" t="n">
        <v>-93.723</v>
      </c>
      <c r="V107" s="20" t="n">
        <v>90.357</v>
      </c>
      <c r="W107" s="20" t="n">
        <v>8.366</v>
      </c>
    </row>
    <row r="108">
      <c r="A108" s="18" t="inlineStr">
        <is>
          <t>Gain On Capital Reduction With Compensation Of Subsidiaries And Associates EI</t>
        </is>
      </c>
      <c r="J108" s="20" t="n">
        <v>-14.289</v>
      </c>
      <c r="W108" s="20" t="n">
        <v>-14.289</v>
      </c>
    </row>
    <row r="109">
      <c r="A109" s="18" t="inlineStr">
        <is>
          <t>특별이익 합계</t>
        </is>
      </c>
      <c r="C109" s="20" t="n">
        <v>8.366</v>
      </c>
      <c r="D109" s="20" t="n">
        <v>0</v>
      </c>
      <c r="E109" s="20" t="n">
        <v>0</v>
      </c>
      <c r="F109" s="20" t="n">
        <v>90.357</v>
      </c>
      <c r="G109" s="20" t="n">
        <v>44.754</v>
      </c>
      <c r="H109" s="20" t="n">
        <v>0</v>
      </c>
      <c r="I109" s="20" t="n">
        <v>14.29</v>
      </c>
      <c r="J109" s="20" t="n">
        <v>-50.541</v>
      </c>
      <c r="K109" s="20" t="n">
        <v>0</v>
      </c>
      <c r="L109" s="20" t="n">
        <v>0</v>
      </c>
      <c r="S109" s="20" t="n">
        <v>-7.69</v>
      </c>
      <c r="T109" s="20" t="n">
        <v>4.982</v>
      </c>
      <c r="U109" s="20" t="n">
        <v>-92.765</v>
      </c>
      <c r="V109" s="20" t="n">
        <v>90.357</v>
      </c>
      <c r="W109" s="20" t="n">
        <v>-50.541</v>
      </c>
    </row>
    <row r="110">
      <c r="A110" s="18" t="inlineStr">
        <is>
          <t>고정자산 제각손실</t>
        </is>
      </c>
      <c r="C110" s="20" t="n">
        <v>0</v>
      </c>
      <c r="D110" s="20" t="n">
        <v>0.04</v>
      </c>
      <c r="E110" s="20" t="n">
        <v>0</v>
      </c>
      <c r="F110" s="20" t="n">
        <v>0.09</v>
      </c>
      <c r="G110" s="20" t="n">
        <v>0</v>
      </c>
      <c r="H110" s="20" t="n">
        <v>0</v>
      </c>
      <c r="I110" s="20" t="n">
        <v>0</v>
      </c>
      <c r="J110" s="20" t="n">
        <v>0.04</v>
      </c>
      <c r="K110" s="20" t="n">
        <v>0</v>
      </c>
      <c r="L110" s="20" t="n">
        <v>0</v>
      </c>
      <c r="S110" s="20" t="n">
        <v>0.039</v>
      </c>
      <c r="T110" s="20" t="n">
        <v>0</v>
      </c>
      <c r="U110" s="20" t="n">
        <v>0.049</v>
      </c>
      <c r="V110" s="20" t="n">
        <v>0.09</v>
      </c>
      <c r="W110" s="20" t="n">
        <v>0.04</v>
      </c>
    </row>
    <row r="111">
      <c r="A111" s="18" t="inlineStr">
        <is>
          <t>고정자산 압축손실</t>
        </is>
      </c>
      <c r="C111" s="20" t="n">
        <v>8.366</v>
      </c>
      <c r="D111" s="20" t="n">
        <v>0</v>
      </c>
      <c r="E111" s="20" t="n">
        <v>0</v>
      </c>
      <c r="F111" s="20" t="n">
        <v>90.357</v>
      </c>
      <c r="G111" s="20" t="n">
        <v>0</v>
      </c>
      <c r="H111" s="20" t="n">
        <v>0</v>
      </c>
      <c r="I111" s="20" t="n">
        <v>0</v>
      </c>
      <c r="J111" s="20" t="n">
        <v>8.366</v>
      </c>
      <c r="T111" s="20" t="n">
        <v>-5</v>
      </c>
      <c r="U111" s="20" t="n">
        <v>-93.723</v>
      </c>
      <c r="V111" s="20" t="n">
        <v>90.357</v>
      </c>
      <c r="W111" s="20" t="n">
        <v>8.366</v>
      </c>
    </row>
    <row r="112">
      <c r="A112" s="18" t="inlineStr">
        <is>
          <t>투자유가증권 평가손실</t>
        </is>
      </c>
      <c r="C112" s="20" t="n">
        <v>0</v>
      </c>
      <c r="D112" s="20" t="n">
        <v>0</v>
      </c>
      <c r="E112" s="20" t="n">
        <v>0</v>
      </c>
      <c r="F112" s="20" t="n">
        <v>0.075</v>
      </c>
      <c r="T112" s="20" t="n">
        <v>0</v>
      </c>
      <c r="U112" s="20" t="n">
        <v>-0.075</v>
      </c>
      <c r="V112" s="20" t="n">
        <v>0.075</v>
      </c>
    </row>
    <row r="113">
      <c r="A113" s="18" t="inlineStr">
        <is>
          <t>Early Extra Retirement Payments EL</t>
        </is>
      </c>
      <c r="E113" s="20" t="n">
        <v>0</v>
      </c>
      <c r="G113" s="20" t="n">
        <v>0</v>
      </c>
      <c r="H113" s="20" t="n">
        <v>44.417</v>
      </c>
      <c r="I113" s="20" t="n">
        <v>0</v>
      </c>
      <c r="J113" s="20" t="n">
        <v>-44.417</v>
      </c>
      <c r="K113" s="20" t="n">
        <v>8.57</v>
      </c>
      <c r="L113" s="20" t="n">
        <v>0.157</v>
      </c>
      <c r="W113" s="20" t="n">
        <v>-44.417</v>
      </c>
    </row>
    <row r="114">
      <c r="A114" s="18" t="inlineStr">
        <is>
          <t>특별손실 합계</t>
        </is>
      </c>
      <c r="C114" s="20" t="n">
        <v>8.366</v>
      </c>
      <c r="D114" s="20" t="n">
        <v>0.04</v>
      </c>
      <c r="E114" s="20" t="n">
        <v>0</v>
      </c>
      <c r="F114" s="20" t="n">
        <v>105.003</v>
      </c>
      <c r="G114" s="20" t="n">
        <v>0</v>
      </c>
      <c r="H114" s="20" t="n">
        <v>44.417</v>
      </c>
      <c r="I114" s="20" t="n">
        <v>0</v>
      </c>
      <c r="J114" s="20" t="n">
        <v>-32.805</v>
      </c>
      <c r="K114" s="20" t="n">
        <v>8.57</v>
      </c>
      <c r="L114" s="20" t="n">
        <v>0.157</v>
      </c>
      <c r="S114" s="20" t="n">
        <v>302.05</v>
      </c>
      <c r="T114" s="20" t="n">
        <v>0.281</v>
      </c>
      <c r="U114" s="20" t="n">
        <v>-89.919</v>
      </c>
      <c r="V114" s="20" t="n">
        <v>105.003</v>
      </c>
      <c r="W114" s="20" t="n">
        <v>-32.805</v>
      </c>
    </row>
    <row r="115">
      <c r="A115" s="9" t="inlineStr">
        <is>
          <t>Income Before Income Taxes</t>
        </is>
      </c>
      <c r="C115" s="12" t="n">
        <v>3.868</v>
      </c>
      <c r="D115" s="12" t="n">
        <v>-39.004</v>
      </c>
      <c r="E115" s="12" t="n">
        <v>31.944</v>
      </c>
      <c r="F115" s="12" t="n">
        <v>-119.57</v>
      </c>
      <c r="G115" s="12" t="n">
        <v>-16.041</v>
      </c>
      <c r="H115" s="12" t="n">
        <v>-43.522</v>
      </c>
      <c r="I115" s="12" t="n">
        <v>42.491</v>
      </c>
      <c r="J115" s="12" t="n">
        <v>-33.28</v>
      </c>
      <c r="K115" s="12" t="n">
        <v>13.958</v>
      </c>
      <c r="L115" s="12" t="n">
        <v>56.773</v>
      </c>
      <c r="S115" s="12" t="n">
        <v>-704.155</v>
      </c>
      <c r="T115" s="12" t="n">
        <v>263.113</v>
      </c>
      <c r="U115" s="12" t="n">
        <v>156.427</v>
      </c>
      <c r="V115" s="12" t="n">
        <v>-119.57</v>
      </c>
      <c r="W115" s="12" t="n">
        <v>-33.28</v>
      </c>
    </row>
    <row r="116">
      <c r="A116" s="18" t="inlineStr">
        <is>
          <t>법인세 등</t>
        </is>
      </c>
      <c r="C116" s="20" t="n">
        <v>-2.955</v>
      </c>
      <c r="D116" s="20" t="n">
        <v>-6.702</v>
      </c>
      <c r="E116" s="20" t="n">
        <v>11.049</v>
      </c>
      <c r="F116" s="20" t="n">
        <v>2.46</v>
      </c>
      <c r="G116" s="20" t="n">
        <v>5.441</v>
      </c>
      <c r="H116" s="20" t="n">
        <v>2.487</v>
      </c>
      <c r="I116" s="20" t="n">
        <v>7.327</v>
      </c>
      <c r="J116" s="20" t="n">
        <v>15.714</v>
      </c>
      <c r="K116" s="20" t="n">
        <v>10.847</v>
      </c>
      <c r="L116" s="20" t="n">
        <v>18.318</v>
      </c>
      <c r="S116" s="20" t="n">
        <v>7.957</v>
      </c>
      <c r="T116" s="20" t="n">
        <v>19.68</v>
      </c>
      <c r="U116" s="20" t="n">
        <v>-11.914</v>
      </c>
      <c r="V116" s="20" t="n">
        <v>2.46</v>
      </c>
      <c r="W116" s="20" t="n">
        <v>15.714</v>
      </c>
    </row>
    <row r="117">
      <c r="A117" s="9" t="inlineStr">
        <is>
          <t>Profit Loss</t>
        </is>
      </c>
      <c r="C117" s="12" t="n">
        <v>6.824</v>
      </c>
      <c r="D117" s="12" t="n">
        <v>-32.302</v>
      </c>
      <c r="E117" s="12" t="n">
        <v>20.893</v>
      </c>
      <c r="F117" s="12" t="n">
        <v>-122.03</v>
      </c>
      <c r="G117" s="12" t="n">
        <v>-21.483</v>
      </c>
      <c r="H117" s="12" t="n">
        <v>-46.008</v>
      </c>
      <c r="I117" s="12" t="n">
        <v>35.164</v>
      </c>
      <c r="J117" s="12" t="n">
        <v>-48.995</v>
      </c>
      <c r="K117" s="12" t="n">
        <v>3.111</v>
      </c>
      <c r="L117" s="12" t="n">
        <v>38.454</v>
      </c>
      <c r="S117" s="12" t="n">
        <v>-712.111</v>
      </c>
      <c r="T117" s="12" t="n">
        <v>243.432</v>
      </c>
      <c r="U117" s="12" t="n">
        <v>168.342</v>
      </c>
      <c r="V117" s="12" t="n">
        <v>-122.03</v>
      </c>
      <c r="W117" s="12" t="n">
        <v>-48.995</v>
      </c>
    </row>
    <row r="118">
      <c r="A118" s="9" t="inlineStr">
        <is>
          <t>비지배주주 순손익</t>
        </is>
      </c>
      <c r="C118" s="12" t="n">
        <v>0.611</v>
      </c>
      <c r="D118" s="12" t="n">
        <v>0.061</v>
      </c>
      <c r="E118" s="12" t="n">
        <v>0.525</v>
      </c>
      <c r="F118" s="12" t="n">
        <v>-1.275</v>
      </c>
      <c r="G118" s="12" t="n">
        <v>-1.393</v>
      </c>
      <c r="H118" s="12" t="n">
        <v>-0.864</v>
      </c>
      <c r="I118" s="12" t="n">
        <v>-0.455</v>
      </c>
      <c r="J118" s="12" t="n">
        <v>1.171</v>
      </c>
      <c r="K118" s="12" t="n">
        <v>0.998</v>
      </c>
      <c r="L118" s="12" t="n">
        <v>1.443</v>
      </c>
      <c r="S118" s="12" t="n">
        <v>-4.097</v>
      </c>
      <c r="T118" s="12" t="n">
        <v>-1.83</v>
      </c>
      <c r="U118" s="12" t="n">
        <v>-6.063</v>
      </c>
      <c r="V118" s="12" t="n">
        <v>-1.275</v>
      </c>
      <c r="W118" s="12" t="n">
        <v>1.171</v>
      </c>
    </row>
    <row r="119">
      <c r="A119" s="9" t="inlineStr">
        <is>
          <t>Profit Loss Attributable To Owners Of Parent</t>
        </is>
      </c>
      <c r="C119" s="12" t="n">
        <v>6.212</v>
      </c>
      <c r="D119" s="12" t="n">
        <v>-32.363</v>
      </c>
      <c r="E119" s="12" t="n">
        <v>20.368</v>
      </c>
      <c r="F119" s="12" t="n">
        <v>-120.753</v>
      </c>
      <c r="G119" s="12" t="n">
        <v>-20.089</v>
      </c>
      <c r="H119" s="12" t="n">
        <v>-45.145</v>
      </c>
      <c r="I119" s="12" t="n">
        <v>35.619</v>
      </c>
      <c r="J119" s="12" t="n">
        <v>-50.165</v>
      </c>
      <c r="K119" s="12" t="n">
        <v>2.112</v>
      </c>
      <c r="L119" s="12" t="n">
        <v>37.012</v>
      </c>
      <c r="S119" s="12" t="n">
        <v>-708.015</v>
      </c>
      <c r="T119" s="12" t="n">
        <v>245.262</v>
      </c>
      <c r="U119" s="12" t="n">
        <v>174.406</v>
      </c>
      <c r="V119" s="12" t="n">
        <v>-120.753</v>
      </c>
      <c r="W119" s="12" t="n">
        <v>-50.165</v>
      </c>
    </row>
    <row r="121">
      <c r="A121" s="16" t="inlineStr">
        <is>
          <t>포괄손익 · 전 항목</t>
        </is>
      </c>
      <c r="B121" s="42" t="inlineStr">
        <is>
          <t>분기 = 3개월 단독</t>
        </is>
      </c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</row>
    <row r="122">
      <c r="A122" s="5" t="inlineStr">
        <is>
          <t>항목</t>
        </is>
      </c>
      <c r="B122" s="5" t="inlineStr">
        <is>
          <t>참고</t>
        </is>
      </c>
      <c r="C122" s="5" t="inlineStr">
        <is>
          <t>2024.1Q</t>
        </is>
      </c>
      <c r="D122" s="5" t="inlineStr">
        <is>
          <t>2024.2Q</t>
        </is>
      </c>
      <c r="E122" s="5" t="inlineStr">
        <is>
          <t>2024.3Q</t>
        </is>
      </c>
      <c r="F122" s="5" t="inlineStr">
        <is>
          <t>2024.4Q</t>
        </is>
      </c>
      <c r="G122" s="5" t="inlineStr">
        <is>
          <t>2025.1Q</t>
        </is>
      </c>
      <c r="H122" s="5" t="inlineStr">
        <is>
          <t>2025.2Q</t>
        </is>
      </c>
      <c r="I122" s="5" t="inlineStr">
        <is>
          <t>2025.3Q</t>
        </is>
      </c>
      <c r="J122" s="5" t="inlineStr">
        <is>
          <t>2025.4Q</t>
        </is>
      </c>
      <c r="K122" s="5" t="inlineStr">
        <is>
          <t>2026.1Q</t>
        </is>
      </c>
      <c r="L122" s="5" t="inlineStr">
        <is>
          <t>2026.2Q</t>
        </is>
      </c>
      <c r="M122" s="5" t="inlineStr">
        <is>
          <t>2026.3Q</t>
        </is>
      </c>
      <c r="N122" s="5" t="inlineStr">
        <is>
          <t>2026.4Q</t>
        </is>
      </c>
      <c r="O122" s="5" t="inlineStr">
        <is>
          <t>2017</t>
        </is>
      </c>
      <c r="P122" s="5" t="inlineStr">
        <is>
          <t>2018</t>
        </is>
      </c>
      <c r="Q122" s="5" t="inlineStr">
        <is>
          <t>2019</t>
        </is>
      </c>
      <c r="R122" s="5" t="inlineStr">
        <is>
          <t>2020</t>
        </is>
      </c>
      <c r="S122" s="5" t="inlineStr">
        <is>
          <t>2021</t>
        </is>
      </c>
      <c r="T122" s="5" t="inlineStr">
        <is>
          <t>2022</t>
        </is>
      </c>
      <c r="U122" s="5" t="inlineStr">
        <is>
          <t>2023</t>
        </is>
      </c>
      <c r="V122" s="5" t="inlineStr">
        <is>
          <t>2024</t>
        </is>
      </c>
      <c r="W122" s="5" t="inlineStr">
        <is>
          <t>2025</t>
        </is>
      </c>
      <c r="X122" s="5" t="inlineStr">
        <is>
          <t>2026</t>
        </is>
      </c>
      <c r="Y122" s="5" t="inlineStr">
        <is>
          <t>2027(MW)</t>
        </is>
      </c>
      <c r="Z122" s="5" t="inlineStr">
        <is>
          <t>2028(MW)</t>
        </is>
      </c>
      <c r="AA122" s="5" t="inlineStr">
        <is>
          <t>2029(MW)</t>
        </is>
      </c>
      <c r="AB122" s="5" t="inlineStr">
        <is>
          <t>2030(MW)</t>
        </is>
      </c>
      <c r="AC122" s="5" t="inlineStr">
        <is>
          <t>2031(MW)</t>
        </is>
      </c>
    </row>
    <row r="123">
      <c r="A123" s="9" t="inlineStr">
        <is>
          <t>Profit Loss</t>
        </is>
      </c>
      <c r="C123" s="12" t="n">
        <v>6.824</v>
      </c>
      <c r="D123" s="12" t="n">
        <v>-32.302</v>
      </c>
      <c r="E123" s="12" t="n">
        <v>20.893</v>
      </c>
      <c r="F123" s="12" t="n">
        <v>-122.03</v>
      </c>
      <c r="G123" s="12" t="n">
        <v>-21.483</v>
      </c>
      <c r="H123" s="12" t="n">
        <v>-46.008</v>
      </c>
      <c r="I123" s="12" t="n">
        <v>35.164</v>
      </c>
      <c r="J123" s="12" t="n">
        <v>-48.995</v>
      </c>
      <c r="K123" s="12" t="n">
        <v>3.111</v>
      </c>
      <c r="L123" s="12" t="n">
        <v>38.454</v>
      </c>
      <c r="S123" s="12" t="n">
        <v>-712.111</v>
      </c>
      <c r="T123" s="12" t="n">
        <v>243.432</v>
      </c>
      <c r="U123" s="12" t="n">
        <v>168.342</v>
      </c>
      <c r="V123" s="12" t="n">
        <v>-122.03</v>
      </c>
      <c r="W123" s="12" t="n">
        <v>-48.995</v>
      </c>
    </row>
    <row r="124">
      <c r="A124" s="18" t="inlineStr">
        <is>
          <t>기타유가증권 평가차액</t>
        </is>
      </c>
      <c r="C124" s="20" t="n">
        <v>42.299</v>
      </c>
      <c r="D124" s="20" t="n">
        <v>-1.06</v>
      </c>
      <c r="E124" s="20" t="n">
        <v>-3.439</v>
      </c>
      <c r="F124" s="20" t="n">
        <v>-31.007</v>
      </c>
      <c r="G124" s="20" t="n">
        <v>-9.359</v>
      </c>
      <c r="H124" s="20" t="n">
        <v>14.615</v>
      </c>
      <c r="I124" s="20" t="n">
        <v>32.083</v>
      </c>
      <c r="J124" s="20" t="n">
        <v>33.304</v>
      </c>
      <c r="K124" s="20" t="n">
        <v>46.881</v>
      </c>
      <c r="L124" s="20" t="n">
        <v>41.185</v>
      </c>
      <c r="S124" s="20" t="n">
        <v>-35.797</v>
      </c>
      <c r="T124" s="20" t="n">
        <v>-30.296</v>
      </c>
      <c r="U124" s="20" t="n">
        <v>-3.746</v>
      </c>
      <c r="V124" s="20" t="n">
        <v>-31.007</v>
      </c>
      <c r="W124" s="20" t="n">
        <v>33.304</v>
      </c>
    </row>
    <row r="125">
      <c r="A125" s="18" t="inlineStr">
        <is>
          <t>해외사업환산조정</t>
        </is>
      </c>
      <c r="C125" s="20" t="n">
        <v>1.691</v>
      </c>
      <c r="D125" s="20" t="n">
        <v>4.535</v>
      </c>
      <c r="E125" s="20" t="n">
        <v>-5.291</v>
      </c>
      <c r="F125" s="20" t="n">
        <v>8.835000000000001</v>
      </c>
      <c r="G125" s="20" t="n">
        <v>-0.665</v>
      </c>
      <c r="H125" s="20" t="n">
        <v>-6.203</v>
      </c>
      <c r="I125" s="20" t="n">
        <v>-7.782</v>
      </c>
      <c r="J125" s="20" t="n">
        <v>21.315</v>
      </c>
      <c r="K125" s="20" t="n">
        <v>2.703</v>
      </c>
      <c r="L125" s="20" t="n">
        <v>1.687</v>
      </c>
      <c r="S125" s="20" t="n">
        <v>-8.978</v>
      </c>
      <c r="T125" s="20" t="n">
        <v>-5.23</v>
      </c>
      <c r="U125" s="20" t="n">
        <v>7.911</v>
      </c>
      <c r="V125" s="20" t="n">
        <v>8.835000000000001</v>
      </c>
      <c r="W125" s="20" t="n">
        <v>21.315</v>
      </c>
    </row>
    <row r="126">
      <c r="A126" s="18" t="inlineStr">
        <is>
          <t>기타포괄손익 합계</t>
        </is>
      </c>
      <c r="C126" s="20" t="n">
        <v>43.99</v>
      </c>
      <c r="D126" s="20" t="n">
        <v>3.476</v>
      </c>
      <c r="E126" s="20" t="n">
        <v>-8.731</v>
      </c>
      <c r="F126" s="20" t="n">
        <v>-22.172</v>
      </c>
      <c r="G126" s="20" t="n">
        <v>-10.025</v>
      </c>
      <c r="H126" s="20" t="n">
        <v>8.413</v>
      </c>
      <c r="I126" s="20" t="n">
        <v>24.301</v>
      </c>
      <c r="J126" s="20" t="n">
        <v>54.62</v>
      </c>
      <c r="K126" s="20" t="n">
        <v>49.584</v>
      </c>
      <c r="L126" s="20" t="n">
        <v>42.872</v>
      </c>
      <c r="S126" s="20" t="n">
        <v>-44.776</v>
      </c>
      <c r="T126" s="20" t="n">
        <v>-35.527</v>
      </c>
      <c r="U126" s="20" t="n">
        <v>4.165</v>
      </c>
      <c r="V126" s="20" t="n">
        <v>-22.172</v>
      </c>
      <c r="W126" s="20" t="n">
        <v>54.62</v>
      </c>
    </row>
    <row r="127">
      <c r="A127" s="9" t="inlineStr">
        <is>
          <t>포괄이익</t>
        </is>
      </c>
      <c r="C127" s="12" t="n">
        <v>50.815</v>
      </c>
      <c r="D127" s="12" t="n">
        <v>-28.828</v>
      </c>
      <c r="E127" s="12" t="n">
        <v>12.163</v>
      </c>
      <c r="F127" s="12" t="n">
        <v>-144.201</v>
      </c>
      <c r="G127" s="12" t="n">
        <v>-31.508</v>
      </c>
      <c r="H127" s="12" t="n">
        <v>-37.596</v>
      </c>
      <c r="I127" s="12" t="n">
        <v>59.466</v>
      </c>
      <c r="J127" s="12" t="n">
        <v>5.626</v>
      </c>
      <c r="K127" s="12" t="n">
        <v>52.696</v>
      </c>
      <c r="L127" s="12" t="n">
        <v>81.32599999999999</v>
      </c>
      <c r="S127" s="12" t="n">
        <v>-756.889</v>
      </c>
      <c r="T127" s="12" t="n">
        <v>207.906</v>
      </c>
      <c r="U127" s="12" t="n">
        <v>172.507</v>
      </c>
      <c r="V127" s="12" t="n">
        <v>-144.201</v>
      </c>
      <c r="W127" s="12" t="n">
        <v>5.626</v>
      </c>
    </row>
    <row r="128">
      <c r="A128" s="9" t="inlineStr">
        <is>
          <t>지배주주 포괄이익</t>
        </is>
      </c>
      <c r="C128" s="12" t="n">
        <v>50.055</v>
      </c>
      <c r="D128" s="12" t="n">
        <v>-29.266</v>
      </c>
      <c r="E128" s="12" t="n">
        <v>11.415</v>
      </c>
      <c r="F128" s="12" t="n">
        <v>-144.168</v>
      </c>
      <c r="G128" s="12" t="n">
        <v>-30.44</v>
      </c>
      <c r="H128" s="12" t="n">
        <v>-34.475</v>
      </c>
      <c r="I128" s="12" t="n">
        <v>58.044</v>
      </c>
      <c r="J128" s="12" t="n">
        <v>1.635</v>
      </c>
      <c r="K128" s="12" t="n">
        <v>50.9</v>
      </c>
      <c r="L128" s="12" t="n">
        <v>79.892</v>
      </c>
      <c r="S128" s="12" t="n">
        <v>-750.02</v>
      </c>
      <c r="T128" s="12" t="n">
        <v>211.334</v>
      </c>
      <c r="U128" s="12" t="n">
        <v>176.487</v>
      </c>
      <c r="V128" s="12" t="n">
        <v>-144.168</v>
      </c>
      <c r="W128" s="12" t="n">
        <v>1.635</v>
      </c>
    </row>
    <row r="129">
      <c r="A129" s="9" t="inlineStr">
        <is>
          <t>비지배주주 포괄이익</t>
        </is>
      </c>
      <c r="C129" s="12" t="n">
        <v>0.76</v>
      </c>
      <c r="D129" s="12" t="n">
        <v>0.438</v>
      </c>
      <c r="E129" s="12" t="n">
        <v>0.748</v>
      </c>
      <c r="F129" s="12" t="n">
        <v>-0.033</v>
      </c>
      <c r="G129" s="12" t="n">
        <v>-1.067</v>
      </c>
      <c r="H129" s="12" t="n">
        <v>-3.121</v>
      </c>
      <c r="I129" s="12" t="n">
        <v>1.421</v>
      </c>
      <c r="J129" s="12" t="n">
        <v>3.99</v>
      </c>
      <c r="K129" s="12" t="n">
        <v>1.795</v>
      </c>
      <c r="L129" s="12" t="n">
        <v>1.435</v>
      </c>
      <c r="S129" s="12" t="n">
        <v>-6.869</v>
      </c>
      <c r="T129" s="12" t="n">
        <v>-3.427</v>
      </c>
      <c r="U129" s="12" t="n">
        <v>-3.98</v>
      </c>
      <c r="V129" s="12" t="n">
        <v>-0.033</v>
      </c>
      <c r="W129" s="12" t="n">
        <v>3.99</v>
      </c>
    </row>
    <row r="131">
      <c r="A131" s="16" t="inlineStr">
        <is>
          <t>부문 · 전 항목</t>
        </is>
      </c>
      <c r="B131" s="42" t="inlineStr">
        <is>
          <t>부문 · 항목</t>
        </is>
      </c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2024.1Q</t>
        </is>
      </c>
      <c r="D132" s="5" t="inlineStr">
        <is>
          <t>2024.2Q</t>
        </is>
      </c>
      <c r="E132" s="5" t="inlineStr">
        <is>
          <t>2024.3Q</t>
        </is>
      </c>
      <c r="F132" s="5" t="inlineStr">
        <is>
          <t>2024.4Q</t>
        </is>
      </c>
      <c r="G132" s="5" t="inlineStr">
        <is>
          <t>2025.1Q</t>
        </is>
      </c>
      <c r="H132" s="5" t="inlineStr">
        <is>
          <t>2025.2Q</t>
        </is>
      </c>
      <c r="I132" s="5" t="inlineStr">
        <is>
          <t>2025.3Q</t>
        </is>
      </c>
      <c r="J132" s="5" t="inlineStr">
        <is>
          <t>2025.4Q</t>
        </is>
      </c>
      <c r="K132" s="5" t="inlineStr">
        <is>
          <t>2026.1Q</t>
        </is>
      </c>
      <c r="L132" s="5" t="inlineStr">
        <is>
          <t>2026.2Q</t>
        </is>
      </c>
      <c r="M132" s="5" t="inlineStr">
        <is>
          <t>2026.3Q</t>
        </is>
      </c>
      <c r="N132" s="5" t="inlineStr">
        <is>
          <t>2026.4Q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18" t="inlineStr">
        <is>
          <t>부문 · 외부 고객 매출</t>
        </is>
      </c>
      <c r="C133" s="20" t="n">
        <v>572.255</v>
      </c>
      <c r="D133" s="20" t="n">
        <v>580.651</v>
      </c>
      <c r="E133" s="20" t="n">
        <v>564.595</v>
      </c>
      <c r="F133" s="20" t="n">
        <v>701.874</v>
      </c>
      <c r="G133" s="20" t="n">
        <v>574.353</v>
      </c>
      <c r="H133" s="20" t="n">
        <v>584.717</v>
      </c>
      <c r="I133" s="20" t="n">
        <v>548.37</v>
      </c>
      <c r="J133" s="20" t="n">
        <v>559.268</v>
      </c>
      <c r="K133" s="20" t="n">
        <v>649.97</v>
      </c>
      <c r="L133" s="20" t="n">
        <v>673.0940000000001</v>
      </c>
      <c r="V133" s="20" t="n">
        <v>701.874</v>
      </c>
      <c r="W133" s="20" t="n">
        <v>559.268</v>
      </c>
    </row>
    <row r="134">
      <c r="A134" s="18" t="inlineStr">
        <is>
          <t>부문 · 외부 고객 매출</t>
        </is>
      </c>
      <c r="C134" s="20" t="n">
        <v>175.585</v>
      </c>
      <c r="D134" s="20" t="n">
        <v>173.913</v>
      </c>
      <c r="E134" s="20" t="n">
        <v>243.186</v>
      </c>
      <c r="F134" s="20" t="n">
        <v>-171.931</v>
      </c>
      <c r="G134" s="20" t="n">
        <v>77.95399999999999</v>
      </c>
      <c r="H134" s="20" t="n">
        <v>61.254</v>
      </c>
      <c r="I134" s="20" t="n">
        <v>80.82299999999999</v>
      </c>
      <c r="J134" s="20" t="n">
        <v>477.705</v>
      </c>
      <c r="K134" s="20" t="n">
        <v>76.842</v>
      </c>
      <c r="L134" s="20" t="n">
        <v>116.365</v>
      </c>
      <c r="V134" s="20" t="n">
        <v>-171.931</v>
      </c>
      <c r="W134" s="20" t="n">
        <v>477.705</v>
      </c>
    </row>
    <row r="135">
      <c r="A135" s="18" t="inlineStr">
        <is>
          <t>부문 · 외부 고객 매출</t>
        </is>
      </c>
      <c r="C135" s="20" t="n">
        <v>102.012</v>
      </c>
      <c r="D135" s="20" t="n">
        <v>90.459</v>
      </c>
      <c r="E135" s="20" t="n">
        <v>134.637</v>
      </c>
      <c r="F135" s="20" t="n">
        <v>69.611</v>
      </c>
      <c r="G135" s="20" t="n">
        <v>119.334</v>
      </c>
      <c r="H135" s="20" t="n">
        <v>97.19</v>
      </c>
      <c r="I135" s="20" t="n">
        <v>104.111</v>
      </c>
      <c r="J135" s="20" t="n">
        <v>101.201</v>
      </c>
      <c r="K135" s="20" t="n">
        <v>65.52</v>
      </c>
      <c r="L135" s="20" t="n">
        <v>133.173</v>
      </c>
      <c r="V135" s="20" t="n">
        <v>69.611</v>
      </c>
      <c r="W135" s="20" t="n">
        <v>101.201</v>
      </c>
    </row>
    <row r="136">
      <c r="A136" s="18" t="inlineStr">
        <is>
          <t>부문 · 외부 고객 매출</t>
        </is>
      </c>
      <c r="C136" s="20" t="n">
        <v>15.995</v>
      </c>
      <c r="D136" s="20" t="n">
        <v>49.354</v>
      </c>
      <c r="E136" s="20" t="n">
        <v>55.512</v>
      </c>
      <c r="F136" s="20" t="n">
        <v>53.756</v>
      </c>
      <c r="G136" s="20" t="n">
        <v>12.257</v>
      </c>
      <c r="H136" s="20" t="n">
        <v>80.099</v>
      </c>
      <c r="I136" s="20" t="n">
        <v>277.755</v>
      </c>
      <c r="J136" s="20" t="n">
        <v>-237.092</v>
      </c>
      <c r="K136" s="20" t="n">
        <v>28.43</v>
      </c>
      <c r="L136" s="20" t="n">
        <v>39.316</v>
      </c>
      <c r="V136" s="20" t="n">
        <v>53.756</v>
      </c>
      <c r="W136" s="20" t="n">
        <v>-237.092</v>
      </c>
    </row>
    <row r="137">
      <c r="A137" s="18" t="inlineStr">
        <is>
          <t>보고부문 합계 · 외부 고객 매출</t>
        </is>
      </c>
      <c r="C137" s="20" t="n">
        <v>865.849</v>
      </c>
      <c r="D137" s="20" t="n">
        <v>894.376</v>
      </c>
      <c r="E137" s="20" t="n">
        <v>997.932</v>
      </c>
      <c r="F137" s="20" t="n">
        <v>653.308</v>
      </c>
      <c r="G137" s="20" t="n">
        <v>783.899</v>
      </c>
      <c r="H137" s="20" t="n">
        <v>823.261</v>
      </c>
      <c r="I137" s="20" t="n">
        <v>1011.058</v>
      </c>
      <c r="J137" s="20" t="n">
        <v>901.082</v>
      </c>
      <c r="K137" s="20" t="n">
        <v>820.764</v>
      </c>
      <c r="L137" s="20" t="n">
        <v>961.948</v>
      </c>
      <c r="V137" s="20" t="n">
        <v>653.308</v>
      </c>
      <c r="W137" s="20" t="n">
        <v>901.082</v>
      </c>
    </row>
    <row r="138">
      <c r="A138" s="18" t="inlineStr">
        <is>
          <t>조정액 · 외부 고객 매출</t>
        </is>
      </c>
      <c r="C138" s="20" t="n">
        <v>0</v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J138" s="20" t="n">
        <v>0</v>
      </c>
      <c r="K138" s="20" t="n">
        <v>0</v>
      </c>
      <c r="L138" s="20" t="n">
        <v>0</v>
      </c>
      <c r="V138" s="20" t="n">
        <v>0</v>
      </c>
      <c r="W138" s="20" t="n">
        <v>0</v>
      </c>
    </row>
    <row r="139">
      <c r="A139" s="9" t="inlineStr">
        <is>
          <t>외부 고객 매출</t>
        </is>
      </c>
      <c r="C139" s="12" t="n">
        <v>865.849</v>
      </c>
      <c r="D139" s="12" t="n">
        <v>894.376</v>
      </c>
      <c r="E139" s="12" t="n">
        <v>997.932</v>
      </c>
      <c r="F139" s="12" t="n">
        <v>653.308</v>
      </c>
      <c r="G139" s="12" t="n">
        <v>783.899</v>
      </c>
      <c r="H139" s="12" t="n">
        <v>823.261</v>
      </c>
      <c r="I139" s="12" t="n">
        <v>1011.058</v>
      </c>
      <c r="J139" s="12" t="n">
        <v>901.082</v>
      </c>
      <c r="K139" s="12" t="n">
        <v>820.764</v>
      </c>
      <c r="L139" s="12" t="n">
        <v>961.948</v>
      </c>
      <c r="V139" s="12" t="n">
        <v>653.308</v>
      </c>
      <c r="W139" s="12" t="n">
        <v>901.082</v>
      </c>
    </row>
    <row r="140">
      <c r="A140" s="18" t="inlineStr">
        <is>
          <t>부문 · 부문 간 내부매출·대체</t>
        </is>
      </c>
      <c r="C140" s="20" t="n">
        <v>0</v>
      </c>
      <c r="D140" s="20" t="n">
        <v>0</v>
      </c>
      <c r="E140" s="20" t="n">
        <v>0</v>
      </c>
      <c r="F140" s="20" t="n">
        <v>0</v>
      </c>
      <c r="G140" s="20" t="n">
        <v>0</v>
      </c>
      <c r="H140" s="20" t="n">
        <v>0</v>
      </c>
      <c r="I140" s="20" t="n">
        <v>0</v>
      </c>
      <c r="J140" s="20" t="n">
        <v>0</v>
      </c>
      <c r="K140" s="20" t="n">
        <v>0</v>
      </c>
      <c r="L140" s="20" t="n">
        <v>0</v>
      </c>
      <c r="V140" s="20" t="n">
        <v>0</v>
      </c>
      <c r="W140" s="20" t="n">
        <v>0</v>
      </c>
    </row>
    <row r="141">
      <c r="A141" s="18" t="inlineStr">
        <is>
          <t>부문 · 부문 간 내부매출·대체</t>
        </is>
      </c>
      <c r="C141" s="20" t="n">
        <v>0</v>
      </c>
      <c r="D141" s="20" t="n">
        <v>0</v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0</v>
      </c>
      <c r="J141" s="20" t="n">
        <v>0</v>
      </c>
      <c r="K141" s="20" t="n">
        <v>0</v>
      </c>
      <c r="L141" s="20" t="n">
        <v>0</v>
      </c>
      <c r="V141" s="20" t="n">
        <v>0</v>
      </c>
      <c r="W141" s="20" t="n">
        <v>0</v>
      </c>
    </row>
    <row r="142">
      <c r="A142" s="18" t="inlineStr">
        <is>
          <t>부문 · 부문 간 내부매출·대체</t>
        </is>
      </c>
      <c r="C142" s="20" t="n">
        <v>0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  <c r="V142" s="20" t="n">
        <v>0</v>
      </c>
      <c r="W142" s="20" t="n">
        <v>0</v>
      </c>
    </row>
    <row r="143">
      <c r="A143" s="18" t="inlineStr">
        <is>
          <t>부문 · 부문 간 내부매출·대체</t>
        </is>
      </c>
      <c r="C143" s="20" t="n">
        <v>0.219</v>
      </c>
      <c r="D143" s="20" t="n">
        <v>0</v>
      </c>
      <c r="E143" s="20" t="n">
        <v>0</v>
      </c>
      <c r="F143" s="20" t="n">
        <v>0.755</v>
      </c>
      <c r="G143" s="20" t="n">
        <v>0</v>
      </c>
      <c r="H143" s="20" t="n">
        <v>0</v>
      </c>
      <c r="I143" s="20" t="n">
        <v>0</v>
      </c>
      <c r="J143" s="20" t="n">
        <v>0.219</v>
      </c>
      <c r="K143" s="20" t="n">
        <v>0</v>
      </c>
      <c r="L143" s="20" t="n">
        <v>0</v>
      </c>
      <c r="V143" s="20" t="n">
        <v>0.755</v>
      </c>
      <c r="W143" s="20" t="n">
        <v>0.219</v>
      </c>
    </row>
    <row r="144">
      <c r="A144" s="18" t="inlineStr">
        <is>
          <t>보고부문 합계 · 부문 간 내부매출·대체</t>
        </is>
      </c>
      <c r="C144" s="20" t="n">
        <v>0.219</v>
      </c>
      <c r="D144" s="20" t="n">
        <v>0</v>
      </c>
      <c r="E144" s="20" t="n">
        <v>0</v>
      </c>
      <c r="F144" s="20" t="n">
        <v>0.755</v>
      </c>
      <c r="G144" s="20" t="n">
        <v>0</v>
      </c>
      <c r="H144" s="20" t="n">
        <v>0</v>
      </c>
      <c r="I144" s="20" t="n">
        <v>0</v>
      </c>
      <c r="J144" s="20" t="n">
        <v>0.219</v>
      </c>
      <c r="K144" s="20" t="n">
        <v>0</v>
      </c>
      <c r="L144" s="20" t="n">
        <v>0</v>
      </c>
      <c r="V144" s="20" t="n">
        <v>0.755</v>
      </c>
      <c r="W144" s="20" t="n">
        <v>0.219</v>
      </c>
    </row>
    <row r="145">
      <c r="A145" s="18" t="inlineStr">
        <is>
          <t>조정액 · 부문 간 내부매출·대체</t>
        </is>
      </c>
      <c r="C145" s="20" t="n">
        <v>-0.219</v>
      </c>
      <c r="D145" s="20" t="n">
        <v>0</v>
      </c>
      <c r="E145" s="20" t="n">
        <v>0</v>
      </c>
      <c r="F145" s="20" t="n">
        <v>-0.755</v>
      </c>
      <c r="G145" s="20" t="n">
        <v>0</v>
      </c>
      <c r="H145" s="20" t="n">
        <v>0</v>
      </c>
      <c r="I145" s="20" t="n">
        <v>0</v>
      </c>
      <c r="J145" s="20" t="n">
        <v>-0.219</v>
      </c>
      <c r="K145" s="20" t="n">
        <v>0</v>
      </c>
      <c r="L145" s="20" t="n">
        <v>0</v>
      </c>
      <c r="V145" s="20" t="n">
        <v>-0.755</v>
      </c>
      <c r="W145" s="20" t="n">
        <v>-0.219</v>
      </c>
    </row>
    <row r="146">
      <c r="A146" s="18" t="inlineStr">
        <is>
          <t>부문 간 내부매출·대체</t>
        </is>
      </c>
      <c r="C146" s="20" t="n">
        <v>0</v>
      </c>
      <c r="D146" s="20" t="n">
        <v>0</v>
      </c>
      <c r="E146" s="20" t="n">
        <v>0</v>
      </c>
      <c r="F146" s="20" t="n">
        <v>0</v>
      </c>
      <c r="G146" s="20" t="n">
        <v>0</v>
      </c>
      <c r="H146" s="20" t="n">
        <v>0</v>
      </c>
      <c r="I146" s="20" t="n">
        <v>0</v>
      </c>
      <c r="J146" s="20" t="n">
        <v>0</v>
      </c>
      <c r="K146" s="20" t="n">
        <v>0</v>
      </c>
      <c r="L146" s="20" t="n">
        <v>0</v>
      </c>
      <c r="V146" s="20" t="n">
        <v>0</v>
      </c>
      <c r="W146" s="20" t="n">
        <v>0</v>
      </c>
    </row>
    <row r="147">
      <c r="A147" s="18" t="inlineStr">
        <is>
          <t>부문 · 계</t>
        </is>
      </c>
      <c r="C147" s="20" t="n">
        <v>572.255</v>
      </c>
      <c r="D147" s="20" t="n">
        <v>580.651</v>
      </c>
      <c r="E147" s="20" t="n">
        <v>564.595</v>
      </c>
      <c r="F147" s="20" t="n">
        <v>701.874</v>
      </c>
      <c r="G147" s="20" t="n">
        <v>574.353</v>
      </c>
      <c r="H147" s="20" t="n">
        <v>584.717</v>
      </c>
      <c r="I147" s="20" t="n">
        <v>548.37</v>
      </c>
      <c r="J147" s="20" t="n">
        <v>559.268</v>
      </c>
      <c r="K147" s="20" t="n">
        <v>649.97</v>
      </c>
      <c r="L147" s="20" t="n">
        <v>673.0940000000001</v>
      </c>
      <c r="V147" s="20" t="n">
        <v>701.874</v>
      </c>
      <c r="W147" s="20" t="n">
        <v>559.268</v>
      </c>
    </row>
    <row r="148">
      <c r="A148" s="18" t="inlineStr">
        <is>
          <t>부문 · 계</t>
        </is>
      </c>
      <c r="C148" s="20" t="n">
        <v>175.585</v>
      </c>
      <c r="D148" s="20" t="n">
        <v>173.913</v>
      </c>
      <c r="E148" s="20" t="n">
        <v>243.186</v>
      </c>
      <c r="F148" s="20" t="n">
        <v>-171.931</v>
      </c>
      <c r="G148" s="20" t="n">
        <v>77.95399999999999</v>
      </c>
      <c r="H148" s="20" t="n">
        <v>61.254</v>
      </c>
      <c r="I148" s="20" t="n">
        <v>80.82299999999999</v>
      </c>
      <c r="J148" s="20" t="n">
        <v>477.705</v>
      </c>
      <c r="K148" s="20" t="n">
        <v>76.842</v>
      </c>
      <c r="L148" s="20" t="n">
        <v>116.365</v>
      </c>
      <c r="V148" s="20" t="n">
        <v>-171.931</v>
      </c>
      <c r="W148" s="20" t="n">
        <v>477.705</v>
      </c>
    </row>
    <row r="149">
      <c r="A149" s="18" t="inlineStr">
        <is>
          <t>부문 · 계</t>
        </is>
      </c>
      <c r="C149" s="20" t="n">
        <v>102.012</v>
      </c>
      <c r="D149" s="20" t="n">
        <v>90.459</v>
      </c>
      <c r="E149" s="20" t="n">
        <v>134.637</v>
      </c>
      <c r="F149" s="20" t="n">
        <v>69.611</v>
      </c>
      <c r="G149" s="20" t="n">
        <v>119.334</v>
      </c>
      <c r="H149" s="20" t="n">
        <v>97.19</v>
      </c>
      <c r="I149" s="20" t="n">
        <v>104.111</v>
      </c>
      <c r="J149" s="20" t="n">
        <v>101.201</v>
      </c>
      <c r="K149" s="20" t="n">
        <v>65.52</v>
      </c>
      <c r="L149" s="20" t="n">
        <v>133.173</v>
      </c>
      <c r="V149" s="20" t="n">
        <v>69.611</v>
      </c>
      <c r="W149" s="20" t="n">
        <v>101.201</v>
      </c>
    </row>
    <row r="150">
      <c r="A150" s="18" t="inlineStr">
        <is>
          <t>부문 · 계</t>
        </is>
      </c>
      <c r="C150" s="20" t="n">
        <v>16.215</v>
      </c>
      <c r="D150" s="20" t="n">
        <v>49.353</v>
      </c>
      <c r="E150" s="20" t="n">
        <v>55.513</v>
      </c>
      <c r="F150" s="20" t="n">
        <v>54.51</v>
      </c>
      <c r="G150" s="20" t="n">
        <v>12.257</v>
      </c>
      <c r="H150" s="20" t="n">
        <v>80.099</v>
      </c>
      <c r="I150" s="20" t="n">
        <v>277.755</v>
      </c>
      <c r="J150" s="20" t="n">
        <v>-236.873</v>
      </c>
      <c r="K150" s="20" t="n">
        <v>28.43</v>
      </c>
      <c r="L150" s="20" t="n">
        <v>39.316</v>
      </c>
      <c r="V150" s="20" t="n">
        <v>54.51</v>
      </c>
      <c r="W150" s="20" t="n">
        <v>-236.873</v>
      </c>
    </row>
    <row r="151">
      <c r="A151" s="18" t="inlineStr">
        <is>
          <t>보고부문 합계 · 계</t>
        </is>
      </c>
      <c r="C151" s="20" t="n">
        <v>866.068</v>
      </c>
      <c r="D151" s="20" t="n">
        <v>894.376</v>
      </c>
      <c r="E151" s="20" t="n">
        <v>997.932</v>
      </c>
      <c r="F151" s="20" t="n">
        <v>654.063</v>
      </c>
      <c r="G151" s="20" t="n">
        <v>783.899</v>
      </c>
      <c r="H151" s="20" t="n">
        <v>823.261</v>
      </c>
      <c r="I151" s="20" t="n">
        <v>1011.058</v>
      </c>
      <c r="J151" s="20" t="n">
        <v>901.301</v>
      </c>
      <c r="K151" s="20" t="n">
        <v>820.764</v>
      </c>
      <c r="L151" s="20" t="n">
        <v>961.948</v>
      </c>
      <c r="V151" s="20" t="n">
        <v>654.063</v>
      </c>
      <c r="W151" s="20" t="n">
        <v>901.301</v>
      </c>
    </row>
    <row r="152">
      <c r="A152" s="18" t="inlineStr">
        <is>
          <t>조정액 · 계</t>
        </is>
      </c>
      <c r="C152" s="20" t="n">
        <v>-0.219</v>
      </c>
      <c r="D152" s="20" t="n">
        <v>0</v>
      </c>
      <c r="E152" s="20" t="n">
        <v>0</v>
      </c>
      <c r="F152" s="20" t="n">
        <v>-0.755</v>
      </c>
      <c r="G152" s="20" t="n">
        <v>0</v>
      </c>
      <c r="H152" s="20" t="n">
        <v>0</v>
      </c>
      <c r="I152" s="20" t="n">
        <v>0</v>
      </c>
      <c r="J152" s="20" t="n">
        <v>-0.219</v>
      </c>
      <c r="K152" s="20" t="n">
        <v>0</v>
      </c>
      <c r="L152" s="20" t="n">
        <v>0</v>
      </c>
      <c r="V152" s="20" t="n">
        <v>-0.755</v>
      </c>
      <c r="W152" s="20" t="n">
        <v>-0.219</v>
      </c>
    </row>
    <row r="153">
      <c r="A153" s="9" t="inlineStr">
        <is>
          <t>계</t>
        </is>
      </c>
      <c r="C153" s="12" t="n">
        <v>865.849</v>
      </c>
      <c r="D153" s="12" t="n">
        <v>894.376</v>
      </c>
      <c r="E153" s="12" t="n">
        <v>997.932</v>
      </c>
      <c r="F153" s="12" t="n">
        <v>653.308</v>
      </c>
      <c r="G153" s="12" t="n">
        <v>783.899</v>
      </c>
      <c r="H153" s="12" t="n">
        <v>823.261</v>
      </c>
      <c r="I153" s="12" t="n">
        <v>1011.058</v>
      </c>
      <c r="J153" s="12" t="n">
        <v>901.082</v>
      </c>
      <c r="K153" s="12" t="n">
        <v>820.764</v>
      </c>
      <c r="L153" s="12" t="n">
        <v>961.948</v>
      </c>
      <c r="V153" s="12" t="n">
        <v>653.308</v>
      </c>
      <c r="W153" s="12" t="n">
        <v>901.082</v>
      </c>
    </row>
    <row r="154">
      <c r="A154" s="18" t="inlineStr">
        <is>
          <t>부문 · 부문 이익(손실)</t>
        </is>
      </c>
      <c r="C154" s="20" t="n">
        <v>102.564</v>
      </c>
      <c r="D154" s="20" t="n">
        <v>61.148</v>
      </c>
      <c r="E154" s="20" t="n">
        <v>80.17400000000001</v>
      </c>
      <c r="F154" s="20" t="n">
        <v>155.358</v>
      </c>
      <c r="G154" s="20" t="n">
        <v>97.246</v>
      </c>
      <c r="H154" s="20" t="n">
        <v>115.904</v>
      </c>
      <c r="I154" s="20" t="n">
        <v>93.089</v>
      </c>
      <c r="J154" s="20" t="n">
        <v>26.564</v>
      </c>
      <c r="K154" s="20" t="n">
        <v>158.827</v>
      </c>
      <c r="L154" s="20" t="n">
        <v>136.731</v>
      </c>
      <c r="V154" s="20" t="n">
        <v>155.358</v>
      </c>
      <c r="W154" s="20" t="n">
        <v>26.564</v>
      </c>
    </row>
    <row r="155">
      <c r="A155" s="18" t="inlineStr">
        <is>
          <t>부문 · 부문 이익(손실)</t>
        </is>
      </c>
      <c r="C155" s="20" t="n">
        <v>18.803</v>
      </c>
      <c r="D155" s="20" t="n">
        <v>12.857</v>
      </c>
      <c r="E155" s="20" t="n">
        <v>24.595</v>
      </c>
      <c r="F155" s="20" t="n">
        <v>-150.815</v>
      </c>
      <c r="G155" s="20" t="n">
        <v>-39.937</v>
      </c>
      <c r="H155" s="20" t="n">
        <v>-30.22</v>
      </c>
      <c r="I155" s="20" t="n">
        <v>-17.631</v>
      </c>
      <c r="J155" s="20" t="n">
        <v>110.743</v>
      </c>
      <c r="K155" s="20" t="n">
        <v>-28.166</v>
      </c>
      <c r="L155" s="20" t="n">
        <v>-5.772</v>
      </c>
      <c r="V155" s="20" t="n">
        <v>-150.815</v>
      </c>
      <c r="W155" s="20" t="n">
        <v>110.743</v>
      </c>
    </row>
    <row r="156">
      <c r="A156" s="18" t="inlineStr">
        <is>
          <t>부문 · 부문 이익(손실)</t>
        </is>
      </c>
      <c r="C156" s="20" t="n">
        <v>8.965999999999999</v>
      </c>
      <c r="D156" s="20" t="n">
        <v>7.526</v>
      </c>
      <c r="E156" s="20" t="n">
        <v>36.912</v>
      </c>
      <c r="F156" s="20" t="n">
        <v>-3.828</v>
      </c>
      <c r="G156" s="20" t="n">
        <v>22.907</v>
      </c>
      <c r="H156" s="20" t="n">
        <v>9.861000000000001</v>
      </c>
      <c r="I156" s="20" t="n">
        <v>19.718</v>
      </c>
      <c r="J156" s="20" t="n">
        <v>17.249</v>
      </c>
      <c r="K156" s="20" t="n">
        <v>5.319</v>
      </c>
      <c r="L156" s="20" t="n">
        <v>35.308</v>
      </c>
      <c r="V156" s="20" t="n">
        <v>-3.828</v>
      </c>
      <c r="W156" s="20" t="n">
        <v>17.249</v>
      </c>
    </row>
    <row r="157">
      <c r="A157" s="18" t="inlineStr">
        <is>
          <t>부문 · 부문 이익(손실)</t>
        </is>
      </c>
      <c r="C157" s="20" t="n">
        <v>-13.909</v>
      </c>
      <c r="D157" s="20" t="n">
        <v>-5.657</v>
      </c>
      <c r="E157" s="20" t="n">
        <v>-0.189</v>
      </c>
      <c r="F157" s="20" t="n">
        <v>-20.508</v>
      </c>
      <c r="G157" s="20" t="n">
        <v>-12.568</v>
      </c>
      <c r="H157" s="20" t="n">
        <v>10.597</v>
      </c>
      <c r="I157" s="20" t="n">
        <v>29.494</v>
      </c>
      <c r="J157" s="20" t="n">
        <v>-57.091</v>
      </c>
      <c r="K157" s="20" t="n">
        <v>-6.845</v>
      </c>
      <c r="L157" s="20" t="n">
        <v>1.045</v>
      </c>
      <c r="V157" s="20" t="n">
        <v>-20.508</v>
      </c>
      <c r="W157" s="20" t="n">
        <v>-57.091</v>
      </c>
    </row>
    <row r="158">
      <c r="A158" s="18" t="inlineStr">
        <is>
          <t>보고부문 합계 · 부문 이익(손실)</t>
        </is>
      </c>
      <c r="C158" s="20" t="n">
        <v>116.424</v>
      </c>
      <c r="D158" s="20" t="n">
        <v>75.875</v>
      </c>
      <c r="E158" s="20" t="n">
        <v>141.492</v>
      </c>
      <c r="F158" s="20" t="n">
        <v>-19.794</v>
      </c>
      <c r="G158" s="20" t="n">
        <v>67.648</v>
      </c>
      <c r="H158" s="20" t="n">
        <v>106.142</v>
      </c>
      <c r="I158" s="20" t="n">
        <v>124.671</v>
      </c>
      <c r="J158" s="20" t="n">
        <v>97.465</v>
      </c>
      <c r="K158" s="20" t="n">
        <v>129.135</v>
      </c>
      <c r="L158" s="20" t="n">
        <v>167.311</v>
      </c>
      <c r="V158" s="20" t="n">
        <v>-19.794</v>
      </c>
      <c r="W158" s="20" t="n">
        <v>97.465</v>
      </c>
    </row>
    <row r="159">
      <c r="A159" s="18" t="inlineStr">
        <is>
          <t>조정액 · 부문 이익(손실)</t>
        </is>
      </c>
      <c r="C159" s="20" t="n">
        <v>-114.656</v>
      </c>
      <c r="D159" s="20" t="n">
        <v>-112.108</v>
      </c>
      <c r="E159" s="20" t="n">
        <v>-110.337</v>
      </c>
      <c r="F159" s="20" t="n">
        <v>-118.769</v>
      </c>
      <c r="G159" s="20" t="n">
        <v>-127.177</v>
      </c>
      <c r="H159" s="20" t="n">
        <v>-104.049</v>
      </c>
      <c r="I159" s="20" t="n">
        <v>-100.385</v>
      </c>
      <c r="J159" s="20" t="n">
        <v>-118.403</v>
      </c>
      <c r="K159" s="20" t="n">
        <v>-104.975</v>
      </c>
      <c r="L159" s="20" t="n">
        <v>-108.093</v>
      </c>
      <c r="V159" s="20" t="n">
        <v>-118.769</v>
      </c>
      <c r="W159" s="20" t="n">
        <v>-118.403</v>
      </c>
    </row>
    <row r="160">
      <c r="A160" s="9" t="inlineStr">
        <is>
          <t>부문 이익(손실)</t>
        </is>
      </c>
      <c r="C160" s="12" t="n">
        <v>1.767</v>
      </c>
      <c r="D160" s="12" t="n">
        <v>-36.232</v>
      </c>
      <c r="E160" s="12" t="n">
        <v>31.156</v>
      </c>
      <c r="F160" s="12" t="n">
        <v>-138.564</v>
      </c>
      <c r="G160" s="12" t="n">
        <v>-59.528</v>
      </c>
      <c r="H160" s="12" t="n">
        <v>2.093</v>
      </c>
      <c r="I160" s="12" t="n">
        <v>24.286</v>
      </c>
      <c r="J160" s="12" t="n">
        <v>-20.939</v>
      </c>
      <c r="K160" s="12" t="n">
        <v>24.16</v>
      </c>
      <c r="L160" s="12" t="n">
        <v>59.218</v>
      </c>
      <c r="V160" s="12" t="n">
        <v>-138.564</v>
      </c>
      <c r="W160" s="12" t="n">
        <v>-20.939</v>
      </c>
    </row>
    <row r="162">
      <c r="A162" s="16" t="inlineStr">
        <is>
          <t>현금흐름표 · 전 항목</t>
        </is>
      </c>
      <c r="B162" s="42" t="inlineStr">
        <is>
          <t>분기 = 결산기 첫날부터 누계(공시 그대로)</t>
        </is>
      </c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</row>
    <row r="163">
      <c r="A163" s="5" t="inlineStr">
        <is>
          <t>항목</t>
        </is>
      </c>
      <c r="B163" s="5" t="inlineStr">
        <is>
          <t>참고</t>
        </is>
      </c>
      <c r="C163" s="5" t="inlineStr">
        <is>
          <t>2024.1Q</t>
        </is>
      </c>
      <c r="D163" s="5" t="inlineStr">
        <is>
          <t>2024.2Q</t>
        </is>
      </c>
      <c r="E163" s="5" t="inlineStr">
        <is>
          <t>2024.3Q</t>
        </is>
      </c>
      <c r="F163" s="5" t="inlineStr">
        <is>
          <t>2024.4Q</t>
        </is>
      </c>
      <c r="G163" s="5" t="inlineStr">
        <is>
          <t>2025.1Q</t>
        </is>
      </c>
      <c r="H163" s="5" t="inlineStr">
        <is>
          <t>2025.2Q</t>
        </is>
      </c>
      <c r="I163" s="5" t="inlineStr">
        <is>
          <t>2025.3Q</t>
        </is>
      </c>
      <c r="J163" s="5" t="inlineStr">
        <is>
          <t>2025.4Q</t>
        </is>
      </c>
      <c r="K163" s="5" t="inlineStr">
        <is>
          <t>2026.1Q</t>
        </is>
      </c>
      <c r="L163" s="5" t="inlineStr">
        <is>
          <t>2026.2Q</t>
        </is>
      </c>
      <c r="M163" s="5" t="inlineStr">
        <is>
          <t>2026.3Q</t>
        </is>
      </c>
      <c r="N163" s="5" t="inlineStr">
        <is>
          <t>2026.4Q</t>
        </is>
      </c>
      <c r="O163" s="5" t="inlineStr">
        <is>
          <t>2017</t>
        </is>
      </c>
      <c r="P163" s="5" t="inlineStr">
        <is>
          <t>2018</t>
        </is>
      </c>
      <c r="Q163" s="5" t="inlineStr">
        <is>
          <t>2019</t>
        </is>
      </c>
      <c r="R163" s="5" t="inlineStr">
        <is>
          <t>2020</t>
        </is>
      </c>
      <c r="S163" s="5" t="inlineStr">
        <is>
          <t>2021</t>
        </is>
      </c>
      <c r="T163" s="5" t="inlineStr">
        <is>
          <t>2022</t>
        </is>
      </c>
      <c r="U163" s="5" t="inlineStr">
        <is>
          <t>2023</t>
        </is>
      </c>
      <c r="V163" s="5" t="inlineStr">
        <is>
          <t>2024</t>
        </is>
      </c>
      <c r="W163" s="5" t="inlineStr">
        <is>
          <t>2025</t>
        </is>
      </c>
      <c r="X163" s="5" t="inlineStr">
        <is>
          <t>2026</t>
        </is>
      </c>
      <c r="Y163" s="5" t="inlineStr">
        <is>
          <t>2027(MW)</t>
        </is>
      </c>
      <c r="Z163" s="5" t="inlineStr">
        <is>
          <t>2028(MW)</t>
        </is>
      </c>
      <c r="AA163" s="5" t="inlineStr">
        <is>
          <t>2029(MW)</t>
        </is>
      </c>
      <c r="AB163" s="5" t="inlineStr">
        <is>
          <t>2030(MW)</t>
        </is>
      </c>
      <c r="AC163" s="5" t="inlineStr">
        <is>
          <t>2031(MW)</t>
        </is>
      </c>
    </row>
    <row r="164">
      <c r="A164" s="9" t="inlineStr">
        <is>
          <t>Income Before Income Taxes</t>
        </is>
      </c>
      <c r="D164" s="12" t="n">
        <v>-35.136</v>
      </c>
      <c r="F164" s="12" t="n">
        <v>-122.762</v>
      </c>
      <c r="H164" s="12" t="n">
        <v>-59.563</v>
      </c>
      <c r="J164" s="12" t="n">
        <v>-50.352</v>
      </c>
      <c r="L164" s="12" t="n">
        <v>70.73099999999999</v>
      </c>
      <c r="N164" s="12" t="n">
        <v>169.125</v>
      </c>
      <c r="O164" s="12" t="n">
        <v>-13.928</v>
      </c>
      <c r="P164" s="12" t="n">
        <v>10.607</v>
      </c>
      <c r="Q164" s="12" t="n">
        <v>125.642</v>
      </c>
      <c r="R164" s="12" t="n">
        <v>-60.724</v>
      </c>
      <c r="S164" s="12" t="n">
        <v>-616.295</v>
      </c>
      <c r="T164" s="12" t="n">
        <v>258.347</v>
      </c>
      <c r="U164" s="12" t="n">
        <v>42.687</v>
      </c>
      <c r="V164" s="12" t="n">
        <v>-122.762</v>
      </c>
      <c r="W164" s="12" t="n">
        <v>-50.352</v>
      </c>
      <c r="X164" s="12" t="n">
        <v>169.125</v>
      </c>
    </row>
    <row r="165">
      <c r="A165" s="18" t="inlineStr">
        <is>
          <t>감가상각비</t>
        </is>
      </c>
      <c r="D165" s="20" t="n">
        <v>67.721</v>
      </c>
      <c r="F165" s="20" t="n">
        <v>117.797</v>
      </c>
      <c r="H165" s="20" t="n">
        <v>61.792</v>
      </c>
      <c r="J165" s="20" t="n">
        <v>140.288</v>
      </c>
      <c r="L165" s="20" t="n">
        <v>52.278</v>
      </c>
      <c r="N165" s="20" t="n">
        <v>126.503</v>
      </c>
      <c r="O165" s="20" t="n">
        <v>160.162</v>
      </c>
      <c r="P165" s="20" t="n">
        <v>128.606</v>
      </c>
      <c r="Q165" s="20" t="n">
        <v>108.881</v>
      </c>
      <c r="R165" s="20" t="n">
        <v>107.797</v>
      </c>
      <c r="S165" s="20" t="n">
        <v>111.927</v>
      </c>
      <c r="T165" s="20" t="n">
        <v>126.822</v>
      </c>
      <c r="U165" s="20" t="n">
        <v>105.953</v>
      </c>
      <c r="V165" s="20" t="n">
        <v>117.797</v>
      </c>
      <c r="W165" s="20" t="n">
        <v>140.288</v>
      </c>
      <c r="X165" s="20" t="n">
        <v>126.503</v>
      </c>
    </row>
    <row r="166">
      <c r="A166" s="18" t="inlineStr">
        <is>
          <t>손상차손</t>
        </is>
      </c>
      <c r="F166" s="20" t="n">
        <v>14.479</v>
      </c>
      <c r="J166" s="20" t="n">
        <v>3.206</v>
      </c>
      <c r="N166" s="20" t="n">
        <v>3.957</v>
      </c>
      <c r="O166" s="20" t="n">
        <v>107.545</v>
      </c>
      <c r="P166" s="20" t="n">
        <v>11.232</v>
      </c>
      <c r="Q166" s="20" t="n">
        <v>6.439</v>
      </c>
      <c r="R166" s="20" t="n">
        <v>15.298</v>
      </c>
      <c r="S166" s="20" t="n">
        <v>282.006</v>
      </c>
      <c r="T166" s="20" t="n">
        <v>5.281</v>
      </c>
      <c r="U166" s="20" t="n">
        <v>3.831</v>
      </c>
      <c r="V166" s="20" t="n">
        <v>14.479</v>
      </c>
      <c r="W166" s="20" t="n">
        <v>3.206</v>
      </c>
      <c r="X166" s="20" t="n">
        <v>3.957</v>
      </c>
    </row>
    <row r="167">
      <c r="A167" s="18" t="inlineStr">
        <is>
          <t>투자유가증권 평가손익</t>
        </is>
      </c>
      <c r="D167" s="20" t="n">
        <v>0</v>
      </c>
      <c r="F167" s="20" t="n">
        <v>0.075</v>
      </c>
      <c r="J167" s="20" t="n">
        <v>0</v>
      </c>
      <c r="O167" s="20" t="n">
        <v>0.02</v>
      </c>
      <c r="P167" s="20" t="n">
        <v>0</v>
      </c>
      <c r="Q167" s="20" t="n">
        <v>0.01</v>
      </c>
      <c r="R167" s="20" t="n">
        <v>1.357</v>
      </c>
      <c r="S167" s="20" t="n">
        <v>20.005</v>
      </c>
      <c r="T167" s="20" t="n">
        <v>0</v>
      </c>
      <c r="U167" s="20" t="n">
        <v>0</v>
      </c>
      <c r="V167" s="20" t="n">
        <v>0.075</v>
      </c>
      <c r="W167" s="20" t="n">
        <v>0</v>
      </c>
    </row>
    <row r="168">
      <c r="A168" s="18" t="inlineStr">
        <is>
          <t>임원 퇴직위로 충당금 증감</t>
        </is>
      </c>
      <c r="O168" s="20" t="n">
        <v>9.378</v>
      </c>
      <c r="P168" s="20" t="n">
        <v>9.385</v>
      </c>
      <c r="Q168" s="20" t="n">
        <v>-5.33</v>
      </c>
      <c r="R168" s="20" t="n">
        <v>0</v>
      </c>
      <c r="S168" s="20" t="n">
        <v>0</v>
      </c>
      <c r="T168" s="20" t="n">
        <v>-16.674</v>
      </c>
      <c r="U168" s="20" t="n">
        <v>0</v>
      </c>
    </row>
    <row r="169">
      <c r="A169" s="18" t="inlineStr">
        <is>
          <t>제품보증 충당금 증감</t>
        </is>
      </c>
      <c r="D169" s="20" t="n">
        <v>0.286</v>
      </c>
      <c r="F169" s="20" t="n">
        <v>0.4</v>
      </c>
      <c r="H169" s="20" t="n">
        <v>-0.194</v>
      </c>
      <c r="J169" s="20" t="n">
        <v>-0.13</v>
      </c>
      <c r="L169" s="20" t="n">
        <v>0.114</v>
      </c>
      <c r="N169" s="20" t="n">
        <v>0.12</v>
      </c>
      <c r="O169" s="20" t="n">
        <v>0.87</v>
      </c>
      <c r="P169" s="20" t="n">
        <v>-0.44</v>
      </c>
      <c r="Q169" s="20" t="n">
        <v>0.96</v>
      </c>
      <c r="R169" s="20" t="n">
        <v>-0.84</v>
      </c>
      <c r="S169" s="20" t="n">
        <v>2.192</v>
      </c>
      <c r="T169" s="20" t="n">
        <v>-2.912</v>
      </c>
      <c r="U169" s="20" t="n">
        <v>-0.38</v>
      </c>
      <c r="V169" s="20" t="n">
        <v>0.4</v>
      </c>
      <c r="W169" s="20" t="n">
        <v>-0.13</v>
      </c>
      <c r="X169" s="20" t="n">
        <v>0.12</v>
      </c>
    </row>
    <row r="170">
      <c r="A170" s="18" t="inlineStr">
        <is>
          <t>대손충당금 증감</t>
        </is>
      </c>
      <c r="D170" s="20" t="n">
        <v>-0.187</v>
      </c>
      <c r="F170" s="20" t="n">
        <v>-0.361</v>
      </c>
      <c r="H170" s="20" t="n">
        <v>-0.157</v>
      </c>
      <c r="J170" s="20" t="n">
        <v>-0.373</v>
      </c>
      <c r="L170" s="20" t="n">
        <v>-0.468</v>
      </c>
      <c r="N170" s="20" t="n">
        <v>-0.054</v>
      </c>
      <c r="O170" s="20" t="n">
        <v>-0.031</v>
      </c>
      <c r="P170" s="20" t="n">
        <v>-0.5</v>
      </c>
      <c r="Q170" s="20" t="n">
        <v>-0.252</v>
      </c>
      <c r="R170" s="20" t="n">
        <v>-1.135</v>
      </c>
      <c r="S170" s="20" t="n">
        <v>0.8179999999999999</v>
      </c>
      <c r="T170" s="20" t="n">
        <v>-1.302</v>
      </c>
      <c r="U170" s="20" t="n">
        <v>-0.316</v>
      </c>
      <c r="V170" s="20" t="n">
        <v>-0.361</v>
      </c>
      <c r="W170" s="20" t="n">
        <v>-0.373</v>
      </c>
      <c r="X170" s="20" t="n">
        <v>-0.054</v>
      </c>
    </row>
    <row r="171">
      <c r="A171" s="18" t="inlineStr">
        <is>
          <t>퇴직급여부채 증감</t>
        </is>
      </c>
      <c r="D171" s="20" t="n">
        <v>8.26</v>
      </c>
      <c r="F171" s="20" t="n">
        <v>18.305</v>
      </c>
      <c r="H171" s="20" t="n">
        <v>-17.978</v>
      </c>
      <c r="J171" s="20" t="n">
        <v>19.014</v>
      </c>
      <c r="L171" s="20" t="n">
        <v>10.263</v>
      </c>
      <c r="N171" s="20" t="n">
        <v>-6.321</v>
      </c>
      <c r="O171" s="20" t="n">
        <v>41.657</v>
      </c>
      <c r="P171" s="20" t="n">
        <v>27.357</v>
      </c>
      <c r="Q171" s="20" t="n">
        <v>36.786</v>
      </c>
      <c r="R171" s="20" t="n">
        <v>15.165</v>
      </c>
      <c r="S171" s="20" t="n">
        <v>40.52</v>
      </c>
      <c r="T171" s="20" t="n">
        <v>-9.164</v>
      </c>
      <c r="U171" s="20" t="n">
        <v>21.528</v>
      </c>
      <c r="V171" s="20" t="n">
        <v>18.305</v>
      </c>
      <c r="W171" s="20" t="n">
        <v>19.014</v>
      </c>
      <c r="X171" s="20" t="n">
        <v>-6.321</v>
      </c>
    </row>
    <row r="172">
      <c r="A172" s="18" t="inlineStr">
        <is>
          <t>이자·배당금 수익</t>
        </is>
      </c>
      <c r="D172" s="20" t="n">
        <v>-1.447</v>
      </c>
      <c r="F172" s="20" t="n">
        <v>-8.227</v>
      </c>
      <c r="H172" s="20" t="n">
        <v>-0.6879999999999999</v>
      </c>
      <c r="J172" s="20" t="n">
        <v>-11.119</v>
      </c>
      <c r="L172" s="20" t="n">
        <v>-0.615</v>
      </c>
      <c r="N172" s="20" t="n">
        <v>-15.106</v>
      </c>
      <c r="O172" s="20" t="n">
        <v>-7.88</v>
      </c>
      <c r="P172" s="20" t="n">
        <v>-7.72</v>
      </c>
      <c r="Q172" s="20" t="n">
        <v>-7.776</v>
      </c>
      <c r="R172" s="20" t="n">
        <v>-7.946</v>
      </c>
      <c r="S172" s="20" t="n">
        <v>-7.317</v>
      </c>
      <c r="T172" s="20" t="n">
        <v>-7.239</v>
      </c>
      <c r="U172" s="20" t="n">
        <v>-9.786</v>
      </c>
      <c r="V172" s="20" t="n">
        <v>-8.227</v>
      </c>
      <c r="W172" s="20" t="n">
        <v>-11.119</v>
      </c>
      <c r="X172" s="20" t="n">
        <v>-15.106</v>
      </c>
    </row>
    <row r="173">
      <c r="A173" s="18" t="inlineStr">
        <is>
          <t>보험 해약환급금</t>
        </is>
      </c>
      <c r="J173" s="20" t="n">
        <v>0</v>
      </c>
      <c r="N173" s="20" t="n">
        <v>-8.044</v>
      </c>
      <c r="O173" s="20" t="n">
        <v>0</v>
      </c>
      <c r="P173" s="20" t="n">
        <v>-28.497</v>
      </c>
      <c r="Q173" s="20" t="n">
        <v>-0.819</v>
      </c>
      <c r="R173" s="20" t="n">
        <v>0</v>
      </c>
      <c r="W173" s="20" t="n">
        <v>0</v>
      </c>
      <c r="X173" s="20" t="n">
        <v>-8.044</v>
      </c>
    </row>
    <row r="174">
      <c r="A174" s="18" t="inlineStr">
        <is>
          <t>이자비용</t>
        </is>
      </c>
      <c r="D174" s="20" t="n">
        <v>5.275</v>
      </c>
      <c r="F174" s="20" t="n">
        <v>9.595000000000001</v>
      </c>
      <c r="H174" s="20" t="n">
        <v>6.839</v>
      </c>
      <c r="J174" s="20" t="n">
        <v>10.871</v>
      </c>
      <c r="L174" s="20" t="n">
        <v>7.326</v>
      </c>
      <c r="N174" s="20" t="n">
        <v>13.245</v>
      </c>
      <c r="O174" s="20" t="n">
        <v>13.935</v>
      </c>
      <c r="P174" s="20" t="n">
        <v>11.796</v>
      </c>
      <c r="Q174" s="20" t="n">
        <v>10.153</v>
      </c>
      <c r="R174" s="20" t="n">
        <v>9.074</v>
      </c>
      <c r="S174" s="20" t="n">
        <v>9.734999999999999</v>
      </c>
      <c r="T174" s="20" t="n">
        <v>10.072</v>
      </c>
      <c r="U174" s="20" t="n">
        <v>9.69</v>
      </c>
      <c r="V174" s="20" t="n">
        <v>9.595000000000001</v>
      </c>
      <c r="W174" s="20" t="n">
        <v>10.871</v>
      </c>
      <c r="X174" s="20" t="n">
        <v>13.245</v>
      </c>
    </row>
    <row r="175">
      <c r="A175" s="18" t="inlineStr">
        <is>
          <t>보조금 수입</t>
        </is>
      </c>
      <c r="D175" s="20" t="n">
        <v>-2.515</v>
      </c>
      <c r="F175" s="20" t="n">
        <v>-9.262</v>
      </c>
      <c r="H175" s="20" t="n">
        <v>-1.475</v>
      </c>
      <c r="J175" s="20" t="n">
        <v>-3.777</v>
      </c>
      <c r="L175" s="20" t="n">
        <v>-1.1</v>
      </c>
      <c r="N175" s="20" t="n">
        <v>-1.875</v>
      </c>
      <c r="R175" s="20" t="n">
        <v>-2.695</v>
      </c>
      <c r="S175" s="20" t="n">
        <v>-99.97499999999999</v>
      </c>
      <c r="T175" s="20" t="n">
        <v>-110.088</v>
      </c>
      <c r="U175" s="20" t="n">
        <v>-40.224</v>
      </c>
      <c r="V175" s="20" t="n">
        <v>-9.262</v>
      </c>
      <c r="W175" s="20" t="n">
        <v>-3.777</v>
      </c>
      <c r="X175" s="20" t="n">
        <v>-1.875</v>
      </c>
    </row>
    <row r="176">
      <c r="A176" s="18" t="inlineStr">
        <is>
          <t>보조금 수입</t>
        </is>
      </c>
      <c r="D176" s="20" t="n">
        <v>-8.366</v>
      </c>
      <c r="F176" s="20" t="n">
        <v>-98.723</v>
      </c>
      <c r="H176" s="20" t="n">
        <v>0</v>
      </c>
      <c r="J176" s="20" t="n">
        <v>-8.366</v>
      </c>
      <c r="N176" s="20" t="n">
        <v>0</v>
      </c>
      <c r="T176" s="20" t="n">
        <v>0</v>
      </c>
      <c r="U176" s="20" t="n">
        <v>-5</v>
      </c>
      <c r="V176" s="20" t="n">
        <v>-98.723</v>
      </c>
      <c r="W176" s="20" t="n">
        <v>-8.366</v>
      </c>
      <c r="X176" s="20" t="n">
        <v>0</v>
      </c>
    </row>
    <row r="177">
      <c r="A177" s="18" t="inlineStr">
        <is>
          <t>투자유가증권 매각손익</t>
        </is>
      </c>
      <c r="D177" s="20" t="n">
        <v>0</v>
      </c>
      <c r="H177" s="20" t="n">
        <v>-44.754</v>
      </c>
      <c r="J177" s="20" t="n">
        <v>-0.137</v>
      </c>
      <c r="L177" s="20" t="n">
        <v>0</v>
      </c>
      <c r="N177" s="20" t="n">
        <v>-44.754</v>
      </c>
      <c r="W177" s="20" t="n">
        <v>-0.137</v>
      </c>
      <c r="X177" s="20" t="n">
        <v>-44.754</v>
      </c>
    </row>
    <row r="178">
      <c r="A178" s="18" t="inlineStr">
        <is>
          <t>고정자산 제각손실</t>
        </is>
      </c>
      <c r="D178" s="20" t="n">
        <v>0.04</v>
      </c>
      <c r="F178" s="20" t="n">
        <v>0.13</v>
      </c>
      <c r="H178" s="20" t="n">
        <v>0</v>
      </c>
      <c r="J178" s="20" t="n">
        <v>0.04</v>
      </c>
      <c r="L178" s="20" t="n">
        <v>0</v>
      </c>
      <c r="N178" s="20" t="n">
        <v>0.01</v>
      </c>
      <c r="O178" s="20" t="n">
        <v>0.38</v>
      </c>
      <c r="P178" s="20" t="n">
        <v>0.103</v>
      </c>
      <c r="Q178" s="20" t="n">
        <v>0.323</v>
      </c>
      <c r="R178" s="20" t="n">
        <v>0.076</v>
      </c>
      <c r="S178" s="20" t="n">
        <v>0.039</v>
      </c>
      <c r="T178" s="20" t="n">
        <v>0</v>
      </c>
      <c r="U178" s="20" t="n">
        <v>0.149</v>
      </c>
      <c r="V178" s="20" t="n">
        <v>0.13</v>
      </c>
      <c r="W178" s="20" t="n">
        <v>0.04</v>
      </c>
      <c r="X178" s="20" t="n">
        <v>0.01</v>
      </c>
    </row>
    <row r="179">
      <c r="A179" s="18" t="inlineStr">
        <is>
          <t>고정자산 압축손실</t>
        </is>
      </c>
      <c r="D179" s="20" t="n">
        <v>8.366</v>
      </c>
      <c r="F179" s="20" t="n">
        <v>98.723</v>
      </c>
      <c r="H179" s="20" t="n">
        <v>0</v>
      </c>
      <c r="J179" s="20" t="n">
        <v>8.366</v>
      </c>
      <c r="N179" s="20" t="n">
        <v>0</v>
      </c>
      <c r="U179" s="20" t="n">
        <v>5</v>
      </c>
      <c r="V179" s="20" t="n">
        <v>98.723</v>
      </c>
      <c r="W179" s="20" t="n">
        <v>8.366</v>
      </c>
      <c r="X179" s="20" t="n">
        <v>0</v>
      </c>
    </row>
    <row r="180">
      <c r="A180" s="18" t="inlineStr">
        <is>
          <t>Extra Payments For Early Retirements Ope CF</t>
        </is>
      </c>
      <c r="D180" s="20" t="n">
        <v>0</v>
      </c>
      <c r="H180" s="20" t="n">
        <v>44.417</v>
      </c>
      <c r="J180" s="20" t="n">
        <v>0</v>
      </c>
      <c r="L180" s="20" t="n">
        <v>8.727</v>
      </c>
      <c r="N180" s="20" t="n">
        <v>44.417</v>
      </c>
      <c r="W180" s="20" t="n">
        <v>0</v>
      </c>
      <c r="X180" s="20" t="n">
        <v>44.417</v>
      </c>
    </row>
    <row r="181">
      <c r="A181" s="18" t="inlineStr">
        <is>
          <t>매출채권 증감</t>
        </is>
      </c>
      <c r="D181" s="20" t="n">
        <v>65.53700000000001</v>
      </c>
      <c r="F181" s="20" t="n">
        <v>40.341</v>
      </c>
      <c r="H181" s="20" t="n">
        <v>-25.508</v>
      </c>
      <c r="J181" s="20" t="n">
        <v>73.744</v>
      </c>
      <c r="L181" s="20" t="n">
        <v>419.368</v>
      </c>
      <c r="N181" s="20" t="n">
        <v>-438.479</v>
      </c>
      <c r="O181" s="20" t="n">
        <v>123.653</v>
      </c>
      <c r="P181" s="20" t="n">
        <v>147.255</v>
      </c>
      <c r="Q181" s="20" t="n">
        <v>-152.989</v>
      </c>
      <c r="R181" s="20" t="n">
        <v>180.261</v>
      </c>
      <c r="S181" s="20" t="n">
        <v>196.07</v>
      </c>
      <c r="T181" s="20" t="n">
        <v>-401.787</v>
      </c>
      <c r="U181" s="20" t="n">
        <v>243.898</v>
      </c>
      <c r="V181" s="20" t="n">
        <v>40.341</v>
      </c>
      <c r="W181" s="20" t="n">
        <v>73.744</v>
      </c>
      <c r="X181" s="20" t="n">
        <v>-438.479</v>
      </c>
    </row>
    <row r="182">
      <c r="A182" s="18" t="inlineStr">
        <is>
          <t>재고자산 증감</t>
        </is>
      </c>
      <c r="D182" s="20" t="n">
        <v>47.962</v>
      </c>
      <c r="F182" s="20" t="n">
        <v>-88.36199999999999</v>
      </c>
      <c r="H182" s="20" t="n">
        <v>5.258</v>
      </c>
      <c r="J182" s="20" t="n">
        <v>148.37</v>
      </c>
      <c r="L182" s="20" t="n">
        <v>-55.002</v>
      </c>
      <c r="N182" s="20" t="n">
        <v>64.36</v>
      </c>
      <c r="O182" s="20" t="n">
        <v>112.984</v>
      </c>
      <c r="P182" s="20" t="n">
        <v>-142.61</v>
      </c>
      <c r="Q182" s="20" t="n">
        <v>-75.699</v>
      </c>
      <c r="R182" s="20" t="n">
        <v>43.527</v>
      </c>
      <c r="S182" s="20" t="n">
        <v>112.971</v>
      </c>
      <c r="T182" s="20" t="n">
        <v>132.135</v>
      </c>
      <c r="U182" s="20" t="n">
        <v>-58.889</v>
      </c>
      <c r="V182" s="20" t="n">
        <v>-88.36199999999999</v>
      </c>
      <c r="W182" s="20" t="n">
        <v>148.37</v>
      </c>
      <c r="X182" s="20" t="n">
        <v>64.36</v>
      </c>
    </row>
    <row r="183">
      <c r="A183" s="18" t="inlineStr">
        <is>
          <t>매입채무 증감</t>
        </is>
      </c>
      <c r="D183" s="20" t="n">
        <v>-3.86</v>
      </c>
      <c r="F183" s="20" t="n">
        <v>-13.894</v>
      </c>
      <c r="H183" s="20" t="n">
        <v>-6.267</v>
      </c>
      <c r="J183" s="20" t="n">
        <v>-10.587</v>
      </c>
      <c r="L183" s="20" t="n">
        <v>-9.042999999999999</v>
      </c>
      <c r="N183" s="20" t="n">
        <v>27.101</v>
      </c>
      <c r="O183" s="20" t="n">
        <v>-160.066</v>
      </c>
      <c r="P183" s="20" t="n">
        <v>92.43899999999999</v>
      </c>
      <c r="Q183" s="20" t="n">
        <v>-88.718</v>
      </c>
      <c r="R183" s="20" t="n">
        <v>17.328</v>
      </c>
      <c r="S183" s="20" t="n">
        <v>-2.638</v>
      </c>
      <c r="T183" s="20" t="n">
        <v>-33.754</v>
      </c>
      <c r="U183" s="20" t="n">
        <v>-9.114000000000001</v>
      </c>
      <c r="V183" s="20" t="n">
        <v>-13.894</v>
      </c>
      <c r="W183" s="20" t="n">
        <v>-10.587</v>
      </c>
      <c r="X183" s="20" t="n">
        <v>27.101</v>
      </c>
    </row>
    <row r="184">
      <c r="A184" s="18" t="inlineStr">
        <is>
          <t>기타</t>
        </is>
      </c>
      <c r="D184" s="20" t="n">
        <v>115.154</v>
      </c>
      <c r="F184" s="20" t="n">
        <v>-3.67</v>
      </c>
      <c r="H184" s="20" t="n">
        <v>171.796</v>
      </c>
      <c r="J184" s="20" t="n">
        <v>-63.785</v>
      </c>
      <c r="L184" s="20" t="n">
        <v>29.26</v>
      </c>
      <c r="N184" s="20" t="n">
        <v>62.887</v>
      </c>
      <c r="O184" s="20" t="n">
        <v>-23.076</v>
      </c>
      <c r="P184" s="20" t="n">
        <v>-20.622</v>
      </c>
      <c r="Q184" s="20" t="n">
        <v>31.505</v>
      </c>
      <c r="R184" s="20" t="n">
        <v>12.9</v>
      </c>
      <c r="S184" s="20" t="n">
        <v>-103.486</v>
      </c>
      <c r="T184" s="20" t="n">
        <v>106.41</v>
      </c>
      <c r="U184" s="20" t="n">
        <v>-62.971</v>
      </c>
      <c r="V184" s="20" t="n">
        <v>-3.67</v>
      </c>
      <c r="W184" s="20" t="n">
        <v>-63.785</v>
      </c>
      <c r="X184" s="20" t="n">
        <v>62.887</v>
      </c>
    </row>
    <row r="185">
      <c r="A185" s="18" t="inlineStr">
        <is>
          <t>소계</t>
        </is>
      </c>
      <c r="D185" s="20" t="n">
        <v>267.09</v>
      </c>
      <c r="F185" s="20" t="n">
        <v>-45.416</v>
      </c>
      <c r="H185" s="20" t="n">
        <v>133.515</v>
      </c>
      <c r="J185" s="20" t="n">
        <v>255.272</v>
      </c>
      <c r="L185" s="20" t="n">
        <v>531.8390000000001</v>
      </c>
      <c r="N185" s="20" t="n">
        <v>-2.907</v>
      </c>
      <c r="O185" s="20" t="n">
        <v>365.604</v>
      </c>
      <c r="P185" s="20" t="n">
        <v>238.392</v>
      </c>
      <c r="Q185" s="20" t="n">
        <v>-10.883</v>
      </c>
      <c r="R185" s="20" t="n">
        <v>329.445</v>
      </c>
      <c r="S185" s="20" t="n">
        <v>-53.426</v>
      </c>
      <c r="T185" s="20" t="n">
        <v>56.144</v>
      </c>
      <c r="U185" s="20" t="n">
        <v>246.056</v>
      </c>
      <c r="V185" s="20" t="n">
        <v>-45.416</v>
      </c>
      <c r="W185" s="20" t="n">
        <v>255.272</v>
      </c>
      <c r="X185" s="20" t="n">
        <v>-2.907</v>
      </c>
    </row>
    <row r="186">
      <c r="A186" s="18" t="inlineStr">
        <is>
          <t>이자·배당금 수취</t>
        </is>
      </c>
      <c r="D186" s="20" t="n">
        <v>1.447</v>
      </c>
      <c r="F186" s="20" t="n">
        <v>8.233000000000001</v>
      </c>
      <c r="H186" s="20" t="n">
        <v>0.765</v>
      </c>
      <c r="J186" s="20" t="n">
        <v>11.221</v>
      </c>
      <c r="L186" s="20" t="n">
        <v>0.615</v>
      </c>
      <c r="N186" s="20" t="n">
        <v>15.183</v>
      </c>
      <c r="O186" s="20" t="n">
        <v>7.873</v>
      </c>
      <c r="P186" s="20" t="n">
        <v>7.804</v>
      </c>
      <c r="Q186" s="20" t="n">
        <v>7.776</v>
      </c>
      <c r="R186" s="20" t="n">
        <v>8.039999999999999</v>
      </c>
      <c r="S186" s="20" t="n">
        <v>7.317</v>
      </c>
      <c r="T186" s="20" t="n">
        <v>7.239</v>
      </c>
      <c r="U186" s="20" t="n">
        <v>9.786</v>
      </c>
      <c r="V186" s="20" t="n">
        <v>8.233000000000001</v>
      </c>
      <c r="W186" s="20" t="n">
        <v>11.221</v>
      </c>
      <c r="X186" s="20" t="n">
        <v>15.183</v>
      </c>
    </row>
    <row r="187">
      <c r="A187" s="18" t="inlineStr">
        <is>
          <t>이자 지급</t>
        </is>
      </c>
      <c r="D187" s="20" t="n">
        <v>-5.848</v>
      </c>
      <c r="F187" s="20" t="n">
        <v>-9.574999999999999</v>
      </c>
      <c r="H187" s="20" t="n">
        <v>-7.652</v>
      </c>
      <c r="J187" s="20" t="n">
        <v>-10.946</v>
      </c>
      <c r="L187" s="20" t="n">
        <v>-8.494999999999999</v>
      </c>
      <c r="N187" s="20" t="n">
        <v>-13.22</v>
      </c>
      <c r="O187" s="20" t="n">
        <v>-13.989</v>
      </c>
      <c r="P187" s="20" t="n">
        <v>-11.825</v>
      </c>
      <c r="Q187" s="20" t="n">
        <v>-9.292999999999999</v>
      </c>
      <c r="R187" s="20" t="n">
        <v>-9.031000000000001</v>
      </c>
      <c r="S187" s="20" t="n">
        <v>-9.744</v>
      </c>
      <c r="T187" s="20" t="n">
        <v>-10.142</v>
      </c>
      <c r="U187" s="20" t="n">
        <v>-9.717000000000001</v>
      </c>
      <c r="V187" s="20" t="n">
        <v>-9.574999999999999</v>
      </c>
      <c r="W187" s="20" t="n">
        <v>-10.946</v>
      </c>
      <c r="X187" s="20" t="n">
        <v>-13.22</v>
      </c>
    </row>
    <row r="188">
      <c r="A188" s="18" t="inlineStr">
        <is>
          <t>Extra Payments For Early Retirements Paid Ope CF</t>
        </is>
      </c>
      <c r="H188" s="20" t="n">
        <v>0</v>
      </c>
      <c r="J188" s="20" t="n">
        <v>0</v>
      </c>
      <c r="L188" s="20" t="n">
        <v>-8.727</v>
      </c>
      <c r="N188" s="20" t="n">
        <v>-44.417</v>
      </c>
      <c r="W188" s="20" t="n">
        <v>0</v>
      </c>
      <c r="X188" s="20" t="n">
        <v>-44.417</v>
      </c>
    </row>
    <row r="189">
      <c r="A189" s="18" t="inlineStr">
        <is>
          <t>보조금 수취</t>
        </is>
      </c>
      <c r="D189" s="20" t="n">
        <v>2.515</v>
      </c>
      <c r="F189" s="20" t="n">
        <v>9.262</v>
      </c>
      <c r="H189" s="20" t="n">
        <v>1.475</v>
      </c>
      <c r="J189" s="20" t="n">
        <v>3.777</v>
      </c>
      <c r="L189" s="20" t="n">
        <v>1.1</v>
      </c>
      <c r="N189" s="20" t="n">
        <v>1.875</v>
      </c>
      <c r="R189" s="20" t="n">
        <v>0.5</v>
      </c>
      <c r="S189" s="20" t="n">
        <v>99.31399999999999</v>
      </c>
      <c r="T189" s="20" t="n">
        <v>110.749</v>
      </c>
      <c r="U189" s="20" t="n">
        <v>40.224</v>
      </c>
      <c r="V189" s="20" t="n">
        <v>9.262</v>
      </c>
      <c r="W189" s="20" t="n">
        <v>3.777</v>
      </c>
      <c r="X189" s="20" t="n">
        <v>1.875</v>
      </c>
    </row>
    <row r="190">
      <c r="A190" s="18" t="inlineStr">
        <is>
          <t>보조금 수취</t>
        </is>
      </c>
      <c r="F190" s="20" t="n">
        <v>0</v>
      </c>
      <c r="O190" s="20" t="n">
        <v>21.999</v>
      </c>
      <c r="P190" s="20" t="n">
        <v>0.5</v>
      </c>
      <c r="Q190" s="20" t="n">
        <v>0.5</v>
      </c>
      <c r="R190" s="20" t="n">
        <v>0.5</v>
      </c>
      <c r="T190" s="20" t="n">
        <v>0</v>
      </c>
      <c r="U190" s="20" t="n">
        <v>5</v>
      </c>
      <c r="V190" s="20" t="n">
        <v>0</v>
      </c>
    </row>
    <row r="191">
      <c r="A191" s="18" t="inlineStr">
        <is>
          <t>법인세 납부</t>
        </is>
      </c>
      <c r="D191" s="20" t="n">
        <v>-8.871</v>
      </c>
      <c r="F191" s="20" t="n">
        <v>-8.026</v>
      </c>
      <c r="H191" s="20" t="n">
        <v>-12.249</v>
      </c>
      <c r="J191" s="20" t="n">
        <v>-11.71</v>
      </c>
      <c r="L191" s="20" t="n">
        <v>-30.662</v>
      </c>
      <c r="N191" s="20" t="n">
        <v>-20.288</v>
      </c>
      <c r="O191" s="20" t="n">
        <v>-9.704000000000001</v>
      </c>
      <c r="P191" s="20" t="n">
        <v>-17.904</v>
      </c>
      <c r="Q191" s="20" t="n">
        <v>-21.072</v>
      </c>
      <c r="R191" s="20" t="n">
        <v>-67.13</v>
      </c>
      <c r="S191" s="20" t="n">
        <v>-21.001</v>
      </c>
      <c r="T191" s="20" t="n">
        <v>-6.551</v>
      </c>
      <c r="U191" s="20" t="n">
        <v>-59.143</v>
      </c>
      <c r="V191" s="20" t="n">
        <v>-8.026</v>
      </c>
      <c r="W191" s="20" t="n">
        <v>-11.71</v>
      </c>
      <c r="X191" s="20" t="n">
        <v>-20.288</v>
      </c>
    </row>
    <row r="192">
      <c r="A192" s="18" t="inlineStr">
        <is>
          <t>법인세 환급</t>
        </is>
      </c>
      <c r="D192" s="20" t="n">
        <v>1.044</v>
      </c>
      <c r="F192" s="20" t="n">
        <v>18.048</v>
      </c>
      <c r="H192" s="20" t="n">
        <v>2.11</v>
      </c>
      <c r="J192" s="20" t="n">
        <v>1.086</v>
      </c>
      <c r="L192" s="20" t="n">
        <v>0</v>
      </c>
      <c r="N192" s="20" t="n">
        <v>2.113</v>
      </c>
      <c r="R192" s="20" t="n">
        <v>0</v>
      </c>
      <c r="S192" s="20" t="n">
        <v>27.815</v>
      </c>
      <c r="T192" s="20" t="n">
        <v>7.74</v>
      </c>
      <c r="U192" s="20" t="n">
        <v>0.919</v>
      </c>
      <c r="V192" s="20" t="n">
        <v>18.048</v>
      </c>
      <c r="W192" s="20" t="n">
        <v>1.086</v>
      </c>
      <c r="X192" s="20" t="n">
        <v>2.113</v>
      </c>
    </row>
    <row r="193">
      <c r="A193" s="9" t="inlineStr">
        <is>
          <t>영업활동 현금흐름</t>
        </is>
      </c>
      <c r="D193" s="12" t="n">
        <v>257.376</v>
      </c>
      <c r="F193" s="12" t="n">
        <v>-27.472</v>
      </c>
      <c r="H193" s="12" t="n">
        <v>117.964</v>
      </c>
      <c r="J193" s="12" t="n">
        <v>248.699</v>
      </c>
      <c r="L193" s="12" t="n">
        <v>485.669</v>
      </c>
      <c r="N193" s="12" t="n">
        <v>-61.662</v>
      </c>
      <c r="O193" s="12" t="n">
        <v>371.783</v>
      </c>
      <c r="P193" s="12" t="n">
        <v>216.966</v>
      </c>
      <c r="Q193" s="12" t="n">
        <v>-32.973</v>
      </c>
      <c r="R193" s="12" t="n">
        <v>261.824</v>
      </c>
      <c r="S193" s="12" t="n">
        <v>50.275</v>
      </c>
      <c r="T193" s="12" t="n">
        <v>165.18</v>
      </c>
      <c r="U193" s="12" t="n">
        <v>233.127</v>
      </c>
      <c r="V193" s="12" t="n">
        <v>-27.472</v>
      </c>
      <c r="W193" s="12" t="n">
        <v>248.699</v>
      </c>
      <c r="X193" s="12" t="n">
        <v>-61.662</v>
      </c>
    </row>
    <row r="194">
      <c r="A194" s="18" t="inlineStr">
        <is>
          <t>정기예금 증감</t>
        </is>
      </c>
      <c r="D194" s="20" t="n">
        <v>-12.002</v>
      </c>
      <c r="F194" s="20" t="n">
        <v>7.229</v>
      </c>
      <c r="H194" s="20" t="n">
        <v>-11.221</v>
      </c>
      <c r="J194" s="20" t="n">
        <v>-20.818</v>
      </c>
      <c r="L194" s="20" t="n">
        <v>-397.916</v>
      </c>
      <c r="N194" s="20" t="n">
        <v>20.591</v>
      </c>
      <c r="O194" s="20" t="n">
        <v>-10.099</v>
      </c>
      <c r="P194" s="20" t="n">
        <v>-2.149</v>
      </c>
      <c r="Q194" s="20" t="n">
        <v>-0.16</v>
      </c>
      <c r="R194" s="20" t="n">
        <v>-273.16</v>
      </c>
      <c r="S194" s="20" t="n">
        <v>0.275</v>
      </c>
      <c r="T194" s="20" t="n">
        <v>-0.019</v>
      </c>
      <c r="U194" s="20" t="n">
        <v>17.987</v>
      </c>
      <c r="V194" s="20" t="n">
        <v>7.229</v>
      </c>
      <c r="W194" s="20" t="n">
        <v>-20.818</v>
      </c>
      <c r="X194" s="20" t="n">
        <v>20.591</v>
      </c>
    </row>
    <row r="195">
      <c r="A195" s="18" t="inlineStr">
        <is>
          <t>유형자산 취득(설비투자)</t>
        </is>
      </c>
      <c r="D195" s="20" t="n">
        <v>-9.462</v>
      </c>
      <c r="F195" s="20" t="n">
        <v>-136.214</v>
      </c>
      <c r="H195" s="20" t="n">
        <v>-11.43</v>
      </c>
      <c r="J195" s="20" t="n">
        <v>-16.897</v>
      </c>
      <c r="L195" s="20" t="n">
        <v>-2.815</v>
      </c>
      <c r="N195" s="20" t="n">
        <v>-43.125</v>
      </c>
      <c r="O195" s="20" t="n">
        <v>-59.778</v>
      </c>
      <c r="P195" s="20" t="n">
        <v>-13.355</v>
      </c>
      <c r="Q195" s="20" t="n">
        <v>-17.446</v>
      </c>
      <c r="R195" s="20" t="n">
        <v>-38.415</v>
      </c>
      <c r="S195" s="20" t="n">
        <v>-30.105</v>
      </c>
      <c r="T195" s="20" t="n">
        <v>-7.976</v>
      </c>
      <c r="U195" s="20" t="n">
        <v>-56.465</v>
      </c>
      <c r="V195" s="20" t="n">
        <v>-136.214</v>
      </c>
      <c r="W195" s="20" t="n">
        <v>-16.897</v>
      </c>
      <c r="X195" s="20" t="n">
        <v>-43.125</v>
      </c>
    </row>
    <row r="196">
      <c r="A196" s="18" t="inlineStr">
        <is>
          <t>유형자산 매각</t>
        </is>
      </c>
      <c r="P196" s="20" t="n">
        <v>0</v>
      </c>
      <c r="Q196" s="20" t="n">
        <v>5.529</v>
      </c>
      <c r="R196" s="20" t="n">
        <v>203.416</v>
      </c>
      <c r="S196" s="20" t="n">
        <v>0</v>
      </c>
    </row>
    <row r="197">
      <c r="A197" s="18" t="inlineStr">
        <is>
          <t>투자유가증권 취득</t>
        </is>
      </c>
      <c r="D197" s="20" t="n">
        <v>-1.2</v>
      </c>
      <c r="F197" s="20" t="n">
        <v>-2.4</v>
      </c>
      <c r="H197" s="20" t="n">
        <v>-1.2</v>
      </c>
      <c r="J197" s="20" t="n">
        <v>-2.4</v>
      </c>
      <c r="L197" s="20" t="n">
        <v>-1.2</v>
      </c>
      <c r="N197" s="20" t="n">
        <v>-2.4</v>
      </c>
      <c r="O197" s="20" t="n">
        <v>-25.34</v>
      </c>
      <c r="P197" s="20" t="n">
        <v>-2.4</v>
      </c>
      <c r="Q197" s="20" t="n">
        <v>-2.4</v>
      </c>
      <c r="R197" s="20" t="n">
        <v>-2.684</v>
      </c>
      <c r="S197" s="20" t="n">
        <v>-2.4</v>
      </c>
      <c r="T197" s="20" t="n">
        <v>-2.4</v>
      </c>
      <c r="U197" s="20" t="n">
        <v>-2.4</v>
      </c>
      <c r="V197" s="20" t="n">
        <v>-2.4</v>
      </c>
      <c r="W197" s="20" t="n">
        <v>-2.4</v>
      </c>
      <c r="X197" s="20" t="n">
        <v>-2.4</v>
      </c>
    </row>
    <row r="198">
      <c r="A198" s="18" t="inlineStr">
        <is>
          <t>투자유가증권 매각</t>
        </is>
      </c>
      <c r="D198" s="20" t="n">
        <v>0</v>
      </c>
      <c r="F198" s="20" t="n">
        <v>0</v>
      </c>
      <c r="H198" s="20" t="n">
        <v>77.97199999999999</v>
      </c>
      <c r="J198" s="20" t="n">
        <v>0.338</v>
      </c>
      <c r="L198" s="20" t="n">
        <v>0</v>
      </c>
      <c r="N198" s="20" t="n">
        <v>77.97199999999999</v>
      </c>
      <c r="O198" s="20" t="n">
        <v>0.08</v>
      </c>
      <c r="P198" s="20" t="n">
        <v>0</v>
      </c>
      <c r="Q198" s="20" t="n">
        <v>0</v>
      </c>
      <c r="R198" s="20" t="n">
        <v>1.131</v>
      </c>
      <c r="S198" s="20" t="n">
        <v>0</v>
      </c>
      <c r="T198" s="20" t="n">
        <v>18.292</v>
      </c>
      <c r="U198" s="20" t="n">
        <v>1.138</v>
      </c>
      <c r="V198" s="20" t="n">
        <v>0</v>
      </c>
      <c r="W198" s="20" t="n">
        <v>0.338</v>
      </c>
      <c r="X198" s="20" t="n">
        <v>77.97199999999999</v>
      </c>
    </row>
    <row r="199">
      <c r="A199" s="18" t="inlineStr">
        <is>
          <t>Proceeds From Liquidation Of Investment Securities Inv CF</t>
        </is>
      </c>
      <c r="S199" s="20" t="n">
        <v>0</v>
      </c>
      <c r="T199" s="20" t="n">
        <v>1.308</v>
      </c>
      <c r="U199" s="20" t="n">
        <v>0</v>
      </c>
    </row>
    <row r="200">
      <c r="A200" s="18" t="inlineStr">
        <is>
          <t>유가증권 상환 수입</t>
        </is>
      </c>
      <c r="D200" s="20" t="n">
        <v>0</v>
      </c>
      <c r="F200" s="20" t="n">
        <v>10</v>
      </c>
      <c r="H200" s="20" t="n">
        <v>100</v>
      </c>
      <c r="J200" s="20" t="n">
        <v>50</v>
      </c>
      <c r="L200" s="20" t="n">
        <v>0</v>
      </c>
      <c r="N200" s="20" t="n">
        <v>100</v>
      </c>
      <c r="O200" s="20" t="n">
        <v>10</v>
      </c>
      <c r="P200" s="20" t="n">
        <v>30</v>
      </c>
      <c r="Q200" s="20" t="n">
        <v>0</v>
      </c>
      <c r="R200" s="20" t="n">
        <v>30</v>
      </c>
      <c r="S200" s="20" t="n">
        <v>0</v>
      </c>
      <c r="U200" s="20" t="n">
        <v>0</v>
      </c>
      <c r="V200" s="20" t="n">
        <v>10</v>
      </c>
      <c r="W200" s="20" t="n">
        <v>50</v>
      </c>
      <c r="X200" s="20" t="n">
        <v>100</v>
      </c>
    </row>
    <row r="201">
      <c r="A201" s="18" t="inlineStr">
        <is>
          <t>무형자산 취득</t>
        </is>
      </c>
      <c r="D201" s="20" t="n">
        <v>-19.57</v>
      </c>
      <c r="F201" s="20" t="n">
        <v>-39.594</v>
      </c>
      <c r="H201" s="20" t="n">
        <v>-4.078</v>
      </c>
      <c r="J201" s="20" t="n">
        <v>-19.57</v>
      </c>
      <c r="L201" s="20" t="n">
        <v>-0.3</v>
      </c>
      <c r="N201" s="20" t="n">
        <v>-4.078</v>
      </c>
      <c r="T201" s="20" t="n">
        <v>-10.821</v>
      </c>
      <c r="U201" s="20" t="n">
        <v>-30.811</v>
      </c>
      <c r="V201" s="20" t="n">
        <v>-39.594</v>
      </c>
      <c r="W201" s="20" t="n">
        <v>-19.57</v>
      </c>
      <c r="X201" s="20" t="n">
        <v>-4.078</v>
      </c>
    </row>
    <row r="202">
      <c r="A202" s="18" t="inlineStr">
        <is>
          <t>보조금 수취</t>
        </is>
      </c>
      <c r="D202" s="20" t="n">
        <v>8.366</v>
      </c>
      <c r="F202" s="20" t="n">
        <v>98.723</v>
      </c>
      <c r="H202" s="20" t="n">
        <v>0</v>
      </c>
      <c r="J202" s="20" t="n">
        <v>8.366</v>
      </c>
      <c r="N202" s="20" t="n">
        <v>0</v>
      </c>
      <c r="U202" s="20" t="n">
        <v>0</v>
      </c>
      <c r="V202" s="20" t="n">
        <v>98.723</v>
      </c>
      <c r="W202" s="20" t="n">
        <v>8.366</v>
      </c>
      <c r="X202" s="20" t="n">
        <v>0</v>
      </c>
    </row>
    <row r="203">
      <c r="A203" s="18" t="inlineStr">
        <is>
          <t>보험적립금 적립</t>
        </is>
      </c>
      <c r="D203" s="20" t="n">
        <v>-0.761</v>
      </c>
      <c r="F203" s="20" t="n">
        <v>-22.301</v>
      </c>
      <c r="H203" s="20" t="n">
        <v>-0.761</v>
      </c>
      <c r="J203" s="20" t="n">
        <v>-4.065</v>
      </c>
      <c r="L203" s="20" t="n">
        <v>-0.284</v>
      </c>
      <c r="N203" s="20" t="n">
        <v>-4.193</v>
      </c>
      <c r="O203" s="20" t="n">
        <v>-5.524</v>
      </c>
      <c r="P203" s="20" t="n">
        <v>-5.524</v>
      </c>
      <c r="Q203" s="20" t="n">
        <v>-5.847</v>
      </c>
      <c r="R203" s="20" t="n">
        <v>-6.221</v>
      </c>
      <c r="S203" s="20" t="n">
        <v>-6.221</v>
      </c>
      <c r="T203" s="20" t="n">
        <v>-6.238</v>
      </c>
      <c r="U203" s="20" t="n">
        <v>-6.246</v>
      </c>
      <c r="V203" s="20" t="n">
        <v>-22.301</v>
      </c>
      <c r="W203" s="20" t="n">
        <v>-4.065</v>
      </c>
      <c r="X203" s="20" t="n">
        <v>-4.193</v>
      </c>
    </row>
    <row r="204">
      <c r="A204" s="18" t="inlineStr">
        <is>
          <t>보험적립금 해약</t>
        </is>
      </c>
      <c r="F204" s="20" t="n">
        <v>19.718</v>
      </c>
      <c r="J204" s="20" t="n">
        <v>0</v>
      </c>
      <c r="N204" s="20" t="n">
        <v>19.9</v>
      </c>
      <c r="O204" s="20" t="n">
        <v>0</v>
      </c>
      <c r="P204" s="20" t="n">
        <v>61.148</v>
      </c>
      <c r="Q204" s="20" t="n">
        <v>0</v>
      </c>
      <c r="U204" s="20" t="n">
        <v>0</v>
      </c>
      <c r="V204" s="20" t="n">
        <v>19.718</v>
      </c>
      <c r="W204" s="20" t="n">
        <v>0</v>
      </c>
      <c r="X204" s="20" t="n">
        <v>19.9</v>
      </c>
    </row>
    <row r="205">
      <c r="A205" s="18" t="inlineStr">
        <is>
          <t>기타</t>
        </is>
      </c>
      <c r="F205" s="20" t="n">
        <v>0</v>
      </c>
      <c r="O205" s="20" t="n">
        <v>-7.313</v>
      </c>
      <c r="P205" s="20" t="n">
        <v>7.801</v>
      </c>
      <c r="Q205" s="20" t="n">
        <v>0.57</v>
      </c>
      <c r="R205" s="20" t="n">
        <v>-2.661</v>
      </c>
      <c r="S205" s="20" t="n">
        <v>-4.909</v>
      </c>
      <c r="T205" s="20" t="n">
        <v>0</v>
      </c>
      <c r="U205" s="20" t="n">
        <v>0.01</v>
      </c>
      <c r="V205" s="20" t="n">
        <v>0</v>
      </c>
    </row>
    <row r="206">
      <c r="A206" s="9" t="inlineStr">
        <is>
          <t>투자활동 현금흐름</t>
        </is>
      </c>
      <c r="D206" s="12" t="n">
        <v>-34.63</v>
      </c>
      <c r="F206" s="12" t="n">
        <v>-64.839</v>
      </c>
      <c r="H206" s="12" t="n">
        <v>149.28</v>
      </c>
      <c r="J206" s="12" t="n">
        <v>-5.047</v>
      </c>
      <c r="L206" s="12" t="n">
        <v>-402.516</v>
      </c>
      <c r="N206" s="12" t="n">
        <v>164.667</v>
      </c>
      <c r="O206" s="12" t="n">
        <v>-97.976</v>
      </c>
      <c r="P206" s="12" t="n">
        <v>75.51900000000001</v>
      </c>
      <c r="Q206" s="12" t="n">
        <v>-19.754</v>
      </c>
      <c r="R206" s="12" t="n">
        <v>-88.596</v>
      </c>
      <c r="S206" s="12" t="n">
        <v>-43.361</v>
      </c>
      <c r="T206" s="12" t="n">
        <v>-7.855</v>
      </c>
      <c r="U206" s="12" t="n">
        <v>-76.788</v>
      </c>
      <c r="V206" s="12" t="n">
        <v>-64.839</v>
      </c>
      <c r="W206" s="12" t="n">
        <v>-5.047</v>
      </c>
      <c r="X206" s="12" t="n">
        <v>164.667</v>
      </c>
    </row>
    <row r="207">
      <c r="A207" s="18" t="inlineStr">
        <is>
          <t>단기차입금 순증감</t>
        </is>
      </c>
      <c r="D207" s="20" t="n">
        <v>180</v>
      </c>
      <c r="F207" s="20" t="n">
        <v>-14</v>
      </c>
      <c r="H207" s="20" t="n">
        <v>180</v>
      </c>
      <c r="J207" s="20" t="n">
        <v>0</v>
      </c>
      <c r="L207" s="20" t="n">
        <v>210</v>
      </c>
      <c r="N207" s="20" t="n">
        <v>-30</v>
      </c>
      <c r="O207" s="20" t="n">
        <v>-90</v>
      </c>
      <c r="P207" s="20" t="n">
        <v>-20</v>
      </c>
      <c r="Q207" s="20" t="n">
        <v>-78</v>
      </c>
      <c r="R207" s="20" t="n">
        <v>-22</v>
      </c>
      <c r="S207" s="20" t="n">
        <v>-138</v>
      </c>
      <c r="T207" s="20" t="n">
        <v>-19.339</v>
      </c>
      <c r="U207" s="20" t="n">
        <v>9.920999999999999</v>
      </c>
      <c r="V207" s="20" t="n">
        <v>-14</v>
      </c>
      <c r="W207" s="20" t="n">
        <v>0</v>
      </c>
      <c r="X207" s="20" t="n">
        <v>-30</v>
      </c>
    </row>
    <row r="208">
      <c r="A208" s="18" t="inlineStr">
        <is>
          <t>장기차입</t>
        </is>
      </c>
      <c r="D208" s="20" t="n">
        <v>250</v>
      </c>
      <c r="F208" s="20" t="n">
        <v>280</v>
      </c>
      <c r="H208" s="20" t="n">
        <v>250</v>
      </c>
      <c r="J208" s="20" t="n">
        <v>250</v>
      </c>
      <c r="L208" s="20" t="n">
        <v>210</v>
      </c>
      <c r="N208" s="20" t="n">
        <v>250</v>
      </c>
      <c r="O208" s="20" t="n">
        <v>200</v>
      </c>
      <c r="P208" s="20" t="n">
        <v>300</v>
      </c>
      <c r="Q208" s="20" t="n">
        <v>170</v>
      </c>
      <c r="R208" s="20" t="n">
        <v>320</v>
      </c>
      <c r="S208" s="20" t="n">
        <v>490</v>
      </c>
      <c r="T208" s="20" t="n">
        <v>550</v>
      </c>
      <c r="U208" s="20" t="n">
        <v>300</v>
      </c>
      <c r="V208" s="20" t="n">
        <v>280</v>
      </c>
      <c r="W208" s="20" t="n">
        <v>250</v>
      </c>
      <c r="X208" s="20" t="n">
        <v>250</v>
      </c>
    </row>
    <row r="209">
      <c r="A209" s="18" t="inlineStr">
        <is>
          <t>장기차입금 상환</t>
        </is>
      </c>
      <c r="D209" s="20" t="n">
        <v>-150.012</v>
      </c>
      <c r="F209" s="20" t="n">
        <v>-324.891</v>
      </c>
      <c r="H209" s="20" t="n">
        <v>-164.695</v>
      </c>
      <c r="J209" s="20" t="n">
        <v>-310.988</v>
      </c>
      <c r="L209" s="20" t="n">
        <v>-158.876</v>
      </c>
      <c r="N209" s="20" t="n">
        <v>-341.675</v>
      </c>
      <c r="O209" s="20" t="n">
        <v>-321.573</v>
      </c>
      <c r="P209" s="20" t="n">
        <v>-251.284</v>
      </c>
      <c r="Q209" s="20" t="n">
        <v>-243.961</v>
      </c>
      <c r="R209" s="20" t="n">
        <v>-275.745</v>
      </c>
      <c r="S209" s="20" t="n">
        <v>-378.328</v>
      </c>
      <c r="T209" s="20" t="n">
        <v>-399.752</v>
      </c>
      <c r="U209" s="20" t="n">
        <v>-368.592</v>
      </c>
      <c r="V209" s="20" t="n">
        <v>-324.891</v>
      </c>
      <c r="W209" s="20" t="n">
        <v>-310.988</v>
      </c>
      <c r="X209" s="20" t="n">
        <v>-341.675</v>
      </c>
    </row>
    <row r="210">
      <c r="A210" s="18" t="inlineStr">
        <is>
          <t>Payments For Long Term Accounts Payable Other Fin CF</t>
        </is>
      </c>
      <c r="D210" s="20" t="n">
        <v>-40.685</v>
      </c>
      <c r="F210" s="20" t="n">
        <v>-64.30800000000001</v>
      </c>
      <c r="H210" s="20" t="n">
        <v>-37.33</v>
      </c>
      <c r="J210" s="20" t="n">
        <v>-80.16</v>
      </c>
      <c r="L210" s="20" t="n">
        <v>-24.893</v>
      </c>
      <c r="N210" s="20" t="n">
        <v>-64.39100000000001</v>
      </c>
      <c r="O210" s="20" t="n">
        <v>-88.669</v>
      </c>
      <c r="P210" s="20" t="n">
        <v>-80.995</v>
      </c>
      <c r="Q210" s="20" t="n">
        <v>-69.16800000000001</v>
      </c>
      <c r="R210" s="20" t="n">
        <v>-65.19</v>
      </c>
      <c r="S210" s="20" t="n">
        <v>-62.636</v>
      </c>
      <c r="T210" s="20" t="n">
        <v>-52.678</v>
      </c>
      <c r="U210" s="20" t="n">
        <v>-57.788</v>
      </c>
      <c r="V210" s="20" t="n">
        <v>-64.30800000000001</v>
      </c>
      <c r="W210" s="20" t="n">
        <v>-80.16</v>
      </c>
      <c r="X210" s="20" t="n">
        <v>-64.39100000000001</v>
      </c>
    </row>
    <row r="211">
      <c r="A211" s="18" t="inlineStr">
        <is>
          <t>자기주식 취득</t>
        </is>
      </c>
      <c r="F211" s="20" t="n">
        <v>-0</v>
      </c>
      <c r="J211" s="20" t="n">
        <v>0</v>
      </c>
      <c r="O211" s="20" t="n">
        <v>0</v>
      </c>
      <c r="P211" s="20" t="n">
        <v>-0.012</v>
      </c>
      <c r="Q211" s="20" t="n">
        <v>-0.042</v>
      </c>
      <c r="R211" s="20" t="n">
        <v>0</v>
      </c>
      <c r="T211" s="20" t="n">
        <v>0</v>
      </c>
      <c r="U211" s="20" t="n">
        <v>-0.017</v>
      </c>
      <c r="V211" s="20" t="n">
        <v>-0</v>
      </c>
      <c r="W211" s="20" t="n">
        <v>0</v>
      </c>
    </row>
    <row r="212">
      <c r="A212" s="18" t="inlineStr">
        <is>
          <t>배당금 지급</t>
        </is>
      </c>
      <c r="D212" s="20" t="n">
        <v>-17.836</v>
      </c>
      <c r="F212" s="20" t="n">
        <v>-17.836</v>
      </c>
      <c r="H212" s="20" t="n">
        <v>-17.958</v>
      </c>
      <c r="J212" s="20" t="n">
        <v>-17.836</v>
      </c>
      <c r="L212" s="20" t="n">
        <v>-35.917</v>
      </c>
      <c r="N212" s="20" t="n">
        <v>-17.958</v>
      </c>
      <c r="O212" s="20" t="n">
        <v>-17.549</v>
      </c>
      <c r="P212" s="20" t="n">
        <v>-17.549</v>
      </c>
      <c r="Q212" s="20" t="n">
        <v>-17.549</v>
      </c>
      <c r="R212" s="20" t="n">
        <v>-29.352</v>
      </c>
      <c r="S212" s="20" t="n">
        <v>-17.61</v>
      </c>
      <c r="T212" s="20" t="n">
        <v>-17.724</v>
      </c>
      <c r="U212" s="20" t="n">
        <v>-29.519</v>
      </c>
      <c r="V212" s="20" t="n">
        <v>-17.836</v>
      </c>
      <c r="W212" s="20" t="n">
        <v>-17.836</v>
      </c>
      <c r="X212" s="20" t="n">
        <v>-17.958</v>
      </c>
    </row>
    <row r="213">
      <c r="A213" s="18" t="inlineStr">
        <is>
          <t>기타</t>
        </is>
      </c>
      <c r="R213" s="20" t="n">
        <v>0</v>
      </c>
      <c r="S213" s="20" t="n">
        <v>31.953</v>
      </c>
      <c r="T213" s="20" t="n">
        <v>0</v>
      </c>
    </row>
    <row r="214">
      <c r="A214" s="9" t="inlineStr">
        <is>
          <t>재무활동 현금흐름</t>
        </is>
      </c>
      <c r="D214" s="12" t="n">
        <v>221.466</v>
      </c>
      <c r="F214" s="12" t="n">
        <v>-141.036</v>
      </c>
      <c r="H214" s="12" t="n">
        <v>210.016</v>
      </c>
      <c r="J214" s="12" t="n">
        <v>-158.984</v>
      </c>
      <c r="L214" s="12" t="n">
        <v>200.313</v>
      </c>
      <c r="N214" s="12" t="n">
        <v>-204.024</v>
      </c>
      <c r="O214" s="12" t="n">
        <v>-317.791</v>
      </c>
      <c r="P214" s="12" t="n">
        <v>-69.84099999999999</v>
      </c>
      <c r="Q214" s="12" t="n">
        <v>-238.721</v>
      </c>
      <c r="R214" s="12" t="n">
        <v>-72.288</v>
      </c>
      <c r="S214" s="12" t="n">
        <v>-74.621</v>
      </c>
      <c r="T214" s="12" t="n">
        <v>60.504</v>
      </c>
      <c r="U214" s="12" t="n">
        <v>-145.995</v>
      </c>
      <c r="V214" s="12" t="n">
        <v>-141.036</v>
      </c>
      <c r="W214" s="12" t="n">
        <v>-158.984</v>
      </c>
      <c r="X214" s="12" t="n">
        <v>-204.024</v>
      </c>
    </row>
    <row r="215">
      <c r="A215" s="18" t="inlineStr">
        <is>
          <t>현금성자산 환산차이</t>
        </is>
      </c>
      <c r="D215" s="20" t="n">
        <v>4.92</v>
      </c>
      <c r="F215" s="20" t="n">
        <v>5.013</v>
      </c>
      <c r="H215" s="20" t="n">
        <v>-5.235</v>
      </c>
      <c r="J215" s="20" t="n">
        <v>3.898</v>
      </c>
      <c r="L215" s="20" t="n">
        <v>3.802</v>
      </c>
      <c r="N215" s="20" t="n">
        <v>-9.992000000000001</v>
      </c>
      <c r="O215" s="20" t="n">
        <v>-11.484</v>
      </c>
      <c r="P215" s="20" t="n">
        <v>4.78</v>
      </c>
      <c r="Q215" s="20" t="n">
        <v>-0.727</v>
      </c>
      <c r="R215" s="20" t="n">
        <v>4.106</v>
      </c>
      <c r="S215" s="20" t="n">
        <v>-5.024</v>
      </c>
      <c r="T215" s="20" t="n">
        <v>4.452</v>
      </c>
      <c r="U215" s="20" t="n">
        <v>11.938</v>
      </c>
      <c r="V215" s="20" t="n">
        <v>5.013</v>
      </c>
      <c r="W215" s="20" t="n">
        <v>3.898</v>
      </c>
      <c r="X215" s="20" t="n">
        <v>-9.992000000000001</v>
      </c>
    </row>
    <row r="216">
      <c r="A216" s="18" t="inlineStr">
        <is>
          <t>현금성자산 증감</t>
        </is>
      </c>
      <c r="D216" s="20" t="n">
        <v>449.133</v>
      </c>
      <c r="F216" s="20" t="n">
        <v>-228.334</v>
      </c>
      <c r="H216" s="20" t="n">
        <v>472.025</v>
      </c>
      <c r="J216" s="20" t="n">
        <v>88.566</v>
      </c>
      <c r="L216" s="20" t="n">
        <v>287.269</v>
      </c>
      <c r="N216" s="20" t="n">
        <v>-111.012</v>
      </c>
      <c r="O216" s="20" t="n">
        <v>-55.469</v>
      </c>
      <c r="P216" s="20" t="n">
        <v>227.425</v>
      </c>
      <c r="Q216" s="20" t="n">
        <v>-292.176</v>
      </c>
      <c r="R216" s="20" t="n">
        <v>105.045</v>
      </c>
      <c r="S216" s="20" t="n">
        <v>-72.73099999999999</v>
      </c>
      <c r="T216" s="20" t="n">
        <v>222.282</v>
      </c>
      <c r="U216" s="20" t="n">
        <v>22.283</v>
      </c>
      <c r="V216" s="20" t="n">
        <v>-228.334</v>
      </c>
      <c r="W216" s="20" t="n">
        <v>88.566</v>
      </c>
      <c r="X216" s="20" t="n">
        <v>-111.012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6663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</row>
    <row r="5">
      <c r="A5" s="9" t="inlineStr">
        <is>
          <t>유동자산</t>
        </is>
      </c>
      <c r="B5" s="10" t="n"/>
      <c r="C5" s="11" t="n">
        <v>2911.257</v>
      </c>
      <c r="D5" s="12" t="n">
        <v>2777.075</v>
      </c>
      <c r="E5" s="12" t="n">
        <v>2604.667</v>
      </c>
      <c r="F5" s="12" t="n">
        <v>2811.898</v>
      </c>
      <c r="G5" s="12" t="n">
        <v>2941.501</v>
      </c>
      <c r="H5" s="11" t="n">
        <v>3039.748</v>
      </c>
      <c r="I5" s="12" t="n">
        <v>2767.155</v>
      </c>
      <c r="J5" s="12" t="n">
        <v>2916.735</v>
      </c>
      <c r="K5" s="12" t="n">
        <v>2777.075</v>
      </c>
    </row>
    <row r="6">
      <c r="A6" s="18" t="inlineStr">
        <is>
          <t>현금및현금성자산</t>
        </is>
      </c>
      <c r="B6" s="10" t="n"/>
      <c r="C6" s="19" t="n">
        <v>1872.416</v>
      </c>
      <c r="D6" s="20" t="n">
        <v>1650.048</v>
      </c>
      <c r="E6" s="20" t="n">
        <v>1257.565</v>
      </c>
      <c r="F6" s="20" t="n">
        <v>1707.71</v>
      </c>
      <c r="G6" s="20" t="n">
        <v>1942.751</v>
      </c>
      <c r="H6" s="19" t="n">
        <v>1758.992</v>
      </c>
      <c r="I6" s="20" t="n">
        <v>1665.094</v>
      </c>
      <c r="J6" s="20" t="n">
        <v>1769.981</v>
      </c>
      <c r="K6" s="20" t="n">
        <v>1650.048</v>
      </c>
    </row>
    <row r="7">
      <c r="A7" s="18" t="inlineStr">
        <is>
          <t>단기금융상품</t>
        </is>
      </c>
      <c r="B7" s="10" t="n"/>
      <c r="C7" s="19" t="n">
        <v>0</v>
      </c>
      <c r="D7" s="20" t="n">
        <v>0</v>
      </c>
      <c r="E7" s="20" t="n">
        <v>0</v>
      </c>
      <c r="F7" s="20" t="n"/>
      <c r="G7" s="20" t="n"/>
      <c r="H7" s="19" t="n">
        <v>10</v>
      </c>
      <c r="I7" s="20" t="n">
        <v>0</v>
      </c>
      <c r="J7" s="20" t="n">
        <v>150</v>
      </c>
      <c r="K7" s="20" t="n">
        <v>0</v>
      </c>
    </row>
    <row r="8">
      <c r="A8" s="18" t="inlineStr">
        <is>
          <t>매출채권</t>
        </is>
      </c>
      <c r="B8" s="10" t="n"/>
      <c r="C8" s="19" t="n">
        <v>584.847</v>
      </c>
      <c r="D8" s="20" t="n">
        <v>721.239</v>
      </c>
      <c r="E8" s="20" t="n">
        <v>1001.287</v>
      </c>
      <c r="F8" s="20" t="n">
        <v>701.593</v>
      </c>
      <c r="G8" s="20" t="n">
        <v>583.3680000000001</v>
      </c>
      <c r="H8" s="19" t="n">
        <v>686.654</v>
      </c>
      <c r="I8" s="20" t="n">
        <v>519.277</v>
      </c>
      <c r="J8" s="20" t="n">
        <v>580.8869999999999</v>
      </c>
      <c r="K8" s="20" t="n">
        <v>721.239</v>
      </c>
    </row>
    <row r="9">
      <c r="A9" s="18" t="inlineStr">
        <is>
          <t>재고자산</t>
        </is>
      </c>
      <c r="B9" s="10" t="n"/>
      <c r="C9" s="19" t="n">
        <v>383.998</v>
      </c>
      <c r="D9" s="20" t="n">
        <v>376.169</v>
      </c>
      <c r="E9" s="20" t="n">
        <v>325.345</v>
      </c>
      <c r="F9" s="20" t="n">
        <v>389.142</v>
      </c>
      <c r="G9" s="20" t="n">
        <v>380.619</v>
      </c>
      <c r="H9" s="19" t="n">
        <v>532.542</v>
      </c>
      <c r="I9" s="20" t="n">
        <v>549.6849999999999</v>
      </c>
      <c r="J9" s="20" t="n">
        <v>379.4</v>
      </c>
      <c r="K9" s="20" t="n">
        <v>376.169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1929.037</v>
      </c>
      <c r="D11" s="12" t="n">
        <v>1971.903</v>
      </c>
      <c r="E11" s="12" t="n">
        <v>1966.304</v>
      </c>
      <c r="F11" s="12" t="n">
        <v>2013.61</v>
      </c>
      <c r="G11" s="12" t="n">
        <v>2075.974</v>
      </c>
      <c r="H11" s="11" t="n">
        <v>2050.489</v>
      </c>
      <c r="I11" s="12" t="n">
        <v>2059.079</v>
      </c>
      <c r="J11" s="12" t="n">
        <v>2023.229</v>
      </c>
      <c r="K11" s="12" t="n">
        <v>1971.903</v>
      </c>
    </row>
    <row r="12">
      <c r="A12" s="18" t="inlineStr">
        <is>
          <t>유형자산</t>
        </is>
      </c>
      <c r="B12" s="10" t="n"/>
      <c r="C12" s="19" t="n">
        <v>1381.958</v>
      </c>
      <c r="D12" s="20" t="n">
        <v>1380.279</v>
      </c>
      <c r="E12" s="20" t="n">
        <v>1356.225</v>
      </c>
      <c r="F12" s="20" t="n">
        <v>1335.302</v>
      </c>
      <c r="G12" s="20" t="n">
        <v>1332.055</v>
      </c>
      <c r="H12" s="19" t="n">
        <v>1418.311</v>
      </c>
      <c r="I12" s="20" t="n">
        <v>1412.807</v>
      </c>
      <c r="J12" s="20" t="n">
        <v>1439.542</v>
      </c>
      <c r="K12" s="20" t="n">
        <v>1380.279</v>
      </c>
    </row>
    <row r="13">
      <c r="A13" s="18" t="inlineStr">
        <is>
          <t>무형자산</t>
        </is>
      </c>
      <c r="B13" s="10" t="n"/>
      <c r="C13" s="19" t="n">
        <v>51.158</v>
      </c>
      <c r="D13" s="20" t="n">
        <v>46.476</v>
      </c>
      <c r="E13" s="20" t="n">
        <v>41.841</v>
      </c>
      <c r="F13" s="20" t="n">
        <v>37.556</v>
      </c>
      <c r="G13" s="20" t="n">
        <v>33.567</v>
      </c>
      <c r="H13" s="19" t="n">
        <v>28.124</v>
      </c>
      <c r="I13" s="20" t="n">
        <v>63.814</v>
      </c>
      <c r="J13" s="20" t="n">
        <v>60.9</v>
      </c>
      <c r="K13" s="20" t="n">
        <v>46.476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4840.294</v>
      </c>
      <c r="D16" s="12" t="n">
        <v>4748.978</v>
      </c>
      <c r="E16" s="12" t="n">
        <v>4570.972</v>
      </c>
      <c r="F16" s="12" t="n">
        <v>4825.509</v>
      </c>
      <c r="G16" s="12" t="n">
        <v>5017.476</v>
      </c>
      <c r="H16" s="11" t="n">
        <v>5090.238</v>
      </c>
      <c r="I16" s="12" t="n">
        <v>4826.234</v>
      </c>
      <c r="J16" s="12" t="n">
        <v>4939.964</v>
      </c>
      <c r="K16" s="12" t="n">
        <v>4748.978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</row>
    <row r="18">
      <c r="A18" s="9" t="inlineStr">
        <is>
          <t>유동부채</t>
        </is>
      </c>
      <c r="B18" s="10" t="n"/>
      <c r="C18" s="11" t="n">
        <v>1215.539</v>
      </c>
      <c r="D18" s="12" t="n">
        <v>1107.225</v>
      </c>
      <c r="E18" s="12" t="n">
        <v>784.061</v>
      </c>
      <c r="F18" s="12" t="n">
        <v>1021.765</v>
      </c>
      <c r="G18" s="12" t="n">
        <v>1024.752</v>
      </c>
      <c r="H18" s="11" t="n">
        <v>1157.769</v>
      </c>
      <c r="I18" s="12" t="n">
        <v>1051.918</v>
      </c>
      <c r="J18" s="12" t="n">
        <v>1144.982</v>
      </c>
      <c r="K18" s="12" t="n">
        <v>1107.225</v>
      </c>
    </row>
    <row r="19">
      <c r="A19" s="18" t="inlineStr">
        <is>
          <t>매입채무</t>
        </is>
      </c>
      <c r="B19" s="10" t="n"/>
      <c r="C19" s="19" t="n">
        <v>100.747</v>
      </c>
      <c r="D19" s="20" t="n">
        <v>183.237</v>
      </c>
      <c r="E19" s="20" t="n">
        <v>135.614</v>
      </c>
      <c r="F19" s="20" t="n">
        <v>124.486</v>
      </c>
      <c r="G19" s="20" t="n">
        <v>127.169</v>
      </c>
      <c r="H19" s="19" t="n">
        <v>167.151</v>
      </c>
      <c r="I19" s="20" t="n">
        <v>97.02800000000001</v>
      </c>
      <c r="J19" s="20" t="n">
        <v>143.291</v>
      </c>
      <c r="K19" s="20" t="n">
        <v>183.237</v>
      </c>
    </row>
    <row r="20">
      <c r="A20" s="18" t="inlineStr">
        <is>
          <t>단기차입금</t>
        </is>
      </c>
      <c r="B20" s="10" t="n"/>
      <c r="C20" s="19" t="n">
        <v>574.192</v>
      </c>
      <c r="D20" s="20" t="n">
        <v>562.165</v>
      </c>
      <c r="E20" s="20" t="n">
        <v>290.668</v>
      </c>
      <c r="F20" s="20" t="n">
        <v>510.689</v>
      </c>
      <c r="G20" s="20" t="n">
        <v>510.959</v>
      </c>
      <c r="H20" s="19" t="n">
        <v>599.197</v>
      </c>
      <c r="I20" s="20" t="n">
        <v>571.4160000000001</v>
      </c>
      <c r="J20" s="20" t="n">
        <v>598.676</v>
      </c>
      <c r="K20" s="20" t="n">
        <v>562.165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>
        <v>1180.433</v>
      </c>
      <c r="D23" s="12" t="n">
        <v>1137.966</v>
      </c>
      <c r="E23" s="12" t="n">
        <v>1088.5</v>
      </c>
      <c r="F23" s="12" t="n">
        <v>1088.554</v>
      </c>
      <c r="G23" s="12" t="n">
        <v>1173.526</v>
      </c>
      <c r="H23" s="11" t="n">
        <v>1302.884</v>
      </c>
      <c r="I23" s="12" t="n">
        <v>1234.38</v>
      </c>
      <c r="J23" s="12" t="n">
        <v>1225.434</v>
      </c>
      <c r="K23" s="12" t="n">
        <v>1137.966</v>
      </c>
    </row>
    <row r="24">
      <c r="A24" s="18" t="inlineStr">
        <is>
          <t>장기차입금</t>
        </is>
      </c>
      <c r="B24" s="10" t="n"/>
      <c r="C24" s="19" t="n">
        <v>384.038</v>
      </c>
      <c r="D24" s="20" t="n">
        <v>331.575</v>
      </c>
      <c r="E24" s="20" t="n">
        <v>280.582</v>
      </c>
      <c r="F24" s="20" t="n">
        <v>268.76</v>
      </c>
      <c r="G24" s="20" t="n">
        <v>321.414</v>
      </c>
      <c r="H24" s="19" t="n">
        <v>517.808</v>
      </c>
      <c r="I24" s="20" t="n">
        <v>479.739</v>
      </c>
      <c r="J24" s="20" t="n">
        <v>394.737</v>
      </c>
      <c r="K24" s="20" t="n">
        <v>331.575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2395.973</v>
      </c>
      <c r="D27" s="12" t="n">
        <v>2245.191</v>
      </c>
      <c r="E27" s="12" t="n">
        <v>1872.562</v>
      </c>
      <c r="F27" s="12" t="n">
        <v>2110.319</v>
      </c>
      <c r="G27" s="12" t="n">
        <v>2198.279</v>
      </c>
      <c r="H27" s="11" t="n">
        <v>2460.654</v>
      </c>
      <c r="I27" s="12" t="n">
        <v>2286.298</v>
      </c>
      <c r="J27" s="12" t="n">
        <v>2370.417</v>
      </c>
      <c r="K27" s="12" t="n">
        <v>2245.191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</row>
    <row r="31">
      <c r="A31" s="9" t="inlineStr">
        <is>
          <t>지배주주지분</t>
        </is>
      </c>
      <c r="B31" s="10" t="n"/>
      <c r="C31" s="11" t="n">
        <v>2416.627</v>
      </c>
      <c r="D31" s="12" t="n">
        <v>2474.671</v>
      </c>
      <c r="E31" s="12" t="n">
        <v>2669.024</v>
      </c>
      <c r="F31" s="12" t="n">
        <v>2684.008</v>
      </c>
      <c r="G31" s="12" t="n">
        <v>2786.58</v>
      </c>
      <c r="H31" s="11" t="n">
        <v>2597.579</v>
      </c>
      <c r="I31" s="12" t="n">
        <v>2509.989</v>
      </c>
      <c r="J31" s="12" t="n">
        <v>2536.942</v>
      </c>
      <c r="K31" s="12" t="n">
        <v>2474.671</v>
      </c>
    </row>
    <row r="32">
      <c r="A32" s="18" t="inlineStr">
        <is>
          <t>자본금</t>
        </is>
      </c>
      <c r="B32" s="10" t="n"/>
      <c r="C32" s="19" t="n">
        <v>822.1950000000001</v>
      </c>
      <c r="D32" s="20" t="n">
        <v>822.1950000000001</v>
      </c>
      <c r="E32" s="20" t="n">
        <v>822.1950000000001</v>
      </c>
      <c r="F32" s="20" t="n">
        <v>822.1950000000001</v>
      </c>
      <c r="G32" s="20" t="n">
        <v>833.535</v>
      </c>
      <c r="H32" s="19" t="n">
        <v>815.198</v>
      </c>
      <c r="I32" s="20" t="n">
        <v>815.198</v>
      </c>
      <c r="J32" s="20" t="n">
        <v>822.1950000000001</v>
      </c>
      <c r="K32" s="20" t="n">
        <v>822.1950000000001</v>
      </c>
    </row>
    <row r="33">
      <c r="A33" s="18" t="inlineStr">
        <is>
          <t>이익잉여금</t>
        </is>
      </c>
      <c r="B33" s="10" t="n"/>
      <c r="C33" s="19" t="n">
        <v>476.169</v>
      </c>
      <c r="D33" s="20" t="n">
        <v>511.788</v>
      </c>
      <c r="E33" s="20" t="n">
        <v>678.098</v>
      </c>
      <c r="F33" s="20" t="n">
        <v>644.294</v>
      </c>
      <c r="G33" s="20" t="n">
        <v>681.306</v>
      </c>
      <c r="H33" s="19" t="n">
        <v>757.509</v>
      </c>
      <c r="I33" s="20" t="n">
        <v>648.872</v>
      </c>
      <c r="J33" s="20" t="n">
        <v>633.359</v>
      </c>
      <c r="K33" s="20" t="n">
        <v>511.788</v>
      </c>
    </row>
    <row r="34">
      <c r="A34" s="18" t="inlineStr">
        <is>
          <t>비지배지분</t>
        </is>
      </c>
      <c r="B34" s="10" t="n"/>
      <c r="C34" s="19" t="n">
        <v>27.694</v>
      </c>
      <c r="D34" s="20" t="n">
        <v>29.115</v>
      </c>
      <c r="E34" s="20" t="n">
        <v>29.386</v>
      </c>
      <c r="F34" s="20" t="n">
        <v>31.181</v>
      </c>
      <c r="G34" s="20" t="n">
        <v>32.616</v>
      </c>
      <c r="H34" s="19" t="n">
        <v>32.005</v>
      </c>
      <c r="I34" s="20" t="n">
        <v>29.947</v>
      </c>
      <c r="J34" s="20" t="n">
        <v>32.605</v>
      </c>
      <c r="K34" s="20" t="n">
        <v>29.115</v>
      </c>
    </row>
    <row r="35">
      <c r="A35" s="9" t="inlineStr">
        <is>
          <t>자본총계</t>
        </is>
      </c>
      <c r="B35" s="10" t="n"/>
      <c r="C35" s="11" t="n">
        <v>2444.321</v>
      </c>
      <c r="D35" s="12" t="n">
        <v>2503.786</v>
      </c>
      <c r="E35" s="12" t="n">
        <v>2698.41</v>
      </c>
      <c r="F35" s="12" t="n">
        <v>2715.189</v>
      </c>
      <c r="G35" s="12" t="n">
        <v>2819.196</v>
      </c>
      <c r="H35" s="11" t="n">
        <v>2629.584</v>
      </c>
      <c r="I35" s="12" t="n">
        <v>2539.936</v>
      </c>
      <c r="J35" s="12" t="n">
        <v>2569.547</v>
      </c>
      <c r="K35" s="12" t="n">
        <v>2503.786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</row>
    <row r="37">
      <c r="A37" s="9" t="inlineStr">
        <is>
          <t>영업활동현금흐름</t>
        </is>
      </c>
      <c r="B37" s="10" t="n"/>
      <c r="C37" s="11" t="n"/>
      <c r="D37" s="12" t="n">
        <v>248.699</v>
      </c>
      <c r="E37" s="12" t="n"/>
      <c r="F37" s="12" t="n">
        <v>616.404</v>
      </c>
      <c r="G37" s="12" t="n"/>
      <c r="H37" s="11" t="n">
        <v>165.18</v>
      </c>
      <c r="I37" s="12" t="n">
        <v>233.127</v>
      </c>
      <c r="J37" s="12" t="n">
        <v>-27.472</v>
      </c>
      <c r="K37" s="12" t="n">
        <v>248.699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36.467</v>
      </c>
      <c r="E38" s="20" t="n"/>
      <c r="F38" s="20" t="n">
        <v>24.074</v>
      </c>
      <c r="G38" s="20" t="n"/>
      <c r="H38" s="19" t="n">
        <v>18.797</v>
      </c>
      <c r="I38" s="20" t="n">
        <v>87.276</v>
      </c>
      <c r="J38" s="20" t="n">
        <v>175.808</v>
      </c>
      <c r="K38" s="20" t="n">
        <v>36.467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17.836</v>
      </c>
      <c r="E40" s="20" t="n"/>
      <c r="F40" s="20" t="n">
        <v>35.795</v>
      </c>
      <c r="G40" s="20" t="n"/>
      <c r="H40" s="19" t="n">
        <v>17.724</v>
      </c>
      <c r="I40" s="20" t="n">
        <v>29.519</v>
      </c>
      <c r="J40" s="20" t="n">
        <v>17.836</v>
      </c>
      <c r="K40" s="20" t="n">
        <v>17.836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IFERROR((IF(COUNT('연간'!F25:I25)&lt;4,"",SUM('연간'!F25:I25)))/(IF(COUNT('연간'!F47:I47)&lt;4,"",SUM('연간'!F47:I47))),"")</f>
        <v/>
      </c>
      <c r="D48" s="31">
        <f>IFERROR((IF(COUNT('연간'!G25:J25)&lt;4,"",SUM('연간'!G25:J25)))/(IF(COUNT('연간'!G47:J47)&lt;4,"",SUM('연간'!G47:J47))),"")</f>
        <v/>
      </c>
      <c r="E48" s="31">
        <f>IFERROR((IF(COUNT('연간'!H25:K25)&lt;4,"",SUM('연간'!H25:K25)))/(IF(COUNT('연간'!H47:K47)&lt;4,"",SUM('연간'!H47:K47))),"")</f>
        <v/>
      </c>
      <c r="F48" s="31">
        <f>IFERROR((IF(COUNT('연간'!I25:L25)&lt;4,"",SUM('연간'!I25:L25)))/(IF(COUNT('연간'!I47:L47)&lt;4,"",SUM('연간'!I47:L47))),"")</f>
        <v/>
      </c>
      <c r="G48" s="31">
        <f>IFERROR((IF(COUNT('연간'!J25:M25)&lt;4,"",SUM('연간'!J25:M25)))/(IF(COUNT('연간'!J47:M47)&lt;4,"",SUM('연간'!J47:M47))),"")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IFERROR(IF((IF(COUNT('연간'!F53:I53)&lt;4,"",SUM('연간'!F53:I53)))&lt;=0,"적자",C28/(IF(COUNT('연간'!F53:I53)&lt;4,"",SUM('연간'!F53:I53)))),"")</f>
        <v/>
      </c>
      <c r="D49" s="46">
        <f>IFERROR(IF((IF(COUNT('연간'!G53:J53)&lt;4,"",SUM('연간'!G53:J53)))&lt;=0,"적자",D28/(IF(COUNT('연간'!G53:J53)&lt;4,"",SUM('연간'!G53:J53)))),"")</f>
        <v/>
      </c>
      <c r="E49" s="46">
        <f>IFERROR(IF((IF(COUNT('연간'!H53:K53)&lt;4,"",SUM('연간'!H53:K53)))&lt;=0,"적자",E28/(IF(COUNT('연간'!H53:K53)&lt;4,"",SUM('연간'!H53:K53)))),"")</f>
        <v/>
      </c>
      <c r="F49" s="46">
        <f>IFERROR(IF((IF(COUNT('연간'!I53:L53)&lt;4,"",SUM('연간'!I53:L53)))&lt;=0,"적자",F28/(IF(COUNT('연간'!I53:L53)&lt;4,"",SUM('연간'!I53:L53)))),"")</f>
        <v/>
      </c>
      <c r="G49" s="46">
        <f>IFERROR(IF((IF(COUNT('연간'!J53:M53)&lt;4,"",SUM('연간'!J53:M53)))&lt;=0,"적자",G28/(IF(COUNT('연간'!J53:M53)&lt;4,"",SUM('연간'!J53:M53)))),"")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IFERROR((IF(COUNT('연간'!F53:I53)&lt;4,"",SUM('연간'!F53:I53)))/C31,"")</f>
        <v/>
      </c>
      <c r="D51" s="36">
        <f>IFERROR((IF(COUNT('연간'!G53:J53)&lt;4,"",SUM('연간'!G53:J53)))/D31,"")</f>
        <v/>
      </c>
      <c r="E51" s="36">
        <f>IFERROR((IF(COUNT('연간'!H53:K53)&lt;4,"",SUM('연간'!H53:K53)))/E31,"")</f>
        <v/>
      </c>
      <c r="F51" s="36">
        <f>IFERROR((IF(COUNT('연간'!I53:L53)&lt;4,"",SUM('연간'!I53:L53)))/F31,"")</f>
        <v/>
      </c>
      <c r="G51" s="36">
        <f>IFERROR((IF(COUNT('연간'!J53:M53)&lt;4,"",SUM('연간'!J53:M53)))/G31,"")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IFERROR((IF(COUNT('연간'!F52:I52)&lt;4,"",SUM('연간'!F52:I52)))/C16,"")</f>
        <v/>
      </c>
      <c r="D52" s="36">
        <f>IFERROR((IF(COUNT('연간'!G52:J52)&lt;4,"",SUM('연간'!G52:J52)))/D16,"")</f>
        <v/>
      </c>
      <c r="E52" s="36">
        <f>IFERROR((IF(COUNT('연간'!H52:K52)&lt;4,"",SUM('연간'!H52:K52)))/E16,"")</f>
        <v/>
      </c>
      <c r="F52" s="36">
        <f>IFERROR((IF(COUNT('연간'!I52:L52)&lt;4,"",SUM('연간'!I52:L52)))/F16,"")</f>
        <v/>
      </c>
      <c r="G52" s="36">
        <f>IFERROR((IF(COUNT('연간'!J52:M52)&lt;4,"",SUM('연간'!J52:M52)))/G16,"")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IFERROR((IF(COUNT('연간'!F25:I25)&lt;4,"",SUM('연간'!F25:I25)))*(1-0.3)/(C35+C29),"")</f>
        <v/>
      </c>
      <c r="D53" s="36">
        <f>IFERROR((IF(COUNT('연간'!G25:J25)&lt;4,"",SUM('연간'!G25:J25)))*(1-0.3)/(D35+D29),"")</f>
        <v/>
      </c>
      <c r="E53" s="36">
        <f>IFERROR((IF(COUNT('연간'!H25:K25)&lt;4,"",SUM('연간'!H25:K25)))*(1-0.3)/(E35+E29),"")</f>
        <v/>
      </c>
      <c r="F53" s="36">
        <f>IFERROR((IF(COUNT('연간'!I25:L25)&lt;4,"",SUM('연간'!I25:L25)))*(1-0.3)/(F35+F29),"")</f>
        <v/>
      </c>
      <c r="G53" s="36">
        <f>IFERROR((IF(COUNT('연간'!J25:M25)&lt;4,"",SUM('연간'!J25:M25)))*(1-0.3)/(G35+G29),"")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IFERROR((IF(COUNT('연간'!F21:I21)&lt;4,"",SUM('연간'!F21:I21)))/(IF(COUNT('연간'!F4:I4)&lt;4,"",SUM('연간'!F4:I4))),"")</f>
        <v/>
      </c>
      <c r="D54" s="36">
        <f>IFERROR((IF(COUNT('연간'!G21:J21)&lt;4,"",SUM('연간'!G21:J21)))/(IF(COUNT('연간'!G4:J4)&lt;4,"",SUM('연간'!G4:J4))),"")</f>
        <v/>
      </c>
      <c r="E54" s="36">
        <f>IFERROR((IF(COUNT('연간'!H21:K21)&lt;4,"",SUM('연간'!H21:K21)))/(IF(COUNT('연간'!H4:K4)&lt;4,"",SUM('연간'!H4:K4))),"")</f>
        <v/>
      </c>
      <c r="F54" s="36">
        <f>IFERROR((IF(COUNT('연간'!I21:L21)&lt;4,"",SUM('연간'!I21:L21)))/(IF(COUNT('연간'!I4:L4)&lt;4,"",SUM('연간'!I4:L4))),"")</f>
        <v/>
      </c>
      <c r="G54" s="36">
        <f>IFERROR((IF(COUNT('연간'!J21:M21)&lt;4,"",SUM('연간'!J21:M21)))/(IF(COUNT('연간'!J4:M4)&lt;4,"",SUM('연간'!J4:M4))),"")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IFERROR((IF(COUNT('연간'!F25:I25)&lt;4,"",SUM('연간'!F25:I25)))/(IF(COUNT('연간'!F4:I4)&lt;4,"",SUM('연간'!F4:I4))),"")</f>
        <v/>
      </c>
      <c r="D55" s="36">
        <f>IFERROR((IF(COUNT('연간'!G25:J25)&lt;4,"",SUM('연간'!G25:J25)))/(IF(COUNT('연간'!G4:J4)&lt;4,"",SUM('연간'!G4:J4))),"")</f>
        <v/>
      </c>
      <c r="E55" s="36">
        <f>IFERROR((IF(COUNT('연간'!H25:K25)&lt;4,"",SUM('연간'!H25:K25)))/(IF(COUNT('연간'!H4:K4)&lt;4,"",SUM('연간'!H4:K4))),"")</f>
        <v/>
      </c>
      <c r="F55" s="36">
        <f>IFERROR((IF(COUNT('연간'!I25:L25)&lt;4,"",SUM('연간'!I25:L25)))/(IF(COUNT('연간'!I4:L4)&lt;4,"",SUM('연간'!I4:L4))),"")</f>
        <v/>
      </c>
      <c r="G55" s="36">
        <f>IFERROR((IF(COUNT('연간'!J25:M25)&lt;4,"",SUM('연간'!J25:M25)))/(IF(COUNT('연간'!J4:M4)&lt;4,"",SUM('연간'!J4:M4))),"")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IFERROR((IF(COUNT('연간'!F52:I52)&lt;4,"",SUM('연간'!F52:I52)))/(IF(COUNT('연간'!F4:I4)&lt;4,"",SUM('연간'!F4:I4))),"")</f>
        <v/>
      </c>
      <c r="D56" s="36">
        <f>IFERROR((IF(COUNT('연간'!G52:J52)&lt;4,"",SUM('연간'!G52:J52)))/(IF(COUNT('연간'!G4:J4)&lt;4,"",SUM('연간'!G4:J4))),"")</f>
        <v/>
      </c>
      <c r="E56" s="36">
        <f>IFERROR((IF(COUNT('연간'!H52:K52)&lt;4,"",SUM('연간'!H52:K52)))/(IF(COUNT('연간'!H4:K4)&lt;4,"",SUM('연간'!H4:K4))),"")</f>
        <v/>
      </c>
      <c r="F56" s="36">
        <f>IFERROR((IF(COUNT('연간'!I52:L52)&lt;4,"",SUM('연간'!I52:L52)))/(IF(COUNT('연간'!I4:L4)&lt;4,"",SUM('연간'!I4:L4))),"")</f>
        <v/>
      </c>
      <c r="G56" s="36">
        <f>IFERROR((IF(COUNT('연간'!J52:M52)&lt;4,"",SUM('연간'!J52:M52)))/(IF(COUNT('연간'!J4:M4)&lt;4,"",SUM('연간'!J4:M4))),"")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IFERROR((IF(COUNT('연간'!F4:I4)&lt;4,"",SUM('연간'!F4:I4)))/C16,"")</f>
        <v/>
      </c>
      <c r="D58" s="31">
        <f>IFERROR((IF(COUNT('연간'!G4:J4)&lt;4,"",SUM('연간'!G4:J4)))/D16,"")</f>
        <v/>
      </c>
      <c r="E58" s="31">
        <f>IFERROR((IF(COUNT('연간'!H4:K4)&lt;4,"",SUM('연간'!H4:K4)))/E16,"")</f>
        <v/>
      </c>
      <c r="F58" s="31">
        <f>IFERROR((IF(COUNT('연간'!I4:L4)&lt;4,"",SUM('연간'!I4:L4)))/F16,"")</f>
        <v/>
      </c>
      <c r="G58" s="31">
        <f>IFERROR((IF(COUNT('연간'!J4:M4)&lt;4,"",SUM('연간'!J4:M4)))/G16,"")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IFERROR(C8/(IF(COUNT('연간'!F4:I4)&lt;4,"",SUM('연간'!F4:I4)))*365,"")</f>
        <v/>
      </c>
      <c r="D59" s="48">
        <f>IFERROR(D8/(IF(COUNT('연간'!G4:J4)&lt;4,"",SUM('연간'!G4:J4)))*365,"")</f>
        <v/>
      </c>
      <c r="E59" s="48">
        <f>IFERROR(E8/(IF(COUNT('연간'!H4:K4)&lt;4,"",SUM('연간'!H4:K4)))*365,"")</f>
        <v/>
      </c>
      <c r="F59" s="48">
        <f>IFERROR(F8/(IF(COUNT('연간'!I4:L4)&lt;4,"",SUM('연간'!I4:L4)))*365,"")</f>
        <v/>
      </c>
      <c r="G59" s="48">
        <f>IFERROR(G8/(IF(COUNT('연간'!J4:M4)&lt;4,"",SUM('연간'!J4:M4)))*365,"")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IFERROR(C9/(IF(COUNT('연간'!F20:I20)&lt;4,"",SUM('연간'!F20:I20)))*365,"")</f>
        <v/>
      </c>
      <c r="D60" s="48">
        <f>IFERROR(D9/(IF(COUNT('연간'!G20:J20)&lt;4,"",SUM('연간'!G20:J20)))*365,"")</f>
        <v/>
      </c>
      <c r="E60" s="48">
        <f>IFERROR(E9/(IF(COUNT('연간'!H20:K20)&lt;4,"",SUM('연간'!H20:K20)))*365,"")</f>
        <v/>
      </c>
      <c r="F60" s="48">
        <f>IFERROR(F9/(IF(COUNT('연간'!I20:L20)&lt;4,"",SUM('연간'!I20:L20)))*365,"")</f>
        <v/>
      </c>
      <c r="G60" s="48">
        <f>IFERROR(G9/(IF(COUNT('연간'!J20:M20)&lt;4,"",SUM('연간'!J20:M20)))*365,"")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IFERROR(C19/(IF(COUNT('연간'!F20:I20)&lt;4,"",SUM('연간'!F20:I20)))*365,"")</f>
        <v/>
      </c>
      <c r="D61" s="48">
        <f>IFERROR(D19/(IF(COUNT('연간'!G20:J20)&lt;4,"",SUM('연간'!G20:J20)))*365,"")</f>
        <v/>
      </c>
      <c r="E61" s="48">
        <f>IFERROR(E19/(IF(COUNT('연간'!H20:K20)&lt;4,"",SUM('연간'!H20:K20)))*365,"")</f>
        <v/>
      </c>
      <c r="F61" s="48">
        <f>IFERROR(F19/(IF(COUNT('연간'!I20:L20)&lt;4,"",SUM('연간'!I20:L20)))*365,"")</f>
        <v/>
      </c>
      <c r="G61" s="48">
        <f>IFERROR(G19/(IF(COUNT('연간'!J20:M20)&lt;4,"",SUM('연간'!J20:M20)))*365,"")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IF(C37="","",IFERROR(C37/(IF(COUNT('연간'!F52:I52)&lt;4,"",SUM('연간'!F52:I52))),""))</f>
        <v/>
      </c>
      <c r="D64" s="31">
        <f>IF(D37="","",IFERROR(D37/(IF(COUNT('연간'!G52:J52)&lt;4,"",SUM('연간'!G52:J52))),""))</f>
        <v/>
      </c>
      <c r="E64" s="31">
        <f>IF(E37="","",IFERROR(E37/(IF(COUNT('연간'!H52:K52)&lt;4,"",SUM('연간'!H52:K52))),""))</f>
        <v/>
      </c>
      <c r="F64" s="31">
        <f>IF(F37="","",IFERROR(F37/(IF(COUNT('연간'!I52:L52)&lt;4,"",SUM('연간'!I52:L52))),""))</f>
        <v/>
      </c>
      <c r="G64" s="31">
        <f>IF(G37="","",IFERROR(G37/(IF(COUNT('연간'!J52:M52)&lt;4,"",SUM('연간'!J52:M52))),""))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IF(C39="","",IFERROR(C39/(IF(COUNT('연간'!F4:I4)&lt;4,"",SUM('연간'!F4:I4))),""))</f>
        <v/>
      </c>
      <c r="D65" s="36">
        <f>IF(D39="","",IFERROR(D39/(IF(COUNT('연간'!G4:J4)&lt;4,"",SUM('연간'!G4:J4))),""))</f>
        <v/>
      </c>
      <c r="E65" s="36">
        <f>IF(E39="","",IFERROR(E39/(IF(COUNT('연간'!H4:K4)&lt;4,"",SUM('연간'!H4:K4))),""))</f>
        <v/>
      </c>
      <c r="F65" s="36">
        <f>IF(F39="","",IFERROR(F39/(IF(COUNT('연간'!I4:L4)&lt;4,"",SUM('연간'!I4:L4))),""))</f>
        <v/>
      </c>
      <c r="G65" s="36">
        <f>IF(G39="","",IFERROR(G39/(IF(COUNT('연간'!J4:M4)&lt;4,"",SUM('연간'!J4:M4))),""))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IF(C38="","",IFERROR(C38/(IF(COUNT('연간'!F4:I4)&lt;4,"",SUM('연간'!F4:I4))),""))</f>
        <v/>
      </c>
      <c r="D66" s="36">
        <f>IF(D38="","",IFERROR(D38/(IF(COUNT('연간'!G4:J4)&lt;4,"",SUM('연간'!G4:J4))),""))</f>
        <v/>
      </c>
      <c r="E66" s="36">
        <f>IF(E38="","",IFERROR(E38/(IF(COUNT('연간'!H4:K4)&lt;4,"",SUM('연간'!H4:K4))),""))</f>
        <v/>
      </c>
      <c r="F66" s="36">
        <f>IF(F38="","",IFERROR(F38/(IF(COUNT('연간'!I4:L4)&lt;4,"",SUM('연간'!I4:L4))),""))</f>
        <v/>
      </c>
      <c r="G66" s="36">
        <f>IF(G38="","",IFERROR(G38/(IF(COUNT('연간'!J4:M4)&lt;4,"",SUM('연간'!J4:M4))),""))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IF(C40="","",IFERROR(C40/(IF(COUNT('연간'!F53:I53)&lt;4,"",SUM('연간'!F53:I53))),""))</f>
        <v/>
      </c>
      <c r="D67" s="36">
        <f>IF(D40="","",IFERROR(D40/(IF(COUNT('연간'!G53:J53)&lt;4,"",SUM('연간'!G53:J53))),""))</f>
        <v/>
      </c>
      <c r="E67" s="36">
        <f>IF(E40="","",IFERROR(E40/(IF(COUNT('연간'!H53:K53)&lt;4,"",SUM('연간'!H53:K53))),""))</f>
        <v/>
      </c>
      <c r="F67" s="36">
        <f>IF(F40="","",IFERROR(F40/(IF(COUNT('연간'!I53:L53)&lt;4,"",SUM('연간'!I53:L53))),""))</f>
        <v/>
      </c>
      <c r="G67" s="36">
        <f>IF(G40="","",IFERROR(G40/(IF(COUNT('연간'!J53:M53)&lt;4,"",SUM('연간'!J53:M53))),""))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</row>
    <row r="71">
      <c r="A71" s="18" t="inlineStr">
        <is>
          <t>현금 및 예금</t>
        </is>
      </c>
      <c r="C71" s="20" t="n">
        <v>1872.416</v>
      </c>
      <c r="D71" s="20" t="n">
        <v>1650.048</v>
      </c>
      <c r="E71" s="20" t="n">
        <v>1257.565</v>
      </c>
      <c r="F71" s="20" t="n">
        <v>1707.71</v>
      </c>
      <c r="G71" s="20" t="n">
        <v>1942.751</v>
      </c>
      <c r="H71" s="20" t="n">
        <v>1758.992</v>
      </c>
      <c r="I71" s="20" t="n">
        <v>1665.094</v>
      </c>
      <c r="J71" s="20" t="n">
        <v>1769.981</v>
      </c>
      <c r="K71" s="20" t="n">
        <v>1650.048</v>
      </c>
    </row>
    <row r="72">
      <c r="A72" s="18" t="inlineStr">
        <is>
          <t>받을어음</t>
        </is>
      </c>
      <c r="E72" s="20" t="n">
        <v>70.181</v>
      </c>
    </row>
    <row r="73">
      <c r="A73" s="18" t="inlineStr">
        <is>
          <t>매출채권</t>
        </is>
      </c>
      <c r="E73" s="20" t="n">
        <v>931.106</v>
      </c>
    </row>
    <row r="74">
      <c r="A74" s="18" t="inlineStr">
        <is>
          <t>유가증권</t>
        </is>
      </c>
      <c r="C74" s="20" t="n">
        <v>0</v>
      </c>
      <c r="D74" s="20" t="n">
        <v>0</v>
      </c>
      <c r="E74" s="20" t="n">
        <v>0</v>
      </c>
      <c r="H74" s="20" t="n">
        <v>10</v>
      </c>
      <c r="I74" s="20" t="n">
        <v>0</v>
      </c>
      <c r="J74" s="20" t="n">
        <v>150</v>
      </c>
      <c r="K74" s="20" t="n">
        <v>0</v>
      </c>
    </row>
    <row r="75">
      <c r="A75" s="18" t="inlineStr">
        <is>
          <t>받을어음·매출채권</t>
        </is>
      </c>
      <c r="C75" s="20" t="n">
        <v>584.847</v>
      </c>
      <c r="D75" s="20" t="n">
        <v>721.239</v>
      </c>
      <c r="E75" s="20" t="n">
        <v>1001.287</v>
      </c>
      <c r="F75" s="20" t="n">
        <v>701.593</v>
      </c>
      <c r="G75" s="20" t="n">
        <v>583.3680000000001</v>
      </c>
      <c r="H75" s="20" t="n">
        <v>686.654</v>
      </c>
      <c r="I75" s="20" t="n">
        <v>519.277</v>
      </c>
      <c r="J75" s="20" t="n">
        <v>580.8869999999999</v>
      </c>
      <c r="K75" s="20" t="n">
        <v>721.239</v>
      </c>
    </row>
    <row r="76">
      <c r="A76" s="18" t="inlineStr">
        <is>
          <t>상품·제품</t>
        </is>
      </c>
      <c r="C76" s="20" t="n">
        <v>51.801</v>
      </c>
      <c r="D76" s="20" t="n">
        <v>30.292</v>
      </c>
      <c r="E76" s="20" t="n">
        <v>43.562</v>
      </c>
      <c r="F76" s="20" t="n">
        <v>106.195</v>
      </c>
      <c r="G76" s="20" t="n">
        <v>84.083</v>
      </c>
      <c r="H76" s="20" t="n">
        <v>87.831</v>
      </c>
      <c r="I76" s="20" t="n">
        <v>59.271</v>
      </c>
      <c r="J76" s="20" t="n">
        <v>64.167</v>
      </c>
      <c r="K76" s="20" t="n">
        <v>30.292</v>
      </c>
    </row>
    <row r="77">
      <c r="A77" s="18" t="inlineStr">
        <is>
          <t>재공품</t>
        </is>
      </c>
      <c r="C77" s="20" t="n">
        <v>216.299</v>
      </c>
      <c r="D77" s="20" t="n">
        <v>236.825</v>
      </c>
      <c r="E77" s="20" t="n">
        <v>167.599</v>
      </c>
      <c r="F77" s="20" t="n">
        <v>154.431</v>
      </c>
      <c r="G77" s="20" t="n">
        <v>176.987</v>
      </c>
      <c r="H77" s="20" t="n">
        <v>335.048</v>
      </c>
      <c r="I77" s="20" t="n">
        <v>359.059</v>
      </c>
      <c r="J77" s="20" t="n">
        <v>183.924</v>
      </c>
      <c r="K77" s="20" t="n">
        <v>236.825</v>
      </c>
    </row>
    <row r="78">
      <c r="A78" s="18" t="inlineStr">
        <is>
          <t>원재료·저장품</t>
        </is>
      </c>
      <c r="C78" s="20" t="n">
        <v>115.898</v>
      </c>
      <c r="D78" s="20" t="n">
        <v>109.052</v>
      </c>
      <c r="E78" s="20" t="n">
        <v>114.184</v>
      </c>
      <c r="F78" s="20" t="n">
        <v>128.516</v>
      </c>
      <c r="G78" s="20" t="n">
        <v>119.549</v>
      </c>
      <c r="H78" s="20" t="n">
        <v>109.663</v>
      </c>
      <c r="I78" s="20" t="n">
        <v>131.355</v>
      </c>
      <c r="J78" s="20" t="n">
        <v>131.309</v>
      </c>
      <c r="K78" s="20" t="n">
        <v>109.052</v>
      </c>
    </row>
    <row r="79">
      <c r="A79" s="18" t="inlineStr">
        <is>
          <t>기타</t>
        </is>
      </c>
      <c r="C79" s="20" t="n">
        <v>70.38500000000001</v>
      </c>
      <c r="D79" s="20" t="n">
        <v>30.108</v>
      </c>
      <c r="E79" s="20" t="n">
        <v>21.143</v>
      </c>
      <c r="F79" s="20" t="n">
        <v>13.931</v>
      </c>
      <c r="G79" s="20" t="n">
        <v>35.146</v>
      </c>
      <c r="H79" s="20" t="n">
        <v>52.069</v>
      </c>
      <c r="I79" s="20" t="n">
        <v>33.414</v>
      </c>
      <c r="J79" s="20" t="n">
        <v>36.846</v>
      </c>
      <c r="K79" s="20" t="n">
        <v>30.108</v>
      </c>
    </row>
    <row r="80">
      <c r="A80" s="18" t="inlineStr">
        <is>
          <t>대손충당금</t>
        </is>
      </c>
      <c r="C80" s="20" t="n">
        <v>-0.391</v>
      </c>
      <c r="D80" s="20" t="n">
        <v>-0.489</v>
      </c>
      <c r="E80" s="20" t="n">
        <v>-0.674</v>
      </c>
      <c r="F80" s="20" t="n">
        <v>-0.48</v>
      </c>
      <c r="G80" s="20" t="n">
        <v>-0.385</v>
      </c>
      <c r="H80" s="20" t="n">
        <v>-0.51</v>
      </c>
      <c r="I80" s="20" t="n">
        <v>-0.318</v>
      </c>
      <c r="J80" s="20" t="n">
        <v>-0.381</v>
      </c>
      <c r="K80" s="20" t="n">
        <v>-0.489</v>
      </c>
    </row>
    <row r="81">
      <c r="A81" s="9" t="inlineStr">
        <is>
          <t>유동자산 합계</t>
        </is>
      </c>
      <c r="C81" s="12" t="n">
        <v>2911.257</v>
      </c>
      <c r="D81" s="12" t="n">
        <v>2777.075</v>
      </c>
      <c r="E81" s="12" t="n">
        <v>2604.667</v>
      </c>
      <c r="F81" s="12" t="n">
        <v>2811.898</v>
      </c>
      <c r="G81" s="12" t="n">
        <v>2941.501</v>
      </c>
      <c r="H81" s="12" t="n">
        <v>3039.748</v>
      </c>
      <c r="I81" s="12" t="n">
        <v>2767.155</v>
      </c>
      <c r="J81" s="12" t="n">
        <v>2916.735</v>
      </c>
      <c r="K81" s="12" t="n">
        <v>2777.075</v>
      </c>
    </row>
    <row r="82">
      <c r="A82" s="18" t="inlineStr">
        <is>
          <t>건물·구축물(순액)</t>
        </is>
      </c>
      <c r="C82" s="20" t="n">
        <v>263.146</v>
      </c>
      <c r="D82" s="20" t="n">
        <v>259.827</v>
      </c>
      <c r="E82" s="20" t="n">
        <v>248.937</v>
      </c>
      <c r="F82" s="20" t="n">
        <v>243.392</v>
      </c>
      <c r="G82" s="20" t="n">
        <v>240.416</v>
      </c>
      <c r="H82" s="20" t="n">
        <v>318.382</v>
      </c>
      <c r="I82" s="20" t="n">
        <v>298.222</v>
      </c>
      <c r="J82" s="20" t="n">
        <v>280.888</v>
      </c>
      <c r="K82" s="20" t="n">
        <v>259.827</v>
      </c>
    </row>
    <row r="83">
      <c r="A83" s="18" t="inlineStr">
        <is>
          <t>기계장치·운반구(순액)</t>
        </is>
      </c>
      <c r="C83" s="20" t="n">
        <v>188.266</v>
      </c>
      <c r="D83" s="20" t="n">
        <v>176.639</v>
      </c>
      <c r="E83" s="20" t="n">
        <v>160.447</v>
      </c>
      <c r="F83" s="20" t="n">
        <v>147.444</v>
      </c>
      <c r="G83" s="20" t="n">
        <v>147.226</v>
      </c>
      <c r="H83" s="20" t="n">
        <v>159.38</v>
      </c>
      <c r="I83" s="20" t="n">
        <v>176.698</v>
      </c>
      <c r="J83" s="20" t="n">
        <v>214.749</v>
      </c>
      <c r="K83" s="20" t="n">
        <v>176.639</v>
      </c>
    </row>
    <row r="84">
      <c r="A84" s="18" t="inlineStr">
        <is>
          <t>토지</t>
        </is>
      </c>
      <c r="C84" s="20" t="n">
        <v>903.724</v>
      </c>
      <c r="D84" s="20" t="n">
        <v>912.633</v>
      </c>
      <c r="E84" s="20" t="n">
        <v>914.686</v>
      </c>
      <c r="F84" s="20" t="n">
        <v>914.686</v>
      </c>
      <c r="G84" s="20" t="n">
        <v>914.686</v>
      </c>
      <c r="H84" s="20" t="n">
        <v>907.287</v>
      </c>
      <c r="I84" s="20" t="n">
        <v>912.019</v>
      </c>
      <c r="J84" s="20" t="n">
        <v>906.424</v>
      </c>
      <c r="K84" s="20" t="n">
        <v>912.633</v>
      </c>
    </row>
    <row r="85">
      <c r="A85" s="18" t="inlineStr">
        <is>
          <t>기타(순액)</t>
        </is>
      </c>
      <c r="C85" s="20" t="n">
        <v>26.821</v>
      </c>
      <c r="D85" s="20" t="n">
        <v>31.179</v>
      </c>
      <c r="E85" s="20" t="n">
        <v>32.154</v>
      </c>
      <c r="F85" s="20" t="n">
        <v>29.779</v>
      </c>
      <c r="G85" s="20" t="n">
        <v>29.726</v>
      </c>
      <c r="H85" s="20" t="n">
        <v>33.261</v>
      </c>
      <c r="I85" s="20" t="n">
        <v>25.867</v>
      </c>
      <c r="J85" s="20" t="n">
        <v>37.481</v>
      </c>
      <c r="K85" s="20" t="n">
        <v>31.179</v>
      </c>
    </row>
    <row r="86">
      <c r="A86" s="18" t="inlineStr">
        <is>
          <t>유형자산 합계</t>
        </is>
      </c>
      <c r="C86" s="20" t="n">
        <v>1381.958</v>
      </c>
      <c r="D86" s="20" t="n">
        <v>1380.279</v>
      </c>
      <c r="E86" s="20" t="n">
        <v>1356.225</v>
      </c>
      <c r="F86" s="20" t="n">
        <v>1335.302</v>
      </c>
      <c r="G86" s="20" t="n">
        <v>1332.055</v>
      </c>
      <c r="H86" s="20" t="n">
        <v>1418.311</v>
      </c>
      <c r="I86" s="20" t="n">
        <v>1412.807</v>
      </c>
      <c r="J86" s="20" t="n">
        <v>1439.542</v>
      </c>
      <c r="K86" s="20" t="n">
        <v>1380.279</v>
      </c>
    </row>
    <row r="87">
      <c r="A87" s="18" t="inlineStr">
        <is>
          <t>기타</t>
        </is>
      </c>
      <c r="C87" s="20" t="n">
        <v>51.158</v>
      </c>
      <c r="D87" s="20" t="n">
        <v>46.476</v>
      </c>
      <c r="E87" s="20" t="n">
        <v>41.841</v>
      </c>
      <c r="F87" s="20" t="n">
        <v>37.556</v>
      </c>
      <c r="G87" s="20" t="n">
        <v>33.567</v>
      </c>
      <c r="H87" s="20" t="n">
        <v>28.124</v>
      </c>
      <c r="I87" s="20" t="n">
        <v>63.814</v>
      </c>
      <c r="J87" s="20" t="n">
        <v>60.9</v>
      </c>
      <c r="K87" s="20" t="n">
        <v>46.476</v>
      </c>
    </row>
    <row r="88">
      <c r="A88" s="18" t="inlineStr">
        <is>
          <t>무형자산 합계</t>
        </is>
      </c>
      <c r="C88" s="20" t="n">
        <v>51.158</v>
      </c>
      <c r="D88" s="20" t="n">
        <v>46.476</v>
      </c>
      <c r="E88" s="20" t="n">
        <v>41.841</v>
      </c>
      <c r="F88" s="20" t="n">
        <v>37.556</v>
      </c>
      <c r="G88" s="20" t="n">
        <v>33.567</v>
      </c>
      <c r="H88" s="20" t="n">
        <v>28.124</v>
      </c>
      <c r="I88" s="20" t="n">
        <v>63.814</v>
      </c>
      <c r="J88" s="20" t="n">
        <v>60.9</v>
      </c>
      <c r="K88" s="20" t="n">
        <v>46.476</v>
      </c>
    </row>
    <row r="89">
      <c r="A89" s="18" t="inlineStr">
        <is>
          <t>투자유가증권</t>
        </is>
      </c>
      <c r="E89" s="20" t="n">
        <v>394.918</v>
      </c>
      <c r="G89" s="20" t="n">
        <v>526.788</v>
      </c>
    </row>
    <row r="90">
      <c r="A90" s="18" t="inlineStr">
        <is>
          <t>보험적립금</t>
        </is>
      </c>
      <c r="E90" s="20" t="n">
        <v>119.619</v>
      </c>
    </row>
    <row r="91">
      <c r="A91" s="18" t="inlineStr">
        <is>
          <t>이연법인세자산</t>
        </is>
      </c>
      <c r="E91" s="20" t="n">
        <v>2.476</v>
      </c>
    </row>
    <row r="92">
      <c r="A92" s="18" t="inlineStr">
        <is>
          <t>기타</t>
        </is>
      </c>
      <c r="C92" s="20" t="n">
        <v>499.393</v>
      </c>
      <c r="D92" s="20" t="n">
        <v>548.529</v>
      </c>
      <c r="E92" s="20" t="n">
        <v>176.61</v>
      </c>
      <c r="F92" s="20" t="n">
        <v>643.953</v>
      </c>
      <c r="G92" s="20" t="n">
        <v>186.675</v>
      </c>
      <c r="H92" s="20" t="n">
        <v>608.456</v>
      </c>
      <c r="I92" s="20" t="n">
        <v>586.5599999999999</v>
      </c>
      <c r="J92" s="20" t="n">
        <v>526.528</v>
      </c>
      <c r="K92" s="20" t="n">
        <v>548.529</v>
      </c>
    </row>
    <row r="93">
      <c r="A93" s="18" t="inlineStr">
        <is>
          <t>대손충당금</t>
        </is>
      </c>
      <c r="C93" s="20" t="n">
        <v>-3.472</v>
      </c>
      <c r="D93" s="20" t="n">
        <v>-3.382</v>
      </c>
      <c r="E93" s="20" t="n">
        <v>-3.292</v>
      </c>
      <c r="F93" s="20" t="n">
        <v>-3.202</v>
      </c>
      <c r="G93" s="20" t="n">
        <v>-3.112</v>
      </c>
      <c r="H93" s="20" t="n">
        <v>-4.402</v>
      </c>
      <c r="I93" s="20" t="n">
        <v>-4.102</v>
      </c>
      <c r="J93" s="20" t="n">
        <v>-3.742</v>
      </c>
      <c r="K93" s="20" t="n">
        <v>-3.382</v>
      </c>
    </row>
    <row r="94">
      <c r="A94" s="18" t="inlineStr">
        <is>
          <t>투자 및 기타자산 합계</t>
        </is>
      </c>
      <c r="C94" s="20" t="n">
        <v>495.921</v>
      </c>
      <c r="D94" s="20" t="n">
        <v>545.147</v>
      </c>
      <c r="E94" s="20" t="n">
        <v>568.237</v>
      </c>
      <c r="F94" s="20" t="n">
        <v>640.751</v>
      </c>
      <c r="G94" s="20" t="n">
        <v>710.351</v>
      </c>
      <c r="H94" s="20" t="n">
        <v>604.053</v>
      </c>
      <c r="I94" s="20" t="n">
        <v>582.457</v>
      </c>
      <c r="J94" s="20" t="n">
        <v>522.785</v>
      </c>
      <c r="K94" s="20" t="n">
        <v>545.147</v>
      </c>
    </row>
    <row r="95">
      <c r="A95" s="9" t="inlineStr">
        <is>
          <t>비유동자산 합계</t>
        </is>
      </c>
      <c r="C95" s="12" t="n">
        <v>1929.037</v>
      </c>
      <c r="D95" s="12" t="n">
        <v>1971.903</v>
      </c>
      <c r="E95" s="12" t="n">
        <v>1966.304</v>
      </c>
      <c r="F95" s="12" t="n">
        <v>2013.61</v>
      </c>
      <c r="G95" s="12" t="n">
        <v>2075.974</v>
      </c>
      <c r="H95" s="12" t="n">
        <v>2050.489</v>
      </c>
      <c r="I95" s="12" t="n">
        <v>2059.079</v>
      </c>
      <c r="J95" s="12" t="n">
        <v>2023.229</v>
      </c>
      <c r="K95" s="12" t="n">
        <v>1971.903</v>
      </c>
    </row>
    <row r="96">
      <c r="A96" s="9" t="inlineStr">
        <is>
          <t>자산 합계</t>
        </is>
      </c>
      <c r="C96" s="12" t="n">
        <v>4840.294</v>
      </c>
      <c r="D96" s="12" t="n">
        <v>4748.978</v>
      </c>
      <c r="E96" s="12" t="n">
        <v>4570.972</v>
      </c>
      <c r="F96" s="12" t="n">
        <v>4825.509</v>
      </c>
      <c r="G96" s="12" t="n">
        <v>5017.476</v>
      </c>
      <c r="H96" s="12" t="n">
        <v>5090.238</v>
      </c>
      <c r="I96" s="12" t="n">
        <v>4826.234</v>
      </c>
      <c r="J96" s="12" t="n">
        <v>4939.964</v>
      </c>
      <c r="K96" s="12" t="n">
        <v>4748.978</v>
      </c>
    </row>
    <row r="97">
      <c r="A97" s="18" t="inlineStr">
        <is>
          <t>지급어음·매입채무</t>
        </is>
      </c>
      <c r="H97" s="20" t="n">
        <v>167.151</v>
      </c>
    </row>
    <row r="98">
      <c r="A98" s="18" t="inlineStr">
        <is>
          <t>매입채무</t>
        </is>
      </c>
      <c r="C98" s="20" t="n">
        <v>100.747</v>
      </c>
      <c r="D98" s="20" t="n">
        <v>183.237</v>
      </c>
      <c r="E98" s="20" t="n">
        <v>135.614</v>
      </c>
      <c r="F98" s="20" t="n">
        <v>124.486</v>
      </c>
      <c r="G98" s="20" t="n">
        <v>127.169</v>
      </c>
      <c r="I98" s="20" t="n">
        <v>97.02800000000001</v>
      </c>
      <c r="J98" s="20" t="n">
        <v>143.291</v>
      </c>
      <c r="K98" s="20" t="n">
        <v>183.237</v>
      </c>
    </row>
    <row r="99">
      <c r="A99" s="18" t="inlineStr">
        <is>
          <t>단기차입금</t>
        </is>
      </c>
      <c r="C99" s="20" t="n">
        <v>574.192</v>
      </c>
      <c r="D99" s="20" t="n">
        <v>562.165</v>
      </c>
      <c r="E99" s="20" t="n">
        <v>290.668</v>
      </c>
      <c r="F99" s="20" t="n">
        <v>510.689</v>
      </c>
      <c r="G99" s="20" t="n">
        <v>510.959</v>
      </c>
      <c r="H99" s="20" t="n">
        <v>599.197</v>
      </c>
      <c r="I99" s="20" t="n">
        <v>571.4160000000001</v>
      </c>
      <c r="J99" s="20" t="n">
        <v>598.676</v>
      </c>
      <c r="K99" s="20" t="n">
        <v>562.165</v>
      </c>
    </row>
    <row r="100">
      <c r="A100" s="18" t="inlineStr">
        <is>
          <t>미지급법인세</t>
        </is>
      </c>
      <c r="C100" s="20" t="n">
        <v>17.098</v>
      </c>
      <c r="D100" s="20" t="n">
        <v>13.967</v>
      </c>
      <c r="E100" s="20" t="n">
        <v>42.264</v>
      </c>
      <c r="F100" s="20" t="n">
        <v>16.693</v>
      </c>
      <c r="G100" s="20" t="n">
        <v>40.557</v>
      </c>
      <c r="H100" s="20" t="n">
        <v>0.044</v>
      </c>
      <c r="I100" s="20" t="n">
        <v>9.441000000000001</v>
      </c>
      <c r="J100" s="20" t="n">
        <v>15.618</v>
      </c>
      <c r="K100" s="20" t="n">
        <v>13.967</v>
      </c>
    </row>
    <row r="101">
      <c r="A101" s="18" t="inlineStr">
        <is>
          <t>계약부채</t>
        </is>
      </c>
      <c r="E101" s="20" t="n">
        <v>43.377</v>
      </c>
    </row>
    <row r="102">
      <c r="A102" s="18" t="inlineStr">
        <is>
          <t>상여충당금</t>
        </is>
      </c>
      <c r="D102" s="20" t="n">
        <v>33.999</v>
      </c>
      <c r="E102" s="20" t="n">
        <v>0</v>
      </c>
      <c r="F102" s="20" t="n">
        <v>42.999</v>
      </c>
      <c r="H102" s="20" t="n">
        <v>62.751</v>
      </c>
      <c r="I102" s="20" t="n">
        <v>48.249</v>
      </c>
      <c r="J102" s="20" t="n">
        <v>28.998</v>
      </c>
      <c r="K102" s="20" t="n">
        <v>33.999</v>
      </c>
    </row>
    <row r="103">
      <c r="A103" s="18" t="inlineStr">
        <is>
          <t>제품보증 충당금</t>
        </is>
      </c>
      <c r="C103" s="20" t="n">
        <v>0.396</v>
      </c>
      <c r="D103" s="20" t="n">
        <v>0.234</v>
      </c>
      <c r="E103" s="20" t="n">
        <v>0.71</v>
      </c>
      <c r="F103" s="20" t="n">
        <v>0.738</v>
      </c>
      <c r="G103" s="20" t="n">
        <v>0.824</v>
      </c>
      <c r="H103" s="20" t="n">
        <v>0.482</v>
      </c>
      <c r="I103" s="20" t="n">
        <v>0.314</v>
      </c>
      <c r="J103" s="20" t="n">
        <v>1.28</v>
      </c>
      <c r="K103" s="20" t="n">
        <v>0.234</v>
      </c>
    </row>
    <row r="104">
      <c r="A104" s="18" t="inlineStr">
        <is>
          <t>기타</t>
        </is>
      </c>
      <c r="C104" s="20" t="n">
        <v>523.104</v>
      </c>
      <c r="D104" s="20" t="n">
        <v>313.622</v>
      </c>
      <c r="E104" s="20" t="n">
        <v>314.803</v>
      </c>
      <c r="F104" s="20" t="n">
        <v>326.159</v>
      </c>
      <c r="G104" s="20" t="n">
        <v>345.243</v>
      </c>
      <c r="H104" s="20" t="n">
        <v>328.143</v>
      </c>
      <c r="I104" s="20" t="n">
        <v>325.468</v>
      </c>
      <c r="J104" s="20" t="n">
        <v>357.118</v>
      </c>
      <c r="K104" s="20" t="n">
        <v>313.622</v>
      </c>
    </row>
    <row r="105">
      <c r="A105" s="9" t="inlineStr">
        <is>
          <t>유동부채 합계</t>
        </is>
      </c>
      <c r="C105" s="12" t="n">
        <v>1215.539</v>
      </c>
      <c r="D105" s="12" t="n">
        <v>1107.225</v>
      </c>
      <c r="E105" s="12" t="n">
        <v>784.061</v>
      </c>
      <c r="F105" s="12" t="n">
        <v>1021.765</v>
      </c>
      <c r="G105" s="12" t="n">
        <v>1024.752</v>
      </c>
      <c r="H105" s="12" t="n">
        <v>1157.769</v>
      </c>
      <c r="I105" s="12" t="n">
        <v>1051.918</v>
      </c>
      <c r="J105" s="12" t="n">
        <v>1144.982</v>
      </c>
      <c r="K105" s="12" t="n">
        <v>1107.225</v>
      </c>
    </row>
    <row r="106">
      <c r="A106" s="18" t="inlineStr">
        <is>
          <t>장기차입금</t>
        </is>
      </c>
      <c r="C106" s="20" t="n">
        <v>384.038</v>
      </c>
      <c r="D106" s="20" t="n">
        <v>331.575</v>
      </c>
      <c r="E106" s="20" t="n">
        <v>280.582</v>
      </c>
      <c r="F106" s="20" t="n">
        <v>268.76</v>
      </c>
      <c r="G106" s="20" t="n">
        <v>321.414</v>
      </c>
      <c r="H106" s="20" t="n">
        <v>517.808</v>
      </c>
      <c r="I106" s="20" t="n">
        <v>479.739</v>
      </c>
      <c r="J106" s="20" t="n">
        <v>394.737</v>
      </c>
      <c r="K106" s="20" t="n">
        <v>331.575</v>
      </c>
    </row>
    <row r="107">
      <c r="A107" s="18" t="inlineStr">
        <is>
          <t>장기미지급금</t>
        </is>
      </c>
      <c r="C107" s="20" t="n">
        <v>101.044</v>
      </c>
      <c r="D107" s="20" t="n">
        <v>89.857</v>
      </c>
      <c r="E107" s="20" t="n">
        <v>78.67</v>
      </c>
      <c r="F107" s="20" t="n">
        <v>67.483</v>
      </c>
      <c r="G107" s="20" t="n">
        <v>70.03100000000001</v>
      </c>
      <c r="H107" s="20" t="n">
        <v>113.896</v>
      </c>
      <c r="I107" s="20" t="n">
        <v>65.086</v>
      </c>
      <c r="J107" s="20" t="n">
        <v>122.001</v>
      </c>
      <c r="K107" s="20" t="n">
        <v>89.857</v>
      </c>
    </row>
    <row r="108">
      <c r="A108" s="18" t="inlineStr">
        <is>
          <t>임원 퇴직위로 충당금</t>
        </is>
      </c>
      <c r="C108" s="20" t="n">
        <v>164.37</v>
      </c>
      <c r="D108" s="20" t="n">
        <v>164.37</v>
      </c>
      <c r="E108" s="20" t="n">
        <v>164.37</v>
      </c>
      <c r="F108" s="20" t="n">
        <v>164.37</v>
      </c>
      <c r="G108" s="20" t="n">
        <v>164.37</v>
      </c>
      <c r="H108" s="20" t="n">
        <v>164.37</v>
      </c>
      <c r="I108" s="20" t="n">
        <v>164.37</v>
      </c>
      <c r="J108" s="20" t="n">
        <v>164.37</v>
      </c>
      <c r="K108" s="20" t="n">
        <v>164.37</v>
      </c>
    </row>
    <row r="109">
      <c r="A109" s="18" t="inlineStr">
        <is>
          <t>퇴직급여부채</t>
        </is>
      </c>
      <c r="C109" s="20" t="n">
        <v>521.732</v>
      </c>
      <c r="D109" s="20" t="n">
        <v>529.124</v>
      </c>
      <c r="E109" s="20" t="n">
        <v>533.389</v>
      </c>
      <c r="F109" s="20" t="n">
        <v>532.627</v>
      </c>
      <c r="G109" s="20" t="n">
        <v>543.653</v>
      </c>
      <c r="H109" s="20" t="n">
        <v>497.563</v>
      </c>
      <c r="I109" s="20" t="n">
        <v>515.936</v>
      </c>
      <c r="J109" s="20" t="n">
        <v>535.077</v>
      </c>
      <c r="K109" s="20" t="n">
        <v>529.124</v>
      </c>
    </row>
    <row r="110">
      <c r="A110" s="18" t="inlineStr">
        <is>
          <t>자산복구부채</t>
        </is>
      </c>
      <c r="C110" s="20" t="n">
        <v>9.247999999999999</v>
      </c>
      <c r="D110" s="20" t="n">
        <v>9.247999999999999</v>
      </c>
      <c r="E110" s="20" t="n">
        <v>9.247999999999999</v>
      </c>
      <c r="F110" s="20" t="n">
        <v>9.247999999999999</v>
      </c>
      <c r="G110" s="20" t="n">
        <v>9.247999999999999</v>
      </c>
      <c r="H110" s="20" t="n">
        <v>9.246</v>
      </c>
      <c r="I110" s="20" t="n">
        <v>9.247</v>
      </c>
      <c r="J110" s="20" t="n">
        <v>9.247</v>
      </c>
      <c r="K110" s="20" t="n">
        <v>9.247999999999999</v>
      </c>
    </row>
    <row r="111">
      <c r="A111" s="18" t="inlineStr">
        <is>
          <t>기타</t>
        </is>
      </c>
      <c r="D111" s="20" t="n">
        <v>13.79</v>
      </c>
      <c r="K111" s="20" t="n">
        <v>13.79</v>
      </c>
    </row>
    <row r="112">
      <c r="A112" s="18" t="inlineStr">
        <is>
          <t>이연법인세부채</t>
        </is>
      </c>
      <c r="E112" s="20" t="n">
        <v>22.239</v>
      </c>
      <c r="F112" s="20" t="n">
        <v>46.063</v>
      </c>
      <c r="G112" s="20" t="n">
        <v>64.807</v>
      </c>
    </row>
    <row r="113">
      <c r="A113" s="9" t="inlineStr">
        <is>
          <t>비유동부채 합계</t>
        </is>
      </c>
      <c r="C113" s="12" t="n">
        <v>1180.433</v>
      </c>
      <c r="D113" s="12" t="n">
        <v>1137.966</v>
      </c>
      <c r="E113" s="12" t="n">
        <v>1088.5</v>
      </c>
      <c r="F113" s="12" t="n">
        <v>1088.554</v>
      </c>
      <c r="G113" s="12" t="n">
        <v>1173.526</v>
      </c>
      <c r="H113" s="12" t="n">
        <v>1302.884</v>
      </c>
      <c r="I113" s="12" t="n">
        <v>1234.38</v>
      </c>
      <c r="J113" s="12" t="n">
        <v>1225.434</v>
      </c>
      <c r="K113" s="12" t="n">
        <v>1137.966</v>
      </c>
    </row>
    <row r="114">
      <c r="A114" s="9" t="inlineStr">
        <is>
          <t>부채 합계</t>
        </is>
      </c>
      <c r="C114" s="12" t="n">
        <v>2395.973</v>
      </c>
      <c r="D114" s="12" t="n">
        <v>2245.191</v>
      </c>
      <c r="E114" s="12" t="n">
        <v>1872.562</v>
      </c>
      <c r="F114" s="12" t="n">
        <v>2110.319</v>
      </c>
      <c r="G114" s="12" t="n">
        <v>2198.279</v>
      </c>
      <c r="H114" s="12" t="n">
        <v>2460.654</v>
      </c>
      <c r="I114" s="12" t="n">
        <v>2286.298</v>
      </c>
      <c r="J114" s="12" t="n">
        <v>2370.417</v>
      </c>
      <c r="K114" s="12" t="n">
        <v>2245.191</v>
      </c>
    </row>
    <row r="115">
      <c r="A115" s="18" t="inlineStr">
        <is>
          <t>자본금</t>
        </is>
      </c>
      <c r="C115" s="20" t="n">
        <v>822.1950000000001</v>
      </c>
      <c r="D115" s="20" t="n">
        <v>822.1950000000001</v>
      </c>
      <c r="E115" s="20" t="n">
        <v>822.1950000000001</v>
      </c>
      <c r="F115" s="20" t="n">
        <v>822.1950000000001</v>
      </c>
      <c r="G115" s="20" t="n">
        <v>833.535</v>
      </c>
      <c r="H115" s="20" t="n">
        <v>815.198</v>
      </c>
      <c r="I115" s="20" t="n">
        <v>815.198</v>
      </c>
      <c r="J115" s="20" t="n">
        <v>822.1950000000001</v>
      </c>
      <c r="K115" s="20" t="n">
        <v>822.1950000000001</v>
      </c>
    </row>
    <row r="116">
      <c r="A116" s="18" t="inlineStr">
        <is>
          <t>자본잉여금</t>
        </is>
      </c>
      <c r="C116" s="20" t="n">
        <v>945.495</v>
      </c>
      <c r="D116" s="20" t="n">
        <v>945.495</v>
      </c>
      <c r="E116" s="20" t="n">
        <v>945.495</v>
      </c>
      <c r="F116" s="20" t="n">
        <v>945.495</v>
      </c>
      <c r="G116" s="20" t="n">
        <v>956.835</v>
      </c>
      <c r="H116" s="20" t="n">
        <v>938.498</v>
      </c>
      <c r="I116" s="20" t="n">
        <v>938.498</v>
      </c>
      <c r="J116" s="20" t="n">
        <v>945.495</v>
      </c>
      <c r="K116" s="20" t="n">
        <v>945.495</v>
      </c>
    </row>
    <row r="117">
      <c r="A117" s="18" t="inlineStr">
        <is>
          <t>이익잉여금</t>
        </is>
      </c>
      <c r="C117" s="20" t="n">
        <v>476.169</v>
      </c>
      <c r="D117" s="20" t="n">
        <v>511.788</v>
      </c>
      <c r="E117" s="20" t="n">
        <v>678.098</v>
      </c>
      <c r="F117" s="20" t="n">
        <v>644.294</v>
      </c>
      <c r="G117" s="20" t="n">
        <v>681.306</v>
      </c>
      <c r="H117" s="20" t="n">
        <v>757.509</v>
      </c>
      <c r="I117" s="20" t="n">
        <v>648.872</v>
      </c>
      <c r="J117" s="20" t="n">
        <v>633.359</v>
      </c>
      <c r="K117" s="20" t="n">
        <v>511.788</v>
      </c>
    </row>
    <row r="118">
      <c r="A118" s="18" t="inlineStr">
        <is>
          <t>자기주식</t>
        </is>
      </c>
      <c r="C118" s="20" t="n">
        <v>-0.116</v>
      </c>
      <c r="D118" s="20" t="n">
        <v>-0.116</v>
      </c>
      <c r="E118" s="20" t="n">
        <v>-0.116</v>
      </c>
      <c r="F118" s="20" t="n">
        <v>-0.116</v>
      </c>
      <c r="G118" s="20" t="n">
        <v>-0.116</v>
      </c>
      <c r="H118" s="20" t="n">
        <v>-0.116</v>
      </c>
      <c r="I118" s="20" t="n">
        <v>-0.116</v>
      </c>
      <c r="J118" s="20" t="n">
        <v>-0.116</v>
      </c>
      <c r="K118" s="20" t="n">
        <v>-0.116</v>
      </c>
    </row>
    <row r="119">
      <c r="A119" s="9" t="inlineStr">
        <is>
          <t>주주자본 합계</t>
        </is>
      </c>
      <c r="C119" s="12" t="n">
        <v>2243.744</v>
      </c>
      <c r="D119" s="12" t="n">
        <v>2279.363</v>
      </c>
      <c r="E119" s="12" t="n">
        <v>2445.673</v>
      </c>
      <c r="F119" s="12" t="n">
        <v>2411.869</v>
      </c>
      <c r="G119" s="12" t="n">
        <v>2471.561</v>
      </c>
      <c r="H119" s="12" t="n">
        <v>2511.09</v>
      </c>
      <c r="I119" s="12" t="n">
        <v>2402.453</v>
      </c>
      <c r="J119" s="12" t="n">
        <v>2400.934</v>
      </c>
      <c r="K119" s="12" t="n">
        <v>2279.363</v>
      </c>
    </row>
    <row r="120">
      <c r="A120" s="18" t="inlineStr">
        <is>
          <t>기타유가증권 평가차액</t>
        </is>
      </c>
      <c r="C120" s="20" t="n">
        <v>125.717</v>
      </c>
      <c r="D120" s="20" t="n">
        <v>157.8</v>
      </c>
      <c r="E120" s="20" t="n">
        <v>180.926</v>
      </c>
      <c r="F120" s="20" t="n">
        <v>227.807</v>
      </c>
      <c r="G120" s="20" t="n">
        <v>268.992</v>
      </c>
      <c r="H120" s="20" t="n">
        <v>44.31</v>
      </c>
      <c r="I120" s="20" t="n">
        <v>62.382</v>
      </c>
      <c r="J120" s="20" t="n">
        <v>87.617</v>
      </c>
      <c r="K120" s="20" t="n">
        <v>157.8</v>
      </c>
    </row>
    <row r="121">
      <c r="A121" s="18" t="inlineStr">
        <is>
          <t>해외사업환산조정</t>
        </is>
      </c>
      <c r="C121" s="20" t="n">
        <v>47.164</v>
      </c>
      <c r="D121" s="20" t="n">
        <v>37.507</v>
      </c>
      <c r="E121" s="20" t="n">
        <v>42.424</v>
      </c>
      <c r="F121" s="20" t="n">
        <v>44.33</v>
      </c>
      <c r="G121" s="20" t="n">
        <v>46.025</v>
      </c>
      <c r="H121" s="20" t="n">
        <v>42.177</v>
      </c>
      <c r="I121" s="20" t="n">
        <v>45.152</v>
      </c>
      <c r="J121" s="20" t="n">
        <v>48.389</v>
      </c>
      <c r="K121" s="20" t="n">
        <v>37.507</v>
      </c>
    </row>
    <row r="122">
      <c r="A122" s="18" t="inlineStr">
        <is>
          <t>기타포괄손익누계액 합계</t>
        </is>
      </c>
      <c r="C122" s="20" t="n">
        <v>172.882</v>
      </c>
      <c r="D122" s="20" t="n">
        <v>195.307</v>
      </c>
      <c r="E122" s="20" t="n">
        <v>223.35</v>
      </c>
      <c r="F122" s="20" t="n">
        <v>272.138</v>
      </c>
      <c r="G122" s="20" t="n">
        <v>315.018</v>
      </c>
      <c r="H122" s="20" t="n">
        <v>86.488</v>
      </c>
      <c r="I122" s="20" t="n">
        <v>107.535</v>
      </c>
      <c r="J122" s="20" t="n">
        <v>136.007</v>
      </c>
      <c r="K122" s="20" t="n">
        <v>195.307</v>
      </c>
    </row>
    <row r="123">
      <c r="A123" s="18" t="inlineStr">
        <is>
          <t>비지배지분</t>
        </is>
      </c>
      <c r="C123" s="20" t="n">
        <v>27.694</v>
      </c>
      <c r="D123" s="20" t="n">
        <v>29.115</v>
      </c>
      <c r="E123" s="20" t="n">
        <v>29.386</v>
      </c>
      <c r="F123" s="20" t="n">
        <v>31.181</v>
      </c>
      <c r="G123" s="20" t="n">
        <v>32.616</v>
      </c>
      <c r="H123" s="20" t="n">
        <v>32.005</v>
      </c>
      <c r="I123" s="20" t="n">
        <v>29.947</v>
      </c>
      <c r="J123" s="20" t="n">
        <v>32.605</v>
      </c>
      <c r="K123" s="20" t="n">
        <v>29.115</v>
      </c>
    </row>
    <row r="124">
      <c r="A124" s="9" t="inlineStr">
        <is>
          <t>순자산 합계</t>
        </is>
      </c>
      <c r="C124" s="12" t="n">
        <v>2444.321</v>
      </c>
      <c r="D124" s="12" t="n">
        <v>2503.786</v>
      </c>
      <c r="E124" s="12" t="n">
        <v>2698.41</v>
      </c>
      <c r="F124" s="12" t="n">
        <v>2715.189</v>
      </c>
      <c r="G124" s="12" t="n">
        <v>2819.196</v>
      </c>
      <c r="H124" s="12" t="n">
        <v>2629.584</v>
      </c>
      <c r="I124" s="12" t="n">
        <v>2539.936</v>
      </c>
      <c r="J124" s="12" t="n">
        <v>2569.547</v>
      </c>
      <c r="K124" s="12" t="n">
        <v>2503.786</v>
      </c>
    </row>
    <row r="125">
      <c r="A125" s="9" t="inlineStr">
        <is>
          <t>부채·순자산 합계</t>
        </is>
      </c>
      <c r="C125" s="12" t="n">
        <v>4840.294</v>
      </c>
      <c r="D125" s="12" t="n">
        <v>4748.978</v>
      </c>
      <c r="E125" s="12" t="n">
        <v>4570.972</v>
      </c>
      <c r="F125" s="12" t="n">
        <v>4825.509</v>
      </c>
      <c r="G125" s="12" t="n">
        <v>5017.476</v>
      </c>
      <c r="H125" s="12" t="n">
        <v>5090.238</v>
      </c>
      <c r="I125" s="12" t="n">
        <v>4826.234</v>
      </c>
      <c r="J125" s="12" t="n">
        <v>4939.964</v>
      </c>
      <c r="K125" s="12" t="n">
        <v>4748.978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2026-07-30</t>
        </is>
      </c>
      <c r="B4" t="inlineStr">
        <is>
          <t>2026년 12월 결산기 2분기 결산단신</t>
        </is>
      </c>
      <c r="C4" t="inlineStr">
        <is>
          <t>https://www2.jpx.co.jp/disc/66630/140120260713592535.pdf</t>
        </is>
      </c>
    </row>
    <row r="5">
      <c r="A5" t="inlineStr">
        <is>
          <t>2026-04-24</t>
        </is>
      </c>
      <c r="B5" t="inlineStr">
        <is>
          <t>2026년 12월 결산기 1분기 결산단신</t>
        </is>
      </c>
      <c r="C5" t="inlineStr">
        <is>
          <t>https://www2.jpx.co.jp/disc/66630/140120260406598632.pdf</t>
        </is>
      </c>
    </row>
    <row r="6">
      <c r="A6" t="inlineStr">
        <is>
          <t>2026-01-30</t>
        </is>
      </c>
      <c r="B6" t="inlineStr">
        <is>
          <t>2025년 12월 결산기 연간 결산단신</t>
        </is>
      </c>
      <c r="C6" t="inlineStr">
        <is>
          <t>https://www2.jpx.co.jp/disc/66630/140120260115534361.pdf</t>
        </is>
      </c>
    </row>
    <row r="7">
      <c r="A7" t="inlineStr">
        <is>
          <t>2025-10-24</t>
        </is>
      </c>
      <c r="B7" t="inlineStr">
        <is>
          <t>2025년 12월 결산기 3분기 결산단신</t>
        </is>
      </c>
      <c r="C7" t="inlineStr">
        <is>
          <t>https://www2.jpx.co.jp/disc/66630/140120251007569636.pdf</t>
        </is>
      </c>
    </row>
    <row r="8">
      <c r="A8" t="inlineStr">
        <is>
          <t>2025-07-30</t>
        </is>
      </c>
      <c r="B8" t="inlineStr">
        <is>
          <t>2025년 12월 결산기 2분기 결산단신</t>
        </is>
      </c>
      <c r="C8" t="inlineStr">
        <is>
          <t>https://www2.jpx.co.jp/disc/66630/140120250618592901.pdf</t>
        </is>
      </c>
    </row>
    <row r="9">
      <c r="A9" t="inlineStr">
        <is>
          <t>2025-04-25</t>
        </is>
      </c>
      <c r="B9" t="inlineStr">
        <is>
          <t>2025년 12월 결산기 1분기 결산단신</t>
        </is>
      </c>
      <c r="C9" t="inlineStr">
        <is>
          <t>https://www2.jpx.co.jp/disc/66630/140120250404509322.pdf</t>
        </is>
      </c>
    </row>
    <row r="10">
      <c r="A10" t="inlineStr">
        <is>
          <t>2025-01-31</t>
        </is>
      </c>
      <c r="B10" t="inlineStr">
        <is>
          <t>2024년 12월 결산기 연간 결산단신</t>
        </is>
      </c>
      <c r="C10" t="inlineStr">
        <is>
          <t>https://www2.jpx.co.jp/disc/66630/140120241218540676.pdf</t>
        </is>
      </c>
    </row>
    <row r="11">
      <c r="A11" t="inlineStr">
        <is>
          <t>2024-10-25</t>
        </is>
      </c>
      <c r="B11" t="inlineStr">
        <is>
          <t>2024년 12월 결산기 3분기 결산단신</t>
        </is>
      </c>
      <c r="C11" t="inlineStr">
        <is>
          <t>https://www2.jpx.co.jp/disc/66630/140120240912583995.pdf</t>
        </is>
      </c>
    </row>
    <row r="12">
      <c r="A12" t="inlineStr">
        <is>
          <t>2024-07-30</t>
        </is>
      </c>
      <c r="B12" t="inlineStr">
        <is>
          <t>2024년 12월 결산기 2분기 결산단신</t>
        </is>
      </c>
      <c r="C12" t="inlineStr">
        <is>
          <t>https://www2.jpx.co.jp/disc/66630/140120240722552383.pdf</t>
        </is>
      </c>
    </row>
    <row r="13">
      <c r="A13" t="inlineStr">
        <is>
          <t>2024-04-26</t>
        </is>
      </c>
      <c r="B13" t="inlineStr">
        <is>
          <t>2024년 12월 결산기 1분기 결산단신</t>
        </is>
      </c>
      <c r="C13" t="inlineStr">
        <is>
          <t>https://www2.jpx.co.jp/disc/66630/140120240401564224.pdf</t>
        </is>
      </c>
    </row>
    <row r="14">
      <c r="A14" t="inlineStr">
        <is>
          <t>2024-01-30</t>
        </is>
      </c>
      <c r="B14" t="inlineStr">
        <is>
          <t>2023년 12월 결산기 연간 결산단신</t>
        </is>
      </c>
      <c r="C14" t="inlineStr">
        <is>
          <t>https://www2.jpx.co.jp/disc/66630/140120231221506600.pdf</t>
        </is>
      </c>
    </row>
    <row r="15">
      <c r="A15" t="inlineStr">
        <is>
          <t>2023-10-25</t>
        </is>
      </c>
      <c r="B15" t="inlineStr">
        <is>
          <t>2023년 12월 결산기 3분기 결산단신</t>
        </is>
      </c>
      <c r="C15" t="inlineStr">
        <is>
          <t>https://www2.jpx.co.jp/disc/66630/140120230921556740.pdf</t>
        </is>
      </c>
    </row>
    <row r="16">
      <c r="A16" t="inlineStr">
        <is>
          <t>2023-07-28</t>
        </is>
      </c>
      <c r="B16" t="inlineStr">
        <is>
          <t>2023년 12월 결산기 2분기 결산단신</t>
        </is>
      </c>
      <c r="C16" t="inlineStr">
        <is>
          <t>https://www2.jpx.co.jp/disc/66630/140120230519576416.pdf</t>
        </is>
      </c>
    </row>
    <row r="17">
      <c r="A17" t="inlineStr">
        <is>
          <t>2023-04-25</t>
        </is>
      </c>
      <c r="B17" t="inlineStr">
        <is>
          <t>2023년 12월 결산기 1분기 결산단신</t>
        </is>
      </c>
      <c r="C17" t="inlineStr">
        <is>
          <t>https://www2.jpx.co.jp/disc/66630/140120230404542663.pdf</t>
        </is>
      </c>
    </row>
    <row r="18">
      <c r="A18" t="inlineStr">
        <is>
          <t>2023-01-30</t>
        </is>
      </c>
      <c r="B18" t="inlineStr">
        <is>
          <t>2022년 12월 결산기 연간 결산단신</t>
        </is>
      </c>
      <c r="C18" t="inlineStr">
        <is>
          <t>https://www2.jpx.co.jp/disc/66630/140120230116590054.pdf</t>
        </is>
      </c>
    </row>
    <row r="19">
      <c r="A19" t="inlineStr">
        <is>
          <t>2022-10-25</t>
        </is>
      </c>
      <c r="B19" t="inlineStr">
        <is>
          <t>2022년 12월 결산기 3분기 결산단신</t>
        </is>
      </c>
      <c r="C19" t="inlineStr">
        <is>
          <t>https://www2.jpx.co.jp/disc/66630/140120221020546846.pdf</t>
        </is>
      </c>
    </row>
    <row r="20">
      <c r="A20" t="inlineStr">
        <is>
          <t>2022-01-28</t>
        </is>
      </c>
      <c r="B20" t="inlineStr">
        <is>
          <t>2021년 12월 결산기 연간 결산단신</t>
        </is>
      </c>
      <c r="C20" t="inlineStr">
        <is>
          <t>https://www2.jpx.co.jp/disc/66630/140120220107564910.pdf</t>
        </is>
      </c>
    </row>
    <row r="21">
      <c r="A21" t="inlineStr">
        <is>
          <t>2021-01-29</t>
        </is>
      </c>
      <c r="B21" t="inlineStr">
        <is>
          <t>2020년 12월 결산기 연간 결산단신</t>
        </is>
      </c>
      <c r="C21" t="inlineStr">
        <is>
          <t>https://www2.jpx.co.jp/disc/66630/140120210112443071.pdf</t>
        </is>
      </c>
    </row>
    <row r="22">
      <c r="A22" t="inlineStr">
        <is>
          <t>2020-01-31</t>
        </is>
      </c>
      <c r="B22" t="inlineStr">
        <is>
          <t>2019년 12월 결산기 연간 결산단신</t>
        </is>
      </c>
      <c r="C22" t="inlineStr">
        <is>
          <t>https://www2.jpx.co.jp/disc/66630/140120200116447183.pdf</t>
        </is>
      </c>
    </row>
    <row r="23">
      <c r="A23" t="inlineStr">
        <is>
          <t>2019-01-30</t>
        </is>
      </c>
      <c r="B23" t="inlineStr">
        <is>
          <t>연간 결산단신</t>
        </is>
      </c>
      <c r="C23" t="inlineStr">
        <is>
          <t>https://www2.jpx.co.jp/disc/66630/140120190123462681.pdf</t>
        </is>
      </c>
    </row>
    <row r="24">
      <c r="A24" t="inlineStr">
        <is>
          <t>2018-01-30</t>
        </is>
      </c>
      <c r="B24" t="inlineStr">
        <is>
          <t>연간 결산단신</t>
        </is>
      </c>
      <c r="C24" t="inlineStr">
        <is>
          <t>https://www2.jpx.co.jp/disc/66630/140120171227443538.pdf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2026-10-25T09:08:17Z</dcterms:created>
  <dcterms:modified xmlns:dcterms="http://purl.org/dc/terms/" xmlns:xsi="http://www.w3.org/2001/XMLSchema-instance" xsi:type="dcterms:W3CDTF">2026-10-25T09:08:17Z</dcterms:modified>
</cp:coreProperties>
</file>