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46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6663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11월 결산 · 일본 기준 · 2026.4Q = 2026년 11월 결산기 4분기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2024.1Q</t>
        </is>
      </c>
      <c r="D3" s="5" t="inlineStr">
        <is>
          <t>2024.2Q</t>
        </is>
      </c>
      <c r="E3" s="5" t="inlineStr">
        <is>
          <t>2024.3Q</t>
        </is>
      </c>
      <c r="F3" s="5" t="inlineStr">
        <is>
          <t>2024.4Q</t>
        </is>
      </c>
      <c r="G3" s="5" t="inlineStr">
        <is>
          <t>2025.1Q</t>
        </is>
      </c>
      <c r="H3" s="5" t="inlineStr">
        <is>
          <t>2025.2Q</t>
        </is>
      </c>
      <c r="I3" s="5" t="inlineStr">
        <is>
          <t>2025.3Q</t>
        </is>
      </c>
      <c r="J3" s="5" t="inlineStr">
        <is>
          <t>2025.4Q</t>
        </is>
      </c>
      <c r="K3" s="5" t="inlineStr">
        <is>
          <t>2026.1Q</t>
        </is>
      </c>
      <c r="L3" s="5" t="inlineStr">
        <is>
          <t>2026.2Q</t>
        </is>
      </c>
      <c r="M3" s="5" t="inlineStr">
        <is>
          <t>2026.3Q</t>
        </is>
      </c>
      <c r="N3" s="5" t="inlineStr">
        <is>
          <t>2026.4Q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865.849</v>
      </c>
      <c r="D4" s="12" t="n">
        <v>894.376</v>
      </c>
      <c r="E4" s="12" t="n">
        <v>997.932</v>
      </c>
      <c r="F4" s="12" t="n">
        <v>653.308</v>
      </c>
      <c r="G4" s="12" t="n">
        <v>783.899</v>
      </c>
      <c r="H4" s="12" t="n">
        <v>823.261</v>
      </c>
      <c r="I4" s="12" t="n">
        <v>1011.058</v>
      </c>
      <c r="J4" s="12" t="n">
        <v>901.082</v>
      </c>
      <c r="K4" s="12" t="n">
        <v>820.764</v>
      </c>
      <c r="L4" s="12" t="n">
        <v>961.948</v>
      </c>
      <c r="M4" s="12" t="n">
        <v>1105.708</v>
      </c>
      <c r="N4" s="12" t="n">
        <v>863.247</v>
      </c>
      <c r="O4" s="11" t="n">
        <v>4979.906</v>
      </c>
      <c r="P4" s="12" t="n">
        <v>4238.765</v>
      </c>
      <c r="Q4" s="12" t="n">
        <v>4582.357</v>
      </c>
      <c r="R4" s="12" t="n">
        <v>3896.341</v>
      </c>
      <c r="S4" s="12" t="n">
        <v>3175.189</v>
      </c>
      <c r="T4" s="12" t="n">
        <v>3917.94</v>
      </c>
      <c r="U4" s="12" t="n">
        <v>3625.517</v>
      </c>
      <c r="V4" s="12" t="n">
        <v>3411.465</v>
      </c>
      <c r="W4" s="12" t="n">
        <v>3519.3</v>
      </c>
      <c r="X4" s="12" t="n">
        <v>3751.667</v>
      </c>
      <c r="Y4" s="11">
        <f>IF(COUNT(Y7,Y10,Y13,Y16)=0,"",SUM(Y7,Y10,Y13,Y16))</f>
        <v/>
      </c>
      <c r="Z4" s="12">
        <f>IF(COUNT(Z7,Z10,Z13,Z16)=0,"",SUM(Z7,Z10,Z13,Z16))</f>
        <v/>
      </c>
      <c r="AA4" s="12">
        <f>IF(COUNT(AA7,AA10,AA13,AA16)=0,"",SUM(AA7,AA10,AA13,AA16))</f>
        <v/>
      </c>
      <c r="AB4" s="12">
        <f>IF(COUNT(AB7,AB10,AB13,AB16)=0,"",SUM(AB7,AB10,AB13,AB16))</f>
        <v/>
      </c>
      <c r="AC4" s="12">
        <f>IF(COUNT(AC7,AC10,AC13,AC16)=0,"",SUM(AC7,AC10,AC13,AC16))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전자기판 사업</t>
        </is>
      </c>
      <c r="B7" s="10" t="n"/>
      <c r="C7" s="19" t="n">
        <v>572.255</v>
      </c>
      <c r="D7" s="20" t="n">
        <v>580.651</v>
      </c>
      <c r="E7" s="20" t="n">
        <v>564.595</v>
      </c>
      <c r="F7" s="20" t="n">
        <v>701.874</v>
      </c>
      <c r="G7" s="20" t="n">
        <v>574.353</v>
      </c>
      <c r="H7" s="20" t="n">
        <v>584.717</v>
      </c>
      <c r="I7" s="20" t="n">
        <v>548.37</v>
      </c>
      <c r="J7" s="20" t="n">
        <v>559.268</v>
      </c>
      <c r="K7" s="20" t="n">
        <v>649.97</v>
      </c>
      <c r="L7" s="20" t="n">
        <v>673.0940000000001</v>
      </c>
      <c r="M7" s="20" t="n">
        <v>703.259</v>
      </c>
      <c r="N7" s="20" t="n">
        <v>383</v>
      </c>
      <c r="O7" s="19" t="n"/>
      <c r="P7" s="20" t="n"/>
      <c r="Q7" s="20" t="n"/>
      <c r="R7" s="20" t="n"/>
      <c r="S7" s="20" t="n"/>
      <c r="T7" s="20" t="n"/>
      <c r="U7" s="20" t="n"/>
      <c r="V7" s="20" t="n">
        <v>2419.375</v>
      </c>
      <c r="W7" s="20" t="n">
        <v>2266.708</v>
      </c>
      <c r="X7" s="20" t="n">
        <v>2409.323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테스트시스템 사업</t>
        </is>
      </c>
      <c r="B10" s="10" t="n"/>
      <c r="C10" s="19" t="n">
        <v>175.585</v>
      </c>
      <c r="D10" s="20" t="n">
        <v>173.913</v>
      </c>
      <c r="E10" s="20" t="n">
        <v>243.186</v>
      </c>
      <c r="F10" s="20" t="n">
        <v>-171.931</v>
      </c>
      <c r="G10" s="20" t="n">
        <v>77.95399999999999</v>
      </c>
      <c r="H10" s="20" t="n">
        <v>61.254</v>
      </c>
      <c r="I10" s="20" t="n">
        <v>80.82299999999999</v>
      </c>
      <c r="J10" s="20" t="n">
        <v>477.705</v>
      </c>
      <c r="K10" s="20" t="n">
        <v>76.842</v>
      </c>
      <c r="L10" s="20" t="n">
        <v>116.365</v>
      </c>
      <c r="M10" s="20" t="n">
        <v>96.63500000000001</v>
      </c>
      <c r="N10" s="20" t="n">
        <v>161.14</v>
      </c>
      <c r="O10" s="19" t="n"/>
      <c r="P10" s="20" t="n"/>
      <c r="Q10" s="20" t="n"/>
      <c r="R10" s="20" t="n"/>
      <c r="S10" s="20" t="n"/>
      <c r="T10" s="20" t="n"/>
      <c r="U10" s="20" t="n"/>
      <c r="V10" s="20" t="n">
        <v>420.753</v>
      </c>
      <c r="W10" s="20" t="n">
        <v>697.736</v>
      </c>
      <c r="X10" s="20" t="n">
        <v>450.982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경면연마기 사업</t>
        </is>
      </c>
      <c r="B13" s="10" t="n"/>
      <c r="C13" s="19" t="n">
        <v>102.012</v>
      </c>
      <c r="D13" s="20" t="n">
        <v>90.459</v>
      </c>
      <c r="E13" s="20" t="n">
        <v>134.637</v>
      </c>
      <c r="F13" s="20" t="n">
        <v>69.611</v>
      </c>
      <c r="G13" s="20" t="n">
        <v>119.334</v>
      </c>
      <c r="H13" s="20" t="n">
        <v>97.19</v>
      </c>
      <c r="I13" s="20" t="n">
        <v>104.111</v>
      </c>
      <c r="J13" s="20" t="n">
        <v>101.201</v>
      </c>
      <c r="K13" s="20" t="n">
        <v>65.52</v>
      </c>
      <c r="L13" s="20" t="n">
        <v>133.173</v>
      </c>
      <c r="M13" s="20" t="n">
        <v>145.709</v>
      </c>
      <c r="N13" s="20" t="n">
        <v>101.265</v>
      </c>
      <c r="O13" s="19" t="n"/>
      <c r="P13" s="20" t="n"/>
      <c r="Q13" s="20" t="n"/>
      <c r="R13" s="20" t="n"/>
      <c r="S13" s="20" t="n"/>
      <c r="T13" s="20" t="n"/>
      <c r="U13" s="20" t="n"/>
      <c r="V13" s="20" t="n">
        <v>396.719</v>
      </c>
      <c r="W13" s="20" t="n">
        <v>421.836</v>
      </c>
      <c r="X13" s="20" t="n">
        <v>445.667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산업기계시스템 사업</t>
        </is>
      </c>
      <c r="B16" s="10" t="n"/>
      <c r="C16" s="19" t="n">
        <v>15.995</v>
      </c>
      <c r="D16" s="20" t="n">
        <v>49.354</v>
      </c>
      <c r="E16" s="20" t="n">
        <v>55.512</v>
      </c>
      <c r="F16" s="20" t="n">
        <v>53.756</v>
      </c>
      <c r="G16" s="20" t="n">
        <v>12.257</v>
      </c>
      <c r="H16" s="20" t="n">
        <v>80.099</v>
      </c>
      <c r="I16" s="20" t="n">
        <v>277.755</v>
      </c>
      <c r="J16" s="20" t="n">
        <v>-237.092</v>
      </c>
      <c r="K16" s="20" t="n">
        <v>28.43</v>
      </c>
      <c r="L16" s="20" t="n">
        <v>39.316</v>
      </c>
      <c r="M16" s="20" t="n">
        <v>160.106</v>
      </c>
      <c r="N16" s="20" t="n">
        <v>217.841</v>
      </c>
      <c r="O16" s="19" t="n"/>
      <c r="P16" s="20" t="n"/>
      <c r="Q16" s="20" t="n"/>
      <c r="R16" s="20" t="n"/>
      <c r="S16" s="20" t="n"/>
      <c r="T16" s="20" t="n"/>
      <c r="U16" s="20" t="n"/>
      <c r="V16" s="20" t="n">
        <v>174.617</v>
      </c>
      <c r="W16" s="20" t="n">
        <v>133.019</v>
      </c>
      <c r="X16" s="20" t="n">
        <v>445.693</v>
      </c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6" t="inlineStr">
        <is>
          <t>매출원가</t>
        </is>
      </c>
      <c r="B19" s="16" t="n"/>
      <c r="C19" s="17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7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7" t="n"/>
      <c r="Z19" s="16" t="n"/>
      <c r="AA19" s="16" t="n"/>
      <c r="AB19" s="16" t="n"/>
      <c r="AC19" s="16" t="n"/>
    </row>
    <row r="20">
      <c r="A20" s="18" t="inlineStr">
        <is>
          <t>전체 매출원가</t>
        </is>
      </c>
      <c r="B20" s="10" t="n"/>
      <c r="C20" s="19" t="n">
        <v>593.605</v>
      </c>
      <c r="D20" s="20" t="n">
        <v>670.452</v>
      </c>
      <c r="E20" s="20" t="n">
        <v>697.359</v>
      </c>
      <c r="F20" s="20" t="n">
        <v>505.74</v>
      </c>
      <c r="G20" s="20" t="n">
        <v>562.78</v>
      </c>
      <c r="H20" s="20" t="n">
        <v>583.814</v>
      </c>
      <c r="I20" s="20" t="n">
        <v>759.414</v>
      </c>
      <c r="J20" s="20" t="n">
        <v>603.213</v>
      </c>
      <c r="K20" s="20" t="n">
        <v>546.9829999999999</v>
      </c>
      <c r="L20" s="20" t="n">
        <v>652.153</v>
      </c>
      <c r="M20" s="20" t="n">
        <v>795.755</v>
      </c>
      <c r="N20" s="20" t="n">
        <v>632.715</v>
      </c>
      <c r="O20" s="19" t="n">
        <v>3747.426</v>
      </c>
      <c r="P20" s="20" t="n">
        <v>3095.518</v>
      </c>
      <c r="Q20" s="20" t="n">
        <v>3263.75</v>
      </c>
      <c r="R20" s="20" t="n">
        <v>2834.274</v>
      </c>
      <c r="S20" s="20" t="n">
        <v>2540.878</v>
      </c>
      <c r="T20" s="20" t="n">
        <v>2726.187</v>
      </c>
      <c r="U20" s="20" t="n">
        <v>2583.747</v>
      </c>
      <c r="V20" s="20" t="n">
        <v>2467.156</v>
      </c>
      <c r="W20" s="20" t="n">
        <v>2509.221</v>
      </c>
      <c r="X20" s="20" t="n">
        <v>2627.606</v>
      </c>
      <c r="Y20" s="19" t="n"/>
      <c r="Z20" s="20" t="n"/>
      <c r="AA20" s="20" t="n"/>
      <c r="AB20" s="20" t="n"/>
      <c r="AC20" s="20" t="n"/>
    </row>
    <row r="21">
      <c r="A21" s="18" t="inlineStr">
        <is>
          <t>매출총이익</t>
        </is>
      </c>
      <c r="B21" s="10" t="n"/>
      <c r="C21" s="19">
        <f>IF(OR(C4="",C20=""),"",IFERROR(C4-C20,""))</f>
        <v/>
      </c>
      <c r="D21" s="20">
        <f>IF(OR(D4="",D20=""),"",IFERROR(D4-D20,""))</f>
        <v/>
      </c>
      <c r="E21" s="20">
        <f>IF(OR(E4="",E20=""),"",IFERROR(E4-E20,""))</f>
        <v/>
      </c>
      <c r="F21" s="20">
        <f>IF(OR(F4="",F20=""),"",IFERROR(F4-F20,""))</f>
        <v/>
      </c>
      <c r="G21" s="20">
        <f>IF(OR(G4="",G20=""),"",IFERROR(G4-G20,""))</f>
        <v/>
      </c>
      <c r="H21" s="20">
        <f>IF(OR(H4="",H20=""),"",IFERROR(H4-H20,""))</f>
        <v/>
      </c>
      <c r="I21" s="20">
        <f>IF(OR(I4="",I20=""),"",IFERROR(I4-I20,""))</f>
        <v/>
      </c>
      <c r="J21" s="20">
        <f>IF(OR(J4="",J20=""),"",IFERROR(J4-J20,""))</f>
        <v/>
      </c>
      <c r="K21" s="20">
        <f>IF(OR(K4="",K20=""),"",IFERROR(K4-K20,""))</f>
        <v/>
      </c>
      <c r="L21" s="20">
        <f>IF(OR(L4="",L20=""),"",IFERROR(L4-L20,""))</f>
        <v/>
      </c>
      <c r="M21" s="20">
        <f>IF(OR(M4="",M20=""),"",IFERROR(M4-M20,""))</f>
        <v/>
      </c>
      <c r="N21" s="20">
        <f>IF(OR(N4="",N20=""),"",IFERROR(N4-N20,""))</f>
        <v/>
      </c>
      <c r="O21" s="19">
        <f>IF(OR(O4="",O20=""),"",IFERROR(O4-O20,""))</f>
        <v/>
      </c>
      <c r="P21" s="20">
        <f>IF(OR(P4="",P20=""),"",IFERROR(P4-P20,""))</f>
        <v/>
      </c>
      <c r="Q21" s="20">
        <f>IF(OR(Q4="",Q20=""),"",IFERROR(Q4-Q20,""))</f>
        <v/>
      </c>
      <c r="R21" s="20">
        <f>IF(OR(R4="",R20=""),"",IFERROR(R4-R20,""))</f>
        <v/>
      </c>
      <c r="S21" s="20">
        <f>IF(OR(S4="",S20=""),"",IFERROR(S4-S20,""))</f>
        <v/>
      </c>
      <c r="T21" s="20">
        <f>IF(OR(T4="",T20=""),"",IFERROR(T4-T20,""))</f>
        <v/>
      </c>
      <c r="U21" s="20">
        <f>IF(OR(U4="",U20=""),"",IFERROR(U4-U20,""))</f>
        <v/>
      </c>
      <c r="V21" s="20">
        <f>IF(OR(V4="",V20=""),"",IFERROR(V4-V20,""))</f>
        <v/>
      </c>
      <c r="W21" s="20">
        <f>IF(OR(W4="",W20=""),"",IFERROR(W4-W20,""))</f>
        <v/>
      </c>
      <c r="X21" s="20">
        <f>IF(OR(X4="",X20=""),"",IFERROR(X4-X20,""))</f>
        <v/>
      </c>
      <c r="Y21" s="19" t="n"/>
      <c r="Z21" s="20" t="n"/>
      <c r="AA21" s="20" t="n"/>
      <c r="AB21" s="20" t="n"/>
      <c r="AC21" s="20" t="n"/>
    </row>
    <row r="22">
      <c r="A22" s="13" t="inlineStr">
        <is>
          <t>GPM</t>
        </is>
      </c>
      <c r="B22" s="10" t="n"/>
      <c r="C22" s="14">
        <f>IF(OR(C21="",C4=""),"",IFERROR(C21/C4,""))</f>
        <v/>
      </c>
      <c r="D22" s="15">
        <f>IF(OR(D21="",D4=""),"",IFERROR(D21/D4,""))</f>
        <v/>
      </c>
      <c r="E22" s="15">
        <f>IF(OR(E21="",E4=""),"",IFERROR(E21/E4,""))</f>
        <v/>
      </c>
      <c r="F22" s="15">
        <f>IF(OR(F21="",F4=""),"",IFERROR(F21/F4,""))</f>
        <v/>
      </c>
      <c r="G22" s="15">
        <f>IF(OR(G21="",G4=""),"",IFERROR(G21/G4,""))</f>
        <v/>
      </c>
      <c r="H22" s="15">
        <f>IF(OR(H21="",H4=""),"",IFERROR(H21/H4,""))</f>
        <v/>
      </c>
      <c r="I22" s="15">
        <f>IF(OR(I21="",I4=""),"",IFERROR(I21/I4,""))</f>
        <v/>
      </c>
      <c r="J22" s="15">
        <f>IF(OR(J21="",J4=""),"",IFERROR(J21/J4,""))</f>
        <v/>
      </c>
      <c r="K22" s="15">
        <f>IF(OR(K21="",K4=""),"",IFERROR(K21/K4,""))</f>
        <v/>
      </c>
      <c r="L22" s="15">
        <f>IF(OR(L21="",L4=""),"",IFERROR(L21/L4,""))</f>
        <v/>
      </c>
      <c r="M22" s="15">
        <f>IF(OR(M21="",M4=""),"",IFERROR(M21/M4,""))</f>
        <v/>
      </c>
      <c r="N22" s="15">
        <f>IF(OR(N21="",N4=""),"",IFERROR(N21/N4,""))</f>
        <v/>
      </c>
      <c r="O22" s="14">
        <f>IF(OR(O21="",O4=""),"",IFERROR(O21/O4,""))</f>
        <v/>
      </c>
      <c r="P22" s="15">
        <f>IF(OR(P21="",P4=""),"",IFERROR(P21/P4,""))</f>
        <v/>
      </c>
      <c r="Q22" s="15">
        <f>IF(OR(Q21="",Q4=""),"",IFERROR(Q21/Q4,""))</f>
        <v/>
      </c>
      <c r="R22" s="15">
        <f>IF(OR(R21="",R4=""),"",IFERROR(R21/R4,""))</f>
        <v/>
      </c>
      <c r="S22" s="15">
        <f>IF(OR(S21="",S4=""),"",IFERROR(S21/S4,""))</f>
        <v/>
      </c>
      <c r="T22" s="15">
        <f>IF(OR(T21="",T4=""),"",IFERROR(T21/T4,""))</f>
        <v/>
      </c>
      <c r="U22" s="15">
        <f>IF(OR(U21="",U4=""),"",IFERROR(U21/U4,""))</f>
        <v/>
      </c>
      <c r="V22" s="15">
        <f>IF(OR(V21="",V4=""),"",IFERROR(V21/V4,""))</f>
        <v/>
      </c>
      <c r="W22" s="15">
        <f>IF(OR(W21="",W4=""),"",IFERROR(W21/W4,""))</f>
        <v/>
      </c>
      <c r="X22" s="15">
        <f>IF(OR(X21="",X4=""),"",IFERROR(X21/X4,""))</f>
        <v/>
      </c>
      <c r="Y22" s="14">
        <f>IF(OR(Y21="",Y4=""),"",IFERROR(Y21/Y4,""))</f>
        <v/>
      </c>
      <c r="Z22" s="15">
        <f>IF(OR(Z21="",Z4=""),"",IFERROR(Z21/Z4,""))</f>
        <v/>
      </c>
      <c r="AA22" s="15">
        <f>IF(OR(AA21="",AA4=""),"",IFERROR(AA21/AA4,""))</f>
        <v/>
      </c>
      <c r="AB22" s="15">
        <f>IF(OR(AB21="",AB4=""),"",IFERROR(AB21/AB4,""))</f>
        <v/>
      </c>
      <c r="AC22" s="15">
        <f>IF(OR(AC21="",AC4=""),"",IFERROR(AC21/AC4,""))</f>
        <v/>
      </c>
    </row>
    <row r="23">
      <c r="A23" s="23" t="inlineStr">
        <is>
          <t>판매관리비</t>
        </is>
      </c>
      <c r="B23" s="23" t="n"/>
      <c r="C23" s="24" t="n"/>
      <c r="D23" s="23" t="n"/>
      <c r="E23" s="23" t="n"/>
      <c r="F23" s="23" t="n"/>
      <c r="G23" s="23" t="n"/>
      <c r="H23" s="23" t="n"/>
      <c r="I23" s="23" t="n"/>
      <c r="J23" s="23" t="n"/>
      <c r="K23" s="23" t="n"/>
      <c r="L23" s="23" t="n"/>
      <c r="M23" s="23" t="n"/>
      <c r="N23" s="23" t="n"/>
      <c r="O23" s="24" t="n"/>
      <c r="P23" s="23" t="n"/>
      <c r="Q23" s="23" t="n"/>
      <c r="R23" s="23" t="n"/>
      <c r="S23" s="23" t="n"/>
      <c r="T23" s="23" t="n"/>
      <c r="U23" s="23" t="n"/>
      <c r="V23" s="23" t="n"/>
      <c r="W23" s="23" t="n"/>
      <c r="X23" s="23" t="n"/>
      <c r="Y23" s="24" t="n"/>
      <c r="Z23" s="23" t="n"/>
      <c r="AA23" s="23" t="n"/>
      <c r="AB23" s="23" t="n"/>
      <c r="AC23" s="23" t="n"/>
    </row>
    <row r="24">
      <c r="A24" s="18" t="inlineStr">
        <is>
          <t>전체 판관비</t>
        </is>
      </c>
      <c r="B24" s="10" t="n"/>
      <c r="C24" s="19" t="n">
        <v>270.476</v>
      </c>
      <c r="D24" s="20" t="n">
        <v>260.157</v>
      </c>
      <c r="E24" s="20" t="n">
        <v>269.416</v>
      </c>
      <c r="F24" s="20" t="n">
        <v>286.133</v>
      </c>
      <c r="G24" s="20" t="n">
        <v>280.648</v>
      </c>
      <c r="H24" s="20" t="n">
        <v>237.353</v>
      </c>
      <c r="I24" s="20" t="n">
        <v>227.358</v>
      </c>
      <c r="J24" s="20" t="n">
        <v>318.807</v>
      </c>
      <c r="K24" s="20" t="n">
        <v>249.62</v>
      </c>
      <c r="L24" s="20" t="n">
        <v>250.577</v>
      </c>
      <c r="M24" s="20" t="n">
        <v>253.717</v>
      </c>
      <c r="N24" s="20" t="n">
        <v>227.574</v>
      </c>
      <c r="O24" s="19" t="n">
        <v>1175.282</v>
      </c>
      <c r="P24" s="20" t="n">
        <v>1173.203</v>
      </c>
      <c r="Q24" s="20" t="n">
        <v>1196.519</v>
      </c>
      <c r="R24" s="20" t="n">
        <v>1175.836</v>
      </c>
      <c r="S24" s="20" t="n">
        <v>1060.003</v>
      </c>
      <c r="T24" s="20" t="n">
        <v>1070.503</v>
      </c>
      <c r="U24" s="20" t="n">
        <v>1069.554</v>
      </c>
      <c r="V24" s="20" t="n">
        <v>1086.182</v>
      </c>
      <c r="W24" s="20" t="n">
        <v>1064.166</v>
      </c>
      <c r="X24" s="20" t="n">
        <v>981.4880000000001</v>
      </c>
      <c r="Y24" s="19" t="n"/>
      <c r="Z24" s="20" t="n"/>
      <c r="AA24" s="20" t="n"/>
      <c r="AB24" s="20" t="n"/>
      <c r="AC24" s="20" t="n"/>
    </row>
    <row r="25">
      <c r="A25" s="9" t="inlineStr">
        <is>
          <t>영업이익</t>
        </is>
      </c>
      <c r="B25" s="10" t="inlineStr">
        <is>
          <t>MW = 매출 × OPM</t>
        </is>
      </c>
      <c r="C25" s="11" t="n">
        <v>1.767</v>
      </c>
      <c r="D25" s="12" t="n">
        <v>-36.232</v>
      </c>
      <c r="E25" s="12" t="n">
        <v>31.156</v>
      </c>
      <c r="F25" s="12" t="n">
        <v>-138.564</v>
      </c>
      <c r="G25" s="12" t="n">
        <v>-59.528</v>
      </c>
      <c r="H25" s="12" t="n">
        <v>2.093</v>
      </c>
      <c r="I25" s="12" t="n">
        <v>24.286</v>
      </c>
      <c r="J25" s="12" t="n">
        <v>-20.939</v>
      </c>
      <c r="K25" s="12" t="n">
        <v>24.16</v>
      </c>
      <c r="L25" s="12" t="n">
        <v>59.218</v>
      </c>
      <c r="M25" s="12" t="n">
        <v>56.236</v>
      </c>
      <c r="N25" s="12" t="n">
        <v>2.958</v>
      </c>
      <c r="O25" s="11" t="n">
        <v>57.197</v>
      </c>
      <c r="P25" s="12" t="n">
        <v>-29.956</v>
      </c>
      <c r="Q25" s="12" t="n">
        <v>122.086</v>
      </c>
      <c r="R25" s="12" t="n">
        <v>-113.769</v>
      </c>
      <c r="S25" s="12" t="n">
        <v>-425.693</v>
      </c>
      <c r="T25" s="12" t="n">
        <v>121.249</v>
      </c>
      <c r="U25" s="12" t="n">
        <v>-27.783</v>
      </c>
      <c r="V25" s="12" t="n">
        <v>-141.873</v>
      </c>
      <c r="W25" s="12" t="n">
        <v>-54.088</v>
      </c>
      <c r="X25" s="12" t="n">
        <v>142.572</v>
      </c>
      <c r="Y25" s="11">
        <f>IF(OR(Y4="",Y26=""),"",IFERROR(Y4*Y26,""))</f>
        <v/>
      </c>
      <c r="Z25" s="12">
        <f>IF(OR(Z4="",Z26=""),"",IFERROR(Z4*Z26,""))</f>
        <v/>
      </c>
      <c r="AA25" s="12">
        <f>IF(OR(AA4="",AA26=""),"",IFERROR(AA4*AA26,""))</f>
        <v/>
      </c>
      <c r="AB25" s="12">
        <f>IF(OR(AB4="",AB26=""),"",IFERROR(AB4*AB26,""))</f>
        <v/>
      </c>
      <c r="AC25" s="12">
        <f>IF(OR(AC4="",AC26=""),"",IFERROR(AC4*AC26,""))</f>
        <v/>
      </c>
    </row>
    <row r="26">
      <c r="A26" s="13" t="inlineStr">
        <is>
          <t>OPM</t>
        </is>
      </c>
      <c r="B26" s="10" t="inlineStr">
        <is>
          <t>MW 입력</t>
        </is>
      </c>
      <c r="C26" s="14">
        <f>IF(OR(C25="",C4=""),"",IFERROR(C25/C4,""))</f>
        <v/>
      </c>
      <c r="D26" s="15">
        <f>IF(OR(D25="",D4=""),"",IFERROR(D25/D4,""))</f>
        <v/>
      </c>
      <c r="E26" s="15">
        <f>IF(OR(E25="",E4=""),"",IFERROR(E25/E4,""))</f>
        <v/>
      </c>
      <c r="F26" s="15">
        <f>IF(OR(F25="",F4=""),"",IFERROR(F25/F4,""))</f>
        <v/>
      </c>
      <c r="G26" s="15">
        <f>IF(OR(G25="",G4=""),"",IFERROR(G25/G4,""))</f>
        <v/>
      </c>
      <c r="H26" s="15">
        <f>IF(OR(H25="",H4=""),"",IFERROR(H25/H4,""))</f>
        <v/>
      </c>
      <c r="I26" s="15">
        <f>IF(OR(I25="",I4=""),"",IFERROR(I25/I4,""))</f>
        <v/>
      </c>
      <c r="J26" s="15">
        <f>IF(OR(J25="",J4=""),"",IFERROR(J25/J4,""))</f>
        <v/>
      </c>
      <c r="K26" s="15">
        <f>IF(OR(K25="",K4=""),"",IFERROR(K25/K4,""))</f>
        <v/>
      </c>
      <c r="L26" s="15">
        <f>IF(OR(L25="",L4=""),"",IFERROR(L25/L4,""))</f>
        <v/>
      </c>
      <c r="M26" s="15">
        <f>IF(OR(M25="",M4=""),"",IFERROR(M25/M4,""))</f>
        <v/>
      </c>
      <c r="N26" s="15">
        <f>IF(OR(N25="",N4=""),"",IFERROR(N25/N4,""))</f>
        <v/>
      </c>
      <c r="O26" s="14">
        <f>IF(OR(O25="",O4=""),"",IFERROR(O25/O4,""))</f>
        <v/>
      </c>
      <c r="P26" s="15">
        <f>IF(OR(P25="",P4=""),"",IFERROR(P25/P4,""))</f>
        <v/>
      </c>
      <c r="Q26" s="15">
        <f>IF(OR(Q25="",Q4=""),"",IFERROR(Q25/Q4,""))</f>
        <v/>
      </c>
      <c r="R26" s="15">
        <f>IF(OR(R25="",R4=""),"",IFERROR(R25/R4,""))</f>
        <v/>
      </c>
      <c r="S26" s="15">
        <f>IF(OR(S25="",S4=""),"",IFERROR(S25/S4,""))</f>
        <v/>
      </c>
      <c r="T26" s="15">
        <f>IF(OR(T25="",T4=""),"",IFERROR(T25/T4,""))</f>
        <v/>
      </c>
      <c r="U26" s="15">
        <f>IF(OR(U25="",U4=""),"",IFERROR(U25/U4,""))</f>
        <v/>
      </c>
      <c r="V26" s="15">
        <f>IF(OR(V25="",V4=""),"",IFERROR(V25/V4,""))</f>
        <v/>
      </c>
      <c r="W26" s="15">
        <f>IF(OR(W25="",W4=""),"",IFERROR(W25/W4,""))</f>
        <v/>
      </c>
      <c r="X26" s="15">
        <f>IF(OR(X25="",X4=""),"",IFERROR(X25/X4,""))</f>
        <v/>
      </c>
      <c r="Y26" s="25" t="n"/>
      <c r="Z26" s="26" t="n"/>
      <c r="AA26" s="26" t="n"/>
      <c r="AB26" s="26" t="n"/>
      <c r="AC26" s="26" t="n"/>
    </row>
    <row r="27">
      <c r="A27" s="13" t="inlineStr">
        <is>
          <t>증가율</t>
        </is>
      </c>
      <c r="B27" s="10" t="n"/>
      <c r="C27" s="14" t="n"/>
      <c r="D27" s="15" t="n"/>
      <c r="E27" s="15" t="n"/>
      <c r="F27" s="15" t="n"/>
      <c r="G27" s="15">
        <f>IF(OR(G25="",C25=""),"",IFERROR(G25/C25-1,""))</f>
        <v/>
      </c>
      <c r="H27" s="15">
        <f>IF(OR(H25="",D25=""),"",IFERROR(H25/D25-1,""))</f>
        <v/>
      </c>
      <c r="I27" s="15">
        <f>IF(OR(I25="",E25=""),"",IFERROR(I25/E25-1,""))</f>
        <v/>
      </c>
      <c r="J27" s="15">
        <f>IF(OR(J25="",F25=""),"",IFERROR(J25/F25-1,""))</f>
        <v/>
      </c>
      <c r="K27" s="15">
        <f>IF(OR(K25="",G25=""),"",IFERROR(K25/G25-1,""))</f>
        <v/>
      </c>
      <c r="L27" s="15">
        <f>IF(OR(L25="",H25=""),"",IFERROR(L25/H25-1,""))</f>
        <v/>
      </c>
      <c r="M27" s="15">
        <f>IF(OR(M25="",I25=""),"",IFERROR(M25/I25-1,""))</f>
        <v/>
      </c>
      <c r="N27" s="15">
        <f>IF(OR(N25="",J25=""),"",IFERROR(N25/J25-1,""))</f>
        <v/>
      </c>
      <c r="O27" s="14" t="n"/>
      <c r="P27" s="15">
        <f>IF(OR(P25="",O25=""),"",IFERROR(P25/O25-1,""))</f>
        <v/>
      </c>
      <c r="Q27" s="15">
        <f>IF(OR(Q25="",P25=""),"",IFERROR(Q25/P25-1,""))</f>
        <v/>
      </c>
      <c r="R27" s="15">
        <f>IF(OR(R25="",Q25=""),"",IFERROR(R25/Q25-1,""))</f>
        <v/>
      </c>
      <c r="S27" s="15">
        <f>IF(OR(S25="",R25=""),"",IFERROR(S25/R25-1,""))</f>
        <v/>
      </c>
      <c r="T27" s="15">
        <f>IF(OR(T25="",S25=""),"",IFERROR(T25/S25-1,""))</f>
        <v/>
      </c>
      <c r="U27" s="15">
        <f>IF(OR(U25="",T25=""),"",IFERROR(U25/T25-1,""))</f>
        <v/>
      </c>
      <c r="V27" s="15">
        <f>IF(OR(V25="",U25=""),"",IFERROR(V25/U25-1,""))</f>
        <v/>
      </c>
      <c r="W27" s="15">
        <f>IF(OR(W25="",V25=""),"",IFERROR(W25/V25-1,""))</f>
        <v/>
      </c>
      <c r="X27" s="15">
        <f>IF(OR(X25="",W25=""),"",IFERROR(X25/W25-1,""))</f>
        <v/>
      </c>
      <c r="Y27" s="14">
        <f>IF(OR(Y25="",X25=""),"",IFERROR(Y25/X25-1,""))</f>
        <v/>
      </c>
      <c r="Z27" s="15">
        <f>IF(OR(Z25="",Y25=""),"",IFERROR(Z25/Y25-1,""))</f>
        <v/>
      </c>
      <c r="AA27" s="15">
        <f>IF(OR(AA25="",Z25=""),"",IFERROR(AA25/Z25-1,""))</f>
        <v/>
      </c>
      <c r="AB27" s="15">
        <f>IF(OR(AB25="",AA25=""),"",IFERROR(AB25/AA25-1,""))</f>
        <v/>
      </c>
      <c r="AC27" s="15">
        <f>IF(OR(AC25="",AB25=""),"",IFERROR(AC25/AB25-1,""))</f>
        <v/>
      </c>
    </row>
    <row r="28">
      <c r="A28" s="16" t="inlineStr">
        <is>
          <t>비용의 성격별 분류</t>
        </is>
      </c>
      <c r="B28" s="16" t="inlineStr">
        <is>
          <t>참고 데이터</t>
        </is>
      </c>
      <c r="C28" s="17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7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7" t="n"/>
      <c r="Z28" s="16" t="n"/>
      <c r="AA28" s="16" t="n"/>
      <c r="AB28" s="16" t="n"/>
      <c r="AC28" s="16" t="n"/>
    </row>
    <row r="29">
      <c r="A29" s="9" t="inlineStr">
        <is>
          <t>총 판관비</t>
        </is>
      </c>
      <c r="B29" s="10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1">
        <f>IF(O24="","",O24)</f>
        <v/>
      </c>
      <c r="P29" s="12">
        <f>IF(P24="","",P24)</f>
        <v/>
      </c>
      <c r="Q29" s="12">
        <f>IF(Q24="","",Q24)</f>
        <v/>
      </c>
      <c r="R29" s="12">
        <f>IF(R24="","",R24)</f>
        <v/>
      </c>
      <c r="S29" s="12">
        <f>IF(S24="","",S24)</f>
        <v/>
      </c>
      <c r="T29" s="12">
        <f>IF(T24="","",T24)</f>
        <v/>
      </c>
      <c r="U29" s="12">
        <f>IF(U24="","",U24)</f>
        <v/>
      </c>
      <c r="V29" s="12">
        <f>IF(V24="","",V24)</f>
        <v/>
      </c>
      <c r="W29" s="12">
        <f>IF(W24="","",W24)</f>
        <v/>
      </c>
      <c r="X29" s="12">
        <f>IF(X24="","",X24)</f>
        <v/>
      </c>
      <c r="Y29" s="11" t="n"/>
      <c r="Z29" s="12" t="n"/>
      <c r="AA29" s="12" t="n"/>
      <c r="AB29" s="12" t="n"/>
      <c r="AC29" s="12" t="n"/>
    </row>
    <row r="30">
      <c r="A30" s="18" t="inlineStr">
        <is>
          <t>급여</t>
        </is>
      </c>
      <c r="B30" s="10" t="inlineStr">
        <is>
          <t>고정비</t>
        </is>
      </c>
      <c r="C30" s="19" t="n"/>
      <c r="D30" s="20" t="n"/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19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19" t="n"/>
      <c r="Z30" s="20" t="n"/>
      <c r="AA30" s="20" t="n"/>
      <c r="AB30" s="20" t="n"/>
      <c r="AC30" s="20" t="n"/>
    </row>
    <row r="31">
      <c r="A31" s="13" t="inlineStr">
        <is>
          <t>% of Sales</t>
        </is>
      </c>
      <c r="B31" s="10" t="n"/>
      <c r="C31" s="14" t="n"/>
      <c r="D31" s="15" t="n"/>
      <c r="E31" s="15" t="n"/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4">
        <f>IF(OR(O30="",O4=""),"",IFERROR(O30/O4,""))</f>
        <v/>
      </c>
      <c r="P31" s="15">
        <f>IF(OR(P30="",P4=""),"",IFERROR(P30/P4,""))</f>
        <v/>
      </c>
      <c r="Q31" s="15">
        <f>IF(OR(Q30="",Q4=""),"",IFERROR(Q30/Q4,""))</f>
        <v/>
      </c>
      <c r="R31" s="15">
        <f>IF(OR(R30="",R4=""),"",IFERROR(R30/R4,""))</f>
        <v/>
      </c>
      <c r="S31" s="15">
        <f>IF(OR(S30="",S4=""),"",IFERROR(S30/S4,""))</f>
        <v/>
      </c>
      <c r="T31" s="15">
        <f>IF(OR(T30="",T4=""),"",IFERROR(T30/T4,""))</f>
        <v/>
      </c>
      <c r="U31" s="15">
        <f>IF(OR(U30="",U4=""),"",IFERROR(U30/U4,""))</f>
        <v/>
      </c>
      <c r="V31" s="15">
        <f>IF(OR(V30="",V4=""),"",IFERROR(V30/V4,""))</f>
        <v/>
      </c>
      <c r="W31" s="15">
        <f>IF(OR(W30="",W4=""),"",IFERROR(W30/W4,""))</f>
        <v/>
      </c>
      <c r="X31" s="15">
        <f>IF(OR(X30="",X4=""),"",IFERROR(X30/X4,""))</f>
        <v/>
      </c>
      <c r="Y31" s="14" t="n"/>
      <c r="Z31" s="15" t="n"/>
      <c r="AA31" s="15" t="n"/>
      <c r="AB31" s="15" t="n"/>
      <c r="AC31" s="15" t="n"/>
    </row>
    <row r="32">
      <c r="A32" s="18" t="inlineStr">
        <is>
          <t>감가상각비</t>
        </is>
      </c>
      <c r="B32" s="10" t="inlineStr">
        <is>
          <t>고정비</t>
        </is>
      </c>
      <c r="C32" s="19" t="n"/>
      <c r="D32" s="20" t="n"/>
      <c r="E32" s="20" t="n"/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19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19" t="n"/>
      <c r="Z32" s="20" t="n"/>
      <c r="AA32" s="20" t="n"/>
      <c r="AB32" s="20" t="n"/>
      <c r="AC32" s="20" t="n"/>
    </row>
    <row r="33">
      <c r="A33" s="13" t="inlineStr">
        <is>
          <t>% of Sales</t>
        </is>
      </c>
      <c r="B33" s="10" t="n"/>
      <c r="C33" s="14" t="n"/>
      <c r="D33" s="15" t="n"/>
      <c r="E33" s="15" t="n"/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  <c r="O33" s="14">
        <f>IF(OR(O32="",O4=""),"",IFERROR(O32/O4,""))</f>
        <v/>
      </c>
      <c r="P33" s="15">
        <f>IF(OR(P32="",P4=""),"",IFERROR(P32/P4,""))</f>
        <v/>
      </c>
      <c r="Q33" s="15">
        <f>IF(OR(Q32="",Q4=""),"",IFERROR(Q32/Q4,""))</f>
        <v/>
      </c>
      <c r="R33" s="15">
        <f>IF(OR(R32="",R4=""),"",IFERROR(R32/R4,""))</f>
        <v/>
      </c>
      <c r="S33" s="15">
        <f>IF(OR(S32="",S4=""),"",IFERROR(S32/S4,""))</f>
        <v/>
      </c>
      <c r="T33" s="15">
        <f>IF(OR(T32="",T4=""),"",IFERROR(T32/T4,""))</f>
        <v/>
      </c>
      <c r="U33" s="15">
        <f>IF(OR(U32="",U4=""),"",IFERROR(U32/U4,""))</f>
        <v/>
      </c>
      <c r="V33" s="15">
        <f>IF(OR(V32="",V4=""),"",IFERROR(V32/V4,""))</f>
        <v/>
      </c>
      <c r="W33" s="15">
        <f>IF(OR(W32="",W4=""),"",IFERROR(W32/W4,""))</f>
        <v/>
      </c>
      <c r="X33" s="15">
        <f>IF(OR(X32="",X4=""),"",IFERROR(X32/X4,""))</f>
        <v/>
      </c>
      <c r="Y33" s="14" t="n"/>
      <c r="Z33" s="15" t="n"/>
      <c r="AA33" s="15" t="n"/>
      <c r="AB33" s="15" t="n"/>
      <c r="AC33" s="15" t="n"/>
    </row>
    <row r="34">
      <c r="A34" s="18" t="inlineStr">
        <is>
          <t>지급수수료</t>
        </is>
      </c>
      <c r="B34" s="10" t="inlineStr">
        <is>
          <t>고정비</t>
        </is>
      </c>
      <c r="C34" s="19" t="n"/>
      <c r="D34" s="20" t="n"/>
      <c r="E34" s="20" t="n"/>
      <c r="F34" s="20" t="n"/>
      <c r="G34" s="20" t="n"/>
      <c r="H34" s="20" t="n"/>
      <c r="I34" s="20" t="n"/>
      <c r="J34" s="20" t="n"/>
      <c r="K34" s="20" t="n"/>
      <c r="L34" s="20" t="n"/>
      <c r="M34" s="20" t="n"/>
      <c r="N34" s="20" t="n"/>
      <c r="O34" s="19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19" t="n"/>
      <c r="Z34" s="20" t="n"/>
      <c r="AA34" s="20" t="n"/>
      <c r="AB34" s="20" t="n"/>
      <c r="AC34" s="20" t="n"/>
    </row>
    <row r="35">
      <c r="A35" s="13" t="inlineStr">
        <is>
          <t>% of Sales</t>
        </is>
      </c>
      <c r="B35" s="10" t="n"/>
      <c r="C35" s="14" t="n"/>
      <c r="D35" s="15" t="n"/>
      <c r="E35" s="15" t="n"/>
      <c r="F35" s="15" t="n"/>
      <c r="G35" s="15" t="n"/>
      <c r="H35" s="15" t="n"/>
      <c r="I35" s="15" t="n"/>
      <c r="J35" s="15" t="n"/>
      <c r="K35" s="15" t="n"/>
      <c r="L35" s="15" t="n"/>
      <c r="M35" s="15" t="n"/>
      <c r="N35" s="15" t="n"/>
      <c r="O35" s="14">
        <f>IF(OR(O34="",O4=""),"",IFERROR(O34/O4,""))</f>
        <v/>
      </c>
      <c r="P35" s="15">
        <f>IF(OR(P34="",P4=""),"",IFERROR(P34/P4,""))</f>
        <v/>
      </c>
      <c r="Q35" s="15">
        <f>IF(OR(Q34="",Q4=""),"",IFERROR(Q34/Q4,""))</f>
        <v/>
      </c>
      <c r="R35" s="15">
        <f>IF(OR(R34="",R4=""),"",IFERROR(R34/R4,""))</f>
        <v/>
      </c>
      <c r="S35" s="15">
        <f>IF(OR(S34="",S4=""),"",IFERROR(S34/S4,""))</f>
        <v/>
      </c>
      <c r="T35" s="15">
        <f>IF(OR(T34="",T4=""),"",IFERROR(T34/T4,""))</f>
        <v/>
      </c>
      <c r="U35" s="15">
        <f>IF(OR(U34="",U4=""),"",IFERROR(U34/U4,""))</f>
        <v/>
      </c>
      <c r="V35" s="15">
        <f>IF(OR(V34="",V4=""),"",IFERROR(V34/V4,""))</f>
        <v/>
      </c>
      <c r="W35" s="15">
        <f>IF(OR(W34="",W4=""),"",IFERROR(W34/W4,""))</f>
        <v/>
      </c>
      <c r="X35" s="15">
        <f>IF(OR(X34="",X4=""),"",IFERROR(X34/X4,""))</f>
        <v/>
      </c>
      <c r="Y35" s="14" t="n"/>
      <c r="Z35" s="15" t="n"/>
      <c r="AA35" s="15" t="n"/>
      <c r="AB35" s="15" t="n"/>
      <c r="AC35" s="15" t="n"/>
    </row>
    <row r="36">
      <c r="A36" s="18" t="inlineStr">
        <is>
          <t>연구개발비</t>
        </is>
      </c>
      <c r="B36" s="10" t="inlineStr">
        <is>
          <t>변동비</t>
        </is>
      </c>
      <c r="C36" s="19" t="n"/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19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19" t="n"/>
      <c r="Z36" s="20" t="n"/>
      <c r="AA36" s="20" t="n"/>
      <c r="AB36" s="20" t="n"/>
      <c r="AC36" s="20" t="n"/>
    </row>
    <row r="37">
      <c r="A37" s="13" t="inlineStr">
        <is>
          <t>% of Sales</t>
        </is>
      </c>
      <c r="B37" s="10" t="n"/>
      <c r="C37" s="14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4">
        <f>IF(OR(O36="",O4=""),"",IFERROR(O36/O4,""))</f>
        <v/>
      </c>
      <c r="P37" s="15">
        <f>IF(OR(P36="",P4=""),"",IFERROR(P36/P4,""))</f>
        <v/>
      </c>
      <c r="Q37" s="15">
        <f>IF(OR(Q36="",Q4=""),"",IFERROR(Q36/Q4,""))</f>
        <v/>
      </c>
      <c r="R37" s="15">
        <f>IF(OR(R36="",R4=""),"",IFERROR(R36/R4,""))</f>
        <v/>
      </c>
      <c r="S37" s="15">
        <f>IF(OR(S36="",S4=""),"",IFERROR(S36/S4,""))</f>
        <v/>
      </c>
      <c r="T37" s="15">
        <f>IF(OR(T36="",T4=""),"",IFERROR(T36/T4,""))</f>
        <v/>
      </c>
      <c r="U37" s="15">
        <f>IF(OR(U36="",U4=""),"",IFERROR(U36/U4,""))</f>
        <v/>
      </c>
      <c r="V37" s="15">
        <f>IF(OR(V36="",V4=""),"",IFERROR(V36/V4,""))</f>
        <v/>
      </c>
      <c r="W37" s="15">
        <f>IF(OR(W36="",W4=""),"",IFERROR(W36/W4,""))</f>
        <v/>
      </c>
      <c r="X37" s="15">
        <f>IF(OR(X36="",X4=""),"",IFERROR(X36/X4,""))</f>
        <v/>
      </c>
      <c r="Y37" s="14" t="n"/>
      <c r="Z37" s="15" t="n"/>
      <c r="AA37" s="15" t="n"/>
      <c r="AB37" s="15" t="n"/>
      <c r="AC37" s="15" t="n"/>
    </row>
    <row r="38">
      <c r="A38" s="18" t="inlineStr">
        <is>
          <t>기타비용</t>
        </is>
      </c>
      <c r="B38" s="10" t="inlineStr">
        <is>
          <t>변동비</t>
        </is>
      </c>
      <c r="C38" s="19" t="n"/>
      <c r="D38" s="20" t="n"/>
      <c r="E38" s="20" t="n"/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19">
        <f>IF(OR(O29="",O30="",O32="",O34="",O36=""),"",IFERROR(O29-O30-O32-O34-O36,""))</f>
        <v/>
      </c>
      <c r="P38" s="20">
        <f>IF(OR(P29="",P30="",P32="",P34="",P36=""),"",IFERROR(P29-P30-P32-P34-P36,""))</f>
        <v/>
      </c>
      <c r="Q38" s="20">
        <f>IF(OR(Q29="",Q30="",Q32="",Q34="",Q36=""),"",IFERROR(Q29-Q30-Q32-Q34-Q36,""))</f>
        <v/>
      </c>
      <c r="R38" s="20">
        <f>IF(OR(R29="",R30="",R32="",R34="",R36=""),"",IFERROR(R29-R30-R32-R34-R36,""))</f>
        <v/>
      </c>
      <c r="S38" s="20">
        <f>IF(OR(S29="",S30="",S32="",S34="",S36=""),"",IFERROR(S29-S30-S32-S34-S36,""))</f>
        <v/>
      </c>
      <c r="T38" s="20">
        <f>IF(OR(T29="",T30="",T32="",T34="",T36=""),"",IFERROR(T29-T30-T32-T34-T36,""))</f>
        <v/>
      </c>
      <c r="U38" s="20">
        <f>IF(OR(U29="",U30="",U32="",U34="",U36=""),"",IFERROR(U29-U30-U32-U34-U36,""))</f>
        <v/>
      </c>
      <c r="V38" s="20">
        <f>IF(OR(V29="",V30="",V32="",V34="",V36=""),"",IFERROR(V29-V30-V32-V34-V36,""))</f>
        <v/>
      </c>
      <c r="W38" s="20">
        <f>IF(OR(W29="",W30="",W32="",W34="",W36=""),"",IFERROR(W29-W30-W32-W34-W36,""))</f>
        <v/>
      </c>
      <c r="X38" s="20">
        <f>IF(OR(X29="",X30="",X32="",X34="",X36=""),"",IFERROR(X29-X30-X32-X34-X36,""))</f>
        <v/>
      </c>
      <c r="Y38" s="19" t="n"/>
      <c r="Z38" s="20" t="n"/>
      <c r="AA38" s="20" t="n"/>
      <c r="AB38" s="20" t="n"/>
      <c r="AC38" s="20" t="n"/>
    </row>
    <row r="39">
      <c r="A39" s="13" t="inlineStr">
        <is>
          <t>% of Sales</t>
        </is>
      </c>
      <c r="B39" s="10" t="n"/>
      <c r="C39" s="14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4">
        <f>IF(OR(O38="",O4=""),"",IFERROR(O38/O4,""))</f>
        <v/>
      </c>
      <c r="P39" s="15">
        <f>IF(OR(P38="",P4=""),"",IFERROR(P38/P4,""))</f>
        <v/>
      </c>
      <c r="Q39" s="15">
        <f>IF(OR(Q38="",Q4=""),"",IFERROR(Q38/Q4,""))</f>
        <v/>
      </c>
      <c r="R39" s="15">
        <f>IF(OR(R38="",R4=""),"",IFERROR(R38/R4,""))</f>
        <v/>
      </c>
      <c r="S39" s="15">
        <f>IF(OR(S38="",S4=""),"",IFERROR(S38/S4,""))</f>
        <v/>
      </c>
      <c r="T39" s="15">
        <f>IF(OR(T38="",T4=""),"",IFERROR(T38/T4,""))</f>
        <v/>
      </c>
      <c r="U39" s="15">
        <f>IF(OR(U38="",U4=""),"",IFERROR(U38/U4,""))</f>
        <v/>
      </c>
      <c r="V39" s="15">
        <f>IF(OR(V38="",V4=""),"",IFERROR(V38/V4,""))</f>
        <v/>
      </c>
      <c r="W39" s="15">
        <f>IF(OR(W38="",W4=""),"",IFERROR(W38/W4,""))</f>
        <v/>
      </c>
      <c r="X39" s="15">
        <f>IF(OR(X38="",X4=""),"",IFERROR(X38/X4,""))</f>
        <v/>
      </c>
      <c r="Y39" s="14" t="n"/>
      <c r="Z39" s="15" t="n"/>
      <c r="AA39" s="15" t="n"/>
      <c r="AB39" s="15" t="n"/>
      <c r="AC39" s="15" t="n"/>
    </row>
    <row r="40">
      <c r="A40" s="16" t="inlineStr">
        <is>
          <t>당기순이익 추정</t>
        </is>
      </c>
      <c r="B40" s="16" t="n"/>
      <c r="C40" s="17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7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7" t="n"/>
      <c r="Z40" s="16" t="n"/>
      <c r="AA40" s="16" t="n"/>
      <c r="AB40" s="16" t="n"/>
      <c r="AC40" s="16" t="n"/>
    </row>
    <row r="41">
      <c r="A41" s="18" t="inlineStr">
        <is>
          <t>특별이익</t>
        </is>
      </c>
      <c r="B41" s="10" t="n"/>
      <c r="C41" s="19" t="n">
        <v>8.366</v>
      </c>
      <c r="D41" s="20" t="n">
        <v>0</v>
      </c>
      <c r="E41" s="20" t="n">
        <v>0</v>
      </c>
      <c r="F41" s="20" t="n">
        <v>90.357</v>
      </c>
      <c r="G41" s="20" t="n">
        <v>44.754</v>
      </c>
      <c r="H41" s="20" t="n">
        <v>0</v>
      </c>
      <c r="I41" s="20" t="n">
        <v>14.29</v>
      </c>
      <c r="J41" s="20" t="n">
        <v>-50.541</v>
      </c>
      <c r="K41" s="20" t="n">
        <v>0</v>
      </c>
      <c r="L41" s="20" t="n">
        <v>0</v>
      </c>
      <c r="M41" s="20" t="n">
        <v>0</v>
      </c>
      <c r="N41" s="20" t="n">
        <v>59.169</v>
      </c>
      <c r="O41" s="19" t="n">
        <v>0.033</v>
      </c>
      <c r="P41" s="20" t="n">
        <v>14.381</v>
      </c>
      <c r="Q41" s="20" t="n">
        <v>1.776</v>
      </c>
      <c r="R41" s="20" t="n">
        <v>43.855</v>
      </c>
      <c r="S41" s="20" t="n">
        <v>0</v>
      </c>
      <c r="T41" s="20" t="n">
        <v>9.981999999999999</v>
      </c>
      <c r="U41" s="20" t="n">
        <v>5.958</v>
      </c>
      <c r="V41" s="20" t="n">
        <v>98.723</v>
      </c>
      <c r="W41" s="20" t="n">
        <v>8.503</v>
      </c>
      <c r="X41" s="20" t="n">
        <v>59.169</v>
      </c>
      <c r="Y41" s="19">
        <f>IF(OR(Y4="",Y42=""),"",IFERROR(Y4*Y42,""))</f>
        <v/>
      </c>
      <c r="Z41" s="20">
        <f>IF(OR(Z4="",Z42=""),"",IFERROR(Z4*Z42,""))</f>
        <v/>
      </c>
      <c r="AA41" s="20">
        <f>IF(OR(AA4="",AA42=""),"",IFERROR(AA4*AA42,""))</f>
        <v/>
      </c>
      <c r="AB41" s="20">
        <f>IF(OR(AB4="",AB42=""),"",IFERROR(AB4*AB42,""))</f>
        <v/>
      </c>
      <c r="AC41" s="20">
        <f>IF(OR(AC4="",AC42=""),"",IFERROR(AC4*AC42,""))</f>
        <v/>
      </c>
    </row>
    <row r="42">
      <c r="A42" s="13" t="inlineStr">
        <is>
          <t>% of Sales</t>
        </is>
      </c>
      <c r="B42" s="10" t="inlineStr">
        <is>
          <t>MW = 최근 3년 평균</t>
        </is>
      </c>
      <c r="C42" s="14">
        <f>IF(OR(C41="",C4=""),"",IFERROR(C41/C4,""))</f>
        <v/>
      </c>
      <c r="D42" s="15">
        <f>IF(OR(D41="",D4=""),"",IFERROR(D41/D4,""))</f>
        <v/>
      </c>
      <c r="E42" s="15">
        <f>IF(OR(E41="",E4=""),"",IFERROR(E41/E4,""))</f>
        <v/>
      </c>
      <c r="F42" s="15">
        <f>IF(OR(F41="",F4=""),"",IFERROR(F41/F4,""))</f>
        <v/>
      </c>
      <c r="G42" s="15">
        <f>IF(OR(G41="",G4=""),"",IFERROR(G41/G4,""))</f>
        <v/>
      </c>
      <c r="H42" s="15">
        <f>IF(OR(H41="",H4=""),"",IFERROR(H41/H4,""))</f>
        <v/>
      </c>
      <c r="I42" s="15">
        <f>IF(OR(I41="",I4=""),"",IFERROR(I41/I4,""))</f>
        <v/>
      </c>
      <c r="J42" s="15">
        <f>IF(OR(J41="",J4=""),"",IFERROR(J41/J4,""))</f>
        <v/>
      </c>
      <c r="K42" s="15">
        <f>IF(OR(K41="",K4=""),"",IFERROR(K41/K4,""))</f>
        <v/>
      </c>
      <c r="L42" s="15">
        <f>IF(OR(L41="",L4=""),"",IFERROR(L41/L4,""))</f>
        <v/>
      </c>
      <c r="M42" s="15">
        <f>IF(OR(M41="",M4=""),"",IFERROR(M41/M4,""))</f>
        <v/>
      </c>
      <c r="N42" s="15">
        <f>IF(OR(N41="",N4=""),"",IFERROR(N41/N4,""))</f>
        <v/>
      </c>
      <c r="O42" s="14">
        <f>IF(OR(O41="",O4=""),"",IFERROR(O41/O4,""))</f>
        <v/>
      </c>
      <c r="P42" s="15">
        <f>IF(OR(P41="",P4=""),"",IFERROR(P41/P4,""))</f>
        <v/>
      </c>
      <c r="Q42" s="15">
        <f>IF(OR(Q41="",Q4=""),"",IFERROR(Q41/Q4,""))</f>
        <v/>
      </c>
      <c r="R42" s="15">
        <f>IF(OR(R41="",R4=""),"",IFERROR(R41/R4,""))</f>
        <v/>
      </c>
      <c r="S42" s="15">
        <f>IF(OR(S41="",S4=""),"",IFERROR(S41/S4,""))</f>
        <v/>
      </c>
      <c r="T42" s="15">
        <f>IF(OR(T41="",T4=""),"",IFERROR(T41/T4,""))</f>
        <v/>
      </c>
      <c r="U42" s="15">
        <f>IF(OR(U41="",U4=""),"",IFERROR(U41/U4,""))</f>
        <v/>
      </c>
      <c r="V42" s="15">
        <f>IF(OR(V41="",V4=""),"",IFERROR(V41/V4,""))</f>
        <v/>
      </c>
      <c r="W42" s="15">
        <f>IF(OR(W41="",W4=""),"",IFERROR(W41/W4,""))</f>
        <v/>
      </c>
      <c r="X42" s="15">
        <f>IF(OR(X41="",X4=""),"",IFERROR(X41/X4,""))</f>
        <v/>
      </c>
      <c r="Y42" s="25">
        <f>IFERROR(AVERAGE(V42,W42,X42),"")</f>
        <v/>
      </c>
      <c r="Z42" s="26">
        <f>Y42</f>
        <v/>
      </c>
      <c r="AA42" s="26">
        <f>Z42</f>
        <v/>
      </c>
      <c r="AB42" s="26">
        <f>AA42</f>
        <v/>
      </c>
      <c r="AC42" s="26">
        <f>AB42</f>
        <v/>
      </c>
    </row>
    <row r="43">
      <c r="A43" s="18" t="inlineStr">
        <is>
          <t>특별손실</t>
        </is>
      </c>
      <c r="B43" s="10" t="n"/>
      <c r="C43" s="19" t="n">
        <v>8.366</v>
      </c>
      <c r="D43" s="20" t="n">
        <v>0.04</v>
      </c>
      <c r="E43" s="20" t="n">
        <v>0</v>
      </c>
      <c r="F43" s="20" t="n">
        <v>105.003</v>
      </c>
      <c r="G43" s="20" t="n">
        <v>0</v>
      </c>
      <c r="H43" s="20" t="n">
        <v>44.417</v>
      </c>
      <c r="I43" s="20" t="n">
        <v>0</v>
      </c>
      <c r="J43" s="20" t="n">
        <v>-32.805</v>
      </c>
      <c r="K43" s="20" t="n">
        <v>8.57</v>
      </c>
      <c r="L43" s="20" t="n">
        <v>0.157</v>
      </c>
      <c r="M43" s="20" t="n">
        <v>0.126</v>
      </c>
      <c r="N43" s="20" t="n">
        <v>39.533</v>
      </c>
      <c r="O43" s="19" t="n">
        <v>107.946</v>
      </c>
      <c r="P43" s="20" t="n">
        <v>25.709</v>
      </c>
      <c r="Q43" s="20" t="n">
        <v>6.774</v>
      </c>
      <c r="R43" s="20" t="n">
        <v>16.732</v>
      </c>
      <c r="S43" s="20" t="n">
        <v>302.05</v>
      </c>
      <c r="T43" s="20" t="n">
        <v>5.281</v>
      </c>
      <c r="U43" s="20" t="n">
        <v>8.981</v>
      </c>
      <c r="V43" s="20" t="n">
        <v>113.409</v>
      </c>
      <c r="W43" s="20" t="n">
        <v>11.612</v>
      </c>
      <c r="X43" s="20" t="n">
        <v>48.386</v>
      </c>
      <c r="Y43" s="19">
        <f>IF(OR(Y4="",Y44=""),"",IFERROR(Y4*Y44,""))</f>
        <v/>
      </c>
      <c r="Z43" s="20">
        <f>IF(OR(Z4="",Z44=""),"",IFERROR(Z4*Z44,""))</f>
        <v/>
      </c>
      <c r="AA43" s="20">
        <f>IF(OR(AA4="",AA44=""),"",IFERROR(AA4*AA44,""))</f>
        <v/>
      </c>
      <c r="AB43" s="20">
        <f>IF(OR(AB4="",AB44=""),"",IFERROR(AB4*AB44,""))</f>
        <v/>
      </c>
      <c r="AC43" s="20">
        <f>IF(OR(AC4="",AC44=""),"",IFERROR(AC4*AC44,""))</f>
        <v/>
      </c>
    </row>
    <row r="44">
      <c r="A44" s="13" t="inlineStr">
        <is>
          <t>% of Sales</t>
        </is>
      </c>
      <c r="B44" s="10" t="n"/>
      <c r="C44" s="14">
        <f>IF(OR(C43="",C4=""),"",IFERROR(C43/C4,""))</f>
        <v/>
      </c>
      <c r="D44" s="15">
        <f>IF(OR(D43="",D4=""),"",IFERROR(D43/D4,""))</f>
        <v/>
      </c>
      <c r="E44" s="15">
        <f>IF(OR(E43="",E4=""),"",IFERROR(E43/E4,""))</f>
        <v/>
      </c>
      <c r="F44" s="15">
        <f>IF(OR(F43="",F4=""),"",IFERROR(F43/F4,""))</f>
        <v/>
      </c>
      <c r="G44" s="15">
        <f>IF(OR(G43="",G4=""),"",IFERROR(G43/G4,""))</f>
        <v/>
      </c>
      <c r="H44" s="15">
        <f>IF(OR(H43="",H4=""),"",IFERROR(H43/H4,""))</f>
        <v/>
      </c>
      <c r="I44" s="15">
        <f>IF(OR(I43="",I4=""),"",IFERROR(I43/I4,""))</f>
        <v/>
      </c>
      <c r="J44" s="15">
        <f>IF(OR(J43="",J4=""),"",IFERROR(J43/J4,""))</f>
        <v/>
      </c>
      <c r="K44" s="15">
        <f>IF(OR(K43="",K4=""),"",IFERROR(K43/K4,""))</f>
        <v/>
      </c>
      <c r="L44" s="15">
        <f>IF(OR(L43="",L4=""),"",IFERROR(L43/L4,""))</f>
        <v/>
      </c>
      <c r="M44" s="15">
        <f>IF(OR(M43="",M4=""),"",IFERROR(M43/M4,""))</f>
        <v/>
      </c>
      <c r="N44" s="15">
        <f>IF(OR(N43="",N4=""),"",IFERROR(N43/N4,""))</f>
        <v/>
      </c>
      <c r="O44" s="14">
        <f>IF(OR(O43="",O4=""),"",IFERROR(O43/O4,""))</f>
        <v/>
      </c>
      <c r="P44" s="15">
        <f>IF(OR(P43="",P4=""),"",IFERROR(P43/P4,""))</f>
        <v/>
      </c>
      <c r="Q44" s="15">
        <f>IF(OR(Q43="",Q4=""),"",IFERROR(Q43/Q4,""))</f>
        <v/>
      </c>
      <c r="R44" s="15">
        <f>IF(OR(R43="",R4=""),"",IFERROR(R43/R4,""))</f>
        <v/>
      </c>
      <c r="S44" s="15">
        <f>IF(OR(S43="",S4=""),"",IFERROR(S43/S4,""))</f>
        <v/>
      </c>
      <c r="T44" s="15">
        <f>IF(OR(T43="",T4=""),"",IFERROR(T43/T4,""))</f>
        <v/>
      </c>
      <c r="U44" s="15">
        <f>IF(OR(U43="",U4=""),"",IFERROR(U43/U4,""))</f>
        <v/>
      </c>
      <c r="V44" s="15">
        <f>IF(OR(V43="",V4=""),"",IFERROR(V43/V4,""))</f>
        <v/>
      </c>
      <c r="W44" s="15">
        <f>IF(OR(W43="",W4=""),"",IFERROR(W43/W4,""))</f>
        <v/>
      </c>
      <c r="X44" s="15">
        <f>IF(OR(X43="",X4=""),"",IFERROR(X43/X4,""))</f>
        <v/>
      </c>
      <c r="Y44" s="25">
        <f>IFERROR(AVERAGE(V44,W44,X44),"")</f>
        <v/>
      </c>
      <c r="Z44" s="26">
        <f>Y44</f>
        <v/>
      </c>
      <c r="AA44" s="26">
        <f>Z44</f>
        <v/>
      </c>
      <c r="AB44" s="26">
        <f>AA44</f>
        <v/>
      </c>
      <c r="AC44" s="26">
        <f>AB44</f>
        <v/>
      </c>
    </row>
    <row r="45">
      <c r="A45" s="18" t="inlineStr">
        <is>
          <t>영업외수익</t>
        </is>
      </c>
      <c r="B45" s="10" t="n"/>
      <c r="C45" s="19" t="n">
        <v>5.244</v>
      </c>
      <c r="D45" s="20" t="n">
        <v>2.85</v>
      </c>
      <c r="E45" s="20" t="n">
        <v>7.246</v>
      </c>
      <c r="F45" s="20" t="n">
        <v>34.618</v>
      </c>
      <c r="G45" s="20" t="n">
        <v>3.628</v>
      </c>
      <c r="H45" s="20" t="n">
        <v>2.836</v>
      </c>
      <c r="I45" s="20" t="n">
        <v>10.154</v>
      </c>
      <c r="J45" s="20" t="n">
        <v>7.777</v>
      </c>
      <c r="K45" s="20" t="n">
        <v>3.561</v>
      </c>
      <c r="L45" s="20" t="n">
        <v>1.799</v>
      </c>
      <c r="M45" s="20" t="n">
        <v>9.898999999999999</v>
      </c>
      <c r="N45" s="20" t="n">
        <v>17.687</v>
      </c>
      <c r="O45" s="19" t="n">
        <v>66.099</v>
      </c>
      <c r="P45" s="20" t="n">
        <v>69.571</v>
      </c>
      <c r="Q45" s="20" t="n">
        <v>32.171</v>
      </c>
      <c r="R45" s="20" t="n">
        <v>47.923</v>
      </c>
      <c r="S45" s="20" t="n">
        <v>132.555</v>
      </c>
      <c r="T45" s="20" t="n">
        <v>147.987</v>
      </c>
      <c r="U45" s="20" t="n">
        <v>88.18300000000001</v>
      </c>
      <c r="V45" s="20" t="n">
        <v>49.958</v>
      </c>
      <c r="W45" s="20" t="n">
        <v>24.395</v>
      </c>
      <c r="X45" s="20" t="n">
        <v>32.946</v>
      </c>
      <c r="Y45" s="19">
        <f>IF(OR(Y4="",Y46=""),"",IFERROR(Y4*Y46,""))</f>
        <v/>
      </c>
      <c r="Z45" s="20">
        <f>IF(OR(Z4="",Z46=""),"",IFERROR(Z4*Z46,""))</f>
        <v/>
      </c>
      <c r="AA45" s="20">
        <f>IF(OR(AA4="",AA46=""),"",IFERROR(AA4*AA46,""))</f>
        <v/>
      </c>
      <c r="AB45" s="20">
        <f>IF(OR(AB4="",AB46=""),"",IFERROR(AB4*AB46,""))</f>
        <v/>
      </c>
      <c r="AC45" s="20">
        <f>IF(OR(AC4="",AC46=""),"",IFERROR(AC4*AC46,""))</f>
        <v/>
      </c>
    </row>
    <row r="46">
      <c r="A46" s="13" t="inlineStr">
        <is>
          <t>% of Sales</t>
        </is>
      </c>
      <c r="B46" s="10" t="n"/>
      <c r="C46" s="14">
        <f>IF(OR(C45="",C4=""),"",IFERROR(C45/C4,""))</f>
        <v/>
      </c>
      <c r="D46" s="15">
        <f>IF(OR(D45="",D4=""),"",IFERROR(D45/D4,""))</f>
        <v/>
      </c>
      <c r="E46" s="15">
        <f>IF(OR(E45="",E4=""),"",IFERROR(E45/E4,""))</f>
        <v/>
      </c>
      <c r="F46" s="15">
        <f>IF(OR(F45="",F4=""),"",IFERROR(F45/F4,""))</f>
        <v/>
      </c>
      <c r="G46" s="15">
        <f>IF(OR(G45="",G4=""),"",IFERROR(G45/G4,""))</f>
        <v/>
      </c>
      <c r="H46" s="15">
        <f>IF(OR(H45="",H4=""),"",IFERROR(H45/H4,""))</f>
        <v/>
      </c>
      <c r="I46" s="15">
        <f>IF(OR(I45="",I4=""),"",IFERROR(I45/I4,""))</f>
        <v/>
      </c>
      <c r="J46" s="15">
        <f>IF(OR(J45="",J4=""),"",IFERROR(J45/J4,""))</f>
        <v/>
      </c>
      <c r="K46" s="15">
        <f>IF(OR(K45="",K4=""),"",IFERROR(K45/K4,""))</f>
        <v/>
      </c>
      <c r="L46" s="15">
        <f>IF(OR(L45="",L4=""),"",IFERROR(L45/L4,""))</f>
        <v/>
      </c>
      <c r="M46" s="15">
        <f>IF(OR(M45="",M4=""),"",IFERROR(M45/M4,""))</f>
        <v/>
      </c>
      <c r="N46" s="15">
        <f>IF(OR(N45="",N4=""),"",IFERROR(N45/N4,""))</f>
        <v/>
      </c>
      <c r="O46" s="14">
        <f>IF(OR(O45="",O4=""),"",IFERROR(O45/O4,""))</f>
        <v/>
      </c>
      <c r="P46" s="15">
        <f>IF(OR(P45="",P4=""),"",IFERROR(P45/P4,""))</f>
        <v/>
      </c>
      <c r="Q46" s="15">
        <f>IF(OR(Q45="",Q4=""),"",IFERROR(Q45/Q4,""))</f>
        <v/>
      </c>
      <c r="R46" s="15">
        <f>IF(OR(R45="",R4=""),"",IFERROR(R45/R4,""))</f>
        <v/>
      </c>
      <c r="S46" s="15">
        <f>IF(OR(S45="",S4=""),"",IFERROR(S45/S4,""))</f>
        <v/>
      </c>
      <c r="T46" s="15">
        <f>IF(OR(T45="",T4=""),"",IFERROR(T45/T4,""))</f>
        <v/>
      </c>
      <c r="U46" s="15">
        <f>IF(OR(U45="",U4=""),"",IFERROR(U45/U4,""))</f>
        <v/>
      </c>
      <c r="V46" s="15">
        <f>IF(OR(V45="",V4=""),"",IFERROR(V45/V4,""))</f>
        <v/>
      </c>
      <c r="W46" s="15">
        <f>IF(OR(W45="",W4=""),"",IFERROR(W45/W4,""))</f>
        <v/>
      </c>
      <c r="X46" s="15">
        <f>IF(OR(X45="",X4=""),"",IFERROR(X45/X4,""))</f>
        <v/>
      </c>
      <c r="Y46" s="25">
        <f>IFERROR(AVERAGE(V46,W46,X46),"")</f>
        <v/>
      </c>
      <c r="Z46" s="26">
        <f>Y46</f>
        <v/>
      </c>
      <c r="AA46" s="26">
        <f>Z46</f>
        <v/>
      </c>
      <c r="AB46" s="26">
        <f>AA46</f>
        <v/>
      </c>
      <c r="AC46" s="26">
        <f>AB46</f>
        <v/>
      </c>
    </row>
    <row r="47">
      <c r="A47" s="18" t="inlineStr">
        <is>
          <t>영업외비용</t>
        </is>
      </c>
      <c r="B47" s="10" t="n"/>
      <c r="C47" s="19" t="n">
        <v>3.143</v>
      </c>
      <c r="D47" s="20" t="n">
        <v>5.582</v>
      </c>
      <c r="E47" s="20" t="n">
        <v>6.459</v>
      </c>
      <c r="F47" s="20" t="n">
        <v>0.977</v>
      </c>
      <c r="G47" s="20" t="n">
        <v>4.895</v>
      </c>
      <c r="H47" s="20" t="n">
        <v>4.034</v>
      </c>
      <c r="I47" s="20" t="n">
        <v>6.238</v>
      </c>
      <c r="J47" s="20" t="n">
        <v>2.383</v>
      </c>
      <c r="K47" s="20" t="n">
        <v>5.193</v>
      </c>
      <c r="L47" s="20" t="n">
        <v>4.087</v>
      </c>
      <c r="M47" s="20" t="n">
        <v>6.55</v>
      </c>
      <c r="N47" s="20" t="n">
        <v>1.347</v>
      </c>
      <c r="O47" s="19" t="n">
        <v>29.313</v>
      </c>
      <c r="P47" s="20" t="n">
        <v>17.679</v>
      </c>
      <c r="Q47" s="20" t="n">
        <v>23.617</v>
      </c>
      <c r="R47" s="20" t="n">
        <v>22.001</v>
      </c>
      <c r="S47" s="20" t="n">
        <v>21.106</v>
      </c>
      <c r="T47" s="20" t="n">
        <v>15.591</v>
      </c>
      <c r="U47" s="20" t="n">
        <v>14.688</v>
      </c>
      <c r="V47" s="20" t="n">
        <v>16.161</v>
      </c>
      <c r="W47" s="20" t="n">
        <v>17.55</v>
      </c>
      <c r="X47" s="20" t="n">
        <v>17.177</v>
      </c>
      <c r="Y47" s="19">
        <f>IF(OR(Y4="",Y48=""),"",IFERROR(Y4*Y48,""))</f>
        <v/>
      </c>
      <c r="Z47" s="20">
        <f>IF(OR(Z4="",Z48=""),"",IFERROR(Z4*Z48,""))</f>
        <v/>
      </c>
      <c r="AA47" s="20">
        <f>IF(OR(AA4="",AA48=""),"",IFERROR(AA4*AA48,""))</f>
        <v/>
      </c>
      <c r="AB47" s="20">
        <f>IF(OR(AB4="",AB48=""),"",IFERROR(AB4*AB48,""))</f>
        <v/>
      </c>
      <c r="AC47" s="20">
        <f>IF(OR(AC4="",AC48=""),"",IFERROR(AC4*AC48,""))</f>
        <v/>
      </c>
    </row>
    <row r="48">
      <c r="A48" s="13" t="inlineStr">
        <is>
          <t>% of Sales</t>
        </is>
      </c>
      <c r="B48" s="10" t="n"/>
      <c r="C48" s="14">
        <f>IF(OR(C47="",C4=""),"",IFERROR(C47/C4,""))</f>
        <v/>
      </c>
      <c r="D48" s="15">
        <f>IF(OR(D47="",D4=""),"",IFERROR(D47/D4,""))</f>
        <v/>
      </c>
      <c r="E48" s="15">
        <f>IF(OR(E47="",E4=""),"",IFERROR(E47/E4,""))</f>
        <v/>
      </c>
      <c r="F48" s="15">
        <f>IF(OR(F47="",F4=""),"",IFERROR(F47/F4,""))</f>
        <v/>
      </c>
      <c r="G48" s="15">
        <f>IF(OR(G47="",G4=""),"",IFERROR(G47/G4,""))</f>
        <v/>
      </c>
      <c r="H48" s="15">
        <f>IF(OR(H47="",H4=""),"",IFERROR(H47/H4,""))</f>
        <v/>
      </c>
      <c r="I48" s="15">
        <f>IF(OR(I47="",I4=""),"",IFERROR(I47/I4,""))</f>
        <v/>
      </c>
      <c r="J48" s="15">
        <f>IF(OR(J47="",J4=""),"",IFERROR(J47/J4,""))</f>
        <v/>
      </c>
      <c r="K48" s="15">
        <f>IF(OR(K47="",K4=""),"",IFERROR(K47/K4,""))</f>
        <v/>
      </c>
      <c r="L48" s="15">
        <f>IF(OR(L47="",L4=""),"",IFERROR(L47/L4,""))</f>
        <v/>
      </c>
      <c r="M48" s="15">
        <f>IF(OR(M47="",M4=""),"",IFERROR(M47/M4,""))</f>
        <v/>
      </c>
      <c r="N48" s="15">
        <f>IF(OR(N47="",N4=""),"",IFERROR(N47/N4,""))</f>
        <v/>
      </c>
      <c r="O48" s="14">
        <f>IF(OR(O47="",O4=""),"",IFERROR(O47/O4,""))</f>
        <v/>
      </c>
      <c r="P48" s="15">
        <f>IF(OR(P47="",P4=""),"",IFERROR(P47/P4,""))</f>
        <v/>
      </c>
      <c r="Q48" s="15">
        <f>IF(OR(Q47="",Q4=""),"",IFERROR(Q47/Q4,""))</f>
        <v/>
      </c>
      <c r="R48" s="15">
        <f>IF(OR(R47="",R4=""),"",IFERROR(R47/R4,""))</f>
        <v/>
      </c>
      <c r="S48" s="15">
        <f>IF(OR(S47="",S4=""),"",IFERROR(S47/S4,""))</f>
        <v/>
      </c>
      <c r="T48" s="15">
        <f>IF(OR(T47="",T4=""),"",IFERROR(T47/T4,""))</f>
        <v/>
      </c>
      <c r="U48" s="15">
        <f>IF(OR(U47="",U4=""),"",IFERROR(U47/U4,""))</f>
        <v/>
      </c>
      <c r="V48" s="15">
        <f>IF(OR(V47="",V4=""),"",IFERROR(V47/V4,""))</f>
        <v/>
      </c>
      <c r="W48" s="15">
        <f>IF(OR(W47="",W4=""),"",IFERROR(W47/W4,""))</f>
        <v/>
      </c>
      <c r="X48" s="15">
        <f>IF(OR(X47="",X4=""),"",IFERROR(X47/X4,""))</f>
        <v/>
      </c>
      <c r="Y48" s="25">
        <f>IFERROR(AVERAGE(V48,W48,X48),"")</f>
        <v/>
      </c>
      <c r="Z48" s="26">
        <f>Y48</f>
        <v/>
      </c>
      <c r="AA48" s="26">
        <f>Z48</f>
        <v/>
      </c>
      <c r="AB48" s="26">
        <f>AA48</f>
        <v/>
      </c>
      <c r="AC48" s="26">
        <f>AB48</f>
        <v/>
      </c>
    </row>
    <row r="49">
      <c r="A49" s="9" t="inlineStr">
        <is>
          <t>법인세비용차감전순이익(손실)</t>
        </is>
      </c>
      <c r="B49" s="10" t="n"/>
      <c r="C49" s="11" t="n">
        <v>3.868</v>
      </c>
      <c r="D49" s="12" t="n">
        <v>-39.004</v>
      </c>
      <c r="E49" s="12" t="n">
        <v>31.944</v>
      </c>
      <c r="F49" s="12" t="n">
        <v>-119.57</v>
      </c>
      <c r="G49" s="12" t="n">
        <v>-16.041</v>
      </c>
      <c r="H49" s="12" t="n">
        <v>-43.522</v>
      </c>
      <c r="I49" s="12" t="n">
        <v>42.491</v>
      </c>
      <c r="J49" s="12" t="n">
        <v>-33.28</v>
      </c>
      <c r="K49" s="12" t="n">
        <v>13.958</v>
      </c>
      <c r="L49" s="12" t="n">
        <v>56.773</v>
      </c>
      <c r="M49" s="12" t="n">
        <v>59.458</v>
      </c>
      <c r="N49" s="12" t="n">
        <v>38.936</v>
      </c>
      <c r="O49" s="11" t="n">
        <v>-13.928</v>
      </c>
      <c r="P49" s="12" t="n">
        <v>10.607</v>
      </c>
      <c r="Q49" s="12" t="n">
        <v>125.642</v>
      </c>
      <c r="R49" s="12" t="n">
        <v>-60.724</v>
      </c>
      <c r="S49" s="12" t="n">
        <v>-616.295</v>
      </c>
      <c r="T49" s="12" t="n">
        <v>258.347</v>
      </c>
      <c r="U49" s="12" t="n">
        <v>42.687</v>
      </c>
      <c r="V49" s="12" t="n">
        <v>-122.762</v>
      </c>
      <c r="W49" s="12" t="n">
        <v>-50.352</v>
      </c>
      <c r="X49" s="12" t="n">
        <v>169.125</v>
      </c>
      <c r="Y49" s="11">
        <f>IF(OR(Y25=""),"",IFERROR(Y25+N(Y41)-N(Y43)+N(Y45)-N(Y47),""))</f>
        <v/>
      </c>
      <c r="Z49" s="12">
        <f>IF(OR(Z25=""),"",IFERROR(Z25+N(Z41)-N(Z43)+N(Z45)-N(Z47),""))</f>
        <v/>
      </c>
      <c r="AA49" s="12">
        <f>IF(OR(AA25=""),"",IFERROR(AA25+N(AA41)-N(AA43)+N(AA45)-N(AA47),""))</f>
        <v/>
      </c>
      <c r="AB49" s="12">
        <f>IF(OR(AB25=""),"",IFERROR(AB25+N(AB41)-N(AB43)+N(AB45)-N(AB47),""))</f>
        <v/>
      </c>
      <c r="AC49" s="12">
        <f>IF(OR(AC25=""),"",IFERROR(AC25+N(AC41)-N(AC43)+N(AC45)-N(AC47),""))</f>
        <v/>
      </c>
    </row>
    <row r="50">
      <c r="A50" s="18" t="inlineStr">
        <is>
          <t>법인세비용(수익)</t>
        </is>
      </c>
      <c r="B50" s="10" t="n"/>
      <c r="C50" s="19" t="n">
        <v>-2.955</v>
      </c>
      <c r="D50" s="20" t="n">
        <v>-6.702</v>
      </c>
      <c r="E50" s="20" t="n">
        <v>11.049</v>
      </c>
      <c r="F50" s="20" t="n">
        <v>2.46</v>
      </c>
      <c r="G50" s="20" t="n">
        <v>5.441</v>
      </c>
      <c r="H50" s="20" t="n">
        <v>2.487</v>
      </c>
      <c r="I50" s="20" t="n">
        <v>7.327</v>
      </c>
      <c r="J50" s="20" t="n">
        <v>15.714</v>
      </c>
      <c r="K50" s="20" t="n">
        <v>10.847</v>
      </c>
      <c r="L50" s="20" t="n">
        <v>18.318</v>
      </c>
      <c r="M50" s="20" t="n">
        <v>19.159</v>
      </c>
      <c r="N50" s="20" t="n">
        <v>-12.026</v>
      </c>
      <c r="O50" s="19" t="n">
        <v>-73.999</v>
      </c>
      <c r="P50" s="20" t="n">
        <v>8.608000000000001</v>
      </c>
      <c r="Q50" s="20" t="n">
        <v>42.068</v>
      </c>
      <c r="R50" s="20" t="n">
        <v>153.236</v>
      </c>
      <c r="S50" s="20" t="n">
        <v>19.111</v>
      </c>
      <c r="T50" s="20" t="n">
        <v>20.943</v>
      </c>
      <c r="U50" s="20" t="n">
        <v>9.534000000000001</v>
      </c>
      <c r="V50" s="20" t="n">
        <v>3.852</v>
      </c>
      <c r="W50" s="20" t="n">
        <v>30.969</v>
      </c>
      <c r="X50" s="20" t="n">
        <v>36.298</v>
      </c>
      <c r="Y50" s="19">
        <f>IF(OR(Y49="",Y51=""),"",IFERROR(MAX(Y49,0)*Y51,""))</f>
        <v/>
      </c>
      <c r="Z50" s="20">
        <f>IF(OR(Z49="",Z51=""),"",IFERROR(MAX(Z49,0)*Z51,""))</f>
        <v/>
      </c>
      <c r="AA50" s="20">
        <f>IF(OR(AA49="",AA51=""),"",IFERROR(MAX(AA49,0)*AA51,""))</f>
        <v/>
      </c>
      <c r="AB50" s="20">
        <f>IF(OR(AB49="",AB51=""),"",IFERROR(MAX(AB49,0)*AB51,""))</f>
        <v/>
      </c>
      <c r="AC50" s="20">
        <f>IF(OR(AC49="",AC51=""),"",IFERROR(MAX(AC49,0)*AC51,""))</f>
        <v/>
      </c>
    </row>
    <row r="51">
      <c r="A51" s="13" t="inlineStr">
        <is>
          <t>법인세율</t>
        </is>
      </c>
      <c r="B51" s="10" t="inlineStr">
        <is>
          <t>MW 기본 30%</t>
        </is>
      </c>
      <c r="C51" s="14">
        <f>IF(OR(C50="",C49=""),"",IFERROR(C50/C49,""))</f>
        <v/>
      </c>
      <c r="D51" s="15">
        <f>IF(OR(D50="",D49=""),"",IFERROR(D50/D49,""))</f>
        <v/>
      </c>
      <c r="E51" s="15">
        <f>IF(OR(E50="",E49=""),"",IFERROR(E50/E49,""))</f>
        <v/>
      </c>
      <c r="F51" s="15">
        <f>IF(OR(F50="",F49=""),"",IFERROR(F50/F49,""))</f>
        <v/>
      </c>
      <c r="G51" s="15">
        <f>IF(OR(G50="",G49=""),"",IFERROR(G50/G49,""))</f>
        <v/>
      </c>
      <c r="H51" s="15">
        <f>IF(OR(H50="",H49=""),"",IFERROR(H50/H49,""))</f>
        <v/>
      </c>
      <c r="I51" s="15">
        <f>IF(OR(I50="",I49=""),"",IFERROR(I50/I49,""))</f>
        <v/>
      </c>
      <c r="J51" s="15">
        <f>IF(OR(J50="",J49=""),"",IFERROR(J50/J49,""))</f>
        <v/>
      </c>
      <c r="K51" s="15">
        <f>IF(OR(K50="",K49=""),"",IFERROR(K50/K49,""))</f>
        <v/>
      </c>
      <c r="L51" s="15">
        <f>IF(OR(L50="",L49=""),"",IFERROR(L50/L49,""))</f>
        <v/>
      </c>
      <c r="M51" s="15">
        <f>IF(OR(M50="",M49=""),"",IFERROR(M50/M49,""))</f>
        <v/>
      </c>
      <c r="N51" s="15">
        <f>IF(OR(N50="",N49=""),"",IFERROR(N50/N49,""))</f>
        <v/>
      </c>
      <c r="O51" s="14">
        <f>IF(OR(O50="",O49=""),"",IFERROR(O50/O49,""))</f>
        <v/>
      </c>
      <c r="P51" s="15">
        <f>IF(OR(P50="",P49=""),"",IFERROR(P50/P49,""))</f>
        <v/>
      </c>
      <c r="Q51" s="15">
        <f>IF(OR(Q50="",Q49=""),"",IFERROR(Q50/Q49,""))</f>
        <v/>
      </c>
      <c r="R51" s="15">
        <f>IF(OR(R50="",R49=""),"",IFERROR(R50/R49,""))</f>
        <v/>
      </c>
      <c r="S51" s="15">
        <f>IF(OR(S50="",S49=""),"",IFERROR(S50/S49,""))</f>
        <v/>
      </c>
      <c r="T51" s="15">
        <f>IF(OR(T50="",T49=""),"",IFERROR(T50/T49,""))</f>
        <v/>
      </c>
      <c r="U51" s="15">
        <f>IF(OR(U50="",U49=""),"",IFERROR(U50/U49,""))</f>
        <v/>
      </c>
      <c r="V51" s="15">
        <f>IF(OR(V50="",V49=""),"",IFERROR(V50/V49,""))</f>
        <v/>
      </c>
      <c r="W51" s="15">
        <f>IF(OR(W50="",W49=""),"",IFERROR(W50/W49,""))</f>
        <v/>
      </c>
      <c r="X51" s="15">
        <f>IF(OR(X50="",X49=""),"",IFERROR(X50/X49,""))</f>
        <v/>
      </c>
      <c r="Y51" s="25" t="n">
        <v>0.3</v>
      </c>
      <c r="Z51" s="26" t="n">
        <v>0.3</v>
      </c>
      <c r="AA51" s="26" t="n">
        <v>0.3</v>
      </c>
      <c r="AB51" s="26" t="n">
        <v>0.3</v>
      </c>
      <c r="AC51" s="26" t="n">
        <v>0.3</v>
      </c>
    </row>
    <row r="52">
      <c r="A52" s="9" t="inlineStr">
        <is>
          <t>당기순이익(손실)</t>
        </is>
      </c>
      <c r="B52" s="10" t="n"/>
      <c r="C52" s="11" t="n">
        <v>6.824</v>
      </c>
      <c r="D52" s="12" t="n">
        <v>-32.302</v>
      </c>
      <c r="E52" s="12" t="n">
        <v>20.893</v>
      </c>
      <c r="F52" s="12" t="n">
        <v>-122.03</v>
      </c>
      <c r="G52" s="12" t="n">
        <v>-21.483</v>
      </c>
      <c r="H52" s="12" t="n">
        <v>-46.008</v>
      </c>
      <c r="I52" s="12" t="n">
        <v>35.164</v>
      </c>
      <c r="J52" s="12" t="n">
        <v>-48.995</v>
      </c>
      <c r="K52" s="12" t="n">
        <v>3.111</v>
      </c>
      <c r="L52" s="12" t="n">
        <v>38.454</v>
      </c>
      <c r="M52" s="12" t="n">
        <v>40.3</v>
      </c>
      <c r="N52" s="12" t="n">
        <v>50.962</v>
      </c>
      <c r="O52" s="11" t="n">
        <v>60.07</v>
      </c>
      <c r="P52" s="12" t="n">
        <v>1.998</v>
      </c>
      <c r="Q52" s="12" t="n">
        <v>83.57299999999999</v>
      </c>
      <c r="R52" s="12" t="n">
        <v>-213.961</v>
      </c>
      <c r="S52" s="12" t="n">
        <v>-635.4059999999999</v>
      </c>
      <c r="T52" s="12" t="n">
        <v>237.403</v>
      </c>
      <c r="U52" s="12" t="n">
        <v>33.153</v>
      </c>
      <c r="V52" s="12" t="n">
        <v>-126.615</v>
      </c>
      <c r="W52" s="12" t="n">
        <v>-81.322</v>
      </c>
      <c r="X52" s="12" t="n">
        <v>132.827</v>
      </c>
      <c r="Y52" s="11">
        <f>IF(OR(Y49=""),"",IFERROR(Y49-Y50,""))</f>
        <v/>
      </c>
      <c r="Z52" s="12">
        <f>IF(OR(Z49=""),"",IFERROR(Z49-Z50,""))</f>
        <v/>
      </c>
      <c r="AA52" s="12">
        <f>IF(OR(AA49=""),"",IFERROR(AA49-AA50,""))</f>
        <v/>
      </c>
      <c r="AB52" s="12">
        <f>IF(OR(AB49=""),"",IFERROR(AB49-AB50,""))</f>
        <v/>
      </c>
      <c r="AC52" s="12">
        <f>IF(OR(AC49=""),"",IFERROR(AC49-AC50,""))</f>
        <v/>
      </c>
    </row>
    <row r="53">
      <c r="A53" s="9" t="inlineStr">
        <is>
          <t>지배주주 순이익</t>
        </is>
      </c>
      <c r="B53" s="10" t="n"/>
      <c r="C53" s="11" t="n">
        <v>6.212</v>
      </c>
      <c r="D53" s="12" t="n">
        <v>-32.363</v>
      </c>
      <c r="E53" s="12" t="n">
        <v>20.368</v>
      </c>
      <c r="F53" s="12" t="n">
        <v>-120.753</v>
      </c>
      <c r="G53" s="12" t="n">
        <v>-20.089</v>
      </c>
      <c r="H53" s="12" t="n">
        <v>-45.145</v>
      </c>
      <c r="I53" s="12" t="n">
        <v>35.619</v>
      </c>
      <c r="J53" s="12" t="n">
        <v>-50.165</v>
      </c>
      <c r="K53" s="12" t="n">
        <v>2.112</v>
      </c>
      <c r="L53" s="12" t="n">
        <v>37.012</v>
      </c>
      <c r="M53" s="12" t="n">
        <v>35.333</v>
      </c>
      <c r="N53" s="12" t="n">
        <v>62.238</v>
      </c>
      <c r="O53" s="11" t="n">
        <v>56.722</v>
      </c>
      <c r="P53" s="12" t="n">
        <v>5.366</v>
      </c>
      <c r="Q53" s="12" t="n">
        <v>69.34099999999999</v>
      </c>
      <c r="R53" s="12" t="n">
        <v>-213.563</v>
      </c>
      <c r="S53" s="12" t="n">
        <v>-630.016</v>
      </c>
      <c r="T53" s="12" t="n">
        <v>241.185</v>
      </c>
      <c r="U53" s="12" t="n">
        <v>39.764</v>
      </c>
      <c r="V53" s="12" t="n">
        <v>-126.536</v>
      </c>
      <c r="W53" s="12" t="n">
        <v>-79.78</v>
      </c>
      <c r="X53" s="12" t="n">
        <v>136.695</v>
      </c>
      <c r="Y53" s="11">
        <f>IF(OR(Y52="",Y54=""),"",IFERROR(Y52*Y54,""))</f>
        <v/>
      </c>
      <c r="Z53" s="12">
        <f>IF(OR(Z52="",Z54=""),"",IFERROR(Z52*Z54,""))</f>
        <v/>
      </c>
      <c r="AA53" s="12">
        <f>IF(OR(AA52="",AA54=""),"",IFERROR(AA52*AA54,""))</f>
        <v/>
      </c>
      <c r="AB53" s="12">
        <f>IF(OR(AB52="",AB54=""),"",IFERROR(AB52*AB54,""))</f>
        <v/>
      </c>
      <c r="AC53" s="12">
        <f>IF(OR(AC52="",AC54=""),"",IFERROR(AC52*AC54,""))</f>
        <v/>
      </c>
    </row>
    <row r="54">
      <c r="A54" s="13" t="inlineStr">
        <is>
          <t>지배주주 순이익률</t>
        </is>
      </c>
      <c r="B54" s="10" t="inlineStr">
        <is>
          <t>MW 기본 100%</t>
        </is>
      </c>
      <c r="C54" s="14">
        <f>IF(OR(C53="",C52=""),"",IFERROR(C53/C52,""))</f>
        <v/>
      </c>
      <c r="D54" s="15">
        <f>IF(OR(D53="",D52=""),"",IFERROR(D53/D52,""))</f>
        <v/>
      </c>
      <c r="E54" s="15">
        <f>IF(OR(E53="",E52=""),"",IFERROR(E53/E52,""))</f>
        <v/>
      </c>
      <c r="F54" s="15">
        <f>IF(OR(F53="",F52=""),"",IFERROR(F53/F52,""))</f>
        <v/>
      </c>
      <c r="G54" s="15">
        <f>IF(OR(G53="",G52=""),"",IFERROR(G53/G52,""))</f>
        <v/>
      </c>
      <c r="H54" s="15">
        <f>IF(OR(H53="",H52=""),"",IFERROR(H53/H52,""))</f>
        <v/>
      </c>
      <c r="I54" s="15">
        <f>IF(OR(I53="",I52=""),"",IFERROR(I53/I52,""))</f>
        <v/>
      </c>
      <c r="J54" s="15">
        <f>IF(OR(J53="",J52=""),"",IFERROR(J53/J52,""))</f>
        <v/>
      </c>
      <c r="K54" s="15">
        <f>IF(OR(K53="",K52=""),"",IFERROR(K53/K52,""))</f>
        <v/>
      </c>
      <c r="L54" s="15">
        <f>IF(OR(L53="",L52=""),"",IFERROR(L53/L52,""))</f>
        <v/>
      </c>
      <c r="M54" s="15">
        <f>IF(OR(M53="",M52=""),"",IFERROR(M53/M52,""))</f>
        <v/>
      </c>
      <c r="N54" s="15">
        <f>IF(OR(N53="",N52=""),"",IFERROR(N53/N52,""))</f>
        <v/>
      </c>
      <c r="O54" s="14">
        <f>IF(OR(O53="",O52=""),"",IFERROR(O53/O52,""))</f>
        <v/>
      </c>
      <c r="P54" s="15">
        <f>IF(OR(P53="",P52=""),"",IFERROR(P53/P52,""))</f>
        <v/>
      </c>
      <c r="Q54" s="15">
        <f>IF(OR(Q53="",Q52=""),"",IFERROR(Q53/Q52,""))</f>
        <v/>
      </c>
      <c r="R54" s="15">
        <f>IF(OR(R53="",R52=""),"",IFERROR(R53/R52,""))</f>
        <v/>
      </c>
      <c r="S54" s="15">
        <f>IF(OR(S53="",S52=""),"",IFERROR(S53/S52,""))</f>
        <v/>
      </c>
      <c r="T54" s="15">
        <f>IF(OR(T53="",T52=""),"",IFERROR(T53/T52,""))</f>
        <v/>
      </c>
      <c r="U54" s="15">
        <f>IF(OR(U53="",U52=""),"",IFERROR(U53/U52,""))</f>
        <v/>
      </c>
      <c r="V54" s="15">
        <f>IF(OR(V53="",V52=""),"",IFERROR(V53/V52,""))</f>
        <v/>
      </c>
      <c r="W54" s="15">
        <f>IF(OR(W53="",W52=""),"",IFERROR(W53/W52,""))</f>
        <v/>
      </c>
      <c r="X54" s="15">
        <f>IF(OR(X53="",X52=""),"",IFERROR(X53/X52,""))</f>
        <v/>
      </c>
      <c r="Y54" s="25" t="n">
        <v>1</v>
      </c>
      <c r="Z54" s="26" t="n">
        <v>1</v>
      </c>
      <c r="AA54" s="26" t="n">
        <v>1</v>
      </c>
      <c r="AB54" s="26" t="n">
        <v>1</v>
      </c>
      <c r="AC54" s="26" t="n">
        <v>1</v>
      </c>
    </row>
    <row r="55">
      <c r="A55" s="16" t="inlineStr">
        <is>
          <t>목표주가 산출</t>
        </is>
      </c>
      <c r="B55" s="16" t="n"/>
      <c r="C55" s="17" t="n"/>
      <c r="D55" s="16" t="n"/>
      <c r="E55" s="16" t="n"/>
      <c r="F55" s="16" t="n"/>
      <c r="G55" s="16" t="n"/>
      <c r="H55" s="16" t="n"/>
      <c r="I55" s="16" t="n"/>
      <c r="J55" s="16" t="n"/>
      <c r="K55" s="16" t="n"/>
      <c r="L55" s="16" t="n"/>
      <c r="M55" s="16" t="n"/>
      <c r="N55" s="16" t="n"/>
      <c r="O55" s="17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7" t="n"/>
      <c r="Z55" s="16" t="n"/>
      <c r="AA55" s="16" t="n"/>
      <c r="AB55" s="16" t="n"/>
      <c r="AC55" s="16" t="n"/>
    </row>
    <row r="56">
      <c r="A56" s="18" t="inlineStr">
        <is>
          <t>현재 주가 (2026.10.26)</t>
        </is>
      </c>
      <c r="B56" s="27" t="n">
        <v>327</v>
      </c>
      <c r="C56" s="28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8" t="n"/>
      <c r="P56" s="29" t="n"/>
      <c r="Q56" s="29" t="n"/>
      <c r="R56" s="29" t="n"/>
      <c r="S56" s="29" t="n"/>
      <c r="T56" s="29" t="n"/>
      <c r="U56" s="29" t="n"/>
      <c r="V56" s="29" t="n"/>
      <c r="W56" s="29" t="n"/>
      <c r="X56" s="29" t="n"/>
      <c r="Y56" s="28" t="n"/>
      <c r="Z56" s="29" t="n"/>
      <c r="AA56" s="29" t="n"/>
      <c r="AB56" s="29" t="n"/>
      <c r="AC56" s="29" t="n"/>
    </row>
    <row r="57">
      <c r="A57" s="18" t="inlineStr">
        <is>
          <t>발행주식수 (보통주)</t>
        </is>
      </c>
      <c r="B57" s="27" t="n">
        <v>6062400</v>
      </c>
      <c r="C57" s="28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8" t="n"/>
      <c r="P57" s="29" t="n"/>
      <c r="Q57" s="29" t="n"/>
      <c r="R57" s="29" t="n"/>
      <c r="S57" s="29" t="n"/>
      <c r="T57" s="29" t="n"/>
      <c r="U57" s="29" t="n"/>
      <c r="V57" s="29" t="n"/>
      <c r="W57" s="29" t="n"/>
      <c r="X57" s="29" t="n"/>
      <c r="Y57" s="28" t="n"/>
      <c r="Z57" s="29" t="n"/>
      <c r="AA57" s="29" t="n"/>
      <c r="AB57" s="29" t="n"/>
      <c r="AC57" s="29" t="n"/>
    </row>
    <row r="58">
      <c r="A58" s="18" t="inlineStr">
        <is>
          <t>시가총액 (백만엔)</t>
        </is>
      </c>
      <c r="B58" s="12">
        <f>IF(OR(B56="",B57=""),"",B56*B57/1000000.0)</f>
        <v/>
      </c>
      <c r="C58" s="19" t="n"/>
      <c r="D58" s="20" t="n"/>
      <c r="E58" s="20" t="n"/>
      <c r="F58" s="20" t="n"/>
      <c r="G58" s="20" t="n"/>
      <c r="H58" s="20" t="n"/>
      <c r="I58" s="20" t="n"/>
      <c r="J58" s="20" t="n"/>
      <c r="K58" s="20" t="n"/>
      <c r="L58" s="20" t="n"/>
      <c r="M58" s="20" t="n"/>
      <c r="N58" s="20" t="n"/>
      <c r="O58" s="19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19" t="n"/>
      <c r="Z58" s="20" t="n"/>
      <c r="AA58" s="20" t="n"/>
      <c r="AB58" s="20" t="n"/>
      <c r="AC58" s="20" t="n"/>
    </row>
    <row r="59">
      <c r="A59" s="13" t="inlineStr">
        <is>
          <t>OPM</t>
        </is>
      </c>
      <c r="B59" s="10" t="n"/>
      <c r="C59" s="14" t="n"/>
      <c r="D59" s="15" t="n"/>
      <c r="E59" s="15" t="n"/>
      <c r="F59" s="15" t="n"/>
      <c r="G59" s="15" t="n"/>
      <c r="H59" s="15" t="n"/>
      <c r="I59" s="15" t="n"/>
      <c r="J59" s="15" t="n"/>
      <c r="K59" s="15" t="n"/>
      <c r="L59" s="15" t="n"/>
      <c r="M59" s="15" t="n"/>
      <c r="N59" s="15" t="n"/>
      <c r="O59" s="14">
        <f>IF(O26="","",O26)</f>
        <v/>
      </c>
      <c r="P59" s="15">
        <f>IF(P26="","",P26)</f>
        <v/>
      </c>
      <c r="Q59" s="15">
        <f>IF(Q26="","",Q26)</f>
        <v/>
      </c>
      <c r="R59" s="15">
        <f>IF(R26="","",R26)</f>
        <v/>
      </c>
      <c r="S59" s="15">
        <f>IF(S26="","",S26)</f>
        <v/>
      </c>
      <c r="T59" s="15">
        <f>IF(T26="","",T26)</f>
        <v/>
      </c>
      <c r="U59" s="15">
        <f>IF(U26="","",U26)</f>
        <v/>
      </c>
      <c r="V59" s="15">
        <f>IF(V26="","",V26)</f>
        <v/>
      </c>
      <c r="W59" s="15">
        <f>IF(W26="","",W26)</f>
        <v/>
      </c>
      <c r="X59" s="15">
        <f>IF(X26="","",X26)</f>
        <v/>
      </c>
      <c r="Y59" s="14">
        <f>IF(Y26="","",Y26)</f>
        <v/>
      </c>
      <c r="Z59" s="15">
        <f>IF(Z26="","",Z26)</f>
        <v/>
      </c>
      <c r="AA59" s="15">
        <f>IF(AA26="","",AA26)</f>
        <v/>
      </c>
      <c r="AB59" s="15">
        <f>IF(AB26="","",AB26)</f>
        <v/>
      </c>
      <c r="AC59" s="15">
        <f>IF(AC26="","",AC26)</f>
        <v/>
      </c>
    </row>
    <row r="60">
      <c r="A60" s="13" t="inlineStr">
        <is>
          <t>지배주주 순이익 증가율</t>
        </is>
      </c>
      <c r="B60" s="10" t="n"/>
      <c r="C60" s="14" t="n"/>
      <c r="D60" s="15" t="n"/>
      <c r="E60" s="15" t="n"/>
      <c r="F60" s="15" t="n"/>
      <c r="G60" s="15" t="n"/>
      <c r="H60" s="15" t="n"/>
      <c r="I60" s="15" t="n"/>
      <c r="J60" s="15" t="n"/>
      <c r="K60" s="15" t="n"/>
      <c r="L60" s="15" t="n"/>
      <c r="M60" s="15" t="n"/>
      <c r="N60" s="15" t="n"/>
      <c r="O60" s="14" t="n"/>
      <c r="P60" s="15">
        <f>IF(OR(P53="",O53=""),"",IFERROR(P53/O53-1,""))</f>
        <v/>
      </c>
      <c r="Q60" s="15">
        <f>IF(OR(Q53="",P53=""),"",IFERROR(Q53/P53-1,""))</f>
        <v/>
      </c>
      <c r="R60" s="15">
        <f>IF(OR(R53="",Q53=""),"",IFERROR(R53/Q53-1,""))</f>
        <v/>
      </c>
      <c r="S60" s="15">
        <f>IF(OR(S53="",R53=""),"",IFERROR(S53/R53-1,""))</f>
        <v/>
      </c>
      <c r="T60" s="15">
        <f>IF(OR(T53="",S53=""),"",IFERROR(T53/S53-1,""))</f>
        <v/>
      </c>
      <c r="U60" s="15">
        <f>IF(OR(U53="",T53=""),"",IFERROR(U53/T53-1,""))</f>
        <v/>
      </c>
      <c r="V60" s="15">
        <f>IF(OR(V53="",U53=""),"",IFERROR(V53/U53-1,""))</f>
        <v/>
      </c>
      <c r="W60" s="15">
        <f>IF(OR(W53="",V53=""),"",IFERROR(W53/V53-1,""))</f>
        <v/>
      </c>
      <c r="X60" s="15">
        <f>IF(OR(X53="",W53=""),"",IFERROR(X53/W53-1,""))</f>
        <v/>
      </c>
      <c r="Y60" s="14">
        <f>IF(OR(Y53="",X53=""),"",IFERROR(Y53/X53-1,""))</f>
        <v/>
      </c>
      <c r="Z60" s="15">
        <f>IF(OR(Z53="",Y53=""),"",IFERROR(Z53/Y53-1,""))</f>
        <v/>
      </c>
      <c r="AA60" s="15">
        <f>IF(OR(AA53="",Z53=""),"",IFERROR(AA53/Z53-1,""))</f>
        <v/>
      </c>
      <c r="AB60" s="15">
        <f>IF(OR(AB53="",AA53=""),"",IFERROR(AB53/AA53-1,""))</f>
        <v/>
      </c>
      <c r="AC60" s="15">
        <f>IF(OR(AC53="",AB53=""),"",IFERROR(AC53/AB53-1,""))</f>
        <v/>
      </c>
    </row>
    <row r="61">
      <c r="A61" s="18" t="inlineStr">
        <is>
          <t>P/E (현재 주가)</t>
        </is>
      </c>
      <c r="B61" s="10" t="inlineStr">
        <is>
          <t>시총 ÷ 지배순이익</t>
        </is>
      </c>
      <c r="C61" s="30" t="n"/>
      <c r="D61" s="31" t="n"/>
      <c r="E61" s="31" t="n"/>
      <c r="F61" s="31" t="n"/>
      <c r="G61" s="31" t="n"/>
      <c r="H61" s="31" t="n"/>
      <c r="I61" s="31" t="n"/>
      <c r="J61" s="31" t="n"/>
      <c r="K61" s="31" t="n"/>
      <c r="L61" s="31" t="n"/>
      <c r="M61" s="31" t="n"/>
      <c r="N61" s="31" t="n"/>
      <c r="O61" s="30" t="n"/>
      <c r="P61" s="31" t="n"/>
      <c r="Q61" s="31" t="n"/>
      <c r="R61" s="31" t="n"/>
      <c r="S61" s="31" t="n"/>
      <c r="T61" s="31" t="n"/>
      <c r="U61" s="31" t="n"/>
      <c r="V61" s="31" t="n"/>
      <c r="W61" s="31" t="n"/>
      <c r="X61" s="31">
        <f>IF(OR($B$58="",X53=""),"",IFERROR($B$58/X53,""))</f>
        <v/>
      </c>
      <c r="Y61" s="30">
        <f>IF(OR($B$58="",Y53=""),"",IFERROR($B$58/Y53,""))</f>
        <v/>
      </c>
      <c r="Z61" s="31">
        <f>IF(OR($B$58="",Z53=""),"",IFERROR($B$58/Z53,""))</f>
        <v/>
      </c>
      <c r="AA61" s="31">
        <f>IF(OR($B$58="",AA53=""),"",IFERROR($B$58/AA53,""))</f>
        <v/>
      </c>
      <c r="AB61" s="31">
        <f>IF(OR($B$58="",AB53=""),"",IFERROR($B$58/AB53,""))</f>
        <v/>
      </c>
      <c r="AC61" s="31">
        <f>IF(OR($B$58="",AC53=""),"",IFERROR($B$58/AC53,""))</f>
        <v/>
      </c>
    </row>
    <row r="62">
      <c r="A62" s="18" t="inlineStr">
        <is>
          <t>Target P/E</t>
        </is>
      </c>
      <c r="B62" s="10" t="inlineStr">
        <is>
          <t>직접 입력</t>
        </is>
      </c>
      <c r="C62" s="30" t="n"/>
      <c r="D62" s="31" t="n"/>
      <c r="E62" s="31" t="n"/>
      <c r="F62" s="31" t="n"/>
      <c r="G62" s="31" t="n"/>
      <c r="H62" s="31" t="n"/>
      <c r="I62" s="31" t="n"/>
      <c r="J62" s="31" t="n"/>
      <c r="K62" s="31" t="n"/>
      <c r="L62" s="31" t="n"/>
      <c r="M62" s="31" t="n"/>
      <c r="N62" s="31" t="n"/>
      <c r="O62" s="30" t="n"/>
      <c r="P62" s="31" t="n"/>
      <c r="Q62" s="31" t="n"/>
      <c r="R62" s="31" t="n"/>
      <c r="S62" s="31" t="n"/>
      <c r="T62" s="31" t="n"/>
      <c r="U62" s="31" t="n"/>
      <c r="V62" s="31" t="n"/>
      <c r="W62" s="31" t="n"/>
      <c r="X62" s="31" t="n"/>
      <c r="Y62" s="32" t="n"/>
      <c r="Z62" s="33" t="n"/>
      <c r="AA62" s="33" t="n"/>
      <c r="AB62" s="33" t="n"/>
      <c r="AC62" s="33" t="n"/>
    </row>
    <row r="63">
      <c r="A63" s="18" t="inlineStr">
        <is>
          <t>EPS</t>
        </is>
      </c>
      <c r="B63" s="10" t="inlineStr">
        <is>
          <t>지배순이익 ÷ 주식수</t>
        </is>
      </c>
      <c r="C63" s="28" t="n"/>
      <c r="D63" s="29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8">
        <f>IF(OR(O53="",$B$57=""),"",IFERROR(O53*1000000.0/$B$57,""))</f>
        <v/>
      </c>
      <c r="P63" s="29">
        <f>IF(OR(P53="",$B$57=""),"",IFERROR(P53*1000000.0/$B$57,""))</f>
        <v/>
      </c>
      <c r="Q63" s="29">
        <f>IF(OR(Q53="",$B$57=""),"",IFERROR(Q53*1000000.0/$B$57,""))</f>
        <v/>
      </c>
      <c r="R63" s="29">
        <f>IF(OR(R53="",$B$57=""),"",IFERROR(R53*1000000.0/$B$57,""))</f>
        <v/>
      </c>
      <c r="S63" s="29">
        <f>IF(OR(S53="",$B$57=""),"",IFERROR(S53*1000000.0/$B$57,""))</f>
        <v/>
      </c>
      <c r="T63" s="29">
        <f>IF(OR(T53="",$B$57=""),"",IFERROR(T53*1000000.0/$B$57,""))</f>
        <v/>
      </c>
      <c r="U63" s="29">
        <f>IF(OR(U53="",$B$57=""),"",IFERROR(U53*1000000.0/$B$57,""))</f>
        <v/>
      </c>
      <c r="V63" s="29">
        <f>IF(OR(V53="",$B$57=""),"",IFERROR(V53*1000000.0/$B$57,""))</f>
        <v/>
      </c>
      <c r="W63" s="29">
        <f>IF(OR(W53="",$B$57=""),"",IFERROR(W53*1000000.0/$B$57,""))</f>
        <v/>
      </c>
      <c r="X63" s="29">
        <f>IF(OR(X53="",$B$57=""),"",IFERROR(X53*1000000.0/$B$57,""))</f>
        <v/>
      </c>
      <c r="Y63" s="28">
        <f>IF(OR(Y53="",$B$57=""),"",IFERROR(Y53*1000000.0/$B$57,""))</f>
        <v/>
      </c>
      <c r="Z63" s="29">
        <f>IF(OR(Z53="",$B$57=""),"",IFERROR(Z53*1000000.0/$B$57,""))</f>
        <v/>
      </c>
      <c r="AA63" s="29">
        <f>IF(OR(AA53="",$B$57=""),"",IFERROR(AA53*1000000.0/$B$57,""))</f>
        <v/>
      </c>
      <c r="AB63" s="29">
        <f>IF(OR(AB53="",$B$57=""),"",IFERROR(AB53*1000000.0/$B$57,""))</f>
        <v/>
      </c>
      <c r="AC63" s="29">
        <f>IF(OR(AC53="",$B$57=""),"",IFERROR(AC53*1000000.0/$B$57,""))</f>
        <v/>
      </c>
    </row>
    <row r="64">
      <c r="A64" s="9" t="inlineStr">
        <is>
          <t>목표주가</t>
        </is>
      </c>
      <c r="B64" s="10" t="n"/>
      <c r="C64" s="34" t="n"/>
      <c r="D64" s="27" t="n"/>
      <c r="E64" s="27" t="n"/>
      <c r="F64" s="27" t="n"/>
      <c r="G64" s="27" t="n"/>
      <c r="H64" s="27" t="n"/>
      <c r="I64" s="27" t="n"/>
      <c r="J64" s="27" t="n"/>
      <c r="K64" s="27" t="n"/>
      <c r="L64" s="27" t="n"/>
      <c r="M64" s="27" t="n"/>
      <c r="N64" s="27" t="n"/>
      <c r="O64" s="34" t="n"/>
      <c r="P64" s="27" t="n"/>
      <c r="Q64" s="27" t="n"/>
      <c r="R64" s="27" t="n"/>
      <c r="S64" s="27" t="n"/>
      <c r="T64" s="27" t="n"/>
      <c r="U64" s="27" t="n"/>
      <c r="V64" s="27" t="n"/>
      <c r="W64" s="27" t="n"/>
      <c r="X64" s="27" t="n"/>
      <c r="Y64" s="34">
        <f>IF(OR(Y63="",Y62=""),"",IFERROR(Y63*Y62,""))</f>
        <v/>
      </c>
      <c r="Z64" s="27">
        <f>IF(OR(Z63="",Z62=""),"",IFERROR(Z63*Z62,""))</f>
        <v/>
      </c>
      <c r="AA64" s="27">
        <f>IF(OR(AA63="",AA62=""),"",IFERROR(AA63*AA62,""))</f>
        <v/>
      </c>
      <c r="AB64" s="27">
        <f>IF(OR(AB63="",AB62=""),"",IFERROR(AB63*AB62,""))</f>
        <v/>
      </c>
      <c r="AC64" s="27">
        <f>IF(OR(AC63="",AC62=""),"",IFERROR(AC63*AC62,""))</f>
        <v/>
      </c>
    </row>
    <row r="65">
      <c r="A65" s="18" t="inlineStr">
        <is>
          <t>상승여력</t>
        </is>
      </c>
      <c r="B65" s="10" t="n"/>
      <c r="C65" s="35" t="n"/>
      <c r="D65" s="36" t="n"/>
      <c r="E65" s="36" t="n"/>
      <c r="F65" s="36" t="n"/>
      <c r="G65" s="36" t="n"/>
      <c r="H65" s="36" t="n"/>
      <c r="I65" s="36" t="n"/>
      <c r="J65" s="36" t="n"/>
      <c r="K65" s="36" t="n"/>
      <c r="L65" s="36" t="n"/>
      <c r="M65" s="36" t="n"/>
      <c r="N65" s="36" t="n"/>
      <c r="O65" s="35" t="n"/>
      <c r="P65" s="36" t="n"/>
      <c r="Q65" s="36" t="n"/>
      <c r="R65" s="36" t="n"/>
      <c r="S65" s="36" t="n"/>
      <c r="T65" s="36" t="n"/>
      <c r="U65" s="36" t="n"/>
      <c r="V65" s="36" t="n"/>
      <c r="W65" s="36" t="n"/>
      <c r="X65" s="36" t="n"/>
      <c r="Y65" s="37">
        <f>IF(OR(Y64="",$B$56=""),"",IFERROR(Y64/$B$56-1,""))</f>
        <v/>
      </c>
      <c r="Z65" s="38">
        <f>IF(OR(Z64="",$B$56=""),"",IFERROR(Z64/$B$56-1,""))</f>
        <v/>
      </c>
      <c r="AA65" s="38">
        <f>IF(OR(AA64="",$B$56=""),"",IFERROR(AA64/$B$56-1,""))</f>
        <v/>
      </c>
      <c r="AB65" s="38">
        <f>IF(OR(AB64="",$B$56=""),"",IFERROR(AB64/$B$56-1,""))</f>
        <v/>
      </c>
      <c r="AC65" s="38">
        <f>IF(OR(AC64="",$B$56=""),"",IFERROR(AC64/$B$56-1,""))</f>
        <v/>
      </c>
    </row>
    <row r="66">
      <c r="A66" s="16" t="inlineStr">
        <is>
          <t>자산가치 산출</t>
        </is>
      </c>
      <c r="B66" s="16" t="inlineStr">
        <is>
          <t>최신 분기 BS</t>
        </is>
      </c>
      <c r="C66" s="17" t="n"/>
      <c r="D66" s="16" t="n"/>
      <c r="E66" s="16" t="n"/>
      <c r="F66" s="16" t="n"/>
      <c r="G66" s="16" t="n"/>
      <c r="H66" s="16" t="n"/>
      <c r="I66" s="16" t="n"/>
      <c r="J66" s="16" t="n"/>
      <c r="K66" s="16" t="n"/>
      <c r="L66" s="16" t="n"/>
      <c r="M66" s="16" t="n"/>
      <c r="N66" s="16" t="n"/>
      <c r="O66" s="17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7" t="n"/>
      <c r="Z66" s="16" t="n"/>
      <c r="AA66" s="16" t="n"/>
      <c r="AB66" s="16" t="n"/>
      <c r="AC66" s="16" t="n"/>
    </row>
    <row r="67">
      <c r="A67" s="18" t="inlineStr">
        <is>
          <t>현금및현금성자산</t>
        </is>
      </c>
      <c r="B67" s="10" t="n"/>
      <c r="C67" s="19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19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>
        <f>'재무상태표'!G6</f>
        <v/>
      </c>
      <c r="Y67" s="19">
        <f>'재무상태표'!G6</f>
        <v/>
      </c>
      <c r="Z67" s="20">
        <f>'재무상태표'!G6</f>
        <v/>
      </c>
      <c r="AA67" s="20">
        <f>'재무상태표'!G6</f>
        <v/>
      </c>
      <c r="AB67" s="20">
        <f>'재무상태표'!G6</f>
        <v/>
      </c>
      <c r="AC67" s="20">
        <f>'재무상태표'!G6</f>
        <v/>
      </c>
    </row>
    <row r="68">
      <c r="A68" s="18" t="inlineStr">
        <is>
          <t>단기금융상품</t>
        </is>
      </c>
      <c r="B68" s="10" t="n"/>
      <c r="C68" s="19" t="n"/>
      <c r="D68" s="20" t="n"/>
      <c r="E68" s="20" t="n"/>
      <c r="F68" s="20" t="n"/>
      <c r="G68" s="20" t="n"/>
      <c r="H68" s="20" t="n"/>
      <c r="I68" s="20" t="n"/>
      <c r="J68" s="20" t="n"/>
      <c r="K68" s="20" t="n"/>
      <c r="L68" s="20" t="n"/>
      <c r="M68" s="20" t="n"/>
      <c r="N68" s="20" t="n"/>
      <c r="O68" s="19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>
        <f>'재무상태표'!G7</f>
        <v/>
      </c>
      <c r="Y68" s="19">
        <f>'재무상태표'!G7</f>
        <v/>
      </c>
      <c r="Z68" s="20">
        <f>'재무상태표'!G7</f>
        <v/>
      </c>
      <c r="AA68" s="20">
        <f>'재무상태표'!G7</f>
        <v/>
      </c>
      <c r="AB68" s="20">
        <f>'재무상태표'!G7</f>
        <v/>
      </c>
      <c r="AC68" s="20">
        <f>'재무상태표'!G7</f>
        <v/>
      </c>
    </row>
    <row r="69">
      <c r="A69" s="18" t="inlineStr">
        <is>
          <t>투자부동산</t>
        </is>
      </c>
      <c r="B69" s="10" t="n"/>
      <c r="C69" s="19" t="n"/>
      <c r="D69" s="20" t="n"/>
      <c r="E69" s="20" t="n"/>
      <c r="F69" s="20" t="n"/>
      <c r="G69" s="20" t="n"/>
      <c r="H69" s="20" t="n"/>
      <c r="I69" s="20" t="n"/>
      <c r="J69" s="20" t="n"/>
      <c r="K69" s="20" t="n"/>
      <c r="L69" s="20" t="n"/>
      <c r="M69" s="20" t="n"/>
      <c r="N69" s="20" t="n"/>
      <c r="O69" s="19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>
        <f>'재무상태표'!G14</f>
        <v/>
      </c>
      <c r="Y69" s="19">
        <f>'재무상태표'!G14</f>
        <v/>
      </c>
      <c r="Z69" s="20">
        <f>'재무상태표'!G14</f>
        <v/>
      </c>
      <c r="AA69" s="20">
        <f>'재무상태표'!G14</f>
        <v/>
      </c>
      <c r="AB69" s="20">
        <f>'재무상태표'!G14</f>
        <v/>
      </c>
      <c r="AC69" s="20">
        <f>'재무상태표'!G14</f>
        <v/>
      </c>
    </row>
    <row r="70">
      <c r="A70" s="18" t="inlineStr">
        <is>
          <t>지배자본</t>
        </is>
      </c>
      <c r="B70" s="10" t="n"/>
      <c r="C70" s="19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19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>
        <f>'재무상태표'!G31</f>
        <v/>
      </c>
      <c r="Y70" s="19">
        <f>'재무상태표'!G31</f>
        <v/>
      </c>
      <c r="Z70" s="20">
        <f>'재무상태표'!G31</f>
        <v/>
      </c>
      <c r="AA70" s="20">
        <f>'재무상태표'!G31</f>
        <v/>
      </c>
      <c r="AB70" s="20">
        <f>'재무상태표'!G31</f>
        <v/>
      </c>
      <c r="AC70" s="20">
        <f>'재무상태표'!G31</f>
        <v/>
      </c>
    </row>
    <row r="71">
      <c r="A71" s="18" t="inlineStr">
        <is>
          <t>부채</t>
        </is>
      </c>
      <c r="B71" s="10" t="n"/>
      <c r="C71" s="19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19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>
        <f>'재무상태표'!G27</f>
        <v/>
      </c>
      <c r="Y71" s="19">
        <f>'재무상태표'!G27</f>
        <v/>
      </c>
      <c r="Z71" s="20">
        <f>'재무상태표'!G27</f>
        <v/>
      </c>
      <c r="AA71" s="20">
        <f>'재무상태표'!G27</f>
        <v/>
      </c>
      <c r="AB71" s="20">
        <f>'재무상태표'!G27</f>
        <v/>
      </c>
      <c r="AC71" s="20">
        <f>'재무상태표'!G27</f>
        <v/>
      </c>
    </row>
    <row r="72">
      <c r="A72" s="13" t="inlineStr">
        <is>
          <t>부채비율</t>
        </is>
      </c>
      <c r="B72" s="10" t="n"/>
      <c r="C72" s="14" t="n"/>
      <c r="D72" s="15" t="n"/>
      <c r="E72" s="15" t="n"/>
      <c r="F72" s="15" t="n"/>
      <c r="G72" s="15" t="n"/>
      <c r="H72" s="15" t="n"/>
      <c r="I72" s="15" t="n"/>
      <c r="J72" s="15" t="n"/>
      <c r="K72" s="15" t="n"/>
      <c r="L72" s="15" t="n"/>
      <c r="M72" s="15" t="n"/>
      <c r="N72" s="15" t="n"/>
      <c r="O72" s="14" t="n"/>
      <c r="P72" s="15" t="n"/>
      <c r="Q72" s="15" t="n"/>
      <c r="R72" s="15" t="n"/>
      <c r="S72" s="15" t="n"/>
      <c r="T72" s="15" t="n"/>
      <c r="U72" s="15" t="n"/>
      <c r="V72" s="15" t="n"/>
      <c r="W72" s="15" t="n"/>
      <c r="X72" s="15">
        <f>IF(OR(X71="",X70=""),"",IFERROR(X71/X70,""))</f>
        <v/>
      </c>
      <c r="Y72" s="14">
        <f>IF(OR(Y71="",Y70=""),"",IFERROR(Y71/Y70,""))</f>
        <v/>
      </c>
      <c r="Z72" s="15">
        <f>IF(OR(Z71="",Z70=""),"",IFERROR(Z71/Z70,""))</f>
        <v/>
      </c>
      <c r="AA72" s="15">
        <f>IF(OR(AA71="",AA70=""),"",IFERROR(AA71/AA70,""))</f>
        <v/>
      </c>
      <c r="AB72" s="15">
        <f>IF(OR(AB71="",AB70=""),"",IFERROR(AB71/AB70,""))</f>
        <v/>
      </c>
      <c r="AC72" s="15">
        <f>IF(OR(AC71="",AC70=""),"",IFERROR(AC71/AC70,""))</f>
        <v/>
      </c>
    </row>
    <row r="73">
      <c r="A73" s="9" t="inlineStr">
        <is>
          <t>자산가치</t>
        </is>
      </c>
      <c r="B73" s="10" t="inlineStr">
        <is>
          <t>현금+단기금융+투자부동산</t>
        </is>
      </c>
      <c r="C73" s="11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1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>
        <f>SUM(X67,X68,X69)</f>
        <v/>
      </c>
      <c r="Y73" s="11">
        <f>SUM(Y67,Y68,Y69)</f>
        <v/>
      </c>
      <c r="Z73" s="12">
        <f>SUM(Z67,Z68,Z69)</f>
        <v/>
      </c>
      <c r="AA73" s="12">
        <f>SUM(AA67,AA68,AA69)</f>
        <v/>
      </c>
      <c r="AB73" s="12">
        <f>SUM(AB67,AB68,AB69)</f>
        <v/>
      </c>
      <c r="AC73" s="12">
        <f>SUM(AC67,AC68,AC69)</f>
        <v/>
      </c>
    </row>
    <row r="74">
      <c r="A74" s="16" t="inlineStr">
        <is>
          <t>기업가치 산출</t>
        </is>
      </c>
      <c r="B74" s="16" t="n"/>
      <c r="C74" s="17" t="n"/>
      <c r="D74" s="16" t="n"/>
      <c r="E74" s="16" t="n"/>
      <c r="F74" s="16" t="n"/>
      <c r="G74" s="16" t="n"/>
      <c r="H74" s="16" t="n"/>
      <c r="I74" s="16" t="n"/>
      <c r="J74" s="16" t="n"/>
      <c r="K74" s="16" t="n"/>
      <c r="L74" s="16" t="n"/>
      <c r="M74" s="16" t="n"/>
      <c r="N74" s="16" t="n"/>
      <c r="O74" s="17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7" t="n"/>
      <c r="Z74" s="16" t="n"/>
      <c r="AA74" s="16" t="n"/>
      <c r="AB74" s="16" t="n"/>
      <c r="AC74" s="16" t="n"/>
    </row>
    <row r="75">
      <c r="A75" s="18" t="inlineStr">
        <is>
          <t>목표 시가총액 (P/E)</t>
        </is>
      </c>
      <c r="B75" s="10" t="inlineStr">
        <is>
          <t>지배순이익 × Target P/E</t>
        </is>
      </c>
      <c r="C75" s="19" t="n"/>
      <c r="D75" s="20" t="n"/>
      <c r="E75" s="20" t="n"/>
      <c r="F75" s="20" t="n"/>
      <c r="G75" s="20" t="n"/>
      <c r="H75" s="20" t="n"/>
      <c r="I75" s="20" t="n"/>
      <c r="J75" s="20" t="n"/>
      <c r="K75" s="20" t="n"/>
      <c r="L75" s="20" t="n"/>
      <c r="M75" s="20" t="n"/>
      <c r="N75" s="20" t="n"/>
      <c r="O75" s="19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19">
        <f>IF(OR(Y53="",Y62=""),"",IFERROR(Y53*Y62,""))</f>
        <v/>
      </c>
      <c r="Z75" s="20">
        <f>IF(OR(Z53="",Z62=""),"",IFERROR(Z53*Z62,""))</f>
        <v/>
      </c>
      <c r="AA75" s="20">
        <f>IF(OR(AA53="",AA62=""),"",IFERROR(AA53*AA62,""))</f>
        <v/>
      </c>
      <c r="AB75" s="20">
        <f>IF(OR(AB53="",AB62=""),"",IFERROR(AB53*AB62,""))</f>
        <v/>
      </c>
      <c r="AC75" s="20">
        <f>IF(OR(AC53="",AC62=""),"",IFERROR(AC53*AC62,""))</f>
        <v/>
      </c>
    </row>
    <row r="76">
      <c r="A76" s="9" t="inlineStr">
        <is>
          <t>기업가치</t>
        </is>
      </c>
      <c r="B76" s="10" t="inlineStr">
        <is>
          <t>목표시총 + 자산가치</t>
        </is>
      </c>
      <c r="C76" s="11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1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 t="n"/>
      <c r="Y76" s="11">
        <f>IF(OR(Y75=""),"",IFERROR(Y75+Y73,""))</f>
        <v/>
      </c>
      <c r="Z76" s="12">
        <f>IF(OR(Z75=""),"",IFERROR(Z75+Z73,""))</f>
        <v/>
      </c>
      <c r="AA76" s="12">
        <f>IF(OR(AA75=""),"",IFERROR(AA75+AA73,""))</f>
        <v/>
      </c>
      <c r="AB76" s="12">
        <f>IF(OR(AB75=""),"",IFERROR(AB75+AB73,""))</f>
        <v/>
      </c>
      <c r="AC76" s="12">
        <f>IF(OR(AC75=""),"",IFERROR(AC75+AC73,""))</f>
        <v/>
      </c>
    </row>
    <row r="77">
      <c r="A77" s="18" t="inlineStr">
        <is>
          <t>현재 시가총액</t>
        </is>
      </c>
      <c r="B77" s="10" t="n"/>
      <c r="C77" s="19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19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19">
        <f>$B$58</f>
        <v/>
      </c>
      <c r="Z77" s="20">
        <f>$B$58</f>
        <v/>
      </c>
      <c r="AA77" s="20">
        <f>$B$58</f>
        <v/>
      </c>
      <c r="AB77" s="20">
        <f>$B$58</f>
        <v/>
      </c>
      <c r="AC77" s="20">
        <f>$B$58</f>
        <v/>
      </c>
    </row>
    <row r="78">
      <c r="A78" s="18" t="inlineStr">
        <is>
          <t>상승여력</t>
        </is>
      </c>
      <c r="B78" s="10" t="n"/>
      <c r="C78" s="35" t="n"/>
      <c r="D78" s="36" t="n"/>
      <c r="E78" s="36" t="n"/>
      <c r="F78" s="36" t="n"/>
      <c r="G78" s="36" t="n"/>
      <c r="H78" s="36" t="n"/>
      <c r="I78" s="36" t="n"/>
      <c r="J78" s="36" t="n"/>
      <c r="K78" s="36" t="n"/>
      <c r="L78" s="36" t="n"/>
      <c r="M78" s="36" t="n"/>
      <c r="N78" s="36" t="n"/>
      <c r="O78" s="35" t="n"/>
      <c r="P78" s="36" t="n"/>
      <c r="Q78" s="36" t="n"/>
      <c r="R78" s="36" t="n"/>
      <c r="S78" s="36" t="n"/>
      <c r="T78" s="36" t="n"/>
      <c r="U78" s="36" t="n"/>
      <c r="V78" s="36" t="n"/>
      <c r="W78" s="36" t="n"/>
      <c r="X78" s="36" t="n"/>
      <c r="Y78" s="37">
        <f>IF(OR(Y76="",Y77=""),"",IFERROR(Y76/Y77-1,""))</f>
        <v/>
      </c>
      <c r="Z78" s="38">
        <f>IF(OR(Z76="",Z77=""),"",IFERROR(Z76/Z77-1,""))</f>
        <v/>
      </c>
      <c r="AA78" s="38">
        <f>IF(OR(AA76="",AA77=""),"",IFERROR(AA76/AA77-1,""))</f>
        <v/>
      </c>
      <c r="AB78" s="38">
        <f>IF(OR(AB76="",AB77=""),"",IFERROR(AB76/AB77-1,""))</f>
        <v/>
      </c>
      <c r="AC78" s="38">
        <f>IF(OR(AC76="",AC77=""),"",IFERROR(AC76/AC77-1,""))</f>
        <v/>
      </c>
    </row>
    <row r="79">
      <c r="C79" s="39" t="n"/>
      <c r="O79" s="39" t="n"/>
      <c r="Y79" s="39" t="n"/>
    </row>
    <row r="80">
      <c r="A80" s="40" t="inlineStr">
        <is>
          <t>출처</t>
        </is>
      </c>
      <c r="C80" s="39" t="n"/>
      <c r="O80" s="39" t="n"/>
      <c r="Y80" s="39" t="n"/>
    </row>
    <row r="81">
      <c r="A81" s="41" t="inlineStr">
        <is>
          <t>결산단신 XBRL(TDnet·JPX 보관소) — 쓴 문서는 '출처' 시트</t>
        </is>
      </c>
      <c r="C81" s="39" t="n"/>
      <c r="O81" s="39" t="n"/>
      <c r="Y81" s="39" t="n"/>
    </row>
    <row r="82">
      <c r="A82" s="41" t="inlineStr">
        <is>
          <t>분기 = 누계에서 앞 분기를 뺀 3개월 값</t>
        </is>
      </c>
      <c r="C82" s="39" t="n"/>
      <c r="O82" s="39" t="n"/>
      <c r="Y82" s="39" t="n"/>
    </row>
    <row r="83">
      <c r="A83" s="41" t="inlineStr">
        <is>
          <t>주가: 야후 파이낸스 일봉 2026.10.26</t>
        </is>
      </c>
      <c r="C83" s="39" t="n"/>
      <c r="O83" s="39" t="n"/>
      <c r="Y83" s="39" t="n"/>
    </row>
    <row r="85">
      <c r="A85" s="16" t="inlineStr">
        <is>
          <t>손익계산서 · 전 항목</t>
        </is>
      </c>
      <c r="B85" s="42" t="inlineStr">
        <is>
          <t>분기 = 3개월 단독</t>
        </is>
      </c>
      <c r="C85" s="16" t="n"/>
      <c r="D85" s="16" t="n"/>
      <c r="E85" s="16" t="n"/>
      <c r="F85" s="16" t="n"/>
      <c r="G85" s="16" t="n"/>
      <c r="H85" s="16" t="n"/>
      <c r="I85" s="16" t="n"/>
      <c r="J85" s="16" t="n"/>
      <c r="K85" s="16" t="n"/>
      <c r="L85" s="16" t="n"/>
      <c r="M85" s="16" t="n"/>
      <c r="N85" s="16" t="n"/>
      <c r="O85" s="16" t="n"/>
      <c r="P85" s="16" t="n"/>
      <c r="Q85" s="16" t="n"/>
      <c r="R85" s="16" t="n"/>
      <c r="S85" s="16" t="n"/>
      <c r="T85" s="16" t="n"/>
      <c r="U85" s="16" t="n"/>
      <c r="V85" s="16" t="n"/>
      <c r="W85" s="16" t="n"/>
      <c r="X85" s="16" t="n"/>
      <c r="Y85" s="16" t="n"/>
      <c r="Z85" s="16" t="n"/>
      <c r="AA85" s="16" t="n"/>
      <c r="AB85" s="16" t="n"/>
      <c r="AC85" s="16" t="n"/>
    </row>
    <row r="86">
      <c r="A86" s="5" t="inlineStr">
        <is>
          <t>항목</t>
        </is>
      </c>
      <c r="B86" s="5" t="inlineStr">
        <is>
          <t>참고</t>
        </is>
      </c>
      <c r="C86" s="5" t="inlineStr">
        <is>
          <t>2024.1Q</t>
        </is>
      </c>
      <c r="D86" s="5" t="inlineStr">
        <is>
          <t>2024.2Q</t>
        </is>
      </c>
      <c r="E86" s="5" t="inlineStr">
        <is>
          <t>2024.3Q</t>
        </is>
      </c>
      <c r="F86" s="5" t="inlineStr">
        <is>
          <t>2024.4Q</t>
        </is>
      </c>
      <c r="G86" s="5" t="inlineStr">
        <is>
          <t>2025.1Q</t>
        </is>
      </c>
      <c r="H86" s="5" t="inlineStr">
        <is>
          <t>2025.2Q</t>
        </is>
      </c>
      <c r="I86" s="5" t="inlineStr">
        <is>
          <t>2025.3Q</t>
        </is>
      </c>
      <c r="J86" s="5" t="inlineStr">
        <is>
          <t>2025.4Q</t>
        </is>
      </c>
      <c r="K86" s="5" t="inlineStr">
        <is>
          <t>2026.1Q</t>
        </is>
      </c>
      <c r="L86" s="5" t="inlineStr">
        <is>
          <t>2026.2Q</t>
        </is>
      </c>
      <c r="M86" s="5" t="inlineStr">
        <is>
          <t>2026.3Q</t>
        </is>
      </c>
      <c r="N86" s="5" t="inlineStr">
        <is>
          <t>2026.4Q</t>
        </is>
      </c>
      <c r="O86" s="5" t="inlineStr">
        <is>
          <t>2017</t>
        </is>
      </c>
      <c r="P86" s="5" t="inlineStr">
        <is>
          <t>2018</t>
        </is>
      </c>
      <c r="Q86" s="5" t="inlineStr">
        <is>
          <t>2019</t>
        </is>
      </c>
      <c r="R86" s="5" t="inlineStr">
        <is>
          <t>2020</t>
        </is>
      </c>
      <c r="S86" s="5" t="inlineStr">
        <is>
          <t>2021</t>
        </is>
      </c>
      <c r="T86" s="5" t="inlineStr">
        <is>
          <t>2022</t>
        </is>
      </c>
      <c r="U86" s="5" t="inlineStr">
        <is>
          <t>2023</t>
        </is>
      </c>
      <c r="V86" s="5" t="inlineStr">
        <is>
          <t>2024</t>
        </is>
      </c>
      <c r="W86" s="5" t="inlineStr">
        <is>
          <t>2025</t>
        </is>
      </c>
      <c r="X86" s="5" t="inlineStr">
        <is>
          <t>2026</t>
        </is>
      </c>
      <c r="Y86" s="5" t="inlineStr">
        <is>
          <t>2027(MW)</t>
        </is>
      </c>
      <c r="Z86" s="5" t="inlineStr">
        <is>
          <t>2028(MW)</t>
        </is>
      </c>
      <c r="AA86" s="5" t="inlineStr">
        <is>
          <t>2029(MW)</t>
        </is>
      </c>
      <c r="AB86" s="5" t="inlineStr">
        <is>
          <t>2030(MW)</t>
        </is>
      </c>
      <c r="AC86" s="5" t="inlineStr">
        <is>
          <t>2031(MW)</t>
        </is>
      </c>
    </row>
    <row r="87">
      <c r="A87" s="9" t="inlineStr">
        <is>
          <t>매출액</t>
        </is>
      </c>
      <c r="C87" s="12" t="n">
        <v>865.849</v>
      </c>
      <c r="D87" s="12" t="n">
        <v>894.376</v>
      </c>
      <c r="E87" s="12" t="n">
        <v>997.932</v>
      </c>
      <c r="F87" s="12" t="n">
        <v>653.308</v>
      </c>
      <c r="G87" s="12" t="n">
        <v>783.899</v>
      </c>
      <c r="H87" s="12" t="n">
        <v>823.261</v>
      </c>
      <c r="I87" s="12" t="n">
        <v>1011.058</v>
      </c>
      <c r="J87" s="12" t="n">
        <v>901.082</v>
      </c>
      <c r="K87" s="12" t="n">
        <v>820.764</v>
      </c>
      <c r="L87" s="12" t="n">
        <v>961.948</v>
      </c>
      <c r="M87" s="12" t="n">
        <v>1105.708</v>
      </c>
      <c r="N87" s="12" t="n">
        <v>863.247</v>
      </c>
      <c r="T87" s="12" t="n">
        <v>1302.656</v>
      </c>
      <c r="U87" s="12" t="n">
        <v>1121.016</v>
      </c>
      <c r="V87" s="12" t="n">
        <v>653.308</v>
      </c>
      <c r="W87" s="12" t="n">
        <v>901.082</v>
      </c>
      <c r="X87" s="12" t="n">
        <v>863.247</v>
      </c>
    </row>
    <row r="88">
      <c r="A88" s="43" t="inlineStr">
        <is>
          <t>YoY</t>
        </is>
      </c>
      <c r="B88" s="3" t="inlineStr">
        <is>
          <t>전년 같은 분기·전년 대비</t>
        </is>
      </c>
      <c r="G88" s="15">
        <f>IF(OR(G87="",C87=""),"",IF(C87&lt;=0,"",IFERROR(G87/C87-1,"")))</f>
        <v/>
      </c>
      <c r="H88" s="15">
        <f>IF(OR(H87="",D87=""),"",IF(D87&lt;=0,"",IFERROR(H87/D87-1,"")))</f>
        <v/>
      </c>
      <c r="I88" s="15">
        <f>IF(OR(I87="",E87=""),"",IF(E87&lt;=0,"",IFERROR(I87/E87-1,"")))</f>
        <v/>
      </c>
      <c r="J88" s="15">
        <f>IF(OR(J87="",F87=""),"",IF(F87&lt;=0,"",IFERROR(J87/F87-1,"")))</f>
        <v/>
      </c>
      <c r="K88" s="15">
        <f>IF(OR(K87="",G87=""),"",IF(G87&lt;=0,"",IFERROR(K87/G87-1,"")))</f>
        <v/>
      </c>
      <c r="L88" s="15">
        <f>IF(OR(L87="",H87=""),"",IF(H87&lt;=0,"",IFERROR(L87/H87-1,"")))</f>
        <v/>
      </c>
      <c r="M88" s="15">
        <f>IF(OR(M87="",I87=""),"",IF(I87&lt;=0,"",IFERROR(M87/I87-1,"")))</f>
        <v/>
      </c>
      <c r="N88" s="15">
        <f>IF(OR(N87="",J87=""),"",IF(J87&lt;=0,"",IFERROR(N87/J87-1,"")))</f>
        <v/>
      </c>
      <c r="T88" s="15">
        <f>IF(OR(T87="",S87=""),"",IF(S87&lt;=0,"",IFERROR(T87/S87-1,"")))</f>
        <v/>
      </c>
      <c r="U88" s="15">
        <f>IF(OR(U87="",T87=""),"",IF(T87&lt;=0,"",IFERROR(U87/T87-1,"")))</f>
        <v/>
      </c>
      <c r="V88" s="15">
        <f>IF(OR(V87="",U87=""),"",IF(U87&lt;=0,"",IFERROR(V87/U87-1,"")))</f>
        <v/>
      </c>
      <c r="W88" s="15">
        <f>IF(OR(W87="",V87=""),"",IF(V87&lt;=0,"",IFERROR(W87/V87-1,"")))</f>
        <v/>
      </c>
      <c r="X88" s="15">
        <f>IF(OR(X87="",W87=""),"",IF(W87&lt;=0,"",IFERROR(X87/W87-1,"")))</f>
        <v/>
      </c>
    </row>
    <row r="89">
      <c r="A89" s="18" t="inlineStr">
        <is>
          <t>매출원가</t>
        </is>
      </c>
      <c r="C89" s="20" t="n">
        <v>593.605</v>
      </c>
      <c r="D89" s="20" t="n">
        <v>670.452</v>
      </c>
      <c r="E89" s="20" t="n">
        <v>697.359</v>
      </c>
      <c r="F89" s="20" t="n">
        <v>505.74</v>
      </c>
      <c r="G89" s="20" t="n">
        <v>562.78</v>
      </c>
      <c r="H89" s="20" t="n">
        <v>583.814</v>
      </c>
      <c r="I89" s="20" t="n">
        <v>759.414</v>
      </c>
      <c r="J89" s="20" t="n">
        <v>603.213</v>
      </c>
      <c r="K89" s="20" t="n">
        <v>546.9829999999999</v>
      </c>
      <c r="L89" s="20" t="n">
        <v>652.153</v>
      </c>
      <c r="M89" s="20" t="n">
        <v>795.755</v>
      </c>
      <c r="N89" s="20" t="n">
        <v>632.715</v>
      </c>
      <c r="T89" s="20" t="n">
        <v>850.837</v>
      </c>
      <c r="U89" s="20" t="n">
        <v>758.547</v>
      </c>
      <c r="V89" s="20" t="n">
        <v>505.74</v>
      </c>
      <c r="W89" s="20" t="n">
        <v>603.213</v>
      </c>
      <c r="X89" s="20" t="n">
        <v>632.715</v>
      </c>
    </row>
    <row r="90">
      <c r="A90" s="9" t="inlineStr">
        <is>
          <t>매출총이익</t>
        </is>
      </c>
      <c r="C90" s="12" t="n">
        <v>272.244</v>
      </c>
      <c r="D90" s="12" t="n">
        <v>223.924</v>
      </c>
      <c r="E90" s="12" t="n">
        <v>300.572</v>
      </c>
      <c r="F90" s="12" t="n">
        <v>147.569</v>
      </c>
      <c r="G90" s="12" t="n">
        <v>221.119</v>
      </c>
      <c r="H90" s="12" t="n">
        <v>239.446</v>
      </c>
      <c r="I90" s="12" t="n">
        <v>251.645</v>
      </c>
      <c r="J90" s="12" t="n">
        <v>297.868</v>
      </c>
      <c r="K90" s="12" t="n">
        <v>273.78</v>
      </c>
      <c r="L90" s="12" t="n">
        <v>309.795</v>
      </c>
      <c r="M90" s="12" t="n">
        <v>309.954</v>
      </c>
      <c r="N90" s="12" t="n">
        <v>230.531</v>
      </c>
      <c r="T90" s="12" t="n">
        <v>451.82</v>
      </c>
      <c r="U90" s="12" t="n">
        <v>362.469</v>
      </c>
      <c r="V90" s="12" t="n">
        <v>147.569</v>
      </c>
      <c r="W90" s="12" t="n">
        <v>297.868</v>
      </c>
      <c r="X90" s="12" t="n">
        <v>230.531</v>
      </c>
    </row>
    <row r="91">
      <c r="A91" s="43" t="inlineStr">
        <is>
          <t>YoY</t>
        </is>
      </c>
      <c r="B91" s="3" t="inlineStr">
        <is>
          <t>전년 같은 분기·전년 대비</t>
        </is>
      </c>
      <c r="G91" s="15">
        <f>IF(OR(G90="",C90=""),"",IF(C90&lt;=0,"",IFERROR(G90/C90-1,"")))</f>
        <v/>
      </c>
      <c r="H91" s="15">
        <f>IF(OR(H90="",D90=""),"",IF(D90&lt;=0,"",IFERROR(H90/D90-1,"")))</f>
        <v/>
      </c>
      <c r="I91" s="15">
        <f>IF(OR(I90="",E90=""),"",IF(E90&lt;=0,"",IFERROR(I90/E90-1,"")))</f>
        <v/>
      </c>
      <c r="J91" s="15">
        <f>IF(OR(J90="",F90=""),"",IF(F90&lt;=0,"",IFERROR(J90/F90-1,"")))</f>
        <v/>
      </c>
      <c r="K91" s="15">
        <f>IF(OR(K90="",G90=""),"",IF(G90&lt;=0,"",IFERROR(K90/G90-1,"")))</f>
        <v/>
      </c>
      <c r="L91" s="15">
        <f>IF(OR(L90="",H90=""),"",IF(H90&lt;=0,"",IFERROR(L90/H90-1,"")))</f>
        <v/>
      </c>
      <c r="M91" s="15">
        <f>IF(OR(M90="",I90=""),"",IF(I90&lt;=0,"",IFERROR(M90/I90-1,"")))</f>
        <v/>
      </c>
      <c r="N91" s="15">
        <f>IF(OR(N90="",J90=""),"",IF(J90&lt;=0,"",IFERROR(N90/J90-1,"")))</f>
        <v/>
      </c>
      <c r="T91" s="15">
        <f>IF(OR(T90="",S90=""),"",IF(S90&lt;=0,"",IFERROR(T90/S90-1,"")))</f>
        <v/>
      </c>
      <c r="U91" s="15">
        <f>IF(OR(U90="",T90=""),"",IF(T90&lt;=0,"",IFERROR(U90/T90-1,"")))</f>
        <v/>
      </c>
      <c r="V91" s="15">
        <f>IF(OR(V90="",U90=""),"",IF(U90&lt;=0,"",IFERROR(V90/U90-1,"")))</f>
        <v/>
      </c>
      <c r="W91" s="15">
        <f>IF(OR(W90="",V90=""),"",IF(V90&lt;=0,"",IFERROR(W90/V90-1,"")))</f>
        <v/>
      </c>
      <c r="X91" s="15">
        <f>IF(OR(X90="",W90=""),"",IF(W90&lt;=0,"",IFERROR(X90/W90-1,"")))</f>
        <v/>
      </c>
    </row>
    <row r="92">
      <c r="A92" s="18" t="inlineStr">
        <is>
          <t>판매비와 관리비</t>
        </is>
      </c>
      <c r="C92" s="20" t="n">
        <v>270.476</v>
      </c>
      <c r="D92" s="20" t="n">
        <v>260.157</v>
      </c>
      <c r="E92" s="20" t="n">
        <v>269.416</v>
      </c>
      <c r="F92" s="20" t="n">
        <v>286.133</v>
      </c>
      <c r="G92" s="20" t="n">
        <v>280.648</v>
      </c>
      <c r="H92" s="20" t="n">
        <v>237.353</v>
      </c>
      <c r="I92" s="20" t="n">
        <v>227.358</v>
      </c>
      <c r="J92" s="20" t="n">
        <v>318.807</v>
      </c>
      <c r="K92" s="20" t="n">
        <v>249.62</v>
      </c>
      <c r="L92" s="20" t="n">
        <v>250.577</v>
      </c>
      <c r="M92" s="20" t="n">
        <v>253.717</v>
      </c>
      <c r="N92" s="20" t="n">
        <v>227.574</v>
      </c>
      <c r="T92" s="20" t="n">
        <v>263.73</v>
      </c>
      <c r="U92" s="20" t="n">
        <v>251.488</v>
      </c>
      <c r="V92" s="20" t="n">
        <v>286.133</v>
      </c>
      <c r="W92" s="20" t="n">
        <v>318.807</v>
      </c>
      <c r="X92" s="20" t="n">
        <v>227.574</v>
      </c>
    </row>
    <row r="93">
      <c r="A93" s="9" t="inlineStr">
        <is>
          <t>영업이익(손실)</t>
        </is>
      </c>
      <c r="C93" s="12" t="n">
        <v>1.767</v>
      </c>
      <c r="D93" s="12" t="n">
        <v>-36.232</v>
      </c>
      <c r="E93" s="12" t="n">
        <v>31.156</v>
      </c>
      <c r="F93" s="12" t="n">
        <v>-138.564</v>
      </c>
      <c r="G93" s="12" t="n">
        <v>-59.528</v>
      </c>
      <c r="H93" s="12" t="n">
        <v>2.093</v>
      </c>
      <c r="I93" s="12" t="n">
        <v>24.286</v>
      </c>
      <c r="J93" s="12" t="n">
        <v>-20.939</v>
      </c>
      <c r="K93" s="12" t="n">
        <v>24.16</v>
      </c>
      <c r="L93" s="12" t="n">
        <v>59.218</v>
      </c>
      <c r="M93" s="12" t="n">
        <v>56.236</v>
      </c>
      <c r="N93" s="12" t="n">
        <v>2.958</v>
      </c>
      <c r="T93" s="12" t="n">
        <v>188.088</v>
      </c>
      <c r="U93" s="12" t="n">
        <v>110.981</v>
      </c>
      <c r="V93" s="12" t="n">
        <v>-138.564</v>
      </c>
      <c r="W93" s="12" t="n">
        <v>-20.939</v>
      </c>
      <c r="X93" s="12" t="n">
        <v>2.958</v>
      </c>
    </row>
    <row r="94">
      <c r="A94" s="43" t="inlineStr">
        <is>
          <t>OPM</t>
        </is>
      </c>
      <c r="B94" s="3" t="inlineStr">
        <is>
          <t>영업이익 ÷ 매출</t>
        </is>
      </c>
      <c r="C94" s="15">
        <f>IF(OR(C93="",C87=""),"",IF(C87&lt;=0,"",IFERROR(C93/C87,"")))</f>
        <v/>
      </c>
      <c r="D94" s="15">
        <f>IF(OR(D93="",D87=""),"",IF(D87&lt;=0,"",IFERROR(D93/D87,"")))</f>
        <v/>
      </c>
      <c r="E94" s="15">
        <f>IF(OR(E93="",E87=""),"",IF(E87&lt;=0,"",IFERROR(E93/E87,"")))</f>
        <v/>
      </c>
      <c r="F94" s="15">
        <f>IF(OR(F93="",F87=""),"",IF(F87&lt;=0,"",IFERROR(F93/F87,"")))</f>
        <v/>
      </c>
      <c r="G94" s="15">
        <f>IF(OR(G93="",G87=""),"",IF(G87&lt;=0,"",IFERROR(G93/G87,"")))</f>
        <v/>
      </c>
      <c r="H94" s="15">
        <f>IF(OR(H93="",H87=""),"",IF(H87&lt;=0,"",IFERROR(H93/H87,"")))</f>
        <v/>
      </c>
      <c r="I94" s="15">
        <f>IF(OR(I93="",I87=""),"",IF(I87&lt;=0,"",IFERROR(I93/I87,"")))</f>
        <v/>
      </c>
      <c r="J94" s="15">
        <f>IF(OR(J93="",J87=""),"",IF(J87&lt;=0,"",IFERROR(J93/J87,"")))</f>
        <v/>
      </c>
      <c r="K94" s="15">
        <f>IF(OR(K93="",K87=""),"",IF(K87&lt;=0,"",IFERROR(K93/K87,"")))</f>
        <v/>
      </c>
      <c r="L94" s="15">
        <f>IF(OR(L93="",L87=""),"",IF(L87&lt;=0,"",IFERROR(L93/L87,"")))</f>
        <v/>
      </c>
      <c r="M94" s="15">
        <f>IF(OR(M93="",M87=""),"",IF(M87&lt;=0,"",IFERROR(M93/M87,"")))</f>
        <v/>
      </c>
      <c r="N94" s="15">
        <f>IF(OR(N93="",N87=""),"",IF(N87&lt;=0,"",IFERROR(N93/N87,"")))</f>
        <v/>
      </c>
      <c r="T94" s="15">
        <f>IF(OR(T93="",T87=""),"",IF(T87&lt;=0,"",IFERROR(T93/T87,"")))</f>
        <v/>
      </c>
      <c r="U94" s="15">
        <f>IF(OR(U93="",U87=""),"",IF(U87&lt;=0,"",IFERROR(U93/U87,"")))</f>
        <v/>
      </c>
      <c r="V94" s="15">
        <f>IF(OR(V93="",V87=""),"",IF(V87&lt;=0,"",IFERROR(V93/V87,"")))</f>
        <v/>
      </c>
      <c r="W94" s="15">
        <f>IF(OR(W93="",W87=""),"",IF(W87&lt;=0,"",IFERROR(W93/W87,"")))</f>
        <v/>
      </c>
      <c r="X94" s="15">
        <f>IF(OR(X93="",X87=""),"",IF(X87&lt;=0,"",IFERROR(X93/X87,"")))</f>
        <v/>
      </c>
    </row>
    <row r="95">
      <c r="A95" s="43" t="inlineStr">
        <is>
          <t>YoY</t>
        </is>
      </c>
      <c r="B95" s="3" t="inlineStr">
        <is>
          <t>전년 같은 분기·전년 대비</t>
        </is>
      </c>
      <c r="G95" s="15">
        <f>IF(OR(G93="",C93=""),"",IF(C93&lt;=0,"",IFERROR(G93/C93-1,"")))</f>
        <v/>
      </c>
      <c r="H95" s="15">
        <f>IF(OR(H93="",D93=""),"",IF(D93&lt;=0,"",IFERROR(H93/D93-1,"")))</f>
        <v/>
      </c>
      <c r="I95" s="15">
        <f>IF(OR(I93="",E93=""),"",IF(E93&lt;=0,"",IFERROR(I93/E93-1,"")))</f>
        <v/>
      </c>
      <c r="J95" s="15">
        <f>IF(OR(J93="",F93=""),"",IF(F93&lt;=0,"",IFERROR(J93/F93-1,"")))</f>
        <v/>
      </c>
      <c r="K95" s="15">
        <f>IF(OR(K93="",G93=""),"",IF(G93&lt;=0,"",IFERROR(K93/G93-1,"")))</f>
        <v/>
      </c>
      <c r="L95" s="15">
        <f>IF(OR(L93="",H93=""),"",IF(H93&lt;=0,"",IFERROR(L93/H93-1,"")))</f>
        <v/>
      </c>
      <c r="M95" s="15">
        <f>IF(OR(M93="",I93=""),"",IF(I93&lt;=0,"",IFERROR(M93/I93-1,"")))</f>
        <v/>
      </c>
      <c r="N95" s="15">
        <f>IF(OR(N93="",J93=""),"",IF(J93&lt;=0,"",IFERROR(N93/J93-1,"")))</f>
        <v/>
      </c>
      <c r="T95" s="15">
        <f>IF(OR(T93="",S93=""),"",IF(S93&lt;=0,"",IFERROR(T93/S93-1,"")))</f>
        <v/>
      </c>
      <c r="U95" s="15">
        <f>IF(OR(U93="",T93=""),"",IF(T93&lt;=0,"",IFERROR(U93/T93-1,"")))</f>
        <v/>
      </c>
      <c r="V95" s="15">
        <f>IF(OR(V93="",U93=""),"",IF(U93&lt;=0,"",IFERROR(V93/U93-1,"")))</f>
        <v/>
      </c>
      <c r="W95" s="15">
        <f>IF(OR(W93="",V93=""),"",IF(V93&lt;=0,"",IFERROR(W93/V93-1,"")))</f>
        <v/>
      </c>
      <c r="X95" s="15">
        <f>IF(OR(X93="",W93=""),"",IF(W93&lt;=0,"",IFERROR(X93/W93-1,"")))</f>
        <v/>
      </c>
    </row>
    <row r="96">
      <c r="A96" s="18" t="inlineStr">
        <is>
          <t>이자수익</t>
        </is>
      </c>
      <c r="C96" s="20" t="n">
        <v>0.385</v>
      </c>
      <c r="D96" s="20" t="n">
        <v>0.36</v>
      </c>
      <c r="E96" s="20" t="n">
        <v>0.471</v>
      </c>
      <c r="F96" s="20" t="n">
        <v>0.344</v>
      </c>
      <c r="G96" s="20" t="n">
        <v>0.393</v>
      </c>
      <c r="H96" s="20" t="n">
        <v>0.27</v>
      </c>
      <c r="I96" s="20" t="n">
        <v>0.254</v>
      </c>
      <c r="J96" s="20" t="n">
        <v>0.664</v>
      </c>
      <c r="K96" s="20" t="n">
        <v>0.133</v>
      </c>
      <c r="L96" s="20" t="n">
        <v>0.429</v>
      </c>
      <c r="M96" s="20" t="n">
        <v>0.839</v>
      </c>
      <c r="N96" s="20" t="n">
        <v>-0.269</v>
      </c>
      <c r="T96" s="20" t="n">
        <v>0.366</v>
      </c>
      <c r="U96" s="20" t="n">
        <v>0.37</v>
      </c>
      <c r="V96" s="20" t="n">
        <v>0.344</v>
      </c>
      <c r="W96" s="20" t="n">
        <v>0.664</v>
      </c>
      <c r="X96" s="20" t="n">
        <v>-0.269</v>
      </c>
    </row>
    <row r="97">
      <c r="A97" s="18" t="inlineStr">
        <is>
          <t>배당금수익</t>
        </is>
      </c>
      <c r="E97" s="20" t="n">
        <v>3.145</v>
      </c>
      <c r="F97" s="20" t="n">
        <v>2.819</v>
      </c>
      <c r="I97" s="20" t="n">
        <v>7.541</v>
      </c>
      <c r="J97" s="20" t="n">
        <v>1.973</v>
      </c>
      <c r="M97" s="20" t="n">
        <v>9.340999999999999</v>
      </c>
      <c r="N97" s="20" t="n">
        <v>4.581</v>
      </c>
      <c r="T97" s="20" t="n">
        <v>0.291</v>
      </c>
      <c r="U97" s="20" t="n">
        <v>4.986</v>
      </c>
      <c r="V97" s="20" t="n">
        <v>2.819</v>
      </c>
      <c r="W97" s="20" t="n">
        <v>1.973</v>
      </c>
      <c r="X97" s="20" t="n">
        <v>4.581</v>
      </c>
    </row>
    <row r="98">
      <c r="A98" s="18" t="inlineStr">
        <is>
          <t>외환차익</t>
        </is>
      </c>
      <c r="G98" s="20" t="n">
        <v>0</v>
      </c>
      <c r="H98" s="20" t="n">
        <v>0</v>
      </c>
      <c r="K98" s="20" t="n">
        <v>1.754</v>
      </c>
      <c r="L98" s="20" t="n">
        <v>0.082</v>
      </c>
      <c r="T98" s="20" t="n">
        <v>-9.506</v>
      </c>
      <c r="U98" s="20" t="n">
        <v>11.658</v>
      </c>
    </row>
    <row r="99">
      <c r="A99" s="18" t="inlineStr">
        <is>
          <t>보조금 수입</t>
        </is>
      </c>
      <c r="C99" s="20" t="n">
        <v>2.515</v>
      </c>
      <c r="D99" s="20" t="n">
        <v>0</v>
      </c>
      <c r="E99" s="20" t="n">
        <v>0.508</v>
      </c>
      <c r="F99" s="20" t="n">
        <v>6.239</v>
      </c>
      <c r="G99" s="20" t="n">
        <v>1.475</v>
      </c>
      <c r="H99" s="20" t="n">
        <v>0</v>
      </c>
      <c r="K99" s="20" t="n">
        <v>0.9</v>
      </c>
      <c r="L99" s="20" t="n">
        <v>0.2</v>
      </c>
      <c r="T99" s="20" t="n">
        <v>79.97499999999999</v>
      </c>
      <c r="U99" s="20" t="n">
        <v>32.162</v>
      </c>
      <c r="V99" s="20" t="n">
        <v>6.239</v>
      </c>
    </row>
    <row r="100">
      <c r="A100" s="18" t="inlineStr">
        <is>
          <t>작업부산물 매각이익</t>
        </is>
      </c>
      <c r="C100" s="20" t="n">
        <v>0.091</v>
      </c>
      <c r="D100" s="20" t="n">
        <v>0</v>
      </c>
      <c r="E100" s="20" t="n">
        <v>0</v>
      </c>
      <c r="F100" s="20" t="n">
        <v>22.596</v>
      </c>
      <c r="T100" s="20" t="n">
        <v>1.512</v>
      </c>
      <c r="U100" s="20" t="n">
        <v>-1.237</v>
      </c>
      <c r="V100" s="20" t="n">
        <v>22.596</v>
      </c>
    </row>
    <row r="101">
      <c r="A101" s="18" t="inlineStr">
        <is>
          <t>기타</t>
        </is>
      </c>
      <c r="C101" s="20" t="n">
        <v>2.344</v>
      </c>
      <c r="D101" s="20" t="n">
        <v>1.787</v>
      </c>
      <c r="E101" s="20" t="n">
        <v>6.146</v>
      </c>
      <c r="F101" s="20" t="n">
        <v>-0.605</v>
      </c>
      <c r="G101" s="20" t="n">
        <v>1.759</v>
      </c>
      <c r="H101" s="20" t="n">
        <v>2.541</v>
      </c>
      <c r="I101" s="20" t="n">
        <v>3.835</v>
      </c>
      <c r="J101" s="20" t="n">
        <v>1.362</v>
      </c>
      <c r="K101" s="20" t="n">
        <v>0.774</v>
      </c>
      <c r="L101" s="20" t="n">
        <v>1.034</v>
      </c>
      <c r="M101" s="20" t="n">
        <v>2.655</v>
      </c>
      <c r="N101" s="20" t="n">
        <v>3.456</v>
      </c>
      <c r="T101" s="20" t="n">
        <v>3.105</v>
      </c>
      <c r="U101" s="20" t="n">
        <v>0.701</v>
      </c>
      <c r="V101" s="20" t="n">
        <v>-0.605</v>
      </c>
      <c r="W101" s="20" t="n">
        <v>1.362</v>
      </c>
      <c r="X101" s="20" t="n">
        <v>3.456</v>
      </c>
    </row>
    <row r="102">
      <c r="A102" s="18" t="inlineStr">
        <is>
          <t>영업외수익 합계</t>
        </is>
      </c>
      <c r="C102" s="20" t="n">
        <v>5.244</v>
      </c>
      <c r="D102" s="20" t="n">
        <v>2.85</v>
      </c>
      <c r="E102" s="20" t="n">
        <v>7.246</v>
      </c>
      <c r="F102" s="20" t="n">
        <v>34.618</v>
      </c>
      <c r="G102" s="20" t="n">
        <v>3.628</v>
      </c>
      <c r="H102" s="20" t="n">
        <v>2.836</v>
      </c>
      <c r="I102" s="20" t="n">
        <v>10.154</v>
      </c>
      <c r="J102" s="20" t="n">
        <v>7.777</v>
      </c>
      <c r="K102" s="20" t="n">
        <v>3.561</v>
      </c>
      <c r="L102" s="20" t="n">
        <v>1.799</v>
      </c>
      <c r="M102" s="20" t="n">
        <v>9.898999999999999</v>
      </c>
      <c r="N102" s="20" t="n">
        <v>17.687</v>
      </c>
      <c r="T102" s="20" t="n">
        <v>75.74299999999999</v>
      </c>
      <c r="U102" s="20" t="n">
        <v>48.641</v>
      </c>
      <c r="V102" s="20" t="n">
        <v>34.618</v>
      </c>
      <c r="W102" s="20" t="n">
        <v>7.777</v>
      </c>
      <c r="X102" s="20" t="n">
        <v>17.687</v>
      </c>
    </row>
    <row r="103">
      <c r="A103" s="18" t="inlineStr">
        <is>
          <t>이자비용</t>
        </is>
      </c>
      <c r="C103" s="20" t="n">
        <v>2.412</v>
      </c>
      <c r="D103" s="20" t="n">
        <v>2.863</v>
      </c>
      <c r="E103" s="20" t="n">
        <v>2.891</v>
      </c>
      <c r="F103" s="20" t="n">
        <v>1.429</v>
      </c>
      <c r="G103" s="20" t="n">
        <v>3.184</v>
      </c>
      <c r="H103" s="20" t="n">
        <v>3.655</v>
      </c>
      <c r="I103" s="20" t="n">
        <v>3.385</v>
      </c>
      <c r="J103" s="20" t="n">
        <v>0.647</v>
      </c>
      <c r="K103" s="20" t="n">
        <v>3.385</v>
      </c>
      <c r="L103" s="20" t="n">
        <v>3.941</v>
      </c>
      <c r="M103" s="20" t="n">
        <v>4.195</v>
      </c>
      <c r="N103" s="20" t="n">
        <v>1.724</v>
      </c>
      <c r="T103" s="20" t="n">
        <v>2.667</v>
      </c>
      <c r="U103" s="20" t="n">
        <v>2.327</v>
      </c>
      <c r="V103" s="20" t="n">
        <v>1.429</v>
      </c>
      <c r="W103" s="20" t="n">
        <v>0.647</v>
      </c>
      <c r="X103" s="20" t="n">
        <v>1.724</v>
      </c>
    </row>
    <row r="104">
      <c r="A104" s="18" t="inlineStr">
        <is>
          <t>채권매각손실</t>
        </is>
      </c>
      <c r="C104" s="20" t="n">
        <v>0.654</v>
      </c>
      <c r="D104" s="20" t="n">
        <v>1.356</v>
      </c>
      <c r="E104" s="20" t="n">
        <v>0.744</v>
      </c>
      <c r="F104" s="20" t="n">
        <v>0.841</v>
      </c>
      <c r="G104" s="20" t="n">
        <v>0.732</v>
      </c>
      <c r="H104" s="20" t="n">
        <v>1.108</v>
      </c>
      <c r="I104" s="20" t="n">
        <v>0.697</v>
      </c>
      <c r="J104" s="20" t="n">
        <v>0.997</v>
      </c>
      <c r="K104" s="20" t="n">
        <v>1.402</v>
      </c>
      <c r="L104" s="20" t="n">
        <v>0.124</v>
      </c>
      <c r="M104" s="20" t="n">
        <v>0.099</v>
      </c>
      <c r="N104" s="20" t="n">
        <v>1.569</v>
      </c>
      <c r="T104" s="20" t="n">
        <v>0.61</v>
      </c>
      <c r="U104" s="20" t="n">
        <v>1.009</v>
      </c>
      <c r="V104" s="20" t="n">
        <v>0.841</v>
      </c>
      <c r="W104" s="20" t="n">
        <v>0.997</v>
      </c>
      <c r="X104" s="20" t="n">
        <v>1.569</v>
      </c>
    </row>
    <row r="105">
      <c r="A105" s="18" t="inlineStr">
        <is>
          <t>외환차손</t>
        </is>
      </c>
      <c r="C105" s="20" t="n">
        <v>0</v>
      </c>
      <c r="D105" s="20" t="n">
        <v>1.349</v>
      </c>
      <c r="E105" s="20" t="n">
        <v>2.522</v>
      </c>
      <c r="F105" s="20" t="n">
        <v>-3.871</v>
      </c>
      <c r="J105" s="20" t="n">
        <v>0.358</v>
      </c>
      <c r="T105" s="20" t="n">
        <v>0</v>
      </c>
      <c r="V105" s="20" t="n">
        <v>-3.871</v>
      </c>
      <c r="W105" s="20" t="n">
        <v>0.358</v>
      </c>
    </row>
    <row r="106">
      <c r="A106" s="18" t="inlineStr">
        <is>
          <t>기타</t>
        </is>
      </c>
      <c r="C106" s="20" t="n">
        <v>0.076</v>
      </c>
      <c r="D106" s="20" t="n">
        <v>1.363</v>
      </c>
      <c r="E106" s="20" t="n">
        <v>-1.048</v>
      </c>
      <c r="F106" s="20" t="n">
        <v>0.341</v>
      </c>
      <c r="G106" s="20" t="n">
        <v>0.978</v>
      </c>
      <c r="H106" s="20" t="n">
        <v>-0.729</v>
      </c>
      <c r="I106" s="20" t="n">
        <v>2.157</v>
      </c>
      <c r="J106" s="20" t="n">
        <v>-1.997</v>
      </c>
      <c r="K106" s="20" t="n">
        <v>0.405</v>
      </c>
      <c r="L106" s="20" t="n">
        <v>0.022</v>
      </c>
      <c r="M106" s="20" t="n">
        <v>2.257</v>
      </c>
      <c r="N106" s="20" t="n">
        <v>-2.627</v>
      </c>
      <c r="T106" s="20" t="n">
        <v>0.638</v>
      </c>
      <c r="U106" s="20" t="n">
        <v>-1.744</v>
      </c>
      <c r="V106" s="20" t="n">
        <v>0.341</v>
      </c>
      <c r="W106" s="20" t="n">
        <v>-1.997</v>
      </c>
      <c r="X106" s="20" t="n">
        <v>-2.627</v>
      </c>
    </row>
    <row r="107">
      <c r="A107" s="18" t="inlineStr">
        <is>
          <t>영업외비용 합계</t>
        </is>
      </c>
      <c r="C107" s="20" t="n">
        <v>3.143</v>
      </c>
      <c r="D107" s="20" t="n">
        <v>5.582</v>
      </c>
      <c r="E107" s="20" t="n">
        <v>6.459</v>
      </c>
      <c r="F107" s="20" t="n">
        <v>0.977</v>
      </c>
      <c r="G107" s="20" t="n">
        <v>4.895</v>
      </c>
      <c r="H107" s="20" t="n">
        <v>4.034</v>
      </c>
      <c r="I107" s="20" t="n">
        <v>6.238</v>
      </c>
      <c r="J107" s="20" t="n">
        <v>2.383</v>
      </c>
      <c r="K107" s="20" t="n">
        <v>5.193</v>
      </c>
      <c r="L107" s="20" t="n">
        <v>4.087</v>
      </c>
      <c r="M107" s="20" t="n">
        <v>6.55</v>
      </c>
      <c r="N107" s="20" t="n">
        <v>1.347</v>
      </c>
      <c r="T107" s="20" t="n">
        <v>5.42</v>
      </c>
      <c r="U107" s="20" t="n">
        <v>0.346</v>
      </c>
      <c r="V107" s="20" t="n">
        <v>0.977</v>
      </c>
      <c r="W107" s="20" t="n">
        <v>2.383</v>
      </c>
      <c r="X107" s="20" t="n">
        <v>1.347</v>
      </c>
    </row>
    <row r="108">
      <c r="A108" s="9" t="inlineStr">
        <is>
          <t>경상이익(손실)</t>
        </is>
      </c>
      <c r="C108" s="12" t="n">
        <v>3.868</v>
      </c>
      <c r="D108" s="12" t="n">
        <v>-38.964</v>
      </c>
      <c r="E108" s="12" t="n">
        <v>31.944</v>
      </c>
      <c r="F108" s="12" t="n">
        <v>-104.924</v>
      </c>
      <c r="G108" s="12" t="n">
        <v>-60.795</v>
      </c>
      <c r="H108" s="12" t="n">
        <v>0.895</v>
      </c>
      <c r="I108" s="12" t="n">
        <v>28.202</v>
      </c>
      <c r="J108" s="12" t="n">
        <v>-15.544</v>
      </c>
      <c r="K108" s="12" t="n">
        <v>22.528</v>
      </c>
      <c r="L108" s="12" t="n">
        <v>56.93</v>
      </c>
      <c r="M108" s="12" t="n">
        <v>59.584</v>
      </c>
      <c r="N108" s="12" t="n">
        <v>19.3</v>
      </c>
      <c r="T108" s="12" t="n">
        <v>258.412</v>
      </c>
      <c r="U108" s="12" t="n">
        <v>159.274</v>
      </c>
      <c r="V108" s="12" t="n">
        <v>-104.924</v>
      </c>
      <c r="W108" s="12" t="n">
        <v>-15.544</v>
      </c>
      <c r="X108" s="12" t="n">
        <v>19.3</v>
      </c>
    </row>
    <row r="109">
      <c r="A109" s="43" t="inlineStr">
        <is>
          <t>YoY</t>
        </is>
      </c>
      <c r="B109" s="3" t="inlineStr">
        <is>
          <t>전년 같은 분기·전년 대비</t>
        </is>
      </c>
      <c r="G109" s="15">
        <f>IF(OR(G108="",C108=""),"",IF(C108&lt;=0,"",IFERROR(G108/C108-1,"")))</f>
        <v/>
      </c>
      <c r="H109" s="15">
        <f>IF(OR(H108="",D108=""),"",IF(D108&lt;=0,"",IFERROR(H108/D108-1,"")))</f>
        <v/>
      </c>
      <c r="I109" s="15">
        <f>IF(OR(I108="",E108=""),"",IF(E108&lt;=0,"",IFERROR(I108/E108-1,"")))</f>
        <v/>
      </c>
      <c r="J109" s="15">
        <f>IF(OR(J108="",F108=""),"",IF(F108&lt;=0,"",IFERROR(J108/F108-1,"")))</f>
        <v/>
      </c>
      <c r="K109" s="15">
        <f>IF(OR(K108="",G108=""),"",IF(G108&lt;=0,"",IFERROR(K108/G108-1,"")))</f>
        <v/>
      </c>
      <c r="L109" s="15">
        <f>IF(OR(L108="",H108=""),"",IF(H108&lt;=0,"",IFERROR(L108/H108-1,"")))</f>
        <v/>
      </c>
      <c r="M109" s="15">
        <f>IF(OR(M108="",I108=""),"",IF(I108&lt;=0,"",IFERROR(M108/I108-1,"")))</f>
        <v/>
      </c>
      <c r="N109" s="15">
        <f>IF(OR(N108="",J108=""),"",IF(J108&lt;=0,"",IFERROR(N108/J108-1,"")))</f>
        <v/>
      </c>
      <c r="T109" s="15">
        <f>IF(OR(T108="",S108=""),"",IF(S108&lt;=0,"",IFERROR(T108/S108-1,"")))</f>
        <v/>
      </c>
      <c r="U109" s="15">
        <f>IF(OR(U108="",T108=""),"",IF(T108&lt;=0,"",IFERROR(U108/T108-1,"")))</f>
        <v/>
      </c>
      <c r="V109" s="15">
        <f>IF(OR(V108="",U108=""),"",IF(U108&lt;=0,"",IFERROR(V108/U108-1,"")))</f>
        <v/>
      </c>
      <c r="W109" s="15">
        <f>IF(OR(W108="",V108=""),"",IF(V108&lt;=0,"",IFERROR(W108/V108-1,"")))</f>
        <v/>
      </c>
      <c r="X109" s="15">
        <f>IF(OR(X108="",W108=""),"",IF(W108&lt;=0,"",IFERROR(X108/W108-1,"")))</f>
        <v/>
      </c>
    </row>
    <row r="110">
      <c r="A110" s="18" t="inlineStr">
        <is>
          <t>투자유가증권 매각이익</t>
        </is>
      </c>
      <c r="C110" s="20" t="n">
        <v>0</v>
      </c>
      <c r="D110" s="20" t="n">
        <v>0</v>
      </c>
      <c r="E110" s="20" t="n">
        <v>0</v>
      </c>
      <c r="F110" s="20" t="n">
        <v>0</v>
      </c>
      <c r="G110" s="20" t="n">
        <v>44.754</v>
      </c>
      <c r="H110" s="20" t="n">
        <v>0</v>
      </c>
      <c r="I110" s="20" t="n">
        <v>0</v>
      </c>
      <c r="J110" s="20" t="n">
        <v>-44.617</v>
      </c>
      <c r="K110" s="20" t="n">
        <v>0</v>
      </c>
      <c r="L110" s="20" t="n">
        <v>0</v>
      </c>
      <c r="M110" s="20" t="n">
        <v>0</v>
      </c>
      <c r="N110" s="20" t="n">
        <v>44.754</v>
      </c>
      <c r="V110" s="20" t="n">
        <v>0</v>
      </c>
      <c r="W110" s="20" t="n">
        <v>-44.617</v>
      </c>
      <c r="X110" s="20" t="n">
        <v>44.754</v>
      </c>
    </row>
    <row r="111">
      <c r="A111" s="18" t="inlineStr">
        <is>
          <t>보조금 수입</t>
        </is>
      </c>
      <c r="C111" s="20" t="n">
        <v>8.366</v>
      </c>
      <c r="D111" s="20" t="n">
        <v>0</v>
      </c>
      <c r="E111" s="20" t="n">
        <v>0</v>
      </c>
      <c r="F111" s="20" t="n">
        <v>90.357</v>
      </c>
      <c r="G111" s="20" t="n">
        <v>0</v>
      </c>
      <c r="H111" s="20" t="n">
        <v>0</v>
      </c>
      <c r="I111" s="20" t="n">
        <v>0</v>
      </c>
      <c r="J111" s="20" t="n">
        <v>8.366</v>
      </c>
      <c r="T111" s="20" t="n">
        <v>-5</v>
      </c>
      <c r="U111" s="20" t="n">
        <v>-93.723</v>
      </c>
      <c r="V111" s="20" t="n">
        <v>90.357</v>
      </c>
      <c r="W111" s="20" t="n">
        <v>8.366</v>
      </c>
    </row>
    <row r="112">
      <c r="A112" s="18" t="inlineStr">
        <is>
          <t>관계회사 유상감자 환급차익</t>
        </is>
      </c>
      <c r="J112" s="20" t="n">
        <v>-14.289</v>
      </c>
      <c r="N112" s="20" t="n">
        <v>14.414</v>
      </c>
      <c r="W112" s="20" t="n">
        <v>-14.289</v>
      </c>
      <c r="X112" s="20" t="n">
        <v>14.414</v>
      </c>
    </row>
    <row r="113">
      <c r="A113" s="18" t="inlineStr">
        <is>
          <t>특별이익 합계</t>
        </is>
      </c>
      <c r="C113" s="20" t="n">
        <v>8.366</v>
      </c>
      <c r="D113" s="20" t="n">
        <v>0</v>
      </c>
      <c r="E113" s="20" t="n">
        <v>0</v>
      </c>
      <c r="F113" s="20" t="n">
        <v>90.357</v>
      </c>
      <c r="G113" s="20" t="n">
        <v>44.754</v>
      </c>
      <c r="H113" s="20" t="n">
        <v>0</v>
      </c>
      <c r="I113" s="20" t="n">
        <v>14.29</v>
      </c>
      <c r="J113" s="20" t="n">
        <v>-50.541</v>
      </c>
      <c r="K113" s="20" t="n">
        <v>0</v>
      </c>
      <c r="L113" s="20" t="n">
        <v>0</v>
      </c>
      <c r="M113" s="20" t="n">
        <v>0</v>
      </c>
      <c r="N113" s="20" t="n">
        <v>59.169</v>
      </c>
      <c r="T113" s="20" t="n">
        <v>4.982</v>
      </c>
      <c r="U113" s="20" t="n">
        <v>-92.765</v>
      </c>
      <c r="V113" s="20" t="n">
        <v>90.357</v>
      </c>
      <c r="W113" s="20" t="n">
        <v>-50.541</v>
      </c>
      <c r="X113" s="20" t="n">
        <v>59.169</v>
      </c>
    </row>
    <row r="114">
      <c r="A114" s="18" t="inlineStr">
        <is>
          <t>고정자산 제각손실</t>
        </is>
      </c>
      <c r="C114" s="20" t="n">
        <v>0</v>
      </c>
      <c r="D114" s="20" t="n">
        <v>0.04</v>
      </c>
      <c r="E114" s="20" t="n">
        <v>0</v>
      </c>
      <c r="F114" s="20" t="n">
        <v>0.09</v>
      </c>
      <c r="G114" s="20" t="n">
        <v>0</v>
      </c>
      <c r="H114" s="20" t="n">
        <v>0</v>
      </c>
      <c r="I114" s="20" t="n">
        <v>0</v>
      </c>
      <c r="J114" s="20" t="n">
        <v>0.04</v>
      </c>
      <c r="K114" s="20" t="n">
        <v>0</v>
      </c>
      <c r="L114" s="20" t="n">
        <v>0</v>
      </c>
      <c r="M114" s="20" t="n">
        <v>0</v>
      </c>
      <c r="N114" s="20" t="n">
        <v>0.01</v>
      </c>
      <c r="T114" s="20" t="n">
        <v>0</v>
      </c>
      <c r="U114" s="20" t="n">
        <v>0.049</v>
      </c>
      <c r="V114" s="20" t="n">
        <v>0.09</v>
      </c>
      <c r="W114" s="20" t="n">
        <v>0.04</v>
      </c>
      <c r="X114" s="20" t="n">
        <v>0.01</v>
      </c>
    </row>
    <row r="115">
      <c r="A115" s="18" t="inlineStr">
        <is>
          <t>고정자산 압축손실</t>
        </is>
      </c>
      <c r="C115" s="20" t="n">
        <v>8.366</v>
      </c>
      <c r="D115" s="20" t="n">
        <v>0</v>
      </c>
      <c r="E115" s="20" t="n">
        <v>0</v>
      </c>
      <c r="F115" s="20" t="n">
        <v>90.357</v>
      </c>
      <c r="G115" s="20" t="n">
        <v>0</v>
      </c>
      <c r="H115" s="20" t="n">
        <v>0</v>
      </c>
      <c r="I115" s="20" t="n">
        <v>0</v>
      </c>
      <c r="J115" s="20" t="n">
        <v>8.366</v>
      </c>
      <c r="T115" s="20" t="n">
        <v>-5</v>
      </c>
      <c r="U115" s="20" t="n">
        <v>-93.723</v>
      </c>
      <c r="V115" s="20" t="n">
        <v>90.357</v>
      </c>
      <c r="W115" s="20" t="n">
        <v>8.366</v>
      </c>
    </row>
    <row r="116">
      <c r="A116" s="18" t="inlineStr">
        <is>
          <t>투자유가증권 평가손실</t>
        </is>
      </c>
      <c r="C116" s="20" t="n">
        <v>0</v>
      </c>
      <c r="D116" s="20" t="n">
        <v>0</v>
      </c>
      <c r="E116" s="20" t="n">
        <v>0</v>
      </c>
      <c r="F116" s="20" t="n">
        <v>0.075</v>
      </c>
      <c r="T116" s="20" t="n">
        <v>0</v>
      </c>
      <c r="U116" s="20" t="n">
        <v>-0.075</v>
      </c>
      <c r="V116" s="20" t="n">
        <v>0.075</v>
      </c>
    </row>
    <row r="117">
      <c r="A117" s="18" t="inlineStr">
        <is>
          <t>조기 특별퇴직금</t>
        </is>
      </c>
      <c r="E117" s="20" t="n">
        <v>0</v>
      </c>
      <c r="G117" s="20" t="n">
        <v>0</v>
      </c>
      <c r="H117" s="20" t="n">
        <v>44.417</v>
      </c>
      <c r="I117" s="20" t="n">
        <v>0</v>
      </c>
      <c r="J117" s="20" t="n">
        <v>-44.417</v>
      </c>
      <c r="K117" s="20" t="n">
        <v>8.57</v>
      </c>
      <c r="L117" s="20" t="n">
        <v>0.157</v>
      </c>
      <c r="M117" s="20" t="n">
        <v>0.126</v>
      </c>
      <c r="N117" s="20" t="n">
        <v>35.564</v>
      </c>
      <c r="W117" s="20" t="n">
        <v>-44.417</v>
      </c>
      <c r="X117" s="20" t="n">
        <v>35.564</v>
      </c>
    </row>
    <row r="118">
      <c r="A118" s="18" t="inlineStr">
        <is>
          <t>특별손실 합계</t>
        </is>
      </c>
      <c r="C118" s="20" t="n">
        <v>8.366</v>
      </c>
      <c r="D118" s="20" t="n">
        <v>0.04</v>
      </c>
      <c r="E118" s="20" t="n">
        <v>0</v>
      </c>
      <c r="F118" s="20" t="n">
        <v>105.003</v>
      </c>
      <c r="G118" s="20" t="n">
        <v>0</v>
      </c>
      <c r="H118" s="20" t="n">
        <v>44.417</v>
      </c>
      <c r="I118" s="20" t="n">
        <v>0</v>
      </c>
      <c r="J118" s="20" t="n">
        <v>-32.805</v>
      </c>
      <c r="K118" s="20" t="n">
        <v>8.57</v>
      </c>
      <c r="L118" s="20" t="n">
        <v>0.157</v>
      </c>
      <c r="M118" s="20" t="n">
        <v>0.126</v>
      </c>
      <c r="N118" s="20" t="n">
        <v>39.533</v>
      </c>
      <c r="T118" s="20" t="n">
        <v>0.281</v>
      </c>
      <c r="U118" s="20" t="n">
        <v>-89.919</v>
      </c>
      <c r="V118" s="20" t="n">
        <v>105.003</v>
      </c>
      <c r="W118" s="20" t="n">
        <v>-32.805</v>
      </c>
      <c r="X118" s="20" t="n">
        <v>39.533</v>
      </c>
    </row>
    <row r="119">
      <c r="A119" s="9" t="inlineStr">
        <is>
          <t>법인세차감전 중간순이익(손실)</t>
        </is>
      </c>
      <c r="C119" s="12" t="n">
        <v>3.868</v>
      </c>
      <c r="D119" s="12" t="n">
        <v>-39.004</v>
      </c>
      <c r="E119" s="12" t="n">
        <v>31.944</v>
      </c>
      <c r="F119" s="12" t="n">
        <v>-119.57</v>
      </c>
      <c r="G119" s="12" t="n">
        <v>-16.041</v>
      </c>
      <c r="H119" s="12" t="n">
        <v>-43.522</v>
      </c>
      <c r="I119" s="12" t="n">
        <v>42.491</v>
      </c>
      <c r="J119" s="12" t="n">
        <v>-33.28</v>
      </c>
      <c r="K119" s="12" t="n">
        <v>13.958</v>
      </c>
      <c r="L119" s="12" t="n">
        <v>56.773</v>
      </c>
      <c r="M119" s="12" t="n">
        <v>59.458</v>
      </c>
      <c r="N119" s="12" t="n">
        <v>38.936</v>
      </c>
      <c r="T119" s="12" t="n">
        <v>263.113</v>
      </c>
      <c r="U119" s="12" t="n">
        <v>156.427</v>
      </c>
      <c r="V119" s="12" t="n">
        <v>-119.57</v>
      </c>
      <c r="W119" s="12" t="n">
        <v>-33.28</v>
      </c>
      <c r="X119" s="12" t="n">
        <v>38.936</v>
      </c>
    </row>
    <row r="120">
      <c r="A120" s="18" t="inlineStr">
        <is>
          <t>법인세 등</t>
        </is>
      </c>
      <c r="C120" s="20" t="n">
        <v>-2.955</v>
      </c>
      <c r="D120" s="20" t="n">
        <v>-6.702</v>
      </c>
      <c r="E120" s="20" t="n">
        <v>11.049</v>
      </c>
      <c r="F120" s="20" t="n">
        <v>2.46</v>
      </c>
      <c r="G120" s="20" t="n">
        <v>5.441</v>
      </c>
      <c r="H120" s="20" t="n">
        <v>2.487</v>
      </c>
      <c r="I120" s="20" t="n">
        <v>7.327</v>
      </c>
      <c r="J120" s="20" t="n">
        <v>15.714</v>
      </c>
      <c r="K120" s="20" t="n">
        <v>10.847</v>
      </c>
      <c r="L120" s="20" t="n">
        <v>18.318</v>
      </c>
      <c r="M120" s="20" t="n">
        <v>19.159</v>
      </c>
      <c r="N120" s="20" t="n">
        <v>-12.026</v>
      </c>
      <c r="T120" s="20" t="n">
        <v>19.68</v>
      </c>
      <c r="U120" s="20" t="n">
        <v>-11.914</v>
      </c>
      <c r="V120" s="20" t="n">
        <v>2.46</v>
      </c>
      <c r="W120" s="20" t="n">
        <v>15.714</v>
      </c>
      <c r="X120" s="20" t="n">
        <v>-12.026</v>
      </c>
    </row>
    <row r="121">
      <c r="A121" s="9" t="inlineStr">
        <is>
          <t>중간순이익(손실)</t>
        </is>
      </c>
      <c r="C121" s="12" t="n">
        <v>6.824</v>
      </c>
      <c r="D121" s="12" t="n">
        <v>-32.302</v>
      </c>
      <c r="E121" s="12" t="n">
        <v>20.893</v>
      </c>
      <c r="F121" s="12" t="n">
        <v>-122.03</v>
      </c>
      <c r="G121" s="12" t="n">
        <v>-21.483</v>
      </c>
      <c r="H121" s="12" t="n">
        <v>-46.008</v>
      </c>
      <c r="I121" s="12" t="n">
        <v>35.164</v>
      </c>
      <c r="J121" s="12" t="n">
        <v>-48.995</v>
      </c>
      <c r="K121" s="12" t="n">
        <v>3.111</v>
      </c>
      <c r="L121" s="12" t="n">
        <v>38.454</v>
      </c>
      <c r="M121" s="12" t="n">
        <v>40.3</v>
      </c>
      <c r="N121" s="12" t="n">
        <v>50.962</v>
      </c>
      <c r="T121" s="12" t="n">
        <v>243.432</v>
      </c>
      <c r="U121" s="12" t="n">
        <v>168.342</v>
      </c>
      <c r="V121" s="12" t="n">
        <v>-122.03</v>
      </c>
      <c r="W121" s="12" t="n">
        <v>-48.995</v>
      </c>
      <c r="X121" s="12" t="n">
        <v>50.962</v>
      </c>
    </row>
    <row r="122">
      <c r="A122" s="43" t="inlineStr">
        <is>
          <t>YoY</t>
        </is>
      </c>
      <c r="B122" s="3" t="inlineStr">
        <is>
          <t>전년 같은 분기·전년 대비</t>
        </is>
      </c>
      <c r="G122" s="15">
        <f>IF(OR(G121="",C121=""),"",IF(C121&lt;=0,"",IFERROR(G121/C121-1,"")))</f>
        <v/>
      </c>
      <c r="H122" s="15">
        <f>IF(OR(H121="",D121=""),"",IF(D121&lt;=0,"",IFERROR(H121/D121-1,"")))</f>
        <v/>
      </c>
      <c r="I122" s="15">
        <f>IF(OR(I121="",E121=""),"",IF(E121&lt;=0,"",IFERROR(I121/E121-1,"")))</f>
        <v/>
      </c>
      <c r="J122" s="15">
        <f>IF(OR(J121="",F121=""),"",IF(F121&lt;=0,"",IFERROR(J121/F121-1,"")))</f>
        <v/>
      </c>
      <c r="K122" s="15">
        <f>IF(OR(K121="",G121=""),"",IF(G121&lt;=0,"",IFERROR(K121/G121-1,"")))</f>
        <v/>
      </c>
      <c r="L122" s="15">
        <f>IF(OR(L121="",H121=""),"",IF(H121&lt;=0,"",IFERROR(L121/H121-1,"")))</f>
        <v/>
      </c>
      <c r="M122" s="15">
        <f>IF(OR(M121="",I121=""),"",IF(I121&lt;=0,"",IFERROR(M121/I121-1,"")))</f>
        <v/>
      </c>
      <c r="N122" s="15">
        <f>IF(OR(N121="",J121=""),"",IF(J121&lt;=0,"",IFERROR(N121/J121-1,"")))</f>
        <v/>
      </c>
      <c r="T122" s="15">
        <f>IF(OR(T121="",S121=""),"",IF(S121&lt;=0,"",IFERROR(T121/S121-1,"")))</f>
        <v/>
      </c>
      <c r="U122" s="15">
        <f>IF(OR(U121="",T121=""),"",IF(T121&lt;=0,"",IFERROR(U121/T121-1,"")))</f>
        <v/>
      </c>
      <c r="V122" s="15">
        <f>IF(OR(V121="",U121=""),"",IF(U121&lt;=0,"",IFERROR(V121/U121-1,"")))</f>
        <v/>
      </c>
      <c r="W122" s="15">
        <f>IF(OR(W121="",V121=""),"",IF(V121&lt;=0,"",IFERROR(W121/V121-1,"")))</f>
        <v/>
      </c>
      <c r="X122" s="15">
        <f>IF(OR(X121="",W121=""),"",IF(W121&lt;=0,"",IFERROR(X121/W121-1,"")))</f>
        <v/>
      </c>
    </row>
    <row r="123">
      <c r="A123" s="9" t="inlineStr">
        <is>
          <t>비지배주주 순손익</t>
        </is>
      </c>
      <c r="C123" s="12" t="n">
        <v>0.611</v>
      </c>
      <c r="D123" s="12" t="n">
        <v>0.061</v>
      </c>
      <c r="E123" s="12" t="n">
        <v>0.525</v>
      </c>
      <c r="F123" s="12" t="n">
        <v>-1.275</v>
      </c>
      <c r="G123" s="12" t="n">
        <v>-1.393</v>
      </c>
      <c r="H123" s="12" t="n">
        <v>-0.864</v>
      </c>
      <c r="I123" s="12" t="n">
        <v>-0.455</v>
      </c>
      <c r="J123" s="12" t="n">
        <v>1.171</v>
      </c>
      <c r="K123" s="12" t="n">
        <v>0.998</v>
      </c>
      <c r="L123" s="12" t="n">
        <v>1.443</v>
      </c>
      <c r="M123" s="12" t="n">
        <v>4.966</v>
      </c>
      <c r="N123" s="12" t="n">
        <v>-11.275</v>
      </c>
      <c r="T123" s="12" t="n">
        <v>-1.83</v>
      </c>
      <c r="U123" s="12" t="n">
        <v>-6.063</v>
      </c>
      <c r="V123" s="12" t="n">
        <v>-1.275</v>
      </c>
      <c r="W123" s="12" t="n">
        <v>1.171</v>
      </c>
      <c r="X123" s="12" t="n">
        <v>-11.275</v>
      </c>
    </row>
    <row r="124">
      <c r="A124" s="9" t="inlineStr">
        <is>
          <t>지배주주 귀속 중간순이익(손실)</t>
        </is>
      </c>
      <c r="C124" s="12" t="n">
        <v>6.212</v>
      </c>
      <c r="D124" s="12" t="n">
        <v>-32.363</v>
      </c>
      <c r="E124" s="12" t="n">
        <v>20.368</v>
      </c>
      <c r="F124" s="12" t="n">
        <v>-120.753</v>
      </c>
      <c r="G124" s="12" t="n">
        <v>-20.089</v>
      </c>
      <c r="H124" s="12" t="n">
        <v>-45.145</v>
      </c>
      <c r="I124" s="12" t="n">
        <v>35.619</v>
      </c>
      <c r="J124" s="12" t="n">
        <v>-50.165</v>
      </c>
      <c r="K124" s="12" t="n">
        <v>2.112</v>
      </c>
      <c r="L124" s="12" t="n">
        <v>37.012</v>
      </c>
      <c r="M124" s="12" t="n">
        <v>35.333</v>
      </c>
      <c r="N124" s="12" t="n">
        <v>62.238</v>
      </c>
      <c r="T124" s="12" t="n">
        <v>245.262</v>
      </c>
      <c r="U124" s="12" t="n">
        <v>174.406</v>
      </c>
      <c r="V124" s="12" t="n">
        <v>-120.753</v>
      </c>
      <c r="W124" s="12" t="n">
        <v>-50.165</v>
      </c>
      <c r="X124" s="12" t="n">
        <v>62.238</v>
      </c>
    </row>
    <row r="125">
      <c r="A125" s="43" t="inlineStr">
        <is>
          <t>YoY</t>
        </is>
      </c>
      <c r="B125" s="3" t="inlineStr">
        <is>
          <t>전년 같은 분기·전년 대비</t>
        </is>
      </c>
      <c r="G125" s="15">
        <f>IF(OR(G124="",C124=""),"",IF(C124&lt;=0,"",IFERROR(G124/C124-1,"")))</f>
        <v/>
      </c>
      <c r="H125" s="15">
        <f>IF(OR(H124="",D124=""),"",IF(D124&lt;=0,"",IFERROR(H124/D124-1,"")))</f>
        <v/>
      </c>
      <c r="I125" s="15">
        <f>IF(OR(I124="",E124=""),"",IF(E124&lt;=0,"",IFERROR(I124/E124-1,"")))</f>
        <v/>
      </c>
      <c r="J125" s="15">
        <f>IF(OR(J124="",F124=""),"",IF(F124&lt;=0,"",IFERROR(J124/F124-1,"")))</f>
        <v/>
      </c>
      <c r="K125" s="15">
        <f>IF(OR(K124="",G124=""),"",IF(G124&lt;=0,"",IFERROR(K124/G124-1,"")))</f>
        <v/>
      </c>
      <c r="L125" s="15">
        <f>IF(OR(L124="",H124=""),"",IF(H124&lt;=0,"",IFERROR(L124/H124-1,"")))</f>
        <v/>
      </c>
      <c r="M125" s="15">
        <f>IF(OR(M124="",I124=""),"",IF(I124&lt;=0,"",IFERROR(M124/I124-1,"")))</f>
        <v/>
      </c>
      <c r="N125" s="15">
        <f>IF(OR(N124="",J124=""),"",IF(J124&lt;=0,"",IFERROR(N124/J124-1,"")))</f>
        <v/>
      </c>
      <c r="T125" s="15">
        <f>IF(OR(T124="",S124=""),"",IF(S124&lt;=0,"",IFERROR(T124/S124-1,"")))</f>
        <v/>
      </c>
      <c r="U125" s="15">
        <f>IF(OR(U124="",T124=""),"",IF(T124&lt;=0,"",IFERROR(U124/T124-1,"")))</f>
        <v/>
      </c>
      <c r="V125" s="15">
        <f>IF(OR(V124="",U124=""),"",IF(U124&lt;=0,"",IFERROR(V124/U124-1,"")))</f>
        <v/>
      </c>
      <c r="W125" s="15">
        <f>IF(OR(W124="",V124=""),"",IF(V124&lt;=0,"",IFERROR(W124/V124-1,"")))</f>
        <v/>
      </c>
      <c r="X125" s="15">
        <f>IF(OR(X124="",W124=""),"",IF(W124&lt;=0,"",IFERROR(X124/W124-1,"")))</f>
        <v/>
      </c>
    </row>
    <row r="127">
      <c r="A127" s="16" t="inlineStr">
        <is>
          <t>포괄손익 · 전 항목</t>
        </is>
      </c>
      <c r="B127" s="42" t="inlineStr">
        <is>
          <t>분기 = 3개월 단독</t>
        </is>
      </c>
      <c r="C127" s="16" t="n"/>
      <c r="D127" s="16" t="n"/>
      <c r="E127" s="16" t="n"/>
      <c r="F127" s="16" t="n"/>
      <c r="G127" s="16" t="n"/>
      <c r="H127" s="16" t="n"/>
      <c r="I127" s="16" t="n"/>
      <c r="J127" s="16" t="n"/>
      <c r="K127" s="16" t="n"/>
      <c r="L127" s="16" t="n"/>
      <c r="M127" s="16" t="n"/>
      <c r="N127" s="16" t="n"/>
      <c r="O127" s="16" t="n"/>
      <c r="P127" s="16" t="n"/>
      <c r="Q127" s="16" t="n"/>
      <c r="R127" s="16" t="n"/>
      <c r="S127" s="16" t="n"/>
      <c r="T127" s="16" t="n"/>
      <c r="U127" s="16" t="n"/>
      <c r="V127" s="16" t="n"/>
      <c r="W127" s="16" t="n"/>
      <c r="X127" s="16" t="n"/>
      <c r="Y127" s="16" t="n"/>
      <c r="Z127" s="16" t="n"/>
      <c r="AA127" s="16" t="n"/>
      <c r="AB127" s="16" t="n"/>
      <c r="AC127" s="16" t="n"/>
    </row>
    <row r="128">
      <c r="A128" s="5" t="inlineStr">
        <is>
          <t>항목</t>
        </is>
      </c>
      <c r="B128" s="5" t="inlineStr">
        <is>
          <t>참고</t>
        </is>
      </c>
      <c r="C128" s="5" t="inlineStr">
        <is>
          <t>2024.1Q</t>
        </is>
      </c>
      <c r="D128" s="5" t="inlineStr">
        <is>
          <t>2024.2Q</t>
        </is>
      </c>
      <c r="E128" s="5" t="inlineStr">
        <is>
          <t>2024.3Q</t>
        </is>
      </c>
      <c r="F128" s="5" t="inlineStr">
        <is>
          <t>2024.4Q</t>
        </is>
      </c>
      <c r="G128" s="5" t="inlineStr">
        <is>
          <t>2025.1Q</t>
        </is>
      </c>
      <c r="H128" s="5" t="inlineStr">
        <is>
          <t>2025.2Q</t>
        </is>
      </c>
      <c r="I128" s="5" t="inlineStr">
        <is>
          <t>2025.3Q</t>
        </is>
      </c>
      <c r="J128" s="5" t="inlineStr">
        <is>
          <t>2025.4Q</t>
        </is>
      </c>
      <c r="K128" s="5" t="inlineStr">
        <is>
          <t>2026.1Q</t>
        </is>
      </c>
      <c r="L128" s="5" t="inlineStr">
        <is>
          <t>2026.2Q</t>
        </is>
      </c>
      <c r="M128" s="5" t="inlineStr">
        <is>
          <t>2026.3Q</t>
        </is>
      </c>
      <c r="N128" s="5" t="inlineStr">
        <is>
          <t>2026.4Q</t>
        </is>
      </c>
      <c r="O128" s="5" t="inlineStr">
        <is>
          <t>2017</t>
        </is>
      </c>
      <c r="P128" s="5" t="inlineStr">
        <is>
          <t>2018</t>
        </is>
      </c>
      <c r="Q128" s="5" t="inlineStr">
        <is>
          <t>2019</t>
        </is>
      </c>
      <c r="R128" s="5" t="inlineStr">
        <is>
          <t>2020</t>
        </is>
      </c>
      <c r="S128" s="5" t="inlineStr">
        <is>
          <t>2021</t>
        </is>
      </c>
      <c r="T128" s="5" t="inlineStr">
        <is>
          <t>2022</t>
        </is>
      </c>
      <c r="U128" s="5" t="inlineStr">
        <is>
          <t>2023</t>
        </is>
      </c>
      <c r="V128" s="5" t="inlineStr">
        <is>
          <t>2024</t>
        </is>
      </c>
      <c r="W128" s="5" t="inlineStr">
        <is>
          <t>2025</t>
        </is>
      </c>
      <c r="X128" s="5" t="inlineStr">
        <is>
          <t>2026</t>
        </is>
      </c>
      <c r="Y128" s="5" t="inlineStr">
        <is>
          <t>2027(MW)</t>
        </is>
      </c>
      <c r="Z128" s="5" t="inlineStr">
        <is>
          <t>2028(MW)</t>
        </is>
      </c>
      <c r="AA128" s="5" t="inlineStr">
        <is>
          <t>2029(MW)</t>
        </is>
      </c>
      <c r="AB128" s="5" t="inlineStr">
        <is>
          <t>2030(MW)</t>
        </is>
      </c>
      <c r="AC128" s="5" t="inlineStr">
        <is>
          <t>2031(MW)</t>
        </is>
      </c>
    </row>
    <row r="129">
      <c r="A129" s="9" t="inlineStr">
        <is>
          <t>중간순이익(손실)</t>
        </is>
      </c>
      <c r="C129" s="12" t="n">
        <v>6.824</v>
      </c>
      <c r="D129" s="12" t="n">
        <v>-32.302</v>
      </c>
      <c r="E129" s="12" t="n">
        <v>20.893</v>
      </c>
      <c r="F129" s="12" t="n">
        <v>-122.03</v>
      </c>
      <c r="G129" s="12" t="n">
        <v>-21.483</v>
      </c>
      <c r="H129" s="12" t="n">
        <v>-46.008</v>
      </c>
      <c r="I129" s="12" t="n">
        <v>35.164</v>
      </c>
      <c r="J129" s="12" t="n">
        <v>-48.995</v>
      </c>
      <c r="K129" s="12" t="n">
        <v>3.111</v>
      </c>
      <c r="L129" s="12" t="n">
        <v>38.454</v>
      </c>
      <c r="M129" s="12" t="n">
        <v>40.3</v>
      </c>
      <c r="N129" s="12" t="n">
        <v>50.962</v>
      </c>
      <c r="T129" s="12" t="n">
        <v>243.432</v>
      </c>
      <c r="U129" s="12" t="n">
        <v>168.342</v>
      </c>
      <c r="V129" s="12" t="n">
        <v>-122.03</v>
      </c>
      <c r="W129" s="12" t="n">
        <v>-48.995</v>
      </c>
      <c r="X129" s="12" t="n">
        <v>50.962</v>
      </c>
    </row>
    <row r="130">
      <c r="A130" s="18" t="inlineStr">
        <is>
          <t>기타유가증권 평가차액</t>
        </is>
      </c>
      <c r="C130" s="20" t="n">
        <v>42.299</v>
      </c>
      <c r="D130" s="20" t="n">
        <v>-1.06</v>
      </c>
      <c r="E130" s="20" t="n">
        <v>-3.439</v>
      </c>
      <c r="F130" s="20" t="n">
        <v>-31.007</v>
      </c>
      <c r="G130" s="20" t="n">
        <v>-9.359</v>
      </c>
      <c r="H130" s="20" t="n">
        <v>14.615</v>
      </c>
      <c r="I130" s="20" t="n">
        <v>32.083</v>
      </c>
      <c r="J130" s="20" t="n">
        <v>33.304</v>
      </c>
      <c r="K130" s="20" t="n">
        <v>46.881</v>
      </c>
      <c r="L130" s="20" t="n">
        <v>41.185</v>
      </c>
      <c r="M130" s="20" t="n">
        <v>66.982</v>
      </c>
      <c r="N130" s="20" t="n">
        <v>-94.583</v>
      </c>
      <c r="T130" s="20" t="n">
        <v>-30.296</v>
      </c>
      <c r="U130" s="20" t="n">
        <v>-3.746</v>
      </c>
      <c r="V130" s="20" t="n">
        <v>-31.007</v>
      </c>
      <c r="W130" s="20" t="n">
        <v>33.304</v>
      </c>
      <c r="X130" s="20" t="n">
        <v>-94.583</v>
      </c>
    </row>
    <row r="131">
      <c r="A131" s="18" t="inlineStr">
        <is>
          <t>해외사업환산조정</t>
        </is>
      </c>
      <c r="C131" s="20" t="n">
        <v>1.691</v>
      </c>
      <c r="D131" s="20" t="n">
        <v>4.535</v>
      </c>
      <c r="E131" s="20" t="n">
        <v>-5.291</v>
      </c>
      <c r="F131" s="20" t="n">
        <v>8.835000000000001</v>
      </c>
      <c r="G131" s="20" t="n">
        <v>-0.665</v>
      </c>
      <c r="H131" s="20" t="n">
        <v>-6.203</v>
      </c>
      <c r="I131" s="20" t="n">
        <v>-7.782</v>
      </c>
      <c r="J131" s="20" t="n">
        <v>21.315</v>
      </c>
      <c r="K131" s="20" t="n">
        <v>2.703</v>
      </c>
      <c r="L131" s="20" t="n">
        <v>1.687</v>
      </c>
      <c r="M131" s="20" t="n">
        <v>-0.783</v>
      </c>
      <c r="N131" s="20" t="n">
        <v>-11.914</v>
      </c>
      <c r="T131" s="20" t="n">
        <v>-5.23</v>
      </c>
      <c r="U131" s="20" t="n">
        <v>7.911</v>
      </c>
      <c r="V131" s="20" t="n">
        <v>8.835000000000001</v>
      </c>
      <c r="W131" s="20" t="n">
        <v>21.315</v>
      </c>
      <c r="X131" s="20" t="n">
        <v>-11.914</v>
      </c>
    </row>
    <row r="132">
      <c r="A132" s="18" t="inlineStr">
        <is>
          <t>기타포괄손익 합계</t>
        </is>
      </c>
      <c r="C132" s="20" t="n">
        <v>43.99</v>
      </c>
      <c r="D132" s="20" t="n">
        <v>3.476</v>
      </c>
      <c r="E132" s="20" t="n">
        <v>-8.731</v>
      </c>
      <c r="F132" s="20" t="n">
        <v>-22.172</v>
      </c>
      <c r="G132" s="20" t="n">
        <v>-10.025</v>
      </c>
      <c r="H132" s="20" t="n">
        <v>8.413</v>
      </c>
      <c r="I132" s="20" t="n">
        <v>24.301</v>
      </c>
      <c r="J132" s="20" t="n">
        <v>54.62</v>
      </c>
      <c r="K132" s="20" t="n">
        <v>49.584</v>
      </c>
      <c r="L132" s="20" t="n">
        <v>42.872</v>
      </c>
      <c r="M132" s="20" t="n">
        <v>66.199</v>
      </c>
      <c r="N132" s="20" t="n">
        <v>-106.497</v>
      </c>
      <c r="T132" s="20" t="n">
        <v>-35.527</v>
      </c>
      <c r="U132" s="20" t="n">
        <v>4.165</v>
      </c>
      <c r="V132" s="20" t="n">
        <v>-22.172</v>
      </c>
      <c r="W132" s="20" t="n">
        <v>54.62</v>
      </c>
      <c r="X132" s="20" t="n">
        <v>-106.497</v>
      </c>
    </row>
    <row r="133">
      <c r="A133" s="9" t="inlineStr">
        <is>
          <t>포괄이익</t>
        </is>
      </c>
      <c r="C133" s="12" t="n">
        <v>50.815</v>
      </c>
      <c r="D133" s="12" t="n">
        <v>-28.828</v>
      </c>
      <c r="E133" s="12" t="n">
        <v>12.163</v>
      </c>
      <c r="F133" s="12" t="n">
        <v>-144.201</v>
      </c>
      <c r="G133" s="12" t="n">
        <v>-31.508</v>
      </c>
      <c r="H133" s="12" t="n">
        <v>-37.596</v>
      </c>
      <c r="I133" s="12" t="n">
        <v>59.466</v>
      </c>
      <c r="J133" s="12" t="n">
        <v>5.626</v>
      </c>
      <c r="K133" s="12" t="n">
        <v>52.696</v>
      </c>
      <c r="L133" s="12" t="n">
        <v>81.32599999999999</v>
      </c>
      <c r="M133" s="12" t="n">
        <v>106.498</v>
      </c>
      <c r="N133" s="12" t="n">
        <v>-55.535</v>
      </c>
      <c r="T133" s="12" t="n">
        <v>207.906</v>
      </c>
      <c r="U133" s="12" t="n">
        <v>172.507</v>
      </c>
      <c r="V133" s="12" t="n">
        <v>-144.201</v>
      </c>
      <c r="W133" s="12" t="n">
        <v>5.626</v>
      </c>
      <c r="X133" s="12" t="n">
        <v>-55.535</v>
      </c>
    </row>
    <row r="134">
      <c r="A134" s="9" t="inlineStr">
        <is>
          <t>지배주주 포괄이익</t>
        </is>
      </c>
      <c r="C134" s="12" t="n">
        <v>50.055</v>
      </c>
      <c r="D134" s="12" t="n">
        <v>-29.266</v>
      </c>
      <c r="E134" s="12" t="n">
        <v>11.415</v>
      </c>
      <c r="F134" s="12" t="n">
        <v>-144.168</v>
      </c>
      <c r="G134" s="12" t="n">
        <v>-30.44</v>
      </c>
      <c r="H134" s="12" t="n">
        <v>-34.475</v>
      </c>
      <c r="I134" s="12" t="n">
        <v>58.044</v>
      </c>
      <c r="J134" s="12" t="n">
        <v>1.635</v>
      </c>
      <c r="K134" s="12" t="n">
        <v>50.9</v>
      </c>
      <c r="L134" s="12" t="n">
        <v>79.892</v>
      </c>
      <c r="M134" s="12" t="n">
        <v>102.441</v>
      </c>
      <c r="N134" s="12" t="n">
        <v>-45.751</v>
      </c>
      <c r="T134" s="12" t="n">
        <v>211.334</v>
      </c>
      <c r="U134" s="12" t="n">
        <v>176.487</v>
      </c>
      <c r="V134" s="12" t="n">
        <v>-144.168</v>
      </c>
      <c r="W134" s="12" t="n">
        <v>1.635</v>
      </c>
      <c r="X134" s="12" t="n">
        <v>-45.751</v>
      </c>
    </row>
    <row r="135">
      <c r="A135" s="9" t="inlineStr">
        <is>
          <t>비지배주주 포괄이익</t>
        </is>
      </c>
      <c r="C135" s="12" t="n">
        <v>0.76</v>
      </c>
      <c r="D135" s="12" t="n">
        <v>0.438</v>
      </c>
      <c r="E135" s="12" t="n">
        <v>0.748</v>
      </c>
      <c r="F135" s="12" t="n">
        <v>-0.033</v>
      </c>
      <c r="G135" s="12" t="n">
        <v>-1.067</v>
      </c>
      <c r="H135" s="12" t="n">
        <v>-3.121</v>
      </c>
      <c r="I135" s="12" t="n">
        <v>1.421</v>
      </c>
      <c r="J135" s="12" t="n">
        <v>3.99</v>
      </c>
      <c r="K135" s="12" t="n">
        <v>1.795</v>
      </c>
      <c r="L135" s="12" t="n">
        <v>1.435</v>
      </c>
      <c r="M135" s="12" t="n">
        <v>4.057</v>
      </c>
      <c r="N135" s="12" t="n">
        <v>-9.784000000000001</v>
      </c>
      <c r="T135" s="12" t="n">
        <v>-3.427</v>
      </c>
      <c r="U135" s="12" t="n">
        <v>-3.98</v>
      </c>
      <c r="V135" s="12" t="n">
        <v>-0.033</v>
      </c>
      <c r="W135" s="12" t="n">
        <v>3.99</v>
      </c>
      <c r="X135" s="12" t="n">
        <v>-9.784000000000001</v>
      </c>
    </row>
    <row r="137">
      <c r="A137" s="16" t="inlineStr">
        <is>
          <t>부문 · 전 항목</t>
        </is>
      </c>
      <c r="B137" s="42" t="inlineStr">
        <is>
          <t>부문 · 항목</t>
        </is>
      </c>
      <c r="C137" s="16" t="n"/>
      <c r="D137" s="16" t="n"/>
      <c r="E137" s="16" t="n"/>
      <c r="F137" s="16" t="n"/>
      <c r="G137" s="16" t="n"/>
      <c r="H137" s="16" t="n"/>
      <c r="I137" s="16" t="n"/>
      <c r="J137" s="16" t="n"/>
      <c r="K137" s="16" t="n"/>
      <c r="L137" s="16" t="n"/>
      <c r="M137" s="16" t="n"/>
      <c r="N137" s="16" t="n"/>
      <c r="O137" s="16" t="n"/>
      <c r="P137" s="16" t="n"/>
      <c r="Q137" s="16" t="n"/>
      <c r="R137" s="16" t="n"/>
      <c r="S137" s="16" t="n"/>
      <c r="T137" s="16" t="n"/>
      <c r="U137" s="16" t="n"/>
      <c r="V137" s="16" t="n"/>
      <c r="W137" s="16" t="n"/>
      <c r="X137" s="16" t="n"/>
      <c r="Y137" s="16" t="n"/>
      <c r="Z137" s="16" t="n"/>
      <c r="AA137" s="16" t="n"/>
      <c r="AB137" s="16" t="n"/>
      <c r="AC137" s="16" t="n"/>
    </row>
    <row r="138">
      <c r="A138" s="5" t="inlineStr">
        <is>
          <t>항목</t>
        </is>
      </c>
      <c r="B138" s="5" t="inlineStr">
        <is>
          <t>참고</t>
        </is>
      </c>
      <c r="C138" s="5" t="inlineStr">
        <is>
          <t>2024.1Q</t>
        </is>
      </c>
      <c r="D138" s="5" t="inlineStr">
        <is>
          <t>2024.2Q</t>
        </is>
      </c>
      <c r="E138" s="5" t="inlineStr">
        <is>
          <t>2024.3Q</t>
        </is>
      </c>
      <c r="F138" s="5" t="inlineStr">
        <is>
          <t>2024.4Q</t>
        </is>
      </c>
      <c r="G138" s="5" t="inlineStr">
        <is>
          <t>2025.1Q</t>
        </is>
      </c>
      <c r="H138" s="5" t="inlineStr">
        <is>
          <t>2025.2Q</t>
        </is>
      </c>
      <c r="I138" s="5" t="inlineStr">
        <is>
          <t>2025.3Q</t>
        </is>
      </c>
      <c r="J138" s="5" t="inlineStr">
        <is>
          <t>2025.4Q</t>
        </is>
      </c>
      <c r="K138" s="5" t="inlineStr">
        <is>
          <t>2026.1Q</t>
        </is>
      </c>
      <c r="L138" s="5" t="inlineStr">
        <is>
          <t>2026.2Q</t>
        </is>
      </c>
      <c r="M138" s="5" t="inlineStr">
        <is>
          <t>2026.3Q</t>
        </is>
      </c>
      <c r="N138" s="5" t="inlineStr">
        <is>
          <t>2026.4Q</t>
        </is>
      </c>
      <c r="O138" s="5" t="inlineStr">
        <is>
          <t>2017</t>
        </is>
      </c>
      <c r="P138" s="5" t="inlineStr">
        <is>
          <t>2018</t>
        </is>
      </c>
      <c r="Q138" s="5" t="inlineStr">
        <is>
          <t>2019</t>
        </is>
      </c>
      <c r="R138" s="5" t="inlineStr">
        <is>
          <t>2020</t>
        </is>
      </c>
      <c r="S138" s="5" t="inlineStr">
        <is>
          <t>2021</t>
        </is>
      </c>
      <c r="T138" s="5" t="inlineStr">
        <is>
          <t>2022</t>
        </is>
      </c>
      <c r="U138" s="5" t="inlineStr">
        <is>
          <t>2023</t>
        </is>
      </c>
      <c r="V138" s="5" t="inlineStr">
        <is>
          <t>2024</t>
        </is>
      </c>
      <c r="W138" s="5" t="inlineStr">
        <is>
          <t>2025</t>
        </is>
      </c>
      <c r="X138" s="5" t="inlineStr">
        <is>
          <t>2026</t>
        </is>
      </c>
      <c r="Y138" s="5" t="inlineStr">
        <is>
          <t>2027(MW)</t>
        </is>
      </c>
      <c r="Z138" s="5" t="inlineStr">
        <is>
          <t>2028(MW)</t>
        </is>
      </c>
      <c r="AA138" s="5" t="inlineStr">
        <is>
          <t>2029(MW)</t>
        </is>
      </c>
      <c r="AB138" s="5" t="inlineStr">
        <is>
          <t>2030(MW)</t>
        </is>
      </c>
      <c r="AC138" s="5" t="inlineStr">
        <is>
          <t>2031(MW)</t>
        </is>
      </c>
    </row>
    <row r="139">
      <c r="A139" s="18" t="inlineStr">
        <is>
          <t>전자기판 사업 · 외부 고객 매출</t>
        </is>
      </c>
      <c r="C139" s="20" t="n">
        <v>572.255</v>
      </c>
      <c r="D139" s="20" t="n">
        <v>580.651</v>
      </c>
      <c r="E139" s="20" t="n">
        <v>564.595</v>
      </c>
      <c r="F139" s="20" t="n">
        <v>701.874</v>
      </c>
      <c r="G139" s="20" t="n">
        <v>574.353</v>
      </c>
      <c r="H139" s="20" t="n">
        <v>584.717</v>
      </c>
      <c r="I139" s="20" t="n">
        <v>548.37</v>
      </c>
      <c r="J139" s="20" t="n">
        <v>559.268</v>
      </c>
      <c r="K139" s="20" t="n">
        <v>649.97</v>
      </c>
      <c r="L139" s="20" t="n">
        <v>673.0940000000001</v>
      </c>
      <c r="M139" s="20" t="n">
        <v>703.259</v>
      </c>
      <c r="N139" s="20" t="n">
        <v>383</v>
      </c>
      <c r="V139" s="20" t="n">
        <v>701.874</v>
      </c>
      <c r="W139" s="20" t="n">
        <v>559.268</v>
      </c>
      <c r="X139" s="20" t="n">
        <v>383</v>
      </c>
    </row>
    <row r="140">
      <c r="A140" s="43" t="inlineStr">
        <is>
          <t>YoY</t>
        </is>
      </c>
      <c r="B140" s="3" t="inlineStr">
        <is>
          <t>전년 같은 분기·전년 대비</t>
        </is>
      </c>
      <c r="G140" s="15">
        <f>IF(OR(G139="",C139=""),"",IF(C139&lt;=0,"",IFERROR(G139/C139-1,"")))</f>
        <v/>
      </c>
      <c r="H140" s="15">
        <f>IF(OR(H139="",D139=""),"",IF(D139&lt;=0,"",IFERROR(H139/D139-1,"")))</f>
        <v/>
      </c>
      <c r="I140" s="15">
        <f>IF(OR(I139="",E139=""),"",IF(E139&lt;=0,"",IFERROR(I139/E139-1,"")))</f>
        <v/>
      </c>
      <c r="J140" s="15">
        <f>IF(OR(J139="",F139=""),"",IF(F139&lt;=0,"",IFERROR(J139/F139-1,"")))</f>
        <v/>
      </c>
      <c r="K140" s="15">
        <f>IF(OR(K139="",G139=""),"",IF(G139&lt;=0,"",IFERROR(K139/G139-1,"")))</f>
        <v/>
      </c>
      <c r="L140" s="15">
        <f>IF(OR(L139="",H139=""),"",IF(H139&lt;=0,"",IFERROR(L139/H139-1,"")))</f>
        <v/>
      </c>
      <c r="M140" s="15">
        <f>IF(OR(M139="",I139=""),"",IF(I139&lt;=0,"",IFERROR(M139/I139-1,"")))</f>
        <v/>
      </c>
      <c r="N140" s="15">
        <f>IF(OR(N139="",J139=""),"",IF(J139&lt;=0,"",IFERROR(N139/J139-1,"")))</f>
        <v/>
      </c>
      <c r="V140" s="15">
        <f>IF(OR(V139="",U139=""),"",IF(U139&lt;=0,"",IFERROR(V139/U139-1,"")))</f>
        <v/>
      </c>
      <c r="W140" s="15">
        <f>IF(OR(W139="",V139=""),"",IF(V139&lt;=0,"",IFERROR(W139/V139-1,"")))</f>
        <v/>
      </c>
      <c r="X140" s="15">
        <f>IF(OR(X139="",W139=""),"",IF(W139&lt;=0,"",IFERROR(X139/W139-1,"")))</f>
        <v/>
      </c>
    </row>
    <row r="141">
      <c r="A141" s="18" t="inlineStr">
        <is>
          <t>테스트시스템 사업 · 외부 고객 매출</t>
        </is>
      </c>
      <c r="C141" s="20" t="n">
        <v>175.585</v>
      </c>
      <c r="D141" s="20" t="n">
        <v>173.913</v>
      </c>
      <c r="E141" s="20" t="n">
        <v>243.186</v>
      </c>
      <c r="F141" s="20" t="n">
        <v>-171.931</v>
      </c>
      <c r="G141" s="20" t="n">
        <v>77.95399999999999</v>
      </c>
      <c r="H141" s="20" t="n">
        <v>61.254</v>
      </c>
      <c r="I141" s="20" t="n">
        <v>80.82299999999999</v>
      </c>
      <c r="J141" s="20" t="n">
        <v>477.705</v>
      </c>
      <c r="K141" s="20" t="n">
        <v>76.842</v>
      </c>
      <c r="L141" s="20" t="n">
        <v>116.365</v>
      </c>
      <c r="M141" s="20" t="n">
        <v>96.63500000000001</v>
      </c>
      <c r="N141" s="20" t="n">
        <v>161.14</v>
      </c>
      <c r="V141" s="20" t="n">
        <v>-171.931</v>
      </c>
      <c r="W141" s="20" t="n">
        <v>477.705</v>
      </c>
      <c r="X141" s="20" t="n">
        <v>161.14</v>
      </c>
    </row>
    <row r="142">
      <c r="A142" s="43" t="inlineStr">
        <is>
          <t>YoY</t>
        </is>
      </c>
      <c r="B142" s="3" t="inlineStr">
        <is>
          <t>전년 같은 분기·전년 대비</t>
        </is>
      </c>
      <c r="G142" s="15">
        <f>IF(OR(G141="",C141=""),"",IF(C141&lt;=0,"",IFERROR(G141/C141-1,"")))</f>
        <v/>
      </c>
      <c r="H142" s="15">
        <f>IF(OR(H141="",D141=""),"",IF(D141&lt;=0,"",IFERROR(H141/D141-1,"")))</f>
        <v/>
      </c>
      <c r="I142" s="15">
        <f>IF(OR(I141="",E141=""),"",IF(E141&lt;=0,"",IFERROR(I141/E141-1,"")))</f>
        <v/>
      </c>
      <c r="J142" s="15">
        <f>IF(OR(J141="",F141=""),"",IF(F141&lt;=0,"",IFERROR(J141/F141-1,"")))</f>
        <v/>
      </c>
      <c r="K142" s="15">
        <f>IF(OR(K141="",G141=""),"",IF(G141&lt;=0,"",IFERROR(K141/G141-1,"")))</f>
        <v/>
      </c>
      <c r="L142" s="15">
        <f>IF(OR(L141="",H141=""),"",IF(H141&lt;=0,"",IFERROR(L141/H141-1,"")))</f>
        <v/>
      </c>
      <c r="M142" s="15">
        <f>IF(OR(M141="",I141=""),"",IF(I141&lt;=0,"",IFERROR(M141/I141-1,"")))</f>
        <v/>
      </c>
      <c r="N142" s="15">
        <f>IF(OR(N141="",J141=""),"",IF(J141&lt;=0,"",IFERROR(N141/J141-1,"")))</f>
        <v/>
      </c>
      <c r="V142" s="15">
        <f>IF(OR(V141="",U141=""),"",IF(U141&lt;=0,"",IFERROR(V141/U141-1,"")))</f>
        <v/>
      </c>
      <c r="W142" s="15">
        <f>IF(OR(W141="",V141=""),"",IF(V141&lt;=0,"",IFERROR(W141/V141-1,"")))</f>
        <v/>
      </c>
      <c r="X142" s="15">
        <f>IF(OR(X141="",W141=""),"",IF(W141&lt;=0,"",IFERROR(X141/W141-1,"")))</f>
        <v/>
      </c>
    </row>
    <row r="143">
      <c r="A143" s="18" t="inlineStr">
        <is>
          <t>경면연마기 사업 · 외부 고객 매출</t>
        </is>
      </c>
      <c r="C143" s="20" t="n">
        <v>102.012</v>
      </c>
      <c r="D143" s="20" t="n">
        <v>90.459</v>
      </c>
      <c r="E143" s="20" t="n">
        <v>134.637</v>
      </c>
      <c r="F143" s="20" t="n">
        <v>69.611</v>
      </c>
      <c r="G143" s="20" t="n">
        <v>119.334</v>
      </c>
      <c r="H143" s="20" t="n">
        <v>97.19</v>
      </c>
      <c r="I143" s="20" t="n">
        <v>104.111</v>
      </c>
      <c r="J143" s="20" t="n">
        <v>101.201</v>
      </c>
      <c r="K143" s="20" t="n">
        <v>65.52</v>
      </c>
      <c r="L143" s="20" t="n">
        <v>133.173</v>
      </c>
      <c r="M143" s="20" t="n">
        <v>145.709</v>
      </c>
      <c r="N143" s="20" t="n">
        <v>101.265</v>
      </c>
      <c r="V143" s="20" t="n">
        <v>69.611</v>
      </c>
      <c r="W143" s="20" t="n">
        <v>101.201</v>
      </c>
      <c r="X143" s="20" t="n">
        <v>101.265</v>
      </c>
    </row>
    <row r="144">
      <c r="A144" s="43" t="inlineStr">
        <is>
          <t>YoY</t>
        </is>
      </c>
      <c r="B144" s="3" t="inlineStr">
        <is>
          <t>전년 같은 분기·전년 대비</t>
        </is>
      </c>
      <c r="G144" s="15">
        <f>IF(OR(G143="",C143=""),"",IF(C143&lt;=0,"",IFERROR(G143/C143-1,"")))</f>
        <v/>
      </c>
      <c r="H144" s="15">
        <f>IF(OR(H143="",D143=""),"",IF(D143&lt;=0,"",IFERROR(H143/D143-1,"")))</f>
        <v/>
      </c>
      <c r="I144" s="15">
        <f>IF(OR(I143="",E143=""),"",IF(E143&lt;=0,"",IFERROR(I143/E143-1,"")))</f>
        <v/>
      </c>
      <c r="J144" s="15">
        <f>IF(OR(J143="",F143=""),"",IF(F143&lt;=0,"",IFERROR(J143/F143-1,"")))</f>
        <v/>
      </c>
      <c r="K144" s="15">
        <f>IF(OR(K143="",G143=""),"",IF(G143&lt;=0,"",IFERROR(K143/G143-1,"")))</f>
        <v/>
      </c>
      <c r="L144" s="15">
        <f>IF(OR(L143="",H143=""),"",IF(H143&lt;=0,"",IFERROR(L143/H143-1,"")))</f>
        <v/>
      </c>
      <c r="M144" s="15">
        <f>IF(OR(M143="",I143=""),"",IF(I143&lt;=0,"",IFERROR(M143/I143-1,"")))</f>
        <v/>
      </c>
      <c r="N144" s="15">
        <f>IF(OR(N143="",J143=""),"",IF(J143&lt;=0,"",IFERROR(N143/J143-1,"")))</f>
        <v/>
      </c>
      <c r="V144" s="15">
        <f>IF(OR(V143="",U143=""),"",IF(U143&lt;=0,"",IFERROR(V143/U143-1,"")))</f>
        <v/>
      </c>
      <c r="W144" s="15">
        <f>IF(OR(W143="",V143=""),"",IF(V143&lt;=0,"",IFERROR(W143/V143-1,"")))</f>
        <v/>
      </c>
      <c r="X144" s="15">
        <f>IF(OR(X143="",W143=""),"",IF(W143&lt;=0,"",IFERROR(X143/W143-1,"")))</f>
        <v/>
      </c>
    </row>
    <row r="145">
      <c r="A145" s="18" t="inlineStr">
        <is>
          <t>산업기계시스템 사업 · 외부 고객 매출</t>
        </is>
      </c>
      <c r="C145" s="20" t="n">
        <v>15.995</v>
      </c>
      <c r="D145" s="20" t="n">
        <v>49.354</v>
      </c>
      <c r="E145" s="20" t="n">
        <v>55.512</v>
      </c>
      <c r="F145" s="20" t="n">
        <v>53.756</v>
      </c>
      <c r="G145" s="20" t="n">
        <v>12.257</v>
      </c>
      <c r="H145" s="20" t="n">
        <v>80.099</v>
      </c>
      <c r="I145" s="20" t="n">
        <v>277.755</v>
      </c>
      <c r="J145" s="20" t="n">
        <v>-237.092</v>
      </c>
      <c r="K145" s="20" t="n">
        <v>28.43</v>
      </c>
      <c r="L145" s="20" t="n">
        <v>39.316</v>
      </c>
      <c r="M145" s="20" t="n">
        <v>160.106</v>
      </c>
      <c r="N145" s="20" t="n">
        <v>217.841</v>
      </c>
      <c r="V145" s="20" t="n">
        <v>53.756</v>
      </c>
      <c r="W145" s="20" t="n">
        <v>-237.092</v>
      </c>
      <c r="X145" s="20" t="n">
        <v>217.841</v>
      </c>
    </row>
    <row r="146">
      <c r="A146" s="43" t="inlineStr">
        <is>
          <t>YoY</t>
        </is>
      </c>
      <c r="B146" s="3" t="inlineStr">
        <is>
          <t>전년 같은 분기·전년 대비</t>
        </is>
      </c>
      <c r="G146" s="15">
        <f>IF(OR(G145="",C145=""),"",IF(C145&lt;=0,"",IFERROR(G145/C145-1,"")))</f>
        <v/>
      </c>
      <c r="H146" s="15">
        <f>IF(OR(H145="",D145=""),"",IF(D145&lt;=0,"",IFERROR(H145/D145-1,"")))</f>
        <v/>
      </c>
      <c r="I146" s="15">
        <f>IF(OR(I145="",E145=""),"",IF(E145&lt;=0,"",IFERROR(I145/E145-1,"")))</f>
        <v/>
      </c>
      <c r="J146" s="15">
        <f>IF(OR(J145="",F145=""),"",IF(F145&lt;=0,"",IFERROR(J145/F145-1,"")))</f>
        <v/>
      </c>
      <c r="K146" s="15">
        <f>IF(OR(K145="",G145=""),"",IF(G145&lt;=0,"",IFERROR(K145/G145-1,"")))</f>
        <v/>
      </c>
      <c r="L146" s="15">
        <f>IF(OR(L145="",H145=""),"",IF(H145&lt;=0,"",IFERROR(L145/H145-1,"")))</f>
        <v/>
      </c>
      <c r="M146" s="15">
        <f>IF(OR(M145="",I145=""),"",IF(I145&lt;=0,"",IFERROR(M145/I145-1,"")))</f>
        <v/>
      </c>
      <c r="N146" s="15">
        <f>IF(OR(N145="",J145=""),"",IF(J145&lt;=0,"",IFERROR(N145/J145-1,"")))</f>
        <v/>
      </c>
      <c r="V146" s="15">
        <f>IF(OR(V145="",U145=""),"",IF(U145&lt;=0,"",IFERROR(V145/U145-1,"")))</f>
        <v/>
      </c>
      <c r="W146" s="15">
        <f>IF(OR(W145="",V145=""),"",IF(V145&lt;=0,"",IFERROR(W145/V145-1,"")))</f>
        <v/>
      </c>
      <c r="X146" s="15">
        <f>IF(OR(X145="",W145=""),"",IF(W145&lt;=0,"",IFERROR(X145/W145-1,"")))</f>
        <v/>
      </c>
    </row>
    <row r="147">
      <c r="A147" s="18" t="inlineStr">
        <is>
          <t>보고부문 합계 · 외부 고객 매출</t>
        </is>
      </c>
      <c r="C147" s="20" t="n">
        <v>865.849</v>
      </c>
      <c r="D147" s="20" t="n">
        <v>894.376</v>
      </c>
      <c r="E147" s="20" t="n">
        <v>997.932</v>
      </c>
      <c r="F147" s="20" t="n">
        <v>653.308</v>
      </c>
      <c r="G147" s="20" t="n">
        <v>783.899</v>
      </c>
      <c r="H147" s="20" t="n">
        <v>823.261</v>
      </c>
      <c r="I147" s="20" t="n">
        <v>1011.058</v>
      </c>
      <c r="J147" s="20" t="n">
        <v>901.082</v>
      </c>
      <c r="K147" s="20" t="n">
        <v>820.764</v>
      </c>
      <c r="L147" s="20" t="n">
        <v>961.948</v>
      </c>
      <c r="M147" s="20" t="n">
        <v>1105.708</v>
      </c>
      <c r="N147" s="20" t="n">
        <v>863.247</v>
      </c>
      <c r="V147" s="20" t="n">
        <v>653.308</v>
      </c>
      <c r="W147" s="20" t="n">
        <v>901.082</v>
      </c>
      <c r="X147" s="20" t="n">
        <v>863.247</v>
      </c>
    </row>
    <row r="148">
      <c r="A148" s="43" t="inlineStr">
        <is>
          <t>YoY</t>
        </is>
      </c>
      <c r="B148" s="3" t="inlineStr">
        <is>
          <t>전년 같은 분기·전년 대비</t>
        </is>
      </c>
      <c r="G148" s="15">
        <f>IF(OR(G147="",C147=""),"",IF(C147&lt;=0,"",IFERROR(G147/C147-1,"")))</f>
        <v/>
      </c>
      <c r="H148" s="15">
        <f>IF(OR(H147="",D147=""),"",IF(D147&lt;=0,"",IFERROR(H147/D147-1,"")))</f>
        <v/>
      </c>
      <c r="I148" s="15">
        <f>IF(OR(I147="",E147=""),"",IF(E147&lt;=0,"",IFERROR(I147/E147-1,"")))</f>
        <v/>
      </c>
      <c r="J148" s="15">
        <f>IF(OR(J147="",F147=""),"",IF(F147&lt;=0,"",IFERROR(J147/F147-1,"")))</f>
        <v/>
      </c>
      <c r="K148" s="15">
        <f>IF(OR(K147="",G147=""),"",IF(G147&lt;=0,"",IFERROR(K147/G147-1,"")))</f>
        <v/>
      </c>
      <c r="L148" s="15">
        <f>IF(OR(L147="",H147=""),"",IF(H147&lt;=0,"",IFERROR(L147/H147-1,"")))</f>
        <v/>
      </c>
      <c r="M148" s="15">
        <f>IF(OR(M147="",I147=""),"",IF(I147&lt;=0,"",IFERROR(M147/I147-1,"")))</f>
        <v/>
      </c>
      <c r="N148" s="15">
        <f>IF(OR(N147="",J147=""),"",IF(J147&lt;=0,"",IFERROR(N147/J147-1,"")))</f>
        <v/>
      </c>
      <c r="V148" s="15">
        <f>IF(OR(V147="",U147=""),"",IF(U147&lt;=0,"",IFERROR(V147/U147-1,"")))</f>
        <v/>
      </c>
      <c r="W148" s="15">
        <f>IF(OR(W147="",V147=""),"",IF(V147&lt;=0,"",IFERROR(W147/V147-1,"")))</f>
        <v/>
      </c>
      <c r="X148" s="15">
        <f>IF(OR(X147="",W147=""),"",IF(W147&lt;=0,"",IFERROR(X147/W147-1,"")))</f>
        <v/>
      </c>
    </row>
    <row r="149">
      <c r="A149" s="18" t="inlineStr">
        <is>
          <t>조정액 · 외부 고객 매출</t>
        </is>
      </c>
      <c r="C149" s="20" t="n">
        <v>0</v>
      </c>
      <c r="D149" s="20" t="n">
        <v>0</v>
      </c>
      <c r="E149" s="20" t="n">
        <v>0</v>
      </c>
      <c r="F149" s="20" t="n">
        <v>0</v>
      </c>
      <c r="G149" s="20" t="n">
        <v>0</v>
      </c>
      <c r="H149" s="20" t="n">
        <v>0</v>
      </c>
      <c r="I149" s="20" t="n">
        <v>0</v>
      </c>
      <c r="J149" s="20" t="n">
        <v>0</v>
      </c>
      <c r="K149" s="20" t="n">
        <v>0</v>
      </c>
      <c r="L149" s="20" t="n">
        <v>0</v>
      </c>
      <c r="M149" s="20" t="n">
        <v>0</v>
      </c>
      <c r="N149" s="20" t="n">
        <v>0</v>
      </c>
      <c r="V149" s="20" t="n">
        <v>0</v>
      </c>
      <c r="W149" s="20" t="n">
        <v>0</v>
      </c>
      <c r="X149" s="20" t="n">
        <v>0</v>
      </c>
    </row>
    <row r="150">
      <c r="A150" s="9" t="inlineStr">
        <is>
          <t>외부 고객 매출</t>
        </is>
      </c>
      <c r="C150" s="12" t="n">
        <v>865.849</v>
      </c>
      <c r="D150" s="12" t="n">
        <v>894.376</v>
      </c>
      <c r="E150" s="12" t="n">
        <v>997.932</v>
      </c>
      <c r="F150" s="12" t="n">
        <v>653.308</v>
      </c>
      <c r="G150" s="12" t="n">
        <v>783.899</v>
      </c>
      <c r="H150" s="12" t="n">
        <v>823.261</v>
      </c>
      <c r="I150" s="12" t="n">
        <v>1011.058</v>
      </c>
      <c r="J150" s="12" t="n">
        <v>901.082</v>
      </c>
      <c r="K150" s="12" t="n">
        <v>820.764</v>
      </c>
      <c r="L150" s="12" t="n">
        <v>961.948</v>
      </c>
      <c r="M150" s="12" t="n">
        <v>1105.708</v>
      </c>
      <c r="N150" s="12" t="n">
        <v>863.247</v>
      </c>
      <c r="V150" s="12" t="n">
        <v>653.308</v>
      </c>
      <c r="W150" s="12" t="n">
        <v>901.082</v>
      </c>
      <c r="X150" s="12" t="n">
        <v>863.247</v>
      </c>
    </row>
    <row r="151">
      <c r="A151" s="43" t="inlineStr">
        <is>
          <t>YoY</t>
        </is>
      </c>
      <c r="B151" s="3" t="inlineStr">
        <is>
          <t>전년 같은 분기·전년 대비</t>
        </is>
      </c>
      <c r="G151" s="15">
        <f>IF(OR(G150="",C150=""),"",IF(C150&lt;=0,"",IFERROR(G150/C150-1,"")))</f>
        <v/>
      </c>
      <c r="H151" s="15">
        <f>IF(OR(H150="",D150=""),"",IF(D150&lt;=0,"",IFERROR(H150/D150-1,"")))</f>
        <v/>
      </c>
      <c r="I151" s="15">
        <f>IF(OR(I150="",E150=""),"",IF(E150&lt;=0,"",IFERROR(I150/E150-1,"")))</f>
        <v/>
      </c>
      <c r="J151" s="15">
        <f>IF(OR(J150="",F150=""),"",IF(F150&lt;=0,"",IFERROR(J150/F150-1,"")))</f>
        <v/>
      </c>
      <c r="K151" s="15">
        <f>IF(OR(K150="",G150=""),"",IF(G150&lt;=0,"",IFERROR(K150/G150-1,"")))</f>
        <v/>
      </c>
      <c r="L151" s="15">
        <f>IF(OR(L150="",H150=""),"",IF(H150&lt;=0,"",IFERROR(L150/H150-1,"")))</f>
        <v/>
      </c>
      <c r="M151" s="15">
        <f>IF(OR(M150="",I150=""),"",IF(I150&lt;=0,"",IFERROR(M150/I150-1,"")))</f>
        <v/>
      </c>
      <c r="N151" s="15">
        <f>IF(OR(N150="",J150=""),"",IF(J150&lt;=0,"",IFERROR(N150/J150-1,"")))</f>
        <v/>
      </c>
      <c r="V151" s="15">
        <f>IF(OR(V150="",U150=""),"",IF(U150&lt;=0,"",IFERROR(V150/U150-1,"")))</f>
        <v/>
      </c>
      <c r="W151" s="15">
        <f>IF(OR(W150="",V150=""),"",IF(V150&lt;=0,"",IFERROR(W150/V150-1,"")))</f>
        <v/>
      </c>
      <c r="X151" s="15">
        <f>IF(OR(X150="",W150=""),"",IF(W150&lt;=0,"",IFERROR(X150/W150-1,"")))</f>
        <v/>
      </c>
    </row>
    <row r="152">
      <c r="A152" s="18" t="inlineStr">
        <is>
          <t>전자기판 사업 · 부문 간 내부매출·대체</t>
        </is>
      </c>
      <c r="C152" s="20" t="n">
        <v>0</v>
      </c>
      <c r="D152" s="20" t="n">
        <v>0</v>
      </c>
      <c r="E152" s="20" t="n">
        <v>0</v>
      </c>
      <c r="F152" s="20" t="n">
        <v>0</v>
      </c>
      <c r="G152" s="20" t="n">
        <v>0</v>
      </c>
      <c r="H152" s="20" t="n">
        <v>0</v>
      </c>
      <c r="I152" s="20" t="n">
        <v>0</v>
      </c>
      <c r="J152" s="20" t="n">
        <v>0</v>
      </c>
      <c r="K152" s="20" t="n">
        <v>0</v>
      </c>
      <c r="L152" s="20" t="n">
        <v>0</v>
      </c>
      <c r="M152" s="20" t="n">
        <v>0</v>
      </c>
      <c r="N152" s="20" t="n">
        <v>0</v>
      </c>
      <c r="V152" s="20" t="n">
        <v>0</v>
      </c>
      <c r="W152" s="20" t="n">
        <v>0</v>
      </c>
      <c r="X152" s="20" t="n">
        <v>0</v>
      </c>
    </row>
    <row r="153">
      <c r="A153" s="18" t="inlineStr">
        <is>
          <t>테스트시스템 사업 · 부문 간 내부매출·대체</t>
        </is>
      </c>
      <c r="C153" s="20" t="n">
        <v>0</v>
      </c>
      <c r="D153" s="20" t="n">
        <v>0</v>
      </c>
      <c r="E153" s="20" t="n">
        <v>0</v>
      </c>
      <c r="F153" s="20" t="n">
        <v>0</v>
      </c>
      <c r="G153" s="20" t="n">
        <v>0</v>
      </c>
      <c r="H153" s="20" t="n">
        <v>0</v>
      </c>
      <c r="I153" s="20" t="n">
        <v>0</v>
      </c>
      <c r="J153" s="20" t="n">
        <v>0</v>
      </c>
      <c r="K153" s="20" t="n">
        <v>0</v>
      </c>
      <c r="L153" s="20" t="n">
        <v>0</v>
      </c>
      <c r="M153" s="20" t="n">
        <v>0</v>
      </c>
      <c r="N153" s="20" t="n">
        <v>0</v>
      </c>
      <c r="V153" s="20" t="n">
        <v>0</v>
      </c>
      <c r="W153" s="20" t="n">
        <v>0</v>
      </c>
      <c r="X153" s="20" t="n">
        <v>0</v>
      </c>
    </row>
    <row r="154">
      <c r="A154" s="18" t="inlineStr">
        <is>
          <t>경면연마기 사업 · 부문 간 내부매출·대체</t>
        </is>
      </c>
      <c r="C154" s="20" t="n">
        <v>0</v>
      </c>
      <c r="D154" s="20" t="n">
        <v>0</v>
      </c>
      <c r="E154" s="20" t="n">
        <v>0</v>
      </c>
      <c r="F154" s="20" t="n">
        <v>0</v>
      </c>
      <c r="G154" s="20" t="n">
        <v>0</v>
      </c>
      <c r="H154" s="20" t="n">
        <v>0</v>
      </c>
      <c r="I154" s="20" t="n">
        <v>0</v>
      </c>
      <c r="J154" s="20" t="n">
        <v>0</v>
      </c>
      <c r="K154" s="20" t="n">
        <v>0</v>
      </c>
      <c r="L154" s="20" t="n">
        <v>0</v>
      </c>
      <c r="M154" s="20" t="n">
        <v>0</v>
      </c>
      <c r="N154" s="20" t="n">
        <v>0</v>
      </c>
      <c r="V154" s="20" t="n">
        <v>0</v>
      </c>
      <c r="W154" s="20" t="n">
        <v>0</v>
      </c>
      <c r="X154" s="20" t="n">
        <v>0</v>
      </c>
    </row>
    <row r="155">
      <c r="A155" s="18" t="inlineStr">
        <is>
          <t>산업기계시스템 사업 · 부문 간 내부매출·대체</t>
        </is>
      </c>
      <c r="C155" s="20" t="n">
        <v>0.219</v>
      </c>
      <c r="D155" s="20" t="n">
        <v>0</v>
      </c>
      <c r="E155" s="20" t="n">
        <v>0</v>
      </c>
      <c r="F155" s="20" t="n">
        <v>0.755</v>
      </c>
      <c r="G155" s="20" t="n">
        <v>0</v>
      </c>
      <c r="H155" s="20" t="n">
        <v>0</v>
      </c>
      <c r="I155" s="20" t="n">
        <v>0</v>
      </c>
      <c r="J155" s="20" t="n">
        <v>0.219</v>
      </c>
      <c r="K155" s="20" t="n">
        <v>0</v>
      </c>
      <c r="L155" s="20" t="n">
        <v>0</v>
      </c>
      <c r="M155" s="20" t="n">
        <v>0</v>
      </c>
      <c r="N155" s="20" t="n">
        <v>0</v>
      </c>
      <c r="V155" s="20" t="n">
        <v>0.755</v>
      </c>
      <c r="W155" s="20" t="n">
        <v>0.219</v>
      </c>
      <c r="X155" s="20" t="n">
        <v>0</v>
      </c>
    </row>
    <row r="156">
      <c r="A156" s="18" t="inlineStr">
        <is>
          <t>보고부문 합계 · 부문 간 내부매출·대체</t>
        </is>
      </c>
      <c r="C156" s="20" t="n">
        <v>0.219</v>
      </c>
      <c r="D156" s="20" t="n">
        <v>0</v>
      </c>
      <c r="E156" s="20" t="n">
        <v>0</v>
      </c>
      <c r="F156" s="20" t="n">
        <v>0.755</v>
      </c>
      <c r="G156" s="20" t="n">
        <v>0</v>
      </c>
      <c r="H156" s="20" t="n">
        <v>0</v>
      </c>
      <c r="I156" s="20" t="n">
        <v>0</v>
      </c>
      <c r="J156" s="20" t="n">
        <v>0.219</v>
      </c>
      <c r="K156" s="20" t="n">
        <v>0</v>
      </c>
      <c r="L156" s="20" t="n">
        <v>0</v>
      </c>
      <c r="M156" s="20" t="n">
        <v>0</v>
      </c>
      <c r="N156" s="20" t="n">
        <v>0</v>
      </c>
      <c r="V156" s="20" t="n">
        <v>0.755</v>
      </c>
      <c r="W156" s="20" t="n">
        <v>0.219</v>
      </c>
      <c r="X156" s="20" t="n">
        <v>0</v>
      </c>
    </row>
    <row r="157">
      <c r="A157" s="18" t="inlineStr">
        <is>
          <t>조정액 · 부문 간 내부매출·대체</t>
        </is>
      </c>
      <c r="C157" s="20" t="n">
        <v>-0.219</v>
      </c>
      <c r="D157" s="20" t="n">
        <v>0</v>
      </c>
      <c r="E157" s="20" t="n">
        <v>0</v>
      </c>
      <c r="F157" s="20" t="n">
        <v>-0.755</v>
      </c>
      <c r="G157" s="20" t="n">
        <v>0</v>
      </c>
      <c r="H157" s="20" t="n">
        <v>0</v>
      </c>
      <c r="I157" s="20" t="n">
        <v>0</v>
      </c>
      <c r="J157" s="20" t="n">
        <v>-0.219</v>
      </c>
      <c r="K157" s="20" t="n">
        <v>0</v>
      </c>
      <c r="L157" s="20" t="n">
        <v>0</v>
      </c>
      <c r="M157" s="20" t="n">
        <v>0</v>
      </c>
      <c r="N157" s="20" t="n">
        <v>0</v>
      </c>
      <c r="V157" s="20" t="n">
        <v>-0.755</v>
      </c>
      <c r="W157" s="20" t="n">
        <v>-0.219</v>
      </c>
      <c r="X157" s="20" t="n">
        <v>0</v>
      </c>
    </row>
    <row r="158">
      <c r="A158" s="18" t="inlineStr">
        <is>
          <t>부문 간 내부매출·대체</t>
        </is>
      </c>
      <c r="C158" s="20" t="n">
        <v>0</v>
      </c>
      <c r="D158" s="20" t="n">
        <v>0</v>
      </c>
      <c r="E158" s="20" t="n">
        <v>0</v>
      </c>
      <c r="F158" s="20" t="n">
        <v>0</v>
      </c>
      <c r="G158" s="20" t="n">
        <v>0</v>
      </c>
      <c r="H158" s="20" t="n">
        <v>0</v>
      </c>
      <c r="I158" s="20" t="n">
        <v>0</v>
      </c>
      <c r="J158" s="20" t="n">
        <v>0</v>
      </c>
      <c r="K158" s="20" t="n">
        <v>0</v>
      </c>
      <c r="L158" s="20" t="n">
        <v>0</v>
      </c>
      <c r="M158" s="20" t="n">
        <v>0</v>
      </c>
      <c r="N158" s="20" t="n">
        <v>0</v>
      </c>
      <c r="V158" s="20" t="n">
        <v>0</v>
      </c>
      <c r="W158" s="20" t="n">
        <v>0</v>
      </c>
      <c r="X158" s="20" t="n">
        <v>0</v>
      </c>
    </row>
    <row r="159">
      <c r="A159" s="18" t="inlineStr">
        <is>
          <t>전자기판 사업 · 계</t>
        </is>
      </c>
      <c r="C159" s="20" t="n">
        <v>572.255</v>
      </c>
      <c r="D159" s="20" t="n">
        <v>580.651</v>
      </c>
      <c r="E159" s="20" t="n">
        <v>564.595</v>
      </c>
      <c r="F159" s="20" t="n">
        <v>701.874</v>
      </c>
      <c r="G159" s="20" t="n">
        <v>574.353</v>
      </c>
      <c r="H159" s="20" t="n">
        <v>584.717</v>
      </c>
      <c r="I159" s="20" t="n">
        <v>548.37</v>
      </c>
      <c r="J159" s="20" t="n">
        <v>559.268</v>
      </c>
      <c r="K159" s="20" t="n">
        <v>649.97</v>
      </c>
      <c r="L159" s="20" t="n">
        <v>673.0940000000001</v>
      </c>
      <c r="M159" s="20" t="n">
        <v>703.259</v>
      </c>
      <c r="N159" s="20" t="n">
        <v>383</v>
      </c>
      <c r="V159" s="20" t="n">
        <v>701.874</v>
      </c>
      <c r="W159" s="20" t="n">
        <v>559.268</v>
      </c>
      <c r="X159" s="20" t="n">
        <v>383</v>
      </c>
    </row>
    <row r="160">
      <c r="A160" s="43" t="inlineStr">
        <is>
          <t>YoY</t>
        </is>
      </c>
      <c r="B160" s="3" t="inlineStr">
        <is>
          <t>전년 같은 분기·전년 대비</t>
        </is>
      </c>
      <c r="G160" s="15">
        <f>IF(OR(G159="",C159=""),"",IF(C159&lt;=0,"",IFERROR(G159/C159-1,"")))</f>
        <v/>
      </c>
      <c r="H160" s="15">
        <f>IF(OR(H159="",D159=""),"",IF(D159&lt;=0,"",IFERROR(H159/D159-1,"")))</f>
        <v/>
      </c>
      <c r="I160" s="15">
        <f>IF(OR(I159="",E159=""),"",IF(E159&lt;=0,"",IFERROR(I159/E159-1,"")))</f>
        <v/>
      </c>
      <c r="J160" s="15">
        <f>IF(OR(J159="",F159=""),"",IF(F159&lt;=0,"",IFERROR(J159/F159-1,"")))</f>
        <v/>
      </c>
      <c r="K160" s="15">
        <f>IF(OR(K159="",G159=""),"",IF(G159&lt;=0,"",IFERROR(K159/G159-1,"")))</f>
        <v/>
      </c>
      <c r="L160" s="15">
        <f>IF(OR(L159="",H159=""),"",IF(H159&lt;=0,"",IFERROR(L159/H159-1,"")))</f>
        <v/>
      </c>
      <c r="M160" s="15">
        <f>IF(OR(M159="",I159=""),"",IF(I159&lt;=0,"",IFERROR(M159/I159-1,"")))</f>
        <v/>
      </c>
      <c r="N160" s="15">
        <f>IF(OR(N159="",J159=""),"",IF(J159&lt;=0,"",IFERROR(N159/J159-1,"")))</f>
        <v/>
      </c>
      <c r="V160" s="15">
        <f>IF(OR(V159="",U159=""),"",IF(U159&lt;=0,"",IFERROR(V159/U159-1,"")))</f>
        <v/>
      </c>
      <c r="W160" s="15">
        <f>IF(OR(W159="",V159=""),"",IF(V159&lt;=0,"",IFERROR(W159/V159-1,"")))</f>
        <v/>
      </c>
      <c r="X160" s="15">
        <f>IF(OR(X159="",W159=""),"",IF(W159&lt;=0,"",IFERROR(X159/W159-1,"")))</f>
        <v/>
      </c>
    </row>
    <row r="161">
      <c r="A161" s="18" t="inlineStr">
        <is>
          <t>테스트시스템 사업 · 계</t>
        </is>
      </c>
      <c r="C161" s="20" t="n">
        <v>175.585</v>
      </c>
      <c r="D161" s="20" t="n">
        <v>173.913</v>
      </c>
      <c r="E161" s="20" t="n">
        <v>243.186</v>
      </c>
      <c r="F161" s="20" t="n">
        <v>-171.931</v>
      </c>
      <c r="G161" s="20" t="n">
        <v>77.95399999999999</v>
      </c>
      <c r="H161" s="20" t="n">
        <v>61.254</v>
      </c>
      <c r="I161" s="20" t="n">
        <v>80.82299999999999</v>
      </c>
      <c r="J161" s="20" t="n">
        <v>477.705</v>
      </c>
      <c r="K161" s="20" t="n">
        <v>76.842</v>
      </c>
      <c r="L161" s="20" t="n">
        <v>116.365</v>
      </c>
      <c r="M161" s="20" t="n">
        <v>96.63500000000001</v>
      </c>
      <c r="N161" s="20" t="n">
        <v>161.14</v>
      </c>
      <c r="V161" s="20" t="n">
        <v>-171.931</v>
      </c>
      <c r="W161" s="20" t="n">
        <v>477.705</v>
      </c>
      <c r="X161" s="20" t="n">
        <v>161.14</v>
      </c>
    </row>
    <row r="162">
      <c r="A162" s="43" t="inlineStr">
        <is>
          <t>YoY</t>
        </is>
      </c>
      <c r="B162" s="3" t="inlineStr">
        <is>
          <t>전년 같은 분기·전년 대비</t>
        </is>
      </c>
      <c r="G162" s="15">
        <f>IF(OR(G161="",C161=""),"",IF(C161&lt;=0,"",IFERROR(G161/C161-1,"")))</f>
        <v/>
      </c>
      <c r="H162" s="15">
        <f>IF(OR(H161="",D161=""),"",IF(D161&lt;=0,"",IFERROR(H161/D161-1,"")))</f>
        <v/>
      </c>
      <c r="I162" s="15">
        <f>IF(OR(I161="",E161=""),"",IF(E161&lt;=0,"",IFERROR(I161/E161-1,"")))</f>
        <v/>
      </c>
      <c r="J162" s="15">
        <f>IF(OR(J161="",F161=""),"",IF(F161&lt;=0,"",IFERROR(J161/F161-1,"")))</f>
        <v/>
      </c>
      <c r="K162" s="15">
        <f>IF(OR(K161="",G161=""),"",IF(G161&lt;=0,"",IFERROR(K161/G161-1,"")))</f>
        <v/>
      </c>
      <c r="L162" s="15">
        <f>IF(OR(L161="",H161=""),"",IF(H161&lt;=0,"",IFERROR(L161/H161-1,"")))</f>
        <v/>
      </c>
      <c r="M162" s="15">
        <f>IF(OR(M161="",I161=""),"",IF(I161&lt;=0,"",IFERROR(M161/I161-1,"")))</f>
        <v/>
      </c>
      <c r="N162" s="15">
        <f>IF(OR(N161="",J161=""),"",IF(J161&lt;=0,"",IFERROR(N161/J161-1,"")))</f>
        <v/>
      </c>
      <c r="V162" s="15">
        <f>IF(OR(V161="",U161=""),"",IF(U161&lt;=0,"",IFERROR(V161/U161-1,"")))</f>
        <v/>
      </c>
      <c r="W162" s="15">
        <f>IF(OR(W161="",V161=""),"",IF(V161&lt;=0,"",IFERROR(W161/V161-1,"")))</f>
        <v/>
      </c>
      <c r="X162" s="15">
        <f>IF(OR(X161="",W161=""),"",IF(W161&lt;=0,"",IFERROR(X161/W161-1,"")))</f>
        <v/>
      </c>
    </row>
    <row r="163">
      <c r="A163" s="18" t="inlineStr">
        <is>
          <t>경면연마기 사업 · 계</t>
        </is>
      </c>
      <c r="C163" s="20" t="n">
        <v>102.012</v>
      </c>
      <c r="D163" s="20" t="n">
        <v>90.459</v>
      </c>
      <c r="E163" s="20" t="n">
        <v>134.637</v>
      </c>
      <c r="F163" s="20" t="n">
        <v>69.611</v>
      </c>
      <c r="G163" s="20" t="n">
        <v>119.334</v>
      </c>
      <c r="H163" s="20" t="n">
        <v>97.19</v>
      </c>
      <c r="I163" s="20" t="n">
        <v>104.111</v>
      </c>
      <c r="J163" s="20" t="n">
        <v>101.201</v>
      </c>
      <c r="K163" s="20" t="n">
        <v>65.52</v>
      </c>
      <c r="L163" s="20" t="n">
        <v>133.173</v>
      </c>
      <c r="M163" s="20" t="n">
        <v>145.709</v>
      </c>
      <c r="N163" s="20" t="n">
        <v>101.265</v>
      </c>
      <c r="V163" s="20" t="n">
        <v>69.611</v>
      </c>
      <c r="W163" s="20" t="n">
        <v>101.201</v>
      </c>
      <c r="X163" s="20" t="n">
        <v>101.265</v>
      </c>
    </row>
    <row r="164">
      <c r="A164" s="43" t="inlineStr">
        <is>
          <t>YoY</t>
        </is>
      </c>
      <c r="B164" s="3" t="inlineStr">
        <is>
          <t>전년 같은 분기·전년 대비</t>
        </is>
      </c>
      <c r="G164" s="15">
        <f>IF(OR(G163="",C163=""),"",IF(C163&lt;=0,"",IFERROR(G163/C163-1,"")))</f>
        <v/>
      </c>
      <c r="H164" s="15">
        <f>IF(OR(H163="",D163=""),"",IF(D163&lt;=0,"",IFERROR(H163/D163-1,"")))</f>
        <v/>
      </c>
      <c r="I164" s="15">
        <f>IF(OR(I163="",E163=""),"",IF(E163&lt;=0,"",IFERROR(I163/E163-1,"")))</f>
        <v/>
      </c>
      <c r="J164" s="15">
        <f>IF(OR(J163="",F163=""),"",IF(F163&lt;=0,"",IFERROR(J163/F163-1,"")))</f>
        <v/>
      </c>
      <c r="K164" s="15">
        <f>IF(OR(K163="",G163=""),"",IF(G163&lt;=0,"",IFERROR(K163/G163-1,"")))</f>
        <v/>
      </c>
      <c r="L164" s="15">
        <f>IF(OR(L163="",H163=""),"",IF(H163&lt;=0,"",IFERROR(L163/H163-1,"")))</f>
        <v/>
      </c>
      <c r="M164" s="15">
        <f>IF(OR(M163="",I163=""),"",IF(I163&lt;=0,"",IFERROR(M163/I163-1,"")))</f>
        <v/>
      </c>
      <c r="N164" s="15">
        <f>IF(OR(N163="",J163=""),"",IF(J163&lt;=0,"",IFERROR(N163/J163-1,"")))</f>
        <v/>
      </c>
      <c r="V164" s="15">
        <f>IF(OR(V163="",U163=""),"",IF(U163&lt;=0,"",IFERROR(V163/U163-1,"")))</f>
        <v/>
      </c>
      <c r="W164" s="15">
        <f>IF(OR(W163="",V163=""),"",IF(V163&lt;=0,"",IFERROR(W163/V163-1,"")))</f>
        <v/>
      </c>
      <c r="X164" s="15">
        <f>IF(OR(X163="",W163=""),"",IF(W163&lt;=0,"",IFERROR(X163/W163-1,"")))</f>
        <v/>
      </c>
    </row>
    <row r="165">
      <c r="A165" s="18" t="inlineStr">
        <is>
          <t>산업기계시스템 사업 · 계</t>
        </is>
      </c>
      <c r="C165" s="20" t="n">
        <v>16.215</v>
      </c>
      <c r="D165" s="20" t="n">
        <v>49.353</v>
      </c>
      <c r="E165" s="20" t="n">
        <v>55.513</v>
      </c>
      <c r="F165" s="20" t="n">
        <v>54.51</v>
      </c>
      <c r="G165" s="20" t="n">
        <v>12.257</v>
      </c>
      <c r="H165" s="20" t="n">
        <v>80.099</v>
      </c>
      <c r="I165" s="20" t="n">
        <v>277.755</v>
      </c>
      <c r="J165" s="20" t="n">
        <v>-236.873</v>
      </c>
      <c r="K165" s="20" t="n">
        <v>28.43</v>
      </c>
      <c r="L165" s="20" t="n">
        <v>39.316</v>
      </c>
      <c r="M165" s="20" t="n">
        <v>160.106</v>
      </c>
      <c r="N165" s="20" t="n">
        <v>217.841</v>
      </c>
      <c r="V165" s="20" t="n">
        <v>54.51</v>
      </c>
      <c r="W165" s="20" t="n">
        <v>-236.873</v>
      </c>
      <c r="X165" s="20" t="n">
        <v>217.841</v>
      </c>
    </row>
    <row r="166">
      <c r="A166" s="43" t="inlineStr">
        <is>
          <t>YoY</t>
        </is>
      </c>
      <c r="B166" s="3" t="inlineStr">
        <is>
          <t>전년 같은 분기·전년 대비</t>
        </is>
      </c>
      <c r="G166" s="15">
        <f>IF(OR(G165="",C165=""),"",IF(C165&lt;=0,"",IFERROR(G165/C165-1,"")))</f>
        <v/>
      </c>
      <c r="H166" s="15">
        <f>IF(OR(H165="",D165=""),"",IF(D165&lt;=0,"",IFERROR(H165/D165-1,"")))</f>
        <v/>
      </c>
      <c r="I166" s="15">
        <f>IF(OR(I165="",E165=""),"",IF(E165&lt;=0,"",IFERROR(I165/E165-1,"")))</f>
        <v/>
      </c>
      <c r="J166" s="15">
        <f>IF(OR(J165="",F165=""),"",IF(F165&lt;=0,"",IFERROR(J165/F165-1,"")))</f>
        <v/>
      </c>
      <c r="K166" s="15">
        <f>IF(OR(K165="",G165=""),"",IF(G165&lt;=0,"",IFERROR(K165/G165-1,"")))</f>
        <v/>
      </c>
      <c r="L166" s="15">
        <f>IF(OR(L165="",H165=""),"",IF(H165&lt;=0,"",IFERROR(L165/H165-1,"")))</f>
        <v/>
      </c>
      <c r="M166" s="15">
        <f>IF(OR(M165="",I165=""),"",IF(I165&lt;=0,"",IFERROR(M165/I165-1,"")))</f>
        <v/>
      </c>
      <c r="N166" s="15">
        <f>IF(OR(N165="",J165=""),"",IF(J165&lt;=0,"",IFERROR(N165/J165-1,"")))</f>
        <v/>
      </c>
      <c r="V166" s="15">
        <f>IF(OR(V165="",U165=""),"",IF(U165&lt;=0,"",IFERROR(V165/U165-1,"")))</f>
        <v/>
      </c>
      <c r="W166" s="15">
        <f>IF(OR(W165="",V165=""),"",IF(V165&lt;=0,"",IFERROR(W165/V165-1,"")))</f>
        <v/>
      </c>
      <c r="X166" s="15">
        <f>IF(OR(X165="",W165=""),"",IF(W165&lt;=0,"",IFERROR(X165/W165-1,"")))</f>
        <v/>
      </c>
    </row>
    <row r="167">
      <c r="A167" s="18" t="inlineStr">
        <is>
          <t>보고부문 합계 · 계</t>
        </is>
      </c>
      <c r="C167" s="20" t="n">
        <v>866.068</v>
      </c>
      <c r="D167" s="20" t="n">
        <v>894.376</v>
      </c>
      <c r="E167" s="20" t="n">
        <v>997.932</v>
      </c>
      <c r="F167" s="20" t="n">
        <v>654.063</v>
      </c>
      <c r="G167" s="20" t="n">
        <v>783.899</v>
      </c>
      <c r="H167" s="20" t="n">
        <v>823.261</v>
      </c>
      <c r="I167" s="20" t="n">
        <v>1011.058</v>
      </c>
      <c r="J167" s="20" t="n">
        <v>901.301</v>
      </c>
      <c r="K167" s="20" t="n">
        <v>820.764</v>
      </c>
      <c r="L167" s="20" t="n">
        <v>961.948</v>
      </c>
      <c r="M167" s="20" t="n">
        <v>1105.708</v>
      </c>
      <c r="N167" s="20" t="n">
        <v>863.247</v>
      </c>
      <c r="V167" s="20" t="n">
        <v>654.063</v>
      </c>
      <c r="W167" s="20" t="n">
        <v>901.301</v>
      </c>
      <c r="X167" s="20" t="n">
        <v>863.247</v>
      </c>
    </row>
    <row r="168">
      <c r="A168" s="43" t="inlineStr">
        <is>
          <t>YoY</t>
        </is>
      </c>
      <c r="B168" s="3" t="inlineStr">
        <is>
          <t>전년 같은 분기·전년 대비</t>
        </is>
      </c>
      <c r="G168" s="15">
        <f>IF(OR(G167="",C167=""),"",IF(C167&lt;=0,"",IFERROR(G167/C167-1,"")))</f>
        <v/>
      </c>
      <c r="H168" s="15">
        <f>IF(OR(H167="",D167=""),"",IF(D167&lt;=0,"",IFERROR(H167/D167-1,"")))</f>
        <v/>
      </c>
      <c r="I168" s="15">
        <f>IF(OR(I167="",E167=""),"",IF(E167&lt;=0,"",IFERROR(I167/E167-1,"")))</f>
        <v/>
      </c>
      <c r="J168" s="15">
        <f>IF(OR(J167="",F167=""),"",IF(F167&lt;=0,"",IFERROR(J167/F167-1,"")))</f>
        <v/>
      </c>
      <c r="K168" s="15">
        <f>IF(OR(K167="",G167=""),"",IF(G167&lt;=0,"",IFERROR(K167/G167-1,"")))</f>
        <v/>
      </c>
      <c r="L168" s="15">
        <f>IF(OR(L167="",H167=""),"",IF(H167&lt;=0,"",IFERROR(L167/H167-1,"")))</f>
        <v/>
      </c>
      <c r="M168" s="15">
        <f>IF(OR(M167="",I167=""),"",IF(I167&lt;=0,"",IFERROR(M167/I167-1,"")))</f>
        <v/>
      </c>
      <c r="N168" s="15">
        <f>IF(OR(N167="",J167=""),"",IF(J167&lt;=0,"",IFERROR(N167/J167-1,"")))</f>
        <v/>
      </c>
      <c r="V168" s="15">
        <f>IF(OR(V167="",U167=""),"",IF(U167&lt;=0,"",IFERROR(V167/U167-1,"")))</f>
        <v/>
      </c>
      <c r="W168" s="15">
        <f>IF(OR(W167="",V167=""),"",IF(V167&lt;=0,"",IFERROR(W167/V167-1,"")))</f>
        <v/>
      </c>
      <c r="X168" s="15">
        <f>IF(OR(X167="",W167=""),"",IF(W167&lt;=0,"",IFERROR(X167/W167-1,"")))</f>
        <v/>
      </c>
    </row>
    <row r="169">
      <c r="A169" s="18" t="inlineStr">
        <is>
          <t>조정액 · 계</t>
        </is>
      </c>
      <c r="C169" s="20" t="n">
        <v>-0.219</v>
      </c>
      <c r="D169" s="20" t="n">
        <v>0</v>
      </c>
      <c r="E169" s="20" t="n">
        <v>0</v>
      </c>
      <c r="F169" s="20" t="n">
        <v>-0.755</v>
      </c>
      <c r="G169" s="20" t="n">
        <v>0</v>
      </c>
      <c r="H169" s="20" t="n">
        <v>0</v>
      </c>
      <c r="I169" s="20" t="n">
        <v>0</v>
      </c>
      <c r="J169" s="20" t="n">
        <v>-0.219</v>
      </c>
      <c r="K169" s="20" t="n">
        <v>0</v>
      </c>
      <c r="L169" s="20" t="n">
        <v>0</v>
      </c>
      <c r="M169" s="20" t="n">
        <v>0</v>
      </c>
      <c r="N169" s="20" t="n">
        <v>0</v>
      </c>
      <c r="V169" s="20" t="n">
        <v>-0.755</v>
      </c>
      <c r="W169" s="20" t="n">
        <v>-0.219</v>
      </c>
      <c r="X169" s="20" t="n">
        <v>0</v>
      </c>
    </row>
    <row r="170">
      <c r="A170" s="9" t="inlineStr">
        <is>
          <t>계</t>
        </is>
      </c>
      <c r="C170" s="12" t="n">
        <v>865.849</v>
      </c>
      <c r="D170" s="12" t="n">
        <v>894.376</v>
      </c>
      <c r="E170" s="12" t="n">
        <v>997.932</v>
      </c>
      <c r="F170" s="12" t="n">
        <v>653.308</v>
      </c>
      <c r="G170" s="12" t="n">
        <v>783.899</v>
      </c>
      <c r="H170" s="12" t="n">
        <v>823.261</v>
      </c>
      <c r="I170" s="12" t="n">
        <v>1011.058</v>
      </c>
      <c r="J170" s="12" t="n">
        <v>901.082</v>
      </c>
      <c r="K170" s="12" t="n">
        <v>820.764</v>
      </c>
      <c r="L170" s="12" t="n">
        <v>961.948</v>
      </c>
      <c r="M170" s="12" t="n">
        <v>1105.708</v>
      </c>
      <c r="N170" s="12" t="n">
        <v>863.247</v>
      </c>
      <c r="V170" s="12" t="n">
        <v>653.308</v>
      </c>
      <c r="W170" s="12" t="n">
        <v>901.082</v>
      </c>
      <c r="X170" s="12" t="n">
        <v>863.247</v>
      </c>
    </row>
    <row r="171">
      <c r="A171" s="43" t="inlineStr">
        <is>
          <t>YoY</t>
        </is>
      </c>
      <c r="B171" s="3" t="inlineStr">
        <is>
          <t>전년 같은 분기·전년 대비</t>
        </is>
      </c>
      <c r="G171" s="15">
        <f>IF(OR(G170="",C170=""),"",IF(C170&lt;=0,"",IFERROR(G170/C170-1,"")))</f>
        <v/>
      </c>
      <c r="H171" s="15">
        <f>IF(OR(H170="",D170=""),"",IF(D170&lt;=0,"",IFERROR(H170/D170-1,"")))</f>
        <v/>
      </c>
      <c r="I171" s="15">
        <f>IF(OR(I170="",E170=""),"",IF(E170&lt;=0,"",IFERROR(I170/E170-1,"")))</f>
        <v/>
      </c>
      <c r="J171" s="15">
        <f>IF(OR(J170="",F170=""),"",IF(F170&lt;=0,"",IFERROR(J170/F170-1,"")))</f>
        <v/>
      </c>
      <c r="K171" s="15">
        <f>IF(OR(K170="",G170=""),"",IF(G170&lt;=0,"",IFERROR(K170/G170-1,"")))</f>
        <v/>
      </c>
      <c r="L171" s="15">
        <f>IF(OR(L170="",H170=""),"",IF(H170&lt;=0,"",IFERROR(L170/H170-1,"")))</f>
        <v/>
      </c>
      <c r="M171" s="15">
        <f>IF(OR(M170="",I170=""),"",IF(I170&lt;=0,"",IFERROR(M170/I170-1,"")))</f>
        <v/>
      </c>
      <c r="N171" s="15">
        <f>IF(OR(N170="",J170=""),"",IF(J170&lt;=0,"",IFERROR(N170/J170-1,"")))</f>
        <v/>
      </c>
      <c r="V171" s="15">
        <f>IF(OR(V170="",U170=""),"",IF(U170&lt;=0,"",IFERROR(V170/U170-1,"")))</f>
        <v/>
      </c>
      <c r="W171" s="15">
        <f>IF(OR(W170="",V170=""),"",IF(V170&lt;=0,"",IFERROR(W170/V170-1,"")))</f>
        <v/>
      </c>
      <c r="X171" s="15">
        <f>IF(OR(X170="",W170=""),"",IF(W170&lt;=0,"",IFERROR(X170/W170-1,"")))</f>
        <v/>
      </c>
    </row>
    <row r="172">
      <c r="A172" s="18" t="inlineStr">
        <is>
          <t>전자기판 사업 · 부문 이익(손실)</t>
        </is>
      </c>
      <c r="C172" s="20" t="n">
        <v>102.564</v>
      </c>
      <c r="D172" s="20" t="n">
        <v>61.148</v>
      </c>
      <c r="E172" s="20" t="n">
        <v>80.17400000000001</v>
      </c>
      <c r="F172" s="20" t="n">
        <v>155.358</v>
      </c>
      <c r="G172" s="20" t="n">
        <v>97.246</v>
      </c>
      <c r="H172" s="20" t="n">
        <v>115.904</v>
      </c>
      <c r="I172" s="20" t="n">
        <v>93.089</v>
      </c>
      <c r="J172" s="20" t="n">
        <v>26.564</v>
      </c>
      <c r="K172" s="20" t="n">
        <v>158.827</v>
      </c>
      <c r="L172" s="20" t="n">
        <v>136.731</v>
      </c>
      <c r="M172" s="20" t="n">
        <v>141.296</v>
      </c>
      <c r="N172" s="20" t="n">
        <v>64.027</v>
      </c>
      <c r="V172" s="20" t="n">
        <v>155.358</v>
      </c>
      <c r="W172" s="20" t="n">
        <v>26.564</v>
      </c>
      <c r="X172" s="20" t="n">
        <v>64.027</v>
      </c>
    </row>
    <row r="173">
      <c r="A173" s="43" t="inlineStr">
        <is>
          <t>OPM</t>
        </is>
      </c>
      <c r="B173" s="3" t="inlineStr">
        <is>
          <t>영업이익 ÷ 매출</t>
        </is>
      </c>
      <c r="C173" s="15">
        <f>IF(OR(C172="",C159=""),"",IF(C159&lt;=0,"",IFERROR(C172/C159,"")))</f>
        <v/>
      </c>
      <c r="D173" s="15">
        <f>IF(OR(D172="",D159=""),"",IF(D159&lt;=0,"",IFERROR(D172/D159,"")))</f>
        <v/>
      </c>
      <c r="E173" s="15">
        <f>IF(OR(E172="",E159=""),"",IF(E159&lt;=0,"",IFERROR(E172/E159,"")))</f>
        <v/>
      </c>
      <c r="F173" s="15">
        <f>IF(OR(F172="",F159=""),"",IF(F159&lt;=0,"",IFERROR(F172/F159,"")))</f>
        <v/>
      </c>
      <c r="G173" s="15">
        <f>IF(OR(G172="",G159=""),"",IF(G159&lt;=0,"",IFERROR(G172/G159,"")))</f>
        <v/>
      </c>
      <c r="H173" s="15">
        <f>IF(OR(H172="",H159=""),"",IF(H159&lt;=0,"",IFERROR(H172/H159,"")))</f>
        <v/>
      </c>
      <c r="I173" s="15">
        <f>IF(OR(I172="",I159=""),"",IF(I159&lt;=0,"",IFERROR(I172/I159,"")))</f>
        <v/>
      </c>
      <c r="J173" s="15">
        <f>IF(OR(J172="",J159=""),"",IF(J159&lt;=0,"",IFERROR(J172/J159,"")))</f>
        <v/>
      </c>
      <c r="K173" s="15">
        <f>IF(OR(K172="",K159=""),"",IF(K159&lt;=0,"",IFERROR(K172/K159,"")))</f>
        <v/>
      </c>
      <c r="L173" s="15">
        <f>IF(OR(L172="",L159=""),"",IF(L159&lt;=0,"",IFERROR(L172/L159,"")))</f>
        <v/>
      </c>
      <c r="M173" s="15">
        <f>IF(OR(M172="",M159=""),"",IF(M159&lt;=0,"",IFERROR(M172/M159,"")))</f>
        <v/>
      </c>
      <c r="N173" s="15">
        <f>IF(OR(N172="",N159=""),"",IF(N159&lt;=0,"",IFERROR(N172/N159,"")))</f>
        <v/>
      </c>
      <c r="V173" s="15">
        <f>IF(OR(V172="",V159=""),"",IF(V159&lt;=0,"",IFERROR(V172/V159,"")))</f>
        <v/>
      </c>
      <c r="W173" s="15">
        <f>IF(OR(W172="",W159=""),"",IF(W159&lt;=0,"",IFERROR(W172/W159,"")))</f>
        <v/>
      </c>
      <c r="X173" s="15">
        <f>IF(OR(X172="",X159=""),"",IF(X159&lt;=0,"",IFERROR(X172/X159,"")))</f>
        <v/>
      </c>
    </row>
    <row r="174">
      <c r="A174" s="43" t="inlineStr">
        <is>
          <t>YoY</t>
        </is>
      </c>
      <c r="B174" s="3" t="inlineStr">
        <is>
          <t>전년 같은 분기·전년 대비</t>
        </is>
      </c>
      <c r="G174" s="15">
        <f>IF(OR(G172="",C172=""),"",IF(C172&lt;=0,"",IFERROR(G172/C172-1,"")))</f>
        <v/>
      </c>
      <c r="H174" s="15">
        <f>IF(OR(H172="",D172=""),"",IF(D172&lt;=0,"",IFERROR(H172/D172-1,"")))</f>
        <v/>
      </c>
      <c r="I174" s="15">
        <f>IF(OR(I172="",E172=""),"",IF(E172&lt;=0,"",IFERROR(I172/E172-1,"")))</f>
        <v/>
      </c>
      <c r="J174" s="15">
        <f>IF(OR(J172="",F172=""),"",IF(F172&lt;=0,"",IFERROR(J172/F172-1,"")))</f>
        <v/>
      </c>
      <c r="K174" s="15">
        <f>IF(OR(K172="",G172=""),"",IF(G172&lt;=0,"",IFERROR(K172/G172-1,"")))</f>
        <v/>
      </c>
      <c r="L174" s="15">
        <f>IF(OR(L172="",H172=""),"",IF(H172&lt;=0,"",IFERROR(L172/H172-1,"")))</f>
        <v/>
      </c>
      <c r="M174" s="15">
        <f>IF(OR(M172="",I172=""),"",IF(I172&lt;=0,"",IFERROR(M172/I172-1,"")))</f>
        <v/>
      </c>
      <c r="N174" s="15">
        <f>IF(OR(N172="",J172=""),"",IF(J172&lt;=0,"",IFERROR(N172/J172-1,"")))</f>
        <v/>
      </c>
      <c r="V174" s="15">
        <f>IF(OR(V172="",U172=""),"",IF(U172&lt;=0,"",IFERROR(V172/U172-1,"")))</f>
        <v/>
      </c>
      <c r="W174" s="15">
        <f>IF(OR(W172="",V172=""),"",IF(V172&lt;=0,"",IFERROR(W172/V172-1,"")))</f>
        <v/>
      </c>
      <c r="X174" s="15">
        <f>IF(OR(X172="",W172=""),"",IF(W172&lt;=0,"",IFERROR(X172/W172-1,"")))</f>
        <v/>
      </c>
    </row>
    <row r="175">
      <c r="A175" s="18" t="inlineStr">
        <is>
          <t>테스트시스템 사업 · 부문 이익(손실)</t>
        </is>
      </c>
      <c r="C175" s="20" t="n">
        <v>18.803</v>
      </c>
      <c r="D175" s="20" t="n">
        <v>12.857</v>
      </c>
      <c r="E175" s="20" t="n">
        <v>24.595</v>
      </c>
      <c r="F175" s="20" t="n">
        <v>-150.815</v>
      </c>
      <c r="G175" s="20" t="n">
        <v>-39.937</v>
      </c>
      <c r="H175" s="20" t="n">
        <v>-30.22</v>
      </c>
      <c r="I175" s="20" t="n">
        <v>-17.631</v>
      </c>
      <c r="J175" s="20" t="n">
        <v>110.743</v>
      </c>
      <c r="K175" s="20" t="n">
        <v>-28.166</v>
      </c>
      <c r="L175" s="20" t="n">
        <v>-5.772</v>
      </c>
      <c r="M175" s="20" t="n">
        <v>-14.6</v>
      </c>
      <c r="N175" s="20" t="n">
        <v>14.571</v>
      </c>
      <c r="V175" s="20" t="n">
        <v>-150.815</v>
      </c>
      <c r="W175" s="20" t="n">
        <v>110.743</v>
      </c>
      <c r="X175" s="20" t="n">
        <v>14.571</v>
      </c>
    </row>
    <row r="176">
      <c r="A176" s="43" t="inlineStr">
        <is>
          <t>OPM</t>
        </is>
      </c>
      <c r="B176" s="3" t="inlineStr">
        <is>
          <t>영업이익 ÷ 매출</t>
        </is>
      </c>
      <c r="C176" s="15">
        <f>IF(OR(C175="",C161=""),"",IF(C161&lt;=0,"",IFERROR(C175/C161,"")))</f>
        <v/>
      </c>
      <c r="D176" s="15">
        <f>IF(OR(D175="",D161=""),"",IF(D161&lt;=0,"",IFERROR(D175/D161,"")))</f>
        <v/>
      </c>
      <c r="E176" s="15">
        <f>IF(OR(E175="",E161=""),"",IF(E161&lt;=0,"",IFERROR(E175/E161,"")))</f>
        <v/>
      </c>
      <c r="F176" s="15">
        <f>IF(OR(F175="",F161=""),"",IF(F161&lt;=0,"",IFERROR(F175/F161,"")))</f>
        <v/>
      </c>
      <c r="G176" s="15">
        <f>IF(OR(G175="",G161=""),"",IF(G161&lt;=0,"",IFERROR(G175/G161,"")))</f>
        <v/>
      </c>
      <c r="H176" s="15">
        <f>IF(OR(H175="",H161=""),"",IF(H161&lt;=0,"",IFERROR(H175/H161,"")))</f>
        <v/>
      </c>
      <c r="I176" s="15">
        <f>IF(OR(I175="",I161=""),"",IF(I161&lt;=0,"",IFERROR(I175/I161,"")))</f>
        <v/>
      </c>
      <c r="J176" s="15">
        <f>IF(OR(J175="",J161=""),"",IF(J161&lt;=0,"",IFERROR(J175/J161,"")))</f>
        <v/>
      </c>
      <c r="K176" s="15">
        <f>IF(OR(K175="",K161=""),"",IF(K161&lt;=0,"",IFERROR(K175/K161,"")))</f>
        <v/>
      </c>
      <c r="L176" s="15">
        <f>IF(OR(L175="",L161=""),"",IF(L161&lt;=0,"",IFERROR(L175/L161,"")))</f>
        <v/>
      </c>
      <c r="M176" s="15">
        <f>IF(OR(M175="",M161=""),"",IF(M161&lt;=0,"",IFERROR(M175/M161,"")))</f>
        <v/>
      </c>
      <c r="N176" s="15">
        <f>IF(OR(N175="",N161=""),"",IF(N161&lt;=0,"",IFERROR(N175/N161,"")))</f>
        <v/>
      </c>
      <c r="V176" s="15">
        <f>IF(OR(V175="",V161=""),"",IF(V161&lt;=0,"",IFERROR(V175/V161,"")))</f>
        <v/>
      </c>
      <c r="W176" s="15">
        <f>IF(OR(W175="",W161=""),"",IF(W161&lt;=0,"",IFERROR(W175/W161,"")))</f>
        <v/>
      </c>
      <c r="X176" s="15">
        <f>IF(OR(X175="",X161=""),"",IF(X161&lt;=0,"",IFERROR(X175/X161,"")))</f>
        <v/>
      </c>
    </row>
    <row r="177">
      <c r="A177" s="43" t="inlineStr">
        <is>
          <t>YoY</t>
        </is>
      </c>
      <c r="B177" s="3" t="inlineStr">
        <is>
          <t>전년 같은 분기·전년 대비</t>
        </is>
      </c>
      <c r="G177" s="15">
        <f>IF(OR(G175="",C175=""),"",IF(C175&lt;=0,"",IFERROR(G175/C175-1,"")))</f>
        <v/>
      </c>
      <c r="H177" s="15">
        <f>IF(OR(H175="",D175=""),"",IF(D175&lt;=0,"",IFERROR(H175/D175-1,"")))</f>
        <v/>
      </c>
      <c r="I177" s="15">
        <f>IF(OR(I175="",E175=""),"",IF(E175&lt;=0,"",IFERROR(I175/E175-1,"")))</f>
        <v/>
      </c>
      <c r="J177" s="15">
        <f>IF(OR(J175="",F175=""),"",IF(F175&lt;=0,"",IFERROR(J175/F175-1,"")))</f>
        <v/>
      </c>
      <c r="K177" s="15">
        <f>IF(OR(K175="",G175=""),"",IF(G175&lt;=0,"",IFERROR(K175/G175-1,"")))</f>
        <v/>
      </c>
      <c r="L177" s="15">
        <f>IF(OR(L175="",H175=""),"",IF(H175&lt;=0,"",IFERROR(L175/H175-1,"")))</f>
        <v/>
      </c>
      <c r="M177" s="15">
        <f>IF(OR(M175="",I175=""),"",IF(I175&lt;=0,"",IFERROR(M175/I175-1,"")))</f>
        <v/>
      </c>
      <c r="N177" s="15">
        <f>IF(OR(N175="",J175=""),"",IF(J175&lt;=0,"",IFERROR(N175/J175-1,"")))</f>
        <v/>
      </c>
      <c r="V177" s="15">
        <f>IF(OR(V175="",U175=""),"",IF(U175&lt;=0,"",IFERROR(V175/U175-1,"")))</f>
        <v/>
      </c>
      <c r="W177" s="15">
        <f>IF(OR(W175="",V175=""),"",IF(V175&lt;=0,"",IFERROR(W175/V175-1,"")))</f>
        <v/>
      </c>
      <c r="X177" s="15">
        <f>IF(OR(X175="",W175=""),"",IF(W175&lt;=0,"",IFERROR(X175/W175-1,"")))</f>
        <v/>
      </c>
    </row>
    <row r="178">
      <c r="A178" s="18" t="inlineStr">
        <is>
          <t>경면연마기 사업 · 부문 이익(손실)</t>
        </is>
      </c>
      <c r="C178" s="20" t="n">
        <v>8.965999999999999</v>
      </c>
      <c r="D178" s="20" t="n">
        <v>7.526</v>
      </c>
      <c r="E178" s="20" t="n">
        <v>36.912</v>
      </c>
      <c r="F178" s="20" t="n">
        <v>-3.828</v>
      </c>
      <c r="G178" s="20" t="n">
        <v>22.907</v>
      </c>
      <c r="H178" s="20" t="n">
        <v>9.861000000000001</v>
      </c>
      <c r="I178" s="20" t="n">
        <v>19.718</v>
      </c>
      <c r="J178" s="20" t="n">
        <v>17.249</v>
      </c>
      <c r="K178" s="20" t="n">
        <v>5.319</v>
      </c>
      <c r="L178" s="20" t="n">
        <v>35.308</v>
      </c>
      <c r="M178" s="20" t="n">
        <v>31.352</v>
      </c>
      <c r="N178" s="20" t="n">
        <v>-1.719</v>
      </c>
      <c r="V178" s="20" t="n">
        <v>-3.828</v>
      </c>
      <c r="W178" s="20" t="n">
        <v>17.249</v>
      </c>
      <c r="X178" s="20" t="n">
        <v>-1.719</v>
      </c>
    </row>
    <row r="179">
      <c r="A179" s="43" t="inlineStr">
        <is>
          <t>OPM</t>
        </is>
      </c>
      <c r="B179" s="3" t="inlineStr">
        <is>
          <t>영업이익 ÷ 매출</t>
        </is>
      </c>
      <c r="C179" s="15">
        <f>IF(OR(C178="",C163=""),"",IF(C163&lt;=0,"",IFERROR(C178/C163,"")))</f>
        <v/>
      </c>
      <c r="D179" s="15">
        <f>IF(OR(D178="",D163=""),"",IF(D163&lt;=0,"",IFERROR(D178/D163,"")))</f>
        <v/>
      </c>
      <c r="E179" s="15">
        <f>IF(OR(E178="",E163=""),"",IF(E163&lt;=0,"",IFERROR(E178/E163,"")))</f>
        <v/>
      </c>
      <c r="F179" s="15">
        <f>IF(OR(F178="",F163=""),"",IF(F163&lt;=0,"",IFERROR(F178/F163,"")))</f>
        <v/>
      </c>
      <c r="G179" s="15">
        <f>IF(OR(G178="",G163=""),"",IF(G163&lt;=0,"",IFERROR(G178/G163,"")))</f>
        <v/>
      </c>
      <c r="H179" s="15">
        <f>IF(OR(H178="",H163=""),"",IF(H163&lt;=0,"",IFERROR(H178/H163,"")))</f>
        <v/>
      </c>
      <c r="I179" s="15">
        <f>IF(OR(I178="",I163=""),"",IF(I163&lt;=0,"",IFERROR(I178/I163,"")))</f>
        <v/>
      </c>
      <c r="J179" s="15">
        <f>IF(OR(J178="",J163=""),"",IF(J163&lt;=0,"",IFERROR(J178/J163,"")))</f>
        <v/>
      </c>
      <c r="K179" s="15">
        <f>IF(OR(K178="",K163=""),"",IF(K163&lt;=0,"",IFERROR(K178/K163,"")))</f>
        <v/>
      </c>
      <c r="L179" s="15">
        <f>IF(OR(L178="",L163=""),"",IF(L163&lt;=0,"",IFERROR(L178/L163,"")))</f>
        <v/>
      </c>
      <c r="M179" s="15">
        <f>IF(OR(M178="",M163=""),"",IF(M163&lt;=0,"",IFERROR(M178/M163,"")))</f>
        <v/>
      </c>
      <c r="N179" s="15">
        <f>IF(OR(N178="",N163=""),"",IF(N163&lt;=0,"",IFERROR(N178/N163,"")))</f>
        <v/>
      </c>
      <c r="V179" s="15">
        <f>IF(OR(V178="",V163=""),"",IF(V163&lt;=0,"",IFERROR(V178/V163,"")))</f>
        <v/>
      </c>
      <c r="W179" s="15">
        <f>IF(OR(W178="",W163=""),"",IF(W163&lt;=0,"",IFERROR(W178/W163,"")))</f>
        <v/>
      </c>
      <c r="X179" s="15">
        <f>IF(OR(X178="",X163=""),"",IF(X163&lt;=0,"",IFERROR(X178/X163,"")))</f>
        <v/>
      </c>
    </row>
    <row r="180">
      <c r="A180" s="43" t="inlineStr">
        <is>
          <t>YoY</t>
        </is>
      </c>
      <c r="B180" s="3" t="inlineStr">
        <is>
          <t>전년 같은 분기·전년 대비</t>
        </is>
      </c>
      <c r="G180" s="15">
        <f>IF(OR(G178="",C178=""),"",IF(C178&lt;=0,"",IFERROR(G178/C178-1,"")))</f>
        <v/>
      </c>
      <c r="H180" s="15">
        <f>IF(OR(H178="",D178=""),"",IF(D178&lt;=0,"",IFERROR(H178/D178-1,"")))</f>
        <v/>
      </c>
      <c r="I180" s="15">
        <f>IF(OR(I178="",E178=""),"",IF(E178&lt;=0,"",IFERROR(I178/E178-1,"")))</f>
        <v/>
      </c>
      <c r="J180" s="15">
        <f>IF(OR(J178="",F178=""),"",IF(F178&lt;=0,"",IFERROR(J178/F178-1,"")))</f>
        <v/>
      </c>
      <c r="K180" s="15">
        <f>IF(OR(K178="",G178=""),"",IF(G178&lt;=0,"",IFERROR(K178/G178-1,"")))</f>
        <v/>
      </c>
      <c r="L180" s="15">
        <f>IF(OR(L178="",H178=""),"",IF(H178&lt;=0,"",IFERROR(L178/H178-1,"")))</f>
        <v/>
      </c>
      <c r="M180" s="15">
        <f>IF(OR(M178="",I178=""),"",IF(I178&lt;=0,"",IFERROR(M178/I178-1,"")))</f>
        <v/>
      </c>
      <c r="N180" s="15">
        <f>IF(OR(N178="",J178=""),"",IF(J178&lt;=0,"",IFERROR(N178/J178-1,"")))</f>
        <v/>
      </c>
      <c r="V180" s="15">
        <f>IF(OR(V178="",U178=""),"",IF(U178&lt;=0,"",IFERROR(V178/U178-1,"")))</f>
        <v/>
      </c>
      <c r="W180" s="15">
        <f>IF(OR(W178="",V178=""),"",IF(V178&lt;=0,"",IFERROR(W178/V178-1,"")))</f>
        <v/>
      </c>
      <c r="X180" s="15">
        <f>IF(OR(X178="",W178=""),"",IF(W178&lt;=0,"",IFERROR(X178/W178-1,"")))</f>
        <v/>
      </c>
    </row>
    <row r="181">
      <c r="A181" s="18" t="inlineStr">
        <is>
          <t>산업기계시스템 사업 · 부문 이익(손실)</t>
        </is>
      </c>
      <c r="C181" s="20" t="n">
        <v>-13.909</v>
      </c>
      <c r="D181" s="20" t="n">
        <v>-5.657</v>
      </c>
      <c r="E181" s="20" t="n">
        <v>-0.189</v>
      </c>
      <c r="F181" s="20" t="n">
        <v>-20.508</v>
      </c>
      <c r="G181" s="20" t="n">
        <v>-12.568</v>
      </c>
      <c r="H181" s="20" t="n">
        <v>10.597</v>
      </c>
      <c r="I181" s="20" t="n">
        <v>29.494</v>
      </c>
      <c r="J181" s="20" t="n">
        <v>-57.091</v>
      </c>
      <c r="K181" s="20" t="n">
        <v>-6.845</v>
      </c>
      <c r="L181" s="20" t="n">
        <v>1.045</v>
      </c>
      <c r="M181" s="20" t="n">
        <v>14.589</v>
      </c>
      <c r="N181" s="20" t="n">
        <v>31.397</v>
      </c>
      <c r="V181" s="20" t="n">
        <v>-20.508</v>
      </c>
      <c r="W181" s="20" t="n">
        <v>-57.091</v>
      </c>
      <c r="X181" s="20" t="n">
        <v>31.397</v>
      </c>
    </row>
    <row r="182">
      <c r="A182" s="43" t="inlineStr">
        <is>
          <t>OPM</t>
        </is>
      </c>
      <c r="B182" s="3" t="inlineStr">
        <is>
          <t>영업이익 ÷ 매출</t>
        </is>
      </c>
      <c r="C182" s="15">
        <f>IF(OR(C181="",C165=""),"",IF(C165&lt;=0,"",IFERROR(C181/C165,"")))</f>
        <v/>
      </c>
      <c r="D182" s="15">
        <f>IF(OR(D181="",D165=""),"",IF(D165&lt;=0,"",IFERROR(D181/D165,"")))</f>
        <v/>
      </c>
      <c r="E182" s="15">
        <f>IF(OR(E181="",E165=""),"",IF(E165&lt;=0,"",IFERROR(E181/E165,"")))</f>
        <v/>
      </c>
      <c r="F182" s="15">
        <f>IF(OR(F181="",F165=""),"",IF(F165&lt;=0,"",IFERROR(F181/F165,"")))</f>
        <v/>
      </c>
      <c r="G182" s="15">
        <f>IF(OR(G181="",G165=""),"",IF(G165&lt;=0,"",IFERROR(G181/G165,"")))</f>
        <v/>
      </c>
      <c r="H182" s="15">
        <f>IF(OR(H181="",H165=""),"",IF(H165&lt;=0,"",IFERROR(H181/H165,"")))</f>
        <v/>
      </c>
      <c r="I182" s="15">
        <f>IF(OR(I181="",I165=""),"",IF(I165&lt;=0,"",IFERROR(I181/I165,"")))</f>
        <v/>
      </c>
      <c r="J182" s="15">
        <f>IF(OR(J181="",J165=""),"",IF(J165&lt;=0,"",IFERROR(J181/J165,"")))</f>
        <v/>
      </c>
      <c r="K182" s="15">
        <f>IF(OR(K181="",K165=""),"",IF(K165&lt;=0,"",IFERROR(K181/K165,"")))</f>
        <v/>
      </c>
      <c r="L182" s="15">
        <f>IF(OR(L181="",L165=""),"",IF(L165&lt;=0,"",IFERROR(L181/L165,"")))</f>
        <v/>
      </c>
      <c r="M182" s="15">
        <f>IF(OR(M181="",M165=""),"",IF(M165&lt;=0,"",IFERROR(M181/M165,"")))</f>
        <v/>
      </c>
      <c r="N182" s="15">
        <f>IF(OR(N181="",N165=""),"",IF(N165&lt;=0,"",IFERROR(N181/N165,"")))</f>
        <v/>
      </c>
      <c r="V182" s="15">
        <f>IF(OR(V181="",V165=""),"",IF(V165&lt;=0,"",IFERROR(V181/V165,"")))</f>
        <v/>
      </c>
      <c r="W182" s="15">
        <f>IF(OR(W181="",W165=""),"",IF(W165&lt;=0,"",IFERROR(W181/W165,"")))</f>
        <v/>
      </c>
      <c r="X182" s="15">
        <f>IF(OR(X181="",X165=""),"",IF(X165&lt;=0,"",IFERROR(X181/X165,"")))</f>
        <v/>
      </c>
    </row>
    <row r="183">
      <c r="A183" s="43" t="inlineStr">
        <is>
          <t>YoY</t>
        </is>
      </c>
      <c r="B183" s="3" t="inlineStr">
        <is>
          <t>전년 같은 분기·전년 대비</t>
        </is>
      </c>
      <c r="G183" s="15">
        <f>IF(OR(G181="",C181=""),"",IF(C181&lt;=0,"",IFERROR(G181/C181-1,"")))</f>
        <v/>
      </c>
      <c r="H183" s="15">
        <f>IF(OR(H181="",D181=""),"",IF(D181&lt;=0,"",IFERROR(H181/D181-1,"")))</f>
        <v/>
      </c>
      <c r="I183" s="15">
        <f>IF(OR(I181="",E181=""),"",IF(E181&lt;=0,"",IFERROR(I181/E181-1,"")))</f>
        <v/>
      </c>
      <c r="J183" s="15">
        <f>IF(OR(J181="",F181=""),"",IF(F181&lt;=0,"",IFERROR(J181/F181-1,"")))</f>
        <v/>
      </c>
      <c r="K183" s="15">
        <f>IF(OR(K181="",G181=""),"",IF(G181&lt;=0,"",IFERROR(K181/G181-1,"")))</f>
        <v/>
      </c>
      <c r="L183" s="15">
        <f>IF(OR(L181="",H181=""),"",IF(H181&lt;=0,"",IFERROR(L181/H181-1,"")))</f>
        <v/>
      </c>
      <c r="M183" s="15">
        <f>IF(OR(M181="",I181=""),"",IF(I181&lt;=0,"",IFERROR(M181/I181-1,"")))</f>
        <v/>
      </c>
      <c r="N183" s="15">
        <f>IF(OR(N181="",J181=""),"",IF(J181&lt;=0,"",IFERROR(N181/J181-1,"")))</f>
        <v/>
      </c>
      <c r="V183" s="15">
        <f>IF(OR(V181="",U181=""),"",IF(U181&lt;=0,"",IFERROR(V181/U181-1,"")))</f>
        <v/>
      </c>
      <c r="W183" s="15">
        <f>IF(OR(W181="",V181=""),"",IF(V181&lt;=0,"",IFERROR(W181/V181-1,"")))</f>
        <v/>
      </c>
      <c r="X183" s="15">
        <f>IF(OR(X181="",W181=""),"",IF(W181&lt;=0,"",IFERROR(X181/W181-1,"")))</f>
        <v/>
      </c>
    </row>
    <row r="184">
      <c r="A184" s="18" t="inlineStr">
        <is>
          <t>보고부문 합계 · 부문 이익(손실)</t>
        </is>
      </c>
      <c r="C184" s="20" t="n">
        <v>116.424</v>
      </c>
      <c r="D184" s="20" t="n">
        <v>75.875</v>
      </c>
      <c r="E184" s="20" t="n">
        <v>141.492</v>
      </c>
      <c r="F184" s="20" t="n">
        <v>-19.794</v>
      </c>
      <c r="G184" s="20" t="n">
        <v>67.648</v>
      </c>
      <c r="H184" s="20" t="n">
        <v>106.142</v>
      </c>
      <c r="I184" s="20" t="n">
        <v>124.671</v>
      </c>
      <c r="J184" s="20" t="n">
        <v>97.465</v>
      </c>
      <c r="K184" s="20" t="n">
        <v>129.135</v>
      </c>
      <c r="L184" s="20" t="n">
        <v>167.311</v>
      </c>
      <c r="M184" s="20" t="n">
        <v>172.639</v>
      </c>
      <c r="N184" s="20" t="n">
        <v>108.275</v>
      </c>
      <c r="V184" s="20" t="n">
        <v>-19.794</v>
      </c>
      <c r="W184" s="20" t="n">
        <v>97.465</v>
      </c>
      <c r="X184" s="20" t="n">
        <v>108.275</v>
      </c>
    </row>
    <row r="185">
      <c r="A185" s="43" t="inlineStr">
        <is>
          <t>OPM</t>
        </is>
      </c>
      <c r="B185" s="3" t="inlineStr">
        <is>
          <t>영업이익 ÷ 매출</t>
        </is>
      </c>
      <c r="C185" s="15">
        <f>IF(OR(C184="",C167=""),"",IF(C167&lt;=0,"",IFERROR(C184/C167,"")))</f>
        <v/>
      </c>
      <c r="D185" s="15">
        <f>IF(OR(D184="",D167=""),"",IF(D167&lt;=0,"",IFERROR(D184/D167,"")))</f>
        <v/>
      </c>
      <c r="E185" s="15">
        <f>IF(OR(E184="",E167=""),"",IF(E167&lt;=0,"",IFERROR(E184/E167,"")))</f>
        <v/>
      </c>
      <c r="F185" s="15">
        <f>IF(OR(F184="",F167=""),"",IF(F167&lt;=0,"",IFERROR(F184/F167,"")))</f>
        <v/>
      </c>
      <c r="G185" s="15">
        <f>IF(OR(G184="",G167=""),"",IF(G167&lt;=0,"",IFERROR(G184/G167,"")))</f>
        <v/>
      </c>
      <c r="H185" s="15">
        <f>IF(OR(H184="",H167=""),"",IF(H167&lt;=0,"",IFERROR(H184/H167,"")))</f>
        <v/>
      </c>
      <c r="I185" s="15">
        <f>IF(OR(I184="",I167=""),"",IF(I167&lt;=0,"",IFERROR(I184/I167,"")))</f>
        <v/>
      </c>
      <c r="J185" s="15">
        <f>IF(OR(J184="",J167=""),"",IF(J167&lt;=0,"",IFERROR(J184/J167,"")))</f>
        <v/>
      </c>
      <c r="K185" s="15">
        <f>IF(OR(K184="",K167=""),"",IF(K167&lt;=0,"",IFERROR(K184/K167,"")))</f>
        <v/>
      </c>
      <c r="L185" s="15">
        <f>IF(OR(L184="",L167=""),"",IF(L167&lt;=0,"",IFERROR(L184/L167,"")))</f>
        <v/>
      </c>
      <c r="M185" s="15">
        <f>IF(OR(M184="",M167=""),"",IF(M167&lt;=0,"",IFERROR(M184/M167,"")))</f>
        <v/>
      </c>
      <c r="N185" s="15">
        <f>IF(OR(N184="",N167=""),"",IF(N167&lt;=0,"",IFERROR(N184/N167,"")))</f>
        <v/>
      </c>
      <c r="V185" s="15">
        <f>IF(OR(V184="",V167=""),"",IF(V167&lt;=0,"",IFERROR(V184/V167,"")))</f>
        <v/>
      </c>
      <c r="W185" s="15">
        <f>IF(OR(W184="",W167=""),"",IF(W167&lt;=0,"",IFERROR(W184/W167,"")))</f>
        <v/>
      </c>
      <c r="X185" s="15">
        <f>IF(OR(X184="",X167=""),"",IF(X167&lt;=0,"",IFERROR(X184/X167,"")))</f>
        <v/>
      </c>
    </row>
    <row r="186">
      <c r="A186" s="43" t="inlineStr">
        <is>
          <t>YoY</t>
        </is>
      </c>
      <c r="B186" s="3" t="inlineStr">
        <is>
          <t>전년 같은 분기·전년 대비</t>
        </is>
      </c>
      <c r="G186" s="15">
        <f>IF(OR(G184="",C184=""),"",IF(C184&lt;=0,"",IFERROR(G184/C184-1,"")))</f>
        <v/>
      </c>
      <c r="H186" s="15">
        <f>IF(OR(H184="",D184=""),"",IF(D184&lt;=0,"",IFERROR(H184/D184-1,"")))</f>
        <v/>
      </c>
      <c r="I186" s="15">
        <f>IF(OR(I184="",E184=""),"",IF(E184&lt;=0,"",IFERROR(I184/E184-1,"")))</f>
        <v/>
      </c>
      <c r="J186" s="15">
        <f>IF(OR(J184="",F184=""),"",IF(F184&lt;=0,"",IFERROR(J184/F184-1,"")))</f>
        <v/>
      </c>
      <c r="K186" s="15">
        <f>IF(OR(K184="",G184=""),"",IF(G184&lt;=0,"",IFERROR(K184/G184-1,"")))</f>
        <v/>
      </c>
      <c r="L186" s="15">
        <f>IF(OR(L184="",H184=""),"",IF(H184&lt;=0,"",IFERROR(L184/H184-1,"")))</f>
        <v/>
      </c>
      <c r="M186" s="15">
        <f>IF(OR(M184="",I184=""),"",IF(I184&lt;=0,"",IFERROR(M184/I184-1,"")))</f>
        <v/>
      </c>
      <c r="N186" s="15">
        <f>IF(OR(N184="",J184=""),"",IF(J184&lt;=0,"",IFERROR(N184/J184-1,"")))</f>
        <v/>
      </c>
      <c r="V186" s="15">
        <f>IF(OR(V184="",U184=""),"",IF(U184&lt;=0,"",IFERROR(V184/U184-1,"")))</f>
        <v/>
      </c>
      <c r="W186" s="15">
        <f>IF(OR(W184="",V184=""),"",IF(V184&lt;=0,"",IFERROR(W184/V184-1,"")))</f>
        <v/>
      </c>
      <c r="X186" s="15">
        <f>IF(OR(X184="",W184=""),"",IF(W184&lt;=0,"",IFERROR(X184/W184-1,"")))</f>
        <v/>
      </c>
    </row>
    <row r="187">
      <c r="A187" s="18" t="inlineStr">
        <is>
          <t>조정액 · 부문 이익(손실)</t>
        </is>
      </c>
      <c r="C187" s="20" t="n">
        <v>-114.656</v>
      </c>
      <c r="D187" s="20" t="n">
        <v>-112.108</v>
      </c>
      <c r="E187" s="20" t="n">
        <v>-110.337</v>
      </c>
      <c r="F187" s="20" t="n">
        <v>-118.769</v>
      </c>
      <c r="G187" s="20" t="n">
        <v>-127.177</v>
      </c>
      <c r="H187" s="20" t="n">
        <v>-104.049</v>
      </c>
      <c r="I187" s="20" t="n">
        <v>-100.385</v>
      </c>
      <c r="J187" s="20" t="n">
        <v>-118.403</v>
      </c>
      <c r="K187" s="20" t="n">
        <v>-104.975</v>
      </c>
      <c r="L187" s="20" t="n">
        <v>-108.093</v>
      </c>
      <c r="M187" s="20" t="n">
        <v>-116.402</v>
      </c>
      <c r="N187" s="20" t="n">
        <v>-105.317</v>
      </c>
      <c r="V187" s="20" t="n">
        <v>-118.769</v>
      </c>
      <c r="W187" s="20" t="n">
        <v>-118.403</v>
      </c>
      <c r="X187" s="20" t="n">
        <v>-105.317</v>
      </c>
    </row>
    <row r="188">
      <c r="A188" s="9" t="inlineStr">
        <is>
          <t>부문 이익(손실)</t>
        </is>
      </c>
      <c r="C188" s="12" t="n">
        <v>1.767</v>
      </c>
      <c r="D188" s="12" t="n">
        <v>-36.232</v>
      </c>
      <c r="E188" s="12" t="n">
        <v>31.156</v>
      </c>
      <c r="F188" s="12" t="n">
        <v>-138.564</v>
      </c>
      <c r="G188" s="12" t="n">
        <v>-59.528</v>
      </c>
      <c r="H188" s="12" t="n">
        <v>2.093</v>
      </c>
      <c r="I188" s="12" t="n">
        <v>24.286</v>
      </c>
      <c r="J188" s="12" t="n">
        <v>-20.939</v>
      </c>
      <c r="K188" s="12" t="n">
        <v>24.16</v>
      </c>
      <c r="L188" s="12" t="n">
        <v>59.218</v>
      </c>
      <c r="M188" s="12" t="n">
        <v>56.236</v>
      </c>
      <c r="N188" s="12" t="n">
        <v>2.958</v>
      </c>
      <c r="V188" s="12" t="n">
        <v>-138.564</v>
      </c>
      <c r="W188" s="12" t="n">
        <v>-20.939</v>
      </c>
      <c r="X188" s="12" t="n">
        <v>2.958</v>
      </c>
    </row>
    <row r="189">
      <c r="A189" s="43" t="inlineStr">
        <is>
          <t>OPM</t>
        </is>
      </c>
      <c r="B189" s="3" t="inlineStr">
        <is>
          <t>영업이익 ÷ 매출</t>
        </is>
      </c>
      <c r="C189" s="15">
        <f>IF(OR(C188="",C150=""),"",IF(C150&lt;=0,"",IFERROR(C188/C150,"")))</f>
        <v/>
      </c>
      <c r="D189" s="15">
        <f>IF(OR(D188="",D150=""),"",IF(D150&lt;=0,"",IFERROR(D188/D150,"")))</f>
        <v/>
      </c>
      <c r="E189" s="15">
        <f>IF(OR(E188="",E150=""),"",IF(E150&lt;=0,"",IFERROR(E188/E150,"")))</f>
        <v/>
      </c>
      <c r="F189" s="15">
        <f>IF(OR(F188="",F150=""),"",IF(F150&lt;=0,"",IFERROR(F188/F150,"")))</f>
        <v/>
      </c>
      <c r="G189" s="15">
        <f>IF(OR(G188="",G150=""),"",IF(G150&lt;=0,"",IFERROR(G188/G150,"")))</f>
        <v/>
      </c>
      <c r="H189" s="15">
        <f>IF(OR(H188="",H150=""),"",IF(H150&lt;=0,"",IFERROR(H188/H150,"")))</f>
        <v/>
      </c>
      <c r="I189" s="15">
        <f>IF(OR(I188="",I150=""),"",IF(I150&lt;=0,"",IFERROR(I188/I150,"")))</f>
        <v/>
      </c>
      <c r="J189" s="15">
        <f>IF(OR(J188="",J150=""),"",IF(J150&lt;=0,"",IFERROR(J188/J150,"")))</f>
        <v/>
      </c>
      <c r="K189" s="15">
        <f>IF(OR(K188="",K150=""),"",IF(K150&lt;=0,"",IFERROR(K188/K150,"")))</f>
        <v/>
      </c>
      <c r="L189" s="15">
        <f>IF(OR(L188="",L150=""),"",IF(L150&lt;=0,"",IFERROR(L188/L150,"")))</f>
        <v/>
      </c>
      <c r="M189" s="15">
        <f>IF(OR(M188="",M150=""),"",IF(M150&lt;=0,"",IFERROR(M188/M150,"")))</f>
        <v/>
      </c>
      <c r="N189" s="15">
        <f>IF(OR(N188="",N150=""),"",IF(N150&lt;=0,"",IFERROR(N188/N150,"")))</f>
        <v/>
      </c>
      <c r="V189" s="15">
        <f>IF(OR(V188="",V150=""),"",IF(V150&lt;=0,"",IFERROR(V188/V150,"")))</f>
        <v/>
      </c>
      <c r="W189" s="15">
        <f>IF(OR(W188="",W150=""),"",IF(W150&lt;=0,"",IFERROR(W188/W150,"")))</f>
        <v/>
      </c>
      <c r="X189" s="15">
        <f>IF(OR(X188="",X150=""),"",IF(X150&lt;=0,"",IFERROR(X188/X150,"")))</f>
        <v/>
      </c>
    </row>
    <row r="190">
      <c r="A190" s="43" t="inlineStr">
        <is>
          <t>YoY</t>
        </is>
      </c>
      <c r="B190" s="3" t="inlineStr">
        <is>
          <t>전년 같은 분기·전년 대비</t>
        </is>
      </c>
      <c r="G190" s="15">
        <f>IF(OR(G188="",C188=""),"",IF(C188&lt;=0,"",IFERROR(G188/C188-1,"")))</f>
        <v/>
      </c>
      <c r="H190" s="15">
        <f>IF(OR(H188="",D188=""),"",IF(D188&lt;=0,"",IFERROR(H188/D188-1,"")))</f>
        <v/>
      </c>
      <c r="I190" s="15">
        <f>IF(OR(I188="",E188=""),"",IF(E188&lt;=0,"",IFERROR(I188/E188-1,"")))</f>
        <v/>
      </c>
      <c r="J190" s="15">
        <f>IF(OR(J188="",F188=""),"",IF(F188&lt;=0,"",IFERROR(J188/F188-1,"")))</f>
        <v/>
      </c>
      <c r="K190" s="15">
        <f>IF(OR(K188="",G188=""),"",IF(G188&lt;=0,"",IFERROR(K188/G188-1,"")))</f>
        <v/>
      </c>
      <c r="L190" s="15">
        <f>IF(OR(L188="",H188=""),"",IF(H188&lt;=0,"",IFERROR(L188/H188-1,"")))</f>
        <v/>
      </c>
      <c r="M190" s="15">
        <f>IF(OR(M188="",I188=""),"",IF(I188&lt;=0,"",IFERROR(M188/I188-1,"")))</f>
        <v/>
      </c>
      <c r="N190" s="15">
        <f>IF(OR(N188="",J188=""),"",IF(J188&lt;=0,"",IFERROR(N188/J188-1,"")))</f>
        <v/>
      </c>
      <c r="V190" s="15">
        <f>IF(OR(V188="",U188=""),"",IF(U188&lt;=0,"",IFERROR(V188/U188-1,"")))</f>
        <v/>
      </c>
      <c r="W190" s="15">
        <f>IF(OR(W188="",V188=""),"",IF(V188&lt;=0,"",IFERROR(W188/V188-1,"")))</f>
        <v/>
      </c>
      <c r="X190" s="15">
        <f>IF(OR(X188="",W188=""),"",IF(W188&lt;=0,"",IFERROR(X188/W188-1,"")))</f>
        <v/>
      </c>
    </row>
    <row r="192">
      <c r="A192" s="16" t="inlineStr">
        <is>
          <t>현금흐름표 · 전 항목</t>
        </is>
      </c>
      <c r="B192" s="42" t="inlineStr">
        <is>
          <t>분기 = 결산기 첫날부터 누계(공시 그대로)</t>
        </is>
      </c>
      <c r="C192" s="16" t="n"/>
      <c r="D192" s="16" t="n"/>
      <c r="E192" s="16" t="n"/>
      <c r="F192" s="16" t="n"/>
      <c r="G192" s="16" t="n"/>
      <c r="H192" s="16" t="n"/>
      <c r="I192" s="16" t="n"/>
      <c r="J192" s="16" t="n"/>
      <c r="K192" s="16" t="n"/>
      <c r="L192" s="16" t="n"/>
      <c r="M192" s="16" t="n"/>
      <c r="N192" s="16" t="n"/>
      <c r="O192" s="16" t="n"/>
      <c r="P192" s="16" t="n"/>
      <c r="Q192" s="16" t="n"/>
      <c r="R192" s="16" t="n"/>
      <c r="S192" s="16" t="n"/>
      <c r="T192" s="16" t="n"/>
      <c r="U192" s="16" t="n"/>
      <c r="V192" s="16" t="n"/>
      <c r="W192" s="16" t="n"/>
      <c r="X192" s="16" t="n"/>
      <c r="Y192" s="16" t="n"/>
      <c r="Z192" s="16" t="n"/>
      <c r="AA192" s="16" t="n"/>
      <c r="AB192" s="16" t="n"/>
      <c r="AC192" s="16" t="n"/>
    </row>
    <row r="193">
      <c r="A193" s="5" t="inlineStr">
        <is>
          <t>항목</t>
        </is>
      </c>
      <c r="B193" s="5" t="inlineStr">
        <is>
          <t>참고</t>
        </is>
      </c>
      <c r="C193" s="5" t="inlineStr">
        <is>
          <t>2024.1Q</t>
        </is>
      </c>
      <c r="D193" s="5" t="inlineStr">
        <is>
          <t>2024.2Q</t>
        </is>
      </c>
      <c r="E193" s="5" t="inlineStr">
        <is>
          <t>2024.3Q</t>
        </is>
      </c>
      <c r="F193" s="5" t="inlineStr">
        <is>
          <t>2024.4Q</t>
        </is>
      </c>
      <c r="G193" s="5" t="inlineStr">
        <is>
          <t>2025.1Q</t>
        </is>
      </c>
      <c r="H193" s="5" t="inlineStr">
        <is>
          <t>2025.2Q</t>
        </is>
      </c>
      <c r="I193" s="5" t="inlineStr">
        <is>
          <t>2025.3Q</t>
        </is>
      </c>
      <c r="J193" s="5" t="inlineStr">
        <is>
          <t>2025.4Q</t>
        </is>
      </c>
      <c r="K193" s="5" t="inlineStr">
        <is>
          <t>2026.1Q</t>
        </is>
      </c>
      <c r="L193" s="5" t="inlineStr">
        <is>
          <t>2026.2Q</t>
        </is>
      </c>
      <c r="M193" s="5" t="inlineStr">
        <is>
          <t>2026.3Q</t>
        </is>
      </c>
      <c r="N193" s="5" t="inlineStr">
        <is>
          <t>2026.4Q</t>
        </is>
      </c>
      <c r="O193" s="5" t="inlineStr">
        <is>
          <t>2017</t>
        </is>
      </c>
      <c r="P193" s="5" t="inlineStr">
        <is>
          <t>2018</t>
        </is>
      </c>
      <c r="Q193" s="5" t="inlineStr">
        <is>
          <t>2019</t>
        </is>
      </c>
      <c r="R193" s="5" t="inlineStr">
        <is>
          <t>2020</t>
        </is>
      </c>
      <c r="S193" s="5" t="inlineStr">
        <is>
          <t>2021</t>
        </is>
      </c>
      <c r="T193" s="5" t="inlineStr">
        <is>
          <t>2022</t>
        </is>
      </c>
      <c r="U193" s="5" t="inlineStr">
        <is>
          <t>2023</t>
        </is>
      </c>
      <c r="V193" s="5" t="inlineStr">
        <is>
          <t>2024</t>
        </is>
      </c>
      <c r="W193" s="5" t="inlineStr">
        <is>
          <t>2025</t>
        </is>
      </c>
      <c r="X193" s="5" t="inlineStr">
        <is>
          <t>2026</t>
        </is>
      </c>
      <c r="Y193" s="5" t="inlineStr">
        <is>
          <t>2027(MW)</t>
        </is>
      </c>
      <c r="Z193" s="5" t="inlineStr">
        <is>
          <t>2028(MW)</t>
        </is>
      </c>
      <c r="AA193" s="5" t="inlineStr">
        <is>
          <t>2029(MW)</t>
        </is>
      </c>
      <c r="AB193" s="5" t="inlineStr">
        <is>
          <t>2030(MW)</t>
        </is>
      </c>
      <c r="AC193" s="5" t="inlineStr">
        <is>
          <t>2031(MW)</t>
        </is>
      </c>
    </row>
    <row r="194">
      <c r="A194" s="9" t="inlineStr">
        <is>
          <t>법인세차감전 중간순이익(손실)</t>
        </is>
      </c>
      <c r="D194" s="12" t="n">
        <v>-35.136</v>
      </c>
      <c r="F194" s="12" t="n">
        <v>-122.762</v>
      </c>
      <c r="H194" s="12" t="n">
        <v>-59.563</v>
      </c>
      <c r="J194" s="12" t="n">
        <v>-50.352</v>
      </c>
      <c r="L194" s="12" t="n">
        <v>70.73099999999999</v>
      </c>
      <c r="N194" s="12" t="n">
        <v>169.125</v>
      </c>
      <c r="O194" s="12" t="n">
        <v>-13.928</v>
      </c>
      <c r="P194" s="12" t="n">
        <v>10.607</v>
      </c>
      <c r="Q194" s="12" t="n">
        <v>125.642</v>
      </c>
      <c r="R194" s="12" t="n">
        <v>-60.724</v>
      </c>
      <c r="S194" s="12" t="n">
        <v>-616.295</v>
      </c>
      <c r="T194" s="12" t="n">
        <v>258.347</v>
      </c>
      <c r="U194" s="12" t="n">
        <v>42.687</v>
      </c>
      <c r="V194" s="12" t="n">
        <v>-122.762</v>
      </c>
      <c r="W194" s="12" t="n">
        <v>-50.352</v>
      </c>
      <c r="X194" s="12" t="n">
        <v>169.125</v>
      </c>
    </row>
    <row r="195">
      <c r="A195" s="18" t="inlineStr">
        <is>
          <t>감가상각비</t>
        </is>
      </c>
      <c r="D195" s="20" t="n">
        <v>67.721</v>
      </c>
      <c r="F195" s="20" t="n">
        <v>117.797</v>
      </c>
      <c r="H195" s="20" t="n">
        <v>61.792</v>
      </c>
      <c r="J195" s="20" t="n">
        <v>140.288</v>
      </c>
      <c r="L195" s="20" t="n">
        <v>52.278</v>
      </c>
      <c r="N195" s="20" t="n">
        <v>126.503</v>
      </c>
      <c r="O195" s="20" t="n">
        <v>160.162</v>
      </c>
      <c r="P195" s="20" t="n">
        <v>128.606</v>
      </c>
      <c r="Q195" s="20" t="n">
        <v>108.881</v>
      </c>
      <c r="R195" s="20" t="n">
        <v>107.797</v>
      </c>
      <c r="S195" s="20" t="n">
        <v>111.927</v>
      </c>
      <c r="T195" s="20" t="n">
        <v>126.822</v>
      </c>
      <c r="U195" s="20" t="n">
        <v>105.953</v>
      </c>
      <c r="V195" s="20" t="n">
        <v>117.797</v>
      </c>
      <c r="W195" s="20" t="n">
        <v>140.288</v>
      </c>
      <c r="X195" s="20" t="n">
        <v>126.503</v>
      </c>
    </row>
    <row r="196">
      <c r="A196" s="18" t="inlineStr">
        <is>
          <t>손상차손</t>
        </is>
      </c>
      <c r="F196" s="20" t="n">
        <v>14.479</v>
      </c>
      <c r="J196" s="20" t="n">
        <v>3.206</v>
      </c>
      <c r="N196" s="20" t="n">
        <v>3.957</v>
      </c>
      <c r="O196" s="20" t="n">
        <v>107.545</v>
      </c>
      <c r="P196" s="20" t="n">
        <v>11.232</v>
      </c>
      <c r="Q196" s="20" t="n">
        <v>6.439</v>
      </c>
      <c r="R196" s="20" t="n">
        <v>15.298</v>
      </c>
      <c r="S196" s="20" t="n">
        <v>282.006</v>
      </c>
      <c r="T196" s="20" t="n">
        <v>5.281</v>
      </c>
      <c r="U196" s="20" t="n">
        <v>3.831</v>
      </c>
      <c r="V196" s="20" t="n">
        <v>14.479</v>
      </c>
      <c r="W196" s="20" t="n">
        <v>3.206</v>
      </c>
      <c r="X196" s="20" t="n">
        <v>3.957</v>
      </c>
    </row>
    <row r="197">
      <c r="A197" s="18" t="inlineStr">
        <is>
          <t>투자유가증권 평가손익</t>
        </is>
      </c>
      <c r="D197" s="20" t="n">
        <v>0</v>
      </c>
      <c r="F197" s="20" t="n">
        <v>0.075</v>
      </c>
      <c r="J197" s="20" t="n">
        <v>0</v>
      </c>
      <c r="O197" s="20" t="n">
        <v>0.02</v>
      </c>
      <c r="P197" s="20" t="n">
        <v>0</v>
      </c>
      <c r="Q197" s="20" t="n">
        <v>0.01</v>
      </c>
      <c r="R197" s="20" t="n">
        <v>1.357</v>
      </c>
      <c r="S197" s="20" t="n">
        <v>20.005</v>
      </c>
      <c r="T197" s="20" t="n">
        <v>0</v>
      </c>
      <c r="U197" s="20" t="n">
        <v>0</v>
      </c>
      <c r="V197" s="20" t="n">
        <v>0.075</v>
      </c>
      <c r="W197" s="20" t="n">
        <v>0</v>
      </c>
    </row>
    <row r="198">
      <c r="A198" s="18" t="inlineStr">
        <is>
          <t>임원 퇴직위로 충당금 증감</t>
        </is>
      </c>
      <c r="O198" s="20" t="n">
        <v>9.378</v>
      </c>
      <c r="P198" s="20" t="n">
        <v>9.385</v>
      </c>
      <c r="Q198" s="20" t="n">
        <v>-5.33</v>
      </c>
      <c r="R198" s="20" t="n">
        <v>0</v>
      </c>
      <c r="S198" s="20" t="n">
        <v>0</v>
      </c>
      <c r="T198" s="20" t="n">
        <v>-16.674</v>
      </c>
      <c r="U198" s="20" t="n">
        <v>0</v>
      </c>
    </row>
    <row r="199">
      <c r="A199" s="18" t="inlineStr">
        <is>
          <t>제품보증 충당금 증감</t>
        </is>
      </c>
      <c r="D199" s="20" t="n">
        <v>0.286</v>
      </c>
      <c r="F199" s="20" t="n">
        <v>0.4</v>
      </c>
      <c r="H199" s="20" t="n">
        <v>-0.194</v>
      </c>
      <c r="J199" s="20" t="n">
        <v>-0.13</v>
      </c>
      <c r="L199" s="20" t="n">
        <v>0.114</v>
      </c>
      <c r="N199" s="20" t="n">
        <v>0.12</v>
      </c>
      <c r="O199" s="20" t="n">
        <v>0.87</v>
      </c>
      <c r="P199" s="20" t="n">
        <v>-0.44</v>
      </c>
      <c r="Q199" s="20" t="n">
        <v>0.96</v>
      </c>
      <c r="R199" s="20" t="n">
        <v>-0.84</v>
      </c>
      <c r="S199" s="20" t="n">
        <v>2.192</v>
      </c>
      <c r="T199" s="20" t="n">
        <v>-2.912</v>
      </c>
      <c r="U199" s="20" t="n">
        <v>-0.38</v>
      </c>
      <c r="V199" s="20" t="n">
        <v>0.4</v>
      </c>
      <c r="W199" s="20" t="n">
        <v>-0.13</v>
      </c>
      <c r="X199" s="20" t="n">
        <v>0.12</v>
      </c>
    </row>
    <row r="200">
      <c r="A200" s="18" t="inlineStr">
        <is>
          <t>대손충당금 증감</t>
        </is>
      </c>
      <c r="D200" s="20" t="n">
        <v>-0.187</v>
      </c>
      <c r="F200" s="20" t="n">
        <v>-0.361</v>
      </c>
      <c r="H200" s="20" t="n">
        <v>-0.157</v>
      </c>
      <c r="J200" s="20" t="n">
        <v>-0.373</v>
      </c>
      <c r="L200" s="20" t="n">
        <v>-0.468</v>
      </c>
      <c r="N200" s="20" t="n">
        <v>-0.054</v>
      </c>
      <c r="O200" s="20" t="n">
        <v>-0.031</v>
      </c>
      <c r="P200" s="20" t="n">
        <v>-0.5</v>
      </c>
      <c r="Q200" s="20" t="n">
        <v>-0.252</v>
      </c>
      <c r="R200" s="20" t="n">
        <v>-1.135</v>
      </c>
      <c r="S200" s="20" t="n">
        <v>0.8179999999999999</v>
      </c>
      <c r="T200" s="20" t="n">
        <v>-1.302</v>
      </c>
      <c r="U200" s="20" t="n">
        <v>-0.316</v>
      </c>
      <c r="V200" s="20" t="n">
        <v>-0.361</v>
      </c>
      <c r="W200" s="20" t="n">
        <v>-0.373</v>
      </c>
      <c r="X200" s="20" t="n">
        <v>-0.054</v>
      </c>
    </row>
    <row r="201">
      <c r="A201" s="18" t="inlineStr">
        <is>
          <t>퇴직급여부채 증감</t>
        </is>
      </c>
      <c r="D201" s="20" t="n">
        <v>8.26</v>
      </c>
      <c r="F201" s="20" t="n">
        <v>18.305</v>
      </c>
      <c r="H201" s="20" t="n">
        <v>-17.978</v>
      </c>
      <c r="J201" s="20" t="n">
        <v>19.014</v>
      </c>
      <c r="L201" s="20" t="n">
        <v>10.263</v>
      </c>
      <c r="N201" s="20" t="n">
        <v>-6.321</v>
      </c>
      <c r="O201" s="20" t="n">
        <v>41.657</v>
      </c>
      <c r="P201" s="20" t="n">
        <v>27.357</v>
      </c>
      <c r="Q201" s="20" t="n">
        <v>36.786</v>
      </c>
      <c r="R201" s="20" t="n">
        <v>15.165</v>
      </c>
      <c r="S201" s="20" t="n">
        <v>40.52</v>
      </c>
      <c r="T201" s="20" t="n">
        <v>-9.164</v>
      </c>
      <c r="U201" s="20" t="n">
        <v>21.528</v>
      </c>
      <c r="V201" s="20" t="n">
        <v>18.305</v>
      </c>
      <c r="W201" s="20" t="n">
        <v>19.014</v>
      </c>
      <c r="X201" s="20" t="n">
        <v>-6.321</v>
      </c>
    </row>
    <row r="202">
      <c r="A202" s="18" t="inlineStr">
        <is>
          <t>이자·배당금 수익</t>
        </is>
      </c>
      <c r="D202" s="20" t="n">
        <v>-1.447</v>
      </c>
      <c r="F202" s="20" t="n">
        <v>-8.227</v>
      </c>
      <c r="H202" s="20" t="n">
        <v>-0.6879999999999999</v>
      </c>
      <c r="J202" s="20" t="n">
        <v>-11.119</v>
      </c>
      <c r="L202" s="20" t="n">
        <v>-0.615</v>
      </c>
      <c r="N202" s="20" t="n">
        <v>-15.106</v>
      </c>
      <c r="O202" s="20" t="n">
        <v>-7.88</v>
      </c>
      <c r="P202" s="20" t="n">
        <v>-7.72</v>
      </c>
      <c r="Q202" s="20" t="n">
        <v>-7.776</v>
      </c>
      <c r="R202" s="20" t="n">
        <v>-7.946</v>
      </c>
      <c r="S202" s="20" t="n">
        <v>-7.317</v>
      </c>
      <c r="T202" s="20" t="n">
        <v>-7.239</v>
      </c>
      <c r="U202" s="20" t="n">
        <v>-9.786</v>
      </c>
      <c r="V202" s="20" t="n">
        <v>-8.227</v>
      </c>
      <c r="W202" s="20" t="n">
        <v>-11.119</v>
      </c>
      <c r="X202" s="20" t="n">
        <v>-15.106</v>
      </c>
    </row>
    <row r="203">
      <c r="A203" s="18" t="inlineStr">
        <is>
          <t>보험 해약환급금</t>
        </is>
      </c>
      <c r="J203" s="20" t="n">
        <v>0</v>
      </c>
      <c r="N203" s="20" t="n">
        <v>-8.044</v>
      </c>
      <c r="O203" s="20" t="n">
        <v>0</v>
      </c>
      <c r="P203" s="20" t="n">
        <v>-28.497</v>
      </c>
      <c r="Q203" s="20" t="n">
        <v>-0.819</v>
      </c>
      <c r="R203" s="20" t="n">
        <v>0</v>
      </c>
      <c r="W203" s="20" t="n">
        <v>0</v>
      </c>
      <c r="X203" s="20" t="n">
        <v>-8.044</v>
      </c>
    </row>
    <row r="204">
      <c r="A204" s="18" t="inlineStr">
        <is>
          <t>이자비용</t>
        </is>
      </c>
      <c r="D204" s="20" t="n">
        <v>5.275</v>
      </c>
      <c r="F204" s="20" t="n">
        <v>9.595000000000001</v>
      </c>
      <c r="H204" s="20" t="n">
        <v>6.839</v>
      </c>
      <c r="J204" s="20" t="n">
        <v>10.871</v>
      </c>
      <c r="L204" s="20" t="n">
        <v>7.326</v>
      </c>
      <c r="N204" s="20" t="n">
        <v>13.245</v>
      </c>
      <c r="O204" s="20" t="n">
        <v>13.935</v>
      </c>
      <c r="P204" s="20" t="n">
        <v>11.796</v>
      </c>
      <c r="Q204" s="20" t="n">
        <v>10.153</v>
      </c>
      <c r="R204" s="20" t="n">
        <v>9.074</v>
      </c>
      <c r="S204" s="20" t="n">
        <v>9.734999999999999</v>
      </c>
      <c r="T204" s="20" t="n">
        <v>10.072</v>
      </c>
      <c r="U204" s="20" t="n">
        <v>9.69</v>
      </c>
      <c r="V204" s="20" t="n">
        <v>9.595000000000001</v>
      </c>
      <c r="W204" s="20" t="n">
        <v>10.871</v>
      </c>
      <c r="X204" s="20" t="n">
        <v>13.245</v>
      </c>
    </row>
    <row r="205">
      <c r="A205" s="18" t="inlineStr">
        <is>
          <t>보조금 수입</t>
        </is>
      </c>
      <c r="D205" s="20" t="n">
        <v>-2.515</v>
      </c>
      <c r="F205" s="20" t="n">
        <v>-9.262</v>
      </c>
      <c r="H205" s="20" t="n">
        <v>-1.475</v>
      </c>
      <c r="J205" s="20" t="n">
        <v>-3.777</v>
      </c>
      <c r="L205" s="20" t="n">
        <v>-1.1</v>
      </c>
      <c r="N205" s="20" t="n">
        <v>-1.875</v>
      </c>
      <c r="R205" s="20" t="n">
        <v>-2.695</v>
      </c>
      <c r="S205" s="20" t="n">
        <v>-99.97499999999999</v>
      </c>
      <c r="T205" s="20" t="n">
        <v>-110.088</v>
      </c>
      <c r="U205" s="20" t="n">
        <v>-40.224</v>
      </c>
      <c r="V205" s="20" t="n">
        <v>-9.262</v>
      </c>
      <c r="W205" s="20" t="n">
        <v>-3.777</v>
      </c>
      <c r="X205" s="20" t="n">
        <v>-1.875</v>
      </c>
    </row>
    <row r="206">
      <c r="A206" s="18" t="inlineStr">
        <is>
          <t>보조금 수입</t>
        </is>
      </c>
      <c r="D206" s="20" t="n">
        <v>-8.366</v>
      </c>
      <c r="F206" s="20" t="n">
        <v>-98.723</v>
      </c>
      <c r="H206" s="20" t="n">
        <v>0</v>
      </c>
      <c r="J206" s="20" t="n">
        <v>-8.366</v>
      </c>
      <c r="N206" s="20" t="n">
        <v>0</v>
      </c>
      <c r="T206" s="20" t="n">
        <v>0</v>
      </c>
      <c r="U206" s="20" t="n">
        <v>-5</v>
      </c>
      <c r="V206" s="20" t="n">
        <v>-98.723</v>
      </c>
      <c r="W206" s="20" t="n">
        <v>-8.366</v>
      </c>
      <c r="X206" s="20" t="n">
        <v>0</v>
      </c>
    </row>
    <row r="207">
      <c r="A207" s="18" t="inlineStr">
        <is>
          <t>투자유가증권 매각손익</t>
        </is>
      </c>
      <c r="D207" s="20" t="n">
        <v>0</v>
      </c>
      <c r="H207" s="20" t="n">
        <v>-44.754</v>
      </c>
      <c r="J207" s="20" t="n">
        <v>-0.137</v>
      </c>
      <c r="L207" s="20" t="n">
        <v>0</v>
      </c>
      <c r="N207" s="20" t="n">
        <v>-44.754</v>
      </c>
      <c r="W207" s="20" t="n">
        <v>-0.137</v>
      </c>
      <c r="X207" s="20" t="n">
        <v>-44.754</v>
      </c>
    </row>
    <row r="208">
      <c r="A208" s="18" t="inlineStr">
        <is>
          <t>고정자산 제각손실</t>
        </is>
      </c>
      <c r="D208" s="20" t="n">
        <v>0.04</v>
      </c>
      <c r="F208" s="20" t="n">
        <v>0.13</v>
      </c>
      <c r="H208" s="20" t="n">
        <v>0</v>
      </c>
      <c r="J208" s="20" t="n">
        <v>0.04</v>
      </c>
      <c r="L208" s="20" t="n">
        <v>0</v>
      </c>
      <c r="N208" s="20" t="n">
        <v>0.01</v>
      </c>
      <c r="O208" s="20" t="n">
        <v>0.38</v>
      </c>
      <c r="P208" s="20" t="n">
        <v>0.103</v>
      </c>
      <c r="Q208" s="20" t="n">
        <v>0.323</v>
      </c>
      <c r="R208" s="20" t="n">
        <v>0.076</v>
      </c>
      <c r="S208" s="20" t="n">
        <v>0.039</v>
      </c>
      <c r="T208" s="20" t="n">
        <v>0</v>
      </c>
      <c r="U208" s="20" t="n">
        <v>0.149</v>
      </c>
      <c r="V208" s="20" t="n">
        <v>0.13</v>
      </c>
      <c r="W208" s="20" t="n">
        <v>0.04</v>
      </c>
      <c r="X208" s="20" t="n">
        <v>0.01</v>
      </c>
    </row>
    <row r="209">
      <c r="A209" s="18" t="inlineStr">
        <is>
          <t>고정자산 압축손실</t>
        </is>
      </c>
      <c r="D209" s="20" t="n">
        <v>8.366</v>
      </c>
      <c r="F209" s="20" t="n">
        <v>98.723</v>
      </c>
      <c r="H209" s="20" t="n">
        <v>0</v>
      </c>
      <c r="J209" s="20" t="n">
        <v>8.366</v>
      </c>
      <c r="N209" s="20" t="n">
        <v>0</v>
      </c>
      <c r="U209" s="20" t="n">
        <v>5</v>
      </c>
      <c r="V209" s="20" t="n">
        <v>98.723</v>
      </c>
      <c r="W209" s="20" t="n">
        <v>8.366</v>
      </c>
      <c r="X209" s="20" t="n">
        <v>0</v>
      </c>
    </row>
    <row r="210">
      <c r="A210" s="18" t="inlineStr">
        <is>
          <t>조기 특별퇴직금</t>
        </is>
      </c>
      <c r="D210" s="20" t="n">
        <v>0</v>
      </c>
      <c r="H210" s="20" t="n">
        <v>44.417</v>
      </c>
      <c r="J210" s="20" t="n">
        <v>0</v>
      </c>
      <c r="L210" s="20" t="n">
        <v>8.727</v>
      </c>
      <c r="N210" s="20" t="n">
        <v>44.417</v>
      </c>
      <c r="W210" s="20" t="n">
        <v>0</v>
      </c>
      <c r="X210" s="20" t="n">
        <v>44.417</v>
      </c>
    </row>
    <row r="211">
      <c r="A211" s="18" t="inlineStr">
        <is>
          <t>매출채권 증감</t>
        </is>
      </c>
      <c r="D211" s="20" t="n">
        <v>65.53700000000001</v>
      </c>
      <c r="F211" s="20" t="n">
        <v>40.341</v>
      </c>
      <c r="H211" s="20" t="n">
        <v>-25.508</v>
      </c>
      <c r="J211" s="20" t="n">
        <v>73.744</v>
      </c>
      <c r="L211" s="20" t="n">
        <v>419.368</v>
      </c>
      <c r="N211" s="20" t="n">
        <v>-438.479</v>
      </c>
      <c r="O211" s="20" t="n">
        <v>123.653</v>
      </c>
      <c r="P211" s="20" t="n">
        <v>147.255</v>
      </c>
      <c r="Q211" s="20" t="n">
        <v>-152.989</v>
      </c>
      <c r="R211" s="20" t="n">
        <v>180.261</v>
      </c>
      <c r="S211" s="20" t="n">
        <v>196.07</v>
      </c>
      <c r="T211" s="20" t="n">
        <v>-401.787</v>
      </c>
      <c r="U211" s="20" t="n">
        <v>243.898</v>
      </c>
      <c r="V211" s="20" t="n">
        <v>40.341</v>
      </c>
      <c r="W211" s="20" t="n">
        <v>73.744</v>
      </c>
      <c r="X211" s="20" t="n">
        <v>-438.479</v>
      </c>
    </row>
    <row r="212">
      <c r="A212" s="18" t="inlineStr">
        <is>
          <t>재고자산 증감</t>
        </is>
      </c>
      <c r="D212" s="20" t="n">
        <v>47.962</v>
      </c>
      <c r="F212" s="20" t="n">
        <v>-88.36199999999999</v>
      </c>
      <c r="H212" s="20" t="n">
        <v>5.258</v>
      </c>
      <c r="J212" s="20" t="n">
        <v>148.37</v>
      </c>
      <c r="L212" s="20" t="n">
        <v>-55.002</v>
      </c>
      <c r="N212" s="20" t="n">
        <v>64.36</v>
      </c>
      <c r="O212" s="20" t="n">
        <v>112.984</v>
      </c>
      <c r="P212" s="20" t="n">
        <v>-142.61</v>
      </c>
      <c r="Q212" s="20" t="n">
        <v>-75.699</v>
      </c>
      <c r="R212" s="20" t="n">
        <v>43.527</v>
      </c>
      <c r="S212" s="20" t="n">
        <v>112.971</v>
      </c>
      <c r="T212" s="20" t="n">
        <v>132.135</v>
      </c>
      <c r="U212" s="20" t="n">
        <v>-58.889</v>
      </c>
      <c r="V212" s="20" t="n">
        <v>-88.36199999999999</v>
      </c>
      <c r="W212" s="20" t="n">
        <v>148.37</v>
      </c>
      <c r="X212" s="20" t="n">
        <v>64.36</v>
      </c>
    </row>
    <row r="213">
      <c r="A213" s="18" t="inlineStr">
        <is>
          <t>매입채무 증감</t>
        </is>
      </c>
      <c r="D213" s="20" t="n">
        <v>-3.86</v>
      </c>
      <c r="F213" s="20" t="n">
        <v>-13.894</v>
      </c>
      <c r="H213" s="20" t="n">
        <v>-6.267</v>
      </c>
      <c r="J213" s="20" t="n">
        <v>-10.587</v>
      </c>
      <c r="L213" s="20" t="n">
        <v>-9.042999999999999</v>
      </c>
      <c r="N213" s="20" t="n">
        <v>27.101</v>
      </c>
      <c r="O213" s="20" t="n">
        <v>-160.066</v>
      </c>
      <c r="P213" s="20" t="n">
        <v>92.43899999999999</v>
      </c>
      <c r="Q213" s="20" t="n">
        <v>-88.718</v>
      </c>
      <c r="R213" s="20" t="n">
        <v>17.328</v>
      </c>
      <c r="S213" s="20" t="n">
        <v>-2.638</v>
      </c>
      <c r="T213" s="20" t="n">
        <v>-33.754</v>
      </c>
      <c r="U213" s="20" t="n">
        <v>-9.114000000000001</v>
      </c>
      <c r="V213" s="20" t="n">
        <v>-13.894</v>
      </c>
      <c r="W213" s="20" t="n">
        <v>-10.587</v>
      </c>
      <c r="X213" s="20" t="n">
        <v>27.101</v>
      </c>
    </row>
    <row r="214">
      <c r="A214" s="18" t="inlineStr">
        <is>
          <t>기타</t>
        </is>
      </c>
      <c r="D214" s="20" t="n">
        <v>115.154</v>
      </c>
      <c r="F214" s="20" t="n">
        <v>-3.67</v>
      </c>
      <c r="H214" s="20" t="n">
        <v>171.796</v>
      </c>
      <c r="J214" s="20" t="n">
        <v>-63.785</v>
      </c>
      <c r="L214" s="20" t="n">
        <v>29.26</v>
      </c>
      <c r="N214" s="20" t="n">
        <v>62.887</v>
      </c>
      <c r="O214" s="20" t="n">
        <v>-23.076</v>
      </c>
      <c r="P214" s="20" t="n">
        <v>-20.622</v>
      </c>
      <c r="Q214" s="20" t="n">
        <v>31.505</v>
      </c>
      <c r="R214" s="20" t="n">
        <v>12.9</v>
      </c>
      <c r="S214" s="20" t="n">
        <v>-103.486</v>
      </c>
      <c r="T214" s="20" t="n">
        <v>106.41</v>
      </c>
      <c r="U214" s="20" t="n">
        <v>-62.971</v>
      </c>
      <c r="V214" s="20" t="n">
        <v>-3.67</v>
      </c>
      <c r="W214" s="20" t="n">
        <v>-63.785</v>
      </c>
      <c r="X214" s="20" t="n">
        <v>62.887</v>
      </c>
    </row>
    <row r="215">
      <c r="A215" s="18" t="inlineStr">
        <is>
          <t>소계</t>
        </is>
      </c>
      <c r="D215" s="20" t="n">
        <v>267.09</v>
      </c>
      <c r="F215" s="20" t="n">
        <v>-45.416</v>
      </c>
      <c r="H215" s="20" t="n">
        <v>133.515</v>
      </c>
      <c r="J215" s="20" t="n">
        <v>255.272</v>
      </c>
      <c r="L215" s="20" t="n">
        <v>531.8390000000001</v>
      </c>
      <c r="N215" s="20" t="n">
        <v>-2.907</v>
      </c>
      <c r="O215" s="20" t="n">
        <v>365.604</v>
      </c>
      <c r="P215" s="20" t="n">
        <v>238.392</v>
      </c>
      <c r="Q215" s="20" t="n">
        <v>-10.883</v>
      </c>
      <c r="R215" s="20" t="n">
        <v>329.445</v>
      </c>
      <c r="S215" s="20" t="n">
        <v>-53.426</v>
      </c>
      <c r="T215" s="20" t="n">
        <v>56.144</v>
      </c>
      <c r="U215" s="20" t="n">
        <v>246.056</v>
      </c>
      <c r="V215" s="20" t="n">
        <v>-45.416</v>
      </c>
      <c r="W215" s="20" t="n">
        <v>255.272</v>
      </c>
      <c r="X215" s="20" t="n">
        <v>-2.907</v>
      </c>
    </row>
    <row r="216">
      <c r="A216" s="18" t="inlineStr">
        <is>
          <t>이자·배당금 수취</t>
        </is>
      </c>
      <c r="D216" s="20" t="n">
        <v>1.447</v>
      </c>
      <c r="F216" s="20" t="n">
        <v>8.233000000000001</v>
      </c>
      <c r="H216" s="20" t="n">
        <v>0.765</v>
      </c>
      <c r="J216" s="20" t="n">
        <v>11.221</v>
      </c>
      <c r="L216" s="20" t="n">
        <v>0.615</v>
      </c>
      <c r="N216" s="20" t="n">
        <v>15.183</v>
      </c>
      <c r="O216" s="20" t="n">
        <v>7.873</v>
      </c>
      <c r="P216" s="20" t="n">
        <v>7.804</v>
      </c>
      <c r="Q216" s="20" t="n">
        <v>7.776</v>
      </c>
      <c r="R216" s="20" t="n">
        <v>8.039999999999999</v>
      </c>
      <c r="S216" s="20" t="n">
        <v>7.317</v>
      </c>
      <c r="T216" s="20" t="n">
        <v>7.239</v>
      </c>
      <c r="U216" s="20" t="n">
        <v>9.786</v>
      </c>
      <c r="V216" s="20" t="n">
        <v>8.233000000000001</v>
      </c>
      <c r="W216" s="20" t="n">
        <v>11.221</v>
      </c>
      <c r="X216" s="20" t="n">
        <v>15.183</v>
      </c>
    </row>
    <row r="217">
      <c r="A217" s="18" t="inlineStr">
        <is>
          <t>이자 지급</t>
        </is>
      </c>
      <c r="D217" s="20" t="n">
        <v>-5.848</v>
      </c>
      <c r="F217" s="20" t="n">
        <v>-9.574999999999999</v>
      </c>
      <c r="H217" s="20" t="n">
        <v>-7.652</v>
      </c>
      <c r="J217" s="20" t="n">
        <v>-10.946</v>
      </c>
      <c r="L217" s="20" t="n">
        <v>-8.494999999999999</v>
      </c>
      <c r="N217" s="20" t="n">
        <v>-13.22</v>
      </c>
      <c r="O217" s="20" t="n">
        <v>-13.989</v>
      </c>
      <c r="P217" s="20" t="n">
        <v>-11.825</v>
      </c>
      <c r="Q217" s="20" t="n">
        <v>-9.292999999999999</v>
      </c>
      <c r="R217" s="20" t="n">
        <v>-9.031000000000001</v>
      </c>
      <c r="S217" s="20" t="n">
        <v>-9.744</v>
      </c>
      <c r="T217" s="20" t="n">
        <v>-10.142</v>
      </c>
      <c r="U217" s="20" t="n">
        <v>-9.717000000000001</v>
      </c>
      <c r="V217" s="20" t="n">
        <v>-9.574999999999999</v>
      </c>
      <c r="W217" s="20" t="n">
        <v>-10.946</v>
      </c>
      <c r="X217" s="20" t="n">
        <v>-13.22</v>
      </c>
    </row>
    <row r="218">
      <c r="A218" s="18" t="inlineStr">
        <is>
          <t>조기 특별퇴직금 지급액</t>
        </is>
      </c>
      <c r="H218" s="20" t="n">
        <v>0</v>
      </c>
      <c r="J218" s="20" t="n">
        <v>0</v>
      </c>
      <c r="L218" s="20" t="n">
        <v>-8.727</v>
      </c>
      <c r="N218" s="20" t="n">
        <v>-44.417</v>
      </c>
      <c r="W218" s="20" t="n">
        <v>0</v>
      </c>
      <c r="X218" s="20" t="n">
        <v>-44.417</v>
      </c>
    </row>
    <row r="219">
      <c r="A219" s="18" t="inlineStr">
        <is>
          <t>보조금 수취</t>
        </is>
      </c>
      <c r="D219" s="20" t="n">
        <v>2.515</v>
      </c>
      <c r="F219" s="20" t="n">
        <v>9.262</v>
      </c>
      <c r="H219" s="20" t="n">
        <v>1.475</v>
      </c>
      <c r="J219" s="20" t="n">
        <v>3.777</v>
      </c>
      <c r="L219" s="20" t="n">
        <v>1.1</v>
      </c>
      <c r="N219" s="20" t="n">
        <v>1.875</v>
      </c>
      <c r="R219" s="20" t="n">
        <v>0.5</v>
      </c>
      <c r="S219" s="20" t="n">
        <v>99.31399999999999</v>
      </c>
      <c r="T219" s="20" t="n">
        <v>110.749</v>
      </c>
      <c r="U219" s="20" t="n">
        <v>40.224</v>
      </c>
      <c r="V219" s="20" t="n">
        <v>9.262</v>
      </c>
      <c r="W219" s="20" t="n">
        <v>3.777</v>
      </c>
      <c r="X219" s="20" t="n">
        <v>1.875</v>
      </c>
    </row>
    <row r="220">
      <c r="A220" s="18" t="inlineStr">
        <is>
          <t>보조금 수취</t>
        </is>
      </c>
      <c r="F220" s="20" t="n">
        <v>0</v>
      </c>
      <c r="O220" s="20" t="n">
        <v>21.999</v>
      </c>
      <c r="P220" s="20" t="n">
        <v>0.5</v>
      </c>
      <c r="Q220" s="20" t="n">
        <v>0.5</v>
      </c>
      <c r="R220" s="20" t="n">
        <v>0.5</v>
      </c>
      <c r="T220" s="20" t="n">
        <v>0</v>
      </c>
      <c r="U220" s="20" t="n">
        <v>5</v>
      </c>
      <c r="V220" s="20" t="n">
        <v>0</v>
      </c>
    </row>
    <row r="221">
      <c r="A221" s="18" t="inlineStr">
        <is>
          <t>법인세 납부</t>
        </is>
      </c>
      <c r="D221" s="20" t="n">
        <v>-8.871</v>
      </c>
      <c r="F221" s="20" t="n">
        <v>-8.026</v>
      </c>
      <c r="H221" s="20" t="n">
        <v>-12.249</v>
      </c>
      <c r="J221" s="20" t="n">
        <v>-11.71</v>
      </c>
      <c r="L221" s="20" t="n">
        <v>-30.662</v>
      </c>
      <c r="N221" s="20" t="n">
        <v>-20.288</v>
      </c>
      <c r="O221" s="20" t="n">
        <v>-9.704000000000001</v>
      </c>
      <c r="P221" s="20" t="n">
        <v>-17.904</v>
      </c>
      <c r="Q221" s="20" t="n">
        <v>-21.072</v>
      </c>
      <c r="R221" s="20" t="n">
        <v>-67.13</v>
      </c>
      <c r="S221" s="20" t="n">
        <v>-21.001</v>
      </c>
      <c r="T221" s="20" t="n">
        <v>-6.551</v>
      </c>
      <c r="U221" s="20" t="n">
        <v>-59.143</v>
      </c>
      <c r="V221" s="20" t="n">
        <v>-8.026</v>
      </c>
      <c r="W221" s="20" t="n">
        <v>-11.71</v>
      </c>
      <c r="X221" s="20" t="n">
        <v>-20.288</v>
      </c>
    </row>
    <row r="222">
      <c r="A222" s="18" t="inlineStr">
        <is>
          <t>법인세 환급</t>
        </is>
      </c>
      <c r="D222" s="20" t="n">
        <v>1.044</v>
      </c>
      <c r="F222" s="20" t="n">
        <v>18.048</v>
      </c>
      <c r="H222" s="20" t="n">
        <v>2.11</v>
      </c>
      <c r="J222" s="20" t="n">
        <v>1.086</v>
      </c>
      <c r="L222" s="20" t="n">
        <v>0</v>
      </c>
      <c r="N222" s="20" t="n">
        <v>2.113</v>
      </c>
      <c r="R222" s="20" t="n">
        <v>0</v>
      </c>
      <c r="S222" s="20" t="n">
        <v>27.815</v>
      </c>
      <c r="T222" s="20" t="n">
        <v>7.74</v>
      </c>
      <c r="U222" s="20" t="n">
        <v>0.919</v>
      </c>
      <c r="V222" s="20" t="n">
        <v>18.048</v>
      </c>
      <c r="W222" s="20" t="n">
        <v>1.086</v>
      </c>
      <c r="X222" s="20" t="n">
        <v>2.113</v>
      </c>
    </row>
    <row r="223">
      <c r="A223" s="9" t="inlineStr">
        <is>
          <t>영업활동 현금흐름</t>
        </is>
      </c>
      <c r="D223" s="12" t="n">
        <v>257.376</v>
      </c>
      <c r="F223" s="12" t="n">
        <v>-27.472</v>
      </c>
      <c r="H223" s="12" t="n">
        <v>117.964</v>
      </c>
      <c r="J223" s="12" t="n">
        <v>248.699</v>
      </c>
      <c r="L223" s="12" t="n">
        <v>485.669</v>
      </c>
      <c r="N223" s="12" t="n">
        <v>-61.662</v>
      </c>
      <c r="O223" s="12" t="n">
        <v>371.783</v>
      </c>
      <c r="P223" s="12" t="n">
        <v>216.966</v>
      </c>
      <c r="Q223" s="12" t="n">
        <v>-32.973</v>
      </c>
      <c r="R223" s="12" t="n">
        <v>261.824</v>
      </c>
      <c r="S223" s="12" t="n">
        <v>50.275</v>
      </c>
      <c r="T223" s="12" t="n">
        <v>165.18</v>
      </c>
      <c r="U223" s="12" t="n">
        <v>233.127</v>
      </c>
      <c r="V223" s="12" t="n">
        <v>-27.472</v>
      </c>
      <c r="W223" s="12" t="n">
        <v>248.699</v>
      </c>
      <c r="X223" s="12" t="n">
        <v>-61.662</v>
      </c>
    </row>
    <row r="224">
      <c r="A224" s="18" t="inlineStr">
        <is>
          <t>정기예금 증감</t>
        </is>
      </c>
      <c r="D224" s="20" t="n">
        <v>-12.002</v>
      </c>
      <c r="F224" s="20" t="n">
        <v>7.229</v>
      </c>
      <c r="H224" s="20" t="n">
        <v>-11.221</v>
      </c>
      <c r="J224" s="20" t="n">
        <v>-20.818</v>
      </c>
      <c r="L224" s="20" t="n">
        <v>-397.916</v>
      </c>
      <c r="N224" s="20" t="n">
        <v>20.591</v>
      </c>
      <c r="O224" s="20" t="n">
        <v>-10.099</v>
      </c>
      <c r="P224" s="20" t="n">
        <v>-2.149</v>
      </c>
      <c r="Q224" s="20" t="n">
        <v>-0.16</v>
      </c>
      <c r="R224" s="20" t="n">
        <v>-273.16</v>
      </c>
      <c r="S224" s="20" t="n">
        <v>0.275</v>
      </c>
      <c r="T224" s="20" t="n">
        <v>-0.019</v>
      </c>
      <c r="U224" s="20" t="n">
        <v>17.987</v>
      </c>
      <c r="V224" s="20" t="n">
        <v>7.229</v>
      </c>
      <c r="W224" s="20" t="n">
        <v>-20.818</v>
      </c>
      <c r="X224" s="20" t="n">
        <v>20.591</v>
      </c>
    </row>
    <row r="225">
      <c r="A225" s="18" t="inlineStr">
        <is>
          <t>유형자산 취득(설비투자)</t>
        </is>
      </c>
      <c r="D225" s="20" t="n">
        <v>-9.462</v>
      </c>
      <c r="F225" s="20" t="n">
        <v>-136.214</v>
      </c>
      <c r="H225" s="20" t="n">
        <v>-11.43</v>
      </c>
      <c r="J225" s="20" t="n">
        <v>-16.897</v>
      </c>
      <c r="L225" s="20" t="n">
        <v>-2.815</v>
      </c>
      <c r="N225" s="20" t="n">
        <v>-43.125</v>
      </c>
      <c r="O225" s="20" t="n">
        <v>-59.778</v>
      </c>
      <c r="P225" s="20" t="n">
        <v>-13.355</v>
      </c>
      <c r="Q225" s="20" t="n">
        <v>-17.446</v>
      </c>
      <c r="R225" s="20" t="n">
        <v>-38.415</v>
      </c>
      <c r="S225" s="20" t="n">
        <v>-30.105</v>
      </c>
      <c r="T225" s="20" t="n">
        <v>-7.976</v>
      </c>
      <c r="U225" s="20" t="n">
        <v>-56.465</v>
      </c>
      <c r="V225" s="20" t="n">
        <v>-136.214</v>
      </c>
      <c r="W225" s="20" t="n">
        <v>-16.897</v>
      </c>
      <c r="X225" s="20" t="n">
        <v>-43.125</v>
      </c>
    </row>
    <row r="226">
      <c r="A226" s="18" t="inlineStr">
        <is>
          <t>유형자산 매각</t>
        </is>
      </c>
      <c r="P226" s="20" t="n">
        <v>0</v>
      </c>
      <c r="Q226" s="20" t="n">
        <v>5.529</v>
      </c>
      <c r="R226" s="20" t="n">
        <v>203.416</v>
      </c>
      <c r="S226" s="20" t="n">
        <v>0</v>
      </c>
    </row>
    <row r="227">
      <c r="A227" s="18" t="inlineStr">
        <is>
          <t>투자유가증권 취득</t>
        </is>
      </c>
      <c r="D227" s="20" t="n">
        <v>-1.2</v>
      </c>
      <c r="F227" s="20" t="n">
        <v>-2.4</v>
      </c>
      <c r="H227" s="20" t="n">
        <v>-1.2</v>
      </c>
      <c r="J227" s="20" t="n">
        <v>-2.4</v>
      </c>
      <c r="L227" s="20" t="n">
        <v>-1.2</v>
      </c>
      <c r="N227" s="20" t="n">
        <v>-2.4</v>
      </c>
      <c r="O227" s="20" t="n">
        <v>-25.34</v>
      </c>
      <c r="P227" s="20" t="n">
        <v>-2.4</v>
      </c>
      <c r="Q227" s="20" t="n">
        <v>-2.4</v>
      </c>
      <c r="R227" s="20" t="n">
        <v>-2.684</v>
      </c>
      <c r="S227" s="20" t="n">
        <v>-2.4</v>
      </c>
      <c r="T227" s="20" t="n">
        <v>-2.4</v>
      </c>
      <c r="U227" s="20" t="n">
        <v>-2.4</v>
      </c>
      <c r="V227" s="20" t="n">
        <v>-2.4</v>
      </c>
      <c r="W227" s="20" t="n">
        <v>-2.4</v>
      </c>
      <c r="X227" s="20" t="n">
        <v>-2.4</v>
      </c>
    </row>
    <row r="228">
      <c r="A228" s="18" t="inlineStr">
        <is>
          <t>투자유가증권 매각</t>
        </is>
      </c>
      <c r="D228" s="20" t="n">
        <v>0</v>
      </c>
      <c r="F228" s="20" t="n">
        <v>0</v>
      </c>
      <c r="H228" s="20" t="n">
        <v>77.97199999999999</v>
      </c>
      <c r="J228" s="20" t="n">
        <v>0.338</v>
      </c>
      <c r="L228" s="20" t="n">
        <v>0</v>
      </c>
      <c r="N228" s="20" t="n">
        <v>77.97199999999999</v>
      </c>
      <c r="O228" s="20" t="n">
        <v>0.08</v>
      </c>
      <c r="P228" s="20" t="n">
        <v>0</v>
      </c>
      <c r="Q228" s="20" t="n">
        <v>0</v>
      </c>
      <c r="R228" s="20" t="n">
        <v>1.131</v>
      </c>
      <c r="S228" s="20" t="n">
        <v>0</v>
      </c>
      <c r="T228" s="20" t="n">
        <v>18.292</v>
      </c>
      <c r="U228" s="20" t="n">
        <v>1.138</v>
      </c>
      <c r="V228" s="20" t="n">
        <v>0</v>
      </c>
      <c r="W228" s="20" t="n">
        <v>0.338</v>
      </c>
      <c r="X228" s="20" t="n">
        <v>77.97199999999999</v>
      </c>
    </row>
    <row r="229">
      <c r="A229" s="18" t="inlineStr">
        <is>
          <t>투자유가증권 청산 수입</t>
        </is>
      </c>
      <c r="S229" s="20" t="n">
        <v>0</v>
      </c>
      <c r="T229" s="20" t="n">
        <v>1.308</v>
      </c>
      <c r="U229" s="20" t="n">
        <v>0</v>
      </c>
    </row>
    <row r="230">
      <c r="A230" s="18" t="inlineStr">
        <is>
          <t>유가증권 상환 수입</t>
        </is>
      </c>
      <c r="D230" s="20" t="n">
        <v>0</v>
      </c>
      <c r="F230" s="20" t="n">
        <v>10</v>
      </c>
      <c r="H230" s="20" t="n">
        <v>100</v>
      </c>
      <c r="J230" s="20" t="n">
        <v>50</v>
      </c>
      <c r="L230" s="20" t="n">
        <v>0</v>
      </c>
      <c r="N230" s="20" t="n">
        <v>100</v>
      </c>
      <c r="O230" s="20" t="n">
        <v>10</v>
      </c>
      <c r="P230" s="20" t="n">
        <v>30</v>
      </c>
      <c r="Q230" s="20" t="n">
        <v>0</v>
      </c>
      <c r="R230" s="20" t="n">
        <v>30</v>
      </c>
      <c r="S230" s="20" t="n">
        <v>0</v>
      </c>
      <c r="U230" s="20" t="n">
        <v>0</v>
      </c>
      <c r="V230" s="20" t="n">
        <v>10</v>
      </c>
      <c r="W230" s="20" t="n">
        <v>50</v>
      </c>
      <c r="X230" s="20" t="n">
        <v>100</v>
      </c>
    </row>
    <row r="231">
      <c r="A231" s="18" t="inlineStr">
        <is>
          <t>무형자산 취득</t>
        </is>
      </c>
      <c r="D231" s="20" t="n">
        <v>-19.57</v>
      </c>
      <c r="F231" s="20" t="n">
        <v>-39.594</v>
      </c>
      <c r="H231" s="20" t="n">
        <v>-4.078</v>
      </c>
      <c r="J231" s="20" t="n">
        <v>-19.57</v>
      </c>
      <c r="L231" s="20" t="n">
        <v>-0.3</v>
      </c>
      <c r="N231" s="20" t="n">
        <v>-4.078</v>
      </c>
      <c r="T231" s="20" t="n">
        <v>-10.821</v>
      </c>
      <c r="U231" s="20" t="n">
        <v>-30.811</v>
      </c>
      <c r="V231" s="20" t="n">
        <v>-39.594</v>
      </c>
      <c r="W231" s="20" t="n">
        <v>-19.57</v>
      </c>
      <c r="X231" s="20" t="n">
        <v>-4.078</v>
      </c>
    </row>
    <row r="232">
      <c r="A232" s="18" t="inlineStr">
        <is>
          <t>보조금 수취</t>
        </is>
      </c>
      <c r="D232" s="20" t="n">
        <v>8.366</v>
      </c>
      <c r="F232" s="20" t="n">
        <v>98.723</v>
      </c>
      <c r="H232" s="20" t="n">
        <v>0</v>
      </c>
      <c r="J232" s="20" t="n">
        <v>8.366</v>
      </c>
      <c r="N232" s="20" t="n">
        <v>0</v>
      </c>
      <c r="U232" s="20" t="n">
        <v>0</v>
      </c>
      <c r="V232" s="20" t="n">
        <v>98.723</v>
      </c>
      <c r="W232" s="20" t="n">
        <v>8.366</v>
      </c>
      <c r="X232" s="20" t="n">
        <v>0</v>
      </c>
    </row>
    <row r="233">
      <c r="A233" s="18" t="inlineStr">
        <is>
          <t>보험적립금 적립</t>
        </is>
      </c>
      <c r="D233" s="20" t="n">
        <v>-0.761</v>
      </c>
      <c r="F233" s="20" t="n">
        <v>-22.301</v>
      </c>
      <c r="H233" s="20" t="n">
        <v>-0.761</v>
      </c>
      <c r="J233" s="20" t="n">
        <v>-4.065</v>
      </c>
      <c r="L233" s="20" t="n">
        <v>-0.284</v>
      </c>
      <c r="N233" s="20" t="n">
        <v>-4.193</v>
      </c>
      <c r="O233" s="20" t="n">
        <v>-5.524</v>
      </c>
      <c r="P233" s="20" t="n">
        <v>-5.524</v>
      </c>
      <c r="Q233" s="20" t="n">
        <v>-5.847</v>
      </c>
      <c r="R233" s="20" t="n">
        <v>-6.221</v>
      </c>
      <c r="S233" s="20" t="n">
        <v>-6.221</v>
      </c>
      <c r="T233" s="20" t="n">
        <v>-6.238</v>
      </c>
      <c r="U233" s="20" t="n">
        <v>-6.246</v>
      </c>
      <c r="V233" s="20" t="n">
        <v>-22.301</v>
      </c>
      <c r="W233" s="20" t="n">
        <v>-4.065</v>
      </c>
      <c r="X233" s="20" t="n">
        <v>-4.193</v>
      </c>
    </row>
    <row r="234">
      <c r="A234" s="18" t="inlineStr">
        <is>
          <t>보험적립금 해약</t>
        </is>
      </c>
      <c r="F234" s="20" t="n">
        <v>19.718</v>
      </c>
      <c r="J234" s="20" t="n">
        <v>0</v>
      </c>
      <c r="N234" s="20" t="n">
        <v>19.9</v>
      </c>
      <c r="O234" s="20" t="n">
        <v>0</v>
      </c>
      <c r="P234" s="20" t="n">
        <v>61.148</v>
      </c>
      <c r="Q234" s="20" t="n">
        <v>0</v>
      </c>
      <c r="U234" s="20" t="n">
        <v>0</v>
      </c>
      <c r="V234" s="20" t="n">
        <v>19.718</v>
      </c>
      <c r="W234" s="20" t="n">
        <v>0</v>
      </c>
      <c r="X234" s="20" t="n">
        <v>19.9</v>
      </c>
    </row>
    <row r="235">
      <c r="A235" s="18" t="inlineStr">
        <is>
          <t>기타</t>
        </is>
      </c>
      <c r="F235" s="20" t="n">
        <v>0</v>
      </c>
      <c r="O235" s="20" t="n">
        <v>-7.313</v>
      </c>
      <c r="P235" s="20" t="n">
        <v>7.801</v>
      </c>
      <c r="Q235" s="20" t="n">
        <v>0.57</v>
      </c>
      <c r="R235" s="20" t="n">
        <v>-2.661</v>
      </c>
      <c r="S235" s="20" t="n">
        <v>-4.909</v>
      </c>
      <c r="T235" s="20" t="n">
        <v>0</v>
      </c>
      <c r="U235" s="20" t="n">
        <v>0.01</v>
      </c>
      <c r="V235" s="20" t="n">
        <v>0</v>
      </c>
    </row>
    <row r="236">
      <c r="A236" s="9" t="inlineStr">
        <is>
          <t>투자활동 현금흐름</t>
        </is>
      </c>
      <c r="D236" s="12" t="n">
        <v>-34.63</v>
      </c>
      <c r="F236" s="12" t="n">
        <v>-64.839</v>
      </c>
      <c r="H236" s="12" t="n">
        <v>149.28</v>
      </c>
      <c r="J236" s="12" t="n">
        <v>-5.047</v>
      </c>
      <c r="L236" s="12" t="n">
        <v>-402.516</v>
      </c>
      <c r="N236" s="12" t="n">
        <v>164.667</v>
      </c>
      <c r="O236" s="12" t="n">
        <v>-97.976</v>
      </c>
      <c r="P236" s="12" t="n">
        <v>75.51900000000001</v>
      </c>
      <c r="Q236" s="12" t="n">
        <v>-19.754</v>
      </c>
      <c r="R236" s="12" t="n">
        <v>-88.596</v>
      </c>
      <c r="S236" s="12" t="n">
        <v>-43.361</v>
      </c>
      <c r="T236" s="12" t="n">
        <v>-7.855</v>
      </c>
      <c r="U236" s="12" t="n">
        <v>-76.788</v>
      </c>
      <c r="V236" s="12" t="n">
        <v>-64.839</v>
      </c>
      <c r="W236" s="12" t="n">
        <v>-5.047</v>
      </c>
      <c r="X236" s="12" t="n">
        <v>164.667</v>
      </c>
    </row>
    <row r="237">
      <c r="A237" s="18" t="inlineStr">
        <is>
          <t>단기차입금 순증감</t>
        </is>
      </c>
      <c r="D237" s="20" t="n">
        <v>180</v>
      </c>
      <c r="F237" s="20" t="n">
        <v>-14</v>
      </c>
      <c r="H237" s="20" t="n">
        <v>180</v>
      </c>
      <c r="J237" s="20" t="n">
        <v>0</v>
      </c>
      <c r="L237" s="20" t="n">
        <v>210</v>
      </c>
      <c r="N237" s="20" t="n">
        <v>-30</v>
      </c>
      <c r="O237" s="20" t="n">
        <v>-90</v>
      </c>
      <c r="P237" s="20" t="n">
        <v>-20</v>
      </c>
      <c r="Q237" s="20" t="n">
        <v>-78</v>
      </c>
      <c r="R237" s="20" t="n">
        <v>-22</v>
      </c>
      <c r="S237" s="20" t="n">
        <v>-138</v>
      </c>
      <c r="T237" s="20" t="n">
        <v>-19.339</v>
      </c>
      <c r="U237" s="20" t="n">
        <v>9.920999999999999</v>
      </c>
      <c r="V237" s="20" t="n">
        <v>-14</v>
      </c>
      <c r="W237" s="20" t="n">
        <v>0</v>
      </c>
      <c r="X237" s="20" t="n">
        <v>-30</v>
      </c>
    </row>
    <row r="238">
      <c r="A238" s="18" t="inlineStr">
        <is>
          <t>장기차입</t>
        </is>
      </c>
      <c r="D238" s="20" t="n">
        <v>250</v>
      </c>
      <c r="F238" s="20" t="n">
        <v>280</v>
      </c>
      <c r="H238" s="20" t="n">
        <v>250</v>
      </c>
      <c r="J238" s="20" t="n">
        <v>250</v>
      </c>
      <c r="L238" s="20" t="n">
        <v>210</v>
      </c>
      <c r="N238" s="20" t="n">
        <v>250</v>
      </c>
      <c r="O238" s="20" t="n">
        <v>200</v>
      </c>
      <c r="P238" s="20" t="n">
        <v>300</v>
      </c>
      <c r="Q238" s="20" t="n">
        <v>170</v>
      </c>
      <c r="R238" s="20" t="n">
        <v>320</v>
      </c>
      <c r="S238" s="20" t="n">
        <v>490</v>
      </c>
      <c r="T238" s="20" t="n">
        <v>550</v>
      </c>
      <c r="U238" s="20" t="n">
        <v>300</v>
      </c>
      <c r="V238" s="20" t="n">
        <v>280</v>
      </c>
      <c r="W238" s="20" t="n">
        <v>250</v>
      </c>
      <c r="X238" s="20" t="n">
        <v>250</v>
      </c>
    </row>
    <row r="239">
      <c r="A239" s="18" t="inlineStr">
        <is>
          <t>장기차입금 상환</t>
        </is>
      </c>
      <c r="D239" s="20" t="n">
        <v>-150.012</v>
      </c>
      <c r="F239" s="20" t="n">
        <v>-324.891</v>
      </c>
      <c r="H239" s="20" t="n">
        <v>-164.695</v>
      </c>
      <c r="J239" s="20" t="n">
        <v>-310.988</v>
      </c>
      <c r="L239" s="20" t="n">
        <v>-158.876</v>
      </c>
      <c r="N239" s="20" t="n">
        <v>-341.675</v>
      </c>
      <c r="O239" s="20" t="n">
        <v>-321.573</v>
      </c>
      <c r="P239" s="20" t="n">
        <v>-251.284</v>
      </c>
      <c r="Q239" s="20" t="n">
        <v>-243.961</v>
      </c>
      <c r="R239" s="20" t="n">
        <v>-275.745</v>
      </c>
      <c r="S239" s="20" t="n">
        <v>-378.328</v>
      </c>
      <c r="T239" s="20" t="n">
        <v>-399.752</v>
      </c>
      <c r="U239" s="20" t="n">
        <v>-368.592</v>
      </c>
      <c r="V239" s="20" t="n">
        <v>-324.891</v>
      </c>
      <c r="W239" s="20" t="n">
        <v>-310.988</v>
      </c>
      <c r="X239" s="20" t="n">
        <v>-341.675</v>
      </c>
    </row>
    <row r="240">
      <c r="A240" s="18" t="inlineStr">
        <is>
          <t>장기 미지급금 상환 지출</t>
        </is>
      </c>
      <c r="D240" s="20" t="n">
        <v>-40.685</v>
      </c>
      <c r="F240" s="20" t="n">
        <v>-64.30800000000001</v>
      </c>
      <c r="H240" s="20" t="n">
        <v>-37.33</v>
      </c>
      <c r="J240" s="20" t="n">
        <v>-80.16</v>
      </c>
      <c r="L240" s="20" t="n">
        <v>-24.893</v>
      </c>
      <c r="N240" s="20" t="n">
        <v>-64.39100000000001</v>
      </c>
      <c r="O240" s="20" t="n">
        <v>-88.669</v>
      </c>
      <c r="P240" s="20" t="n">
        <v>-80.995</v>
      </c>
      <c r="Q240" s="20" t="n">
        <v>-69.16800000000001</v>
      </c>
      <c r="R240" s="20" t="n">
        <v>-65.19</v>
      </c>
      <c r="S240" s="20" t="n">
        <v>-62.636</v>
      </c>
      <c r="T240" s="20" t="n">
        <v>-52.678</v>
      </c>
      <c r="U240" s="20" t="n">
        <v>-57.788</v>
      </c>
      <c r="V240" s="20" t="n">
        <v>-64.30800000000001</v>
      </c>
      <c r="W240" s="20" t="n">
        <v>-80.16</v>
      </c>
      <c r="X240" s="20" t="n">
        <v>-64.39100000000001</v>
      </c>
    </row>
    <row r="241">
      <c r="A241" s="18" t="inlineStr">
        <is>
          <t>자기주식 취득</t>
        </is>
      </c>
      <c r="F241" s="20" t="n">
        <v>-0</v>
      </c>
      <c r="J241" s="20" t="n">
        <v>0</v>
      </c>
      <c r="O241" s="20" t="n">
        <v>0</v>
      </c>
      <c r="P241" s="20" t="n">
        <v>-0.012</v>
      </c>
      <c r="Q241" s="20" t="n">
        <v>-0.042</v>
      </c>
      <c r="R241" s="20" t="n">
        <v>0</v>
      </c>
      <c r="T241" s="20" t="n">
        <v>0</v>
      </c>
      <c r="U241" s="20" t="n">
        <v>-0.017</v>
      </c>
      <c r="V241" s="20" t="n">
        <v>-0</v>
      </c>
      <c r="W241" s="20" t="n">
        <v>0</v>
      </c>
    </row>
    <row r="242">
      <c r="A242" s="18" t="inlineStr">
        <is>
          <t>배당금 지급</t>
        </is>
      </c>
      <c r="D242" s="20" t="n">
        <v>-17.836</v>
      </c>
      <c r="F242" s="20" t="n">
        <v>-17.836</v>
      </c>
      <c r="H242" s="20" t="n">
        <v>-17.958</v>
      </c>
      <c r="J242" s="20" t="n">
        <v>-17.836</v>
      </c>
      <c r="L242" s="20" t="n">
        <v>-35.917</v>
      </c>
      <c r="N242" s="20" t="n">
        <v>-17.958</v>
      </c>
      <c r="O242" s="20" t="n">
        <v>-17.549</v>
      </c>
      <c r="P242" s="20" t="n">
        <v>-17.549</v>
      </c>
      <c r="Q242" s="20" t="n">
        <v>-17.549</v>
      </c>
      <c r="R242" s="20" t="n">
        <v>-29.352</v>
      </c>
      <c r="S242" s="20" t="n">
        <v>-17.61</v>
      </c>
      <c r="T242" s="20" t="n">
        <v>-17.724</v>
      </c>
      <c r="U242" s="20" t="n">
        <v>-29.519</v>
      </c>
      <c r="V242" s="20" t="n">
        <v>-17.836</v>
      </c>
      <c r="W242" s="20" t="n">
        <v>-17.836</v>
      </c>
      <c r="X242" s="20" t="n">
        <v>-17.958</v>
      </c>
    </row>
    <row r="243">
      <c r="A243" s="18" t="inlineStr">
        <is>
          <t>기타</t>
        </is>
      </c>
      <c r="R243" s="20" t="n">
        <v>0</v>
      </c>
      <c r="S243" s="20" t="n">
        <v>31.953</v>
      </c>
      <c r="T243" s="20" t="n">
        <v>0</v>
      </c>
    </row>
    <row r="244">
      <c r="A244" s="9" t="inlineStr">
        <is>
          <t>재무활동 현금흐름</t>
        </is>
      </c>
      <c r="D244" s="12" t="n">
        <v>221.466</v>
      </c>
      <c r="F244" s="12" t="n">
        <v>-141.036</v>
      </c>
      <c r="H244" s="12" t="n">
        <v>210.016</v>
      </c>
      <c r="J244" s="12" t="n">
        <v>-158.984</v>
      </c>
      <c r="L244" s="12" t="n">
        <v>200.313</v>
      </c>
      <c r="N244" s="12" t="n">
        <v>-204.024</v>
      </c>
      <c r="O244" s="12" t="n">
        <v>-317.791</v>
      </c>
      <c r="P244" s="12" t="n">
        <v>-69.84099999999999</v>
      </c>
      <c r="Q244" s="12" t="n">
        <v>-238.721</v>
      </c>
      <c r="R244" s="12" t="n">
        <v>-72.288</v>
      </c>
      <c r="S244" s="12" t="n">
        <v>-74.621</v>
      </c>
      <c r="T244" s="12" t="n">
        <v>60.504</v>
      </c>
      <c r="U244" s="12" t="n">
        <v>-145.995</v>
      </c>
      <c r="V244" s="12" t="n">
        <v>-141.036</v>
      </c>
      <c r="W244" s="12" t="n">
        <v>-158.984</v>
      </c>
      <c r="X244" s="12" t="n">
        <v>-204.024</v>
      </c>
    </row>
    <row r="245">
      <c r="A245" s="18" t="inlineStr">
        <is>
          <t>현금성자산 환산차이</t>
        </is>
      </c>
      <c r="D245" s="20" t="n">
        <v>4.92</v>
      </c>
      <c r="F245" s="20" t="n">
        <v>5.013</v>
      </c>
      <c r="H245" s="20" t="n">
        <v>-5.235</v>
      </c>
      <c r="J245" s="20" t="n">
        <v>3.898</v>
      </c>
      <c r="L245" s="20" t="n">
        <v>3.802</v>
      </c>
      <c r="N245" s="20" t="n">
        <v>-9.992000000000001</v>
      </c>
      <c r="O245" s="20" t="n">
        <v>-11.484</v>
      </c>
      <c r="P245" s="20" t="n">
        <v>4.78</v>
      </c>
      <c r="Q245" s="20" t="n">
        <v>-0.727</v>
      </c>
      <c r="R245" s="20" t="n">
        <v>4.106</v>
      </c>
      <c r="S245" s="20" t="n">
        <v>-5.024</v>
      </c>
      <c r="T245" s="20" t="n">
        <v>4.452</v>
      </c>
      <c r="U245" s="20" t="n">
        <v>11.938</v>
      </c>
      <c r="V245" s="20" t="n">
        <v>5.013</v>
      </c>
      <c r="W245" s="20" t="n">
        <v>3.898</v>
      </c>
      <c r="X245" s="20" t="n">
        <v>-9.992000000000001</v>
      </c>
    </row>
    <row r="246">
      <c r="A246" s="18" t="inlineStr">
        <is>
          <t>현금성자산 증감</t>
        </is>
      </c>
      <c r="D246" s="20" t="n">
        <v>449.133</v>
      </c>
      <c r="F246" s="20" t="n">
        <v>-228.334</v>
      </c>
      <c r="H246" s="20" t="n">
        <v>472.025</v>
      </c>
      <c r="J246" s="20" t="n">
        <v>88.566</v>
      </c>
      <c r="L246" s="20" t="n">
        <v>287.269</v>
      </c>
      <c r="N246" s="20" t="n">
        <v>-111.012</v>
      </c>
      <c r="O246" s="20" t="n">
        <v>-55.469</v>
      </c>
      <c r="P246" s="20" t="n">
        <v>227.425</v>
      </c>
      <c r="Q246" s="20" t="n">
        <v>-292.176</v>
      </c>
      <c r="R246" s="20" t="n">
        <v>105.045</v>
      </c>
      <c r="S246" s="20" t="n">
        <v>-72.73099999999999</v>
      </c>
      <c r="T246" s="20" t="n">
        <v>222.282</v>
      </c>
      <c r="U246" s="20" t="n">
        <v>22.283</v>
      </c>
      <c r="V246" s="20" t="n">
        <v>-228.334</v>
      </c>
      <c r="W246" s="20" t="n">
        <v>88.566</v>
      </c>
      <c r="X246" s="20" t="n">
        <v>-111.012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124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30" customHeight="1">
      <c r="A1" s="1" t="inlineStr">
        <is>
          <t>6663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2025.4Q</t>
        </is>
      </c>
      <c r="D3" s="5" t="inlineStr">
        <is>
          <t>2026.1Q</t>
        </is>
      </c>
      <c r="E3" s="5" t="inlineStr">
        <is>
          <t>2026.2Q</t>
        </is>
      </c>
      <c r="F3" s="5" t="inlineStr">
        <is>
          <t>2026.3Q</t>
        </is>
      </c>
      <c r="G3" s="5" t="inlineStr">
        <is>
          <t>2026.4Q</t>
        </is>
      </c>
      <c r="H3" s="6" t="inlineStr">
        <is>
          <t>2023</t>
        </is>
      </c>
      <c r="I3" s="5" t="inlineStr">
        <is>
          <t>2024</t>
        </is>
      </c>
      <c r="J3" s="5" t="inlineStr">
        <is>
          <t>2025</t>
        </is>
      </c>
      <c r="K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</row>
    <row r="5">
      <c r="A5" s="9" t="inlineStr">
        <is>
          <t>유동자산</t>
        </is>
      </c>
      <c r="B5" s="10" t="n"/>
      <c r="C5" s="11" t="n">
        <v>2777.075</v>
      </c>
      <c r="D5" s="12" t="n">
        <v>2604.667</v>
      </c>
      <c r="E5" s="12" t="n">
        <v>2811.898</v>
      </c>
      <c r="F5" s="12" t="n">
        <v>2941.501</v>
      </c>
      <c r="G5" s="12" t="n">
        <v>2936.269</v>
      </c>
      <c r="H5" s="11" t="n">
        <v>2767.155</v>
      </c>
      <c r="I5" s="12" t="n">
        <v>2916.735</v>
      </c>
      <c r="J5" s="12" t="n">
        <v>2777.075</v>
      </c>
      <c r="K5" s="12" t="n">
        <v>2936.269</v>
      </c>
    </row>
    <row r="6">
      <c r="A6" s="18" t="inlineStr">
        <is>
          <t>현금및현금성자산</t>
        </is>
      </c>
      <c r="B6" s="10" t="n"/>
      <c r="C6" s="19" t="n">
        <v>1650.048</v>
      </c>
      <c r="D6" s="20" t="n">
        <v>1257.565</v>
      </c>
      <c r="E6" s="20" t="n">
        <v>1707.71</v>
      </c>
      <c r="F6" s="20" t="n">
        <v>1942.751</v>
      </c>
      <c r="G6" s="20" t="n">
        <v>1867.696</v>
      </c>
      <c r="H6" s="19" t="n">
        <v>1665.094</v>
      </c>
      <c r="I6" s="20" t="n">
        <v>1769.981</v>
      </c>
      <c r="J6" s="20" t="n">
        <v>1650.048</v>
      </c>
      <c r="K6" s="20" t="n">
        <v>1867.696</v>
      </c>
    </row>
    <row r="7">
      <c r="A7" s="18" t="inlineStr">
        <is>
          <t>단기금융상품</t>
        </is>
      </c>
      <c r="B7" s="10" t="n"/>
      <c r="C7" s="19" t="n">
        <v>0</v>
      </c>
      <c r="D7" s="20" t="n">
        <v>0</v>
      </c>
      <c r="E7" s="20" t="n"/>
      <c r="F7" s="20" t="n"/>
      <c r="G7" s="20" t="n"/>
      <c r="H7" s="19" t="n">
        <v>0</v>
      </c>
      <c r="I7" s="20" t="n">
        <v>150</v>
      </c>
      <c r="J7" s="20" t="n">
        <v>0</v>
      </c>
      <c r="K7" s="20" t="n"/>
    </row>
    <row r="8">
      <c r="A8" s="18" t="inlineStr">
        <is>
          <t>매출채권</t>
        </is>
      </c>
      <c r="B8" s="10" t="n"/>
      <c r="C8" s="19" t="n">
        <v>721.239</v>
      </c>
      <c r="D8" s="20" t="n">
        <v>1001.287</v>
      </c>
      <c r="E8" s="20" t="n">
        <v>701.593</v>
      </c>
      <c r="F8" s="20" t="n">
        <v>583.3680000000001</v>
      </c>
      <c r="G8" s="20" t="n">
        <v>665.74</v>
      </c>
      <c r="H8" s="19" t="n">
        <v>519.277</v>
      </c>
      <c r="I8" s="20" t="n">
        <v>580.8869999999999</v>
      </c>
      <c r="J8" s="20" t="n">
        <v>721.239</v>
      </c>
      <c r="K8" s="20" t="n">
        <v>665.74</v>
      </c>
    </row>
    <row r="9">
      <c r="A9" s="18" t="inlineStr">
        <is>
          <t>재고자산</t>
        </is>
      </c>
      <c r="B9" s="10" t="n"/>
      <c r="C9" s="19" t="n">
        <v>376.169</v>
      </c>
      <c r="D9" s="20" t="n">
        <v>325.345</v>
      </c>
      <c r="E9" s="20" t="n">
        <v>389.142</v>
      </c>
      <c r="F9" s="20" t="n">
        <v>380.619</v>
      </c>
      <c r="G9" s="20" t="n">
        <v>354.352</v>
      </c>
      <c r="H9" s="19" t="n">
        <v>549.6849999999999</v>
      </c>
      <c r="I9" s="20" t="n">
        <v>379.4</v>
      </c>
      <c r="J9" s="20" t="n">
        <v>376.169</v>
      </c>
      <c r="K9" s="20" t="n">
        <v>354.352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</row>
    <row r="11">
      <c r="A11" s="9" t="inlineStr">
        <is>
          <t>비유동자산</t>
        </is>
      </c>
      <c r="B11" s="10" t="n"/>
      <c r="C11" s="11" t="n">
        <v>1971.903</v>
      </c>
      <c r="D11" s="12" t="n">
        <v>1966.304</v>
      </c>
      <c r="E11" s="12" t="n">
        <v>2013.61</v>
      </c>
      <c r="F11" s="12" t="n">
        <v>2075.974</v>
      </c>
      <c r="G11" s="12" t="n">
        <v>2182.812</v>
      </c>
      <c r="H11" s="11" t="n">
        <v>2059.079</v>
      </c>
      <c r="I11" s="12" t="n">
        <v>2023.229</v>
      </c>
      <c r="J11" s="12" t="n">
        <v>1971.903</v>
      </c>
      <c r="K11" s="12" t="n">
        <v>2182.812</v>
      </c>
    </row>
    <row r="12">
      <c r="A12" s="18" t="inlineStr">
        <is>
          <t>유형자산</t>
        </is>
      </c>
      <c r="B12" s="10" t="n"/>
      <c r="C12" s="19" t="n">
        <v>1380.279</v>
      </c>
      <c r="D12" s="20" t="n">
        <v>1356.225</v>
      </c>
      <c r="E12" s="20" t="n">
        <v>1335.302</v>
      </c>
      <c r="F12" s="20" t="n">
        <v>1332.055</v>
      </c>
      <c r="G12" s="20" t="n">
        <v>1343.384</v>
      </c>
      <c r="H12" s="19" t="n">
        <v>1412.807</v>
      </c>
      <c r="I12" s="20" t="n">
        <v>1439.542</v>
      </c>
      <c r="J12" s="20" t="n">
        <v>1380.279</v>
      </c>
      <c r="K12" s="20" t="n">
        <v>1343.384</v>
      </c>
    </row>
    <row r="13">
      <c r="A13" s="18" t="inlineStr">
        <is>
          <t>무형자산</t>
        </is>
      </c>
      <c r="B13" s="10" t="n"/>
      <c r="C13" s="19" t="n">
        <v>46.476</v>
      </c>
      <c r="D13" s="20" t="n">
        <v>41.841</v>
      </c>
      <c r="E13" s="20" t="n">
        <v>37.556</v>
      </c>
      <c r="F13" s="20" t="n">
        <v>33.567</v>
      </c>
      <c r="G13" s="20" t="n">
        <v>32.753</v>
      </c>
      <c r="H13" s="19" t="n">
        <v>63.814</v>
      </c>
      <c r="I13" s="20" t="n">
        <v>60.9</v>
      </c>
      <c r="J13" s="20" t="n">
        <v>46.476</v>
      </c>
      <c r="K13" s="20" t="n">
        <v>32.753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</row>
    <row r="16">
      <c r="A16" s="9" t="inlineStr">
        <is>
          <t>자산총계</t>
        </is>
      </c>
      <c r="B16" s="10" t="n"/>
      <c r="C16" s="11" t="n">
        <v>4748.978</v>
      </c>
      <c r="D16" s="12" t="n">
        <v>4570.972</v>
      </c>
      <c r="E16" s="12" t="n">
        <v>4825.509</v>
      </c>
      <c r="F16" s="12" t="n">
        <v>5017.476</v>
      </c>
      <c r="G16" s="12" t="n">
        <v>5119.082</v>
      </c>
      <c r="H16" s="11" t="n">
        <v>4826.234</v>
      </c>
      <c r="I16" s="12" t="n">
        <v>4939.964</v>
      </c>
      <c r="J16" s="12" t="n">
        <v>4748.978</v>
      </c>
      <c r="K16" s="12" t="n">
        <v>5119.082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</row>
    <row r="18">
      <c r="A18" s="9" t="inlineStr">
        <is>
          <t>유동부채</t>
        </is>
      </c>
      <c r="B18" s="10" t="n"/>
      <c r="C18" s="11" t="n">
        <v>1107.225</v>
      </c>
      <c r="D18" s="12" t="n">
        <v>784.061</v>
      </c>
      <c r="E18" s="12" t="n">
        <v>1021.765</v>
      </c>
      <c r="F18" s="12" t="n">
        <v>1024.752</v>
      </c>
      <c r="G18" s="12" t="n">
        <v>1035.066</v>
      </c>
      <c r="H18" s="11" t="n">
        <v>1051.918</v>
      </c>
      <c r="I18" s="12" t="n">
        <v>1144.982</v>
      </c>
      <c r="J18" s="12" t="n">
        <v>1107.225</v>
      </c>
      <c r="K18" s="12" t="n">
        <v>1035.066</v>
      </c>
    </row>
    <row r="19">
      <c r="A19" s="18" t="inlineStr">
        <is>
          <t>매입채무</t>
        </is>
      </c>
      <c r="B19" s="10" t="n"/>
      <c r="C19" s="19" t="n">
        <v>183.237</v>
      </c>
      <c r="D19" s="20" t="n">
        <v>135.614</v>
      </c>
      <c r="E19" s="20" t="n">
        <v>124.486</v>
      </c>
      <c r="F19" s="20" t="n">
        <v>127.169</v>
      </c>
      <c r="G19" s="20" t="n">
        <v>171.248</v>
      </c>
      <c r="H19" s="19" t="n">
        <v>97.02800000000001</v>
      </c>
      <c r="I19" s="20" t="n">
        <v>143.291</v>
      </c>
      <c r="J19" s="20" t="n">
        <v>183.237</v>
      </c>
      <c r="K19" s="20" t="n">
        <v>171.248</v>
      </c>
    </row>
    <row r="20">
      <c r="A20" s="18" t="inlineStr">
        <is>
          <t>단기차입금</t>
        </is>
      </c>
      <c r="B20" s="10" t="n"/>
      <c r="C20" s="19" t="n">
        <v>562.165</v>
      </c>
      <c r="D20" s="20" t="n">
        <v>290.668</v>
      </c>
      <c r="E20" s="20" t="n">
        <v>510.689</v>
      </c>
      <c r="F20" s="20" t="n">
        <v>510.959</v>
      </c>
      <c r="G20" s="20" t="n">
        <v>500.824</v>
      </c>
      <c r="H20" s="19" t="n">
        <v>571.4160000000001</v>
      </c>
      <c r="I20" s="20" t="n">
        <v>598.676</v>
      </c>
      <c r="J20" s="20" t="n">
        <v>562.165</v>
      </c>
      <c r="K20" s="20" t="n">
        <v>500.824</v>
      </c>
    </row>
    <row r="21">
      <c r="A21" s="18" t="inlineStr">
        <is>
          <t>유동성장기부채</t>
        </is>
      </c>
      <c r="B21" s="10" t="n"/>
      <c r="C21" s="19" t="n"/>
      <c r="D21" s="20" t="n"/>
      <c r="E21" s="20" t="n"/>
      <c r="F21" s="20" t="n"/>
      <c r="G21" s="20" t="n"/>
      <c r="H21" s="19" t="n"/>
      <c r="I21" s="20" t="n"/>
      <c r="J21" s="20" t="n"/>
      <c r="K21" s="20" t="n"/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</row>
    <row r="23">
      <c r="A23" s="9" t="inlineStr">
        <is>
          <t>비유동부채</t>
        </is>
      </c>
      <c r="B23" s="10" t="n"/>
      <c r="C23" s="11" t="n">
        <v>1137.966</v>
      </c>
      <c r="D23" s="12" t="n">
        <v>1088.5</v>
      </c>
      <c r="E23" s="12" t="n">
        <v>1088.554</v>
      </c>
      <c r="F23" s="12" t="n">
        <v>1173.526</v>
      </c>
      <c r="G23" s="12" t="n">
        <v>1158.321</v>
      </c>
      <c r="H23" s="11" t="n">
        <v>1234.38</v>
      </c>
      <c r="I23" s="12" t="n">
        <v>1225.434</v>
      </c>
      <c r="J23" s="12" t="n">
        <v>1137.966</v>
      </c>
      <c r="K23" s="12" t="n">
        <v>1158.321</v>
      </c>
    </row>
    <row r="24">
      <c r="A24" s="18" t="inlineStr">
        <is>
          <t>장기차입금</t>
        </is>
      </c>
      <c r="B24" s="10" t="n"/>
      <c r="C24" s="19" t="n">
        <v>331.575</v>
      </c>
      <c r="D24" s="20" t="n">
        <v>280.582</v>
      </c>
      <c r="E24" s="20" t="n">
        <v>268.76</v>
      </c>
      <c r="F24" s="20" t="n">
        <v>321.414</v>
      </c>
      <c r="G24" s="20" t="n">
        <v>288.921</v>
      </c>
      <c r="H24" s="19" t="n">
        <v>479.739</v>
      </c>
      <c r="I24" s="20" t="n">
        <v>394.737</v>
      </c>
      <c r="J24" s="20" t="n">
        <v>331.575</v>
      </c>
      <c r="K24" s="20" t="n">
        <v>288.921</v>
      </c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/>
      <c r="I25" s="20" t="n"/>
      <c r="J25" s="20" t="n"/>
      <c r="K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</row>
    <row r="27">
      <c r="A27" s="9" t="inlineStr">
        <is>
          <t>부채총계</t>
        </is>
      </c>
      <c r="B27" s="10" t="n"/>
      <c r="C27" s="11" t="n">
        <v>2245.191</v>
      </c>
      <c r="D27" s="12" t="n">
        <v>1872.562</v>
      </c>
      <c r="E27" s="12" t="n">
        <v>2110.319</v>
      </c>
      <c r="F27" s="12" t="n">
        <v>2198.279</v>
      </c>
      <c r="G27" s="12" t="n">
        <v>2193.387</v>
      </c>
      <c r="H27" s="11" t="n">
        <v>2286.298</v>
      </c>
      <c r="I27" s="12" t="n">
        <v>2370.417</v>
      </c>
      <c r="J27" s="12" t="n">
        <v>2245.191</v>
      </c>
      <c r="K27" s="12" t="n">
        <v>2193.387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</row>
    <row r="31">
      <c r="A31" s="9" t="inlineStr">
        <is>
          <t>지배주주지분</t>
        </is>
      </c>
      <c r="B31" s="10" t="n"/>
      <c r="C31" s="11" t="n">
        <v>2474.671</v>
      </c>
      <c r="D31" s="12" t="n">
        <v>2669.024</v>
      </c>
      <c r="E31" s="12" t="n">
        <v>2684.008</v>
      </c>
      <c r="F31" s="12" t="n">
        <v>2786.58</v>
      </c>
      <c r="G31" s="12" t="n">
        <v>2889.021</v>
      </c>
      <c r="H31" s="11" t="n">
        <v>2509.989</v>
      </c>
      <c r="I31" s="12" t="n">
        <v>2536.942</v>
      </c>
      <c r="J31" s="12" t="n">
        <v>2474.671</v>
      </c>
      <c r="K31" s="12" t="n">
        <v>2889.021</v>
      </c>
    </row>
    <row r="32">
      <c r="A32" s="18" t="inlineStr">
        <is>
          <t>자본금</t>
        </is>
      </c>
      <c r="B32" s="10" t="n"/>
      <c r="C32" s="19" t="n">
        <v>822.1950000000001</v>
      </c>
      <c r="D32" s="20" t="n">
        <v>822.1950000000001</v>
      </c>
      <c r="E32" s="20" t="n">
        <v>822.1950000000001</v>
      </c>
      <c r="F32" s="20" t="n">
        <v>833.535</v>
      </c>
      <c r="G32" s="20" t="n">
        <v>833.535</v>
      </c>
      <c r="H32" s="19" t="n">
        <v>815.198</v>
      </c>
      <c r="I32" s="20" t="n">
        <v>822.1950000000001</v>
      </c>
      <c r="J32" s="20" t="n">
        <v>822.1950000000001</v>
      </c>
      <c r="K32" s="20" t="n">
        <v>833.535</v>
      </c>
    </row>
    <row r="33">
      <c r="A33" s="18" t="inlineStr">
        <is>
          <t>이익잉여금</t>
        </is>
      </c>
      <c r="B33" s="10" t="n"/>
      <c r="C33" s="19" t="n">
        <v>511.788</v>
      </c>
      <c r="D33" s="20" t="n">
        <v>678.098</v>
      </c>
      <c r="E33" s="20" t="n">
        <v>644.294</v>
      </c>
      <c r="F33" s="20" t="n">
        <v>681.306</v>
      </c>
      <c r="G33" s="20" t="n">
        <v>716.639</v>
      </c>
      <c r="H33" s="19" t="n">
        <v>648.872</v>
      </c>
      <c r="I33" s="20" t="n">
        <v>633.359</v>
      </c>
      <c r="J33" s="20" t="n">
        <v>511.788</v>
      </c>
      <c r="K33" s="20" t="n">
        <v>716.639</v>
      </c>
    </row>
    <row r="34">
      <c r="A34" s="18" t="inlineStr">
        <is>
          <t>비지배지분</t>
        </is>
      </c>
      <c r="B34" s="10" t="n"/>
      <c r="C34" s="19" t="n">
        <v>29.115</v>
      </c>
      <c r="D34" s="20" t="n">
        <v>29.386</v>
      </c>
      <c r="E34" s="20" t="n">
        <v>31.181</v>
      </c>
      <c r="F34" s="20" t="n">
        <v>32.616</v>
      </c>
      <c r="G34" s="20" t="n">
        <v>36.673</v>
      </c>
      <c r="H34" s="19" t="n">
        <v>29.947</v>
      </c>
      <c r="I34" s="20" t="n">
        <v>32.605</v>
      </c>
      <c r="J34" s="20" t="n">
        <v>29.115</v>
      </c>
      <c r="K34" s="20" t="n">
        <v>36.673</v>
      </c>
    </row>
    <row r="35">
      <c r="A35" s="9" t="inlineStr">
        <is>
          <t>자본총계</t>
        </is>
      </c>
      <c r="B35" s="10" t="n"/>
      <c r="C35" s="11" t="n">
        <v>2503.786</v>
      </c>
      <c r="D35" s="12" t="n">
        <v>2698.41</v>
      </c>
      <c r="E35" s="12" t="n">
        <v>2715.189</v>
      </c>
      <c r="F35" s="12" t="n">
        <v>2819.196</v>
      </c>
      <c r="G35" s="12" t="n">
        <v>2925.694</v>
      </c>
      <c r="H35" s="11" t="n">
        <v>2539.936</v>
      </c>
      <c r="I35" s="12" t="n">
        <v>2569.547</v>
      </c>
      <c r="J35" s="12" t="n">
        <v>2503.786</v>
      </c>
      <c r="K35" s="12" t="n">
        <v>2925.694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</row>
    <row r="37">
      <c r="A37" s="9" t="inlineStr">
        <is>
          <t>영업활동현금흐름</t>
        </is>
      </c>
      <c r="B37" s="10" t="n"/>
      <c r="C37" s="11" t="n">
        <v>248.699</v>
      </c>
      <c r="D37" s="12" t="n"/>
      <c r="E37" s="12" t="n">
        <v>616.404</v>
      </c>
      <c r="F37" s="12" t="n"/>
      <c r="G37" s="12" t="n">
        <v>-61.662</v>
      </c>
      <c r="H37" s="11" t="n">
        <v>233.127</v>
      </c>
      <c r="I37" s="12" t="n">
        <v>-27.472</v>
      </c>
      <c r="J37" s="12" t="n">
        <v>248.699</v>
      </c>
      <c r="K37" s="12" t="n">
        <v>-61.662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>
        <v>36.467</v>
      </c>
      <c r="D38" s="20" t="n"/>
      <c r="E38" s="20" t="n">
        <v>24.074</v>
      </c>
      <c r="F38" s="20" t="n"/>
      <c r="G38" s="20" t="n">
        <v>47.203</v>
      </c>
      <c r="H38" s="19" t="n">
        <v>87.276</v>
      </c>
      <c r="I38" s="20" t="n">
        <v>175.808</v>
      </c>
      <c r="J38" s="20" t="n">
        <v>36.467</v>
      </c>
      <c r="K38" s="20" t="n">
        <v>47.203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>
        <v>17.836</v>
      </c>
      <c r="D40" s="20" t="n"/>
      <c r="E40" s="20" t="n">
        <v>35.795</v>
      </c>
      <c r="F40" s="20" t="n"/>
      <c r="G40" s="20" t="n">
        <v>17.958</v>
      </c>
      <c r="H40" s="19" t="n">
        <v>29.519</v>
      </c>
      <c r="I40" s="20" t="n">
        <v>17.836</v>
      </c>
      <c r="J40" s="20" t="n">
        <v>17.836</v>
      </c>
      <c r="K40" s="20" t="n">
        <v>17.958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IFERROR((IF(COUNT('연간'!G25:J25)&lt;4,"",SUM('연간'!G25:J25)))/(IF(COUNT('연간'!G47:J47)&lt;4,"",SUM('연간'!G47:J47))),"")</f>
        <v/>
      </c>
      <c r="D48" s="31">
        <f>IFERROR((IF(COUNT('연간'!H25:K25)&lt;4,"",SUM('연간'!H25:K25)))/(IF(COUNT('연간'!H47:K47)&lt;4,"",SUM('연간'!H47:K47))),"")</f>
        <v/>
      </c>
      <c r="E48" s="31">
        <f>IFERROR((IF(COUNT('연간'!I25:L25)&lt;4,"",SUM('연간'!I25:L25)))/(IF(COUNT('연간'!I47:L47)&lt;4,"",SUM('연간'!I47:L47))),"")</f>
        <v/>
      </c>
      <c r="F48" s="31">
        <f>IFERROR((IF(COUNT('연간'!J25:M25)&lt;4,"",SUM('연간'!J25:M25)))/(IF(COUNT('연간'!J47:M47)&lt;4,"",SUM('연간'!J47:M47))),"")</f>
        <v/>
      </c>
      <c r="G48" s="31">
        <f>IFERROR((IF(COUNT('연간'!K25:N25)&lt;4,"",SUM('연간'!K25:N25)))/(IF(COUNT('연간'!K47:N47)&lt;4,"",SUM('연간'!K47:N47))),"")</f>
        <v/>
      </c>
      <c r="H48" s="30">
        <f>IFERROR(('연간'!U25)/('연간'!U47),"")</f>
        <v/>
      </c>
      <c r="I48" s="31">
        <f>IFERROR(('연간'!V25)/('연간'!V47),"")</f>
        <v/>
      </c>
      <c r="J48" s="31">
        <f>IFERROR(('연간'!W25)/('연간'!W47),"")</f>
        <v/>
      </c>
      <c r="K48" s="31">
        <f>IFERROR(('연간'!X25)/('연간'!X47),"")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IFERROR(IF((IF(COUNT('연간'!G53:J53)&lt;4,"",SUM('연간'!G53:J53)))&lt;=0,"적자",C28/(IF(COUNT('연간'!G53:J53)&lt;4,"",SUM('연간'!G53:J53)))),"")</f>
        <v/>
      </c>
      <c r="D49" s="47">
        <f>IFERROR(IF((IF(COUNT('연간'!H53:K53)&lt;4,"",SUM('연간'!H53:K53)))&lt;=0,"적자",D28/(IF(COUNT('연간'!H53:K53)&lt;4,"",SUM('연간'!H53:K53)))),"")</f>
        <v/>
      </c>
      <c r="E49" s="47">
        <f>IFERROR(IF((IF(COUNT('연간'!I53:L53)&lt;4,"",SUM('연간'!I53:L53)))&lt;=0,"적자",E28/(IF(COUNT('연간'!I53:L53)&lt;4,"",SUM('연간'!I53:L53)))),"")</f>
        <v/>
      </c>
      <c r="F49" s="47">
        <f>IFERROR(IF((IF(COUNT('연간'!J53:M53)&lt;4,"",SUM('연간'!J53:M53)))&lt;=0,"적자",F28/(IF(COUNT('연간'!J53:M53)&lt;4,"",SUM('연간'!J53:M53)))),"")</f>
        <v/>
      </c>
      <c r="G49" s="47">
        <f>IFERROR(IF((IF(COUNT('연간'!K53:N53)&lt;4,"",SUM('연간'!K53:N53)))&lt;=0,"적자",G28/(IF(COUNT('연간'!K53:N53)&lt;4,"",SUM('연간'!K53:N53)))),"")</f>
        <v/>
      </c>
      <c r="H49" s="46">
        <f>IFERROR(IF(('연간'!U53)&lt;=0,"적자",H28/('연간'!U53)),"")</f>
        <v/>
      </c>
      <c r="I49" s="47">
        <f>IFERROR(IF(('연간'!V53)&lt;=0,"적자",I28/('연간'!V53)),"")</f>
        <v/>
      </c>
      <c r="J49" s="47">
        <f>IFERROR(IF(('연간'!W53)&lt;=0,"적자",J28/('연간'!W53)),"")</f>
        <v/>
      </c>
      <c r="K49" s="47">
        <f>IFERROR(IF(('연간'!X53)&lt;=0,"적자",K28/('연간'!X53)),"")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IFERROR((IF(COUNT('연간'!G53:J53)&lt;4,"",SUM('연간'!G53:J53)))/C31,"")</f>
        <v/>
      </c>
      <c r="D51" s="36">
        <f>IFERROR((IF(COUNT('연간'!H53:K53)&lt;4,"",SUM('연간'!H53:K53)))/D31,"")</f>
        <v/>
      </c>
      <c r="E51" s="36">
        <f>IFERROR((IF(COUNT('연간'!I53:L53)&lt;4,"",SUM('연간'!I53:L53)))/E31,"")</f>
        <v/>
      </c>
      <c r="F51" s="36">
        <f>IFERROR((IF(COUNT('연간'!J53:M53)&lt;4,"",SUM('연간'!J53:M53)))/F31,"")</f>
        <v/>
      </c>
      <c r="G51" s="36">
        <f>IFERROR((IF(COUNT('연간'!K53:N53)&lt;4,"",SUM('연간'!K53:N53)))/G31,"")</f>
        <v/>
      </c>
      <c r="H51" s="35">
        <f>IFERROR(('연간'!U53)/H31,"")</f>
        <v/>
      </c>
      <c r="I51" s="36">
        <f>IFERROR(('연간'!V53)/I31,"")</f>
        <v/>
      </c>
      <c r="J51" s="36">
        <f>IFERROR(('연간'!W53)/J31,"")</f>
        <v/>
      </c>
      <c r="K51" s="36">
        <f>IFERROR(('연간'!X53)/K31,"")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IFERROR((IF(COUNT('연간'!G52:J52)&lt;4,"",SUM('연간'!G52:J52)))/C16,"")</f>
        <v/>
      </c>
      <c r="D52" s="36">
        <f>IFERROR((IF(COUNT('연간'!H52:K52)&lt;4,"",SUM('연간'!H52:K52)))/D16,"")</f>
        <v/>
      </c>
      <c r="E52" s="36">
        <f>IFERROR((IF(COUNT('연간'!I52:L52)&lt;4,"",SUM('연간'!I52:L52)))/E16,"")</f>
        <v/>
      </c>
      <c r="F52" s="36">
        <f>IFERROR((IF(COUNT('연간'!J52:M52)&lt;4,"",SUM('연간'!J52:M52)))/F16,"")</f>
        <v/>
      </c>
      <c r="G52" s="36">
        <f>IFERROR((IF(COUNT('연간'!K52:N52)&lt;4,"",SUM('연간'!K52:N52)))/G16,"")</f>
        <v/>
      </c>
      <c r="H52" s="35">
        <f>IFERROR(('연간'!U52)/H16,"")</f>
        <v/>
      </c>
      <c r="I52" s="36">
        <f>IFERROR(('연간'!V52)/I16,"")</f>
        <v/>
      </c>
      <c r="J52" s="36">
        <f>IFERROR(('연간'!W52)/J16,"")</f>
        <v/>
      </c>
      <c r="K52" s="36">
        <f>IFERROR(('연간'!X52)/K16,"")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IFERROR((IF(COUNT('연간'!G25:J25)&lt;4,"",SUM('연간'!G25:J25)))*(1-0.3)/(C35+C29),"")</f>
        <v/>
      </c>
      <c r="D53" s="36">
        <f>IFERROR((IF(COUNT('연간'!H25:K25)&lt;4,"",SUM('연간'!H25:K25)))*(1-0.3)/(D35+D29),"")</f>
        <v/>
      </c>
      <c r="E53" s="36">
        <f>IFERROR((IF(COUNT('연간'!I25:L25)&lt;4,"",SUM('연간'!I25:L25)))*(1-0.3)/(E35+E29),"")</f>
        <v/>
      </c>
      <c r="F53" s="36">
        <f>IFERROR((IF(COUNT('연간'!J25:M25)&lt;4,"",SUM('연간'!J25:M25)))*(1-0.3)/(F35+F29),"")</f>
        <v/>
      </c>
      <c r="G53" s="36">
        <f>IFERROR((IF(COUNT('연간'!K25:N25)&lt;4,"",SUM('연간'!K25:N25)))*(1-0.3)/(G35+G29),"")</f>
        <v/>
      </c>
      <c r="H53" s="35">
        <f>IFERROR(('연간'!U25)*(1-0.3)/(H35+H29),"")</f>
        <v/>
      </c>
      <c r="I53" s="36">
        <f>IFERROR(('연간'!V25)*(1-0.3)/(I35+I29),"")</f>
        <v/>
      </c>
      <c r="J53" s="36">
        <f>IFERROR(('연간'!W25)*(1-0.3)/(J35+J29),"")</f>
        <v/>
      </c>
      <c r="K53" s="36">
        <f>IFERROR(('연간'!X25)*(1-0.3)/(K35+K29),"")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IFERROR((IF(COUNT('연간'!G21:J21)&lt;4,"",SUM('연간'!G21:J21)))/(IF(COUNT('연간'!G4:J4)&lt;4,"",SUM('연간'!G4:J4))),"")</f>
        <v/>
      </c>
      <c r="D54" s="36">
        <f>IFERROR((IF(COUNT('연간'!H21:K21)&lt;4,"",SUM('연간'!H21:K21)))/(IF(COUNT('연간'!H4:K4)&lt;4,"",SUM('연간'!H4:K4))),"")</f>
        <v/>
      </c>
      <c r="E54" s="36">
        <f>IFERROR((IF(COUNT('연간'!I21:L21)&lt;4,"",SUM('연간'!I21:L21)))/(IF(COUNT('연간'!I4:L4)&lt;4,"",SUM('연간'!I4:L4))),"")</f>
        <v/>
      </c>
      <c r="F54" s="36">
        <f>IFERROR((IF(COUNT('연간'!J21:M21)&lt;4,"",SUM('연간'!J21:M21)))/(IF(COUNT('연간'!J4:M4)&lt;4,"",SUM('연간'!J4:M4))),"")</f>
        <v/>
      </c>
      <c r="G54" s="36">
        <f>IFERROR((IF(COUNT('연간'!K21:N21)&lt;4,"",SUM('연간'!K21:N21)))/(IF(COUNT('연간'!K4:N4)&lt;4,"",SUM('연간'!K4:N4))),"")</f>
        <v/>
      </c>
      <c r="H54" s="35">
        <f>IFERROR(('연간'!U21)/('연간'!U4),"")</f>
        <v/>
      </c>
      <c r="I54" s="36">
        <f>IFERROR(('연간'!V21)/('연간'!V4),"")</f>
        <v/>
      </c>
      <c r="J54" s="36">
        <f>IFERROR(('연간'!W21)/('연간'!W4),"")</f>
        <v/>
      </c>
      <c r="K54" s="36">
        <f>IFERROR(('연간'!X21)/('연간'!X4),"")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IFERROR((IF(COUNT('연간'!G25:J25)&lt;4,"",SUM('연간'!G25:J25)))/(IF(COUNT('연간'!G4:J4)&lt;4,"",SUM('연간'!G4:J4))),"")</f>
        <v/>
      </c>
      <c r="D55" s="36">
        <f>IFERROR((IF(COUNT('연간'!H25:K25)&lt;4,"",SUM('연간'!H25:K25)))/(IF(COUNT('연간'!H4:K4)&lt;4,"",SUM('연간'!H4:K4))),"")</f>
        <v/>
      </c>
      <c r="E55" s="36">
        <f>IFERROR((IF(COUNT('연간'!I25:L25)&lt;4,"",SUM('연간'!I25:L25)))/(IF(COUNT('연간'!I4:L4)&lt;4,"",SUM('연간'!I4:L4))),"")</f>
        <v/>
      </c>
      <c r="F55" s="36">
        <f>IFERROR((IF(COUNT('연간'!J25:M25)&lt;4,"",SUM('연간'!J25:M25)))/(IF(COUNT('연간'!J4:M4)&lt;4,"",SUM('연간'!J4:M4))),"")</f>
        <v/>
      </c>
      <c r="G55" s="36">
        <f>IFERROR((IF(COUNT('연간'!K25:N25)&lt;4,"",SUM('연간'!K25:N25)))/(IF(COUNT('연간'!K4:N4)&lt;4,"",SUM('연간'!K4:N4))),"")</f>
        <v/>
      </c>
      <c r="H55" s="35">
        <f>IFERROR(('연간'!U25)/('연간'!U4),"")</f>
        <v/>
      </c>
      <c r="I55" s="36">
        <f>IFERROR(('연간'!V25)/('연간'!V4),"")</f>
        <v/>
      </c>
      <c r="J55" s="36">
        <f>IFERROR(('연간'!W25)/('연간'!W4),"")</f>
        <v/>
      </c>
      <c r="K55" s="36">
        <f>IFERROR(('연간'!X25)/('연간'!X4),"")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IFERROR((IF(COUNT('연간'!G52:J52)&lt;4,"",SUM('연간'!G52:J52)))/(IF(COUNT('연간'!G4:J4)&lt;4,"",SUM('연간'!G4:J4))),"")</f>
        <v/>
      </c>
      <c r="D56" s="36">
        <f>IFERROR((IF(COUNT('연간'!H52:K52)&lt;4,"",SUM('연간'!H52:K52)))/(IF(COUNT('연간'!H4:K4)&lt;4,"",SUM('연간'!H4:K4))),"")</f>
        <v/>
      </c>
      <c r="E56" s="36">
        <f>IFERROR((IF(COUNT('연간'!I52:L52)&lt;4,"",SUM('연간'!I52:L52)))/(IF(COUNT('연간'!I4:L4)&lt;4,"",SUM('연간'!I4:L4))),"")</f>
        <v/>
      </c>
      <c r="F56" s="36">
        <f>IFERROR((IF(COUNT('연간'!J52:M52)&lt;4,"",SUM('연간'!J52:M52)))/(IF(COUNT('연간'!J4:M4)&lt;4,"",SUM('연간'!J4:M4))),"")</f>
        <v/>
      </c>
      <c r="G56" s="36">
        <f>IFERROR((IF(COUNT('연간'!K52:N52)&lt;4,"",SUM('연간'!K52:N52)))/(IF(COUNT('연간'!K4:N4)&lt;4,"",SUM('연간'!K4:N4))),"")</f>
        <v/>
      </c>
      <c r="H56" s="35">
        <f>IFERROR(('연간'!U52)/('연간'!U4),"")</f>
        <v/>
      </c>
      <c r="I56" s="36">
        <f>IFERROR(('연간'!V52)/('연간'!V4),"")</f>
        <v/>
      </c>
      <c r="J56" s="36">
        <f>IFERROR(('연간'!W52)/('연간'!W4),"")</f>
        <v/>
      </c>
      <c r="K56" s="36">
        <f>IFERROR(('연간'!X52)/('연간'!X4),"")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IFERROR(('연간'!U4)/H16,"")</f>
        <v/>
      </c>
      <c r="I58" s="31">
        <f>IFERROR(('연간'!V4)/I16,"")</f>
        <v/>
      </c>
      <c r="J58" s="31">
        <f>IFERROR(('연간'!W4)/J16,"")</f>
        <v/>
      </c>
      <c r="K58" s="31">
        <f>IFERROR(('연간'!X4)/K16,"")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IFERROR(H8/('연간'!U4)*365,"")</f>
        <v/>
      </c>
      <c r="I59" s="49">
        <f>IFERROR(I8/('연간'!V4)*365,"")</f>
        <v/>
      </c>
      <c r="J59" s="49">
        <f>IFERROR(J8/('연간'!W4)*365,"")</f>
        <v/>
      </c>
      <c r="K59" s="49">
        <f>IFERROR(K8/('연간'!X4)*365,"")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IFERROR(C9/(IF(COUNT('연간'!G20:J20)&lt;4,"",SUM('연간'!G20:J20)))*365,"")</f>
        <v/>
      </c>
      <c r="D60" s="49">
        <f>IFERROR(D9/(IF(COUNT('연간'!H20:K20)&lt;4,"",SUM('연간'!H20:K20)))*365,"")</f>
        <v/>
      </c>
      <c r="E60" s="49">
        <f>IFERROR(E9/(IF(COUNT('연간'!I20:L20)&lt;4,"",SUM('연간'!I20:L20)))*365,"")</f>
        <v/>
      </c>
      <c r="F60" s="49">
        <f>IFERROR(F9/(IF(COUNT('연간'!J20:M20)&lt;4,"",SUM('연간'!J20:M20)))*365,"")</f>
        <v/>
      </c>
      <c r="G60" s="49">
        <f>IFERROR(G9/(IF(COUNT('연간'!K20:N20)&lt;4,"",SUM('연간'!K20:N20)))*365,"")</f>
        <v/>
      </c>
      <c r="H60" s="48">
        <f>IFERROR(H9/('연간'!U20)*365,"")</f>
        <v/>
      </c>
      <c r="I60" s="49">
        <f>IFERROR(I9/('연간'!V20)*365,"")</f>
        <v/>
      </c>
      <c r="J60" s="49">
        <f>IFERROR(J9/('연간'!W20)*365,"")</f>
        <v/>
      </c>
      <c r="K60" s="49">
        <f>IFERROR(K9/('연간'!X20)*365,"")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IFERROR(C19/(IF(COUNT('연간'!G20:J20)&lt;4,"",SUM('연간'!G20:J20)))*365,"")</f>
        <v/>
      </c>
      <c r="D61" s="49">
        <f>IFERROR(D19/(IF(COUNT('연간'!H20:K20)&lt;4,"",SUM('연간'!H20:K20)))*365,"")</f>
        <v/>
      </c>
      <c r="E61" s="49">
        <f>IFERROR(E19/(IF(COUNT('연간'!I20:L20)&lt;4,"",SUM('연간'!I20:L20)))*365,"")</f>
        <v/>
      </c>
      <c r="F61" s="49">
        <f>IFERROR(F19/(IF(COUNT('연간'!J20:M20)&lt;4,"",SUM('연간'!J20:M20)))*365,"")</f>
        <v/>
      </c>
      <c r="G61" s="49">
        <f>IFERROR(G19/(IF(COUNT('연간'!K20:N20)&lt;4,"",SUM('연간'!K20:N20)))*365,"")</f>
        <v/>
      </c>
      <c r="H61" s="48">
        <f>IFERROR(H19/('연간'!U20)*365,"")</f>
        <v/>
      </c>
      <c r="I61" s="49">
        <f>IFERROR(I19/('연간'!V20)*365,"")</f>
        <v/>
      </c>
      <c r="J61" s="49">
        <f>IFERROR(J19/('연간'!W20)*365,"")</f>
        <v/>
      </c>
      <c r="K61" s="49">
        <f>IFERROR(K19/('연간'!X20)*365,"")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IF(C37="","",IFERROR(C37/(IF(COUNT('연간'!G52:J52)&lt;4,"",SUM('연간'!G52:J52))),""))</f>
        <v/>
      </c>
      <c r="D64" s="31">
        <f>IF(D37="","",IFERROR(D37/(IF(COUNT('연간'!H52:K52)&lt;4,"",SUM('연간'!H52:K52))),""))</f>
        <v/>
      </c>
      <c r="E64" s="31">
        <f>IF(E37="","",IFERROR(E37/(IF(COUNT('연간'!I52:L52)&lt;4,"",SUM('연간'!I52:L52))),""))</f>
        <v/>
      </c>
      <c r="F64" s="31">
        <f>IF(F37="","",IFERROR(F37/(IF(COUNT('연간'!J52:M52)&lt;4,"",SUM('연간'!J52:M52))),""))</f>
        <v/>
      </c>
      <c r="G64" s="31">
        <f>IF(G37="","",IFERROR(G37/(IF(COUNT('연간'!K52:N52)&lt;4,"",SUM('연간'!K52:N52))),""))</f>
        <v/>
      </c>
      <c r="H64" s="30">
        <f>IF(H37="","",IFERROR(H37/('연간'!U52),""))</f>
        <v/>
      </c>
      <c r="I64" s="31">
        <f>IF(I37="","",IFERROR(I37/('연간'!V52),""))</f>
        <v/>
      </c>
      <c r="J64" s="31">
        <f>IF(J37="","",IFERROR(J37/('연간'!W52),""))</f>
        <v/>
      </c>
      <c r="K64" s="31">
        <f>IF(K37="","",IFERROR(K37/('연간'!X52),""))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IF(H39="","",IFERROR(H39/('연간'!U4),""))</f>
        <v/>
      </c>
      <c r="I65" s="36">
        <f>IF(I39="","",IFERROR(I39/('연간'!V4),""))</f>
        <v/>
      </c>
      <c r="J65" s="36">
        <f>IF(J39="","",IFERROR(J39/('연간'!W4),""))</f>
        <v/>
      </c>
      <c r="K65" s="36">
        <f>IF(K39="","",IFERROR(K39/('연간'!X4),""))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IF(H38="","",IFERROR(H38/('연간'!U4),""))</f>
        <v/>
      </c>
      <c r="I66" s="36">
        <f>IF(I38="","",IFERROR(I38/('연간'!V4),""))</f>
        <v/>
      </c>
      <c r="J66" s="36">
        <f>IF(J38="","",IFERROR(J38/('연간'!W4),""))</f>
        <v/>
      </c>
      <c r="K66" s="36">
        <f>IF(K38="","",IFERROR(K38/('연간'!X4),""))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IF(C40="","",IFERROR(C40/(IF(COUNT('연간'!G53:J53)&lt;4,"",SUM('연간'!G53:J53))),""))</f>
        <v/>
      </c>
      <c r="D67" s="36">
        <f>IF(D40="","",IFERROR(D40/(IF(COUNT('연간'!H53:K53)&lt;4,"",SUM('연간'!H53:K53))),""))</f>
        <v/>
      </c>
      <c r="E67" s="36">
        <f>IF(E40="","",IFERROR(E40/(IF(COUNT('연간'!I53:L53)&lt;4,"",SUM('연간'!I53:L53))),""))</f>
        <v/>
      </c>
      <c r="F67" s="36">
        <f>IF(F40="","",IFERROR(F40/(IF(COUNT('연간'!J53:M53)&lt;4,"",SUM('연간'!J53:M53))),""))</f>
        <v/>
      </c>
      <c r="G67" s="36">
        <f>IF(G40="","",IFERROR(G40/(IF(COUNT('연간'!K53:N53)&lt;4,"",SUM('연간'!K53:N53))),""))</f>
        <v/>
      </c>
      <c r="H67" s="35">
        <f>IF(H40="","",IFERROR(H40/('연간'!U53),""))</f>
        <v/>
      </c>
      <c r="I67" s="36">
        <f>IF(I40="","",IFERROR(I40/('연간'!V53),""))</f>
        <v/>
      </c>
      <c r="J67" s="36">
        <f>IF(J40="","",IFERROR(J40/('연간'!W53),""))</f>
        <v/>
      </c>
      <c r="K67" s="36">
        <f>IF(K40="","",IFERROR(K40/('연간'!X53),""))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2025.4Q</t>
        </is>
      </c>
      <c r="D70" s="5" t="inlineStr">
        <is>
          <t>2026.1Q</t>
        </is>
      </c>
      <c r="E70" s="5" t="inlineStr">
        <is>
          <t>2026.2Q</t>
        </is>
      </c>
      <c r="F70" s="5" t="inlineStr">
        <is>
          <t>2026.3Q</t>
        </is>
      </c>
      <c r="G70" s="5" t="inlineStr">
        <is>
          <t>2026.4Q</t>
        </is>
      </c>
      <c r="H70" s="5" t="inlineStr">
        <is>
          <t>2023</t>
        </is>
      </c>
      <c r="I70" s="5" t="inlineStr">
        <is>
          <t>2024</t>
        </is>
      </c>
      <c r="J70" s="5" t="inlineStr">
        <is>
          <t>2025</t>
        </is>
      </c>
      <c r="K70" s="5" t="inlineStr">
        <is>
          <t>2026</t>
        </is>
      </c>
    </row>
    <row r="71">
      <c r="A71" s="18" t="inlineStr">
        <is>
          <t>현금 및 예금</t>
        </is>
      </c>
      <c r="C71" s="20" t="n">
        <v>1650.048</v>
      </c>
      <c r="D71" s="20" t="n">
        <v>1257.565</v>
      </c>
      <c r="E71" s="20" t="n">
        <v>1707.71</v>
      </c>
      <c r="F71" s="20" t="n">
        <v>1942.751</v>
      </c>
      <c r="G71" s="20" t="n">
        <v>1867.696</v>
      </c>
      <c r="H71" s="20" t="n">
        <v>1665.094</v>
      </c>
      <c r="I71" s="20" t="n">
        <v>1769.981</v>
      </c>
      <c r="J71" s="20" t="n">
        <v>1650.048</v>
      </c>
      <c r="K71" s="20" t="n">
        <v>1867.696</v>
      </c>
    </row>
    <row r="72">
      <c r="A72" s="18" t="inlineStr">
        <is>
          <t>받을어음</t>
        </is>
      </c>
      <c r="D72" s="20" t="n">
        <v>70.181</v>
      </c>
    </row>
    <row r="73">
      <c r="A73" s="18" t="inlineStr">
        <is>
          <t>매출채권</t>
        </is>
      </c>
      <c r="D73" s="20" t="n">
        <v>931.106</v>
      </c>
    </row>
    <row r="74">
      <c r="A74" s="18" t="inlineStr">
        <is>
          <t>유가증권</t>
        </is>
      </c>
      <c r="C74" s="20" t="n">
        <v>0</v>
      </c>
      <c r="D74" s="20" t="n">
        <v>0</v>
      </c>
      <c r="H74" s="20" t="n">
        <v>0</v>
      </c>
      <c r="I74" s="20" t="n">
        <v>150</v>
      </c>
      <c r="J74" s="20" t="n">
        <v>0</v>
      </c>
    </row>
    <row r="75">
      <c r="A75" s="18" t="inlineStr">
        <is>
          <t>받을어음·매출채권</t>
        </is>
      </c>
      <c r="C75" s="20" t="n">
        <v>721.239</v>
      </c>
      <c r="D75" s="20" t="n">
        <v>1001.287</v>
      </c>
      <c r="E75" s="20" t="n">
        <v>701.593</v>
      </c>
      <c r="F75" s="20" t="n">
        <v>583.3680000000001</v>
      </c>
      <c r="G75" s="20" t="n">
        <v>665.74</v>
      </c>
      <c r="H75" s="20" t="n">
        <v>519.277</v>
      </c>
      <c r="I75" s="20" t="n">
        <v>580.8869999999999</v>
      </c>
      <c r="J75" s="20" t="n">
        <v>721.239</v>
      </c>
      <c r="K75" s="20" t="n">
        <v>665.74</v>
      </c>
    </row>
    <row r="76">
      <c r="A76" s="18" t="inlineStr">
        <is>
          <t>상품·제품</t>
        </is>
      </c>
      <c r="C76" s="20" t="n">
        <v>30.292</v>
      </c>
      <c r="D76" s="20" t="n">
        <v>43.562</v>
      </c>
      <c r="E76" s="20" t="n">
        <v>106.195</v>
      </c>
      <c r="F76" s="20" t="n">
        <v>84.083</v>
      </c>
      <c r="G76" s="20" t="n">
        <v>40.833</v>
      </c>
      <c r="H76" s="20" t="n">
        <v>59.271</v>
      </c>
      <c r="I76" s="20" t="n">
        <v>64.167</v>
      </c>
      <c r="J76" s="20" t="n">
        <v>30.292</v>
      </c>
      <c r="K76" s="20" t="n">
        <v>40.833</v>
      </c>
    </row>
    <row r="77">
      <c r="A77" s="18" t="inlineStr">
        <is>
          <t>재공품</t>
        </is>
      </c>
      <c r="C77" s="20" t="n">
        <v>236.825</v>
      </c>
      <c r="D77" s="20" t="n">
        <v>167.599</v>
      </c>
      <c r="E77" s="20" t="n">
        <v>154.431</v>
      </c>
      <c r="F77" s="20" t="n">
        <v>176.987</v>
      </c>
      <c r="G77" s="20" t="n">
        <v>184.615</v>
      </c>
      <c r="H77" s="20" t="n">
        <v>359.059</v>
      </c>
      <c r="I77" s="20" t="n">
        <v>183.924</v>
      </c>
      <c r="J77" s="20" t="n">
        <v>236.825</v>
      </c>
      <c r="K77" s="20" t="n">
        <v>184.615</v>
      </c>
    </row>
    <row r="78">
      <c r="A78" s="18" t="inlineStr">
        <is>
          <t>원재료·저장품</t>
        </is>
      </c>
      <c r="C78" s="20" t="n">
        <v>109.052</v>
      </c>
      <c r="D78" s="20" t="n">
        <v>114.184</v>
      </c>
      <c r="E78" s="20" t="n">
        <v>128.516</v>
      </c>
      <c r="F78" s="20" t="n">
        <v>119.549</v>
      </c>
      <c r="G78" s="20" t="n">
        <v>128.904</v>
      </c>
      <c r="H78" s="20" t="n">
        <v>131.355</v>
      </c>
      <c r="I78" s="20" t="n">
        <v>131.309</v>
      </c>
      <c r="J78" s="20" t="n">
        <v>109.052</v>
      </c>
      <c r="K78" s="20" t="n">
        <v>128.904</v>
      </c>
    </row>
    <row r="79">
      <c r="A79" s="18" t="inlineStr">
        <is>
          <t>기타</t>
        </is>
      </c>
      <c r="C79" s="20" t="n">
        <v>30.108</v>
      </c>
      <c r="D79" s="20" t="n">
        <v>21.143</v>
      </c>
      <c r="E79" s="20" t="n">
        <v>13.931</v>
      </c>
      <c r="F79" s="20" t="n">
        <v>35.146</v>
      </c>
      <c r="G79" s="20" t="n">
        <v>48.918</v>
      </c>
      <c r="H79" s="20" t="n">
        <v>33.414</v>
      </c>
      <c r="I79" s="20" t="n">
        <v>36.846</v>
      </c>
      <c r="J79" s="20" t="n">
        <v>30.108</v>
      </c>
      <c r="K79" s="20" t="n">
        <v>48.918</v>
      </c>
    </row>
    <row r="80">
      <c r="A80" s="18" t="inlineStr">
        <is>
          <t>대손충당금</t>
        </is>
      </c>
      <c r="C80" s="20" t="n">
        <v>-0.489</v>
      </c>
      <c r="D80" s="20" t="n">
        <v>-0.674</v>
      </c>
      <c r="E80" s="20" t="n">
        <v>-0.48</v>
      </c>
      <c r="F80" s="20" t="n">
        <v>-0.385</v>
      </c>
      <c r="G80" s="20" t="n">
        <v>-0.439</v>
      </c>
      <c r="H80" s="20" t="n">
        <v>-0.318</v>
      </c>
      <c r="I80" s="20" t="n">
        <v>-0.381</v>
      </c>
      <c r="J80" s="20" t="n">
        <v>-0.489</v>
      </c>
      <c r="K80" s="20" t="n">
        <v>-0.439</v>
      </c>
    </row>
    <row r="81">
      <c r="A81" s="9" t="inlineStr">
        <is>
          <t>유동자산 합계</t>
        </is>
      </c>
      <c r="C81" s="12" t="n">
        <v>2777.075</v>
      </c>
      <c r="D81" s="12" t="n">
        <v>2604.667</v>
      </c>
      <c r="E81" s="12" t="n">
        <v>2811.898</v>
      </c>
      <c r="F81" s="12" t="n">
        <v>2941.501</v>
      </c>
      <c r="G81" s="12" t="n">
        <v>2936.269</v>
      </c>
      <c r="H81" s="12" t="n">
        <v>2767.155</v>
      </c>
      <c r="I81" s="12" t="n">
        <v>2916.735</v>
      </c>
      <c r="J81" s="12" t="n">
        <v>2777.075</v>
      </c>
      <c r="K81" s="12" t="n">
        <v>2936.269</v>
      </c>
    </row>
    <row r="82">
      <c r="A82" s="18" t="inlineStr">
        <is>
          <t>건물·구축물(순액)</t>
        </is>
      </c>
      <c r="C82" s="20" t="n">
        <v>259.827</v>
      </c>
      <c r="D82" s="20" t="n">
        <v>248.937</v>
      </c>
      <c r="E82" s="20" t="n">
        <v>243.392</v>
      </c>
      <c r="F82" s="20" t="n">
        <v>240.416</v>
      </c>
      <c r="G82" s="20" t="n">
        <v>235.983</v>
      </c>
      <c r="H82" s="20" t="n">
        <v>298.222</v>
      </c>
      <c r="I82" s="20" t="n">
        <v>280.888</v>
      </c>
      <c r="J82" s="20" t="n">
        <v>259.827</v>
      </c>
      <c r="K82" s="20" t="n">
        <v>235.983</v>
      </c>
    </row>
    <row r="83">
      <c r="A83" s="18" t="inlineStr">
        <is>
          <t>기계장치·운반구(순액)</t>
        </is>
      </c>
      <c r="C83" s="20" t="n">
        <v>176.639</v>
      </c>
      <c r="D83" s="20" t="n">
        <v>160.447</v>
      </c>
      <c r="E83" s="20" t="n">
        <v>147.444</v>
      </c>
      <c r="F83" s="20" t="n">
        <v>147.226</v>
      </c>
      <c r="G83" s="20" t="n">
        <v>141.914</v>
      </c>
      <c r="H83" s="20" t="n">
        <v>176.698</v>
      </c>
      <c r="I83" s="20" t="n">
        <v>214.749</v>
      </c>
      <c r="J83" s="20" t="n">
        <v>176.639</v>
      </c>
      <c r="K83" s="20" t="n">
        <v>141.914</v>
      </c>
    </row>
    <row r="84">
      <c r="A84" s="18" t="inlineStr">
        <is>
          <t>토지</t>
        </is>
      </c>
      <c r="C84" s="20" t="n">
        <v>912.633</v>
      </c>
      <c r="D84" s="20" t="n">
        <v>914.686</v>
      </c>
      <c r="E84" s="20" t="n">
        <v>914.686</v>
      </c>
      <c r="F84" s="20" t="n">
        <v>914.686</v>
      </c>
      <c r="G84" s="20" t="n">
        <v>930.21</v>
      </c>
      <c r="H84" s="20" t="n">
        <v>912.019</v>
      </c>
      <c r="I84" s="20" t="n">
        <v>906.424</v>
      </c>
      <c r="J84" s="20" t="n">
        <v>912.633</v>
      </c>
      <c r="K84" s="20" t="n">
        <v>930.21</v>
      </c>
    </row>
    <row r="85">
      <c r="A85" s="18" t="inlineStr">
        <is>
          <t>기타(순액)</t>
        </is>
      </c>
      <c r="C85" s="20" t="n">
        <v>31.179</v>
      </c>
      <c r="D85" s="20" t="n">
        <v>32.154</v>
      </c>
      <c r="E85" s="20" t="n">
        <v>29.779</v>
      </c>
      <c r="F85" s="20" t="n">
        <v>29.726</v>
      </c>
      <c r="G85" s="20" t="n">
        <v>35.274</v>
      </c>
      <c r="H85" s="20" t="n">
        <v>25.867</v>
      </c>
      <c r="I85" s="20" t="n">
        <v>37.481</v>
      </c>
      <c r="J85" s="20" t="n">
        <v>31.179</v>
      </c>
      <c r="K85" s="20" t="n">
        <v>35.274</v>
      </c>
    </row>
    <row r="86">
      <c r="A86" s="18" t="inlineStr">
        <is>
          <t>유형자산 합계</t>
        </is>
      </c>
      <c r="C86" s="20" t="n">
        <v>1380.279</v>
      </c>
      <c r="D86" s="20" t="n">
        <v>1356.225</v>
      </c>
      <c r="E86" s="20" t="n">
        <v>1335.302</v>
      </c>
      <c r="F86" s="20" t="n">
        <v>1332.055</v>
      </c>
      <c r="G86" s="20" t="n">
        <v>1343.384</v>
      </c>
      <c r="H86" s="20" t="n">
        <v>1412.807</v>
      </c>
      <c r="I86" s="20" t="n">
        <v>1439.542</v>
      </c>
      <c r="J86" s="20" t="n">
        <v>1380.279</v>
      </c>
      <c r="K86" s="20" t="n">
        <v>1343.384</v>
      </c>
    </row>
    <row r="87">
      <c r="A87" s="18" t="inlineStr">
        <is>
          <t>기타</t>
        </is>
      </c>
      <c r="C87" s="20" t="n">
        <v>46.476</v>
      </c>
      <c r="D87" s="20" t="n">
        <v>41.841</v>
      </c>
      <c r="E87" s="20" t="n">
        <v>37.556</v>
      </c>
      <c r="F87" s="20" t="n">
        <v>33.567</v>
      </c>
      <c r="G87" s="20" t="n">
        <v>32.753</v>
      </c>
      <c r="H87" s="20" t="n">
        <v>63.814</v>
      </c>
      <c r="I87" s="20" t="n">
        <v>60.9</v>
      </c>
      <c r="J87" s="20" t="n">
        <v>46.476</v>
      </c>
      <c r="K87" s="20" t="n">
        <v>32.753</v>
      </c>
    </row>
    <row r="88">
      <c r="A88" s="18" t="inlineStr">
        <is>
          <t>무형자산 합계</t>
        </is>
      </c>
      <c r="C88" s="20" t="n">
        <v>46.476</v>
      </c>
      <c r="D88" s="20" t="n">
        <v>41.841</v>
      </c>
      <c r="E88" s="20" t="n">
        <v>37.556</v>
      </c>
      <c r="F88" s="20" t="n">
        <v>33.567</v>
      </c>
      <c r="G88" s="20" t="n">
        <v>32.753</v>
      </c>
      <c r="H88" s="20" t="n">
        <v>63.814</v>
      </c>
      <c r="I88" s="20" t="n">
        <v>60.9</v>
      </c>
      <c r="J88" s="20" t="n">
        <v>46.476</v>
      </c>
      <c r="K88" s="20" t="n">
        <v>32.753</v>
      </c>
    </row>
    <row r="89">
      <c r="A89" s="18" t="inlineStr">
        <is>
          <t>투자유가증권</t>
        </is>
      </c>
      <c r="D89" s="20" t="n">
        <v>394.918</v>
      </c>
      <c r="F89" s="20" t="n">
        <v>526.788</v>
      </c>
      <c r="G89" s="20" t="n">
        <v>625.021</v>
      </c>
      <c r="K89" s="20" t="n">
        <v>625.021</v>
      </c>
    </row>
    <row r="90">
      <c r="A90" s="18" t="inlineStr">
        <is>
          <t>보험적립금</t>
        </is>
      </c>
      <c r="D90" s="20" t="n">
        <v>119.619</v>
      </c>
    </row>
    <row r="91">
      <c r="A91" s="18" t="inlineStr">
        <is>
          <t>이연법인세자산</t>
        </is>
      </c>
      <c r="D91" s="20" t="n">
        <v>2.476</v>
      </c>
    </row>
    <row r="92">
      <c r="A92" s="18" t="inlineStr">
        <is>
          <t>기타</t>
        </is>
      </c>
      <c r="C92" s="20" t="n">
        <v>548.529</v>
      </c>
      <c r="D92" s="20" t="n">
        <v>176.61</v>
      </c>
      <c r="E92" s="20" t="n">
        <v>643.953</v>
      </c>
      <c r="F92" s="20" t="n">
        <v>186.675</v>
      </c>
      <c r="G92" s="20" t="n">
        <v>184.675</v>
      </c>
      <c r="H92" s="20" t="n">
        <v>586.5599999999999</v>
      </c>
      <c r="I92" s="20" t="n">
        <v>526.528</v>
      </c>
      <c r="J92" s="20" t="n">
        <v>548.529</v>
      </c>
      <c r="K92" s="20" t="n">
        <v>184.675</v>
      </c>
    </row>
    <row r="93">
      <c r="A93" s="18" t="inlineStr">
        <is>
          <t>대손충당금</t>
        </is>
      </c>
      <c r="C93" s="20" t="n">
        <v>-3.382</v>
      </c>
      <c r="D93" s="20" t="n">
        <v>-3.292</v>
      </c>
      <c r="E93" s="20" t="n">
        <v>-3.202</v>
      </c>
      <c r="F93" s="20" t="n">
        <v>-3.112</v>
      </c>
      <c r="G93" s="20" t="n">
        <v>-3.022</v>
      </c>
      <c r="H93" s="20" t="n">
        <v>-4.102</v>
      </c>
      <c r="I93" s="20" t="n">
        <v>-3.742</v>
      </c>
      <c r="J93" s="20" t="n">
        <v>-3.382</v>
      </c>
      <c r="K93" s="20" t="n">
        <v>-3.022</v>
      </c>
    </row>
    <row r="94">
      <c r="A94" s="18" t="inlineStr">
        <is>
          <t>투자 및 기타자산 합계</t>
        </is>
      </c>
      <c r="C94" s="20" t="n">
        <v>545.147</v>
      </c>
      <c r="D94" s="20" t="n">
        <v>568.237</v>
      </c>
      <c r="E94" s="20" t="n">
        <v>640.751</v>
      </c>
      <c r="F94" s="20" t="n">
        <v>710.351</v>
      </c>
      <c r="G94" s="20" t="n">
        <v>806.674</v>
      </c>
      <c r="H94" s="20" t="n">
        <v>582.457</v>
      </c>
      <c r="I94" s="20" t="n">
        <v>522.785</v>
      </c>
      <c r="J94" s="20" t="n">
        <v>545.147</v>
      </c>
      <c r="K94" s="20" t="n">
        <v>806.674</v>
      </c>
    </row>
    <row r="95">
      <c r="A95" s="9" t="inlineStr">
        <is>
          <t>비유동자산 합계</t>
        </is>
      </c>
      <c r="C95" s="12" t="n">
        <v>1971.903</v>
      </c>
      <c r="D95" s="12" t="n">
        <v>1966.304</v>
      </c>
      <c r="E95" s="12" t="n">
        <v>2013.61</v>
      </c>
      <c r="F95" s="12" t="n">
        <v>2075.974</v>
      </c>
      <c r="G95" s="12" t="n">
        <v>2182.812</v>
      </c>
      <c r="H95" s="12" t="n">
        <v>2059.079</v>
      </c>
      <c r="I95" s="12" t="n">
        <v>2023.229</v>
      </c>
      <c r="J95" s="12" t="n">
        <v>1971.903</v>
      </c>
      <c r="K95" s="12" t="n">
        <v>2182.812</v>
      </c>
    </row>
    <row r="96">
      <c r="A96" s="9" t="inlineStr">
        <is>
          <t>자산 합계</t>
        </is>
      </c>
      <c r="C96" s="12" t="n">
        <v>4748.978</v>
      </c>
      <c r="D96" s="12" t="n">
        <v>4570.972</v>
      </c>
      <c r="E96" s="12" t="n">
        <v>4825.509</v>
      </c>
      <c r="F96" s="12" t="n">
        <v>5017.476</v>
      </c>
      <c r="G96" s="12" t="n">
        <v>5119.082</v>
      </c>
      <c r="H96" s="12" t="n">
        <v>4826.234</v>
      </c>
      <c r="I96" s="12" t="n">
        <v>4939.964</v>
      </c>
      <c r="J96" s="12" t="n">
        <v>4748.978</v>
      </c>
      <c r="K96" s="12" t="n">
        <v>5119.082</v>
      </c>
    </row>
    <row r="97">
      <c r="A97" s="18" t="inlineStr">
        <is>
          <t>매입채무</t>
        </is>
      </c>
      <c r="C97" s="20" t="n">
        <v>183.237</v>
      </c>
      <c r="D97" s="20" t="n">
        <v>135.614</v>
      </c>
      <c r="E97" s="20" t="n">
        <v>124.486</v>
      </c>
      <c r="F97" s="20" t="n">
        <v>127.169</v>
      </c>
      <c r="G97" s="20" t="n">
        <v>171.248</v>
      </c>
      <c r="H97" s="20" t="n">
        <v>97.02800000000001</v>
      </c>
      <c r="I97" s="20" t="n">
        <v>143.291</v>
      </c>
      <c r="J97" s="20" t="n">
        <v>183.237</v>
      </c>
      <c r="K97" s="20" t="n">
        <v>171.248</v>
      </c>
    </row>
    <row r="98">
      <c r="A98" s="18" t="inlineStr">
        <is>
          <t>단기차입금</t>
        </is>
      </c>
      <c r="C98" s="20" t="n">
        <v>562.165</v>
      </c>
      <c r="D98" s="20" t="n">
        <v>290.668</v>
      </c>
      <c r="E98" s="20" t="n">
        <v>510.689</v>
      </c>
      <c r="F98" s="20" t="n">
        <v>510.959</v>
      </c>
      <c r="G98" s="20" t="n">
        <v>500.824</v>
      </c>
      <c r="H98" s="20" t="n">
        <v>571.4160000000001</v>
      </c>
      <c r="I98" s="20" t="n">
        <v>598.676</v>
      </c>
      <c r="J98" s="20" t="n">
        <v>562.165</v>
      </c>
      <c r="K98" s="20" t="n">
        <v>500.824</v>
      </c>
    </row>
    <row r="99">
      <c r="A99" s="18" t="inlineStr">
        <is>
          <t>미지급법인세</t>
        </is>
      </c>
      <c r="C99" s="20" t="n">
        <v>13.967</v>
      </c>
      <c r="D99" s="20" t="n">
        <v>42.264</v>
      </c>
      <c r="E99" s="20" t="n">
        <v>16.693</v>
      </c>
      <c r="F99" s="20" t="n">
        <v>40.557</v>
      </c>
      <c r="G99" s="20" t="n">
        <v>34.081</v>
      </c>
      <c r="H99" s="20" t="n">
        <v>9.441000000000001</v>
      </c>
      <c r="I99" s="20" t="n">
        <v>15.618</v>
      </c>
      <c r="J99" s="20" t="n">
        <v>13.967</v>
      </c>
      <c r="K99" s="20" t="n">
        <v>34.081</v>
      </c>
    </row>
    <row r="100">
      <c r="A100" s="18" t="inlineStr">
        <is>
          <t>계약부채</t>
        </is>
      </c>
      <c r="D100" s="20" t="n">
        <v>43.377</v>
      </c>
    </row>
    <row r="101">
      <c r="A101" s="18" t="inlineStr">
        <is>
          <t>상여충당금</t>
        </is>
      </c>
      <c r="C101" s="20" t="n">
        <v>33.999</v>
      </c>
      <c r="D101" s="20" t="n">
        <v>0</v>
      </c>
      <c r="E101" s="20" t="n">
        <v>42.999</v>
      </c>
      <c r="G101" s="20" t="n">
        <v>53.999</v>
      </c>
      <c r="H101" s="20" t="n">
        <v>48.249</v>
      </c>
      <c r="I101" s="20" t="n">
        <v>28.998</v>
      </c>
      <c r="J101" s="20" t="n">
        <v>33.999</v>
      </c>
      <c r="K101" s="20" t="n">
        <v>53.999</v>
      </c>
    </row>
    <row r="102">
      <c r="A102" s="18" t="inlineStr">
        <is>
          <t>제품보증 충당금</t>
        </is>
      </c>
      <c r="C102" s="20" t="n">
        <v>0.234</v>
      </c>
      <c r="D102" s="20" t="n">
        <v>0.71</v>
      </c>
      <c r="E102" s="20" t="n">
        <v>0.738</v>
      </c>
      <c r="F102" s="20" t="n">
        <v>0.824</v>
      </c>
      <c r="G102" s="20" t="n">
        <v>0.856</v>
      </c>
      <c r="H102" s="20" t="n">
        <v>0.314</v>
      </c>
      <c r="I102" s="20" t="n">
        <v>1.28</v>
      </c>
      <c r="J102" s="20" t="n">
        <v>0.234</v>
      </c>
      <c r="K102" s="20" t="n">
        <v>0.856</v>
      </c>
    </row>
    <row r="103">
      <c r="A103" s="18" t="inlineStr">
        <is>
          <t>기타</t>
        </is>
      </c>
      <c r="C103" s="20" t="n">
        <v>313.622</v>
      </c>
      <c r="D103" s="20" t="n">
        <v>314.803</v>
      </c>
      <c r="E103" s="20" t="n">
        <v>326.159</v>
      </c>
      <c r="F103" s="20" t="n">
        <v>345.243</v>
      </c>
      <c r="G103" s="20" t="n">
        <v>274.056</v>
      </c>
      <c r="H103" s="20" t="n">
        <v>325.468</v>
      </c>
      <c r="I103" s="20" t="n">
        <v>357.118</v>
      </c>
      <c r="J103" s="20" t="n">
        <v>313.622</v>
      </c>
      <c r="K103" s="20" t="n">
        <v>274.056</v>
      </c>
    </row>
    <row r="104">
      <c r="A104" s="9" t="inlineStr">
        <is>
          <t>유동부채 합계</t>
        </is>
      </c>
      <c r="C104" s="12" t="n">
        <v>1107.225</v>
      </c>
      <c r="D104" s="12" t="n">
        <v>784.061</v>
      </c>
      <c r="E104" s="12" t="n">
        <v>1021.765</v>
      </c>
      <c r="F104" s="12" t="n">
        <v>1024.752</v>
      </c>
      <c r="G104" s="12" t="n">
        <v>1035.066</v>
      </c>
      <c r="H104" s="12" t="n">
        <v>1051.918</v>
      </c>
      <c r="I104" s="12" t="n">
        <v>1144.982</v>
      </c>
      <c r="J104" s="12" t="n">
        <v>1107.225</v>
      </c>
      <c r="K104" s="12" t="n">
        <v>1035.066</v>
      </c>
    </row>
    <row r="105">
      <c r="A105" s="18" t="inlineStr">
        <is>
          <t>장기차입금</t>
        </is>
      </c>
      <c r="C105" s="20" t="n">
        <v>331.575</v>
      </c>
      <c r="D105" s="20" t="n">
        <v>280.582</v>
      </c>
      <c r="E105" s="20" t="n">
        <v>268.76</v>
      </c>
      <c r="F105" s="20" t="n">
        <v>321.414</v>
      </c>
      <c r="G105" s="20" t="n">
        <v>288.921</v>
      </c>
      <c r="H105" s="20" t="n">
        <v>479.739</v>
      </c>
      <c r="I105" s="20" t="n">
        <v>394.737</v>
      </c>
      <c r="J105" s="20" t="n">
        <v>331.575</v>
      </c>
      <c r="K105" s="20" t="n">
        <v>288.921</v>
      </c>
    </row>
    <row r="106">
      <c r="A106" s="18" t="inlineStr">
        <is>
          <t>장기미지급금</t>
        </is>
      </c>
      <c r="C106" s="20" t="n">
        <v>89.857</v>
      </c>
      <c r="D106" s="20" t="n">
        <v>78.67</v>
      </c>
      <c r="E106" s="20" t="n">
        <v>67.483</v>
      </c>
      <c r="F106" s="20" t="n">
        <v>70.03100000000001</v>
      </c>
      <c r="G106" s="20" t="n">
        <v>58.907</v>
      </c>
      <c r="H106" s="20" t="n">
        <v>65.086</v>
      </c>
      <c r="I106" s="20" t="n">
        <v>122.001</v>
      </c>
      <c r="J106" s="20" t="n">
        <v>89.857</v>
      </c>
      <c r="K106" s="20" t="n">
        <v>58.907</v>
      </c>
    </row>
    <row r="107">
      <c r="A107" s="18" t="inlineStr">
        <is>
          <t>임원 퇴직위로 충당금</t>
        </is>
      </c>
      <c r="C107" s="20" t="n">
        <v>164.37</v>
      </c>
      <c r="D107" s="20" t="n">
        <v>164.37</v>
      </c>
      <c r="E107" s="20" t="n">
        <v>164.37</v>
      </c>
      <c r="F107" s="20" t="n">
        <v>164.37</v>
      </c>
      <c r="G107" s="20" t="n">
        <v>164.37</v>
      </c>
      <c r="H107" s="20" t="n">
        <v>164.37</v>
      </c>
      <c r="I107" s="20" t="n">
        <v>164.37</v>
      </c>
      <c r="J107" s="20" t="n">
        <v>164.37</v>
      </c>
      <c r="K107" s="20" t="n">
        <v>164.37</v>
      </c>
    </row>
    <row r="108">
      <c r="A108" s="18" t="inlineStr">
        <is>
          <t>퇴직급여부채</t>
        </is>
      </c>
      <c r="C108" s="20" t="n">
        <v>529.124</v>
      </c>
      <c r="D108" s="20" t="n">
        <v>533.389</v>
      </c>
      <c r="E108" s="20" t="n">
        <v>532.627</v>
      </c>
      <c r="F108" s="20" t="n">
        <v>543.653</v>
      </c>
      <c r="G108" s="20" t="n">
        <v>541.418</v>
      </c>
      <c r="H108" s="20" t="n">
        <v>515.936</v>
      </c>
      <c r="I108" s="20" t="n">
        <v>535.077</v>
      </c>
      <c r="J108" s="20" t="n">
        <v>529.124</v>
      </c>
      <c r="K108" s="20" t="n">
        <v>541.418</v>
      </c>
    </row>
    <row r="109">
      <c r="A109" s="18" t="inlineStr">
        <is>
          <t>자산복구부채</t>
        </is>
      </c>
      <c r="C109" s="20" t="n">
        <v>9.247999999999999</v>
      </c>
      <c r="D109" s="20" t="n">
        <v>9.247999999999999</v>
      </c>
      <c r="E109" s="20" t="n">
        <v>9.247999999999999</v>
      </c>
      <c r="F109" s="20" t="n">
        <v>9.247999999999999</v>
      </c>
      <c r="G109" s="20" t="n">
        <v>9.249000000000001</v>
      </c>
      <c r="H109" s="20" t="n">
        <v>9.247</v>
      </c>
      <c r="I109" s="20" t="n">
        <v>9.247</v>
      </c>
      <c r="J109" s="20" t="n">
        <v>9.247999999999999</v>
      </c>
      <c r="K109" s="20" t="n">
        <v>9.249000000000001</v>
      </c>
    </row>
    <row r="110">
      <c r="A110" s="18" t="inlineStr">
        <is>
          <t>기타</t>
        </is>
      </c>
      <c r="C110" s="20" t="n">
        <v>13.79</v>
      </c>
      <c r="J110" s="20" t="n">
        <v>13.79</v>
      </c>
    </row>
    <row r="111">
      <c r="A111" s="18" t="inlineStr">
        <is>
          <t>이연법인세부채</t>
        </is>
      </c>
      <c r="D111" s="20" t="n">
        <v>22.239</v>
      </c>
      <c r="E111" s="20" t="n">
        <v>46.063</v>
      </c>
      <c r="F111" s="20" t="n">
        <v>64.807</v>
      </c>
      <c r="G111" s="20" t="n">
        <v>95.453</v>
      </c>
      <c r="K111" s="20" t="n">
        <v>95.453</v>
      </c>
    </row>
    <row r="112">
      <c r="A112" s="9" t="inlineStr">
        <is>
          <t>비유동부채 합계</t>
        </is>
      </c>
      <c r="C112" s="12" t="n">
        <v>1137.966</v>
      </c>
      <c r="D112" s="12" t="n">
        <v>1088.5</v>
      </c>
      <c r="E112" s="12" t="n">
        <v>1088.554</v>
      </c>
      <c r="F112" s="12" t="n">
        <v>1173.526</v>
      </c>
      <c r="G112" s="12" t="n">
        <v>1158.321</v>
      </c>
      <c r="H112" s="12" t="n">
        <v>1234.38</v>
      </c>
      <c r="I112" s="12" t="n">
        <v>1225.434</v>
      </c>
      <c r="J112" s="12" t="n">
        <v>1137.966</v>
      </c>
      <c r="K112" s="12" t="n">
        <v>1158.321</v>
      </c>
    </row>
    <row r="113">
      <c r="A113" s="9" t="inlineStr">
        <is>
          <t>부채 합계</t>
        </is>
      </c>
      <c r="C113" s="12" t="n">
        <v>2245.191</v>
      </c>
      <c r="D113" s="12" t="n">
        <v>1872.562</v>
      </c>
      <c r="E113" s="12" t="n">
        <v>2110.319</v>
      </c>
      <c r="F113" s="12" t="n">
        <v>2198.279</v>
      </c>
      <c r="G113" s="12" t="n">
        <v>2193.387</v>
      </c>
      <c r="H113" s="12" t="n">
        <v>2286.298</v>
      </c>
      <c r="I113" s="12" t="n">
        <v>2370.417</v>
      </c>
      <c r="J113" s="12" t="n">
        <v>2245.191</v>
      </c>
      <c r="K113" s="12" t="n">
        <v>2193.387</v>
      </c>
    </row>
    <row r="114">
      <c r="A114" s="18" t="inlineStr">
        <is>
          <t>자본금</t>
        </is>
      </c>
      <c r="C114" s="20" t="n">
        <v>822.1950000000001</v>
      </c>
      <c r="D114" s="20" t="n">
        <v>822.1950000000001</v>
      </c>
      <c r="E114" s="20" t="n">
        <v>822.1950000000001</v>
      </c>
      <c r="F114" s="20" t="n">
        <v>833.535</v>
      </c>
      <c r="G114" s="20" t="n">
        <v>833.535</v>
      </c>
      <c r="H114" s="20" t="n">
        <v>815.198</v>
      </c>
      <c r="I114" s="20" t="n">
        <v>822.1950000000001</v>
      </c>
      <c r="J114" s="20" t="n">
        <v>822.1950000000001</v>
      </c>
      <c r="K114" s="20" t="n">
        <v>833.535</v>
      </c>
    </row>
    <row r="115">
      <c r="A115" s="18" t="inlineStr">
        <is>
          <t>자본잉여금</t>
        </is>
      </c>
      <c r="C115" s="20" t="n">
        <v>945.495</v>
      </c>
      <c r="D115" s="20" t="n">
        <v>945.495</v>
      </c>
      <c r="E115" s="20" t="n">
        <v>945.495</v>
      </c>
      <c r="F115" s="20" t="n">
        <v>956.835</v>
      </c>
      <c r="G115" s="20" t="n">
        <v>956.835</v>
      </c>
      <c r="H115" s="20" t="n">
        <v>938.498</v>
      </c>
      <c r="I115" s="20" t="n">
        <v>945.495</v>
      </c>
      <c r="J115" s="20" t="n">
        <v>945.495</v>
      </c>
      <c r="K115" s="20" t="n">
        <v>956.835</v>
      </c>
    </row>
    <row r="116">
      <c r="A116" s="18" t="inlineStr">
        <is>
          <t>이익잉여금</t>
        </is>
      </c>
      <c r="C116" s="20" t="n">
        <v>511.788</v>
      </c>
      <c r="D116" s="20" t="n">
        <v>678.098</v>
      </c>
      <c r="E116" s="20" t="n">
        <v>644.294</v>
      </c>
      <c r="F116" s="20" t="n">
        <v>681.306</v>
      </c>
      <c r="G116" s="20" t="n">
        <v>716.639</v>
      </c>
      <c r="H116" s="20" t="n">
        <v>648.872</v>
      </c>
      <c r="I116" s="20" t="n">
        <v>633.359</v>
      </c>
      <c r="J116" s="20" t="n">
        <v>511.788</v>
      </c>
      <c r="K116" s="20" t="n">
        <v>716.639</v>
      </c>
    </row>
    <row r="117">
      <c r="A117" s="18" t="inlineStr">
        <is>
          <t>자기주식</t>
        </is>
      </c>
      <c r="C117" s="20" t="n">
        <v>-0.116</v>
      </c>
      <c r="D117" s="20" t="n">
        <v>-0.116</v>
      </c>
      <c r="E117" s="20" t="n">
        <v>-0.116</v>
      </c>
      <c r="F117" s="20" t="n">
        <v>-0.116</v>
      </c>
      <c r="G117" s="20" t="n">
        <v>-0.116</v>
      </c>
      <c r="H117" s="20" t="n">
        <v>-0.116</v>
      </c>
      <c r="I117" s="20" t="n">
        <v>-0.116</v>
      </c>
      <c r="J117" s="20" t="n">
        <v>-0.116</v>
      </c>
      <c r="K117" s="20" t="n">
        <v>-0.116</v>
      </c>
    </row>
    <row r="118">
      <c r="A118" s="9" t="inlineStr">
        <is>
          <t>주주자본 합계</t>
        </is>
      </c>
      <c r="C118" s="12" t="n">
        <v>2279.363</v>
      </c>
      <c r="D118" s="12" t="n">
        <v>2445.673</v>
      </c>
      <c r="E118" s="12" t="n">
        <v>2411.869</v>
      </c>
      <c r="F118" s="12" t="n">
        <v>2471.561</v>
      </c>
      <c r="G118" s="12" t="n">
        <v>2506.894</v>
      </c>
      <c r="H118" s="12" t="n">
        <v>2402.453</v>
      </c>
      <c r="I118" s="12" t="n">
        <v>2400.934</v>
      </c>
      <c r="J118" s="12" t="n">
        <v>2279.363</v>
      </c>
      <c r="K118" s="12" t="n">
        <v>2506.894</v>
      </c>
    </row>
    <row r="119">
      <c r="A119" s="18" t="inlineStr">
        <is>
          <t>기타유가증권 평가차액</t>
        </is>
      </c>
      <c r="C119" s="20" t="n">
        <v>157.8</v>
      </c>
      <c r="D119" s="20" t="n">
        <v>180.926</v>
      </c>
      <c r="E119" s="20" t="n">
        <v>227.807</v>
      </c>
      <c r="F119" s="20" t="n">
        <v>268.992</v>
      </c>
      <c r="G119" s="20" t="n">
        <v>335.974</v>
      </c>
      <c r="H119" s="20" t="n">
        <v>62.382</v>
      </c>
      <c r="I119" s="20" t="n">
        <v>87.617</v>
      </c>
      <c r="J119" s="20" t="n">
        <v>157.8</v>
      </c>
      <c r="K119" s="20" t="n">
        <v>335.974</v>
      </c>
    </row>
    <row r="120">
      <c r="A120" s="18" t="inlineStr">
        <is>
          <t>해외사업환산조정</t>
        </is>
      </c>
      <c r="C120" s="20" t="n">
        <v>37.507</v>
      </c>
      <c r="D120" s="20" t="n">
        <v>42.424</v>
      </c>
      <c r="E120" s="20" t="n">
        <v>44.33</v>
      </c>
      <c r="F120" s="20" t="n">
        <v>46.025</v>
      </c>
      <c r="G120" s="20" t="n">
        <v>46.151</v>
      </c>
      <c r="H120" s="20" t="n">
        <v>45.152</v>
      </c>
      <c r="I120" s="20" t="n">
        <v>48.389</v>
      </c>
      <c r="J120" s="20" t="n">
        <v>37.507</v>
      </c>
      <c r="K120" s="20" t="n">
        <v>46.151</v>
      </c>
    </row>
    <row r="121">
      <c r="A121" s="18" t="inlineStr">
        <is>
          <t>기타포괄손익누계액 합계</t>
        </is>
      </c>
      <c r="C121" s="20" t="n">
        <v>195.307</v>
      </c>
      <c r="D121" s="20" t="n">
        <v>223.35</v>
      </c>
      <c r="E121" s="20" t="n">
        <v>272.138</v>
      </c>
      <c r="F121" s="20" t="n">
        <v>315.018</v>
      </c>
      <c r="G121" s="20" t="n">
        <v>382.126</v>
      </c>
      <c r="H121" s="20" t="n">
        <v>107.535</v>
      </c>
      <c r="I121" s="20" t="n">
        <v>136.007</v>
      </c>
      <c r="J121" s="20" t="n">
        <v>195.307</v>
      </c>
      <c r="K121" s="20" t="n">
        <v>382.126</v>
      </c>
    </row>
    <row r="122">
      <c r="A122" s="18" t="inlineStr">
        <is>
          <t>비지배지분</t>
        </is>
      </c>
      <c r="C122" s="20" t="n">
        <v>29.115</v>
      </c>
      <c r="D122" s="20" t="n">
        <v>29.386</v>
      </c>
      <c r="E122" s="20" t="n">
        <v>31.181</v>
      </c>
      <c r="F122" s="20" t="n">
        <v>32.616</v>
      </c>
      <c r="G122" s="20" t="n">
        <v>36.673</v>
      </c>
      <c r="H122" s="20" t="n">
        <v>29.947</v>
      </c>
      <c r="I122" s="20" t="n">
        <v>32.605</v>
      </c>
      <c r="J122" s="20" t="n">
        <v>29.115</v>
      </c>
      <c r="K122" s="20" t="n">
        <v>36.673</v>
      </c>
    </row>
    <row r="123">
      <c r="A123" s="9" t="inlineStr">
        <is>
          <t>순자산 합계</t>
        </is>
      </c>
      <c r="C123" s="12" t="n">
        <v>2503.786</v>
      </c>
      <c r="D123" s="12" t="n">
        <v>2698.41</v>
      </c>
      <c r="E123" s="12" t="n">
        <v>2715.189</v>
      </c>
      <c r="F123" s="12" t="n">
        <v>2819.196</v>
      </c>
      <c r="G123" s="12" t="n">
        <v>2925.694</v>
      </c>
      <c r="H123" s="12" t="n">
        <v>2539.936</v>
      </c>
      <c r="I123" s="12" t="n">
        <v>2569.547</v>
      </c>
      <c r="J123" s="12" t="n">
        <v>2503.786</v>
      </c>
      <c r="K123" s="12" t="n">
        <v>2925.694</v>
      </c>
    </row>
    <row r="124">
      <c r="A124" s="9" t="inlineStr">
        <is>
          <t>부채·순자산 합계</t>
        </is>
      </c>
      <c r="C124" s="12" t="n">
        <v>4748.978</v>
      </c>
      <c r="D124" s="12" t="n">
        <v>4570.972</v>
      </c>
      <c r="E124" s="12" t="n">
        <v>4825.509</v>
      </c>
      <c r="F124" s="12" t="n">
        <v>5017.476</v>
      </c>
      <c r="G124" s="12" t="n">
        <v>5119.082</v>
      </c>
      <c r="H124" s="12" t="n">
        <v>4826.234</v>
      </c>
      <c r="I124" s="12" t="n">
        <v>4939.964</v>
      </c>
      <c r="J124" s="12" t="n">
        <v>4748.978</v>
      </c>
      <c r="K124" s="12" t="n">
        <v>5119.082</v>
      </c>
    </row>
  </sheetData>
  <conditionalFormatting sqref="C43:K43">
    <cfRule type="expression" priority="1" dxfId="0">
      <formula>AND(ISNUMBER(C43),C43&gt;1.0)</formula>
    </cfRule>
  </conditionalFormatting>
  <conditionalFormatting sqref="C44:K44">
    <cfRule type="expression" priority="2" dxfId="0">
      <formula>AND(ISNUMBER(C44),C44&gt;0.5)</formula>
    </cfRule>
  </conditionalFormatting>
  <conditionalFormatting sqref="C45:K45">
    <cfRule type="expression" priority="3" dxfId="0">
      <formula>AND(ISNUMBER(C45),C45&lt;0.5)</formula>
    </cfRule>
  </conditionalFormatting>
  <conditionalFormatting sqref="C46:K46">
    <cfRule type="expression" priority="4" dxfId="0">
      <formula>AND(ISNUMBER(C46),C46&lt;1.5)</formula>
    </cfRule>
  </conditionalFormatting>
  <conditionalFormatting sqref="C47:K47">
    <cfRule type="expression" priority="5" dxfId="0">
      <formula>AND(ISNUMBER(C47),C47&lt;1.0)</formula>
    </cfRule>
  </conditionalFormatting>
  <conditionalFormatting sqref="C48:K48">
    <cfRule type="expression" priority="6" dxfId="0">
      <formula>AND(ISNUMBER(C48),C48&lt;5)</formula>
    </cfRule>
  </conditionalFormatting>
  <conditionalFormatting sqref="C49:K49">
    <cfRule type="expression" priority="7" dxfId="0">
      <formula>AND(ISNUMBER(C49),C49&gt;4)</formula>
    </cfRule>
  </conditionalFormatting>
  <conditionalFormatting sqref="C51:K51">
    <cfRule type="expression" priority="8" dxfId="0">
      <formula>AND(ISNUMBER(C51),C51&lt;0.15)</formula>
    </cfRule>
  </conditionalFormatting>
  <conditionalFormatting sqref="C52:K52">
    <cfRule type="expression" priority="9" dxfId="0">
      <formula>AND(ISNUMBER(C52),C52&lt;0.05)</formula>
    </cfRule>
  </conditionalFormatting>
  <conditionalFormatting sqref="C53:K53">
    <cfRule type="expression" priority="10" dxfId="0">
      <formula>AND(ISNUMBER(C53),C53&lt;0.1)</formula>
    </cfRule>
  </conditionalFormatting>
  <conditionalFormatting sqref="C54:K54">
    <cfRule type="expression" priority="11" dxfId="0">
      <formula>AND(ISNUMBER(C54),C54&lt;0.4)</formula>
    </cfRule>
  </conditionalFormatting>
  <conditionalFormatting sqref="C55:K55">
    <cfRule type="expression" priority="12" dxfId="0">
      <formula>AND(ISNUMBER(C55),C55&lt;0.15)</formula>
    </cfRule>
  </conditionalFormatting>
  <conditionalFormatting sqref="C56:K56">
    <cfRule type="expression" priority="13" dxfId="0">
      <formula>AND(ISNUMBER(C56),C56&lt;0.1)</formula>
    </cfRule>
  </conditionalFormatting>
  <conditionalFormatting sqref="C64:K64">
    <cfRule type="expression" priority="14" dxfId="0">
      <formula>AND(ISNUMBER(C64),C64&lt;1.0)</formula>
    </cfRule>
  </conditionalFormatting>
  <conditionalFormatting sqref="C65:K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1" t="inlineStr">
        <is>
          <t>공시일</t>
        </is>
      </c>
      <c r="B3" s="51" t="inlineStr">
        <is>
          <t>문서</t>
        </is>
      </c>
      <c r="C3" s="51" t="inlineStr">
        <is>
          <t>PDF</t>
        </is>
      </c>
    </row>
    <row r="4">
      <c r="A4" t="inlineStr">
        <is>
          <t>2026-10-26</t>
        </is>
      </c>
      <c r="B4" t="inlineStr">
        <is>
          <t>2026년 12월 결산기 3분기 결산단신</t>
        </is>
      </c>
      <c r="C4" t="inlineStr">
        <is>
          <t>https://www2.jpx.co.jp/disc/66630/140120261006546367.pdf</t>
        </is>
      </c>
    </row>
    <row r="5">
      <c r="A5" t="inlineStr">
        <is>
          <t>2026-07-30</t>
        </is>
      </c>
      <c r="B5" t="inlineStr">
        <is>
          <t>2026년 12월 결산기 2분기 결산단신</t>
        </is>
      </c>
      <c r="C5" t="inlineStr">
        <is>
          <t>https://www2.jpx.co.jp/disc/66630/140120260713592535.pdf</t>
        </is>
      </c>
    </row>
    <row r="6">
      <c r="A6" t="inlineStr">
        <is>
          <t>2026-04-24</t>
        </is>
      </c>
      <c r="B6" t="inlineStr">
        <is>
          <t>2026년 12월 결산기 1분기 결산단신</t>
        </is>
      </c>
      <c r="C6" t="inlineStr">
        <is>
          <t>https://www2.jpx.co.jp/disc/66630/140120260406598632.pdf</t>
        </is>
      </c>
    </row>
    <row r="7">
      <c r="A7" t="inlineStr">
        <is>
          <t>2026-01-30</t>
        </is>
      </c>
      <c r="B7" t="inlineStr">
        <is>
          <t>2025년 12월 결산기 연간 결산단신</t>
        </is>
      </c>
      <c r="C7" t="inlineStr">
        <is>
          <t>https://www2.jpx.co.jp/disc/66630/140120260115534361.pdf</t>
        </is>
      </c>
    </row>
    <row r="8">
      <c r="A8" t="inlineStr">
        <is>
          <t>2025-10-24</t>
        </is>
      </c>
      <c r="B8" t="inlineStr">
        <is>
          <t>2025년 12월 결산기 3분기 결산단신</t>
        </is>
      </c>
      <c r="C8" t="inlineStr">
        <is>
          <t>https://www2.jpx.co.jp/disc/66630/140120251007569636.pdf</t>
        </is>
      </c>
    </row>
    <row r="9">
      <c r="A9" t="inlineStr">
        <is>
          <t>2025-07-30</t>
        </is>
      </c>
      <c r="B9" t="inlineStr">
        <is>
          <t>2025년 12월 결산기 2분기 결산단신</t>
        </is>
      </c>
      <c r="C9" t="inlineStr">
        <is>
          <t>https://www2.jpx.co.jp/disc/66630/140120250618592901.pdf</t>
        </is>
      </c>
    </row>
    <row r="10">
      <c r="A10" t="inlineStr">
        <is>
          <t>2025-04-25</t>
        </is>
      </c>
      <c r="B10" t="inlineStr">
        <is>
          <t>2025년 12월 결산기 1분기 결산단신</t>
        </is>
      </c>
      <c r="C10" t="inlineStr">
        <is>
          <t>https://www2.jpx.co.jp/disc/66630/140120250404509322.pdf</t>
        </is>
      </c>
    </row>
    <row r="11">
      <c r="A11" t="inlineStr">
        <is>
          <t>2025-01-31</t>
        </is>
      </c>
      <c r="B11" t="inlineStr">
        <is>
          <t>2024년 12월 결산기 연간 결산단신</t>
        </is>
      </c>
      <c r="C11" t="inlineStr">
        <is>
          <t>https://www2.jpx.co.jp/disc/66630/140120241218540676.pdf</t>
        </is>
      </c>
    </row>
    <row r="12">
      <c r="A12" t="inlineStr">
        <is>
          <t>2024-10-25</t>
        </is>
      </c>
      <c r="B12" t="inlineStr">
        <is>
          <t>2024년 12월 결산기 3분기 결산단신</t>
        </is>
      </c>
      <c r="C12" t="inlineStr">
        <is>
          <t>https://www2.jpx.co.jp/disc/66630/140120240912583995.pdf</t>
        </is>
      </c>
    </row>
    <row r="13">
      <c r="A13" t="inlineStr">
        <is>
          <t>2024-07-30</t>
        </is>
      </c>
      <c r="B13" t="inlineStr">
        <is>
          <t>2024년 12월 결산기 2분기 결산단신</t>
        </is>
      </c>
      <c r="C13" t="inlineStr">
        <is>
          <t>https://www2.jpx.co.jp/disc/66630/140120240722552383.pdf</t>
        </is>
      </c>
    </row>
    <row r="14">
      <c r="A14" t="inlineStr">
        <is>
          <t>2024-04-26</t>
        </is>
      </c>
      <c r="B14" t="inlineStr">
        <is>
          <t>2024년 12월 결산기 1분기 결산단신</t>
        </is>
      </c>
      <c r="C14" t="inlineStr">
        <is>
          <t>https://www2.jpx.co.jp/disc/66630/140120240401564224.pdf</t>
        </is>
      </c>
    </row>
    <row r="15">
      <c r="A15" t="inlineStr">
        <is>
          <t>2024-01-30</t>
        </is>
      </c>
      <c r="B15" t="inlineStr">
        <is>
          <t>2023년 12월 결산기 연간 결산단신</t>
        </is>
      </c>
      <c r="C15" t="inlineStr">
        <is>
          <t>https://www2.jpx.co.jp/disc/66630/140120231221506600.pdf</t>
        </is>
      </c>
    </row>
    <row r="16">
      <c r="A16" t="inlineStr">
        <is>
          <t>2023-10-25</t>
        </is>
      </c>
      <c r="B16" t="inlineStr">
        <is>
          <t>2023년 12월 결산기 3분기 결산단신</t>
        </is>
      </c>
      <c r="C16" t="inlineStr">
        <is>
          <t>https://www2.jpx.co.jp/disc/66630/140120230921556740.pdf</t>
        </is>
      </c>
    </row>
    <row r="17">
      <c r="A17" t="inlineStr">
        <is>
          <t>2023-07-28</t>
        </is>
      </c>
      <c r="B17" t="inlineStr">
        <is>
          <t>2023년 12월 결산기 2분기 결산단신</t>
        </is>
      </c>
      <c r="C17" t="inlineStr">
        <is>
          <t>https://www2.jpx.co.jp/disc/66630/140120230519576416.pdf</t>
        </is>
      </c>
    </row>
    <row r="18">
      <c r="A18" t="inlineStr">
        <is>
          <t>2023-04-25</t>
        </is>
      </c>
      <c r="B18" t="inlineStr">
        <is>
          <t>2023년 12월 결산기 1분기 결산단신</t>
        </is>
      </c>
      <c r="C18" t="inlineStr">
        <is>
          <t>https://www2.jpx.co.jp/disc/66630/140120230404542663.pdf</t>
        </is>
      </c>
    </row>
    <row r="19">
      <c r="A19" t="inlineStr">
        <is>
          <t>2023-01-30</t>
        </is>
      </c>
      <c r="B19" t="inlineStr">
        <is>
          <t>2022년 12월 결산기 연간 결산단신</t>
        </is>
      </c>
      <c r="C19" t="inlineStr">
        <is>
          <t>https://www2.jpx.co.jp/disc/66630/140120230116590054.pdf</t>
        </is>
      </c>
    </row>
    <row r="20">
      <c r="A20" t="inlineStr">
        <is>
          <t>2022-01-28</t>
        </is>
      </c>
      <c r="B20" t="inlineStr">
        <is>
          <t>2021년 12월 결산기 연간 결산단신</t>
        </is>
      </c>
      <c r="C20" t="inlineStr">
        <is>
          <t>https://www2.jpx.co.jp/disc/66630/140120220107564910.pdf</t>
        </is>
      </c>
    </row>
    <row r="21">
      <c r="A21" t="inlineStr">
        <is>
          <t>2021-01-29</t>
        </is>
      </c>
      <c r="B21" t="inlineStr">
        <is>
          <t>2020년 12월 결산기 연간 결산단신</t>
        </is>
      </c>
      <c r="C21" t="inlineStr">
        <is>
          <t>https://www2.jpx.co.jp/disc/66630/140120210112443071.pdf</t>
        </is>
      </c>
    </row>
    <row r="22">
      <c r="A22" t="inlineStr">
        <is>
          <t>2020-01-31</t>
        </is>
      </c>
      <c r="B22" t="inlineStr">
        <is>
          <t>2019년 12월 결산기 연간 결산단신</t>
        </is>
      </c>
      <c r="C22" t="inlineStr">
        <is>
          <t>https://www2.jpx.co.jp/disc/66630/140120200116447183.pdf</t>
        </is>
      </c>
    </row>
    <row r="23">
      <c r="A23" t="inlineStr">
        <is>
          <t>2019-01-30</t>
        </is>
      </c>
      <c r="B23" t="inlineStr">
        <is>
          <t>연간 결산단신</t>
        </is>
      </c>
      <c r="C23" t="inlineStr">
        <is>
          <t>https://www2.jpx.co.jp/disc/66630/140120190123462681.pdf</t>
        </is>
      </c>
    </row>
    <row r="24">
      <c r="A24" t="inlineStr">
        <is>
          <t>2018-01-30</t>
        </is>
      </c>
      <c r="B24" t="inlineStr">
        <is>
          <t>연간 결산단신</t>
        </is>
      </c>
      <c r="C24" t="inlineStr">
        <is>
          <t>https://www2.jpx.co.jp/disc/66630/140120171227443538.pdf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2026-10-26T10:56:02Z</dcterms:created>
  <dcterms:modified xmlns:dcterms="http://purl.org/dc/terms/" xmlns:xsi="http://www.w3.org/2001/XMLSchema-instance" xsi:type="dcterms:W3CDTF">2026-10-26T10:56:03Z</dcterms:modified>
</cp:coreProperties>
</file>