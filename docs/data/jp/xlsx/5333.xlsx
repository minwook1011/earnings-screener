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28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47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8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5333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139643</v>
      </c>
      <c r="D4" s="12" t="n">
        <v>156386</v>
      </c>
      <c r="E4" s="12" t="n">
        <v>152521</v>
      </c>
      <c r="F4" s="12" t="n">
        <v>145831</v>
      </c>
      <c r="G4" s="12" t="n">
        <v>157099</v>
      </c>
      <c r="H4" s="12" t="n">
        <v>164062</v>
      </c>
      <c r="I4" s="12" t="n">
        <v>166458</v>
      </c>
      <c r="J4" s="12" t="n">
        <v>159746</v>
      </c>
      <c r="K4" s="12" t="n">
        <v>161704</v>
      </c>
      <c r="L4" s="12" t="n">
        <v>182217</v>
      </c>
      <c r="M4" s="12" t="n">
        <v>184147</v>
      </c>
      <c r="N4" s="12" t="n">
        <v>187159</v>
      </c>
      <c r="O4" s="11" t="n">
        <v>401266</v>
      </c>
      <c r="P4" s="12" t="n">
        <v>451125</v>
      </c>
      <c r="Q4" s="12" t="n">
        <v>463504</v>
      </c>
      <c r="R4" s="12" t="n">
        <v>441956</v>
      </c>
      <c r="S4" s="12" t="n">
        <v>452043</v>
      </c>
      <c r="T4" s="12" t="n">
        <v>510439</v>
      </c>
      <c r="U4" s="12" t="n">
        <v>559240</v>
      </c>
      <c r="V4" s="12" t="n">
        <v>578913</v>
      </c>
      <c r="W4" s="12" t="n">
        <v>619513</v>
      </c>
      <c r="X4" s="12" t="n">
        <v>670125</v>
      </c>
      <c r="Y4" s="11">
        <f>IF(COUNT(Y7,Y10,Y13,Y16,Y19,Y22)=0,"",SUM(Y7,Y10,Y13,Y16,Y19,Y22))</f>
        <v/>
      </c>
      <c r="Z4" s="12">
        <f>IF(COUNT(Z7,Z10,Z13,Z16,Z19,Z22)=0,"",SUM(Z7,Z10,Z13,Z16,Z19,Z22))</f>
        <v/>
      </c>
      <c r="AA4" s="12">
        <f>IF(COUNT(AA7,AA10,AA13,AA16,AA19,AA22)=0,"",SUM(AA7,AA10,AA13,AA16,AA19,AA22))</f>
        <v/>
      </c>
      <c r="AB4" s="12">
        <f>IF(COUNT(AB7,AB10,AB13,AB16,AB19,AB22)=0,"",SUM(AB7,AB10,AB13,AB16,AB19,AB22))</f>
        <v/>
      </c>
      <c r="AC4" s="12">
        <f>IF(COUNT(AC7,AC10,AC13,AC16,AC19,AC22)=0,"",SUM(AC7,AC10,AC13,AC16,AC19,AC22))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Environment</t>
        </is>
      </c>
      <c r="B7" s="10" t="n"/>
      <c r="C7" s="19" t="n">
        <v>90598</v>
      </c>
      <c r="D7" s="20" t="n">
        <v>106844</v>
      </c>
      <c r="E7" s="20" t="n"/>
      <c r="F7" s="20" t="n"/>
      <c r="G7" s="20" t="n">
        <v>96221</v>
      </c>
      <c r="H7" s="20" t="n">
        <v>101804</v>
      </c>
      <c r="I7" s="20" t="n"/>
      <c r="J7" s="20" t="n"/>
      <c r="K7" s="20" t="n">
        <v>100630</v>
      </c>
      <c r="L7" s="20" t="n">
        <v>106359</v>
      </c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390745</v>
      </c>
      <c r="W7" s="20" t="n">
        <v>390371</v>
      </c>
      <c r="X7" s="20" t="n">
        <v>399469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Digital Society</t>
        </is>
      </c>
      <c r="B10" s="10" t="n"/>
      <c r="C10" s="19" t="n">
        <v>35979</v>
      </c>
      <c r="D10" s="20" t="n">
        <v>36108</v>
      </c>
      <c r="E10" s="20" t="n"/>
      <c r="F10" s="20" t="n"/>
      <c r="G10" s="20" t="n">
        <v>44795</v>
      </c>
      <c r="H10" s="20" t="n">
        <v>47650</v>
      </c>
      <c r="I10" s="20" t="n"/>
      <c r="J10" s="20" t="n"/>
      <c r="K10" s="20" t="n">
        <v>51307</v>
      </c>
      <c r="L10" s="20" t="n">
        <v>56270</v>
      </c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138150</v>
      </c>
      <c r="W10" s="20" t="n">
        <v>171587</v>
      </c>
      <c r="X10" s="20" t="n">
        <v>205402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Energy And Industry Business</t>
        </is>
      </c>
      <c r="B13" s="10" t="n"/>
      <c r="C13" s="19" t="n">
        <v>13066</v>
      </c>
      <c r="D13" s="20" t="n">
        <v>13435</v>
      </c>
      <c r="E13" s="20" t="n"/>
      <c r="F13" s="20" t="n"/>
      <c r="G13" s="20" t="n">
        <v>16083</v>
      </c>
      <c r="H13" s="20" t="n">
        <v>14607</v>
      </c>
      <c r="I13" s="20" t="n"/>
      <c r="J13" s="20" t="n"/>
      <c r="K13" s="20" t="n">
        <v>9769</v>
      </c>
      <c r="L13" s="20" t="n">
        <v>19587</v>
      </c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50018</v>
      </c>
      <c r="W13" s="20" t="n">
        <v>57553</v>
      </c>
      <c r="X13" s="20" t="n">
        <v>65253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Environment Reportable Segments</t>
        </is>
      </c>
      <c r="B16" s="10" t="n"/>
      <c r="C16" s="19" t="n"/>
      <c r="D16" s="20" t="n"/>
      <c r="E16" s="20" t="n">
        <v>99117</v>
      </c>
      <c r="F16" s="20" t="n"/>
      <c r="G16" s="20" t="n"/>
      <c r="H16" s="20" t="n"/>
      <c r="I16" s="20" t="n">
        <v>98471</v>
      </c>
      <c r="J16" s="20" t="n"/>
      <c r="K16" s="20" t="n"/>
      <c r="L16" s="20" t="n"/>
      <c r="M16" s="20" t="n">
        <v>107121</v>
      </c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Digital Society Reportable Segments</t>
        </is>
      </c>
      <c r="B19" s="10" t="n"/>
      <c r="C19" s="19" t="n"/>
      <c r="D19" s="20" t="n"/>
      <c r="E19" s="20" t="n">
        <v>39933</v>
      </c>
      <c r="F19" s="20" t="n"/>
      <c r="G19" s="20" t="n"/>
      <c r="H19" s="20" t="n"/>
      <c r="I19" s="20" t="n">
        <v>47171</v>
      </c>
      <c r="J19" s="20" t="n"/>
      <c r="K19" s="20" t="n"/>
      <c r="L19" s="20" t="n"/>
      <c r="M19" s="20" t="n">
        <v>62660</v>
      </c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Energy And Industry Business Reportable Segments</t>
        </is>
      </c>
      <c r="B22" s="10" t="n"/>
      <c r="C22" s="19" t="n"/>
      <c r="D22" s="20" t="n"/>
      <c r="E22" s="20" t="n">
        <v>13703</v>
      </c>
      <c r="F22" s="20" t="n"/>
      <c r="G22" s="20" t="n"/>
      <c r="H22" s="20" t="n"/>
      <c r="I22" s="20" t="n">
        <v>21240</v>
      </c>
      <c r="J22" s="20" t="n"/>
      <c r="K22" s="20" t="n"/>
      <c r="L22" s="20" t="n"/>
      <c r="M22" s="20" t="n">
        <v>14977</v>
      </c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매출원가</t>
        </is>
      </c>
      <c r="B25" s="16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18" t="inlineStr">
        <is>
          <t>전체 매출원가</t>
        </is>
      </c>
      <c r="B26" s="10" t="n"/>
      <c r="C26" s="19" t="n">
        <v>99281</v>
      </c>
      <c r="D26" s="20" t="n">
        <v>115820</v>
      </c>
      <c r="E26" s="20" t="n">
        <v>110922</v>
      </c>
      <c r="F26" s="20" t="n">
        <v>101835</v>
      </c>
      <c r="G26" s="20" t="n">
        <v>110763</v>
      </c>
      <c r="H26" s="20" t="n">
        <v>120020</v>
      </c>
      <c r="I26" s="20" t="n">
        <v>118826</v>
      </c>
      <c r="J26" s="20" t="n">
        <v>111483</v>
      </c>
      <c r="K26" s="20" t="n">
        <v>111823</v>
      </c>
      <c r="L26" s="20" t="n">
        <v>132831</v>
      </c>
      <c r="M26" s="20" t="n">
        <v>123312</v>
      </c>
      <c r="N26" s="20" t="n">
        <v>123410</v>
      </c>
      <c r="O26" s="19" t="n">
        <v>272434</v>
      </c>
      <c r="P26" s="20" t="n">
        <v>312107</v>
      </c>
      <c r="Q26" s="20" t="n">
        <v>323224</v>
      </c>
      <c r="R26" s="20" t="n">
        <v>313458</v>
      </c>
      <c r="S26" s="20" t="n">
        <v>329061</v>
      </c>
      <c r="T26" s="20" t="n">
        <v>347748</v>
      </c>
      <c r="U26" s="20" t="n">
        <v>405463</v>
      </c>
      <c r="V26" s="20" t="n">
        <v>423059</v>
      </c>
      <c r="W26" s="20" t="n">
        <v>443540</v>
      </c>
      <c r="X26" s="20" t="n">
        <v>474963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18" t="inlineStr">
        <is>
          <t>매출총이익</t>
        </is>
      </c>
      <c r="B28" s="10" t="n"/>
      <c r="C28" s="19">
        <f>IF(OR(C4="",C26=""),"",IFERROR(C4-C26,""))</f>
        <v/>
      </c>
      <c r="D28" s="20">
        <f>IF(OR(D4="",D26=""),"",IFERROR(D4-D26,""))</f>
        <v/>
      </c>
      <c r="E28" s="20">
        <f>IF(OR(E4="",E26=""),"",IFERROR(E4-E26,""))</f>
        <v/>
      </c>
      <c r="F28" s="20">
        <f>IF(OR(F4="",F26=""),"",IFERROR(F4-F26,""))</f>
        <v/>
      </c>
      <c r="G28" s="20">
        <f>IF(OR(G4="",G26=""),"",IFERROR(G4-G26,""))</f>
        <v/>
      </c>
      <c r="H28" s="20">
        <f>IF(OR(H4="",H26=""),"",IFERROR(H4-H26,""))</f>
        <v/>
      </c>
      <c r="I28" s="20">
        <f>IF(OR(I4="",I26=""),"",IFERROR(I4-I26,""))</f>
        <v/>
      </c>
      <c r="J28" s="20">
        <f>IF(OR(J4="",J26=""),"",IFERROR(J4-J26,""))</f>
        <v/>
      </c>
      <c r="K28" s="20">
        <f>IF(OR(K4="",K26=""),"",IFERROR(K4-K26,""))</f>
        <v/>
      </c>
      <c r="L28" s="20">
        <f>IF(OR(L4="",L26=""),"",IFERROR(L4-L26,""))</f>
        <v/>
      </c>
      <c r="M28" s="20">
        <f>IF(OR(M4="",M26=""),"",IFERROR(M4-M26,""))</f>
        <v/>
      </c>
      <c r="N28" s="20">
        <f>IF(OR(N4="",N26=""),"",IFERROR(N4-N26,""))</f>
        <v/>
      </c>
      <c r="O28" s="19">
        <f>IF(OR(O4="",O26=""),"",IFERROR(O4-O26,""))</f>
        <v/>
      </c>
      <c r="P28" s="20">
        <f>IF(OR(P4="",P26=""),"",IFERROR(P4-P26,""))</f>
        <v/>
      </c>
      <c r="Q28" s="20">
        <f>IF(OR(Q4="",Q26=""),"",IFERROR(Q4-Q26,""))</f>
        <v/>
      </c>
      <c r="R28" s="20">
        <f>IF(OR(R4="",R26=""),"",IFERROR(R4-R26,""))</f>
        <v/>
      </c>
      <c r="S28" s="20">
        <f>IF(OR(S4="",S26=""),"",IFERROR(S4-S26,""))</f>
        <v/>
      </c>
      <c r="T28" s="20">
        <f>IF(OR(T4="",T26=""),"",IFERROR(T4-T26,""))</f>
        <v/>
      </c>
      <c r="U28" s="20">
        <f>IF(OR(U4="",U26=""),"",IFERROR(U4-U26,""))</f>
        <v/>
      </c>
      <c r="V28" s="20">
        <f>IF(OR(V4="",V26=""),"",IFERROR(V4-V26,""))</f>
        <v/>
      </c>
      <c r="W28" s="20">
        <f>IF(OR(W4="",W26=""),"",IFERROR(W4-W26,""))</f>
        <v/>
      </c>
      <c r="X28" s="20">
        <f>IF(OR(X4="",X26=""),"",IFERROR(X4-X26,""))</f>
        <v/>
      </c>
      <c r="Y28" s="19" t="n"/>
      <c r="Z28" s="20" t="n"/>
      <c r="AA28" s="20" t="n"/>
      <c r="AB28" s="20" t="n"/>
      <c r="AC28" s="20" t="n"/>
    </row>
    <row r="29">
      <c r="A29" s="13" t="inlineStr">
        <is>
          <t>GPM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IF(OR(G28="",C28=""),"",IF(C28&lt;=0,"",IFERROR(G28/C28-1,"")))</f>
        <v/>
      </c>
      <c r="H30" s="15">
        <f>IF(OR(H28="",D28=""),"",IF(D28&lt;=0,"",IFERROR(H28/D28-1,"")))</f>
        <v/>
      </c>
      <c r="I30" s="15">
        <f>IF(OR(I28="",E28=""),"",IF(E28&lt;=0,"",IFERROR(I28/E28-1,"")))</f>
        <v/>
      </c>
      <c r="J30" s="15">
        <f>IF(OR(J28="",F28=""),"",IF(F28&lt;=0,"",IFERROR(J28/F28-1,"")))</f>
        <v/>
      </c>
      <c r="K30" s="15">
        <f>IF(OR(K28="",G28=""),"",IF(G28&lt;=0,"",IFERROR(K28/G28-1,"")))</f>
        <v/>
      </c>
      <c r="L30" s="15">
        <f>IF(OR(L28="",H28=""),"",IF(H28&lt;=0,"",IFERROR(L28/H28-1,"")))</f>
        <v/>
      </c>
      <c r="M30" s="15">
        <f>IF(OR(M28="",I28=""),"",IF(I28&lt;=0,"",IFERROR(M28/I28-1,"")))</f>
        <v/>
      </c>
      <c r="N30" s="15">
        <f>IF(OR(N28="",J28=""),"",IF(J28&lt;=0,"",IFERROR(N28/J28-1,"")))</f>
        <v/>
      </c>
      <c r="O30" s="14" t="n"/>
      <c r="P30" s="15">
        <f>IF(OR(P28="",O28=""),"",IF(O28&lt;=0,"",IFERROR(P28/O28-1,"")))</f>
        <v/>
      </c>
      <c r="Q30" s="15">
        <f>IF(OR(Q28="",P28=""),"",IF(P28&lt;=0,"",IFERROR(Q28/P28-1,"")))</f>
        <v/>
      </c>
      <c r="R30" s="15">
        <f>IF(OR(R28="",Q28=""),"",IF(Q28&lt;=0,"",IFERROR(R28/Q28-1,"")))</f>
        <v/>
      </c>
      <c r="S30" s="15">
        <f>IF(OR(S28="",R28=""),"",IF(R28&lt;=0,"",IFERROR(S28/R28-1,"")))</f>
        <v/>
      </c>
      <c r="T30" s="15">
        <f>IF(OR(T28="",S28=""),"",IF(S28&lt;=0,"",IFERROR(T28/S28-1,"")))</f>
        <v/>
      </c>
      <c r="U30" s="15">
        <f>IF(OR(U28="",T28=""),"",IF(T28&lt;=0,"",IFERROR(U28/T28-1,"")))</f>
        <v/>
      </c>
      <c r="V30" s="15">
        <f>IF(OR(V28="",U28=""),"",IF(U28&lt;=0,"",IFERROR(V28/U28-1,"")))</f>
        <v/>
      </c>
      <c r="W30" s="15">
        <f>IF(OR(W28="",V28=""),"",IF(V28&lt;=0,"",IFERROR(W28/V28-1,"")))</f>
        <v/>
      </c>
      <c r="X30" s="15">
        <f>IF(OR(X28="",W28=""),"",IF(W28&lt;=0,"",IFERROR(X28/W28-1,"")))</f>
        <v/>
      </c>
      <c r="Y30" s="14">
        <f>IF(OR(Y28="",X28=""),"",IF(X28&lt;=0,"",IFERROR(Y28/X28-1,"")))</f>
        <v/>
      </c>
      <c r="Z30" s="15">
        <f>IF(OR(Z28="",Y28=""),"",IF(Y28&lt;=0,"",IFERROR(Z28/Y28-1,"")))</f>
        <v/>
      </c>
      <c r="AA30" s="15">
        <f>IF(OR(AA28="",Z28=""),"",IF(Z28&lt;=0,"",IFERROR(AA28/Z28-1,"")))</f>
        <v/>
      </c>
      <c r="AB30" s="15">
        <f>IF(OR(AB28="",AA28=""),"",IF(AA28&lt;=0,"",IFERROR(AB28/AA28-1,"")))</f>
        <v/>
      </c>
      <c r="AC30" s="15">
        <f>IF(OR(AC28="",AB28=""),"",IF(AB28&lt;=0,"",IFERROR(AC28/AB28-1,"")))</f>
        <v/>
      </c>
    </row>
    <row r="31">
      <c r="A31" s="23" t="inlineStr">
        <is>
          <t>판매관리비</t>
        </is>
      </c>
      <c r="B31" s="23" t="n"/>
      <c r="C31" s="24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4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4" t="n"/>
      <c r="Z31" s="23" t="n"/>
      <c r="AA31" s="23" t="n"/>
      <c r="AB31" s="23" t="n"/>
      <c r="AC31" s="23" t="n"/>
    </row>
    <row r="32">
      <c r="A32" s="18" t="inlineStr">
        <is>
          <t>전체 판관비</t>
        </is>
      </c>
      <c r="B32" s="10" t="n"/>
      <c r="C32" s="19" t="n">
        <v>22530</v>
      </c>
      <c r="D32" s="20" t="n">
        <v>24486</v>
      </c>
      <c r="E32" s="20" t="n">
        <v>23941</v>
      </c>
      <c r="F32" s="20" t="n">
        <v>21953</v>
      </c>
      <c r="G32" s="20" t="n">
        <v>23624</v>
      </c>
      <c r="H32" s="20" t="n">
        <v>25213</v>
      </c>
      <c r="I32" s="20" t="n">
        <v>23849</v>
      </c>
      <c r="J32" s="20" t="n">
        <v>23345</v>
      </c>
      <c r="K32" s="20" t="n">
        <v>25534</v>
      </c>
      <c r="L32" s="20" t="n">
        <v>27435</v>
      </c>
      <c r="M32" s="20" t="n">
        <v>28202</v>
      </c>
      <c r="N32" s="20" t="n">
        <v>26492</v>
      </c>
      <c r="O32" s="19" t="n">
        <v>65619</v>
      </c>
      <c r="P32" s="20" t="n">
        <v>68991</v>
      </c>
      <c r="Q32" s="20" t="n">
        <v>75574</v>
      </c>
      <c r="R32" s="20" t="n">
        <v>73496</v>
      </c>
      <c r="S32" s="20" t="n">
        <v>72158</v>
      </c>
      <c r="T32" s="20" t="n">
        <v>79163</v>
      </c>
      <c r="U32" s="20" t="n">
        <v>87015</v>
      </c>
      <c r="V32" s="20" t="n">
        <v>89456</v>
      </c>
      <c r="W32" s="20" t="n">
        <v>94731</v>
      </c>
      <c r="X32" s="20" t="n">
        <v>100163</v>
      </c>
      <c r="Y32" s="19" t="n"/>
      <c r="Z32" s="20" t="n"/>
      <c r="AA32" s="20" t="n"/>
      <c r="AB32" s="20" t="n"/>
      <c r="AC32" s="20" t="n"/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IF(OR(G32="",C32=""),"",IF(C32&lt;=0,"",IFERROR(G32/C32-1,"")))</f>
        <v/>
      </c>
      <c r="H33" s="15">
        <f>IF(OR(H32="",D32=""),"",IF(D32&lt;=0,"",IFERROR(H32/D32-1,"")))</f>
        <v/>
      </c>
      <c r="I33" s="15">
        <f>IF(OR(I32="",E32=""),"",IF(E32&lt;=0,"",IFERROR(I32/E32-1,"")))</f>
        <v/>
      </c>
      <c r="J33" s="15">
        <f>IF(OR(J32="",F32=""),"",IF(F32&lt;=0,"",IFERROR(J32/F32-1,"")))</f>
        <v/>
      </c>
      <c r="K33" s="15">
        <f>IF(OR(K32="",G32=""),"",IF(G32&lt;=0,"",IFERROR(K32/G32-1,"")))</f>
        <v/>
      </c>
      <c r="L33" s="15">
        <f>IF(OR(L32="",H32=""),"",IF(H32&lt;=0,"",IFERROR(L32/H32-1,"")))</f>
        <v/>
      </c>
      <c r="M33" s="15">
        <f>IF(OR(M32="",I32=""),"",IF(I32&lt;=0,"",IFERROR(M32/I32-1,"")))</f>
        <v/>
      </c>
      <c r="N33" s="15">
        <f>IF(OR(N32="",J32=""),"",IF(J32&lt;=0,"",IFERROR(N32/J32-1,"")))</f>
        <v/>
      </c>
      <c r="O33" s="14" t="n"/>
      <c r="P33" s="15">
        <f>IF(OR(P32="",O32=""),"",IF(O32&lt;=0,"",IFERROR(P32/O32-1,"")))</f>
        <v/>
      </c>
      <c r="Q33" s="15">
        <f>IF(OR(Q32="",P32=""),"",IF(P32&lt;=0,"",IFERROR(Q32/P32-1,"")))</f>
        <v/>
      </c>
      <c r="R33" s="15">
        <f>IF(OR(R32="",Q32=""),"",IF(Q32&lt;=0,"",IFERROR(R32/Q32-1,"")))</f>
        <v/>
      </c>
      <c r="S33" s="15">
        <f>IF(OR(S32="",R32=""),"",IF(R32&lt;=0,"",IFERROR(S32/R32-1,"")))</f>
        <v/>
      </c>
      <c r="T33" s="15">
        <f>IF(OR(T32="",S32=""),"",IF(S32&lt;=0,"",IFERROR(T32/S32-1,"")))</f>
        <v/>
      </c>
      <c r="U33" s="15">
        <f>IF(OR(U32="",T32=""),"",IF(T32&lt;=0,"",IFERROR(U32/T32-1,"")))</f>
        <v/>
      </c>
      <c r="V33" s="15">
        <f>IF(OR(V32="",U32=""),"",IF(U32&lt;=0,"",IFERROR(V32/U32-1,"")))</f>
        <v/>
      </c>
      <c r="W33" s="15">
        <f>IF(OR(W32="",V32=""),"",IF(V32&lt;=0,"",IFERROR(W32/V32-1,"")))</f>
        <v/>
      </c>
      <c r="X33" s="15">
        <f>IF(OR(X32="",W32=""),"",IF(W32&lt;=0,"",IFERROR(X32/W32-1,"")))</f>
        <v/>
      </c>
      <c r="Y33" s="14">
        <f>IF(OR(Y32="",X32=""),"",IF(X32&lt;=0,"",IFERROR(Y32/X32-1,"")))</f>
        <v/>
      </c>
      <c r="Z33" s="15">
        <f>IF(OR(Z32="",Y32=""),"",IF(Y32&lt;=0,"",IFERROR(Z32/Y32-1,"")))</f>
        <v/>
      </c>
      <c r="AA33" s="15">
        <f>IF(OR(AA32="",Z32=""),"",IF(Z32&lt;=0,"",IFERROR(AA32/Z32-1,"")))</f>
        <v/>
      </c>
      <c r="AB33" s="15">
        <f>IF(OR(AB32="",AA32=""),"",IF(AA32&lt;=0,"",IFERROR(AB32/AA32-1,"")))</f>
        <v/>
      </c>
      <c r="AC33" s="15">
        <f>IF(OR(AC32="",AB32=""),"",IF(AB32&lt;=0,"",IFERROR(AC32/AB32-1,"")))</f>
        <v/>
      </c>
    </row>
    <row r="34">
      <c r="A34" s="9" t="inlineStr">
        <is>
          <t>영업이익</t>
        </is>
      </c>
      <c r="B34" s="10" t="inlineStr">
        <is>
          <t>MW = 매출 × OPM</t>
        </is>
      </c>
      <c r="C34" s="11" t="n">
        <v>17832</v>
      </c>
      <c r="D34" s="12" t="n">
        <v>16080</v>
      </c>
      <c r="E34" s="12" t="n">
        <v>17656</v>
      </c>
      <c r="F34" s="12" t="n">
        <v>22044</v>
      </c>
      <c r="G34" s="12" t="n">
        <v>22713</v>
      </c>
      <c r="H34" s="12" t="n">
        <v>18828</v>
      </c>
      <c r="I34" s="12" t="n">
        <v>23781</v>
      </c>
      <c r="J34" s="12" t="n">
        <v>24919</v>
      </c>
      <c r="K34" s="12" t="n">
        <v>24348</v>
      </c>
      <c r="L34" s="12" t="n">
        <v>21949</v>
      </c>
      <c r="M34" s="12" t="n">
        <v>32631</v>
      </c>
      <c r="N34" s="12" t="n">
        <v>37258</v>
      </c>
      <c r="O34" s="11" t="n">
        <v>63212</v>
      </c>
      <c r="P34" s="12" t="n">
        <v>70026</v>
      </c>
      <c r="Q34" s="12" t="n">
        <v>64705</v>
      </c>
      <c r="R34" s="12" t="n">
        <v>55000</v>
      </c>
      <c r="S34" s="12" t="n">
        <v>50823</v>
      </c>
      <c r="T34" s="12" t="n">
        <v>83527</v>
      </c>
      <c r="U34" s="12" t="n">
        <v>66761</v>
      </c>
      <c r="V34" s="12" t="n">
        <v>66397</v>
      </c>
      <c r="W34" s="12" t="n">
        <v>81241</v>
      </c>
      <c r="X34" s="12" t="n">
        <v>94997</v>
      </c>
      <c r="Y34" s="11">
        <f>IF(OR(Y4="",Y35=""),"",IFERROR(Y4*Y35,""))</f>
        <v/>
      </c>
      <c r="Z34" s="12">
        <f>IF(OR(Z4="",Z35=""),"",IFERROR(Z4*Z35,""))</f>
        <v/>
      </c>
      <c r="AA34" s="12">
        <f>IF(OR(AA4="",AA35=""),"",IFERROR(AA4*AA35,""))</f>
        <v/>
      </c>
      <c r="AB34" s="12">
        <f>IF(OR(AB4="",AB35=""),"",IFERROR(AB4*AB35,""))</f>
        <v/>
      </c>
      <c r="AC34" s="12">
        <f>IF(OR(AC4="",AC35=""),"",IFERROR(AC4*AC35,""))</f>
        <v/>
      </c>
    </row>
    <row r="35">
      <c r="A35" s="13" t="inlineStr">
        <is>
          <t>OPM</t>
        </is>
      </c>
      <c r="B35" s="10" t="inlineStr">
        <is>
          <t>MW 입력</t>
        </is>
      </c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25" t="n"/>
      <c r="Z35" s="26" t="n"/>
      <c r="AA35" s="26" t="n"/>
      <c r="AB35" s="26" t="n"/>
      <c r="AC35" s="26" t="n"/>
    </row>
    <row r="36">
      <c r="A36" s="13" t="inlineStr">
        <is>
          <t>증가율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6" t="inlineStr">
        <is>
          <t>비용의 성격별 분류</t>
        </is>
      </c>
      <c r="B37" s="16" t="inlineStr">
        <is>
          <t>참고 데이터</t>
        </is>
      </c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9" t="inlineStr">
        <is>
          <t>총 판관비</t>
        </is>
      </c>
      <c r="B38" s="10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1">
        <f>IF(O32="","",O32)</f>
        <v/>
      </c>
      <c r="P38" s="12">
        <f>IF(P32="","",P32)</f>
        <v/>
      </c>
      <c r="Q38" s="12">
        <f>IF(Q32="","",Q32)</f>
        <v/>
      </c>
      <c r="R38" s="12">
        <f>IF(R32="","",R32)</f>
        <v/>
      </c>
      <c r="S38" s="12">
        <f>IF(S32="","",S32)</f>
        <v/>
      </c>
      <c r="T38" s="12">
        <f>IF(T32="","",T32)</f>
        <v/>
      </c>
      <c r="U38" s="12">
        <f>IF(U32="","",U32)</f>
        <v/>
      </c>
      <c r="V38" s="12">
        <f>IF(V32="","",V32)</f>
        <v/>
      </c>
      <c r="W38" s="12">
        <f>IF(W32="","",W32)</f>
        <v/>
      </c>
      <c r="X38" s="12">
        <f>IF(X32="","",X32)</f>
        <v/>
      </c>
      <c r="Y38" s="11" t="n"/>
      <c r="Z38" s="12" t="n"/>
      <c r="AA38" s="12" t="n"/>
      <c r="AB38" s="12" t="n"/>
      <c r="AC38" s="12" t="n"/>
    </row>
    <row r="39">
      <c r="A39" s="18" t="inlineStr">
        <is>
          <t>급여</t>
        </is>
      </c>
      <c r="B39" s="10" t="inlineStr">
        <is>
          <t>고정비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감가상각비</t>
        </is>
      </c>
      <c r="B41" s="10" t="inlineStr">
        <is>
          <t>고정비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8" t="inlineStr">
        <is>
          <t>지급수수료</t>
        </is>
      </c>
      <c r="B43" s="10" t="inlineStr">
        <is>
          <t>고정비</t>
        </is>
      </c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19" t="n"/>
      <c r="Z43" s="20" t="n"/>
      <c r="AA43" s="20" t="n"/>
      <c r="AB43" s="20" t="n"/>
      <c r="AC43" s="20" t="n"/>
    </row>
    <row r="44">
      <c r="A44" s="13" t="inlineStr">
        <is>
          <t>% of Sales</t>
        </is>
      </c>
      <c r="B44" s="10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14" t="n"/>
      <c r="Z44" s="15" t="n"/>
      <c r="AA44" s="15" t="n"/>
      <c r="AB44" s="15" t="n"/>
      <c r="AC44" s="15" t="n"/>
    </row>
    <row r="45">
      <c r="A45" s="18" t="inlineStr">
        <is>
          <t>연구개발비</t>
        </is>
      </c>
      <c r="B45" s="10" t="inlineStr">
        <is>
          <t>변동비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기타비용</t>
        </is>
      </c>
      <c r="B47" s="10" t="inlineStr">
        <is>
          <t>변동비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>
        <f>IF(OR(O38="",O39="",O41="",O43="",O45=""),"",IFERROR(O38-O39-O41-O43-O45,""))</f>
        <v/>
      </c>
      <c r="P47" s="20">
        <f>IF(OR(P38="",P39="",P41="",P43="",P45=""),"",IFERROR(P38-P39-P41-P43-P45,""))</f>
        <v/>
      </c>
      <c r="Q47" s="20">
        <f>IF(OR(Q38="",Q39="",Q41="",Q43="",Q45=""),"",IFERROR(Q38-Q39-Q41-Q43-Q45,""))</f>
        <v/>
      </c>
      <c r="R47" s="20">
        <f>IF(OR(R38="",R39="",R41="",R43="",R45=""),"",IFERROR(R38-R39-R41-R43-R45,""))</f>
        <v/>
      </c>
      <c r="S47" s="20">
        <f>IF(OR(S38="",S39="",S41="",S43="",S45=""),"",IFERROR(S38-S39-S41-S43-S45,""))</f>
        <v/>
      </c>
      <c r="T47" s="20">
        <f>IF(OR(T38="",T39="",T41="",T43="",T45=""),"",IFERROR(T38-T39-T41-T43-T45,""))</f>
        <v/>
      </c>
      <c r="U47" s="20">
        <f>IF(OR(U38="",U39="",U41="",U43="",U45=""),"",IFERROR(U38-U39-U41-U43-U45,""))</f>
        <v/>
      </c>
      <c r="V47" s="20">
        <f>IF(OR(V38="",V39="",V41="",V43="",V45=""),"",IFERROR(V38-V39-V41-V43-V45,""))</f>
        <v/>
      </c>
      <c r="W47" s="20">
        <f>IF(OR(W38="",W39="",W41="",W43="",W45=""),"",IFERROR(W38-W39-W41-W43-W45,""))</f>
        <v/>
      </c>
      <c r="X47" s="20">
        <f>IF(OR(X38="",X39="",X41="",X43="",X45=""),"",IFERROR(X38-X39-X41-X43-X45,""))</f>
        <v/>
      </c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6" t="inlineStr">
        <is>
          <t>당기순이익 추정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특별이익</t>
        </is>
      </c>
      <c r="B50" s="10" t="n"/>
      <c r="C50" s="19" t="n">
        <v>467</v>
      </c>
      <c r="D50" s="20" t="n">
        <v>1109</v>
      </c>
      <c r="E50" s="20" t="n">
        <v>644</v>
      </c>
      <c r="F50" s="20" t="n">
        <v>305</v>
      </c>
      <c r="G50" s="20" t="n">
        <v>233</v>
      </c>
      <c r="H50" s="20" t="n">
        <v>2850</v>
      </c>
      <c r="I50" s="20" t="n">
        <v>558</v>
      </c>
      <c r="J50" s="20" t="n">
        <v>70</v>
      </c>
      <c r="K50" s="20" t="n">
        <v>1999</v>
      </c>
      <c r="L50" s="20" t="n">
        <v>11914</v>
      </c>
      <c r="M50" s="20" t="n">
        <v>88</v>
      </c>
      <c r="N50" s="20" t="n">
        <v>2691</v>
      </c>
      <c r="O50" s="19" t="n">
        <v>5610</v>
      </c>
      <c r="P50" s="20" t="n">
        <v>1869</v>
      </c>
      <c r="Q50" s="20" t="n">
        <v>843</v>
      </c>
      <c r="R50" s="20" t="n">
        <v>4995</v>
      </c>
      <c r="S50" s="20" t="n">
        <v>3546</v>
      </c>
      <c r="T50" s="20" t="n">
        <v>6130</v>
      </c>
      <c r="U50" s="20" t="n">
        <v>2669</v>
      </c>
      <c r="V50" s="20" t="n">
        <v>2019</v>
      </c>
      <c r="W50" s="20" t="n">
        <v>4032</v>
      </c>
      <c r="X50" s="20" t="n">
        <v>14541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inlineStr">
        <is>
          <t>MW = 최근 3년 평균</t>
        </is>
      </c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18" t="inlineStr">
        <is>
          <t>특별손실</t>
        </is>
      </c>
      <c r="B52" s="10" t="n"/>
      <c r="C52" s="19" t="n">
        <v>97</v>
      </c>
      <c r="D52" s="20" t="n">
        <v>7288</v>
      </c>
      <c r="E52" s="20" t="n">
        <v>61</v>
      </c>
      <c r="F52" s="20" t="n">
        <v>2262</v>
      </c>
      <c r="G52" s="20" t="n">
        <v>40</v>
      </c>
      <c r="H52" s="20" t="n">
        <v>7462</v>
      </c>
      <c r="I52" s="20" t="n">
        <v>1114</v>
      </c>
      <c r="J52" s="20" t="n">
        <v>13245</v>
      </c>
      <c r="K52" s="20" t="n">
        <v>5272</v>
      </c>
      <c r="L52" s="20" t="n">
        <v>6279</v>
      </c>
      <c r="M52" s="20" t="n">
        <v>177</v>
      </c>
      <c r="N52" s="20" t="n">
        <v>741</v>
      </c>
      <c r="O52" s="19" t="n">
        <v>12646</v>
      </c>
      <c r="P52" s="20" t="n">
        <v>6713</v>
      </c>
      <c r="Q52" s="20" t="n">
        <v>14805</v>
      </c>
      <c r="R52" s="20" t="n">
        <v>13111</v>
      </c>
      <c r="S52" s="20" t="n">
        <v>3432</v>
      </c>
      <c r="T52" s="20" t="n">
        <v>1559</v>
      </c>
      <c r="U52" s="20" t="n">
        <v>11034</v>
      </c>
      <c r="V52" s="20" t="n">
        <v>8886</v>
      </c>
      <c r="W52" s="20" t="n">
        <v>9825</v>
      </c>
      <c r="X52" s="20" t="n">
        <v>25910</v>
      </c>
      <c r="Y52" s="19">
        <f>IF(OR(Y4="",Y53=""),"",IFERROR(Y4*Y53,""))</f>
        <v/>
      </c>
      <c r="Z52" s="20">
        <f>IF(OR(Z4="",Z53=""),"",IFERROR(Z4*Z53,""))</f>
        <v/>
      </c>
      <c r="AA52" s="20">
        <f>IF(OR(AA4="",AA53=""),"",IFERROR(AA4*AA53,""))</f>
        <v/>
      </c>
      <c r="AB52" s="20">
        <f>IF(OR(AB4="",AB53=""),"",IFERROR(AB4*AB53,""))</f>
        <v/>
      </c>
      <c r="AC52" s="20">
        <f>IF(OR(AC4="",AC53=""),"",IFERROR(AC4*AC53,""))</f>
        <v/>
      </c>
    </row>
    <row r="53">
      <c r="A53" s="13" t="inlineStr">
        <is>
          <t>% of Sales</t>
        </is>
      </c>
      <c r="B53" s="10" t="n"/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25">
        <f>IFERROR(AVERAGE(V53,W53,X53),"")</f>
        <v/>
      </c>
      <c r="Z53" s="26">
        <f>Y53</f>
        <v/>
      </c>
      <c r="AA53" s="26">
        <f>Z53</f>
        <v/>
      </c>
      <c r="AB53" s="26">
        <f>AA53</f>
        <v/>
      </c>
      <c r="AC53" s="26">
        <f>AB53</f>
        <v/>
      </c>
    </row>
    <row r="54">
      <c r="A54" s="18" t="inlineStr">
        <is>
          <t>영업외수익</t>
        </is>
      </c>
      <c r="B54" s="10" t="n"/>
      <c r="C54" s="19" t="n">
        <v>1736</v>
      </c>
      <c r="D54" s="20" t="n">
        <v>2190</v>
      </c>
      <c r="E54" s="20" t="n">
        <v>2094</v>
      </c>
      <c r="F54" s="20" t="n">
        <v>2607</v>
      </c>
      <c r="G54" s="20" t="n">
        <v>651</v>
      </c>
      <c r="H54" s="20" t="n">
        <v>1524</v>
      </c>
      <c r="I54" s="20" t="n">
        <v>2595</v>
      </c>
      <c r="J54" s="20" t="n">
        <v>2168</v>
      </c>
      <c r="K54" s="20" t="n">
        <v>4494</v>
      </c>
      <c r="L54" s="20" t="n">
        <v>1117</v>
      </c>
      <c r="M54" s="20" t="n">
        <v>3005</v>
      </c>
      <c r="N54" s="20" t="n">
        <v>2418</v>
      </c>
      <c r="O54" s="19" t="n">
        <v>4559</v>
      </c>
      <c r="P54" s="20" t="n">
        <v>7393</v>
      </c>
      <c r="Q54" s="20" t="n">
        <v>5374</v>
      </c>
      <c r="R54" s="20" t="n">
        <v>5951</v>
      </c>
      <c r="S54" s="20" t="n">
        <v>8194</v>
      </c>
      <c r="T54" s="20" t="n">
        <v>7943</v>
      </c>
      <c r="U54" s="20" t="n">
        <v>6015</v>
      </c>
      <c r="V54" s="20" t="n">
        <v>5915</v>
      </c>
      <c r="W54" s="20" t="n">
        <v>6876</v>
      </c>
      <c r="X54" s="20" t="n">
        <v>10374</v>
      </c>
      <c r="Y54" s="19">
        <f>IF(OR(Y4="",Y55=""),"",IFERROR(Y4*Y55,""))</f>
        <v/>
      </c>
      <c r="Z54" s="20">
        <f>IF(OR(Z4="",Z55=""),"",IFERROR(Z4*Z55,""))</f>
        <v/>
      </c>
      <c r="AA54" s="20">
        <f>IF(OR(AA4="",AA55=""),"",IFERROR(AA4*AA55,""))</f>
        <v/>
      </c>
      <c r="AB54" s="20">
        <f>IF(OR(AB4="",AB55=""),"",IFERROR(AB4*AB55,""))</f>
        <v/>
      </c>
      <c r="AC54" s="20">
        <f>IF(OR(AC4="",AC55=""),"",IFERROR(AC4*AC55,""))</f>
        <v/>
      </c>
    </row>
    <row r="55">
      <c r="A55" s="13" t="inlineStr">
        <is>
          <t>% of Sales</t>
        </is>
      </c>
      <c r="B55" s="10" t="n"/>
      <c r="C55" s="14">
        <f>IF(OR(C54="",C4=""),"",IFERROR(C54/C4,""))</f>
        <v/>
      </c>
      <c r="D55" s="15">
        <f>IF(OR(D54="",D4=""),"",IFERROR(D54/D4,""))</f>
        <v/>
      </c>
      <c r="E55" s="15">
        <f>IF(OR(E54="",E4=""),"",IFERROR(E54/E4,""))</f>
        <v/>
      </c>
      <c r="F55" s="15">
        <f>IF(OR(F54="",F4=""),"",IFERROR(F54/F4,""))</f>
        <v/>
      </c>
      <c r="G55" s="15">
        <f>IF(OR(G54="",G4=""),"",IFERROR(G54/G4,""))</f>
        <v/>
      </c>
      <c r="H55" s="15">
        <f>IF(OR(H54="",H4=""),"",IFERROR(H54/H4,""))</f>
        <v/>
      </c>
      <c r="I55" s="15">
        <f>IF(OR(I54="",I4=""),"",IFERROR(I54/I4,""))</f>
        <v/>
      </c>
      <c r="J55" s="15">
        <f>IF(OR(J54="",J4=""),"",IFERROR(J54/J4,""))</f>
        <v/>
      </c>
      <c r="K55" s="15">
        <f>IF(OR(K54="",K4=""),"",IFERROR(K54/K4,""))</f>
        <v/>
      </c>
      <c r="L55" s="15">
        <f>IF(OR(L54="",L4=""),"",IFERROR(L54/L4,""))</f>
        <v/>
      </c>
      <c r="M55" s="15">
        <f>IF(OR(M54="",M4=""),"",IFERROR(M54/M4,""))</f>
        <v/>
      </c>
      <c r="N55" s="15">
        <f>IF(OR(N54="",N4=""),"",IFERROR(N54/N4,""))</f>
        <v/>
      </c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25">
        <f>IFERROR(AVERAGE(V55,W55,X55),"")</f>
        <v/>
      </c>
      <c r="Z55" s="26">
        <f>Y55</f>
        <v/>
      </c>
      <c r="AA55" s="26">
        <f>Z55</f>
        <v/>
      </c>
      <c r="AB55" s="26">
        <f>AA55</f>
        <v/>
      </c>
      <c r="AC55" s="26">
        <f>AB55</f>
        <v/>
      </c>
    </row>
    <row r="56">
      <c r="A56" s="18" t="inlineStr">
        <is>
          <t>영업외비용</t>
        </is>
      </c>
      <c r="B56" s="10" t="n"/>
      <c r="C56" s="19" t="n">
        <v>1062</v>
      </c>
      <c r="D56" s="20" t="n">
        <v>2675</v>
      </c>
      <c r="E56" s="20" t="n">
        <v>2925</v>
      </c>
      <c r="F56" s="20" t="n">
        <v>3108</v>
      </c>
      <c r="G56" s="20" t="n">
        <v>315</v>
      </c>
      <c r="H56" s="20" t="n">
        <v>3520</v>
      </c>
      <c r="I56" s="20" t="n">
        <v>1996</v>
      </c>
      <c r="J56" s="20" t="n">
        <v>4800</v>
      </c>
      <c r="K56" s="20" t="n">
        <v>1788</v>
      </c>
      <c r="L56" s="20" t="n">
        <v>1586</v>
      </c>
      <c r="M56" s="20" t="n">
        <v>1913</v>
      </c>
      <c r="N56" s="20" t="n">
        <v>3004</v>
      </c>
      <c r="O56" s="19" t="n">
        <v>3214</v>
      </c>
      <c r="P56" s="20" t="n">
        <v>6804</v>
      </c>
      <c r="Q56" s="20" t="n">
        <v>5669</v>
      </c>
      <c r="R56" s="20" t="n">
        <v>9000</v>
      </c>
      <c r="S56" s="20" t="n">
        <v>6011</v>
      </c>
      <c r="T56" s="20" t="n">
        <v>5222</v>
      </c>
      <c r="U56" s="20" t="n">
        <v>6889</v>
      </c>
      <c r="V56" s="20" t="n">
        <v>9271</v>
      </c>
      <c r="W56" s="20" t="n">
        <v>9868</v>
      </c>
      <c r="X56" s="20" t="n">
        <v>10170</v>
      </c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n"/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9" t="inlineStr">
        <is>
          <t>법인세비용차감전순이익(손실)</t>
        </is>
      </c>
      <c r="B58" s="10" t="n"/>
      <c r="C58" s="11" t="n">
        <v>18876</v>
      </c>
      <c r="D58" s="12" t="n">
        <v>9416</v>
      </c>
      <c r="E58" s="12" t="n">
        <v>17408</v>
      </c>
      <c r="F58" s="12" t="n">
        <v>19585</v>
      </c>
      <c r="G58" s="12" t="n">
        <v>23242</v>
      </c>
      <c r="H58" s="12" t="n">
        <v>12221</v>
      </c>
      <c r="I58" s="12" t="n">
        <v>23824</v>
      </c>
      <c r="J58" s="12" t="n">
        <v>9111</v>
      </c>
      <c r="K58" s="12" t="n">
        <v>23781</v>
      </c>
      <c r="L58" s="12" t="n">
        <v>27116</v>
      </c>
      <c r="M58" s="12" t="n">
        <v>33636</v>
      </c>
      <c r="N58" s="12" t="n">
        <v>38620</v>
      </c>
      <c r="O58" s="11" t="n">
        <v>57521</v>
      </c>
      <c r="P58" s="12" t="n">
        <v>65772</v>
      </c>
      <c r="Q58" s="12" t="n">
        <v>50448</v>
      </c>
      <c r="R58" s="12" t="n">
        <v>43836</v>
      </c>
      <c r="S58" s="12" t="n">
        <v>53120</v>
      </c>
      <c r="T58" s="12" t="n">
        <v>90819</v>
      </c>
      <c r="U58" s="12" t="n">
        <v>57522</v>
      </c>
      <c r="V58" s="12" t="n">
        <v>56175</v>
      </c>
      <c r="W58" s="12" t="n">
        <v>72456</v>
      </c>
      <c r="X58" s="12" t="n">
        <v>83832</v>
      </c>
      <c r="Y58" s="11">
        <f>IF(OR(Y34=""),"",IFERROR(Y34+N(Y50)-N(Y52)+N(Y54)-N(Y56),""))</f>
        <v/>
      </c>
      <c r="Z58" s="12">
        <f>IF(OR(Z34=""),"",IFERROR(Z34+N(Z50)-N(Z52)+N(Z54)-N(Z56),""))</f>
        <v/>
      </c>
      <c r="AA58" s="12">
        <f>IF(OR(AA34=""),"",IFERROR(AA34+N(AA50)-N(AA52)+N(AA54)-N(AA56),""))</f>
        <v/>
      </c>
      <c r="AB58" s="12">
        <f>IF(OR(AB34=""),"",IFERROR(AB34+N(AB50)-N(AB52)+N(AB54)-N(AB56),""))</f>
        <v/>
      </c>
      <c r="AC58" s="12">
        <f>IF(OR(AC34=""),"",IFERROR(AC34+N(AC50)-N(AC52)+N(AC54)-N(AC56),""))</f>
        <v/>
      </c>
    </row>
    <row r="59">
      <c r="A59" s="13" t="inlineStr">
        <is>
          <t>YoY</t>
        </is>
      </c>
      <c r="B59" s="10" t="n"/>
      <c r="C59" s="14" t="n"/>
      <c r="D59" s="15" t="n"/>
      <c r="E59" s="15" t="n"/>
      <c r="F59" s="15" t="n"/>
      <c r="G59" s="15">
        <f>IF(OR(G58="",C58=""),"",IF(C58&lt;=0,"",IFERROR(G58/C58-1,"")))</f>
        <v/>
      </c>
      <c r="H59" s="15">
        <f>IF(OR(H58="",D58=""),"",IF(D58&lt;=0,"",IFERROR(H58/D58-1,"")))</f>
        <v/>
      </c>
      <c r="I59" s="15">
        <f>IF(OR(I58="",E58=""),"",IF(E58&lt;=0,"",IFERROR(I58/E58-1,"")))</f>
        <v/>
      </c>
      <c r="J59" s="15">
        <f>IF(OR(J58="",F58=""),"",IF(F58&lt;=0,"",IFERROR(J58/F58-1,"")))</f>
        <v/>
      </c>
      <c r="K59" s="15">
        <f>IF(OR(K58="",G58=""),"",IF(G58&lt;=0,"",IFERROR(K58/G58-1,"")))</f>
        <v/>
      </c>
      <c r="L59" s="15">
        <f>IF(OR(L58="",H58=""),"",IF(H58&lt;=0,"",IFERROR(L58/H58-1,"")))</f>
        <v/>
      </c>
      <c r="M59" s="15">
        <f>IF(OR(M58="",I58=""),"",IF(I58&lt;=0,"",IFERROR(M58/I58-1,"")))</f>
        <v/>
      </c>
      <c r="N59" s="15">
        <f>IF(OR(N58="",J58=""),"",IF(J58&lt;=0,"",IFERROR(N58/J58-1,"")))</f>
        <v/>
      </c>
      <c r="O59" s="14" t="n"/>
      <c r="P59" s="15">
        <f>IF(OR(P58="",O58=""),"",IF(O58&lt;=0,"",IFERROR(P58/O58-1,"")))</f>
        <v/>
      </c>
      <c r="Q59" s="15">
        <f>IF(OR(Q58="",P58=""),"",IF(P58&lt;=0,"",IFERROR(Q58/P58-1,"")))</f>
        <v/>
      </c>
      <c r="R59" s="15">
        <f>IF(OR(R58="",Q58=""),"",IF(Q58&lt;=0,"",IFERROR(R58/Q58-1,"")))</f>
        <v/>
      </c>
      <c r="S59" s="15">
        <f>IF(OR(S58="",R58=""),"",IF(R58&lt;=0,"",IFERROR(S58/R58-1,"")))</f>
        <v/>
      </c>
      <c r="T59" s="15">
        <f>IF(OR(T58="",S58=""),"",IF(S58&lt;=0,"",IFERROR(T58/S58-1,"")))</f>
        <v/>
      </c>
      <c r="U59" s="15">
        <f>IF(OR(U58="",T58=""),"",IF(T58&lt;=0,"",IFERROR(U58/T58-1,"")))</f>
        <v/>
      </c>
      <c r="V59" s="15">
        <f>IF(OR(V58="",U58=""),"",IF(U58&lt;=0,"",IFERROR(V58/U58-1,"")))</f>
        <v/>
      </c>
      <c r="W59" s="15">
        <f>IF(OR(W58="",V58=""),"",IF(V58&lt;=0,"",IFERROR(W58/V58-1,"")))</f>
        <v/>
      </c>
      <c r="X59" s="15">
        <f>IF(OR(X58="",W58=""),"",IF(W58&lt;=0,"",IFERROR(X58/W58-1,"")))</f>
        <v/>
      </c>
      <c r="Y59" s="14">
        <f>IF(OR(Y58="",X58=""),"",IF(X58&lt;=0,"",IFERROR(Y58/X58-1,"")))</f>
        <v/>
      </c>
      <c r="Z59" s="15">
        <f>IF(OR(Z58="",Y58=""),"",IF(Y58&lt;=0,"",IFERROR(Z58/Y58-1,"")))</f>
        <v/>
      </c>
      <c r="AA59" s="15">
        <f>IF(OR(AA58="",Z58=""),"",IF(Z58&lt;=0,"",IFERROR(AA58/Z58-1,"")))</f>
        <v/>
      </c>
      <c r="AB59" s="15">
        <f>IF(OR(AB58="",AA58=""),"",IF(AA58&lt;=0,"",IFERROR(AB58/AA58-1,"")))</f>
        <v/>
      </c>
      <c r="AC59" s="15">
        <f>IF(OR(AC58="",AB58=""),"",IF(AB58&lt;=0,"",IFERROR(AC58/AB58-1,"")))</f>
        <v/>
      </c>
    </row>
    <row r="60">
      <c r="A60" s="18" t="inlineStr">
        <is>
          <t>법인세비용(수익)</t>
        </is>
      </c>
      <c r="B60" s="10" t="n"/>
      <c r="C60" s="19" t="n">
        <v>3112</v>
      </c>
      <c r="D60" s="20" t="n">
        <v>2592</v>
      </c>
      <c r="E60" s="20" t="n">
        <v>6451</v>
      </c>
      <c r="F60" s="20" t="n">
        <v>4690</v>
      </c>
      <c r="G60" s="20" t="n">
        <v>8180</v>
      </c>
      <c r="H60" s="20" t="n">
        <v>-1870</v>
      </c>
      <c r="I60" s="20" t="n">
        <v>5686</v>
      </c>
      <c r="J60" s="20" t="n">
        <v>3088</v>
      </c>
      <c r="K60" s="20" t="n">
        <v>6418</v>
      </c>
      <c r="L60" s="20" t="n">
        <v>8315</v>
      </c>
      <c r="M60" s="20" t="n">
        <v>3869</v>
      </c>
      <c r="N60" s="20" t="n">
        <v>7073</v>
      </c>
      <c r="O60" s="19" t="n">
        <v>21157</v>
      </c>
      <c r="P60" s="20" t="n">
        <v>19437</v>
      </c>
      <c r="Q60" s="20" t="n">
        <v>14837</v>
      </c>
      <c r="R60" s="20" t="n">
        <v>17346</v>
      </c>
      <c r="S60" s="20" t="n">
        <v>14464</v>
      </c>
      <c r="T60" s="20" t="n">
        <v>19787</v>
      </c>
      <c r="U60" s="20" t="n">
        <v>2270</v>
      </c>
      <c r="V60" s="20" t="n">
        <v>15471</v>
      </c>
      <c r="W60" s="20" t="n">
        <v>17451</v>
      </c>
      <c r="X60" s="20" t="n">
        <v>23507</v>
      </c>
      <c r="Y60" s="19">
        <f>IF(OR(Y58="",Y61=""),"",IFERROR(MAX(Y58,0)*Y61,""))</f>
        <v/>
      </c>
      <c r="Z60" s="20">
        <f>IF(OR(Z58="",Z61=""),"",IFERROR(MAX(Z58,0)*Z61,""))</f>
        <v/>
      </c>
      <c r="AA60" s="20">
        <f>IF(OR(AA58="",AA61=""),"",IFERROR(MAX(AA58,0)*AA61,""))</f>
        <v/>
      </c>
      <c r="AB60" s="20">
        <f>IF(OR(AB58="",AB61=""),"",IFERROR(MAX(AB58,0)*AB61,""))</f>
        <v/>
      </c>
      <c r="AC60" s="20">
        <f>IF(OR(AC58="",AC61=""),"",IFERROR(MAX(AC58,0)*AC61,""))</f>
        <v/>
      </c>
    </row>
    <row r="61">
      <c r="A61" s="13" t="inlineStr">
        <is>
          <t>법인세율</t>
        </is>
      </c>
      <c r="B61" s="10" t="inlineStr">
        <is>
          <t>MW 기본 30%</t>
        </is>
      </c>
      <c r="C61" s="14">
        <f>IF(OR(C60="",C58=""),"",IFERROR(C60/C58,""))</f>
        <v/>
      </c>
      <c r="D61" s="15">
        <f>IF(OR(D60="",D58=""),"",IFERROR(D60/D58,""))</f>
        <v/>
      </c>
      <c r="E61" s="15">
        <f>IF(OR(E60="",E58=""),"",IFERROR(E60/E58,""))</f>
        <v/>
      </c>
      <c r="F61" s="15">
        <f>IF(OR(F60="",F58=""),"",IFERROR(F60/F58,""))</f>
        <v/>
      </c>
      <c r="G61" s="15">
        <f>IF(OR(G60="",G58=""),"",IFERROR(G60/G58,""))</f>
        <v/>
      </c>
      <c r="H61" s="15">
        <f>IF(OR(H60="",H58=""),"",IFERROR(H60/H58,""))</f>
        <v/>
      </c>
      <c r="I61" s="15">
        <f>IF(OR(I60="",I58=""),"",IFERROR(I60/I58,""))</f>
        <v/>
      </c>
      <c r="J61" s="15">
        <f>IF(OR(J60="",J58=""),"",IFERROR(J60/J58,""))</f>
        <v/>
      </c>
      <c r="K61" s="15">
        <f>IF(OR(K60="",K58=""),"",IFERROR(K60/K58,""))</f>
        <v/>
      </c>
      <c r="L61" s="15">
        <f>IF(OR(L60="",L58=""),"",IFERROR(L60/L58,""))</f>
        <v/>
      </c>
      <c r="M61" s="15">
        <f>IF(OR(M60="",M58=""),"",IFERROR(M60/M58,""))</f>
        <v/>
      </c>
      <c r="N61" s="15">
        <f>IF(OR(N60="",N58=""),"",IFERROR(N60/N58,""))</f>
        <v/>
      </c>
      <c r="O61" s="14">
        <f>IF(OR(O60="",O58=""),"",IFERROR(O60/O58,""))</f>
        <v/>
      </c>
      <c r="P61" s="15">
        <f>IF(OR(P60="",P58=""),"",IFERROR(P60/P58,""))</f>
        <v/>
      </c>
      <c r="Q61" s="15">
        <f>IF(OR(Q60="",Q58=""),"",IFERROR(Q60/Q58,""))</f>
        <v/>
      </c>
      <c r="R61" s="15">
        <f>IF(OR(R60="",R58=""),"",IFERROR(R60/R58,""))</f>
        <v/>
      </c>
      <c r="S61" s="15">
        <f>IF(OR(S60="",S58=""),"",IFERROR(S60/S58,""))</f>
        <v/>
      </c>
      <c r="T61" s="15">
        <f>IF(OR(T60="",T58=""),"",IFERROR(T60/T58,""))</f>
        <v/>
      </c>
      <c r="U61" s="15">
        <f>IF(OR(U60="",U58=""),"",IFERROR(U60/U58,""))</f>
        <v/>
      </c>
      <c r="V61" s="15">
        <f>IF(OR(V60="",V58=""),"",IFERROR(V60/V58,""))</f>
        <v/>
      </c>
      <c r="W61" s="15">
        <f>IF(OR(W60="",W58=""),"",IFERROR(W60/W58,""))</f>
        <v/>
      </c>
      <c r="X61" s="15">
        <f>IF(OR(X60="",X58=""),"",IFERROR(X60/X58,""))</f>
        <v/>
      </c>
      <c r="Y61" s="25" t="n">
        <v>0.3</v>
      </c>
      <c r="Z61" s="26" t="n">
        <v>0.3</v>
      </c>
      <c r="AA61" s="26" t="n">
        <v>0.3</v>
      </c>
      <c r="AB61" s="26" t="n">
        <v>0.3</v>
      </c>
      <c r="AC61" s="26" t="n">
        <v>0.3</v>
      </c>
    </row>
    <row r="62">
      <c r="A62" s="9" t="inlineStr">
        <is>
          <t>당기순이익(손실)</t>
        </is>
      </c>
      <c r="B62" s="10" t="n"/>
      <c r="C62" s="11" t="n">
        <v>15764</v>
      </c>
      <c r="D62" s="12" t="n">
        <v>6823</v>
      </c>
      <c r="E62" s="12" t="n">
        <v>10957</v>
      </c>
      <c r="F62" s="12" t="n">
        <v>14895</v>
      </c>
      <c r="G62" s="12" t="n">
        <v>15061</v>
      </c>
      <c r="H62" s="12" t="n">
        <v>14092</v>
      </c>
      <c r="I62" s="12" t="n">
        <v>18137</v>
      </c>
      <c r="J62" s="12" t="n">
        <v>6024</v>
      </c>
      <c r="K62" s="12" t="n">
        <v>17363</v>
      </c>
      <c r="L62" s="12" t="n">
        <v>18801</v>
      </c>
      <c r="M62" s="12" t="n">
        <v>29766</v>
      </c>
      <c r="N62" s="12" t="n">
        <v>31548</v>
      </c>
      <c r="O62" s="11" t="n">
        <v>36364</v>
      </c>
      <c r="P62" s="12" t="n">
        <v>46335</v>
      </c>
      <c r="Q62" s="12" t="n">
        <v>35611</v>
      </c>
      <c r="R62" s="12" t="n">
        <v>26489</v>
      </c>
      <c r="S62" s="12" t="n">
        <v>38656</v>
      </c>
      <c r="T62" s="12" t="n">
        <v>71032</v>
      </c>
      <c r="U62" s="12" t="n">
        <v>55251</v>
      </c>
      <c r="V62" s="12" t="n">
        <v>40703</v>
      </c>
      <c r="W62" s="12" t="n">
        <v>55005</v>
      </c>
      <c r="X62" s="12" t="n">
        <v>60325</v>
      </c>
      <c r="Y62" s="11">
        <f>IF(OR(Y58=""),"",IFERROR(Y58-Y60,""))</f>
        <v/>
      </c>
      <c r="Z62" s="12">
        <f>IF(OR(Z58=""),"",IFERROR(Z58-Z60,""))</f>
        <v/>
      </c>
      <c r="AA62" s="12">
        <f>IF(OR(AA58=""),"",IFERROR(AA58-AA60,""))</f>
        <v/>
      </c>
      <c r="AB62" s="12">
        <f>IF(OR(AB58=""),"",IFERROR(AB58-AB60,""))</f>
        <v/>
      </c>
      <c r="AC62" s="12">
        <f>IF(OR(AC58=""),"",IFERROR(AC58-AC60,""))</f>
        <v/>
      </c>
    </row>
    <row r="63">
      <c r="A63" s="13" t="inlineStr">
        <is>
          <t>YoY</t>
        </is>
      </c>
      <c r="B63" s="10" t="n"/>
      <c r="C63" s="14" t="n"/>
      <c r="D63" s="15" t="n"/>
      <c r="E63" s="15" t="n"/>
      <c r="F63" s="15" t="n"/>
      <c r="G63" s="15">
        <f>IF(OR(G62="",C62=""),"",IF(C62&lt;=0,"",IFERROR(G62/C62-1,"")))</f>
        <v/>
      </c>
      <c r="H63" s="15">
        <f>IF(OR(H62="",D62=""),"",IF(D62&lt;=0,"",IFERROR(H62/D62-1,"")))</f>
        <v/>
      </c>
      <c r="I63" s="15">
        <f>IF(OR(I62="",E62=""),"",IF(E62&lt;=0,"",IFERROR(I62/E62-1,"")))</f>
        <v/>
      </c>
      <c r="J63" s="15">
        <f>IF(OR(J62="",F62=""),"",IF(F62&lt;=0,"",IFERROR(J62/F62-1,"")))</f>
        <v/>
      </c>
      <c r="K63" s="15">
        <f>IF(OR(K62="",G62=""),"",IF(G62&lt;=0,"",IFERROR(K62/G62-1,"")))</f>
        <v/>
      </c>
      <c r="L63" s="15">
        <f>IF(OR(L62="",H62=""),"",IF(H62&lt;=0,"",IFERROR(L62/H62-1,"")))</f>
        <v/>
      </c>
      <c r="M63" s="15">
        <f>IF(OR(M62="",I62=""),"",IF(I62&lt;=0,"",IFERROR(M62/I62-1,"")))</f>
        <v/>
      </c>
      <c r="N63" s="15">
        <f>IF(OR(N62="",J62=""),"",IF(J62&lt;=0,"",IFERROR(N62/J62-1,"")))</f>
        <v/>
      </c>
      <c r="O63" s="14" t="n"/>
      <c r="P63" s="15">
        <f>IF(OR(P62="",O62=""),"",IF(O62&lt;=0,"",IFERROR(P62/O62-1,"")))</f>
        <v/>
      </c>
      <c r="Q63" s="15">
        <f>IF(OR(Q62="",P62=""),"",IF(P62&lt;=0,"",IFERROR(Q62/P62-1,"")))</f>
        <v/>
      </c>
      <c r="R63" s="15">
        <f>IF(OR(R62="",Q62=""),"",IF(Q62&lt;=0,"",IFERROR(R62/Q62-1,"")))</f>
        <v/>
      </c>
      <c r="S63" s="15">
        <f>IF(OR(S62="",R62=""),"",IF(R62&lt;=0,"",IFERROR(S62/R62-1,"")))</f>
        <v/>
      </c>
      <c r="T63" s="15">
        <f>IF(OR(T62="",S62=""),"",IF(S62&lt;=0,"",IFERROR(T62/S62-1,"")))</f>
        <v/>
      </c>
      <c r="U63" s="15">
        <f>IF(OR(U62="",T62=""),"",IF(T62&lt;=0,"",IFERROR(U62/T62-1,"")))</f>
        <v/>
      </c>
      <c r="V63" s="15">
        <f>IF(OR(V62="",U62=""),"",IF(U62&lt;=0,"",IFERROR(V62/U62-1,"")))</f>
        <v/>
      </c>
      <c r="W63" s="15">
        <f>IF(OR(W62="",V62=""),"",IF(V62&lt;=0,"",IFERROR(W62/V62-1,"")))</f>
        <v/>
      </c>
      <c r="X63" s="15">
        <f>IF(OR(X62="",W62=""),"",IF(W62&lt;=0,"",IFERROR(X62/W62-1,"")))</f>
        <v/>
      </c>
      <c r="Y63" s="14">
        <f>IF(OR(Y62="",X62=""),"",IF(X62&lt;=0,"",IFERROR(Y62/X62-1,"")))</f>
        <v/>
      </c>
      <c r="Z63" s="15">
        <f>IF(OR(Z62="",Y62=""),"",IF(Y62&lt;=0,"",IFERROR(Z62/Y62-1,"")))</f>
        <v/>
      </c>
      <c r="AA63" s="15">
        <f>IF(OR(AA62="",Z62=""),"",IF(Z62&lt;=0,"",IFERROR(AA62/Z62-1,"")))</f>
        <v/>
      </c>
      <c r="AB63" s="15">
        <f>IF(OR(AB62="",AA62=""),"",IF(AA62&lt;=0,"",IFERROR(AB62/AA62-1,"")))</f>
        <v/>
      </c>
      <c r="AC63" s="15">
        <f>IF(OR(AC62="",AB62=""),"",IF(AB62&lt;=0,"",IFERROR(AC62/AB62-1,"")))</f>
        <v/>
      </c>
    </row>
    <row r="64">
      <c r="A64" s="9" t="inlineStr">
        <is>
          <t>지배주주 순이익</t>
        </is>
      </c>
      <c r="B64" s="10" t="n"/>
      <c r="C64" s="11" t="n">
        <v>15695</v>
      </c>
      <c r="D64" s="12" t="n">
        <v>6686</v>
      </c>
      <c r="E64" s="12" t="n">
        <v>10964</v>
      </c>
      <c r="F64" s="12" t="n">
        <v>14905</v>
      </c>
      <c r="G64" s="12" t="n">
        <v>15132</v>
      </c>
      <c r="H64" s="12" t="n">
        <v>13932</v>
      </c>
      <c r="I64" s="12" t="n">
        <v>17899</v>
      </c>
      <c r="J64" s="12" t="n">
        <v>5971</v>
      </c>
      <c r="K64" s="12" t="n">
        <v>17256</v>
      </c>
      <c r="L64" s="12" t="n">
        <v>18810</v>
      </c>
      <c r="M64" s="12" t="n">
        <v>29374</v>
      </c>
      <c r="N64" s="12" t="n">
        <v>31426</v>
      </c>
      <c r="O64" s="11" t="n">
        <v>36379</v>
      </c>
      <c r="P64" s="12" t="n">
        <v>45814</v>
      </c>
      <c r="Q64" s="12" t="n">
        <v>35506</v>
      </c>
      <c r="R64" s="12" t="n">
        <v>27135</v>
      </c>
      <c r="S64" s="12" t="n">
        <v>38496</v>
      </c>
      <c r="T64" s="12" t="n">
        <v>70851</v>
      </c>
      <c r="U64" s="12" t="n">
        <v>55048</v>
      </c>
      <c r="V64" s="12" t="n">
        <v>40562</v>
      </c>
      <c r="W64" s="12" t="n">
        <v>54933</v>
      </c>
      <c r="X64" s="12" t="n">
        <v>59936</v>
      </c>
      <c r="Y64" s="11">
        <f>IF(OR(Y62="",Y65=""),"",IFERROR(Y62*Y65,""))</f>
        <v/>
      </c>
      <c r="Z64" s="12">
        <f>IF(OR(Z62="",Z65=""),"",IFERROR(Z62*Z65,""))</f>
        <v/>
      </c>
      <c r="AA64" s="12">
        <f>IF(OR(AA62="",AA65=""),"",IFERROR(AA62*AA65,""))</f>
        <v/>
      </c>
      <c r="AB64" s="12">
        <f>IF(OR(AB62="",AB65=""),"",IFERROR(AB62*AB65,""))</f>
        <v/>
      </c>
      <c r="AC64" s="12">
        <f>IF(OR(AC62="",AC65=""),"",IFERROR(AC62*AC65,""))</f>
        <v/>
      </c>
    </row>
    <row r="65">
      <c r="A65" s="13" t="inlineStr">
        <is>
          <t>지배주주 순이익률</t>
        </is>
      </c>
      <c r="B65" s="10" t="inlineStr">
        <is>
          <t>MW 기본 100%</t>
        </is>
      </c>
      <c r="C65" s="14">
        <f>IF(OR(C64="",C62=""),"",IFERROR(C64/C62,""))</f>
        <v/>
      </c>
      <c r="D65" s="15">
        <f>IF(OR(D64="",D62=""),"",IFERROR(D64/D62,""))</f>
        <v/>
      </c>
      <c r="E65" s="15">
        <f>IF(OR(E64="",E62=""),"",IFERROR(E64/E62,""))</f>
        <v/>
      </c>
      <c r="F65" s="15">
        <f>IF(OR(F64="",F62=""),"",IFERROR(F64/F62,""))</f>
        <v/>
      </c>
      <c r="G65" s="15">
        <f>IF(OR(G64="",G62=""),"",IFERROR(G64/G62,""))</f>
        <v/>
      </c>
      <c r="H65" s="15">
        <f>IF(OR(H64="",H62=""),"",IFERROR(H64/H62,""))</f>
        <v/>
      </c>
      <c r="I65" s="15">
        <f>IF(OR(I64="",I62=""),"",IFERROR(I64/I62,""))</f>
        <v/>
      </c>
      <c r="J65" s="15">
        <f>IF(OR(J64="",J62=""),"",IFERROR(J64/J62,""))</f>
        <v/>
      </c>
      <c r="K65" s="15">
        <f>IF(OR(K64="",K62=""),"",IFERROR(K64/K62,""))</f>
        <v/>
      </c>
      <c r="L65" s="15">
        <f>IF(OR(L64="",L62=""),"",IFERROR(L64/L62,""))</f>
        <v/>
      </c>
      <c r="M65" s="15">
        <f>IF(OR(M64="",M62=""),"",IFERROR(M64/M62,""))</f>
        <v/>
      </c>
      <c r="N65" s="15">
        <f>IF(OR(N64="",N62=""),"",IFERROR(N64/N62,""))</f>
        <v/>
      </c>
      <c r="O65" s="14">
        <f>IF(OR(O64="",O62=""),"",IFERROR(O64/O62,""))</f>
        <v/>
      </c>
      <c r="P65" s="15">
        <f>IF(OR(P64="",P62=""),"",IFERROR(P64/P62,""))</f>
        <v/>
      </c>
      <c r="Q65" s="15">
        <f>IF(OR(Q64="",Q62=""),"",IFERROR(Q64/Q62,""))</f>
        <v/>
      </c>
      <c r="R65" s="15">
        <f>IF(OR(R64="",R62=""),"",IFERROR(R64/R62,""))</f>
        <v/>
      </c>
      <c r="S65" s="15">
        <f>IF(OR(S64="",S62=""),"",IFERROR(S64/S62,""))</f>
        <v/>
      </c>
      <c r="T65" s="15">
        <f>IF(OR(T64="",T62=""),"",IFERROR(T64/T62,""))</f>
        <v/>
      </c>
      <c r="U65" s="15">
        <f>IF(OR(U64="",U62=""),"",IFERROR(U64/U62,""))</f>
        <v/>
      </c>
      <c r="V65" s="15">
        <f>IF(OR(V64="",V62=""),"",IFERROR(V64/V62,""))</f>
        <v/>
      </c>
      <c r="W65" s="15">
        <f>IF(OR(W64="",W62=""),"",IFERROR(W64/W62,""))</f>
        <v/>
      </c>
      <c r="X65" s="15">
        <f>IF(OR(X64="",X62=""),"",IFERROR(X64/X62,""))</f>
        <v/>
      </c>
      <c r="Y65" s="25" t="n">
        <v>1</v>
      </c>
      <c r="Z65" s="26" t="n">
        <v>1</v>
      </c>
      <c r="AA65" s="26" t="n">
        <v>1</v>
      </c>
      <c r="AB65" s="26" t="n">
        <v>1</v>
      </c>
      <c r="AC65" s="26" t="n">
        <v>1</v>
      </c>
    </row>
    <row r="66">
      <c r="A66" s="13" t="inlineStr">
        <is>
          <t>지배주주 순이익 YoY</t>
        </is>
      </c>
      <c r="B66" s="10" t="n"/>
      <c r="C66" s="14" t="n"/>
      <c r="D66" s="15" t="n"/>
      <c r="E66" s="15" t="n"/>
      <c r="F66" s="15" t="n"/>
      <c r="G66" s="15">
        <f>IF(OR(G64="",C64=""),"",IF(C64&lt;=0,"",IFERROR(G64/C64-1,"")))</f>
        <v/>
      </c>
      <c r="H66" s="15">
        <f>IF(OR(H64="",D64=""),"",IF(D64&lt;=0,"",IFERROR(H64/D64-1,"")))</f>
        <v/>
      </c>
      <c r="I66" s="15">
        <f>IF(OR(I64="",E64=""),"",IF(E64&lt;=0,"",IFERROR(I64/E64-1,"")))</f>
        <v/>
      </c>
      <c r="J66" s="15">
        <f>IF(OR(J64="",F64=""),"",IF(F64&lt;=0,"",IFERROR(J64/F64-1,"")))</f>
        <v/>
      </c>
      <c r="K66" s="15">
        <f>IF(OR(K64="",G64=""),"",IF(G64&lt;=0,"",IFERROR(K64/G64-1,"")))</f>
        <v/>
      </c>
      <c r="L66" s="15">
        <f>IF(OR(L64="",H64=""),"",IF(H64&lt;=0,"",IFERROR(L64/H64-1,"")))</f>
        <v/>
      </c>
      <c r="M66" s="15">
        <f>IF(OR(M64="",I64=""),"",IF(I64&lt;=0,"",IFERROR(M64/I64-1,"")))</f>
        <v/>
      </c>
      <c r="N66" s="15">
        <f>IF(OR(N64="",J64=""),"",IF(J64&lt;=0,"",IFERROR(N64/J64-1,"")))</f>
        <v/>
      </c>
      <c r="O66" s="14" t="n"/>
      <c r="P66" s="15">
        <f>IF(OR(P64="",O64=""),"",IF(O64&lt;=0,"",IFERROR(P64/O64-1,"")))</f>
        <v/>
      </c>
      <c r="Q66" s="15">
        <f>IF(OR(Q64="",P64=""),"",IF(P64&lt;=0,"",IFERROR(Q64/P64-1,"")))</f>
        <v/>
      </c>
      <c r="R66" s="15">
        <f>IF(OR(R64="",Q64=""),"",IF(Q64&lt;=0,"",IFERROR(R64/Q64-1,"")))</f>
        <v/>
      </c>
      <c r="S66" s="15">
        <f>IF(OR(S64="",R64=""),"",IF(R64&lt;=0,"",IFERROR(S64/R64-1,"")))</f>
        <v/>
      </c>
      <c r="T66" s="15">
        <f>IF(OR(T64="",S64=""),"",IF(S64&lt;=0,"",IFERROR(T64/S64-1,"")))</f>
        <v/>
      </c>
      <c r="U66" s="15">
        <f>IF(OR(U64="",T64=""),"",IF(T64&lt;=0,"",IFERROR(U64/T64-1,"")))</f>
        <v/>
      </c>
      <c r="V66" s="15">
        <f>IF(OR(V64="",U64=""),"",IF(U64&lt;=0,"",IFERROR(V64/U64-1,"")))</f>
        <v/>
      </c>
      <c r="W66" s="15">
        <f>IF(OR(W64="",V64=""),"",IF(V64&lt;=0,"",IFERROR(W64/V64-1,"")))</f>
        <v/>
      </c>
      <c r="X66" s="15">
        <f>IF(OR(X64="",W64=""),"",IF(W64&lt;=0,"",IFERROR(X64/W64-1,"")))</f>
        <v/>
      </c>
      <c r="Y66" s="14">
        <f>IF(OR(Y64="",X64=""),"",IF(X64&lt;=0,"",IFERROR(Y64/X64-1,"")))</f>
        <v/>
      </c>
      <c r="Z66" s="15">
        <f>IF(OR(Z64="",Y64=""),"",IF(Y64&lt;=0,"",IFERROR(Z64/Y64-1,"")))</f>
        <v/>
      </c>
      <c r="AA66" s="15">
        <f>IF(OR(AA64="",Z64=""),"",IF(Z64&lt;=0,"",IFERROR(AA64/Z64-1,"")))</f>
        <v/>
      </c>
      <c r="AB66" s="15">
        <f>IF(OR(AB64="",AA64=""),"",IF(AA64&lt;=0,"",IFERROR(AB64/AA64-1,"")))</f>
        <v/>
      </c>
      <c r="AC66" s="15">
        <f>IF(OR(AC64="",AB64=""),"",IF(AB64&lt;=0,"",IFERROR(AC64/AB64-1,"")))</f>
        <v/>
      </c>
    </row>
    <row r="67">
      <c r="A67" s="16" t="inlineStr">
        <is>
          <t>목표주가 산출</t>
        </is>
      </c>
      <c r="B67" s="16" t="n"/>
      <c r="C67" s="17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7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7" t="n"/>
      <c r="Z67" s="16" t="n"/>
      <c r="AA67" s="16" t="n"/>
      <c r="AB67" s="16" t="n"/>
      <c r="AC67" s="16" t="n"/>
    </row>
    <row r="68">
      <c r="A68" s="18" t="inlineStr">
        <is>
          <t>현재 주가 ()</t>
        </is>
      </c>
      <c r="B68" s="27" t="n"/>
      <c r="C68" s="28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8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8" t="n"/>
      <c r="Z68" s="29" t="n"/>
      <c r="AA68" s="29" t="n"/>
      <c r="AB68" s="29" t="n"/>
      <c r="AC68" s="29" t="n"/>
    </row>
    <row r="69">
      <c r="A69" s="18" t="inlineStr">
        <is>
          <t>발행주식수 (보통주)</t>
        </is>
      </c>
      <c r="B69" s="27" t="n"/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8" t="n"/>
      <c r="Z69" s="29" t="n"/>
      <c r="AA69" s="29" t="n"/>
      <c r="AB69" s="29" t="n"/>
      <c r="AC69" s="29" t="n"/>
    </row>
    <row r="70">
      <c r="A70" s="18" t="inlineStr">
        <is>
          <t>시가총액 (백만엔)</t>
        </is>
      </c>
      <c r="B70" s="12">
        <f>IF(OR(B68="",B69=""),"",B68*B69/1000000.0)</f>
        <v/>
      </c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19" t="n"/>
      <c r="Z70" s="20" t="n"/>
      <c r="AA70" s="20" t="n"/>
      <c r="AB70" s="20" t="n"/>
      <c r="AC70" s="20" t="n"/>
    </row>
    <row r="71">
      <c r="A71" s="13" t="inlineStr">
        <is>
          <t>OPM</t>
        </is>
      </c>
      <c r="B71" s="10" t="n"/>
      <c r="C71" s="14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4">
        <f>IF(O35="","",O35)</f>
        <v/>
      </c>
      <c r="P71" s="15">
        <f>IF(P35="","",P35)</f>
        <v/>
      </c>
      <c r="Q71" s="15">
        <f>IF(Q35="","",Q35)</f>
        <v/>
      </c>
      <c r="R71" s="15">
        <f>IF(R35="","",R35)</f>
        <v/>
      </c>
      <c r="S71" s="15">
        <f>IF(S35="","",S35)</f>
        <v/>
      </c>
      <c r="T71" s="15">
        <f>IF(T35="","",T35)</f>
        <v/>
      </c>
      <c r="U71" s="15">
        <f>IF(U35="","",U35)</f>
        <v/>
      </c>
      <c r="V71" s="15">
        <f>IF(V35="","",V35)</f>
        <v/>
      </c>
      <c r="W71" s="15">
        <f>IF(W35="","",W35)</f>
        <v/>
      </c>
      <c r="X71" s="15">
        <f>IF(X35="","",X35)</f>
        <v/>
      </c>
      <c r="Y71" s="14">
        <f>IF(Y35="","",Y35)</f>
        <v/>
      </c>
      <c r="Z71" s="15">
        <f>IF(Z35="","",Z35)</f>
        <v/>
      </c>
      <c r="AA71" s="15">
        <f>IF(AA35="","",AA35)</f>
        <v/>
      </c>
      <c r="AB71" s="15">
        <f>IF(AB35="","",AB35)</f>
        <v/>
      </c>
      <c r="AC71" s="15">
        <f>IF(AC35="","",AC35)</f>
        <v/>
      </c>
    </row>
    <row r="72">
      <c r="A72" s="13" t="inlineStr">
        <is>
          <t>지배주주 순이익 증가율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>
        <f>IF(OR(P64="",O64=""),"",IFERROR(P64/O64-1,""))</f>
        <v/>
      </c>
      <c r="Q72" s="15">
        <f>IF(OR(Q64="",P64=""),"",IFERROR(Q64/P64-1,""))</f>
        <v/>
      </c>
      <c r="R72" s="15">
        <f>IF(OR(R64="",Q64=""),"",IFERROR(R64/Q64-1,""))</f>
        <v/>
      </c>
      <c r="S72" s="15">
        <f>IF(OR(S64="",R64=""),"",IFERROR(S64/R64-1,""))</f>
        <v/>
      </c>
      <c r="T72" s="15">
        <f>IF(OR(T64="",S64=""),"",IFERROR(T64/S64-1,""))</f>
        <v/>
      </c>
      <c r="U72" s="15">
        <f>IF(OR(U64="",T64=""),"",IFERROR(U64/T64-1,""))</f>
        <v/>
      </c>
      <c r="V72" s="15">
        <f>IF(OR(V64="",U64=""),"",IFERROR(V64/U64-1,""))</f>
        <v/>
      </c>
      <c r="W72" s="15">
        <f>IF(OR(W64="",V64=""),"",IFERROR(W64/V64-1,""))</f>
        <v/>
      </c>
      <c r="X72" s="15">
        <f>IF(OR(X64="",W64=""),"",IFERROR(X64/W64-1,""))</f>
        <v/>
      </c>
      <c r="Y72" s="14">
        <f>IF(OR(Y64="",X64=""),"",IFERROR(Y64/X64-1,""))</f>
        <v/>
      </c>
      <c r="Z72" s="15">
        <f>IF(OR(Z64="",Y64=""),"",IFERROR(Z64/Y64-1,""))</f>
        <v/>
      </c>
      <c r="AA72" s="15">
        <f>IF(OR(AA64="",Z64=""),"",IFERROR(AA64/Z64-1,""))</f>
        <v/>
      </c>
      <c r="AB72" s="15">
        <f>IF(OR(AB64="",AA64=""),"",IFERROR(AB64/AA64-1,""))</f>
        <v/>
      </c>
      <c r="AC72" s="15">
        <f>IF(OR(AC64="",AB64=""),"",IFERROR(AC64/AB64-1,""))</f>
        <v/>
      </c>
    </row>
    <row r="73">
      <c r="A73" s="18" t="inlineStr">
        <is>
          <t>P/E (현재 주가)</t>
        </is>
      </c>
      <c r="B73" s="10" t="inlineStr">
        <is>
          <t>시총 ÷ 지배순이익</t>
        </is>
      </c>
      <c r="C73" s="30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0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>
        <f>IF(OR($B$70="",X64=""),"",IFERROR($B$70/X64,""))</f>
        <v/>
      </c>
      <c r="Y73" s="30">
        <f>IF(OR($B$70="",Y64=""),"",IFERROR($B$70/Y64,""))</f>
        <v/>
      </c>
      <c r="Z73" s="31">
        <f>IF(OR($B$70="",Z64=""),"",IFERROR($B$70/Z64,""))</f>
        <v/>
      </c>
      <c r="AA73" s="31">
        <f>IF(OR($B$70="",AA64=""),"",IFERROR($B$70/AA64,""))</f>
        <v/>
      </c>
      <c r="AB73" s="31">
        <f>IF(OR($B$70="",AB64=""),"",IFERROR($B$70/AB64,""))</f>
        <v/>
      </c>
      <c r="AC73" s="31">
        <f>IF(OR($B$70="",AC64=""),"",IFERROR($B$70/AC64,""))</f>
        <v/>
      </c>
    </row>
    <row r="74">
      <c r="A74" s="18" t="inlineStr">
        <is>
          <t>Target P/E</t>
        </is>
      </c>
      <c r="B74" s="10" t="inlineStr">
        <is>
          <t>직접 입력</t>
        </is>
      </c>
      <c r="C74" s="30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0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2" t="n"/>
      <c r="Z74" s="33" t="n"/>
      <c r="AA74" s="33" t="n"/>
      <c r="AB74" s="33" t="n"/>
      <c r="AC74" s="33" t="n"/>
    </row>
    <row r="75">
      <c r="A75" s="18" t="inlineStr">
        <is>
          <t>EPS</t>
        </is>
      </c>
      <c r="B75" s="10" t="inlineStr">
        <is>
          <t>지배순이익 ÷ 주식수</t>
        </is>
      </c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8">
        <f>IF(OR(O64="",$B$69=""),"",IFERROR(O64*1000000.0/$B$69,""))</f>
        <v/>
      </c>
      <c r="P75" s="29">
        <f>IF(OR(P64="",$B$69=""),"",IFERROR(P64*1000000.0/$B$69,""))</f>
        <v/>
      </c>
      <c r="Q75" s="29">
        <f>IF(OR(Q64="",$B$69=""),"",IFERROR(Q64*1000000.0/$B$69,""))</f>
        <v/>
      </c>
      <c r="R75" s="29">
        <f>IF(OR(R64="",$B$69=""),"",IFERROR(R64*1000000.0/$B$69,""))</f>
        <v/>
      </c>
      <c r="S75" s="29">
        <f>IF(OR(S64="",$B$69=""),"",IFERROR(S64*1000000.0/$B$69,""))</f>
        <v/>
      </c>
      <c r="T75" s="29">
        <f>IF(OR(T64="",$B$69=""),"",IFERROR(T64*1000000.0/$B$69,""))</f>
        <v/>
      </c>
      <c r="U75" s="29">
        <f>IF(OR(U64="",$B$69=""),"",IFERROR(U64*1000000.0/$B$69,""))</f>
        <v/>
      </c>
      <c r="V75" s="29">
        <f>IF(OR(V64="",$B$69=""),"",IFERROR(V64*1000000.0/$B$69,""))</f>
        <v/>
      </c>
      <c r="W75" s="29">
        <f>IF(OR(W64="",$B$69=""),"",IFERROR(W64*1000000.0/$B$69,""))</f>
        <v/>
      </c>
      <c r="X75" s="29">
        <f>IF(OR(X64="",$B$69=""),"",IFERROR(X64*1000000.0/$B$69,""))</f>
        <v/>
      </c>
      <c r="Y75" s="28">
        <f>IF(OR(Y64="",$B$69=""),"",IFERROR(Y64*1000000.0/$B$69,""))</f>
        <v/>
      </c>
      <c r="Z75" s="29">
        <f>IF(OR(Z64="",$B$69=""),"",IFERROR(Z64*1000000.0/$B$69,""))</f>
        <v/>
      </c>
      <c r="AA75" s="29">
        <f>IF(OR(AA64="",$B$69=""),"",IFERROR(AA64*1000000.0/$B$69,""))</f>
        <v/>
      </c>
      <c r="AB75" s="29">
        <f>IF(OR(AB64="",$B$69=""),"",IFERROR(AB64*1000000.0/$B$69,""))</f>
        <v/>
      </c>
      <c r="AC75" s="29">
        <f>IF(OR(AC64="",$B$69=""),"",IFERROR(AC64*1000000.0/$B$69,""))</f>
        <v/>
      </c>
    </row>
    <row r="76">
      <c r="A76" s="9" t="inlineStr">
        <is>
          <t>목표주가</t>
        </is>
      </c>
      <c r="B76" s="10" t="n"/>
      <c r="C76" s="34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34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34">
        <f>IF(OR(Y75="",Y74=""),"",IFERROR(Y75*Y74,""))</f>
        <v/>
      </c>
      <c r="Z76" s="27">
        <f>IF(OR(Z75="",Z74=""),"",IFERROR(Z75*Z74,""))</f>
        <v/>
      </c>
      <c r="AA76" s="27">
        <f>IF(OR(AA75="",AA74=""),"",IFERROR(AA75*AA74,""))</f>
        <v/>
      </c>
      <c r="AB76" s="27">
        <f>IF(OR(AB75="",AB74=""),"",IFERROR(AB75*AB74,""))</f>
        <v/>
      </c>
      <c r="AC76" s="27">
        <f>IF(OR(AC75="",AC74=""),"",IFERROR(AC75*AC74,""))</f>
        <v/>
      </c>
    </row>
    <row r="77">
      <c r="A77" s="18" t="inlineStr">
        <is>
          <t>상승여력</t>
        </is>
      </c>
      <c r="B77" s="10" t="n"/>
      <c r="C77" s="35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5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7">
        <f>IF(OR(Y76="",$B$68=""),"",IFERROR(Y76/$B$68-1,""))</f>
        <v/>
      </c>
      <c r="Z77" s="38">
        <f>IF(OR(Z76="",$B$68=""),"",IFERROR(Z76/$B$68-1,""))</f>
        <v/>
      </c>
      <c r="AA77" s="38">
        <f>IF(OR(AA76="",$B$68=""),"",IFERROR(AA76/$B$68-1,""))</f>
        <v/>
      </c>
      <c r="AB77" s="38">
        <f>IF(OR(AB76="",$B$68=""),"",IFERROR(AB76/$B$68-1,""))</f>
        <v/>
      </c>
      <c r="AC77" s="38">
        <f>IF(OR(AC76="",$B$68=""),"",IFERROR(AC76/$B$68-1,""))</f>
        <v/>
      </c>
    </row>
    <row r="78">
      <c r="A78" s="16" t="inlineStr">
        <is>
          <t>자산가치 산출</t>
        </is>
      </c>
      <c r="B78" s="16" t="inlineStr">
        <is>
          <t>최신 분기 BS</t>
        </is>
      </c>
      <c r="C78" s="17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7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7" t="n"/>
      <c r="Z78" s="16" t="n"/>
      <c r="AA78" s="16" t="n"/>
      <c r="AB78" s="16" t="n"/>
      <c r="AC78" s="16" t="n"/>
    </row>
    <row r="79">
      <c r="A79" s="18" t="inlineStr">
        <is>
          <t>현금및현금성자산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'재무상태표'!G6</f>
        <v/>
      </c>
      <c r="Y79" s="19">
        <f>'재무상태표'!G6</f>
        <v/>
      </c>
      <c r="Z79" s="20">
        <f>'재무상태표'!G6</f>
        <v/>
      </c>
      <c r="AA79" s="20">
        <f>'재무상태표'!G6</f>
        <v/>
      </c>
      <c r="AB79" s="20">
        <f>'재무상태표'!G6</f>
        <v/>
      </c>
      <c r="AC79" s="20">
        <f>'재무상태표'!G6</f>
        <v/>
      </c>
    </row>
    <row r="80">
      <c r="A80" s="18" t="inlineStr">
        <is>
          <t>단기금융상품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'재무상태표'!G7</f>
        <v/>
      </c>
      <c r="Y80" s="19">
        <f>'재무상태표'!G7</f>
        <v/>
      </c>
      <c r="Z80" s="20">
        <f>'재무상태표'!G7</f>
        <v/>
      </c>
      <c r="AA80" s="20">
        <f>'재무상태표'!G7</f>
        <v/>
      </c>
      <c r="AB80" s="20">
        <f>'재무상태표'!G7</f>
        <v/>
      </c>
      <c r="AC80" s="20">
        <f>'재무상태표'!G7</f>
        <v/>
      </c>
    </row>
    <row r="81">
      <c r="A81" s="18" t="inlineStr">
        <is>
          <t>투자부동산</t>
        </is>
      </c>
      <c r="B81" s="10" t="n"/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>
        <f>'재무상태표'!G14</f>
        <v/>
      </c>
      <c r="Y81" s="19">
        <f>'재무상태표'!G14</f>
        <v/>
      </c>
      <c r="Z81" s="20">
        <f>'재무상태표'!G14</f>
        <v/>
      </c>
      <c r="AA81" s="20">
        <f>'재무상태표'!G14</f>
        <v/>
      </c>
      <c r="AB81" s="20">
        <f>'재무상태표'!G14</f>
        <v/>
      </c>
      <c r="AC81" s="20">
        <f>'재무상태표'!G14</f>
        <v/>
      </c>
    </row>
    <row r="82">
      <c r="A82" s="18" t="inlineStr">
        <is>
          <t>지배자본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'재무상태표'!G31</f>
        <v/>
      </c>
      <c r="Y82" s="19">
        <f>'재무상태표'!G31</f>
        <v/>
      </c>
      <c r="Z82" s="20">
        <f>'재무상태표'!G31</f>
        <v/>
      </c>
      <c r="AA82" s="20">
        <f>'재무상태표'!G31</f>
        <v/>
      </c>
      <c r="AB82" s="20">
        <f>'재무상태표'!G31</f>
        <v/>
      </c>
      <c r="AC82" s="20">
        <f>'재무상태표'!G31</f>
        <v/>
      </c>
    </row>
    <row r="83">
      <c r="A83" s="18" t="inlineStr">
        <is>
          <t>부채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'재무상태표'!G27</f>
        <v/>
      </c>
      <c r="Y83" s="19">
        <f>'재무상태표'!G27</f>
        <v/>
      </c>
      <c r="Z83" s="20">
        <f>'재무상태표'!G27</f>
        <v/>
      </c>
      <c r="AA83" s="20">
        <f>'재무상태표'!G27</f>
        <v/>
      </c>
      <c r="AB83" s="20">
        <f>'재무상태표'!G27</f>
        <v/>
      </c>
      <c r="AC83" s="20">
        <f>'재무상태표'!G27</f>
        <v/>
      </c>
    </row>
    <row r="84">
      <c r="A84" s="13" t="inlineStr">
        <is>
          <t>부채비율</t>
        </is>
      </c>
      <c r="B84" s="10" t="n"/>
      <c r="C84" s="14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4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>
        <f>IF(OR(X83="",X82=""),"",IFERROR(X83/X82,""))</f>
        <v/>
      </c>
      <c r="Y84" s="14">
        <f>IF(OR(Y83="",Y82=""),"",IFERROR(Y83/Y82,""))</f>
        <v/>
      </c>
      <c r="Z84" s="15">
        <f>IF(OR(Z83="",Z82=""),"",IFERROR(Z83/Z82,""))</f>
        <v/>
      </c>
      <c r="AA84" s="15">
        <f>IF(OR(AA83="",AA82=""),"",IFERROR(AA83/AA82,""))</f>
        <v/>
      </c>
      <c r="AB84" s="15">
        <f>IF(OR(AB83="",AB82=""),"",IFERROR(AB83/AB82,""))</f>
        <v/>
      </c>
      <c r="AC84" s="15">
        <f>IF(OR(AC83="",AC82=""),"",IFERROR(AC83/AC82,""))</f>
        <v/>
      </c>
    </row>
    <row r="85">
      <c r="A85" s="9" t="inlineStr">
        <is>
          <t>자산가치</t>
        </is>
      </c>
      <c r="B85" s="10" t="inlineStr">
        <is>
          <t>현금+단기금융+투자부동산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>
        <f>SUM(X79,X80,X81)</f>
        <v/>
      </c>
      <c r="Y85" s="11">
        <f>SUM(Y79,Y80,Y81)</f>
        <v/>
      </c>
      <c r="Z85" s="12">
        <f>SUM(Z79,Z80,Z81)</f>
        <v/>
      </c>
      <c r="AA85" s="12">
        <f>SUM(AA79,AA80,AA81)</f>
        <v/>
      </c>
      <c r="AB85" s="12">
        <f>SUM(AB79,AB80,AB81)</f>
        <v/>
      </c>
      <c r="AC85" s="12">
        <f>SUM(AC79,AC80,AC81)</f>
        <v/>
      </c>
    </row>
    <row r="86">
      <c r="A86" s="16" t="inlineStr">
        <is>
          <t>기업가치 산출</t>
        </is>
      </c>
      <c r="B86" s="16" t="n"/>
      <c r="C86" s="17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7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7" t="n"/>
      <c r="Z86" s="16" t="n"/>
      <c r="AA86" s="16" t="n"/>
      <c r="AB86" s="16" t="n"/>
      <c r="AC86" s="16" t="n"/>
    </row>
    <row r="87">
      <c r="A87" s="18" t="inlineStr">
        <is>
          <t>목표 시가총액 (P/E)</t>
        </is>
      </c>
      <c r="B87" s="10" t="inlineStr">
        <is>
          <t>지배순이익 × Target P/E</t>
        </is>
      </c>
      <c r="C87" s="19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19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19">
        <f>IF(OR(Y64="",Y74=""),"",IFERROR(Y64*Y74,""))</f>
        <v/>
      </c>
      <c r="Z87" s="20">
        <f>IF(OR(Z64="",Z74=""),"",IFERROR(Z64*Z74,""))</f>
        <v/>
      </c>
      <c r="AA87" s="20">
        <f>IF(OR(AA64="",AA74=""),"",IFERROR(AA64*AA74,""))</f>
        <v/>
      </c>
      <c r="AB87" s="20">
        <f>IF(OR(AB64="",AB74=""),"",IFERROR(AB64*AB74,""))</f>
        <v/>
      </c>
      <c r="AC87" s="20">
        <f>IF(OR(AC64="",AC74=""),"",IFERROR(AC64*AC74,""))</f>
        <v/>
      </c>
    </row>
    <row r="88">
      <c r="A88" s="9" t="inlineStr">
        <is>
          <t>기업가치</t>
        </is>
      </c>
      <c r="B88" s="10" t="inlineStr">
        <is>
          <t>목표시총 + 자산가치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1">
        <f>IF(OR(Y87=""),"",IFERROR(Y87+Y85,""))</f>
        <v/>
      </c>
      <c r="Z88" s="12">
        <f>IF(OR(Z87=""),"",IFERROR(Z87+Z85,""))</f>
        <v/>
      </c>
      <c r="AA88" s="12">
        <f>IF(OR(AA87=""),"",IFERROR(AA87+AA85,""))</f>
        <v/>
      </c>
      <c r="AB88" s="12">
        <f>IF(OR(AB87=""),"",IFERROR(AB87+AB85,""))</f>
        <v/>
      </c>
      <c r="AC88" s="12">
        <f>IF(OR(AC87=""),"",IFERROR(AC87+AC85,""))</f>
        <v/>
      </c>
    </row>
    <row r="89">
      <c r="A89" s="18" t="inlineStr">
        <is>
          <t>현재 시가총액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19">
        <f>$B$70</f>
        <v/>
      </c>
      <c r="Z89" s="20">
        <f>$B$70</f>
        <v/>
      </c>
      <c r="AA89" s="20">
        <f>$B$70</f>
        <v/>
      </c>
      <c r="AB89" s="20">
        <f>$B$70</f>
        <v/>
      </c>
      <c r="AC89" s="20">
        <f>$B$70</f>
        <v/>
      </c>
    </row>
    <row r="90">
      <c r="A90" s="18" t="inlineStr">
        <is>
          <t>상승여력</t>
        </is>
      </c>
      <c r="B90" s="10" t="n"/>
      <c r="C90" s="35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5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7">
        <f>IF(OR(Y88="",Y89=""),"",IFERROR(Y88/Y89-1,""))</f>
        <v/>
      </c>
      <c r="Z90" s="38">
        <f>IF(OR(Z88="",Z89=""),"",IFERROR(Z88/Z89-1,""))</f>
        <v/>
      </c>
      <c r="AA90" s="38">
        <f>IF(OR(AA88="",AA89=""),"",IFERROR(AA88/AA89-1,""))</f>
        <v/>
      </c>
      <c r="AB90" s="38">
        <f>IF(OR(AB88="",AB89=""),"",IFERROR(AB88/AB89-1,""))</f>
        <v/>
      </c>
      <c r="AC90" s="38">
        <f>IF(OR(AC88="",AC89=""),"",IFERROR(AC88/AC89-1,""))</f>
        <v/>
      </c>
    </row>
    <row r="91">
      <c r="C91" s="39" t="n"/>
      <c r="O91" s="39" t="n"/>
      <c r="Y91" s="39" t="n"/>
    </row>
    <row r="92">
      <c r="A92" s="40" t="inlineStr">
        <is>
          <t>출처</t>
        </is>
      </c>
      <c r="C92" s="39" t="n"/>
      <c r="O92" s="39" t="n"/>
      <c r="Y92" s="39" t="n"/>
    </row>
    <row r="93">
      <c r="A93" s="41" t="inlineStr">
        <is>
          <t>결산단신 XBRL(TDnet·JPX 보관소) — 쓴 문서는 '출처' 시트</t>
        </is>
      </c>
      <c r="C93" s="39" t="n"/>
      <c r="O93" s="39" t="n"/>
      <c r="Y93" s="39" t="n"/>
    </row>
    <row r="94">
      <c r="A94" s="41" t="inlineStr">
        <is>
          <t>분기 = 누계에서 앞 분기를 뺀 3개월 값</t>
        </is>
      </c>
      <c r="C94" s="39" t="n"/>
      <c r="O94" s="39" t="n"/>
      <c r="Y94" s="39" t="n"/>
    </row>
    <row r="95">
      <c r="A95" s="41" t="inlineStr">
        <is>
          <t>주가: 야후 파이낸스 일봉</t>
        </is>
      </c>
      <c r="C95" s="39" t="n"/>
      <c r="O95" s="39" t="n"/>
      <c r="Y95" s="39" t="n"/>
    </row>
    <row r="97">
      <c r="A97" s="16" t="inlineStr">
        <is>
          <t>손익계산서 · 전 항목</t>
        </is>
      </c>
      <c r="B97" s="42" t="inlineStr">
        <is>
          <t>분기 = 3개월 단독</t>
        </is>
      </c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</row>
    <row r="98">
      <c r="A98" s="5" t="inlineStr">
        <is>
          <t>항목</t>
        </is>
      </c>
      <c r="B98" s="5" t="inlineStr">
        <is>
          <t>참고</t>
        </is>
      </c>
      <c r="C98" s="5" t="inlineStr">
        <is>
          <t>2024.3Q</t>
        </is>
      </c>
      <c r="D98" s="5" t="inlineStr">
        <is>
          <t>2024.4Q</t>
        </is>
      </c>
      <c r="E98" s="5" t="inlineStr">
        <is>
          <t>2025.1Q</t>
        </is>
      </c>
      <c r="F98" s="5" t="inlineStr">
        <is>
          <t>2025.2Q</t>
        </is>
      </c>
      <c r="G98" s="5" t="inlineStr">
        <is>
          <t>2025.3Q</t>
        </is>
      </c>
      <c r="H98" s="5" t="inlineStr">
        <is>
          <t>2025.4Q</t>
        </is>
      </c>
      <c r="I98" s="5" t="inlineStr">
        <is>
          <t>2026.1Q</t>
        </is>
      </c>
      <c r="J98" s="5" t="inlineStr">
        <is>
          <t>2026.2Q</t>
        </is>
      </c>
      <c r="K98" s="5" t="inlineStr">
        <is>
          <t>2026.3Q</t>
        </is>
      </c>
      <c r="L98" s="5" t="inlineStr">
        <is>
          <t>2026.4Q</t>
        </is>
      </c>
      <c r="M98" s="5" t="inlineStr">
        <is>
          <t>2027.1Q</t>
        </is>
      </c>
      <c r="N98" s="5" t="inlineStr">
        <is>
          <t>2027.2Q</t>
        </is>
      </c>
      <c r="O98" s="5" t="inlineStr">
        <is>
          <t>2017</t>
        </is>
      </c>
      <c r="P98" s="5" t="inlineStr">
        <is>
          <t>2018</t>
        </is>
      </c>
      <c r="Q98" s="5" t="inlineStr">
        <is>
          <t>2019</t>
        </is>
      </c>
      <c r="R98" s="5" t="inlineStr">
        <is>
          <t>2020</t>
        </is>
      </c>
      <c r="S98" s="5" t="inlineStr">
        <is>
          <t>2021</t>
        </is>
      </c>
      <c r="T98" s="5" t="inlineStr">
        <is>
          <t>2022</t>
        </is>
      </c>
      <c r="U98" s="5" t="inlineStr">
        <is>
          <t>2023</t>
        </is>
      </c>
      <c r="V98" s="5" t="inlineStr">
        <is>
          <t>2024</t>
        </is>
      </c>
      <c r="W98" s="5" t="inlineStr">
        <is>
          <t>2025</t>
        </is>
      </c>
      <c r="X98" s="5" t="inlineStr">
        <is>
          <t>2026</t>
        </is>
      </c>
      <c r="Y98" s="5" t="inlineStr">
        <is>
          <t>2027(MW)</t>
        </is>
      </c>
      <c r="Z98" s="5" t="inlineStr">
        <is>
          <t>2028(MW)</t>
        </is>
      </c>
      <c r="AA98" s="5" t="inlineStr">
        <is>
          <t>2029(MW)</t>
        </is>
      </c>
      <c r="AB98" s="5" t="inlineStr">
        <is>
          <t>2030(MW)</t>
        </is>
      </c>
      <c r="AC98" s="5" t="inlineStr">
        <is>
          <t>2031(MW)</t>
        </is>
      </c>
    </row>
    <row r="99">
      <c r="A99" s="9" t="inlineStr">
        <is>
          <t>매출액</t>
        </is>
      </c>
      <c r="C99" s="12" t="n">
        <v>139643</v>
      </c>
      <c r="D99" s="12" t="n">
        <v>156386</v>
      </c>
      <c r="E99" s="12" t="n">
        <v>152521</v>
      </c>
      <c r="F99" s="12" t="n">
        <v>145831</v>
      </c>
      <c r="G99" s="12" t="n">
        <v>157099</v>
      </c>
      <c r="H99" s="12" t="n">
        <v>164062</v>
      </c>
      <c r="I99" s="12" t="n">
        <v>166458</v>
      </c>
      <c r="J99" s="12" t="n">
        <v>159746</v>
      </c>
      <c r="K99" s="12" t="n">
        <v>161704</v>
      </c>
      <c r="L99" s="12" t="n">
        <v>182217</v>
      </c>
      <c r="M99" s="12" t="n">
        <v>184147</v>
      </c>
      <c r="N99" s="12" t="n">
        <v>187159</v>
      </c>
      <c r="V99" s="12" t="n">
        <v>156386</v>
      </c>
      <c r="W99" s="12" t="n">
        <v>164062</v>
      </c>
      <c r="X99" s="12" t="n">
        <v>182217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IF(OR(G99="",C99=""),"",IF(C99&lt;=0,"",IFERROR(G99/C99-1,"")))</f>
        <v/>
      </c>
      <c r="H100" s="15">
        <f>IF(OR(H99="",D99=""),"",IF(D99&lt;=0,"",IFERROR(H99/D99-1,"")))</f>
        <v/>
      </c>
      <c r="I100" s="15">
        <f>IF(OR(I99="",E99=""),"",IF(E99&lt;=0,"",IFERROR(I99/E99-1,"")))</f>
        <v/>
      </c>
      <c r="J100" s="15">
        <f>IF(OR(J99="",F99=""),"",IF(F99&lt;=0,"",IFERROR(J99/F99-1,"")))</f>
        <v/>
      </c>
      <c r="K100" s="15">
        <f>IF(OR(K99="",G99=""),"",IF(G99&lt;=0,"",IFERROR(K99/G99-1,"")))</f>
        <v/>
      </c>
      <c r="L100" s="15">
        <f>IF(OR(L99="",H99=""),"",IF(H99&lt;=0,"",IFERROR(L99/H99-1,"")))</f>
        <v/>
      </c>
      <c r="M100" s="15">
        <f>IF(OR(M99="",I99=""),"",IF(I99&lt;=0,"",IFERROR(M99/I99-1,"")))</f>
        <v/>
      </c>
      <c r="N100" s="15">
        <f>IF(OR(N99="",J99=""),"",IF(J99&lt;=0,"",IFERROR(N99/J99-1,"")))</f>
        <v/>
      </c>
      <c r="V100" s="15">
        <f>IF(OR(V99="",U99=""),"",IF(U99&lt;=0,"",IFERROR(V99/U99-1,"")))</f>
        <v/>
      </c>
      <c r="W100" s="15">
        <f>IF(OR(W99="",V99=""),"",IF(V99&lt;=0,"",IFERROR(W99/V99-1,"")))</f>
        <v/>
      </c>
      <c r="X100" s="15">
        <f>IF(OR(X99="",W99=""),"",IF(W99&lt;=0,"",IFERROR(X99/W99-1,"")))</f>
        <v/>
      </c>
    </row>
    <row r="101">
      <c r="A101" s="18" t="inlineStr">
        <is>
          <t>매출원가</t>
        </is>
      </c>
      <c r="C101" s="20" t="n">
        <v>99281</v>
      </c>
      <c r="D101" s="20" t="n">
        <v>115820</v>
      </c>
      <c r="E101" s="20" t="n">
        <v>110922</v>
      </c>
      <c r="F101" s="20" t="n">
        <v>101835</v>
      </c>
      <c r="G101" s="20" t="n">
        <v>110763</v>
      </c>
      <c r="H101" s="20" t="n">
        <v>120020</v>
      </c>
      <c r="I101" s="20" t="n">
        <v>118826</v>
      </c>
      <c r="J101" s="20" t="n">
        <v>111483</v>
      </c>
      <c r="K101" s="20" t="n">
        <v>111823</v>
      </c>
      <c r="L101" s="20" t="n">
        <v>132831</v>
      </c>
      <c r="M101" s="20" t="n">
        <v>123312</v>
      </c>
      <c r="N101" s="20" t="n">
        <v>123410</v>
      </c>
      <c r="V101" s="20" t="n">
        <v>115820</v>
      </c>
      <c r="W101" s="20" t="n">
        <v>120020</v>
      </c>
      <c r="X101" s="20" t="n">
        <v>132831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G102" s="15">
        <f>IF(OR(G101="",C101=""),"",IF(G101*C101&lt;=0,"",IFERROR(G101/C101-1,"")))</f>
        <v/>
      </c>
      <c r="H102" s="15">
        <f>IF(OR(H101="",D101=""),"",IF(H101*D101&lt;=0,"",IFERROR(H101/D101-1,"")))</f>
        <v/>
      </c>
      <c r="I102" s="15">
        <f>IF(OR(I101="",E101=""),"",IF(I101*E101&lt;=0,"",IFERROR(I101/E101-1,"")))</f>
        <v/>
      </c>
      <c r="J102" s="15">
        <f>IF(OR(J101="",F101=""),"",IF(J101*F101&lt;=0,"",IFERROR(J101/F101-1,"")))</f>
        <v/>
      </c>
      <c r="K102" s="15">
        <f>IF(OR(K101="",G101=""),"",IF(K101*G101&lt;=0,"",IFERROR(K101/G101-1,"")))</f>
        <v/>
      </c>
      <c r="L102" s="15">
        <f>IF(OR(L101="",H101=""),"",IF(L101*H101&lt;=0,"",IFERROR(L101/H101-1,"")))</f>
        <v/>
      </c>
      <c r="M102" s="15">
        <f>IF(OR(M101="",I101=""),"",IF(M101*I101&lt;=0,"",IFERROR(M101/I101-1,"")))</f>
        <v/>
      </c>
      <c r="N102" s="15">
        <f>IF(OR(N101="",J101=""),"",IF(N101*J101&lt;=0,"",IFERROR(N101/J101-1,"")))</f>
        <v/>
      </c>
      <c r="V102" s="15">
        <f>IF(OR(V101="",U101=""),"",IF(V101*U101&lt;=0,"",IFERROR(V101/U101-1,"")))</f>
        <v/>
      </c>
      <c r="W102" s="15">
        <f>IF(OR(W101="",V101=""),"",IF(W101*V101&lt;=0,"",IFERROR(W101/V101-1,"")))</f>
        <v/>
      </c>
      <c r="X102" s="15">
        <f>IF(OR(X101="",W101=""),"",IF(X101*W101&lt;=0,"",IFERROR(X101/W101-1,"")))</f>
        <v/>
      </c>
    </row>
    <row r="103">
      <c r="A103" s="9" t="inlineStr">
        <is>
          <t>매출총이익</t>
        </is>
      </c>
      <c r="C103" s="12" t="n">
        <v>40362</v>
      </c>
      <c r="D103" s="12" t="n">
        <v>40566</v>
      </c>
      <c r="E103" s="12" t="n">
        <v>41598</v>
      </c>
      <c r="F103" s="12" t="n">
        <v>43997</v>
      </c>
      <c r="G103" s="12" t="n">
        <v>46336</v>
      </c>
      <c r="H103" s="12" t="n">
        <v>44041</v>
      </c>
      <c r="I103" s="12" t="n">
        <v>47631</v>
      </c>
      <c r="J103" s="12" t="n">
        <v>48263</v>
      </c>
      <c r="K103" s="12" t="n">
        <v>49882</v>
      </c>
      <c r="L103" s="12" t="n">
        <v>49385</v>
      </c>
      <c r="M103" s="12" t="n">
        <v>60834</v>
      </c>
      <c r="N103" s="12" t="n">
        <v>63750</v>
      </c>
      <c r="V103" s="12" t="n">
        <v>40566</v>
      </c>
      <c r="W103" s="12" t="n">
        <v>44041</v>
      </c>
      <c r="X103" s="12" t="n">
        <v>49385</v>
      </c>
    </row>
    <row r="104">
      <c r="A104" s="43" t="inlineStr">
        <is>
          <t>YoY</t>
        </is>
      </c>
      <c r="B104" s="3" t="inlineStr">
        <is>
          <t>전년 같은 분기·전년 대비</t>
        </is>
      </c>
      <c r="G104" s="15">
        <f>IF(OR(G103="",C103=""),"",IF(C103&lt;=0,"",IFERROR(G103/C103-1,"")))</f>
        <v/>
      </c>
      <c r="H104" s="15">
        <f>IF(OR(H103="",D103=""),"",IF(D103&lt;=0,"",IFERROR(H103/D103-1,"")))</f>
        <v/>
      </c>
      <c r="I104" s="15">
        <f>IF(OR(I103="",E103=""),"",IF(E103&lt;=0,"",IFERROR(I103/E103-1,"")))</f>
        <v/>
      </c>
      <c r="J104" s="15">
        <f>IF(OR(J103="",F103=""),"",IF(F103&lt;=0,"",IFERROR(J103/F103-1,"")))</f>
        <v/>
      </c>
      <c r="K104" s="15">
        <f>IF(OR(K103="",G103=""),"",IF(G103&lt;=0,"",IFERROR(K103/G103-1,"")))</f>
        <v/>
      </c>
      <c r="L104" s="15">
        <f>IF(OR(L103="",H103=""),"",IF(H103&lt;=0,"",IFERROR(L103/H103-1,"")))</f>
        <v/>
      </c>
      <c r="M104" s="15">
        <f>IF(OR(M103="",I103=""),"",IF(I103&lt;=0,"",IFERROR(M103/I103-1,"")))</f>
        <v/>
      </c>
      <c r="N104" s="15">
        <f>IF(OR(N103="",J103=""),"",IF(J103&lt;=0,"",IFERROR(N103/J103-1,"")))</f>
        <v/>
      </c>
      <c r="V104" s="15">
        <f>IF(OR(V103="",U103=""),"",IF(U103&lt;=0,"",IFERROR(V103/U103-1,"")))</f>
        <v/>
      </c>
      <c r="W104" s="15">
        <f>IF(OR(W103="",V103=""),"",IF(V103&lt;=0,"",IFERROR(W103/V103-1,"")))</f>
        <v/>
      </c>
      <c r="X104" s="15">
        <f>IF(OR(X103="",W103=""),"",IF(W103&lt;=0,"",IFERROR(X103/W103-1,"")))</f>
        <v/>
      </c>
    </row>
    <row r="105">
      <c r="A105" s="18" t="inlineStr">
        <is>
          <t>판매비와 관리비</t>
        </is>
      </c>
      <c r="C105" s="20" t="n">
        <v>22530</v>
      </c>
      <c r="D105" s="20" t="n">
        <v>24486</v>
      </c>
      <c r="E105" s="20" t="n">
        <v>23941</v>
      </c>
      <c r="F105" s="20" t="n">
        <v>21953</v>
      </c>
      <c r="G105" s="20" t="n">
        <v>23624</v>
      </c>
      <c r="H105" s="20" t="n">
        <v>25213</v>
      </c>
      <c r="I105" s="20" t="n">
        <v>23849</v>
      </c>
      <c r="J105" s="20" t="n">
        <v>23345</v>
      </c>
      <c r="K105" s="20" t="n">
        <v>25534</v>
      </c>
      <c r="L105" s="20" t="n">
        <v>27435</v>
      </c>
      <c r="M105" s="20" t="n">
        <v>28202</v>
      </c>
      <c r="N105" s="20" t="n">
        <v>26492</v>
      </c>
      <c r="V105" s="20" t="n">
        <v>24486</v>
      </c>
      <c r="W105" s="20" t="n">
        <v>25213</v>
      </c>
      <c r="X105" s="20" t="n">
        <v>27435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IF(OR(G105="",C105=""),"",IF(G105*C105&lt;=0,"",IFERROR(G105/C105-1,"")))</f>
        <v/>
      </c>
      <c r="H106" s="15">
        <f>IF(OR(H105="",D105=""),"",IF(H105*D105&lt;=0,"",IFERROR(H105/D105-1,"")))</f>
        <v/>
      </c>
      <c r="I106" s="15">
        <f>IF(OR(I105="",E105=""),"",IF(I105*E105&lt;=0,"",IFERROR(I105/E105-1,"")))</f>
        <v/>
      </c>
      <c r="J106" s="15">
        <f>IF(OR(J105="",F105=""),"",IF(J105*F105&lt;=0,"",IFERROR(J105/F105-1,"")))</f>
        <v/>
      </c>
      <c r="K106" s="15">
        <f>IF(OR(K105="",G105=""),"",IF(K105*G105&lt;=0,"",IFERROR(K105/G105-1,"")))</f>
        <v/>
      </c>
      <c r="L106" s="15">
        <f>IF(OR(L105="",H105=""),"",IF(L105*H105&lt;=0,"",IFERROR(L105/H105-1,"")))</f>
        <v/>
      </c>
      <c r="M106" s="15">
        <f>IF(OR(M105="",I105=""),"",IF(M105*I105&lt;=0,"",IFERROR(M105/I105-1,"")))</f>
        <v/>
      </c>
      <c r="N106" s="15">
        <f>IF(OR(N105="",J105=""),"",IF(N105*J105&lt;=0,"",IFERROR(N105/J105-1,"")))</f>
        <v/>
      </c>
      <c r="V106" s="15">
        <f>IF(OR(V105="",U105=""),"",IF(V105*U105&lt;=0,"",IFERROR(V105/U105-1,"")))</f>
        <v/>
      </c>
      <c r="W106" s="15">
        <f>IF(OR(W105="",V105=""),"",IF(W105*V105&lt;=0,"",IFERROR(W105/V105-1,"")))</f>
        <v/>
      </c>
      <c r="X106" s="15">
        <f>IF(OR(X105="",W105=""),"",IF(X105*W105&lt;=0,"",IFERROR(X105/W105-1,"")))</f>
        <v/>
      </c>
    </row>
    <row r="107">
      <c r="A107" s="9" t="inlineStr">
        <is>
          <t>영업이익</t>
        </is>
      </c>
      <c r="C107" s="12" t="n">
        <v>17832</v>
      </c>
      <c r="D107" s="12" t="n">
        <v>16080</v>
      </c>
      <c r="E107" s="12" t="n">
        <v>17656</v>
      </c>
      <c r="F107" s="12" t="n">
        <v>22044</v>
      </c>
      <c r="G107" s="12" t="n">
        <v>22713</v>
      </c>
      <c r="H107" s="12" t="n">
        <v>18828</v>
      </c>
      <c r="I107" s="12" t="n">
        <v>23781</v>
      </c>
      <c r="J107" s="12" t="n">
        <v>24919</v>
      </c>
      <c r="K107" s="12" t="n">
        <v>24348</v>
      </c>
      <c r="L107" s="12" t="n">
        <v>21949</v>
      </c>
      <c r="M107" s="12" t="n">
        <v>32631</v>
      </c>
      <c r="N107" s="12" t="n">
        <v>37258</v>
      </c>
      <c r="V107" s="12" t="n">
        <v>16080</v>
      </c>
      <c r="W107" s="12" t="n">
        <v>18828</v>
      </c>
      <c r="X107" s="12" t="n">
        <v>21949</v>
      </c>
    </row>
    <row r="108">
      <c r="A108" s="43" t="inlineStr">
        <is>
          <t>OPM</t>
        </is>
      </c>
      <c r="B108" s="3" t="inlineStr">
        <is>
          <t>영업이익 ÷ 매출</t>
        </is>
      </c>
      <c r="C108" s="15">
        <f>IF(OR(C107="",C99=""),"",IF(C99&lt;=0,"",IFERROR(C107/C99,"")))</f>
        <v/>
      </c>
      <c r="D108" s="15">
        <f>IF(OR(D107="",D99=""),"",IF(D99&lt;=0,"",IFERROR(D107/D99,"")))</f>
        <v/>
      </c>
      <c r="E108" s="15">
        <f>IF(OR(E107="",E99=""),"",IF(E99&lt;=0,"",IFERROR(E107/E99,"")))</f>
        <v/>
      </c>
      <c r="F108" s="15">
        <f>IF(OR(F107="",F99=""),"",IF(F99&lt;=0,"",IFERROR(F107/F99,"")))</f>
        <v/>
      </c>
      <c r="G108" s="15">
        <f>IF(OR(G107="",G99=""),"",IF(G99&lt;=0,"",IFERROR(G107/G99,"")))</f>
        <v/>
      </c>
      <c r="H108" s="15">
        <f>IF(OR(H107="",H99=""),"",IF(H99&lt;=0,"",IFERROR(H107/H99,"")))</f>
        <v/>
      </c>
      <c r="I108" s="15">
        <f>IF(OR(I107="",I99=""),"",IF(I99&lt;=0,"",IFERROR(I107/I99,"")))</f>
        <v/>
      </c>
      <c r="J108" s="15">
        <f>IF(OR(J107="",J99=""),"",IF(J99&lt;=0,"",IFERROR(J107/J99,"")))</f>
        <v/>
      </c>
      <c r="K108" s="15">
        <f>IF(OR(K107="",K99=""),"",IF(K99&lt;=0,"",IFERROR(K107/K99,"")))</f>
        <v/>
      </c>
      <c r="L108" s="15">
        <f>IF(OR(L107="",L99=""),"",IF(L99&lt;=0,"",IFERROR(L107/L99,"")))</f>
        <v/>
      </c>
      <c r="M108" s="15">
        <f>IF(OR(M107="",M99=""),"",IF(M99&lt;=0,"",IFERROR(M107/M99,"")))</f>
        <v/>
      </c>
      <c r="N108" s="15">
        <f>IF(OR(N107="",N99=""),"",IF(N99&lt;=0,"",IFERROR(N107/N99,"")))</f>
        <v/>
      </c>
      <c r="V108" s="15">
        <f>IF(OR(V107="",V99=""),"",IF(V99&lt;=0,"",IFERROR(V107/V99,"")))</f>
        <v/>
      </c>
      <c r="W108" s="15">
        <f>IF(OR(W107="",W99=""),"",IF(W99&lt;=0,"",IFERROR(W107/W99,"")))</f>
        <v/>
      </c>
      <c r="X108" s="15">
        <f>IF(OR(X107="",X99=""),"",IF(X99&lt;=0,"",IFERROR(X107/X99,"")))</f>
        <v/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IF(OR(G107="",C107=""),"",IF(C107&lt;=0,"",IFERROR(G107/C107-1,"")))</f>
        <v/>
      </c>
      <c r="H109" s="15">
        <f>IF(OR(H107="",D107=""),"",IF(D107&lt;=0,"",IFERROR(H107/D107-1,"")))</f>
        <v/>
      </c>
      <c r="I109" s="15">
        <f>IF(OR(I107="",E107=""),"",IF(E107&lt;=0,"",IFERROR(I107/E107-1,"")))</f>
        <v/>
      </c>
      <c r="J109" s="15">
        <f>IF(OR(J107="",F107=""),"",IF(F107&lt;=0,"",IFERROR(J107/F107-1,"")))</f>
        <v/>
      </c>
      <c r="K109" s="15">
        <f>IF(OR(K107="",G107=""),"",IF(G107&lt;=0,"",IFERROR(K107/G107-1,"")))</f>
        <v/>
      </c>
      <c r="L109" s="15">
        <f>IF(OR(L107="",H107=""),"",IF(H107&lt;=0,"",IFERROR(L107/H107-1,"")))</f>
        <v/>
      </c>
      <c r="M109" s="15">
        <f>IF(OR(M107="",I107=""),"",IF(I107&lt;=0,"",IFERROR(M107/I107-1,"")))</f>
        <v/>
      </c>
      <c r="N109" s="15">
        <f>IF(OR(N107="",J107=""),"",IF(J107&lt;=0,"",IFERROR(N107/J107-1,"")))</f>
        <v/>
      </c>
      <c r="V109" s="15">
        <f>IF(OR(V107="",U107=""),"",IF(U107&lt;=0,"",IFERROR(V107/U107-1,"")))</f>
        <v/>
      </c>
      <c r="W109" s="15">
        <f>IF(OR(W107="",V107=""),"",IF(V107&lt;=0,"",IFERROR(W107/V107-1,"")))</f>
        <v/>
      </c>
      <c r="X109" s="15">
        <f>IF(OR(X107="",W107=""),"",IF(W107&lt;=0,"",IFERROR(X107/W107-1,"")))</f>
        <v/>
      </c>
    </row>
    <row r="110">
      <c r="A110" s="18" t="inlineStr">
        <is>
          <t>이자수익</t>
        </is>
      </c>
      <c r="C110" s="20" t="n">
        <v>424</v>
      </c>
      <c r="D110" s="20" t="n">
        <v>499</v>
      </c>
      <c r="E110" s="20" t="n">
        <v>469</v>
      </c>
      <c r="F110" s="20" t="n">
        <v>548</v>
      </c>
      <c r="G110" s="20" t="n">
        <v>529</v>
      </c>
      <c r="H110" s="20" t="n">
        <v>584</v>
      </c>
      <c r="I110" s="20" t="n">
        <v>590</v>
      </c>
      <c r="J110" s="20" t="n">
        <v>761</v>
      </c>
      <c r="K110" s="20" t="n">
        <v>719</v>
      </c>
      <c r="L110" s="20" t="n">
        <v>924</v>
      </c>
      <c r="M110" s="20" t="n">
        <v>807</v>
      </c>
      <c r="N110" s="20" t="n">
        <v>943</v>
      </c>
      <c r="V110" s="20" t="n">
        <v>499</v>
      </c>
      <c r="W110" s="20" t="n">
        <v>584</v>
      </c>
      <c r="X110" s="20" t="n">
        <v>924</v>
      </c>
    </row>
    <row r="111">
      <c r="A111" s="18" t="inlineStr">
        <is>
          <t>배당금수익</t>
        </is>
      </c>
      <c r="C111" s="20" t="n">
        <v>660</v>
      </c>
      <c r="D111" s="20" t="n">
        <v>30</v>
      </c>
      <c r="E111" s="20" t="n">
        <v>940</v>
      </c>
      <c r="F111" s="20" t="n">
        <v>52</v>
      </c>
      <c r="G111" s="20" t="n">
        <v>929</v>
      </c>
      <c r="H111" s="20" t="n">
        <v>22</v>
      </c>
      <c r="I111" s="20" t="n">
        <v>1048</v>
      </c>
      <c r="J111" s="20" t="n">
        <v>30</v>
      </c>
      <c r="K111" s="20" t="n">
        <v>1092</v>
      </c>
      <c r="L111" s="20" t="n">
        <v>105</v>
      </c>
      <c r="M111" s="20" t="n">
        <v>1083</v>
      </c>
      <c r="N111" s="20" t="n">
        <v>129</v>
      </c>
      <c r="V111" s="20" t="n">
        <v>30</v>
      </c>
      <c r="W111" s="20" t="n">
        <v>22</v>
      </c>
      <c r="X111" s="20" t="n">
        <v>105</v>
      </c>
    </row>
    <row r="112">
      <c r="A112" s="18" t="inlineStr">
        <is>
          <t>지분법이익</t>
        </is>
      </c>
      <c r="C112" s="20" t="n">
        <v>35</v>
      </c>
      <c r="D112" s="20" t="n">
        <v>1532</v>
      </c>
      <c r="E112" s="20" t="n">
        <v>41</v>
      </c>
      <c r="F112" s="20" t="n">
        <v>86</v>
      </c>
      <c r="G112" s="20" t="n">
        <v>-1</v>
      </c>
      <c r="H112" s="20" t="n">
        <v>-100</v>
      </c>
      <c r="V112" s="20" t="n">
        <v>1532</v>
      </c>
      <c r="W112" s="20" t="n">
        <v>-100</v>
      </c>
    </row>
    <row r="113">
      <c r="A113" s="18" t="inlineStr">
        <is>
          <t>관계회사 청산이익</t>
        </is>
      </c>
      <c r="E113" s="20" t="n">
        <v>470</v>
      </c>
      <c r="I113" s="20" t="n">
        <v>0</v>
      </c>
    </row>
    <row r="114">
      <c r="A114" s="18" t="inlineStr">
        <is>
          <t>파생상품 평가이익</t>
        </is>
      </c>
      <c r="C114" s="20" t="n">
        <v>317</v>
      </c>
      <c r="D114" s="20" t="n">
        <v>-317</v>
      </c>
      <c r="G114" s="20" t="n">
        <v>-1422</v>
      </c>
      <c r="H114" s="20" t="n">
        <v>780</v>
      </c>
      <c r="V114" s="20" t="n">
        <v>-317</v>
      </c>
      <c r="W114" s="20" t="n">
        <v>780</v>
      </c>
    </row>
    <row r="115">
      <c r="A115" s="18" t="inlineStr">
        <is>
          <t>외환차익</t>
        </is>
      </c>
      <c r="E115" s="20" t="n">
        <v>0</v>
      </c>
      <c r="F115" s="20" t="n">
        <v>0</v>
      </c>
      <c r="G115" s="20" t="n">
        <v>0</v>
      </c>
      <c r="H115" s="20" t="n">
        <v>0</v>
      </c>
      <c r="I115" s="20" t="n">
        <v>199</v>
      </c>
      <c r="J115" s="20" t="n">
        <v>987</v>
      </c>
      <c r="K115" s="20" t="n">
        <v>2349</v>
      </c>
      <c r="L115" s="20" t="n">
        <v>-421</v>
      </c>
      <c r="M115" s="20" t="n">
        <v>698</v>
      </c>
      <c r="N115" s="20" t="n">
        <v>-698</v>
      </c>
      <c r="W115" s="20" t="n">
        <v>0</v>
      </c>
      <c r="X115" s="20" t="n">
        <v>-421</v>
      </c>
    </row>
    <row r="116">
      <c r="A116" s="18" t="inlineStr">
        <is>
          <t>기타</t>
        </is>
      </c>
      <c r="C116" s="20" t="n">
        <v>299</v>
      </c>
      <c r="D116" s="20" t="n">
        <v>446</v>
      </c>
      <c r="E116" s="20" t="n">
        <v>214</v>
      </c>
      <c r="F116" s="20" t="n">
        <v>1054</v>
      </c>
      <c r="G116" s="20" t="n">
        <v>616</v>
      </c>
      <c r="H116" s="20" t="n">
        <v>137</v>
      </c>
      <c r="I116" s="20" t="n">
        <v>756</v>
      </c>
      <c r="J116" s="20" t="n">
        <v>391</v>
      </c>
      <c r="K116" s="20" t="n">
        <v>334</v>
      </c>
      <c r="L116" s="20" t="n">
        <v>509</v>
      </c>
      <c r="M116" s="20" t="n">
        <v>417</v>
      </c>
      <c r="N116" s="20" t="n">
        <v>1724</v>
      </c>
      <c r="V116" s="20" t="n">
        <v>446</v>
      </c>
      <c r="W116" s="20" t="n">
        <v>137</v>
      </c>
      <c r="X116" s="20" t="n">
        <v>509</v>
      </c>
    </row>
    <row r="117">
      <c r="A117" s="18" t="inlineStr">
        <is>
          <t>영업외수익 합계</t>
        </is>
      </c>
      <c r="C117" s="20" t="n">
        <v>1736</v>
      </c>
      <c r="D117" s="20" t="n">
        <v>2190</v>
      </c>
      <c r="E117" s="20" t="n">
        <v>2094</v>
      </c>
      <c r="F117" s="20" t="n">
        <v>2607</v>
      </c>
      <c r="G117" s="20" t="n">
        <v>651</v>
      </c>
      <c r="H117" s="20" t="n">
        <v>1524</v>
      </c>
      <c r="I117" s="20" t="n">
        <v>2595</v>
      </c>
      <c r="J117" s="20" t="n">
        <v>2168</v>
      </c>
      <c r="K117" s="20" t="n">
        <v>4494</v>
      </c>
      <c r="L117" s="20" t="n">
        <v>1117</v>
      </c>
      <c r="M117" s="20" t="n">
        <v>3005</v>
      </c>
      <c r="N117" s="20" t="n">
        <v>2418</v>
      </c>
      <c r="V117" s="20" t="n">
        <v>2190</v>
      </c>
      <c r="W117" s="20" t="n">
        <v>1524</v>
      </c>
      <c r="X117" s="20" t="n">
        <v>1117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M118" s="15">
        <f>IF(OR(M117="",I117=""),"",IF(M117*I117&lt;=0,"",IFERROR(M117/I117-1,"")))</f>
        <v/>
      </c>
      <c r="N118" s="15">
        <f>IF(OR(N117="",J117=""),"",IF(N117*J117&lt;=0,"",IFERROR(N117/J117-1,"")))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  <c r="X118" s="15">
        <f>IF(OR(X117="",W117=""),"",IF(X117*W117&lt;=0,"",IFERROR(X117/W117-1,"")))</f>
        <v/>
      </c>
    </row>
    <row r="119">
      <c r="A119" s="18" t="inlineStr">
        <is>
          <t>이자비용</t>
        </is>
      </c>
      <c r="C119" s="20" t="n">
        <v>991</v>
      </c>
      <c r="D119" s="20" t="n">
        <v>1046</v>
      </c>
      <c r="E119" s="20" t="n">
        <v>992</v>
      </c>
      <c r="F119" s="20" t="n">
        <v>979</v>
      </c>
      <c r="G119" s="20" t="n">
        <v>960</v>
      </c>
      <c r="H119" s="20" t="n">
        <v>982</v>
      </c>
      <c r="I119" s="20" t="n">
        <v>824</v>
      </c>
      <c r="J119" s="20" t="n">
        <v>789</v>
      </c>
      <c r="K119" s="20" t="n">
        <v>850</v>
      </c>
      <c r="L119" s="20" t="n">
        <v>806</v>
      </c>
      <c r="M119" s="20" t="n">
        <v>750</v>
      </c>
      <c r="N119" s="20" t="n">
        <v>656</v>
      </c>
      <c r="V119" s="20" t="n">
        <v>1046</v>
      </c>
      <c r="W119" s="20" t="n">
        <v>982</v>
      </c>
      <c r="X119" s="20" t="n">
        <v>806</v>
      </c>
    </row>
    <row r="120">
      <c r="A120" s="18" t="inlineStr">
        <is>
          <t>지분법손실</t>
        </is>
      </c>
      <c r="E120" s="20" t="n">
        <v>0</v>
      </c>
    </row>
    <row r="121">
      <c r="A121" s="18" t="inlineStr">
        <is>
          <t>파생상품 평가손실</t>
        </is>
      </c>
      <c r="C121" s="20" t="n">
        <v>-1277</v>
      </c>
      <c r="D121" s="20" t="n">
        <v>1060</v>
      </c>
      <c r="E121" s="20" t="n">
        <v>1104</v>
      </c>
      <c r="F121" s="20" t="n">
        <v>-1104</v>
      </c>
      <c r="G121" s="20" t="n">
        <v>744</v>
      </c>
      <c r="H121" s="20" t="n">
        <v>-744</v>
      </c>
      <c r="I121" s="20" t="n">
        <v>713</v>
      </c>
      <c r="J121" s="20" t="n">
        <v>949</v>
      </c>
      <c r="K121" s="20" t="n">
        <v>780</v>
      </c>
      <c r="L121" s="20" t="n">
        <v>244</v>
      </c>
      <c r="M121" s="20" t="n">
        <v>696</v>
      </c>
      <c r="N121" s="20" t="n">
        <v>-696</v>
      </c>
      <c r="V121" s="20" t="n">
        <v>1060</v>
      </c>
      <c r="W121" s="20" t="n">
        <v>-744</v>
      </c>
      <c r="X121" s="20" t="n">
        <v>244</v>
      </c>
    </row>
    <row r="122">
      <c r="A122" s="18" t="inlineStr">
        <is>
          <t>외환차손</t>
        </is>
      </c>
      <c r="C122" s="20" t="n">
        <v>1174</v>
      </c>
      <c r="D122" s="20" t="n">
        <v>26</v>
      </c>
      <c r="E122" s="20" t="n">
        <v>398</v>
      </c>
      <c r="F122" s="20" t="n">
        <v>2680</v>
      </c>
      <c r="G122" s="20" t="n">
        <v>-1980</v>
      </c>
      <c r="H122" s="20" t="n">
        <v>2507</v>
      </c>
      <c r="I122" s="20" t="n">
        <v>0</v>
      </c>
      <c r="J122" s="20" t="n">
        <v>0</v>
      </c>
      <c r="K122" s="20" t="n">
        <v>0</v>
      </c>
      <c r="L122" s="20" t="n">
        <v>0</v>
      </c>
      <c r="V122" s="20" t="n">
        <v>26</v>
      </c>
      <c r="W122" s="20" t="n">
        <v>2507</v>
      </c>
      <c r="X122" s="20" t="n">
        <v>0</v>
      </c>
    </row>
    <row r="123">
      <c r="A123" s="18" t="inlineStr">
        <is>
          <t>관계회사 청산손실</t>
        </is>
      </c>
      <c r="G123" s="20" t="n">
        <v>230</v>
      </c>
      <c r="H123" s="20" t="n">
        <v>10</v>
      </c>
      <c r="K123" s="20" t="n">
        <v>-279</v>
      </c>
      <c r="L123" s="20" t="n">
        <v>20</v>
      </c>
      <c r="W123" s="20" t="n">
        <v>10</v>
      </c>
      <c r="X123" s="20" t="n">
        <v>20</v>
      </c>
    </row>
    <row r="124">
      <c r="A124" s="18" t="inlineStr">
        <is>
          <t>기타</t>
        </is>
      </c>
      <c r="C124" s="20" t="n">
        <v>175</v>
      </c>
      <c r="D124" s="20" t="n">
        <v>-241</v>
      </c>
      <c r="E124" s="20" t="n">
        <v>430</v>
      </c>
      <c r="F124" s="20" t="n">
        <v>554</v>
      </c>
      <c r="G124" s="20" t="n">
        <v>359</v>
      </c>
      <c r="H124" s="20" t="n">
        <v>-424</v>
      </c>
      <c r="I124" s="20" t="n">
        <v>459</v>
      </c>
      <c r="J124" s="20" t="n">
        <v>239</v>
      </c>
      <c r="K124" s="20" t="n">
        <v>437</v>
      </c>
      <c r="L124" s="20" t="n">
        <v>-224</v>
      </c>
      <c r="M124" s="20" t="n">
        <v>466</v>
      </c>
      <c r="N124" s="20" t="n">
        <v>898</v>
      </c>
      <c r="V124" s="20" t="n">
        <v>-241</v>
      </c>
      <c r="W124" s="20" t="n">
        <v>-424</v>
      </c>
      <c r="X124" s="20" t="n">
        <v>-224</v>
      </c>
    </row>
    <row r="125">
      <c r="A125" s="18" t="inlineStr">
        <is>
          <t>영업외비용 합계</t>
        </is>
      </c>
      <c r="C125" s="20" t="n">
        <v>1062</v>
      </c>
      <c r="D125" s="20" t="n">
        <v>2675</v>
      </c>
      <c r="E125" s="20" t="n">
        <v>2925</v>
      </c>
      <c r="F125" s="20" t="n">
        <v>3108</v>
      </c>
      <c r="G125" s="20" t="n">
        <v>315</v>
      </c>
      <c r="H125" s="20" t="n">
        <v>3520</v>
      </c>
      <c r="I125" s="20" t="n">
        <v>1996</v>
      </c>
      <c r="J125" s="20" t="n">
        <v>4800</v>
      </c>
      <c r="K125" s="20" t="n">
        <v>1788</v>
      </c>
      <c r="L125" s="20" t="n">
        <v>1586</v>
      </c>
      <c r="M125" s="20" t="n">
        <v>1913</v>
      </c>
      <c r="N125" s="20" t="n">
        <v>3004</v>
      </c>
      <c r="V125" s="20" t="n">
        <v>2675</v>
      </c>
      <c r="W125" s="20" t="n">
        <v>3520</v>
      </c>
      <c r="X125" s="20" t="n">
        <v>1586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IF(OR(G125="",C125=""),"",IF(G125*C125&lt;=0,"",IFERROR(G125/C125-1,"")))</f>
        <v/>
      </c>
      <c r="H126" s="15">
        <f>IF(OR(H125="",D125=""),"",IF(H125*D125&lt;=0,"",IFERROR(H125/D125-1,"")))</f>
        <v/>
      </c>
      <c r="I126" s="15">
        <f>IF(OR(I125="",E125=""),"",IF(I125*E125&lt;=0,"",IFERROR(I125/E125-1,"")))</f>
        <v/>
      </c>
      <c r="J126" s="15">
        <f>IF(OR(J125="",F125=""),"",IF(J125*F125&lt;=0,"",IFERROR(J125/F125-1,"")))</f>
        <v/>
      </c>
      <c r="K126" s="15">
        <f>IF(OR(K125="",G125=""),"",IF(K125*G125&lt;=0,"",IFERROR(K125/G125-1,"")))</f>
        <v/>
      </c>
      <c r="L126" s="15">
        <f>IF(OR(L125="",H125=""),"",IF(L125*H125&lt;=0,"",IFERROR(L125/H125-1,"")))</f>
        <v/>
      </c>
      <c r="M126" s="15">
        <f>IF(OR(M125="",I125=""),"",IF(M125*I125&lt;=0,"",IFERROR(M125/I125-1,"")))</f>
        <v/>
      </c>
      <c r="N126" s="15">
        <f>IF(OR(N125="",J125=""),"",IF(N125*J125&lt;=0,"",IFERROR(N125/J125-1,"")))</f>
        <v/>
      </c>
      <c r="V126" s="15">
        <f>IF(OR(V125="",U125=""),"",IF(V125*U125&lt;=0,"",IFERROR(V125/U125-1,"")))</f>
        <v/>
      </c>
      <c r="W126" s="15">
        <f>IF(OR(W125="",V125=""),"",IF(W125*V125&lt;=0,"",IFERROR(W125/V125-1,"")))</f>
        <v/>
      </c>
      <c r="X126" s="15">
        <f>IF(OR(X125="",W125=""),"",IF(X125*W125&lt;=0,"",IFERROR(X125/W125-1,"")))</f>
        <v/>
      </c>
    </row>
    <row r="127">
      <c r="A127" s="9" t="inlineStr">
        <is>
          <t>경상이익</t>
        </is>
      </c>
      <c r="C127" s="12" t="n">
        <v>18507</v>
      </c>
      <c r="D127" s="12" t="n">
        <v>15595</v>
      </c>
      <c r="E127" s="12" t="n">
        <v>16825</v>
      </c>
      <c r="F127" s="12" t="n">
        <v>21542</v>
      </c>
      <c r="G127" s="12" t="n">
        <v>23049</v>
      </c>
      <c r="H127" s="12" t="n">
        <v>16833</v>
      </c>
      <c r="I127" s="12" t="n">
        <v>24380</v>
      </c>
      <c r="J127" s="12" t="n">
        <v>22287</v>
      </c>
      <c r="K127" s="12" t="n">
        <v>27054</v>
      </c>
      <c r="L127" s="12" t="n">
        <v>21481</v>
      </c>
      <c r="M127" s="12" t="n">
        <v>33724</v>
      </c>
      <c r="N127" s="12" t="n">
        <v>36671</v>
      </c>
      <c r="V127" s="12" t="n">
        <v>15595</v>
      </c>
      <c r="W127" s="12" t="n">
        <v>16833</v>
      </c>
      <c r="X127" s="12" t="n">
        <v>21481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G128" s="15">
        <f>IF(OR(G127="",C127=""),"",IF(C127&lt;=0,"",IFERROR(G127/C127-1,"")))</f>
        <v/>
      </c>
      <c r="H128" s="15">
        <f>IF(OR(H127="",D127=""),"",IF(D127&lt;=0,"",IFERROR(H127/D127-1,"")))</f>
        <v/>
      </c>
      <c r="I128" s="15">
        <f>IF(OR(I127="",E127=""),"",IF(E127&lt;=0,"",IFERROR(I127/E127-1,"")))</f>
        <v/>
      </c>
      <c r="J128" s="15">
        <f>IF(OR(J127="",F127=""),"",IF(F127&lt;=0,"",IFERROR(J127/F127-1,"")))</f>
        <v/>
      </c>
      <c r="K128" s="15">
        <f>IF(OR(K127="",G127=""),"",IF(G127&lt;=0,"",IFERROR(K127/G127-1,"")))</f>
        <v/>
      </c>
      <c r="L128" s="15">
        <f>IF(OR(L127="",H127=""),"",IF(H127&lt;=0,"",IFERROR(L127/H127-1,"")))</f>
        <v/>
      </c>
      <c r="M128" s="15">
        <f>IF(OR(M127="",I127=""),"",IF(I127&lt;=0,"",IFERROR(M127/I127-1,"")))</f>
        <v/>
      </c>
      <c r="N128" s="15">
        <f>IF(OR(N127="",J127=""),"",IF(J127&lt;=0,"",IFERROR(N127/J127-1,"")))</f>
        <v/>
      </c>
      <c r="V128" s="15">
        <f>IF(OR(V127="",U127=""),"",IF(U127&lt;=0,"",IFERROR(V127/U127-1,"")))</f>
        <v/>
      </c>
      <c r="W128" s="15">
        <f>IF(OR(W127="",V127=""),"",IF(V127&lt;=0,"",IFERROR(W127/V127-1,"")))</f>
        <v/>
      </c>
      <c r="X128" s="15">
        <f>IF(OR(X127="",W127=""),"",IF(W127&lt;=0,"",IFERROR(X127/W127-1,"")))</f>
        <v/>
      </c>
    </row>
    <row r="129">
      <c r="A129" s="18" t="inlineStr">
        <is>
          <t>고정자산 매각이익</t>
        </is>
      </c>
      <c r="C129" s="20" t="n">
        <v>61</v>
      </c>
      <c r="D129" s="20" t="n">
        <v>308</v>
      </c>
      <c r="E129" s="20" t="n">
        <v>47</v>
      </c>
      <c r="F129" s="20" t="n">
        <v>42</v>
      </c>
      <c r="G129" s="20" t="n">
        <v>62</v>
      </c>
      <c r="H129" s="20" t="n">
        <v>40</v>
      </c>
      <c r="I129" s="20" t="n">
        <v>49</v>
      </c>
      <c r="J129" s="20" t="n">
        <v>29</v>
      </c>
      <c r="K129" s="20" t="n">
        <v>19</v>
      </c>
      <c r="L129" s="20" t="n">
        <v>131</v>
      </c>
      <c r="M129" s="20" t="n">
        <v>15</v>
      </c>
      <c r="N129" s="20" t="n">
        <v>13</v>
      </c>
      <c r="V129" s="20" t="n">
        <v>308</v>
      </c>
      <c r="W129" s="20" t="n">
        <v>40</v>
      </c>
      <c r="X129" s="20" t="n">
        <v>131</v>
      </c>
    </row>
    <row r="130">
      <c r="A130" s="18" t="inlineStr">
        <is>
          <t>투자유가증권 매각이익</t>
        </is>
      </c>
      <c r="C130" s="20" t="n">
        <v>427</v>
      </c>
      <c r="D130" s="20" t="n">
        <v>323</v>
      </c>
      <c r="E130" s="20" t="n">
        <v>461</v>
      </c>
      <c r="F130" s="20" t="n">
        <v>250</v>
      </c>
      <c r="G130" s="20" t="n">
        <v>166</v>
      </c>
      <c r="H130" s="20" t="n">
        <v>2728</v>
      </c>
      <c r="I130" s="20" t="n">
        <v>483</v>
      </c>
      <c r="J130" s="20" t="n">
        <v>0</v>
      </c>
      <c r="K130" s="20" t="n">
        <v>1979</v>
      </c>
      <c r="L130" s="20" t="n">
        <v>10724</v>
      </c>
      <c r="M130" s="20" t="n">
        <v>0</v>
      </c>
      <c r="N130" s="20" t="n">
        <v>2591</v>
      </c>
      <c r="V130" s="20" t="n">
        <v>323</v>
      </c>
      <c r="W130" s="20" t="n">
        <v>2728</v>
      </c>
      <c r="X130" s="20" t="n">
        <v>10724</v>
      </c>
    </row>
    <row r="131">
      <c r="A131" s="18" t="inlineStr">
        <is>
          <t>보조금 수입</t>
        </is>
      </c>
      <c r="C131" s="20" t="n">
        <v>-22</v>
      </c>
      <c r="D131" s="20" t="n">
        <v>478</v>
      </c>
      <c r="E131" s="20" t="n">
        <v>135</v>
      </c>
      <c r="F131" s="20" t="n">
        <v>14</v>
      </c>
      <c r="G131" s="20" t="n">
        <v>3</v>
      </c>
      <c r="H131" s="20" t="n">
        <v>84</v>
      </c>
      <c r="I131" s="20" t="n">
        <v>24</v>
      </c>
      <c r="J131" s="20" t="n">
        <v>42</v>
      </c>
      <c r="K131" s="20" t="n">
        <v>1</v>
      </c>
      <c r="L131" s="20" t="n">
        <v>1058</v>
      </c>
      <c r="M131" s="20" t="n">
        <v>72</v>
      </c>
      <c r="N131" s="20" t="n">
        <v>87</v>
      </c>
      <c r="V131" s="20" t="n">
        <v>478</v>
      </c>
      <c r="W131" s="20" t="n">
        <v>84</v>
      </c>
      <c r="X131" s="20" t="n">
        <v>1058</v>
      </c>
    </row>
    <row r="132">
      <c r="A132" s="18" t="inlineStr">
        <is>
          <t>특별이익 합계</t>
        </is>
      </c>
      <c r="C132" s="20" t="n">
        <v>467</v>
      </c>
      <c r="D132" s="20" t="n">
        <v>1109</v>
      </c>
      <c r="E132" s="20" t="n">
        <v>644</v>
      </c>
      <c r="F132" s="20" t="n">
        <v>305</v>
      </c>
      <c r="G132" s="20" t="n">
        <v>233</v>
      </c>
      <c r="H132" s="20" t="n">
        <v>2850</v>
      </c>
      <c r="I132" s="20" t="n">
        <v>558</v>
      </c>
      <c r="J132" s="20" t="n">
        <v>70</v>
      </c>
      <c r="K132" s="20" t="n">
        <v>1999</v>
      </c>
      <c r="L132" s="20" t="n">
        <v>11914</v>
      </c>
      <c r="M132" s="20" t="n">
        <v>88</v>
      </c>
      <c r="N132" s="20" t="n">
        <v>2691</v>
      </c>
      <c r="V132" s="20" t="n">
        <v>1109</v>
      </c>
      <c r="W132" s="20" t="n">
        <v>2850</v>
      </c>
      <c r="X132" s="20" t="n">
        <v>11914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IF(OR(G132="",C132=""),"",IF(G132*C132&lt;=0,"",IFERROR(G132/C132-1,"")))</f>
        <v/>
      </c>
      <c r="H133" s="15">
        <f>IF(OR(H132="",D132=""),"",IF(H132*D132&lt;=0,"",IFERROR(H132/D132-1,"")))</f>
        <v/>
      </c>
      <c r="I133" s="15">
        <f>IF(OR(I132="",E132=""),"",IF(I132*E132&lt;=0,"",IFERROR(I132/E132-1,"")))</f>
        <v/>
      </c>
      <c r="J133" s="15">
        <f>IF(OR(J132="",F132=""),"",IF(J132*F132&lt;=0,"",IFERROR(J132/F132-1,"")))</f>
        <v/>
      </c>
      <c r="K133" s="15">
        <f>IF(OR(K132="",G132=""),"",IF(K132*G132&lt;=0,"",IFERROR(K132/G132-1,"")))</f>
        <v/>
      </c>
      <c r="L133" s="15">
        <f>IF(OR(L132="",H132=""),"",IF(L132*H132&lt;=0,"",IFERROR(L132/H132-1,"")))</f>
        <v/>
      </c>
      <c r="M133" s="15">
        <f>IF(OR(M132="",I132=""),"",IF(M132*I132&lt;=0,"",IFERROR(M132/I132-1,"")))</f>
        <v/>
      </c>
      <c r="N133" s="15">
        <f>IF(OR(N132="",J132=""),"",IF(N132*J132&lt;=0,"",IFERROR(N132/J132-1,"")))</f>
        <v/>
      </c>
      <c r="V133" s="15">
        <f>IF(OR(V132="",U132=""),"",IF(V132*U132&lt;=0,"",IFERROR(V132/U132-1,"")))</f>
        <v/>
      </c>
      <c r="W133" s="15">
        <f>IF(OR(W132="",V132=""),"",IF(W132*V132&lt;=0,"",IFERROR(W132/V132-1,"")))</f>
        <v/>
      </c>
      <c r="X133" s="15">
        <f>IF(OR(X132="",W132=""),"",IF(X132*W132&lt;=0,"",IFERROR(X132/W132-1,"")))</f>
        <v/>
      </c>
    </row>
    <row r="134">
      <c r="A134" s="18" t="inlineStr">
        <is>
          <t>고정자산 처분손실</t>
        </is>
      </c>
      <c r="C134" s="20" t="n">
        <v>97</v>
      </c>
      <c r="D134" s="20" t="n">
        <v>281</v>
      </c>
      <c r="E134" s="20" t="n">
        <v>61</v>
      </c>
      <c r="F134" s="20" t="n">
        <v>118</v>
      </c>
      <c r="G134" s="20" t="n">
        <v>39</v>
      </c>
      <c r="H134" s="20" t="n">
        <v>304</v>
      </c>
      <c r="I134" s="20" t="n">
        <v>115</v>
      </c>
      <c r="J134" s="20" t="n">
        <v>59</v>
      </c>
      <c r="K134" s="20" t="n">
        <v>131</v>
      </c>
      <c r="L134" s="20" t="n">
        <v>881</v>
      </c>
      <c r="M134" s="20" t="n">
        <v>177</v>
      </c>
      <c r="N134" s="20" t="n">
        <v>161</v>
      </c>
      <c r="V134" s="20" t="n">
        <v>281</v>
      </c>
      <c r="W134" s="20" t="n">
        <v>304</v>
      </c>
      <c r="X134" s="20" t="n">
        <v>881</v>
      </c>
    </row>
    <row r="135">
      <c r="A135" s="18" t="inlineStr">
        <is>
          <t>손상차손</t>
        </is>
      </c>
      <c r="C135" s="20" t="n">
        <v>0</v>
      </c>
      <c r="D135" s="20" t="n">
        <v>6630</v>
      </c>
      <c r="E135" s="20" t="n">
        <v>0</v>
      </c>
      <c r="F135" s="20" t="n">
        <v>1621</v>
      </c>
      <c r="G135" s="20" t="n">
        <v>0</v>
      </c>
      <c r="H135" s="20" t="n">
        <v>4198</v>
      </c>
      <c r="I135" s="20" t="n">
        <v>998</v>
      </c>
      <c r="J135" s="20" t="n">
        <v>1494</v>
      </c>
      <c r="K135" s="20" t="n">
        <v>0</v>
      </c>
      <c r="L135" s="20" t="n">
        <v>2271</v>
      </c>
      <c r="M135" s="20" t="n">
        <v>0</v>
      </c>
      <c r="N135" s="20" t="n">
        <v>579</v>
      </c>
      <c r="V135" s="20" t="n">
        <v>6630</v>
      </c>
      <c r="W135" s="20" t="n">
        <v>4198</v>
      </c>
      <c r="X135" s="20" t="n">
        <v>2271</v>
      </c>
    </row>
    <row r="136">
      <c r="A136" s="18" t="inlineStr">
        <is>
          <t>투자유가증권 평가손실</t>
        </is>
      </c>
      <c r="C136" s="20" t="n">
        <v>0</v>
      </c>
      <c r="D136" s="20" t="n">
        <v>0</v>
      </c>
      <c r="G136" s="20" t="n">
        <v>0</v>
      </c>
      <c r="H136" s="20" t="n">
        <v>-38</v>
      </c>
      <c r="K136" s="20" t="n">
        <v>0</v>
      </c>
      <c r="L136" s="20" t="n">
        <v>0</v>
      </c>
      <c r="V136" s="20" t="n">
        <v>0</v>
      </c>
      <c r="W136" s="20" t="n">
        <v>-38</v>
      </c>
      <c r="X136" s="20" t="n">
        <v>0</v>
      </c>
    </row>
    <row r="137">
      <c r="A137" s="18" t="inlineStr">
        <is>
          <t>사업구조개혁 비용</t>
        </is>
      </c>
      <c r="G137" s="20" t="n">
        <v>0</v>
      </c>
      <c r="H137" s="20" t="n">
        <v>0</v>
      </c>
      <c r="K137" s="20" t="n">
        <v>5140</v>
      </c>
      <c r="L137" s="20" t="n">
        <v>3126</v>
      </c>
      <c r="W137" s="20" t="n">
        <v>0</v>
      </c>
      <c r="X137" s="20" t="n">
        <v>3126</v>
      </c>
    </row>
    <row r="138">
      <c r="A138" s="18" t="inlineStr">
        <is>
          <t>특별손실 합계</t>
        </is>
      </c>
      <c r="C138" s="20" t="n">
        <v>97</v>
      </c>
      <c r="D138" s="20" t="n">
        <v>7288</v>
      </c>
      <c r="E138" s="20" t="n">
        <v>61</v>
      </c>
      <c r="F138" s="20" t="n">
        <v>2262</v>
      </c>
      <c r="G138" s="20" t="n">
        <v>40</v>
      </c>
      <c r="H138" s="20" t="n">
        <v>7462</v>
      </c>
      <c r="I138" s="20" t="n">
        <v>1114</v>
      </c>
      <c r="J138" s="20" t="n">
        <v>13245</v>
      </c>
      <c r="K138" s="20" t="n">
        <v>5272</v>
      </c>
      <c r="L138" s="20" t="n">
        <v>6279</v>
      </c>
      <c r="M138" s="20" t="n">
        <v>177</v>
      </c>
      <c r="N138" s="20" t="n">
        <v>741</v>
      </c>
      <c r="V138" s="20" t="n">
        <v>7288</v>
      </c>
      <c r="W138" s="20" t="n">
        <v>7462</v>
      </c>
      <c r="X138" s="20" t="n">
        <v>6279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G139" s="15">
        <f>IF(OR(G138="",C138=""),"",IF(G138*C138&lt;=0,"",IFERROR(G138/C138-1,"")))</f>
        <v/>
      </c>
      <c r="H139" s="15">
        <f>IF(OR(H138="",D138=""),"",IF(H138*D138&lt;=0,"",IFERROR(H138/D138-1,"")))</f>
        <v/>
      </c>
      <c r="I139" s="15">
        <f>IF(OR(I138="",E138=""),"",IF(I138*E138&lt;=0,"",IFERROR(I138/E138-1,"")))</f>
        <v/>
      </c>
      <c r="J139" s="15">
        <f>IF(OR(J138="",F138=""),"",IF(J138*F138&lt;=0,"",IFERROR(J138/F138-1,"")))</f>
        <v/>
      </c>
      <c r="K139" s="15">
        <f>IF(OR(K138="",G138=""),"",IF(K138*G138&lt;=0,"",IFERROR(K138/G138-1,"")))</f>
        <v/>
      </c>
      <c r="L139" s="15">
        <f>IF(OR(L138="",H138=""),"",IF(L138*H138&lt;=0,"",IFERROR(L138/H138-1,"")))</f>
        <v/>
      </c>
      <c r="M139" s="15">
        <f>IF(OR(M138="",I138=""),"",IF(M138*I138&lt;=0,"",IFERROR(M138/I138-1,"")))</f>
        <v/>
      </c>
      <c r="N139" s="15">
        <f>IF(OR(N138="",J138=""),"",IF(N138*J138&lt;=0,"",IFERROR(N138/J138-1,"")))</f>
        <v/>
      </c>
      <c r="V139" s="15">
        <f>IF(OR(V138="",U138=""),"",IF(V138*U138&lt;=0,"",IFERROR(V138/U138-1,"")))</f>
        <v/>
      </c>
      <c r="W139" s="15">
        <f>IF(OR(W138="",V138=""),"",IF(W138*V138&lt;=0,"",IFERROR(W138/V138-1,"")))</f>
        <v/>
      </c>
      <c r="X139" s="15">
        <f>IF(OR(X138="",W138=""),"",IF(X138*W138&lt;=0,"",IFERROR(X138/W138-1,"")))</f>
        <v/>
      </c>
    </row>
    <row r="140">
      <c r="A140" s="9" t="inlineStr">
        <is>
          <t>법인세차감전 순이익</t>
        </is>
      </c>
      <c r="C140" s="12" t="n">
        <v>18876</v>
      </c>
      <c r="D140" s="12" t="n">
        <v>9416</v>
      </c>
      <c r="E140" s="12" t="n">
        <v>17408</v>
      </c>
      <c r="F140" s="12" t="n">
        <v>19585</v>
      </c>
      <c r="G140" s="12" t="n">
        <v>23242</v>
      </c>
      <c r="H140" s="12" t="n">
        <v>12221</v>
      </c>
      <c r="I140" s="12" t="n">
        <v>23824</v>
      </c>
      <c r="J140" s="12" t="n">
        <v>9111</v>
      </c>
      <c r="K140" s="12" t="n">
        <v>23781</v>
      </c>
      <c r="L140" s="12" t="n">
        <v>27116</v>
      </c>
      <c r="M140" s="12" t="n">
        <v>33636</v>
      </c>
      <c r="N140" s="12" t="n">
        <v>38620</v>
      </c>
      <c r="V140" s="12" t="n">
        <v>9416</v>
      </c>
      <c r="W140" s="12" t="n">
        <v>12221</v>
      </c>
      <c r="X140" s="12" t="n">
        <v>27116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IF(OR(G140="",C140=""),"",IF(C140&lt;=0,"",IFERROR(G140/C140-1,"")))</f>
        <v/>
      </c>
      <c r="H141" s="15">
        <f>IF(OR(H140="",D140=""),"",IF(D140&lt;=0,"",IFERROR(H140/D140-1,"")))</f>
        <v/>
      </c>
      <c r="I141" s="15">
        <f>IF(OR(I140="",E140=""),"",IF(E140&lt;=0,"",IFERROR(I140/E140-1,"")))</f>
        <v/>
      </c>
      <c r="J141" s="15">
        <f>IF(OR(J140="",F140=""),"",IF(F140&lt;=0,"",IFERROR(J140/F140-1,"")))</f>
        <v/>
      </c>
      <c r="K141" s="15">
        <f>IF(OR(K140="",G140=""),"",IF(G140&lt;=0,"",IFERROR(K140/G140-1,"")))</f>
        <v/>
      </c>
      <c r="L141" s="15">
        <f>IF(OR(L140="",H140=""),"",IF(H140&lt;=0,"",IFERROR(L140/H140-1,"")))</f>
        <v/>
      </c>
      <c r="M141" s="15">
        <f>IF(OR(M140="",I140=""),"",IF(I140&lt;=0,"",IFERROR(M140/I140-1,"")))</f>
        <v/>
      </c>
      <c r="N141" s="15">
        <f>IF(OR(N140="",J140=""),"",IF(J140&lt;=0,"",IFERROR(N140/J140-1,"")))</f>
        <v/>
      </c>
      <c r="V141" s="15">
        <f>IF(OR(V140="",U140=""),"",IF(U140&lt;=0,"",IFERROR(V140/U140-1,"")))</f>
        <v/>
      </c>
      <c r="W141" s="15">
        <f>IF(OR(W140="",V140=""),"",IF(V140&lt;=0,"",IFERROR(W140/V140-1,"")))</f>
        <v/>
      </c>
      <c r="X141" s="15">
        <f>IF(OR(X140="",W140=""),"",IF(W140&lt;=0,"",IFERROR(X140/W140-1,"")))</f>
        <v/>
      </c>
    </row>
    <row r="142">
      <c r="A142" s="18" t="inlineStr">
        <is>
          <t>법인세·주민세·사업세</t>
        </is>
      </c>
      <c r="C142" s="20" t="n">
        <v>3598</v>
      </c>
      <c r="D142" s="20" t="n">
        <v>5422</v>
      </c>
      <c r="E142" s="20" t="n">
        <v>4913</v>
      </c>
      <c r="F142" s="20" t="n">
        <v>6144</v>
      </c>
      <c r="G142" s="20" t="n">
        <v>5114</v>
      </c>
      <c r="H142" s="20" t="n">
        <v>5132</v>
      </c>
      <c r="I142" s="20" t="n">
        <v>3539</v>
      </c>
      <c r="J142" s="20" t="n">
        <v>9197</v>
      </c>
      <c r="K142" s="20" t="n">
        <v>7153</v>
      </c>
      <c r="L142" s="20" t="n">
        <v>8801</v>
      </c>
      <c r="M142" s="20" t="n">
        <v>6179</v>
      </c>
      <c r="N142" s="20" t="n">
        <v>8637</v>
      </c>
      <c r="V142" s="20" t="n">
        <v>5422</v>
      </c>
      <c r="W142" s="20" t="n">
        <v>5132</v>
      </c>
      <c r="X142" s="20" t="n">
        <v>8801</v>
      </c>
    </row>
    <row r="143">
      <c r="A143" s="18" t="inlineStr">
        <is>
          <t>법인세 조정액</t>
        </is>
      </c>
      <c r="C143" s="20" t="n">
        <v>-486</v>
      </c>
      <c r="D143" s="20" t="n">
        <v>-2828</v>
      </c>
      <c r="E143" s="20" t="n">
        <v>1537</v>
      </c>
      <c r="F143" s="20" t="n">
        <v>-1454</v>
      </c>
      <c r="G143" s="20" t="n">
        <v>3067</v>
      </c>
      <c r="H143" s="20" t="n">
        <v>-7002</v>
      </c>
      <c r="I143" s="20" t="n">
        <v>2146</v>
      </c>
      <c r="J143" s="20" t="n">
        <v>-6107</v>
      </c>
      <c r="K143" s="20" t="n">
        <v>-735</v>
      </c>
      <c r="L143" s="20" t="n">
        <v>-486</v>
      </c>
      <c r="M143" s="20" t="n">
        <v>-2309</v>
      </c>
      <c r="N143" s="20" t="n">
        <v>-1565</v>
      </c>
      <c r="V143" s="20" t="n">
        <v>-2828</v>
      </c>
      <c r="W143" s="20" t="n">
        <v>-7002</v>
      </c>
      <c r="X143" s="20" t="n">
        <v>-486</v>
      </c>
    </row>
    <row r="144">
      <c r="A144" s="18" t="inlineStr">
        <is>
          <t>법인세 등 합계</t>
        </is>
      </c>
      <c r="C144" s="20" t="n">
        <v>3112</v>
      </c>
      <c r="D144" s="20" t="n">
        <v>2592</v>
      </c>
      <c r="E144" s="20" t="n">
        <v>6451</v>
      </c>
      <c r="F144" s="20" t="n">
        <v>4690</v>
      </c>
      <c r="G144" s="20" t="n">
        <v>8180</v>
      </c>
      <c r="H144" s="20" t="n">
        <v>-1870</v>
      </c>
      <c r="I144" s="20" t="n">
        <v>5686</v>
      </c>
      <c r="J144" s="20" t="n">
        <v>3088</v>
      </c>
      <c r="K144" s="20" t="n">
        <v>6418</v>
      </c>
      <c r="L144" s="20" t="n">
        <v>8315</v>
      </c>
      <c r="M144" s="20" t="n">
        <v>3869</v>
      </c>
      <c r="N144" s="20" t="n">
        <v>7073</v>
      </c>
      <c r="V144" s="20" t="n">
        <v>2592</v>
      </c>
      <c r="W144" s="20" t="n">
        <v>-1870</v>
      </c>
      <c r="X144" s="20" t="n">
        <v>8315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IF(OR(G144="",C144=""),"",IF(G144*C144&lt;=0,"",IFERROR(G144/C144-1,"")))</f>
        <v/>
      </c>
      <c r="H145" s="15">
        <f>IF(OR(H144="",D144=""),"",IF(H144*D144&lt;=0,"",IFERROR(H144/D144-1,"")))</f>
        <v/>
      </c>
      <c r="I145" s="15">
        <f>IF(OR(I144="",E144=""),"",IF(I144*E144&lt;=0,"",IFERROR(I144/E144-1,"")))</f>
        <v/>
      </c>
      <c r="J145" s="15">
        <f>IF(OR(J144="",F144=""),"",IF(J144*F144&lt;=0,"",IFERROR(J144/F144-1,"")))</f>
        <v/>
      </c>
      <c r="K145" s="15">
        <f>IF(OR(K144="",G144=""),"",IF(K144*G144&lt;=0,"",IFERROR(K144/G144-1,"")))</f>
        <v/>
      </c>
      <c r="L145" s="15">
        <f>IF(OR(L144="",H144=""),"",IF(L144*H144&lt;=0,"",IFERROR(L144/H144-1,"")))</f>
        <v/>
      </c>
      <c r="M145" s="15">
        <f>IF(OR(M144="",I144=""),"",IF(M144*I144&lt;=0,"",IFERROR(M144/I144-1,"")))</f>
        <v/>
      </c>
      <c r="N145" s="15">
        <f>IF(OR(N144="",J144=""),"",IF(N144*J144&lt;=0,"",IFERROR(N144/J144-1,"")))</f>
        <v/>
      </c>
      <c r="V145" s="15">
        <f>IF(OR(V144="",U144=""),"",IF(V144*U144&lt;=0,"",IFERROR(V144/U144-1,"")))</f>
        <v/>
      </c>
      <c r="W145" s="15">
        <f>IF(OR(W144="",V144=""),"",IF(W144*V144&lt;=0,"",IFERROR(W144/V144-1,"")))</f>
        <v/>
      </c>
      <c r="X145" s="15">
        <f>IF(OR(X144="",W144=""),"",IF(X144*W144&lt;=0,"",IFERROR(X144/W144-1,"")))</f>
        <v/>
      </c>
    </row>
    <row r="146">
      <c r="A146" s="9" t="inlineStr">
        <is>
          <t>순이익</t>
        </is>
      </c>
      <c r="C146" s="12" t="n">
        <v>15764</v>
      </c>
      <c r="D146" s="12" t="n">
        <v>6823</v>
      </c>
      <c r="E146" s="12" t="n">
        <v>10957</v>
      </c>
      <c r="F146" s="12" t="n">
        <v>14895</v>
      </c>
      <c r="G146" s="12" t="n">
        <v>15061</v>
      </c>
      <c r="H146" s="12" t="n">
        <v>14092</v>
      </c>
      <c r="I146" s="12" t="n">
        <v>18137</v>
      </c>
      <c r="J146" s="12" t="n">
        <v>6024</v>
      </c>
      <c r="K146" s="12" t="n">
        <v>17363</v>
      </c>
      <c r="L146" s="12" t="n">
        <v>18801</v>
      </c>
      <c r="M146" s="12" t="n">
        <v>29766</v>
      </c>
      <c r="N146" s="12" t="n">
        <v>31548</v>
      </c>
      <c r="V146" s="12" t="n">
        <v>6823</v>
      </c>
      <c r="W146" s="12" t="n">
        <v>14092</v>
      </c>
      <c r="X146" s="12" t="n">
        <v>18801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IF(OR(G146="",C146=""),"",IF(C146&lt;=0,"",IFERROR(G146/C146-1,"")))</f>
        <v/>
      </c>
      <c r="H147" s="15">
        <f>IF(OR(H146="",D146=""),"",IF(D146&lt;=0,"",IFERROR(H146/D146-1,"")))</f>
        <v/>
      </c>
      <c r="I147" s="15">
        <f>IF(OR(I146="",E146=""),"",IF(E146&lt;=0,"",IFERROR(I146/E146-1,"")))</f>
        <v/>
      </c>
      <c r="J147" s="15">
        <f>IF(OR(J146="",F146=""),"",IF(F146&lt;=0,"",IFERROR(J146/F146-1,"")))</f>
        <v/>
      </c>
      <c r="K147" s="15">
        <f>IF(OR(K146="",G146=""),"",IF(G146&lt;=0,"",IFERROR(K146/G146-1,"")))</f>
        <v/>
      </c>
      <c r="L147" s="15">
        <f>IF(OR(L146="",H146=""),"",IF(H146&lt;=0,"",IFERROR(L146/H146-1,"")))</f>
        <v/>
      </c>
      <c r="M147" s="15">
        <f>IF(OR(M146="",I146=""),"",IF(I146&lt;=0,"",IFERROR(M146/I146-1,"")))</f>
        <v/>
      </c>
      <c r="N147" s="15">
        <f>IF(OR(N146="",J146=""),"",IF(J146&lt;=0,"",IFERROR(N146/J146-1,"")))</f>
        <v/>
      </c>
      <c r="V147" s="15">
        <f>IF(OR(V146="",U146=""),"",IF(U146&lt;=0,"",IFERROR(V146/U146-1,"")))</f>
        <v/>
      </c>
      <c r="W147" s="15">
        <f>IF(OR(W146="",V146=""),"",IF(V146&lt;=0,"",IFERROR(W146/V146-1,"")))</f>
        <v/>
      </c>
      <c r="X147" s="15">
        <f>IF(OR(X146="",W146=""),"",IF(W146&lt;=0,"",IFERROR(X146/W146-1,"")))</f>
        <v/>
      </c>
    </row>
    <row r="148">
      <c r="A148" s="9" t="inlineStr">
        <is>
          <t>비지배주주 순이익</t>
        </is>
      </c>
      <c r="C148" s="12" t="n">
        <v>68</v>
      </c>
      <c r="D148" s="12" t="n">
        <v>137</v>
      </c>
      <c r="E148" s="12" t="n">
        <v>-6</v>
      </c>
      <c r="F148" s="12" t="n">
        <v>-10</v>
      </c>
      <c r="G148" s="12" t="n">
        <v>-71</v>
      </c>
      <c r="H148" s="12" t="n">
        <v>159</v>
      </c>
      <c r="I148" s="12" t="n">
        <v>238</v>
      </c>
      <c r="J148" s="12" t="n">
        <v>52</v>
      </c>
      <c r="K148" s="12" t="n">
        <v>108</v>
      </c>
      <c r="L148" s="12" t="n">
        <v>-10</v>
      </c>
      <c r="M148" s="12" t="n">
        <v>391</v>
      </c>
      <c r="N148" s="12" t="n">
        <v>122</v>
      </c>
      <c r="V148" s="12" t="n">
        <v>137</v>
      </c>
      <c r="W148" s="12" t="n">
        <v>159</v>
      </c>
      <c r="X148" s="12" t="n">
        <v>-10</v>
      </c>
    </row>
    <row r="149">
      <c r="A149" s="9" t="inlineStr">
        <is>
          <t>지배주주 순이익</t>
        </is>
      </c>
      <c r="C149" s="12" t="n">
        <v>15695</v>
      </c>
      <c r="D149" s="12" t="n">
        <v>6686</v>
      </c>
      <c r="E149" s="12" t="n">
        <v>10964</v>
      </c>
      <c r="F149" s="12" t="n">
        <v>14905</v>
      </c>
      <c r="G149" s="12" t="n">
        <v>15132</v>
      </c>
      <c r="H149" s="12" t="n">
        <v>13932</v>
      </c>
      <c r="I149" s="12" t="n">
        <v>17899</v>
      </c>
      <c r="J149" s="12" t="n">
        <v>5971</v>
      </c>
      <c r="K149" s="12" t="n">
        <v>17256</v>
      </c>
      <c r="L149" s="12" t="n">
        <v>18810</v>
      </c>
      <c r="M149" s="12" t="n">
        <v>29374</v>
      </c>
      <c r="N149" s="12" t="n">
        <v>31426</v>
      </c>
      <c r="V149" s="12" t="n">
        <v>6686</v>
      </c>
      <c r="W149" s="12" t="n">
        <v>13932</v>
      </c>
      <c r="X149" s="12" t="n">
        <v>18810</v>
      </c>
    </row>
    <row r="150">
      <c r="A150" s="43" t="inlineStr">
        <is>
          <t>YoY</t>
        </is>
      </c>
      <c r="B150" s="3" t="inlineStr">
        <is>
          <t>전년 같은 분기·전년 대비</t>
        </is>
      </c>
      <c r="G150" s="15">
        <f>IF(OR(G149="",C149=""),"",IF(C149&lt;=0,"",IFERROR(G149/C149-1,"")))</f>
        <v/>
      </c>
      <c r="H150" s="15">
        <f>IF(OR(H149="",D149=""),"",IF(D149&lt;=0,"",IFERROR(H149/D149-1,"")))</f>
        <v/>
      </c>
      <c r="I150" s="15">
        <f>IF(OR(I149="",E149=""),"",IF(E149&lt;=0,"",IFERROR(I149/E149-1,"")))</f>
        <v/>
      </c>
      <c r="J150" s="15">
        <f>IF(OR(J149="",F149=""),"",IF(F149&lt;=0,"",IFERROR(J149/F149-1,"")))</f>
        <v/>
      </c>
      <c r="K150" s="15">
        <f>IF(OR(K149="",G149=""),"",IF(G149&lt;=0,"",IFERROR(K149/G149-1,"")))</f>
        <v/>
      </c>
      <c r="L150" s="15">
        <f>IF(OR(L149="",H149=""),"",IF(H149&lt;=0,"",IFERROR(L149/H149-1,"")))</f>
        <v/>
      </c>
      <c r="M150" s="15">
        <f>IF(OR(M149="",I149=""),"",IF(I149&lt;=0,"",IFERROR(M149/I149-1,"")))</f>
        <v/>
      </c>
      <c r="N150" s="15">
        <f>IF(OR(N149="",J149=""),"",IF(J149&lt;=0,"",IFERROR(N149/J149-1,"")))</f>
        <v/>
      </c>
      <c r="V150" s="15">
        <f>IF(OR(V149="",U149=""),"",IF(U149&lt;=0,"",IFERROR(V149/U149-1,"")))</f>
        <v/>
      </c>
      <c r="W150" s="15">
        <f>IF(OR(W149="",V149=""),"",IF(V149&lt;=0,"",IFERROR(W149/V149-1,"")))</f>
        <v/>
      </c>
      <c r="X150" s="15">
        <f>IF(OR(X149="",W149=""),"",IF(W149&lt;=0,"",IFERROR(X149/W149-1,"")))</f>
        <v/>
      </c>
    </row>
    <row r="152">
      <c r="A152" s="16" t="inlineStr">
        <is>
          <t>포괄손익 · 전 항목</t>
        </is>
      </c>
      <c r="B152" s="42" t="inlineStr">
        <is>
          <t>분기 = 3개월 단독</t>
        </is>
      </c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</row>
    <row r="153">
      <c r="A153" s="5" t="inlineStr">
        <is>
          <t>항목</t>
        </is>
      </c>
      <c r="B153" s="5" t="inlineStr">
        <is>
          <t>참고</t>
        </is>
      </c>
      <c r="C153" s="5" t="inlineStr">
        <is>
          <t>2024.3Q</t>
        </is>
      </c>
      <c r="D153" s="5" t="inlineStr">
        <is>
          <t>2024.4Q</t>
        </is>
      </c>
      <c r="E153" s="5" t="inlineStr">
        <is>
          <t>2025.1Q</t>
        </is>
      </c>
      <c r="F153" s="5" t="inlineStr">
        <is>
          <t>2025.2Q</t>
        </is>
      </c>
      <c r="G153" s="5" t="inlineStr">
        <is>
          <t>2025.3Q</t>
        </is>
      </c>
      <c r="H153" s="5" t="inlineStr">
        <is>
          <t>2025.4Q</t>
        </is>
      </c>
      <c r="I153" s="5" t="inlineStr">
        <is>
          <t>2026.1Q</t>
        </is>
      </c>
      <c r="J153" s="5" t="inlineStr">
        <is>
          <t>2026.2Q</t>
        </is>
      </c>
      <c r="K153" s="5" t="inlineStr">
        <is>
          <t>2026.3Q</t>
        </is>
      </c>
      <c r="L153" s="5" t="inlineStr">
        <is>
          <t>2026.4Q</t>
        </is>
      </c>
      <c r="M153" s="5" t="inlineStr">
        <is>
          <t>2027.1Q</t>
        </is>
      </c>
      <c r="N153" s="5" t="inlineStr">
        <is>
          <t>2027.2Q</t>
        </is>
      </c>
      <c r="O153" s="5" t="inlineStr">
        <is>
          <t>2017</t>
        </is>
      </c>
      <c r="P153" s="5" t="inlineStr">
        <is>
          <t>2018</t>
        </is>
      </c>
      <c r="Q153" s="5" t="inlineStr">
        <is>
          <t>2019</t>
        </is>
      </c>
      <c r="R153" s="5" t="inlineStr">
        <is>
          <t>2020</t>
        </is>
      </c>
      <c r="S153" s="5" t="inlineStr">
        <is>
          <t>2021</t>
        </is>
      </c>
      <c r="T153" s="5" t="inlineStr">
        <is>
          <t>2022</t>
        </is>
      </c>
      <c r="U153" s="5" t="inlineStr">
        <is>
          <t>2023</t>
        </is>
      </c>
      <c r="V153" s="5" t="inlineStr">
        <is>
          <t>2024</t>
        </is>
      </c>
      <c r="W153" s="5" t="inlineStr">
        <is>
          <t>2025</t>
        </is>
      </c>
      <c r="X153" s="5" t="inlineStr">
        <is>
          <t>2026</t>
        </is>
      </c>
      <c r="Y153" s="5" t="inlineStr">
        <is>
          <t>2027(MW)</t>
        </is>
      </c>
      <c r="Z153" s="5" t="inlineStr">
        <is>
          <t>2028(MW)</t>
        </is>
      </c>
      <c r="AA153" s="5" t="inlineStr">
        <is>
          <t>2029(MW)</t>
        </is>
      </c>
      <c r="AB153" s="5" t="inlineStr">
        <is>
          <t>2030(MW)</t>
        </is>
      </c>
      <c r="AC153" s="5" t="inlineStr">
        <is>
          <t>2031(MW)</t>
        </is>
      </c>
    </row>
    <row r="154">
      <c r="A154" s="9" t="inlineStr">
        <is>
          <t>순이익</t>
        </is>
      </c>
      <c r="C154" s="12" t="n">
        <v>15764</v>
      </c>
      <c r="D154" s="12" t="n">
        <v>6823</v>
      </c>
      <c r="E154" s="12" t="n">
        <v>10957</v>
      </c>
      <c r="F154" s="12" t="n">
        <v>14895</v>
      </c>
      <c r="G154" s="12" t="n">
        <v>15061</v>
      </c>
      <c r="H154" s="12" t="n">
        <v>14092</v>
      </c>
      <c r="I154" s="12" t="n">
        <v>18137</v>
      </c>
      <c r="J154" s="12" t="n">
        <v>6024</v>
      </c>
      <c r="K154" s="12" t="n">
        <v>17363</v>
      </c>
      <c r="L154" s="12" t="n">
        <v>18801</v>
      </c>
      <c r="M154" s="12" t="n">
        <v>29766</v>
      </c>
      <c r="N154" s="12" t="n">
        <v>31548</v>
      </c>
      <c r="V154" s="12" t="n">
        <v>6823</v>
      </c>
      <c r="W154" s="12" t="n">
        <v>14092</v>
      </c>
      <c r="X154" s="12" t="n">
        <v>18801</v>
      </c>
    </row>
    <row r="155">
      <c r="A155" s="18" t="inlineStr">
        <is>
          <t>기타유가증권 평가차액</t>
        </is>
      </c>
      <c r="C155" s="20" t="n">
        <v>-963</v>
      </c>
      <c r="D155" s="20" t="n">
        <v>18353</v>
      </c>
      <c r="E155" s="20" t="n">
        <v>-1921</v>
      </c>
      <c r="F155" s="20" t="n">
        <v>-2193</v>
      </c>
      <c r="G155" s="20" t="n">
        <v>876</v>
      </c>
      <c r="H155" s="20" t="n">
        <v>-2755</v>
      </c>
      <c r="I155" s="20" t="n">
        <v>2159</v>
      </c>
      <c r="J155" s="20" t="n">
        <v>10025</v>
      </c>
      <c r="K155" s="20" t="n">
        <v>3881</v>
      </c>
      <c r="L155" s="20" t="n">
        <v>-3575</v>
      </c>
      <c r="M155" s="20" t="n">
        <v>8110</v>
      </c>
      <c r="N155" s="20" t="n">
        <v>-4542</v>
      </c>
      <c r="V155" s="20" t="n">
        <v>18353</v>
      </c>
      <c r="W155" s="20" t="n">
        <v>-2755</v>
      </c>
      <c r="X155" s="20" t="n">
        <v>-3575</v>
      </c>
    </row>
    <row r="156">
      <c r="A156" s="18" t="inlineStr">
        <is>
          <t>이연헤지손익</t>
        </is>
      </c>
      <c r="C156" s="20" t="n">
        <v>-4</v>
      </c>
      <c r="D156" s="20" t="n">
        <v>1</v>
      </c>
      <c r="E156" s="20" t="n">
        <v>3</v>
      </c>
      <c r="F156" s="20" t="n">
        <v>-4</v>
      </c>
      <c r="G156" s="20" t="n">
        <v>1</v>
      </c>
      <c r="H156" s="20" t="n">
        <v>-112</v>
      </c>
      <c r="I156" s="20" t="n">
        <v>104</v>
      </c>
      <c r="J156" s="20" t="n">
        <v>-6</v>
      </c>
      <c r="K156" s="20" t="n">
        <v>3</v>
      </c>
      <c r="L156" s="20" t="n">
        <v>-43</v>
      </c>
      <c r="M156" s="20" t="n">
        <v>-196</v>
      </c>
      <c r="N156" s="20" t="n">
        <v>235</v>
      </c>
      <c r="V156" s="20" t="n">
        <v>1</v>
      </c>
      <c r="W156" s="20" t="n">
        <v>-112</v>
      </c>
      <c r="X156" s="20" t="n">
        <v>-43</v>
      </c>
    </row>
    <row r="157">
      <c r="A157" s="18" t="inlineStr">
        <is>
          <t>해외사업환산조정</t>
        </is>
      </c>
      <c r="C157" s="20" t="n">
        <v>-11332</v>
      </c>
      <c r="D157" s="20" t="n">
        <v>20156</v>
      </c>
      <c r="E157" s="20" t="n">
        <v>22400</v>
      </c>
      <c r="F157" s="20" t="n">
        <v>-37514</v>
      </c>
      <c r="G157" s="20" t="n">
        <v>24775</v>
      </c>
      <c r="H157" s="20" t="n">
        <v>-15198</v>
      </c>
      <c r="I157" s="20" t="n">
        <v>637</v>
      </c>
      <c r="J157" s="20" t="n">
        <v>15690</v>
      </c>
      <c r="K157" s="20" t="n">
        <v>23562</v>
      </c>
      <c r="L157" s="20" t="n">
        <v>5726</v>
      </c>
      <c r="M157" s="20" t="n">
        <v>6757</v>
      </c>
      <c r="N157" s="20" t="n">
        <v>-15979</v>
      </c>
      <c r="V157" s="20" t="n">
        <v>20156</v>
      </c>
      <c r="W157" s="20" t="n">
        <v>-15198</v>
      </c>
      <c r="X157" s="20" t="n">
        <v>5726</v>
      </c>
    </row>
    <row r="158">
      <c r="A158" s="18" t="inlineStr">
        <is>
          <t>퇴직급여 조정액</t>
        </is>
      </c>
      <c r="C158" s="20" t="n">
        <v>-140</v>
      </c>
      <c r="D158" s="20" t="n">
        <v>2288</v>
      </c>
      <c r="E158" s="20" t="n">
        <v>253</v>
      </c>
      <c r="F158" s="20" t="n">
        <v>-177</v>
      </c>
      <c r="G158" s="20" t="n">
        <v>148</v>
      </c>
      <c r="H158" s="20" t="n">
        <v>6165</v>
      </c>
      <c r="I158" s="20" t="n">
        <v>-202</v>
      </c>
      <c r="J158" s="20" t="n">
        <v>-152</v>
      </c>
      <c r="K158" s="20" t="n">
        <v>-138</v>
      </c>
      <c r="L158" s="20" t="n">
        <v>6322</v>
      </c>
      <c r="M158" s="20" t="n">
        <v>-279</v>
      </c>
      <c r="N158" s="20" t="n">
        <v>-556</v>
      </c>
      <c r="V158" s="20" t="n">
        <v>2288</v>
      </c>
      <c r="W158" s="20" t="n">
        <v>6165</v>
      </c>
      <c r="X158" s="20" t="n">
        <v>6322</v>
      </c>
    </row>
    <row r="159">
      <c r="A159" s="18" t="inlineStr">
        <is>
          <t>지분법 적용회사 지분 해당액</t>
        </is>
      </c>
      <c r="C159" s="20" t="n">
        <v>193</v>
      </c>
      <c r="D159" s="20" t="n">
        <v>-638</v>
      </c>
      <c r="E159" s="20" t="n">
        <v>0</v>
      </c>
      <c r="F159" s="20" t="n">
        <v>0</v>
      </c>
      <c r="G159" s="20" t="n">
        <v>0</v>
      </c>
      <c r="H159" s="20" t="n">
        <v>0</v>
      </c>
      <c r="V159" s="20" t="n">
        <v>-638</v>
      </c>
      <c r="W159" s="20" t="n">
        <v>0</v>
      </c>
    </row>
    <row r="160">
      <c r="A160" s="18" t="inlineStr">
        <is>
          <t>기타포괄손익 합계</t>
        </is>
      </c>
      <c r="C160" s="20" t="n">
        <v>-12248</v>
      </c>
      <c r="D160" s="20" t="n">
        <v>40161</v>
      </c>
      <c r="E160" s="20" t="n">
        <v>20736</v>
      </c>
      <c r="F160" s="20" t="n">
        <v>-39890</v>
      </c>
      <c r="G160" s="20" t="n">
        <v>25800</v>
      </c>
      <c r="H160" s="20" t="n">
        <v>-11899</v>
      </c>
      <c r="I160" s="20" t="n">
        <v>2699</v>
      </c>
      <c r="J160" s="20" t="n">
        <v>25556</v>
      </c>
      <c r="K160" s="20" t="n">
        <v>27308</v>
      </c>
      <c r="L160" s="20" t="n">
        <v>8432</v>
      </c>
      <c r="M160" s="20" t="n">
        <v>14391</v>
      </c>
      <c r="N160" s="20" t="n">
        <v>-20841</v>
      </c>
      <c r="V160" s="20" t="n">
        <v>40161</v>
      </c>
      <c r="W160" s="20" t="n">
        <v>-11899</v>
      </c>
      <c r="X160" s="20" t="n">
        <v>8432</v>
      </c>
    </row>
    <row r="161">
      <c r="A161" s="9" t="inlineStr">
        <is>
          <t>포괄이익</t>
        </is>
      </c>
      <c r="C161" s="12" t="n">
        <v>3517</v>
      </c>
      <c r="D161" s="12" t="n">
        <v>46983</v>
      </c>
      <c r="E161" s="12" t="n">
        <v>31694</v>
      </c>
      <c r="F161" s="12" t="n">
        <v>-24996</v>
      </c>
      <c r="G161" s="12" t="n">
        <v>40862</v>
      </c>
      <c r="H161" s="12" t="n">
        <v>2191</v>
      </c>
      <c r="I161" s="12" t="n">
        <v>20836</v>
      </c>
      <c r="J161" s="12" t="n">
        <v>31580</v>
      </c>
      <c r="K161" s="12" t="n">
        <v>44672</v>
      </c>
      <c r="L161" s="12" t="n">
        <v>27233</v>
      </c>
      <c r="M161" s="12" t="n">
        <v>44157</v>
      </c>
      <c r="N161" s="12" t="n">
        <v>10707</v>
      </c>
      <c r="V161" s="12" t="n">
        <v>46983</v>
      </c>
      <c r="W161" s="12" t="n">
        <v>2191</v>
      </c>
      <c r="X161" s="12" t="n">
        <v>27233</v>
      </c>
    </row>
    <row r="162">
      <c r="A162" s="9" t="inlineStr">
        <is>
          <t>지배주주 포괄이익</t>
        </is>
      </c>
      <c r="C162" s="12" t="n">
        <v>3557</v>
      </c>
      <c r="D162" s="12" t="n">
        <v>46542</v>
      </c>
      <c r="E162" s="12" t="n">
        <v>31304</v>
      </c>
      <c r="F162" s="12" t="n">
        <v>-24378</v>
      </c>
      <c r="G162" s="12" t="n">
        <v>40599</v>
      </c>
      <c r="H162" s="12" t="n">
        <v>2216</v>
      </c>
      <c r="I162" s="12" t="n">
        <v>20378</v>
      </c>
      <c r="J162" s="12" t="n">
        <v>31323</v>
      </c>
      <c r="K162" s="12" t="n">
        <v>44147</v>
      </c>
      <c r="L162" s="12" t="n">
        <v>27249</v>
      </c>
      <c r="M162" s="12" t="n">
        <v>43614</v>
      </c>
      <c r="N162" s="12" t="n">
        <v>10895</v>
      </c>
      <c r="V162" s="12" t="n">
        <v>46542</v>
      </c>
      <c r="W162" s="12" t="n">
        <v>2216</v>
      </c>
      <c r="X162" s="12" t="n">
        <v>27249</v>
      </c>
    </row>
    <row r="163">
      <c r="A163" s="9" t="inlineStr">
        <is>
          <t>비지배주주 포괄이익</t>
        </is>
      </c>
      <c r="C163" s="12" t="n">
        <v>-41</v>
      </c>
      <c r="D163" s="12" t="n">
        <v>442</v>
      </c>
      <c r="E163" s="12" t="n">
        <v>390</v>
      </c>
      <c r="F163" s="12" t="n">
        <v>-618</v>
      </c>
      <c r="G163" s="12" t="n">
        <v>262</v>
      </c>
      <c r="H163" s="12" t="n">
        <v>-24</v>
      </c>
      <c r="I163" s="12" t="n">
        <v>458</v>
      </c>
      <c r="J163" s="12" t="n">
        <v>256</v>
      </c>
      <c r="K163" s="12" t="n">
        <v>525</v>
      </c>
      <c r="L163" s="12" t="n">
        <v>-16</v>
      </c>
      <c r="M163" s="12" t="n">
        <v>543</v>
      </c>
      <c r="N163" s="12" t="n">
        <v>-189</v>
      </c>
      <c r="V163" s="12" t="n">
        <v>442</v>
      </c>
      <c r="W163" s="12" t="n">
        <v>-24</v>
      </c>
      <c r="X163" s="12" t="n">
        <v>-16</v>
      </c>
    </row>
    <row r="165">
      <c r="A165" s="16" t="inlineStr">
        <is>
          <t>부문 · 전 항목</t>
        </is>
      </c>
      <c r="B165" s="42" t="inlineStr">
        <is>
          <t>부문 · 항목</t>
        </is>
      </c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</row>
    <row r="166">
      <c r="A166" s="5" t="inlineStr">
        <is>
          <t>항목</t>
        </is>
      </c>
      <c r="B166" s="5" t="inlineStr">
        <is>
          <t>참고</t>
        </is>
      </c>
      <c r="C166" s="5" t="inlineStr">
        <is>
          <t>2024.3Q</t>
        </is>
      </c>
      <c r="D166" s="5" t="inlineStr">
        <is>
          <t>2024.4Q</t>
        </is>
      </c>
      <c r="E166" s="5" t="inlineStr">
        <is>
          <t>2025.1Q</t>
        </is>
      </c>
      <c r="F166" s="5" t="inlineStr">
        <is>
          <t>2025.2Q</t>
        </is>
      </c>
      <c r="G166" s="5" t="inlineStr">
        <is>
          <t>2025.3Q</t>
        </is>
      </c>
      <c r="H166" s="5" t="inlineStr">
        <is>
          <t>2025.4Q</t>
        </is>
      </c>
      <c r="I166" s="5" t="inlineStr">
        <is>
          <t>2026.1Q</t>
        </is>
      </c>
      <c r="J166" s="5" t="inlineStr">
        <is>
          <t>2026.2Q</t>
        </is>
      </c>
      <c r="K166" s="5" t="inlineStr">
        <is>
          <t>2026.3Q</t>
        </is>
      </c>
      <c r="L166" s="5" t="inlineStr">
        <is>
          <t>2026.4Q</t>
        </is>
      </c>
      <c r="M166" s="5" t="inlineStr">
        <is>
          <t>2027.1Q</t>
        </is>
      </c>
      <c r="N166" s="5" t="inlineStr">
        <is>
          <t>2027.2Q</t>
        </is>
      </c>
      <c r="O166" s="5" t="inlineStr">
        <is>
          <t>2017</t>
        </is>
      </c>
      <c r="P166" s="5" t="inlineStr">
        <is>
          <t>2018</t>
        </is>
      </c>
      <c r="Q166" s="5" t="inlineStr">
        <is>
          <t>2019</t>
        </is>
      </c>
      <c r="R166" s="5" t="inlineStr">
        <is>
          <t>2020</t>
        </is>
      </c>
      <c r="S166" s="5" t="inlineStr">
        <is>
          <t>2021</t>
        </is>
      </c>
      <c r="T166" s="5" t="inlineStr">
        <is>
          <t>2022</t>
        </is>
      </c>
      <c r="U166" s="5" t="inlineStr">
        <is>
          <t>2023</t>
        </is>
      </c>
      <c r="V166" s="5" t="inlineStr">
        <is>
          <t>2024</t>
        </is>
      </c>
      <c r="W166" s="5" t="inlineStr">
        <is>
          <t>2025</t>
        </is>
      </c>
      <c r="X166" s="5" t="inlineStr">
        <is>
          <t>2026</t>
        </is>
      </c>
      <c r="Y166" s="5" t="inlineStr">
        <is>
          <t>2027(MW)</t>
        </is>
      </c>
      <c r="Z166" s="5" t="inlineStr">
        <is>
          <t>2028(MW)</t>
        </is>
      </c>
      <c r="AA166" s="5" t="inlineStr">
        <is>
          <t>2029(MW)</t>
        </is>
      </c>
      <c r="AB166" s="5" t="inlineStr">
        <is>
          <t>2030(MW)</t>
        </is>
      </c>
      <c r="AC166" s="5" t="inlineStr">
        <is>
          <t>2031(MW)</t>
        </is>
      </c>
    </row>
    <row r="167">
      <c r="A167" s="18" t="inlineStr">
        <is>
          <t>부문 · 외부 고객 매출</t>
        </is>
      </c>
      <c r="C167" s="20" t="n">
        <v>90598</v>
      </c>
      <c r="D167" s="20" t="n">
        <v>106844</v>
      </c>
      <c r="G167" s="20" t="n">
        <v>96221</v>
      </c>
      <c r="H167" s="20" t="n">
        <v>101804</v>
      </c>
      <c r="K167" s="20" t="n">
        <v>100630</v>
      </c>
      <c r="L167" s="20" t="n">
        <v>106359</v>
      </c>
      <c r="V167" s="20" t="n">
        <v>106844</v>
      </c>
      <c r="W167" s="20" t="n">
        <v>101804</v>
      </c>
      <c r="X167" s="20" t="n">
        <v>106359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부문 · 외부 고객 매출</t>
        </is>
      </c>
      <c r="C169" s="20" t="n">
        <v>35979</v>
      </c>
      <c r="D169" s="20" t="n">
        <v>36108</v>
      </c>
      <c r="G169" s="20" t="n">
        <v>44795</v>
      </c>
      <c r="H169" s="20" t="n">
        <v>47650</v>
      </c>
      <c r="K169" s="20" t="n">
        <v>51307</v>
      </c>
      <c r="L169" s="20" t="n">
        <v>56270</v>
      </c>
      <c r="V169" s="20" t="n">
        <v>36108</v>
      </c>
      <c r="W169" s="20" t="n">
        <v>47650</v>
      </c>
      <c r="X169" s="20" t="n">
        <v>56270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부문 · 외부 고객 매출</t>
        </is>
      </c>
      <c r="C171" s="20" t="n">
        <v>13066</v>
      </c>
      <c r="D171" s="20" t="n">
        <v>13435</v>
      </c>
      <c r="G171" s="20" t="n">
        <v>16083</v>
      </c>
      <c r="H171" s="20" t="n">
        <v>14607</v>
      </c>
      <c r="K171" s="20" t="n">
        <v>9769</v>
      </c>
      <c r="L171" s="20" t="n">
        <v>19587</v>
      </c>
      <c r="V171" s="20" t="n">
        <v>13435</v>
      </c>
      <c r="W171" s="20" t="n">
        <v>14607</v>
      </c>
      <c r="X171" s="20" t="n">
        <v>19587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K172" s="15">
        <f>IF(OR(K171="",G171=""),"",IF(G171&lt;=0,"",IFERROR(K171/G171-1,"")))</f>
        <v/>
      </c>
      <c r="L172" s="15">
        <f>IF(OR(L171="",H171=""),"",IF(H171&lt;=0,"",IFERROR(L171/H171-1,"")))</f>
        <v/>
      </c>
      <c r="V172" s="15">
        <f>IF(OR(V171="",U171=""),"",IF(U171&lt;=0,"",IFERROR(V171/U171-1,"")))</f>
        <v/>
      </c>
      <c r="W172" s="15">
        <f>IF(OR(W171="",V171=""),"",IF(V171&lt;=0,"",IFERROR(W171/V171-1,"")))</f>
        <v/>
      </c>
      <c r="X172" s="15">
        <f>IF(OR(X171="",W171=""),"",IF(W171&lt;=0,"",IFERROR(X171/W171-1,"")))</f>
        <v/>
      </c>
    </row>
    <row r="173">
      <c r="A173" s="18" t="inlineStr">
        <is>
          <t>보고부문 합계 · 외부 고객 매출</t>
        </is>
      </c>
      <c r="C173" s="20" t="n">
        <v>139643</v>
      </c>
      <c r="D173" s="20" t="n">
        <v>156386</v>
      </c>
      <c r="E173" s="20" t="n">
        <v>152521</v>
      </c>
      <c r="F173" s="20" t="n">
        <v>145831</v>
      </c>
      <c r="G173" s="20" t="n">
        <v>157099</v>
      </c>
      <c r="H173" s="20" t="n">
        <v>164062</v>
      </c>
      <c r="I173" s="20" t="n">
        <v>166458</v>
      </c>
      <c r="J173" s="20" t="n">
        <v>159746</v>
      </c>
      <c r="K173" s="20" t="n">
        <v>161704</v>
      </c>
      <c r="L173" s="20" t="n">
        <v>182217</v>
      </c>
      <c r="M173" s="20" t="n">
        <v>184147</v>
      </c>
      <c r="N173" s="20" t="n">
        <v>187159</v>
      </c>
      <c r="V173" s="20" t="n">
        <v>156386</v>
      </c>
      <c r="W173" s="20" t="n">
        <v>164062</v>
      </c>
      <c r="X173" s="20" t="n">
        <v>182217</v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IF(OR(G173="",C173=""),"",IF(C173&lt;=0,"",IFERROR(G173/C173-1,"")))</f>
        <v/>
      </c>
      <c r="H174" s="15">
        <f>IF(OR(H173="",D173=""),"",IF(D173&lt;=0,"",IFERROR(H173/D173-1,"")))</f>
        <v/>
      </c>
      <c r="I174" s="15">
        <f>IF(OR(I173="",E173=""),"",IF(E173&lt;=0,"",IFERROR(I173/E173-1,"")))</f>
        <v/>
      </c>
      <c r="J174" s="15">
        <f>IF(OR(J173="",F173=""),"",IF(F173&lt;=0,"",IFERROR(J173/F173-1,"")))</f>
        <v/>
      </c>
      <c r="K174" s="15">
        <f>IF(OR(K173="",G173=""),"",IF(G173&lt;=0,"",IFERROR(K173/G173-1,"")))</f>
        <v/>
      </c>
      <c r="L174" s="15">
        <f>IF(OR(L173="",H173=""),"",IF(H173&lt;=0,"",IFERROR(L173/H173-1,"")))</f>
        <v/>
      </c>
      <c r="M174" s="15">
        <f>IF(OR(M173="",I173=""),"",IF(I173&lt;=0,"",IFERROR(M173/I173-1,"")))</f>
        <v/>
      </c>
      <c r="N174" s="15">
        <f>IF(OR(N173="",J173=""),"",IF(J173&lt;=0,"",IFERROR(N173/J173-1,"")))</f>
        <v/>
      </c>
      <c r="V174" s="15">
        <f>IF(OR(V173="",U173=""),"",IF(U173&lt;=0,"",IFERROR(V173/U173-1,"")))</f>
        <v/>
      </c>
      <c r="W174" s="15">
        <f>IF(OR(W173="",V173=""),"",IF(V173&lt;=0,"",IFERROR(W173/V173-1,"")))</f>
        <v/>
      </c>
      <c r="X174" s="15">
        <f>IF(OR(X173="",W173=""),"",IF(W173&lt;=0,"",IFERROR(X173/W173-1,"")))</f>
        <v/>
      </c>
    </row>
    <row r="175">
      <c r="A175" s="18" t="inlineStr">
        <is>
          <t>조정액 · 외부 고객 매출</t>
        </is>
      </c>
      <c r="C175" s="20" t="n">
        <v>0</v>
      </c>
      <c r="D175" s="20" t="n">
        <v>0</v>
      </c>
      <c r="E175" s="20" t="n">
        <v>0</v>
      </c>
      <c r="F175" s="20" t="n">
        <v>0</v>
      </c>
      <c r="G175" s="20" t="n">
        <v>0</v>
      </c>
      <c r="H175" s="20" t="n">
        <v>0</v>
      </c>
      <c r="I175" s="20" t="n">
        <v>0</v>
      </c>
      <c r="J175" s="20" t="n">
        <v>0</v>
      </c>
      <c r="K175" s="20" t="n">
        <v>0</v>
      </c>
      <c r="L175" s="20" t="n">
        <v>0</v>
      </c>
      <c r="M175" s="20" t="n">
        <v>0</v>
      </c>
      <c r="N175" s="20" t="n">
        <v>0</v>
      </c>
      <c r="V175" s="20" t="n">
        <v>0</v>
      </c>
      <c r="W175" s="20" t="n">
        <v>0</v>
      </c>
      <c r="X175" s="20" t="n">
        <v>0</v>
      </c>
    </row>
    <row r="176">
      <c r="A176" s="9" t="inlineStr">
        <is>
          <t>외부 고객 매출</t>
        </is>
      </c>
      <c r="C176" s="12" t="n">
        <v>139643</v>
      </c>
      <c r="D176" s="12" t="n">
        <v>156386</v>
      </c>
      <c r="E176" s="12" t="n">
        <v>152521</v>
      </c>
      <c r="F176" s="12" t="n">
        <v>145831</v>
      </c>
      <c r="G176" s="12" t="n">
        <v>157099</v>
      </c>
      <c r="H176" s="12" t="n">
        <v>164062</v>
      </c>
      <c r="I176" s="12" t="n">
        <v>166458</v>
      </c>
      <c r="J176" s="12" t="n">
        <v>159746</v>
      </c>
      <c r="K176" s="12" t="n">
        <v>161704</v>
      </c>
      <c r="L176" s="12" t="n">
        <v>182217</v>
      </c>
      <c r="M176" s="12" t="n">
        <v>184147</v>
      </c>
      <c r="N176" s="12" t="n">
        <v>187159</v>
      </c>
      <c r="V176" s="12" t="n">
        <v>156386</v>
      </c>
      <c r="W176" s="12" t="n">
        <v>164062</v>
      </c>
      <c r="X176" s="12" t="n">
        <v>182217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IF(OR(G176="",C176=""),"",IF(C176&lt;=0,"",IFERROR(G176/C176-1,"")))</f>
        <v/>
      </c>
      <c r="H177" s="15">
        <f>IF(OR(H176="",D176=""),"",IF(D176&lt;=0,"",IFERROR(H176/D176-1,"")))</f>
        <v/>
      </c>
      <c r="I177" s="15">
        <f>IF(OR(I176="",E176=""),"",IF(E176&lt;=0,"",IFERROR(I176/E176-1,"")))</f>
        <v/>
      </c>
      <c r="J177" s="15">
        <f>IF(OR(J176="",F176=""),"",IF(F176&lt;=0,"",IFERROR(J176/F176-1,"")))</f>
        <v/>
      </c>
      <c r="K177" s="15">
        <f>IF(OR(K176="",G176=""),"",IF(G176&lt;=0,"",IFERROR(K176/G176-1,"")))</f>
        <v/>
      </c>
      <c r="L177" s="15">
        <f>IF(OR(L176="",H176=""),"",IF(H176&lt;=0,"",IFERROR(L176/H176-1,"")))</f>
        <v/>
      </c>
      <c r="M177" s="15">
        <f>IF(OR(M176="",I176=""),"",IF(I176&lt;=0,"",IFERROR(M176/I176-1,"")))</f>
        <v/>
      </c>
      <c r="N177" s="15">
        <f>IF(OR(N176="",J176=""),"",IF(J176&lt;=0,"",IFERROR(N176/J176-1,"")))</f>
        <v/>
      </c>
      <c r="V177" s="15">
        <f>IF(OR(V176="",U176=""),"",IF(U176&lt;=0,"",IFERROR(V176/U176-1,"")))</f>
        <v/>
      </c>
      <c r="W177" s="15">
        <f>IF(OR(W176="",V176=""),"",IF(V176&lt;=0,"",IFERROR(W176/V176-1,"")))</f>
        <v/>
      </c>
      <c r="X177" s="15">
        <f>IF(OR(X176="",W176=""),"",IF(W176&lt;=0,"",IFERROR(X176/W176-1,"")))</f>
        <v/>
      </c>
    </row>
    <row r="178">
      <c r="A178" s="18" t="inlineStr">
        <is>
          <t>부문 · 부문 간 내부매출·대체</t>
        </is>
      </c>
      <c r="E178" s="20" t="n">
        <v>90</v>
      </c>
      <c r="I178" s="20" t="n">
        <v>231</v>
      </c>
      <c r="M178" s="20" t="n">
        <v>475</v>
      </c>
    </row>
    <row r="179">
      <c r="A179" s="18" t="inlineStr">
        <is>
          <t>부문 · 부문 간 내부매출·대체</t>
        </is>
      </c>
      <c r="E179" s="20" t="n">
        <v>0</v>
      </c>
      <c r="I179" s="20" t="n">
        <v>0</v>
      </c>
      <c r="M179" s="20" t="n">
        <v>2</v>
      </c>
    </row>
    <row r="180">
      <c r="A180" s="18" t="inlineStr">
        <is>
          <t>부문 · 부문 간 내부매출·대체</t>
        </is>
      </c>
      <c r="E180" s="20" t="n">
        <v>142</v>
      </c>
      <c r="I180" s="20" t="n">
        <v>192</v>
      </c>
      <c r="M180" s="20" t="n">
        <v>134</v>
      </c>
    </row>
    <row r="181">
      <c r="A181" s="18" t="inlineStr">
        <is>
          <t>부문 · 부문 간 내부매출·대체</t>
        </is>
      </c>
      <c r="C181" s="20" t="n">
        <v>61</v>
      </c>
      <c r="D181" s="20" t="n">
        <v>55</v>
      </c>
      <c r="G181" s="20" t="n">
        <v>108</v>
      </c>
      <c r="H181" s="20" t="n">
        <v>135</v>
      </c>
      <c r="K181" s="20" t="n">
        <v>633</v>
      </c>
      <c r="L181" s="20" t="n">
        <v>496</v>
      </c>
      <c r="V181" s="20" t="n">
        <v>55</v>
      </c>
      <c r="W181" s="20" t="n">
        <v>135</v>
      </c>
      <c r="X181" s="20" t="n">
        <v>496</v>
      </c>
    </row>
    <row r="182">
      <c r="A182" s="18" t="inlineStr">
        <is>
          <t>부문 · 부문 간 내부매출·대체</t>
        </is>
      </c>
      <c r="C182" s="20" t="n">
        <v>4</v>
      </c>
      <c r="D182" s="20" t="n">
        <v>0</v>
      </c>
      <c r="G182" s="20" t="n">
        <v>3</v>
      </c>
      <c r="H182" s="20" t="n">
        <v>0</v>
      </c>
      <c r="K182" s="20" t="n">
        <v>3</v>
      </c>
      <c r="L182" s="20" t="n">
        <v>2</v>
      </c>
      <c r="V182" s="20" t="n">
        <v>0</v>
      </c>
      <c r="W182" s="20" t="n">
        <v>0</v>
      </c>
      <c r="X182" s="20" t="n">
        <v>2</v>
      </c>
    </row>
    <row r="183">
      <c r="A183" s="18" t="inlineStr">
        <is>
          <t>부문 · 부문 간 내부매출·대체</t>
        </is>
      </c>
      <c r="C183" s="20" t="n">
        <v>199</v>
      </c>
      <c r="D183" s="20" t="n">
        <v>278</v>
      </c>
      <c r="G183" s="20" t="n">
        <v>172</v>
      </c>
      <c r="H183" s="20" t="n">
        <v>264</v>
      </c>
      <c r="K183" s="20" t="n">
        <v>138</v>
      </c>
      <c r="L183" s="20" t="n">
        <v>176</v>
      </c>
      <c r="V183" s="20" t="n">
        <v>278</v>
      </c>
      <c r="W183" s="20" t="n">
        <v>264</v>
      </c>
      <c r="X183" s="20" t="n">
        <v>176</v>
      </c>
    </row>
    <row r="184">
      <c r="A184" s="18" t="inlineStr">
        <is>
          <t>보고부문 합계 · 부문 간 내부매출·대체</t>
        </is>
      </c>
      <c r="C184" s="20" t="n">
        <v>263</v>
      </c>
      <c r="D184" s="20" t="n">
        <v>333</v>
      </c>
      <c r="E184" s="20" t="n">
        <v>232</v>
      </c>
      <c r="F184" s="20" t="n">
        <v>331</v>
      </c>
      <c r="G184" s="20" t="n">
        <v>283</v>
      </c>
      <c r="H184" s="20" t="n">
        <v>399</v>
      </c>
      <c r="I184" s="20" t="n">
        <v>424</v>
      </c>
      <c r="J184" s="20" t="n">
        <v>768</v>
      </c>
      <c r="K184" s="20" t="n">
        <v>774</v>
      </c>
      <c r="L184" s="20" t="n">
        <v>674</v>
      </c>
      <c r="M184" s="20" t="n">
        <v>612</v>
      </c>
      <c r="N184" s="20" t="n">
        <v>278</v>
      </c>
      <c r="V184" s="20" t="n">
        <v>333</v>
      </c>
      <c r="W184" s="20" t="n">
        <v>399</v>
      </c>
      <c r="X184" s="20" t="n">
        <v>674</v>
      </c>
    </row>
    <row r="185">
      <c r="A185" s="18" t="inlineStr">
        <is>
          <t>조정액 · 부문 간 내부매출·대체</t>
        </is>
      </c>
      <c r="C185" s="20" t="n">
        <v>-263</v>
      </c>
      <c r="D185" s="20" t="n">
        <v>-333</v>
      </c>
      <c r="E185" s="20" t="n">
        <v>-232</v>
      </c>
      <c r="F185" s="20" t="n">
        <v>-331</v>
      </c>
      <c r="G185" s="20" t="n">
        <v>-283</v>
      </c>
      <c r="H185" s="20" t="n">
        <v>-399</v>
      </c>
      <c r="I185" s="20" t="n">
        <v>-424</v>
      </c>
      <c r="J185" s="20" t="n">
        <v>-768</v>
      </c>
      <c r="K185" s="20" t="n">
        <v>-774</v>
      </c>
      <c r="L185" s="20" t="n">
        <v>-674</v>
      </c>
      <c r="M185" s="20" t="n">
        <v>-612</v>
      </c>
      <c r="N185" s="20" t="n">
        <v>-278</v>
      </c>
      <c r="V185" s="20" t="n">
        <v>-333</v>
      </c>
      <c r="W185" s="20" t="n">
        <v>-399</v>
      </c>
      <c r="X185" s="20" t="n">
        <v>-674</v>
      </c>
    </row>
    <row r="186">
      <c r="A186" s="18" t="inlineStr">
        <is>
          <t>부문 간 내부매출·대체</t>
        </is>
      </c>
      <c r="C186" s="20" t="n">
        <v>0</v>
      </c>
      <c r="D186" s="20" t="n">
        <v>0</v>
      </c>
      <c r="E186" s="20" t="n">
        <v>0</v>
      </c>
      <c r="F186" s="20" t="n">
        <v>0</v>
      </c>
      <c r="G186" s="20" t="n">
        <v>0</v>
      </c>
      <c r="H186" s="20" t="n">
        <v>0</v>
      </c>
      <c r="I186" s="20" t="n">
        <v>0</v>
      </c>
      <c r="J186" s="20" t="n">
        <v>0</v>
      </c>
      <c r="K186" s="20" t="n">
        <v>0</v>
      </c>
      <c r="L186" s="20" t="n">
        <v>0</v>
      </c>
      <c r="M186" s="20" t="n">
        <v>0</v>
      </c>
      <c r="N186" s="20" t="n">
        <v>0</v>
      </c>
      <c r="V186" s="20" t="n">
        <v>0</v>
      </c>
      <c r="W186" s="20" t="n">
        <v>0</v>
      </c>
      <c r="X186" s="20" t="n">
        <v>0</v>
      </c>
    </row>
    <row r="187">
      <c r="A187" s="18" t="inlineStr">
        <is>
          <t>부문 · 계</t>
        </is>
      </c>
      <c r="E187" s="20" t="n">
        <v>99117</v>
      </c>
      <c r="I187" s="20" t="n">
        <v>98471</v>
      </c>
      <c r="M187" s="20" t="n">
        <v>107121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I188" s="15">
        <f>IF(OR(I187="",E187=""),"",IF(E187&lt;=0,"",IFERROR(I187/E187-1,"")))</f>
        <v/>
      </c>
      <c r="M188" s="15">
        <f>IF(OR(M187="",I187=""),"",IF(I187&lt;=0,"",IFERROR(M187/I187-1,"")))</f>
        <v/>
      </c>
    </row>
    <row r="189">
      <c r="A189" s="18" t="inlineStr">
        <is>
          <t>부문 · 계</t>
        </is>
      </c>
      <c r="E189" s="20" t="n">
        <v>39933</v>
      </c>
      <c r="I189" s="20" t="n">
        <v>47171</v>
      </c>
      <c r="M189" s="20" t="n">
        <v>62660</v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I190" s="15">
        <f>IF(OR(I189="",E189=""),"",IF(E189&lt;=0,"",IFERROR(I189/E189-1,"")))</f>
        <v/>
      </c>
      <c r="M190" s="15">
        <f>IF(OR(M189="",I189=""),"",IF(I189&lt;=0,"",IFERROR(M189/I189-1,"")))</f>
        <v/>
      </c>
    </row>
    <row r="191">
      <c r="A191" s="18" t="inlineStr">
        <is>
          <t>부문 · 계</t>
        </is>
      </c>
      <c r="E191" s="20" t="n">
        <v>13703</v>
      </c>
      <c r="I191" s="20" t="n">
        <v>21240</v>
      </c>
      <c r="M191" s="20" t="n">
        <v>14977</v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I192" s="15">
        <f>IF(OR(I191="",E191=""),"",IF(E191&lt;=0,"",IFERROR(I191/E191-1,"")))</f>
        <v/>
      </c>
      <c r="M192" s="15">
        <f>IF(OR(M191="",I191=""),"",IF(I191&lt;=0,"",IFERROR(M191/I191-1,"")))</f>
        <v/>
      </c>
    </row>
    <row r="193">
      <c r="A193" s="18" t="inlineStr">
        <is>
          <t>부문 · 계</t>
        </is>
      </c>
      <c r="C193" s="20" t="n">
        <v>90658</v>
      </c>
      <c r="D193" s="20" t="n">
        <v>106899</v>
      </c>
      <c r="G193" s="20" t="n">
        <v>96329</v>
      </c>
      <c r="H193" s="20" t="n">
        <v>101939</v>
      </c>
      <c r="K193" s="20" t="n">
        <v>101262</v>
      </c>
      <c r="L193" s="20" t="n">
        <v>106855</v>
      </c>
      <c r="V193" s="20" t="n">
        <v>106899</v>
      </c>
      <c r="W193" s="20" t="n">
        <v>101939</v>
      </c>
      <c r="X193" s="20" t="n">
        <v>106855</v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IF(OR(G193="",C193=""),"",IF(C193&lt;=0,"",IFERROR(G193/C193-1,"")))</f>
        <v/>
      </c>
      <c r="H194" s="15">
        <f>IF(OR(H193="",D193=""),"",IF(D193&lt;=0,"",IFERROR(H193/D193-1,"")))</f>
        <v/>
      </c>
      <c r="K194" s="15">
        <f>IF(OR(K193="",G193=""),"",IF(G193&lt;=0,"",IFERROR(K193/G193-1,"")))</f>
        <v/>
      </c>
      <c r="L194" s="15">
        <f>IF(OR(L193="",H193=""),"",IF(H193&lt;=0,"",IFERROR(L193/H193-1,"")))</f>
        <v/>
      </c>
      <c r="V194" s="15">
        <f>IF(OR(V193="",U193=""),"",IF(U193&lt;=0,"",IFERROR(V193/U193-1,"")))</f>
        <v/>
      </c>
      <c r="W194" s="15">
        <f>IF(OR(W193="",V193=""),"",IF(V193&lt;=0,"",IFERROR(W193/V193-1,"")))</f>
        <v/>
      </c>
      <c r="X194" s="15">
        <f>IF(OR(X193="",W193=""),"",IF(W193&lt;=0,"",IFERROR(X193/W193-1,"")))</f>
        <v/>
      </c>
    </row>
    <row r="195">
      <c r="A195" s="18" t="inlineStr">
        <is>
          <t>부문 · 계</t>
        </is>
      </c>
      <c r="C195" s="20" t="n">
        <v>35983</v>
      </c>
      <c r="D195" s="20" t="n">
        <v>36108</v>
      </c>
      <c r="G195" s="20" t="n">
        <v>44798</v>
      </c>
      <c r="H195" s="20" t="n">
        <v>47651</v>
      </c>
      <c r="K195" s="20" t="n">
        <v>51309</v>
      </c>
      <c r="L195" s="20" t="n">
        <v>56273</v>
      </c>
      <c r="V195" s="20" t="n">
        <v>36108</v>
      </c>
      <c r="W195" s="20" t="n">
        <v>47651</v>
      </c>
      <c r="X195" s="20" t="n">
        <v>56273</v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IF(OR(G195="",C195=""),"",IF(C195&lt;=0,"",IFERROR(G195/C195-1,"")))</f>
        <v/>
      </c>
      <c r="H196" s="15">
        <f>IF(OR(H195="",D195=""),"",IF(D195&lt;=0,"",IFERROR(H195/D195-1,"")))</f>
        <v/>
      </c>
      <c r="K196" s="15">
        <f>IF(OR(K195="",G195=""),"",IF(G195&lt;=0,"",IFERROR(K195/G195-1,"")))</f>
        <v/>
      </c>
      <c r="L196" s="15">
        <f>IF(OR(L195="",H195=""),"",IF(H195&lt;=0,"",IFERROR(L195/H195-1,"")))</f>
        <v/>
      </c>
      <c r="V196" s="15">
        <f>IF(OR(V195="",U195=""),"",IF(U195&lt;=0,"",IFERROR(V195/U195-1,"")))</f>
        <v/>
      </c>
      <c r="W196" s="15">
        <f>IF(OR(W195="",V195=""),"",IF(V195&lt;=0,"",IFERROR(W195/V195-1,"")))</f>
        <v/>
      </c>
      <c r="X196" s="15">
        <f>IF(OR(X195="",W195=""),"",IF(W195&lt;=0,"",IFERROR(X195/W195-1,"")))</f>
        <v/>
      </c>
    </row>
    <row r="197">
      <c r="A197" s="18" t="inlineStr">
        <is>
          <t>부문 · 계</t>
        </is>
      </c>
      <c r="C197" s="20" t="n">
        <v>13265</v>
      </c>
      <c r="D197" s="20" t="n">
        <v>13712</v>
      </c>
      <c r="G197" s="20" t="n">
        <v>16255</v>
      </c>
      <c r="H197" s="20" t="n">
        <v>14871</v>
      </c>
      <c r="K197" s="20" t="n">
        <v>9906</v>
      </c>
      <c r="L197" s="20" t="n">
        <v>19763</v>
      </c>
      <c r="V197" s="20" t="n">
        <v>13712</v>
      </c>
      <c r="W197" s="20" t="n">
        <v>14871</v>
      </c>
      <c r="X197" s="20" t="n">
        <v>19763</v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G198" s="15">
        <f>IF(OR(G197="",C197=""),"",IF(C197&lt;=0,"",IFERROR(G197/C197-1,"")))</f>
        <v/>
      </c>
      <c r="H198" s="15">
        <f>IF(OR(H197="",D197=""),"",IF(D197&lt;=0,"",IFERROR(H197/D197-1,"")))</f>
        <v/>
      </c>
      <c r="K198" s="15">
        <f>IF(OR(K197="",G197=""),"",IF(G197&lt;=0,"",IFERROR(K197/G197-1,"")))</f>
        <v/>
      </c>
      <c r="L198" s="15">
        <f>IF(OR(L197="",H197=""),"",IF(H197&lt;=0,"",IFERROR(L197/H197-1,"")))</f>
        <v/>
      </c>
      <c r="V198" s="15">
        <f>IF(OR(V197="",U197=""),"",IF(U197&lt;=0,"",IFERROR(V197/U197-1,"")))</f>
        <v/>
      </c>
      <c r="W198" s="15">
        <f>IF(OR(W197="",V197=""),"",IF(V197&lt;=0,"",IFERROR(W197/V197-1,"")))</f>
        <v/>
      </c>
      <c r="X198" s="15">
        <f>IF(OR(X197="",W197=""),"",IF(W197&lt;=0,"",IFERROR(X197/W197-1,"")))</f>
        <v/>
      </c>
    </row>
    <row r="199">
      <c r="A199" s="18" t="inlineStr">
        <is>
          <t>보고부문 합계 · 계</t>
        </is>
      </c>
      <c r="C199" s="20" t="n">
        <v>139906</v>
      </c>
      <c r="D199" s="20" t="n">
        <v>156720</v>
      </c>
      <c r="E199" s="20" t="n">
        <v>152754</v>
      </c>
      <c r="F199" s="20" t="n">
        <v>146161</v>
      </c>
      <c r="G199" s="20" t="n">
        <v>157382</v>
      </c>
      <c r="H199" s="20" t="n">
        <v>164461</v>
      </c>
      <c r="I199" s="20" t="n">
        <v>166883</v>
      </c>
      <c r="J199" s="20" t="n">
        <v>160513</v>
      </c>
      <c r="K199" s="20" t="n">
        <v>162478</v>
      </c>
      <c r="L199" s="20" t="n">
        <v>182891</v>
      </c>
      <c r="M199" s="20" t="n">
        <v>184759</v>
      </c>
      <c r="N199" s="20" t="n">
        <v>187437</v>
      </c>
      <c r="V199" s="20" t="n">
        <v>156720</v>
      </c>
      <c r="W199" s="20" t="n">
        <v>164461</v>
      </c>
      <c r="X199" s="20" t="n">
        <v>182891</v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IF(OR(G199="",C199=""),"",IF(C199&lt;=0,"",IFERROR(G199/C199-1,"")))</f>
        <v/>
      </c>
      <c r="H200" s="15">
        <f>IF(OR(H199="",D199=""),"",IF(D199&lt;=0,"",IFERROR(H199/D199-1,"")))</f>
        <v/>
      </c>
      <c r="I200" s="15">
        <f>IF(OR(I199="",E199=""),"",IF(E199&lt;=0,"",IFERROR(I199/E199-1,"")))</f>
        <v/>
      </c>
      <c r="J200" s="15">
        <f>IF(OR(J199="",F199=""),"",IF(F199&lt;=0,"",IFERROR(J199/F199-1,"")))</f>
        <v/>
      </c>
      <c r="K200" s="15">
        <f>IF(OR(K199="",G199=""),"",IF(G199&lt;=0,"",IFERROR(K199/G199-1,"")))</f>
        <v/>
      </c>
      <c r="L200" s="15">
        <f>IF(OR(L199="",H199=""),"",IF(H199&lt;=0,"",IFERROR(L199/H199-1,"")))</f>
        <v/>
      </c>
      <c r="M200" s="15">
        <f>IF(OR(M199="",I199=""),"",IF(I199&lt;=0,"",IFERROR(M199/I199-1,"")))</f>
        <v/>
      </c>
      <c r="N200" s="15">
        <f>IF(OR(N199="",J199=""),"",IF(J199&lt;=0,"",IFERROR(N199/J199-1,"")))</f>
        <v/>
      </c>
      <c r="V200" s="15">
        <f>IF(OR(V199="",U199=""),"",IF(U199&lt;=0,"",IFERROR(V199/U199-1,"")))</f>
        <v/>
      </c>
      <c r="W200" s="15">
        <f>IF(OR(W199="",V199=""),"",IF(V199&lt;=0,"",IFERROR(W199/V199-1,"")))</f>
        <v/>
      </c>
      <c r="X200" s="15">
        <f>IF(OR(X199="",W199=""),"",IF(W199&lt;=0,"",IFERROR(X199/W199-1,"")))</f>
        <v/>
      </c>
    </row>
    <row r="201">
      <c r="A201" s="18" t="inlineStr">
        <is>
          <t>조정액 · 계</t>
        </is>
      </c>
      <c r="C201" s="20" t="n">
        <v>-263</v>
      </c>
      <c r="D201" s="20" t="n">
        <v>-333</v>
      </c>
      <c r="E201" s="20" t="n">
        <v>-232</v>
      </c>
      <c r="F201" s="20" t="n">
        <v>-331</v>
      </c>
      <c r="G201" s="20" t="n">
        <v>-283</v>
      </c>
      <c r="H201" s="20" t="n">
        <v>-399</v>
      </c>
      <c r="I201" s="20" t="n">
        <v>-424</v>
      </c>
      <c r="J201" s="20" t="n">
        <v>-768</v>
      </c>
      <c r="K201" s="20" t="n">
        <v>-774</v>
      </c>
      <c r="L201" s="20" t="n">
        <v>-674</v>
      </c>
      <c r="M201" s="20" t="n">
        <v>-612</v>
      </c>
      <c r="N201" s="20" t="n">
        <v>-278</v>
      </c>
      <c r="V201" s="20" t="n">
        <v>-333</v>
      </c>
      <c r="W201" s="20" t="n">
        <v>-399</v>
      </c>
      <c r="X201" s="20" t="n">
        <v>-674</v>
      </c>
    </row>
    <row r="202">
      <c r="A202" s="9" t="inlineStr">
        <is>
          <t>계</t>
        </is>
      </c>
      <c r="C202" s="12" t="n">
        <v>139643</v>
      </c>
      <c r="D202" s="12" t="n">
        <v>156386</v>
      </c>
      <c r="E202" s="12" t="n">
        <v>152521</v>
      </c>
      <c r="F202" s="12" t="n">
        <v>145831</v>
      </c>
      <c r="G202" s="12" t="n">
        <v>157099</v>
      </c>
      <c r="H202" s="12" t="n">
        <v>164062</v>
      </c>
      <c r="I202" s="12" t="n">
        <v>166458</v>
      </c>
      <c r="J202" s="12" t="n">
        <v>159746</v>
      </c>
      <c r="K202" s="12" t="n">
        <v>161704</v>
      </c>
      <c r="L202" s="12" t="n">
        <v>182217</v>
      </c>
      <c r="M202" s="12" t="n">
        <v>184147</v>
      </c>
      <c r="N202" s="12" t="n">
        <v>187159</v>
      </c>
      <c r="V202" s="12" t="n">
        <v>156386</v>
      </c>
      <c r="W202" s="12" t="n">
        <v>164062</v>
      </c>
      <c r="X202" s="12" t="n">
        <v>182217</v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IF(OR(G202="",C202=""),"",IF(C202&lt;=0,"",IFERROR(G202/C202-1,"")))</f>
        <v/>
      </c>
      <c r="H203" s="15">
        <f>IF(OR(H202="",D202=""),"",IF(D202&lt;=0,"",IFERROR(H202/D202-1,"")))</f>
        <v/>
      </c>
      <c r="I203" s="15">
        <f>IF(OR(I202="",E202=""),"",IF(E202&lt;=0,"",IFERROR(I202/E202-1,"")))</f>
        <v/>
      </c>
      <c r="J203" s="15">
        <f>IF(OR(J202="",F202=""),"",IF(F202&lt;=0,"",IFERROR(J202/F202-1,"")))</f>
        <v/>
      </c>
      <c r="K203" s="15">
        <f>IF(OR(K202="",G202=""),"",IF(G202&lt;=0,"",IFERROR(K202/G202-1,"")))</f>
        <v/>
      </c>
      <c r="L203" s="15">
        <f>IF(OR(L202="",H202=""),"",IF(H202&lt;=0,"",IFERROR(L202/H202-1,"")))</f>
        <v/>
      </c>
      <c r="M203" s="15">
        <f>IF(OR(M202="",I202=""),"",IF(I202&lt;=0,"",IFERROR(M202/I202-1,"")))</f>
        <v/>
      </c>
      <c r="N203" s="15">
        <f>IF(OR(N202="",J202=""),"",IF(J202&lt;=0,"",IFERROR(N202/J202-1,"")))</f>
        <v/>
      </c>
      <c r="V203" s="15">
        <f>IF(OR(V202="",U202=""),"",IF(U202&lt;=0,"",IFERROR(V202/U202-1,"")))</f>
        <v/>
      </c>
      <c r="W203" s="15">
        <f>IF(OR(W202="",V202=""),"",IF(V202&lt;=0,"",IFERROR(W202/V202-1,"")))</f>
        <v/>
      </c>
      <c r="X203" s="15">
        <f>IF(OR(X202="",W202=""),"",IF(W202&lt;=0,"",IFERROR(X202/W202-1,"")))</f>
        <v/>
      </c>
    </row>
    <row r="204">
      <c r="A204" s="18" t="inlineStr">
        <is>
          <t>부문 · 부문 이익(손실)</t>
        </is>
      </c>
      <c r="E204" s="20" t="n">
        <v>17105</v>
      </c>
      <c r="I204" s="20" t="n">
        <v>19222</v>
      </c>
      <c r="M204" s="20" t="n">
        <v>22865</v>
      </c>
    </row>
    <row r="205">
      <c r="A205" s="43" t="inlineStr">
        <is>
          <t>OPM</t>
        </is>
      </c>
      <c r="B205" s="3" t="inlineStr">
        <is>
          <t>영업이익 ÷ 매출</t>
        </is>
      </c>
      <c r="E205" s="15">
        <f>IF(OR(E204="",E187=""),"",IF(E187&lt;=0,"",IFERROR(E204/E187,"")))</f>
        <v/>
      </c>
      <c r="I205" s="15">
        <f>IF(OR(I204="",I187=""),"",IF(I187&lt;=0,"",IFERROR(I204/I187,"")))</f>
        <v/>
      </c>
      <c r="M205" s="15">
        <f>IF(OR(M204="",M187=""),"",IF(M187&lt;=0,"",IFERROR(M204/M187,"")))</f>
        <v/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I206" s="15">
        <f>IF(OR(I204="",E204=""),"",IF(E204&lt;=0,"",IFERROR(I204/E204-1,"")))</f>
        <v/>
      </c>
      <c r="M206" s="15">
        <f>IF(OR(M204="",I204=""),"",IF(I204&lt;=0,"",IFERROR(M204/I204-1,"")))</f>
        <v/>
      </c>
    </row>
    <row r="207">
      <c r="A207" s="18" t="inlineStr">
        <is>
          <t>부문 · 부문 이익(손실)</t>
        </is>
      </c>
      <c r="E207" s="20" t="n">
        <v>2270</v>
      </c>
      <c r="I207" s="20" t="n">
        <v>5381</v>
      </c>
      <c r="M207" s="20" t="n">
        <v>8243</v>
      </c>
    </row>
    <row r="208">
      <c r="A208" s="43" t="inlineStr">
        <is>
          <t>OPM</t>
        </is>
      </c>
      <c r="B208" s="3" t="inlineStr">
        <is>
          <t>영업이익 ÷ 매출</t>
        </is>
      </c>
      <c r="E208" s="15">
        <f>IF(OR(E207="",E189=""),"",IF(E189&lt;=0,"",IFERROR(E207/E189,"")))</f>
        <v/>
      </c>
      <c r="I208" s="15">
        <f>IF(OR(I207="",I189=""),"",IF(I189&lt;=0,"",IFERROR(I207/I189,"")))</f>
        <v/>
      </c>
      <c r="M208" s="15">
        <f>IF(OR(M207="",M189=""),"",IF(M189&lt;=0,"",IFERROR(M207/M189,"")))</f>
        <v/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I209" s="15">
        <f>IF(OR(I207="",E207=""),"",IF(E207&lt;=0,"",IFERROR(I207/E207-1,"")))</f>
        <v/>
      </c>
      <c r="M209" s="15">
        <f>IF(OR(M207="",I207=""),"",IF(I207&lt;=0,"",IFERROR(M207/I207-1,"")))</f>
        <v/>
      </c>
    </row>
    <row r="210">
      <c r="A210" s="18" t="inlineStr">
        <is>
          <t>부문 · 부문 이익(손실)</t>
        </is>
      </c>
      <c r="E210" s="20" t="n">
        <v>-1733</v>
      </c>
      <c r="I210" s="20" t="n">
        <v>-788</v>
      </c>
      <c r="M210" s="20" t="n">
        <v>1534</v>
      </c>
    </row>
    <row r="211">
      <c r="A211" s="43" t="inlineStr">
        <is>
          <t>OPM</t>
        </is>
      </c>
      <c r="B211" s="3" t="inlineStr">
        <is>
          <t>영업이익 ÷ 매출</t>
        </is>
      </c>
      <c r="E211" s="15">
        <f>IF(OR(E210="",E191=""),"",IF(E191&lt;=0,"",IFERROR(E210/E191,"")))</f>
        <v/>
      </c>
      <c r="I211" s="15">
        <f>IF(OR(I210="",I191=""),"",IF(I191&lt;=0,"",IFERROR(I210/I191,"")))</f>
        <v/>
      </c>
      <c r="M211" s="15">
        <f>IF(OR(M210="",M191=""),"",IF(M191&lt;=0,"",IFERROR(M210/M191,"")))</f>
        <v/>
      </c>
    </row>
    <row r="212">
      <c r="A212" s="43" t="inlineStr">
        <is>
          <t>YoY</t>
        </is>
      </c>
      <c r="B212" s="3" t="inlineStr">
        <is>
          <t>전년 같은 분기·전년 대비</t>
        </is>
      </c>
      <c r="I212" s="15">
        <f>IF(OR(I210="",E210=""),"",IF(E210&lt;=0,"",IFERROR(I210/E210-1,"")))</f>
        <v/>
      </c>
      <c r="M212" s="15">
        <f>IF(OR(M210="",I210=""),"",IF(I210&lt;=0,"",IFERROR(M210/I210-1,"")))</f>
        <v/>
      </c>
    </row>
    <row r="213">
      <c r="A213" s="18" t="inlineStr">
        <is>
          <t>부문 · 부문 이익(손실)</t>
        </is>
      </c>
      <c r="C213" s="20" t="n">
        <v>16411</v>
      </c>
      <c r="D213" s="20" t="n">
        <v>15911</v>
      </c>
      <c r="G213" s="20" t="n">
        <v>16568</v>
      </c>
      <c r="H213" s="20" t="n">
        <v>16376</v>
      </c>
      <c r="K213" s="20" t="n">
        <v>17400</v>
      </c>
      <c r="L213" s="20" t="n">
        <v>14509</v>
      </c>
      <c r="V213" s="20" t="n">
        <v>15911</v>
      </c>
      <c r="W213" s="20" t="n">
        <v>16376</v>
      </c>
      <c r="X213" s="20" t="n">
        <v>14509</v>
      </c>
    </row>
    <row r="214">
      <c r="A214" s="43" t="inlineStr">
        <is>
          <t>OPM</t>
        </is>
      </c>
      <c r="B214" s="3" t="inlineStr">
        <is>
          <t>영업이익 ÷ 매출</t>
        </is>
      </c>
      <c r="C214" s="15">
        <f>IF(OR(C213="",C193=""),"",IF(C193&lt;=0,"",IFERROR(C213/C193,"")))</f>
        <v/>
      </c>
      <c r="D214" s="15">
        <f>IF(OR(D213="",D193=""),"",IF(D193&lt;=0,"",IFERROR(D213/D193,"")))</f>
        <v/>
      </c>
      <c r="G214" s="15">
        <f>IF(OR(G213="",G193=""),"",IF(G193&lt;=0,"",IFERROR(G213/G193,"")))</f>
        <v/>
      </c>
      <c r="H214" s="15">
        <f>IF(OR(H213="",H193=""),"",IF(H193&lt;=0,"",IFERROR(H213/H193,"")))</f>
        <v/>
      </c>
      <c r="K214" s="15">
        <f>IF(OR(K213="",K193=""),"",IF(K193&lt;=0,"",IFERROR(K213/K193,"")))</f>
        <v/>
      </c>
      <c r="L214" s="15">
        <f>IF(OR(L213="",L193=""),"",IF(L193&lt;=0,"",IFERROR(L213/L193,"")))</f>
        <v/>
      </c>
      <c r="V214" s="15">
        <f>IF(OR(V213="",V193=""),"",IF(V193&lt;=0,"",IFERROR(V213/V193,"")))</f>
        <v/>
      </c>
      <c r="W214" s="15">
        <f>IF(OR(W213="",W193=""),"",IF(W193&lt;=0,"",IFERROR(W213/W193,"")))</f>
        <v/>
      </c>
      <c r="X214" s="15">
        <f>IF(OR(X213="",X193=""),"",IF(X193&lt;=0,"",IFERROR(X213/X193,"")))</f>
        <v/>
      </c>
    </row>
    <row r="215">
      <c r="A215" s="43" t="inlineStr">
        <is>
          <t>YoY</t>
        </is>
      </c>
      <c r="B215" s="3" t="inlineStr">
        <is>
          <t>전년 같은 분기·전년 대비</t>
        </is>
      </c>
      <c r="G215" s="15">
        <f>IF(OR(G213="",C213=""),"",IF(C213&lt;=0,"",IFERROR(G213/C213-1,"")))</f>
        <v/>
      </c>
      <c r="H215" s="15">
        <f>IF(OR(H213="",D213=""),"",IF(D213&lt;=0,"",IFERROR(H213/D213-1,"")))</f>
        <v/>
      </c>
      <c r="K215" s="15">
        <f>IF(OR(K213="",G213=""),"",IF(G213&lt;=0,"",IFERROR(K213/G213-1,"")))</f>
        <v/>
      </c>
      <c r="L215" s="15">
        <f>IF(OR(L213="",H213=""),"",IF(H213&lt;=0,"",IFERROR(L213/H213-1,"")))</f>
        <v/>
      </c>
      <c r="V215" s="15">
        <f>IF(OR(V213="",U213=""),"",IF(U213&lt;=0,"",IFERROR(V213/U213-1,"")))</f>
        <v/>
      </c>
      <c r="W215" s="15">
        <f>IF(OR(W213="",V213=""),"",IF(V213&lt;=0,"",IFERROR(W213/V213-1,"")))</f>
        <v/>
      </c>
      <c r="X215" s="15">
        <f>IF(OR(X213="",W213=""),"",IF(W213&lt;=0,"",IFERROR(X213/W213-1,"")))</f>
        <v/>
      </c>
    </row>
    <row r="216">
      <c r="A216" s="18" t="inlineStr">
        <is>
          <t>부문 · 부문 이익(손실)</t>
        </is>
      </c>
      <c r="C216" s="20" t="n">
        <v>832</v>
      </c>
      <c r="D216" s="20" t="n">
        <v>717</v>
      </c>
      <c r="G216" s="20" t="n">
        <v>4818</v>
      </c>
      <c r="H216" s="20" t="n">
        <v>7123</v>
      </c>
      <c r="K216" s="20" t="n">
        <v>6589</v>
      </c>
      <c r="L216" s="20" t="n">
        <v>8010</v>
      </c>
      <c r="V216" s="20" t="n">
        <v>717</v>
      </c>
      <c r="W216" s="20" t="n">
        <v>7123</v>
      </c>
      <c r="X216" s="20" t="n">
        <v>8010</v>
      </c>
    </row>
    <row r="217">
      <c r="A217" s="43" t="inlineStr">
        <is>
          <t>OPM</t>
        </is>
      </c>
      <c r="B217" s="3" t="inlineStr">
        <is>
          <t>영업이익 ÷ 매출</t>
        </is>
      </c>
      <c r="C217" s="15">
        <f>IF(OR(C216="",C195=""),"",IF(C195&lt;=0,"",IFERROR(C216/C195,"")))</f>
        <v/>
      </c>
      <c r="D217" s="15">
        <f>IF(OR(D216="",D195=""),"",IF(D195&lt;=0,"",IFERROR(D216/D195,"")))</f>
        <v/>
      </c>
      <c r="G217" s="15">
        <f>IF(OR(G216="",G195=""),"",IF(G195&lt;=0,"",IFERROR(G216/G195,"")))</f>
        <v/>
      </c>
      <c r="H217" s="15">
        <f>IF(OR(H216="",H195=""),"",IF(H195&lt;=0,"",IFERROR(H216/H195,"")))</f>
        <v/>
      </c>
      <c r="K217" s="15">
        <f>IF(OR(K216="",K195=""),"",IF(K195&lt;=0,"",IFERROR(K216/K195,"")))</f>
        <v/>
      </c>
      <c r="L217" s="15">
        <f>IF(OR(L216="",L195=""),"",IF(L195&lt;=0,"",IFERROR(L216/L195,"")))</f>
        <v/>
      </c>
      <c r="V217" s="15">
        <f>IF(OR(V216="",V195=""),"",IF(V195&lt;=0,"",IFERROR(V216/V195,"")))</f>
        <v/>
      </c>
      <c r="W217" s="15">
        <f>IF(OR(W216="",W195=""),"",IF(W195&lt;=0,"",IFERROR(W216/W195,"")))</f>
        <v/>
      </c>
      <c r="X217" s="15">
        <f>IF(OR(X216="",X195=""),"",IF(X195&lt;=0,"",IFERROR(X216/X195,"")))</f>
        <v/>
      </c>
    </row>
    <row r="218">
      <c r="A218" s="43" t="inlineStr">
        <is>
          <t>YoY</t>
        </is>
      </c>
      <c r="B218" s="3" t="inlineStr">
        <is>
          <t>전년 같은 분기·전년 대비</t>
        </is>
      </c>
      <c r="G218" s="15">
        <f>IF(OR(G216="",C216=""),"",IF(C216&lt;=0,"",IFERROR(G216/C216-1,"")))</f>
        <v/>
      </c>
      <c r="H218" s="15">
        <f>IF(OR(H216="",D216=""),"",IF(D216&lt;=0,"",IFERROR(H216/D216-1,"")))</f>
        <v/>
      </c>
      <c r="K218" s="15">
        <f>IF(OR(K216="",G216=""),"",IF(G216&lt;=0,"",IFERROR(K216/G216-1,"")))</f>
        <v/>
      </c>
      <c r="L218" s="15">
        <f>IF(OR(L216="",H216=""),"",IF(H216&lt;=0,"",IFERROR(L216/H216-1,"")))</f>
        <v/>
      </c>
      <c r="V218" s="15">
        <f>IF(OR(V216="",U216=""),"",IF(U216&lt;=0,"",IFERROR(V216/U216-1,"")))</f>
        <v/>
      </c>
      <c r="W218" s="15">
        <f>IF(OR(W216="",V216=""),"",IF(V216&lt;=0,"",IFERROR(W216/V216-1,"")))</f>
        <v/>
      </c>
      <c r="X218" s="15">
        <f>IF(OR(X216="",W216=""),"",IF(W216&lt;=0,"",IFERROR(X216/W216-1,"")))</f>
        <v/>
      </c>
    </row>
    <row r="219">
      <c r="A219" s="18" t="inlineStr">
        <is>
          <t>부문 · 부문 이익(손실)</t>
        </is>
      </c>
      <c r="C219" s="20" t="n">
        <v>588</v>
      </c>
      <c r="D219" s="20" t="n">
        <v>-544</v>
      </c>
      <c r="G219" s="20" t="n">
        <v>1325</v>
      </c>
      <c r="H219" s="20" t="n">
        <v>-4656</v>
      </c>
      <c r="K219" s="20" t="n">
        <v>524</v>
      </c>
      <c r="L219" s="20" t="n">
        <v>-472</v>
      </c>
      <c r="V219" s="20" t="n">
        <v>-544</v>
      </c>
      <c r="W219" s="20" t="n">
        <v>-4656</v>
      </c>
      <c r="X219" s="20" t="n">
        <v>-472</v>
      </c>
    </row>
    <row r="220">
      <c r="A220" s="43" t="inlineStr">
        <is>
          <t>OPM</t>
        </is>
      </c>
      <c r="B220" s="3" t="inlineStr">
        <is>
          <t>영업이익 ÷ 매출</t>
        </is>
      </c>
      <c r="C220" s="15">
        <f>IF(OR(C219="",C197=""),"",IF(C197&lt;=0,"",IFERROR(C219/C197,"")))</f>
        <v/>
      </c>
      <c r="D220" s="15">
        <f>IF(OR(D219="",D197=""),"",IF(D197&lt;=0,"",IFERROR(D219/D197,"")))</f>
        <v/>
      </c>
      <c r="G220" s="15">
        <f>IF(OR(G219="",G197=""),"",IF(G197&lt;=0,"",IFERROR(G219/G197,"")))</f>
        <v/>
      </c>
      <c r="H220" s="15">
        <f>IF(OR(H219="",H197=""),"",IF(H197&lt;=0,"",IFERROR(H219/H197,"")))</f>
        <v/>
      </c>
      <c r="K220" s="15">
        <f>IF(OR(K219="",K197=""),"",IF(K197&lt;=0,"",IFERROR(K219/K197,"")))</f>
        <v/>
      </c>
      <c r="L220" s="15">
        <f>IF(OR(L219="",L197=""),"",IF(L197&lt;=0,"",IFERROR(L219/L197,"")))</f>
        <v/>
      </c>
      <c r="V220" s="15">
        <f>IF(OR(V219="",V197=""),"",IF(V197&lt;=0,"",IFERROR(V219/V197,"")))</f>
        <v/>
      </c>
      <c r="W220" s="15">
        <f>IF(OR(W219="",W197=""),"",IF(W197&lt;=0,"",IFERROR(W219/W197,"")))</f>
        <v/>
      </c>
      <c r="X220" s="15">
        <f>IF(OR(X219="",X197=""),"",IF(X197&lt;=0,"",IFERROR(X219/X197,"")))</f>
        <v/>
      </c>
    </row>
    <row r="221">
      <c r="A221" s="43" t="inlineStr">
        <is>
          <t>YoY</t>
        </is>
      </c>
      <c r="B221" s="3" t="inlineStr">
        <is>
          <t>전년 같은 분기·전년 대비</t>
        </is>
      </c>
      <c r="G221" s="15">
        <f>IF(OR(G219="",C219=""),"",IF(C219&lt;=0,"",IFERROR(G219/C219-1,"")))</f>
        <v/>
      </c>
      <c r="H221" s="15">
        <f>IF(OR(H219="",D219=""),"",IF(D219&lt;=0,"",IFERROR(H219/D219-1,"")))</f>
        <v/>
      </c>
      <c r="K221" s="15">
        <f>IF(OR(K219="",G219=""),"",IF(G219&lt;=0,"",IFERROR(K219/G219-1,"")))</f>
        <v/>
      </c>
      <c r="L221" s="15">
        <f>IF(OR(L219="",H219=""),"",IF(H219&lt;=0,"",IFERROR(L219/H219-1,"")))</f>
        <v/>
      </c>
      <c r="V221" s="15">
        <f>IF(OR(V219="",U219=""),"",IF(U219&lt;=0,"",IFERROR(V219/U219-1,"")))</f>
        <v/>
      </c>
      <c r="W221" s="15">
        <f>IF(OR(W219="",V219=""),"",IF(V219&lt;=0,"",IFERROR(W219/V219-1,"")))</f>
        <v/>
      </c>
      <c r="X221" s="15">
        <f>IF(OR(X219="",W219=""),"",IF(W219&lt;=0,"",IFERROR(X219/W219-1,"")))</f>
        <v/>
      </c>
    </row>
    <row r="222">
      <c r="A222" s="18" t="inlineStr">
        <is>
          <t>보고부문 합계 · 부문 이익(손실)</t>
        </is>
      </c>
      <c r="C222" s="20" t="n">
        <v>17833</v>
      </c>
      <c r="D222" s="20" t="n">
        <v>16084</v>
      </c>
      <c r="E222" s="20" t="n">
        <v>17642</v>
      </c>
      <c r="F222" s="20" t="n">
        <v>22054</v>
      </c>
      <c r="G222" s="20" t="n">
        <v>22711</v>
      </c>
      <c r="H222" s="20" t="n">
        <v>18843</v>
      </c>
      <c r="I222" s="20" t="n">
        <v>23815</v>
      </c>
      <c r="J222" s="20" t="n">
        <v>25024</v>
      </c>
      <c r="K222" s="20" t="n">
        <v>24514</v>
      </c>
      <c r="L222" s="20" t="n">
        <v>22047</v>
      </c>
      <c r="M222" s="20" t="n">
        <v>32643</v>
      </c>
      <c r="N222" s="20" t="n">
        <v>37278</v>
      </c>
      <c r="V222" s="20" t="n">
        <v>16084</v>
      </c>
      <c r="W222" s="20" t="n">
        <v>18843</v>
      </c>
      <c r="X222" s="20" t="n">
        <v>22047</v>
      </c>
    </row>
    <row r="223">
      <c r="A223" s="43" t="inlineStr">
        <is>
          <t>OPM</t>
        </is>
      </c>
      <c r="B223" s="3" t="inlineStr">
        <is>
          <t>영업이익 ÷ 매출</t>
        </is>
      </c>
      <c r="C223" s="15">
        <f>IF(OR(C222="",C199=""),"",IF(C199&lt;=0,"",IFERROR(C222/C199,"")))</f>
        <v/>
      </c>
      <c r="D223" s="15">
        <f>IF(OR(D222="",D199=""),"",IF(D199&lt;=0,"",IFERROR(D222/D199,"")))</f>
        <v/>
      </c>
      <c r="E223" s="15">
        <f>IF(OR(E222="",E199=""),"",IF(E199&lt;=0,"",IFERROR(E222/E199,"")))</f>
        <v/>
      </c>
      <c r="F223" s="15">
        <f>IF(OR(F222="",F199=""),"",IF(F199&lt;=0,"",IFERROR(F222/F199,"")))</f>
        <v/>
      </c>
      <c r="G223" s="15">
        <f>IF(OR(G222="",G199=""),"",IF(G199&lt;=0,"",IFERROR(G222/G199,"")))</f>
        <v/>
      </c>
      <c r="H223" s="15">
        <f>IF(OR(H222="",H199=""),"",IF(H199&lt;=0,"",IFERROR(H222/H199,"")))</f>
        <v/>
      </c>
      <c r="I223" s="15">
        <f>IF(OR(I222="",I199=""),"",IF(I199&lt;=0,"",IFERROR(I222/I199,"")))</f>
        <v/>
      </c>
      <c r="J223" s="15">
        <f>IF(OR(J222="",J199=""),"",IF(J199&lt;=0,"",IFERROR(J222/J199,"")))</f>
        <v/>
      </c>
      <c r="K223" s="15">
        <f>IF(OR(K222="",K199=""),"",IF(K199&lt;=0,"",IFERROR(K222/K199,"")))</f>
        <v/>
      </c>
      <c r="L223" s="15">
        <f>IF(OR(L222="",L199=""),"",IF(L199&lt;=0,"",IFERROR(L222/L199,"")))</f>
        <v/>
      </c>
      <c r="M223" s="15">
        <f>IF(OR(M222="",M199=""),"",IF(M199&lt;=0,"",IFERROR(M222/M199,"")))</f>
        <v/>
      </c>
      <c r="N223" s="15">
        <f>IF(OR(N222="",N199=""),"",IF(N199&lt;=0,"",IFERROR(N222/N199,"")))</f>
        <v/>
      </c>
      <c r="V223" s="15">
        <f>IF(OR(V222="",V199=""),"",IF(V199&lt;=0,"",IFERROR(V222/V199,"")))</f>
        <v/>
      </c>
      <c r="W223" s="15">
        <f>IF(OR(W222="",W199=""),"",IF(W199&lt;=0,"",IFERROR(W222/W199,"")))</f>
        <v/>
      </c>
      <c r="X223" s="15">
        <f>IF(OR(X222="",X199=""),"",IF(X199&lt;=0,"",IFERROR(X222/X199,"")))</f>
        <v/>
      </c>
    </row>
    <row r="224">
      <c r="A224" s="43" t="inlineStr">
        <is>
          <t>YoY</t>
        </is>
      </c>
      <c r="B224" s="3" t="inlineStr">
        <is>
          <t>전년 같은 분기·전년 대비</t>
        </is>
      </c>
      <c r="G224" s="15">
        <f>IF(OR(G222="",C222=""),"",IF(C222&lt;=0,"",IFERROR(G222/C222-1,"")))</f>
        <v/>
      </c>
      <c r="H224" s="15">
        <f>IF(OR(H222="",D222=""),"",IF(D222&lt;=0,"",IFERROR(H222/D222-1,"")))</f>
        <v/>
      </c>
      <c r="I224" s="15">
        <f>IF(OR(I222="",E222=""),"",IF(E222&lt;=0,"",IFERROR(I222/E222-1,"")))</f>
        <v/>
      </c>
      <c r="J224" s="15">
        <f>IF(OR(J222="",F222=""),"",IF(F222&lt;=0,"",IFERROR(J222/F222-1,"")))</f>
        <v/>
      </c>
      <c r="K224" s="15">
        <f>IF(OR(K222="",G222=""),"",IF(G222&lt;=0,"",IFERROR(K222/G222-1,"")))</f>
        <v/>
      </c>
      <c r="L224" s="15">
        <f>IF(OR(L222="",H222=""),"",IF(H222&lt;=0,"",IFERROR(L222/H222-1,"")))</f>
        <v/>
      </c>
      <c r="M224" s="15">
        <f>IF(OR(M222="",I222=""),"",IF(I222&lt;=0,"",IFERROR(M222/I222-1,"")))</f>
        <v/>
      </c>
      <c r="N224" s="15">
        <f>IF(OR(N222="",J222=""),"",IF(J222&lt;=0,"",IFERROR(N222/J222-1,"")))</f>
        <v/>
      </c>
      <c r="V224" s="15">
        <f>IF(OR(V222="",U222=""),"",IF(U222&lt;=0,"",IFERROR(V222/U222-1,"")))</f>
        <v/>
      </c>
      <c r="W224" s="15">
        <f>IF(OR(W222="",V222=""),"",IF(V222&lt;=0,"",IFERROR(W222/V222-1,"")))</f>
        <v/>
      </c>
      <c r="X224" s="15">
        <f>IF(OR(X222="",W222=""),"",IF(W222&lt;=0,"",IFERROR(X222/W222-1,"")))</f>
        <v/>
      </c>
    </row>
    <row r="225">
      <c r="A225" s="18" t="inlineStr">
        <is>
          <t>조정액 · 부문 이익(손실)</t>
        </is>
      </c>
      <c r="C225" s="20" t="n">
        <v>0</v>
      </c>
      <c r="D225" s="20" t="n">
        <v>-3</v>
      </c>
      <c r="E225" s="20" t="n">
        <v>13</v>
      </c>
      <c r="F225" s="20" t="n">
        <v>-9</v>
      </c>
      <c r="G225" s="20" t="n">
        <v>1</v>
      </c>
      <c r="H225" s="20" t="n">
        <v>-13</v>
      </c>
      <c r="I225" s="20" t="n">
        <v>-33</v>
      </c>
      <c r="J225" s="20" t="n">
        <v>-106</v>
      </c>
      <c r="K225" s="20" t="n">
        <v>-166</v>
      </c>
      <c r="L225" s="20" t="n">
        <v>-97</v>
      </c>
      <c r="M225" s="20" t="n">
        <v>-11</v>
      </c>
      <c r="N225" s="20" t="n">
        <v>-20</v>
      </c>
      <c r="V225" s="20" t="n">
        <v>-3</v>
      </c>
      <c r="W225" s="20" t="n">
        <v>-13</v>
      </c>
      <c r="X225" s="20" t="n">
        <v>-97</v>
      </c>
    </row>
    <row r="226">
      <c r="A226" s="9" t="inlineStr">
        <is>
          <t>부문 이익(손실)</t>
        </is>
      </c>
      <c r="C226" s="12" t="n">
        <v>17832</v>
      </c>
      <c r="D226" s="12" t="n">
        <v>16080</v>
      </c>
      <c r="E226" s="12" t="n">
        <v>17656</v>
      </c>
      <c r="F226" s="12" t="n">
        <v>22044</v>
      </c>
      <c r="G226" s="12" t="n">
        <v>22713</v>
      </c>
      <c r="H226" s="12" t="n">
        <v>18828</v>
      </c>
      <c r="I226" s="12" t="n">
        <v>23781</v>
      </c>
      <c r="J226" s="12" t="n">
        <v>24919</v>
      </c>
      <c r="K226" s="12" t="n">
        <v>24348</v>
      </c>
      <c r="L226" s="12" t="n">
        <v>21949</v>
      </c>
      <c r="M226" s="12" t="n">
        <v>32631</v>
      </c>
      <c r="N226" s="12" t="n">
        <v>37258</v>
      </c>
      <c r="V226" s="12" t="n">
        <v>16080</v>
      </c>
      <c r="W226" s="12" t="n">
        <v>18828</v>
      </c>
      <c r="X226" s="12" t="n">
        <v>21949</v>
      </c>
    </row>
    <row r="227">
      <c r="A227" s="43" t="inlineStr">
        <is>
          <t>OPM</t>
        </is>
      </c>
      <c r="B227" s="3" t="inlineStr">
        <is>
          <t>영업이익 ÷ 매출</t>
        </is>
      </c>
      <c r="C227" s="15">
        <f>IF(OR(C226="",C176=""),"",IF(C176&lt;=0,"",IFERROR(C226/C176,"")))</f>
        <v/>
      </c>
      <c r="D227" s="15">
        <f>IF(OR(D226="",D176=""),"",IF(D176&lt;=0,"",IFERROR(D226/D176,"")))</f>
        <v/>
      </c>
      <c r="E227" s="15">
        <f>IF(OR(E226="",E176=""),"",IF(E176&lt;=0,"",IFERROR(E226/E176,"")))</f>
        <v/>
      </c>
      <c r="F227" s="15">
        <f>IF(OR(F226="",F176=""),"",IF(F176&lt;=0,"",IFERROR(F226/F176,"")))</f>
        <v/>
      </c>
      <c r="G227" s="15">
        <f>IF(OR(G226="",G176=""),"",IF(G176&lt;=0,"",IFERROR(G226/G176,"")))</f>
        <v/>
      </c>
      <c r="H227" s="15">
        <f>IF(OR(H226="",H176=""),"",IF(H176&lt;=0,"",IFERROR(H226/H176,"")))</f>
        <v/>
      </c>
      <c r="I227" s="15">
        <f>IF(OR(I226="",I176=""),"",IF(I176&lt;=0,"",IFERROR(I226/I176,"")))</f>
        <v/>
      </c>
      <c r="J227" s="15">
        <f>IF(OR(J226="",J176=""),"",IF(J176&lt;=0,"",IFERROR(J226/J176,"")))</f>
        <v/>
      </c>
      <c r="K227" s="15">
        <f>IF(OR(K226="",K176=""),"",IF(K176&lt;=0,"",IFERROR(K226/K176,"")))</f>
        <v/>
      </c>
      <c r="L227" s="15">
        <f>IF(OR(L226="",L176=""),"",IF(L176&lt;=0,"",IFERROR(L226/L176,"")))</f>
        <v/>
      </c>
      <c r="M227" s="15">
        <f>IF(OR(M226="",M176=""),"",IF(M176&lt;=0,"",IFERROR(M226/M176,"")))</f>
        <v/>
      </c>
      <c r="N227" s="15">
        <f>IF(OR(N226="",N176=""),"",IF(N176&lt;=0,"",IFERROR(N226/N176,"")))</f>
        <v/>
      </c>
      <c r="V227" s="15">
        <f>IF(OR(V226="",V176=""),"",IF(V176&lt;=0,"",IFERROR(V226/V176,"")))</f>
        <v/>
      </c>
      <c r="W227" s="15">
        <f>IF(OR(W226="",W176=""),"",IF(W176&lt;=0,"",IFERROR(W226/W176,"")))</f>
        <v/>
      </c>
      <c r="X227" s="15">
        <f>IF(OR(X226="",X176=""),"",IF(X176&lt;=0,"",IFERROR(X226/X176,"")))</f>
        <v/>
      </c>
    </row>
    <row r="228">
      <c r="A228" s="43" t="inlineStr">
        <is>
          <t>YoY</t>
        </is>
      </c>
      <c r="B228" s="3" t="inlineStr">
        <is>
          <t>전년 같은 분기·전년 대비</t>
        </is>
      </c>
      <c r="G228" s="15">
        <f>IF(OR(G226="",C226=""),"",IF(C226&lt;=0,"",IFERROR(G226/C226-1,"")))</f>
        <v/>
      </c>
      <c r="H228" s="15">
        <f>IF(OR(H226="",D226=""),"",IF(D226&lt;=0,"",IFERROR(H226/D226-1,"")))</f>
        <v/>
      </c>
      <c r="I228" s="15">
        <f>IF(OR(I226="",E226=""),"",IF(E226&lt;=0,"",IFERROR(I226/E226-1,"")))</f>
        <v/>
      </c>
      <c r="J228" s="15">
        <f>IF(OR(J226="",F226=""),"",IF(F226&lt;=0,"",IFERROR(J226/F226-1,"")))</f>
        <v/>
      </c>
      <c r="K228" s="15">
        <f>IF(OR(K226="",G226=""),"",IF(G226&lt;=0,"",IFERROR(K226/G226-1,"")))</f>
        <v/>
      </c>
      <c r="L228" s="15">
        <f>IF(OR(L226="",H226=""),"",IF(H226&lt;=0,"",IFERROR(L226/H226-1,"")))</f>
        <v/>
      </c>
      <c r="M228" s="15">
        <f>IF(OR(M226="",I226=""),"",IF(I226&lt;=0,"",IFERROR(M226/I226-1,"")))</f>
        <v/>
      </c>
      <c r="N228" s="15">
        <f>IF(OR(N226="",J226=""),"",IF(J226&lt;=0,"",IFERROR(N226/J226-1,"")))</f>
        <v/>
      </c>
      <c r="V228" s="15">
        <f>IF(OR(V226="",U226=""),"",IF(U226&lt;=0,"",IFERROR(V226/U226-1,"")))</f>
        <v/>
      </c>
      <c r="W228" s="15">
        <f>IF(OR(W226="",V226=""),"",IF(V226&lt;=0,"",IFERROR(W226/V226-1,"")))</f>
        <v/>
      </c>
      <c r="X228" s="15">
        <f>IF(OR(X226="",W226=""),"",IF(W226&lt;=0,"",IFERROR(X226/W226-1,"")))</f>
        <v/>
      </c>
    </row>
    <row r="229">
      <c r="A229" s="18" t="inlineStr">
        <is>
          <t>부문 · 외부 고객 매출</t>
        </is>
      </c>
      <c r="E229" s="20" t="n">
        <v>99026</v>
      </c>
      <c r="I229" s="20" t="n">
        <v>98240</v>
      </c>
      <c r="M229" s="20" t="n">
        <v>106645</v>
      </c>
    </row>
    <row r="230">
      <c r="A230" s="43" t="inlineStr">
        <is>
          <t>YoY</t>
        </is>
      </c>
      <c r="B230" s="3" t="inlineStr">
        <is>
          <t>전년 같은 분기·전년 대비</t>
        </is>
      </c>
      <c r="I230" s="15">
        <f>IF(OR(I229="",E229=""),"",IF(E229&lt;=0,"",IFERROR(I229/E229-1,"")))</f>
        <v/>
      </c>
      <c r="M230" s="15">
        <f>IF(OR(M229="",I229=""),"",IF(I229&lt;=0,"",IFERROR(M229/I229-1,"")))</f>
        <v/>
      </c>
    </row>
    <row r="231">
      <c r="A231" s="18" t="inlineStr">
        <is>
          <t>부문 · 외부 고객 매출</t>
        </is>
      </c>
      <c r="E231" s="20" t="n">
        <v>39933</v>
      </c>
      <c r="I231" s="20" t="n">
        <v>47170</v>
      </c>
      <c r="M231" s="20" t="n">
        <v>62657</v>
      </c>
    </row>
    <row r="232">
      <c r="A232" s="43" t="inlineStr">
        <is>
          <t>YoY</t>
        </is>
      </c>
      <c r="B232" s="3" t="inlineStr">
        <is>
          <t>전년 같은 분기·전년 대비</t>
        </is>
      </c>
      <c r="I232" s="15">
        <f>IF(OR(I231="",E231=""),"",IF(E231&lt;=0,"",IFERROR(I231/E231-1,"")))</f>
        <v/>
      </c>
      <c r="M232" s="15">
        <f>IF(OR(M231="",I231=""),"",IF(I231&lt;=0,"",IFERROR(M231/I231-1,"")))</f>
        <v/>
      </c>
    </row>
    <row r="233">
      <c r="A233" s="18" t="inlineStr">
        <is>
          <t>부문 · 외부 고객 매출</t>
        </is>
      </c>
      <c r="E233" s="20" t="n">
        <v>13560</v>
      </c>
      <c r="I233" s="20" t="n">
        <v>21047</v>
      </c>
      <c r="M233" s="20" t="n">
        <v>14843</v>
      </c>
    </row>
    <row r="234">
      <c r="A234" s="43" t="inlineStr">
        <is>
          <t>YoY</t>
        </is>
      </c>
      <c r="B234" s="3" t="inlineStr">
        <is>
          <t>전년 같은 분기·전년 대비</t>
        </is>
      </c>
      <c r="I234" s="15">
        <f>IF(OR(I233="",E233=""),"",IF(E233&lt;=0,"",IFERROR(I233/E233-1,"")))</f>
        <v/>
      </c>
      <c r="M234" s="15">
        <f>IF(OR(M233="",I233=""),"",IF(I233&lt;=0,"",IFERROR(M233/I233-1,"")))</f>
        <v/>
      </c>
    </row>
    <row r="236">
      <c r="A236" s="16" t="inlineStr">
        <is>
          <t>현금흐름표 · 전 항목</t>
        </is>
      </c>
      <c r="B236" s="42" t="inlineStr">
        <is>
          <t>분기 = 결산기 첫날부터 누계(공시 그대로)</t>
        </is>
      </c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</row>
    <row r="237">
      <c r="A237" s="5" t="inlineStr">
        <is>
          <t>항목</t>
        </is>
      </c>
      <c r="B237" s="5" t="inlineStr">
        <is>
          <t>참고</t>
        </is>
      </c>
      <c r="C237" s="5" t="inlineStr">
        <is>
          <t>2024.3Q</t>
        </is>
      </c>
      <c r="D237" s="5" t="inlineStr">
        <is>
          <t>2024.4Q</t>
        </is>
      </c>
      <c r="E237" s="5" t="inlineStr">
        <is>
          <t>2025.1Q</t>
        </is>
      </c>
      <c r="F237" s="5" t="inlineStr">
        <is>
          <t>2025.2Q</t>
        </is>
      </c>
      <c r="G237" s="5" t="inlineStr">
        <is>
          <t>2025.3Q</t>
        </is>
      </c>
      <c r="H237" s="5" t="inlineStr">
        <is>
          <t>2025.4Q</t>
        </is>
      </c>
      <c r="I237" s="5" t="inlineStr">
        <is>
          <t>2026.1Q</t>
        </is>
      </c>
      <c r="J237" s="5" t="inlineStr">
        <is>
          <t>2026.2Q</t>
        </is>
      </c>
      <c r="K237" s="5" t="inlineStr">
        <is>
          <t>2026.3Q</t>
        </is>
      </c>
      <c r="L237" s="5" t="inlineStr">
        <is>
          <t>2026.4Q</t>
        </is>
      </c>
      <c r="M237" s="5" t="inlineStr">
        <is>
          <t>2027.1Q</t>
        </is>
      </c>
      <c r="N237" s="5" t="inlineStr">
        <is>
          <t>2027.2Q</t>
        </is>
      </c>
      <c r="O237" s="5" t="inlineStr">
        <is>
          <t>2017</t>
        </is>
      </c>
      <c r="P237" s="5" t="inlineStr">
        <is>
          <t>2018</t>
        </is>
      </c>
      <c r="Q237" s="5" t="inlineStr">
        <is>
          <t>2019</t>
        </is>
      </c>
      <c r="R237" s="5" t="inlineStr">
        <is>
          <t>2020</t>
        </is>
      </c>
      <c r="S237" s="5" t="inlineStr">
        <is>
          <t>2021</t>
        </is>
      </c>
      <c r="T237" s="5" t="inlineStr">
        <is>
          <t>2022</t>
        </is>
      </c>
      <c r="U237" s="5" t="inlineStr">
        <is>
          <t>2023</t>
        </is>
      </c>
      <c r="V237" s="5" t="inlineStr">
        <is>
          <t>2024</t>
        </is>
      </c>
      <c r="W237" s="5" t="inlineStr">
        <is>
          <t>2025</t>
        </is>
      </c>
      <c r="X237" s="5" t="inlineStr">
        <is>
          <t>2026</t>
        </is>
      </c>
      <c r="Y237" s="5" t="inlineStr">
        <is>
          <t>2027(MW)</t>
        </is>
      </c>
      <c r="Z237" s="5" t="inlineStr">
        <is>
          <t>2028(MW)</t>
        </is>
      </c>
      <c r="AA237" s="5" t="inlineStr">
        <is>
          <t>2029(MW)</t>
        </is>
      </c>
      <c r="AB237" s="5" t="inlineStr">
        <is>
          <t>2030(MW)</t>
        </is>
      </c>
      <c r="AC237" s="5" t="inlineStr">
        <is>
          <t>2031(MW)</t>
        </is>
      </c>
    </row>
    <row r="238">
      <c r="A238" s="9" t="inlineStr">
        <is>
          <t>법인세차감전 순이익</t>
        </is>
      </c>
      <c r="D238" s="12" t="n">
        <v>56175</v>
      </c>
      <c r="H238" s="12" t="n">
        <v>72456</v>
      </c>
      <c r="L238" s="12" t="n">
        <v>83832</v>
      </c>
      <c r="O238" s="12" t="n">
        <v>57521</v>
      </c>
      <c r="P238" s="12" t="n">
        <v>65772</v>
      </c>
      <c r="Q238" s="12" t="n">
        <v>50448</v>
      </c>
      <c r="R238" s="12" t="n">
        <v>43836</v>
      </c>
      <c r="S238" s="12" t="n">
        <v>53120</v>
      </c>
      <c r="T238" s="12" t="n">
        <v>90819</v>
      </c>
      <c r="U238" s="12" t="n">
        <v>57522</v>
      </c>
      <c r="V238" s="12" t="n">
        <v>56175</v>
      </c>
      <c r="W238" s="12" t="n">
        <v>72456</v>
      </c>
      <c r="X238" s="12" t="n">
        <v>83832</v>
      </c>
    </row>
    <row r="239">
      <c r="A239" s="18" t="inlineStr">
        <is>
          <t>감가상각비</t>
        </is>
      </c>
      <c r="D239" s="20" t="n">
        <v>56806</v>
      </c>
      <c r="H239" s="20" t="n">
        <v>57253</v>
      </c>
      <c r="L239" s="20" t="n">
        <v>57487</v>
      </c>
      <c r="O239" s="20" t="n">
        <v>26615</v>
      </c>
      <c r="P239" s="20" t="n">
        <v>30316</v>
      </c>
      <c r="Q239" s="20" t="n">
        <v>35728</v>
      </c>
      <c r="R239" s="20" t="n">
        <v>39579</v>
      </c>
      <c r="S239" s="20" t="n">
        <v>44942</v>
      </c>
      <c r="T239" s="20" t="n">
        <v>49270</v>
      </c>
      <c r="U239" s="20" t="n">
        <v>53729</v>
      </c>
      <c r="V239" s="20" t="n">
        <v>56806</v>
      </c>
      <c r="W239" s="20" t="n">
        <v>57253</v>
      </c>
      <c r="X239" s="20" t="n">
        <v>57487</v>
      </c>
    </row>
    <row r="240">
      <c r="A240" s="18" t="inlineStr">
        <is>
          <t>손상차손</t>
        </is>
      </c>
      <c r="D240" s="20" t="n">
        <v>6959</v>
      </c>
      <c r="H240" s="20" t="n">
        <v>5819</v>
      </c>
      <c r="L240" s="20" t="n">
        <v>4763</v>
      </c>
      <c r="O240" s="20" t="n">
        <v>4161</v>
      </c>
      <c r="P240" s="20" t="n">
        <v>3768</v>
      </c>
      <c r="Q240" s="20" t="n">
        <v>10935</v>
      </c>
      <c r="R240" s="20" t="n">
        <v>12558</v>
      </c>
      <c r="S240" s="20" t="n">
        <v>2266</v>
      </c>
      <c r="T240" s="20" t="n">
        <v>1159</v>
      </c>
      <c r="U240" s="20" t="n">
        <v>9952</v>
      </c>
      <c r="V240" s="20" t="n">
        <v>6959</v>
      </c>
      <c r="W240" s="20" t="n">
        <v>5819</v>
      </c>
      <c r="X240" s="20" t="n">
        <v>4763</v>
      </c>
    </row>
    <row r="241">
      <c r="A241" s="18" t="inlineStr">
        <is>
          <t>퇴직급여자산 증감</t>
        </is>
      </c>
      <c r="O241" s="20" t="n">
        <v>2319</v>
      </c>
      <c r="P241" s="20" t="n">
        <v>2691</v>
      </c>
      <c r="Q241" s="20" t="n">
        <v>1821</v>
      </c>
      <c r="R241" s="20" t="n">
        <v>468</v>
      </c>
      <c r="S241" s="20" t="n">
        <v>1322</v>
      </c>
    </row>
    <row r="242">
      <c r="A242" s="18" t="inlineStr">
        <is>
          <t>Increase Decrease In Provision For NASBattery Safety Measures Ope CF</t>
        </is>
      </c>
      <c r="O242" s="20" t="n">
        <v>-1755</v>
      </c>
      <c r="P242" s="20" t="n">
        <v>-1088</v>
      </c>
      <c r="Q242" s="20" t="n">
        <v>-531</v>
      </c>
    </row>
    <row r="243">
      <c r="A243" s="18" t="inlineStr">
        <is>
          <t>Increase Decrease In Provision For Loss Related To Competition Law Ope CF</t>
        </is>
      </c>
      <c r="O243" s="20" t="n">
        <v>4860</v>
      </c>
      <c r="P243" s="20" t="n">
        <v>-7993</v>
      </c>
      <c r="Q243" s="20" t="n">
        <v>2</v>
      </c>
    </row>
    <row r="244">
      <c r="A244" s="18" t="inlineStr">
        <is>
          <t>Increase Decrease In Provision For Business Restructuring Ope CF</t>
        </is>
      </c>
      <c r="H244" s="20" t="n">
        <v>0</v>
      </c>
      <c r="L244" s="20" t="n">
        <v>12270</v>
      </c>
      <c r="W244" s="20" t="n">
        <v>0</v>
      </c>
      <c r="X244" s="20" t="n">
        <v>12270</v>
      </c>
    </row>
    <row r="245">
      <c r="A245" s="18" t="inlineStr">
        <is>
          <t>이자·배당금 수익</t>
        </is>
      </c>
      <c r="D245" s="20" t="n">
        <v>-2974</v>
      </c>
      <c r="H245" s="20" t="n">
        <v>-4073</v>
      </c>
      <c r="L245" s="20" t="n">
        <v>-5269</v>
      </c>
      <c r="O245" s="20" t="n">
        <v>-1742</v>
      </c>
      <c r="P245" s="20" t="n">
        <v>-2223</v>
      </c>
      <c r="Q245" s="20" t="n">
        <v>-1941</v>
      </c>
      <c r="R245" s="20" t="n">
        <v>-1812</v>
      </c>
      <c r="S245" s="20" t="n">
        <v>-1380</v>
      </c>
      <c r="T245" s="20" t="n">
        <v>-1441</v>
      </c>
      <c r="U245" s="20" t="n">
        <v>-2123</v>
      </c>
      <c r="V245" s="20" t="n">
        <v>-2974</v>
      </c>
      <c r="W245" s="20" t="n">
        <v>-4073</v>
      </c>
      <c r="X245" s="20" t="n">
        <v>-5269</v>
      </c>
    </row>
    <row r="246">
      <c r="A246" s="18" t="inlineStr">
        <is>
          <t>이자비용</t>
        </is>
      </c>
      <c r="D246" s="20" t="n">
        <v>4015</v>
      </c>
      <c r="H246" s="20" t="n">
        <v>3913</v>
      </c>
      <c r="L246" s="20" t="n">
        <v>3269</v>
      </c>
      <c r="O246" s="20" t="n">
        <v>2051</v>
      </c>
      <c r="P246" s="20" t="n">
        <v>2418</v>
      </c>
      <c r="Q246" s="20" t="n">
        <v>2763</v>
      </c>
      <c r="R246" s="20" t="n">
        <v>3025</v>
      </c>
      <c r="S246" s="20" t="n">
        <v>3438</v>
      </c>
      <c r="T246" s="20" t="n">
        <v>3590</v>
      </c>
      <c r="U246" s="20" t="n">
        <v>3861</v>
      </c>
      <c r="V246" s="20" t="n">
        <v>4015</v>
      </c>
      <c r="W246" s="20" t="n">
        <v>3913</v>
      </c>
      <c r="X246" s="20" t="n">
        <v>3269</v>
      </c>
    </row>
    <row r="247">
      <c r="A247" s="18" t="inlineStr">
        <is>
          <t>지분법손익</t>
        </is>
      </c>
      <c r="D247" s="20" t="n">
        <v>-1567</v>
      </c>
      <c r="H247" s="20" t="n">
        <v>-26</v>
      </c>
      <c r="O247" s="20" t="n">
        <v>-1791</v>
      </c>
      <c r="P247" s="20" t="n">
        <v>-1279</v>
      </c>
      <c r="Q247" s="20" t="n">
        <v>-1565</v>
      </c>
      <c r="R247" s="20" t="n">
        <v>-1351</v>
      </c>
      <c r="S247" s="20" t="n">
        <v>-1622</v>
      </c>
      <c r="T247" s="20" t="n">
        <v>-1666</v>
      </c>
      <c r="U247" s="20" t="n">
        <v>-1522</v>
      </c>
      <c r="V247" s="20" t="n">
        <v>-1567</v>
      </c>
      <c r="W247" s="20" t="n">
        <v>-26</v>
      </c>
    </row>
    <row r="248">
      <c r="A248" s="18" t="inlineStr">
        <is>
          <t>관계회사 청산손실</t>
        </is>
      </c>
      <c r="H248" s="20" t="n">
        <v>240</v>
      </c>
      <c r="L248" s="20" t="n">
        <v>2563</v>
      </c>
      <c r="W248" s="20" t="n">
        <v>240</v>
      </c>
      <c r="X248" s="20" t="n">
        <v>2563</v>
      </c>
    </row>
    <row r="249">
      <c r="A249" s="18" t="inlineStr">
        <is>
          <t>투자유가증권 매각손익</t>
        </is>
      </c>
      <c r="D249" s="20" t="n">
        <v>-946</v>
      </c>
      <c r="H249" s="20" t="n">
        <v>-3605</v>
      </c>
      <c r="L249" s="20" t="n">
        <v>-13186</v>
      </c>
      <c r="O249" s="20" t="n">
        <v>-5248</v>
      </c>
      <c r="P249" s="20" t="n">
        <v>-1236</v>
      </c>
      <c r="Q249" s="20" t="n">
        <v>-675</v>
      </c>
      <c r="R249" s="20" t="n">
        <v>-4081</v>
      </c>
      <c r="S249" s="20" t="n">
        <v>-620</v>
      </c>
      <c r="T249" s="20" t="n">
        <v>-1161</v>
      </c>
      <c r="U249" s="20" t="n">
        <v>-1312</v>
      </c>
      <c r="V249" s="20" t="n">
        <v>-946</v>
      </c>
      <c r="W249" s="20" t="n">
        <v>-3605</v>
      </c>
      <c r="X249" s="20" t="n">
        <v>-13186</v>
      </c>
    </row>
    <row r="250">
      <c r="A250" s="18" t="inlineStr">
        <is>
          <t>매출채권 증감</t>
        </is>
      </c>
      <c r="D250" s="20" t="n">
        <v>1234</v>
      </c>
      <c r="H250" s="20" t="n">
        <v>-4678</v>
      </c>
      <c r="L250" s="20" t="n">
        <v>-4300</v>
      </c>
      <c r="O250" s="20" t="n">
        <v>8623</v>
      </c>
      <c r="P250" s="20" t="n">
        <v>-10196</v>
      </c>
      <c r="Q250" s="20" t="n">
        <v>-3595</v>
      </c>
      <c r="R250" s="20" t="n">
        <v>2520</v>
      </c>
      <c r="S250" s="20" t="n">
        <v>-12637</v>
      </c>
      <c r="T250" s="20" t="n">
        <v>-1651</v>
      </c>
      <c r="U250" s="20" t="n">
        <v>15452</v>
      </c>
      <c r="V250" s="20" t="n">
        <v>1234</v>
      </c>
      <c r="W250" s="20" t="n">
        <v>-4678</v>
      </c>
      <c r="X250" s="20" t="n">
        <v>-4300</v>
      </c>
    </row>
    <row r="251">
      <c r="A251" s="18" t="inlineStr">
        <is>
          <t>계약자산 증감액</t>
        </is>
      </c>
      <c r="D251" s="20" t="n">
        <v>-6968</v>
      </c>
      <c r="H251" s="20" t="n">
        <v>2439</v>
      </c>
      <c r="L251" s="20" t="n">
        <v>4738</v>
      </c>
      <c r="S251" s="20" t="n">
        <v>0</v>
      </c>
      <c r="T251" s="20" t="n">
        <v>-3737</v>
      </c>
      <c r="U251" s="20" t="n">
        <v>934</v>
      </c>
      <c r="V251" s="20" t="n">
        <v>-6968</v>
      </c>
      <c r="W251" s="20" t="n">
        <v>2439</v>
      </c>
      <c r="X251" s="20" t="n">
        <v>4738</v>
      </c>
    </row>
    <row r="252">
      <c r="A252" s="18" t="inlineStr">
        <is>
          <t>재고자산 증감</t>
        </is>
      </c>
      <c r="D252" s="20" t="n">
        <v>-10091</v>
      </c>
      <c r="H252" s="20" t="n">
        <v>-4348</v>
      </c>
      <c r="L252" s="20" t="n">
        <v>22094</v>
      </c>
      <c r="O252" s="20" t="n">
        <v>-12192</v>
      </c>
      <c r="P252" s="20" t="n">
        <v>-10342</v>
      </c>
      <c r="Q252" s="20" t="n">
        <v>-18193</v>
      </c>
      <c r="R252" s="20" t="n">
        <v>-13965</v>
      </c>
      <c r="S252" s="20" t="n">
        <v>10425</v>
      </c>
      <c r="T252" s="20" t="n">
        <v>-27900</v>
      </c>
      <c r="U252" s="20" t="n">
        <v>-19613</v>
      </c>
      <c r="V252" s="20" t="n">
        <v>-10091</v>
      </c>
      <c r="W252" s="20" t="n">
        <v>-4348</v>
      </c>
      <c r="X252" s="20" t="n">
        <v>22094</v>
      </c>
    </row>
    <row r="253">
      <c r="A253" s="18" t="inlineStr">
        <is>
          <t>기타 유동자산 증감</t>
        </is>
      </c>
      <c r="D253" s="20" t="n">
        <v>187</v>
      </c>
      <c r="H253" s="20" t="n">
        <v>-898</v>
      </c>
      <c r="L253" s="20" t="n">
        <v>-2768</v>
      </c>
      <c r="O253" s="20" t="n">
        <v>-2664</v>
      </c>
      <c r="P253" s="20" t="n">
        <v>-426</v>
      </c>
      <c r="Q253" s="20" t="n">
        <v>-6352</v>
      </c>
      <c r="R253" s="20" t="n">
        <v>-2410</v>
      </c>
      <c r="S253" s="20" t="n">
        <v>1688</v>
      </c>
      <c r="T253" s="20" t="n">
        <v>-117</v>
      </c>
      <c r="U253" s="20" t="n">
        <v>-1337</v>
      </c>
      <c r="V253" s="20" t="n">
        <v>187</v>
      </c>
      <c r="W253" s="20" t="n">
        <v>-898</v>
      </c>
      <c r="X253" s="20" t="n">
        <v>-2768</v>
      </c>
    </row>
    <row r="254">
      <c r="A254" s="18" t="inlineStr">
        <is>
          <t>매입채무 증감</t>
        </is>
      </c>
      <c r="D254" s="20" t="n">
        <v>3861</v>
      </c>
      <c r="H254" s="20" t="n">
        <v>-4109</v>
      </c>
      <c r="L254" s="20" t="n">
        <v>1161</v>
      </c>
      <c r="O254" s="20" t="n">
        <v>3242</v>
      </c>
      <c r="P254" s="20" t="n">
        <v>7317</v>
      </c>
      <c r="Q254" s="20" t="n">
        <v>5453</v>
      </c>
      <c r="R254" s="20" t="n">
        <v>-6751</v>
      </c>
      <c r="S254" s="20" t="n">
        <v>-2375</v>
      </c>
      <c r="T254" s="20" t="n">
        <v>330</v>
      </c>
      <c r="U254" s="20" t="n">
        <v>-497</v>
      </c>
      <c r="V254" s="20" t="n">
        <v>3861</v>
      </c>
      <c r="W254" s="20" t="n">
        <v>-4109</v>
      </c>
      <c r="X254" s="20" t="n">
        <v>1161</v>
      </c>
    </row>
    <row r="255">
      <c r="A255" s="18" t="inlineStr">
        <is>
          <t>기타 유동부채 증감</t>
        </is>
      </c>
      <c r="D255" s="20" t="n">
        <v>6439</v>
      </c>
      <c r="H255" s="20" t="n">
        <v>-1646</v>
      </c>
      <c r="L255" s="20" t="n">
        <v>-5607</v>
      </c>
      <c r="O255" s="20" t="n">
        <v>9621</v>
      </c>
      <c r="P255" s="20" t="n">
        <v>-2856</v>
      </c>
      <c r="Q255" s="20" t="n">
        <v>1995</v>
      </c>
      <c r="R255" s="20" t="n">
        <v>-6781</v>
      </c>
      <c r="S255" s="20" t="n">
        <v>3198</v>
      </c>
      <c r="T255" s="20" t="n">
        <v>-284</v>
      </c>
      <c r="U255" s="20" t="n">
        <v>4347</v>
      </c>
      <c r="V255" s="20" t="n">
        <v>6439</v>
      </c>
      <c r="W255" s="20" t="n">
        <v>-1646</v>
      </c>
      <c r="X255" s="20" t="n">
        <v>-5607</v>
      </c>
    </row>
    <row r="256">
      <c r="A256" s="18" t="inlineStr">
        <is>
          <t>기타</t>
        </is>
      </c>
      <c r="D256" s="20" t="n">
        <v>2538</v>
      </c>
      <c r="H256" s="20" t="n">
        <v>-2031</v>
      </c>
      <c r="L256" s="20" t="n">
        <v>-710</v>
      </c>
      <c r="O256" s="20" t="n">
        <v>1650</v>
      </c>
      <c r="P256" s="20" t="n">
        <v>-826</v>
      </c>
      <c r="Q256" s="20" t="n">
        <v>1727</v>
      </c>
      <c r="R256" s="20" t="n">
        <v>4435</v>
      </c>
      <c r="S256" s="20" t="n">
        <v>252</v>
      </c>
      <c r="T256" s="20" t="n">
        <v>-2091</v>
      </c>
      <c r="U256" s="20" t="n">
        <v>258</v>
      </c>
      <c r="V256" s="20" t="n">
        <v>2538</v>
      </c>
      <c r="W256" s="20" t="n">
        <v>-2031</v>
      </c>
      <c r="X256" s="20" t="n">
        <v>-710</v>
      </c>
    </row>
    <row r="257">
      <c r="A257" s="18" t="inlineStr">
        <is>
          <t>소계</t>
        </is>
      </c>
      <c r="D257" s="20" t="n">
        <v>115671</v>
      </c>
      <c r="H257" s="20" t="n">
        <v>116732</v>
      </c>
      <c r="L257" s="20" t="n">
        <v>160338</v>
      </c>
      <c r="O257" s="20" t="n">
        <v>95271</v>
      </c>
      <c r="P257" s="20" t="n">
        <v>73814</v>
      </c>
      <c r="Q257" s="20" t="n">
        <v>80115</v>
      </c>
      <c r="R257" s="20" t="n">
        <v>69269</v>
      </c>
      <c r="S257" s="20" t="n">
        <v>100698</v>
      </c>
      <c r="T257" s="20" t="n">
        <v>105119</v>
      </c>
      <c r="U257" s="20" t="n">
        <v>119651</v>
      </c>
      <c r="V257" s="20" t="n">
        <v>115671</v>
      </c>
      <c r="W257" s="20" t="n">
        <v>116732</v>
      </c>
      <c r="X257" s="20" t="n">
        <v>160338</v>
      </c>
    </row>
    <row r="258">
      <c r="A258" s="18" t="inlineStr">
        <is>
          <t>이자·배당금 수취</t>
        </is>
      </c>
      <c r="D258" s="20" t="n">
        <v>3023</v>
      </c>
      <c r="H258" s="20" t="n">
        <v>3997</v>
      </c>
      <c r="L258" s="20" t="n">
        <v>5086</v>
      </c>
      <c r="O258" s="20" t="n">
        <v>1760</v>
      </c>
      <c r="P258" s="20" t="n">
        <v>2157</v>
      </c>
      <c r="Q258" s="20" t="n">
        <v>2010</v>
      </c>
      <c r="R258" s="20" t="n">
        <v>1774</v>
      </c>
      <c r="S258" s="20" t="n">
        <v>1385</v>
      </c>
      <c r="T258" s="20" t="n">
        <v>1459</v>
      </c>
      <c r="U258" s="20" t="n">
        <v>2083</v>
      </c>
      <c r="V258" s="20" t="n">
        <v>3023</v>
      </c>
      <c r="W258" s="20" t="n">
        <v>3997</v>
      </c>
      <c r="X258" s="20" t="n">
        <v>5086</v>
      </c>
    </row>
    <row r="259">
      <c r="A259" s="18" t="inlineStr">
        <is>
          <t>지분법 적용 회사로부터의 배당금 수령액</t>
        </is>
      </c>
      <c r="D259" s="20" t="n">
        <v>401</v>
      </c>
      <c r="H259" s="20" t="n">
        <v>0</v>
      </c>
      <c r="O259" s="20" t="n">
        <v>435</v>
      </c>
      <c r="P259" s="20" t="n">
        <v>435</v>
      </c>
      <c r="Q259" s="20" t="n">
        <v>450</v>
      </c>
      <c r="R259" s="20" t="n">
        <v>465</v>
      </c>
      <c r="S259" s="20" t="n">
        <v>434</v>
      </c>
      <c r="T259" s="20" t="n">
        <v>424</v>
      </c>
      <c r="U259" s="20" t="n">
        <v>424</v>
      </c>
      <c r="V259" s="20" t="n">
        <v>401</v>
      </c>
      <c r="W259" s="20" t="n">
        <v>0</v>
      </c>
    </row>
    <row r="260">
      <c r="A260" s="18" t="inlineStr">
        <is>
          <t>이자 지급</t>
        </is>
      </c>
      <c r="D260" s="20" t="n">
        <v>-4114</v>
      </c>
      <c r="H260" s="20" t="n">
        <v>-4138</v>
      </c>
      <c r="L260" s="20" t="n">
        <v>-3422</v>
      </c>
      <c r="O260" s="20" t="n">
        <v>-2060</v>
      </c>
      <c r="P260" s="20" t="n">
        <v>-2546</v>
      </c>
      <c r="Q260" s="20" t="n">
        <v>-2944</v>
      </c>
      <c r="R260" s="20" t="n">
        <v>-3275</v>
      </c>
      <c r="S260" s="20" t="n">
        <v>-3528</v>
      </c>
      <c r="T260" s="20" t="n">
        <v>-3832</v>
      </c>
      <c r="U260" s="20" t="n">
        <v>-3938</v>
      </c>
      <c r="V260" s="20" t="n">
        <v>-4114</v>
      </c>
      <c r="W260" s="20" t="n">
        <v>-4138</v>
      </c>
      <c r="X260" s="20" t="n">
        <v>-3422</v>
      </c>
    </row>
    <row r="261">
      <c r="A261" s="18" t="inlineStr">
        <is>
          <t>법인세 납부</t>
        </is>
      </c>
      <c r="D261" s="20" t="n">
        <v>-15884</v>
      </c>
      <c r="O261" s="20" t="n">
        <v>-15234</v>
      </c>
      <c r="P261" s="20" t="n">
        <v>-23306</v>
      </c>
      <c r="Q261" s="20" t="n">
        <v>-18406</v>
      </c>
      <c r="R261" s="20" t="n">
        <v>-15032</v>
      </c>
      <c r="S261" s="20" t="n">
        <v>-13347</v>
      </c>
      <c r="T261" s="20" t="n">
        <v>-12920</v>
      </c>
      <c r="U261" s="20" t="n">
        <v>-31378</v>
      </c>
      <c r="V261" s="20" t="n">
        <v>-15884</v>
      </c>
    </row>
    <row r="262">
      <c r="A262" s="18" t="inlineStr">
        <is>
          <t>Income Taxes Refund And Interest On Refund Of Income Taxes Received Ope CF</t>
        </is>
      </c>
      <c r="D262" s="20" t="n">
        <v>61</v>
      </c>
      <c r="S262" s="20" t="n">
        <v>0</v>
      </c>
      <c r="T262" s="20" t="n">
        <v>4580</v>
      </c>
      <c r="U262" s="20" t="n">
        <v>11107</v>
      </c>
      <c r="V262" s="20" t="n">
        <v>61</v>
      </c>
    </row>
    <row r="263">
      <c r="A263" s="18" t="inlineStr">
        <is>
          <t>법인세 납부·환급</t>
        </is>
      </c>
      <c r="D263" s="20" t="n">
        <v>-15822</v>
      </c>
      <c r="H263" s="20" t="n">
        <v>-19933</v>
      </c>
      <c r="L263" s="20" t="n">
        <v>-24012</v>
      </c>
      <c r="V263" s="20" t="n">
        <v>-15822</v>
      </c>
      <c r="W263" s="20" t="n">
        <v>-19933</v>
      </c>
      <c r="X263" s="20" t="n">
        <v>-24012</v>
      </c>
    </row>
    <row r="264">
      <c r="A264" s="9" t="inlineStr">
        <is>
          <t>영업활동 현금흐름</t>
        </is>
      </c>
      <c r="D264" s="12" t="n">
        <v>99159</v>
      </c>
      <c r="H264" s="12" t="n">
        <v>96658</v>
      </c>
      <c r="L264" s="12" t="n">
        <v>137989</v>
      </c>
      <c r="O264" s="12" t="n">
        <v>80172</v>
      </c>
      <c r="P264" s="12" t="n">
        <v>50554</v>
      </c>
      <c r="Q264" s="12" t="n">
        <v>61224</v>
      </c>
      <c r="R264" s="12" t="n">
        <v>53200</v>
      </c>
      <c r="S264" s="12" t="n">
        <v>85641</v>
      </c>
      <c r="T264" s="12" t="n">
        <v>94831</v>
      </c>
      <c r="U264" s="12" t="n">
        <v>97949</v>
      </c>
      <c r="V264" s="12" t="n">
        <v>99159</v>
      </c>
      <c r="W264" s="12" t="n">
        <v>96658</v>
      </c>
      <c r="X264" s="12" t="n">
        <v>137989</v>
      </c>
    </row>
    <row r="265">
      <c r="A265" s="18" t="inlineStr">
        <is>
          <t>유가증권 취득</t>
        </is>
      </c>
      <c r="D265" s="20" t="n">
        <v>-73899</v>
      </c>
      <c r="H265" s="20" t="n">
        <v>-119882</v>
      </c>
      <c r="L265" s="20" t="n">
        <v>-190107</v>
      </c>
      <c r="O265" s="20" t="n">
        <v>-46300</v>
      </c>
      <c r="P265" s="20" t="n">
        <v>-57399</v>
      </c>
      <c r="Q265" s="20" t="n">
        <v>-67999</v>
      </c>
      <c r="R265" s="20" t="n">
        <v>-34748</v>
      </c>
      <c r="S265" s="20" t="n">
        <v>-41399</v>
      </c>
      <c r="T265" s="20" t="n">
        <v>-54699</v>
      </c>
      <c r="U265" s="20" t="n">
        <v>-69638</v>
      </c>
      <c r="V265" s="20" t="n">
        <v>-73899</v>
      </c>
      <c r="W265" s="20" t="n">
        <v>-119882</v>
      </c>
      <c r="X265" s="20" t="n">
        <v>-190107</v>
      </c>
    </row>
    <row r="266">
      <c r="A266" s="18" t="inlineStr">
        <is>
          <t>유가증권 매각·상환 수입</t>
        </is>
      </c>
      <c r="D266" s="20" t="n">
        <v>69670</v>
      </c>
      <c r="H266" s="20" t="n">
        <v>110999</v>
      </c>
      <c r="L266" s="20" t="n">
        <v>149612</v>
      </c>
      <c r="O266" s="20" t="n">
        <v>38765</v>
      </c>
      <c r="P266" s="20" t="n">
        <v>55804</v>
      </c>
      <c r="Q266" s="20" t="n">
        <v>62220</v>
      </c>
      <c r="R266" s="20" t="n">
        <v>54532</v>
      </c>
      <c r="S266" s="20" t="n">
        <v>36671</v>
      </c>
      <c r="T266" s="20" t="n">
        <v>51231</v>
      </c>
      <c r="U266" s="20" t="n">
        <v>61895</v>
      </c>
      <c r="V266" s="20" t="n">
        <v>69670</v>
      </c>
      <c r="W266" s="20" t="n">
        <v>110999</v>
      </c>
      <c r="X266" s="20" t="n">
        <v>149612</v>
      </c>
    </row>
    <row r="267">
      <c r="A267" s="18" t="inlineStr">
        <is>
          <t>유형자산 취득(설비투자)</t>
        </is>
      </c>
      <c r="D267" s="20" t="n">
        <v>-42811</v>
      </c>
      <c r="H267" s="20" t="n">
        <v>-41798</v>
      </c>
      <c r="L267" s="20" t="n">
        <v>-53188</v>
      </c>
      <c r="O267" s="20" t="n">
        <v>-59361</v>
      </c>
      <c r="P267" s="20" t="n">
        <v>-67061</v>
      </c>
      <c r="Q267" s="20" t="n">
        <v>-102826</v>
      </c>
      <c r="R267" s="20" t="n">
        <v>-93798</v>
      </c>
      <c r="S267" s="20" t="n">
        <v>-50839</v>
      </c>
      <c r="T267" s="20" t="n">
        <v>-35226</v>
      </c>
      <c r="U267" s="20" t="n">
        <v>-40257</v>
      </c>
      <c r="V267" s="20" t="n">
        <v>-42811</v>
      </c>
      <c r="W267" s="20" t="n">
        <v>-41798</v>
      </c>
      <c r="X267" s="20" t="n">
        <v>-53188</v>
      </c>
    </row>
    <row r="268">
      <c r="A268" s="18" t="inlineStr">
        <is>
          <t>유형자산 매각</t>
        </is>
      </c>
      <c r="D268" s="20" t="n">
        <v>735</v>
      </c>
      <c r="T268" s="20" t="n">
        <v>142</v>
      </c>
      <c r="U268" s="20" t="n">
        <v>3168</v>
      </c>
      <c r="V268" s="20" t="n">
        <v>735</v>
      </c>
    </row>
    <row r="269">
      <c r="A269" s="18" t="inlineStr">
        <is>
          <t>무형자산 취득</t>
        </is>
      </c>
      <c r="D269" s="20" t="n">
        <v>-2324</v>
      </c>
      <c r="H269" s="20" t="n">
        <v>-1950</v>
      </c>
      <c r="L269" s="20" t="n">
        <v>-2282</v>
      </c>
      <c r="R269" s="20" t="n">
        <v>-1573</v>
      </c>
      <c r="S269" s="20" t="n">
        <v>-2503</v>
      </c>
      <c r="T269" s="20" t="n">
        <v>-2202</v>
      </c>
      <c r="U269" s="20" t="n">
        <v>-2896</v>
      </c>
      <c r="V269" s="20" t="n">
        <v>-2324</v>
      </c>
      <c r="W269" s="20" t="n">
        <v>-1950</v>
      </c>
      <c r="X269" s="20" t="n">
        <v>-2282</v>
      </c>
    </row>
    <row r="270">
      <c r="A270" s="18" t="inlineStr">
        <is>
          <t>투자유가증권 취득</t>
        </is>
      </c>
      <c r="D270" s="20" t="n">
        <v>-3228</v>
      </c>
      <c r="H270" s="20" t="n">
        <v>-3921</v>
      </c>
      <c r="L270" s="20" t="n">
        <v>-4110</v>
      </c>
      <c r="U270" s="20" t="n">
        <v>-382</v>
      </c>
      <c r="V270" s="20" t="n">
        <v>-3228</v>
      </c>
      <c r="W270" s="20" t="n">
        <v>-3921</v>
      </c>
      <c r="X270" s="20" t="n">
        <v>-4110</v>
      </c>
    </row>
    <row r="271">
      <c r="A271" s="18" t="inlineStr">
        <is>
          <t>투자유가증권 매각·상환 수입</t>
        </is>
      </c>
      <c r="D271" s="20" t="n">
        <v>2226</v>
      </c>
      <c r="H271" s="20" t="n">
        <v>5136</v>
      </c>
      <c r="L271" s="20" t="n">
        <v>14943</v>
      </c>
      <c r="O271" s="20" t="n">
        <v>6919</v>
      </c>
      <c r="P271" s="20" t="n">
        <v>12181</v>
      </c>
      <c r="Q271" s="20" t="n">
        <v>830</v>
      </c>
      <c r="R271" s="20" t="n">
        <v>12661</v>
      </c>
      <c r="S271" s="20" t="n">
        <v>2909</v>
      </c>
      <c r="T271" s="20" t="n">
        <v>1840</v>
      </c>
      <c r="U271" s="20" t="n">
        <v>3954</v>
      </c>
      <c r="V271" s="20" t="n">
        <v>2226</v>
      </c>
      <c r="W271" s="20" t="n">
        <v>5136</v>
      </c>
      <c r="X271" s="20" t="n">
        <v>14943</v>
      </c>
    </row>
    <row r="272">
      <c r="A272" s="18" t="inlineStr">
        <is>
          <t>정기예금 순증감</t>
        </is>
      </c>
      <c r="D272" s="20" t="n">
        <v>-18566</v>
      </c>
      <c r="H272" s="20" t="n">
        <v>-4258</v>
      </c>
      <c r="L272" s="20" t="n">
        <v>8250</v>
      </c>
      <c r="O272" s="20" t="n">
        <v>2786</v>
      </c>
      <c r="P272" s="20" t="n">
        <v>6480</v>
      </c>
      <c r="Q272" s="20" t="n">
        <v>-806</v>
      </c>
      <c r="R272" s="20" t="n">
        <v>2238</v>
      </c>
      <c r="S272" s="20" t="n">
        <v>1720</v>
      </c>
      <c r="T272" s="20" t="n">
        <v>-6810</v>
      </c>
      <c r="U272" s="20" t="n">
        <v>-7319</v>
      </c>
      <c r="V272" s="20" t="n">
        <v>-18566</v>
      </c>
      <c r="W272" s="20" t="n">
        <v>-4258</v>
      </c>
      <c r="X272" s="20" t="n">
        <v>8250</v>
      </c>
    </row>
    <row r="273">
      <c r="A273" s="18" t="inlineStr">
        <is>
          <t>구속성 예금 인출 수입</t>
        </is>
      </c>
      <c r="O273" s="20" t="n">
        <v>2141</v>
      </c>
      <c r="P273" s="20" t="n">
        <v>0</v>
      </c>
    </row>
    <row r="274">
      <c r="A274" s="18" t="inlineStr">
        <is>
          <t>연결범위 변경 자회사 주식 매각</t>
        </is>
      </c>
      <c r="R274" s="20" t="n">
        <v>0</v>
      </c>
      <c r="S274" s="20" t="n">
        <v>706</v>
      </c>
      <c r="T274" s="20" t="n">
        <v>0</v>
      </c>
    </row>
    <row r="275">
      <c r="A275" s="18" t="inlineStr">
        <is>
          <t>기타</t>
        </is>
      </c>
      <c r="D275" s="20" t="n">
        <v>340</v>
      </c>
      <c r="H275" s="20" t="n">
        <v>594</v>
      </c>
      <c r="L275" s="20" t="n">
        <v>-239</v>
      </c>
      <c r="O275" s="20" t="n">
        <v>-1404</v>
      </c>
      <c r="P275" s="20" t="n">
        <v>580</v>
      </c>
      <c r="Q275" s="20" t="n">
        <v>-1160</v>
      </c>
      <c r="R275" s="20" t="n">
        <v>-142</v>
      </c>
      <c r="S275" s="20" t="n">
        <v>1009</v>
      </c>
      <c r="T275" s="20" t="n">
        <v>-567</v>
      </c>
      <c r="U275" s="20" t="n">
        <v>-532</v>
      </c>
      <c r="V275" s="20" t="n">
        <v>340</v>
      </c>
      <c r="W275" s="20" t="n">
        <v>594</v>
      </c>
      <c r="X275" s="20" t="n">
        <v>-239</v>
      </c>
    </row>
    <row r="276">
      <c r="A276" s="9" t="inlineStr">
        <is>
          <t>투자활동 현금흐름</t>
        </is>
      </c>
      <c r="D276" s="12" t="n">
        <v>-68593</v>
      </c>
      <c r="H276" s="12" t="n">
        <v>-55081</v>
      </c>
      <c r="L276" s="12" t="n">
        <v>-77121</v>
      </c>
      <c r="O276" s="12" t="n">
        <v>-56452</v>
      </c>
      <c r="P276" s="12" t="n">
        <v>-49413</v>
      </c>
      <c r="Q276" s="12" t="n">
        <v>-109743</v>
      </c>
      <c r="R276" s="12" t="n">
        <v>-60830</v>
      </c>
      <c r="S276" s="12" t="n">
        <v>-51724</v>
      </c>
      <c r="T276" s="12" t="n">
        <v>-46291</v>
      </c>
      <c r="U276" s="12" t="n">
        <v>-52006</v>
      </c>
      <c r="V276" s="12" t="n">
        <v>-68593</v>
      </c>
      <c r="W276" s="12" t="n">
        <v>-55081</v>
      </c>
      <c r="X276" s="12" t="n">
        <v>-77121</v>
      </c>
    </row>
    <row r="277">
      <c r="A277" s="18" t="inlineStr">
        <is>
          <t>단기차입금 순증감</t>
        </is>
      </c>
      <c r="D277" s="20" t="n">
        <v>-782</v>
      </c>
      <c r="H277" s="20" t="n">
        <v>8885</v>
      </c>
      <c r="L277" s="20" t="n">
        <v>-14502</v>
      </c>
      <c r="O277" s="20" t="n">
        <v>1602</v>
      </c>
      <c r="P277" s="20" t="n">
        <v>13</v>
      </c>
      <c r="Q277" s="20" t="n">
        <v>-1918</v>
      </c>
      <c r="R277" s="20" t="n">
        <v>2408</v>
      </c>
      <c r="S277" s="20" t="n">
        <v>11264</v>
      </c>
      <c r="T277" s="20" t="n">
        <v>-12016</v>
      </c>
      <c r="U277" s="20" t="n">
        <v>4523</v>
      </c>
      <c r="V277" s="20" t="n">
        <v>-782</v>
      </c>
      <c r="W277" s="20" t="n">
        <v>8885</v>
      </c>
      <c r="X277" s="20" t="n">
        <v>-14502</v>
      </c>
    </row>
    <row r="278">
      <c r="A278" s="18" t="inlineStr">
        <is>
          <t>장기차입</t>
        </is>
      </c>
      <c r="D278" s="20" t="n">
        <v>23250</v>
      </c>
      <c r="H278" s="20" t="n">
        <v>20070</v>
      </c>
      <c r="L278" s="20" t="n">
        <v>35000</v>
      </c>
      <c r="O278" s="20" t="n">
        <v>30121</v>
      </c>
      <c r="P278" s="20" t="n">
        <v>32443</v>
      </c>
      <c r="Q278" s="20" t="n">
        <v>16852</v>
      </c>
      <c r="R278" s="20" t="n">
        <v>34558</v>
      </c>
      <c r="S278" s="20" t="n">
        <v>21284</v>
      </c>
      <c r="T278" s="20" t="n">
        <v>5000</v>
      </c>
      <c r="U278" s="20" t="n">
        <v>20125</v>
      </c>
      <c r="V278" s="20" t="n">
        <v>23250</v>
      </c>
      <c r="W278" s="20" t="n">
        <v>20070</v>
      </c>
      <c r="X278" s="20" t="n">
        <v>35000</v>
      </c>
    </row>
    <row r="279">
      <c r="A279" s="18" t="inlineStr">
        <is>
          <t>장기차입금 상환</t>
        </is>
      </c>
      <c r="D279" s="20" t="n">
        <v>-36376</v>
      </c>
      <c r="H279" s="20" t="n">
        <v>-40765</v>
      </c>
      <c r="L279" s="20" t="n">
        <v>-36897</v>
      </c>
      <c r="O279" s="20" t="n">
        <v>-19239</v>
      </c>
      <c r="P279" s="20" t="n">
        <v>-6824</v>
      </c>
      <c r="Q279" s="20" t="n">
        <v>-10844</v>
      </c>
      <c r="R279" s="20" t="n">
        <v>-28980</v>
      </c>
      <c r="S279" s="20" t="n">
        <v>-9417</v>
      </c>
      <c r="T279" s="20" t="n">
        <v>-22006</v>
      </c>
      <c r="U279" s="20" t="n">
        <v>-32812</v>
      </c>
      <c r="V279" s="20" t="n">
        <v>-36376</v>
      </c>
      <c r="W279" s="20" t="n">
        <v>-40765</v>
      </c>
      <c r="X279" s="20" t="n">
        <v>-36897</v>
      </c>
    </row>
    <row r="280">
      <c r="A280" s="18" t="inlineStr">
        <is>
          <t>사채 발행</t>
        </is>
      </c>
      <c r="D280" s="20" t="n">
        <v>12000</v>
      </c>
      <c r="H280" s="20" t="n">
        <v>5000</v>
      </c>
      <c r="L280" s="20" t="n">
        <v>5000</v>
      </c>
      <c r="O280" s="20" t="n">
        <v>0</v>
      </c>
      <c r="P280" s="20" t="n">
        <v>10000</v>
      </c>
      <c r="Q280" s="20" t="n">
        <v>15000</v>
      </c>
      <c r="R280" s="20" t="n">
        <v>0</v>
      </c>
      <c r="S280" s="20" t="n">
        <v>900</v>
      </c>
      <c r="T280" s="20" t="n">
        <v>10000</v>
      </c>
      <c r="U280" s="20" t="n">
        <v>5000</v>
      </c>
      <c r="V280" s="20" t="n">
        <v>12000</v>
      </c>
      <c r="W280" s="20" t="n">
        <v>5000</v>
      </c>
      <c r="X280" s="20" t="n">
        <v>5000</v>
      </c>
    </row>
    <row r="281">
      <c r="A281" s="18" t="inlineStr">
        <is>
          <t>자기주식 취득</t>
        </is>
      </c>
      <c r="D281" s="20" t="n">
        <v>-14882</v>
      </c>
      <c r="H281" s="20" t="n">
        <v>-9400</v>
      </c>
      <c r="L281" s="20" t="n">
        <v>-15004</v>
      </c>
      <c r="O281" s="20" t="n">
        <v>-11182</v>
      </c>
      <c r="P281" s="20" t="n">
        <v>-3</v>
      </c>
      <c r="Q281" s="20" t="n">
        <v>-4</v>
      </c>
      <c r="R281" s="20" t="n">
        <v>-10004</v>
      </c>
      <c r="S281" s="20" t="n">
        <v>-3</v>
      </c>
      <c r="T281" s="20" t="n">
        <v>-9700</v>
      </c>
      <c r="U281" s="20" t="n">
        <v>-9635</v>
      </c>
      <c r="V281" s="20" t="n">
        <v>-14882</v>
      </c>
      <c r="W281" s="20" t="n">
        <v>-9400</v>
      </c>
      <c r="X281" s="20" t="n">
        <v>-15004</v>
      </c>
    </row>
    <row r="282">
      <c r="A282" s="18" t="inlineStr">
        <is>
          <t>배당금 지급</t>
        </is>
      </c>
      <c r="D282" s="20" t="n">
        <v>-17768</v>
      </c>
      <c r="H282" s="20" t="n">
        <v>-16301</v>
      </c>
      <c r="L282" s="20" t="n">
        <v>-19841</v>
      </c>
      <c r="O282" s="20" t="n">
        <v>-12963</v>
      </c>
      <c r="P282" s="20" t="n">
        <v>-13188</v>
      </c>
      <c r="Q282" s="20" t="n">
        <v>-15444</v>
      </c>
      <c r="R282" s="20" t="n">
        <v>-16090</v>
      </c>
      <c r="S282" s="20" t="n">
        <v>-11079</v>
      </c>
      <c r="T282" s="20" t="n">
        <v>-15679</v>
      </c>
      <c r="U282" s="20" t="n">
        <v>-20572</v>
      </c>
      <c r="V282" s="20" t="n">
        <v>-17768</v>
      </c>
      <c r="W282" s="20" t="n">
        <v>-16301</v>
      </c>
      <c r="X282" s="20" t="n">
        <v>-19841</v>
      </c>
    </row>
    <row r="283">
      <c r="A283" s="18" t="inlineStr">
        <is>
          <t>기타</t>
        </is>
      </c>
      <c r="D283" s="20" t="n">
        <v>-1564</v>
      </c>
      <c r="H283" s="20" t="n">
        <v>-1706</v>
      </c>
      <c r="L283" s="20" t="n">
        <v>-2030</v>
      </c>
      <c r="O283" s="20" t="n">
        <v>-1352</v>
      </c>
      <c r="P283" s="20" t="n">
        <v>102</v>
      </c>
      <c r="Q283" s="20" t="n">
        <v>-75</v>
      </c>
      <c r="R283" s="20" t="n">
        <v>-689</v>
      </c>
      <c r="S283" s="20" t="n">
        <v>-698</v>
      </c>
      <c r="T283" s="20" t="n">
        <v>-859</v>
      </c>
      <c r="U283" s="20" t="n">
        <v>-1197</v>
      </c>
      <c r="V283" s="20" t="n">
        <v>-1564</v>
      </c>
      <c r="W283" s="20" t="n">
        <v>-1706</v>
      </c>
      <c r="X283" s="20" t="n">
        <v>-2030</v>
      </c>
    </row>
    <row r="284">
      <c r="A284" s="9" t="inlineStr">
        <is>
          <t>재무활동 현금흐름</t>
        </is>
      </c>
      <c r="D284" s="12" t="n">
        <v>-36123</v>
      </c>
      <c r="H284" s="12" t="n">
        <v>-34219</v>
      </c>
      <c r="L284" s="12" t="n">
        <v>-48277</v>
      </c>
      <c r="O284" s="12" t="n">
        <v>-13013</v>
      </c>
      <c r="P284" s="12" t="n">
        <v>22546</v>
      </c>
      <c r="Q284" s="12" t="n">
        <v>3564</v>
      </c>
      <c r="R284" s="12" t="n">
        <v>-18796</v>
      </c>
      <c r="S284" s="12" t="n">
        <v>12250</v>
      </c>
      <c r="T284" s="12" t="n">
        <v>-45263</v>
      </c>
      <c r="U284" s="12" t="n">
        <v>-34568</v>
      </c>
      <c r="V284" s="12" t="n">
        <v>-36123</v>
      </c>
      <c r="W284" s="12" t="n">
        <v>-34219</v>
      </c>
      <c r="X284" s="12" t="n">
        <v>-48277</v>
      </c>
    </row>
    <row r="285">
      <c r="A285" s="18" t="inlineStr">
        <is>
          <t>현금성자산 환산차이</t>
        </is>
      </c>
      <c r="D285" s="20" t="n">
        <v>8125</v>
      </c>
      <c r="H285" s="20" t="n">
        <v>-1081</v>
      </c>
      <c r="L285" s="20" t="n">
        <v>9344</v>
      </c>
      <c r="O285" s="20" t="n">
        <v>-2079</v>
      </c>
      <c r="P285" s="20" t="n">
        <v>1538</v>
      </c>
      <c r="Q285" s="20" t="n">
        <v>-980</v>
      </c>
      <c r="R285" s="20" t="n">
        <v>-2866</v>
      </c>
      <c r="S285" s="20" t="n">
        <v>5172</v>
      </c>
      <c r="T285" s="20" t="n">
        <v>5547</v>
      </c>
      <c r="U285" s="20" t="n">
        <v>2560</v>
      </c>
      <c r="V285" s="20" t="n">
        <v>8125</v>
      </c>
      <c r="W285" s="20" t="n">
        <v>-1081</v>
      </c>
      <c r="X285" s="20" t="n">
        <v>9344</v>
      </c>
    </row>
    <row r="286">
      <c r="A286" s="18" t="inlineStr">
        <is>
          <t>현금성자산 증감</t>
        </is>
      </c>
      <c r="D286" s="20" t="n">
        <v>2568</v>
      </c>
      <c r="H286" s="20" t="n">
        <v>6276</v>
      </c>
      <c r="L286" s="20" t="n">
        <v>21935</v>
      </c>
      <c r="O286" s="20" t="n">
        <v>8627</v>
      </c>
      <c r="P286" s="20" t="n">
        <v>25225</v>
      </c>
      <c r="Q286" s="20" t="n">
        <v>-45933</v>
      </c>
      <c r="R286" s="20" t="n">
        <v>-29293</v>
      </c>
      <c r="S286" s="20" t="n">
        <v>51340</v>
      </c>
      <c r="T286" s="20" t="n">
        <v>8823</v>
      </c>
      <c r="U286" s="20" t="n">
        <v>13935</v>
      </c>
      <c r="V286" s="20" t="n">
        <v>2568</v>
      </c>
      <c r="W286" s="20" t="n">
        <v>6276</v>
      </c>
      <c r="X286" s="20" t="n">
        <v>21935</v>
      </c>
    </row>
    <row r="287">
      <c r="A287" s="18" t="inlineStr">
        <is>
          <t>연결범위 변경에 따른 현금성자산 증감</t>
        </is>
      </c>
      <c r="D287" s="20" t="n">
        <v>0</v>
      </c>
      <c r="T287" s="20" t="n">
        <v>0</v>
      </c>
      <c r="U287" s="20" t="n">
        <v>73</v>
      </c>
      <c r="V287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5333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683390</v>
      </c>
      <c r="D5" s="12" t="n">
        <v>691936</v>
      </c>
      <c r="E5" s="12" t="n">
        <v>730638</v>
      </c>
      <c r="F5" s="12" t="n">
        <v>692641</v>
      </c>
      <c r="G5" s="12" t="n">
        <v>717789</v>
      </c>
      <c r="H5" s="11" t="n">
        <v>527394</v>
      </c>
      <c r="I5" s="12" t="n">
        <v>573718</v>
      </c>
      <c r="J5" s="12" t="n">
        <v>642151</v>
      </c>
      <c r="K5" s="12" t="n">
        <v>668874</v>
      </c>
      <c r="L5" s="12" t="n">
        <v>730638</v>
      </c>
    </row>
    <row r="6">
      <c r="A6" s="18" t="inlineStr">
        <is>
          <t>현금및현금성자산</t>
        </is>
      </c>
      <c r="B6" s="10" t="n"/>
      <c r="C6" s="19" t="n">
        <v>212674</v>
      </c>
      <c r="D6" s="20" t="n">
        <v>219661</v>
      </c>
      <c r="E6" s="20" t="n">
        <v>198166</v>
      </c>
      <c r="F6" s="20" t="n">
        <v>186716</v>
      </c>
      <c r="G6" s="20" t="n">
        <v>194748</v>
      </c>
      <c r="H6" s="19" t="n">
        <v>139198</v>
      </c>
      <c r="I6" s="20" t="n">
        <v>168447</v>
      </c>
      <c r="J6" s="20" t="n">
        <v>192656</v>
      </c>
      <c r="K6" s="20" t="n">
        <v>197974</v>
      </c>
      <c r="L6" s="20" t="n">
        <v>198166</v>
      </c>
    </row>
    <row r="7">
      <c r="A7" s="18" t="inlineStr">
        <is>
          <t>단기금융상품</t>
        </is>
      </c>
      <c r="B7" s="10" t="n"/>
      <c r="C7" s="19" t="n">
        <v>92940</v>
      </c>
      <c r="D7" s="20" t="n">
        <v>78338</v>
      </c>
      <c r="E7" s="20" t="n">
        <v>124754</v>
      </c>
      <c r="F7" s="20" t="n">
        <v>99074</v>
      </c>
      <c r="G7" s="20" t="n">
        <v>106081</v>
      </c>
      <c r="H7" s="19" t="n">
        <v>46443</v>
      </c>
      <c r="I7" s="20" t="n">
        <v>46260</v>
      </c>
      <c r="J7" s="20" t="n">
        <v>50015</v>
      </c>
      <c r="K7" s="20" t="n">
        <v>65895</v>
      </c>
      <c r="L7" s="20" t="n">
        <v>124754</v>
      </c>
    </row>
    <row r="8">
      <c r="A8" s="18" t="inlineStr">
        <is>
          <t>매출채권</t>
        </is>
      </c>
      <c r="B8" s="10" t="n"/>
      <c r="C8" s="19" t="n">
        <v>123456</v>
      </c>
      <c r="D8" s="20" t="n">
        <v>127741</v>
      </c>
      <c r="E8" s="20" t="n">
        <v>143929</v>
      </c>
      <c r="F8" s="20" t="n">
        <v>144150</v>
      </c>
      <c r="G8" s="20" t="n">
        <v>144005</v>
      </c>
      <c r="H8" s="19" t="n">
        <v>119636</v>
      </c>
      <c r="I8" s="20" t="n">
        <v>108132</v>
      </c>
      <c r="J8" s="20" t="n">
        <v>134262</v>
      </c>
      <c r="K8" s="20" t="n">
        <v>135471</v>
      </c>
      <c r="L8" s="20" t="n">
        <v>143929</v>
      </c>
    </row>
    <row r="9">
      <c r="A9" s="18" t="inlineStr">
        <is>
          <t>재고자산</t>
        </is>
      </c>
      <c r="B9" s="10" t="n"/>
      <c r="C9" s="19" t="n">
        <v>231044</v>
      </c>
      <c r="D9" s="20" t="n">
        <v>243076</v>
      </c>
      <c r="E9" s="20" t="n">
        <v>232835</v>
      </c>
      <c r="F9" s="20" t="n">
        <v>238699</v>
      </c>
      <c r="G9" s="20" t="n">
        <v>249735</v>
      </c>
      <c r="H9" s="19" t="n">
        <v>188336</v>
      </c>
      <c r="I9" s="20" t="n">
        <v>214423</v>
      </c>
      <c r="J9" s="20" t="n">
        <v>239063</v>
      </c>
      <c r="K9" s="20" t="n">
        <v>241936</v>
      </c>
      <c r="L9" s="20" t="n">
        <v>232835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497986</v>
      </c>
      <c r="D11" s="12" t="n">
        <v>514861</v>
      </c>
      <c r="E11" s="12" t="n">
        <v>512691</v>
      </c>
      <c r="F11" s="12" t="n">
        <v>529799</v>
      </c>
      <c r="G11" s="12" t="n">
        <v>519666</v>
      </c>
      <c r="H11" s="11" t="n">
        <v>455438</v>
      </c>
      <c r="I11" s="12" t="n">
        <v>455449</v>
      </c>
      <c r="J11" s="12" t="n">
        <v>485425</v>
      </c>
      <c r="K11" s="12" t="n">
        <v>474112</v>
      </c>
      <c r="L11" s="12" t="n">
        <v>512691</v>
      </c>
    </row>
    <row r="12">
      <c r="A12" s="18" t="inlineStr">
        <is>
          <t>유형자산</t>
        </is>
      </c>
      <c r="B12" s="10" t="n"/>
      <c r="C12" s="19" t="n">
        <v>358991</v>
      </c>
      <c r="D12" s="20" t="n">
        <v>369391</v>
      </c>
      <c r="E12" s="20" t="n">
        <v>369184</v>
      </c>
      <c r="F12" s="20" t="n">
        <v>368934</v>
      </c>
      <c r="G12" s="20" t="n">
        <v>364790</v>
      </c>
      <c r="H12" s="19" t="n">
        <v>375312</v>
      </c>
      <c r="I12" s="20" t="n">
        <v>366446</v>
      </c>
      <c r="J12" s="20" t="n">
        <v>371903</v>
      </c>
      <c r="K12" s="20" t="n">
        <v>356636</v>
      </c>
      <c r="L12" s="20" t="n">
        <v>369184</v>
      </c>
    </row>
    <row r="13">
      <c r="A13" s="18" t="inlineStr">
        <is>
          <t>무형자산</t>
        </is>
      </c>
      <c r="B13" s="10" t="n"/>
      <c r="C13" s="19" t="n">
        <v>6349</v>
      </c>
      <c r="D13" s="20" t="n">
        <v>6268</v>
      </c>
      <c r="E13" s="20" t="n">
        <v>6191</v>
      </c>
      <c r="F13" s="20" t="n">
        <v>6086</v>
      </c>
      <c r="G13" s="20" t="n">
        <v>5905</v>
      </c>
      <c r="H13" s="19" t="n">
        <v>6196</v>
      </c>
      <c r="I13" s="20" t="n">
        <v>6414</v>
      </c>
      <c r="J13" s="20" t="n">
        <v>6659</v>
      </c>
      <c r="K13" s="20" t="n">
        <v>6153</v>
      </c>
      <c r="L13" s="20" t="n">
        <v>6191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1181377</v>
      </c>
      <c r="D16" s="12" t="n">
        <v>1206797</v>
      </c>
      <c r="E16" s="12" t="n">
        <v>1243330</v>
      </c>
      <c r="F16" s="12" t="n">
        <v>1222440</v>
      </c>
      <c r="G16" s="12" t="n">
        <v>1237456</v>
      </c>
      <c r="H16" s="11" t="n">
        <v>982833</v>
      </c>
      <c r="I16" s="12" t="n">
        <v>1029168</v>
      </c>
      <c r="J16" s="12" t="n">
        <v>1127576</v>
      </c>
      <c r="K16" s="12" t="n">
        <v>1142986</v>
      </c>
      <c r="L16" s="12" t="n">
        <v>1243330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157855</v>
      </c>
      <c r="D18" s="12" t="n">
        <v>133151</v>
      </c>
      <c r="E18" s="12" t="n">
        <v>167056</v>
      </c>
      <c r="F18" s="12" t="n">
        <v>144168</v>
      </c>
      <c r="G18" s="12" t="n">
        <v>151863</v>
      </c>
      <c r="H18" s="11" t="n">
        <v>151790</v>
      </c>
      <c r="I18" s="12" t="n">
        <v>149507</v>
      </c>
      <c r="J18" s="12" t="n">
        <v>175803</v>
      </c>
      <c r="K18" s="12" t="n">
        <v>178912</v>
      </c>
      <c r="L18" s="12" t="n">
        <v>167056</v>
      </c>
    </row>
    <row r="19">
      <c r="A19" s="18" t="inlineStr">
        <is>
          <t>매입채무</t>
        </is>
      </c>
      <c r="B19" s="10" t="n"/>
      <c r="C19" s="19" t="n">
        <v>43403</v>
      </c>
      <c r="D19" s="20" t="n">
        <v>42591</v>
      </c>
      <c r="E19" s="20" t="n">
        <v>48847</v>
      </c>
      <c r="F19" s="20" t="n">
        <v>46272</v>
      </c>
      <c r="G19" s="20" t="n">
        <v>45378</v>
      </c>
      <c r="H19" s="19" t="n">
        <v>44328</v>
      </c>
      <c r="I19" s="20" t="n">
        <v>44872</v>
      </c>
      <c r="J19" s="20" t="n">
        <v>50269</v>
      </c>
      <c r="K19" s="20" t="n">
        <v>45827</v>
      </c>
      <c r="L19" s="20" t="n">
        <v>48847</v>
      </c>
    </row>
    <row r="20">
      <c r="A20" s="18" t="inlineStr">
        <is>
          <t>단기차입금</t>
        </is>
      </c>
      <c r="B20" s="10" t="n"/>
      <c r="C20" s="19" t="n">
        <v>14574</v>
      </c>
      <c r="D20" s="20" t="n">
        <v>11947</v>
      </c>
      <c r="E20" s="20" t="n">
        <v>7363</v>
      </c>
      <c r="F20" s="20" t="n">
        <v>1462</v>
      </c>
      <c r="G20" s="20" t="n">
        <v>1362</v>
      </c>
      <c r="H20" s="19" t="n">
        <v>6198</v>
      </c>
      <c r="I20" s="20" t="n">
        <v>11143</v>
      </c>
      <c r="J20" s="20" t="n">
        <v>11342</v>
      </c>
      <c r="K20" s="20" t="n">
        <v>20260</v>
      </c>
      <c r="L20" s="20" t="n">
        <v>7363</v>
      </c>
    </row>
    <row r="21">
      <c r="A21" s="18" t="inlineStr">
        <is>
          <t>유동성장기부채</t>
        </is>
      </c>
      <c r="B21" s="10" t="n"/>
      <c r="C21" s="19" t="n">
        <v>32114</v>
      </c>
      <c r="D21" s="20" t="n">
        <v>11689</v>
      </c>
      <c r="E21" s="20" t="n">
        <v>35585</v>
      </c>
      <c r="F21" s="20" t="n">
        <v>30102</v>
      </c>
      <c r="G21" s="20" t="n">
        <v>29467</v>
      </c>
      <c r="H21" s="19" t="n">
        <v>32263</v>
      </c>
      <c r="I21" s="20" t="n">
        <v>34860</v>
      </c>
      <c r="J21" s="20" t="n">
        <v>40897</v>
      </c>
      <c r="K21" s="20" t="n">
        <v>36215</v>
      </c>
      <c r="L21" s="20" t="n">
        <v>35585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257884</v>
      </c>
      <c r="D23" s="12" t="n">
        <v>283670</v>
      </c>
      <c r="E23" s="12" t="n">
        <v>258921</v>
      </c>
      <c r="F23" s="12" t="n">
        <v>259849</v>
      </c>
      <c r="G23" s="12" t="n">
        <v>255218</v>
      </c>
      <c r="H23" s="11" t="n">
        <v>241448</v>
      </c>
      <c r="I23" s="12" t="n">
        <v>237214</v>
      </c>
      <c r="J23" s="12" t="n">
        <v>248547</v>
      </c>
      <c r="K23" s="12" t="n">
        <v>236567</v>
      </c>
      <c r="L23" s="12" t="n">
        <v>258921</v>
      </c>
    </row>
    <row r="24">
      <c r="A24" s="18" t="inlineStr">
        <is>
          <t>장기차입금</t>
        </is>
      </c>
      <c r="B24" s="10" t="n"/>
      <c r="C24" s="19" t="n">
        <v>151638</v>
      </c>
      <c r="D24" s="20" t="n">
        <v>164832</v>
      </c>
      <c r="E24" s="20" t="n">
        <v>139686</v>
      </c>
      <c r="F24" s="20" t="n">
        <v>137881</v>
      </c>
      <c r="G24" s="20" t="n">
        <v>137539</v>
      </c>
      <c r="H24" s="19" t="n">
        <v>178888</v>
      </c>
      <c r="I24" s="20" t="n">
        <v>167353</v>
      </c>
      <c r="J24" s="20" t="n">
        <v>155086</v>
      </c>
      <c r="K24" s="20" t="n">
        <v>138766</v>
      </c>
      <c r="L24" s="20" t="n">
        <v>139686</v>
      </c>
    </row>
    <row r="25">
      <c r="A25" s="18" t="inlineStr">
        <is>
          <t>사채</t>
        </is>
      </c>
      <c r="B25" s="10" t="n"/>
      <c r="C25" s="19" t="n">
        <v>57000</v>
      </c>
      <c r="D25" s="20" t="n">
        <v>62000</v>
      </c>
      <c r="E25" s="20" t="n">
        <v>62000</v>
      </c>
      <c r="F25" s="20" t="n">
        <v>62000</v>
      </c>
      <c r="G25" s="20" t="n">
        <v>62000</v>
      </c>
      <c r="H25" s="19" t="n">
        <v>35000</v>
      </c>
      <c r="I25" s="20" t="n">
        <v>40000</v>
      </c>
      <c r="J25" s="20" t="n">
        <v>52000</v>
      </c>
      <c r="K25" s="20" t="n">
        <v>57000</v>
      </c>
      <c r="L25" s="20" t="n">
        <v>62000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415739</v>
      </c>
      <c r="D27" s="12" t="n">
        <v>416822</v>
      </c>
      <c r="E27" s="12" t="n">
        <v>425978</v>
      </c>
      <c r="F27" s="12" t="n">
        <v>404017</v>
      </c>
      <c r="G27" s="12" t="n">
        <v>407081</v>
      </c>
      <c r="H27" s="11" t="n">
        <v>393238</v>
      </c>
      <c r="I27" s="12" t="n">
        <v>386721</v>
      </c>
      <c r="J27" s="12" t="n">
        <v>424351</v>
      </c>
      <c r="K27" s="12" t="n">
        <v>415480</v>
      </c>
      <c r="L27" s="12" t="n">
        <v>425978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757287</v>
      </c>
      <c r="D31" s="12" t="n">
        <v>781101</v>
      </c>
      <c r="E31" s="12" t="n">
        <v>808554</v>
      </c>
      <c r="F31" s="12" t="n">
        <v>808845</v>
      </c>
      <c r="G31" s="12" t="n">
        <v>821042</v>
      </c>
      <c r="H31" s="11" t="n">
        <v>583148</v>
      </c>
      <c r="I31" s="12" t="n">
        <v>635448</v>
      </c>
      <c r="J31" s="12" t="n">
        <v>695426</v>
      </c>
      <c r="K31" s="12" t="n">
        <v>719804</v>
      </c>
      <c r="L31" s="12" t="n">
        <v>808554</v>
      </c>
    </row>
    <row r="32">
      <c r="A32" s="18" t="inlineStr">
        <is>
          <t>자본금</t>
        </is>
      </c>
      <c r="B32" s="10" t="n"/>
      <c r="C32" s="19" t="n">
        <v>70064</v>
      </c>
      <c r="D32" s="20" t="n">
        <v>70064</v>
      </c>
      <c r="E32" s="20" t="n">
        <v>70064</v>
      </c>
      <c r="F32" s="20" t="n">
        <v>70064</v>
      </c>
      <c r="G32" s="20" t="n">
        <v>70064</v>
      </c>
      <c r="H32" s="19" t="n">
        <v>69849</v>
      </c>
      <c r="I32" s="20" t="n">
        <v>69955</v>
      </c>
      <c r="J32" s="20" t="n">
        <v>70064</v>
      </c>
      <c r="K32" s="20" t="n">
        <v>70064</v>
      </c>
      <c r="L32" s="20" t="n">
        <v>70064</v>
      </c>
    </row>
    <row r="33">
      <c r="A33" s="18" t="inlineStr">
        <is>
          <t>이익잉여금</t>
        </is>
      </c>
      <c r="B33" s="10" t="n"/>
      <c r="C33" s="19" t="n">
        <v>479869</v>
      </c>
      <c r="D33" s="20" t="n">
        <v>486076</v>
      </c>
      <c r="E33" s="20" t="n">
        <v>492019</v>
      </c>
      <c r="F33" s="20" t="n">
        <v>485494</v>
      </c>
      <c r="G33" s="20" t="n">
        <v>516919</v>
      </c>
      <c r="H33" s="19" t="n">
        <v>416205</v>
      </c>
      <c r="I33" s="20" t="n">
        <v>440530</v>
      </c>
      <c r="J33" s="20" t="n">
        <v>451550</v>
      </c>
      <c r="K33" s="20" t="n">
        <v>464800</v>
      </c>
      <c r="L33" s="20" t="n">
        <v>492019</v>
      </c>
    </row>
    <row r="34">
      <c r="A34" s="18" t="inlineStr">
        <is>
          <t>비지배지분</t>
        </is>
      </c>
      <c r="B34" s="10" t="n"/>
      <c r="C34" s="19" t="n">
        <v>7639</v>
      </c>
      <c r="D34" s="20" t="n">
        <v>8164</v>
      </c>
      <c r="E34" s="20" t="n">
        <v>8114</v>
      </c>
      <c r="F34" s="20" t="n">
        <v>8898</v>
      </c>
      <c r="G34" s="20" t="n">
        <v>8709</v>
      </c>
      <c r="H34" s="19" t="n">
        <v>5505</v>
      </c>
      <c r="I34" s="20" t="n">
        <v>6116</v>
      </c>
      <c r="J34" s="20" t="n">
        <v>6947</v>
      </c>
      <c r="K34" s="20" t="n">
        <v>6925</v>
      </c>
      <c r="L34" s="20" t="n">
        <v>8114</v>
      </c>
    </row>
    <row r="35">
      <c r="A35" s="9" t="inlineStr">
        <is>
          <t>자본총계</t>
        </is>
      </c>
      <c r="B35" s="10" t="n"/>
      <c r="C35" s="11" t="n">
        <v>765638</v>
      </c>
      <c r="D35" s="12" t="n">
        <v>789975</v>
      </c>
      <c r="E35" s="12" t="n">
        <v>817352</v>
      </c>
      <c r="F35" s="12" t="n">
        <v>818423</v>
      </c>
      <c r="G35" s="12" t="n">
        <v>830375</v>
      </c>
      <c r="H35" s="11" t="n">
        <v>589594</v>
      </c>
      <c r="I35" s="12" t="n">
        <v>642446</v>
      </c>
      <c r="J35" s="12" t="n">
        <v>703225</v>
      </c>
      <c r="K35" s="12" t="n">
        <v>727506</v>
      </c>
      <c r="L35" s="12" t="n">
        <v>817352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137989</v>
      </c>
      <c r="F37" s="12" t="n"/>
      <c r="G37" s="12" t="n"/>
      <c r="H37" s="11" t="n">
        <v>94831</v>
      </c>
      <c r="I37" s="12" t="n">
        <v>97949</v>
      </c>
      <c r="J37" s="12" t="n">
        <v>99159</v>
      </c>
      <c r="K37" s="12" t="n">
        <v>96658</v>
      </c>
      <c r="L37" s="12" t="n">
        <v>137989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>
        <v>55470</v>
      </c>
      <c r="F38" s="20" t="n"/>
      <c r="G38" s="20" t="n"/>
      <c r="H38" s="19" t="n">
        <v>37428</v>
      </c>
      <c r="I38" s="20" t="n">
        <v>43153</v>
      </c>
      <c r="J38" s="20" t="n">
        <v>45135</v>
      </c>
      <c r="K38" s="20" t="n">
        <v>43748</v>
      </c>
      <c r="L38" s="20" t="n">
        <v>55470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>
        <v>19841</v>
      </c>
      <c r="F40" s="20" t="n"/>
      <c r="G40" s="20" t="n"/>
      <c r="H40" s="19" t="n">
        <v>15679</v>
      </c>
      <c r="I40" s="20" t="n">
        <v>20572</v>
      </c>
      <c r="J40" s="20" t="n">
        <v>17768</v>
      </c>
      <c r="K40" s="20" t="n">
        <v>16301</v>
      </c>
      <c r="L40" s="20" t="n">
        <v>19841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IFERROR((IF(COUNT('연간'!G34:J34)&lt;4,"",SUM('연간'!G34:J34)))/(IF(COUNT('연간'!G56:J56)&lt;4,"",SUM('연간'!G56:J56))),"")</f>
        <v/>
      </c>
      <c r="D48" s="31">
        <f>IFERROR((IF(COUNT('연간'!H34:K34)&lt;4,"",SUM('연간'!H34:K34)))/(IF(COUNT('연간'!H56:K56)&lt;4,"",SUM('연간'!H56:K56))),"")</f>
        <v/>
      </c>
      <c r="E48" s="31">
        <f>IFERROR((IF(COUNT('연간'!I34:L34)&lt;4,"",SUM('연간'!I34:L34)))/(IF(COUNT('연간'!I56:L56)&lt;4,"",SUM('연간'!I56:L56))),"")</f>
        <v/>
      </c>
      <c r="F48" s="31">
        <f>IFERROR((IF(COUNT('연간'!J34:M34)&lt;4,"",SUM('연간'!J34:M34)))/(IF(COUNT('연간'!J56:M56)&lt;4,"",SUM('연간'!J56:M56))),"")</f>
        <v/>
      </c>
      <c r="G48" s="31">
        <f>IFERROR((IF(COUNT('연간'!K34:N34)&lt;4,"",SUM('연간'!K34:N34)))/(IF(COUNT('연간'!K56:N56)&lt;4,"",SUM('연간'!K56:N56))),"")</f>
        <v/>
      </c>
      <c r="H48" s="30">
        <f>IFERROR(('연간'!T34)/('연간'!T56),"")</f>
        <v/>
      </c>
      <c r="I48" s="31">
        <f>IFERROR(('연간'!U34)/('연간'!U56),"")</f>
        <v/>
      </c>
      <c r="J48" s="31">
        <f>IFERROR(('연간'!V34)/('연간'!V56),"")</f>
        <v/>
      </c>
      <c r="K48" s="31">
        <f>IFERROR(('연간'!W34)/('연간'!W56),"")</f>
        <v/>
      </c>
      <c r="L48" s="31">
        <f>IFERROR(('연간'!X34)/('연간'!X56),"")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IFERROR(IF((IF(COUNT('연간'!G64:J64)&lt;4,"",SUM('연간'!G64:J64)))&lt;=0,"적자",C28/(IF(COUNT('연간'!G64:J64)&lt;4,"",SUM('연간'!G64:J64)))),"")</f>
        <v/>
      </c>
      <c r="D49" s="47">
        <f>IFERROR(IF((IF(COUNT('연간'!H64:K64)&lt;4,"",SUM('연간'!H64:K64)))&lt;=0,"적자",D28/(IF(COUNT('연간'!H64:K64)&lt;4,"",SUM('연간'!H64:K64)))),"")</f>
        <v/>
      </c>
      <c r="E49" s="47">
        <f>IFERROR(IF((IF(COUNT('연간'!I64:L64)&lt;4,"",SUM('연간'!I64:L64)))&lt;=0,"적자",E28/(IF(COUNT('연간'!I64:L64)&lt;4,"",SUM('연간'!I64:L64)))),"")</f>
        <v/>
      </c>
      <c r="F49" s="47">
        <f>IFERROR(IF((IF(COUNT('연간'!J64:M64)&lt;4,"",SUM('연간'!J64:M64)))&lt;=0,"적자",F28/(IF(COUNT('연간'!J64:M64)&lt;4,"",SUM('연간'!J64:M64)))),"")</f>
        <v/>
      </c>
      <c r="G49" s="47">
        <f>IFERROR(IF((IF(COUNT('연간'!K64:N64)&lt;4,"",SUM('연간'!K64:N64)))&lt;=0,"적자",G28/(IF(COUNT('연간'!K64:N64)&lt;4,"",SUM('연간'!K64:N64)))),"")</f>
        <v/>
      </c>
      <c r="H49" s="46">
        <f>IFERROR(IF(('연간'!T64)&lt;=0,"적자",H28/('연간'!T64)),"")</f>
        <v/>
      </c>
      <c r="I49" s="47">
        <f>IFERROR(IF(('연간'!U64)&lt;=0,"적자",I28/('연간'!U64)),"")</f>
        <v/>
      </c>
      <c r="J49" s="47">
        <f>IFERROR(IF(('연간'!V64)&lt;=0,"적자",J28/('연간'!V64)),"")</f>
        <v/>
      </c>
      <c r="K49" s="47">
        <f>IFERROR(IF(('연간'!W64)&lt;=0,"적자",K28/('연간'!W64)),"")</f>
        <v/>
      </c>
      <c r="L49" s="47">
        <f>IFERROR(IF(('연간'!X64)&lt;=0,"적자",L28/('연간'!X64)),"")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IFERROR((IF(COUNT('연간'!G64:J64)&lt;4,"",SUM('연간'!G64:J64)))/C31,"")</f>
        <v/>
      </c>
      <c r="D51" s="36">
        <f>IFERROR((IF(COUNT('연간'!H64:K64)&lt;4,"",SUM('연간'!H64:K64)))/D31,"")</f>
        <v/>
      </c>
      <c r="E51" s="36">
        <f>IFERROR((IF(COUNT('연간'!I64:L64)&lt;4,"",SUM('연간'!I64:L64)))/E31,"")</f>
        <v/>
      </c>
      <c r="F51" s="36">
        <f>IFERROR((IF(COUNT('연간'!J64:M64)&lt;4,"",SUM('연간'!J64:M64)))/F31,"")</f>
        <v/>
      </c>
      <c r="G51" s="36">
        <f>IFERROR((IF(COUNT('연간'!K64:N64)&lt;4,"",SUM('연간'!K64:N64)))/G31,"")</f>
        <v/>
      </c>
      <c r="H51" s="35">
        <f>IFERROR(('연간'!T64)/H31,"")</f>
        <v/>
      </c>
      <c r="I51" s="36">
        <f>IFERROR(('연간'!U64)/I31,"")</f>
        <v/>
      </c>
      <c r="J51" s="36">
        <f>IFERROR(('연간'!V64)/J31,"")</f>
        <v/>
      </c>
      <c r="K51" s="36">
        <f>IFERROR(('연간'!W64)/K31,"")</f>
        <v/>
      </c>
      <c r="L51" s="36">
        <f>IFERROR(('연간'!X64)/L31,"")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IFERROR((IF(COUNT('연간'!G62:J62)&lt;4,"",SUM('연간'!G62:J62)))/C16,"")</f>
        <v/>
      </c>
      <c r="D52" s="36">
        <f>IFERROR((IF(COUNT('연간'!H62:K62)&lt;4,"",SUM('연간'!H62:K62)))/D16,"")</f>
        <v/>
      </c>
      <c r="E52" s="36">
        <f>IFERROR((IF(COUNT('연간'!I62:L62)&lt;4,"",SUM('연간'!I62:L62)))/E16,"")</f>
        <v/>
      </c>
      <c r="F52" s="36">
        <f>IFERROR((IF(COUNT('연간'!J62:M62)&lt;4,"",SUM('연간'!J62:M62)))/F16,"")</f>
        <v/>
      </c>
      <c r="G52" s="36">
        <f>IFERROR((IF(COUNT('연간'!K62:N62)&lt;4,"",SUM('연간'!K62:N62)))/G16,"")</f>
        <v/>
      </c>
      <c r="H52" s="35">
        <f>IFERROR(('연간'!T62)/H16,"")</f>
        <v/>
      </c>
      <c r="I52" s="36">
        <f>IFERROR(('연간'!U62)/I16,"")</f>
        <v/>
      </c>
      <c r="J52" s="36">
        <f>IFERROR(('연간'!V62)/J16,"")</f>
        <v/>
      </c>
      <c r="K52" s="36">
        <f>IFERROR(('연간'!W62)/K16,"")</f>
        <v/>
      </c>
      <c r="L52" s="36">
        <f>IFERROR(('연간'!X62)/L16,"")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IFERROR((IF(COUNT('연간'!G34:J34)&lt;4,"",SUM('연간'!G34:J34)))*(1-0.3)/(C35+C29),"")</f>
        <v/>
      </c>
      <c r="D53" s="36">
        <f>IFERROR((IF(COUNT('연간'!H34:K34)&lt;4,"",SUM('연간'!H34:K34)))*(1-0.3)/(D35+D29),"")</f>
        <v/>
      </c>
      <c r="E53" s="36">
        <f>IFERROR((IF(COUNT('연간'!I34:L34)&lt;4,"",SUM('연간'!I34:L34)))*(1-0.3)/(E35+E29),"")</f>
        <v/>
      </c>
      <c r="F53" s="36">
        <f>IFERROR((IF(COUNT('연간'!J34:M34)&lt;4,"",SUM('연간'!J34:M34)))*(1-0.3)/(F35+F29),"")</f>
        <v/>
      </c>
      <c r="G53" s="36">
        <f>IFERROR((IF(COUNT('연간'!K34:N34)&lt;4,"",SUM('연간'!K34:N34)))*(1-0.3)/(G35+G29),"")</f>
        <v/>
      </c>
      <c r="H53" s="35">
        <f>IFERROR(('연간'!T34)*(1-0.3)/(H35+H29),"")</f>
        <v/>
      </c>
      <c r="I53" s="36">
        <f>IFERROR(('연간'!U34)*(1-0.3)/(I35+I29),"")</f>
        <v/>
      </c>
      <c r="J53" s="36">
        <f>IFERROR(('연간'!V34)*(1-0.3)/(J35+J29),"")</f>
        <v/>
      </c>
      <c r="K53" s="36">
        <f>IFERROR(('연간'!W34)*(1-0.3)/(K35+K29),"")</f>
        <v/>
      </c>
      <c r="L53" s="36">
        <f>IFERROR(('연간'!X34)*(1-0.3)/(L35+L29),"")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IFERROR((IF(COUNT('연간'!G28:J28)&lt;4,"",SUM('연간'!G28:J28)))/(IF(COUNT('연간'!G4:J4)&lt;4,"",SUM('연간'!G4:J4))),"")</f>
        <v/>
      </c>
      <c r="D54" s="36">
        <f>IFERROR((IF(COUNT('연간'!H28:K28)&lt;4,"",SUM('연간'!H28:K28)))/(IF(COUNT('연간'!H4:K4)&lt;4,"",SUM('연간'!H4:K4))),"")</f>
        <v/>
      </c>
      <c r="E54" s="36">
        <f>IFERROR((IF(COUNT('연간'!I28:L28)&lt;4,"",SUM('연간'!I28:L28)))/(IF(COUNT('연간'!I4:L4)&lt;4,"",SUM('연간'!I4:L4))),"")</f>
        <v/>
      </c>
      <c r="F54" s="36">
        <f>IFERROR((IF(COUNT('연간'!J28:M28)&lt;4,"",SUM('연간'!J28:M28)))/(IF(COUNT('연간'!J4:M4)&lt;4,"",SUM('연간'!J4:M4))),"")</f>
        <v/>
      </c>
      <c r="G54" s="36">
        <f>IFERROR((IF(COUNT('연간'!K28:N28)&lt;4,"",SUM('연간'!K28:N28)))/(IF(COUNT('연간'!K4:N4)&lt;4,"",SUM('연간'!K4:N4))),"")</f>
        <v/>
      </c>
      <c r="H54" s="35">
        <f>IFERROR(('연간'!T28)/('연간'!T4),"")</f>
        <v/>
      </c>
      <c r="I54" s="36">
        <f>IFERROR(('연간'!U28)/('연간'!U4),"")</f>
        <v/>
      </c>
      <c r="J54" s="36">
        <f>IFERROR(('연간'!V28)/('연간'!V4),"")</f>
        <v/>
      </c>
      <c r="K54" s="36">
        <f>IFERROR(('연간'!W28)/('연간'!W4),"")</f>
        <v/>
      </c>
      <c r="L54" s="36">
        <f>IFERROR(('연간'!X28)/('연간'!X4),"")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IFERROR((IF(COUNT('연간'!G34:J34)&lt;4,"",SUM('연간'!G34:J34)))/(IF(COUNT('연간'!G4:J4)&lt;4,"",SUM('연간'!G4:J4))),"")</f>
        <v/>
      </c>
      <c r="D55" s="36">
        <f>IFERROR((IF(COUNT('연간'!H34:K34)&lt;4,"",SUM('연간'!H34:K34)))/(IF(COUNT('연간'!H4:K4)&lt;4,"",SUM('연간'!H4:K4))),"")</f>
        <v/>
      </c>
      <c r="E55" s="36">
        <f>IFERROR((IF(COUNT('연간'!I34:L34)&lt;4,"",SUM('연간'!I34:L34)))/(IF(COUNT('연간'!I4:L4)&lt;4,"",SUM('연간'!I4:L4))),"")</f>
        <v/>
      </c>
      <c r="F55" s="36">
        <f>IFERROR((IF(COUNT('연간'!J34:M34)&lt;4,"",SUM('연간'!J34:M34)))/(IF(COUNT('연간'!J4:M4)&lt;4,"",SUM('연간'!J4:M4))),"")</f>
        <v/>
      </c>
      <c r="G55" s="36">
        <f>IFERROR((IF(COUNT('연간'!K34:N34)&lt;4,"",SUM('연간'!K34:N34)))/(IF(COUNT('연간'!K4:N4)&lt;4,"",SUM('연간'!K4:N4))),"")</f>
        <v/>
      </c>
      <c r="H55" s="35">
        <f>IFERROR(('연간'!T34)/('연간'!T4),"")</f>
        <v/>
      </c>
      <c r="I55" s="36">
        <f>IFERROR(('연간'!U34)/('연간'!U4),"")</f>
        <v/>
      </c>
      <c r="J55" s="36">
        <f>IFERROR(('연간'!V34)/('연간'!V4),"")</f>
        <v/>
      </c>
      <c r="K55" s="36">
        <f>IFERROR(('연간'!W34)/('연간'!W4),"")</f>
        <v/>
      </c>
      <c r="L55" s="36">
        <f>IFERROR(('연간'!X34)/('연간'!X4),"")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IFERROR((IF(COUNT('연간'!G62:J62)&lt;4,"",SUM('연간'!G62:J62)))/(IF(COUNT('연간'!G4:J4)&lt;4,"",SUM('연간'!G4:J4))),"")</f>
        <v/>
      </c>
      <c r="D56" s="36">
        <f>IFERROR((IF(COUNT('연간'!H62:K62)&lt;4,"",SUM('연간'!H62:K62)))/(IF(COUNT('연간'!H4:K4)&lt;4,"",SUM('연간'!H4:K4))),"")</f>
        <v/>
      </c>
      <c r="E56" s="36">
        <f>IFERROR((IF(COUNT('연간'!I62:L62)&lt;4,"",SUM('연간'!I62:L62)))/(IF(COUNT('연간'!I4:L4)&lt;4,"",SUM('연간'!I4:L4))),"")</f>
        <v/>
      </c>
      <c r="F56" s="36">
        <f>IFERROR((IF(COUNT('연간'!J62:M62)&lt;4,"",SUM('연간'!J62:M62)))/(IF(COUNT('연간'!J4:M4)&lt;4,"",SUM('연간'!J4:M4))),"")</f>
        <v/>
      </c>
      <c r="G56" s="36">
        <f>IFERROR((IF(COUNT('연간'!K62:N62)&lt;4,"",SUM('연간'!K62:N62)))/(IF(COUNT('연간'!K4:N4)&lt;4,"",SUM('연간'!K4:N4))),"")</f>
        <v/>
      </c>
      <c r="H56" s="35">
        <f>IFERROR(('연간'!T62)/('연간'!T4),"")</f>
        <v/>
      </c>
      <c r="I56" s="36">
        <f>IFERROR(('연간'!U62)/('연간'!U4),"")</f>
        <v/>
      </c>
      <c r="J56" s="36">
        <f>IFERROR(('연간'!V62)/('연간'!V4),"")</f>
        <v/>
      </c>
      <c r="K56" s="36">
        <f>IFERROR(('연간'!W62)/('연간'!W4),"")</f>
        <v/>
      </c>
      <c r="L56" s="36">
        <f>IFERROR(('연간'!X62)/('연간'!X4),"")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IFERROR(C9/(IF(COUNT('연간'!G26:J26)&lt;4,"",SUM('연간'!G26:J26)))*365,"")</f>
        <v/>
      </c>
      <c r="D60" s="49">
        <f>IFERROR(D9/(IF(COUNT('연간'!H26:K26)&lt;4,"",SUM('연간'!H26:K26)))*365,"")</f>
        <v/>
      </c>
      <c r="E60" s="49">
        <f>IFERROR(E9/(IF(COUNT('연간'!I26:L26)&lt;4,"",SUM('연간'!I26:L26)))*365,"")</f>
        <v/>
      </c>
      <c r="F60" s="49">
        <f>IFERROR(F9/(IF(COUNT('연간'!J26:M26)&lt;4,"",SUM('연간'!J26:M26)))*365,"")</f>
        <v/>
      </c>
      <c r="G60" s="49">
        <f>IFERROR(G9/(IF(COUNT('연간'!K26:N26)&lt;4,"",SUM('연간'!K26:N26)))*365,"")</f>
        <v/>
      </c>
      <c r="H60" s="48">
        <f>IFERROR(H9/('연간'!T26)*365,"")</f>
        <v/>
      </c>
      <c r="I60" s="49">
        <f>IFERROR(I9/('연간'!U26)*365,"")</f>
        <v/>
      </c>
      <c r="J60" s="49">
        <f>IFERROR(J9/('연간'!V26)*365,"")</f>
        <v/>
      </c>
      <c r="K60" s="49">
        <f>IFERROR(K9/('연간'!W26)*365,"")</f>
        <v/>
      </c>
      <c r="L60" s="49">
        <f>IFERROR(L9/('연간'!X26)*365,"")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IFERROR(C19/(IF(COUNT('연간'!G26:J26)&lt;4,"",SUM('연간'!G26:J26)))*365,"")</f>
        <v/>
      </c>
      <c r="D61" s="49">
        <f>IFERROR(D19/(IF(COUNT('연간'!H26:K26)&lt;4,"",SUM('연간'!H26:K26)))*365,"")</f>
        <v/>
      </c>
      <c r="E61" s="49">
        <f>IFERROR(E19/(IF(COUNT('연간'!I26:L26)&lt;4,"",SUM('연간'!I26:L26)))*365,"")</f>
        <v/>
      </c>
      <c r="F61" s="49">
        <f>IFERROR(F19/(IF(COUNT('연간'!J26:M26)&lt;4,"",SUM('연간'!J26:M26)))*365,"")</f>
        <v/>
      </c>
      <c r="G61" s="49">
        <f>IFERROR(G19/(IF(COUNT('연간'!K26:N26)&lt;4,"",SUM('연간'!K26:N26)))*365,"")</f>
        <v/>
      </c>
      <c r="H61" s="48">
        <f>IFERROR(H19/('연간'!T26)*365,"")</f>
        <v/>
      </c>
      <c r="I61" s="49">
        <f>IFERROR(I19/('연간'!U26)*365,"")</f>
        <v/>
      </c>
      <c r="J61" s="49">
        <f>IFERROR(J19/('연간'!V26)*365,"")</f>
        <v/>
      </c>
      <c r="K61" s="49">
        <f>IFERROR(K19/('연간'!W26)*365,"")</f>
        <v/>
      </c>
      <c r="L61" s="49">
        <f>IFERROR(L19/('연간'!X26)*365,"")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IF(C37="","",IFERROR(C37/(IF(COUNT('연간'!G62:J62)&lt;4,"",SUM('연간'!G62:J62))),""))</f>
        <v/>
      </c>
      <c r="D64" s="31">
        <f>IF(D37="","",IFERROR(D37/(IF(COUNT('연간'!H62:K62)&lt;4,"",SUM('연간'!H62:K62))),""))</f>
        <v/>
      </c>
      <c r="E64" s="31">
        <f>IF(E37="","",IFERROR(E37/(IF(COUNT('연간'!I62:L62)&lt;4,"",SUM('연간'!I62:L62))),""))</f>
        <v/>
      </c>
      <c r="F64" s="31">
        <f>IF(F37="","",IFERROR(F37/(IF(COUNT('연간'!J62:M62)&lt;4,"",SUM('연간'!J62:M62))),""))</f>
        <v/>
      </c>
      <c r="G64" s="31">
        <f>IF(G37="","",IFERROR(G37/(IF(COUNT('연간'!K62:N62)&lt;4,"",SUM('연간'!K62:N62))),""))</f>
        <v/>
      </c>
      <c r="H64" s="30">
        <f>IF(H37="","",IFERROR(H37/('연간'!T62),""))</f>
        <v/>
      </c>
      <c r="I64" s="31">
        <f>IF(I37="","",IFERROR(I37/('연간'!U62),""))</f>
        <v/>
      </c>
      <c r="J64" s="31">
        <f>IF(J37="","",IFERROR(J37/('연간'!V62),""))</f>
        <v/>
      </c>
      <c r="K64" s="31">
        <f>IF(K37="","",IFERROR(K37/('연간'!W62),""))</f>
        <v/>
      </c>
      <c r="L64" s="31">
        <f>IF(L37="","",IFERROR(L37/('연간'!X62),""))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IF(C40="","",IFERROR(C40/(IF(COUNT('연간'!G64:J64)&lt;4,"",SUM('연간'!G64:J64))),""))</f>
        <v/>
      </c>
      <c r="D67" s="36">
        <f>IF(D40="","",IFERROR(D40/(IF(COUNT('연간'!H64:K64)&lt;4,"",SUM('연간'!H64:K64))),""))</f>
        <v/>
      </c>
      <c r="E67" s="36">
        <f>IF(E40="","",IFERROR(E40/(IF(COUNT('연간'!I64:L64)&lt;4,"",SUM('연간'!I64:L64))),""))</f>
        <v/>
      </c>
      <c r="F67" s="36">
        <f>IF(F40="","",IFERROR(F40/(IF(COUNT('연간'!J64:M64)&lt;4,"",SUM('연간'!J64:M64))),""))</f>
        <v/>
      </c>
      <c r="G67" s="36">
        <f>IF(G40="","",IFERROR(G40/(IF(COUNT('연간'!K64:N64)&lt;4,"",SUM('연간'!K64:N64))),""))</f>
        <v/>
      </c>
      <c r="H67" s="35">
        <f>IF(H40="","",IFERROR(H40/('연간'!T64),""))</f>
        <v/>
      </c>
      <c r="I67" s="36">
        <f>IF(I40="","",IFERROR(I40/('연간'!U64),""))</f>
        <v/>
      </c>
      <c r="J67" s="36">
        <f>IF(J40="","",IFERROR(J40/('연간'!V64),""))</f>
        <v/>
      </c>
      <c r="K67" s="36">
        <f>IF(K40="","",IFERROR(K40/('연간'!W64),""))</f>
        <v/>
      </c>
      <c r="L67" s="36">
        <f>IF(L40="","",IFERROR(L40/('연간'!X64),""))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212674</v>
      </c>
      <c r="D71" s="20" t="n">
        <v>219661</v>
      </c>
      <c r="E71" s="20" t="n">
        <v>198166</v>
      </c>
      <c r="F71" s="20" t="n">
        <v>186716</v>
      </c>
      <c r="G71" s="20" t="n">
        <v>194748</v>
      </c>
      <c r="H71" s="20" t="n">
        <v>139198</v>
      </c>
      <c r="I71" s="20" t="n">
        <v>168447</v>
      </c>
      <c r="J71" s="20" t="n">
        <v>192656</v>
      </c>
      <c r="K71" s="20" t="n">
        <v>197974</v>
      </c>
      <c r="L71" s="20" t="n">
        <v>198166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</t>
        </is>
      </c>
      <c r="E73" s="20" t="n">
        <v>2551</v>
      </c>
      <c r="H73" s="20" t="n">
        <v>2575</v>
      </c>
      <c r="I73" s="20" t="n">
        <v>2941</v>
      </c>
      <c r="J73" s="20" t="n">
        <v>2392</v>
      </c>
      <c r="K73" s="20" t="n">
        <v>2424</v>
      </c>
      <c r="L73" s="20" t="n">
        <v>2551</v>
      </c>
    </row>
    <row r="74">
      <c r="A74" s="18" t="inlineStr">
        <is>
          <t>매출채권</t>
        </is>
      </c>
      <c r="E74" s="20" t="n">
        <v>131704</v>
      </c>
      <c r="H74" s="20" t="n">
        <v>119636</v>
      </c>
      <c r="I74" s="20" t="n">
        <v>108132</v>
      </c>
      <c r="J74" s="20" t="n">
        <v>115370</v>
      </c>
      <c r="K74" s="20" t="n">
        <v>119047</v>
      </c>
      <c r="L74" s="20" t="n">
        <v>131704</v>
      </c>
    </row>
    <row r="75">
      <c r="A75" s="18" t="inlineStr">
        <is>
          <t>계약자산</t>
        </is>
      </c>
      <c r="E75" s="20" t="n">
        <v>9673</v>
      </c>
      <c r="H75" s="20" t="n">
        <v>9573</v>
      </c>
      <c r="I75" s="20" t="n">
        <v>9044</v>
      </c>
      <c r="J75" s="20" t="n">
        <v>16499</v>
      </c>
      <c r="K75" s="20" t="n">
        <v>13999</v>
      </c>
      <c r="L75" s="20" t="n">
        <v>9673</v>
      </c>
    </row>
    <row r="76">
      <c r="A76" s="18" t="inlineStr">
        <is>
          <t>받을어음·매출채권·계약자산</t>
        </is>
      </c>
      <c r="C76" s="20" t="n">
        <v>123456</v>
      </c>
      <c r="D76" s="20" t="n">
        <v>127741</v>
      </c>
      <c r="E76" s="20" t="n">
        <v>143929</v>
      </c>
      <c r="F76" s="20" t="n">
        <v>144150</v>
      </c>
      <c r="G76" s="20" t="n">
        <v>144005</v>
      </c>
      <c r="J76" s="20" t="n">
        <v>134262</v>
      </c>
      <c r="K76" s="20" t="n">
        <v>135471</v>
      </c>
      <c r="L76" s="20" t="n">
        <v>143929</v>
      </c>
    </row>
    <row r="77">
      <c r="A77" s="18" t="inlineStr">
        <is>
          <t>유가증권</t>
        </is>
      </c>
      <c r="C77" s="20" t="n">
        <v>92940</v>
      </c>
      <c r="D77" s="20" t="n">
        <v>78338</v>
      </c>
      <c r="E77" s="20" t="n">
        <v>124754</v>
      </c>
      <c r="F77" s="20" t="n">
        <v>99074</v>
      </c>
      <c r="G77" s="20" t="n">
        <v>106081</v>
      </c>
      <c r="H77" s="20" t="n">
        <v>46443</v>
      </c>
      <c r="I77" s="20" t="n">
        <v>46260</v>
      </c>
      <c r="J77" s="20" t="n">
        <v>50015</v>
      </c>
      <c r="K77" s="20" t="n">
        <v>65895</v>
      </c>
      <c r="L77" s="20" t="n">
        <v>124754</v>
      </c>
    </row>
    <row r="78">
      <c r="A78" s="18" t="inlineStr">
        <is>
          <t>재고자산</t>
        </is>
      </c>
      <c r="C78" s="20" t="n">
        <v>231044</v>
      </c>
      <c r="D78" s="20" t="n">
        <v>243076</v>
      </c>
      <c r="E78" s="20" t="n">
        <v>232835</v>
      </c>
      <c r="F78" s="20" t="n">
        <v>238699</v>
      </c>
      <c r="G78" s="20" t="n">
        <v>249735</v>
      </c>
      <c r="H78" s="20" t="n">
        <v>188336</v>
      </c>
      <c r="I78" s="20" t="n">
        <v>214423</v>
      </c>
      <c r="J78" s="20" t="n">
        <v>239063</v>
      </c>
      <c r="K78" s="20" t="n">
        <v>241936</v>
      </c>
      <c r="L78" s="20" t="n">
        <v>232835</v>
      </c>
    </row>
    <row r="79">
      <c r="A79" s="18" t="inlineStr">
        <is>
          <t>기타</t>
        </is>
      </c>
      <c r="C79" s="20" t="n">
        <v>23421</v>
      </c>
      <c r="D79" s="20" t="n">
        <v>23281</v>
      </c>
      <c r="E79" s="20" t="n">
        <v>31461</v>
      </c>
      <c r="F79" s="20" t="n">
        <v>24527</v>
      </c>
      <c r="G79" s="20" t="n">
        <v>23731</v>
      </c>
      <c r="H79" s="20" t="n">
        <v>21783</v>
      </c>
      <c r="I79" s="20" t="n">
        <v>24632</v>
      </c>
      <c r="J79" s="20" t="n">
        <v>26319</v>
      </c>
      <c r="K79" s="20" t="n">
        <v>27762</v>
      </c>
      <c r="L79" s="20" t="n">
        <v>31461</v>
      </c>
    </row>
    <row r="80">
      <c r="A80" s="18" t="inlineStr">
        <is>
          <t>대손충당금</t>
        </is>
      </c>
      <c r="C80" s="20" t="n">
        <v>-147</v>
      </c>
      <c r="D80" s="20" t="n">
        <v>-163</v>
      </c>
      <c r="E80" s="20" t="n">
        <v>-509</v>
      </c>
      <c r="F80" s="20" t="n">
        <v>-527</v>
      </c>
      <c r="G80" s="20" t="n">
        <v>-512</v>
      </c>
      <c r="H80" s="20" t="n">
        <v>-152</v>
      </c>
      <c r="I80" s="20" t="n">
        <v>-162</v>
      </c>
      <c r="J80" s="20" t="n">
        <v>-165</v>
      </c>
      <c r="K80" s="20" t="n">
        <v>-165</v>
      </c>
      <c r="L80" s="20" t="n">
        <v>-509</v>
      </c>
    </row>
    <row r="81">
      <c r="A81" s="9" t="inlineStr">
        <is>
          <t>유동자산 합계</t>
        </is>
      </c>
      <c r="C81" s="12" t="n">
        <v>683390</v>
      </c>
      <c r="D81" s="12" t="n">
        <v>691936</v>
      </c>
      <c r="E81" s="12" t="n">
        <v>730638</v>
      </c>
      <c r="F81" s="12" t="n">
        <v>692641</v>
      </c>
      <c r="G81" s="12" t="n">
        <v>717789</v>
      </c>
      <c r="H81" s="12" t="n">
        <v>527394</v>
      </c>
      <c r="I81" s="12" t="n">
        <v>573718</v>
      </c>
      <c r="J81" s="12" t="n">
        <v>642151</v>
      </c>
      <c r="K81" s="12" t="n">
        <v>668874</v>
      </c>
      <c r="L81" s="12" t="n">
        <v>730638</v>
      </c>
    </row>
    <row r="82">
      <c r="A82" s="18" t="inlineStr">
        <is>
          <t>건물·구축물(순액)</t>
        </is>
      </c>
      <c r="C82" s="20" t="n">
        <v>137639</v>
      </c>
      <c r="D82" s="20" t="n">
        <v>140490</v>
      </c>
      <c r="E82" s="20" t="n">
        <v>140260</v>
      </c>
      <c r="F82" s="20" t="n">
        <v>143096</v>
      </c>
      <c r="G82" s="20" t="n">
        <v>139955</v>
      </c>
      <c r="H82" s="20" t="n">
        <v>122617</v>
      </c>
      <c r="I82" s="20" t="n">
        <v>126436</v>
      </c>
      <c r="J82" s="20" t="n">
        <v>129119</v>
      </c>
      <c r="K82" s="20" t="n">
        <v>125765</v>
      </c>
      <c r="L82" s="20" t="n">
        <v>140260</v>
      </c>
    </row>
    <row r="83">
      <c r="A83" s="18" t="inlineStr">
        <is>
          <t>기계장치·운반구(순액)</t>
        </is>
      </c>
      <c r="C83" s="20" t="n">
        <v>152433</v>
      </c>
      <c r="D83" s="20" t="n">
        <v>156424</v>
      </c>
      <c r="E83" s="20" t="n">
        <v>155456</v>
      </c>
      <c r="F83" s="20" t="n">
        <v>154219</v>
      </c>
      <c r="G83" s="20" t="n">
        <v>148327</v>
      </c>
      <c r="H83" s="20" t="n">
        <v>180269</v>
      </c>
      <c r="I83" s="20" t="n">
        <v>172418</v>
      </c>
      <c r="J83" s="20" t="n">
        <v>174122</v>
      </c>
      <c r="K83" s="20" t="n">
        <v>153889</v>
      </c>
      <c r="L83" s="20" t="n">
        <v>155456</v>
      </c>
    </row>
    <row r="84">
      <c r="A84" s="18" t="inlineStr">
        <is>
          <t>공구·기구·비품(순액)</t>
        </is>
      </c>
      <c r="E84" s="20" t="n">
        <v>8660</v>
      </c>
      <c r="H84" s="20" t="n">
        <v>10358</v>
      </c>
      <c r="I84" s="20" t="n">
        <v>9836</v>
      </c>
      <c r="J84" s="20" t="n">
        <v>9073</v>
      </c>
      <c r="K84" s="20" t="n">
        <v>7934</v>
      </c>
      <c r="L84" s="20" t="n">
        <v>8660</v>
      </c>
    </row>
    <row r="85">
      <c r="A85" s="18" t="inlineStr">
        <is>
          <t>토지</t>
        </is>
      </c>
      <c r="E85" s="20" t="n">
        <v>34069</v>
      </c>
      <c r="H85" s="20" t="n">
        <v>28924</v>
      </c>
      <c r="I85" s="20" t="n">
        <v>30360</v>
      </c>
      <c r="J85" s="20" t="n">
        <v>32902</v>
      </c>
      <c r="K85" s="20" t="n">
        <v>33006</v>
      </c>
      <c r="L85" s="20" t="n">
        <v>34069</v>
      </c>
    </row>
    <row r="86">
      <c r="A86" s="18" t="inlineStr">
        <is>
          <t>건설중인자산</t>
        </is>
      </c>
      <c r="E86" s="20" t="n">
        <v>27214</v>
      </c>
      <c r="H86" s="20" t="n">
        <v>30947</v>
      </c>
      <c r="I86" s="20" t="n">
        <v>25393</v>
      </c>
      <c r="J86" s="20" t="n">
        <v>23297</v>
      </c>
      <c r="K86" s="20" t="n">
        <v>32516</v>
      </c>
      <c r="L86" s="20" t="n">
        <v>27214</v>
      </c>
    </row>
    <row r="87">
      <c r="A87" s="18" t="inlineStr">
        <is>
          <t>기타(순액)</t>
        </is>
      </c>
      <c r="C87" s="20" t="n">
        <v>68918</v>
      </c>
      <c r="D87" s="20" t="n">
        <v>72476</v>
      </c>
      <c r="E87" s="20" t="n">
        <v>73467</v>
      </c>
      <c r="F87" s="20" t="n">
        <v>71618</v>
      </c>
      <c r="G87" s="20" t="n">
        <v>76507</v>
      </c>
      <c r="H87" s="20" t="n">
        <v>2195</v>
      </c>
      <c r="I87" s="20" t="n">
        <v>2001</v>
      </c>
      <c r="J87" s="20" t="n">
        <v>3388</v>
      </c>
      <c r="K87" s="20" t="n">
        <v>3524</v>
      </c>
      <c r="L87" s="20" t="n">
        <v>73467</v>
      </c>
    </row>
    <row r="88">
      <c r="A88" s="18" t="inlineStr">
        <is>
          <t>유형자산 합계</t>
        </is>
      </c>
      <c r="C88" s="20" t="n">
        <v>358991</v>
      </c>
      <c r="D88" s="20" t="n">
        <v>369391</v>
      </c>
      <c r="E88" s="20" t="n">
        <v>369184</v>
      </c>
      <c r="F88" s="20" t="n">
        <v>368934</v>
      </c>
      <c r="G88" s="20" t="n">
        <v>364790</v>
      </c>
      <c r="H88" s="20" t="n">
        <v>375312</v>
      </c>
      <c r="I88" s="20" t="n">
        <v>366446</v>
      </c>
      <c r="J88" s="20" t="n">
        <v>371903</v>
      </c>
      <c r="K88" s="20" t="n">
        <v>356636</v>
      </c>
      <c r="L88" s="20" t="n">
        <v>369184</v>
      </c>
    </row>
    <row r="89">
      <c r="A89" s="18" t="inlineStr">
        <is>
          <t>소프트웨어</t>
        </is>
      </c>
      <c r="E89" s="20" t="n">
        <v>6085</v>
      </c>
      <c r="H89" s="20" t="n">
        <v>6008</v>
      </c>
      <c r="I89" s="20" t="n">
        <v>6225</v>
      </c>
      <c r="J89" s="20" t="n">
        <v>6479</v>
      </c>
      <c r="K89" s="20" t="n">
        <v>6018</v>
      </c>
      <c r="L89" s="20" t="n">
        <v>6085</v>
      </c>
    </row>
    <row r="90">
      <c r="A90" s="18" t="inlineStr">
        <is>
          <t>기타</t>
        </is>
      </c>
      <c r="E90" s="20" t="n">
        <v>106</v>
      </c>
      <c r="H90" s="20" t="n">
        <v>188</v>
      </c>
      <c r="I90" s="20" t="n">
        <v>188</v>
      </c>
      <c r="J90" s="20" t="n">
        <v>180</v>
      </c>
      <c r="K90" s="20" t="n">
        <v>134</v>
      </c>
      <c r="L90" s="20" t="n">
        <v>106</v>
      </c>
    </row>
    <row r="91">
      <c r="A91" s="18" t="inlineStr">
        <is>
          <t>무형자산</t>
        </is>
      </c>
      <c r="C91" s="20" t="n">
        <v>6349</v>
      </c>
      <c r="D91" s="20" t="n">
        <v>6268</v>
      </c>
      <c r="E91" s="20" t="n">
        <v>6191</v>
      </c>
      <c r="F91" s="20" t="n">
        <v>6086</v>
      </c>
      <c r="G91" s="20" t="n">
        <v>5905</v>
      </c>
      <c r="H91" s="20" t="n">
        <v>6196</v>
      </c>
      <c r="I91" s="20" t="n">
        <v>6414</v>
      </c>
      <c r="J91" s="20" t="n">
        <v>6659</v>
      </c>
      <c r="K91" s="20" t="n">
        <v>6153</v>
      </c>
      <c r="L91" s="20" t="n">
        <v>6191</v>
      </c>
    </row>
    <row r="92">
      <c r="A92" s="18" t="inlineStr">
        <is>
          <t>투자유가증권</t>
        </is>
      </c>
      <c r="C92" s="20" t="n">
        <v>89160</v>
      </c>
      <c r="D92" s="20" t="n">
        <v>94467</v>
      </c>
      <c r="E92" s="20" t="n">
        <v>85252</v>
      </c>
      <c r="F92" s="20" t="n">
        <v>99237</v>
      </c>
      <c r="G92" s="20" t="n">
        <v>92564</v>
      </c>
      <c r="H92" s="20" t="n">
        <v>59052</v>
      </c>
      <c r="I92" s="20" t="n">
        <v>58223</v>
      </c>
      <c r="J92" s="20" t="n">
        <v>76709</v>
      </c>
      <c r="K92" s="20" t="n">
        <v>68892</v>
      </c>
      <c r="L92" s="20" t="n">
        <v>85252</v>
      </c>
    </row>
    <row r="93">
      <c r="A93" s="18" t="inlineStr">
        <is>
          <t>이연법인세자산</t>
        </is>
      </c>
      <c r="E93" s="20" t="n">
        <v>13656</v>
      </c>
      <c r="H93" s="20" t="n">
        <v>5890</v>
      </c>
      <c r="I93" s="20" t="n">
        <v>7522</v>
      </c>
      <c r="J93" s="20" t="n">
        <v>9935</v>
      </c>
      <c r="K93" s="20" t="n">
        <v>12878</v>
      </c>
      <c r="L93" s="20" t="n">
        <v>13656</v>
      </c>
    </row>
    <row r="94">
      <c r="A94" s="18" t="inlineStr">
        <is>
          <t>퇴직급여자산</t>
        </is>
      </c>
      <c r="E94" s="20" t="n">
        <v>34283</v>
      </c>
      <c r="H94" s="20" t="n">
        <v>6692</v>
      </c>
      <c r="I94" s="20" t="n">
        <v>12887</v>
      </c>
      <c r="J94" s="20" t="n">
        <v>16319</v>
      </c>
      <c r="K94" s="20" t="n">
        <v>25564</v>
      </c>
      <c r="L94" s="20" t="n">
        <v>34283</v>
      </c>
    </row>
    <row r="95">
      <c r="A95" s="18" t="inlineStr">
        <is>
          <t>기타</t>
        </is>
      </c>
      <c r="C95" s="20" t="n">
        <v>43818</v>
      </c>
      <c r="D95" s="20" t="n">
        <v>45064</v>
      </c>
      <c r="E95" s="20" t="n">
        <v>52405</v>
      </c>
      <c r="F95" s="20" t="n">
        <v>55870</v>
      </c>
      <c r="G95" s="20" t="n">
        <v>56746</v>
      </c>
      <c r="H95" s="20" t="n">
        <v>2642</v>
      </c>
      <c r="I95" s="20" t="n">
        <v>4258</v>
      </c>
      <c r="J95" s="20" t="n">
        <v>4214</v>
      </c>
      <c r="K95" s="20" t="n">
        <v>4305</v>
      </c>
      <c r="L95" s="20" t="n">
        <v>52405</v>
      </c>
    </row>
    <row r="96">
      <c r="A96" s="18" t="inlineStr">
        <is>
          <t>대손충당금</t>
        </is>
      </c>
      <c r="C96" s="20" t="n">
        <v>-333</v>
      </c>
      <c r="D96" s="20" t="n">
        <v>-330</v>
      </c>
      <c r="E96" s="20" t="n">
        <v>-342</v>
      </c>
      <c r="F96" s="20" t="n">
        <v>-328</v>
      </c>
      <c r="G96" s="20" t="n">
        <v>-340</v>
      </c>
      <c r="H96" s="20" t="n">
        <v>-347</v>
      </c>
      <c r="I96" s="20" t="n">
        <v>-303</v>
      </c>
      <c r="J96" s="20" t="n">
        <v>-317</v>
      </c>
      <c r="K96" s="20" t="n">
        <v>-318</v>
      </c>
      <c r="L96" s="20" t="n">
        <v>-342</v>
      </c>
    </row>
    <row r="97">
      <c r="A97" s="18" t="inlineStr">
        <is>
          <t>투자 및 기타자산 합계</t>
        </is>
      </c>
      <c r="C97" s="20" t="n">
        <v>132645</v>
      </c>
      <c r="D97" s="20" t="n">
        <v>139200</v>
      </c>
      <c r="E97" s="20" t="n">
        <v>137315</v>
      </c>
      <c r="F97" s="20" t="n">
        <v>154778</v>
      </c>
      <c r="G97" s="20" t="n">
        <v>148971</v>
      </c>
      <c r="H97" s="20" t="n">
        <v>73930</v>
      </c>
      <c r="I97" s="20" t="n">
        <v>82588</v>
      </c>
      <c r="J97" s="20" t="n">
        <v>106862</v>
      </c>
      <c r="K97" s="20" t="n">
        <v>111322</v>
      </c>
      <c r="L97" s="20" t="n">
        <v>137315</v>
      </c>
    </row>
    <row r="98">
      <c r="A98" s="9" t="inlineStr">
        <is>
          <t>비유동자산 합계</t>
        </is>
      </c>
      <c r="C98" s="12" t="n">
        <v>497986</v>
      </c>
      <c r="D98" s="12" t="n">
        <v>514861</v>
      </c>
      <c r="E98" s="12" t="n">
        <v>512691</v>
      </c>
      <c r="F98" s="12" t="n">
        <v>529799</v>
      </c>
      <c r="G98" s="12" t="n">
        <v>519666</v>
      </c>
      <c r="H98" s="12" t="n">
        <v>455438</v>
      </c>
      <c r="I98" s="12" t="n">
        <v>455449</v>
      </c>
      <c r="J98" s="12" t="n">
        <v>485425</v>
      </c>
      <c r="K98" s="12" t="n">
        <v>474112</v>
      </c>
      <c r="L98" s="12" t="n">
        <v>512691</v>
      </c>
    </row>
    <row r="99">
      <c r="A99" s="9" t="inlineStr">
        <is>
          <t>자산 합계</t>
        </is>
      </c>
      <c r="C99" s="12" t="n">
        <v>1181377</v>
      </c>
      <c r="D99" s="12" t="n">
        <v>1206797</v>
      </c>
      <c r="E99" s="12" t="n">
        <v>1243330</v>
      </c>
      <c r="F99" s="12" t="n">
        <v>1222440</v>
      </c>
      <c r="G99" s="12" t="n">
        <v>1237456</v>
      </c>
      <c r="H99" s="12" t="n">
        <v>982833</v>
      </c>
      <c r="I99" s="12" t="n">
        <v>1029168</v>
      </c>
      <c r="J99" s="12" t="n">
        <v>1127576</v>
      </c>
      <c r="K99" s="12" t="n">
        <v>1142986</v>
      </c>
      <c r="L99" s="12" t="n">
        <v>1243330</v>
      </c>
    </row>
    <row r="100">
      <c r="A100" s="18" t="inlineStr">
        <is>
          <t>지급어음·매입채무</t>
        </is>
      </c>
      <c r="C100" s="20" t="n">
        <v>43403</v>
      </c>
      <c r="D100" s="20" t="n">
        <v>42591</v>
      </c>
      <c r="E100" s="20" t="n">
        <v>48847</v>
      </c>
      <c r="F100" s="20" t="n">
        <v>46272</v>
      </c>
      <c r="G100" s="20" t="n">
        <v>45378</v>
      </c>
      <c r="H100" s="20" t="n">
        <v>44328</v>
      </c>
      <c r="I100" s="20" t="n">
        <v>44872</v>
      </c>
      <c r="J100" s="20" t="n">
        <v>50269</v>
      </c>
      <c r="K100" s="20" t="n">
        <v>45827</v>
      </c>
      <c r="L100" s="20" t="n">
        <v>48847</v>
      </c>
    </row>
    <row r="101">
      <c r="A101" s="18" t="inlineStr">
        <is>
          <t>단기차입금</t>
        </is>
      </c>
      <c r="C101" s="20" t="n">
        <v>14574</v>
      </c>
      <c r="D101" s="20" t="n">
        <v>11947</v>
      </c>
      <c r="E101" s="20" t="n">
        <v>7363</v>
      </c>
      <c r="F101" s="20" t="n">
        <v>1462</v>
      </c>
      <c r="G101" s="20" t="n">
        <v>1362</v>
      </c>
      <c r="H101" s="20" t="n">
        <v>6198</v>
      </c>
      <c r="I101" s="20" t="n">
        <v>11143</v>
      </c>
      <c r="J101" s="20" t="n">
        <v>11342</v>
      </c>
      <c r="K101" s="20" t="n">
        <v>20260</v>
      </c>
      <c r="L101" s="20" t="n">
        <v>7363</v>
      </c>
    </row>
    <row r="102">
      <c r="A102" s="18" t="inlineStr">
        <is>
          <t>1년 내 상환 장기차입금</t>
        </is>
      </c>
      <c r="C102" s="20" t="n">
        <v>32114</v>
      </c>
      <c r="D102" s="20" t="n">
        <v>11689</v>
      </c>
      <c r="E102" s="20" t="n">
        <v>35585</v>
      </c>
      <c r="F102" s="20" t="n">
        <v>30102</v>
      </c>
      <c r="G102" s="20" t="n">
        <v>29467</v>
      </c>
      <c r="H102" s="20" t="n">
        <v>32263</v>
      </c>
      <c r="I102" s="20" t="n">
        <v>34860</v>
      </c>
      <c r="J102" s="20" t="n">
        <v>40897</v>
      </c>
      <c r="K102" s="20" t="n">
        <v>36215</v>
      </c>
      <c r="L102" s="20" t="n">
        <v>35585</v>
      </c>
    </row>
    <row r="103">
      <c r="A103" s="18" t="inlineStr">
        <is>
          <t>미지급금</t>
        </is>
      </c>
      <c r="E103" s="20" t="n">
        <v>17940</v>
      </c>
      <c r="H103" s="20" t="n">
        <v>16246</v>
      </c>
      <c r="I103" s="20" t="n">
        <v>15482</v>
      </c>
      <c r="J103" s="20" t="n">
        <v>14972</v>
      </c>
      <c r="K103" s="20" t="n">
        <v>18518</v>
      </c>
      <c r="L103" s="20" t="n">
        <v>17940</v>
      </c>
    </row>
    <row r="104">
      <c r="A104" s="18" t="inlineStr">
        <is>
          <t>미지급비용</t>
        </is>
      </c>
      <c r="E104" s="20" t="n">
        <v>26643</v>
      </c>
      <c r="H104" s="20" t="n">
        <v>20969</v>
      </c>
      <c r="I104" s="20" t="n">
        <v>22245</v>
      </c>
      <c r="J104" s="20" t="n">
        <v>24756</v>
      </c>
      <c r="K104" s="20" t="n">
        <v>25477</v>
      </c>
      <c r="L104" s="20" t="n">
        <v>26643</v>
      </c>
    </row>
    <row r="105">
      <c r="A105" s="18" t="inlineStr">
        <is>
          <t>미지급법인세</t>
        </is>
      </c>
      <c r="C105" s="20" t="n">
        <v>8669</v>
      </c>
      <c r="D105" s="20" t="n">
        <v>6885</v>
      </c>
      <c r="E105" s="20" t="n">
        <v>12530</v>
      </c>
      <c r="F105" s="20" t="n">
        <v>5509</v>
      </c>
      <c r="G105" s="20" t="n">
        <v>10736</v>
      </c>
      <c r="H105" s="20" t="n">
        <v>19830</v>
      </c>
      <c r="I105" s="20" t="n">
        <v>4164</v>
      </c>
      <c r="J105" s="20" t="n">
        <v>6734</v>
      </c>
      <c r="K105" s="20" t="n">
        <v>8001</v>
      </c>
      <c r="L105" s="20" t="n">
        <v>12530</v>
      </c>
    </row>
    <row r="106">
      <c r="A106" s="18" t="inlineStr">
        <is>
          <t>계약부채</t>
        </is>
      </c>
      <c r="E106" s="20" t="n">
        <v>7519</v>
      </c>
      <c r="H106" s="20" t="n">
        <v>1828</v>
      </c>
      <c r="I106" s="20" t="n">
        <v>6079</v>
      </c>
      <c r="J106" s="20" t="n">
        <v>12687</v>
      </c>
      <c r="K106" s="20" t="n">
        <v>12030</v>
      </c>
      <c r="L106" s="20" t="n">
        <v>7519</v>
      </c>
    </row>
    <row r="107">
      <c r="A107" s="18" t="inlineStr">
        <is>
          <t>Provision For NASBattery Safety Measures CL</t>
        </is>
      </c>
      <c r="H107" s="20" t="n">
        <v>972</v>
      </c>
      <c r="I107" s="20" t="n">
        <v>763</v>
      </c>
    </row>
    <row r="108">
      <c r="A108" s="18" t="inlineStr">
        <is>
          <t>기타</t>
        </is>
      </c>
      <c r="C108" s="20" t="n">
        <v>59092</v>
      </c>
      <c r="D108" s="20" t="n">
        <v>60036</v>
      </c>
      <c r="E108" s="20" t="n">
        <v>62729</v>
      </c>
      <c r="F108" s="20" t="n">
        <v>60819</v>
      </c>
      <c r="G108" s="20" t="n">
        <v>64917</v>
      </c>
      <c r="H108" s="20" t="n">
        <v>9151</v>
      </c>
      <c r="I108" s="20" t="n">
        <v>10658</v>
      </c>
      <c r="J108" s="20" t="n">
        <v>14143</v>
      </c>
      <c r="K108" s="20" t="n">
        <v>12582</v>
      </c>
      <c r="L108" s="20" t="n">
        <v>62729</v>
      </c>
    </row>
    <row r="109">
      <c r="A109" s="9" t="inlineStr">
        <is>
          <t>유동부채 합계</t>
        </is>
      </c>
      <c r="C109" s="12" t="n">
        <v>157855</v>
      </c>
      <c r="D109" s="12" t="n">
        <v>133151</v>
      </c>
      <c r="E109" s="12" t="n">
        <v>167056</v>
      </c>
      <c r="F109" s="12" t="n">
        <v>144168</v>
      </c>
      <c r="G109" s="12" t="n">
        <v>151863</v>
      </c>
      <c r="H109" s="12" t="n">
        <v>151790</v>
      </c>
      <c r="I109" s="12" t="n">
        <v>149507</v>
      </c>
      <c r="J109" s="12" t="n">
        <v>175803</v>
      </c>
      <c r="K109" s="12" t="n">
        <v>178912</v>
      </c>
      <c r="L109" s="12" t="n">
        <v>167056</v>
      </c>
    </row>
    <row r="110">
      <c r="A110" s="18" t="inlineStr">
        <is>
          <t>사채</t>
        </is>
      </c>
      <c r="C110" s="20" t="n">
        <v>57000</v>
      </c>
      <c r="D110" s="20" t="n">
        <v>62000</v>
      </c>
      <c r="E110" s="20" t="n">
        <v>62000</v>
      </c>
      <c r="F110" s="20" t="n">
        <v>62000</v>
      </c>
      <c r="G110" s="20" t="n">
        <v>62000</v>
      </c>
      <c r="H110" s="20" t="n">
        <v>35000</v>
      </c>
      <c r="I110" s="20" t="n">
        <v>40000</v>
      </c>
      <c r="J110" s="20" t="n">
        <v>52000</v>
      </c>
      <c r="K110" s="20" t="n">
        <v>57000</v>
      </c>
      <c r="L110" s="20" t="n">
        <v>62000</v>
      </c>
    </row>
    <row r="111">
      <c r="A111" s="18" t="inlineStr">
        <is>
          <t>장기차입금</t>
        </is>
      </c>
      <c r="C111" s="20" t="n">
        <v>151638</v>
      </c>
      <c r="D111" s="20" t="n">
        <v>164832</v>
      </c>
      <c r="E111" s="20" t="n">
        <v>139686</v>
      </c>
      <c r="F111" s="20" t="n">
        <v>137881</v>
      </c>
      <c r="G111" s="20" t="n">
        <v>137539</v>
      </c>
      <c r="H111" s="20" t="n">
        <v>178888</v>
      </c>
      <c r="I111" s="20" t="n">
        <v>167353</v>
      </c>
      <c r="J111" s="20" t="n">
        <v>155086</v>
      </c>
      <c r="K111" s="20" t="n">
        <v>138766</v>
      </c>
      <c r="L111" s="20" t="n">
        <v>139686</v>
      </c>
    </row>
    <row r="112">
      <c r="A112" s="18" t="inlineStr">
        <is>
          <t>이연법인세부채</t>
        </is>
      </c>
      <c r="E112" s="20" t="n">
        <v>17061</v>
      </c>
      <c r="H112" s="20" t="n">
        <v>1085</v>
      </c>
      <c r="I112" s="20" t="n">
        <v>4077</v>
      </c>
      <c r="J112" s="20" t="n">
        <v>13464</v>
      </c>
      <c r="K112" s="20" t="n">
        <v>13895</v>
      </c>
      <c r="L112" s="20" t="n">
        <v>17061</v>
      </c>
    </row>
    <row r="113">
      <c r="A113" s="18" t="inlineStr">
        <is>
          <t>제품보증 충당금</t>
        </is>
      </c>
      <c r="E113" s="20" t="n">
        <v>488</v>
      </c>
      <c r="H113" s="20" t="n">
        <v>630</v>
      </c>
      <c r="I113" s="20" t="n">
        <v>655</v>
      </c>
      <c r="J113" s="20" t="n">
        <v>424</v>
      </c>
      <c r="K113" s="20" t="n">
        <v>307</v>
      </c>
      <c r="L113" s="20" t="n">
        <v>488</v>
      </c>
    </row>
    <row r="114">
      <c r="A114" s="18" t="inlineStr">
        <is>
          <t>퇴직급여부채</t>
        </is>
      </c>
      <c r="C114" s="20" t="n">
        <v>20089</v>
      </c>
      <c r="D114" s="20" t="n">
        <v>20474</v>
      </c>
      <c r="E114" s="20" t="n">
        <v>19158</v>
      </c>
      <c r="F114" s="20" t="n">
        <v>19395</v>
      </c>
      <c r="G114" s="20" t="n">
        <v>19428</v>
      </c>
      <c r="H114" s="20" t="n">
        <v>21420</v>
      </c>
      <c r="I114" s="20" t="n">
        <v>20283</v>
      </c>
      <c r="J114" s="20" t="n">
        <v>20906</v>
      </c>
      <c r="K114" s="20" t="n">
        <v>20046</v>
      </c>
      <c r="L114" s="20" t="n">
        <v>19158</v>
      </c>
    </row>
    <row r="115">
      <c r="A115" s="18" t="inlineStr">
        <is>
          <t>Provision For Business Restructuring NCL</t>
        </is>
      </c>
      <c r="C115" s="20" t="n">
        <v>5709</v>
      </c>
      <c r="D115" s="20" t="n">
        <v>10673</v>
      </c>
      <c r="E115" s="20" t="n">
        <v>12270</v>
      </c>
      <c r="F115" s="20" t="n">
        <v>10676</v>
      </c>
      <c r="G115" s="20" t="n">
        <v>10574</v>
      </c>
      <c r="K115" s="20" t="n">
        <v>0</v>
      </c>
      <c r="L115" s="20" t="n">
        <v>12270</v>
      </c>
    </row>
    <row r="116">
      <c r="A116" s="18" t="inlineStr">
        <is>
          <t>기타</t>
        </is>
      </c>
      <c r="C116" s="20" t="n">
        <v>23446</v>
      </c>
      <c r="D116" s="20" t="n">
        <v>25690</v>
      </c>
      <c r="E116" s="20" t="n">
        <v>25806</v>
      </c>
      <c r="F116" s="20" t="n">
        <v>29896</v>
      </c>
      <c r="G116" s="20" t="n">
        <v>25675</v>
      </c>
      <c r="H116" s="20" t="n">
        <v>4423</v>
      </c>
      <c r="I116" s="20" t="n">
        <v>4843</v>
      </c>
      <c r="J116" s="20" t="n">
        <v>6664</v>
      </c>
      <c r="K116" s="20" t="n">
        <v>6550</v>
      </c>
      <c r="L116" s="20" t="n">
        <v>25806</v>
      </c>
    </row>
    <row r="117">
      <c r="A117" s="9" t="inlineStr">
        <is>
          <t>비유동부채 합계</t>
        </is>
      </c>
      <c r="C117" s="12" t="n">
        <v>257884</v>
      </c>
      <c r="D117" s="12" t="n">
        <v>283670</v>
      </c>
      <c r="E117" s="12" t="n">
        <v>258921</v>
      </c>
      <c r="F117" s="12" t="n">
        <v>259849</v>
      </c>
      <c r="G117" s="12" t="n">
        <v>255218</v>
      </c>
      <c r="H117" s="12" t="n">
        <v>241448</v>
      </c>
      <c r="I117" s="12" t="n">
        <v>237214</v>
      </c>
      <c r="J117" s="12" t="n">
        <v>248547</v>
      </c>
      <c r="K117" s="12" t="n">
        <v>236567</v>
      </c>
      <c r="L117" s="12" t="n">
        <v>258921</v>
      </c>
    </row>
    <row r="118">
      <c r="A118" s="9" t="inlineStr">
        <is>
          <t>부채 합계</t>
        </is>
      </c>
      <c r="C118" s="12" t="n">
        <v>415739</v>
      </c>
      <c r="D118" s="12" t="n">
        <v>416822</v>
      </c>
      <c r="E118" s="12" t="n">
        <v>425978</v>
      </c>
      <c r="F118" s="12" t="n">
        <v>404017</v>
      </c>
      <c r="G118" s="12" t="n">
        <v>407081</v>
      </c>
      <c r="H118" s="12" t="n">
        <v>393238</v>
      </c>
      <c r="I118" s="12" t="n">
        <v>386721</v>
      </c>
      <c r="J118" s="12" t="n">
        <v>424351</v>
      </c>
      <c r="K118" s="12" t="n">
        <v>415480</v>
      </c>
      <c r="L118" s="12" t="n">
        <v>425978</v>
      </c>
    </row>
    <row r="119">
      <c r="A119" s="18" t="inlineStr">
        <is>
          <t>자본금</t>
        </is>
      </c>
      <c r="C119" s="20" t="n">
        <v>70064</v>
      </c>
      <c r="D119" s="20" t="n">
        <v>70064</v>
      </c>
      <c r="E119" s="20" t="n">
        <v>70064</v>
      </c>
      <c r="F119" s="20" t="n">
        <v>70064</v>
      </c>
      <c r="G119" s="20" t="n">
        <v>70064</v>
      </c>
      <c r="H119" s="20" t="n">
        <v>69849</v>
      </c>
      <c r="I119" s="20" t="n">
        <v>69955</v>
      </c>
      <c r="J119" s="20" t="n">
        <v>70064</v>
      </c>
      <c r="K119" s="20" t="n">
        <v>70064</v>
      </c>
      <c r="L119" s="20" t="n">
        <v>70064</v>
      </c>
    </row>
    <row r="120">
      <c r="A120" s="18" t="inlineStr">
        <is>
          <t>자본잉여금</t>
        </is>
      </c>
      <c r="C120" s="20" t="n">
        <v>70389</v>
      </c>
      <c r="D120" s="20" t="n">
        <v>70389</v>
      </c>
      <c r="E120" s="20" t="n">
        <v>70389</v>
      </c>
      <c r="F120" s="20" t="n">
        <v>70149</v>
      </c>
      <c r="G120" s="20" t="n">
        <v>70631</v>
      </c>
      <c r="H120" s="20" t="n">
        <v>70199</v>
      </c>
      <c r="I120" s="20" t="n">
        <v>70305</v>
      </c>
      <c r="J120" s="20" t="n">
        <v>70397</v>
      </c>
      <c r="K120" s="20" t="n">
        <v>70389</v>
      </c>
      <c r="L120" s="20" t="n">
        <v>70389</v>
      </c>
    </row>
    <row r="121">
      <c r="A121" s="18" t="inlineStr">
        <is>
          <t>이익잉여금</t>
        </is>
      </c>
      <c r="C121" s="20" t="n">
        <v>479869</v>
      </c>
      <c r="D121" s="20" t="n">
        <v>486076</v>
      </c>
      <c r="E121" s="20" t="n">
        <v>492019</v>
      </c>
      <c r="F121" s="20" t="n">
        <v>485494</v>
      </c>
      <c r="G121" s="20" t="n">
        <v>516919</v>
      </c>
      <c r="H121" s="20" t="n">
        <v>416205</v>
      </c>
      <c r="I121" s="20" t="n">
        <v>440530</v>
      </c>
      <c r="J121" s="20" t="n">
        <v>451550</v>
      </c>
      <c r="K121" s="20" t="n">
        <v>464800</v>
      </c>
      <c r="L121" s="20" t="n">
        <v>492019</v>
      </c>
    </row>
    <row r="122">
      <c r="A122" s="18" t="inlineStr">
        <is>
          <t>자기주식</t>
        </is>
      </c>
      <c r="C122" s="20" t="n">
        <v>-14246</v>
      </c>
      <c r="D122" s="20" t="n">
        <v>-23530</v>
      </c>
      <c r="E122" s="20" t="n">
        <v>-10458</v>
      </c>
      <c r="F122" s="20" t="n">
        <v>-17640</v>
      </c>
      <c r="G122" s="20" t="n">
        <v>-16821</v>
      </c>
      <c r="H122" s="20" t="n">
        <v>-10944</v>
      </c>
      <c r="I122" s="20" t="n">
        <v>-10294</v>
      </c>
      <c r="J122" s="20" t="n">
        <v>-25155</v>
      </c>
      <c r="K122" s="20" t="n">
        <v>-8828</v>
      </c>
      <c r="L122" s="20" t="n">
        <v>-10458</v>
      </c>
    </row>
    <row r="123">
      <c r="A123" s="9" t="inlineStr">
        <is>
          <t>주주자본 합계</t>
        </is>
      </c>
      <c r="C123" s="12" t="n">
        <v>606077</v>
      </c>
      <c r="D123" s="12" t="n">
        <v>603000</v>
      </c>
      <c r="E123" s="12" t="n">
        <v>622014</v>
      </c>
      <c r="F123" s="12" t="n">
        <v>608066</v>
      </c>
      <c r="G123" s="12" t="n">
        <v>640793</v>
      </c>
      <c r="H123" s="12" t="n">
        <v>545308</v>
      </c>
      <c r="I123" s="12" t="n">
        <v>570496</v>
      </c>
      <c r="J123" s="12" t="n">
        <v>566856</v>
      </c>
      <c r="K123" s="12" t="n">
        <v>596426</v>
      </c>
      <c r="L123" s="12" t="n">
        <v>622014</v>
      </c>
    </row>
    <row r="124">
      <c r="A124" s="18" t="inlineStr">
        <is>
          <t>기타유가증권 평가차액</t>
        </is>
      </c>
      <c r="C124" s="20" t="n">
        <v>45036</v>
      </c>
      <c r="D124" s="20" t="n">
        <v>48917</v>
      </c>
      <c r="E124" s="20" t="n">
        <v>45342</v>
      </c>
      <c r="F124" s="20" t="n">
        <v>53452</v>
      </c>
      <c r="G124" s="20" t="n">
        <v>48910</v>
      </c>
      <c r="H124" s="20" t="n">
        <v>17060</v>
      </c>
      <c r="I124" s="20" t="n">
        <v>17101</v>
      </c>
      <c r="J124" s="20" t="n">
        <v>38845</v>
      </c>
      <c r="K124" s="20" t="n">
        <v>32852</v>
      </c>
      <c r="L124" s="20" t="n">
        <v>45342</v>
      </c>
    </row>
    <row r="125">
      <c r="A125" s="18" t="inlineStr">
        <is>
          <t>이연헤지손익</t>
        </is>
      </c>
      <c r="C125" s="20" t="n">
        <v>-7</v>
      </c>
      <c r="D125" s="20" t="n">
        <v>-4</v>
      </c>
      <c r="E125" s="20" t="n">
        <v>-44</v>
      </c>
      <c r="F125" s="20" t="n">
        <v>-231</v>
      </c>
      <c r="G125" s="20" t="n">
        <v>-7</v>
      </c>
      <c r="H125" s="20" t="n">
        <v>-199</v>
      </c>
      <c r="I125" s="20" t="n">
        <v>-9</v>
      </c>
      <c r="J125" s="20" t="n">
        <v>6</v>
      </c>
      <c r="K125" s="20" t="n">
        <v>-100</v>
      </c>
      <c r="L125" s="20" t="n">
        <v>-44</v>
      </c>
    </row>
    <row r="126">
      <c r="A126" s="18" t="inlineStr">
        <is>
          <t>해외사업환산조정</t>
        </is>
      </c>
      <c r="C126" s="20" t="n">
        <v>92678</v>
      </c>
      <c r="D126" s="20" t="n">
        <v>115823</v>
      </c>
      <c r="E126" s="20" t="n">
        <v>121551</v>
      </c>
      <c r="F126" s="20" t="n">
        <v>128147</v>
      </c>
      <c r="G126" s="20" t="n">
        <v>112491</v>
      </c>
      <c r="H126" s="20" t="n">
        <v>21620</v>
      </c>
      <c r="I126" s="20" t="n">
        <v>42849</v>
      </c>
      <c r="J126" s="20" t="n">
        <v>82250</v>
      </c>
      <c r="K126" s="20" t="n">
        <v>76769</v>
      </c>
      <c r="L126" s="20" t="n">
        <v>121551</v>
      </c>
    </row>
    <row r="127">
      <c r="A127" s="18" t="inlineStr">
        <is>
          <t>퇴직급여 조정누계액</t>
        </is>
      </c>
      <c r="C127" s="20" t="n">
        <v>13501</v>
      </c>
      <c r="D127" s="20" t="n">
        <v>13363</v>
      </c>
      <c r="E127" s="20" t="n">
        <v>19689</v>
      </c>
      <c r="F127" s="20" t="n">
        <v>19409</v>
      </c>
      <c r="G127" s="20" t="n">
        <v>18853</v>
      </c>
      <c r="H127" s="20" t="n">
        <v>-642</v>
      </c>
      <c r="I127" s="20" t="n">
        <v>5009</v>
      </c>
      <c r="J127" s="20" t="n">
        <v>7467</v>
      </c>
      <c r="K127" s="20" t="n">
        <v>13856</v>
      </c>
      <c r="L127" s="20" t="n">
        <v>19689</v>
      </c>
    </row>
    <row r="128">
      <c r="A128" s="18" t="inlineStr">
        <is>
          <t>기타포괄손익누계액 합계</t>
        </is>
      </c>
      <c r="C128" s="20" t="n">
        <v>151208</v>
      </c>
      <c r="D128" s="20" t="n">
        <v>178099</v>
      </c>
      <c r="E128" s="20" t="n">
        <v>186538</v>
      </c>
      <c r="F128" s="20" t="n">
        <v>200778</v>
      </c>
      <c r="G128" s="20" t="n">
        <v>180247</v>
      </c>
      <c r="H128" s="20" t="n">
        <v>37838</v>
      </c>
      <c r="I128" s="20" t="n">
        <v>64951</v>
      </c>
      <c r="J128" s="20" t="n">
        <v>128569</v>
      </c>
      <c r="K128" s="20" t="n">
        <v>123377</v>
      </c>
      <c r="L128" s="20" t="n">
        <v>186538</v>
      </c>
    </row>
    <row r="129">
      <c r="A129" s="18" t="inlineStr">
        <is>
          <t>신주예약권</t>
        </is>
      </c>
      <c r="C129" s="20" t="n">
        <v>712</v>
      </c>
      <c r="D129" s="20" t="n">
        <v>710</v>
      </c>
      <c r="E129" s="20" t="n">
        <v>684</v>
      </c>
      <c r="F129" s="20" t="n">
        <v>680</v>
      </c>
      <c r="G129" s="20" t="n">
        <v>624</v>
      </c>
      <c r="H129" s="20" t="n">
        <v>941</v>
      </c>
      <c r="I129" s="20" t="n">
        <v>882</v>
      </c>
      <c r="J129" s="20" t="n">
        <v>852</v>
      </c>
      <c r="K129" s="20" t="n">
        <v>777</v>
      </c>
      <c r="L129" s="20" t="n">
        <v>684</v>
      </c>
    </row>
    <row r="130">
      <c r="A130" s="18" t="inlineStr">
        <is>
          <t>비지배지분</t>
        </is>
      </c>
      <c r="C130" s="20" t="n">
        <v>7639</v>
      </c>
      <c r="D130" s="20" t="n">
        <v>8164</v>
      </c>
      <c r="E130" s="20" t="n">
        <v>8114</v>
      </c>
      <c r="F130" s="20" t="n">
        <v>8898</v>
      </c>
      <c r="G130" s="20" t="n">
        <v>8709</v>
      </c>
      <c r="H130" s="20" t="n">
        <v>5505</v>
      </c>
      <c r="I130" s="20" t="n">
        <v>6116</v>
      </c>
      <c r="J130" s="20" t="n">
        <v>6947</v>
      </c>
      <c r="K130" s="20" t="n">
        <v>6925</v>
      </c>
      <c r="L130" s="20" t="n">
        <v>8114</v>
      </c>
    </row>
    <row r="131">
      <c r="A131" s="9" t="inlineStr">
        <is>
          <t>순자산 합계</t>
        </is>
      </c>
      <c r="C131" s="12" t="n">
        <v>765638</v>
      </c>
      <c r="D131" s="12" t="n">
        <v>789975</v>
      </c>
      <c r="E131" s="12" t="n">
        <v>817352</v>
      </c>
      <c r="F131" s="12" t="n">
        <v>818423</v>
      </c>
      <c r="G131" s="12" t="n">
        <v>830375</v>
      </c>
      <c r="H131" s="12" t="n">
        <v>589594</v>
      </c>
      <c r="I131" s="12" t="n">
        <v>642446</v>
      </c>
      <c r="J131" s="12" t="n">
        <v>703225</v>
      </c>
      <c r="K131" s="12" t="n">
        <v>727506</v>
      </c>
      <c r="L131" s="12" t="n">
        <v>817352</v>
      </c>
    </row>
    <row r="132">
      <c r="A132" s="9" t="inlineStr">
        <is>
          <t>부채·순자산 합계</t>
        </is>
      </c>
      <c r="C132" s="12" t="n">
        <v>1181377</v>
      </c>
      <c r="D132" s="12" t="n">
        <v>1206797</v>
      </c>
      <c r="E132" s="12" t="n">
        <v>1243330</v>
      </c>
      <c r="F132" s="12" t="n">
        <v>1222440</v>
      </c>
      <c r="G132" s="12" t="n">
        <v>1237456</v>
      </c>
      <c r="H132" s="12" t="n">
        <v>982833</v>
      </c>
      <c r="I132" s="12" t="n">
        <v>1029168</v>
      </c>
      <c r="J132" s="12" t="n">
        <v>1127576</v>
      </c>
      <c r="K132" s="12" t="n">
        <v>1142986</v>
      </c>
      <c r="L132" s="12" t="n">
        <v>1243330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44" customWidth="1" min="14" max="14"/>
  </cols>
  <sheetData>
    <row r="1">
      <c r="A1" s="50" t="inlineStr">
        <is>
          <t>5333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quarterly prep</t>
        </is>
      </c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</row>
    <row r="5">
      <c r="A5" s="53" t="inlineStr">
        <is>
          <t>항목</t>
        </is>
      </c>
      <c r="B5" s="53" t="inlineStr">
        <is>
          <t>2024.3Q</t>
        </is>
      </c>
      <c r="C5" s="53" t="inlineStr">
        <is>
          <t>2024.4Q</t>
        </is>
      </c>
      <c r="D5" s="53" t="inlineStr">
        <is>
          <t>2025.1Q</t>
        </is>
      </c>
      <c r="E5" s="53" t="inlineStr">
        <is>
          <t>2025.2Q</t>
        </is>
      </c>
      <c r="F5" s="53" t="inlineStr">
        <is>
          <t>2025.3Q</t>
        </is>
      </c>
      <c r="G5" s="53" t="inlineStr">
        <is>
          <t>2025.4Q</t>
        </is>
      </c>
      <c r="H5" s="53" t="inlineStr">
        <is>
          <t>2026.1Q</t>
        </is>
      </c>
      <c r="I5" s="53" t="inlineStr">
        <is>
          <t>2026.2Q</t>
        </is>
      </c>
      <c r="J5" s="53" t="inlineStr">
        <is>
          <t>2026.3Q</t>
        </is>
      </c>
      <c r="K5" s="53" t="inlineStr">
        <is>
          <t>2026.4Q</t>
        </is>
      </c>
      <c r="L5" s="53" t="inlineStr">
        <is>
          <t>2027.1Q</t>
        </is>
      </c>
      <c r="M5" s="53" t="inlineStr">
        <is>
          <t>2027.2Q</t>
        </is>
      </c>
      <c r="N5" s="53" t="inlineStr">
        <is>
          <t>출처</t>
        </is>
      </c>
    </row>
    <row r="6">
      <c r="A6" s="54" t="inlineStr">
        <is>
          <t>매출</t>
        </is>
      </c>
      <c r="B6" s="55" t="n">
        <v>1396.4</v>
      </c>
      <c r="C6" s="55" t="n">
        <v>1563.9</v>
      </c>
      <c r="D6" s="55" t="n">
        <v>1525.2</v>
      </c>
      <c r="E6" s="55" t="n">
        <v>1458.3</v>
      </c>
      <c r="F6" s="55" t="n">
        <v>1571</v>
      </c>
      <c r="G6" s="55" t="n">
        <v>1640.6</v>
      </c>
      <c r="H6" s="55" t="n">
        <v>1664.6</v>
      </c>
      <c r="I6" s="55" t="n">
        <v>1597.5</v>
      </c>
      <c r="J6" s="55" t="n">
        <v>1617</v>
      </c>
      <c r="K6" s="55" t="n">
        <v>1822.2</v>
      </c>
      <c r="L6" s="55" t="n">
        <v>1841.5</v>
      </c>
      <c r="M6" s="55" t="n">
        <v>1871.6</v>
      </c>
      <c r="N6" s="56" t="inlineStr">
        <is>
          <t>2단계 보고서 자료(회사 설명회 자료·공시)</t>
        </is>
      </c>
    </row>
    <row r="7">
      <c r="A7" s="54" t="inlineStr">
        <is>
          <t>gp</t>
        </is>
      </c>
      <c r="B7" s="55" t="n">
        <v>403.6</v>
      </c>
      <c r="C7" s="55" t="n">
        <v>405.7</v>
      </c>
      <c r="D7" s="55" t="n">
        <v>416</v>
      </c>
      <c r="E7" s="55" t="n">
        <v>440</v>
      </c>
      <c r="F7" s="55" t="n">
        <v>463.4</v>
      </c>
      <c r="G7" s="55" t="n">
        <v>440.4</v>
      </c>
      <c r="H7" s="55" t="n">
        <v>476.3</v>
      </c>
      <c r="I7" s="55" t="n">
        <v>482.6</v>
      </c>
      <c r="J7" s="55" t="n">
        <v>498.8</v>
      </c>
      <c r="K7" s="55" t="n">
        <v>493.9</v>
      </c>
      <c r="L7" s="55" t="n">
        <v>608.3</v>
      </c>
      <c r="M7" s="55" t="n">
        <v>637.5</v>
      </c>
    </row>
    <row r="8">
      <c r="A8" s="54" t="inlineStr">
        <is>
          <t>sga</t>
        </is>
      </c>
      <c r="B8" s="55" t="n">
        <v>225.3</v>
      </c>
      <c r="C8" s="55" t="n">
        <v>244.9</v>
      </c>
      <c r="D8" s="55" t="n">
        <v>239.4</v>
      </c>
      <c r="E8" s="55" t="n">
        <v>219.5</v>
      </c>
      <c r="F8" s="55" t="n">
        <v>236.2</v>
      </c>
      <c r="G8" s="55" t="n">
        <v>252.1</v>
      </c>
      <c r="H8" s="55" t="n">
        <v>238.5</v>
      </c>
      <c r="I8" s="55" t="n">
        <v>233.4</v>
      </c>
      <c r="J8" s="55" t="n">
        <v>255.3</v>
      </c>
      <c r="K8" s="55" t="n">
        <v>274.4</v>
      </c>
      <c r="L8" s="55" t="n">
        <v>282</v>
      </c>
      <c r="M8" s="55" t="n">
        <v>264.9</v>
      </c>
    </row>
    <row r="9">
      <c r="A9" s="54" t="inlineStr">
        <is>
          <t>영업이익</t>
        </is>
      </c>
      <c r="B9" s="55" t="n">
        <v>178.3</v>
      </c>
      <c r="C9" s="55" t="n">
        <v>160.8</v>
      </c>
      <c r="D9" s="55" t="n">
        <v>176.6</v>
      </c>
      <c r="E9" s="55" t="n">
        <v>220.4</v>
      </c>
      <c r="F9" s="55" t="n">
        <v>227.1</v>
      </c>
      <c r="G9" s="55" t="n">
        <v>188.3</v>
      </c>
      <c r="H9" s="55" t="n">
        <v>237.8</v>
      </c>
      <c r="I9" s="55" t="n">
        <v>249.2</v>
      </c>
      <c r="J9" s="55" t="n">
        <v>243.5</v>
      </c>
      <c r="K9" s="55" t="n">
        <v>219.5</v>
      </c>
      <c r="L9" s="55" t="n">
        <v>326.3</v>
      </c>
      <c r="M9" s="55" t="n">
        <v>372.6</v>
      </c>
    </row>
    <row r="10">
      <c r="A10" s="54" t="inlineStr">
        <is>
          <t>pbt</t>
        </is>
      </c>
      <c r="B10" s="55" t="n">
        <v>188.8</v>
      </c>
      <c r="C10" s="55" t="n">
        <v>94.2</v>
      </c>
      <c r="D10" s="55" t="n">
        <v>174.1</v>
      </c>
      <c r="E10" s="55" t="n">
        <v>195.8</v>
      </c>
      <c r="F10" s="55" t="n">
        <v>232.4</v>
      </c>
      <c r="G10" s="55" t="n">
        <v>122.2</v>
      </c>
      <c r="H10" s="55" t="n">
        <v>238.2</v>
      </c>
      <c r="I10" s="55" t="n">
        <v>91.09999999999999</v>
      </c>
      <c r="J10" s="55" t="n">
        <v>237.8</v>
      </c>
      <c r="K10" s="55" t="n">
        <v>271.2</v>
      </c>
      <c r="L10" s="55" t="n">
        <v>336.4</v>
      </c>
      <c r="M10" s="55" t="n">
        <v>386.2</v>
      </c>
    </row>
    <row r="11">
      <c r="A11" s="54" t="inlineStr">
        <is>
          <t>순이익 owner</t>
        </is>
      </c>
      <c r="B11" s="55" t="n">
        <v>156.9</v>
      </c>
      <c r="C11" s="55" t="n">
        <v>66.90000000000001</v>
      </c>
      <c r="D11" s="55" t="n">
        <v>109.6</v>
      </c>
      <c r="E11" s="55" t="n">
        <v>149.1</v>
      </c>
      <c r="F11" s="55" t="n">
        <v>151.3</v>
      </c>
      <c r="G11" s="55" t="n">
        <v>139.3</v>
      </c>
      <c r="H11" s="55" t="n">
        <v>179</v>
      </c>
      <c r="I11" s="55" t="n">
        <v>59.7</v>
      </c>
      <c r="J11" s="55" t="n">
        <v>172.6</v>
      </c>
      <c r="K11" s="55" t="n">
        <v>188.1</v>
      </c>
      <c r="L11" s="55" t="n">
        <v>293.7</v>
      </c>
      <c r="M11" s="55" t="n">
        <v>314.3</v>
      </c>
    </row>
    <row r="13">
      <c r="A13" s="52" t="inlineStr">
        <is>
          <t>annual prep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</row>
    <row r="14">
      <c r="A14" s="53" t="inlineStr">
        <is>
          <t>항목</t>
        </is>
      </c>
      <c r="B14" s="53" t="inlineStr">
        <is>
          <t>2017</t>
        </is>
      </c>
      <c r="C14" s="53" t="inlineStr">
        <is>
          <t>2018</t>
        </is>
      </c>
      <c r="D14" s="53" t="inlineStr">
        <is>
          <t>2019</t>
        </is>
      </c>
      <c r="E14" s="53" t="inlineStr">
        <is>
          <t>2020</t>
        </is>
      </c>
      <c r="F14" s="53" t="inlineStr">
        <is>
          <t>2021</t>
        </is>
      </c>
      <c r="G14" s="53" t="inlineStr">
        <is>
          <t>2022</t>
        </is>
      </c>
      <c r="H14" s="53" t="inlineStr">
        <is>
          <t>2023</t>
        </is>
      </c>
      <c r="I14" s="53" t="inlineStr">
        <is>
          <t>2024</t>
        </is>
      </c>
      <c r="J14" s="53" t="inlineStr">
        <is>
          <t>2025</t>
        </is>
      </c>
      <c r="K14" s="53" t="inlineStr">
        <is>
          <t>2026</t>
        </is>
      </c>
      <c r="N14" s="53" t="inlineStr">
        <is>
          <t>출처</t>
        </is>
      </c>
    </row>
    <row r="15">
      <c r="A15" s="54" t="inlineStr">
        <is>
          <t>labels</t>
        </is>
      </c>
      <c r="B15" s="57" t="n">
        <v>2017</v>
      </c>
      <c r="C15" s="57" t="n">
        <v>2018</v>
      </c>
      <c r="D15" s="57" t="n">
        <v>2019</v>
      </c>
      <c r="E15" s="57" t="n">
        <v>2020</v>
      </c>
      <c r="F15" s="57" t="n">
        <v>2021</v>
      </c>
      <c r="G15" s="57" t="n">
        <v>2022</v>
      </c>
      <c r="H15" s="57" t="n">
        <v>2023</v>
      </c>
      <c r="I15" s="57" t="n">
        <v>2024</v>
      </c>
      <c r="J15" s="57" t="n">
        <v>2025</v>
      </c>
      <c r="K15" s="57" t="n">
        <v>2026</v>
      </c>
      <c r="N15" s="56" t="inlineStr">
        <is>
          <t>2단계 보고서 자료(회사 설명회 자료·공시)</t>
        </is>
      </c>
    </row>
    <row r="16">
      <c r="A16" s="54" t="inlineStr">
        <is>
          <t>매출</t>
        </is>
      </c>
      <c r="B16" s="55" t="n">
        <v>4012.7</v>
      </c>
      <c r="C16" s="55" t="n">
        <v>4511.2</v>
      </c>
      <c r="D16" s="55" t="n">
        <v>4635</v>
      </c>
      <c r="E16" s="55" t="n">
        <v>4419.6</v>
      </c>
      <c r="F16" s="55" t="n">
        <v>4520.4</v>
      </c>
      <c r="G16" s="55" t="n">
        <v>5104.4</v>
      </c>
      <c r="H16" s="55" t="n">
        <v>5592.4</v>
      </c>
      <c r="I16" s="55" t="n">
        <v>5789.1</v>
      </c>
      <c r="J16" s="55" t="n">
        <v>6195.1</v>
      </c>
      <c r="K16" s="55" t="n">
        <v>6701.2</v>
      </c>
    </row>
    <row r="17">
      <c r="A17" s="54" t="inlineStr">
        <is>
          <t>gp</t>
        </is>
      </c>
      <c r="B17" s="55" t="n">
        <v>1288.3</v>
      </c>
      <c r="C17" s="55" t="n">
        <v>1390.2</v>
      </c>
      <c r="D17" s="55" t="n">
        <v>1402.8</v>
      </c>
      <c r="E17" s="55" t="n">
        <v>1285</v>
      </c>
      <c r="F17" s="55" t="n">
        <v>1229.8</v>
      </c>
      <c r="G17" s="55" t="n">
        <v>1626.9</v>
      </c>
      <c r="H17" s="55" t="n">
        <v>1537.8</v>
      </c>
      <c r="I17" s="55" t="n">
        <v>1558.5</v>
      </c>
      <c r="J17" s="55" t="n">
        <v>1759.7</v>
      </c>
      <c r="K17" s="55" t="n">
        <v>1951.6</v>
      </c>
    </row>
    <row r="18">
      <c r="A18" s="54" t="inlineStr">
        <is>
          <t>sga</t>
        </is>
      </c>
      <c r="B18" s="55" t="n">
        <v>656.2</v>
      </c>
      <c r="C18" s="55" t="n">
        <v>689.9</v>
      </c>
      <c r="D18" s="55" t="n">
        <v>755.7</v>
      </c>
      <c r="E18" s="55" t="n">
        <v>735</v>
      </c>
      <c r="F18" s="55" t="n">
        <v>721.6</v>
      </c>
      <c r="G18" s="55" t="n">
        <v>791.6</v>
      </c>
      <c r="H18" s="55" t="n">
        <v>870.1</v>
      </c>
      <c r="I18" s="55" t="n">
        <v>894.6</v>
      </c>
      <c r="J18" s="55" t="n">
        <v>947.3</v>
      </c>
      <c r="K18" s="55" t="n">
        <v>1001.6</v>
      </c>
    </row>
    <row r="19">
      <c r="A19" s="54" t="inlineStr">
        <is>
          <t>영업이익</t>
        </is>
      </c>
      <c r="B19" s="55" t="n">
        <v>632.1</v>
      </c>
      <c r="C19" s="55" t="n">
        <v>700.3</v>
      </c>
      <c r="D19" s="55" t="n">
        <v>647</v>
      </c>
      <c r="E19" s="55" t="n">
        <v>550</v>
      </c>
      <c r="F19" s="55" t="n">
        <v>508.2</v>
      </c>
      <c r="G19" s="55" t="n">
        <v>835.3</v>
      </c>
      <c r="H19" s="55" t="n">
        <v>667.6</v>
      </c>
      <c r="I19" s="55" t="n">
        <v>664</v>
      </c>
      <c r="J19" s="55" t="n">
        <v>812.4</v>
      </c>
      <c r="K19" s="55" t="n">
        <v>950</v>
      </c>
    </row>
    <row r="20">
      <c r="A20" s="54" t="inlineStr">
        <is>
          <t>pbt</t>
        </is>
      </c>
      <c r="B20" s="55" t="n">
        <v>575.2</v>
      </c>
      <c r="C20" s="55" t="n">
        <v>657.7</v>
      </c>
      <c r="D20" s="55" t="n">
        <v>504.5</v>
      </c>
      <c r="E20" s="55" t="n">
        <v>438.4</v>
      </c>
      <c r="F20" s="55" t="n">
        <v>531.2</v>
      </c>
      <c r="G20" s="55" t="n">
        <v>908.2</v>
      </c>
      <c r="H20" s="55" t="n">
        <v>575.2</v>
      </c>
      <c r="I20" s="55" t="n">
        <v>561.8</v>
      </c>
      <c r="J20" s="55" t="n">
        <v>724.6</v>
      </c>
      <c r="K20" s="55" t="n">
        <v>838.3</v>
      </c>
    </row>
    <row r="21">
      <c r="A21" s="54" t="inlineStr">
        <is>
          <t>순이익 owner</t>
        </is>
      </c>
      <c r="B21" s="55" t="n">
        <v>363.8</v>
      </c>
      <c r="C21" s="55" t="n">
        <v>458.1</v>
      </c>
      <c r="D21" s="55" t="n">
        <v>355.1</v>
      </c>
      <c r="E21" s="55" t="n">
        <v>271.4</v>
      </c>
      <c r="F21" s="55" t="n">
        <v>385</v>
      </c>
      <c r="G21" s="55" t="n">
        <v>708.5</v>
      </c>
      <c r="H21" s="55" t="n">
        <v>550.5</v>
      </c>
      <c r="I21" s="55" t="n">
        <v>405.6</v>
      </c>
      <c r="J21" s="55" t="n">
        <v>549.3</v>
      </c>
      <c r="K21" s="55" t="n">
        <v>599.4</v>
      </c>
    </row>
    <row r="23">
      <c r="A23" s="52" t="inlineStr">
        <is>
          <t>bs annual</t>
        </is>
      </c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</row>
    <row r="24">
      <c r="A24" s="53" t="inlineStr">
        <is>
          <t>항목</t>
        </is>
      </c>
      <c r="B24" s="53" t="inlineStr">
        <is>
          <t>2022</t>
        </is>
      </c>
      <c r="C24" s="53" t="inlineStr">
        <is>
          <t>2023</t>
        </is>
      </c>
      <c r="D24" s="53" t="inlineStr">
        <is>
          <t>2024</t>
        </is>
      </c>
      <c r="E24" s="53" t="inlineStr">
        <is>
          <t>2025</t>
        </is>
      </c>
      <c r="F24" s="53" t="inlineStr">
        <is>
          <t>2026</t>
        </is>
      </c>
      <c r="N24" s="53" t="inlineStr">
        <is>
          <t>출처</t>
        </is>
      </c>
    </row>
    <row r="25">
      <c r="A25" s="54" t="inlineStr">
        <is>
          <t>labels</t>
        </is>
      </c>
      <c r="B25" s="57" t="n">
        <v>2022</v>
      </c>
      <c r="C25" s="57" t="n">
        <v>2023</v>
      </c>
      <c r="D25" s="57" t="n">
        <v>2024</v>
      </c>
      <c r="E25" s="57" t="n">
        <v>2025</v>
      </c>
      <c r="F25" s="57" t="n">
        <v>2026</v>
      </c>
      <c r="N25" s="56" t="inlineStr">
        <is>
          <t>2단계 보고서 자료(회사 설명회 자료·공시)</t>
        </is>
      </c>
    </row>
    <row r="26">
      <c r="A26" s="54" t="inlineStr">
        <is>
          <t>current assets</t>
        </is>
      </c>
      <c r="B26" s="55" t="n">
        <v>5273.9</v>
      </c>
      <c r="C26" s="55" t="n">
        <v>5737.2</v>
      </c>
      <c r="D26" s="55" t="n">
        <v>6421.5</v>
      </c>
      <c r="E26" s="55" t="n">
        <v>6688.7</v>
      </c>
      <c r="F26" s="55" t="n">
        <v>7306.4</v>
      </c>
    </row>
    <row r="27">
      <c r="A27" s="54" t="inlineStr">
        <is>
          <t>cash</t>
        </is>
      </c>
      <c r="B27" s="55" t="n">
        <v>1392</v>
      </c>
      <c r="C27" s="55" t="n">
        <v>1684.5</v>
      </c>
      <c r="D27" s="55" t="n">
        <v>1926.6</v>
      </c>
      <c r="E27" s="55" t="n">
        <v>1979.7</v>
      </c>
      <c r="F27" s="55" t="n">
        <v>1981.7</v>
      </c>
    </row>
    <row r="28">
      <c r="A28" s="54" t="inlineStr">
        <is>
          <t>st fin</t>
        </is>
      </c>
      <c r="B28" s="55" t="n">
        <v>464.4</v>
      </c>
      <c r="C28" s="55" t="n">
        <v>462.6</v>
      </c>
      <c r="D28" s="55" t="n">
        <v>500.1</v>
      </c>
      <c r="E28" s="55" t="n">
        <v>659</v>
      </c>
      <c r="F28" s="55" t="n">
        <v>1247.5</v>
      </c>
    </row>
    <row r="29">
      <c r="A29" s="54" t="inlineStr">
        <is>
          <t>receivables</t>
        </is>
      </c>
      <c r="B29" s="55" t="n">
        <v>1196.4</v>
      </c>
      <c r="C29" s="55" t="n">
        <v>1081.3</v>
      </c>
      <c r="D29" s="55" t="n">
        <v>1342.6</v>
      </c>
      <c r="E29" s="55" t="n">
        <v>1354.7</v>
      </c>
      <c r="F29" s="55" t="n">
        <v>1439.3</v>
      </c>
    </row>
    <row r="30">
      <c r="A30" s="54" t="inlineStr">
        <is>
          <t>inventory</t>
        </is>
      </c>
      <c r="B30" s="55" t="n">
        <v>1883.4</v>
      </c>
      <c r="C30" s="55" t="n">
        <v>2144.2</v>
      </c>
      <c r="D30" s="55" t="n">
        <v>2390.6</v>
      </c>
      <c r="E30" s="55" t="n">
        <v>2419.4</v>
      </c>
      <c r="F30" s="55" t="n">
        <v>2328.3</v>
      </c>
    </row>
    <row r="31">
      <c r="A31" s="54" t="inlineStr">
        <is>
          <t>noncurrent assets</t>
        </is>
      </c>
      <c r="B31" s="55" t="n">
        <v>4554.4</v>
      </c>
      <c r="C31" s="55" t="n">
        <v>4554.5</v>
      </c>
      <c r="D31" s="55" t="n">
        <v>4854.2</v>
      </c>
      <c r="E31" s="55" t="n">
        <v>4741.1</v>
      </c>
      <c r="F31" s="55" t="n">
        <v>5126.9</v>
      </c>
    </row>
    <row r="32">
      <c r="A32" s="54" t="inlineStr">
        <is>
          <t>ppe</t>
        </is>
      </c>
      <c r="B32" s="55" t="n">
        <v>3753.1</v>
      </c>
      <c r="C32" s="55" t="n">
        <v>3664.5</v>
      </c>
      <c r="D32" s="55" t="n">
        <v>3719</v>
      </c>
      <c r="E32" s="55" t="n">
        <v>3566.4</v>
      </c>
      <c r="F32" s="55" t="n">
        <v>3691.8</v>
      </c>
    </row>
    <row r="33">
      <c r="A33" s="54" t="inlineStr">
        <is>
          <t>intangibles</t>
        </is>
      </c>
      <c r="B33" s="55" t="n">
        <v>62</v>
      </c>
      <c r="C33" s="55" t="n">
        <v>64.09999999999999</v>
      </c>
      <c r="D33" s="55" t="n">
        <v>66.59999999999999</v>
      </c>
      <c r="E33" s="55" t="n">
        <v>61.5</v>
      </c>
      <c r="F33" s="55" t="n">
        <v>61.9</v>
      </c>
    </row>
    <row r="34">
      <c r="A34" s="54" t="inlineStr">
        <is>
          <t>inv property</t>
        </is>
      </c>
      <c r="B34" s="58" t="n"/>
      <c r="C34" s="58" t="n"/>
      <c r="D34" s="58" t="n"/>
      <c r="E34" s="58" t="n"/>
      <c r="F34" s="58" t="n"/>
    </row>
    <row r="35">
      <c r="A35" s="54" t="inlineStr">
        <is>
          <t>합계 assets</t>
        </is>
      </c>
      <c r="B35" s="55" t="n">
        <v>9828.299999999999</v>
      </c>
      <c r="C35" s="55" t="n">
        <v>10291.7</v>
      </c>
      <c r="D35" s="55" t="n">
        <v>11275.8</v>
      </c>
      <c r="E35" s="55" t="n">
        <v>11429.9</v>
      </c>
      <c r="F35" s="55" t="n">
        <v>12433.3</v>
      </c>
    </row>
    <row r="36">
      <c r="A36" s="54" t="inlineStr">
        <is>
          <t>current liab</t>
        </is>
      </c>
      <c r="B36" s="55" t="n">
        <v>1517.9</v>
      </c>
      <c r="C36" s="55" t="n">
        <v>1495.1</v>
      </c>
      <c r="D36" s="55" t="n">
        <v>1758</v>
      </c>
      <c r="E36" s="55" t="n">
        <v>1789.1</v>
      </c>
      <c r="F36" s="55" t="n">
        <v>1670.6</v>
      </c>
    </row>
    <row r="37">
      <c r="A37" s="54" t="inlineStr">
        <is>
          <t>payables</t>
        </is>
      </c>
      <c r="B37" s="55" t="n">
        <v>443.3</v>
      </c>
      <c r="C37" s="55" t="n">
        <v>448.7</v>
      </c>
      <c r="D37" s="55" t="n">
        <v>502.7</v>
      </c>
      <c r="E37" s="55" t="n">
        <v>458.3</v>
      </c>
      <c r="F37" s="55" t="n">
        <v>488.5</v>
      </c>
    </row>
    <row r="38">
      <c r="A38" s="54" t="inlineStr">
        <is>
          <t>st debt</t>
        </is>
      </c>
      <c r="B38" s="55" t="n">
        <v>62</v>
      </c>
      <c r="C38" s="55" t="n">
        <v>111.4</v>
      </c>
      <c r="D38" s="55" t="n">
        <v>113.4</v>
      </c>
      <c r="E38" s="55" t="n">
        <v>202.6</v>
      </c>
      <c r="F38" s="55" t="n">
        <v>73.59999999999999</v>
      </c>
    </row>
    <row r="39">
      <c r="A39" s="54" t="inlineStr">
        <is>
          <t>noncurrent liab</t>
        </is>
      </c>
      <c r="B39" s="55" t="n">
        <v>2414.5</v>
      </c>
      <c r="C39" s="55" t="n">
        <v>2372.1</v>
      </c>
      <c r="D39" s="55" t="n">
        <v>2485.5</v>
      </c>
      <c r="E39" s="55" t="n">
        <v>2365.7</v>
      </c>
      <c r="F39" s="55" t="n">
        <v>2589.2</v>
      </c>
    </row>
    <row r="40">
      <c r="A40" s="54" t="inlineStr">
        <is>
          <t>lt debt</t>
        </is>
      </c>
      <c r="B40" s="55" t="n">
        <v>1788.9</v>
      </c>
      <c r="C40" s="55" t="n">
        <v>1673.5</v>
      </c>
      <c r="D40" s="55" t="n">
        <v>1550.9</v>
      </c>
      <c r="E40" s="55" t="n">
        <v>1387.7</v>
      </c>
      <c r="F40" s="55" t="n">
        <v>1396.9</v>
      </c>
    </row>
    <row r="41">
      <c r="A41" s="54" t="inlineStr">
        <is>
          <t>bonds</t>
        </is>
      </c>
      <c r="B41" s="55" t="n">
        <v>350</v>
      </c>
      <c r="C41" s="55" t="n">
        <v>400</v>
      </c>
      <c r="D41" s="55" t="n">
        <v>520</v>
      </c>
      <c r="E41" s="55" t="n">
        <v>570</v>
      </c>
      <c r="F41" s="55" t="n">
        <v>620</v>
      </c>
    </row>
    <row r="42">
      <c r="A42" s="54" t="inlineStr">
        <is>
          <t>합계 liab</t>
        </is>
      </c>
      <c r="B42" s="55" t="n">
        <v>3932.4</v>
      </c>
      <c r="C42" s="55" t="n">
        <v>3867.2</v>
      </c>
      <c r="D42" s="55" t="n">
        <v>4243.5</v>
      </c>
      <c r="E42" s="55" t="n">
        <v>4154.8</v>
      </c>
      <c r="F42" s="55" t="n">
        <v>4259.8</v>
      </c>
    </row>
    <row r="43">
      <c r="A43" s="54" t="inlineStr">
        <is>
          <t>capital stock</t>
        </is>
      </c>
      <c r="B43" s="55" t="n">
        <v>698.5</v>
      </c>
      <c r="C43" s="55" t="n">
        <v>699.5</v>
      </c>
      <c r="D43" s="55" t="n">
        <v>700.6</v>
      </c>
      <c r="E43" s="55" t="n">
        <v>700.6</v>
      </c>
      <c r="F43" s="55" t="n">
        <v>700.6</v>
      </c>
    </row>
    <row r="44">
      <c r="A44" s="54" t="inlineStr">
        <is>
          <t>retained</t>
        </is>
      </c>
      <c r="B44" s="55" t="n">
        <v>4162.1</v>
      </c>
      <c r="C44" s="55" t="n">
        <v>4405.3</v>
      </c>
      <c r="D44" s="55" t="n">
        <v>4515.5</v>
      </c>
      <c r="E44" s="55" t="n">
        <v>4648</v>
      </c>
      <c r="F44" s="55" t="n">
        <v>4920.2</v>
      </c>
    </row>
    <row r="45">
      <c r="A45" s="54" t="inlineStr">
        <is>
          <t>nci</t>
        </is>
      </c>
      <c r="B45" s="55" t="n">
        <v>55</v>
      </c>
      <c r="C45" s="55" t="n">
        <v>61.2</v>
      </c>
      <c r="D45" s="55" t="n">
        <v>69.5</v>
      </c>
      <c r="E45" s="55" t="n">
        <v>69.2</v>
      </c>
      <c r="F45" s="55" t="n">
        <v>81.09999999999999</v>
      </c>
    </row>
    <row r="46">
      <c r="A46" s="54" t="inlineStr">
        <is>
          <t>합계 equity</t>
        </is>
      </c>
      <c r="B46" s="55" t="n">
        <v>5895.9</v>
      </c>
      <c r="C46" s="55" t="n">
        <v>6424.5</v>
      </c>
      <c r="D46" s="55" t="n">
        <v>7032.2</v>
      </c>
      <c r="E46" s="55" t="n">
        <v>7275.1</v>
      </c>
      <c r="F46" s="55" t="n">
        <v>8173.5</v>
      </c>
    </row>
    <row r="47">
      <c r="A47" s="54" t="inlineStr">
        <is>
          <t>current ltd</t>
        </is>
      </c>
      <c r="B47" s="55" t="n">
        <v>322.6</v>
      </c>
      <c r="C47" s="55" t="n">
        <v>348.6</v>
      </c>
      <c r="D47" s="55" t="n">
        <v>409</v>
      </c>
      <c r="E47" s="55" t="n">
        <v>362.1</v>
      </c>
      <c r="F47" s="55" t="n">
        <v>355.9</v>
      </c>
    </row>
    <row r="48">
      <c r="A48" s="54" t="inlineStr">
        <is>
          <t>equity owner</t>
        </is>
      </c>
      <c r="B48" s="55" t="n">
        <v>5831.5</v>
      </c>
      <c r="C48" s="55" t="n">
        <v>6354.5</v>
      </c>
      <c r="D48" s="55" t="n">
        <v>6954.3</v>
      </c>
      <c r="E48" s="55" t="n">
        <v>7198</v>
      </c>
      <c r="F48" s="55" t="n">
        <v>8085.5</v>
      </c>
    </row>
    <row r="50">
      <c r="A50" s="52" t="inlineStr">
        <is>
          <t>cf annual</t>
        </is>
      </c>
      <c r="B50" s="52" t="n"/>
      <c r="C50" s="52" t="n"/>
      <c r="D50" s="52" t="n"/>
      <c r="E50" s="52" t="n"/>
      <c r="F50" s="52" t="n"/>
      <c r="G50" s="52" t="n"/>
      <c r="H50" s="52" t="n"/>
      <c r="I50" s="52" t="n"/>
      <c r="J50" s="52" t="n"/>
      <c r="K50" s="52" t="n"/>
      <c r="L50" s="52" t="n"/>
      <c r="M50" s="52" t="n"/>
      <c r="N50" s="52" t="n"/>
    </row>
    <row r="51">
      <c r="A51" s="53" t="inlineStr">
        <is>
          <t>항목</t>
        </is>
      </c>
      <c r="B51" s="53" t="inlineStr">
        <is>
          <t>2022</t>
        </is>
      </c>
      <c r="C51" s="53" t="inlineStr">
        <is>
          <t>2023</t>
        </is>
      </c>
      <c r="D51" s="53" t="inlineStr">
        <is>
          <t>2024</t>
        </is>
      </c>
      <c r="E51" s="53" t="inlineStr">
        <is>
          <t>2025</t>
        </is>
      </c>
      <c r="F51" s="53" t="inlineStr">
        <is>
          <t>2026</t>
        </is>
      </c>
      <c r="N51" s="53" t="inlineStr">
        <is>
          <t>출처</t>
        </is>
      </c>
    </row>
    <row r="52">
      <c r="A52" s="54" t="inlineStr">
        <is>
          <t>labels</t>
        </is>
      </c>
      <c r="B52" s="57" t="n">
        <v>2022</v>
      </c>
      <c r="C52" s="57" t="n">
        <v>2023</v>
      </c>
      <c r="D52" s="57" t="n">
        <v>2024</v>
      </c>
      <c r="E52" s="57" t="n">
        <v>2025</v>
      </c>
      <c r="F52" s="57" t="n">
        <v>2026</v>
      </c>
      <c r="N52" s="56" t="inlineStr">
        <is>
          <t>2단계 보고서 자료(회사 설명회 자료·공시)</t>
        </is>
      </c>
    </row>
    <row r="53">
      <c r="A53" s="54" t="inlineStr">
        <is>
          <t>ocf</t>
        </is>
      </c>
      <c r="B53" s="55" t="n">
        <v>948.3</v>
      </c>
      <c r="C53" s="55" t="n">
        <v>979.5</v>
      </c>
      <c r="D53" s="55" t="n">
        <v>991.6</v>
      </c>
      <c r="E53" s="55" t="n">
        <v>966.6</v>
      </c>
      <c r="F53" s="55" t="n">
        <v>1379.9</v>
      </c>
    </row>
    <row r="54">
      <c r="A54" s="54" t="inlineStr">
        <is>
          <t>설비투자</t>
        </is>
      </c>
      <c r="B54" s="55" t="n">
        <v>374.3</v>
      </c>
      <c r="C54" s="55" t="n">
        <v>431.5</v>
      </c>
      <c r="D54" s="55" t="n">
        <v>451.4</v>
      </c>
      <c r="E54" s="55" t="n">
        <v>437.5</v>
      </c>
      <c r="F54" s="55" t="n">
        <v>554.7</v>
      </c>
    </row>
    <row r="55">
      <c r="A55" s="54" t="inlineStr">
        <is>
          <t>dividends</t>
        </is>
      </c>
      <c r="B55" s="55" t="n">
        <v>156.8</v>
      </c>
      <c r="C55" s="55" t="n">
        <v>205.7</v>
      </c>
      <c r="D55" s="55" t="n">
        <v>177.7</v>
      </c>
      <c r="E55" s="55" t="n">
        <v>163</v>
      </c>
      <c r="F55" s="55" t="n">
        <v>198.4</v>
      </c>
    </row>
    <row r="57">
      <c r="A57" s="52" t="inlineStr">
        <is>
          <t>this quarter · 상반기</t>
        </is>
      </c>
      <c r="B57" s="52" t="n"/>
      <c r="C57" s="52" t="n"/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  <c r="M57" s="52" t="n"/>
      <c r="N57" s="52" t="n"/>
    </row>
    <row r="58">
      <c r="A58" s="53" t="inlineStr">
        <is>
          <t>항목</t>
        </is>
      </c>
      <c r="B58" s="53" t="inlineStr">
        <is>
          <t>값</t>
        </is>
      </c>
      <c r="N58" s="53" t="inlineStr">
        <is>
          <t>출처</t>
        </is>
      </c>
    </row>
    <row r="59">
      <c r="A59" s="54" t="inlineStr">
        <is>
          <t>매출</t>
        </is>
      </c>
      <c r="B59" s="55" t="n">
        <v>3713.06</v>
      </c>
      <c r="N59" s="56" t="inlineStr">
        <is>
          <t>이번 결산단신(2026-10-30 15:40, doc 140120261029559885) 본문·보충자료 그대로. 이 숫자는 다시 조회하지 말 것</t>
        </is>
      </c>
    </row>
    <row r="60">
      <c r="A60" s="54" t="inlineStr">
        <is>
          <t>영업이익</t>
        </is>
      </c>
      <c r="B60" s="55" t="n">
        <v>698.89</v>
      </c>
    </row>
    <row r="61">
      <c r="A61" s="54" t="inlineStr">
        <is>
          <t>ord</t>
        </is>
      </c>
      <c r="B61" s="55" t="n">
        <v>703.95</v>
      </c>
    </row>
    <row r="62">
      <c r="A62" s="54" t="inlineStr">
        <is>
          <t>순이익</t>
        </is>
      </c>
      <c r="B62" s="55" t="n">
        <v>608</v>
      </c>
    </row>
    <row r="63">
      <c r="A63" s="54" t="inlineStr">
        <is>
          <t>EPS</t>
        </is>
      </c>
      <c r="B63" s="55" t="n">
        <v>214.66</v>
      </c>
    </row>
    <row r="65">
      <c r="A65" s="52" t="inlineStr">
        <is>
          <t>this quarter · 상반기 prior</t>
        </is>
      </c>
      <c r="B65" s="52" t="n"/>
      <c r="C65" s="52" t="n"/>
      <c r="D65" s="52" t="n"/>
      <c r="E65" s="52" t="n"/>
      <c r="F65" s="52" t="n"/>
      <c r="G65" s="52" t="n"/>
      <c r="H65" s="52" t="n"/>
      <c r="I65" s="52" t="n"/>
      <c r="J65" s="52" t="n"/>
      <c r="K65" s="52" t="n"/>
      <c r="L65" s="52" t="n"/>
      <c r="M65" s="52" t="n"/>
      <c r="N65" s="52" t="n"/>
    </row>
    <row r="66">
      <c r="A66" s="53" t="inlineStr">
        <is>
          <t>항목</t>
        </is>
      </c>
      <c r="B66" s="53" t="inlineStr">
        <is>
          <t>값</t>
        </is>
      </c>
      <c r="N66" s="53" t="inlineStr">
        <is>
          <t>출처</t>
        </is>
      </c>
    </row>
    <row r="67">
      <c r="A67" s="54" t="inlineStr">
        <is>
          <t>매출</t>
        </is>
      </c>
      <c r="B67" s="55" t="n">
        <v>3262.04</v>
      </c>
      <c r="N67" s="56" t="inlineStr">
        <is>
          <t>이번 결산단신(2026-10-30 15:40, doc 140120261029559885) 본문·보충자료 그대로. 이 숫자는 다시 조회하지 말 것</t>
        </is>
      </c>
    </row>
    <row r="68">
      <c r="A68" s="54" t="inlineStr">
        <is>
          <t>영업이익</t>
        </is>
      </c>
      <c r="B68" s="55" t="n">
        <v>487</v>
      </c>
    </row>
    <row r="69">
      <c r="A69" s="54" t="inlineStr">
        <is>
          <t>ord</t>
        </is>
      </c>
      <c r="B69" s="55" t="n">
        <v>466.67</v>
      </c>
    </row>
    <row r="70">
      <c r="A70" s="54" t="inlineStr">
        <is>
          <t>순이익</t>
        </is>
      </c>
      <c r="B70" s="55" t="n">
        <v>238.7</v>
      </c>
    </row>
    <row r="71">
      <c r="A71" s="54" t="inlineStr">
        <is>
          <t>EPS</t>
        </is>
      </c>
      <c r="B71" s="55" t="n">
        <v>81.58</v>
      </c>
    </row>
    <row r="73">
      <c r="A73" s="52" t="inlineStr">
        <is>
          <t>this quarter · 상반기 계획 apr</t>
        </is>
      </c>
      <c r="B73" s="52" t="n"/>
      <c r="C73" s="52" t="n"/>
      <c r="D73" s="52" t="n"/>
      <c r="E73" s="52" t="n"/>
      <c r="F73" s="52" t="n"/>
      <c r="G73" s="52" t="n"/>
      <c r="H73" s="52" t="n"/>
      <c r="I73" s="52" t="n"/>
      <c r="J73" s="52" t="n"/>
      <c r="K73" s="52" t="n"/>
      <c r="L73" s="52" t="n"/>
      <c r="M73" s="52" t="n"/>
      <c r="N73" s="52" t="n"/>
    </row>
    <row r="74">
      <c r="A74" s="53" t="inlineStr">
        <is>
          <t>항목</t>
        </is>
      </c>
      <c r="B74" s="53" t="inlineStr">
        <is>
          <t>값</t>
        </is>
      </c>
      <c r="N74" s="53" t="inlineStr">
        <is>
          <t>출처</t>
        </is>
      </c>
    </row>
    <row r="75">
      <c r="A75" s="54" t="inlineStr">
        <is>
          <t>매출</t>
        </is>
      </c>
      <c r="B75" s="57" t="n">
        <v>3500</v>
      </c>
      <c r="N75" s="56" t="inlineStr">
        <is>
          <t>이번 결산단신(2026-10-30 15:40, doc 140120261029559885) 본문·보충자료 그대로. 이 숫자는 다시 조회하지 말 것</t>
        </is>
      </c>
    </row>
    <row r="76">
      <c r="A76" s="54" t="inlineStr">
        <is>
          <t>영업이익</t>
        </is>
      </c>
      <c r="B76" s="57" t="n">
        <v>530</v>
      </c>
    </row>
    <row r="77">
      <c r="A77" s="54" t="inlineStr">
        <is>
          <t>ord</t>
        </is>
      </c>
      <c r="B77" s="57" t="n">
        <v>530</v>
      </c>
    </row>
    <row r="78">
      <c r="A78" s="54" t="inlineStr">
        <is>
          <t>순이익</t>
        </is>
      </c>
      <c r="B78" s="57" t="n">
        <v>450</v>
      </c>
    </row>
    <row r="80">
      <c r="A80" s="52" t="inlineStr">
        <is>
          <t>this quarter · FY 가이던스 직전</t>
        </is>
      </c>
      <c r="B80" s="52" t="n"/>
      <c r="C80" s="52" t="n"/>
      <c r="D80" s="52" t="n"/>
      <c r="E80" s="52" t="n"/>
      <c r="F80" s="52" t="n"/>
      <c r="G80" s="52" t="n"/>
      <c r="H80" s="52" t="n"/>
      <c r="I80" s="52" t="n"/>
      <c r="J80" s="52" t="n"/>
      <c r="K80" s="52" t="n"/>
      <c r="L80" s="52" t="n"/>
      <c r="M80" s="52" t="n"/>
      <c r="N80" s="52" t="n"/>
    </row>
    <row r="81">
      <c r="A81" s="53" t="inlineStr">
        <is>
          <t>항목</t>
        </is>
      </c>
      <c r="B81" s="53" t="inlineStr">
        <is>
          <t>값</t>
        </is>
      </c>
      <c r="N81" s="53" t="inlineStr">
        <is>
          <t>출처</t>
        </is>
      </c>
    </row>
    <row r="82">
      <c r="A82" s="54" t="inlineStr">
        <is>
          <t>매출</t>
        </is>
      </c>
      <c r="B82" s="57" t="n">
        <v>7100</v>
      </c>
      <c r="N82" s="56" t="inlineStr">
        <is>
          <t>이번 결산단신(2026-10-30 15:40, doc 140120261029559885) 본문·보충자료 그대로. 이 숫자는 다시 조회하지 말 것</t>
        </is>
      </c>
    </row>
    <row r="83">
      <c r="A83" s="54" t="inlineStr">
        <is>
          <t>영업이익</t>
        </is>
      </c>
      <c r="B83" s="57" t="n">
        <v>1070</v>
      </c>
    </row>
    <row r="84">
      <c r="A84" s="54" t="inlineStr">
        <is>
          <t>ord</t>
        </is>
      </c>
      <c r="B84" s="57" t="n">
        <v>1050</v>
      </c>
    </row>
    <row r="85">
      <c r="A85" s="54" t="inlineStr">
        <is>
          <t>순이익</t>
        </is>
      </c>
      <c r="B85" s="57" t="n">
        <v>820</v>
      </c>
    </row>
    <row r="86">
      <c r="A86" s="54" t="inlineStr">
        <is>
          <t>EPS</t>
        </is>
      </c>
      <c r="B86" s="55" t="n">
        <v>290.67</v>
      </c>
    </row>
    <row r="87">
      <c r="A87" s="54" t="inlineStr">
        <is>
          <t>dps</t>
        </is>
      </c>
      <c r="B87" s="57" t="n">
        <v>106</v>
      </c>
    </row>
    <row r="89">
      <c r="A89" s="52" t="inlineStr">
        <is>
          <t>this quarter · FY 가이던스 new</t>
        </is>
      </c>
      <c r="B89" s="52" t="n"/>
      <c r="C89" s="52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  <c r="M89" s="52" t="n"/>
      <c r="N89" s="52" t="n"/>
    </row>
    <row r="90">
      <c r="A90" s="53" t="inlineStr">
        <is>
          <t>항목</t>
        </is>
      </c>
      <c r="B90" s="53" t="inlineStr">
        <is>
          <t>값</t>
        </is>
      </c>
      <c r="N90" s="53" t="inlineStr">
        <is>
          <t>출처</t>
        </is>
      </c>
    </row>
    <row r="91">
      <c r="A91" s="54" t="inlineStr">
        <is>
          <t>매출</t>
        </is>
      </c>
      <c r="B91" s="57" t="n">
        <v>7700</v>
      </c>
      <c r="N91" s="56" t="inlineStr">
        <is>
          <t>이번 결산단신(2026-10-30 15:40, doc 140120261029559885) 본문·보충자료 그대로. 이 숫자는 다시 조회하지 말 것</t>
        </is>
      </c>
    </row>
    <row r="92">
      <c r="A92" s="54" t="inlineStr">
        <is>
          <t>영업이익</t>
        </is>
      </c>
      <c r="B92" s="57" t="n">
        <v>1300</v>
      </c>
    </row>
    <row r="93">
      <c r="A93" s="54" t="inlineStr">
        <is>
          <t>ord</t>
        </is>
      </c>
      <c r="B93" s="57" t="n">
        <v>1260</v>
      </c>
    </row>
    <row r="94">
      <c r="A94" s="54" t="inlineStr">
        <is>
          <t>순이익</t>
        </is>
      </c>
      <c r="B94" s="57" t="n">
        <v>1000</v>
      </c>
    </row>
    <row r="95">
      <c r="A95" s="54" t="inlineStr">
        <is>
          <t>EPS</t>
        </is>
      </c>
      <c r="B95" s="55" t="n">
        <v>354.02</v>
      </c>
    </row>
    <row r="96">
      <c r="A96" s="54" t="inlineStr">
        <is>
          <t>dps</t>
        </is>
      </c>
      <c r="B96" s="57" t="n">
        <v>126</v>
      </c>
    </row>
    <row r="98">
      <c r="A98" s="52" t="inlineStr">
        <is>
          <t>this quarter · implied 2H</t>
        </is>
      </c>
      <c r="B98" s="52" t="n"/>
      <c r="C98" s="52" t="n"/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  <c r="M98" s="52" t="n"/>
      <c r="N98" s="52" t="n"/>
    </row>
    <row r="99">
      <c r="A99" s="53" t="inlineStr">
        <is>
          <t>항목</t>
        </is>
      </c>
      <c r="B99" s="53" t="inlineStr">
        <is>
          <t>값</t>
        </is>
      </c>
      <c r="N99" s="53" t="inlineStr">
        <is>
          <t>출처</t>
        </is>
      </c>
    </row>
    <row r="100">
      <c r="A100" s="54" t="inlineStr">
        <is>
          <t>매출</t>
        </is>
      </c>
      <c r="B100" s="57" t="n">
        <v>3987</v>
      </c>
      <c r="N100" s="56" t="inlineStr">
        <is>
          <t>이번 결산단신(2026-10-30 15:40, doc 140120261029559885) 본문·보충자료 그대로. 이 숫자는 다시 조회하지 말 것</t>
        </is>
      </c>
    </row>
    <row r="101">
      <c r="A101" s="54" t="inlineStr">
        <is>
          <t>영업이익</t>
        </is>
      </c>
      <c r="B101" s="57" t="n">
        <v>601</v>
      </c>
    </row>
    <row r="103">
      <c r="A103" s="52" t="inlineStr">
        <is>
          <t>this quarter · bs 0930</t>
        </is>
      </c>
      <c r="B103" s="52" t="n"/>
      <c r="C103" s="52" t="n"/>
      <c r="D103" s="52" t="n"/>
      <c r="E103" s="52" t="n"/>
      <c r="F103" s="52" t="n"/>
      <c r="G103" s="52" t="n"/>
      <c r="H103" s="52" t="n"/>
      <c r="I103" s="52" t="n"/>
      <c r="J103" s="52" t="n"/>
      <c r="K103" s="52" t="n"/>
      <c r="L103" s="52" t="n"/>
      <c r="M103" s="52" t="n"/>
      <c r="N103" s="52" t="n"/>
    </row>
    <row r="104">
      <c r="A104" s="53" t="inlineStr">
        <is>
          <t>항목</t>
        </is>
      </c>
      <c r="B104" s="53" t="inlineStr">
        <is>
          <t>값</t>
        </is>
      </c>
      <c r="N104" s="53" t="inlineStr">
        <is>
          <t>출처</t>
        </is>
      </c>
    </row>
    <row r="105">
      <c r="A105" s="54" t="inlineStr">
        <is>
          <t>현금</t>
        </is>
      </c>
      <c r="B105" s="55" t="n">
        <v>1947.48</v>
      </c>
      <c r="N105" s="56" t="inlineStr">
        <is>
          <t>이번 결산단신(2026-10-30 15:40, doc 140120261029559885) 본문·보충자료 그대로. 이 숫자는 다시 조회하지 말 것</t>
        </is>
      </c>
    </row>
    <row r="106">
      <c r="A106" s="54" t="inlineStr">
        <is>
          <t>유가증권</t>
        </is>
      </c>
      <c r="B106" s="55" t="n">
        <v>1060.81</v>
      </c>
    </row>
    <row r="107">
      <c r="A107" s="54" t="inlineStr">
        <is>
          <t>매출채권</t>
        </is>
      </c>
      <c r="B107" s="55" t="n">
        <v>1440.05</v>
      </c>
    </row>
    <row r="108">
      <c r="A108" s="54" t="inlineStr">
        <is>
          <t>재고</t>
        </is>
      </c>
      <c r="B108" s="55" t="n">
        <v>2497.35</v>
      </c>
    </row>
    <row r="109">
      <c r="A109" s="54" t="inlineStr">
        <is>
          <t>유형자산</t>
        </is>
      </c>
      <c r="B109" s="55" t="n">
        <v>3647.9</v>
      </c>
    </row>
    <row r="110">
      <c r="A110" s="54" t="inlineStr">
        <is>
          <t>투자유가증권</t>
        </is>
      </c>
      <c r="B110" s="55" t="n">
        <v>925.64</v>
      </c>
    </row>
    <row r="111">
      <c r="A111" s="54" t="inlineStr">
        <is>
          <t>총자산</t>
        </is>
      </c>
      <c r="B111" s="55" t="n">
        <v>12374.56</v>
      </c>
    </row>
    <row r="112">
      <c r="A112" s="54" t="inlineStr">
        <is>
          <t>단기차입</t>
        </is>
      </c>
      <c r="B112" s="55" t="n">
        <v>13.62</v>
      </c>
    </row>
    <row r="113">
      <c r="A113" s="54" t="inlineStr">
        <is>
          <t>1년내장기</t>
        </is>
      </c>
      <c r="B113" s="55" t="n">
        <v>294.67</v>
      </c>
    </row>
    <row r="114">
      <c r="A114" s="54" t="inlineStr">
        <is>
          <t>사채</t>
        </is>
      </c>
      <c r="B114" s="55" t="n">
        <v>620</v>
      </c>
    </row>
    <row r="115">
      <c r="A115" s="54" t="inlineStr">
        <is>
          <t>장기차입</t>
        </is>
      </c>
      <c r="B115" s="55" t="n">
        <v>1375.39</v>
      </c>
    </row>
    <row r="116">
      <c r="A116" s="54" t="inlineStr">
        <is>
          <t>자기자본</t>
        </is>
      </c>
      <c r="B116" s="55" t="n">
        <v>8210.41</v>
      </c>
    </row>
    <row r="117">
      <c r="A117" s="54" t="inlineStr">
        <is>
          <t>순자산</t>
        </is>
      </c>
      <c r="B117" s="55" t="n">
        <v>8303.75</v>
      </c>
    </row>
    <row r="118">
      <c r="A118" s="54" t="inlineStr">
        <is>
          <t>자기자본비율</t>
        </is>
      </c>
      <c r="B118" s="55" t="n">
        <v>66.3</v>
      </c>
    </row>
    <row r="120">
      <c r="A120" s="52" t="inlineStr">
        <is>
          <t>컨센서스</t>
        </is>
      </c>
      <c r="B120" s="52" t="n"/>
      <c r="C120" s="52" t="n"/>
      <c r="D120" s="52" t="n"/>
      <c r="E120" s="52" t="n"/>
      <c r="F120" s="52" t="n"/>
      <c r="G120" s="52" t="n"/>
      <c r="H120" s="52" t="n"/>
      <c r="I120" s="52" t="n"/>
      <c r="J120" s="52" t="n"/>
      <c r="K120" s="52" t="n"/>
      <c r="L120" s="52" t="n"/>
      <c r="M120" s="52" t="n"/>
      <c r="N120" s="52" t="n"/>
    </row>
    <row r="121">
      <c r="A121" s="53" t="inlineStr">
        <is>
          <t>항목</t>
        </is>
      </c>
      <c r="B121" s="53" t="inlineStr">
        <is>
          <t>값</t>
        </is>
      </c>
      <c r="N121" s="53" t="inlineStr">
        <is>
          <t>출처</t>
        </is>
      </c>
    </row>
    <row r="122">
      <c r="A122" s="54" t="inlineStr">
        <is>
          <t>2Q 매출 avg</t>
        </is>
      </c>
      <c r="B122" s="55" t="n">
        <v>1795.4</v>
      </c>
      <c r="N122" s="56" t="inlineStr">
        <is>
          <t>야후. 영업이익 컨센 없음, 분기 EPS는 1명뿐. 이번 분기 매출 실적 1871.6은 컨센 1795.4 대비 +4.2%, 새 통기 7700은 컨센 상단 7460 초과, 새 EPS 354.0은 컨센 상단 334.1 초과</t>
        </is>
      </c>
    </row>
    <row r="123">
      <c r="A123" s="54" t="inlineStr">
        <is>
          <t>2Q 매출 애널리스트 수</t>
        </is>
      </c>
      <c r="B123" s="57" t="n">
        <v>5</v>
      </c>
    </row>
    <row r="124">
      <c r="A124" s="54" t="inlineStr">
        <is>
          <t>3Q 매출 avg</t>
        </is>
      </c>
      <c r="B124" s="55" t="n">
        <v>1825.7</v>
      </c>
    </row>
    <row r="125">
      <c r="A125" s="54" t="inlineStr">
        <is>
          <t>3Q 매출 애널리스트 수</t>
        </is>
      </c>
      <c r="B125" s="57" t="n">
        <v>5</v>
      </c>
    </row>
    <row r="126">
      <c r="A126" s="54" t="inlineStr">
        <is>
          <t>fy27 매출 avg</t>
        </is>
      </c>
      <c r="B126" s="55" t="n">
        <v>7327.4</v>
      </c>
    </row>
    <row r="127">
      <c r="A127" s="54" t="inlineStr">
        <is>
          <t>fy27 EPS avg</t>
        </is>
      </c>
      <c r="B127" s="55" t="n">
        <v>324.6</v>
      </c>
    </row>
    <row r="128">
      <c r="A128" s="54" t="inlineStr">
        <is>
          <t>fy27 애널리스트 수</t>
        </is>
      </c>
      <c r="B128" s="57" t="n">
        <v>7</v>
      </c>
    </row>
    <row r="129">
      <c r="A129" s="54" t="inlineStr">
        <is>
          <t>fy28 매출 avg</t>
        </is>
      </c>
      <c r="B129" s="55" t="n">
        <v>7753</v>
      </c>
    </row>
    <row r="130">
      <c r="A130" s="54" t="inlineStr">
        <is>
          <t>fy28 EPS avg</t>
        </is>
      </c>
      <c r="B130" s="55" t="n">
        <v>341.7</v>
      </c>
    </row>
    <row r="131">
      <c r="A131" s="54" t="inlineStr">
        <is>
          <t>fy28 애널리스트 수</t>
        </is>
      </c>
      <c r="B131" s="57" t="n">
        <v>7</v>
      </c>
    </row>
    <row r="132">
      <c r="A132" s="54" t="inlineStr">
        <is>
          <t>mcap yahoo yen</t>
        </is>
      </c>
      <c r="B132" s="57" t="n">
        <v>1298482331648</v>
      </c>
    </row>
    <row r="134">
      <c r="A134" s="52" t="inlineStr">
        <is>
          <t>컨센서스 · EPS trend fy27</t>
        </is>
      </c>
      <c r="B134" s="52" t="n"/>
      <c r="C134" s="52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  <c r="M134" s="52" t="n"/>
      <c r="N134" s="52" t="n"/>
    </row>
    <row r="135">
      <c r="A135" s="53" t="inlineStr">
        <is>
          <t>항목</t>
        </is>
      </c>
      <c r="B135" s="53" t="inlineStr">
        <is>
          <t>값</t>
        </is>
      </c>
      <c r="N135" s="53" t="inlineStr">
        <is>
          <t>출처</t>
        </is>
      </c>
    </row>
    <row r="136">
      <c r="A136" s="54" t="inlineStr">
        <is>
          <t>now</t>
        </is>
      </c>
      <c r="B136" s="55" t="n">
        <v>324.6</v>
      </c>
      <c r="N136" s="56" t="inlineStr">
        <is>
          <t>야후. 영업이익 컨센 없음, 분기 EPS는 1명뿐. 이번 분기 매출 실적 1871.6은 컨센 1795.4 대비 +4.2%, 새 통기 7700은 컨센 상단 7460 초과, 새 EPS 354.0은 컨센 상단 334.1 초과</t>
        </is>
      </c>
    </row>
    <row r="137">
      <c r="A137" s="54" t="inlineStr">
        <is>
          <t>30d</t>
        </is>
      </c>
      <c r="B137" s="55" t="n">
        <v>325.1</v>
      </c>
    </row>
    <row r="138">
      <c r="A138" s="54" t="inlineStr">
        <is>
          <t>60d</t>
        </is>
      </c>
      <c r="B138" s="55" t="n">
        <v>321.5</v>
      </c>
    </row>
    <row r="139">
      <c r="A139" s="54" t="inlineStr">
        <is>
          <t>90d</t>
        </is>
      </c>
      <c r="B139" s="55" t="n">
        <v>301.8</v>
      </c>
    </row>
    <row r="141">
      <c r="A141" s="52" t="inlineStr">
        <is>
          <t>컨센서스 · 목표주가</t>
        </is>
      </c>
      <c r="B141" s="52" t="n"/>
      <c r="C141" s="52" t="n"/>
      <c r="D141" s="52" t="n"/>
      <c r="E141" s="52" t="n"/>
      <c r="F141" s="52" t="n"/>
      <c r="G141" s="52" t="n"/>
      <c r="H141" s="52" t="n"/>
      <c r="I141" s="52" t="n"/>
      <c r="J141" s="52" t="n"/>
      <c r="K141" s="52" t="n"/>
      <c r="L141" s="52" t="n"/>
      <c r="M141" s="52" t="n"/>
      <c r="N141" s="52" t="n"/>
    </row>
    <row r="142">
      <c r="A142" s="53" t="inlineStr">
        <is>
          <t>항목</t>
        </is>
      </c>
      <c r="B142" s="53" t="inlineStr">
        <is>
          <t>값</t>
        </is>
      </c>
      <c r="N142" s="53" t="inlineStr">
        <is>
          <t>출처</t>
        </is>
      </c>
    </row>
    <row r="143">
      <c r="A143" s="54" t="inlineStr">
        <is>
          <t>평균</t>
        </is>
      </c>
      <c r="B143" s="57" t="n">
        <v>6784</v>
      </c>
      <c r="N143" s="56" t="inlineStr">
        <is>
          <t>야후. 영업이익 컨센 없음, 분기 EPS는 1명뿐. 이번 분기 매출 실적 1871.6은 컨센 1795.4 대비 +4.2%, 새 통기 7700은 컨센 상단 7460 초과, 새 EPS 354.0은 컨센 상단 334.1 초과</t>
        </is>
      </c>
    </row>
    <row r="144">
      <c r="A144" s="54" t="inlineStr">
        <is>
          <t>중앙값</t>
        </is>
      </c>
      <c r="B144" s="57" t="n">
        <v>7000</v>
      </c>
    </row>
    <row r="145">
      <c r="A145" s="54" t="inlineStr">
        <is>
          <t>최고</t>
        </is>
      </c>
      <c r="B145" s="57" t="n">
        <v>8600</v>
      </c>
    </row>
    <row r="146">
      <c r="A146" s="54" t="inlineStr">
        <is>
          <t>최저</t>
        </is>
      </c>
      <c r="B146" s="57" t="n">
        <v>5280</v>
      </c>
    </row>
    <row r="147">
      <c r="A147" s="54" t="inlineStr">
        <is>
          <t>애널리스트 수</t>
        </is>
      </c>
      <c r="B147" s="57" t="n">
        <v>7</v>
      </c>
    </row>
    <row r="149">
      <c r="A149" s="52" t="inlineStr">
        <is>
          <t>컨센서스 · rating</t>
        </is>
      </c>
      <c r="B149" s="52" t="n"/>
      <c r="C149" s="52" t="n"/>
      <c r="D149" s="52" t="n"/>
      <c r="E149" s="52" t="n"/>
      <c r="F149" s="52" t="n"/>
      <c r="G149" s="52" t="n"/>
      <c r="H149" s="52" t="n"/>
      <c r="I149" s="52" t="n"/>
      <c r="J149" s="52" t="n"/>
      <c r="K149" s="52" t="n"/>
      <c r="L149" s="52" t="n"/>
      <c r="M149" s="52" t="n"/>
      <c r="N149" s="52" t="n"/>
    </row>
    <row r="150">
      <c r="A150" s="53" t="inlineStr">
        <is>
          <t>항목</t>
        </is>
      </c>
      <c r="B150" s="53" t="inlineStr">
        <is>
          <t>값</t>
        </is>
      </c>
      <c r="N150" s="53" t="inlineStr">
        <is>
          <t>출처</t>
        </is>
      </c>
    </row>
    <row r="151">
      <c r="A151" s="54" t="inlineStr">
        <is>
          <t>평균</t>
        </is>
      </c>
      <c r="B151" s="55" t="n">
        <v>1.86</v>
      </c>
      <c r="N151" s="56" t="inlineStr">
        <is>
          <t>야후. 영업이익 컨센 없음, 분기 EPS는 1명뿐. 이번 분기 매출 실적 1871.6은 컨센 1795.4 대비 +4.2%, 새 통기 7700은 컨센 상단 7460 초과, 새 EPS 354.0은 컨센 상단 334.1 초과</t>
        </is>
      </c>
    </row>
    <row r="152">
      <c r="A152" s="54" t="inlineStr">
        <is>
          <t>strong buy</t>
        </is>
      </c>
      <c r="B152" s="57" t="n">
        <v>4</v>
      </c>
    </row>
    <row r="153">
      <c r="A153" s="54" t="inlineStr">
        <is>
          <t>hold</t>
        </is>
      </c>
      <c r="B153" s="57" t="n">
        <v>3</v>
      </c>
    </row>
    <row r="155">
      <c r="A155" s="52" t="inlineStr">
        <is>
          <t>reactions next day</t>
        </is>
      </c>
      <c r="B155" s="52" t="n"/>
      <c r="C155" s="52" t="n"/>
      <c r="D155" s="52" t="n"/>
      <c r="E155" s="52" t="n"/>
      <c r="F155" s="52" t="n"/>
      <c r="G155" s="52" t="n"/>
      <c r="H155" s="52" t="n"/>
      <c r="I155" s="52" t="n"/>
      <c r="J155" s="52" t="n"/>
      <c r="K155" s="52" t="n"/>
      <c r="L155" s="52" t="n"/>
      <c r="M155" s="52" t="n"/>
      <c r="N155" s="52" t="n"/>
    </row>
    <row r="156">
      <c r="A156" s="53" t="inlineStr">
        <is>
          <t>항목</t>
        </is>
      </c>
      <c r="B156" s="53" t="inlineStr">
        <is>
          <t>기준일</t>
        </is>
      </c>
      <c r="C156" s="53" t="inlineStr">
        <is>
          <t>다음날</t>
        </is>
      </c>
      <c r="D156" s="53" t="inlineStr">
        <is>
          <t>등락%</t>
        </is>
      </c>
      <c r="N156" s="53" t="inlineStr">
        <is>
          <t>출처</t>
        </is>
      </c>
    </row>
    <row r="157">
      <c r="A157" s="54" t="inlineStr">
        <is>
          <t>2025-08-07</t>
        </is>
      </c>
      <c r="B157" s="58" t="inlineStr">
        <is>
          <t>2025-08-07</t>
        </is>
      </c>
      <c r="C157" s="58" t="inlineStr">
        <is>
          <t>2025-08-08</t>
        </is>
      </c>
      <c r="D157" s="55" t="n">
        <v>1.8</v>
      </c>
      <c r="N157" s="56" t="inlineStr">
        <is>
          <t>2단계 보고서 자료(회사 설명회 자료·공시)</t>
        </is>
      </c>
    </row>
    <row r="158">
      <c r="A158" s="54" t="inlineStr">
        <is>
          <t>2025-10-31</t>
        </is>
      </c>
      <c r="B158" s="58" t="inlineStr">
        <is>
          <t>2025-10-31</t>
        </is>
      </c>
      <c r="C158" s="58" t="inlineStr">
        <is>
          <t>2025-11-04</t>
        </is>
      </c>
      <c r="D158" s="55" t="n">
        <v>6.5</v>
      </c>
    </row>
    <row r="159">
      <c r="A159" s="54" t="inlineStr">
        <is>
          <t>2026-01-29</t>
        </is>
      </c>
      <c r="B159" s="58" t="inlineStr">
        <is>
          <t>2026-01-29</t>
        </is>
      </c>
      <c r="C159" s="58" t="inlineStr">
        <is>
          <t>2026-01-30</t>
        </is>
      </c>
      <c r="D159" s="55" t="n">
        <v>-1.6</v>
      </c>
    </row>
    <row r="160">
      <c r="A160" s="54" t="inlineStr">
        <is>
          <t>2026-02-05</t>
        </is>
      </c>
      <c r="B160" s="58" t="inlineStr">
        <is>
          <t>2026-02-05</t>
        </is>
      </c>
      <c r="C160" s="58" t="inlineStr">
        <is>
          <t>2026-02-06</t>
        </is>
      </c>
      <c r="D160" s="55" t="n">
        <v>1</v>
      </c>
    </row>
    <row r="161">
      <c r="A161" s="54" t="inlineStr">
        <is>
          <t>2026-04-30</t>
        </is>
      </c>
      <c r="B161" s="58" t="inlineStr">
        <is>
          <t>2026-04-30</t>
        </is>
      </c>
      <c r="C161" s="58" t="inlineStr">
        <is>
          <t>2026-05-01</t>
        </is>
      </c>
      <c r="D161" s="55" t="n">
        <v>3.2</v>
      </c>
    </row>
    <row r="162">
      <c r="A162" s="54" t="inlineStr">
        <is>
          <t>2026-07-30</t>
        </is>
      </c>
      <c r="B162" s="58" t="inlineStr">
        <is>
          <t>2026-07-30</t>
        </is>
      </c>
      <c r="C162" s="58" t="inlineStr">
        <is>
          <t>2026-07-31</t>
        </is>
      </c>
      <c r="D162" s="55" t="n">
        <v>6.7</v>
      </c>
    </row>
    <row r="163">
      <c r="A163" s="54" t="inlineStr">
        <is>
          <t>2026-08-06</t>
        </is>
      </c>
      <c r="B163" s="58" t="inlineStr">
        <is>
          <t>2026-08-06</t>
        </is>
      </c>
      <c r="C163" s="58" t="inlineStr">
        <is>
          <t>2026-08-07</t>
        </is>
      </c>
      <c r="D163" s="55" t="n">
        <v>-2.3</v>
      </c>
    </row>
    <row r="165">
      <c r="A165" s="52" t="inlineStr">
        <is>
          <t>filings</t>
        </is>
      </c>
      <c r="B165" s="52" t="n"/>
      <c r="C165" s="52" t="n"/>
      <c r="D165" s="52" t="n"/>
      <c r="E165" s="52" t="n"/>
      <c r="F165" s="52" t="n"/>
      <c r="G165" s="52" t="n"/>
      <c r="H165" s="52" t="n"/>
      <c r="I165" s="52" t="n"/>
      <c r="J165" s="52" t="n"/>
      <c r="K165" s="52" t="n"/>
      <c r="L165" s="52" t="n"/>
      <c r="M165" s="52" t="n"/>
      <c r="N165" s="52" t="n"/>
    </row>
    <row r="166">
      <c r="A166" s="53" t="inlineStr">
        <is>
          <t>항목</t>
        </is>
      </c>
      <c r="B166" s="53" t="inlineStr">
        <is>
          <t>title</t>
        </is>
      </c>
      <c r="C166" s="53" t="inlineStr">
        <is>
          <t>doc</t>
        </is>
      </c>
      <c r="N166" s="53" t="inlineStr">
        <is>
          <t>출처</t>
        </is>
      </c>
    </row>
    <row r="167">
      <c r="A167" s="54" t="inlineStr">
        <is>
          <t>2026-10-30</t>
        </is>
      </c>
      <c r="B167" s="58" t="inlineStr">
        <is>
          <t>2027年３月期 第２四半期（中間期）決算短信〔日本基準〕（連結）</t>
        </is>
      </c>
      <c r="C167" s="58" t="inlineStr">
        <is>
          <t>140120261029559885</t>
        </is>
      </c>
      <c r="N167" s="56" t="inlineStr">
        <is>
          <t>2단계 보고서 자료(회사 설명회 자료·공시)</t>
        </is>
      </c>
    </row>
    <row r="168">
      <c r="A168" s="54" t="inlineStr">
        <is>
          <t>2026-08-06</t>
        </is>
      </c>
      <c r="B168" s="58" t="inlineStr">
        <is>
          <t>2027年３月期第１四半期決算短信〔日本基準〕(連結)（公認会計士等による期中レビューの完了）</t>
        </is>
      </c>
      <c r="C168" s="58" t="inlineStr">
        <is>
          <t>140120260806511149</t>
        </is>
      </c>
    </row>
    <row r="169">
      <c r="A169" s="54" t="inlineStr">
        <is>
          <t>2026-07-30</t>
        </is>
      </c>
      <c r="B169" s="58" t="inlineStr">
        <is>
          <t>2027年３月期 第１四半期決算短信〔日本基準〕（連結）</t>
        </is>
      </c>
      <c r="C169" s="58" t="inlineStr">
        <is>
          <t>140120260729502528</t>
        </is>
      </c>
    </row>
    <row r="170">
      <c r="A170" s="54" t="inlineStr">
        <is>
          <t>2026-04-30</t>
        </is>
      </c>
      <c r="B170" s="58" t="inlineStr">
        <is>
          <t>2026年３月期 決算短信〔日本基準〕（連結）</t>
        </is>
      </c>
      <c r="C170" s="58" t="inlineStr">
        <is>
          <t>140120260427512068</t>
        </is>
      </c>
    </row>
    <row r="171">
      <c r="A171" s="54" t="inlineStr">
        <is>
          <t>2026-02-05</t>
        </is>
      </c>
      <c r="B171" s="58" t="inlineStr">
        <is>
          <t>2026年３月期第３四半期決算短信〔日本基準〕(連結)（公認会計士等による期中レビューの完了）</t>
        </is>
      </c>
      <c r="C171" s="58" t="inlineStr">
        <is>
          <t>140120260204547643</t>
        </is>
      </c>
    </row>
    <row r="172">
      <c r="A172" s="54" t="inlineStr">
        <is>
          <t>2026-01-29</t>
        </is>
      </c>
      <c r="B172" s="58" t="inlineStr">
        <is>
          <t>2026年３月期 第３四半期決算短信〔日本基準〕（連結）</t>
        </is>
      </c>
      <c r="C172" s="58" t="inlineStr">
        <is>
          <t>140120260128540156</t>
        </is>
      </c>
    </row>
    <row r="173">
      <c r="A173" s="54" t="inlineStr">
        <is>
          <t>2025-10-31</t>
        </is>
      </c>
      <c r="B173" s="58" t="inlineStr">
        <is>
          <t>2026年３月期 第２四半期（中間期）決算短信〔日本基準〕（連結）</t>
        </is>
      </c>
      <c r="C173" s="58" t="inlineStr">
        <is>
          <t>140120251030583769</t>
        </is>
      </c>
    </row>
    <row r="174">
      <c r="A174" s="54" t="inlineStr">
        <is>
          <t>2025-08-07</t>
        </is>
      </c>
      <c r="B174" s="58" t="inlineStr">
        <is>
          <t>2026年３月期第１四半期決算短信〔日本基準〕(連結)（公認会計士等による期中レビューの完了）</t>
        </is>
      </c>
      <c r="C174" s="58" t="inlineStr">
        <is>
          <t>140120250804528948</t>
        </is>
      </c>
    </row>
    <row r="175">
      <c r="A175" s="54" t="inlineStr">
        <is>
          <t>2025-07-31</t>
        </is>
      </c>
      <c r="B175" s="58" t="inlineStr">
        <is>
          <t>2026年３月期 第１四半期決算短信〔日本基準〕（連結）</t>
        </is>
      </c>
      <c r="C175" s="58" t="inlineStr">
        <is>
          <t>140120250728521328</t>
        </is>
      </c>
    </row>
    <row r="176">
      <c r="A176" s="54" t="inlineStr">
        <is>
          <t>2025-04-28</t>
        </is>
      </c>
      <c r="B176" s="58" t="inlineStr">
        <is>
          <t>2025年3月期 決算短信〔日本基準〕(連結)</t>
        </is>
      </c>
      <c r="C176" s="58" t="inlineStr">
        <is>
          <t>140120250424522848</t>
        </is>
      </c>
    </row>
    <row r="177">
      <c r="A177" s="54" t="inlineStr">
        <is>
          <t>2025-02-07</t>
        </is>
      </c>
      <c r="B177" s="58" t="inlineStr">
        <is>
          <t>2025年３月期第３四半期決算短信〔日本基準〕(連結) (公認会計士等による期中レビューの完了)</t>
        </is>
      </c>
      <c r="C177" s="58" t="inlineStr">
        <is>
          <t>140120250206565353</t>
        </is>
      </c>
    </row>
    <row r="178">
      <c r="A178" s="54" t="inlineStr">
        <is>
          <t>2025-01-31</t>
        </is>
      </c>
      <c r="B178" s="58" t="inlineStr">
        <is>
          <t>2025年３月期 第３四半期決算短信〔日本基準〕(連結)</t>
        </is>
      </c>
      <c r="C178" s="58" t="inlineStr">
        <is>
          <t>140120250130558396</t>
        </is>
      </c>
    </row>
    <row r="180">
      <c r="A180" s="52" t="inlineStr">
        <is>
          <t>deck map</t>
        </is>
      </c>
      <c r="B180" s="52" t="n"/>
      <c r="C180" s="52" t="n"/>
      <c r="D180" s="52" t="n"/>
      <c r="E180" s="52" t="n"/>
      <c r="F180" s="52" t="n"/>
      <c r="G180" s="52" t="n"/>
      <c r="H180" s="52" t="n"/>
      <c r="I180" s="52" t="n"/>
      <c r="J180" s="52" t="n"/>
      <c r="K180" s="52" t="n"/>
      <c r="L180" s="52" t="n"/>
      <c r="M180" s="52" t="n"/>
      <c r="N180" s="52" t="n"/>
    </row>
    <row r="181">
      <c r="A181" s="53" t="inlineStr">
        <is>
          <t>항목</t>
        </is>
      </c>
      <c r="B181" s="53" t="inlineStr">
        <is>
          <t>제목</t>
        </is>
      </c>
      <c r="C181" s="53" t="inlineStr">
        <is>
          <t>핵심 숫자</t>
        </is>
      </c>
      <c r="D181" s="53" t="inlineStr">
        <is>
          <t>넣은 곳</t>
        </is>
      </c>
      <c r="E181" s="53" t="inlineStr">
        <is>
          <t>대조</t>
        </is>
      </c>
      <c r="N181" s="53" t="inlineStr">
        <is>
          <t>출처</t>
        </is>
      </c>
    </row>
    <row r="182">
      <c r="A182" s="54" t="inlineStr">
        <is>
          <t>1</t>
        </is>
      </c>
      <c r="B182" s="58" t="inlineStr">
        <is>
          <t>손익 표 — 전사</t>
        </is>
      </c>
      <c r="C182" s="58" t="inlineStr">
        <is>
          <t>상반기 3,262→3,713(+14%), 영업이익 487→699(+44%), 경상 467→704, 순이익 239→608, EPS 81.58→214.66. 통기 7,700·1,300·1,260·1,000, 4월 계획 대비</t>
        </is>
      </c>
      <c r="D182" s="58" t="inlineStr">
        <is>
          <t>한 줄 요약·⑤·⑦</t>
        </is>
      </c>
      <c r="E182" s="58" t="inlineStr">
        <is>
          <t>있음(4월 상반기 매출·경상·순이익 계획, 상반기 EPS는 검수 때 추가)</t>
        </is>
      </c>
      <c r="N182" s="56" t="inlineStr">
        <is>
          <t>2단계 보고서 자료(회사 설명회 자료·공시)</t>
        </is>
      </c>
    </row>
    <row r="183">
      <c r="A183" s="54" t="inlineStr">
        <is>
          <t>1</t>
        </is>
      </c>
      <c r="B183" s="58" t="inlineStr">
        <is>
          <t>손익 표 — 해외 매출</t>
        </is>
      </c>
      <c r="C183" s="58" t="inlineStr">
        <is>
          <t>상반기 2,562→2,966(79→80%), 통기 5,243→6,200(78→80%)</t>
        </is>
      </c>
      <c r="D183" s="58" t="inlineStr">
        <is>
          <t>④</t>
        </is>
      </c>
      <c r="E183" s="58" t="inlineStr">
        <is>
          <t>있음(통기는 검수 때 추가)</t>
        </is>
      </c>
    </row>
    <row r="184">
      <c r="A184" s="54" t="inlineStr">
        <is>
          <t>1</t>
        </is>
      </c>
      <c r="B184" s="58" t="inlineStr">
        <is>
          <t>손익 표 — 사업별</t>
        </is>
      </c>
      <c r="C184" s="58" t="inlineStr">
        <is>
          <t>EN 2,082/460, DS 1,299/197, E&amp;I 332/42, 통기 4,250/820·2,750/410·700/70, 4월 계획, 전기 대비 +9·+34·−4%</t>
        </is>
      </c>
      <c r="D184" s="58" t="inlineStr">
        <is>
          <t>①②③⑤</t>
        </is>
      </c>
      <c r="E184" s="58" t="inlineStr">
        <is>
          <t>있음(사업별 통기 전기 대비는 검수 때 추가)</t>
        </is>
      </c>
    </row>
    <row r="185">
      <c r="A185" s="54" t="inlineStr">
        <is>
          <t>1</t>
        </is>
      </c>
      <c r="B185" s="58" t="inlineStr">
        <is>
          <t>손익 표 — 환율·투자</t>
        </is>
      </c>
      <c r="C185" s="58" t="inlineStr">
        <is>
          <t>달러 147→160, 유로 168→184, 통기 155·180(전기 151·175), 설비 293·720, 감가 293·600, 연구 168·400</t>
        </is>
      </c>
      <c r="D185" s="58" t="inlineStr">
        <is>
          <t>⑥⑧·P·Q·C</t>
        </is>
      </c>
      <c r="E185" s="58" t="inlineStr">
        <is>
          <t>있음(전기 환율, 전년 감가는 검수 때 추가)</t>
        </is>
      </c>
    </row>
    <row r="186">
      <c r="A186" s="54" t="inlineStr">
        <is>
          <t>1</t>
        </is>
      </c>
      <c r="B186" s="58" t="inlineStr">
        <is>
          <t>손익 표 — ROE·EPS·배당</t>
        </is>
      </c>
      <c r="C186" s="58" t="inlineStr">
        <is>
          <t>ROE 12.1%(4월 10.0%, 전기 7.8%), EPS 354.02, 배당 126엔(35.6%), 전기 80엔(38.8%)</t>
        </is>
      </c>
      <c r="D186" s="58" t="inlineStr">
        <is>
          <t>⑤⑥</t>
        </is>
      </c>
      <c r="E186" s="58" t="inlineStr">
        <is>
          <t>있음(ROE·전기 배당성향은 검수 때 추가)</t>
        </is>
      </c>
    </row>
    <row r="187">
      <c r="A187" s="54" t="inlineStr">
        <is>
          <t>1</t>
        </is>
      </c>
      <c r="B187" s="58" t="inlineStr">
        <is>
          <t>상반기 사업별 설명</t>
        </is>
      </c>
      <c r="C187" s="58" t="inlineStr">
        <is>
          <t>EN 엔저·비용 시기·백금, HPC AI 수요, 캐리어 출하 증가·HDD 압전 활황, 가이시 미국 데이터센터</t>
        </is>
      </c>
      <c r="D187" s="58" t="inlineStr">
        <is>
          <t>①②③·P·Q·C</t>
        </is>
      </c>
      <c r="E187" s="58" t="inlineStr">
        <is>
          <t>있음</t>
        </is>
      </c>
    </row>
    <row r="188">
      <c r="A188" s="54" t="inlineStr">
        <is>
          <t>1</t>
        </is>
      </c>
      <c r="B188" s="58" t="inlineStr">
        <is>
          <t>환율 영향·영업외·특별</t>
        </is>
      </c>
      <c r="C188" s="58" t="inlineStr">
        <is>
          <t>환율 매출 +178·영업이익 +79, 사업정리손 11, 투자유가증권 매각익 26</t>
        </is>
      </c>
      <c r="D188" s="58" t="inlineStr">
        <is>
          <t>④⑦</t>
        </is>
      </c>
      <c r="E188" s="58" t="inlineStr">
        <is>
          <t>있음</t>
        </is>
      </c>
    </row>
    <row r="189">
      <c r="A189" s="54" t="inlineStr">
        <is>
          <t>1</t>
        </is>
      </c>
      <c r="B189" s="58" t="inlineStr">
        <is>
          <t>배당 설명</t>
        </is>
      </c>
      <c r="C189" s="58" t="inlineStr">
        <is>
          <t>중간 63엔(4월보다 +10엔), 연 126엔(+20엔)</t>
        </is>
      </c>
      <c r="D189" s="58" t="inlineStr">
        <is>
          <t>⑥</t>
        </is>
      </c>
      <c r="E189" s="58" t="inlineStr">
        <is>
          <t>있음(+10엔은 검수 때 추가)</t>
        </is>
      </c>
    </row>
    <row r="190">
      <c r="A190" s="54" t="inlineStr">
        <is>
          <t>1</t>
        </is>
      </c>
      <c r="B190" s="58" t="inlineStr">
        <is>
          <t>통기 사업별 설명</t>
        </is>
      </c>
      <c r="C190" s="58" t="inlineStr">
        <is>
          <t>EN 상반기 일시 요인 반동, HPC 고수준, 캐리어 흑자화·패널형·메모리용, 가이시 데이터센터·송배전</t>
        </is>
      </c>
      <c r="D190" s="58" t="inlineStr">
        <is>
          <t>①②③⑤</t>
        </is>
      </c>
      <c r="E190" s="58" t="inlineStr">
        <is>
          <t>있음</t>
        </is>
      </c>
    </row>
    <row r="191">
      <c r="A191" s="54" t="inlineStr">
        <is>
          <t>1</t>
        </is>
      </c>
      <c r="B191" s="58" t="inlineStr">
        <is>
          <t>통기 환율</t>
        </is>
      </c>
      <c r="C191" s="58" t="inlineStr">
        <is>
          <t>매출 +125·영업이익 +77, 하반기 150·175, 1엔당 달러 9/3.4, 유로 3/0.7</t>
        </is>
      </c>
      <c r="D191" s="58" t="inlineStr">
        <is>
          <t>⑤⑥</t>
        </is>
      </c>
      <c r="E191" s="58" t="inlineStr">
        <is>
          <t>있음</t>
        </is>
      </c>
    </row>
    <row r="192">
      <c r="A192" s="54" t="inlineStr">
        <is>
          <t>1</t>
        </is>
      </c>
      <c r="B192" s="58" t="inlineStr">
        <is>
          <t>주석</t>
        </is>
      </c>
      <c r="C192" s="58" t="inlineStr">
        <is>
          <t>저준위 방사성폐기물 처리 장치 EN→E&amp;I 이관, HPC 정의</t>
        </is>
      </c>
      <c r="D192" s="58" t="inlineStr">
        <is>
          <t>재무제표 세그먼트 주석·섹션 2</t>
        </is>
      </c>
      <c r="E192" s="58" t="inlineStr">
        <is>
          <t>있음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https://www2.jpx.co.jp/disc/53330/140120261029559885.pdf</t>
        </is>
      </c>
    </row>
    <row r="5">
      <c r="A5" t="inlineStr">
        <is>
          <t>2026-08-06</t>
        </is>
      </c>
      <c r="B5" t="inlineStr">
        <is>
          <t>2027년 3월 결산기 １분기 결산단신</t>
        </is>
      </c>
      <c r="C5" t="inlineStr">
        <is>
          <t>https://www2.jpx.co.jp/disc/53330/140120260806511149.pdf</t>
        </is>
      </c>
    </row>
    <row r="6">
      <c r="A6" t="inlineStr">
        <is>
          <t>2026-07-30</t>
        </is>
      </c>
      <c r="B6" t="inlineStr">
        <is>
          <t>2027년 3월 결산기 １분기 결산단신</t>
        </is>
      </c>
      <c r="C6" t="inlineStr">
        <is>
          <t>https://www2.jpx.co.jp/disc/53330/140120260729502528.pdf</t>
        </is>
      </c>
    </row>
    <row r="7">
      <c r="A7" t="inlineStr">
        <is>
          <t>2026-04-30</t>
        </is>
      </c>
      <c r="B7" t="inlineStr">
        <is>
          <t>2026년 3월 결산기 연간 결산단신</t>
        </is>
      </c>
      <c r="C7" t="inlineStr">
        <is>
          <t>https://www2.jpx.co.jp/disc/53330/140120260427512068.pdf</t>
        </is>
      </c>
    </row>
    <row r="8">
      <c r="A8" t="inlineStr">
        <is>
          <t>2026-02-05</t>
        </is>
      </c>
      <c r="B8" t="inlineStr">
        <is>
          <t>2026년 3월 결산기 ３분기 결산단신</t>
        </is>
      </c>
      <c r="C8" t="inlineStr">
        <is>
          <t>https://www2.jpx.co.jp/disc/53330/140120260204547643.pdf</t>
        </is>
      </c>
    </row>
    <row r="9">
      <c r="A9" t="inlineStr">
        <is>
          <t>2026-01-29</t>
        </is>
      </c>
      <c r="B9" t="inlineStr">
        <is>
          <t>2026년 3월 결산기 ３분기 결산단신</t>
        </is>
      </c>
      <c r="C9" t="inlineStr">
        <is>
          <t>https://www2.jpx.co.jp/disc/53330/140120260128540156.pdf</t>
        </is>
      </c>
    </row>
    <row r="10">
      <c r="A10" t="inlineStr">
        <is>
          <t>2025-10-31</t>
        </is>
      </c>
      <c r="B10" t="inlineStr">
        <is>
          <t>2026년 3월 결산기 ２분기 결산단신</t>
        </is>
      </c>
      <c r="C10" t="inlineStr">
        <is>
          <t>https://www2.jpx.co.jp/disc/53330/140120251030583769.pdf</t>
        </is>
      </c>
    </row>
    <row r="11">
      <c r="A11" t="inlineStr">
        <is>
          <t>2025-08-07</t>
        </is>
      </c>
      <c r="B11" t="inlineStr">
        <is>
          <t>2026년 3월 결산기 １분기 결산단신</t>
        </is>
      </c>
      <c r="C11" t="inlineStr">
        <is>
          <t>https://www2.jpx.co.jp/disc/53330/140120250804528948.pdf</t>
        </is>
      </c>
    </row>
    <row r="12">
      <c r="A12" t="inlineStr">
        <is>
          <t>2025-07-31</t>
        </is>
      </c>
      <c r="B12" t="inlineStr">
        <is>
          <t>2026년 3월 결산기 １분기 결산단신</t>
        </is>
      </c>
      <c r="C12" t="inlineStr">
        <is>
          <t>https://www2.jpx.co.jp/disc/53330/140120250728521328.pdf</t>
        </is>
      </c>
    </row>
    <row r="13">
      <c r="A13" t="inlineStr">
        <is>
          <t>2025-04-28</t>
        </is>
      </c>
      <c r="B13" t="inlineStr">
        <is>
          <t>2025년 3월 결산기 연간 결산단신</t>
        </is>
      </c>
      <c r="C13" t="inlineStr">
        <is>
          <t>https://www2.jpx.co.jp/disc/53330/140120250424522848.pdf</t>
        </is>
      </c>
    </row>
    <row r="14">
      <c r="A14" t="inlineStr">
        <is>
          <t>2025-02-07</t>
        </is>
      </c>
      <c r="B14" t="inlineStr">
        <is>
          <t>2025년 3월 결산기 ３분기 결산단신</t>
        </is>
      </c>
      <c r="C14" t="inlineStr">
        <is>
          <t>https://www2.jpx.co.jp/disc/53330/140120250206565353.pdf</t>
        </is>
      </c>
    </row>
    <row r="15">
      <c r="A15" t="inlineStr">
        <is>
          <t>2025-01-31</t>
        </is>
      </c>
      <c r="B15" t="inlineStr">
        <is>
          <t>2025년 3월 결산기 ３분기 결산단신</t>
        </is>
      </c>
      <c r="C15" t="inlineStr">
        <is>
          <t>https://www2.jpx.co.jp/disc/53330/140120250130558396.pdf</t>
        </is>
      </c>
    </row>
    <row r="16">
      <c r="A16" t="inlineStr">
        <is>
          <t>2024-10-31</t>
        </is>
      </c>
      <c r="B16" t="inlineStr">
        <is>
          <t>2025년 3월 결산기 ２분기 결산단신</t>
        </is>
      </c>
      <c r="C16" t="inlineStr">
        <is>
          <t>https://www2.jpx.co.jp/disc/53330/140120241029505480.pdf</t>
        </is>
      </c>
    </row>
    <row r="17">
      <c r="A17" t="inlineStr">
        <is>
          <t>2024-08-02</t>
        </is>
      </c>
      <c r="B17" t="inlineStr">
        <is>
          <t>2025년 3월 결산기 １분기 결산단신</t>
        </is>
      </c>
      <c r="C17" t="inlineStr">
        <is>
          <t>https://www2.jpx.co.jp/disc/53330/140120240731559683.pdf</t>
        </is>
      </c>
    </row>
    <row r="18">
      <c r="A18" t="inlineStr">
        <is>
          <t>2024-07-29</t>
        </is>
      </c>
      <c r="B18" t="inlineStr">
        <is>
          <t>2025년 3월 결산기 １분기 결산단신</t>
        </is>
      </c>
      <c r="C18" t="inlineStr">
        <is>
          <t>https://www2.jpx.co.jp/disc/53330/140120240726555493.pdf</t>
        </is>
      </c>
    </row>
    <row r="19">
      <c r="A19" t="inlineStr">
        <is>
          <t>2024-04-26</t>
        </is>
      </c>
      <c r="B19" t="inlineStr">
        <is>
          <t>2024년 3월 결산기 연간 결산단신</t>
        </is>
      </c>
      <c r="C19" t="inlineStr">
        <is>
          <t>https://www2.jpx.co.jp/disc/53330/140120240425577547.pdf</t>
        </is>
      </c>
    </row>
    <row r="20">
      <c r="A20" t="inlineStr">
        <is>
          <t>2023-04-28</t>
        </is>
      </c>
      <c r="B20" t="inlineStr">
        <is>
          <t>2023년 3월 결산기 연간 결산단신</t>
        </is>
      </c>
      <c r="C20" t="inlineStr">
        <is>
          <t>https://www2.jpx.co.jp/disc/53330/140120230428556166.pdf</t>
        </is>
      </c>
    </row>
    <row r="21">
      <c r="A21" t="inlineStr">
        <is>
          <t>2022-04-28</t>
        </is>
      </c>
      <c r="B21" t="inlineStr">
        <is>
          <t>2022년 3월 결산기 연간 결산단신</t>
        </is>
      </c>
      <c r="C21" t="inlineStr">
        <is>
          <t>https://www2.jpx.co.jp/disc/53330/140120220428530564.pdf</t>
        </is>
      </c>
    </row>
    <row r="22">
      <c r="A22" t="inlineStr">
        <is>
          <t>2021-04-28</t>
        </is>
      </c>
      <c r="B22" t="inlineStr">
        <is>
          <t>2021년 3월 결산기 연간 결산단신</t>
        </is>
      </c>
      <c r="C22" t="inlineStr">
        <is>
          <t>https://www2.jpx.co.jp/disc/53330/140120210427402134.pdf</t>
        </is>
      </c>
    </row>
    <row r="23">
      <c r="A23" t="inlineStr">
        <is>
          <t>2020-05-18</t>
        </is>
      </c>
      <c r="B23" t="inlineStr">
        <is>
          <t>2020년 3월 결산기 연간 결산단신</t>
        </is>
      </c>
      <c r="C23" t="inlineStr">
        <is>
          <t>https://www2.jpx.co.jp/disc/53330/140120200518417352.pdf</t>
        </is>
      </c>
    </row>
    <row r="24">
      <c r="A24" t="inlineStr">
        <is>
          <t>2019-04-26</t>
        </is>
      </c>
      <c r="B24" t="inlineStr">
        <is>
          <t>2019년 3월 결산기 연간 결산단신</t>
        </is>
      </c>
      <c r="C24" t="inlineStr">
        <is>
          <t>https://www2.jpx.co.jp/disc/53330/140120190426412959.pdf</t>
        </is>
      </c>
    </row>
    <row r="25">
      <c r="A25" t="inlineStr">
        <is>
          <t>2018-04-27</t>
        </is>
      </c>
      <c r="B25" t="inlineStr">
        <is>
          <t>연간 결산단신</t>
        </is>
      </c>
      <c r="C25" t="inlineStr">
        <is>
          <t>https://www2.jpx.co.jp/disc/53330/140120180427423175.pdf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5333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36건(2019-04-26~2026-10-30).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/>
      <c r="D5" s="65" t="n"/>
      <c r="E5" s="65" t="n"/>
      <c r="F5" s="65" t="n"/>
      <c r="G5" s="65" t="n"/>
      <c r="H5" s="65" t="n">
        <v>1152.5</v>
      </c>
      <c r="I5" s="65" t="n">
        <v>1129.1</v>
      </c>
      <c r="J5" s="65" t="n">
        <v>1145.6</v>
      </c>
      <c r="K5" s="65" t="n">
        <v>1207.8</v>
      </c>
      <c r="L5" s="65" t="n">
        <v>1085.1</v>
      </c>
      <c r="M5" s="65" t="n">
        <v>1112.6</v>
      </c>
      <c r="N5" s="65" t="n">
        <v>1091.4</v>
      </c>
      <c r="O5" s="65" t="n">
        <v>1130.5</v>
      </c>
      <c r="P5" s="65" t="n">
        <v>830.3</v>
      </c>
      <c r="Q5" s="65" t="n">
        <v>1119.1</v>
      </c>
      <c r="R5" s="65" t="n">
        <v>1238.6</v>
      </c>
      <c r="S5" s="65" t="n">
        <v>1332.4</v>
      </c>
      <c r="T5" s="65" t="n">
        <v>1287.8</v>
      </c>
      <c r="U5" s="65" t="n">
        <v>1213.8</v>
      </c>
      <c r="V5" s="65" t="n">
        <v>1217.2</v>
      </c>
      <c r="W5" s="65" t="n">
        <v>1385.6</v>
      </c>
      <c r="X5" s="65" t="n">
        <v>1310</v>
      </c>
      <c r="Y5" s="65" t="n">
        <v>1436.9</v>
      </c>
      <c r="Z5" s="65" t="n">
        <v>1403.9</v>
      </c>
      <c r="AA5" s="65" t="n">
        <v>1441.6</v>
      </c>
      <c r="AB5" s="65" t="n">
        <v>1413.3</v>
      </c>
      <c r="AC5" s="65" t="n">
        <v>1415.5</v>
      </c>
      <c r="AD5" s="65" t="n">
        <v>1396.4</v>
      </c>
      <c r="AE5" s="65" t="n">
        <v>1563.9</v>
      </c>
      <c r="AF5" s="65" t="n">
        <v>1525.2</v>
      </c>
      <c r="AG5" s="65" t="n">
        <v>1458.3</v>
      </c>
      <c r="AH5" s="65" t="n">
        <v>1571</v>
      </c>
      <c r="AI5" s="65" t="n">
        <v>1640.6</v>
      </c>
      <c r="AJ5" s="65" t="n">
        <v>1664.6</v>
      </c>
      <c r="AK5" s="65" t="n">
        <v>1597.5</v>
      </c>
      <c r="AL5" s="65" t="n">
        <v>1617</v>
      </c>
      <c r="AM5" s="65" t="n">
        <v>1822.2</v>
      </c>
      <c r="AN5" s="65" t="n">
        <v>1841.5</v>
      </c>
      <c r="AO5" s="65" t="n">
        <v>1871.6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>
        <v>-5.8</v>
      </c>
      <c r="M6" s="66" t="n">
        <v>-1.5</v>
      </c>
      <c r="N6" s="66" t="n">
        <v>-4.7</v>
      </c>
      <c r="O6" s="66" t="n">
        <v>-6.4</v>
      </c>
      <c r="P6" s="66" t="n">
        <v>-23.5</v>
      </c>
      <c r="Q6" s="66" t="n">
        <v>0.6</v>
      </c>
      <c r="R6" s="66" t="n">
        <v>13.5</v>
      </c>
      <c r="S6" s="66" t="n">
        <v>17.9</v>
      </c>
      <c r="T6" s="66" t="n">
        <v>55.1</v>
      </c>
      <c r="U6" s="66" t="n">
        <v>8.5</v>
      </c>
      <c r="V6" s="66" t="n">
        <v>-1.7</v>
      </c>
      <c r="W6" s="66" t="n">
        <v>4</v>
      </c>
      <c r="X6" s="66" t="n">
        <v>1.7</v>
      </c>
      <c r="Y6" s="66" t="n">
        <v>18.4</v>
      </c>
      <c r="Z6" s="66" t="n">
        <v>15.3</v>
      </c>
      <c r="AA6" s="66" t="n">
        <v>4</v>
      </c>
      <c r="AB6" s="66" t="n">
        <v>7.9</v>
      </c>
      <c r="AC6" s="66" t="n">
        <v>-1.5</v>
      </c>
      <c r="AD6" s="66" t="n">
        <v>-0.5</v>
      </c>
      <c r="AE6" s="66" t="n">
        <v>8.5</v>
      </c>
      <c r="AF6" s="66" t="n">
        <v>7.9</v>
      </c>
      <c r="AG6" s="66" t="n">
        <v>3</v>
      </c>
      <c r="AH6" s="66" t="n">
        <v>12.5</v>
      </c>
      <c r="AI6" s="66" t="n">
        <v>4.9</v>
      </c>
      <c r="AJ6" s="66" t="n">
        <v>9.1</v>
      </c>
      <c r="AK6" s="66" t="n">
        <v>9.5</v>
      </c>
      <c r="AL6" s="66" t="n">
        <v>2.9</v>
      </c>
      <c r="AM6" s="66" t="n">
        <v>11.1</v>
      </c>
      <c r="AN6" s="66" t="n">
        <v>10.6</v>
      </c>
      <c r="AO6" s="66" t="n">
        <v>17.2</v>
      </c>
    </row>
    <row r="7">
      <c r="A7" s="64" t="inlineStr">
        <is>
          <t>영업이익</t>
        </is>
      </c>
      <c r="B7" s="65" t="n"/>
      <c r="C7" s="65" t="n"/>
      <c r="D7" s="65" t="n"/>
      <c r="E7" s="65" t="n"/>
      <c r="F7" s="65" t="n"/>
      <c r="G7" s="65" t="n"/>
      <c r="H7" s="65" t="n">
        <v>191.1</v>
      </c>
      <c r="I7" s="65" t="n">
        <v>166.2</v>
      </c>
      <c r="J7" s="65" t="n">
        <v>170.6</v>
      </c>
      <c r="K7" s="65" t="n">
        <v>119.2</v>
      </c>
      <c r="L7" s="65" t="n">
        <v>162</v>
      </c>
      <c r="M7" s="65" t="n">
        <v>154.4</v>
      </c>
      <c r="N7" s="65" t="n">
        <v>132.8</v>
      </c>
      <c r="O7" s="65" t="n">
        <v>100.7</v>
      </c>
      <c r="P7" s="65" t="n">
        <v>-2.8</v>
      </c>
      <c r="Q7" s="65" t="n">
        <v>118.6</v>
      </c>
      <c r="R7" s="65" t="n">
        <v>218.7</v>
      </c>
      <c r="S7" s="65" t="n">
        <v>173.8</v>
      </c>
      <c r="T7" s="65" t="n">
        <v>236.4</v>
      </c>
      <c r="U7" s="65" t="n">
        <v>222.9</v>
      </c>
      <c r="V7" s="65" t="n">
        <v>186.2</v>
      </c>
      <c r="W7" s="65" t="n">
        <v>189.8</v>
      </c>
      <c r="X7" s="65" t="n">
        <v>206.3</v>
      </c>
      <c r="Y7" s="65" t="n">
        <v>181.7</v>
      </c>
      <c r="Z7" s="65" t="n">
        <v>187.8</v>
      </c>
      <c r="AA7" s="65" t="n">
        <v>91.7</v>
      </c>
      <c r="AB7" s="65" t="n">
        <v>185.6</v>
      </c>
      <c r="AC7" s="65" t="n">
        <v>139.2</v>
      </c>
      <c r="AD7" s="65" t="n">
        <v>178.3</v>
      </c>
      <c r="AE7" s="65" t="n">
        <v>160.8</v>
      </c>
      <c r="AF7" s="65" t="n">
        <v>176.6</v>
      </c>
      <c r="AG7" s="65" t="n">
        <v>220.4</v>
      </c>
      <c r="AH7" s="65" t="n">
        <v>227.1</v>
      </c>
      <c r="AI7" s="65" t="n">
        <v>188.3</v>
      </c>
      <c r="AJ7" s="65" t="n">
        <v>237.8</v>
      </c>
      <c r="AK7" s="65" t="n">
        <v>249.2</v>
      </c>
      <c r="AL7" s="65" t="n">
        <v>243.5</v>
      </c>
      <c r="AM7" s="65" t="n">
        <v>219.5</v>
      </c>
      <c r="AN7" s="65" t="n">
        <v>326.3</v>
      </c>
      <c r="AO7" s="65" t="n">
        <v>372.6</v>
      </c>
    </row>
    <row r="8">
      <c r="A8" s="64" t="inlineStr">
        <is>
          <t>영업이익률</t>
        </is>
      </c>
      <c r="B8" s="66" t="n"/>
      <c r="C8" s="66" t="n"/>
      <c r="D8" s="66" t="n"/>
      <c r="E8" s="66" t="n"/>
      <c r="F8" s="66" t="n"/>
      <c r="G8" s="66" t="n"/>
      <c r="H8" s="66" t="n">
        <v>16.6</v>
      </c>
      <c r="I8" s="66" t="n">
        <v>14.7</v>
      </c>
      <c r="J8" s="66" t="n">
        <v>14.9</v>
      </c>
      <c r="K8" s="66" t="n">
        <v>9.9</v>
      </c>
      <c r="L8" s="66" t="n">
        <v>14.9</v>
      </c>
      <c r="M8" s="66" t="n">
        <v>13.9</v>
      </c>
      <c r="N8" s="66" t="n">
        <v>12.2</v>
      </c>
      <c r="O8" s="66" t="n">
        <v>8.9</v>
      </c>
      <c r="P8" s="66" t="n">
        <v>-0.3</v>
      </c>
      <c r="Q8" s="66" t="n">
        <v>10.6</v>
      </c>
      <c r="R8" s="66" t="n">
        <v>17.7</v>
      </c>
      <c r="S8" s="66" t="n">
        <v>13</v>
      </c>
      <c r="T8" s="66" t="n">
        <v>18.4</v>
      </c>
      <c r="U8" s="66" t="n">
        <v>18.4</v>
      </c>
      <c r="V8" s="66" t="n">
        <v>15.3</v>
      </c>
      <c r="W8" s="66" t="n">
        <v>13.7</v>
      </c>
      <c r="X8" s="66" t="n">
        <v>15.7</v>
      </c>
      <c r="Y8" s="66" t="n">
        <v>12.6</v>
      </c>
      <c r="Z8" s="66" t="n">
        <v>13.4</v>
      </c>
      <c r="AA8" s="66" t="n">
        <v>6.4</v>
      </c>
      <c r="AB8" s="66" t="n">
        <v>13.1</v>
      </c>
      <c r="AC8" s="66" t="n">
        <v>9.800000000000001</v>
      </c>
      <c r="AD8" s="66" t="n">
        <v>12.8</v>
      </c>
      <c r="AE8" s="66" t="n">
        <v>10.3</v>
      </c>
      <c r="AF8" s="66" t="n">
        <v>11.6</v>
      </c>
      <c r="AG8" s="66" t="n">
        <v>15.1</v>
      </c>
      <c r="AH8" s="66" t="n">
        <v>14.5</v>
      </c>
      <c r="AI8" s="66" t="n">
        <v>11.5</v>
      </c>
      <c r="AJ8" s="66" t="n">
        <v>14.3</v>
      </c>
      <c r="AK8" s="66" t="n">
        <v>15.6</v>
      </c>
      <c r="AL8" s="66" t="n">
        <v>15.1</v>
      </c>
      <c r="AM8" s="66" t="n">
        <v>12</v>
      </c>
      <c r="AN8" s="66" t="n">
        <v>17.7</v>
      </c>
      <c r="AO8" s="66" t="n">
        <v>19.9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>
        <v>-15.2</v>
      </c>
      <c r="M9" s="66" t="n">
        <v>-7.1</v>
      </c>
      <c r="N9" s="66" t="n">
        <v>-22.2</v>
      </c>
      <c r="O9" s="66" t="n">
        <v>-15.5</v>
      </c>
      <c r="P9" s="66" t="n">
        <v>-101.7</v>
      </c>
      <c r="Q9" s="66" t="n">
        <v>-23.2</v>
      </c>
      <c r="R9" s="66" t="n">
        <v>64.7</v>
      </c>
      <c r="S9" s="66" t="n">
        <v>72.59999999999999</v>
      </c>
      <c r="T9" s="66" t="n"/>
      <c r="U9" s="66" t="n">
        <v>87.90000000000001</v>
      </c>
      <c r="V9" s="66" t="n">
        <v>-14.9</v>
      </c>
      <c r="W9" s="66" t="n">
        <v>9.199999999999999</v>
      </c>
      <c r="X9" s="66" t="n">
        <v>-12.7</v>
      </c>
      <c r="Y9" s="66" t="n">
        <v>-18.5</v>
      </c>
      <c r="Z9" s="66" t="n">
        <v>0.9</v>
      </c>
      <c r="AA9" s="66" t="n">
        <v>-51.7</v>
      </c>
      <c r="AB9" s="66" t="n">
        <v>-10</v>
      </c>
      <c r="AC9" s="66" t="n">
        <v>-23.4</v>
      </c>
      <c r="AD9" s="66" t="n">
        <v>-5.1</v>
      </c>
      <c r="AE9" s="66" t="n">
        <v>75.40000000000001</v>
      </c>
      <c r="AF9" s="66" t="n">
        <v>-4.8</v>
      </c>
      <c r="AG9" s="66" t="n">
        <v>58.3</v>
      </c>
      <c r="AH9" s="66" t="n">
        <v>27.4</v>
      </c>
      <c r="AI9" s="66" t="n">
        <v>17.1</v>
      </c>
      <c r="AJ9" s="66" t="n">
        <v>34.7</v>
      </c>
      <c r="AK9" s="66" t="n">
        <v>13.1</v>
      </c>
      <c r="AL9" s="66" t="n">
        <v>7.2</v>
      </c>
      <c r="AM9" s="66" t="n">
        <v>16.6</v>
      </c>
      <c r="AN9" s="66" t="n">
        <v>37.2</v>
      </c>
      <c r="AO9" s="66" t="n">
        <v>49.5</v>
      </c>
    </row>
    <row r="10">
      <c r="A10" s="64" t="inlineStr">
        <is>
          <t>유동자산</t>
        </is>
      </c>
      <c r="B10" s="65" t="n"/>
      <c r="C10" s="65" t="n"/>
      <c r="D10" s="65" t="n"/>
      <c r="E10" s="65" t="n"/>
      <c r="F10" s="65" t="n"/>
      <c r="G10" s="65" t="n">
        <v>4559.3</v>
      </c>
      <c r="H10" s="65" t="n"/>
      <c r="I10" s="65" t="n"/>
      <c r="J10" s="65" t="n"/>
      <c r="K10" s="65" t="n">
        <v>4433.7</v>
      </c>
      <c r="L10" s="65" t="n">
        <v>4265.9</v>
      </c>
      <c r="M10" s="65" t="n">
        <v>4267</v>
      </c>
      <c r="N10" s="65" t="n">
        <v>4049.8</v>
      </c>
      <c r="O10" s="65" t="n">
        <v>3983.7</v>
      </c>
      <c r="P10" s="65" t="n">
        <v>3932.8</v>
      </c>
      <c r="Q10" s="65" t="n">
        <v>4092.9</v>
      </c>
      <c r="R10" s="65" t="n">
        <v>4249.6</v>
      </c>
      <c r="S10" s="65" t="n">
        <v>4579.4</v>
      </c>
      <c r="T10" s="65" t="n">
        <v>4614.4</v>
      </c>
      <c r="U10" s="65" t="n">
        <v>4588.4</v>
      </c>
      <c r="V10" s="65" t="n">
        <v>4811.8</v>
      </c>
      <c r="W10" s="65" t="n">
        <v>5273.9</v>
      </c>
      <c r="X10" s="65" t="n">
        <v>5297.8</v>
      </c>
      <c r="Y10" s="65" t="n">
        <v>5510</v>
      </c>
      <c r="Z10" s="65" t="n">
        <v>5623</v>
      </c>
      <c r="AA10" s="65" t="n">
        <v>5737.2</v>
      </c>
      <c r="AB10" s="65" t="n">
        <v>5845.7</v>
      </c>
      <c r="AC10" s="65" t="n">
        <v>6084.7</v>
      </c>
      <c r="AD10" s="65" t="n">
        <v>6098.1</v>
      </c>
      <c r="AE10" s="65" t="n">
        <v>6421.5</v>
      </c>
      <c r="AF10" s="65" t="n">
        <v>6574.6</v>
      </c>
      <c r="AG10" s="65" t="n">
        <v>6400.4</v>
      </c>
      <c r="AH10" s="65" t="n">
        <v>6768.5</v>
      </c>
      <c r="AI10" s="65" t="n">
        <v>6688.7</v>
      </c>
      <c r="AJ10" s="65" t="n">
        <v>6571.8</v>
      </c>
      <c r="AK10" s="65" t="n">
        <v>6833.9</v>
      </c>
      <c r="AL10" s="65" t="n">
        <v>6919.4</v>
      </c>
      <c r="AM10" s="65" t="n">
        <v>7306.4</v>
      </c>
      <c r="AN10" s="65" t="n">
        <v>6926.4</v>
      </c>
      <c r="AO10" s="65" t="n">
        <v>7177.9</v>
      </c>
    </row>
    <row r="11">
      <c r="A11" s="64" t="inlineStr">
        <is>
          <t>유동부채</t>
        </is>
      </c>
      <c r="B11" s="65" t="n"/>
      <c r="C11" s="65" t="n"/>
      <c r="D11" s="65" t="n"/>
      <c r="E11" s="65" t="n"/>
      <c r="F11" s="65" t="n"/>
      <c r="G11" s="65" t="n">
        <v>1269</v>
      </c>
      <c r="H11" s="65" t="n"/>
      <c r="I11" s="65" t="n"/>
      <c r="J11" s="65" t="n"/>
      <c r="K11" s="65" t="n">
        <v>1477.9</v>
      </c>
      <c r="L11" s="65" t="n">
        <v>1387.9</v>
      </c>
      <c r="M11" s="65" t="n">
        <v>1402.1</v>
      </c>
      <c r="N11" s="65" t="n">
        <v>1127.1</v>
      </c>
      <c r="O11" s="65" t="n">
        <v>1142.9</v>
      </c>
      <c r="P11" s="65" t="n">
        <v>1013.6</v>
      </c>
      <c r="Q11" s="65" t="n">
        <v>1217.4</v>
      </c>
      <c r="R11" s="65" t="n">
        <v>1218.2</v>
      </c>
      <c r="S11" s="65" t="n">
        <v>1359.9</v>
      </c>
      <c r="T11" s="65" t="n">
        <v>1445.1</v>
      </c>
      <c r="U11" s="65" t="n">
        <v>1339.2</v>
      </c>
      <c r="V11" s="65" t="n">
        <v>1364.6</v>
      </c>
      <c r="W11" s="65" t="n">
        <v>1517.9</v>
      </c>
      <c r="X11" s="65" t="n">
        <v>1331</v>
      </c>
      <c r="Y11" s="65" t="n">
        <v>1361.3</v>
      </c>
      <c r="Z11" s="65" t="n">
        <v>1267.8</v>
      </c>
      <c r="AA11" s="65" t="n">
        <v>1495.1</v>
      </c>
      <c r="AB11" s="65" t="n">
        <v>1502.5</v>
      </c>
      <c r="AC11" s="65" t="n">
        <v>1611.9</v>
      </c>
      <c r="AD11" s="65" t="n">
        <v>1586.5</v>
      </c>
      <c r="AE11" s="65" t="n">
        <v>1758</v>
      </c>
      <c r="AF11" s="65" t="n">
        <v>1785.2</v>
      </c>
      <c r="AG11" s="65" t="n">
        <v>1763.1</v>
      </c>
      <c r="AH11" s="65" t="n">
        <v>1886.1</v>
      </c>
      <c r="AI11" s="65" t="n">
        <v>1789.1</v>
      </c>
      <c r="AJ11" s="65" t="n">
        <v>1645.2</v>
      </c>
      <c r="AK11" s="65" t="n">
        <v>1578.5</v>
      </c>
      <c r="AL11" s="65" t="n">
        <v>1331.5</v>
      </c>
      <c r="AM11" s="65" t="n">
        <v>1670.6</v>
      </c>
      <c r="AN11" s="65" t="n">
        <v>1441.7</v>
      </c>
      <c r="AO11" s="65" t="n">
        <v>1518.6</v>
      </c>
    </row>
    <row r="12">
      <c r="A12" s="64" t="inlineStr">
        <is>
          <t>부채총계</t>
        </is>
      </c>
      <c r="B12" s="65" t="n"/>
      <c r="C12" s="65" t="n"/>
      <c r="D12" s="65" t="n"/>
      <c r="E12" s="65" t="n"/>
      <c r="F12" s="65" t="n"/>
      <c r="G12" s="65" t="n">
        <v>3533.8</v>
      </c>
      <c r="H12" s="65" t="n"/>
      <c r="I12" s="65" t="n"/>
      <c r="J12" s="65" t="n"/>
      <c r="K12" s="65" t="n">
        <v>3743.9</v>
      </c>
      <c r="L12" s="65" t="n">
        <v>3708</v>
      </c>
      <c r="M12" s="65" t="n">
        <v>3775.3</v>
      </c>
      <c r="N12" s="65" t="n">
        <v>3623.8</v>
      </c>
      <c r="O12" s="65" t="n">
        <v>3639.7</v>
      </c>
      <c r="P12" s="65" t="n">
        <v>3698.5</v>
      </c>
      <c r="Q12" s="65" t="n">
        <v>3785.1</v>
      </c>
      <c r="R12" s="65" t="n">
        <v>3757.4</v>
      </c>
      <c r="S12" s="65" t="n">
        <v>3910.7</v>
      </c>
      <c r="T12" s="65" t="n">
        <v>3836.3</v>
      </c>
      <c r="U12" s="65" t="n">
        <v>3656.6</v>
      </c>
      <c r="V12" s="65" t="n">
        <v>3778.6</v>
      </c>
      <c r="W12" s="65" t="n">
        <v>3932.4</v>
      </c>
      <c r="X12" s="65" t="n">
        <v>3736.2</v>
      </c>
      <c r="Y12" s="65" t="n">
        <v>3754.1</v>
      </c>
      <c r="Z12" s="65" t="n">
        <v>3802.8</v>
      </c>
      <c r="AA12" s="65" t="n">
        <v>3867.2</v>
      </c>
      <c r="AB12" s="65" t="n">
        <v>3871.4</v>
      </c>
      <c r="AC12" s="65" t="n">
        <v>3958.8</v>
      </c>
      <c r="AD12" s="65" t="n">
        <v>4074</v>
      </c>
      <c r="AE12" s="65" t="n">
        <v>4243.5</v>
      </c>
      <c r="AF12" s="65" t="n">
        <v>4210.2</v>
      </c>
      <c r="AG12" s="65" t="n">
        <v>4086</v>
      </c>
      <c r="AH12" s="65" t="n">
        <v>4278</v>
      </c>
      <c r="AI12" s="65" t="n">
        <v>4154.8</v>
      </c>
      <c r="AJ12" s="65" t="n">
        <v>3977.2</v>
      </c>
      <c r="AK12" s="65" t="n">
        <v>4157.4</v>
      </c>
      <c r="AL12" s="65" t="n">
        <v>4168.2</v>
      </c>
      <c r="AM12" s="65" t="n">
        <v>4259.8</v>
      </c>
      <c r="AN12" s="65" t="n">
        <v>4040.2</v>
      </c>
      <c r="AO12" s="65" t="n">
        <v>4070.8</v>
      </c>
    </row>
    <row r="13">
      <c r="A13" s="64" t="inlineStr">
        <is>
          <t>자기자본</t>
        </is>
      </c>
      <c r="B13" s="66" t="n"/>
      <c r="C13" s="66" t="n"/>
      <c r="D13" s="66" t="n"/>
      <c r="E13" s="66" t="n"/>
      <c r="F13" s="66" t="n"/>
      <c r="G13" s="66" t="n">
        <v>4728.6</v>
      </c>
      <c r="H13" s="66" t="n"/>
      <c r="I13" s="66" t="n"/>
      <c r="J13" s="66" t="n"/>
      <c r="K13" s="66" t="n">
        <v>4892.4</v>
      </c>
      <c r="L13" s="66" t="n">
        <v>4840.7</v>
      </c>
      <c r="M13" s="66" t="n">
        <v>4872</v>
      </c>
      <c r="N13" s="66" t="n">
        <v>4916.8</v>
      </c>
      <c r="O13" s="66" t="n">
        <v>4691.2</v>
      </c>
      <c r="P13" s="66" t="n">
        <v>4627.1</v>
      </c>
      <c r="Q13" s="66" t="n">
        <v>4736.2</v>
      </c>
      <c r="R13" s="66" t="n">
        <v>4936.3</v>
      </c>
      <c r="S13" s="66" t="n">
        <v>5178.9</v>
      </c>
      <c r="T13" s="66" t="n">
        <v>5209.4</v>
      </c>
      <c r="U13" s="66" t="n">
        <v>5353.4</v>
      </c>
      <c r="V13" s="66" t="n">
        <v>5463.7</v>
      </c>
      <c r="W13" s="66" t="n">
        <v>5895.9</v>
      </c>
      <c r="X13" s="66" t="n">
        <v>6195</v>
      </c>
      <c r="Y13" s="66" t="n">
        <v>6399.2</v>
      </c>
      <c r="Z13" s="66" t="n">
        <v>6332.2</v>
      </c>
      <c r="AA13" s="66" t="n">
        <v>6424.5</v>
      </c>
      <c r="AB13" s="66" t="n">
        <v>6720.3</v>
      </c>
      <c r="AC13" s="66" t="n">
        <v>6871.1</v>
      </c>
      <c r="AD13" s="66" t="n">
        <v>6680.8</v>
      </c>
      <c r="AE13" s="66" t="n">
        <v>7032.2</v>
      </c>
      <c r="AF13" s="66" t="n">
        <v>7274.7</v>
      </c>
      <c r="AG13" s="66" t="n">
        <v>6972.4</v>
      </c>
      <c r="AH13" s="66" t="n">
        <v>7253.5</v>
      </c>
      <c r="AI13" s="66" t="n">
        <v>7275.1</v>
      </c>
      <c r="AJ13" s="66" t="n">
        <v>7395.5</v>
      </c>
      <c r="AK13" s="66" t="n">
        <v>7656.4</v>
      </c>
      <c r="AL13" s="66" t="n">
        <v>7899.8</v>
      </c>
      <c r="AM13" s="66" t="n">
        <v>8173.5</v>
      </c>
      <c r="AN13" s="66" t="n">
        <v>8184.2</v>
      </c>
      <c r="AO13" s="66" t="n">
        <v>8303.799999999999</v>
      </c>
    </row>
    <row r="14">
      <c r="A14" s="64" t="inlineStr">
        <is>
          <t>유동비율</t>
        </is>
      </c>
      <c r="B14" s="66" t="n"/>
      <c r="C14" s="66" t="n"/>
      <c r="D14" s="66" t="n"/>
      <c r="E14" s="66" t="n"/>
      <c r="F14" s="66" t="n"/>
      <c r="G14" s="66" t="n">
        <v>359.3</v>
      </c>
      <c r="H14" s="66" t="n"/>
      <c r="I14" s="66" t="n"/>
      <c r="J14" s="66" t="n"/>
      <c r="K14" s="66" t="n">
        <v>300</v>
      </c>
      <c r="L14" s="66" t="n">
        <v>307.4</v>
      </c>
      <c r="M14" s="66" t="n">
        <v>304.3</v>
      </c>
      <c r="N14" s="66" t="n">
        <v>359.3</v>
      </c>
      <c r="O14" s="66" t="n">
        <v>348.6</v>
      </c>
      <c r="P14" s="66" t="n">
        <v>388</v>
      </c>
      <c r="Q14" s="66" t="n">
        <v>336.2</v>
      </c>
      <c r="R14" s="66" t="n">
        <v>348.8</v>
      </c>
      <c r="S14" s="66" t="n">
        <v>336.7</v>
      </c>
      <c r="T14" s="66" t="n">
        <v>319.3</v>
      </c>
      <c r="U14" s="66" t="n">
        <v>342.6</v>
      </c>
      <c r="V14" s="66" t="n">
        <v>352.6</v>
      </c>
      <c r="W14" s="66" t="n">
        <v>347.4</v>
      </c>
      <c r="X14" s="66" t="n">
        <v>398</v>
      </c>
      <c r="Y14" s="66" t="n">
        <v>404.8</v>
      </c>
      <c r="Z14" s="66" t="n">
        <v>443.5</v>
      </c>
      <c r="AA14" s="66" t="n">
        <v>383.7</v>
      </c>
      <c r="AB14" s="66" t="n">
        <v>389.1</v>
      </c>
      <c r="AC14" s="66" t="n">
        <v>377.5</v>
      </c>
      <c r="AD14" s="66" t="n">
        <v>384.4</v>
      </c>
      <c r="AE14" s="66" t="n">
        <v>365.3</v>
      </c>
      <c r="AF14" s="66" t="n">
        <v>368.3</v>
      </c>
      <c r="AG14" s="66" t="n">
        <v>363</v>
      </c>
      <c r="AH14" s="66" t="n">
        <v>358.9</v>
      </c>
      <c r="AI14" s="66" t="n">
        <v>373.9</v>
      </c>
      <c r="AJ14" s="66" t="n">
        <v>399.5</v>
      </c>
      <c r="AK14" s="66" t="n">
        <v>432.9</v>
      </c>
      <c r="AL14" s="66" t="n">
        <v>519.7</v>
      </c>
      <c r="AM14" s="66" t="n">
        <v>437.4</v>
      </c>
      <c r="AN14" s="66" t="n">
        <v>480.4</v>
      </c>
      <c r="AO14" s="66" t="n">
        <v>472.7</v>
      </c>
    </row>
    <row r="15">
      <c r="A15" s="64" t="inlineStr">
        <is>
          <t>부채비율</t>
        </is>
      </c>
      <c r="B15" s="66" t="n"/>
      <c r="C15" s="66" t="n"/>
      <c r="D15" s="66" t="n"/>
      <c r="E15" s="66" t="n"/>
      <c r="F15" s="66" t="n"/>
      <c r="G15" s="66" t="n">
        <v>74.7</v>
      </c>
      <c r="H15" s="66" t="n"/>
      <c r="I15" s="66" t="n"/>
      <c r="J15" s="66" t="n"/>
      <c r="K15" s="66" t="n">
        <v>76.5</v>
      </c>
      <c r="L15" s="66" t="n">
        <v>76.59999999999999</v>
      </c>
      <c r="M15" s="66" t="n">
        <v>77.5</v>
      </c>
      <c r="N15" s="66" t="n">
        <v>73.7</v>
      </c>
      <c r="O15" s="66" t="n">
        <v>77.59999999999999</v>
      </c>
      <c r="P15" s="66" t="n">
        <v>79.90000000000001</v>
      </c>
      <c r="Q15" s="66" t="n">
        <v>79.90000000000001</v>
      </c>
      <c r="R15" s="66" t="n">
        <v>76.09999999999999</v>
      </c>
      <c r="S15" s="66" t="n">
        <v>75.5</v>
      </c>
      <c r="T15" s="66" t="n">
        <v>73.59999999999999</v>
      </c>
      <c r="U15" s="66" t="n">
        <v>68.3</v>
      </c>
      <c r="V15" s="66" t="n">
        <v>69.2</v>
      </c>
      <c r="W15" s="66" t="n">
        <v>66.7</v>
      </c>
      <c r="X15" s="66" t="n">
        <v>60.3</v>
      </c>
      <c r="Y15" s="66" t="n">
        <v>58.7</v>
      </c>
      <c r="Z15" s="66" t="n">
        <v>60.1</v>
      </c>
      <c r="AA15" s="66" t="n">
        <v>60.2</v>
      </c>
      <c r="AB15" s="66" t="n">
        <v>57.6</v>
      </c>
      <c r="AC15" s="66" t="n">
        <v>57.6</v>
      </c>
      <c r="AD15" s="66" t="n">
        <v>61</v>
      </c>
      <c r="AE15" s="66" t="n">
        <v>60.3</v>
      </c>
      <c r="AF15" s="66" t="n">
        <v>57.9</v>
      </c>
      <c r="AG15" s="66" t="n">
        <v>58.6</v>
      </c>
      <c r="AH15" s="66" t="n">
        <v>59</v>
      </c>
      <c r="AI15" s="66" t="n">
        <v>57.1</v>
      </c>
      <c r="AJ15" s="66" t="n">
        <v>53.8</v>
      </c>
      <c r="AK15" s="66" t="n">
        <v>54.3</v>
      </c>
      <c r="AL15" s="66" t="n">
        <v>52.8</v>
      </c>
      <c r="AM15" s="66" t="n">
        <v>52.1</v>
      </c>
      <c r="AN15" s="66" t="n">
        <v>49.4</v>
      </c>
      <c r="AO15" s="66" t="n">
        <v>49</v>
      </c>
    </row>
    <row r="16">
      <c r="A16" s="64" t="inlineStr">
        <is>
          <t>순차입금/자기자본</t>
        </is>
      </c>
      <c r="B16" s="66" t="n"/>
      <c r="C16" s="66" t="n"/>
      <c r="D16" s="66" t="n"/>
      <c r="E16" s="66" t="n"/>
      <c r="F16" s="66" t="n"/>
      <c r="G16" s="66" t="n">
        <v>16.4</v>
      </c>
      <c r="H16" s="66" t="n"/>
      <c r="I16" s="66" t="n"/>
      <c r="J16" s="66" t="n"/>
      <c r="K16" s="66" t="n">
        <v>27</v>
      </c>
      <c r="L16" s="66" t="n">
        <v>28.3</v>
      </c>
      <c r="M16" s="66" t="n">
        <v>31</v>
      </c>
      <c r="N16" s="66" t="n">
        <v>29.6</v>
      </c>
      <c r="O16" s="66" t="n">
        <v>32.9</v>
      </c>
      <c r="P16" s="66" t="n">
        <v>34.1</v>
      </c>
      <c r="Q16" s="66" t="n">
        <v>34.6</v>
      </c>
      <c r="R16" s="66" t="n">
        <v>29.8</v>
      </c>
      <c r="S16" s="66" t="n">
        <v>25.7</v>
      </c>
      <c r="T16" s="66" t="n">
        <v>21.3</v>
      </c>
      <c r="U16" s="66" t="n">
        <v>20.6</v>
      </c>
      <c r="V16" s="66" t="n">
        <v>19.7</v>
      </c>
      <c r="W16" s="66" t="n">
        <v>19.2</v>
      </c>
      <c r="X16" s="66" t="n">
        <v>14.4</v>
      </c>
      <c r="Y16" s="66" t="n">
        <v>15</v>
      </c>
      <c r="Z16" s="66" t="n">
        <v>15.6</v>
      </c>
      <c r="AA16" s="66" t="n">
        <v>13.2</v>
      </c>
      <c r="AB16" s="66" t="n">
        <v>11.1</v>
      </c>
      <c r="AC16" s="66" t="n">
        <v>8.6</v>
      </c>
      <c r="AD16" s="66" t="n">
        <v>11</v>
      </c>
      <c r="AE16" s="66" t="n">
        <v>9.5</v>
      </c>
      <c r="AF16" s="66" t="n">
        <v>8.9</v>
      </c>
      <c r="AG16" s="66" t="n">
        <v>6.7</v>
      </c>
      <c r="AH16" s="66" t="n">
        <v>9.5</v>
      </c>
      <c r="AI16" s="66" t="n">
        <v>7.5</v>
      </c>
      <c r="AJ16" s="66" t="n">
        <v>4.9</v>
      </c>
      <c r="AK16" s="66" t="n">
        <v>5.6</v>
      </c>
      <c r="AL16" s="66" t="n">
        <v>3.9</v>
      </c>
      <c r="AM16" s="66" t="n">
        <v>5.7</v>
      </c>
      <c r="AN16" s="66" t="n">
        <v>5.5</v>
      </c>
      <c r="AO16" s="66" t="n">
        <v>4.3</v>
      </c>
    </row>
    <row r="17">
      <c r="A17" s="64" t="inlineStr">
        <is>
          <t>재고자산</t>
        </is>
      </c>
      <c r="B17" s="65" t="n"/>
      <c r="C17" s="65" t="n"/>
      <c r="D17" s="65" t="n"/>
      <c r="E17" s="65" t="n"/>
      <c r="F17" s="65" t="n"/>
      <c r="G17" s="65" t="n">
        <v>1308.2</v>
      </c>
      <c r="H17" s="65" t="n"/>
      <c r="I17" s="65" t="n"/>
      <c r="J17" s="65" t="n"/>
      <c r="K17" s="65" t="n">
        <v>1480.3</v>
      </c>
      <c r="L17" s="65" t="n">
        <v>1573.6</v>
      </c>
      <c r="M17" s="65" t="n">
        <v>1606.6</v>
      </c>
      <c r="N17" s="65" t="n">
        <v>1649</v>
      </c>
      <c r="O17" s="65" t="n">
        <v>1573.9</v>
      </c>
      <c r="P17" s="65" t="n">
        <v>1659.6</v>
      </c>
      <c r="Q17" s="65" t="n">
        <v>1560.3</v>
      </c>
      <c r="R17" s="65" t="n">
        <v>1535.5</v>
      </c>
      <c r="S17" s="65" t="n">
        <v>1504.7</v>
      </c>
      <c r="T17" s="65" t="n">
        <v>1543.3</v>
      </c>
      <c r="U17" s="65" t="n">
        <v>1642.9</v>
      </c>
      <c r="V17" s="65" t="n">
        <v>1803.7</v>
      </c>
      <c r="W17" s="65" t="n">
        <v>1883.4</v>
      </c>
      <c r="X17" s="65" t="n">
        <v>2106.1</v>
      </c>
      <c r="Y17" s="65" t="n">
        <v>2203.1</v>
      </c>
      <c r="Z17" s="65" t="n">
        <v>2231.4</v>
      </c>
      <c r="AA17" s="65" t="n">
        <v>2144.2</v>
      </c>
      <c r="AB17" s="65" t="n">
        <v>2240.3</v>
      </c>
      <c r="AC17" s="65" t="n">
        <v>2297.5</v>
      </c>
      <c r="AD17" s="65" t="n">
        <v>2358.1</v>
      </c>
      <c r="AE17" s="65" t="n">
        <v>2390.6</v>
      </c>
      <c r="AF17" s="65" t="n">
        <v>2487.5</v>
      </c>
      <c r="AG17" s="65" t="n">
        <v>2453.1</v>
      </c>
      <c r="AH17" s="65" t="n">
        <v>2545.7</v>
      </c>
      <c r="AI17" s="65" t="n">
        <v>2419.4</v>
      </c>
      <c r="AJ17" s="65" t="n">
        <v>2331.7</v>
      </c>
      <c r="AK17" s="65" t="n">
        <v>2310.4</v>
      </c>
      <c r="AL17" s="65" t="n">
        <v>2430.8</v>
      </c>
      <c r="AM17" s="65" t="n">
        <v>2328.3</v>
      </c>
      <c r="AN17" s="65" t="n">
        <v>2387</v>
      </c>
      <c r="AO17" s="65" t="n">
        <v>2497.3</v>
      </c>
    </row>
    <row r="18">
      <c r="A18" s="64" t="inlineStr">
        <is>
          <t>재고자산 회전일수</t>
        </is>
      </c>
      <c r="B18" s="65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65" t="n">
        <v>153</v>
      </c>
      <c r="L18" s="65" t="n">
        <v>195</v>
      </c>
      <c r="M18" s="65" t="n">
        <v>187</v>
      </c>
      <c r="N18" s="65" t="n">
        <v>194</v>
      </c>
      <c r="O18" s="65" t="n">
        <v>169</v>
      </c>
      <c r="P18" s="65" t="n">
        <v>226</v>
      </c>
      <c r="Q18" s="65" t="n">
        <v>169</v>
      </c>
      <c r="R18" s="65" t="n">
        <v>168</v>
      </c>
      <c r="S18" s="65" t="n">
        <v>144</v>
      </c>
      <c r="T18" s="65" t="n">
        <v>165</v>
      </c>
      <c r="U18" s="65" t="n">
        <v>184</v>
      </c>
      <c r="V18" s="65" t="n">
        <v>196</v>
      </c>
      <c r="W18" s="65" t="n">
        <v>175</v>
      </c>
      <c r="X18" s="65" t="n">
        <v>215</v>
      </c>
      <c r="Y18" s="65" t="n">
        <v>193</v>
      </c>
      <c r="Z18" s="65" t="n">
        <v>202</v>
      </c>
      <c r="AA18" s="65" t="n">
        <v>175</v>
      </c>
      <c r="AB18" s="65" t="n">
        <v>201</v>
      </c>
      <c r="AC18" s="65" t="n">
        <v>196</v>
      </c>
      <c r="AD18" s="65" t="n">
        <v>216</v>
      </c>
      <c r="AE18" s="65" t="n">
        <v>188</v>
      </c>
      <c r="AF18" s="65" t="n">
        <v>204</v>
      </c>
      <c r="AG18" s="65" t="n">
        <v>219</v>
      </c>
      <c r="AH18" s="65" t="n">
        <v>209</v>
      </c>
      <c r="AI18" s="65" t="n">
        <v>183</v>
      </c>
      <c r="AJ18" s="65" t="n">
        <v>179</v>
      </c>
      <c r="AK18" s="65" t="n">
        <v>189</v>
      </c>
      <c r="AL18" s="65" t="n">
        <v>198</v>
      </c>
      <c r="AM18" s="65" t="n">
        <v>160</v>
      </c>
      <c r="AN18" s="65" t="n">
        <v>176</v>
      </c>
      <c r="AO18" s="65" t="n">
        <v>184</v>
      </c>
    </row>
    <row r="19">
      <c r="A19" s="64" t="inlineStr">
        <is>
          <t>매출채권 회전일수</t>
        </is>
      </c>
      <c r="B19" s="65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>
        <v>80</v>
      </c>
      <c r="L19" s="65" t="n">
        <v>83</v>
      </c>
      <c r="M19" s="65" t="n">
        <v>81</v>
      </c>
      <c r="N19" s="65" t="n">
        <v>84</v>
      </c>
      <c r="O19" s="65" t="n">
        <v>82</v>
      </c>
      <c r="P19" s="65" t="n">
        <v>92</v>
      </c>
      <c r="Q19" s="65" t="n">
        <v>82</v>
      </c>
      <c r="R19" s="65" t="n">
        <v>79</v>
      </c>
      <c r="S19" s="65" t="n">
        <v>0</v>
      </c>
      <c r="T19" s="65" t="n">
        <v>84</v>
      </c>
      <c r="U19" s="65" t="n">
        <v>84</v>
      </c>
      <c r="V19" s="65" t="n">
        <v>83</v>
      </c>
      <c r="W19" s="65" t="n">
        <v>87</v>
      </c>
      <c r="X19" s="65" t="n">
        <v>81</v>
      </c>
      <c r="Y19" s="65" t="n">
        <v>78</v>
      </c>
      <c r="Z19" s="65" t="n">
        <v>71</v>
      </c>
      <c r="AA19" s="65" t="n">
        <v>76</v>
      </c>
      <c r="AB19" s="65" t="n">
        <v>81</v>
      </c>
      <c r="AC19" s="65" t="n">
        <v>82</v>
      </c>
      <c r="AD19" s="65" t="n">
        <v>77</v>
      </c>
      <c r="AE19" s="65" t="n">
        <v>78</v>
      </c>
      <c r="AF19" s="65" t="n">
        <v>83</v>
      </c>
      <c r="AG19" s="65" t="n">
        <v>75</v>
      </c>
      <c r="AH19" s="65" t="n">
        <v>73</v>
      </c>
      <c r="AI19" s="65" t="n">
        <v>75</v>
      </c>
      <c r="AJ19" s="65" t="n">
        <v>73</v>
      </c>
      <c r="AK19" s="65" t="n">
        <v>70</v>
      </c>
      <c r="AL19" s="65" t="n">
        <v>72</v>
      </c>
      <c r="AM19" s="65" t="n">
        <v>72</v>
      </c>
      <c r="AN19" s="65" t="n">
        <v>71</v>
      </c>
      <c r="AO19" s="65" t="n">
        <v>70</v>
      </c>
    </row>
    <row r="20">
      <c r="A20" s="64" t="inlineStr">
        <is>
          <t>매입채무 회전일수</t>
        </is>
      </c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>
        <v>53</v>
      </c>
      <c r="L20" s="65" t="n">
        <v>61</v>
      </c>
      <c r="M20" s="65" t="n">
        <v>55</v>
      </c>
      <c r="N20" s="65" t="n">
        <v>51</v>
      </c>
      <c r="O20" s="65" t="n">
        <v>47</v>
      </c>
      <c r="P20" s="65" t="n">
        <v>53</v>
      </c>
      <c r="Q20" s="65" t="n">
        <v>38</v>
      </c>
      <c r="R20" s="65" t="n">
        <v>40</v>
      </c>
      <c r="S20" s="65" t="n">
        <v>41</v>
      </c>
      <c r="T20" s="65" t="n">
        <v>43</v>
      </c>
      <c r="U20" s="65" t="n">
        <v>43</v>
      </c>
      <c r="V20" s="65" t="n">
        <v>42</v>
      </c>
      <c r="W20" s="65" t="n">
        <v>41</v>
      </c>
      <c r="X20" s="65" t="n">
        <v>45</v>
      </c>
      <c r="Y20" s="65" t="n">
        <v>38</v>
      </c>
      <c r="Z20" s="65" t="n">
        <v>39</v>
      </c>
      <c r="AA20" s="65" t="n">
        <v>37</v>
      </c>
      <c r="AB20" s="65" t="n">
        <v>40</v>
      </c>
      <c r="AC20" s="65" t="n">
        <v>40</v>
      </c>
      <c r="AD20" s="65" t="n">
        <v>42</v>
      </c>
      <c r="AE20" s="65" t="n">
        <v>39</v>
      </c>
      <c r="AF20" s="65" t="n">
        <v>42</v>
      </c>
      <c r="AG20" s="65" t="n">
        <v>42</v>
      </c>
      <c r="AH20" s="65" t="n">
        <v>34</v>
      </c>
      <c r="AI20" s="65" t="n">
        <v>35</v>
      </c>
      <c r="AJ20" s="65" t="n">
        <v>34</v>
      </c>
      <c r="AK20" s="65" t="n">
        <v>35</v>
      </c>
      <c r="AL20" s="65" t="n">
        <v>35</v>
      </c>
      <c r="AM20" s="65" t="n">
        <v>33</v>
      </c>
      <c r="AN20" s="65" t="n">
        <v>34</v>
      </c>
      <c r="AO20" s="65" t="n">
        <v>33</v>
      </c>
    </row>
    <row r="21">
      <c r="A21" s="64" t="inlineStr">
        <is>
          <t>현금전환주기(CCC)</t>
        </is>
      </c>
      <c r="B21" s="65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65" t="n">
        <v>180</v>
      </c>
      <c r="L21" s="65" t="n">
        <v>217</v>
      </c>
      <c r="M21" s="65" t="n">
        <v>213</v>
      </c>
      <c r="N21" s="65" t="n">
        <v>227</v>
      </c>
      <c r="O21" s="65" t="n">
        <v>204</v>
      </c>
      <c r="P21" s="65" t="n">
        <v>265</v>
      </c>
      <c r="Q21" s="65" t="n">
        <v>213</v>
      </c>
      <c r="R21" s="65" t="n">
        <v>207</v>
      </c>
      <c r="S21" s="65" t="n">
        <v>103</v>
      </c>
      <c r="T21" s="65" t="n">
        <v>206</v>
      </c>
      <c r="U21" s="65" t="n">
        <v>225</v>
      </c>
      <c r="V21" s="65" t="n">
        <v>237</v>
      </c>
      <c r="W21" s="65" t="n">
        <v>221</v>
      </c>
      <c r="X21" s="65" t="n">
        <v>251</v>
      </c>
      <c r="Y21" s="65" t="n">
        <v>233</v>
      </c>
      <c r="Z21" s="65" t="n">
        <v>234</v>
      </c>
      <c r="AA21" s="65" t="n">
        <v>214</v>
      </c>
      <c r="AB21" s="65" t="n">
        <v>242</v>
      </c>
      <c r="AC21" s="65" t="n">
        <v>238</v>
      </c>
      <c r="AD21" s="65" t="n">
        <v>251</v>
      </c>
      <c r="AE21" s="65" t="n">
        <v>227</v>
      </c>
      <c r="AF21" s="65" t="n">
        <v>245</v>
      </c>
      <c r="AG21" s="65" t="n">
        <v>252</v>
      </c>
      <c r="AH21" s="65" t="n">
        <v>248</v>
      </c>
      <c r="AI21" s="65" t="n">
        <v>223</v>
      </c>
      <c r="AJ21" s="65" t="n">
        <v>218</v>
      </c>
      <c r="AK21" s="65" t="n">
        <v>224</v>
      </c>
      <c r="AL21" s="65" t="n">
        <v>235</v>
      </c>
      <c r="AM21" s="65" t="n">
        <v>199</v>
      </c>
      <c r="AN21" s="65" t="n">
        <v>213</v>
      </c>
      <c r="AO21" s="65" t="n">
        <v>221</v>
      </c>
    </row>
    <row r="22">
      <c r="A22" s="64" t="inlineStr">
        <is>
          <t>총 차입금</t>
        </is>
      </c>
      <c r="B22" s="65" t="n"/>
      <c r="C22" s="65" t="n"/>
      <c r="D22" s="65" t="n"/>
      <c r="E22" s="65" t="n"/>
      <c r="F22" s="65" t="n"/>
      <c r="G22" s="65" t="n">
        <v>2115.7</v>
      </c>
      <c r="H22" s="65" t="n"/>
      <c r="I22" s="65" t="n"/>
      <c r="J22" s="65" t="n"/>
      <c r="K22" s="65" t="n">
        <v>2294.2</v>
      </c>
      <c r="L22" s="65" t="n">
        <v>2345.8</v>
      </c>
      <c r="M22" s="65" t="n">
        <v>2409.3</v>
      </c>
      <c r="N22" s="65" t="n">
        <v>2337.2</v>
      </c>
      <c r="O22" s="65" t="n">
        <v>2344</v>
      </c>
      <c r="P22" s="65" t="n">
        <v>2565.2</v>
      </c>
      <c r="Q22" s="65" t="n">
        <v>2656.3</v>
      </c>
      <c r="R22" s="65" t="n">
        <v>2641.5</v>
      </c>
      <c r="S22" s="65" t="n">
        <v>2642.5</v>
      </c>
      <c r="T22" s="65" t="n">
        <v>2615.6</v>
      </c>
      <c r="U22" s="65" t="n">
        <v>2377.7</v>
      </c>
      <c r="V22" s="65" t="n">
        <v>2506.2</v>
      </c>
      <c r="W22" s="65" t="n">
        <v>2523.5</v>
      </c>
      <c r="X22" s="65" t="n">
        <v>2471.4</v>
      </c>
      <c r="Y22" s="65" t="n">
        <v>2406.8</v>
      </c>
      <c r="Z22" s="65" t="n">
        <v>2555.9</v>
      </c>
      <c r="AA22" s="65" t="n">
        <v>2533.5</v>
      </c>
      <c r="AB22" s="65" t="n">
        <v>2498.3</v>
      </c>
      <c r="AC22" s="65" t="n">
        <v>2482.5</v>
      </c>
      <c r="AD22" s="65" t="n">
        <v>2645</v>
      </c>
      <c r="AE22" s="65" t="n">
        <v>2593.3</v>
      </c>
      <c r="AF22" s="65" t="n">
        <v>2577.5</v>
      </c>
      <c r="AG22" s="65" t="n">
        <v>2540.4</v>
      </c>
      <c r="AH22" s="65" t="n">
        <v>2747.2</v>
      </c>
      <c r="AI22" s="65" t="n">
        <v>2522.4</v>
      </c>
      <c r="AJ22" s="65" t="n">
        <v>2441.6</v>
      </c>
      <c r="AK22" s="65" t="n">
        <v>2553.2</v>
      </c>
      <c r="AL22" s="65" t="n">
        <v>2504.7</v>
      </c>
      <c r="AM22" s="65" t="n">
        <v>2446.4</v>
      </c>
      <c r="AN22" s="65" t="n">
        <v>2314.4</v>
      </c>
      <c r="AO22" s="65" t="n">
        <v>2303.7</v>
      </c>
    </row>
    <row r="23">
      <c r="A23" s="64" t="inlineStr">
        <is>
          <t>현금</t>
        </is>
      </c>
      <c r="B23" s="65" t="n"/>
      <c r="C23" s="65" t="n"/>
      <c r="D23" s="65" t="n"/>
      <c r="E23" s="65" t="n"/>
      <c r="F23" s="65" t="n"/>
      <c r="G23" s="65" t="n">
        <v>1339.3</v>
      </c>
      <c r="H23" s="65" t="n"/>
      <c r="I23" s="65" t="n"/>
      <c r="J23" s="65" t="n"/>
      <c r="K23" s="65" t="n">
        <v>971.3</v>
      </c>
      <c r="L23" s="65" t="n">
        <v>977.5</v>
      </c>
      <c r="M23" s="65" t="n">
        <v>898.6</v>
      </c>
      <c r="N23" s="65" t="n">
        <v>880.5</v>
      </c>
      <c r="O23" s="65" t="n">
        <v>801.6</v>
      </c>
      <c r="P23" s="65" t="n">
        <v>989.2</v>
      </c>
      <c r="Q23" s="65" t="n">
        <v>1017.9</v>
      </c>
      <c r="R23" s="65" t="n">
        <v>1169.3</v>
      </c>
      <c r="S23" s="65" t="n">
        <v>1313.6</v>
      </c>
      <c r="T23" s="65" t="n">
        <v>1506.3</v>
      </c>
      <c r="U23" s="65" t="n">
        <v>1274.9</v>
      </c>
      <c r="V23" s="65" t="n">
        <v>1429.8</v>
      </c>
      <c r="W23" s="65" t="n">
        <v>1392</v>
      </c>
      <c r="X23" s="65" t="n">
        <v>1578.6</v>
      </c>
      <c r="Y23" s="65" t="n">
        <v>1446.7</v>
      </c>
      <c r="Z23" s="65" t="n">
        <v>1566.9</v>
      </c>
      <c r="AA23" s="65" t="n">
        <v>1684.5</v>
      </c>
      <c r="AB23" s="65" t="n">
        <v>1755.6</v>
      </c>
      <c r="AC23" s="65" t="n">
        <v>1891</v>
      </c>
      <c r="AD23" s="65" t="n">
        <v>1908.1</v>
      </c>
      <c r="AE23" s="65" t="n">
        <v>1926.6</v>
      </c>
      <c r="AF23" s="65" t="n">
        <v>1929.7</v>
      </c>
      <c r="AG23" s="65" t="n">
        <v>2071.1</v>
      </c>
      <c r="AH23" s="65" t="n">
        <v>2054.9</v>
      </c>
      <c r="AI23" s="65" t="n">
        <v>1979.7</v>
      </c>
      <c r="AJ23" s="65" t="n">
        <v>2082.9</v>
      </c>
      <c r="AK23" s="65" t="n">
        <v>2126.7</v>
      </c>
      <c r="AL23" s="65" t="n">
        <v>2196.6</v>
      </c>
      <c r="AM23" s="65" t="n">
        <v>1981.7</v>
      </c>
      <c r="AN23" s="65" t="n">
        <v>1867.2</v>
      </c>
      <c r="AO23" s="65" t="n">
        <v>1947.5</v>
      </c>
    </row>
    <row r="24">
      <c r="A24" s="64" t="inlineStr">
        <is>
          <t>부문별 매출 · エンバイロメント事業、報告セグメント [メンバー]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>
        <v>957.3</v>
      </c>
      <c r="AC24" s="65" t="n"/>
      <c r="AD24" s="65" t="n"/>
      <c r="AE24" s="65" t="n"/>
      <c r="AF24" s="65" t="n">
        <v>990.3</v>
      </c>
      <c r="AG24" s="65" t="n"/>
      <c r="AH24" s="65" t="n"/>
      <c r="AI24" s="65" t="n"/>
      <c r="AJ24" s="65" t="n">
        <v>982.4</v>
      </c>
      <c r="AK24" s="65" t="n"/>
      <c r="AL24" s="65" t="n"/>
      <c r="AM24" s="65" t="n"/>
      <c r="AN24" s="65" t="n">
        <v>1066.5</v>
      </c>
      <c r="AO24" s="65" t="n"/>
      <c r="AP24" s="61" t="inlineStr">
        <is>
          <t>결산단신 부문 정보(외부 고객 매출)</t>
        </is>
      </c>
    </row>
    <row r="25">
      <c r="A25" s="64" t="inlineStr">
        <is>
          <t>부문별 매출 · デジタルソサエティ事業、報告セグメント [メンバー]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>
        <v>334.9</v>
      </c>
      <c r="AC25" s="65" t="n"/>
      <c r="AD25" s="65" t="n"/>
      <c r="AE25" s="65" t="n"/>
      <c r="AF25" s="65" t="n">
        <v>399.3</v>
      </c>
      <c r="AG25" s="65" t="n"/>
      <c r="AH25" s="65" t="n"/>
      <c r="AI25" s="65" t="n"/>
      <c r="AJ25" s="65" t="n">
        <v>471.7</v>
      </c>
      <c r="AK25" s="65" t="n"/>
      <c r="AL25" s="65" t="n"/>
      <c r="AM25" s="65" t="n"/>
      <c r="AN25" s="65" t="n">
        <v>626.6</v>
      </c>
      <c r="AO25" s="65" t="n"/>
      <c r="AP25" s="61" t="inlineStr">
        <is>
          <t>결산단신 부문 정보(외부 고객 매출)</t>
        </is>
      </c>
    </row>
    <row r="26">
      <c r="A26" s="64" t="inlineStr">
        <is>
          <t>부문별 매출 · エネルギー＆インダストリー事業、報告セグメント [メンバー]</t>
        </is>
      </c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>
        <v>121.1</v>
      </c>
      <c r="AC26" s="65" t="n"/>
      <c r="AD26" s="65" t="n"/>
      <c r="AE26" s="65" t="n"/>
      <c r="AF26" s="65" t="n">
        <v>135.6</v>
      </c>
      <c r="AG26" s="65" t="n"/>
      <c r="AH26" s="65" t="n"/>
      <c r="AI26" s="65" t="n"/>
      <c r="AJ26" s="65" t="n">
        <v>210.5</v>
      </c>
      <c r="AK26" s="65" t="n"/>
      <c r="AL26" s="65" t="n"/>
      <c r="AM26" s="65" t="n"/>
      <c r="AN26" s="65" t="n">
        <v>148.4</v>
      </c>
      <c r="AO26" s="65" t="n"/>
      <c r="AP26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2026-10-30T08:36:45Z</dcterms:created>
  <dcterms:modified xmlns:dcterms="http://purl.org/dc/terms/" xmlns:xsi="http://www.w3.org/2001/XMLSchema-instance" xsi:type="dcterms:W3CDTF">2026-10-30T08:36:47Z</dcterms:modified>
</cp:coreProperties>
</file>