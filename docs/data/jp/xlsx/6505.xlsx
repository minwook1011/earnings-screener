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포괄손익" sheetId="2" state="visible" r:id="rId2"/>
    <sheet xmlns:r="http://schemas.openxmlformats.org/officeDocument/2006/relationships" name="재무상태표" sheetId="3" state="visible" r:id="rId3"/>
    <sheet xmlns:r="http://schemas.openxmlformats.org/officeDocument/2006/relationships" name="현금흐름표" sheetId="4" state="visible" r:id="rId4"/>
    <sheet xmlns:r="http://schemas.openxmlformats.org/officeDocument/2006/relationships" name="부문" sheetId="5" state="visible" r:id="rId5"/>
    <sheet xmlns:r="http://schemas.openxmlformats.org/officeDocument/2006/relationships" name="섹터 데이터" sheetId="6" state="visible" r:id="rId6"/>
    <sheet xmlns:r="http://schemas.openxmlformats.org/officeDocument/2006/relationships" name="출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\(#,##0.0\);&quot;-&quot;"/>
    <numFmt numFmtId="165" formatCode="0.0%;\-0.0%;&quot;-&quot;"/>
  </numFmts>
  <fonts count="9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color rgb="FFFF0000"/>
      <sz val="9"/>
    </font>
    <font>
      <name val="맑은 고딕"/>
      <color rgb="FF808080"/>
      <sz val="9"/>
    </font>
    <font>
      <name val="맑은 고딕"/>
      <b val="1"/>
      <sz val="10"/>
    </font>
    <font>
      <name val="맑은 고딕"/>
      <b val="1"/>
      <sz val="11"/>
    </font>
    <font>
      <name val="맑은 고딕"/>
      <color rgb="FF808080"/>
      <sz val="11"/>
    </font>
    <font>
      <name val="맑은 고딕"/>
      <sz val="11"/>
    </font>
    <font>
      <name val="맑은 고딕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40" customWidth="1" min="32" max="32"/>
  </cols>
  <sheetData>
    <row r="1">
      <c r="A1" s="1" t="inlineStr">
        <is>
          <t>도요전기제조 손익계산서</t>
        </is>
      </c>
    </row>
    <row r="2">
      <c r="A2" s="2" t="inlineStr">
        <is>
          <t>결산기 기준(27.2Q = 2027년 결산기 2분기) · 5월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FY18</t>
        </is>
      </c>
      <c r="X3" s="4" t="inlineStr">
        <is>
          <t>FY19</t>
        </is>
      </c>
      <c r="Y3" s="4" t="inlineStr">
        <is>
          <t>FY20</t>
        </is>
      </c>
      <c r="Z3" s="4" t="inlineStr">
        <is>
          <t>FY21</t>
        </is>
      </c>
      <c r="AA3" s="4" t="inlineStr">
        <is>
          <t>FY22</t>
        </is>
      </c>
      <c r="AB3" s="4" t="inlineStr">
        <is>
          <t>FY23</t>
        </is>
      </c>
      <c r="AC3" s="4" t="inlineStr">
        <is>
          <t>FY24</t>
        </is>
      </c>
      <c r="AD3" s="4" t="inlineStr">
        <is>
          <t>FY25</t>
        </is>
      </c>
      <c r="AE3" s="4" t="inlineStr">
        <is>
          <t>FY26</t>
        </is>
      </c>
      <c r="AF3" s="4" t="inlineStr">
        <is>
          <t>출처</t>
        </is>
      </c>
    </row>
    <row r="4">
      <c r="A4" s="5" t="inlineStr">
        <is>
          <t>매출액</t>
        </is>
      </c>
      <c r="C4" s="6" t="n">
        <v>80.51000000000001</v>
      </c>
      <c r="D4" s="6" t="n">
        <v>69.41</v>
      </c>
      <c r="E4" s="6" t="n">
        <v>84.14</v>
      </c>
      <c r="F4" s="6" t="n">
        <v>63.05</v>
      </c>
      <c r="G4" s="6" t="n">
        <v>75.16</v>
      </c>
      <c r="H4" s="6" t="n">
        <v>69.23</v>
      </c>
      <c r="I4" s="6" t="n">
        <v>102.81</v>
      </c>
      <c r="J4" s="6" t="n">
        <v>66.58</v>
      </c>
      <c r="K4" s="6" t="n">
        <v>81.59</v>
      </c>
      <c r="L4" s="6" t="n">
        <v>74.14</v>
      </c>
      <c r="M4" s="6" t="n">
        <v>99.09</v>
      </c>
      <c r="N4" s="6" t="n">
        <v>81.66</v>
      </c>
      <c r="O4" s="6" t="n">
        <v>108.49</v>
      </c>
      <c r="P4" s="6" t="n">
        <v>100.17</v>
      </c>
      <c r="Q4" s="6" t="n">
        <v>115.07</v>
      </c>
      <c r="R4" s="6" t="n">
        <v>84.09</v>
      </c>
      <c r="S4" s="6" t="n">
        <v>97.7</v>
      </c>
      <c r="T4" s="6" t="n">
        <v>107.82</v>
      </c>
      <c r="U4" s="6" t="n">
        <v>115.19</v>
      </c>
      <c r="V4" s="6" t="n">
        <v>104.26</v>
      </c>
      <c r="W4" s="6" t="n">
        <v>425.27</v>
      </c>
      <c r="X4" s="6" t="n">
        <v>411.72</v>
      </c>
      <c r="Y4" s="6" t="n">
        <v>390.71</v>
      </c>
      <c r="Z4" s="6" t="n">
        <v>331.43</v>
      </c>
      <c r="AA4" s="6" t="n">
        <v>301.58</v>
      </c>
      <c r="AB4" s="6" t="n">
        <v>310.25</v>
      </c>
      <c r="AC4" s="6" t="n">
        <v>321.4</v>
      </c>
      <c r="AD4" s="6" t="n">
        <v>405.39</v>
      </c>
      <c r="AE4" s="6" t="n">
        <v>404.8</v>
      </c>
      <c r="AF4" s="7" t="inlineStr">
        <is>
          <t>결산단신 XBRL(거래소 공시, TDnet·JPX 보관소). 쓴 문서: 2026-10-14, 2026-07-15, 2026-04-13, 2026-01-13 외 26건 — '출처' 시트에 전부</t>
        </is>
      </c>
    </row>
    <row r="5">
      <c r="A5" s="8" t="inlineStr">
        <is>
          <t>YoY</t>
        </is>
      </c>
      <c r="G5" s="9">
        <f>IF(OR(G4="",C4=""),"",IFERROR(G4/C4-1,""))</f>
        <v/>
      </c>
      <c r="H5" s="9">
        <f>IF(OR(H4="",D4=""),"",IFERROR(H4/D4-1,""))</f>
        <v/>
      </c>
      <c r="I5" s="9">
        <f>IF(OR(I4="",E4=""),"",IFERROR(I4/E4-1,""))</f>
        <v/>
      </c>
      <c r="J5" s="9">
        <f>IF(OR(J4="",F4=""),"",IFERROR(J4/F4-1,""))</f>
        <v/>
      </c>
      <c r="K5" s="9">
        <f>IF(OR(K4="",G4=""),"",IFERROR(K4/G4-1,""))</f>
        <v/>
      </c>
      <c r="L5" s="9">
        <f>IF(OR(L4="",H4=""),"",IFERROR(L4/H4-1,""))</f>
        <v/>
      </c>
      <c r="M5" s="9">
        <f>IF(OR(M4="",I4=""),"",IFERROR(M4/I4-1,""))</f>
        <v/>
      </c>
      <c r="N5" s="9">
        <f>IF(OR(N4="",J4=""),"",IFERROR(N4/J4-1,""))</f>
        <v/>
      </c>
      <c r="O5" s="9">
        <f>IF(OR(O4="",K4=""),"",IFERROR(O4/K4-1,""))</f>
        <v/>
      </c>
      <c r="P5" s="9">
        <f>IF(OR(P4="",L4=""),"",IFERROR(P4/L4-1,""))</f>
        <v/>
      </c>
      <c r="Q5" s="9">
        <f>IF(OR(Q4="",M4=""),"",IFERROR(Q4/M4-1,""))</f>
        <v/>
      </c>
      <c r="R5" s="9">
        <f>IF(OR(R4="",N4=""),"",IFERROR(R4/N4-1,""))</f>
        <v/>
      </c>
      <c r="S5" s="9">
        <f>IF(OR(S4="",O4=""),"",IFERROR(S4/O4-1,""))</f>
        <v/>
      </c>
      <c r="T5" s="9">
        <f>IF(OR(T4="",P4=""),"",IFERROR(T4/P4-1,""))</f>
        <v/>
      </c>
      <c r="U5" s="9">
        <f>IF(OR(U4="",Q4=""),"",IFERROR(U4/Q4-1,""))</f>
        <v/>
      </c>
      <c r="V5" s="9">
        <f>IF(OR(V4="",R4=""),"",IFERROR(V4/R4-1,""))</f>
        <v/>
      </c>
      <c r="X5" s="9">
        <f>IF(OR(X4="",W4=""),"",IFERROR(X4/W4-1,""))</f>
        <v/>
      </c>
      <c r="Y5" s="9">
        <f>IF(OR(Y4="",X4=""),"",IFERROR(Y4/X4-1,""))</f>
        <v/>
      </c>
      <c r="Z5" s="9">
        <f>IF(OR(Z4="",Y4=""),"",IFERROR(Z4/Y4-1,""))</f>
        <v/>
      </c>
      <c r="AA5" s="9">
        <f>IF(OR(AA4="",Z4=""),"",IFERROR(AA4/Z4-1,""))</f>
        <v/>
      </c>
      <c r="AB5" s="9">
        <f>IF(OR(AB4="",AA4=""),"",IFERROR(AB4/AA4-1,""))</f>
        <v/>
      </c>
      <c r="AC5" s="9">
        <f>IF(OR(AC4="",AB4=""),"",IFERROR(AC4/AB4-1,""))</f>
        <v/>
      </c>
      <c r="AD5" s="9">
        <f>IF(OR(AD4="",AC4=""),"",IFERROR(AD4/AC4-1,""))</f>
        <v/>
      </c>
      <c r="AE5" s="9">
        <f>IF(OR(AE4="",AD4=""),"",IFERROR(AE4/AD4-1,""))</f>
        <v/>
      </c>
    </row>
    <row r="6">
      <c r="A6" s="5" t="inlineStr">
        <is>
          <t>매출원가</t>
        </is>
      </c>
      <c r="C6" s="6" t="n">
        <v>63.39</v>
      </c>
      <c r="D6" s="6" t="n">
        <v>53.09</v>
      </c>
      <c r="E6" s="6" t="n">
        <v>62.8</v>
      </c>
      <c r="F6" s="6" t="n">
        <v>49.37</v>
      </c>
      <c r="G6" s="6" t="n">
        <v>56.76</v>
      </c>
      <c r="H6" s="6" t="n">
        <v>51.26</v>
      </c>
      <c r="I6" s="6" t="n">
        <v>80.89</v>
      </c>
      <c r="J6" s="6" t="n">
        <v>49.62</v>
      </c>
      <c r="K6" s="6" t="n">
        <v>60.92</v>
      </c>
      <c r="L6" s="6" t="n">
        <v>57.36</v>
      </c>
      <c r="M6" s="6" t="n">
        <v>71.78</v>
      </c>
      <c r="N6" s="6" t="n">
        <v>63.25</v>
      </c>
      <c r="O6" s="6" t="n">
        <v>81.22</v>
      </c>
      <c r="P6" s="6" t="n">
        <v>74.08</v>
      </c>
      <c r="Q6" s="6" t="n">
        <v>80.81</v>
      </c>
      <c r="R6" s="6" t="n">
        <v>60.14</v>
      </c>
      <c r="S6" s="6" t="n">
        <v>72.92</v>
      </c>
      <c r="T6" s="6" t="n">
        <v>74.17</v>
      </c>
      <c r="U6" s="6" t="n">
        <v>79.83</v>
      </c>
      <c r="V6" s="6" t="n">
        <v>71.38</v>
      </c>
      <c r="W6" s="6" t="n">
        <v>344.54</v>
      </c>
      <c r="X6" s="6" t="n">
        <v>333.33</v>
      </c>
      <c r="Y6" s="6" t="n">
        <v>308.28</v>
      </c>
      <c r="Z6" s="6" t="n">
        <v>258.05</v>
      </c>
      <c r="AA6" s="6" t="n">
        <v>233.43</v>
      </c>
      <c r="AB6" s="6" t="n">
        <v>238.28</v>
      </c>
      <c r="AC6" s="6" t="n">
        <v>239.68</v>
      </c>
      <c r="AD6" s="6" t="n">
        <v>299.36</v>
      </c>
      <c r="AE6" s="6" t="n">
        <v>287.06</v>
      </c>
    </row>
    <row r="7">
      <c r="A7" s="5" t="inlineStr">
        <is>
          <t>매출총이익</t>
        </is>
      </c>
      <c r="C7" s="6" t="n">
        <v>17.11</v>
      </c>
      <c r="D7" s="6" t="n">
        <v>16.32</v>
      </c>
      <c r="E7" s="6" t="n">
        <v>21.35</v>
      </c>
      <c r="F7" s="6" t="n">
        <v>13.68</v>
      </c>
      <c r="G7" s="6" t="n">
        <v>18.4</v>
      </c>
      <c r="H7" s="6" t="n">
        <v>17.97</v>
      </c>
      <c r="I7" s="6" t="n">
        <v>21.92</v>
      </c>
      <c r="J7" s="6" t="n">
        <v>16.96</v>
      </c>
      <c r="K7" s="6" t="n">
        <v>20.66</v>
      </c>
      <c r="L7" s="6" t="n">
        <v>16.78</v>
      </c>
      <c r="M7" s="6" t="n">
        <v>27.31</v>
      </c>
      <c r="N7" s="6" t="n">
        <v>18.41</v>
      </c>
      <c r="O7" s="6" t="n">
        <v>27.26</v>
      </c>
      <c r="P7" s="6" t="n">
        <v>26.1</v>
      </c>
      <c r="Q7" s="6" t="n">
        <v>34.26</v>
      </c>
      <c r="R7" s="6" t="n">
        <v>23.95</v>
      </c>
      <c r="S7" s="6" t="n">
        <v>24.77</v>
      </c>
      <c r="T7" s="6" t="n">
        <v>33.66</v>
      </c>
      <c r="U7" s="6" t="n">
        <v>35.35</v>
      </c>
      <c r="V7" s="6" t="n">
        <v>32.87</v>
      </c>
      <c r="W7" s="6" t="n">
        <v>80.72</v>
      </c>
      <c r="X7" s="6" t="n">
        <v>78.39</v>
      </c>
      <c r="Y7" s="6" t="n">
        <v>82.42</v>
      </c>
      <c r="Z7" s="6" t="n">
        <v>73.38</v>
      </c>
      <c r="AA7" s="6" t="n">
        <v>68.15000000000001</v>
      </c>
      <c r="AB7" s="6" t="n">
        <v>71.97</v>
      </c>
      <c r="AC7" s="6" t="n">
        <v>81.70999999999999</v>
      </c>
      <c r="AD7" s="6" t="n">
        <v>106.03</v>
      </c>
      <c r="AE7" s="6" t="n">
        <v>117.73</v>
      </c>
    </row>
    <row r="8">
      <c r="A8" s="8" t="inlineStr">
        <is>
          <t>매출총이익률</t>
        </is>
      </c>
      <c r="C8" s="9">
        <f>IF(OR(C7="",C4=""),"",IFERROR(C7/C4,""))</f>
        <v/>
      </c>
      <c r="D8" s="9">
        <f>IF(OR(D7="",D4=""),"",IFERROR(D7/D4,""))</f>
        <v/>
      </c>
      <c r="E8" s="9">
        <f>IF(OR(E7="",E4=""),"",IFERROR(E7/E4,""))</f>
        <v/>
      </c>
      <c r="F8" s="9">
        <f>IF(OR(F7="",F4=""),"",IFERROR(F7/F4,""))</f>
        <v/>
      </c>
      <c r="G8" s="9">
        <f>IF(OR(G7="",G4=""),"",IFERROR(G7/G4,""))</f>
        <v/>
      </c>
      <c r="H8" s="9">
        <f>IF(OR(H7="",H4=""),"",IFERROR(H7/H4,""))</f>
        <v/>
      </c>
      <c r="I8" s="9">
        <f>IF(OR(I7="",I4=""),"",IFERROR(I7/I4,""))</f>
        <v/>
      </c>
      <c r="J8" s="9">
        <f>IF(OR(J7="",J4=""),"",IFERROR(J7/J4,""))</f>
        <v/>
      </c>
      <c r="K8" s="9">
        <f>IF(OR(K7="",K4=""),"",IFERROR(K7/K4,""))</f>
        <v/>
      </c>
      <c r="L8" s="9">
        <f>IF(OR(L7="",L4=""),"",IFERROR(L7/L4,""))</f>
        <v/>
      </c>
      <c r="M8" s="9">
        <f>IF(OR(M7="",M4=""),"",IFERROR(M7/M4,""))</f>
        <v/>
      </c>
      <c r="N8" s="9">
        <f>IF(OR(N7="",N4=""),"",IFERROR(N7/N4,""))</f>
        <v/>
      </c>
      <c r="O8" s="9">
        <f>IF(OR(O7="",O4=""),"",IFERROR(O7/O4,""))</f>
        <v/>
      </c>
      <c r="P8" s="9">
        <f>IF(OR(P7="",P4=""),"",IFERROR(P7/P4,""))</f>
        <v/>
      </c>
      <c r="Q8" s="9">
        <f>IF(OR(Q7="",Q4=""),"",IFERROR(Q7/Q4,""))</f>
        <v/>
      </c>
      <c r="R8" s="9">
        <f>IF(OR(R7="",R4=""),"",IFERROR(R7/R4,""))</f>
        <v/>
      </c>
      <c r="S8" s="9">
        <f>IF(OR(S7="",S4=""),"",IFERROR(S7/S4,""))</f>
        <v/>
      </c>
      <c r="T8" s="9">
        <f>IF(OR(T7="",T4=""),"",IFERROR(T7/T4,""))</f>
        <v/>
      </c>
      <c r="U8" s="9">
        <f>IF(OR(U7="",U4=""),"",IFERROR(U7/U4,""))</f>
        <v/>
      </c>
      <c r="V8" s="9">
        <f>IF(OR(V7="",V4=""),"",IFERROR(V7/V4,""))</f>
        <v/>
      </c>
      <c r="W8" s="9">
        <f>IF(OR(W7="",W4=""),"",IFERROR(W7/W4,""))</f>
        <v/>
      </c>
      <c r="X8" s="9">
        <f>IF(OR(X7="",X4=""),"",IFERROR(X7/X4,""))</f>
        <v/>
      </c>
      <c r="Y8" s="9">
        <f>IF(OR(Y7="",Y4=""),"",IFERROR(Y7/Y4,""))</f>
        <v/>
      </c>
      <c r="Z8" s="9">
        <f>IF(OR(Z7="",Z4=""),"",IFERROR(Z7/Z4,""))</f>
        <v/>
      </c>
      <c r="AA8" s="9">
        <f>IF(OR(AA7="",AA4=""),"",IFERROR(AA7/AA4,""))</f>
        <v/>
      </c>
      <c r="AB8" s="9">
        <f>IF(OR(AB7="",AB4=""),"",IFERROR(AB7/AB4,""))</f>
        <v/>
      </c>
      <c r="AC8" s="9">
        <f>IF(OR(AC7="",AC4=""),"",IFERROR(AC7/AC4,""))</f>
        <v/>
      </c>
      <c r="AD8" s="9">
        <f>IF(OR(AD7="",AD4=""),"",IFERROR(AD7/AD4,""))</f>
        <v/>
      </c>
      <c r="AE8" s="9">
        <f>IF(OR(AE7="",AE4=""),"",IFERROR(AE7/AE4,""))</f>
        <v/>
      </c>
    </row>
    <row r="9">
      <c r="A9" s="10" t="inlineStr">
        <is>
          <t>판매비와 관리비</t>
        </is>
      </c>
      <c r="C9" s="11" t="n">
        <v>17.35</v>
      </c>
      <c r="D9" s="11" t="n">
        <v>16.19</v>
      </c>
      <c r="E9" s="11" t="n">
        <v>16.13</v>
      </c>
      <c r="F9" s="11" t="n">
        <v>16.34</v>
      </c>
      <c r="G9" s="11" t="n">
        <v>16.54</v>
      </c>
      <c r="H9" s="11" t="n">
        <v>16.28</v>
      </c>
      <c r="I9" s="11" t="n">
        <v>17.63</v>
      </c>
      <c r="J9" s="11" t="n">
        <v>17.58</v>
      </c>
      <c r="K9" s="11" t="n">
        <v>18.17</v>
      </c>
      <c r="L9" s="11" t="n">
        <v>17.06</v>
      </c>
      <c r="M9" s="11" t="n">
        <v>19.62</v>
      </c>
      <c r="N9" s="11" t="n">
        <v>18.14</v>
      </c>
      <c r="O9" s="11" t="n">
        <v>19.91</v>
      </c>
      <c r="P9" s="11" t="n">
        <v>20.84</v>
      </c>
      <c r="Q9" s="11" t="n">
        <v>23.3</v>
      </c>
      <c r="R9" s="11" t="n">
        <v>20.27</v>
      </c>
      <c r="S9" s="11" t="n">
        <v>21.68</v>
      </c>
      <c r="T9" s="11" t="n">
        <v>21.48</v>
      </c>
      <c r="U9" s="11" t="n">
        <v>23.19</v>
      </c>
      <c r="V9" s="11" t="n">
        <v>22.14</v>
      </c>
      <c r="W9" s="11" t="n">
        <v>77.05</v>
      </c>
      <c r="X9" s="11" t="n">
        <v>72.81</v>
      </c>
      <c r="Y9" s="11" t="n">
        <v>71.73999999999999</v>
      </c>
      <c r="Z9" s="11" t="n">
        <v>69.14</v>
      </c>
      <c r="AA9" s="11" t="n">
        <v>66.43000000000001</v>
      </c>
      <c r="AB9" s="11" t="n">
        <v>66.79000000000001</v>
      </c>
      <c r="AC9" s="11" t="n">
        <v>72.43000000000001</v>
      </c>
      <c r="AD9" s="11" t="n">
        <v>82.19</v>
      </c>
      <c r="AE9" s="11" t="n">
        <v>86.62</v>
      </c>
    </row>
    <row r="10">
      <c r="A10" s="5" t="inlineStr">
        <is>
          <t>영업이익</t>
        </is>
      </c>
      <c r="C10" s="6" t="n">
        <v>-0.23</v>
      </c>
      <c r="D10" s="6" t="n">
        <v>0.13</v>
      </c>
      <c r="E10" s="6" t="n">
        <v>5.2</v>
      </c>
      <c r="F10" s="6" t="n">
        <v>-2.66</v>
      </c>
      <c r="G10" s="6" t="n">
        <v>1.86</v>
      </c>
      <c r="H10" s="6" t="n">
        <v>1.69</v>
      </c>
      <c r="I10" s="6" t="n">
        <v>4.28</v>
      </c>
      <c r="J10" s="6" t="n">
        <v>-0.62</v>
      </c>
      <c r="K10" s="6" t="n">
        <v>2.49</v>
      </c>
      <c r="L10" s="6" t="n">
        <v>-0.28</v>
      </c>
      <c r="M10" s="6" t="n">
        <v>7.68</v>
      </c>
      <c r="N10" s="6" t="n">
        <v>0.27</v>
      </c>
      <c r="O10" s="6" t="n">
        <v>7.35</v>
      </c>
      <c r="P10" s="6" t="n">
        <v>5.25</v>
      </c>
      <c r="Q10" s="6" t="n">
        <v>10.97</v>
      </c>
      <c r="R10" s="6" t="n">
        <v>3.67</v>
      </c>
      <c r="S10" s="6" t="n">
        <v>3.1</v>
      </c>
      <c r="T10" s="6" t="n">
        <v>12.18</v>
      </c>
      <c r="U10" s="6" t="n">
        <v>12.16</v>
      </c>
      <c r="V10" s="6" t="n">
        <v>10.73</v>
      </c>
      <c r="W10" s="6" t="n">
        <v>3.66</v>
      </c>
      <c r="X10" s="6" t="n">
        <v>5.57</v>
      </c>
      <c r="Y10" s="6" t="n">
        <v>10.68</v>
      </c>
      <c r="Z10" s="6" t="n">
        <v>4.23</v>
      </c>
      <c r="AA10" s="6" t="n">
        <v>1.71</v>
      </c>
      <c r="AB10" s="6" t="n">
        <v>5.17</v>
      </c>
      <c r="AC10" s="6" t="n">
        <v>9.27</v>
      </c>
      <c r="AD10" s="6" t="n">
        <v>23.84</v>
      </c>
      <c r="AE10" s="6" t="n">
        <v>31.11</v>
      </c>
    </row>
    <row r="11">
      <c r="A11" s="8" t="inlineStr">
        <is>
          <t>영업이익률</t>
        </is>
      </c>
      <c r="C11" s="9">
        <f>IF(OR(C10="",C4=""),"",IFERROR(C10/C4,""))</f>
        <v/>
      </c>
      <c r="D11" s="9">
        <f>IF(OR(D10="",D4=""),"",IFERROR(D10/D4,""))</f>
        <v/>
      </c>
      <c r="E11" s="9">
        <f>IF(OR(E10="",E4=""),"",IFERROR(E10/E4,""))</f>
        <v/>
      </c>
      <c r="F11" s="9">
        <f>IF(OR(F10="",F4=""),"",IFERROR(F10/F4,""))</f>
        <v/>
      </c>
      <c r="G11" s="9">
        <f>IF(OR(G10="",G4=""),"",IFERROR(G10/G4,""))</f>
        <v/>
      </c>
      <c r="H11" s="9">
        <f>IF(OR(H10="",H4=""),"",IFERROR(H10/H4,""))</f>
        <v/>
      </c>
      <c r="I11" s="9">
        <f>IF(OR(I10="",I4=""),"",IFERROR(I10/I4,""))</f>
        <v/>
      </c>
      <c r="J11" s="9">
        <f>IF(OR(J10="",J4=""),"",IFERROR(J10/J4,""))</f>
        <v/>
      </c>
      <c r="K11" s="9">
        <f>IF(OR(K10="",K4=""),"",IFERROR(K10/K4,""))</f>
        <v/>
      </c>
      <c r="L11" s="9">
        <f>IF(OR(L10="",L4=""),"",IFERROR(L10/L4,""))</f>
        <v/>
      </c>
      <c r="M11" s="9">
        <f>IF(OR(M10="",M4=""),"",IFERROR(M10/M4,""))</f>
        <v/>
      </c>
      <c r="N11" s="9">
        <f>IF(OR(N10="",N4=""),"",IFERROR(N10/N4,""))</f>
        <v/>
      </c>
      <c r="O11" s="9">
        <f>IF(OR(O10="",O4=""),"",IFERROR(O10/O4,""))</f>
        <v/>
      </c>
      <c r="P11" s="9">
        <f>IF(OR(P10="",P4=""),"",IFERROR(P10/P4,""))</f>
        <v/>
      </c>
      <c r="Q11" s="9">
        <f>IF(OR(Q10="",Q4=""),"",IFERROR(Q10/Q4,""))</f>
        <v/>
      </c>
      <c r="R11" s="9">
        <f>IF(OR(R10="",R4=""),"",IFERROR(R10/R4,""))</f>
        <v/>
      </c>
      <c r="S11" s="9">
        <f>IF(OR(S10="",S4=""),"",IFERROR(S10/S4,""))</f>
        <v/>
      </c>
      <c r="T11" s="9">
        <f>IF(OR(T10="",T4=""),"",IFERROR(T10/T4,""))</f>
        <v/>
      </c>
      <c r="U11" s="9">
        <f>IF(OR(U10="",U4=""),"",IFERROR(U10/U4,""))</f>
        <v/>
      </c>
      <c r="V11" s="9">
        <f>IF(OR(V10="",V4=""),"",IFERROR(V10/V4,""))</f>
        <v/>
      </c>
      <c r="W11" s="9">
        <f>IF(OR(W10="",W4=""),"",IFERROR(W10/W4,""))</f>
        <v/>
      </c>
      <c r="X11" s="9">
        <f>IF(OR(X10="",X4=""),"",IFERROR(X10/X4,""))</f>
        <v/>
      </c>
      <c r="Y11" s="9">
        <f>IF(OR(Y10="",Y4=""),"",IFERROR(Y10/Y4,""))</f>
        <v/>
      </c>
      <c r="Z11" s="9">
        <f>IF(OR(Z10="",Z4=""),"",IFERROR(Z10/Z4,""))</f>
        <v/>
      </c>
      <c r="AA11" s="9">
        <f>IF(OR(AA10="",AA4=""),"",IFERROR(AA10/AA4,""))</f>
        <v/>
      </c>
      <c r="AB11" s="9">
        <f>IF(OR(AB10="",AB4=""),"",IFERROR(AB10/AB4,""))</f>
        <v/>
      </c>
      <c r="AC11" s="9">
        <f>IF(OR(AC10="",AC4=""),"",IFERROR(AC10/AC4,""))</f>
        <v/>
      </c>
      <c r="AD11" s="9">
        <f>IF(OR(AD10="",AD4=""),"",IFERROR(AD10/AD4,""))</f>
        <v/>
      </c>
      <c r="AE11" s="9">
        <f>IF(OR(AE10="",AE4=""),"",IFERROR(AE10/AE4,""))</f>
        <v/>
      </c>
    </row>
    <row r="12">
      <c r="A12" s="8" t="inlineStr">
        <is>
          <t>YoY</t>
        </is>
      </c>
      <c r="G12" s="9">
        <f>IF(OR(G10="",C10=""),"",IFERROR(G10/C10-1,""))</f>
        <v/>
      </c>
      <c r="H12" s="9">
        <f>IF(OR(H10="",D10=""),"",IFERROR(H10/D10-1,""))</f>
        <v/>
      </c>
      <c r="I12" s="9">
        <f>IF(OR(I10="",E10=""),"",IFERROR(I10/E10-1,""))</f>
        <v/>
      </c>
      <c r="J12" s="9">
        <f>IF(OR(J10="",F10=""),"",IFERROR(J10/F10-1,""))</f>
        <v/>
      </c>
      <c r="K12" s="9">
        <f>IF(OR(K10="",G10=""),"",IFERROR(K10/G10-1,""))</f>
        <v/>
      </c>
      <c r="L12" s="9">
        <f>IF(OR(L10="",H10=""),"",IFERROR(L10/H10-1,""))</f>
        <v/>
      </c>
      <c r="M12" s="9">
        <f>IF(OR(M10="",I10=""),"",IFERROR(M10/I10-1,""))</f>
        <v/>
      </c>
      <c r="N12" s="9">
        <f>IF(OR(N10="",J10=""),"",IFERROR(N10/J10-1,""))</f>
        <v/>
      </c>
      <c r="O12" s="9">
        <f>IF(OR(O10="",K10=""),"",IFERROR(O10/K10-1,""))</f>
        <v/>
      </c>
      <c r="P12" s="9">
        <f>IF(OR(P10="",L10=""),"",IFERROR(P10/L10-1,""))</f>
        <v/>
      </c>
      <c r="Q12" s="9">
        <f>IF(OR(Q10="",M10=""),"",IFERROR(Q10/M10-1,""))</f>
        <v/>
      </c>
      <c r="R12" s="9">
        <f>IF(OR(R10="",N10=""),"",IFERROR(R10/N10-1,""))</f>
        <v/>
      </c>
      <c r="S12" s="9">
        <f>IF(OR(S10="",O10=""),"",IFERROR(S10/O10-1,""))</f>
        <v/>
      </c>
      <c r="T12" s="9">
        <f>IF(OR(T10="",P10=""),"",IFERROR(T10/P10-1,""))</f>
        <v/>
      </c>
      <c r="U12" s="9">
        <f>IF(OR(U10="",Q10=""),"",IFERROR(U10/Q10-1,""))</f>
        <v/>
      </c>
      <c r="V12" s="9">
        <f>IF(OR(V10="",R10=""),"",IFERROR(V10/R10-1,""))</f>
        <v/>
      </c>
      <c r="X12" s="9">
        <f>IF(OR(X10="",W10=""),"",IFERROR(X10/W10-1,""))</f>
        <v/>
      </c>
      <c r="Y12" s="9">
        <f>IF(OR(Y10="",X10=""),"",IFERROR(Y10/X10-1,""))</f>
        <v/>
      </c>
      <c r="Z12" s="9">
        <f>IF(OR(Z10="",Y10=""),"",IFERROR(Z10/Y10-1,""))</f>
        <v/>
      </c>
      <c r="AA12" s="9">
        <f>IF(OR(AA10="",Z10=""),"",IFERROR(AA10/Z10-1,""))</f>
        <v/>
      </c>
      <c r="AB12" s="9">
        <f>IF(OR(AB10="",AA10=""),"",IFERROR(AB10/AA10-1,""))</f>
        <v/>
      </c>
      <c r="AC12" s="9">
        <f>IF(OR(AC10="",AB10=""),"",IFERROR(AC10/AB10-1,""))</f>
        <v/>
      </c>
      <c r="AD12" s="9">
        <f>IF(OR(AD10="",AC10=""),"",IFERROR(AD10/AC10-1,""))</f>
        <v/>
      </c>
      <c r="AE12" s="9">
        <f>IF(OR(AE10="",AD10=""),"",IFERROR(AE10/AD10-1,""))</f>
        <v/>
      </c>
    </row>
    <row r="13">
      <c r="A13" s="10" t="inlineStr">
        <is>
          <t>이자수익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0.01</v>
      </c>
      <c r="J13" s="11" t="n">
        <v>0</v>
      </c>
      <c r="K13" s="11" t="n">
        <v>0</v>
      </c>
      <c r="L13" s="11" t="n">
        <v>0</v>
      </c>
      <c r="M13" s="11" t="n">
        <v>0.05</v>
      </c>
      <c r="N13" s="11" t="n">
        <v>0</v>
      </c>
      <c r="O13" s="11" t="n">
        <v>0.01</v>
      </c>
      <c r="P13" s="11" t="n">
        <v>0.06</v>
      </c>
      <c r="Q13" s="11" t="n">
        <v>-0.04</v>
      </c>
      <c r="R13" s="11" t="n">
        <v>0.01</v>
      </c>
      <c r="S13" s="11" t="n">
        <v>0.01</v>
      </c>
      <c r="T13" s="11" t="n">
        <v>0.06</v>
      </c>
      <c r="U13" s="11" t="n">
        <v>-0.02</v>
      </c>
      <c r="V13" s="11" t="n">
        <v>0.01</v>
      </c>
      <c r="W13" s="11" t="n">
        <v>0.02</v>
      </c>
      <c r="X13" s="11" t="n">
        <v>0.01</v>
      </c>
      <c r="Y13" s="11" t="n">
        <v>0.01</v>
      </c>
      <c r="Z13" s="11" t="n">
        <v>0</v>
      </c>
      <c r="AA13" s="11" t="n">
        <v>0</v>
      </c>
      <c r="AB13" s="11" t="n">
        <v>0.01</v>
      </c>
      <c r="AC13" s="11" t="n">
        <v>0.05</v>
      </c>
      <c r="AD13" s="11" t="n">
        <v>0.03</v>
      </c>
      <c r="AE13" s="11" t="n">
        <v>0.06</v>
      </c>
    </row>
    <row r="14">
      <c r="A14" s="10" t="inlineStr">
        <is>
          <t>배당금수익</t>
        </is>
      </c>
      <c r="C14" s="11" t="n">
        <v>0.22</v>
      </c>
      <c r="D14" s="11" t="n">
        <v>0.45</v>
      </c>
      <c r="E14" s="11" t="n">
        <v>0.03</v>
      </c>
      <c r="F14" s="11" t="n">
        <v>1.16</v>
      </c>
      <c r="G14" s="11" t="n">
        <v>0.07000000000000001</v>
      </c>
      <c r="H14" s="11" t="n">
        <v>0.75</v>
      </c>
      <c r="I14" s="11" t="n">
        <v>-0.08</v>
      </c>
      <c r="J14" s="11" t="n">
        <v>1.17</v>
      </c>
      <c r="K14" s="11" t="n">
        <v>-0.04</v>
      </c>
      <c r="L14" s="11" t="n">
        <v>0.88</v>
      </c>
      <c r="M14" s="11" t="n">
        <v>0.03</v>
      </c>
      <c r="N14" s="11" t="n">
        <v>1.4</v>
      </c>
      <c r="O14" s="11" t="n">
        <v>0.13</v>
      </c>
      <c r="P14" s="11" t="n">
        <v>0.96</v>
      </c>
      <c r="Q14" s="11" t="n">
        <v>0.06</v>
      </c>
      <c r="R14" s="11" t="n">
        <v>2</v>
      </c>
      <c r="S14" s="11" t="n">
        <v>0.16</v>
      </c>
      <c r="T14" s="11" t="n">
        <v>1.29</v>
      </c>
      <c r="U14" s="11" t="n">
        <v>0.06</v>
      </c>
      <c r="V14" s="11" t="n">
        <v>1.87</v>
      </c>
      <c r="W14" s="11" t="n">
        <v>2.33</v>
      </c>
      <c r="X14" s="11" t="n">
        <v>2.42</v>
      </c>
      <c r="Y14" s="11" t="n">
        <v>2.33</v>
      </c>
      <c r="Z14" s="11" t="n">
        <v>2.02</v>
      </c>
      <c r="AA14" s="11" t="n">
        <v>1.53</v>
      </c>
      <c r="AB14" s="11" t="n">
        <v>1.9</v>
      </c>
      <c r="AC14" s="11" t="n">
        <v>2.04</v>
      </c>
      <c r="AD14" s="11" t="n">
        <v>2.55</v>
      </c>
      <c r="AE14" s="11" t="n">
        <v>3.51</v>
      </c>
    </row>
    <row r="15">
      <c r="A15" s="10" t="inlineStr">
        <is>
          <t>지분법이익</t>
        </is>
      </c>
      <c r="C15" s="11" t="n">
        <v>0.03</v>
      </c>
      <c r="D15" s="11" t="n">
        <v>0.42</v>
      </c>
      <c r="E15" s="11" t="n">
        <v>0.79</v>
      </c>
      <c r="F15" s="11" t="n">
        <v>0.48</v>
      </c>
      <c r="G15" s="11" t="n">
        <v>0.41</v>
      </c>
      <c r="H15" s="11" t="n">
        <v>0.67</v>
      </c>
      <c r="I15" s="11" t="n">
        <v>0.65</v>
      </c>
      <c r="J15" s="11" t="n">
        <v>0.9</v>
      </c>
      <c r="K15" s="11" t="n">
        <v>1.19</v>
      </c>
      <c r="L15" s="11" t="n">
        <v>0.25</v>
      </c>
      <c r="M15" s="11" t="n">
        <v>0.29</v>
      </c>
      <c r="N15" s="11" t="n">
        <v>0.52</v>
      </c>
      <c r="O15" s="11" t="n">
        <v>0.73</v>
      </c>
      <c r="P15" s="11" t="n">
        <v>0.68</v>
      </c>
      <c r="Q15" s="11" t="n">
        <v>0.18</v>
      </c>
      <c r="R15" s="11" t="n">
        <v>0</v>
      </c>
      <c r="S15" s="11" t="n">
        <v>0.08</v>
      </c>
      <c r="T15" s="11" t="n">
        <v>0.17</v>
      </c>
      <c r="U15" s="11" t="n">
        <v>1</v>
      </c>
      <c r="V15" s="11" t="n">
        <v>0.28</v>
      </c>
      <c r="W15" s="11" t="n">
        <v>1.16</v>
      </c>
      <c r="X15" s="11" t="n">
        <v>0.1</v>
      </c>
      <c r="Y15" s="11" t="n">
        <v>0</v>
      </c>
      <c r="Z15" s="11" t="n">
        <v>0</v>
      </c>
      <c r="AA15" s="11" t="n">
        <v>2.42</v>
      </c>
      <c r="AB15" s="11" t="n">
        <v>2.21</v>
      </c>
      <c r="AC15" s="11" t="n">
        <v>2.63</v>
      </c>
      <c r="AD15" s="11" t="n">
        <v>2.11</v>
      </c>
      <c r="AE15" s="11" t="n">
        <v>1.25</v>
      </c>
    </row>
    <row r="16">
      <c r="A16" s="10" t="inlineStr">
        <is>
          <t>외환차익</t>
        </is>
      </c>
      <c r="C16" s="11" t="n">
        <v>0.63</v>
      </c>
      <c r="D16" s="11" t="n">
        <v>0.31</v>
      </c>
      <c r="E16" s="11" t="n">
        <v>1.33</v>
      </c>
      <c r="F16" s="11" t="n">
        <v>1.06</v>
      </c>
      <c r="G16" s="11" t="n">
        <v>-0.29</v>
      </c>
      <c r="H16" s="11" t="n">
        <v>-0.06</v>
      </c>
      <c r="I16" s="11" t="n">
        <v>0.33</v>
      </c>
      <c r="J16" s="11" t="n">
        <v>0.36</v>
      </c>
      <c r="K16" s="11" t="n">
        <v>0.21</v>
      </c>
      <c r="L16" s="11" t="n">
        <v>0.24</v>
      </c>
      <c r="M16" s="11" t="n">
        <v>0.44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0.26</v>
      </c>
      <c r="S16" s="11" t="n">
        <v>0.49</v>
      </c>
      <c r="T16" s="11" t="n">
        <v>0.04</v>
      </c>
      <c r="U16" s="11" t="n">
        <v>0.08</v>
      </c>
      <c r="V16" s="11" t="n">
        <v>0.03</v>
      </c>
      <c r="W16" s="11" t="n">
        <v>0.06</v>
      </c>
      <c r="X16" s="11" t="n">
        <v>0</v>
      </c>
      <c r="Y16" s="11" t="n">
        <v>0</v>
      </c>
      <c r="Z16" s="11" t="n">
        <v>1.33</v>
      </c>
      <c r="AA16" s="11" t="n">
        <v>2.27</v>
      </c>
      <c r="AB16" s="11" t="n">
        <v>1.04</v>
      </c>
      <c r="AC16" s="11" t="n">
        <v>1.25</v>
      </c>
      <c r="AD16" s="11" t="n">
        <v>0</v>
      </c>
      <c r="AE16" s="11" t="n">
        <v>0.87</v>
      </c>
    </row>
    <row r="17">
      <c r="A17" s="10" t="inlineStr">
        <is>
          <t>환경대책비 환입이익</t>
        </is>
      </c>
      <c r="W17" s="11" t="n">
        <v>0.4</v>
      </c>
      <c r="X17" s="11" t="n">
        <v>0</v>
      </c>
    </row>
    <row r="18">
      <c r="A18" s="10" t="inlineStr">
        <is>
          <t>재해 보험금 수익</t>
        </is>
      </c>
      <c r="D18" s="11" t="n">
        <v>0</v>
      </c>
    </row>
    <row r="19">
      <c r="A19" s="10" t="inlineStr">
        <is>
          <t>재해 보험금 수익</t>
        </is>
      </c>
      <c r="X19" s="11" t="n">
        <v>0</v>
      </c>
      <c r="Y19" s="11" t="n">
        <v>1.04</v>
      </c>
      <c r="Z19" s="11" t="n">
        <v>0.34</v>
      </c>
      <c r="AA19" s="11" t="n">
        <v>0</v>
      </c>
    </row>
    <row r="20">
      <c r="A20" s="10" t="inlineStr">
        <is>
          <t>보조금 수입</t>
        </is>
      </c>
      <c r="X20" s="11" t="n">
        <v>0</v>
      </c>
      <c r="Y20" s="11" t="n">
        <v>0.4</v>
      </c>
      <c r="Z20" s="11" t="n">
        <v>0.4</v>
      </c>
      <c r="AA20" s="11" t="n">
        <v>0.2</v>
      </c>
      <c r="AB20" s="11" t="n">
        <v>0</v>
      </c>
    </row>
    <row r="21">
      <c r="A21" s="10" t="inlineStr">
        <is>
          <t>잡이익</t>
        </is>
      </c>
      <c r="C21" s="11" t="n">
        <v>0.14</v>
      </c>
      <c r="D21" s="11" t="n">
        <v>0.23</v>
      </c>
      <c r="E21" s="11" t="n">
        <v>-0.1</v>
      </c>
      <c r="F21" s="11" t="n">
        <v>0.08</v>
      </c>
      <c r="G21" s="11" t="n">
        <v>0.1</v>
      </c>
      <c r="H21" s="11" t="n">
        <v>0.04</v>
      </c>
      <c r="I21" s="11" t="n">
        <v>0.11</v>
      </c>
      <c r="J21" s="11" t="n">
        <v>0.08</v>
      </c>
      <c r="K21" s="11" t="n">
        <v>0.16</v>
      </c>
      <c r="L21" s="11" t="n">
        <v>0.06</v>
      </c>
      <c r="M21" s="11" t="n">
        <v>0.16</v>
      </c>
      <c r="N21" s="11" t="n">
        <v>0.14</v>
      </c>
      <c r="O21" s="11" t="n">
        <v>0.08</v>
      </c>
      <c r="P21" s="11" t="n">
        <v>0.5</v>
      </c>
      <c r="Q21" s="11" t="n">
        <v>0.04</v>
      </c>
      <c r="R21" s="11" t="n">
        <v>0.02</v>
      </c>
      <c r="S21" s="11" t="n">
        <v>0.09</v>
      </c>
      <c r="T21" s="11" t="n">
        <v>0.25</v>
      </c>
      <c r="U21" s="11" t="n">
        <v>0.2</v>
      </c>
      <c r="V21" s="11" t="n">
        <v>0.13</v>
      </c>
      <c r="W21" s="11" t="n">
        <v>0.61</v>
      </c>
      <c r="X21" s="11" t="n">
        <v>0.47</v>
      </c>
      <c r="Y21" s="11" t="n">
        <v>0.6</v>
      </c>
      <c r="Z21" s="11" t="n">
        <v>0.5600000000000001</v>
      </c>
      <c r="AA21" s="11" t="n">
        <v>0.39</v>
      </c>
      <c r="AB21" s="11" t="n">
        <v>0.33</v>
      </c>
      <c r="AC21" s="11" t="n">
        <v>0.46</v>
      </c>
      <c r="AD21" s="11" t="n">
        <v>0.76</v>
      </c>
      <c r="AE21" s="11" t="n">
        <v>0.5600000000000001</v>
      </c>
    </row>
    <row r="22">
      <c r="A22" s="5" t="inlineStr">
        <is>
          <t>영업외수익 합계</t>
        </is>
      </c>
      <c r="C22" s="6" t="n">
        <v>1.02</v>
      </c>
      <c r="D22" s="6" t="n">
        <v>1.43</v>
      </c>
      <c r="E22" s="6" t="n">
        <v>2.24</v>
      </c>
      <c r="F22" s="6" t="n">
        <v>2.8</v>
      </c>
      <c r="G22" s="6" t="n">
        <v>0.3</v>
      </c>
      <c r="H22" s="6" t="n">
        <v>1.39</v>
      </c>
      <c r="I22" s="6" t="n">
        <v>1.01</v>
      </c>
      <c r="J22" s="6" t="n">
        <v>2.52</v>
      </c>
      <c r="K22" s="6" t="n">
        <v>1.53</v>
      </c>
      <c r="L22" s="6" t="n">
        <v>1.43</v>
      </c>
      <c r="M22" s="6" t="n">
        <v>0.98</v>
      </c>
      <c r="N22" s="6" t="n">
        <v>2.07</v>
      </c>
      <c r="O22" s="6" t="n">
        <v>0.96</v>
      </c>
      <c r="P22" s="6" t="n">
        <v>2.2</v>
      </c>
      <c r="Q22" s="6" t="n">
        <v>0.24</v>
      </c>
      <c r="R22" s="6" t="n">
        <v>2.29</v>
      </c>
      <c r="S22" s="6" t="n">
        <v>0.85</v>
      </c>
      <c r="T22" s="6" t="n">
        <v>1.81</v>
      </c>
      <c r="U22" s="6" t="n">
        <v>1.32</v>
      </c>
      <c r="V22" s="6" t="n">
        <v>2.33</v>
      </c>
      <c r="W22" s="6" t="n">
        <v>4.59</v>
      </c>
      <c r="X22" s="6" t="n">
        <v>3.01</v>
      </c>
      <c r="Y22" s="6" t="n">
        <v>4.39</v>
      </c>
      <c r="Z22" s="6" t="n">
        <v>4.67</v>
      </c>
      <c r="AA22" s="6" t="n">
        <v>6.83</v>
      </c>
      <c r="AB22" s="6" t="n">
        <v>5.5</v>
      </c>
      <c r="AC22" s="6" t="n">
        <v>6.46</v>
      </c>
      <c r="AD22" s="6" t="n">
        <v>5.47</v>
      </c>
      <c r="AE22" s="6" t="n">
        <v>6.27</v>
      </c>
    </row>
    <row r="23">
      <c r="A23" s="10" t="inlineStr">
        <is>
          <t>이자비용</t>
        </is>
      </c>
      <c r="C23" s="11" t="n">
        <v>0.15</v>
      </c>
      <c r="D23" s="11" t="n">
        <v>0.15</v>
      </c>
      <c r="E23" s="11" t="n">
        <v>0.13</v>
      </c>
      <c r="F23" s="11" t="n">
        <v>0.13</v>
      </c>
      <c r="G23" s="11" t="n">
        <v>0.13</v>
      </c>
      <c r="H23" s="11" t="n">
        <v>0.14</v>
      </c>
      <c r="I23" s="11" t="n">
        <v>0.12</v>
      </c>
      <c r="J23" s="11" t="n">
        <v>0.12</v>
      </c>
      <c r="K23" s="11" t="n">
        <v>0.12</v>
      </c>
      <c r="L23" s="11" t="n">
        <v>0.11</v>
      </c>
      <c r="M23" s="11" t="n">
        <v>0.13</v>
      </c>
      <c r="N23" s="11" t="n">
        <v>0.14</v>
      </c>
      <c r="O23" s="11" t="n">
        <v>0.15</v>
      </c>
      <c r="P23" s="11" t="n">
        <v>0.21</v>
      </c>
      <c r="Q23" s="11" t="n">
        <v>0.25</v>
      </c>
      <c r="R23" s="11" t="n">
        <v>0.26</v>
      </c>
      <c r="S23" s="11" t="n">
        <v>0.28</v>
      </c>
      <c r="T23" s="11" t="n">
        <v>0.34</v>
      </c>
      <c r="U23" s="11" t="n">
        <v>0.38</v>
      </c>
      <c r="V23" s="11" t="n">
        <v>0.36</v>
      </c>
      <c r="W23" s="11" t="n">
        <v>1.48</v>
      </c>
      <c r="X23" s="11" t="n">
        <v>1.43</v>
      </c>
      <c r="Y23" s="11" t="n">
        <v>0.83</v>
      </c>
      <c r="Z23" s="11" t="n">
        <v>0.67</v>
      </c>
      <c r="AA23" s="11" t="n">
        <v>0.58</v>
      </c>
      <c r="AB23" s="11" t="n">
        <v>0.52</v>
      </c>
      <c r="AC23" s="11" t="n">
        <v>0.48</v>
      </c>
      <c r="AD23" s="11" t="n">
        <v>0.75</v>
      </c>
      <c r="AE23" s="11" t="n">
        <v>1.26</v>
      </c>
    </row>
    <row r="24">
      <c r="A24" s="10" t="inlineStr">
        <is>
          <t>지급수수료</t>
        </is>
      </c>
      <c r="W24" s="11" t="n">
        <v>0.93</v>
      </c>
      <c r="X24" s="11" t="n">
        <v>0.76</v>
      </c>
      <c r="Y24" s="11" t="n">
        <v>0.03</v>
      </c>
      <c r="Z24" s="11" t="n">
        <v>0.03</v>
      </c>
      <c r="AA24" s="11" t="n">
        <v>0.03</v>
      </c>
      <c r="AB24" s="11" t="n">
        <v>0.03</v>
      </c>
      <c r="AC24" s="11" t="n">
        <v>0.03</v>
      </c>
      <c r="AD24" s="11" t="n">
        <v>0.6899999999999999</v>
      </c>
      <c r="AE24" s="11" t="n">
        <v>0.24</v>
      </c>
    </row>
    <row r="25">
      <c r="A25" s="10" t="inlineStr">
        <is>
          <t>고정자산 폐기손실</t>
        </is>
      </c>
      <c r="C25" s="11" t="n">
        <v>0</v>
      </c>
      <c r="D25" s="11" t="n">
        <v>0</v>
      </c>
      <c r="E25" s="11" t="n">
        <v>0.04</v>
      </c>
      <c r="F25" s="11" t="n">
        <v>0</v>
      </c>
      <c r="G25" s="11" t="n">
        <v>0</v>
      </c>
      <c r="H25" s="11" t="n">
        <v>0</v>
      </c>
      <c r="I25" s="11" t="n">
        <v>0.01</v>
      </c>
      <c r="W25" s="11" t="n">
        <v>0.01</v>
      </c>
      <c r="X25" s="11" t="n">
        <v>0.04</v>
      </c>
      <c r="Y25" s="11" t="n">
        <v>0.05</v>
      </c>
      <c r="Z25" s="11" t="n">
        <v>0.05</v>
      </c>
      <c r="AA25" s="11" t="n">
        <v>0.04</v>
      </c>
      <c r="AB25" s="11" t="n">
        <v>0.01</v>
      </c>
    </row>
    <row r="26">
      <c r="A26" s="10" t="inlineStr">
        <is>
          <t>외환차손</t>
        </is>
      </c>
      <c r="C26" s="11" t="n">
        <v>-0.02</v>
      </c>
      <c r="F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0.79</v>
      </c>
      <c r="O26" s="11" t="n">
        <v>-0.36</v>
      </c>
      <c r="P26" s="11" t="n">
        <v>0.11</v>
      </c>
      <c r="Q26" s="11" t="n">
        <v>0.25</v>
      </c>
      <c r="R26" s="11" t="n">
        <v>0</v>
      </c>
      <c r="S26" s="11" t="n">
        <v>0</v>
      </c>
      <c r="T26" s="11" t="n">
        <v>0</v>
      </c>
      <c r="U26" s="11" t="n">
        <v>0</v>
      </c>
      <c r="W26" s="11" t="n">
        <v>0</v>
      </c>
      <c r="X26" s="11" t="n">
        <v>0.82</v>
      </c>
      <c r="Y26" s="11" t="n">
        <v>0.5600000000000001</v>
      </c>
      <c r="Z26" s="11" t="n">
        <v>0</v>
      </c>
      <c r="AC26" s="11" t="n">
        <v>0</v>
      </c>
      <c r="AD26" s="11" t="n">
        <v>0.79</v>
      </c>
      <c r="AE26" s="11" t="n">
        <v>0</v>
      </c>
    </row>
    <row r="27">
      <c r="A27" s="10" t="inlineStr">
        <is>
          <t>납기지연 연체금</t>
        </is>
      </c>
      <c r="AC27" s="11" t="n">
        <v>0.06</v>
      </c>
      <c r="AD27" s="11" t="n">
        <v>0.9399999999999999</v>
      </c>
      <c r="AE27" s="11" t="n">
        <v>0.35</v>
      </c>
    </row>
    <row r="28">
      <c r="A28" s="10" t="inlineStr">
        <is>
          <t>지분법손실</t>
        </is>
      </c>
      <c r="N28" s="11" t="n">
        <v>0</v>
      </c>
      <c r="R28" s="11" t="n">
        <v>0.01</v>
      </c>
      <c r="V28" s="11" t="n">
        <v>0</v>
      </c>
      <c r="X28" s="11" t="n">
        <v>0</v>
      </c>
      <c r="Y28" s="11" t="n">
        <v>0.39</v>
      </c>
      <c r="Z28" s="11" t="n">
        <v>0.04</v>
      </c>
      <c r="AA28" s="11" t="n">
        <v>0</v>
      </c>
    </row>
    <row r="29">
      <c r="A29" s="10" t="inlineStr">
        <is>
          <t>재해복구 비용</t>
        </is>
      </c>
      <c r="X29" s="11" t="n">
        <v>0</v>
      </c>
      <c r="Y29" s="11" t="n">
        <v>0.79</v>
      </c>
      <c r="Z29" s="11" t="n">
        <v>0</v>
      </c>
    </row>
    <row r="30">
      <c r="A30" s="10" t="inlineStr">
        <is>
          <t>납기지연 연체금</t>
        </is>
      </c>
      <c r="N30" s="11" t="n">
        <v>0</v>
      </c>
      <c r="R30" s="11" t="n">
        <v>0.25</v>
      </c>
      <c r="V30" s="11" t="n">
        <v>0.01</v>
      </c>
    </row>
    <row r="31">
      <c r="A31" s="10" t="inlineStr">
        <is>
          <t>잡손실</t>
        </is>
      </c>
      <c r="C31" s="11" t="n">
        <v>0.06</v>
      </c>
      <c r="D31" s="11" t="n">
        <v>0.02</v>
      </c>
      <c r="E31" s="11" t="n">
        <v>0.14</v>
      </c>
      <c r="F31" s="11" t="n">
        <v>0.03</v>
      </c>
      <c r="G31" s="11" t="n">
        <v>0.02</v>
      </c>
      <c r="H31" s="11" t="n">
        <v>0.04</v>
      </c>
      <c r="I31" s="11" t="n">
        <v>0.16</v>
      </c>
      <c r="J31" s="11" t="n">
        <v>0.01</v>
      </c>
      <c r="K31" s="11" t="n">
        <v>0.11</v>
      </c>
      <c r="L31" s="11" t="n">
        <v>0.01</v>
      </c>
      <c r="M31" s="11" t="n">
        <v>0.15</v>
      </c>
      <c r="N31" s="11" t="n">
        <v>0</v>
      </c>
      <c r="O31" s="11" t="n">
        <v>0.04</v>
      </c>
      <c r="P31" s="11" t="n">
        <v>0.02</v>
      </c>
      <c r="Q31" s="11" t="n">
        <v>0.22</v>
      </c>
      <c r="R31" s="11" t="n">
        <v>0.1</v>
      </c>
      <c r="S31" s="11" t="n">
        <v>0.02</v>
      </c>
      <c r="T31" s="11" t="n">
        <v>0.13</v>
      </c>
      <c r="U31" s="11" t="n">
        <v>0.07000000000000001</v>
      </c>
      <c r="V31" s="11" t="n">
        <v>0</v>
      </c>
      <c r="W31" s="11" t="n">
        <v>0.67</v>
      </c>
      <c r="X31" s="11" t="n">
        <v>0.55</v>
      </c>
      <c r="Y31" s="11" t="n">
        <v>0.32</v>
      </c>
      <c r="Z31" s="11" t="n">
        <v>0.53</v>
      </c>
      <c r="AA31" s="11" t="n">
        <v>0.23</v>
      </c>
      <c r="AB31" s="11" t="n">
        <v>0.25</v>
      </c>
      <c r="AC31" s="11" t="n">
        <v>0.28</v>
      </c>
      <c r="AD31" s="11" t="n">
        <v>0.28</v>
      </c>
      <c r="AE31" s="11" t="n">
        <v>0.32</v>
      </c>
    </row>
    <row r="32">
      <c r="A32" s="10" t="inlineStr">
        <is>
          <t>영업외비용 합계</t>
        </is>
      </c>
      <c r="C32" s="11" t="n">
        <v>0.18</v>
      </c>
      <c r="D32" s="11" t="n">
        <v>0.17</v>
      </c>
      <c r="E32" s="11" t="n">
        <v>0.34</v>
      </c>
      <c r="F32" s="11" t="n">
        <v>0.17</v>
      </c>
      <c r="G32" s="11" t="n">
        <v>0.15</v>
      </c>
      <c r="H32" s="11" t="n">
        <v>0.17</v>
      </c>
      <c r="I32" s="11" t="n">
        <v>0.32</v>
      </c>
      <c r="J32" s="11" t="n">
        <v>0.14</v>
      </c>
      <c r="K32" s="11" t="n">
        <v>0.22</v>
      </c>
      <c r="L32" s="11" t="n">
        <v>0.13</v>
      </c>
      <c r="M32" s="11" t="n">
        <v>0.37</v>
      </c>
      <c r="N32" s="11" t="n">
        <v>0.9399999999999999</v>
      </c>
      <c r="O32" s="11" t="n">
        <v>-0.16</v>
      </c>
      <c r="P32" s="11" t="n">
        <v>0.33</v>
      </c>
      <c r="Q32" s="11" t="n">
        <v>2.35</v>
      </c>
      <c r="R32" s="11" t="n">
        <v>0.63</v>
      </c>
      <c r="S32" s="11" t="n">
        <v>0.32</v>
      </c>
      <c r="T32" s="11" t="n">
        <v>0.53</v>
      </c>
      <c r="U32" s="11" t="n">
        <v>0.7</v>
      </c>
      <c r="V32" s="11" t="n">
        <v>0.37</v>
      </c>
      <c r="W32" s="11" t="n">
        <v>3.1</v>
      </c>
      <c r="X32" s="11" t="n">
        <v>3.63</v>
      </c>
      <c r="Y32" s="11" t="n">
        <v>3</v>
      </c>
      <c r="Z32" s="11" t="n">
        <v>1.33</v>
      </c>
      <c r="AA32" s="11" t="n">
        <v>0.89</v>
      </c>
      <c r="AB32" s="11" t="n">
        <v>0.8100000000000001</v>
      </c>
      <c r="AC32" s="11" t="n">
        <v>0.86</v>
      </c>
      <c r="AD32" s="11" t="n">
        <v>3.46</v>
      </c>
      <c r="AE32" s="11" t="n">
        <v>2.18</v>
      </c>
    </row>
    <row r="33">
      <c r="A33" s="5" t="inlineStr">
        <is>
          <t>경상이익</t>
        </is>
      </c>
      <c r="C33" s="6" t="n">
        <v>0.62</v>
      </c>
      <c r="D33" s="6" t="n">
        <v>1.37</v>
      </c>
      <c r="E33" s="6" t="n">
        <v>7.12</v>
      </c>
      <c r="F33" s="6" t="n">
        <v>-0.03</v>
      </c>
      <c r="G33" s="6" t="n">
        <v>2</v>
      </c>
      <c r="H33" s="6" t="n">
        <v>2.91</v>
      </c>
      <c r="I33" s="6" t="n">
        <v>4.99</v>
      </c>
      <c r="J33" s="6" t="n">
        <v>1.76</v>
      </c>
      <c r="K33" s="6" t="n">
        <v>3.8</v>
      </c>
      <c r="L33" s="6" t="n">
        <v>1.02</v>
      </c>
      <c r="M33" s="6" t="n">
        <v>8.289999999999999</v>
      </c>
      <c r="N33" s="6" t="n">
        <v>1.4</v>
      </c>
      <c r="O33" s="6" t="n">
        <v>8.470000000000001</v>
      </c>
      <c r="P33" s="6" t="n">
        <v>7.12</v>
      </c>
      <c r="Q33" s="6" t="n">
        <v>8.85</v>
      </c>
      <c r="R33" s="6" t="n">
        <v>5.33</v>
      </c>
      <c r="S33" s="6" t="n">
        <v>3.63</v>
      </c>
      <c r="T33" s="6" t="n">
        <v>13.45</v>
      </c>
      <c r="U33" s="6" t="n">
        <v>12.79</v>
      </c>
      <c r="V33" s="6" t="n">
        <v>12.69</v>
      </c>
      <c r="W33" s="6" t="n">
        <v>5.15</v>
      </c>
      <c r="X33" s="6" t="n">
        <v>4.95</v>
      </c>
      <c r="Y33" s="6" t="n">
        <v>12.07</v>
      </c>
      <c r="Z33" s="6" t="n">
        <v>7.57</v>
      </c>
      <c r="AA33" s="6" t="n">
        <v>7.66</v>
      </c>
      <c r="AB33" s="6" t="n">
        <v>9.869999999999999</v>
      </c>
      <c r="AC33" s="6" t="n">
        <v>14.87</v>
      </c>
      <c r="AD33" s="6" t="n">
        <v>25.84</v>
      </c>
      <c r="AE33" s="6" t="n">
        <v>35.2</v>
      </c>
    </row>
    <row r="34">
      <c r="A34" s="8" t="inlineStr">
        <is>
          <t>경상이익률</t>
        </is>
      </c>
      <c r="C34" s="9">
        <f>IF(OR(C33="",C4=""),"",IFERROR(C33/C4,""))</f>
        <v/>
      </c>
      <c r="D34" s="9">
        <f>IF(OR(D33="",D4=""),"",IFERROR(D33/D4,""))</f>
        <v/>
      </c>
      <c r="E34" s="9">
        <f>IF(OR(E33="",E4=""),"",IFERROR(E33/E4,""))</f>
        <v/>
      </c>
      <c r="F34" s="9">
        <f>IF(OR(F33="",F4=""),"",IFERROR(F33/F4,""))</f>
        <v/>
      </c>
      <c r="G34" s="9">
        <f>IF(OR(G33="",G4=""),"",IFERROR(G33/G4,""))</f>
        <v/>
      </c>
      <c r="H34" s="9">
        <f>IF(OR(H33="",H4=""),"",IFERROR(H33/H4,""))</f>
        <v/>
      </c>
      <c r="I34" s="9">
        <f>IF(OR(I33="",I4=""),"",IFERROR(I33/I4,""))</f>
        <v/>
      </c>
      <c r="J34" s="9">
        <f>IF(OR(J33="",J4=""),"",IFERROR(J33/J4,""))</f>
        <v/>
      </c>
      <c r="K34" s="9">
        <f>IF(OR(K33="",K4=""),"",IFERROR(K33/K4,""))</f>
        <v/>
      </c>
      <c r="L34" s="9">
        <f>IF(OR(L33="",L4=""),"",IFERROR(L33/L4,""))</f>
        <v/>
      </c>
      <c r="M34" s="9">
        <f>IF(OR(M33="",M4=""),"",IFERROR(M33/M4,""))</f>
        <v/>
      </c>
      <c r="N34" s="9">
        <f>IF(OR(N33="",N4=""),"",IFERROR(N33/N4,""))</f>
        <v/>
      </c>
      <c r="O34" s="9">
        <f>IF(OR(O33="",O4=""),"",IFERROR(O33/O4,""))</f>
        <v/>
      </c>
      <c r="P34" s="9">
        <f>IF(OR(P33="",P4=""),"",IFERROR(P33/P4,""))</f>
        <v/>
      </c>
      <c r="Q34" s="9">
        <f>IF(OR(Q33="",Q4=""),"",IFERROR(Q33/Q4,""))</f>
        <v/>
      </c>
      <c r="R34" s="9">
        <f>IF(OR(R33="",R4=""),"",IFERROR(R33/R4,""))</f>
        <v/>
      </c>
      <c r="S34" s="9">
        <f>IF(OR(S33="",S4=""),"",IFERROR(S33/S4,""))</f>
        <v/>
      </c>
      <c r="T34" s="9">
        <f>IF(OR(T33="",T4=""),"",IFERROR(T33/T4,""))</f>
        <v/>
      </c>
      <c r="U34" s="9">
        <f>IF(OR(U33="",U4=""),"",IFERROR(U33/U4,""))</f>
        <v/>
      </c>
      <c r="V34" s="9">
        <f>IF(OR(V33="",V4=""),"",IFERROR(V33/V4,""))</f>
        <v/>
      </c>
      <c r="W34" s="9">
        <f>IF(OR(W33="",W4=""),"",IFERROR(W33/W4,""))</f>
        <v/>
      </c>
      <c r="X34" s="9">
        <f>IF(OR(X33="",X4=""),"",IFERROR(X33/X4,""))</f>
        <v/>
      </c>
      <c r="Y34" s="9">
        <f>IF(OR(Y33="",Y4=""),"",IFERROR(Y33/Y4,""))</f>
        <v/>
      </c>
      <c r="Z34" s="9">
        <f>IF(OR(Z33="",Z4=""),"",IFERROR(Z33/Z4,""))</f>
        <v/>
      </c>
      <c r="AA34" s="9">
        <f>IF(OR(AA33="",AA4=""),"",IFERROR(AA33/AA4,""))</f>
        <v/>
      </c>
      <c r="AB34" s="9">
        <f>IF(OR(AB33="",AB4=""),"",IFERROR(AB33/AB4,""))</f>
        <v/>
      </c>
      <c r="AC34" s="9">
        <f>IF(OR(AC33="",AC4=""),"",IFERROR(AC33/AC4,""))</f>
        <v/>
      </c>
      <c r="AD34" s="9">
        <f>IF(OR(AD33="",AD4=""),"",IFERROR(AD33/AD4,""))</f>
        <v/>
      </c>
      <c r="AE34" s="9">
        <f>IF(OR(AE33="",AE4=""),"",IFERROR(AE33/AE4,""))</f>
        <v/>
      </c>
    </row>
    <row r="35">
      <c r="A35" s="10" t="inlineStr">
        <is>
          <t>환산조정 환입이익</t>
        </is>
      </c>
      <c r="Z35" s="11" t="n">
        <v>0</v>
      </c>
      <c r="AA35" s="11" t="n">
        <v>0.9399999999999999</v>
      </c>
      <c r="AB35" s="11" t="n">
        <v>0</v>
      </c>
    </row>
    <row r="36">
      <c r="A36" s="10" t="inlineStr">
        <is>
          <t>고정자산 매각이익</t>
        </is>
      </c>
      <c r="C36" s="11" t="n">
        <v>0</v>
      </c>
      <c r="D36" s="11" t="n">
        <v>0</v>
      </c>
      <c r="E36" s="11" t="n">
        <v>0</v>
      </c>
      <c r="F36" s="11" t="n">
        <v>1.5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W36" s="11" t="n">
        <v>0.04</v>
      </c>
      <c r="X36" s="11" t="n">
        <v>0</v>
      </c>
      <c r="AA36" s="11" t="n">
        <v>0</v>
      </c>
      <c r="AB36" s="11" t="n">
        <v>1.5</v>
      </c>
      <c r="AC36" s="11" t="n">
        <v>0</v>
      </c>
    </row>
    <row r="37">
      <c r="A37" s="10" t="inlineStr">
        <is>
          <t>투자유가증권 매각이익</t>
        </is>
      </c>
      <c r="C37" s="11" t="n">
        <v>2.04</v>
      </c>
      <c r="D37" s="11" t="n">
        <v>0</v>
      </c>
      <c r="E37" s="11" t="n">
        <v>0</v>
      </c>
      <c r="F37" s="11" t="n">
        <v>1.38</v>
      </c>
      <c r="G37" s="11" t="n">
        <v>2.67</v>
      </c>
      <c r="H37" s="11" t="n">
        <v>0.75</v>
      </c>
      <c r="I37" s="11" t="n">
        <v>0.5</v>
      </c>
      <c r="J37" s="11" t="n">
        <v>1.09</v>
      </c>
      <c r="K37" s="11" t="n">
        <v>0.49</v>
      </c>
      <c r="L37" s="11" t="n">
        <v>0.47</v>
      </c>
      <c r="M37" s="11" t="n">
        <v>1.32</v>
      </c>
      <c r="N37" s="11" t="n">
        <v>0.34</v>
      </c>
      <c r="O37" s="11" t="n">
        <v>1.16</v>
      </c>
      <c r="P37" s="11" t="n">
        <v>0.41</v>
      </c>
      <c r="Q37" s="11" t="n">
        <v>0.9</v>
      </c>
      <c r="R37" s="11" t="n">
        <v>1.02</v>
      </c>
      <c r="S37" s="11" t="n">
        <v>1.68</v>
      </c>
      <c r="T37" s="11" t="n">
        <v>0.91</v>
      </c>
      <c r="U37" s="11" t="n">
        <v>0.73</v>
      </c>
      <c r="V37" s="11" t="n">
        <v>0.27</v>
      </c>
      <c r="W37" s="11" t="n">
        <v>8.06</v>
      </c>
      <c r="X37" s="11" t="n">
        <v>8.039999999999999</v>
      </c>
      <c r="Y37" s="11" t="n">
        <v>4.47</v>
      </c>
      <c r="Z37" s="11" t="n">
        <v>4.07</v>
      </c>
      <c r="AA37" s="11" t="n">
        <v>3.66</v>
      </c>
      <c r="AB37" s="11" t="n">
        <v>5.3</v>
      </c>
      <c r="AC37" s="11" t="n">
        <v>3.37</v>
      </c>
      <c r="AD37" s="11" t="n">
        <v>2.81</v>
      </c>
      <c r="AE37" s="11" t="n">
        <v>4.34</v>
      </c>
    </row>
    <row r="38">
      <c r="A38" s="10" t="inlineStr">
        <is>
          <t>기타</t>
        </is>
      </c>
      <c r="W38" s="11" t="n">
        <v>0.02</v>
      </c>
      <c r="X38" s="11" t="n">
        <v>0</v>
      </c>
    </row>
    <row r="39">
      <c r="A39" s="10" t="inlineStr">
        <is>
          <t>환산조정 환입이익</t>
        </is>
      </c>
      <c r="C39" s="11" t="n">
        <v>0</v>
      </c>
      <c r="D39" s="11" t="n">
        <v>0</v>
      </c>
      <c r="F39" s="11" t="n">
        <v>0</v>
      </c>
      <c r="G39" s="11" t="n">
        <v>0</v>
      </c>
      <c r="H39" s="11" t="n">
        <v>0</v>
      </c>
    </row>
    <row r="40">
      <c r="A40" s="10" t="inlineStr">
        <is>
          <t>특별이익 합계</t>
        </is>
      </c>
      <c r="C40" s="11" t="n">
        <v>2.04</v>
      </c>
      <c r="D40" s="11" t="n">
        <v>0</v>
      </c>
      <c r="E40" s="11" t="n">
        <v>0</v>
      </c>
      <c r="F40" s="11" t="n">
        <v>2.89</v>
      </c>
      <c r="G40" s="11" t="n">
        <v>2.67</v>
      </c>
      <c r="H40" s="11" t="n">
        <v>0.75</v>
      </c>
      <c r="I40" s="11" t="n">
        <v>0.5</v>
      </c>
      <c r="J40" s="11" t="n">
        <v>1.09</v>
      </c>
      <c r="K40" s="11" t="n">
        <v>0.49</v>
      </c>
      <c r="L40" s="11" t="n">
        <v>0.47</v>
      </c>
      <c r="M40" s="11" t="n">
        <v>1.32</v>
      </c>
      <c r="N40" s="11" t="n">
        <v>0.34</v>
      </c>
      <c r="O40" s="11" t="n">
        <v>1.16</v>
      </c>
      <c r="P40" s="11" t="n">
        <v>0.41</v>
      </c>
      <c r="Q40" s="11" t="n">
        <v>0.9</v>
      </c>
      <c r="R40" s="11" t="n">
        <v>1.02</v>
      </c>
      <c r="S40" s="11" t="n">
        <v>1.68</v>
      </c>
      <c r="T40" s="11" t="n">
        <v>0.91</v>
      </c>
      <c r="U40" s="11" t="n">
        <v>0.73</v>
      </c>
      <c r="V40" s="11" t="n">
        <v>0.27</v>
      </c>
      <c r="W40" s="11" t="n">
        <v>8.140000000000001</v>
      </c>
      <c r="X40" s="11" t="n">
        <v>8.039999999999999</v>
      </c>
      <c r="Y40" s="11" t="n">
        <v>4.47</v>
      </c>
      <c r="Z40" s="11" t="n">
        <v>4.07</v>
      </c>
      <c r="AA40" s="11" t="n">
        <v>4.6</v>
      </c>
      <c r="AB40" s="11" t="n">
        <v>6.81</v>
      </c>
      <c r="AC40" s="11" t="n">
        <v>3.37</v>
      </c>
      <c r="AD40" s="11" t="n">
        <v>2.81</v>
      </c>
      <c r="AE40" s="11" t="n">
        <v>4.34</v>
      </c>
    </row>
    <row r="41">
      <c r="A41" s="10" t="inlineStr">
        <is>
          <t>공장 통합비용</t>
        </is>
      </c>
      <c r="W41" s="11" t="n">
        <v>3.39</v>
      </c>
      <c r="X41" s="11" t="n">
        <v>0</v>
      </c>
    </row>
    <row r="42">
      <c r="A42" s="10" t="inlineStr">
        <is>
          <t>창립 100주년 기념사업 비용</t>
        </is>
      </c>
      <c r="W42" s="11" t="n">
        <v>0.18</v>
      </c>
      <c r="X42" s="11" t="n">
        <v>0.53</v>
      </c>
      <c r="Y42" s="11" t="n">
        <v>0</v>
      </c>
    </row>
    <row r="43">
      <c r="A43" s="10" t="inlineStr">
        <is>
          <t>고정자산 매각손실</t>
        </is>
      </c>
      <c r="W43" s="11" t="n">
        <v>0.07000000000000001</v>
      </c>
      <c r="X43" s="11" t="n">
        <v>0</v>
      </c>
    </row>
    <row r="44">
      <c r="A44" s="10" t="inlineStr">
        <is>
          <t>사업구조개혁 비용</t>
        </is>
      </c>
      <c r="D44" s="11" t="n">
        <v>0</v>
      </c>
      <c r="F44" s="11" t="n">
        <v>0</v>
      </c>
      <c r="G44" s="11" t="n">
        <v>4.78</v>
      </c>
      <c r="H44" s="11" t="n">
        <v>0.12</v>
      </c>
      <c r="J44" s="11" t="n">
        <v>0.5600000000000001</v>
      </c>
      <c r="K44" s="11" t="n">
        <v>1.35</v>
      </c>
      <c r="L44" s="11" t="n">
        <v>-0.23</v>
      </c>
      <c r="N44" s="11" t="n">
        <v>0</v>
      </c>
    </row>
    <row r="45">
      <c r="A45" s="10" t="inlineStr">
        <is>
          <t>사업구조개혁 비용</t>
        </is>
      </c>
      <c r="AA45" s="11" t="n">
        <v>0</v>
      </c>
      <c r="AB45" s="11" t="n">
        <v>5.13</v>
      </c>
      <c r="AC45" s="11" t="n">
        <v>3.46</v>
      </c>
      <c r="AD45" s="11" t="n">
        <v>0</v>
      </c>
    </row>
    <row r="46">
      <c r="A46" s="10" t="inlineStr">
        <is>
          <t>손상차손</t>
        </is>
      </c>
      <c r="Z46" s="11" t="n">
        <v>0</v>
      </c>
      <c r="AA46" s="11" t="n">
        <v>22.56</v>
      </c>
      <c r="AB46" s="11" t="n">
        <v>0</v>
      </c>
      <c r="AC46" s="11" t="n">
        <v>0</v>
      </c>
      <c r="AD46" s="11" t="n">
        <v>0.38</v>
      </c>
      <c r="AE46" s="11" t="n">
        <v>0</v>
      </c>
    </row>
    <row r="47">
      <c r="A47" s="10" t="inlineStr">
        <is>
          <t>투자유가증권 평가손실</t>
        </is>
      </c>
      <c r="D47" s="11" t="n">
        <v>-0.13</v>
      </c>
      <c r="E47" s="11" t="n">
        <v>-0.01</v>
      </c>
      <c r="H47" s="11" t="n">
        <v>0</v>
      </c>
      <c r="I47" s="11" t="n">
        <v>0</v>
      </c>
      <c r="X47" s="11" t="n">
        <v>0</v>
      </c>
      <c r="Y47" s="11" t="n">
        <v>0.01</v>
      </c>
      <c r="Z47" s="11" t="n">
        <v>0</v>
      </c>
      <c r="AA47" s="11" t="n">
        <v>0.45</v>
      </c>
      <c r="AB47" s="11" t="n">
        <v>0</v>
      </c>
    </row>
    <row r="48">
      <c r="A48" s="10" t="inlineStr">
        <is>
          <t>관계회사 출자금 평가손실</t>
        </is>
      </c>
      <c r="Z48" s="11" t="n">
        <v>0</v>
      </c>
      <c r="AA48" s="11" t="n">
        <v>1.55</v>
      </c>
      <c r="AB48" s="11" t="n">
        <v>0</v>
      </c>
    </row>
    <row r="49">
      <c r="A49" s="10" t="inlineStr">
        <is>
          <t>손해보상 손실</t>
        </is>
      </c>
      <c r="AB49" s="11" t="n">
        <v>0</v>
      </c>
      <c r="AC49" s="11" t="n">
        <v>0.83</v>
      </c>
      <c r="AD49" s="11" t="n">
        <v>1.19</v>
      </c>
      <c r="AE49" s="11" t="n">
        <v>0</v>
      </c>
    </row>
    <row r="50">
      <c r="A50" s="10" t="inlineStr">
        <is>
          <t>특별손실 합계</t>
        </is>
      </c>
      <c r="D50" s="11" t="n">
        <v>-0.13</v>
      </c>
      <c r="E50" s="11" t="n">
        <v>24.1</v>
      </c>
      <c r="F50" s="11" t="n">
        <v>0</v>
      </c>
      <c r="G50" s="11" t="n">
        <v>4.78</v>
      </c>
      <c r="H50" s="11" t="n">
        <v>0.12</v>
      </c>
      <c r="I50" s="11" t="n">
        <v>0.23</v>
      </c>
      <c r="J50" s="11" t="n">
        <v>0.5600000000000001</v>
      </c>
      <c r="K50" s="11" t="n">
        <v>1.35</v>
      </c>
      <c r="L50" s="11" t="n">
        <v>-0.23</v>
      </c>
      <c r="M50" s="11" t="n">
        <v>2.61</v>
      </c>
      <c r="N50" s="11" t="n">
        <v>0</v>
      </c>
      <c r="O50" s="11" t="n">
        <v>0</v>
      </c>
      <c r="P50" s="11" t="n">
        <v>0</v>
      </c>
      <c r="Q50" s="11" t="n">
        <v>1.57</v>
      </c>
      <c r="W50" s="11" t="n">
        <v>3.65</v>
      </c>
      <c r="X50" s="11" t="n">
        <v>0.53</v>
      </c>
      <c r="Y50" s="11" t="n">
        <v>0.01</v>
      </c>
      <c r="Z50" s="11" t="n">
        <v>0</v>
      </c>
      <c r="AA50" s="11" t="n">
        <v>24.56</v>
      </c>
      <c r="AB50" s="11" t="n">
        <v>5.13</v>
      </c>
      <c r="AC50" s="11" t="n">
        <v>4.29</v>
      </c>
      <c r="AD50" s="11" t="n">
        <v>1.57</v>
      </c>
      <c r="AE50" s="11" t="n">
        <v>0</v>
      </c>
    </row>
    <row r="51">
      <c r="A51" s="10" t="inlineStr">
        <is>
          <t>법인세차감전 순이익</t>
        </is>
      </c>
      <c r="C51" s="11" t="n">
        <v>2.07</v>
      </c>
      <c r="D51" s="11" t="n">
        <v>1.51</v>
      </c>
      <c r="E51" s="11" t="n">
        <v>-16.98</v>
      </c>
      <c r="F51" s="11" t="n">
        <v>2.86</v>
      </c>
      <c r="G51" s="11" t="n">
        <v>-0.11</v>
      </c>
      <c r="H51" s="11" t="n">
        <v>3.55</v>
      </c>
      <c r="I51" s="11" t="n">
        <v>5.25</v>
      </c>
      <c r="J51" s="11" t="n">
        <v>2.28</v>
      </c>
      <c r="K51" s="11" t="n">
        <v>2.95</v>
      </c>
      <c r="L51" s="11" t="n">
        <v>1.73</v>
      </c>
      <c r="M51" s="11" t="n">
        <v>6.99</v>
      </c>
      <c r="N51" s="11" t="n">
        <v>1.75</v>
      </c>
      <c r="O51" s="11" t="n">
        <v>9.630000000000001</v>
      </c>
      <c r="P51" s="11" t="n">
        <v>7.52</v>
      </c>
      <c r="Q51" s="11" t="n">
        <v>8.18</v>
      </c>
      <c r="R51" s="11" t="n">
        <v>6.36</v>
      </c>
      <c r="S51" s="11" t="n">
        <v>5.3</v>
      </c>
      <c r="T51" s="11" t="n">
        <v>14.37</v>
      </c>
      <c r="U51" s="11" t="n">
        <v>13.51</v>
      </c>
      <c r="V51" s="11" t="n">
        <v>12.96</v>
      </c>
      <c r="W51" s="11" t="n">
        <v>9.640000000000001</v>
      </c>
      <c r="X51" s="11" t="n">
        <v>12.46</v>
      </c>
      <c r="Y51" s="11" t="n">
        <v>16.53</v>
      </c>
      <c r="Z51" s="11" t="n">
        <v>11.64</v>
      </c>
      <c r="AA51" s="11" t="n">
        <v>-12.3</v>
      </c>
      <c r="AB51" s="11" t="n">
        <v>11.55</v>
      </c>
      <c r="AC51" s="11" t="n">
        <v>13.95</v>
      </c>
      <c r="AD51" s="11" t="n">
        <v>27.08</v>
      </c>
      <c r="AE51" s="11" t="n">
        <v>39.54</v>
      </c>
    </row>
    <row r="52">
      <c r="A52" s="10" t="inlineStr">
        <is>
          <t>법인세·주민세·사업세</t>
        </is>
      </c>
      <c r="C52" s="11" t="n">
        <v>1.12</v>
      </c>
      <c r="D52" s="11" t="n">
        <v>-0.39</v>
      </c>
      <c r="E52" s="11" t="n">
        <v>3.15</v>
      </c>
      <c r="F52" s="11" t="n">
        <v>0.16</v>
      </c>
      <c r="G52" s="11" t="n">
        <v>1.69</v>
      </c>
      <c r="H52" s="11" t="n">
        <v>-1.59</v>
      </c>
      <c r="I52" s="11" t="n">
        <v>1.79</v>
      </c>
      <c r="J52" s="11" t="n">
        <v>0.12</v>
      </c>
      <c r="K52" s="11" t="n">
        <v>0.87</v>
      </c>
      <c r="L52" s="11" t="n">
        <v>-0.5</v>
      </c>
      <c r="M52" s="11" t="n">
        <v>3.47</v>
      </c>
      <c r="N52" s="11" t="n">
        <v>0.1</v>
      </c>
      <c r="O52" s="11" t="n">
        <v>4.33</v>
      </c>
      <c r="P52" s="11" t="n">
        <v>1.46</v>
      </c>
      <c r="Q52" s="11" t="n">
        <v>4.01</v>
      </c>
      <c r="R52" s="11" t="n">
        <v>0.12</v>
      </c>
      <c r="S52" s="11" t="n">
        <v>1.79</v>
      </c>
      <c r="T52" s="11" t="n">
        <v>1.87</v>
      </c>
      <c r="U52" s="11" t="n">
        <v>3.92</v>
      </c>
      <c r="V52" s="11" t="n">
        <v>2.08</v>
      </c>
      <c r="W52" s="11" t="n">
        <v>3.32</v>
      </c>
      <c r="X52" s="11" t="n">
        <v>4.48</v>
      </c>
      <c r="Y52" s="11" t="n">
        <v>5.77</v>
      </c>
      <c r="Z52" s="11" t="n">
        <v>3.52</v>
      </c>
      <c r="AA52" s="11" t="n">
        <v>4.03</v>
      </c>
      <c r="AB52" s="11" t="n">
        <v>2.05</v>
      </c>
      <c r="AC52" s="11" t="n">
        <v>3.96</v>
      </c>
      <c r="AD52" s="11" t="n">
        <v>9.9</v>
      </c>
      <c r="AE52" s="11" t="n">
        <v>7.7</v>
      </c>
    </row>
    <row r="53">
      <c r="A53" s="10" t="inlineStr">
        <is>
          <t>법인세 조정액</t>
        </is>
      </c>
      <c r="C53" s="11" t="n">
        <v>0.23</v>
      </c>
      <c r="D53" s="11" t="n">
        <v>0.83</v>
      </c>
      <c r="E53" s="11" t="n">
        <v>-7.9</v>
      </c>
      <c r="F53" s="11" t="n">
        <v>0.72</v>
      </c>
      <c r="G53" s="11" t="n">
        <v>-0.09</v>
      </c>
      <c r="H53" s="11" t="n">
        <v>1.07</v>
      </c>
      <c r="I53" s="11" t="n">
        <v>-0.46</v>
      </c>
      <c r="J53" s="11" t="n">
        <v>0.67</v>
      </c>
      <c r="K53" s="11" t="n">
        <v>0.38</v>
      </c>
      <c r="L53" s="11" t="n">
        <v>0.95</v>
      </c>
      <c r="M53" s="11" t="n">
        <v>-1.37</v>
      </c>
      <c r="N53" s="11" t="n">
        <v>0.67</v>
      </c>
      <c r="O53" s="11" t="n">
        <v>-1.72</v>
      </c>
      <c r="P53" s="11" t="n">
        <v>1.43</v>
      </c>
      <c r="Q53" s="11" t="n">
        <v>-4.48</v>
      </c>
      <c r="R53" s="11" t="n">
        <v>1.57</v>
      </c>
      <c r="S53" s="11" t="n">
        <v>-0.48</v>
      </c>
      <c r="T53" s="11" t="n">
        <v>2.63</v>
      </c>
      <c r="U53" s="11" t="n">
        <v>-1.65</v>
      </c>
      <c r="V53" s="11" t="n">
        <v>2.11</v>
      </c>
      <c r="W53" s="11" t="n">
        <v>-0.6</v>
      </c>
      <c r="X53" s="11" t="n">
        <v>1.07</v>
      </c>
      <c r="Y53" s="11" t="n">
        <v>-0.05</v>
      </c>
      <c r="Z53" s="11" t="n">
        <v>-1.65</v>
      </c>
      <c r="AA53" s="11" t="n">
        <v>-7.03</v>
      </c>
      <c r="AB53" s="11" t="n">
        <v>1.24</v>
      </c>
      <c r="AC53" s="11" t="n">
        <v>0.63</v>
      </c>
      <c r="AD53" s="11" t="n">
        <v>-4.1</v>
      </c>
      <c r="AE53" s="11" t="n">
        <v>2.07</v>
      </c>
    </row>
    <row r="54">
      <c r="A54" s="10" t="inlineStr">
        <is>
          <t>법인세 등 합계</t>
        </is>
      </c>
      <c r="C54" s="11" t="n">
        <v>1.34</v>
      </c>
      <c r="D54" s="11" t="n">
        <v>0.44</v>
      </c>
      <c r="E54" s="11" t="n">
        <v>-4.74</v>
      </c>
      <c r="F54" s="11" t="n">
        <v>0.89</v>
      </c>
      <c r="G54" s="11" t="n">
        <v>1.6</v>
      </c>
      <c r="H54" s="11" t="n">
        <v>-0.52</v>
      </c>
      <c r="I54" s="11" t="n">
        <v>1.33</v>
      </c>
      <c r="J54" s="11" t="n">
        <v>0.8</v>
      </c>
      <c r="K54" s="11" t="n">
        <v>1.24</v>
      </c>
      <c r="L54" s="11" t="n">
        <v>0.45</v>
      </c>
      <c r="M54" s="11" t="n">
        <v>2.11</v>
      </c>
      <c r="N54" s="11" t="n">
        <v>0.78</v>
      </c>
      <c r="O54" s="11" t="n">
        <v>2.59</v>
      </c>
      <c r="P54" s="11" t="n">
        <v>2.9</v>
      </c>
      <c r="Q54" s="11" t="n">
        <v>-0.48</v>
      </c>
      <c r="R54" s="11" t="n">
        <v>1.7</v>
      </c>
      <c r="S54" s="11" t="n">
        <v>1.31</v>
      </c>
      <c r="T54" s="11" t="n">
        <v>4.5</v>
      </c>
      <c r="U54" s="11" t="n">
        <v>2.27</v>
      </c>
      <c r="V54" s="11" t="n">
        <v>4.2</v>
      </c>
      <c r="W54" s="11" t="n">
        <v>2.72</v>
      </c>
      <c r="X54" s="11" t="n">
        <v>5.56</v>
      </c>
      <c r="Y54" s="11" t="n">
        <v>5.71</v>
      </c>
      <c r="Z54" s="11" t="n">
        <v>1.86</v>
      </c>
      <c r="AA54" s="11" t="n">
        <v>-2.99</v>
      </c>
      <c r="AB54" s="11" t="n">
        <v>3.3</v>
      </c>
      <c r="AC54" s="11" t="n">
        <v>4.6</v>
      </c>
      <c r="AD54" s="11" t="n">
        <v>5.79</v>
      </c>
      <c r="AE54" s="11" t="n">
        <v>9.779999999999999</v>
      </c>
    </row>
    <row r="55">
      <c r="A55" s="5" t="inlineStr">
        <is>
          <t>순이익</t>
        </is>
      </c>
      <c r="C55" s="6" t="n">
        <v>0.72</v>
      </c>
      <c r="D55" s="6" t="n">
        <v>1.07</v>
      </c>
      <c r="E55" s="6" t="n">
        <v>-12.23</v>
      </c>
      <c r="F55" s="6" t="n">
        <v>1.96</v>
      </c>
      <c r="G55" s="6" t="n">
        <v>-1.7</v>
      </c>
      <c r="H55" s="6" t="n">
        <v>4.06</v>
      </c>
      <c r="I55" s="6" t="n">
        <v>3.92</v>
      </c>
      <c r="J55" s="6" t="n">
        <v>1.48</v>
      </c>
      <c r="K55" s="6" t="n">
        <v>1.7</v>
      </c>
      <c r="L55" s="6" t="n">
        <v>1.28</v>
      </c>
      <c r="M55" s="6" t="n">
        <v>4.89</v>
      </c>
      <c r="N55" s="6" t="n">
        <v>0.97</v>
      </c>
      <c r="O55" s="6" t="n">
        <v>7.03</v>
      </c>
      <c r="P55" s="6" t="n">
        <v>4.62</v>
      </c>
      <c r="Q55" s="6" t="n">
        <v>8.66</v>
      </c>
      <c r="R55" s="6" t="n">
        <v>4.65</v>
      </c>
      <c r="S55" s="6" t="n">
        <v>4</v>
      </c>
      <c r="T55" s="6" t="n">
        <v>9.859999999999999</v>
      </c>
      <c r="U55" s="6" t="n">
        <v>11.25</v>
      </c>
      <c r="V55" s="6" t="n">
        <v>8.75</v>
      </c>
      <c r="W55" s="6" t="n">
        <v>6.92</v>
      </c>
      <c r="X55" s="6" t="n">
        <v>6.9</v>
      </c>
      <c r="Y55" s="6" t="n">
        <v>10.81</v>
      </c>
      <c r="Z55" s="6" t="n">
        <v>9.77</v>
      </c>
      <c r="AA55" s="6" t="n">
        <v>-9.300000000000001</v>
      </c>
      <c r="AB55" s="6" t="n">
        <v>8.24</v>
      </c>
      <c r="AC55" s="6" t="n">
        <v>9.35</v>
      </c>
      <c r="AD55" s="6" t="n">
        <v>21.28</v>
      </c>
      <c r="AE55" s="6" t="n">
        <v>29.76</v>
      </c>
    </row>
    <row r="56">
      <c r="A56" s="5" t="inlineStr">
        <is>
          <t>지배주주 순이익</t>
        </is>
      </c>
      <c r="C56" s="6" t="n">
        <v>0.72</v>
      </c>
      <c r="D56" s="6" t="n">
        <v>1.07</v>
      </c>
      <c r="E56" s="6" t="n">
        <v>-12.23</v>
      </c>
      <c r="F56" s="6" t="n">
        <v>1.96</v>
      </c>
      <c r="G56" s="6" t="n">
        <v>-1.7</v>
      </c>
      <c r="H56" s="6" t="n">
        <v>4.06</v>
      </c>
      <c r="I56" s="6" t="n">
        <v>3.92</v>
      </c>
      <c r="J56" s="6" t="n">
        <v>1.48</v>
      </c>
      <c r="K56" s="6" t="n">
        <v>1.7</v>
      </c>
      <c r="L56" s="6" t="n">
        <v>1.28</v>
      </c>
      <c r="M56" s="6" t="n">
        <v>4.89</v>
      </c>
      <c r="N56" s="6" t="n">
        <v>0.97</v>
      </c>
      <c r="O56" s="6" t="n">
        <v>7.03</v>
      </c>
      <c r="P56" s="6" t="n">
        <v>4.62</v>
      </c>
      <c r="Q56" s="6" t="n">
        <v>8.66</v>
      </c>
      <c r="R56" s="6" t="n">
        <v>4.65</v>
      </c>
      <c r="S56" s="6" t="n">
        <v>4</v>
      </c>
      <c r="T56" s="6" t="n">
        <v>9.859999999999999</v>
      </c>
      <c r="U56" s="6" t="n">
        <v>11.25</v>
      </c>
      <c r="V56" s="6" t="n">
        <v>8.75</v>
      </c>
      <c r="W56" s="6" t="n">
        <v>6.92</v>
      </c>
      <c r="X56" s="6" t="n">
        <v>6.9</v>
      </c>
      <c r="Y56" s="6" t="n">
        <v>10.81</v>
      </c>
      <c r="Z56" s="6" t="n">
        <v>9.77</v>
      </c>
      <c r="AA56" s="6" t="n">
        <v>-9.300000000000001</v>
      </c>
      <c r="AB56" s="6" t="n">
        <v>8.24</v>
      </c>
      <c r="AC56" s="6" t="n">
        <v>9.35</v>
      </c>
      <c r="AD56" s="6" t="n">
        <v>21.28</v>
      </c>
      <c r="AE56" s="6" t="n">
        <v>29.76</v>
      </c>
    </row>
    <row r="57">
      <c r="A57" s="8" t="inlineStr">
        <is>
          <t>순이익률</t>
        </is>
      </c>
      <c r="C57" s="9">
        <f>IF(OR(C56="",C4=""),"",IFERROR(C56/C4,""))</f>
        <v/>
      </c>
      <c r="D57" s="9">
        <f>IF(OR(D56="",D4=""),"",IFERROR(D56/D4,""))</f>
        <v/>
      </c>
      <c r="E57" s="9">
        <f>IF(OR(E56="",E4=""),"",IFERROR(E56/E4,""))</f>
        <v/>
      </c>
      <c r="F57" s="9">
        <f>IF(OR(F56="",F4=""),"",IFERROR(F56/F4,""))</f>
        <v/>
      </c>
      <c r="G57" s="9">
        <f>IF(OR(G56="",G4=""),"",IFERROR(G56/G4,""))</f>
        <v/>
      </c>
      <c r="H57" s="9">
        <f>IF(OR(H56="",H4=""),"",IFERROR(H56/H4,""))</f>
        <v/>
      </c>
      <c r="I57" s="9">
        <f>IF(OR(I56="",I4=""),"",IFERROR(I56/I4,""))</f>
        <v/>
      </c>
      <c r="J57" s="9">
        <f>IF(OR(J56="",J4=""),"",IFERROR(J56/J4,""))</f>
        <v/>
      </c>
      <c r="K57" s="9">
        <f>IF(OR(K56="",K4=""),"",IFERROR(K56/K4,""))</f>
        <v/>
      </c>
      <c r="L57" s="9">
        <f>IF(OR(L56="",L4=""),"",IFERROR(L56/L4,""))</f>
        <v/>
      </c>
      <c r="M57" s="9">
        <f>IF(OR(M56="",M4=""),"",IFERROR(M56/M4,""))</f>
        <v/>
      </c>
      <c r="N57" s="9">
        <f>IF(OR(N56="",N4=""),"",IFERROR(N56/N4,""))</f>
        <v/>
      </c>
      <c r="O57" s="9">
        <f>IF(OR(O56="",O4=""),"",IFERROR(O56/O4,""))</f>
        <v/>
      </c>
      <c r="P57" s="9">
        <f>IF(OR(P56="",P4=""),"",IFERROR(P56/P4,""))</f>
        <v/>
      </c>
      <c r="Q57" s="9">
        <f>IF(OR(Q56="",Q4=""),"",IFERROR(Q56/Q4,""))</f>
        <v/>
      </c>
      <c r="R57" s="9">
        <f>IF(OR(R56="",R4=""),"",IFERROR(R56/R4,""))</f>
        <v/>
      </c>
      <c r="S57" s="9">
        <f>IF(OR(S56="",S4=""),"",IFERROR(S56/S4,""))</f>
        <v/>
      </c>
      <c r="T57" s="9">
        <f>IF(OR(T56="",T4=""),"",IFERROR(T56/T4,""))</f>
        <v/>
      </c>
      <c r="U57" s="9">
        <f>IF(OR(U56="",U4=""),"",IFERROR(U56/U4,""))</f>
        <v/>
      </c>
      <c r="V57" s="9">
        <f>IF(OR(V56="",V4=""),"",IFERROR(V56/V4,""))</f>
        <v/>
      </c>
      <c r="W57" s="9">
        <f>IF(OR(W56="",W4=""),"",IFERROR(W56/W4,""))</f>
        <v/>
      </c>
      <c r="X57" s="9">
        <f>IF(OR(X56="",X4=""),"",IFERROR(X56/X4,""))</f>
        <v/>
      </c>
      <c r="Y57" s="9">
        <f>IF(OR(Y56="",Y4=""),"",IFERROR(Y56/Y4,""))</f>
        <v/>
      </c>
      <c r="Z57" s="9">
        <f>IF(OR(Z56="",Z4=""),"",IFERROR(Z56/Z4,""))</f>
        <v/>
      </c>
      <c r="AA57" s="9">
        <f>IF(OR(AA56="",AA4=""),"",IFERROR(AA56/AA4,""))</f>
        <v/>
      </c>
      <c r="AB57" s="9">
        <f>IF(OR(AB56="",AB4=""),"",IFERROR(AB56/AB4,""))</f>
        <v/>
      </c>
      <c r="AC57" s="9">
        <f>IF(OR(AC56="",AC4=""),"",IFERROR(AC56/AC4,""))</f>
        <v/>
      </c>
      <c r="AD57" s="9">
        <f>IF(OR(AD56="",AD4=""),"",IFERROR(AD56/AD4,""))</f>
        <v/>
      </c>
      <c r="AE57" s="9">
        <f>IF(OR(AE56="",AE4=""),"",IFERROR(AE56/AE4,""))</f>
        <v/>
      </c>
    </row>
    <row r="58">
      <c r="A58" s="8" t="inlineStr">
        <is>
          <t>YoY</t>
        </is>
      </c>
      <c r="G58" s="9">
        <f>IF(OR(G56="",C56=""),"",IFERROR(G56/C56-1,""))</f>
        <v/>
      </c>
      <c r="H58" s="9">
        <f>IF(OR(H56="",D56=""),"",IFERROR(H56/D56-1,""))</f>
        <v/>
      </c>
      <c r="I58" s="9">
        <f>IF(OR(I56="",E56=""),"",IFERROR(I56/E56-1,""))</f>
        <v/>
      </c>
      <c r="J58" s="9">
        <f>IF(OR(J56="",F56=""),"",IFERROR(J56/F56-1,""))</f>
        <v/>
      </c>
      <c r="K58" s="9">
        <f>IF(OR(K56="",G56=""),"",IFERROR(K56/G56-1,""))</f>
        <v/>
      </c>
      <c r="L58" s="9">
        <f>IF(OR(L56="",H56=""),"",IFERROR(L56/H56-1,""))</f>
        <v/>
      </c>
      <c r="M58" s="9">
        <f>IF(OR(M56="",I56=""),"",IFERROR(M56/I56-1,""))</f>
        <v/>
      </c>
      <c r="N58" s="9">
        <f>IF(OR(N56="",J56=""),"",IFERROR(N56/J56-1,""))</f>
        <v/>
      </c>
      <c r="O58" s="9">
        <f>IF(OR(O56="",K56=""),"",IFERROR(O56/K56-1,""))</f>
        <v/>
      </c>
      <c r="P58" s="9">
        <f>IF(OR(P56="",L56=""),"",IFERROR(P56/L56-1,""))</f>
        <v/>
      </c>
      <c r="Q58" s="9">
        <f>IF(OR(Q56="",M56=""),"",IFERROR(Q56/M56-1,""))</f>
        <v/>
      </c>
      <c r="R58" s="9">
        <f>IF(OR(R56="",N56=""),"",IFERROR(R56/N56-1,""))</f>
        <v/>
      </c>
      <c r="S58" s="9">
        <f>IF(OR(S56="",O56=""),"",IFERROR(S56/O56-1,""))</f>
        <v/>
      </c>
      <c r="T58" s="9">
        <f>IF(OR(T56="",P56=""),"",IFERROR(T56/P56-1,""))</f>
        <v/>
      </c>
      <c r="U58" s="9">
        <f>IF(OR(U56="",Q56=""),"",IFERROR(U56/Q56-1,""))</f>
        <v/>
      </c>
      <c r="V58" s="9">
        <f>IF(OR(V56="",R56=""),"",IFERROR(V56/R56-1,""))</f>
        <v/>
      </c>
      <c r="X58" s="9">
        <f>IF(OR(X56="",W56=""),"",IFERROR(X56/W56-1,""))</f>
        <v/>
      </c>
      <c r="Y58" s="9">
        <f>IF(OR(Y56="",X56=""),"",IFERROR(Y56/X56-1,""))</f>
        <v/>
      </c>
      <c r="Z58" s="9">
        <f>IF(OR(Z56="",Y56=""),"",IFERROR(Z56/Y56-1,""))</f>
        <v/>
      </c>
      <c r="AA58" s="9">
        <f>IF(OR(AA56="",Z56=""),"",IFERROR(AA56/Z56-1,""))</f>
        <v/>
      </c>
      <c r="AB58" s="9">
        <f>IF(OR(AB56="",AA56=""),"",IFERROR(AB56/AA56-1,""))</f>
        <v/>
      </c>
      <c r="AC58" s="9">
        <f>IF(OR(AC56="",AB56=""),"",IFERROR(AC56/AB56-1,""))</f>
        <v/>
      </c>
      <c r="AD58" s="9">
        <f>IF(OR(AD56="",AC56=""),"",IFERROR(AD56/AC56-1,""))</f>
        <v/>
      </c>
      <c r="AE58" s="9">
        <f>IF(OR(AE56="",AD56=""),"",IFERROR(AE56/AD56-1,""))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40" customWidth="1" min="32" max="32"/>
  </cols>
  <sheetData>
    <row r="1">
      <c r="A1" s="1" t="inlineStr">
        <is>
          <t>도요전기제조 포괄손익</t>
        </is>
      </c>
    </row>
    <row r="2">
      <c r="A2" s="2" t="inlineStr">
        <is>
          <t>결산기 기준(27.2Q = 2027년 결산기 2분기) · 5월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FY18</t>
        </is>
      </c>
      <c r="X3" s="4" t="inlineStr">
        <is>
          <t>FY19</t>
        </is>
      </c>
      <c r="Y3" s="4" t="inlineStr">
        <is>
          <t>FY20</t>
        </is>
      </c>
      <c r="Z3" s="4" t="inlineStr">
        <is>
          <t>FY21</t>
        </is>
      </c>
      <c r="AA3" s="4" t="inlineStr">
        <is>
          <t>FY22</t>
        </is>
      </c>
      <c r="AB3" s="4" t="inlineStr">
        <is>
          <t>FY23</t>
        </is>
      </c>
      <c r="AC3" s="4" t="inlineStr">
        <is>
          <t>FY24</t>
        </is>
      </c>
      <c r="AD3" s="4" t="inlineStr">
        <is>
          <t>FY25</t>
        </is>
      </c>
      <c r="AE3" s="4" t="inlineStr">
        <is>
          <t>FY26</t>
        </is>
      </c>
      <c r="AF3" s="4" t="inlineStr">
        <is>
          <t>출처</t>
        </is>
      </c>
    </row>
    <row r="4">
      <c r="A4" s="5" t="inlineStr">
        <is>
          <t>순이익</t>
        </is>
      </c>
      <c r="C4" s="6" t="n">
        <v>0.72</v>
      </c>
      <c r="D4" s="6" t="n">
        <v>1.07</v>
      </c>
      <c r="E4" s="6" t="n">
        <v>-12.23</v>
      </c>
      <c r="F4" s="6" t="n">
        <v>1.96</v>
      </c>
      <c r="G4" s="6" t="n">
        <v>-1.7</v>
      </c>
      <c r="H4" s="6" t="n">
        <v>4.06</v>
      </c>
      <c r="I4" s="6" t="n">
        <v>3.92</v>
      </c>
      <c r="J4" s="6" t="n">
        <v>1.48</v>
      </c>
      <c r="K4" s="6" t="n">
        <v>1.7</v>
      </c>
      <c r="L4" s="6" t="n">
        <v>1.28</v>
      </c>
      <c r="M4" s="6" t="n">
        <v>4.89</v>
      </c>
      <c r="N4" s="6" t="n">
        <v>0.97</v>
      </c>
      <c r="O4" s="6" t="n">
        <v>7.03</v>
      </c>
      <c r="P4" s="6" t="n">
        <v>4.62</v>
      </c>
      <c r="Q4" s="6" t="n">
        <v>8.66</v>
      </c>
      <c r="R4" s="6" t="n">
        <v>4.65</v>
      </c>
      <c r="S4" s="6" t="n">
        <v>4</v>
      </c>
      <c r="T4" s="6" t="n">
        <v>9.859999999999999</v>
      </c>
      <c r="U4" s="6" t="n">
        <v>11.25</v>
      </c>
      <c r="V4" s="6" t="n">
        <v>8.75</v>
      </c>
      <c r="W4" s="6" t="n">
        <v>6.92</v>
      </c>
      <c r="X4" s="6" t="n">
        <v>6.9</v>
      </c>
      <c r="Y4" s="6" t="n">
        <v>10.81</v>
      </c>
      <c r="Z4" s="6" t="n">
        <v>9.77</v>
      </c>
      <c r="AA4" s="6" t="n">
        <v>-9.300000000000001</v>
      </c>
      <c r="AB4" s="6" t="n">
        <v>8.24</v>
      </c>
      <c r="AC4" s="6" t="n">
        <v>9.35</v>
      </c>
      <c r="AD4" s="6" t="n">
        <v>21.28</v>
      </c>
      <c r="AE4" s="6" t="n">
        <v>29.76</v>
      </c>
      <c r="AF4" s="7" t="inlineStr">
        <is>
          <t>결산단신 XBRL(거래소 공시, TDnet·JPX 보관소). 쓴 문서: 2026-10-14, 2026-07-15, 2026-04-13, 2026-01-13 외 26건 — '출처' 시트에 전부</t>
        </is>
      </c>
    </row>
    <row r="5">
      <c r="A5" s="10" t="inlineStr">
        <is>
          <t>기타유가증권 평가차액</t>
        </is>
      </c>
      <c r="C5" s="11" t="n">
        <v>-7.14</v>
      </c>
      <c r="D5" s="11" t="n">
        <v>0.11</v>
      </c>
      <c r="E5" s="11" t="n">
        <v>-0.12</v>
      </c>
      <c r="F5" s="11" t="n">
        <v>6.16</v>
      </c>
      <c r="G5" s="11" t="n">
        <v>0.26</v>
      </c>
      <c r="H5" s="11" t="n">
        <v>-3.45</v>
      </c>
      <c r="I5" s="11" t="n">
        <v>11.59</v>
      </c>
      <c r="J5" s="11" t="n">
        <v>7.21</v>
      </c>
      <c r="K5" s="11" t="n">
        <v>-1.93</v>
      </c>
      <c r="L5" s="11" t="n">
        <v>9.369999999999999</v>
      </c>
      <c r="M5" s="11" t="n">
        <v>-11.4</v>
      </c>
      <c r="N5" s="11" t="n">
        <v>-7.17</v>
      </c>
      <c r="O5" s="11" t="n">
        <v>-0.35</v>
      </c>
      <c r="P5" s="11" t="n">
        <v>-0.05</v>
      </c>
      <c r="Q5" s="11" t="n">
        <v>3.18</v>
      </c>
      <c r="R5" s="11" t="n">
        <v>16.26</v>
      </c>
      <c r="S5" s="11" t="n">
        <v>-0.72</v>
      </c>
      <c r="T5" s="11" t="n">
        <v>9.77</v>
      </c>
      <c r="U5" s="11" t="n">
        <v>-20.93</v>
      </c>
      <c r="V5" s="11" t="n">
        <v>10.83</v>
      </c>
      <c r="W5" s="11" t="n">
        <v>12.31</v>
      </c>
      <c r="X5" s="11" t="n">
        <v>-9.34</v>
      </c>
      <c r="Y5" s="11" t="n">
        <v>-14.48</v>
      </c>
      <c r="Z5" s="11" t="n">
        <v>-9.24</v>
      </c>
      <c r="AA5" s="11" t="n">
        <v>-8.890000000000001</v>
      </c>
      <c r="AB5" s="11" t="n">
        <v>14.56</v>
      </c>
      <c r="AC5" s="11" t="n">
        <v>3.25</v>
      </c>
      <c r="AD5" s="11" t="n">
        <v>-4.39</v>
      </c>
      <c r="AE5" s="11" t="n">
        <v>4.38</v>
      </c>
    </row>
    <row r="6">
      <c r="A6" s="10" t="inlineStr">
        <is>
          <t>해외사업환산조정</t>
        </is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2.12</v>
      </c>
      <c r="N6" s="11" t="n">
        <v>0.48</v>
      </c>
      <c r="O6" s="11" t="n">
        <v>-0.65</v>
      </c>
      <c r="P6" s="11" t="n">
        <v>0.51</v>
      </c>
      <c r="Q6" s="11" t="n">
        <v>-0.44</v>
      </c>
      <c r="R6" s="11" t="n">
        <v>-0.17</v>
      </c>
      <c r="S6" s="11" t="n">
        <v>0.31</v>
      </c>
      <c r="T6" s="11" t="n">
        <v>0.64</v>
      </c>
      <c r="U6" s="11" t="n">
        <v>0.31</v>
      </c>
      <c r="V6" s="11" t="n">
        <v>0.33</v>
      </c>
      <c r="W6" s="11" t="n">
        <v>-0.04</v>
      </c>
      <c r="X6" s="11" t="n">
        <v>0.19</v>
      </c>
      <c r="Y6" s="11" t="n">
        <v>-0.12</v>
      </c>
      <c r="Z6" s="11" t="n">
        <v>-0.06</v>
      </c>
      <c r="AA6" s="11" t="n">
        <v>0.02</v>
      </c>
      <c r="AB6" s="11" t="n">
        <v>0</v>
      </c>
      <c r="AC6" s="11" t="n">
        <v>2.12</v>
      </c>
      <c r="AD6" s="11" t="n">
        <v>-0.1</v>
      </c>
      <c r="AE6" s="11" t="n">
        <v>1.09</v>
      </c>
    </row>
    <row r="7">
      <c r="A7" s="10" t="inlineStr">
        <is>
          <t>퇴직급여 조정액</t>
        </is>
      </c>
      <c r="C7" s="11" t="n">
        <v>0.06</v>
      </c>
      <c r="D7" s="11" t="n">
        <v>0.06</v>
      </c>
      <c r="E7" s="11" t="n">
        <v>0.17</v>
      </c>
      <c r="F7" s="11" t="n">
        <v>0.06</v>
      </c>
      <c r="G7" s="11" t="n">
        <v>0.06</v>
      </c>
      <c r="H7" s="11" t="n">
        <v>0.06</v>
      </c>
      <c r="I7" s="11" t="n">
        <v>0.17</v>
      </c>
      <c r="J7" s="11" t="n">
        <v>0.05</v>
      </c>
      <c r="K7" s="11" t="n">
        <v>0.06</v>
      </c>
      <c r="L7" s="11" t="n">
        <v>0.06</v>
      </c>
      <c r="M7" s="11" t="n">
        <v>0.18</v>
      </c>
      <c r="N7" s="11" t="n">
        <v>0.05</v>
      </c>
      <c r="O7" s="11" t="n">
        <v>0.05</v>
      </c>
      <c r="P7" s="11" t="n">
        <v>0.05</v>
      </c>
      <c r="Q7" s="11" t="n">
        <v>0.92</v>
      </c>
      <c r="R7" s="11" t="n">
        <v>-0.03</v>
      </c>
      <c r="S7" s="11" t="n">
        <v>-0.03</v>
      </c>
      <c r="T7" s="11" t="n">
        <v>-0.03</v>
      </c>
      <c r="U7" s="11" t="n">
        <v>3.53</v>
      </c>
      <c r="V7" s="11" t="n">
        <v>-0.12</v>
      </c>
      <c r="W7" s="11" t="n">
        <v>0.53</v>
      </c>
      <c r="X7" s="11" t="n">
        <v>0.54</v>
      </c>
      <c r="Y7" s="11" t="n">
        <v>0.62</v>
      </c>
      <c r="Z7" s="11" t="n">
        <v>0.32</v>
      </c>
      <c r="AA7" s="11" t="n">
        <v>0.35</v>
      </c>
      <c r="AB7" s="11" t="n">
        <v>0.35</v>
      </c>
      <c r="AC7" s="11" t="n">
        <v>0.35</v>
      </c>
      <c r="AD7" s="11" t="n">
        <v>1.07</v>
      </c>
      <c r="AE7" s="11" t="n">
        <v>3.44</v>
      </c>
    </row>
    <row r="8">
      <c r="A8" s="10" t="inlineStr">
        <is>
          <t>지분법 적용회사 지분 해당액</t>
        </is>
      </c>
      <c r="C8" s="11" t="n">
        <v>0.16</v>
      </c>
      <c r="D8" s="11" t="n">
        <v>0.11</v>
      </c>
      <c r="E8" s="11" t="n">
        <v>0.5</v>
      </c>
      <c r="F8" s="11" t="n">
        <v>0.8100000000000001</v>
      </c>
      <c r="G8" s="11" t="n">
        <v>0.79</v>
      </c>
      <c r="H8" s="11" t="n">
        <v>0</v>
      </c>
      <c r="I8" s="11" t="n">
        <v>-1.03</v>
      </c>
      <c r="J8" s="11" t="n">
        <v>0.31</v>
      </c>
      <c r="K8" s="11" t="n">
        <v>0.33</v>
      </c>
      <c r="L8" s="11" t="n">
        <v>0.54</v>
      </c>
      <c r="M8" s="11" t="n">
        <v>-0.48</v>
      </c>
      <c r="N8" s="11" t="n">
        <v>0.77</v>
      </c>
      <c r="O8" s="11" t="n">
        <v>1.04</v>
      </c>
      <c r="P8" s="11" t="n">
        <v>-1.4</v>
      </c>
      <c r="Q8" s="11" t="n">
        <v>1.11</v>
      </c>
      <c r="R8" s="11" t="n">
        <v>-0.99</v>
      </c>
      <c r="S8" s="11" t="n">
        <v>-0.35</v>
      </c>
      <c r="T8" s="11" t="n">
        <v>0.62</v>
      </c>
      <c r="U8" s="11" t="n">
        <v>1.38</v>
      </c>
      <c r="V8" s="11" t="n">
        <v>0.6899999999999999</v>
      </c>
      <c r="W8" s="11" t="n">
        <v>0.36</v>
      </c>
      <c r="X8" s="11" t="n">
        <v>-0.8100000000000001</v>
      </c>
      <c r="Y8" s="11" t="n">
        <v>-0.34</v>
      </c>
      <c r="Z8" s="11" t="n">
        <v>0.14</v>
      </c>
      <c r="AA8" s="11" t="n">
        <v>0.53</v>
      </c>
      <c r="AB8" s="11" t="n">
        <v>0.57</v>
      </c>
      <c r="AC8" s="11" t="n">
        <v>0.7</v>
      </c>
      <c r="AD8" s="11" t="n">
        <v>1.52</v>
      </c>
      <c r="AE8" s="11" t="n">
        <v>0.66</v>
      </c>
    </row>
    <row r="9">
      <c r="A9" s="10" t="inlineStr">
        <is>
          <t>기타포괄손익 합계</t>
        </is>
      </c>
      <c r="C9" s="11" t="n">
        <v>-6.92</v>
      </c>
      <c r="D9" s="11" t="n">
        <v>0.28</v>
      </c>
      <c r="E9" s="11" t="n">
        <v>0.5600000000000001</v>
      </c>
      <c r="F9" s="11" t="n">
        <v>7.03</v>
      </c>
      <c r="G9" s="11" t="n">
        <v>1.12</v>
      </c>
      <c r="H9" s="11" t="n">
        <v>-3.4</v>
      </c>
      <c r="I9" s="11" t="n">
        <v>10.74</v>
      </c>
      <c r="J9" s="11" t="n">
        <v>7.58</v>
      </c>
      <c r="K9" s="11" t="n">
        <v>-1.53</v>
      </c>
      <c r="L9" s="11" t="n">
        <v>9.960000000000001</v>
      </c>
      <c r="M9" s="11" t="n">
        <v>-9.56</v>
      </c>
      <c r="N9" s="11" t="n">
        <v>-5.86</v>
      </c>
      <c r="O9" s="11" t="n">
        <v>0.1</v>
      </c>
      <c r="P9" s="11" t="n">
        <v>-0.89</v>
      </c>
      <c r="Q9" s="11" t="n">
        <v>4.75</v>
      </c>
      <c r="R9" s="11" t="n">
        <v>15.06</v>
      </c>
      <c r="S9" s="11" t="n">
        <v>-0.79</v>
      </c>
      <c r="T9" s="11" t="n">
        <v>11.01</v>
      </c>
      <c r="U9" s="11" t="n">
        <v>-15.69</v>
      </c>
      <c r="V9" s="11" t="n">
        <v>11.74</v>
      </c>
      <c r="W9" s="11" t="n">
        <v>13.17</v>
      </c>
      <c r="X9" s="11" t="n">
        <v>-9.41</v>
      </c>
      <c r="Y9" s="11" t="n">
        <v>-14.33</v>
      </c>
      <c r="Z9" s="11" t="n">
        <v>-8.83</v>
      </c>
      <c r="AA9" s="11" t="n">
        <v>-7.97</v>
      </c>
      <c r="AB9" s="11" t="n">
        <v>15.49</v>
      </c>
      <c r="AC9" s="11" t="n">
        <v>6.45</v>
      </c>
      <c r="AD9" s="11" t="n">
        <v>-1.9</v>
      </c>
      <c r="AE9" s="11" t="n">
        <v>9.59</v>
      </c>
    </row>
    <row r="10">
      <c r="A10" s="10" t="inlineStr">
        <is>
          <t>포괄이익</t>
        </is>
      </c>
      <c r="C10" s="11" t="n">
        <v>-6.2</v>
      </c>
      <c r="D10" s="11" t="n">
        <v>1.36</v>
      </c>
      <c r="E10" s="11" t="n">
        <v>-11.68</v>
      </c>
      <c r="F10" s="11" t="n">
        <v>9</v>
      </c>
      <c r="G10" s="11" t="n">
        <v>-0.59</v>
      </c>
      <c r="H10" s="11" t="n">
        <v>0.67</v>
      </c>
      <c r="I10" s="11" t="n">
        <v>14.65</v>
      </c>
      <c r="J10" s="11" t="n">
        <v>9.06</v>
      </c>
      <c r="K10" s="11" t="n">
        <v>0.17</v>
      </c>
      <c r="L10" s="11" t="n">
        <v>11.24</v>
      </c>
      <c r="M10" s="11" t="n">
        <v>-4.67</v>
      </c>
      <c r="N10" s="11" t="n">
        <v>-4.88</v>
      </c>
      <c r="O10" s="11" t="n">
        <v>7.11</v>
      </c>
      <c r="P10" s="11" t="n">
        <v>3.74</v>
      </c>
      <c r="Q10" s="11" t="n">
        <v>13.41</v>
      </c>
      <c r="R10" s="11" t="n">
        <v>19.71</v>
      </c>
      <c r="S10" s="11" t="n">
        <v>3.22</v>
      </c>
      <c r="T10" s="11" t="n">
        <v>20.87</v>
      </c>
      <c r="U10" s="11" t="n">
        <v>-4.44</v>
      </c>
      <c r="V10" s="11" t="n">
        <v>20.5</v>
      </c>
      <c r="W10" s="11" t="n">
        <v>20.09</v>
      </c>
      <c r="X10" s="11" t="n">
        <v>-2.51</v>
      </c>
      <c r="Y10" s="11" t="n">
        <v>-3.51</v>
      </c>
      <c r="Z10" s="11" t="n">
        <v>0.9399999999999999</v>
      </c>
      <c r="AA10" s="11" t="n">
        <v>-17.27</v>
      </c>
      <c r="AB10" s="11" t="n">
        <v>23.73</v>
      </c>
      <c r="AC10" s="11" t="n">
        <v>15.8</v>
      </c>
      <c r="AD10" s="11" t="n">
        <v>19.38</v>
      </c>
      <c r="AE10" s="11" t="n">
        <v>39.36</v>
      </c>
    </row>
    <row r="11">
      <c r="A11" s="10" t="inlineStr">
        <is>
          <t>지배주주 포괄이익</t>
        </is>
      </c>
      <c r="C11" s="11" t="n">
        <v>-6.2</v>
      </c>
      <c r="D11" s="11" t="n">
        <v>1.36</v>
      </c>
      <c r="E11" s="11" t="n">
        <v>-11.68</v>
      </c>
      <c r="F11" s="11" t="n">
        <v>9</v>
      </c>
      <c r="G11" s="11" t="n">
        <v>-0.59</v>
      </c>
      <c r="H11" s="11" t="n">
        <v>0.67</v>
      </c>
      <c r="I11" s="11" t="n">
        <v>14.65</v>
      </c>
      <c r="J11" s="11" t="n">
        <v>9.06</v>
      </c>
      <c r="K11" s="11" t="n">
        <v>0.17</v>
      </c>
      <c r="L11" s="11" t="n">
        <v>11.24</v>
      </c>
      <c r="M11" s="11" t="n">
        <v>-4.67</v>
      </c>
      <c r="N11" s="11" t="n">
        <v>-4.88</v>
      </c>
      <c r="O11" s="11" t="n">
        <v>7.11</v>
      </c>
      <c r="P11" s="11" t="n">
        <v>3.74</v>
      </c>
      <c r="Q11" s="11" t="n">
        <v>13.41</v>
      </c>
      <c r="R11" s="11" t="n">
        <v>19.71</v>
      </c>
      <c r="S11" s="11" t="n">
        <v>3.22</v>
      </c>
      <c r="T11" s="11" t="n">
        <v>20.87</v>
      </c>
      <c r="U11" s="11" t="n">
        <v>-4.44</v>
      </c>
      <c r="V11" s="11" t="n">
        <v>20.5</v>
      </c>
      <c r="W11" s="11" t="n">
        <v>20.09</v>
      </c>
      <c r="X11" s="11" t="n">
        <v>-2.51</v>
      </c>
      <c r="Y11" s="11" t="n">
        <v>-3.51</v>
      </c>
      <c r="Z11" s="11" t="n">
        <v>0.9399999999999999</v>
      </c>
      <c r="AA11" s="11" t="n">
        <v>-17.27</v>
      </c>
      <c r="AB11" s="11" t="n">
        <v>23.73</v>
      </c>
      <c r="AC11" s="11" t="n">
        <v>15.8</v>
      </c>
      <c r="AD11" s="11" t="n">
        <v>19.38</v>
      </c>
      <c r="AE11" s="11" t="n">
        <v>39.36</v>
      </c>
    </row>
    <row r="12">
      <c r="A12" s="10" t="inlineStr">
        <is>
          <t>비지배주주 포괄이익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40" customWidth="1" min="32" max="32"/>
  </cols>
  <sheetData>
    <row r="1">
      <c r="A1" s="1" t="inlineStr">
        <is>
          <t>도요전기제조 재무상태표</t>
        </is>
      </c>
    </row>
    <row r="2">
      <c r="A2" s="2" t="inlineStr">
        <is>
          <t>결산기 기준(27.2Q = 2027년 결산기 2분기) · 5월 결산 · 연결 · 분기 말 잔액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FY18</t>
        </is>
      </c>
      <c r="X3" s="4" t="inlineStr">
        <is>
          <t>FY19</t>
        </is>
      </c>
      <c r="Y3" s="4" t="inlineStr">
        <is>
          <t>FY20</t>
        </is>
      </c>
      <c r="Z3" s="4" t="inlineStr">
        <is>
          <t>FY21</t>
        </is>
      </c>
      <c r="AA3" s="4" t="inlineStr">
        <is>
          <t>FY22</t>
        </is>
      </c>
      <c r="AB3" s="4" t="inlineStr">
        <is>
          <t>FY23</t>
        </is>
      </c>
      <c r="AC3" s="4" t="inlineStr">
        <is>
          <t>FY24</t>
        </is>
      </c>
      <c r="AD3" s="4" t="inlineStr">
        <is>
          <t>FY25</t>
        </is>
      </c>
      <c r="AE3" s="4" t="inlineStr">
        <is>
          <t>FY26</t>
        </is>
      </c>
      <c r="AF3" s="4" t="inlineStr">
        <is>
          <t>출처</t>
        </is>
      </c>
    </row>
    <row r="4">
      <c r="A4" s="10" t="inlineStr">
        <is>
          <t>현금 및 예금</t>
        </is>
      </c>
      <c r="C4" s="11" t="n">
        <v>39.71</v>
      </c>
      <c r="D4" s="11" t="n">
        <v>41.11</v>
      </c>
      <c r="E4" s="11" t="n">
        <v>44.49</v>
      </c>
      <c r="F4" s="11" t="n">
        <v>41.84</v>
      </c>
      <c r="G4" s="11" t="n">
        <v>40.61</v>
      </c>
      <c r="H4" s="11" t="n">
        <v>40.33</v>
      </c>
      <c r="I4" s="11" t="n">
        <v>55.2</v>
      </c>
      <c r="J4" s="11" t="n">
        <v>44.94</v>
      </c>
      <c r="K4" s="11" t="n">
        <v>48.45</v>
      </c>
      <c r="L4" s="11" t="n">
        <v>35.02</v>
      </c>
      <c r="M4" s="11" t="n">
        <v>64.23</v>
      </c>
      <c r="N4" s="11" t="n">
        <v>27.63</v>
      </c>
      <c r="O4" s="11" t="n">
        <v>43.87</v>
      </c>
      <c r="P4" s="11" t="n">
        <v>39.12</v>
      </c>
      <c r="Q4" s="11" t="n">
        <v>50.07</v>
      </c>
      <c r="R4" s="11" t="n">
        <v>45.85</v>
      </c>
      <c r="S4" s="11" t="n">
        <v>43.13</v>
      </c>
      <c r="T4" s="11" t="n">
        <v>42.39</v>
      </c>
      <c r="U4" s="11" t="n">
        <v>45.29</v>
      </c>
      <c r="V4" s="11" t="n">
        <v>43.06</v>
      </c>
      <c r="W4" s="11" t="n">
        <v>15.55</v>
      </c>
      <c r="X4" s="11" t="n">
        <v>22.4</v>
      </c>
      <c r="Y4" s="11" t="n">
        <v>32.93</v>
      </c>
      <c r="Z4" s="11" t="n">
        <v>39.64</v>
      </c>
      <c r="AA4" s="11" t="n">
        <v>44.49</v>
      </c>
      <c r="AB4" s="11" t="n">
        <v>55.2</v>
      </c>
      <c r="AC4" s="11" t="n">
        <v>64.23</v>
      </c>
      <c r="AD4" s="11" t="n">
        <v>50.07</v>
      </c>
      <c r="AE4" s="11" t="n">
        <v>45.29</v>
      </c>
      <c r="AF4" s="7" t="inlineStr">
        <is>
          <t>결산단신 XBRL(거래소 공시, TDnet·JPX 보관소). 쓴 문서: 2026-10-14, 2026-07-15, 2026-04-13, 2026-01-13 외 26건 — '출처' 시트에 전부</t>
        </is>
      </c>
    </row>
    <row r="5">
      <c r="A5" s="10" t="inlineStr">
        <is>
          <t>받을어음·매출채권·계약자산</t>
        </is>
      </c>
      <c r="C5" s="11" t="n">
        <v>136.73</v>
      </c>
      <c r="D5" s="11" t="n">
        <v>128.01</v>
      </c>
      <c r="E5" s="11" t="n">
        <v>120.91</v>
      </c>
      <c r="F5" s="11" t="n">
        <v>122.11</v>
      </c>
      <c r="G5" s="11" t="n">
        <v>135.23</v>
      </c>
      <c r="H5" s="11" t="n">
        <v>123.18</v>
      </c>
      <c r="I5" s="11" t="n">
        <v>132.36</v>
      </c>
      <c r="J5" s="11" t="n">
        <v>124.44</v>
      </c>
      <c r="K5" s="11" t="n">
        <v>127.19</v>
      </c>
      <c r="L5" s="11" t="n">
        <v>133.29</v>
      </c>
      <c r="M5" s="11" t="n">
        <v>117.56</v>
      </c>
      <c r="N5" s="11" t="n">
        <v>138.52</v>
      </c>
      <c r="O5" s="11" t="n">
        <v>166.98</v>
      </c>
      <c r="P5" s="11" t="n">
        <v>171.93</v>
      </c>
      <c r="Q5" s="11" t="n">
        <v>151.61</v>
      </c>
      <c r="R5" s="11" t="n">
        <v>142.12</v>
      </c>
      <c r="S5" s="11" t="n">
        <v>162.49</v>
      </c>
      <c r="T5" s="11" t="n">
        <v>180.86</v>
      </c>
      <c r="U5" s="11" t="n">
        <v>161.53</v>
      </c>
      <c r="V5" s="11" t="n">
        <v>174.22</v>
      </c>
      <c r="Z5" s="11" t="n">
        <v>0</v>
      </c>
      <c r="AA5" s="11" t="n">
        <v>120.91</v>
      </c>
      <c r="AB5" s="11" t="n">
        <v>132.36</v>
      </c>
      <c r="AC5" s="11" t="n">
        <v>117.56</v>
      </c>
      <c r="AD5" s="11" t="n">
        <v>151.61</v>
      </c>
      <c r="AE5" s="11" t="n">
        <v>161.53</v>
      </c>
    </row>
    <row r="6">
      <c r="A6" s="10" t="inlineStr">
        <is>
          <t>받을어음·매출채권</t>
        </is>
      </c>
      <c r="C6" s="11" t="n">
        <v>0</v>
      </c>
      <c r="D6" s="11" t="n">
        <v>0</v>
      </c>
      <c r="E6" s="11" t="n">
        <v>0</v>
      </c>
      <c r="W6" s="11" t="n">
        <v>169.6</v>
      </c>
      <c r="X6" s="11" t="n">
        <v>141.92</v>
      </c>
      <c r="Y6" s="11" t="n">
        <v>141.35</v>
      </c>
      <c r="Z6" s="11" t="n">
        <v>132.18</v>
      </c>
      <c r="AA6" s="11" t="n">
        <v>0</v>
      </c>
    </row>
    <row r="7">
      <c r="A7" s="10" t="inlineStr">
        <is>
          <t>전자기록채권</t>
        </is>
      </c>
      <c r="C7" s="11" t="n">
        <v>13.32</v>
      </c>
      <c r="D7" s="11" t="n">
        <v>9.640000000000001</v>
      </c>
      <c r="E7" s="11" t="n">
        <v>11.36</v>
      </c>
      <c r="F7" s="11" t="n">
        <v>11.02</v>
      </c>
      <c r="G7" s="11" t="n">
        <v>9.06</v>
      </c>
      <c r="H7" s="11" t="n">
        <v>9.859999999999999</v>
      </c>
      <c r="I7" s="11" t="n">
        <v>11.16</v>
      </c>
      <c r="J7" s="11" t="n">
        <v>14.64</v>
      </c>
      <c r="K7" s="11" t="n">
        <v>15.63</v>
      </c>
      <c r="L7" s="11" t="n">
        <v>12.34</v>
      </c>
      <c r="M7" s="11" t="n">
        <v>18.49</v>
      </c>
      <c r="N7" s="11" t="n">
        <v>12.09</v>
      </c>
      <c r="O7" s="11" t="n">
        <v>14.56</v>
      </c>
      <c r="P7" s="11" t="n">
        <v>14.46</v>
      </c>
      <c r="Q7" s="11" t="n">
        <v>16.4</v>
      </c>
      <c r="R7" s="11" t="n">
        <v>13.23</v>
      </c>
      <c r="S7" s="11" t="n">
        <v>14.87</v>
      </c>
      <c r="T7" s="11" t="n">
        <v>13.96</v>
      </c>
      <c r="U7" s="11" t="n">
        <v>12.9</v>
      </c>
      <c r="V7" s="11" t="n">
        <v>10.43</v>
      </c>
      <c r="W7" s="11" t="n">
        <v>11.52</v>
      </c>
      <c r="X7" s="11" t="n">
        <v>14.43</v>
      </c>
      <c r="Y7" s="11" t="n">
        <v>15.38</v>
      </c>
      <c r="Z7" s="11" t="n">
        <v>9.01</v>
      </c>
      <c r="AA7" s="11" t="n">
        <v>11.36</v>
      </c>
      <c r="AB7" s="11" t="n">
        <v>11.16</v>
      </c>
      <c r="AC7" s="11" t="n">
        <v>18.49</v>
      </c>
      <c r="AD7" s="11" t="n">
        <v>16.4</v>
      </c>
      <c r="AE7" s="11" t="n">
        <v>12.9</v>
      </c>
    </row>
    <row r="8">
      <c r="A8" s="10" t="inlineStr">
        <is>
          <t>상품·제품</t>
        </is>
      </c>
      <c r="C8" s="11" t="n">
        <v>6.09</v>
      </c>
      <c r="D8" s="11" t="n">
        <v>5.79</v>
      </c>
      <c r="E8" s="11" t="n">
        <v>5.01</v>
      </c>
      <c r="F8" s="11" t="n">
        <v>5.68</v>
      </c>
      <c r="G8" s="11" t="n">
        <v>5.19</v>
      </c>
      <c r="H8" s="11" t="n">
        <v>6.36</v>
      </c>
      <c r="I8" s="11" t="n">
        <v>3.76</v>
      </c>
      <c r="J8" s="11" t="n">
        <v>5.11</v>
      </c>
      <c r="K8" s="11" t="n">
        <v>5.28</v>
      </c>
      <c r="L8" s="11" t="n">
        <v>5.48</v>
      </c>
      <c r="M8" s="11" t="n">
        <v>4.66</v>
      </c>
      <c r="N8" s="11" t="n">
        <v>4.68</v>
      </c>
      <c r="O8" s="11" t="n">
        <v>4.64</v>
      </c>
      <c r="P8" s="11" t="n">
        <v>6.27</v>
      </c>
      <c r="Q8" s="11" t="n">
        <v>7.52</v>
      </c>
      <c r="R8" s="11" t="n">
        <v>6.97</v>
      </c>
      <c r="S8" s="11" t="n">
        <v>5.95</v>
      </c>
      <c r="T8" s="11" t="n">
        <v>4.47</v>
      </c>
      <c r="U8" s="11" t="n">
        <v>3.56</v>
      </c>
      <c r="V8" s="11" t="n">
        <v>4.48</v>
      </c>
      <c r="W8" s="11" t="n">
        <v>10.06</v>
      </c>
      <c r="X8" s="11" t="n">
        <v>9.91</v>
      </c>
      <c r="Y8" s="11" t="n">
        <v>7.56</v>
      </c>
      <c r="Z8" s="11" t="n">
        <v>5.14</v>
      </c>
      <c r="AA8" s="11" t="n">
        <v>5.01</v>
      </c>
      <c r="AB8" s="11" t="n">
        <v>3.76</v>
      </c>
      <c r="AC8" s="11" t="n">
        <v>4.66</v>
      </c>
      <c r="AD8" s="11" t="n">
        <v>7.52</v>
      </c>
      <c r="AE8" s="11" t="n">
        <v>3.56</v>
      </c>
    </row>
    <row r="9">
      <c r="A9" s="10" t="inlineStr">
        <is>
          <t>재공품</t>
        </is>
      </c>
      <c r="C9" s="11" t="n">
        <v>30.79</v>
      </c>
      <c r="D9" s="11" t="n">
        <v>35.92</v>
      </c>
      <c r="E9" s="11" t="n">
        <v>30.77</v>
      </c>
      <c r="F9" s="11" t="n">
        <v>34.51</v>
      </c>
      <c r="G9" s="11" t="n">
        <v>38.34</v>
      </c>
      <c r="H9" s="11" t="n">
        <v>44.87</v>
      </c>
      <c r="I9" s="11" t="n">
        <v>31.06</v>
      </c>
      <c r="J9" s="11" t="n">
        <v>33.59</v>
      </c>
      <c r="K9" s="11" t="n">
        <v>33.02</v>
      </c>
      <c r="L9" s="11" t="n">
        <v>38.64</v>
      </c>
      <c r="M9" s="11" t="n">
        <v>36.92</v>
      </c>
      <c r="N9" s="11" t="n">
        <v>39.34</v>
      </c>
      <c r="O9" s="11" t="n">
        <v>36.85</v>
      </c>
      <c r="P9" s="11" t="n">
        <v>35.76</v>
      </c>
      <c r="Q9" s="11" t="n">
        <v>35.53</v>
      </c>
      <c r="R9" s="11" t="n">
        <v>44.54</v>
      </c>
      <c r="S9" s="11" t="n">
        <v>48.52</v>
      </c>
      <c r="T9" s="11" t="n">
        <v>48.08</v>
      </c>
      <c r="U9" s="11" t="n">
        <v>46</v>
      </c>
      <c r="V9" s="11" t="n">
        <v>43.18</v>
      </c>
      <c r="W9" s="11" t="n">
        <v>35.06</v>
      </c>
      <c r="X9" s="11" t="n">
        <v>35.04</v>
      </c>
      <c r="Y9" s="11" t="n">
        <v>34.24</v>
      </c>
      <c r="Z9" s="11" t="n">
        <v>35.65</v>
      </c>
      <c r="AA9" s="11" t="n">
        <v>30.77</v>
      </c>
      <c r="AB9" s="11" t="n">
        <v>31.06</v>
      </c>
      <c r="AC9" s="11" t="n">
        <v>36.92</v>
      </c>
      <c r="AD9" s="11" t="n">
        <v>35.53</v>
      </c>
      <c r="AE9" s="11" t="n">
        <v>46</v>
      </c>
    </row>
    <row r="10">
      <c r="A10" s="10" t="inlineStr">
        <is>
          <t>원재료·저장품</t>
        </is>
      </c>
      <c r="C10" s="11" t="n">
        <v>26.28</v>
      </c>
      <c r="D10" s="11" t="n">
        <v>26.86</v>
      </c>
      <c r="E10" s="11" t="n">
        <v>26.88</v>
      </c>
      <c r="F10" s="11" t="n">
        <v>27.22</v>
      </c>
      <c r="G10" s="11" t="n">
        <v>25.66</v>
      </c>
      <c r="H10" s="11" t="n">
        <v>27.69</v>
      </c>
      <c r="I10" s="11" t="n">
        <v>28.36</v>
      </c>
      <c r="J10" s="11" t="n">
        <v>30.1</v>
      </c>
      <c r="K10" s="11" t="n">
        <v>29.38</v>
      </c>
      <c r="L10" s="11" t="n">
        <v>30.79</v>
      </c>
      <c r="M10" s="11" t="n">
        <v>33.88</v>
      </c>
      <c r="N10" s="11" t="n">
        <v>35.85</v>
      </c>
      <c r="O10" s="11" t="n">
        <v>37.75</v>
      </c>
      <c r="P10" s="11" t="n">
        <v>40.91</v>
      </c>
      <c r="Q10" s="11" t="n">
        <v>37.7</v>
      </c>
      <c r="R10" s="11" t="n">
        <v>38.13</v>
      </c>
      <c r="S10" s="11" t="n">
        <v>34.96</v>
      </c>
      <c r="T10" s="11" t="n">
        <v>36.5</v>
      </c>
      <c r="U10" s="11" t="n">
        <v>34.67</v>
      </c>
      <c r="V10" s="11" t="n">
        <v>35.37</v>
      </c>
      <c r="W10" s="11" t="n">
        <v>33.19</v>
      </c>
      <c r="X10" s="11" t="n">
        <v>30.74</v>
      </c>
      <c r="Y10" s="11" t="n">
        <v>29.96</v>
      </c>
      <c r="Z10" s="11" t="n">
        <v>28.21</v>
      </c>
      <c r="AA10" s="11" t="n">
        <v>26.88</v>
      </c>
      <c r="AB10" s="11" t="n">
        <v>28.36</v>
      </c>
      <c r="AC10" s="11" t="n">
        <v>33.88</v>
      </c>
      <c r="AD10" s="11" t="n">
        <v>37.7</v>
      </c>
      <c r="AE10" s="11" t="n">
        <v>34.67</v>
      </c>
    </row>
    <row r="11">
      <c r="A11" s="10" t="inlineStr">
        <is>
          <t>선급금</t>
        </is>
      </c>
      <c r="C11" s="11" t="n">
        <v>0.18</v>
      </c>
      <c r="D11" s="11" t="n">
        <v>0.09</v>
      </c>
      <c r="E11" s="11" t="n">
        <v>0.08</v>
      </c>
      <c r="F11" s="11" t="n">
        <v>0.21</v>
      </c>
      <c r="G11" s="11" t="n">
        <v>0.33</v>
      </c>
      <c r="H11" s="11" t="n">
        <v>0.23</v>
      </c>
      <c r="I11" s="11" t="n">
        <v>0.22</v>
      </c>
      <c r="J11" s="11" t="n">
        <v>0.23</v>
      </c>
      <c r="K11" s="11" t="n">
        <v>0.13</v>
      </c>
      <c r="L11" s="11" t="n">
        <v>0.13</v>
      </c>
      <c r="M11" s="11" t="n">
        <v>0.13</v>
      </c>
      <c r="N11" s="11" t="n">
        <v>0.19</v>
      </c>
      <c r="O11" s="11" t="n">
        <v>0.15</v>
      </c>
      <c r="P11" s="11" t="n">
        <v>0.09</v>
      </c>
      <c r="Q11" s="11" t="n">
        <v>0.16</v>
      </c>
      <c r="R11" s="11" t="n">
        <v>0.63</v>
      </c>
      <c r="S11" s="11" t="n">
        <v>0.11</v>
      </c>
      <c r="T11" s="11" t="n">
        <v>0.34</v>
      </c>
      <c r="U11" s="11" t="n">
        <v>0.17</v>
      </c>
      <c r="V11" s="11" t="n">
        <v>0.25</v>
      </c>
      <c r="W11" s="11" t="n">
        <v>0.3</v>
      </c>
      <c r="X11" s="11" t="n">
        <v>0.47</v>
      </c>
      <c r="Y11" s="11" t="n">
        <v>0.13</v>
      </c>
      <c r="Z11" s="11" t="n">
        <v>0.07000000000000001</v>
      </c>
      <c r="AA11" s="11" t="n">
        <v>0.08</v>
      </c>
      <c r="AB11" s="11" t="n">
        <v>0.22</v>
      </c>
      <c r="AC11" s="11" t="n">
        <v>0.13</v>
      </c>
      <c r="AD11" s="11" t="n">
        <v>0.16</v>
      </c>
      <c r="AE11" s="11" t="n">
        <v>0.17</v>
      </c>
    </row>
    <row r="12">
      <c r="A12" s="10" t="inlineStr">
        <is>
          <t>미수금</t>
        </is>
      </c>
      <c r="C12" s="11" t="n">
        <v>0.18</v>
      </c>
      <c r="D12" s="11" t="n">
        <v>0.17</v>
      </c>
      <c r="E12" s="11" t="n">
        <v>0.25</v>
      </c>
      <c r="F12" s="11" t="n">
        <v>0.58</v>
      </c>
      <c r="G12" s="11" t="n">
        <v>0.21</v>
      </c>
      <c r="H12" s="11" t="n">
        <v>2</v>
      </c>
      <c r="I12" s="11" t="n">
        <v>1.62</v>
      </c>
      <c r="J12" s="11" t="n">
        <v>1.9</v>
      </c>
      <c r="K12" s="11" t="n">
        <v>0.46</v>
      </c>
      <c r="L12" s="11" t="n">
        <v>1.09</v>
      </c>
      <c r="M12" s="11" t="n">
        <v>1.16</v>
      </c>
      <c r="N12" s="11" t="n">
        <v>0.96</v>
      </c>
      <c r="O12" s="11" t="n">
        <v>0.99</v>
      </c>
      <c r="P12" s="11" t="n">
        <v>1.2</v>
      </c>
      <c r="Q12" s="11" t="n">
        <v>1.57</v>
      </c>
      <c r="R12" s="11" t="n">
        <v>0.8</v>
      </c>
      <c r="S12" s="11" t="n">
        <v>0.87</v>
      </c>
      <c r="T12" s="11" t="n">
        <v>3.05</v>
      </c>
      <c r="U12" s="11" t="n">
        <v>0.7</v>
      </c>
      <c r="V12" s="11" t="n">
        <v>0.82</v>
      </c>
      <c r="W12" s="11" t="n">
        <v>5.47</v>
      </c>
      <c r="X12" s="11" t="n">
        <v>4.61</v>
      </c>
      <c r="Y12" s="11" t="n">
        <v>0.39</v>
      </c>
      <c r="Z12" s="11" t="n">
        <v>1.14</v>
      </c>
      <c r="AA12" s="11" t="n">
        <v>0.25</v>
      </c>
      <c r="AB12" s="11" t="n">
        <v>1.62</v>
      </c>
      <c r="AC12" s="11" t="n">
        <v>1.16</v>
      </c>
      <c r="AD12" s="11" t="n">
        <v>1.57</v>
      </c>
      <c r="AE12" s="11" t="n">
        <v>0.7</v>
      </c>
    </row>
    <row r="13">
      <c r="A13" s="10" t="inlineStr">
        <is>
          <t>기타</t>
        </is>
      </c>
      <c r="C13" s="11" t="n">
        <v>2.54</v>
      </c>
      <c r="D13" s="11" t="n">
        <v>3.57</v>
      </c>
      <c r="E13" s="11" t="n">
        <v>2.12</v>
      </c>
      <c r="F13" s="11" t="n">
        <v>2.65</v>
      </c>
      <c r="G13" s="11" t="n">
        <v>3.53</v>
      </c>
      <c r="H13" s="11" t="n">
        <v>5.34</v>
      </c>
      <c r="I13" s="11" t="n">
        <v>3.7</v>
      </c>
      <c r="J13" s="11" t="n">
        <v>3.79</v>
      </c>
      <c r="K13" s="11" t="n">
        <v>4.37</v>
      </c>
      <c r="L13" s="11" t="n">
        <v>2.92</v>
      </c>
      <c r="M13" s="11" t="n">
        <v>2.8</v>
      </c>
      <c r="N13" s="11" t="n">
        <v>2.59</v>
      </c>
      <c r="O13" s="11" t="n">
        <v>3.58</v>
      </c>
      <c r="P13" s="11" t="n">
        <v>4.21</v>
      </c>
      <c r="Q13" s="11" t="n">
        <v>3.56</v>
      </c>
      <c r="R13" s="11" t="n">
        <v>3.37</v>
      </c>
      <c r="S13" s="11" t="n">
        <v>4.17</v>
      </c>
      <c r="T13" s="11" t="n">
        <v>3.01</v>
      </c>
      <c r="U13" s="11" t="n">
        <v>2.91</v>
      </c>
      <c r="V13" s="11" t="n">
        <v>3.38</v>
      </c>
      <c r="W13" s="11" t="n">
        <v>5.34</v>
      </c>
      <c r="X13" s="11" t="n">
        <v>0.64</v>
      </c>
      <c r="Y13" s="11" t="n">
        <v>0.86</v>
      </c>
      <c r="Z13" s="11" t="n">
        <v>1.96</v>
      </c>
      <c r="AA13" s="11" t="n">
        <v>2.12</v>
      </c>
      <c r="AB13" s="11" t="n">
        <v>3.7</v>
      </c>
      <c r="AC13" s="11" t="n">
        <v>2.8</v>
      </c>
      <c r="AD13" s="11" t="n">
        <v>3.56</v>
      </c>
      <c r="AE13" s="11" t="n">
        <v>2.91</v>
      </c>
    </row>
    <row r="14">
      <c r="A14" s="10" t="inlineStr">
        <is>
          <t>대손충당금</t>
        </is>
      </c>
      <c r="C14" s="11" t="n">
        <v>-0.01</v>
      </c>
      <c r="D14" s="11" t="n">
        <v>-0.01</v>
      </c>
      <c r="E14" s="11" t="n">
        <v>-0.01</v>
      </c>
      <c r="F14" s="11" t="n">
        <v>-0.01</v>
      </c>
      <c r="G14" s="11" t="n">
        <v>-0.01</v>
      </c>
      <c r="H14" s="11" t="n">
        <v>-0.01</v>
      </c>
      <c r="I14" s="11" t="n">
        <v>-0.1</v>
      </c>
      <c r="J14" s="11" t="n">
        <v>-0.4</v>
      </c>
      <c r="K14" s="11" t="n">
        <v>-0.51</v>
      </c>
      <c r="L14" s="11" t="n">
        <v>-0.1</v>
      </c>
      <c r="M14" s="11" t="n">
        <v>-0.25</v>
      </c>
      <c r="N14" s="11" t="n">
        <v>-0.24</v>
      </c>
      <c r="O14" s="11" t="n">
        <v>-0.4</v>
      </c>
      <c r="P14" s="11" t="n">
        <v>-1.73</v>
      </c>
      <c r="Q14" s="11" t="n">
        <v>-3.27</v>
      </c>
      <c r="R14" s="11" t="n">
        <v>-3.27</v>
      </c>
      <c r="S14" s="11" t="n">
        <v>-3.27</v>
      </c>
      <c r="T14" s="11" t="n">
        <v>-3.28</v>
      </c>
      <c r="U14" s="11" t="n">
        <v>-3.39</v>
      </c>
      <c r="V14" s="11" t="n">
        <v>-3.24</v>
      </c>
      <c r="W14" s="11" t="n">
        <v>-0.01</v>
      </c>
      <c r="X14" s="11" t="n">
        <v>-0.01</v>
      </c>
      <c r="Y14" s="11" t="n">
        <v>-0</v>
      </c>
      <c r="Z14" s="11" t="n">
        <v>-0.02</v>
      </c>
      <c r="AA14" s="11" t="n">
        <v>-0.01</v>
      </c>
      <c r="AB14" s="11" t="n">
        <v>-0.1</v>
      </c>
      <c r="AC14" s="11" t="n">
        <v>-0.25</v>
      </c>
      <c r="AD14" s="11" t="n">
        <v>-3.27</v>
      </c>
      <c r="AE14" s="11" t="n">
        <v>-3.39</v>
      </c>
    </row>
    <row r="15">
      <c r="A15" s="10" t="inlineStr">
        <is>
          <t>유동자산 합계</t>
        </is>
      </c>
      <c r="C15" s="11" t="n">
        <v>255.84</v>
      </c>
      <c r="D15" s="11" t="n">
        <v>251.2</v>
      </c>
      <c r="E15" s="11" t="n">
        <v>241.89</v>
      </c>
      <c r="F15" s="11" t="n">
        <v>245.85</v>
      </c>
      <c r="G15" s="11" t="n">
        <v>258.16</v>
      </c>
      <c r="H15" s="11" t="n">
        <v>259.89</v>
      </c>
      <c r="I15" s="11" t="n">
        <v>267.38</v>
      </c>
      <c r="J15" s="11" t="n">
        <v>258.38</v>
      </c>
      <c r="K15" s="11" t="n">
        <v>263.43</v>
      </c>
      <c r="L15" s="11" t="n">
        <v>259.62</v>
      </c>
      <c r="M15" s="11" t="n">
        <v>279.6</v>
      </c>
      <c r="N15" s="11" t="n">
        <v>261.65</v>
      </c>
      <c r="O15" s="11" t="n">
        <v>308.99</v>
      </c>
      <c r="P15" s="11" t="n">
        <v>312.27</v>
      </c>
      <c r="Q15" s="11" t="n">
        <v>300.86</v>
      </c>
      <c r="R15" s="11" t="n">
        <v>292.4</v>
      </c>
      <c r="S15" s="11" t="n">
        <v>311.84</v>
      </c>
      <c r="T15" s="11" t="n">
        <v>329.42</v>
      </c>
      <c r="U15" s="11" t="n">
        <v>304.37</v>
      </c>
      <c r="V15" s="11" t="n">
        <v>311.98</v>
      </c>
      <c r="W15" s="11" t="n">
        <v>286.11</v>
      </c>
      <c r="X15" s="11" t="n">
        <v>260.19</v>
      </c>
      <c r="Y15" s="11" t="n">
        <v>262.84</v>
      </c>
      <c r="Z15" s="11" t="n">
        <v>253</v>
      </c>
      <c r="AA15" s="11" t="n">
        <v>241.89</v>
      </c>
      <c r="AB15" s="11" t="n">
        <v>267.38</v>
      </c>
      <c r="AC15" s="11" t="n">
        <v>279.6</v>
      </c>
      <c r="AD15" s="11" t="n">
        <v>300.86</v>
      </c>
      <c r="AE15" s="11" t="n">
        <v>304.37</v>
      </c>
    </row>
    <row r="16">
      <c r="A16" s="10" t="inlineStr">
        <is>
          <t>건물·구축물</t>
        </is>
      </c>
      <c r="C16" s="11" t="n">
        <v>123.46</v>
      </c>
      <c r="D16" s="11" t="n">
        <v>123.54</v>
      </c>
      <c r="E16" s="11" t="n">
        <v>103.26</v>
      </c>
      <c r="F16" s="11" t="n">
        <v>99.53</v>
      </c>
      <c r="G16" s="11" t="n">
        <v>99.48999999999999</v>
      </c>
      <c r="H16" s="11" t="n">
        <v>99.53</v>
      </c>
      <c r="I16" s="11" t="n">
        <v>99.52</v>
      </c>
      <c r="J16" s="11" t="n">
        <v>99.53</v>
      </c>
      <c r="K16" s="11" t="n">
        <v>99.66</v>
      </c>
      <c r="L16" s="11" t="n">
        <v>99.68000000000001</v>
      </c>
      <c r="M16" s="11" t="n">
        <v>99.87</v>
      </c>
      <c r="N16" s="11" t="n">
        <v>99.97</v>
      </c>
      <c r="O16" s="11" t="n">
        <v>99.91</v>
      </c>
      <c r="P16" s="11" t="n">
        <v>99.94</v>
      </c>
      <c r="Q16" s="11" t="n">
        <v>99.84</v>
      </c>
      <c r="R16" s="11" t="n">
        <v>99.01000000000001</v>
      </c>
      <c r="S16" s="11" t="n">
        <v>99</v>
      </c>
      <c r="T16" s="11" t="n">
        <v>98.84999999999999</v>
      </c>
      <c r="U16" s="11" t="n">
        <v>99.26000000000001</v>
      </c>
      <c r="V16" s="11" t="n">
        <v>101.75</v>
      </c>
      <c r="W16" s="11" t="n">
        <v>119.81</v>
      </c>
      <c r="X16" s="11" t="n">
        <v>122.1</v>
      </c>
      <c r="Y16" s="11" t="n">
        <v>122.69</v>
      </c>
      <c r="Z16" s="11" t="n">
        <v>123.38</v>
      </c>
      <c r="AA16" s="11" t="n">
        <v>103.26</v>
      </c>
      <c r="AB16" s="11" t="n">
        <v>99.52</v>
      </c>
      <c r="AC16" s="11" t="n">
        <v>99.87</v>
      </c>
      <c r="AD16" s="11" t="n">
        <v>99.84</v>
      </c>
      <c r="AE16" s="11" t="n">
        <v>99.26000000000001</v>
      </c>
    </row>
    <row r="17">
      <c r="A17" s="10" t="inlineStr">
        <is>
          <t>감가상각누계액</t>
        </is>
      </c>
      <c r="C17" s="11" t="n">
        <v>-61.34</v>
      </c>
      <c r="D17" s="11" t="n">
        <v>-62.37</v>
      </c>
      <c r="E17" s="11" t="n">
        <v>-63.41</v>
      </c>
      <c r="F17" s="11" t="n">
        <v>-61.44</v>
      </c>
      <c r="G17" s="11" t="n">
        <v>-62.03</v>
      </c>
      <c r="H17" s="11" t="n">
        <v>-62.73</v>
      </c>
      <c r="I17" s="11" t="n">
        <v>-63.4</v>
      </c>
      <c r="J17" s="11" t="n">
        <v>-64.09</v>
      </c>
      <c r="K17" s="11" t="n">
        <v>-64.77</v>
      </c>
      <c r="L17" s="11" t="n">
        <v>-65.45999999999999</v>
      </c>
      <c r="M17" s="11" t="n">
        <v>-66.14</v>
      </c>
      <c r="N17" s="11" t="n">
        <v>-66.77</v>
      </c>
      <c r="O17" s="11" t="n">
        <v>-67.36</v>
      </c>
      <c r="P17" s="11" t="n">
        <v>-67.98999999999999</v>
      </c>
      <c r="Q17" s="11" t="n">
        <v>-68.59999999999999</v>
      </c>
      <c r="R17" s="11" t="n">
        <v>-68.36</v>
      </c>
      <c r="S17" s="11" t="n">
        <v>-68.95999999999999</v>
      </c>
      <c r="T17" s="11" t="n">
        <v>-69.26000000000001</v>
      </c>
      <c r="U17" s="11" t="n">
        <v>-69.87</v>
      </c>
      <c r="V17" s="11" t="n">
        <v>-70.48</v>
      </c>
      <c r="W17" s="11" t="n">
        <v>-47.07</v>
      </c>
      <c r="X17" s="11" t="n">
        <v>-51.19</v>
      </c>
      <c r="Y17" s="11" t="n">
        <v>-55.15</v>
      </c>
      <c r="Z17" s="11" t="n">
        <v>-59.28</v>
      </c>
      <c r="AA17" s="11" t="n">
        <v>-63.41</v>
      </c>
      <c r="AB17" s="11" t="n">
        <v>-63.4</v>
      </c>
      <c r="AC17" s="11" t="n">
        <v>-66.14</v>
      </c>
      <c r="AD17" s="11" t="n">
        <v>-68.59999999999999</v>
      </c>
      <c r="AE17" s="11" t="n">
        <v>-69.87</v>
      </c>
    </row>
    <row r="18">
      <c r="A18" s="10" t="inlineStr">
        <is>
          <t>건물·구축물(순액)</t>
        </is>
      </c>
      <c r="C18" s="11" t="n">
        <v>62.11</v>
      </c>
      <c r="D18" s="11" t="n">
        <v>61.16</v>
      </c>
      <c r="E18" s="11" t="n">
        <v>39.85</v>
      </c>
      <c r="F18" s="11" t="n">
        <v>38.08</v>
      </c>
      <c r="G18" s="11" t="n">
        <v>37.45</v>
      </c>
      <c r="H18" s="11" t="n">
        <v>36.8</v>
      </c>
      <c r="I18" s="11" t="n">
        <v>36.11</v>
      </c>
      <c r="J18" s="11" t="n">
        <v>35.44</v>
      </c>
      <c r="K18" s="11" t="n">
        <v>34.89</v>
      </c>
      <c r="L18" s="11" t="n">
        <v>34.21</v>
      </c>
      <c r="M18" s="11" t="n">
        <v>33.72</v>
      </c>
      <c r="N18" s="11" t="n">
        <v>33.19</v>
      </c>
      <c r="O18" s="11" t="n">
        <v>32.55</v>
      </c>
      <c r="P18" s="11" t="n">
        <v>31.95</v>
      </c>
      <c r="Q18" s="11" t="n">
        <v>31.24</v>
      </c>
      <c r="R18" s="11" t="n">
        <v>30.65</v>
      </c>
      <c r="S18" s="11" t="n">
        <v>30.04</v>
      </c>
      <c r="T18" s="11" t="n">
        <v>29.58</v>
      </c>
      <c r="U18" s="11" t="n">
        <v>29.38</v>
      </c>
      <c r="V18" s="11" t="n">
        <v>31.27</v>
      </c>
      <c r="W18" s="11" t="n">
        <v>72.73999999999999</v>
      </c>
      <c r="X18" s="11" t="n">
        <v>70.90000000000001</v>
      </c>
      <c r="Y18" s="11" t="n">
        <v>67.53</v>
      </c>
      <c r="Z18" s="11" t="n">
        <v>64.09999999999999</v>
      </c>
      <c r="AA18" s="11" t="n">
        <v>39.85</v>
      </c>
      <c r="AB18" s="11" t="n">
        <v>36.11</v>
      </c>
      <c r="AC18" s="11" t="n">
        <v>33.72</v>
      </c>
      <c r="AD18" s="11" t="n">
        <v>31.24</v>
      </c>
      <c r="AE18" s="11" t="n">
        <v>29.38</v>
      </c>
    </row>
    <row r="19">
      <c r="A19" s="10" t="inlineStr">
        <is>
          <t>기계장치·운반구</t>
        </is>
      </c>
      <c r="C19" s="11" t="n">
        <v>84.19</v>
      </c>
      <c r="D19" s="11" t="n">
        <v>83.06999999999999</v>
      </c>
      <c r="E19" s="11" t="n">
        <v>81.84999999999999</v>
      </c>
      <c r="F19" s="11" t="n">
        <v>81.95</v>
      </c>
      <c r="G19" s="11" t="n">
        <v>81.93000000000001</v>
      </c>
      <c r="H19" s="11" t="n">
        <v>82.01000000000001</v>
      </c>
      <c r="I19" s="11" t="n">
        <v>82.08</v>
      </c>
      <c r="J19" s="11" t="n">
        <v>82.17</v>
      </c>
      <c r="K19" s="11" t="n">
        <v>82.25</v>
      </c>
      <c r="L19" s="11" t="n">
        <v>82.34</v>
      </c>
      <c r="M19" s="11" t="n">
        <v>83.41</v>
      </c>
      <c r="N19" s="11" t="n">
        <v>83.91</v>
      </c>
      <c r="O19" s="11" t="n">
        <v>84.13</v>
      </c>
      <c r="P19" s="11" t="n">
        <v>85.02</v>
      </c>
      <c r="Q19" s="11" t="n">
        <v>85.09</v>
      </c>
      <c r="R19" s="11" t="n">
        <v>85.03</v>
      </c>
      <c r="S19" s="11" t="n">
        <v>85</v>
      </c>
      <c r="T19" s="11" t="n">
        <v>83.89</v>
      </c>
      <c r="U19" s="11" t="n">
        <v>83.75</v>
      </c>
      <c r="V19" s="11" t="n">
        <v>84.14</v>
      </c>
      <c r="W19" s="11" t="n">
        <v>77.42</v>
      </c>
      <c r="X19" s="11" t="n">
        <v>81.73999999999999</v>
      </c>
      <c r="Y19" s="11" t="n">
        <v>81.79000000000001</v>
      </c>
      <c r="Z19" s="11" t="n">
        <v>83.97</v>
      </c>
      <c r="AA19" s="11" t="n">
        <v>81.84999999999999</v>
      </c>
      <c r="AB19" s="11" t="n">
        <v>82.08</v>
      </c>
      <c r="AC19" s="11" t="n">
        <v>83.41</v>
      </c>
      <c r="AD19" s="11" t="n">
        <v>85.09</v>
      </c>
      <c r="AE19" s="11" t="n">
        <v>83.75</v>
      </c>
    </row>
    <row r="20">
      <c r="A20" s="10" t="inlineStr">
        <is>
          <t>감가상각누계액</t>
        </is>
      </c>
      <c r="C20" s="11" t="n">
        <v>-75.64</v>
      </c>
      <c r="D20" s="11" t="n">
        <v>-75.31</v>
      </c>
      <c r="E20" s="11" t="n">
        <v>-76.05</v>
      </c>
      <c r="F20" s="11" t="n">
        <v>-76.72</v>
      </c>
      <c r="G20" s="11" t="n">
        <v>-77.34999999999999</v>
      </c>
      <c r="H20" s="11" t="n">
        <v>-77.91</v>
      </c>
      <c r="I20" s="11" t="n">
        <v>-78.59999999999999</v>
      </c>
      <c r="J20" s="11" t="n">
        <v>-78.75</v>
      </c>
      <c r="K20" s="11" t="n">
        <v>-79.09</v>
      </c>
      <c r="L20" s="11" t="n">
        <v>-79.44</v>
      </c>
      <c r="M20" s="11" t="n">
        <v>-80.38</v>
      </c>
      <c r="N20" s="11" t="n">
        <v>-80.73999999999999</v>
      </c>
      <c r="O20" s="11" t="n">
        <v>-81.03</v>
      </c>
      <c r="P20" s="11" t="n">
        <v>-80.81</v>
      </c>
      <c r="Q20" s="11" t="n">
        <v>-81.23999999999999</v>
      </c>
      <c r="R20" s="11" t="n">
        <v>-81.38</v>
      </c>
      <c r="S20" s="11" t="n">
        <v>-81.45999999999999</v>
      </c>
      <c r="T20" s="11" t="n">
        <v>-80.56</v>
      </c>
      <c r="U20" s="11" t="n">
        <v>-80.79000000000001</v>
      </c>
      <c r="V20" s="11" t="n">
        <v>-81.05</v>
      </c>
      <c r="W20" s="11" t="n">
        <v>-63.1</v>
      </c>
      <c r="X20" s="11" t="n">
        <v>-67.31999999999999</v>
      </c>
      <c r="Y20" s="11" t="n">
        <v>-71.2</v>
      </c>
      <c r="Z20" s="11" t="n">
        <v>-74.3</v>
      </c>
      <c r="AA20" s="11" t="n">
        <v>-76.05</v>
      </c>
      <c r="AB20" s="11" t="n">
        <v>-78.59999999999999</v>
      </c>
      <c r="AC20" s="11" t="n">
        <v>-80.38</v>
      </c>
      <c r="AD20" s="11" t="n">
        <v>-81.23999999999999</v>
      </c>
      <c r="AE20" s="11" t="n">
        <v>-80.79000000000001</v>
      </c>
    </row>
    <row r="21">
      <c r="A21" s="10" t="inlineStr">
        <is>
          <t>기계장치·운반구(순액)</t>
        </is>
      </c>
      <c r="C21" s="11" t="n">
        <v>8.550000000000001</v>
      </c>
      <c r="D21" s="11" t="n">
        <v>7.76</v>
      </c>
      <c r="E21" s="11" t="n">
        <v>5.79</v>
      </c>
      <c r="F21" s="11" t="n">
        <v>5.23</v>
      </c>
      <c r="G21" s="11" t="n">
        <v>4.58</v>
      </c>
      <c r="H21" s="11" t="n">
        <v>4.1</v>
      </c>
      <c r="I21" s="11" t="n">
        <v>3.48</v>
      </c>
      <c r="J21" s="11" t="n">
        <v>3.41</v>
      </c>
      <c r="K21" s="11" t="n">
        <v>3.15</v>
      </c>
      <c r="L21" s="11" t="n">
        <v>2.89</v>
      </c>
      <c r="M21" s="11" t="n">
        <v>3.03</v>
      </c>
      <c r="N21" s="11" t="n">
        <v>3.17</v>
      </c>
      <c r="O21" s="11" t="n">
        <v>3.09</v>
      </c>
      <c r="P21" s="11" t="n">
        <v>4.21</v>
      </c>
      <c r="Q21" s="11" t="n">
        <v>3.85</v>
      </c>
      <c r="R21" s="11" t="n">
        <v>3.64</v>
      </c>
      <c r="S21" s="11" t="n">
        <v>3.54</v>
      </c>
      <c r="T21" s="11" t="n">
        <v>3.32</v>
      </c>
      <c r="U21" s="11" t="n">
        <v>2.96</v>
      </c>
      <c r="V21" s="11" t="n">
        <v>3.09</v>
      </c>
      <c r="W21" s="11" t="n">
        <v>14.32</v>
      </c>
      <c r="X21" s="11" t="n">
        <v>14.41</v>
      </c>
      <c r="Y21" s="11" t="n">
        <v>10.59</v>
      </c>
      <c r="Z21" s="11" t="n">
        <v>9.66</v>
      </c>
      <c r="AA21" s="11" t="n">
        <v>5.79</v>
      </c>
      <c r="AB21" s="11" t="n">
        <v>3.48</v>
      </c>
      <c r="AC21" s="11" t="n">
        <v>3.03</v>
      </c>
      <c r="AD21" s="11" t="n">
        <v>3.85</v>
      </c>
      <c r="AE21" s="11" t="n">
        <v>2.96</v>
      </c>
    </row>
    <row r="22">
      <c r="A22" s="10" t="inlineStr">
        <is>
          <t>토지</t>
        </is>
      </c>
      <c r="C22" s="11" t="n">
        <v>13.01</v>
      </c>
      <c r="D22" s="11" t="n">
        <v>13.01</v>
      </c>
      <c r="E22" s="11" t="n">
        <v>12.7</v>
      </c>
      <c r="F22" s="11" t="n">
        <v>12.69</v>
      </c>
      <c r="G22" s="11" t="n">
        <v>12.69</v>
      </c>
      <c r="H22" s="11" t="n">
        <v>12.69</v>
      </c>
      <c r="I22" s="11" t="n">
        <v>12.69</v>
      </c>
      <c r="J22" s="11" t="n">
        <v>12.69</v>
      </c>
      <c r="K22" s="11" t="n">
        <v>12.69</v>
      </c>
      <c r="L22" s="11" t="n">
        <v>12.69</v>
      </c>
      <c r="M22" s="11" t="n">
        <v>12.69</v>
      </c>
      <c r="N22" s="11" t="n">
        <v>12.69</v>
      </c>
      <c r="O22" s="11" t="n">
        <v>12.69</v>
      </c>
      <c r="P22" s="11" t="n">
        <v>12.69</v>
      </c>
      <c r="Q22" s="11" t="n">
        <v>12.46</v>
      </c>
      <c r="R22" s="11" t="n">
        <v>12.23</v>
      </c>
      <c r="S22" s="11" t="n">
        <v>12.23</v>
      </c>
      <c r="T22" s="11" t="n">
        <v>12.15</v>
      </c>
      <c r="U22" s="11" t="n">
        <v>12.15</v>
      </c>
      <c r="V22" s="11" t="n">
        <v>12.15</v>
      </c>
      <c r="W22" s="11" t="n">
        <v>13.01</v>
      </c>
      <c r="X22" s="11" t="n">
        <v>13.01</v>
      </c>
      <c r="Y22" s="11" t="n">
        <v>13.01</v>
      </c>
      <c r="Z22" s="11" t="n">
        <v>13.01</v>
      </c>
      <c r="AA22" s="11" t="n">
        <v>12.7</v>
      </c>
      <c r="AB22" s="11" t="n">
        <v>12.69</v>
      </c>
      <c r="AC22" s="11" t="n">
        <v>12.69</v>
      </c>
      <c r="AD22" s="11" t="n">
        <v>12.46</v>
      </c>
      <c r="AE22" s="11" t="n">
        <v>12.15</v>
      </c>
    </row>
    <row r="23">
      <c r="A23" s="10" t="inlineStr">
        <is>
          <t>건설중인자산</t>
        </is>
      </c>
      <c r="C23" s="11" t="n">
        <v>0.18</v>
      </c>
      <c r="D23" s="11" t="n">
        <v>0.37</v>
      </c>
      <c r="E23" s="11" t="n">
        <v>0.07000000000000001</v>
      </c>
      <c r="F23" s="11" t="n">
        <v>0.07000000000000001</v>
      </c>
      <c r="G23" s="11" t="n">
        <v>0.13</v>
      </c>
      <c r="H23" s="11" t="n">
        <v>0.07000000000000001</v>
      </c>
      <c r="I23" s="11" t="n">
        <v>0.11</v>
      </c>
      <c r="J23" s="11" t="n">
        <v>0.14</v>
      </c>
      <c r="K23" s="11" t="n">
        <v>0.16</v>
      </c>
      <c r="L23" s="11" t="n">
        <v>0.31</v>
      </c>
      <c r="M23" s="11" t="n">
        <v>1.35</v>
      </c>
      <c r="N23" s="11" t="n">
        <v>1.14</v>
      </c>
      <c r="O23" s="11" t="n">
        <v>1.31</v>
      </c>
      <c r="P23" s="11" t="n">
        <v>0.23</v>
      </c>
      <c r="Q23" s="11" t="n">
        <v>0.02</v>
      </c>
      <c r="R23" s="11" t="n">
        <v>0.33</v>
      </c>
      <c r="S23" s="11" t="n">
        <v>0.37</v>
      </c>
      <c r="T23" s="11" t="n">
        <v>0.51</v>
      </c>
      <c r="U23" s="11" t="n">
        <v>3.19</v>
      </c>
      <c r="V23" s="11" t="n">
        <v>3.25</v>
      </c>
      <c r="W23" s="11" t="n">
        <v>3.2</v>
      </c>
      <c r="X23" s="11" t="n">
        <v>0.31</v>
      </c>
      <c r="Y23" s="11" t="n">
        <v>0.86</v>
      </c>
      <c r="Z23" s="11" t="n">
        <v>0.24</v>
      </c>
      <c r="AA23" s="11" t="n">
        <v>0.07000000000000001</v>
      </c>
      <c r="AB23" s="11" t="n">
        <v>0.11</v>
      </c>
      <c r="AC23" s="11" t="n">
        <v>1.35</v>
      </c>
      <c r="AD23" s="11" t="n">
        <v>0.02</v>
      </c>
      <c r="AE23" s="11" t="n">
        <v>3.19</v>
      </c>
    </row>
    <row r="24">
      <c r="A24" s="10" t="inlineStr">
        <is>
          <t>기타</t>
        </is>
      </c>
      <c r="C24" s="11" t="n">
        <v>49.31</v>
      </c>
      <c r="D24" s="11" t="n">
        <v>49.29</v>
      </c>
      <c r="E24" s="11" t="n">
        <v>49.77</v>
      </c>
      <c r="F24" s="11" t="n">
        <v>50.03</v>
      </c>
      <c r="G24" s="11" t="n">
        <v>50.46</v>
      </c>
      <c r="H24" s="11" t="n">
        <v>50.58</v>
      </c>
      <c r="I24" s="11" t="n">
        <v>51.38</v>
      </c>
      <c r="J24" s="11" t="n">
        <v>49.89</v>
      </c>
      <c r="K24" s="11" t="n">
        <v>51.31</v>
      </c>
      <c r="L24" s="11" t="n">
        <v>51.75</v>
      </c>
      <c r="M24" s="11" t="n">
        <v>52.5</v>
      </c>
      <c r="N24" s="11" t="n">
        <v>52.85</v>
      </c>
      <c r="O24" s="11" t="n">
        <v>51.49</v>
      </c>
      <c r="P24" s="11" t="n">
        <v>51.66</v>
      </c>
      <c r="Q24" s="11" t="n">
        <v>52.34</v>
      </c>
      <c r="R24" s="11" t="n">
        <v>53.07</v>
      </c>
      <c r="S24" s="11" t="n">
        <v>52.44</v>
      </c>
      <c r="T24" s="11" t="n">
        <v>52.32</v>
      </c>
      <c r="U24" s="11" t="n">
        <v>53.33</v>
      </c>
      <c r="V24" s="11" t="n">
        <v>54.36</v>
      </c>
      <c r="W24" s="11" t="n">
        <v>39.53</v>
      </c>
      <c r="X24" s="11" t="n">
        <v>44.1</v>
      </c>
      <c r="Y24" s="11" t="n">
        <v>46.54</v>
      </c>
      <c r="Z24" s="11" t="n">
        <v>48.57</v>
      </c>
      <c r="AA24" s="11" t="n">
        <v>49.77</v>
      </c>
      <c r="AB24" s="11" t="n">
        <v>51.38</v>
      </c>
      <c r="AC24" s="11" t="n">
        <v>52.5</v>
      </c>
      <c r="AD24" s="11" t="n">
        <v>52.34</v>
      </c>
      <c r="AE24" s="11" t="n">
        <v>53.33</v>
      </c>
    </row>
    <row r="25">
      <c r="A25" s="10" t="inlineStr">
        <is>
          <t>감가상각누계액</t>
        </is>
      </c>
      <c r="C25" s="11" t="n">
        <v>-43.63</v>
      </c>
      <c r="D25" s="11" t="n">
        <v>-44.16</v>
      </c>
      <c r="E25" s="11" t="n">
        <v>-44.97</v>
      </c>
      <c r="F25" s="11" t="n">
        <v>-45.42</v>
      </c>
      <c r="G25" s="11" t="n">
        <v>-45.9</v>
      </c>
      <c r="H25" s="11" t="n">
        <v>-45.97</v>
      </c>
      <c r="I25" s="11" t="n">
        <v>-46.78</v>
      </c>
      <c r="J25" s="11" t="n">
        <v>-45.38</v>
      </c>
      <c r="K25" s="11" t="n">
        <v>-46.07</v>
      </c>
      <c r="L25" s="11" t="n">
        <v>-46.81</v>
      </c>
      <c r="M25" s="11" t="n">
        <v>-47.76</v>
      </c>
      <c r="N25" s="11" t="n">
        <v>-48.27</v>
      </c>
      <c r="O25" s="11" t="n">
        <v>-47.24</v>
      </c>
      <c r="P25" s="11" t="n">
        <v>-47.49</v>
      </c>
      <c r="Q25" s="11" t="n">
        <v>-48.15</v>
      </c>
      <c r="R25" s="11" t="n">
        <v>-48.57</v>
      </c>
      <c r="S25" s="11" t="n">
        <v>-47.98</v>
      </c>
      <c r="T25" s="11" t="n">
        <v>-47.92</v>
      </c>
      <c r="U25" s="11" t="n">
        <v>-48.78</v>
      </c>
      <c r="V25" s="11" t="n">
        <v>-49.25</v>
      </c>
      <c r="W25" s="11" t="n">
        <v>-31.16</v>
      </c>
      <c r="X25" s="11" t="n">
        <v>-35.92</v>
      </c>
      <c r="Y25" s="11" t="n">
        <v>-39.29</v>
      </c>
      <c r="Z25" s="11" t="n">
        <v>-42.34</v>
      </c>
      <c r="AA25" s="11" t="n">
        <v>-44.97</v>
      </c>
      <c r="AB25" s="11" t="n">
        <v>-46.78</v>
      </c>
      <c r="AC25" s="11" t="n">
        <v>-47.76</v>
      </c>
      <c r="AD25" s="11" t="n">
        <v>-48.15</v>
      </c>
      <c r="AE25" s="11" t="n">
        <v>-48.78</v>
      </c>
    </row>
    <row r="26">
      <c r="A26" s="10" t="inlineStr">
        <is>
          <t>기타(순액)</t>
        </is>
      </c>
      <c r="C26" s="11" t="n">
        <v>5.67</v>
      </c>
      <c r="D26" s="11" t="n">
        <v>5.13</v>
      </c>
      <c r="E26" s="11" t="n">
        <v>4.79</v>
      </c>
      <c r="F26" s="11" t="n">
        <v>4.61</v>
      </c>
      <c r="G26" s="11" t="n">
        <v>4.55</v>
      </c>
      <c r="H26" s="11" t="n">
        <v>4.6</v>
      </c>
      <c r="I26" s="11" t="n">
        <v>4.59</v>
      </c>
      <c r="J26" s="11" t="n">
        <v>4.5</v>
      </c>
      <c r="K26" s="11" t="n">
        <v>5.24</v>
      </c>
      <c r="L26" s="11" t="n">
        <v>4.93</v>
      </c>
      <c r="M26" s="11" t="n">
        <v>4.74</v>
      </c>
      <c r="N26" s="11" t="n">
        <v>4.58</v>
      </c>
      <c r="O26" s="11" t="n">
        <v>4.24</v>
      </c>
      <c r="P26" s="11" t="n">
        <v>4.16</v>
      </c>
      <c r="Q26" s="11" t="n">
        <v>4.18</v>
      </c>
      <c r="R26" s="11" t="n">
        <v>4.49</v>
      </c>
      <c r="S26" s="11" t="n">
        <v>4.45</v>
      </c>
      <c r="T26" s="11" t="n">
        <v>4.39</v>
      </c>
      <c r="U26" s="11" t="n">
        <v>4.55</v>
      </c>
      <c r="V26" s="11" t="n">
        <v>5.11</v>
      </c>
      <c r="W26" s="11" t="n">
        <v>8.369999999999999</v>
      </c>
      <c r="X26" s="11" t="n">
        <v>8.18</v>
      </c>
      <c r="Y26" s="11" t="n">
        <v>7.24</v>
      </c>
      <c r="Z26" s="11" t="n">
        <v>6.22</v>
      </c>
      <c r="AA26" s="11" t="n">
        <v>4.79</v>
      </c>
      <c r="AB26" s="11" t="n">
        <v>4.59</v>
      </c>
      <c r="AC26" s="11" t="n">
        <v>4.74</v>
      </c>
      <c r="AD26" s="11" t="n">
        <v>4.18</v>
      </c>
      <c r="AE26" s="11" t="n">
        <v>4.55</v>
      </c>
    </row>
    <row r="27">
      <c r="A27" s="10" t="inlineStr">
        <is>
          <t>유형자산 합계</t>
        </is>
      </c>
      <c r="C27" s="11" t="n">
        <v>89.55</v>
      </c>
      <c r="D27" s="11" t="n">
        <v>87.44</v>
      </c>
      <c r="E27" s="11" t="n">
        <v>63.22</v>
      </c>
      <c r="F27" s="11" t="n">
        <v>60.7</v>
      </c>
      <c r="G27" s="11" t="n">
        <v>59.43</v>
      </c>
      <c r="H27" s="11" t="n">
        <v>58.28</v>
      </c>
      <c r="I27" s="11" t="n">
        <v>57.01</v>
      </c>
      <c r="J27" s="11" t="n">
        <v>56.21</v>
      </c>
      <c r="K27" s="11" t="n">
        <v>56.15</v>
      </c>
      <c r="L27" s="11" t="n">
        <v>55.06</v>
      </c>
      <c r="M27" s="11" t="n">
        <v>55.55</v>
      </c>
      <c r="N27" s="11" t="n">
        <v>54.79</v>
      </c>
      <c r="O27" s="11" t="n">
        <v>53.91</v>
      </c>
      <c r="P27" s="11" t="n">
        <v>53.26</v>
      </c>
      <c r="Q27" s="11" t="n">
        <v>51.77</v>
      </c>
      <c r="R27" s="11" t="n">
        <v>51.36</v>
      </c>
      <c r="S27" s="11" t="n">
        <v>50.65</v>
      </c>
      <c r="T27" s="11" t="n">
        <v>49.98</v>
      </c>
      <c r="U27" s="11" t="n">
        <v>52.25</v>
      </c>
      <c r="V27" s="11" t="n">
        <v>54.88</v>
      </c>
      <c r="W27" s="11" t="n">
        <v>111.66</v>
      </c>
      <c r="X27" s="11" t="n">
        <v>106.83</v>
      </c>
      <c r="Y27" s="11" t="n">
        <v>99.25</v>
      </c>
      <c r="Z27" s="11" t="n">
        <v>93.25</v>
      </c>
      <c r="AA27" s="11" t="n">
        <v>63.22</v>
      </c>
      <c r="AB27" s="11" t="n">
        <v>57.01</v>
      </c>
      <c r="AC27" s="11" t="n">
        <v>55.55</v>
      </c>
      <c r="AD27" s="11" t="n">
        <v>51.77</v>
      </c>
      <c r="AE27" s="11" t="n">
        <v>52.25</v>
      </c>
    </row>
    <row r="28">
      <c r="A28" s="10" t="inlineStr">
        <is>
          <t>소프트웨어</t>
        </is>
      </c>
      <c r="C28" s="11" t="n">
        <v>1.95</v>
      </c>
      <c r="D28" s="11" t="n">
        <v>1.41</v>
      </c>
      <c r="E28" s="11" t="n">
        <v>0.87</v>
      </c>
      <c r="F28" s="11" t="n">
        <v>0.77</v>
      </c>
      <c r="G28" s="11" t="n">
        <v>0.79</v>
      </c>
      <c r="H28" s="11" t="n">
        <v>0.74</v>
      </c>
      <c r="I28" s="11" t="n">
        <v>0.63</v>
      </c>
      <c r="J28" s="11" t="n">
        <v>0.62</v>
      </c>
      <c r="K28" s="11" t="n">
        <v>0.88</v>
      </c>
      <c r="L28" s="11" t="n">
        <v>0.82</v>
      </c>
      <c r="M28" s="11" t="n">
        <v>0.84</v>
      </c>
      <c r="N28" s="11" t="n">
        <v>0.76</v>
      </c>
      <c r="O28" s="11" t="n">
        <v>0.74</v>
      </c>
      <c r="P28" s="11" t="n">
        <v>1.34</v>
      </c>
      <c r="Q28" s="11" t="n">
        <v>1.37</v>
      </c>
      <c r="R28" s="11" t="n">
        <v>1.45</v>
      </c>
      <c r="S28" s="11" t="n">
        <v>1.45</v>
      </c>
      <c r="T28" s="11" t="n">
        <v>1.38</v>
      </c>
      <c r="U28" s="11" t="n">
        <v>1.34</v>
      </c>
      <c r="V28" s="11" t="n">
        <v>1.31</v>
      </c>
      <c r="W28" s="11" t="n">
        <v>8.85</v>
      </c>
      <c r="X28" s="11" t="n">
        <v>6.77</v>
      </c>
      <c r="Y28" s="11" t="n">
        <v>4.62</v>
      </c>
      <c r="Z28" s="11" t="n">
        <v>2.89</v>
      </c>
      <c r="AA28" s="11" t="n">
        <v>0.87</v>
      </c>
      <c r="AB28" s="11" t="n">
        <v>0.63</v>
      </c>
      <c r="AC28" s="11" t="n">
        <v>0.84</v>
      </c>
      <c r="AD28" s="11" t="n">
        <v>1.37</v>
      </c>
      <c r="AE28" s="11" t="n">
        <v>1.34</v>
      </c>
    </row>
    <row r="29">
      <c r="A29" s="10" t="inlineStr">
        <is>
          <t>개발 중 소프트웨어</t>
        </is>
      </c>
      <c r="I29" s="11" t="n">
        <v>0</v>
      </c>
      <c r="M29" s="11" t="n">
        <v>0.29</v>
      </c>
      <c r="Q29" s="11" t="n">
        <v>0.08</v>
      </c>
      <c r="S29" s="11" t="n">
        <v>0.13</v>
      </c>
      <c r="T29" s="11" t="n">
        <v>0</v>
      </c>
      <c r="U29" s="11" t="n">
        <v>0</v>
      </c>
      <c r="W29" s="11" t="n">
        <v>0.03</v>
      </c>
      <c r="X29" s="11" t="n">
        <v>0</v>
      </c>
      <c r="Y29" s="11" t="n">
        <v>0.14</v>
      </c>
      <c r="Z29" s="11" t="n">
        <v>0</v>
      </c>
      <c r="AB29" s="11" t="n">
        <v>0</v>
      </c>
      <c r="AC29" s="11" t="n">
        <v>0.29</v>
      </c>
      <c r="AD29" s="11" t="n">
        <v>0.08</v>
      </c>
      <c r="AE29" s="11" t="n">
        <v>0</v>
      </c>
    </row>
    <row r="30">
      <c r="A30" s="10" t="inlineStr">
        <is>
          <t>기타</t>
        </is>
      </c>
      <c r="C30" s="11" t="n">
        <v>0.14</v>
      </c>
      <c r="D30" s="11" t="n">
        <v>0.14</v>
      </c>
      <c r="E30" s="11" t="n">
        <v>0.14</v>
      </c>
      <c r="F30" s="11" t="n">
        <v>0.14</v>
      </c>
      <c r="G30" s="11" t="n">
        <v>0.13</v>
      </c>
      <c r="H30" s="11" t="n">
        <v>0.13</v>
      </c>
      <c r="I30" s="11" t="n">
        <v>0.13</v>
      </c>
      <c r="J30" s="11" t="n">
        <v>0.13</v>
      </c>
      <c r="K30" s="11" t="n">
        <v>0.35</v>
      </c>
      <c r="L30" s="11" t="n">
        <v>0.35</v>
      </c>
      <c r="M30" s="11" t="n">
        <v>0.13</v>
      </c>
      <c r="N30" s="11" t="n">
        <v>0.43</v>
      </c>
      <c r="O30" s="11" t="n">
        <v>0.47</v>
      </c>
      <c r="P30" s="11" t="n">
        <v>0.17</v>
      </c>
      <c r="Q30" s="11" t="n">
        <v>0.13</v>
      </c>
      <c r="R30" s="11" t="n">
        <v>0.17</v>
      </c>
      <c r="S30" s="11" t="n">
        <v>0.12</v>
      </c>
      <c r="T30" s="11" t="n">
        <v>0.12</v>
      </c>
      <c r="U30" s="11" t="n">
        <v>0.12</v>
      </c>
      <c r="V30" s="11" t="n">
        <v>0.12</v>
      </c>
      <c r="W30" s="11" t="n">
        <v>0.15</v>
      </c>
      <c r="X30" s="11" t="n">
        <v>0.14</v>
      </c>
      <c r="Y30" s="11" t="n">
        <v>0.14</v>
      </c>
      <c r="Z30" s="11" t="n">
        <v>0.14</v>
      </c>
      <c r="AA30" s="11" t="n">
        <v>0.14</v>
      </c>
      <c r="AB30" s="11" t="n">
        <v>0.13</v>
      </c>
      <c r="AC30" s="11" t="n">
        <v>0.13</v>
      </c>
      <c r="AD30" s="11" t="n">
        <v>0.13</v>
      </c>
      <c r="AE30" s="11" t="n">
        <v>0.12</v>
      </c>
    </row>
    <row r="31">
      <c r="A31" s="10" t="inlineStr">
        <is>
          <t>무형자산 합계</t>
        </is>
      </c>
      <c r="C31" s="11" t="n">
        <v>2.09</v>
      </c>
      <c r="D31" s="11" t="n">
        <v>1.56</v>
      </c>
      <c r="E31" s="11" t="n">
        <v>1.01</v>
      </c>
      <c r="F31" s="11" t="n">
        <v>0.91</v>
      </c>
      <c r="G31" s="11" t="n">
        <v>0.93</v>
      </c>
      <c r="H31" s="11" t="n">
        <v>0.87</v>
      </c>
      <c r="I31" s="11" t="n">
        <v>0.77</v>
      </c>
      <c r="J31" s="11" t="n">
        <v>0.75</v>
      </c>
      <c r="K31" s="11" t="n">
        <v>1.23</v>
      </c>
      <c r="L31" s="11" t="n">
        <v>1.18</v>
      </c>
      <c r="M31" s="11" t="n">
        <v>1.27</v>
      </c>
      <c r="N31" s="11" t="n">
        <v>1.19</v>
      </c>
      <c r="O31" s="11" t="n">
        <v>1.21</v>
      </c>
      <c r="P31" s="11" t="n">
        <v>1.52</v>
      </c>
      <c r="Q31" s="11" t="n">
        <v>1.59</v>
      </c>
      <c r="R31" s="11" t="n">
        <v>1.63</v>
      </c>
      <c r="S31" s="11" t="n">
        <v>1.71</v>
      </c>
      <c r="T31" s="11" t="n">
        <v>1.51</v>
      </c>
      <c r="U31" s="11" t="n">
        <v>1.47</v>
      </c>
      <c r="V31" s="11" t="n">
        <v>1.44</v>
      </c>
      <c r="W31" s="11" t="n">
        <v>9.039999999999999</v>
      </c>
      <c r="X31" s="11" t="n">
        <v>6.92</v>
      </c>
      <c r="Y31" s="11" t="n">
        <v>4.9</v>
      </c>
      <c r="Z31" s="11" t="n">
        <v>3.03</v>
      </c>
      <c r="AA31" s="11" t="n">
        <v>1.01</v>
      </c>
      <c r="AB31" s="11" t="n">
        <v>0.77</v>
      </c>
      <c r="AC31" s="11" t="n">
        <v>1.27</v>
      </c>
      <c r="AD31" s="11" t="n">
        <v>1.59</v>
      </c>
      <c r="AE31" s="11" t="n">
        <v>1.47</v>
      </c>
    </row>
    <row r="32">
      <c r="A32" s="10" t="inlineStr">
        <is>
          <t>투자유가증권</t>
        </is>
      </c>
      <c r="C32" s="11" t="n">
        <v>123.99</v>
      </c>
      <c r="D32" s="11" t="n">
        <v>124.83</v>
      </c>
      <c r="E32" s="11" t="n">
        <v>124.71</v>
      </c>
      <c r="F32" s="11" t="n">
        <v>132.97</v>
      </c>
      <c r="G32" s="11" t="n">
        <v>131.84</v>
      </c>
      <c r="H32" s="11" t="n">
        <v>126.34</v>
      </c>
      <c r="I32" s="11" t="n">
        <v>142.88</v>
      </c>
      <c r="J32" s="11" t="n">
        <v>152.79</v>
      </c>
      <c r="K32" s="11" t="n">
        <v>149.36</v>
      </c>
      <c r="L32" s="11" t="n">
        <v>166.93</v>
      </c>
      <c r="M32" s="11" t="n">
        <v>150.09</v>
      </c>
      <c r="N32" s="11" t="n">
        <v>139.67</v>
      </c>
      <c r="O32" s="11" t="n">
        <v>138.69</v>
      </c>
      <c r="P32" s="11" t="n">
        <v>137.92</v>
      </c>
      <c r="Q32" s="11" t="n">
        <v>141.78</v>
      </c>
      <c r="R32" s="11" t="n">
        <v>164.58</v>
      </c>
      <c r="S32" s="11" t="n">
        <v>162.66</v>
      </c>
      <c r="T32" s="11" t="n">
        <v>176.02</v>
      </c>
      <c r="U32" s="11" t="n">
        <v>144.23</v>
      </c>
      <c r="V32" s="11" t="n">
        <v>159.59</v>
      </c>
      <c r="W32" s="11" t="n">
        <v>196.81</v>
      </c>
      <c r="X32" s="11" t="n">
        <v>178.56</v>
      </c>
      <c r="Y32" s="11" t="n">
        <v>154.34</v>
      </c>
      <c r="Z32" s="11" t="n">
        <v>138.32</v>
      </c>
      <c r="AA32" s="11" t="n">
        <v>124.71</v>
      </c>
      <c r="AB32" s="11" t="n">
        <v>142.88</v>
      </c>
      <c r="AC32" s="11" t="n">
        <v>150.09</v>
      </c>
      <c r="AD32" s="11" t="n">
        <v>141.78</v>
      </c>
      <c r="AE32" s="11" t="n">
        <v>144.23</v>
      </c>
    </row>
    <row r="33">
      <c r="A33" s="10" t="inlineStr">
        <is>
          <t>이연법인세자산</t>
        </is>
      </c>
      <c r="W33" s="11" t="n">
        <v>0.95</v>
      </c>
      <c r="X33" s="11" t="n">
        <v>1.64</v>
      </c>
    </row>
    <row r="34">
      <c r="A34" s="10" t="inlineStr">
        <is>
          <t>이연법인세자산</t>
        </is>
      </c>
      <c r="C34" s="11" t="n">
        <v>2.18</v>
      </c>
      <c r="D34" s="11" t="n">
        <v>1.89</v>
      </c>
      <c r="E34" s="11" t="n">
        <v>8.83</v>
      </c>
      <c r="F34" s="11" t="n">
        <v>5.35</v>
      </c>
      <c r="G34" s="11" t="n">
        <v>5.34</v>
      </c>
      <c r="H34" s="11" t="n">
        <v>5.87</v>
      </c>
      <c r="I34" s="11" t="n">
        <v>1.08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0.83</v>
      </c>
      <c r="O34" s="11" t="n">
        <v>2.65</v>
      </c>
      <c r="P34" s="11" t="n">
        <v>1.24</v>
      </c>
      <c r="Q34" s="11" t="n">
        <v>2.92</v>
      </c>
      <c r="R34" s="11" t="n">
        <v>0</v>
      </c>
      <c r="S34" s="11" t="n">
        <v>0</v>
      </c>
      <c r="T34" s="11" t="n">
        <v>0.3</v>
      </c>
      <c r="U34" s="11" t="n">
        <v>0.47</v>
      </c>
      <c r="V34" s="11" t="n">
        <v>0.29</v>
      </c>
      <c r="X34" s="11" t="n">
        <v>1.64</v>
      </c>
      <c r="Y34" s="11" t="n">
        <v>1.7</v>
      </c>
      <c r="Z34" s="11" t="n">
        <v>2.23</v>
      </c>
      <c r="AA34" s="11" t="n">
        <v>8.83</v>
      </c>
      <c r="AB34" s="11" t="n">
        <v>1.08</v>
      </c>
      <c r="AC34" s="11" t="n">
        <v>0</v>
      </c>
      <c r="AD34" s="11" t="n">
        <v>2.92</v>
      </c>
      <c r="AE34" s="11" t="n">
        <v>0.47</v>
      </c>
    </row>
    <row r="35">
      <c r="A35" s="10" t="inlineStr">
        <is>
          <t>기타</t>
        </is>
      </c>
      <c r="C35" s="11" t="n">
        <v>29.29</v>
      </c>
      <c r="D35" s="11" t="n">
        <v>29.85</v>
      </c>
      <c r="E35" s="11" t="n">
        <v>29.53</v>
      </c>
      <c r="F35" s="11" t="n">
        <v>31</v>
      </c>
      <c r="G35" s="11" t="n">
        <v>27.49</v>
      </c>
      <c r="H35" s="11" t="n">
        <v>28.04</v>
      </c>
      <c r="I35" s="11" t="n">
        <v>27.75</v>
      </c>
      <c r="J35" s="11" t="n">
        <v>29.01</v>
      </c>
      <c r="K35" s="11" t="n">
        <v>30.43</v>
      </c>
      <c r="L35" s="11" t="n">
        <v>31.18</v>
      </c>
      <c r="M35" s="11" t="n">
        <v>30.01</v>
      </c>
      <c r="N35" s="11" t="n">
        <v>31.86</v>
      </c>
      <c r="O35" s="11" t="n">
        <v>32.51</v>
      </c>
      <c r="P35" s="11" t="n">
        <v>31.99</v>
      </c>
      <c r="Q35" s="11" t="n">
        <v>33.18</v>
      </c>
      <c r="R35" s="11" t="n">
        <v>32.45</v>
      </c>
      <c r="S35" s="11" t="n">
        <v>31.8</v>
      </c>
      <c r="T35" s="11" t="n">
        <v>32.89</v>
      </c>
      <c r="U35" s="11" t="n">
        <v>35.33</v>
      </c>
      <c r="V35" s="11" t="n">
        <v>36.9</v>
      </c>
      <c r="W35" s="11" t="n">
        <v>28.45</v>
      </c>
      <c r="X35" s="11" t="n">
        <v>25.98</v>
      </c>
      <c r="Y35" s="11" t="n">
        <v>28.65</v>
      </c>
      <c r="Z35" s="11" t="n">
        <v>29.88</v>
      </c>
      <c r="AA35" s="11" t="n">
        <v>29.53</v>
      </c>
      <c r="AB35" s="11" t="n">
        <v>27.75</v>
      </c>
      <c r="AC35" s="11" t="n">
        <v>30.01</v>
      </c>
      <c r="AD35" s="11" t="n">
        <v>33.18</v>
      </c>
      <c r="AE35" s="11" t="n">
        <v>35.33</v>
      </c>
    </row>
    <row r="36">
      <c r="A36" s="10" t="inlineStr">
        <is>
          <t>대손충당금</t>
        </is>
      </c>
      <c r="C36" s="11" t="n">
        <v>-0.06</v>
      </c>
      <c r="D36" s="11" t="n">
        <v>-0.06</v>
      </c>
      <c r="E36" s="11" t="n">
        <v>-0.06</v>
      </c>
      <c r="F36" s="11" t="n">
        <v>-0.06</v>
      </c>
      <c r="G36" s="11" t="n">
        <v>-0.07000000000000001</v>
      </c>
      <c r="H36" s="11" t="n">
        <v>-0.07000000000000001</v>
      </c>
      <c r="I36" s="11" t="n">
        <v>-0.07000000000000001</v>
      </c>
      <c r="J36" s="11" t="n">
        <v>-0.02</v>
      </c>
      <c r="K36" s="11" t="n">
        <v>-0.02</v>
      </c>
      <c r="L36" s="11" t="n">
        <v>-0.02</v>
      </c>
      <c r="M36" s="11" t="n">
        <v>-0.02</v>
      </c>
      <c r="N36" s="11" t="n">
        <v>-0.02</v>
      </c>
      <c r="O36" s="11" t="n">
        <v>-0.02</v>
      </c>
      <c r="P36" s="11" t="n">
        <v>-0.02</v>
      </c>
      <c r="Q36" s="11" t="n">
        <v>-0.02</v>
      </c>
      <c r="R36" s="11" t="n">
        <v>-0.02</v>
      </c>
      <c r="S36" s="11" t="n">
        <v>-0.02</v>
      </c>
      <c r="T36" s="11" t="n">
        <v>-0.02</v>
      </c>
      <c r="U36" s="11" t="n">
        <v>-0.02</v>
      </c>
      <c r="V36" s="11" t="n">
        <v>-0.02</v>
      </c>
      <c r="W36" s="11" t="n">
        <v>-0.12</v>
      </c>
      <c r="X36" s="11" t="n">
        <v>-0.12</v>
      </c>
      <c r="Y36" s="11" t="n">
        <v>-0.06</v>
      </c>
      <c r="Z36" s="11" t="n">
        <v>-0.06</v>
      </c>
      <c r="AA36" s="11" t="n">
        <v>-0.06</v>
      </c>
      <c r="AB36" s="11" t="n">
        <v>-0.07000000000000001</v>
      </c>
      <c r="AC36" s="11" t="n">
        <v>-0.02</v>
      </c>
      <c r="AD36" s="11" t="n">
        <v>-0.02</v>
      </c>
      <c r="AE36" s="11" t="n">
        <v>-0.02</v>
      </c>
    </row>
    <row r="37">
      <c r="A37" s="10" t="inlineStr">
        <is>
          <t>투자 및 기타자산 합계</t>
        </is>
      </c>
      <c r="C37" s="11" t="n">
        <v>155.4</v>
      </c>
      <c r="D37" s="11" t="n">
        <v>156.52</v>
      </c>
      <c r="E37" s="11" t="n">
        <v>163.02</v>
      </c>
      <c r="F37" s="11" t="n">
        <v>169.25</v>
      </c>
      <c r="G37" s="11" t="n">
        <v>164.6</v>
      </c>
      <c r="H37" s="11" t="n">
        <v>160.18</v>
      </c>
      <c r="I37" s="11" t="n">
        <v>171.65</v>
      </c>
      <c r="J37" s="11" t="n">
        <v>181.78</v>
      </c>
      <c r="K37" s="11" t="n">
        <v>179.76</v>
      </c>
      <c r="L37" s="11" t="n">
        <v>198.09</v>
      </c>
      <c r="M37" s="11" t="n">
        <v>180.08</v>
      </c>
      <c r="N37" s="11" t="n">
        <v>172.34</v>
      </c>
      <c r="O37" s="11" t="n">
        <v>173.83</v>
      </c>
      <c r="P37" s="11" t="n">
        <v>171.13</v>
      </c>
      <c r="Q37" s="11" t="n">
        <v>177.86</v>
      </c>
      <c r="R37" s="11" t="n">
        <v>197</v>
      </c>
      <c r="S37" s="11" t="n">
        <v>194.44</v>
      </c>
      <c r="T37" s="11" t="n">
        <v>209.2</v>
      </c>
      <c r="U37" s="11" t="n">
        <v>180.01</v>
      </c>
      <c r="V37" s="11" t="n">
        <v>196.76</v>
      </c>
      <c r="W37" s="11" t="n">
        <v>226.09</v>
      </c>
      <c r="X37" s="11" t="n">
        <v>206.06</v>
      </c>
      <c r="Y37" s="11" t="n">
        <v>184.63</v>
      </c>
      <c r="Z37" s="11" t="n">
        <v>170.37</v>
      </c>
      <c r="AA37" s="11" t="n">
        <v>163.02</v>
      </c>
      <c r="AB37" s="11" t="n">
        <v>171.65</v>
      </c>
      <c r="AC37" s="11" t="n">
        <v>180.08</v>
      </c>
      <c r="AD37" s="11" t="n">
        <v>177.86</v>
      </c>
      <c r="AE37" s="11" t="n">
        <v>180.01</v>
      </c>
    </row>
    <row r="38">
      <c r="A38" s="10" t="inlineStr">
        <is>
          <t>비유동자산 합계</t>
        </is>
      </c>
      <c r="C38" s="11" t="n">
        <v>247.05</v>
      </c>
      <c r="D38" s="11" t="n">
        <v>245.53</v>
      </c>
      <c r="E38" s="11" t="n">
        <v>227.26</v>
      </c>
      <c r="F38" s="11" t="n">
        <v>230.87</v>
      </c>
      <c r="G38" s="11" t="n">
        <v>224.97</v>
      </c>
      <c r="H38" s="11" t="n">
        <v>219.35</v>
      </c>
      <c r="I38" s="11" t="n">
        <v>229.43</v>
      </c>
      <c r="J38" s="11" t="n">
        <v>238.75</v>
      </c>
      <c r="K38" s="11" t="n">
        <v>237.16</v>
      </c>
      <c r="L38" s="11" t="n">
        <v>254.34</v>
      </c>
      <c r="M38" s="11" t="n">
        <v>236.91</v>
      </c>
      <c r="N38" s="11" t="n">
        <v>228.33</v>
      </c>
      <c r="O38" s="11" t="n">
        <v>228.96</v>
      </c>
      <c r="P38" s="11" t="n">
        <v>225.92</v>
      </c>
      <c r="Q38" s="11" t="n">
        <v>231.24</v>
      </c>
      <c r="R38" s="11" t="n">
        <v>250.01</v>
      </c>
      <c r="S38" s="11" t="n">
        <v>246.81</v>
      </c>
      <c r="T38" s="11" t="n">
        <v>260.7</v>
      </c>
      <c r="U38" s="11" t="n">
        <v>233.74</v>
      </c>
      <c r="V38" s="11" t="n">
        <v>253.09</v>
      </c>
      <c r="W38" s="11" t="n">
        <v>346.8</v>
      </c>
      <c r="X38" s="11" t="n">
        <v>319.82</v>
      </c>
      <c r="Y38" s="11" t="n">
        <v>288.8</v>
      </c>
      <c r="Z38" s="11" t="n">
        <v>266.66</v>
      </c>
      <c r="AA38" s="11" t="n">
        <v>227.26</v>
      </c>
      <c r="AB38" s="11" t="n">
        <v>229.43</v>
      </c>
      <c r="AC38" s="11" t="n">
        <v>236.91</v>
      </c>
      <c r="AD38" s="11" t="n">
        <v>231.24</v>
      </c>
      <c r="AE38" s="11" t="n">
        <v>233.74</v>
      </c>
    </row>
    <row r="39">
      <c r="A39" s="10" t="inlineStr">
        <is>
          <t>자산 합계</t>
        </is>
      </c>
      <c r="C39" s="11" t="n">
        <v>502.9</v>
      </c>
      <c r="D39" s="11" t="n">
        <v>496.73</v>
      </c>
      <c r="E39" s="11" t="n">
        <v>469.16</v>
      </c>
      <c r="F39" s="11" t="n">
        <v>476.73</v>
      </c>
      <c r="G39" s="11" t="n">
        <v>483.14</v>
      </c>
      <c r="H39" s="11" t="n">
        <v>479.25</v>
      </c>
      <c r="I39" s="11" t="n">
        <v>496.82</v>
      </c>
      <c r="J39" s="11" t="n">
        <v>497.14</v>
      </c>
      <c r="K39" s="11" t="n">
        <v>500.6</v>
      </c>
      <c r="L39" s="11" t="n">
        <v>513.97</v>
      </c>
      <c r="M39" s="11" t="n">
        <v>516.52</v>
      </c>
      <c r="N39" s="11" t="n">
        <v>489.98</v>
      </c>
      <c r="O39" s="11" t="n">
        <v>537.96</v>
      </c>
      <c r="P39" s="11" t="n">
        <v>538.1900000000001</v>
      </c>
      <c r="Q39" s="11" t="n">
        <v>532.1</v>
      </c>
      <c r="R39" s="11" t="n">
        <v>542.41</v>
      </c>
      <c r="S39" s="11" t="n">
        <v>558.65</v>
      </c>
      <c r="T39" s="11" t="n">
        <v>590.12</v>
      </c>
      <c r="U39" s="11" t="n">
        <v>538.12</v>
      </c>
      <c r="V39" s="11" t="n">
        <v>565.0700000000001</v>
      </c>
      <c r="W39" s="11" t="n">
        <v>632.91</v>
      </c>
      <c r="X39" s="11" t="n">
        <v>580.01</v>
      </c>
      <c r="Y39" s="11" t="n">
        <v>551.65</v>
      </c>
      <c r="Z39" s="11" t="n">
        <v>519.67</v>
      </c>
      <c r="AA39" s="11" t="n">
        <v>469.16</v>
      </c>
      <c r="AB39" s="11" t="n">
        <v>496.82</v>
      </c>
      <c r="AC39" s="11" t="n">
        <v>516.52</v>
      </c>
      <c r="AD39" s="11" t="n">
        <v>532.1</v>
      </c>
      <c r="AE39" s="11" t="n">
        <v>538.12</v>
      </c>
    </row>
    <row r="40">
      <c r="A40" s="10" t="inlineStr">
        <is>
          <t>지급어음·매입채무</t>
        </is>
      </c>
      <c r="C40" s="11" t="n">
        <v>17.26</v>
      </c>
      <c r="D40" s="11" t="n">
        <v>16.51</v>
      </c>
      <c r="E40" s="11" t="n">
        <v>16.1</v>
      </c>
      <c r="F40" s="11" t="n">
        <v>16.81</v>
      </c>
      <c r="G40" s="11" t="n">
        <v>19.54</v>
      </c>
      <c r="H40" s="11" t="n">
        <v>21.03</v>
      </c>
      <c r="I40" s="11" t="n">
        <v>20.6</v>
      </c>
      <c r="J40" s="11" t="n">
        <v>19.74</v>
      </c>
      <c r="K40" s="11" t="n">
        <v>21.08</v>
      </c>
      <c r="L40" s="11" t="n">
        <v>22.5</v>
      </c>
      <c r="M40" s="11" t="n">
        <v>22.92</v>
      </c>
      <c r="N40" s="11" t="n">
        <v>22.84</v>
      </c>
      <c r="O40" s="11" t="n">
        <v>27.91</v>
      </c>
      <c r="P40" s="11" t="n">
        <v>26.05</v>
      </c>
      <c r="Q40" s="11" t="n">
        <v>24.96</v>
      </c>
      <c r="R40" s="11" t="n">
        <v>20.31</v>
      </c>
      <c r="S40" s="11" t="n">
        <v>22.02</v>
      </c>
      <c r="T40" s="11" t="n">
        <v>22.61</v>
      </c>
      <c r="U40" s="11" t="n">
        <v>21.74</v>
      </c>
      <c r="V40" s="11" t="n">
        <v>17.12</v>
      </c>
      <c r="W40" s="11" t="n">
        <v>40.57</v>
      </c>
      <c r="X40" s="11" t="n">
        <v>26.7</v>
      </c>
      <c r="Y40" s="11" t="n">
        <v>22.24</v>
      </c>
      <c r="Z40" s="11" t="n">
        <v>16.68</v>
      </c>
      <c r="AA40" s="11" t="n">
        <v>16.1</v>
      </c>
      <c r="AB40" s="11" t="n">
        <v>20.6</v>
      </c>
      <c r="AC40" s="11" t="n">
        <v>22.92</v>
      </c>
      <c r="AD40" s="11" t="n">
        <v>24.96</v>
      </c>
      <c r="AE40" s="11" t="n">
        <v>21.74</v>
      </c>
    </row>
    <row r="41">
      <c r="A41" s="10" t="inlineStr">
        <is>
          <t>전자기록채무</t>
        </is>
      </c>
      <c r="C41" s="11" t="n">
        <v>40.61</v>
      </c>
      <c r="D41" s="11" t="n">
        <v>44.23</v>
      </c>
      <c r="E41" s="11" t="n">
        <v>42.05</v>
      </c>
      <c r="F41" s="11" t="n">
        <v>38.52</v>
      </c>
      <c r="G41" s="11" t="n">
        <v>39.03</v>
      </c>
      <c r="H41" s="11" t="n">
        <v>42.99</v>
      </c>
      <c r="I41" s="11" t="n">
        <v>47.68</v>
      </c>
      <c r="J41" s="11" t="n">
        <v>45.11</v>
      </c>
      <c r="K41" s="11" t="n">
        <v>44.54</v>
      </c>
      <c r="L41" s="11" t="n">
        <v>44.97</v>
      </c>
      <c r="M41" s="11" t="n">
        <v>46.84</v>
      </c>
      <c r="N41" s="11" t="n">
        <v>38.74</v>
      </c>
      <c r="O41" s="11" t="n">
        <v>42.19</v>
      </c>
      <c r="P41" s="11" t="n">
        <v>44.8</v>
      </c>
      <c r="Q41" s="11" t="n">
        <v>50.14</v>
      </c>
      <c r="R41" s="11" t="n">
        <v>45.76</v>
      </c>
      <c r="S41" s="11" t="n">
        <v>40.7</v>
      </c>
      <c r="T41" s="11" t="n">
        <v>34.37</v>
      </c>
      <c r="U41" s="11" t="n">
        <v>25.21</v>
      </c>
      <c r="V41" s="11" t="n">
        <v>24.29</v>
      </c>
      <c r="W41" s="11" t="n">
        <v>62.95</v>
      </c>
      <c r="X41" s="11" t="n">
        <v>59.44</v>
      </c>
      <c r="Y41" s="11" t="n">
        <v>58.77</v>
      </c>
      <c r="Z41" s="11" t="n">
        <v>47.05</v>
      </c>
      <c r="AA41" s="11" t="n">
        <v>42.05</v>
      </c>
      <c r="AB41" s="11" t="n">
        <v>47.68</v>
      </c>
      <c r="AC41" s="11" t="n">
        <v>46.84</v>
      </c>
      <c r="AD41" s="11" t="n">
        <v>50.14</v>
      </c>
      <c r="AE41" s="11" t="n">
        <v>25.21</v>
      </c>
    </row>
    <row r="42">
      <c r="A42" s="10" t="inlineStr">
        <is>
          <t>단기차입금</t>
        </is>
      </c>
      <c r="C42" s="11" t="n">
        <v>27.85</v>
      </c>
      <c r="D42" s="11" t="n">
        <v>23.85</v>
      </c>
      <c r="E42" s="11" t="n">
        <v>5.85</v>
      </c>
      <c r="F42" s="11" t="n">
        <v>16.85</v>
      </c>
      <c r="G42" s="11" t="n">
        <v>17.85</v>
      </c>
      <c r="H42" s="11" t="n">
        <v>15.85</v>
      </c>
      <c r="I42" s="11" t="n">
        <v>8.85</v>
      </c>
      <c r="J42" s="11" t="n">
        <v>10.65</v>
      </c>
      <c r="K42" s="11" t="n">
        <v>8.550000000000001</v>
      </c>
      <c r="L42" s="11" t="n">
        <v>10.35</v>
      </c>
      <c r="M42" s="11" t="n">
        <v>45.85</v>
      </c>
      <c r="N42" s="11" t="n">
        <v>47.05</v>
      </c>
      <c r="O42" s="11" t="n">
        <v>68.84999999999999</v>
      </c>
      <c r="P42" s="11" t="n">
        <v>71.05</v>
      </c>
      <c r="Q42" s="11" t="n">
        <v>45.85</v>
      </c>
      <c r="R42" s="11" t="n">
        <v>62.05</v>
      </c>
      <c r="S42" s="11" t="n">
        <v>69.84999999999999</v>
      </c>
      <c r="T42" s="11" t="n">
        <v>88.95</v>
      </c>
      <c r="U42" s="11" t="n">
        <v>26.75</v>
      </c>
      <c r="V42" s="11" t="n">
        <v>33.36</v>
      </c>
      <c r="W42" s="11" t="n">
        <v>72.41</v>
      </c>
      <c r="X42" s="11" t="n">
        <v>24.62</v>
      </c>
      <c r="Y42" s="11" t="n">
        <v>22.07</v>
      </c>
      <c r="Z42" s="11" t="n">
        <v>20.85</v>
      </c>
      <c r="AA42" s="11" t="n">
        <v>5.85</v>
      </c>
      <c r="AB42" s="11" t="n">
        <v>8.85</v>
      </c>
      <c r="AC42" s="11" t="n">
        <v>45.85</v>
      </c>
      <c r="AD42" s="11" t="n">
        <v>45.85</v>
      </c>
      <c r="AE42" s="11" t="n">
        <v>26.75</v>
      </c>
    </row>
    <row r="43">
      <c r="A43" s="10" t="inlineStr">
        <is>
          <t>미지급비용</t>
        </is>
      </c>
      <c r="C43" s="11" t="n">
        <v>6.45</v>
      </c>
      <c r="D43" s="11" t="n">
        <v>6.77</v>
      </c>
      <c r="E43" s="11" t="n">
        <v>6.88</v>
      </c>
      <c r="F43" s="11" t="n">
        <v>7.32</v>
      </c>
      <c r="G43" s="11" t="n">
        <v>7.94</v>
      </c>
      <c r="H43" s="11" t="n">
        <v>8.65</v>
      </c>
      <c r="I43" s="11" t="n">
        <v>5.89</v>
      </c>
      <c r="J43" s="11" t="n">
        <v>5.74</v>
      </c>
      <c r="K43" s="11" t="n">
        <v>7.58</v>
      </c>
      <c r="L43" s="11" t="n">
        <v>7.8</v>
      </c>
      <c r="M43" s="11" t="n">
        <v>8.09</v>
      </c>
      <c r="N43" s="11" t="n">
        <v>9.18</v>
      </c>
      <c r="O43" s="11" t="n">
        <v>9.880000000000001</v>
      </c>
      <c r="P43" s="11" t="n">
        <v>9.960000000000001</v>
      </c>
      <c r="Q43" s="11" t="n">
        <v>11.07</v>
      </c>
      <c r="R43" s="11" t="n">
        <v>10.78</v>
      </c>
      <c r="S43" s="11" t="n">
        <v>10.93</v>
      </c>
      <c r="T43" s="11" t="n">
        <v>10.23</v>
      </c>
      <c r="U43" s="11" t="n">
        <v>10.32</v>
      </c>
      <c r="V43" s="11" t="n">
        <v>10.63</v>
      </c>
      <c r="W43" s="11" t="n">
        <v>8.41</v>
      </c>
      <c r="X43" s="11" t="n">
        <v>6.78</v>
      </c>
      <c r="Y43" s="11" t="n">
        <v>6.06</v>
      </c>
      <c r="Z43" s="11" t="n">
        <v>6.11</v>
      </c>
      <c r="AA43" s="11" t="n">
        <v>6.88</v>
      </c>
      <c r="AB43" s="11" t="n">
        <v>5.89</v>
      </c>
      <c r="AC43" s="11" t="n">
        <v>8.09</v>
      </c>
      <c r="AD43" s="11" t="n">
        <v>11.07</v>
      </c>
      <c r="AE43" s="11" t="n">
        <v>10.32</v>
      </c>
    </row>
    <row r="44">
      <c r="A44" s="10" t="inlineStr">
        <is>
          <t>미지급법인세</t>
        </is>
      </c>
      <c r="C44" s="11" t="n">
        <v>1.55</v>
      </c>
      <c r="D44" s="11" t="n">
        <v>0.46</v>
      </c>
      <c r="E44" s="11" t="n">
        <v>3.06</v>
      </c>
      <c r="F44" s="11" t="n">
        <v>0.43</v>
      </c>
      <c r="G44" s="11" t="n">
        <v>1.89</v>
      </c>
      <c r="H44" s="11" t="n">
        <v>0.24</v>
      </c>
      <c r="I44" s="11" t="n">
        <v>1.28</v>
      </c>
      <c r="J44" s="11" t="n">
        <v>0.38</v>
      </c>
      <c r="K44" s="11" t="n">
        <v>1.38</v>
      </c>
      <c r="L44" s="11" t="n">
        <v>0.48</v>
      </c>
      <c r="M44" s="11" t="n">
        <v>3.09</v>
      </c>
      <c r="N44" s="11" t="n">
        <v>0.36</v>
      </c>
      <c r="O44" s="11" t="n">
        <v>4.81</v>
      </c>
      <c r="P44" s="11" t="n">
        <v>4.57</v>
      </c>
      <c r="Q44" s="11" t="n">
        <v>8.91</v>
      </c>
      <c r="R44" s="11" t="n">
        <v>0.39</v>
      </c>
      <c r="S44" s="11" t="n">
        <v>2.18</v>
      </c>
      <c r="T44" s="11" t="n">
        <v>1.1</v>
      </c>
      <c r="U44" s="11" t="n">
        <v>3.29</v>
      </c>
      <c r="V44" s="11" t="n">
        <v>2.24</v>
      </c>
      <c r="W44" s="11" t="n">
        <v>1.8</v>
      </c>
      <c r="X44" s="11" t="n">
        <v>3.2</v>
      </c>
      <c r="Y44" s="11" t="n">
        <v>3.34</v>
      </c>
      <c r="Z44" s="11" t="n">
        <v>1.61</v>
      </c>
      <c r="AA44" s="11" t="n">
        <v>3.06</v>
      </c>
      <c r="AB44" s="11" t="n">
        <v>1.28</v>
      </c>
      <c r="AC44" s="11" t="n">
        <v>3.09</v>
      </c>
      <c r="AD44" s="11" t="n">
        <v>8.91</v>
      </c>
      <c r="AE44" s="11" t="n">
        <v>3.29</v>
      </c>
    </row>
    <row r="45">
      <c r="A45" s="10" t="inlineStr">
        <is>
          <t>미지급 소비세</t>
        </is>
      </c>
      <c r="C45" s="11" t="n">
        <v>0.34</v>
      </c>
      <c r="D45" s="11" t="n">
        <v>0.15</v>
      </c>
      <c r="E45" s="11" t="n">
        <v>0.82</v>
      </c>
      <c r="F45" s="11" t="n">
        <v>0.8100000000000001</v>
      </c>
      <c r="G45" s="11" t="n">
        <v>0.43</v>
      </c>
      <c r="H45" s="11" t="n">
        <v>0.32</v>
      </c>
      <c r="I45" s="11" t="n">
        <v>0.9399999999999999</v>
      </c>
      <c r="J45" s="11" t="n">
        <v>1.64</v>
      </c>
      <c r="K45" s="11" t="n">
        <v>0.61</v>
      </c>
      <c r="L45" s="11" t="n">
        <v>0.51</v>
      </c>
      <c r="M45" s="11" t="n">
        <v>1.58</v>
      </c>
      <c r="N45" s="11" t="n">
        <v>0.62</v>
      </c>
      <c r="O45" s="11" t="n">
        <v>0.53</v>
      </c>
      <c r="P45" s="11" t="n">
        <v>0.4</v>
      </c>
      <c r="Q45" s="11" t="n">
        <v>0.8</v>
      </c>
      <c r="R45" s="11" t="n">
        <v>0.67</v>
      </c>
      <c r="S45" s="11" t="n">
        <v>0.48</v>
      </c>
      <c r="T45" s="11" t="n">
        <v>0.34</v>
      </c>
      <c r="U45" s="11" t="n">
        <v>4.02</v>
      </c>
      <c r="V45" s="11" t="n">
        <v>1.33</v>
      </c>
      <c r="W45" s="11" t="n">
        <v>0.38</v>
      </c>
      <c r="X45" s="11" t="n">
        <v>5.79</v>
      </c>
      <c r="Y45" s="11" t="n">
        <v>3.1</v>
      </c>
      <c r="Z45" s="11" t="n">
        <v>2.07</v>
      </c>
      <c r="AA45" s="11" t="n">
        <v>0.82</v>
      </c>
      <c r="AB45" s="11" t="n">
        <v>0.9399999999999999</v>
      </c>
      <c r="AC45" s="11" t="n">
        <v>1.58</v>
      </c>
      <c r="AD45" s="11" t="n">
        <v>0.8</v>
      </c>
      <c r="AE45" s="11" t="n">
        <v>4.02</v>
      </c>
    </row>
    <row r="46">
      <c r="A46" s="10" t="inlineStr">
        <is>
          <t>계약부채</t>
        </is>
      </c>
      <c r="C46" s="11" t="n">
        <v>0.53</v>
      </c>
      <c r="D46" s="11" t="n">
        <v>0.65</v>
      </c>
      <c r="E46" s="11" t="n">
        <v>0.47</v>
      </c>
      <c r="F46" s="11" t="n">
        <v>0.84</v>
      </c>
      <c r="G46" s="11" t="n">
        <v>0.78</v>
      </c>
      <c r="H46" s="11" t="n">
        <v>1.05</v>
      </c>
      <c r="I46" s="11" t="n">
        <v>0.84</v>
      </c>
      <c r="J46" s="11" t="n">
        <v>1.07</v>
      </c>
      <c r="K46" s="11" t="n">
        <v>1.13</v>
      </c>
      <c r="L46" s="11" t="n">
        <v>0.8</v>
      </c>
      <c r="M46" s="11" t="n">
        <v>1.29</v>
      </c>
      <c r="N46" s="11" t="n">
        <v>1</v>
      </c>
      <c r="O46" s="11" t="n">
        <v>0.82</v>
      </c>
      <c r="P46" s="11" t="n">
        <v>0.99</v>
      </c>
      <c r="Q46" s="11" t="n">
        <v>2.14</v>
      </c>
      <c r="R46" s="11" t="n">
        <v>2.78</v>
      </c>
      <c r="S46" s="11" t="n">
        <v>3</v>
      </c>
      <c r="T46" s="11" t="n">
        <v>3.96</v>
      </c>
      <c r="U46" s="11" t="n">
        <v>2.19</v>
      </c>
      <c r="V46" s="11" t="n">
        <v>2.83</v>
      </c>
      <c r="Z46" s="11" t="n">
        <v>0</v>
      </c>
      <c r="AA46" s="11" t="n">
        <v>0.47</v>
      </c>
      <c r="AB46" s="11" t="n">
        <v>0.84</v>
      </c>
      <c r="AC46" s="11" t="n">
        <v>1.29</v>
      </c>
      <c r="AD46" s="11" t="n">
        <v>2.14</v>
      </c>
      <c r="AE46" s="11" t="n">
        <v>2.19</v>
      </c>
    </row>
    <row r="47">
      <c r="A47" s="10" t="inlineStr">
        <is>
          <t>선수금</t>
        </is>
      </c>
      <c r="C47" s="11" t="n">
        <v>0</v>
      </c>
      <c r="D47" s="11" t="n">
        <v>0</v>
      </c>
      <c r="E47" s="11" t="n">
        <v>0</v>
      </c>
      <c r="W47" s="11" t="n">
        <v>1.88</v>
      </c>
      <c r="X47" s="11" t="n">
        <v>0.59</v>
      </c>
      <c r="Y47" s="11" t="n">
        <v>0.45</v>
      </c>
      <c r="Z47" s="11" t="n">
        <v>0.34</v>
      </c>
      <c r="AA47" s="11" t="n">
        <v>0</v>
      </c>
    </row>
    <row r="48">
      <c r="A48" s="10" t="inlineStr">
        <is>
          <t>예수금</t>
        </is>
      </c>
      <c r="C48" s="11" t="n">
        <v>1.94</v>
      </c>
      <c r="D48" s="11" t="n">
        <v>1.92</v>
      </c>
      <c r="E48" s="11" t="n">
        <v>1.9</v>
      </c>
      <c r="F48" s="11" t="n">
        <v>2.72</v>
      </c>
      <c r="G48" s="11" t="n">
        <v>1.94</v>
      </c>
      <c r="H48" s="11" t="n">
        <v>1.9</v>
      </c>
      <c r="I48" s="11" t="n">
        <v>1.89</v>
      </c>
      <c r="J48" s="11" t="n">
        <v>2.59</v>
      </c>
      <c r="K48" s="11" t="n">
        <v>1.8</v>
      </c>
      <c r="L48" s="11" t="n">
        <v>1.77</v>
      </c>
      <c r="M48" s="11" t="n">
        <v>1.6</v>
      </c>
      <c r="N48" s="11" t="n">
        <v>1.71</v>
      </c>
      <c r="O48" s="11" t="n">
        <v>1.54</v>
      </c>
      <c r="P48" s="11" t="n">
        <v>1.62</v>
      </c>
      <c r="Q48" s="11" t="n">
        <v>1.26</v>
      </c>
      <c r="R48" s="11" t="n">
        <v>1.82</v>
      </c>
      <c r="S48" s="11" t="n">
        <v>1.24</v>
      </c>
      <c r="T48" s="11" t="n">
        <v>1.21</v>
      </c>
      <c r="U48" s="11" t="n">
        <v>1.53</v>
      </c>
      <c r="V48" s="11" t="n">
        <v>2.15</v>
      </c>
      <c r="W48" s="11" t="n">
        <v>2.29</v>
      </c>
      <c r="X48" s="11" t="n">
        <v>2.16</v>
      </c>
      <c r="Y48" s="11" t="n">
        <v>1.98</v>
      </c>
      <c r="Z48" s="11" t="n">
        <v>1.93</v>
      </c>
      <c r="AA48" s="11" t="n">
        <v>1.9</v>
      </c>
      <c r="AB48" s="11" t="n">
        <v>1.89</v>
      </c>
      <c r="AC48" s="11" t="n">
        <v>1.6</v>
      </c>
      <c r="AD48" s="11" t="n">
        <v>1.26</v>
      </c>
      <c r="AE48" s="11" t="n">
        <v>1.53</v>
      </c>
    </row>
    <row r="49">
      <c r="A49" s="10" t="inlineStr">
        <is>
          <t>임원 상여충당금</t>
        </is>
      </c>
      <c r="C49" s="11" t="n">
        <v>0.19</v>
      </c>
      <c r="D49" s="11" t="n">
        <v>0.29</v>
      </c>
      <c r="E49" s="11" t="n">
        <v>0.06</v>
      </c>
      <c r="F49" s="11" t="n">
        <v>0.09</v>
      </c>
      <c r="G49" s="11" t="n">
        <v>0.03</v>
      </c>
      <c r="H49" s="11" t="n">
        <v>0.04</v>
      </c>
      <c r="I49" s="11" t="n">
        <v>0.39</v>
      </c>
      <c r="J49" s="11" t="n">
        <v>0.07000000000000001</v>
      </c>
      <c r="K49" s="11" t="n">
        <v>0.15</v>
      </c>
      <c r="L49" s="11" t="n">
        <v>0.22</v>
      </c>
      <c r="M49" s="11" t="n">
        <v>0.54</v>
      </c>
      <c r="N49" s="11" t="n">
        <v>0.13</v>
      </c>
      <c r="O49" s="11" t="n">
        <v>0.27</v>
      </c>
      <c r="P49" s="11" t="n">
        <v>0.4</v>
      </c>
      <c r="Q49" s="11" t="n">
        <v>0.5600000000000001</v>
      </c>
      <c r="R49" s="11" t="n">
        <v>0.14</v>
      </c>
      <c r="S49" s="11" t="n">
        <v>0.28</v>
      </c>
      <c r="T49" s="11" t="n">
        <v>0.42</v>
      </c>
      <c r="U49" s="11" t="n">
        <v>0.66</v>
      </c>
      <c r="V49" s="11" t="n">
        <v>0.16</v>
      </c>
      <c r="W49" s="11" t="n">
        <v>0.25</v>
      </c>
      <c r="X49" s="11" t="n">
        <v>0.38</v>
      </c>
      <c r="Y49" s="11" t="n">
        <v>0.36</v>
      </c>
      <c r="Z49" s="11" t="n">
        <v>0.36</v>
      </c>
      <c r="AA49" s="11" t="n">
        <v>0.06</v>
      </c>
      <c r="AB49" s="11" t="n">
        <v>0.39</v>
      </c>
      <c r="AC49" s="11" t="n">
        <v>0.54</v>
      </c>
      <c r="AD49" s="11" t="n">
        <v>0.5600000000000001</v>
      </c>
      <c r="AE49" s="11" t="n">
        <v>0.66</v>
      </c>
    </row>
    <row r="50">
      <c r="A50" s="10" t="inlineStr">
        <is>
          <t>상여충당금</t>
        </is>
      </c>
      <c r="C50" s="11" t="n">
        <v>8.49</v>
      </c>
      <c r="D50" s="11" t="n">
        <v>4.11</v>
      </c>
      <c r="E50" s="11" t="n">
        <v>6.99</v>
      </c>
      <c r="F50" s="11" t="n">
        <v>3.51</v>
      </c>
      <c r="G50" s="11" t="n">
        <v>6.85</v>
      </c>
      <c r="H50" s="11" t="n">
        <v>3.44</v>
      </c>
      <c r="I50" s="11" t="n">
        <v>6.73</v>
      </c>
      <c r="J50" s="11" t="n">
        <v>3.4</v>
      </c>
      <c r="K50" s="11" t="n">
        <v>6.78</v>
      </c>
      <c r="L50" s="11" t="n">
        <v>3.49</v>
      </c>
      <c r="M50" s="11" t="n">
        <v>7.37</v>
      </c>
      <c r="N50" s="11" t="n">
        <v>4.16</v>
      </c>
      <c r="O50" s="11" t="n">
        <v>8.42</v>
      </c>
      <c r="P50" s="11" t="n">
        <v>4.12</v>
      </c>
      <c r="Q50" s="11" t="n">
        <v>10.44</v>
      </c>
      <c r="R50" s="11" t="n">
        <v>5.74</v>
      </c>
      <c r="S50" s="11" t="n">
        <v>11.64</v>
      </c>
      <c r="T50" s="11" t="n">
        <v>5.47</v>
      </c>
      <c r="U50" s="11" t="n">
        <v>11.48</v>
      </c>
      <c r="V50" s="11" t="n">
        <v>6.26</v>
      </c>
      <c r="W50" s="11" t="n">
        <v>8.140000000000001</v>
      </c>
      <c r="X50" s="11" t="n">
        <v>8.19</v>
      </c>
      <c r="Y50" s="11" t="n">
        <v>8.76</v>
      </c>
      <c r="Z50" s="11" t="n">
        <v>8.27</v>
      </c>
      <c r="AA50" s="11" t="n">
        <v>6.99</v>
      </c>
      <c r="AB50" s="11" t="n">
        <v>6.73</v>
      </c>
      <c r="AC50" s="11" t="n">
        <v>7.37</v>
      </c>
      <c r="AD50" s="11" t="n">
        <v>10.44</v>
      </c>
      <c r="AE50" s="11" t="n">
        <v>11.48</v>
      </c>
    </row>
    <row r="51">
      <c r="A51" s="10" t="inlineStr">
        <is>
          <t>수주손실 충당금</t>
        </is>
      </c>
      <c r="C51" s="11" t="n">
        <v>9.220000000000001</v>
      </c>
      <c r="D51" s="11" t="n">
        <v>9.390000000000001</v>
      </c>
      <c r="E51" s="11" t="n">
        <v>9.630000000000001</v>
      </c>
      <c r="F51" s="11" t="n">
        <v>9.34</v>
      </c>
      <c r="G51" s="11" t="n">
        <v>8.83</v>
      </c>
      <c r="H51" s="11" t="n">
        <v>8.18</v>
      </c>
      <c r="I51" s="11" t="n">
        <v>9.890000000000001</v>
      </c>
      <c r="J51" s="11" t="n">
        <v>7.76</v>
      </c>
      <c r="K51" s="11" t="n">
        <v>7.27</v>
      </c>
      <c r="L51" s="11" t="n">
        <v>7.59</v>
      </c>
      <c r="M51" s="11" t="n">
        <v>7.77</v>
      </c>
      <c r="N51" s="11" t="n">
        <v>8.109999999999999</v>
      </c>
      <c r="O51" s="11" t="n">
        <v>9.15</v>
      </c>
      <c r="P51" s="11" t="n">
        <v>8.85</v>
      </c>
      <c r="Q51" s="11" t="n">
        <v>9.44</v>
      </c>
      <c r="R51" s="11" t="n">
        <v>7.67</v>
      </c>
      <c r="S51" s="11" t="n">
        <v>7.06</v>
      </c>
      <c r="T51" s="11" t="n">
        <v>5.51</v>
      </c>
      <c r="U51" s="11" t="n">
        <v>6.38</v>
      </c>
      <c r="V51" s="11" t="n">
        <v>6.31</v>
      </c>
      <c r="W51" s="11" t="n">
        <v>6.89</v>
      </c>
      <c r="X51" s="11" t="n">
        <v>5.7</v>
      </c>
      <c r="Y51" s="11" t="n">
        <v>7.32</v>
      </c>
      <c r="Z51" s="11" t="n">
        <v>8.710000000000001</v>
      </c>
      <c r="AA51" s="11" t="n">
        <v>9.630000000000001</v>
      </c>
      <c r="AB51" s="11" t="n">
        <v>9.890000000000001</v>
      </c>
      <c r="AC51" s="11" t="n">
        <v>7.77</v>
      </c>
      <c r="AD51" s="11" t="n">
        <v>9.44</v>
      </c>
      <c r="AE51" s="11" t="n">
        <v>6.38</v>
      </c>
    </row>
    <row r="52">
      <c r="A52" s="10" t="inlineStr">
        <is>
          <t>제품보증 충당금</t>
        </is>
      </c>
      <c r="E52" s="11" t="n">
        <v>0.06</v>
      </c>
      <c r="I52" s="11" t="n">
        <v>0.7</v>
      </c>
      <c r="J52" s="11" t="n">
        <v>1.1</v>
      </c>
      <c r="K52" s="11" t="n">
        <v>1.12</v>
      </c>
      <c r="L52" s="11" t="n">
        <v>1.28</v>
      </c>
      <c r="M52" s="11" t="n">
        <v>1.56</v>
      </c>
      <c r="N52" s="11" t="n">
        <v>1.67</v>
      </c>
      <c r="O52" s="11" t="n">
        <v>4.43</v>
      </c>
      <c r="P52" s="11" t="n">
        <v>3.56</v>
      </c>
      <c r="Q52" s="11" t="n">
        <v>4.13</v>
      </c>
      <c r="R52" s="11" t="n">
        <v>4.85</v>
      </c>
      <c r="S52" s="11" t="n">
        <v>4.59</v>
      </c>
      <c r="T52" s="11" t="n">
        <v>4.23</v>
      </c>
      <c r="U52" s="11" t="n">
        <v>3.55</v>
      </c>
      <c r="V52" s="11" t="n">
        <v>3.07</v>
      </c>
      <c r="AA52" s="11" t="n">
        <v>0.06</v>
      </c>
      <c r="AB52" s="11" t="n">
        <v>0.7</v>
      </c>
      <c r="AC52" s="11" t="n">
        <v>1.56</v>
      </c>
      <c r="AD52" s="11" t="n">
        <v>4.13</v>
      </c>
      <c r="AE52" s="11" t="n">
        <v>3.55</v>
      </c>
    </row>
    <row r="53">
      <c r="A53" s="10" t="inlineStr">
        <is>
          <t>기타</t>
        </is>
      </c>
      <c r="C53" s="11" t="n">
        <v>1.21</v>
      </c>
      <c r="D53" s="11" t="n">
        <v>1.15</v>
      </c>
      <c r="E53" s="11" t="n">
        <v>1.76</v>
      </c>
      <c r="F53" s="11" t="n">
        <v>1.5</v>
      </c>
      <c r="G53" s="11" t="n">
        <v>1.36</v>
      </c>
      <c r="H53" s="11" t="n">
        <v>1</v>
      </c>
      <c r="I53" s="11" t="n">
        <v>1.27</v>
      </c>
      <c r="J53" s="11" t="n">
        <v>1.06</v>
      </c>
      <c r="K53" s="11" t="n">
        <v>2.3</v>
      </c>
      <c r="L53" s="11" t="n">
        <v>2.36</v>
      </c>
      <c r="M53" s="11" t="n">
        <v>3.86</v>
      </c>
      <c r="N53" s="11" t="n">
        <v>2.37</v>
      </c>
      <c r="O53" s="11" t="n">
        <v>1.96</v>
      </c>
      <c r="P53" s="11" t="n">
        <v>1.77</v>
      </c>
      <c r="Q53" s="11" t="n">
        <v>2.68</v>
      </c>
      <c r="R53" s="11" t="n">
        <v>2.48</v>
      </c>
      <c r="S53" s="11" t="n">
        <v>2.16</v>
      </c>
      <c r="T53" s="11" t="n">
        <v>2.73</v>
      </c>
      <c r="U53" s="11" t="n">
        <v>2.08</v>
      </c>
      <c r="V53" s="11" t="n">
        <v>4.75</v>
      </c>
      <c r="W53" s="11" t="n">
        <v>17.16</v>
      </c>
      <c r="X53" s="11" t="n">
        <v>4.02</v>
      </c>
      <c r="Y53" s="11" t="n">
        <v>2.18</v>
      </c>
      <c r="Z53" s="11" t="n">
        <v>2.24</v>
      </c>
      <c r="AA53" s="11" t="n">
        <v>1.76</v>
      </c>
      <c r="AB53" s="11" t="n">
        <v>1.27</v>
      </c>
      <c r="AC53" s="11" t="n">
        <v>3.86</v>
      </c>
      <c r="AD53" s="11" t="n">
        <v>2.68</v>
      </c>
      <c r="AE53" s="11" t="n">
        <v>2.08</v>
      </c>
    </row>
    <row r="54">
      <c r="A54" s="10" t="inlineStr">
        <is>
          <t>유동부채 합계</t>
        </is>
      </c>
      <c r="C54" s="11" t="n">
        <v>115.68</v>
      </c>
      <c r="D54" s="11" t="n">
        <v>109.55</v>
      </c>
      <c r="E54" s="11" t="n">
        <v>95.69</v>
      </c>
      <c r="F54" s="11" t="n">
        <v>98.8</v>
      </c>
      <c r="G54" s="11" t="n">
        <v>106.52</v>
      </c>
      <c r="H54" s="11" t="n">
        <v>104.72</v>
      </c>
      <c r="I54" s="11" t="n">
        <v>106.99</v>
      </c>
      <c r="J54" s="11" t="n">
        <v>100.37</v>
      </c>
      <c r="K54" s="11" t="n">
        <v>104.31</v>
      </c>
      <c r="L54" s="11" t="n">
        <v>104.18</v>
      </c>
      <c r="M54" s="11" t="n">
        <v>152.4</v>
      </c>
      <c r="N54" s="11" t="n">
        <v>137.98</v>
      </c>
      <c r="O54" s="11" t="n">
        <v>180.82</v>
      </c>
      <c r="P54" s="11" t="n">
        <v>178.18</v>
      </c>
      <c r="Q54" s="11" t="n">
        <v>172.44</v>
      </c>
      <c r="R54" s="11" t="n">
        <v>165.47</v>
      </c>
      <c r="S54" s="11" t="n">
        <v>176.18</v>
      </c>
      <c r="T54" s="11" t="n">
        <v>181.19</v>
      </c>
      <c r="U54" s="11" t="n">
        <v>119.27</v>
      </c>
      <c r="V54" s="11" t="n">
        <v>114.57</v>
      </c>
      <c r="W54" s="11" t="n">
        <v>223.2</v>
      </c>
      <c r="X54" s="11" t="n">
        <v>147.63</v>
      </c>
      <c r="Y54" s="11" t="n">
        <v>136.69</v>
      </c>
      <c r="Z54" s="11" t="n">
        <v>116.28</v>
      </c>
      <c r="AA54" s="11" t="n">
        <v>95.69</v>
      </c>
      <c r="AB54" s="11" t="n">
        <v>106.99</v>
      </c>
      <c r="AC54" s="11" t="n">
        <v>152.4</v>
      </c>
      <c r="AD54" s="11" t="n">
        <v>172.44</v>
      </c>
      <c r="AE54" s="11" t="n">
        <v>119.27</v>
      </c>
    </row>
    <row r="55">
      <c r="A55" s="10" t="inlineStr">
        <is>
          <t>장기차입금</t>
        </is>
      </c>
      <c r="C55" s="11" t="n">
        <v>114.66</v>
      </c>
      <c r="D55" s="11" t="n">
        <v>112.62</v>
      </c>
      <c r="E55" s="11" t="n">
        <v>111.73</v>
      </c>
      <c r="F55" s="11" t="n">
        <v>109.7</v>
      </c>
      <c r="G55" s="11" t="n">
        <v>108.81</v>
      </c>
      <c r="H55" s="11" t="n">
        <v>106.77</v>
      </c>
      <c r="I55" s="11" t="n">
        <v>102.88</v>
      </c>
      <c r="J55" s="11" t="n">
        <v>100.84</v>
      </c>
      <c r="K55" s="11" t="n">
        <v>100.25</v>
      </c>
      <c r="L55" s="11" t="n">
        <v>98.22</v>
      </c>
      <c r="M55" s="11" t="n">
        <v>60.03</v>
      </c>
      <c r="N55" s="11" t="n">
        <v>57.99</v>
      </c>
      <c r="O55" s="11" t="n">
        <v>57.1</v>
      </c>
      <c r="P55" s="11" t="n">
        <v>57.26</v>
      </c>
      <c r="Q55" s="11" t="n">
        <v>46.22</v>
      </c>
      <c r="R55" s="11" t="n">
        <v>44.18</v>
      </c>
      <c r="S55" s="11" t="n">
        <v>47.6</v>
      </c>
      <c r="T55" s="11" t="n">
        <v>45.66</v>
      </c>
      <c r="U55" s="11" t="n">
        <v>74.47</v>
      </c>
      <c r="V55" s="11" t="n">
        <v>73.02</v>
      </c>
      <c r="W55" s="11" t="n">
        <v>89.3</v>
      </c>
      <c r="X55" s="11" t="n">
        <v>129.61</v>
      </c>
      <c r="Y55" s="11" t="n">
        <v>123.44</v>
      </c>
      <c r="Z55" s="11" t="n">
        <v>117.59</v>
      </c>
      <c r="AA55" s="11" t="n">
        <v>111.73</v>
      </c>
      <c r="AB55" s="11" t="n">
        <v>102.88</v>
      </c>
      <c r="AC55" s="11" t="n">
        <v>60.03</v>
      </c>
      <c r="AD55" s="11" t="n">
        <v>46.22</v>
      </c>
      <c r="AE55" s="11" t="n">
        <v>74.47</v>
      </c>
    </row>
    <row r="56">
      <c r="A56" s="10" t="inlineStr">
        <is>
          <t>장기미지급금</t>
        </is>
      </c>
      <c r="C56" s="11" t="n">
        <v>0.17</v>
      </c>
      <c r="D56" s="11" t="n">
        <v>0.17</v>
      </c>
      <c r="E56" s="11" t="n">
        <v>0.38</v>
      </c>
      <c r="F56" s="11" t="n">
        <v>0.3</v>
      </c>
      <c r="G56" s="11" t="n">
        <v>0.3</v>
      </c>
      <c r="H56" s="11" t="n">
        <v>0.3</v>
      </c>
      <c r="I56" s="11" t="n">
        <v>0.3</v>
      </c>
      <c r="J56" s="11" t="n">
        <v>0.34</v>
      </c>
      <c r="K56" s="11" t="n">
        <v>0.34</v>
      </c>
      <c r="L56" s="11" t="n">
        <v>0.34</v>
      </c>
      <c r="M56" s="11" t="n">
        <v>0.11</v>
      </c>
      <c r="N56" s="11" t="n">
        <v>0.11</v>
      </c>
      <c r="O56" s="11" t="n">
        <v>0.11</v>
      </c>
      <c r="P56" s="11" t="n">
        <v>0.11</v>
      </c>
      <c r="Q56" s="11" t="n">
        <v>0.11</v>
      </c>
      <c r="R56" s="11" t="n">
        <v>0.29</v>
      </c>
      <c r="S56" s="11" t="n">
        <v>0.11</v>
      </c>
      <c r="T56" s="11" t="n">
        <v>0.11</v>
      </c>
      <c r="U56" s="11" t="n">
        <v>0.11</v>
      </c>
      <c r="V56" s="11" t="n">
        <v>0.03</v>
      </c>
      <c r="W56" s="11" t="n">
        <v>0.35</v>
      </c>
      <c r="X56" s="11" t="n">
        <v>0.2</v>
      </c>
      <c r="Y56" s="11" t="n">
        <v>0.25</v>
      </c>
      <c r="Z56" s="11" t="n">
        <v>0.17</v>
      </c>
      <c r="AA56" s="11" t="n">
        <v>0.38</v>
      </c>
      <c r="AB56" s="11" t="n">
        <v>0.3</v>
      </c>
      <c r="AC56" s="11" t="n">
        <v>0.11</v>
      </c>
      <c r="AD56" s="11" t="n">
        <v>0.11</v>
      </c>
      <c r="AE56" s="11" t="n">
        <v>0.11</v>
      </c>
    </row>
    <row r="57">
      <c r="A57" s="10" t="inlineStr">
        <is>
          <t>이연법인세부채</t>
        </is>
      </c>
      <c r="W57" s="11" t="n">
        <v>17.56</v>
      </c>
      <c r="X57" s="11" t="n">
        <v>15.54</v>
      </c>
    </row>
    <row r="58">
      <c r="A58" s="10" t="inlineStr">
        <is>
          <t>이연법인세부채</t>
        </is>
      </c>
      <c r="C58" s="11" t="n">
        <v>0.39</v>
      </c>
      <c r="D58" s="11" t="n">
        <v>0.93</v>
      </c>
      <c r="E58" s="11" t="n">
        <v>0</v>
      </c>
      <c r="I58" s="11" t="n">
        <v>0</v>
      </c>
      <c r="J58" s="11" t="n">
        <v>2.71</v>
      </c>
      <c r="K58" s="11" t="n">
        <v>2.22</v>
      </c>
      <c r="L58" s="11" t="n">
        <v>7.36</v>
      </c>
      <c r="M58" s="11" t="n">
        <v>1.64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6.13</v>
      </c>
      <c r="S58" s="11" t="n">
        <v>5.31</v>
      </c>
      <c r="T58" s="11" t="n">
        <v>12.73</v>
      </c>
      <c r="U58" s="11" t="n">
        <v>3.24</v>
      </c>
      <c r="V58" s="11" t="n">
        <v>10.11</v>
      </c>
      <c r="X58" s="11" t="n">
        <v>15.54</v>
      </c>
      <c r="Y58" s="11" t="n">
        <v>9.300000000000001</v>
      </c>
      <c r="Z58" s="11" t="n">
        <v>4.27</v>
      </c>
      <c r="AA58" s="11" t="n">
        <v>0</v>
      </c>
      <c r="AB58" s="11" t="n">
        <v>0</v>
      </c>
      <c r="AC58" s="11" t="n">
        <v>1.64</v>
      </c>
      <c r="AD58" s="11" t="n">
        <v>0</v>
      </c>
      <c r="AE58" s="11" t="n">
        <v>3.24</v>
      </c>
    </row>
    <row r="59">
      <c r="A59" s="10" t="inlineStr">
        <is>
          <t>퇴직급여부채</t>
        </is>
      </c>
      <c r="C59" s="11" t="n">
        <v>41.52</v>
      </c>
      <c r="D59" s="11" t="n">
        <v>41.55</v>
      </c>
      <c r="E59" s="11" t="n">
        <v>41.13</v>
      </c>
      <c r="F59" s="11" t="n">
        <v>41.41</v>
      </c>
      <c r="G59" s="11" t="n">
        <v>41.58</v>
      </c>
      <c r="H59" s="11" t="n">
        <v>40.87</v>
      </c>
      <c r="I59" s="11" t="n">
        <v>40.75</v>
      </c>
      <c r="J59" s="11" t="n">
        <v>40.76</v>
      </c>
      <c r="K59" s="11" t="n">
        <v>41.17</v>
      </c>
      <c r="L59" s="11" t="n">
        <v>41.25</v>
      </c>
      <c r="M59" s="11" t="n">
        <v>41.51</v>
      </c>
      <c r="N59" s="11" t="n">
        <v>41.28</v>
      </c>
      <c r="O59" s="11" t="n">
        <v>41.22</v>
      </c>
      <c r="P59" s="11" t="n">
        <v>40.75</v>
      </c>
      <c r="Q59" s="11" t="n">
        <v>39.33</v>
      </c>
      <c r="R59" s="11" t="n">
        <v>39.36</v>
      </c>
      <c r="S59" s="11" t="n">
        <v>39.49</v>
      </c>
      <c r="T59" s="11" t="n">
        <v>39.43</v>
      </c>
      <c r="U59" s="11" t="n">
        <v>34.37</v>
      </c>
      <c r="V59" s="11" t="n">
        <v>34.69</v>
      </c>
      <c r="W59" s="11" t="n">
        <v>38.62</v>
      </c>
      <c r="X59" s="11" t="n">
        <v>38.93</v>
      </c>
      <c r="Y59" s="11" t="n">
        <v>40.1</v>
      </c>
      <c r="Z59" s="11" t="n">
        <v>41.24</v>
      </c>
      <c r="AA59" s="11" t="n">
        <v>41.13</v>
      </c>
      <c r="AB59" s="11" t="n">
        <v>40.75</v>
      </c>
      <c r="AC59" s="11" t="n">
        <v>41.51</v>
      </c>
      <c r="AD59" s="11" t="n">
        <v>39.33</v>
      </c>
      <c r="AE59" s="11" t="n">
        <v>34.37</v>
      </c>
    </row>
    <row r="60">
      <c r="A60" s="10" t="inlineStr">
        <is>
          <t>기타</t>
        </is>
      </c>
      <c r="C60" s="11" t="n">
        <v>0.01</v>
      </c>
      <c r="D60" s="11" t="n">
        <v>0.07000000000000001</v>
      </c>
      <c r="E60" s="11" t="n">
        <v>0.06</v>
      </c>
      <c r="F60" s="11" t="n">
        <v>0.06</v>
      </c>
      <c r="G60" s="11" t="n">
        <v>0.05</v>
      </c>
      <c r="H60" s="11" t="n">
        <v>0.04</v>
      </c>
      <c r="I60" s="11" t="n">
        <v>0.04</v>
      </c>
      <c r="J60" s="11" t="n">
        <v>0.04</v>
      </c>
      <c r="K60" s="11" t="n">
        <v>0.04</v>
      </c>
      <c r="L60" s="11" t="n">
        <v>0.12</v>
      </c>
      <c r="M60" s="11" t="n">
        <v>0.11</v>
      </c>
      <c r="N60" s="11" t="n">
        <v>0.1</v>
      </c>
      <c r="O60" s="11" t="n">
        <v>0.09</v>
      </c>
      <c r="P60" s="11" t="n">
        <v>0.08</v>
      </c>
      <c r="Q60" s="11" t="n">
        <v>0.12</v>
      </c>
      <c r="R60" s="11" t="n">
        <v>0.11</v>
      </c>
      <c r="S60" s="11" t="n">
        <v>0.41</v>
      </c>
      <c r="T60" s="11" t="n">
        <v>0.48</v>
      </c>
      <c r="U60" s="11" t="n">
        <v>0.53</v>
      </c>
      <c r="V60" s="11" t="n">
        <v>1.06</v>
      </c>
      <c r="W60" s="11" t="n">
        <v>0.58</v>
      </c>
      <c r="X60" s="11" t="n">
        <v>0.04</v>
      </c>
      <c r="Y60" s="11" t="n">
        <v>0.03</v>
      </c>
      <c r="Z60" s="11" t="n">
        <v>0.01</v>
      </c>
      <c r="AA60" s="11" t="n">
        <v>0.06</v>
      </c>
      <c r="AB60" s="11" t="n">
        <v>0.04</v>
      </c>
      <c r="AC60" s="11" t="n">
        <v>0.11</v>
      </c>
      <c r="AD60" s="11" t="n">
        <v>0.12</v>
      </c>
      <c r="AE60" s="11" t="n">
        <v>0.53</v>
      </c>
    </row>
    <row r="61">
      <c r="A61" s="10" t="inlineStr">
        <is>
          <t>비유동부채 합계</t>
        </is>
      </c>
      <c r="C61" s="11" t="n">
        <v>156.77</v>
      </c>
      <c r="D61" s="11" t="n">
        <v>155.37</v>
      </c>
      <c r="E61" s="11" t="n">
        <v>153.33</v>
      </c>
      <c r="F61" s="11" t="n">
        <v>151.48</v>
      </c>
      <c r="G61" s="11" t="n">
        <v>150.76</v>
      </c>
      <c r="H61" s="11" t="n">
        <v>148</v>
      </c>
      <c r="I61" s="11" t="n">
        <v>143.99</v>
      </c>
      <c r="J61" s="11" t="n">
        <v>144.71</v>
      </c>
      <c r="K61" s="11" t="n">
        <v>144.05</v>
      </c>
      <c r="L61" s="11" t="n">
        <v>147.3</v>
      </c>
      <c r="M61" s="11" t="n">
        <v>103.41</v>
      </c>
      <c r="N61" s="11" t="n">
        <v>99.48999999999999</v>
      </c>
      <c r="O61" s="11" t="n">
        <v>98.53</v>
      </c>
      <c r="P61" s="11" t="n">
        <v>98.20999999999999</v>
      </c>
      <c r="Q61" s="11" t="n">
        <v>85.8</v>
      </c>
      <c r="R61" s="11" t="n">
        <v>90.09</v>
      </c>
      <c r="S61" s="11" t="n">
        <v>92.94</v>
      </c>
      <c r="T61" s="11" t="n">
        <v>98.43000000000001</v>
      </c>
      <c r="U61" s="11" t="n">
        <v>112.73</v>
      </c>
      <c r="V61" s="11" t="n">
        <v>118.94</v>
      </c>
      <c r="W61" s="11" t="n">
        <v>146.44</v>
      </c>
      <c r="X61" s="11" t="n">
        <v>184.33</v>
      </c>
      <c r="Y61" s="11" t="n">
        <v>173.12</v>
      </c>
      <c r="Z61" s="11" t="n">
        <v>163.3</v>
      </c>
      <c r="AA61" s="11" t="n">
        <v>153.33</v>
      </c>
      <c r="AB61" s="11" t="n">
        <v>143.99</v>
      </c>
      <c r="AC61" s="11" t="n">
        <v>103.41</v>
      </c>
      <c r="AD61" s="11" t="n">
        <v>85.8</v>
      </c>
      <c r="AE61" s="11" t="n">
        <v>112.73</v>
      </c>
    </row>
    <row r="62">
      <c r="A62" s="10" t="inlineStr">
        <is>
          <t>부채 합계</t>
        </is>
      </c>
      <c r="C62" s="11" t="n">
        <v>272.45</v>
      </c>
      <c r="D62" s="11" t="n">
        <v>264.92</v>
      </c>
      <c r="E62" s="11" t="n">
        <v>249.03</v>
      </c>
      <c r="F62" s="11" t="n">
        <v>250.28</v>
      </c>
      <c r="G62" s="11" t="n">
        <v>257.28</v>
      </c>
      <c r="H62" s="11" t="n">
        <v>252.72</v>
      </c>
      <c r="I62" s="11" t="n">
        <v>250.99</v>
      </c>
      <c r="J62" s="11" t="n">
        <v>245.08</v>
      </c>
      <c r="K62" s="11" t="n">
        <v>248.37</v>
      </c>
      <c r="L62" s="11" t="n">
        <v>251.48</v>
      </c>
      <c r="M62" s="11" t="n">
        <v>255.82</v>
      </c>
      <c r="N62" s="11" t="n">
        <v>237.48</v>
      </c>
      <c r="O62" s="11" t="n">
        <v>279.36</v>
      </c>
      <c r="P62" s="11" t="n">
        <v>276.4</v>
      </c>
      <c r="Q62" s="11" t="n">
        <v>258.25</v>
      </c>
      <c r="R62" s="11" t="n">
        <v>255.56</v>
      </c>
      <c r="S62" s="11" t="n">
        <v>269.13</v>
      </c>
      <c r="T62" s="11" t="n">
        <v>279.62</v>
      </c>
      <c r="U62" s="11" t="n">
        <v>232.01</v>
      </c>
      <c r="V62" s="11" t="n">
        <v>233.51</v>
      </c>
      <c r="W62" s="11" t="n">
        <v>369.64</v>
      </c>
      <c r="X62" s="11" t="n">
        <v>331.97</v>
      </c>
      <c r="Y62" s="11" t="n">
        <v>309.81</v>
      </c>
      <c r="Z62" s="11" t="n">
        <v>279.58</v>
      </c>
      <c r="AA62" s="11" t="n">
        <v>249.03</v>
      </c>
      <c r="AB62" s="11" t="n">
        <v>250.99</v>
      </c>
      <c r="AC62" s="11" t="n">
        <v>255.82</v>
      </c>
      <c r="AD62" s="11" t="n">
        <v>258.25</v>
      </c>
      <c r="AE62" s="11" t="n">
        <v>232.01</v>
      </c>
    </row>
    <row r="63">
      <c r="A63" s="10" t="inlineStr">
        <is>
          <t>자본금</t>
        </is>
      </c>
      <c r="C63" s="11" t="n">
        <v>49.98</v>
      </c>
      <c r="D63" s="11" t="n">
        <v>49.98</v>
      </c>
      <c r="E63" s="11" t="n">
        <v>49.98</v>
      </c>
      <c r="F63" s="11" t="n">
        <v>49.98</v>
      </c>
      <c r="G63" s="11" t="n">
        <v>49.98</v>
      </c>
      <c r="H63" s="11" t="n">
        <v>49.98</v>
      </c>
      <c r="I63" s="11" t="n">
        <v>49.98</v>
      </c>
      <c r="J63" s="11" t="n">
        <v>49.98</v>
      </c>
      <c r="K63" s="11" t="n">
        <v>49.98</v>
      </c>
      <c r="L63" s="11" t="n">
        <v>49.98</v>
      </c>
      <c r="M63" s="11" t="n">
        <v>49.98</v>
      </c>
      <c r="N63" s="11" t="n">
        <v>49.98</v>
      </c>
      <c r="O63" s="11" t="n">
        <v>49.98</v>
      </c>
      <c r="P63" s="11" t="n">
        <v>49.98</v>
      </c>
      <c r="Q63" s="11" t="n">
        <v>49.98</v>
      </c>
      <c r="R63" s="11" t="n">
        <v>49.98</v>
      </c>
      <c r="S63" s="11" t="n">
        <v>49.98</v>
      </c>
      <c r="T63" s="11" t="n">
        <v>49.98</v>
      </c>
      <c r="U63" s="11" t="n">
        <v>49.98</v>
      </c>
      <c r="V63" s="11" t="n">
        <v>49.98</v>
      </c>
      <c r="W63" s="11" t="n">
        <v>49.98</v>
      </c>
      <c r="X63" s="11" t="n">
        <v>49.98</v>
      </c>
      <c r="Y63" s="11" t="n">
        <v>49.98</v>
      </c>
      <c r="Z63" s="11" t="n">
        <v>49.98</v>
      </c>
      <c r="AA63" s="11" t="n">
        <v>49.98</v>
      </c>
      <c r="AB63" s="11" t="n">
        <v>49.98</v>
      </c>
      <c r="AC63" s="11" t="n">
        <v>49.98</v>
      </c>
      <c r="AD63" s="11" t="n">
        <v>49.98</v>
      </c>
      <c r="AE63" s="11" t="n">
        <v>49.98</v>
      </c>
    </row>
    <row r="64">
      <c r="A64" s="10" t="inlineStr">
        <is>
          <t>자본잉여금</t>
        </is>
      </c>
      <c r="C64" s="11" t="n">
        <v>31.77</v>
      </c>
      <c r="D64" s="11" t="n">
        <v>31.77</v>
      </c>
      <c r="E64" s="11" t="n">
        <v>31.77</v>
      </c>
      <c r="F64" s="11" t="n">
        <v>31.77</v>
      </c>
      <c r="G64" s="11" t="n">
        <v>31.77</v>
      </c>
      <c r="H64" s="11" t="n">
        <v>31.77</v>
      </c>
      <c r="I64" s="11" t="n">
        <v>31.77</v>
      </c>
      <c r="J64" s="11" t="n">
        <v>31.77</v>
      </c>
      <c r="K64" s="11" t="n">
        <v>31.77</v>
      </c>
      <c r="L64" s="11" t="n">
        <v>31.77</v>
      </c>
      <c r="M64" s="11" t="n">
        <v>31.77</v>
      </c>
      <c r="N64" s="11" t="n">
        <v>31.77</v>
      </c>
      <c r="O64" s="11" t="n">
        <v>31.77</v>
      </c>
      <c r="P64" s="11" t="n">
        <v>31.77</v>
      </c>
      <c r="Q64" s="11" t="n">
        <v>31.77</v>
      </c>
      <c r="R64" s="11" t="n">
        <v>31.77</v>
      </c>
      <c r="S64" s="11" t="n">
        <v>31.82</v>
      </c>
      <c r="T64" s="11" t="n">
        <v>31.82</v>
      </c>
      <c r="U64" s="11" t="n">
        <v>31.82</v>
      </c>
      <c r="V64" s="11" t="n">
        <v>37.61</v>
      </c>
      <c r="W64" s="11" t="n">
        <v>31.77</v>
      </c>
      <c r="X64" s="11" t="n">
        <v>31.77</v>
      </c>
      <c r="Y64" s="11" t="n">
        <v>31.77</v>
      </c>
      <c r="Z64" s="11" t="n">
        <v>31.77</v>
      </c>
      <c r="AA64" s="11" t="n">
        <v>31.77</v>
      </c>
      <c r="AB64" s="11" t="n">
        <v>31.77</v>
      </c>
      <c r="AC64" s="11" t="n">
        <v>31.77</v>
      </c>
      <c r="AD64" s="11" t="n">
        <v>31.77</v>
      </c>
      <c r="AE64" s="11" t="n">
        <v>31.82</v>
      </c>
    </row>
    <row r="65">
      <c r="A65" s="10" t="inlineStr">
        <is>
          <t>이익잉여금</t>
        </is>
      </c>
      <c r="C65" s="11" t="n">
        <v>122.38</v>
      </c>
      <c r="D65" s="11" t="n">
        <v>123.45</v>
      </c>
      <c r="E65" s="11" t="n">
        <v>111.22</v>
      </c>
      <c r="F65" s="11" t="n">
        <v>110.5</v>
      </c>
      <c r="G65" s="11" t="n">
        <v>108.8</v>
      </c>
      <c r="H65" s="11" t="n">
        <v>112.86</v>
      </c>
      <c r="I65" s="11" t="n">
        <v>113.47</v>
      </c>
      <c r="J65" s="11" t="n">
        <v>112.12</v>
      </c>
      <c r="K65" s="11" t="n">
        <v>113.83</v>
      </c>
      <c r="L65" s="11" t="n">
        <v>115.11</v>
      </c>
      <c r="M65" s="11" t="n">
        <v>122.99</v>
      </c>
      <c r="N65" s="11" t="n">
        <v>121.16</v>
      </c>
      <c r="O65" s="11" t="n">
        <v>128.2</v>
      </c>
      <c r="P65" s="11" t="n">
        <v>132.56</v>
      </c>
      <c r="Q65" s="11" t="n">
        <v>141.22</v>
      </c>
      <c r="R65" s="11" t="n">
        <v>139.43</v>
      </c>
      <c r="S65" s="11" t="n">
        <v>143.43</v>
      </c>
      <c r="T65" s="11" t="n">
        <v>153.29</v>
      </c>
      <c r="U65" s="11" t="n">
        <v>164.54</v>
      </c>
      <c r="V65" s="11" t="n">
        <v>164.15</v>
      </c>
      <c r="W65" s="11" t="n">
        <v>105.79</v>
      </c>
      <c r="X65" s="11" t="n">
        <v>107.97</v>
      </c>
      <c r="Y65" s="11" t="n">
        <v>116.1</v>
      </c>
      <c r="Z65" s="11" t="n">
        <v>123.2</v>
      </c>
      <c r="AA65" s="11" t="n">
        <v>111.22</v>
      </c>
      <c r="AB65" s="11" t="n">
        <v>113.47</v>
      </c>
      <c r="AC65" s="11" t="n">
        <v>122.99</v>
      </c>
      <c r="AD65" s="11" t="n">
        <v>141.22</v>
      </c>
      <c r="AE65" s="11" t="n">
        <v>164.54</v>
      </c>
    </row>
    <row r="66">
      <c r="A66" s="10" t="inlineStr">
        <is>
          <t>자기주식</t>
        </is>
      </c>
      <c r="C66" s="11" t="n">
        <v>-12.82</v>
      </c>
      <c r="D66" s="11" t="n">
        <v>-12.82</v>
      </c>
      <c r="E66" s="11" t="n">
        <v>-12.82</v>
      </c>
      <c r="F66" s="11" t="n">
        <v>-12.82</v>
      </c>
      <c r="G66" s="11" t="n">
        <v>-12.82</v>
      </c>
      <c r="H66" s="11" t="n">
        <v>-12.82</v>
      </c>
      <c r="I66" s="11" t="n">
        <v>-4.86</v>
      </c>
      <c r="J66" s="11" t="n">
        <v>-4.86</v>
      </c>
      <c r="K66" s="11" t="n">
        <v>-4.87</v>
      </c>
      <c r="L66" s="11" t="n">
        <v>-5.85</v>
      </c>
      <c r="M66" s="11" t="n">
        <v>-5.96</v>
      </c>
      <c r="N66" s="11" t="n">
        <v>-6.47</v>
      </c>
      <c r="O66" s="11" t="n">
        <v>-7.51</v>
      </c>
      <c r="P66" s="11" t="n">
        <v>-7.79</v>
      </c>
      <c r="Q66" s="11" t="n">
        <v>-9.140000000000001</v>
      </c>
      <c r="R66" s="11" t="n">
        <v>-9.41</v>
      </c>
      <c r="S66" s="11" t="n">
        <v>-10</v>
      </c>
      <c r="T66" s="11" t="n">
        <v>-9.9</v>
      </c>
      <c r="U66" s="11" t="n">
        <v>-9.84</v>
      </c>
      <c r="V66" s="11" t="n">
        <v>-1.55</v>
      </c>
      <c r="W66" s="11" t="n">
        <v>-4.8</v>
      </c>
      <c r="X66" s="11" t="n">
        <v>-12.8</v>
      </c>
      <c r="Y66" s="11" t="n">
        <v>-12.8</v>
      </c>
      <c r="Z66" s="11" t="n">
        <v>-12.81</v>
      </c>
      <c r="AA66" s="11" t="n">
        <v>-12.82</v>
      </c>
      <c r="AB66" s="11" t="n">
        <v>-4.86</v>
      </c>
      <c r="AC66" s="11" t="n">
        <v>-5.96</v>
      </c>
      <c r="AD66" s="11" t="n">
        <v>-9.140000000000001</v>
      </c>
      <c r="AE66" s="11" t="n">
        <v>-9.84</v>
      </c>
    </row>
    <row r="67">
      <c r="A67" s="10" t="inlineStr">
        <is>
          <t>주주자본 합계</t>
        </is>
      </c>
      <c r="C67" s="11" t="n">
        <v>191.32</v>
      </c>
      <c r="D67" s="11" t="n">
        <v>192.39</v>
      </c>
      <c r="E67" s="11" t="n">
        <v>180.16</v>
      </c>
      <c r="F67" s="11" t="n">
        <v>179.44</v>
      </c>
      <c r="G67" s="11" t="n">
        <v>177.74</v>
      </c>
      <c r="H67" s="11" t="n">
        <v>181.8</v>
      </c>
      <c r="I67" s="11" t="n">
        <v>190.36</v>
      </c>
      <c r="J67" s="11" t="n">
        <v>189.01</v>
      </c>
      <c r="K67" s="11" t="n">
        <v>190.72</v>
      </c>
      <c r="L67" s="11" t="n">
        <v>191.01</v>
      </c>
      <c r="M67" s="11" t="n">
        <v>198.78</v>
      </c>
      <c r="N67" s="11" t="n">
        <v>196.45</v>
      </c>
      <c r="O67" s="11" t="n">
        <v>202.44</v>
      </c>
      <c r="P67" s="11" t="n">
        <v>206.53</v>
      </c>
      <c r="Q67" s="11" t="n">
        <v>213.84</v>
      </c>
      <c r="R67" s="11" t="n">
        <v>211.77</v>
      </c>
      <c r="S67" s="11" t="n">
        <v>215.23</v>
      </c>
      <c r="T67" s="11" t="n">
        <v>225.2</v>
      </c>
      <c r="U67" s="11" t="n">
        <v>236.51</v>
      </c>
      <c r="V67" s="11" t="n">
        <v>250.2</v>
      </c>
      <c r="W67" s="11" t="n">
        <v>182.74</v>
      </c>
      <c r="X67" s="11" t="n">
        <v>176.93</v>
      </c>
      <c r="Y67" s="11" t="n">
        <v>185.05</v>
      </c>
      <c r="Z67" s="11" t="n">
        <v>192.14</v>
      </c>
      <c r="AA67" s="11" t="n">
        <v>180.16</v>
      </c>
      <c r="AB67" s="11" t="n">
        <v>190.36</v>
      </c>
      <c r="AC67" s="11" t="n">
        <v>198.78</v>
      </c>
      <c r="AD67" s="11" t="n">
        <v>213.84</v>
      </c>
      <c r="AE67" s="11" t="n">
        <v>236.51</v>
      </c>
    </row>
    <row r="68">
      <c r="A68" s="10" t="inlineStr">
        <is>
          <t>기타유가증권 평가차액</t>
        </is>
      </c>
      <c r="C68" s="11" t="n">
        <v>39.14</v>
      </c>
      <c r="D68" s="11" t="n">
        <v>39.25</v>
      </c>
      <c r="E68" s="11" t="n">
        <v>39.13</v>
      </c>
      <c r="F68" s="11" t="n">
        <v>45.3</v>
      </c>
      <c r="G68" s="11" t="n">
        <v>45.56</v>
      </c>
      <c r="H68" s="11" t="n">
        <v>42.1</v>
      </c>
      <c r="I68" s="11" t="n">
        <v>53.7</v>
      </c>
      <c r="J68" s="11" t="n">
        <v>60.91</v>
      </c>
      <c r="K68" s="11" t="n">
        <v>58.99</v>
      </c>
      <c r="L68" s="11" t="n">
        <v>68.34999999999999</v>
      </c>
      <c r="M68" s="11" t="n">
        <v>56.96</v>
      </c>
      <c r="N68" s="11" t="n">
        <v>49.78</v>
      </c>
      <c r="O68" s="11" t="n">
        <v>49.43</v>
      </c>
      <c r="P68" s="11" t="n">
        <v>49.38</v>
      </c>
      <c r="Q68" s="11" t="n">
        <v>52.56</v>
      </c>
      <c r="R68" s="11" t="n">
        <v>68.81999999999999</v>
      </c>
      <c r="S68" s="11" t="n">
        <v>68.09999999999999</v>
      </c>
      <c r="T68" s="11" t="n">
        <v>77.87</v>
      </c>
      <c r="U68" s="11" t="n">
        <v>56.94</v>
      </c>
      <c r="V68" s="11" t="n">
        <v>67.78</v>
      </c>
      <c r="W68" s="11" t="n">
        <v>81.11</v>
      </c>
      <c r="X68" s="11" t="n">
        <v>71.76000000000001</v>
      </c>
      <c r="Y68" s="11" t="n">
        <v>57.27</v>
      </c>
      <c r="Z68" s="11" t="n">
        <v>48.03</v>
      </c>
      <c r="AA68" s="11" t="n">
        <v>39.13</v>
      </c>
      <c r="AB68" s="11" t="n">
        <v>53.7</v>
      </c>
      <c r="AC68" s="11" t="n">
        <v>56.96</v>
      </c>
      <c r="AD68" s="11" t="n">
        <v>52.56</v>
      </c>
      <c r="AE68" s="11" t="n">
        <v>56.94</v>
      </c>
    </row>
    <row r="69">
      <c r="A69" s="10" t="inlineStr">
        <is>
          <t>해외사업환산조정</t>
        </is>
      </c>
      <c r="C69" s="11" t="n">
        <v>0.82</v>
      </c>
      <c r="D69" s="11" t="n">
        <v>0.9399999999999999</v>
      </c>
      <c r="E69" s="11" t="n">
        <v>1.44</v>
      </c>
      <c r="F69" s="11" t="n">
        <v>2.25</v>
      </c>
      <c r="G69" s="11" t="n">
        <v>3.04</v>
      </c>
      <c r="H69" s="11" t="n">
        <v>3.04</v>
      </c>
      <c r="I69" s="11" t="n">
        <v>2.02</v>
      </c>
      <c r="J69" s="11" t="n">
        <v>2.33</v>
      </c>
      <c r="K69" s="11" t="n">
        <v>2.66</v>
      </c>
      <c r="L69" s="11" t="n">
        <v>3.2</v>
      </c>
      <c r="M69" s="11" t="n">
        <v>4.85</v>
      </c>
      <c r="N69" s="11" t="n">
        <v>6.11</v>
      </c>
      <c r="O69" s="11" t="n">
        <v>6.5</v>
      </c>
      <c r="P69" s="11" t="n">
        <v>5.61</v>
      </c>
      <c r="Q69" s="11" t="n">
        <v>6.27</v>
      </c>
      <c r="R69" s="11" t="n">
        <v>5.1</v>
      </c>
      <c r="S69" s="11" t="n">
        <v>5.07</v>
      </c>
      <c r="T69" s="11" t="n">
        <v>6.33</v>
      </c>
      <c r="U69" s="11" t="n">
        <v>8.029999999999999</v>
      </c>
      <c r="V69" s="11" t="n">
        <v>9.06</v>
      </c>
      <c r="W69" s="11" t="n">
        <v>1.88</v>
      </c>
      <c r="X69" s="11" t="n">
        <v>1.26</v>
      </c>
      <c r="Y69" s="11" t="n">
        <v>0.79</v>
      </c>
      <c r="Z69" s="11" t="n">
        <v>0.88</v>
      </c>
      <c r="AA69" s="11" t="n">
        <v>1.44</v>
      </c>
      <c r="AB69" s="11" t="n">
        <v>2.02</v>
      </c>
      <c r="AC69" s="11" t="n">
        <v>4.85</v>
      </c>
      <c r="AD69" s="11" t="n">
        <v>6.27</v>
      </c>
      <c r="AE69" s="11" t="n">
        <v>8.029999999999999</v>
      </c>
    </row>
    <row r="70">
      <c r="A70" s="10" t="inlineStr">
        <is>
          <t>퇴직급여 조정누계액</t>
        </is>
      </c>
      <c r="C70" s="11" t="n">
        <v>-0.85</v>
      </c>
      <c r="D70" s="11" t="n">
        <v>-0.78</v>
      </c>
      <c r="E70" s="11" t="n">
        <v>-0.61</v>
      </c>
      <c r="F70" s="11" t="n">
        <v>-0.55</v>
      </c>
      <c r="G70" s="11" t="n">
        <v>-0.49</v>
      </c>
      <c r="H70" s="11" t="n">
        <v>-0.43</v>
      </c>
      <c r="I70" s="11" t="n">
        <v>-0.26</v>
      </c>
      <c r="J70" s="11" t="n">
        <v>-0.2</v>
      </c>
      <c r="K70" s="11" t="n">
        <v>-0.14</v>
      </c>
      <c r="L70" s="11" t="n">
        <v>-0.09</v>
      </c>
      <c r="M70" s="11" t="n">
        <v>0.09</v>
      </c>
      <c r="N70" s="11" t="n">
        <v>0.14</v>
      </c>
      <c r="O70" s="11" t="n">
        <v>0.2</v>
      </c>
      <c r="P70" s="11" t="n">
        <v>0.25</v>
      </c>
      <c r="Q70" s="11" t="n">
        <v>1.17</v>
      </c>
      <c r="R70" s="11" t="n">
        <v>1.14</v>
      </c>
      <c r="S70" s="11" t="n">
        <v>1.1</v>
      </c>
      <c r="T70" s="11" t="n">
        <v>1.07</v>
      </c>
      <c r="U70" s="11" t="n">
        <v>4.62</v>
      </c>
      <c r="V70" s="11" t="n">
        <v>4.49</v>
      </c>
      <c r="W70" s="11" t="n">
        <v>-2.47</v>
      </c>
      <c r="X70" s="11" t="n">
        <v>-1.92</v>
      </c>
      <c r="Y70" s="11" t="n">
        <v>-1.29</v>
      </c>
      <c r="Z70" s="11" t="n">
        <v>-0.97</v>
      </c>
      <c r="AA70" s="11" t="n">
        <v>-0.61</v>
      </c>
      <c r="AB70" s="11" t="n">
        <v>-0.26</v>
      </c>
      <c r="AC70" s="11" t="n">
        <v>0.09</v>
      </c>
      <c r="AD70" s="11" t="n">
        <v>1.17</v>
      </c>
      <c r="AE70" s="11" t="n">
        <v>4.62</v>
      </c>
    </row>
    <row r="71">
      <c r="A71" s="10" t="inlineStr">
        <is>
          <t>기타포괄손익누계액 합계</t>
        </is>
      </c>
      <c r="C71" s="11" t="n">
        <v>39.11</v>
      </c>
      <c r="D71" s="11" t="n">
        <v>39.4</v>
      </c>
      <c r="E71" s="11" t="n">
        <v>39.96</v>
      </c>
      <c r="F71" s="11" t="n">
        <v>47</v>
      </c>
      <c r="G71" s="11" t="n">
        <v>48.11</v>
      </c>
      <c r="H71" s="11" t="n">
        <v>44.72</v>
      </c>
      <c r="I71" s="11" t="n">
        <v>55.46</v>
      </c>
      <c r="J71" s="11" t="n">
        <v>63.04</v>
      </c>
      <c r="K71" s="11" t="n">
        <v>61.51</v>
      </c>
      <c r="L71" s="11" t="n">
        <v>71.47</v>
      </c>
      <c r="M71" s="11" t="n">
        <v>61.91</v>
      </c>
      <c r="N71" s="11" t="n">
        <v>56.05</v>
      </c>
      <c r="O71" s="11" t="n">
        <v>56.14</v>
      </c>
      <c r="P71" s="11" t="n">
        <v>55.25</v>
      </c>
      <c r="Q71" s="11" t="n">
        <v>60</v>
      </c>
      <c r="R71" s="11" t="n">
        <v>75.06999999999999</v>
      </c>
      <c r="S71" s="11" t="n">
        <v>74.28</v>
      </c>
      <c r="T71" s="11" t="n">
        <v>85.29000000000001</v>
      </c>
      <c r="U71" s="11" t="n">
        <v>69.59999999999999</v>
      </c>
      <c r="V71" s="11" t="n">
        <v>81.34999999999999</v>
      </c>
      <c r="W71" s="11" t="n">
        <v>80.52</v>
      </c>
      <c r="X71" s="11" t="n">
        <v>71.09999999999999</v>
      </c>
      <c r="Y71" s="11" t="n">
        <v>56.77</v>
      </c>
      <c r="Z71" s="11" t="n">
        <v>47.93</v>
      </c>
      <c r="AA71" s="11" t="n">
        <v>39.96</v>
      </c>
      <c r="AB71" s="11" t="n">
        <v>55.46</v>
      </c>
      <c r="AC71" s="11" t="n">
        <v>61.91</v>
      </c>
      <c r="AD71" s="11" t="n">
        <v>60</v>
      </c>
      <c r="AE71" s="11" t="n">
        <v>69.59999999999999</v>
      </c>
    </row>
    <row r="72">
      <c r="A72" s="10" t="inlineStr">
        <is>
          <t>순자산 합계</t>
        </is>
      </c>
      <c r="C72" s="11" t="n">
        <v>230.44</v>
      </c>
      <c r="D72" s="11" t="n">
        <v>231.8</v>
      </c>
      <c r="E72" s="11" t="n">
        <v>220.12</v>
      </c>
      <c r="F72" s="11" t="n">
        <v>226.44</v>
      </c>
      <c r="G72" s="11" t="n">
        <v>225.85</v>
      </c>
      <c r="H72" s="11" t="n">
        <v>226.52</v>
      </c>
      <c r="I72" s="11" t="n">
        <v>245.82</v>
      </c>
      <c r="J72" s="11" t="n">
        <v>252.05</v>
      </c>
      <c r="K72" s="11" t="n">
        <v>252.23</v>
      </c>
      <c r="L72" s="11" t="n">
        <v>262.49</v>
      </c>
      <c r="M72" s="11" t="n">
        <v>260.7</v>
      </c>
      <c r="N72" s="11" t="n">
        <v>252.5</v>
      </c>
      <c r="O72" s="11" t="n">
        <v>258.59</v>
      </c>
      <c r="P72" s="11" t="n">
        <v>261.78</v>
      </c>
      <c r="Q72" s="11" t="n">
        <v>273.85</v>
      </c>
      <c r="R72" s="11" t="n">
        <v>286.84</v>
      </c>
      <c r="S72" s="11" t="n">
        <v>289.52</v>
      </c>
      <c r="T72" s="11" t="n">
        <v>310.49</v>
      </c>
      <c r="U72" s="11" t="n">
        <v>306.11</v>
      </c>
      <c r="V72" s="11" t="n">
        <v>331.55</v>
      </c>
      <c r="W72" s="11" t="n">
        <v>263.27</v>
      </c>
      <c r="X72" s="11" t="n">
        <v>248.04</v>
      </c>
      <c r="Y72" s="11" t="n">
        <v>241.83</v>
      </c>
      <c r="Z72" s="11" t="n">
        <v>240.08</v>
      </c>
      <c r="AA72" s="11" t="n">
        <v>220.12</v>
      </c>
      <c r="AB72" s="11" t="n">
        <v>245.82</v>
      </c>
      <c r="AC72" s="11" t="n">
        <v>260.7</v>
      </c>
      <c r="AD72" s="11" t="n">
        <v>273.85</v>
      </c>
      <c r="AE72" s="11" t="n">
        <v>306.11</v>
      </c>
    </row>
    <row r="73">
      <c r="A73" s="10" t="inlineStr">
        <is>
          <t>부채·순자산 합계</t>
        </is>
      </c>
      <c r="C73" s="11" t="n">
        <v>502.9</v>
      </c>
      <c r="D73" s="11" t="n">
        <v>496.73</v>
      </c>
      <c r="E73" s="11" t="n">
        <v>469.16</v>
      </c>
      <c r="F73" s="11" t="n">
        <v>476.73</v>
      </c>
      <c r="G73" s="11" t="n">
        <v>483.14</v>
      </c>
      <c r="H73" s="11" t="n">
        <v>479.25</v>
      </c>
      <c r="I73" s="11" t="n">
        <v>496.82</v>
      </c>
      <c r="J73" s="11" t="n">
        <v>497.14</v>
      </c>
      <c r="K73" s="11" t="n">
        <v>500.6</v>
      </c>
      <c r="L73" s="11" t="n">
        <v>513.97</v>
      </c>
      <c r="M73" s="11" t="n">
        <v>516.52</v>
      </c>
      <c r="N73" s="11" t="n">
        <v>489.98</v>
      </c>
      <c r="O73" s="11" t="n">
        <v>537.96</v>
      </c>
      <c r="P73" s="11" t="n">
        <v>538.1900000000001</v>
      </c>
      <c r="Q73" s="11" t="n">
        <v>532.1</v>
      </c>
      <c r="R73" s="11" t="n">
        <v>542.41</v>
      </c>
      <c r="S73" s="11" t="n">
        <v>558.65</v>
      </c>
      <c r="T73" s="11" t="n">
        <v>590.12</v>
      </c>
      <c r="U73" s="11" t="n">
        <v>538.12</v>
      </c>
      <c r="V73" s="11" t="n">
        <v>565.0700000000001</v>
      </c>
      <c r="W73" s="11" t="n">
        <v>632.91</v>
      </c>
      <c r="X73" s="11" t="n">
        <v>580.01</v>
      </c>
      <c r="Y73" s="11" t="n">
        <v>551.65</v>
      </c>
      <c r="Z73" s="11" t="n">
        <v>519.67</v>
      </c>
      <c r="AA73" s="11" t="n">
        <v>469.16</v>
      </c>
      <c r="AB73" s="11" t="n">
        <v>496.82</v>
      </c>
      <c r="AC73" s="11" t="n">
        <v>516.52</v>
      </c>
      <c r="AD73" s="11" t="n">
        <v>532.1</v>
      </c>
      <c r="AE73" s="11" t="n">
        <v>538.12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40" customWidth="1" min="32" max="32"/>
  </cols>
  <sheetData>
    <row r="1">
      <c r="A1" s="1" t="inlineStr">
        <is>
          <t>도요전기제조 현금흐름표</t>
        </is>
      </c>
    </row>
    <row r="2">
      <c r="A2" s="2" t="inlineStr">
        <is>
          <t>결산기 기준(27.2Q = 2027년 결산기 2분기) · 5월 결산 · 연결 · 누계(그 분기까지)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FY18</t>
        </is>
      </c>
      <c r="X3" s="4" t="inlineStr">
        <is>
          <t>FY19</t>
        </is>
      </c>
      <c r="Y3" s="4" t="inlineStr">
        <is>
          <t>FY20</t>
        </is>
      </c>
      <c r="Z3" s="4" t="inlineStr">
        <is>
          <t>FY21</t>
        </is>
      </c>
      <c r="AA3" s="4" t="inlineStr">
        <is>
          <t>FY22</t>
        </is>
      </c>
      <c r="AB3" s="4" t="inlineStr">
        <is>
          <t>FY23</t>
        </is>
      </c>
      <c r="AC3" s="4" t="inlineStr">
        <is>
          <t>FY24</t>
        </is>
      </c>
      <c r="AD3" s="4" t="inlineStr">
        <is>
          <t>FY25</t>
        </is>
      </c>
      <c r="AE3" s="4" t="inlineStr">
        <is>
          <t>FY26</t>
        </is>
      </c>
      <c r="AF3" s="4" t="inlineStr">
        <is>
          <t>출처</t>
        </is>
      </c>
    </row>
    <row r="4">
      <c r="A4" s="10" t="inlineStr">
        <is>
          <t>법인세차감전 순이익</t>
        </is>
      </c>
      <c r="C4" s="11" t="n">
        <v>3.17</v>
      </c>
      <c r="E4" s="11" t="n">
        <v>-12.3</v>
      </c>
      <c r="G4" s="11" t="n">
        <v>2.75</v>
      </c>
      <c r="I4" s="11" t="n">
        <v>11.55</v>
      </c>
      <c r="K4" s="11" t="n">
        <v>5.23</v>
      </c>
      <c r="M4" s="11" t="n">
        <v>13.95</v>
      </c>
      <c r="O4" s="11" t="n">
        <v>11.38</v>
      </c>
      <c r="Q4" s="11" t="n">
        <v>27.08</v>
      </c>
      <c r="S4" s="11" t="n">
        <v>11.66</v>
      </c>
      <c r="U4" s="11" t="n">
        <v>39.54</v>
      </c>
      <c r="W4" s="11" t="n">
        <v>9.640000000000001</v>
      </c>
      <c r="X4" s="11" t="n">
        <v>12.46</v>
      </c>
      <c r="Y4" s="11" t="n">
        <v>16.53</v>
      </c>
      <c r="Z4" s="11" t="n">
        <v>11.64</v>
      </c>
      <c r="AA4" s="11" t="n">
        <v>-12.3</v>
      </c>
      <c r="AB4" s="11" t="n">
        <v>11.55</v>
      </c>
      <c r="AC4" s="11" t="n">
        <v>13.95</v>
      </c>
      <c r="AD4" s="11" t="n">
        <v>27.08</v>
      </c>
      <c r="AE4" s="11" t="n">
        <v>39.54</v>
      </c>
      <c r="AF4" s="7" t="inlineStr">
        <is>
          <t>결산단신 XBRL(거래소 공시, TDnet·JPX 보관소). 쓴 문서: 2026-10-14, 2026-07-15, 2026-04-13, 2026-01-13 외 26건 — '출처' 시트에 전부</t>
        </is>
      </c>
    </row>
    <row r="5">
      <c r="A5" s="10" t="inlineStr">
        <is>
          <t>감가상각비</t>
        </is>
      </c>
      <c r="C5" s="11" t="n">
        <v>6.13</v>
      </c>
      <c r="E5" s="11" t="n">
        <v>12.57</v>
      </c>
      <c r="G5" s="11" t="n">
        <v>3.96</v>
      </c>
      <c r="I5" s="11" t="n">
        <v>8.4</v>
      </c>
      <c r="K5" s="11" t="n">
        <v>3.49</v>
      </c>
      <c r="M5" s="11" t="n">
        <v>7.6</v>
      </c>
      <c r="O5" s="11" t="n">
        <v>3.21</v>
      </c>
      <c r="Q5" s="11" t="n">
        <v>7.07</v>
      </c>
      <c r="S5" s="11" t="n">
        <v>3.29</v>
      </c>
      <c r="U5" s="11" t="n">
        <v>7.12</v>
      </c>
      <c r="W5" s="11" t="n">
        <v>12.37</v>
      </c>
      <c r="X5" s="11" t="n">
        <v>17.74</v>
      </c>
      <c r="Y5" s="11" t="n">
        <v>14.87</v>
      </c>
      <c r="Z5" s="11" t="n">
        <v>14.13</v>
      </c>
      <c r="AA5" s="11" t="n">
        <v>12.57</v>
      </c>
      <c r="AB5" s="11" t="n">
        <v>8.4</v>
      </c>
      <c r="AC5" s="11" t="n">
        <v>7.6</v>
      </c>
      <c r="AD5" s="11" t="n">
        <v>7.07</v>
      </c>
      <c r="AE5" s="11" t="n">
        <v>7.12</v>
      </c>
    </row>
    <row r="6">
      <c r="A6" s="10" t="inlineStr">
        <is>
          <t>손상차손</t>
        </is>
      </c>
      <c r="E6" s="11" t="n">
        <v>22.56</v>
      </c>
      <c r="I6" s="11" t="n">
        <v>0</v>
      </c>
      <c r="M6" s="11" t="n">
        <v>0</v>
      </c>
      <c r="Q6" s="11" t="n">
        <v>0.38</v>
      </c>
      <c r="U6" s="11" t="n">
        <v>0</v>
      </c>
      <c r="Z6" s="11" t="n">
        <v>0</v>
      </c>
      <c r="AA6" s="11" t="n">
        <v>22.56</v>
      </c>
      <c r="AB6" s="11" t="n">
        <v>0</v>
      </c>
      <c r="AC6" s="11" t="n">
        <v>0</v>
      </c>
      <c r="AD6" s="11" t="n">
        <v>0.38</v>
      </c>
      <c r="AE6" s="11" t="n">
        <v>0</v>
      </c>
    </row>
    <row r="7">
      <c r="A7" s="10" t="inlineStr">
        <is>
          <t>대손충당금 증감</t>
        </is>
      </c>
      <c r="C7" s="11" t="n">
        <v>-0</v>
      </c>
      <c r="E7" s="11" t="n">
        <v>-0</v>
      </c>
      <c r="G7" s="11" t="n">
        <v>0</v>
      </c>
      <c r="I7" s="11" t="n">
        <v>0.09</v>
      </c>
      <c r="K7" s="11" t="n">
        <v>0.37</v>
      </c>
      <c r="M7" s="11" t="n">
        <v>0.1</v>
      </c>
      <c r="O7" s="11" t="n">
        <v>0.15</v>
      </c>
      <c r="Q7" s="11" t="n">
        <v>3.02</v>
      </c>
      <c r="S7" s="11" t="n">
        <v>-0</v>
      </c>
      <c r="U7" s="11" t="n">
        <v>0.12</v>
      </c>
      <c r="W7" s="11" t="n">
        <v>0</v>
      </c>
      <c r="X7" s="11" t="n">
        <v>-0</v>
      </c>
      <c r="Y7" s="11" t="n">
        <v>-0.07000000000000001</v>
      </c>
      <c r="Z7" s="11" t="n">
        <v>0.02</v>
      </c>
      <c r="AA7" s="11" t="n">
        <v>-0</v>
      </c>
      <c r="AB7" s="11" t="n">
        <v>0.09</v>
      </c>
      <c r="AC7" s="11" t="n">
        <v>0.1</v>
      </c>
      <c r="AD7" s="11" t="n">
        <v>3.02</v>
      </c>
      <c r="AE7" s="11" t="n">
        <v>0.12</v>
      </c>
    </row>
    <row r="8">
      <c r="A8" s="10" t="inlineStr">
        <is>
          <t>상여충당금 증감</t>
        </is>
      </c>
      <c r="C8" s="11" t="n">
        <v>0.21</v>
      </c>
      <c r="E8" s="11" t="n">
        <v>-1.28</v>
      </c>
      <c r="G8" s="11" t="n">
        <v>-0.14</v>
      </c>
      <c r="I8" s="11" t="n">
        <v>-0.26</v>
      </c>
      <c r="K8" s="11" t="n">
        <v>0.04</v>
      </c>
      <c r="M8" s="11" t="n">
        <v>0.63</v>
      </c>
      <c r="O8" s="11" t="n">
        <v>1.05</v>
      </c>
      <c r="Q8" s="11" t="n">
        <v>3.07</v>
      </c>
      <c r="S8" s="11" t="n">
        <v>1.19</v>
      </c>
      <c r="U8" s="11" t="n">
        <v>1.03</v>
      </c>
      <c r="W8" s="11" t="n">
        <v>-1.38</v>
      </c>
      <c r="X8" s="11" t="n">
        <v>0.05</v>
      </c>
      <c r="Y8" s="11" t="n">
        <v>0.57</v>
      </c>
      <c r="Z8" s="11" t="n">
        <v>-0.49</v>
      </c>
      <c r="AA8" s="11" t="n">
        <v>-1.28</v>
      </c>
      <c r="AB8" s="11" t="n">
        <v>-0.26</v>
      </c>
      <c r="AC8" s="11" t="n">
        <v>0.63</v>
      </c>
      <c r="AD8" s="11" t="n">
        <v>3.07</v>
      </c>
      <c r="AE8" s="11" t="n">
        <v>1.03</v>
      </c>
    </row>
    <row r="9">
      <c r="A9" s="10" t="inlineStr">
        <is>
          <t>퇴직급여부채 증감</t>
        </is>
      </c>
      <c r="C9" s="11" t="n">
        <v>0.27</v>
      </c>
      <c r="E9" s="11" t="n">
        <v>0.05</v>
      </c>
      <c r="G9" s="11" t="n">
        <v>0.44</v>
      </c>
      <c r="I9" s="11" t="n">
        <v>-0.22</v>
      </c>
      <c r="K9" s="11" t="n">
        <v>0.41</v>
      </c>
      <c r="M9" s="11" t="n">
        <v>0.9399999999999999</v>
      </c>
      <c r="O9" s="11" t="n">
        <v>-0.28</v>
      </c>
      <c r="Q9" s="11" t="n">
        <v>-0.91</v>
      </c>
      <c r="S9" s="11" t="n">
        <v>0.15</v>
      </c>
      <c r="U9" s="11" t="n">
        <v>0.25</v>
      </c>
      <c r="W9" s="11" t="n">
        <v>-0.46</v>
      </c>
      <c r="X9" s="11" t="n">
        <v>0.37</v>
      </c>
      <c r="Y9" s="11" t="n">
        <v>1.38</v>
      </c>
      <c r="Z9" s="11" t="n">
        <v>0.97</v>
      </c>
      <c r="AA9" s="11" t="n">
        <v>0.05</v>
      </c>
      <c r="AB9" s="11" t="n">
        <v>-0.22</v>
      </c>
      <c r="AC9" s="11" t="n">
        <v>0.9399999999999999</v>
      </c>
      <c r="AD9" s="11" t="n">
        <v>-0.91</v>
      </c>
      <c r="AE9" s="11" t="n">
        <v>0.25</v>
      </c>
    </row>
    <row r="10">
      <c r="A10" s="10" t="inlineStr">
        <is>
          <t>이자·배당금 수익</t>
        </is>
      </c>
      <c r="C10" s="11" t="n">
        <v>-1.05</v>
      </c>
      <c r="E10" s="11" t="n">
        <v>-1.54</v>
      </c>
      <c r="G10" s="11" t="n">
        <v>-1.24</v>
      </c>
      <c r="I10" s="11" t="n">
        <v>-1.91</v>
      </c>
      <c r="K10" s="11" t="n">
        <v>-1.13</v>
      </c>
      <c r="M10" s="11" t="n">
        <v>-2.1</v>
      </c>
      <c r="O10" s="11" t="n">
        <v>-1.55</v>
      </c>
      <c r="Q10" s="11" t="n">
        <v>-2.58</v>
      </c>
      <c r="S10" s="11" t="n">
        <v>-2.19</v>
      </c>
      <c r="U10" s="11" t="n">
        <v>-3.57</v>
      </c>
      <c r="W10" s="11" t="n">
        <v>-2.35</v>
      </c>
      <c r="X10" s="11" t="n">
        <v>-2.44</v>
      </c>
      <c r="Y10" s="11" t="n">
        <v>-2.35</v>
      </c>
      <c r="Z10" s="11" t="n">
        <v>-2.02</v>
      </c>
      <c r="AA10" s="11" t="n">
        <v>-1.54</v>
      </c>
      <c r="AB10" s="11" t="n">
        <v>-1.91</v>
      </c>
      <c r="AC10" s="11" t="n">
        <v>-2.1</v>
      </c>
      <c r="AD10" s="11" t="n">
        <v>-2.58</v>
      </c>
      <c r="AE10" s="11" t="n">
        <v>-3.57</v>
      </c>
    </row>
    <row r="11">
      <c r="A11" s="10" t="inlineStr">
        <is>
          <t>이자비용</t>
        </is>
      </c>
      <c r="C11" s="11" t="n">
        <v>0.3</v>
      </c>
      <c r="E11" s="11" t="n">
        <v>0.58</v>
      </c>
      <c r="G11" s="11" t="n">
        <v>0.26</v>
      </c>
      <c r="I11" s="11" t="n">
        <v>0.52</v>
      </c>
      <c r="K11" s="11" t="n">
        <v>0.24</v>
      </c>
      <c r="M11" s="11" t="n">
        <v>0.48</v>
      </c>
      <c r="O11" s="11" t="n">
        <v>0.29</v>
      </c>
      <c r="Q11" s="11" t="n">
        <v>0.75</v>
      </c>
      <c r="S11" s="11" t="n">
        <v>0.54</v>
      </c>
      <c r="U11" s="11" t="n">
        <v>1.26</v>
      </c>
      <c r="W11" s="11" t="n">
        <v>1.48</v>
      </c>
      <c r="X11" s="11" t="n">
        <v>1.43</v>
      </c>
      <c r="Y11" s="11" t="n">
        <v>0.83</v>
      </c>
      <c r="Z11" s="11" t="n">
        <v>0.67</v>
      </c>
      <c r="AA11" s="11" t="n">
        <v>0.58</v>
      </c>
      <c r="AB11" s="11" t="n">
        <v>0.52</v>
      </c>
      <c r="AC11" s="11" t="n">
        <v>0.48</v>
      </c>
      <c r="AD11" s="11" t="n">
        <v>0.75</v>
      </c>
      <c r="AE11" s="11" t="n">
        <v>1.26</v>
      </c>
    </row>
    <row r="12">
      <c r="A12" s="10" t="inlineStr">
        <is>
          <t>재해 보험금 수익</t>
        </is>
      </c>
      <c r="C12" s="11" t="n">
        <v>0</v>
      </c>
    </row>
    <row r="13">
      <c r="A13" s="10" t="inlineStr">
        <is>
          <t>지분법손익</t>
        </is>
      </c>
      <c r="C13" s="11" t="n">
        <v>-1.21</v>
      </c>
      <c r="E13" s="11" t="n">
        <v>-2.42</v>
      </c>
      <c r="G13" s="11" t="n">
        <v>-0.89</v>
      </c>
      <c r="I13" s="11" t="n">
        <v>-2.21</v>
      </c>
      <c r="K13" s="11" t="n">
        <v>-2.09</v>
      </c>
      <c r="M13" s="11" t="n">
        <v>-2.63</v>
      </c>
      <c r="O13" s="11" t="n">
        <v>-1.25</v>
      </c>
      <c r="Q13" s="11" t="n">
        <v>-2.11</v>
      </c>
      <c r="S13" s="11" t="n">
        <v>-0.08</v>
      </c>
      <c r="U13" s="11" t="n">
        <v>-1.25</v>
      </c>
      <c r="Z13" s="11" t="n">
        <v>0</v>
      </c>
      <c r="AA13" s="11" t="n">
        <v>-2.42</v>
      </c>
      <c r="AB13" s="11" t="n">
        <v>-2.21</v>
      </c>
      <c r="AC13" s="11" t="n">
        <v>-2.63</v>
      </c>
      <c r="AD13" s="11" t="n">
        <v>-2.11</v>
      </c>
      <c r="AE13" s="11" t="n">
        <v>-1.25</v>
      </c>
    </row>
    <row r="14">
      <c r="A14" s="10" t="inlineStr">
        <is>
          <t>재해 보험금 수익</t>
        </is>
      </c>
      <c r="E14" s="11" t="n">
        <v>0</v>
      </c>
      <c r="X14" s="11" t="n">
        <v>0</v>
      </c>
      <c r="Y14" s="11" t="n">
        <v>-1.04</v>
      </c>
      <c r="Z14" s="11" t="n">
        <v>-0.34</v>
      </c>
      <c r="AA14" s="11" t="n">
        <v>0</v>
      </c>
    </row>
    <row r="15">
      <c r="A15" s="10" t="inlineStr">
        <is>
          <t>보조금 수입</t>
        </is>
      </c>
      <c r="E15" s="11" t="n">
        <v>-0.2</v>
      </c>
      <c r="I15" s="11" t="n">
        <v>0</v>
      </c>
      <c r="X15" s="11" t="n">
        <v>0</v>
      </c>
      <c r="Y15" s="11" t="n">
        <v>-0.4</v>
      </c>
      <c r="Z15" s="11" t="n">
        <v>-0.4</v>
      </c>
      <c r="AA15" s="11" t="n">
        <v>-0.2</v>
      </c>
      <c r="AB15" s="11" t="n">
        <v>0</v>
      </c>
    </row>
    <row r="16">
      <c r="A16" s="10" t="inlineStr">
        <is>
          <t>재해복구 비용</t>
        </is>
      </c>
      <c r="X16" s="11" t="n">
        <v>0</v>
      </c>
      <c r="Y16" s="11" t="n">
        <v>0.79</v>
      </c>
      <c r="Z16" s="11" t="n">
        <v>0</v>
      </c>
    </row>
    <row r="17">
      <c r="A17" s="10" t="inlineStr">
        <is>
          <t>유형자산 매각손익</t>
        </is>
      </c>
      <c r="C17" s="11" t="n">
        <v>0</v>
      </c>
      <c r="E17" s="11" t="n">
        <v>0</v>
      </c>
      <c r="G17" s="11" t="n">
        <v>-1.5</v>
      </c>
      <c r="I17" s="11" t="n">
        <v>-1.5</v>
      </c>
      <c r="K17" s="11" t="n">
        <v>0</v>
      </c>
      <c r="M17" s="11" t="n">
        <v>0</v>
      </c>
      <c r="AA17" s="11" t="n">
        <v>0</v>
      </c>
      <c r="AB17" s="11" t="n">
        <v>-1.5</v>
      </c>
      <c r="AC17" s="11" t="n">
        <v>0</v>
      </c>
    </row>
    <row r="18">
      <c r="A18" s="10" t="inlineStr">
        <is>
          <t>투자유가증권 매각손익</t>
        </is>
      </c>
      <c r="C18" s="11" t="n">
        <v>-3.66</v>
      </c>
      <c r="E18" s="11" t="n">
        <v>-3.66</v>
      </c>
      <c r="G18" s="11" t="n">
        <v>-4.05</v>
      </c>
      <c r="I18" s="11" t="n">
        <v>-5.3</v>
      </c>
      <c r="K18" s="11" t="n">
        <v>-1.58</v>
      </c>
      <c r="M18" s="11" t="n">
        <v>-3.37</v>
      </c>
      <c r="O18" s="11" t="n">
        <v>-1.5</v>
      </c>
      <c r="Q18" s="11" t="n">
        <v>-2.81</v>
      </c>
      <c r="S18" s="11" t="n">
        <v>-2.7</v>
      </c>
      <c r="U18" s="11" t="n">
        <v>-4.34</v>
      </c>
      <c r="W18" s="11" t="n">
        <v>-8.06</v>
      </c>
      <c r="X18" s="11" t="n">
        <v>-8.039999999999999</v>
      </c>
      <c r="Y18" s="11" t="n">
        <v>-4.47</v>
      </c>
      <c r="Z18" s="11" t="n">
        <v>-4.07</v>
      </c>
      <c r="AA18" s="11" t="n">
        <v>-3.66</v>
      </c>
      <c r="AB18" s="11" t="n">
        <v>-5.3</v>
      </c>
      <c r="AC18" s="11" t="n">
        <v>-3.37</v>
      </c>
      <c r="AD18" s="11" t="n">
        <v>-2.81</v>
      </c>
      <c r="AE18" s="11" t="n">
        <v>-4.34</v>
      </c>
    </row>
    <row r="19">
      <c r="A19" s="10" t="inlineStr">
        <is>
          <t>고정자산 매각손익</t>
        </is>
      </c>
      <c r="W19" s="11" t="n">
        <v>0.02</v>
      </c>
      <c r="X19" s="11" t="n">
        <v>0</v>
      </c>
    </row>
    <row r="20">
      <c r="A20" s="10" t="inlineStr">
        <is>
          <t>공장 통합비용</t>
        </is>
      </c>
      <c r="W20" s="11" t="n">
        <v>0.66</v>
      </c>
      <c r="X20" s="11" t="n">
        <v>0</v>
      </c>
    </row>
    <row r="21">
      <c r="A21" s="10" t="inlineStr">
        <is>
          <t>환산조정 환입이익</t>
        </is>
      </c>
      <c r="C21" s="11" t="n">
        <v>-0.9399999999999999</v>
      </c>
      <c r="G21" s="11" t="n">
        <v>0</v>
      </c>
    </row>
    <row r="22">
      <c r="A22" s="10" t="inlineStr">
        <is>
          <t>투자유가증권 평가손익</t>
        </is>
      </c>
      <c r="C22" s="11" t="n">
        <v>0.59</v>
      </c>
      <c r="E22" s="11" t="n">
        <v>0.45</v>
      </c>
      <c r="G22" s="11" t="n">
        <v>0</v>
      </c>
      <c r="I22" s="11" t="n">
        <v>0</v>
      </c>
      <c r="Z22" s="11" t="n">
        <v>0</v>
      </c>
      <c r="AA22" s="11" t="n">
        <v>0.45</v>
      </c>
      <c r="AB22" s="11" t="n">
        <v>0</v>
      </c>
    </row>
    <row r="23">
      <c r="A23" s="10" t="inlineStr">
        <is>
          <t>환산조정 환입이익</t>
        </is>
      </c>
      <c r="E23" s="11" t="n">
        <v>-0.9399999999999999</v>
      </c>
      <c r="I23" s="11" t="n">
        <v>0</v>
      </c>
      <c r="Z23" s="11" t="n">
        <v>0</v>
      </c>
      <c r="AA23" s="11" t="n">
        <v>-0.9399999999999999</v>
      </c>
      <c r="AB23" s="11" t="n">
        <v>0</v>
      </c>
    </row>
    <row r="24">
      <c r="A24" s="10" t="inlineStr">
        <is>
          <t>관계회사 출자금 평가손실</t>
        </is>
      </c>
      <c r="E24" s="11" t="n">
        <v>1.55</v>
      </c>
      <c r="Z24" s="11" t="n">
        <v>0</v>
      </c>
      <c r="AA24" s="11" t="n">
        <v>1.55</v>
      </c>
    </row>
    <row r="25">
      <c r="A25" s="10" t="inlineStr">
        <is>
          <t>사업구조개혁 비용</t>
        </is>
      </c>
      <c r="C25" s="11" t="n">
        <v>0</v>
      </c>
      <c r="G25" s="11" t="n">
        <v>4.78</v>
      </c>
      <c r="K25" s="11" t="n">
        <v>1.91</v>
      </c>
    </row>
    <row r="26">
      <c r="A26" s="10" t="inlineStr">
        <is>
          <t>사업구조개혁 비용</t>
        </is>
      </c>
      <c r="K26" s="11" t="n">
        <v>1.91</v>
      </c>
      <c r="O26" s="11" t="n">
        <v>0</v>
      </c>
    </row>
    <row r="27">
      <c r="A27" s="10" t="inlineStr">
        <is>
          <t>사업구조개혁 비용</t>
        </is>
      </c>
      <c r="E27" s="11" t="n">
        <v>0</v>
      </c>
      <c r="I27" s="11" t="n">
        <v>5.13</v>
      </c>
      <c r="M27" s="11" t="n">
        <v>3.46</v>
      </c>
      <c r="Q27" s="11" t="n">
        <v>0</v>
      </c>
      <c r="AA27" s="11" t="n">
        <v>0</v>
      </c>
      <c r="AB27" s="11" t="n">
        <v>5.13</v>
      </c>
      <c r="AC27" s="11" t="n">
        <v>3.46</v>
      </c>
      <c r="AD27" s="11" t="n">
        <v>0</v>
      </c>
    </row>
    <row r="28">
      <c r="A28" s="10" t="inlineStr">
        <is>
          <t>관계회사 출자금 평가손실</t>
        </is>
      </c>
      <c r="E28" s="11" t="n">
        <v>1.55</v>
      </c>
      <c r="I28" s="11" t="n">
        <v>0</v>
      </c>
      <c r="AA28" s="11" t="n">
        <v>1.55</v>
      </c>
      <c r="AB28" s="11" t="n">
        <v>0</v>
      </c>
    </row>
    <row r="29">
      <c r="A29" s="10" t="inlineStr">
        <is>
          <t>손해보상 손실</t>
        </is>
      </c>
      <c r="I29" s="11" t="n">
        <v>0</v>
      </c>
      <c r="M29" s="11" t="n">
        <v>0.83</v>
      </c>
      <c r="Q29" s="11" t="n">
        <v>1.19</v>
      </c>
      <c r="U29" s="11" t="n">
        <v>0</v>
      </c>
      <c r="AB29" s="11" t="n">
        <v>0</v>
      </c>
      <c r="AC29" s="11" t="n">
        <v>0.83</v>
      </c>
      <c r="AD29" s="11" t="n">
        <v>1.19</v>
      </c>
      <c r="AE29" s="11" t="n">
        <v>0</v>
      </c>
    </row>
    <row r="30">
      <c r="A30" s="10" t="inlineStr">
        <is>
          <t>매출채권 증감</t>
        </is>
      </c>
      <c r="C30" s="11" t="n">
        <v>-8.869999999999999</v>
      </c>
      <c r="E30" s="11" t="n">
        <v>8.91</v>
      </c>
      <c r="G30" s="11" t="n">
        <v>-12.01</v>
      </c>
      <c r="I30" s="11" t="n">
        <v>-11.25</v>
      </c>
      <c r="K30" s="11" t="n">
        <v>0.7</v>
      </c>
      <c r="M30" s="11" t="n">
        <v>9.210000000000001</v>
      </c>
      <c r="O30" s="11" t="n">
        <v>-45.51</v>
      </c>
      <c r="Q30" s="11" t="n">
        <v>-31.95</v>
      </c>
      <c r="S30" s="11" t="n">
        <v>-9.32</v>
      </c>
      <c r="U30" s="11" t="n">
        <v>-6.3</v>
      </c>
      <c r="W30" s="11" t="n">
        <v>-18.12</v>
      </c>
      <c r="X30" s="11" t="n">
        <v>25.27</v>
      </c>
      <c r="Y30" s="11" t="n">
        <v>-0.64</v>
      </c>
      <c r="Z30" s="11" t="n">
        <v>15.67</v>
      </c>
      <c r="AA30" s="11" t="n">
        <v>8.91</v>
      </c>
      <c r="AB30" s="11" t="n">
        <v>-11.25</v>
      </c>
      <c r="AC30" s="11" t="n">
        <v>9.210000000000001</v>
      </c>
      <c r="AD30" s="11" t="n">
        <v>-31.95</v>
      </c>
      <c r="AE30" s="11" t="n">
        <v>-6.3</v>
      </c>
    </row>
    <row r="31">
      <c r="A31" s="10" t="inlineStr">
        <is>
          <t>재고자산 증감</t>
        </is>
      </c>
      <c r="C31" s="11" t="n">
        <v>5.83</v>
      </c>
      <c r="E31" s="11" t="n">
        <v>6.33</v>
      </c>
      <c r="G31" s="11" t="n">
        <v>-6.52</v>
      </c>
      <c r="I31" s="11" t="n">
        <v>-0.51</v>
      </c>
      <c r="K31" s="11" t="n">
        <v>-4.51</v>
      </c>
      <c r="M31" s="11" t="n">
        <v>-10.22</v>
      </c>
      <c r="O31" s="11" t="n">
        <v>-3.8</v>
      </c>
      <c r="Q31" s="11" t="n">
        <v>-5.3</v>
      </c>
      <c r="S31" s="11" t="n">
        <v>-8.67</v>
      </c>
      <c r="U31" s="11" t="n">
        <v>-3.39</v>
      </c>
      <c r="W31" s="11" t="n">
        <v>-13.7</v>
      </c>
      <c r="X31" s="11" t="n">
        <v>2.9</v>
      </c>
      <c r="Y31" s="11" t="n">
        <v>3.72</v>
      </c>
      <c r="Z31" s="11" t="n">
        <v>2.74</v>
      </c>
      <c r="AA31" s="11" t="n">
        <v>6.33</v>
      </c>
      <c r="AB31" s="11" t="n">
        <v>-0.51</v>
      </c>
      <c r="AC31" s="11" t="n">
        <v>-10.22</v>
      </c>
      <c r="AD31" s="11" t="n">
        <v>-5.3</v>
      </c>
      <c r="AE31" s="11" t="n">
        <v>-3.39</v>
      </c>
    </row>
    <row r="32">
      <c r="A32" s="10" t="inlineStr">
        <is>
          <t>매입채무 증감</t>
        </is>
      </c>
      <c r="C32" s="11" t="n">
        <v>-5.85</v>
      </c>
      <c r="E32" s="11" t="n">
        <v>-5.57</v>
      </c>
      <c r="G32" s="11" t="n">
        <v>0.41</v>
      </c>
      <c r="I32" s="11" t="n">
        <v>10.12</v>
      </c>
      <c r="K32" s="11" t="n">
        <v>-2.66</v>
      </c>
      <c r="M32" s="11" t="n">
        <v>0.25</v>
      </c>
      <c r="O32" s="11" t="n">
        <v>0.33</v>
      </c>
      <c r="Q32" s="11" t="n">
        <v>5.32</v>
      </c>
      <c r="S32" s="11" t="n">
        <v>-12.4</v>
      </c>
      <c r="U32" s="11" t="n">
        <v>-28.25</v>
      </c>
      <c r="W32" s="11" t="n">
        <v>15.67</v>
      </c>
      <c r="X32" s="11" t="n">
        <v>-17.9</v>
      </c>
      <c r="Y32" s="11" t="n">
        <v>-4.81</v>
      </c>
      <c r="Z32" s="11" t="n">
        <v>-17.43</v>
      </c>
      <c r="AA32" s="11" t="n">
        <v>-5.57</v>
      </c>
      <c r="AB32" s="11" t="n">
        <v>10.12</v>
      </c>
      <c r="AC32" s="11" t="n">
        <v>0.25</v>
      </c>
      <c r="AD32" s="11" t="n">
        <v>5.32</v>
      </c>
      <c r="AE32" s="11" t="n">
        <v>-28.25</v>
      </c>
    </row>
    <row r="33">
      <c r="A33" s="10" t="inlineStr">
        <is>
          <t>수주손실 충당금 증감</t>
        </is>
      </c>
      <c r="C33" s="11" t="n">
        <v>0.5</v>
      </c>
      <c r="E33" s="11" t="n">
        <v>0.99</v>
      </c>
      <c r="G33" s="11" t="n">
        <v>-0.9399999999999999</v>
      </c>
      <c r="I33" s="11" t="n">
        <v>0.25</v>
      </c>
      <c r="K33" s="11" t="n">
        <v>-2.61</v>
      </c>
      <c r="M33" s="11" t="n">
        <v>-2.12</v>
      </c>
      <c r="O33" s="11" t="n">
        <v>1.38</v>
      </c>
      <c r="Q33" s="11" t="n">
        <v>1.67</v>
      </c>
      <c r="S33" s="11" t="n">
        <v>-2.37</v>
      </c>
      <c r="U33" s="11" t="n">
        <v>-3.06</v>
      </c>
      <c r="W33" s="11" t="n">
        <v>3.4</v>
      </c>
      <c r="X33" s="11" t="n">
        <v>-1.34</v>
      </c>
      <c r="Y33" s="11" t="n">
        <v>1.66</v>
      </c>
      <c r="Z33" s="11" t="n">
        <v>1.42</v>
      </c>
      <c r="AA33" s="11" t="n">
        <v>0.99</v>
      </c>
      <c r="AB33" s="11" t="n">
        <v>0.25</v>
      </c>
      <c r="AC33" s="11" t="n">
        <v>-2.12</v>
      </c>
      <c r="AD33" s="11" t="n">
        <v>1.67</v>
      </c>
      <c r="AE33" s="11" t="n">
        <v>-3.06</v>
      </c>
    </row>
    <row r="34">
      <c r="A34" s="10" t="inlineStr">
        <is>
          <t>선수금 증감</t>
        </is>
      </c>
      <c r="C34" s="11" t="n">
        <v>0.18</v>
      </c>
      <c r="E34" s="11" t="n">
        <v>0</v>
      </c>
      <c r="W34" s="11" t="n">
        <v>0.68</v>
      </c>
      <c r="X34" s="11" t="n">
        <v>-1.29</v>
      </c>
      <c r="Y34" s="11" t="n">
        <v>-0.13</v>
      </c>
      <c r="Z34" s="11" t="n">
        <v>-0.11</v>
      </c>
      <c r="AA34" s="11" t="n">
        <v>0</v>
      </c>
    </row>
    <row r="35">
      <c r="A35" s="10" t="inlineStr">
        <is>
          <t>제품보증 충당금 증감</t>
        </is>
      </c>
      <c r="E35" s="11" t="n">
        <v>-0</v>
      </c>
      <c r="G35" s="11" t="n">
        <v>0.07000000000000001</v>
      </c>
      <c r="I35" s="11" t="n">
        <v>0.63</v>
      </c>
      <c r="K35" s="11" t="n">
        <v>0.41</v>
      </c>
      <c r="M35" s="11" t="n">
        <v>0.85</v>
      </c>
      <c r="O35" s="11" t="n">
        <v>2.87</v>
      </c>
      <c r="Q35" s="11" t="n">
        <v>2.57</v>
      </c>
      <c r="S35" s="11" t="n">
        <v>0.46</v>
      </c>
      <c r="U35" s="11" t="n">
        <v>-0.57</v>
      </c>
      <c r="AA35" s="11" t="n">
        <v>-0</v>
      </c>
      <c r="AB35" s="11" t="n">
        <v>0.63</v>
      </c>
      <c r="AC35" s="11" t="n">
        <v>0.85</v>
      </c>
      <c r="AD35" s="11" t="n">
        <v>2.57</v>
      </c>
      <c r="AE35" s="11" t="n">
        <v>-0.57</v>
      </c>
    </row>
    <row r="36">
      <c r="A36" s="10" t="inlineStr">
        <is>
          <t>계약부채 증감</t>
        </is>
      </c>
      <c r="E36" s="11" t="n">
        <v>0.13</v>
      </c>
      <c r="I36" s="11" t="n">
        <v>0.36</v>
      </c>
      <c r="Z36" s="11" t="n">
        <v>0</v>
      </c>
      <c r="AA36" s="11" t="n">
        <v>0.13</v>
      </c>
      <c r="AB36" s="11" t="n">
        <v>0.36</v>
      </c>
    </row>
    <row r="37">
      <c r="A37" s="10" t="inlineStr">
        <is>
          <t>계약부채 증감</t>
        </is>
      </c>
      <c r="C37" s="11" t="n">
        <v>0.18</v>
      </c>
      <c r="G37" s="11" t="n">
        <v>0.17</v>
      </c>
      <c r="K37" s="11" t="n">
        <v>0.28</v>
      </c>
    </row>
    <row r="38">
      <c r="A38" s="10" t="inlineStr">
        <is>
          <t>계약부채 증감</t>
        </is>
      </c>
      <c r="I38" s="11" t="n">
        <v>0.36</v>
      </c>
      <c r="K38" s="11" t="n">
        <v>0.28</v>
      </c>
      <c r="M38" s="11" t="n">
        <v>0.3</v>
      </c>
      <c r="O38" s="11" t="n">
        <v>-0.47</v>
      </c>
      <c r="Q38" s="11" t="n">
        <v>0.84</v>
      </c>
      <c r="S38" s="11" t="n">
        <v>0.86</v>
      </c>
      <c r="U38" s="11" t="n">
        <v>-0.01</v>
      </c>
      <c r="AB38" s="11" t="n">
        <v>0.36</v>
      </c>
      <c r="AC38" s="11" t="n">
        <v>0.3</v>
      </c>
      <c r="AD38" s="11" t="n">
        <v>0.84</v>
      </c>
      <c r="AE38" s="11" t="n">
        <v>-0.01</v>
      </c>
    </row>
    <row r="39">
      <c r="A39" s="10" t="inlineStr">
        <is>
          <t>미지급비용 증감</t>
        </is>
      </c>
      <c r="C39" s="11" t="n">
        <v>0.54</v>
      </c>
      <c r="E39" s="11" t="n">
        <v>0.97</v>
      </c>
      <c r="G39" s="11" t="n">
        <v>1.05</v>
      </c>
      <c r="I39" s="11" t="n">
        <v>-0.98</v>
      </c>
      <c r="K39" s="11" t="n">
        <v>1.69</v>
      </c>
      <c r="M39" s="11" t="n">
        <v>2.19</v>
      </c>
      <c r="O39" s="11" t="n">
        <v>1.7</v>
      </c>
      <c r="Q39" s="11" t="n">
        <v>2.82</v>
      </c>
      <c r="S39" s="11" t="n">
        <v>-0.14</v>
      </c>
      <c r="U39" s="11" t="n">
        <v>-0.76</v>
      </c>
      <c r="W39" s="11" t="n">
        <v>-2.33</v>
      </c>
      <c r="X39" s="11" t="n">
        <v>-1.7</v>
      </c>
      <c r="Y39" s="11" t="n">
        <v>-0.64</v>
      </c>
      <c r="Z39" s="11" t="n">
        <v>-0.14</v>
      </c>
      <c r="AA39" s="11" t="n">
        <v>0.97</v>
      </c>
      <c r="AB39" s="11" t="n">
        <v>-0.98</v>
      </c>
      <c r="AC39" s="11" t="n">
        <v>2.19</v>
      </c>
      <c r="AD39" s="11" t="n">
        <v>2.82</v>
      </c>
      <c r="AE39" s="11" t="n">
        <v>-0.76</v>
      </c>
    </row>
    <row r="40">
      <c r="A40" s="10" t="inlineStr">
        <is>
          <t>미수 소비세 증감</t>
        </is>
      </c>
      <c r="W40" s="11" t="n">
        <v>-4.1</v>
      </c>
      <c r="X40" s="11" t="n">
        <v>4.15</v>
      </c>
      <c r="Y40" s="11" t="n">
        <v>0</v>
      </c>
    </row>
    <row r="41">
      <c r="A41" s="10" t="inlineStr">
        <is>
          <t>미지급 소비세 증감</t>
        </is>
      </c>
      <c r="C41" s="11" t="n">
        <v>-1.73</v>
      </c>
      <c r="E41" s="11" t="n">
        <v>-1.24</v>
      </c>
      <c r="G41" s="11" t="n">
        <v>-0.39</v>
      </c>
      <c r="I41" s="11" t="n">
        <v>0.11</v>
      </c>
      <c r="K41" s="11" t="n">
        <v>-0.33</v>
      </c>
      <c r="M41" s="11" t="n">
        <v>0.63</v>
      </c>
      <c r="O41" s="11" t="n">
        <v>-1.04</v>
      </c>
      <c r="Q41" s="11" t="n">
        <v>-0.77</v>
      </c>
      <c r="S41" s="11" t="n">
        <v>-0.31</v>
      </c>
      <c r="U41" s="11" t="n">
        <v>3.21</v>
      </c>
      <c r="W41" s="11" t="n">
        <v>-0.95</v>
      </c>
      <c r="X41" s="11" t="n">
        <v>5.4</v>
      </c>
      <c r="Y41" s="11" t="n">
        <v>-2.68</v>
      </c>
      <c r="Z41" s="11" t="n">
        <v>-1.03</v>
      </c>
      <c r="AA41" s="11" t="n">
        <v>-1.24</v>
      </c>
      <c r="AB41" s="11" t="n">
        <v>0.11</v>
      </c>
      <c r="AC41" s="11" t="n">
        <v>0.63</v>
      </c>
      <c r="AD41" s="11" t="n">
        <v>-0.77</v>
      </c>
      <c r="AE41" s="11" t="n">
        <v>3.21</v>
      </c>
    </row>
    <row r="42">
      <c r="A42" s="10" t="inlineStr">
        <is>
          <t>기타</t>
        </is>
      </c>
      <c r="C42" s="11" t="n">
        <v>-0.38</v>
      </c>
      <c r="E42" s="11" t="n">
        <v>-0.31</v>
      </c>
      <c r="G42" s="11" t="n">
        <v>-1.33</v>
      </c>
      <c r="I42" s="11" t="n">
        <v>-2.05</v>
      </c>
      <c r="K42" s="11" t="n">
        <v>-1.52</v>
      </c>
      <c r="M42" s="11" t="n">
        <v>-2.69</v>
      </c>
      <c r="O42" s="11" t="n">
        <v>-0.91</v>
      </c>
      <c r="Q42" s="11" t="n">
        <v>-2.15</v>
      </c>
      <c r="S42" s="11" t="n">
        <v>-0.97</v>
      </c>
      <c r="U42" s="11" t="n">
        <v>0.47</v>
      </c>
      <c r="W42" s="11" t="n">
        <v>-1.63</v>
      </c>
      <c r="X42" s="11" t="n">
        <v>1.2</v>
      </c>
      <c r="Y42" s="11" t="n">
        <v>1.04</v>
      </c>
      <c r="Z42" s="11" t="n">
        <v>0.16</v>
      </c>
      <c r="AA42" s="11" t="n">
        <v>-0.31</v>
      </c>
      <c r="AB42" s="11" t="n">
        <v>-2.05</v>
      </c>
      <c r="AC42" s="11" t="n">
        <v>-2.69</v>
      </c>
      <c r="AD42" s="11" t="n">
        <v>-2.15</v>
      </c>
      <c r="AE42" s="11" t="n">
        <v>0.47</v>
      </c>
    </row>
    <row r="43">
      <c r="A43" s="10" t="inlineStr">
        <is>
          <t>소계</t>
        </is>
      </c>
      <c r="C43" s="11" t="n">
        <v>-5.97</v>
      </c>
      <c r="E43" s="11" t="n">
        <v>25.62</v>
      </c>
      <c r="G43" s="11" t="n">
        <v>-15.11</v>
      </c>
      <c r="I43" s="11" t="n">
        <v>10.97</v>
      </c>
      <c r="K43" s="11" t="n">
        <v>-1.63</v>
      </c>
      <c r="M43" s="11" t="n">
        <v>18.33</v>
      </c>
      <c r="O43" s="11" t="n">
        <v>-33.95</v>
      </c>
      <c r="Q43" s="11" t="n">
        <v>7.2</v>
      </c>
      <c r="S43" s="11" t="n">
        <v>-21.02</v>
      </c>
      <c r="U43" s="11" t="n">
        <v>1.48</v>
      </c>
      <c r="W43" s="11" t="n">
        <v>-9.17</v>
      </c>
      <c r="X43" s="11" t="n">
        <v>38.28</v>
      </c>
      <c r="Y43" s="11" t="n">
        <v>24.18</v>
      </c>
      <c r="Z43" s="11" t="n">
        <v>21.38</v>
      </c>
      <c r="AA43" s="11" t="n">
        <v>25.62</v>
      </c>
      <c r="AB43" s="11" t="n">
        <v>10.97</v>
      </c>
      <c r="AC43" s="11" t="n">
        <v>18.33</v>
      </c>
      <c r="AD43" s="11" t="n">
        <v>7.2</v>
      </c>
      <c r="AE43" s="11" t="n">
        <v>1.48</v>
      </c>
    </row>
    <row r="44">
      <c r="A44" s="10" t="inlineStr">
        <is>
          <t>이자·배당금 수취</t>
        </is>
      </c>
      <c r="C44" s="11" t="n">
        <v>1.05</v>
      </c>
      <c r="E44" s="11" t="n">
        <v>1.62</v>
      </c>
      <c r="G44" s="11" t="n">
        <v>1.24</v>
      </c>
      <c r="I44" s="11" t="n">
        <v>2.01</v>
      </c>
      <c r="K44" s="11" t="n">
        <v>1.23</v>
      </c>
      <c r="M44" s="11" t="n">
        <v>2.6</v>
      </c>
      <c r="O44" s="11" t="n">
        <v>2.6</v>
      </c>
      <c r="Q44" s="11" t="n">
        <v>3.62</v>
      </c>
      <c r="S44" s="11" t="n">
        <v>3.32</v>
      </c>
      <c r="U44" s="11" t="n">
        <v>4.74</v>
      </c>
      <c r="W44" s="11" t="n">
        <v>2.44</v>
      </c>
      <c r="X44" s="11" t="n">
        <v>2.59</v>
      </c>
      <c r="Y44" s="11" t="n">
        <v>2.35</v>
      </c>
      <c r="Z44" s="11" t="n">
        <v>2.1</v>
      </c>
      <c r="AA44" s="11" t="n">
        <v>1.62</v>
      </c>
      <c r="AB44" s="11" t="n">
        <v>2.01</v>
      </c>
      <c r="AC44" s="11" t="n">
        <v>2.6</v>
      </c>
      <c r="AD44" s="11" t="n">
        <v>3.62</v>
      </c>
      <c r="AE44" s="11" t="n">
        <v>4.74</v>
      </c>
    </row>
    <row r="45">
      <c r="A45" s="10" t="inlineStr">
        <is>
          <t>이자 지급</t>
        </is>
      </c>
      <c r="C45" s="11" t="n">
        <v>-0.31</v>
      </c>
      <c r="E45" s="11" t="n">
        <v>-0.6</v>
      </c>
      <c r="G45" s="11" t="n">
        <v>-0.26</v>
      </c>
      <c r="I45" s="11" t="n">
        <v>-0.53</v>
      </c>
      <c r="K45" s="11" t="n">
        <v>-0.24</v>
      </c>
      <c r="M45" s="11" t="n">
        <v>-0.55</v>
      </c>
      <c r="O45" s="11" t="n">
        <v>-0.21</v>
      </c>
      <c r="Q45" s="11" t="n">
        <v>-0.59</v>
      </c>
      <c r="S45" s="11" t="n">
        <v>-0.54</v>
      </c>
      <c r="U45" s="11" t="n">
        <v>-1.24</v>
      </c>
      <c r="W45" s="11" t="n">
        <v>-1.48</v>
      </c>
      <c r="X45" s="11" t="n">
        <v>-1.46</v>
      </c>
      <c r="Y45" s="11" t="n">
        <v>-0.91</v>
      </c>
      <c r="Z45" s="11" t="n">
        <v>-0.68</v>
      </c>
      <c r="AA45" s="11" t="n">
        <v>-0.6</v>
      </c>
      <c r="AB45" s="11" t="n">
        <v>-0.53</v>
      </c>
      <c r="AC45" s="11" t="n">
        <v>-0.55</v>
      </c>
      <c r="AD45" s="11" t="n">
        <v>-0.59</v>
      </c>
      <c r="AE45" s="11" t="n">
        <v>-1.24</v>
      </c>
    </row>
    <row r="46">
      <c r="A46" s="10" t="inlineStr">
        <is>
          <t>재해 보험금 수취</t>
        </is>
      </c>
      <c r="E46" s="11" t="n">
        <v>0</v>
      </c>
      <c r="X46" s="11" t="n">
        <v>0</v>
      </c>
      <c r="Y46" s="11" t="n">
        <v>1.04</v>
      </c>
      <c r="Z46" s="11" t="n">
        <v>0.34</v>
      </c>
      <c r="AA46" s="11" t="n">
        <v>0</v>
      </c>
    </row>
    <row r="47">
      <c r="A47" s="10" t="inlineStr">
        <is>
          <t>보조금 수취</t>
        </is>
      </c>
      <c r="E47" s="11" t="n">
        <v>0.2</v>
      </c>
      <c r="I47" s="11" t="n">
        <v>0</v>
      </c>
      <c r="X47" s="11" t="n">
        <v>0</v>
      </c>
      <c r="Y47" s="11" t="n">
        <v>0.4</v>
      </c>
      <c r="Z47" s="11" t="n">
        <v>0.4</v>
      </c>
      <c r="AA47" s="11" t="n">
        <v>0.2</v>
      </c>
      <c r="AB47" s="11" t="n">
        <v>0</v>
      </c>
    </row>
    <row r="48">
      <c r="A48" s="10" t="inlineStr">
        <is>
          <t>재해복구 비용 지급</t>
        </is>
      </c>
      <c r="X48" s="11" t="n">
        <v>0</v>
      </c>
      <c r="Y48" s="11" t="n">
        <v>-0.79</v>
      </c>
      <c r="Z48" s="11" t="n">
        <v>0</v>
      </c>
    </row>
    <row r="49">
      <c r="A49" s="10" t="inlineStr">
        <is>
          <t>법인세 납부·환급</t>
        </is>
      </c>
      <c r="C49" s="11" t="n">
        <v>-1.01</v>
      </c>
      <c r="E49" s="11" t="n">
        <v>-1.8</v>
      </c>
      <c r="G49" s="11" t="n">
        <v>-2.97</v>
      </c>
      <c r="I49" s="11" t="n">
        <v>-4.29</v>
      </c>
      <c r="K49" s="11" t="n">
        <v>-0.37</v>
      </c>
      <c r="M49" s="11" t="n">
        <v>-1.92</v>
      </c>
      <c r="O49" s="11" t="n">
        <v>-2.72</v>
      </c>
      <c r="Q49" s="11" t="n">
        <v>-4.22</v>
      </c>
      <c r="S49" s="11" t="n">
        <v>-8.34</v>
      </c>
      <c r="U49" s="11" t="n">
        <v>-13.24</v>
      </c>
      <c r="W49" s="11" t="n">
        <v>-7.51</v>
      </c>
      <c r="X49" s="11" t="n">
        <v>-2.21</v>
      </c>
      <c r="Y49" s="11" t="n">
        <v>-4.77</v>
      </c>
      <c r="Z49" s="11" t="n">
        <v>-5.8</v>
      </c>
      <c r="AA49" s="11" t="n">
        <v>-1.8</v>
      </c>
      <c r="AB49" s="11" t="n">
        <v>-4.29</v>
      </c>
      <c r="AC49" s="11" t="n">
        <v>-1.92</v>
      </c>
      <c r="AD49" s="11" t="n">
        <v>-4.22</v>
      </c>
      <c r="AE49" s="11" t="n">
        <v>-13.24</v>
      </c>
    </row>
    <row r="50">
      <c r="A50" s="10" t="inlineStr">
        <is>
          <t>영업활동 현금흐름</t>
        </is>
      </c>
      <c r="C50" s="11" t="n">
        <v>-6.24</v>
      </c>
      <c r="E50" s="11" t="n">
        <v>25.04</v>
      </c>
      <c r="G50" s="11" t="n">
        <v>-17.11</v>
      </c>
      <c r="I50" s="11" t="n">
        <v>8.15</v>
      </c>
      <c r="K50" s="11" t="n">
        <v>-1.01</v>
      </c>
      <c r="M50" s="11" t="n">
        <v>18.46</v>
      </c>
      <c r="O50" s="11" t="n">
        <v>-34.29</v>
      </c>
      <c r="Q50" s="11" t="n">
        <v>6.01</v>
      </c>
      <c r="S50" s="11" t="n">
        <v>-26.59</v>
      </c>
      <c r="U50" s="11" t="n">
        <v>-8.26</v>
      </c>
      <c r="W50" s="11" t="n">
        <v>-15.72</v>
      </c>
      <c r="X50" s="11" t="n">
        <v>37.2</v>
      </c>
      <c r="Y50" s="11" t="n">
        <v>21.48</v>
      </c>
      <c r="Z50" s="11" t="n">
        <v>17.76</v>
      </c>
      <c r="AA50" s="11" t="n">
        <v>25.04</v>
      </c>
      <c r="AB50" s="11" t="n">
        <v>8.15</v>
      </c>
      <c r="AC50" s="11" t="n">
        <v>18.46</v>
      </c>
      <c r="AD50" s="11" t="n">
        <v>6.01</v>
      </c>
      <c r="AE50" s="11" t="n">
        <v>-8.26</v>
      </c>
    </row>
    <row r="51">
      <c r="A51" s="10" t="inlineStr">
        <is>
          <t>유형자산 취득(설비투자)</t>
        </is>
      </c>
      <c r="C51" s="11" t="n">
        <v>-2.39</v>
      </c>
      <c r="E51" s="11" t="n">
        <v>-3.51</v>
      </c>
      <c r="G51" s="11" t="n">
        <v>-1.37</v>
      </c>
      <c r="I51" s="11" t="n">
        <v>-3.24</v>
      </c>
      <c r="K51" s="11" t="n">
        <v>-1.39</v>
      </c>
      <c r="M51" s="11" t="n">
        <v>-3.12</v>
      </c>
      <c r="O51" s="11" t="n">
        <v>-3.31</v>
      </c>
      <c r="Q51" s="11" t="n">
        <v>-5.05</v>
      </c>
      <c r="S51" s="11" t="n">
        <v>-2.2</v>
      </c>
      <c r="U51" s="11" t="n">
        <v>-7.89</v>
      </c>
      <c r="W51" s="11" t="n">
        <v>-34.48</v>
      </c>
      <c r="X51" s="11" t="n">
        <v>-22.77</v>
      </c>
      <c r="Y51" s="11" t="n">
        <v>-6.47</v>
      </c>
      <c r="Z51" s="11" t="n">
        <v>-5.48</v>
      </c>
      <c r="AA51" s="11" t="n">
        <v>-3.51</v>
      </c>
      <c r="AB51" s="11" t="n">
        <v>-3.24</v>
      </c>
      <c r="AC51" s="11" t="n">
        <v>-3.12</v>
      </c>
      <c r="AD51" s="11" t="n">
        <v>-5.05</v>
      </c>
      <c r="AE51" s="11" t="n">
        <v>-7.89</v>
      </c>
    </row>
    <row r="52">
      <c r="A52" s="10" t="inlineStr">
        <is>
          <t>유형자산 매각</t>
        </is>
      </c>
      <c r="C52" s="11" t="n">
        <v>0</v>
      </c>
      <c r="E52" s="11" t="n">
        <v>0.14</v>
      </c>
      <c r="G52" s="11" t="n">
        <v>2.66</v>
      </c>
      <c r="I52" s="11" t="n">
        <v>2.66</v>
      </c>
      <c r="K52" s="11" t="n">
        <v>0</v>
      </c>
      <c r="M52" s="11" t="n">
        <v>0</v>
      </c>
      <c r="O52" s="11" t="n">
        <v>0</v>
      </c>
      <c r="Q52" s="11" t="n">
        <v>0</v>
      </c>
      <c r="S52" s="11" t="n">
        <v>0.23</v>
      </c>
      <c r="U52" s="11" t="n">
        <v>0.37</v>
      </c>
      <c r="W52" s="11" t="n">
        <v>0.79</v>
      </c>
      <c r="X52" s="11" t="n">
        <v>0</v>
      </c>
      <c r="Z52" s="11" t="n">
        <v>0</v>
      </c>
      <c r="AA52" s="11" t="n">
        <v>0.14</v>
      </c>
      <c r="AB52" s="11" t="n">
        <v>2.66</v>
      </c>
      <c r="AC52" s="11" t="n">
        <v>0</v>
      </c>
      <c r="AD52" s="11" t="n">
        <v>0</v>
      </c>
      <c r="AE52" s="11" t="n">
        <v>0.37</v>
      </c>
    </row>
    <row r="53">
      <c r="A53" s="10" t="inlineStr">
        <is>
          <t>무형자산 취득</t>
        </is>
      </c>
      <c r="C53" s="11" t="n">
        <v>-0.16</v>
      </c>
      <c r="E53" s="11" t="n">
        <v>-0.18</v>
      </c>
      <c r="G53" s="11" t="n">
        <v>-0.13</v>
      </c>
      <c r="I53" s="11" t="n">
        <v>-0.17</v>
      </c>
      <c r="K53" s="11" t="n">
        <v>-0.6</v>
      </c>
      <c r="M53" s="11" t="n">
        <v>-0.82</v>
      </c>
      <c r="O53" s="11" t="n">
        <v>-0.1</v>
      </c>
      <c r="Q53" s="11" t="n">
        <v>-0.71</v>
      </c>
      <c r="S53" s="11" t="n">
        <v>-0.26</v>
      </c>
      <c r="U53" s="11" t="n">
        <v>-0.44</v>
      </c>
      <c r="W53" s="11" t="n">
        <v>-1.32</v>
      </c>
      <c r="X53" s="11" t="n">
        <v>-0.49</v>
      </c>
      <c r="Y53" s="11" t="n">
        <v>-0.33</v>
      </c>
      <c r="Z53" s="11" t="n">
        <v>-0.43</v>
      </c>
      <c r="AA53" s="11" t="n">
        <v>-0.18</v>
      </c>
      <c r="AB53" s="11" t="n">
        <v>-0.17</v>
      </c>
      <c r="AC53" s="11" t="n">
        <v>-0.82</v>
      </c>
      <c r="AD53" s="11" t="n">
        <v>-0.71</v>
      </c>
      <c r="AE53" s="11" t="n">
        <v>-0.44</v>
      </c>
    </row>
    <row r="54">
      <c r="A54" s="10" t="inlineStr">
        <is>
          <t>투자유가증권 취득</t>
        </is>
      </c>
      <c r="C54" s="11" t="n">
        <v>-0.06</v>
      </c>
      <c r="E54" s="11" t="n">
        <v>-0.73</v>
      </c>
      <c r="G54" s="11" t="n">
        <v>-0.07000000000000001</v>
      </c>
      <c r="I54" s="11" t="n">
        <v>-0.14</v>
      </c>
      <c r="K54" s="11" t="n">
        <v>-0.07000000000000001</v>
      </c>
      <c r="M54" s="11" t="n">
        <v>-4.8</v>
      </c>
      <c r="O54" s="11" t="n">
        <v>-0.05</v>
      </c>
      <c r="Q54" s="11" t="n">
        <v>-0.11</v>
      </c>
      <c r="S54" s="11" t="n">
        <v>-0.06</v>
      </c>
      <c r="U54" s="11" t="n">
        <v>-0.11</v>
      </c>
      <c r="W54" s="11" t="n">
        <v>-1.7</v>
      </c>
      <c r="X54" s="11" t="n">
        <v>-2.6</v>
      </c>
      <c r="Y54" s="11" t="n">
        <v>-0.14</v>
      </c>
      <c r="Z54" s="11" t="n">
        <v>-0.14</v>
      </c>
      <c r="AA54" s="11" t="n">
        <v>-0.73</v>
      </c>
      <c r="AB54" s="11" t="n">
        <v>-0.14</v>
      </c>
      <c r="AC54" s="11" t="n">
        <v>-4.8</v>
      </c>
      <c r="AD54" s="11" t="n">
        <v>-0.11</v>
      </c>
      <c r="AE54" s="11" t="n">
        <v>-0.11</v>
      </c>
    </row>
    <row r="55">
      <c r="A55" s="10" t="inlineStr">
        <is>
          <t>투자유가증권 매각</t>
        </is>
      </c>
      <c r="C55" s="11" t="n">
        <v>4.66</v>
      </c>
      <c r="E55" s="11" t="n">
        <v>4.66</v>
      </c>
      <c r="G55" s="11" t="n">
        <v>6.22</v>
      </c>
      <c r="I55" s="11" t="n">
        <v>8.18</v>
      </c>
      <c r="K55" s="11" t="n">
        <v>2.68</v>
      </c>
      <c r="M55" s="11" t="n">
        <v>5.3</v>
      </c>
      <c r="O55" s="11" t="n">
        <v>2.28</v>
      </c>
      <c r="Q55" s="11" t="n">
        <v>6.11</v>
      </c>
      <c r="S55" s="11" t="n">
        <v>4.21</v>
      </c>
      <c r="U55" s="11" t="n">
        <v>8.41</v>
      </c>
      <c r="W55" s="11" t="n">
        <v>11</v>
      </c>
      <c r="X55" s="11" t="n">
        <v>14.41</v>
      </c>
      <c r="Y55" s="11" t="n">
        <v>11.32</v>
      </c>
      <c r="Z55" s="11" t="n">
        <v>6.93</v>
      </c>
      <c r="AA55" s="11" t="n">
        <v>4.66</v>
      </c>
      <c r="AB55" s="11" t="n">
        <v>8.18</v>
      </c>
      <c r="AC55" s="11" t="n">
        <v>5.3</v>
      </c>
      <c r="AD55" s="11" t="n">
        <v>6.11</v>
      </c>
      <c r="AE55" s="11" t="n">
        <v>8.41</v>
      </c>
    </row>
    <row r="56">
      <c r="A56" s="10" t="inlineStr">
        <is>
          <t>관계회사 청산 수입</t>
        </is>
      </c>
      <c r="C56" s="11" t="n">
        <v>2.83</v>
      </c>
      <c r="G56" s="11" t="n">
        <v>0</v>
      </c>
    </row>
    <row r="57">
      <c r="A57" s="10" t="inlineStr">
        <is>
          <t>관계회사 청산 수입</t>
        </is>
      </c>
      <c r="E57" s="11" t="n">
        <v>2.83</v>
      </c>
      <c r="I57" s="11" t="n">
        <v>0</v>
      </c>
      <c r="Z57" s="11" t="n">
        <v>0</v>
      </c>
      <c r="AA57" s="11" t="n">
        <v>2.83</v>
      </c>
      <c r="AB57" s="11" t="n">
        <v>0</v>
      </c>
    </row>
    <row r="58">
      <c r="A58" s="10" t="inlineStr">
        <is>
          <t>대여</t>
        </is>
      </c>
      <c r="C58" s="11" t="n">
        <v>0</v>
      </c>
      <c r="E58" s="11" t="n">
        <v>0</v>
      </c>
      <c r="I58" s="11" t="n">
        <v>-0.5</v>
      </c>
      <c r="W58" s="11" t="n">
        <v>-0.7</v>
      </c>
      <c r="X58" s="11" t="n">
        <v>0</v>
      </c>
      <c r="Y58" s="11" t="n">
        <v>-0.26</v>
      </c>
      <c r="Z58" s="11" t="n">
        <v>-1.11</v>
      </c>
      <c r="AA58" s="11" t="n">
        <v>0</v>
      </c>
      <c r="AB58" s="11" t="n">
        <v>-0.5</v>
      </c>
    </row>
    <row r="59">
      <c r="A59" s="10" t="inlineStr">
        <is>
          <t>대여금 회수</t>
        </is>
      </c>
      <c r="E59" s="11" t="n">
        <v>0.15</v>
      </c>
      <c r="I59" s="11" t="n">
        <v>0</v>
      </c>
      <c r="W59" s="11" t="n">
        <v>0.35</v>
      </c>
      <c r="X59" s="11" t="n">
        <v>0.35</v>
      </c>
      <c r="Y59" s="11" t="n">
        <v>0</v>
      </c>
      <c r="Z59" s="11" t="n">
        <v>0.11</v>
      </c>
      <c r="AA59" s="11" t="n">
        <v>0.15</v>
      </c>
      <c r="AB59" s="11" t="n">
        <v>0</v>
      </c>
    </row>
    <row r="60">
      <c r="A60" s="10" t="inlineStr">
        <is>
          <t>정기예금 순증감</t>
        </is>
      </c>
      <c r="O60" s="11" t="n">
        <v>-1.46</v>
      </c>
      <c r="S60" s="11" t="n">
        <v>-0.01</v>
      </c>
    </row>
    <row r="61">
      <c r="A61" s="10" t="inlineStr">
        <is>
          <t>관계회사 출자금 납입</t>
        </is>
      </c>
      <c r="E61" s="11" t="n">
        <v>0</v>
      </c>
      <c r="I61" s="11" t="n">
        <v>0</v>
      </c>
      <c r="M61" s="11" t="n">
        <v>-0.12</v>
      </c>
      <c r="Q61" s="11" t="n">
        <v>-0.44</v>
      </c>
      <c r="U61" s="11" t="n">
        <v>-0.17</v>
      </c>
      <c r="W61" s="11" t="n">
        <v>-4.91</v>
      </c>
      <c r="X61" s="11" t="n">
        <v>0</v>
      </c>
      <c r="Y61" s="11" t="n">
        <v>-3.38</v>
      </c>
      <c r="Z61" s="11" t="n">
        <v>-0.88</v>
      </c>
      <c r="AA61" s="11" t="n">
        <v>0</v>
      </c>
      <c r="AB61" s="11" t="n">
        <v>0</v>
      </c>
      <c r="AC61" s="11" t="n">
        <v>-0.12</v>
      </c>
      <c r="AD61" s="11" t="n">
        <v>-0.44</v>
      </c>
      <c r="AE61" s="11" t="n">
        <v>-0.17</v>
      </c>
    </row>
    <row r="62">
      <c r="A62" s="10" t="inlineStr">
        <is>
          <t>정기예금 예입</t>
        </is>
      </c>
      <c r="K62" s="11" t="n">
        <v>0</v>
      </c>
      <c r="M62" s="11" t="n">
        <v>0</v>
      </c>
      <c r="O62" s="11" t="n">
        <v>-1.46</v>
      </c>
      <c r="Q62" s="11" t="n">
        <v>-2.72</v>
      </c>
      <c r="U62" s="11" t="n">
        <v>-0.44</v>
      </c>
      <c r="AC62" s="11" t="n">
        <v>0</v>
      </c>
      <c r="AD62" s="11" t="n">
        <v>-2.72</v>
      </c>
      <c r="AE62" s="11" t="n">
        <v>-0.44</v>
      </c>
    </row>
    <row r="63">
      <c r="A63" s="10" t="inlineStr">
        <is>
          <t>자회사 주식 취득</t>
        </is>
      </c>
      <c r="K63" s="11" t="n">
        <v>0</v>
      </c>
      <c r="O63" s="11" t="n">
        <v>-0.18</v>
      </c>
    </row>
    <row r="64">
      <c r="A64" s="10" t="inlineStr">
        <is>
          <t>기타</t>
        </is>
      </c>
      <c r="C64" s="11" t="n">
        <v>-0.17</v>
      </c>
      <c r="E64" s="11" t="n">
        <v>-0.45</v>
      </c>
      <c r="G64" s="11" t="n">
        <v>-0.5</v>
      </c>
      <c r="I64" s="11" t="n">
        <v>-0.92</v>
      </c>
      <c r="K64" s="11" t="n">
        <v>-0.61</v>
      </c>
      <c r="M64" s="11" t="n">
        <v>-0.5600000000000001</v>
      </c>
      <c r="O64" s="11" t="n">
        <v>-0.52</v>
      </c>
      <c r="Q64" s="11" t="n">
        <v>0.04</v>
      </c>
      <c r="S64" s="11" t="n">
        <v>-1</v>
      </c>
      <c r="U64" s="11" t="n">
        <v>-0.97</v>
      </c>
      <c r="W64" s="11" t="n">
        <v>0.11</v>
      </c>
      <c r="X64" s="11" t="n">
        <v>0.92</v>
      </c>
      <c r="Y64" s="11" t="n">
        <v>-0.31</v>
      </c>
      <c r="Z64" s="11" t="n">
        <v>-0.53</v>
      </c>
      <c r="AA64" s="11" t="n">
        <v>-0.45</v>
      </c>
      <c r="AB64" s="11" t="n">
        <v>-0.92</v>
      </c>
      <c r="AC64" s="11" t="n">
        <v>-0.5600000000000001</v>
      </c>
      <c r="AD64" s="11" t="n">
        <v>0.04</v>
      </c>
      <c r="AE64" s="11" t="n">
        <v>-0.97</v>
      </c>
    </row>
    <row r="65">
      <c r="A65" s="10" t="inlineStr">
        <is>
          <t>투자활동 현금흐름</t>
        </is>
      </c>
      <c r="C65" s="11" t="n">
        <v>4.7</v>
      </c>
      <c r="E65" s="11" t="n">
        <v>2.89</v>
      </c>
      <c r="G65" s="11" t="n">
        <v>6.8</v>
      </c>
      <c r="I65" s="11" t="n">
        <v>6.35</v>
      </c>
      <c r="K65" s="11" t="n">
        <v>0</v>
      </c>
      <c r="M65" s="11" t="n">
        <v>-4.13</v>
      </c>
      <c r="O65" s="11" t="n">
        <v>-3.18</v>
      </c>
      <c r="Q65" s="11" t="n">
        <v>-2.9</v>
      </c>
      <c r="S65" s="11" t="n">
        <v>0.89</v>
      </c>
      <c r="U65" s="11" t="n">
        <v>-1.26</v>
      </c>
      <c r="W65" s="11" t="n">
        <v>-30.87</v>
      </c>
      <c r="X65" s="11" t="n">
        <v>-10.19</v>
      </c>
      <c r="Y65" s="11" t="n">
        <v>0.41</v>
      </c>
      <c r="Z65" s="11" t="n">
        <v>-1.55</v>
      </c>
      <c r="AA65" s="11" t="n">
        <v>2.89</v>
      </c>
      <c r="AB65" s="11" t="n">
        <v>6.35</v>
      </c>
      <c r="AC65" s="11" t="n">
        <v>-4.13</v>
      </c>
      <c r="AD65" s="11" t="n">
        <v>-2.9</v>
      </c>
      <c r="AE65" s="11" t="n">
        <v>-1.26</v>
      </c>
    </row>
    <row r="66">
      <c r="A66" s="10" t="inlineStr">
        <is>
          <t>단기차입금 순증감</t>
        </is>
      </c>
      <c r="C66" s="11" t="n">
        <v>7</v>
      </c>
      <c r="E66" s="11" t="n">
        <v>-15</v>
      </c>
      <c r="G66" s="11" t="n">
        <v>12</v>
      </c>
      <c r="I66" s="11" t="n">
        <v>0</v>
      </c>
      <c r="K66" s="11" t="n">
        <v>0</v>
      </c>
      <c r="O66" s="11" t="n">
        <v>23</v>
      </c>
      <c r="Q66" s="11" t="n">
        <v>0</v>
      </c>
      <c r="S66" s="11" t="n">
        <v>24</v>
      </c>
      <c r="U66" s="11" t="n">
        <v>21</v>
      </c>
      <c r="W66" s="11" t="n">
        <v>29.29</v>
      </c>
      <c r="X66" s="11" t="n">
        <v>-19.9</v>
      </c>
      <c r="Y66" s="11" t="n">
        <v>-2.87</v>
      </c>
      <c r="Z66" s="11" t="n">
        <v>-0.83</v>
      </c>
      <c r="AA66" s="11" t="n">
        <v>-15</v>
      </c>
      <c r="AB66" s="11" t="n">
        <v>0</v>
      </c>
      <c r="AD66" s="11" t="n">
        <v>0</v>
      </c>
      <c r="AE66" s="11" t="n">
        <v>21</v>
      </c>
    </row>
    <row r="67">
      <c r="A67" s="10" t="inlineStr">
        <is>
          <t>장기차입</t>
        </is>
      </c>
      <c r="I67" s="11" t="n">
        <v>0</v>
      </c>
      <c r="M67" s="11" t="n">
        <v>3</v>
      </c>
      <c r="O67" s="11" t="n">
        <v>0</v>
      </c>
      <c r="Q67" s="11" t="n">
        <v>32.2</v>
      </c>
      <c r="S67" s="11" t="n">
        <v>5</v>
      </c>
      <c r="U67" s="11" t="n">
        <v>35</v>
      </c>
      <c r="W67" s="11" t="n">
        <v>55</v>
      </c>
      <c r="X67" s="11" t="n">
        <v>46</v>
      </c>
      <c r="Y67" s="11" t="n">
        <v>0</v>
      </c>
      <c r="AB67" s="11" t="n">
        <v>0</v>
      </c>
      <c r="AC67" s="11" t="n">
        <v>3</v>
      </c>
      <c r="AD67" s="11" t="n">
        <v>32.2</v>
      </c>
      <c r="AE67" s="11" t="n">
        <v>35</v>
      </c>
    </row>
    <row r="68">
      <c r="A68" s="10" t="inlineStr">
        <is>
          <t>장기차입금 상환</t>
        </is>
      </c>
      <c r="C68" s="11" t="n">
        <v>-2.92</v>
      </c>
      <c r="E68" s="11" t="n">
        <v>-5.85</v>
      </c>
      <c r="G68" s="11" t="n">
        <v>-2.92</v>
      </c>
      <c r="I68" s="11" t="n">
        <v>-5.85</v>
      </c>
      <c r="K68" s="11" t="n">
        <v>-2.92</v>
      </c>
      <c r="M68" s="11" t="n">
        <v>-8.85</v>
      </c>
      <c r="O68" s="11" t="n">
        <v>-2.92</v>
      </c>
      <c r="Q68" s="11" t="n">
        <v>-46</v>
      </c>
      <c r="S68" s="11" t="n">
        <v>-3.61</v>
      </c>
      <c r="U68" s="11" t="n">
        <v>-46.84</v>
      </c>
      <c r="W68" s="11" t="n">
        <v>-40.02</v>
      </c>
      <c r="X68" s="11" t="n">
        <v>-33.55</v>
      </c>
      <c r="Y68" s="11" t="n">
        <v>-5.68</v>
      </c>
      <c r="Z68" s="11" t="n">
        <v>-6.17</v>
      </c>
      <c r="AA68" s="11" t="n">
        <v>-5.85</v>
      </c>
      <c r="AB68" s="11" t="n">
        <v>-5.85</v>
      </c>
      <c r="AC68" s="11" t="n">
        <v>-8.85</v>
      </c>
      <c r="AD68" s="11" t="n">
        <v>-46</v>
      </c>
      <c r="AE68" s="11" t="n">
        <v>-46.84</v>
      </c>
    </row>
    <row r="69">
      <c r="A69" s="10" t="inlineStr">
        <is>
          <t>자기주식 취득</t>
        </is>
      </c>
      <c r="C69" s="11" t="n">
        <v>-0</v>
      </c>
      <c r="E69" s="11" t="n">
        <v>-0</v>
      </c>
      <c r="G69" s="11" t="n">
        <v>-0</v>
      </c>
      <c r="I69" s="11" t="n">
        <v>-0</v>
      </c>
      <c r="K69" s="11" t="n">
        <v>-0</v>
      </c>
      <c r="M69" s="11" t="n">
        <v>-1.1</v>
      </c>
      <c r="O69" s="11" t="n">
        <v>-1.54</v>
      </c>
      <c r="Q69" s="11" t="n">
        <v>-5.78</v>
      </c>
      <c r="S69" s="11" t="n">
        <v>-1.34</v>
      </c>
      <c r="U69" s="11" t="n">
        <v>-1.35</v>
      </c>
      <c r="W69" s="11" t="n">
        <v>-0.02</v>
      </c>
      <c r="X69" s="11" t="n">
        <v>-8</v>
      </c>
      <c r="Y69" s="11" t="n">
        <v>-0</v>
      </c>
      <c r="Z69" s="11" t="n">
        <v>-0</v>
      </c>
      <c r="AA69" s="11" t="n">
        <v>-0</v>
      </c>
      <c r="AB69" s="11" t="n">
        <v>-0</v>
      </c>
      <c r="AC69" s="11" t="n">
        <v>-1.1</v>
      </c>
      <c r="AD69" s="11" t="n">
        <v>-5.78</v>
      </c>
      <c r="AE69" s="11" t="n">
        <v>-1.35</v>
      </c>
    </row>
    <row r="70">
      <c r="A70" s="10" t="inlineStr">
        <is>
          <t>자기주식 처분</t>
        </is>
      </c>
      <c r="E70" s="11" t="n">
        <v>0</v>
      </c>
      <c r="I70" s="11" t="n">
        <v>4.64</v>
      </c>
      <c r="M70" s="11" t="n">
        <v>0</v>
      </c>
      <c r="Q70" s="11" t="n">
        <v>2.36</v>
      </c>
      <c r="U70" s="11" t="n">
        <v>0.9</v>
      </c>
      <c r="AA70" s="11" t="n">
        <v>0</v>
      </c>
      <c r="AB70" s="11" t="n">
        <v>4.64</v>
      </c>
      <c r="AC70" s="11" t="n">
        <v>0</v>
      </c>
      <c r="AD70" s="11" t="n">
        <v>2.36</v>
      </c>
      <c r="AE70" s="11" t="n">
        <v>0.9</v>
      </c>
    </row>
    <row r="71">
      <c r="A71" s="10" t="inlineStr">
        <is>
          <t>배당금 지급</t>
        </is>
      </c>
      <c r="C71" s="11" t="n">
        <v>-2.68</v>
      </c>
      <c r="E71" s="11" t="n">
        <v>-2.69</v>
      </c>
      <c r="G71" s="11" t="n">
        <v>-2.67</v>
      </c>
      <c r="I71" s="11" t="n">
        <v>-2.67</v>
      </c>
      <c r="K71" s="11" t="n">
        <v>-2.82</v>
      </c>
      <c r="M71" s="11" t="n">
        <v>-2.81</v>
      </c>
      <c r="O71" s="11" t="n">
        <v>-2.77</v>
      </c>
      <c r="Q71" s="11" t="n">
        <v>-2.78</v>
      </c>
      <c r="S71" s="11" t="n">
        <v>-6.39</v>
      </c>
      <c r="U71" s="11" t="n">
        <v>-6.39</v>
      </c>
      <c r="W71" s="11" t="n">
        <v>-2.83</v>
      </c>
      <c r="X71" s="11" t="n">
        <v>-4.71</v>
      </c>
      <c r="Y71" s="11" t="n">
        <v>-2.68</v>
      </c>
      <c r="Z71" s="11" t="n">
        <v>-2.68</v>
      </c>
      <c r="AA71" s="11" t="n">
        <v>-2.69</v>
      </c>
      <c r="AB71" s="11" t="n">
        <v>-2.67</v>
      </c>
      <c r="AC71" s="11" t="n">
        <v>-2.81</v>
      </c>
      <c r="AD71" s="11" t="n">
        <v>-2.78</v>
      </c>
      <c r="AE71" s="11" t="n">
        <v>-6.39</v>
      </c>
    </row>
    <row r="72">
      <c r="A72" s="10" t="inlineStr">
        <is>
          <t>기타</t>
        </is>
      </c>
      <c r="C72" s="11" t="n">
        <v>-0</v>
      </c>
      <c r="E72" s="11" t="n">
        <v>-0.01</v>
      </c>
      <c r="G72" s="11" t="n">
        <v>-0.01</v>
      </c>
      <c r="I72" s="11" t="n">
        <v>-0.02</v>
      </c>
      <c r="K72" s="11" t="n">
        <v>-0</v>
      </c>
      <c r="M72" s="11" t="n">
        <v>-0.03</v>
      </c>
      <c r="O72" s="11" t="n">
        <v>-0.02</v>
      </c>
      <c r="Q72" s="11" t="n">
        <v>-0.04</v>
      </c>
      <c r="S72" s="11" t="n">
        <v>0.5600000000000001</v>
      </c>
      <c r="U72" s="11" t="n">
        <v>-0.04</v>
      </c>
      <c r="W72" s="11" t="n">
        <v>-0</v>
      </c>
      <c r="X72" s="11" t="n">
        <v>0.04</v>
      </c>
      <c r="Y72" s="11" t="n">
        <v>-0.01</v>
      </c>
      <c r="Z72" s="11" t="n">
        <v>-0.01</v>
      </c>
      <c r="AA72" s="11" t="n">
        <v>-0.01</v>
      </c>
      <c r="AB72" s="11" t="n">
        <v>-0.02</v>
      </c>
      <c r="AC72" s="11" t="n">
        <v>-0.03</v>
      </c>
      <c r="AD72" s="11" t="n">
        <v>-0.04</v>
      </c>
      <c r="AE72" s="11" t="n">
        <v>-0.04</v>
      </c>
    </row>
    <row r="73">
      <c r="A73" s="10" t="inlineStr">
        <is>
          <t>재무활동 현금흐름</t>
        </is>
      </c>
      <c r="C73" s="11" t="n">
        <v>1.37</v>
      </c>
      <c r="E73" s="11" t="n">
        <v>-23.56</v>
      </c>
      <c r="G73" s="11" t="n">
        <v>6.37</v>
      </c>
      <c r="I73" s="11" t="n">
        <v>-3.9</v>
      </c>
      <c r="K73" s="11" t="n">
        <v>-5.76</v>
      </c>
      <c r="M73" s="11" t="n">
        <v>-9.789999999999999</v>
      </c>
      <c r="O73" s="11" t="n">
        <v>15.72</v>
      </c>
      <c r="Q73" s="11" t="n">
        <v>-20.04</v>
      </c>
      <c r="S73" s="11" t="n">
        <v>18.2</v>
      </c>
      <c r="U73" s="11" t="n">
        <v>2.26</v>
      </c>
      <c r="W73" s="11" t="n">
        <v>41.4</v>
      </c>
      <c r="X73" s="11" t="n">
        <v>-20.12</v>
      </c>
      <c r="Y73" s="11" t="n">
        <v>-11.26</v>
      </c>
      <c r="Z73" s="11" t="n">
        <v>-9.710000000000001</v>
      </c>
      <c r="AA73" s="11" t="n">
        <v>-23.56</v>
      </c>
      <c r="AB73" s="11" t="n">
        <v>-3.9</v>
      </c>
      <c r="AC73" s="11" t="n">
        <v>-9.789999999999999</v>
      </c>
      <c r="AD73" s="11" t="n">
        <v>-20.04</v>
      </c>
      <c r="AE73" s="11" t="n">
        <v>2.26</v>
      </c>
    </row>
    <row r="74">
      <c r="A74" s="10" t="inlineStr">
        <is>
          <t>현금성자산 환산차이</t>
        </is>
      </c>
      <c r="C74" s="11" t="n">
        <v>0.23</v>
      </c>
      <c r="E74" s="11" t="n">
        <v>0.48</v>
      </c>
      <c r="G74" s="11" t="n">
        <v>0.04</v>
      </c>
      <c r="I74" s="11" t="n">
        <v>0.1</v>
      </c>
      <c r="K74" s="11" t="n">
        <v>0.02</v>
      </c>
      <c r="M74" s="11" t="n">
        <v>0.38</v>
      </c>
      <c r="O74" s="11" t="n">
        <v>-0.07000000000000001</v>
      </c>
      <c r="Q74" s="11" t="n">
        <v>0.11</v>
      </c>
      <c r="S74" s="11" t="n">
        <v>0.5</v>
      </c>
      <c r="U74" s="11" t="n">
        <v>1.57</v>
      </c>
      <c r="W74" s="11" t="n">
        <v>-0.16</v>
      </c>
      <c r="X74" s="11" t="n">
        <v>-0.04</v>
      </c>
      <c r="Y74" s="11" t="n">
        <v>-0.1</v>
      </c>
      <c r="Z74" s="11" t="n">
        <v>0.21</v>
      </c>
      <c r="AA74" s="11" t="n">
        <v>0.48</v>
      </c>
      <c r="AB74" s="11" t="n">
        <v>0.1</v>
      </c>
      <c r="AC74" s="11" t="n">
        <v>0.38</v>
      </c>
      <c r="AD74" s="11" t="n">
        <v>0.11</v>
      </c>
      <c r="AE74" s="11" t="n">
        <v>1.57</v>
      </c>
    </row>
    <row r="75">
      <c r="A75" s="10" t="inlineStr">
        <is>
          <t>현금성자산 증감</t>
        </is>
      </c>
      <c r="C75" s="11" t="n">
        <v>0.07000000000000001</v>
      </c>
      <c r="E75" s="11" t="n">
        <v>4.85</v>
      </c>
      <c r="G75" s="11" t="n">
        <v>-3.88</v>
      </c>
      <c r="I75" s="11" t="n">
        <v>10.7</v>
      </c>
      <c r="K75" s="11" t="n">
        <v>-6.74</v>
      </c>
      <c r="M75" s="11" t="n">
        <v>4.91</v>
      </c>
      <c r="O75" s="11" t="n">
        <v>-21.82</v>
      </c>
      <c r="Q75" s="11" t="n">
        <v>-16.82</v>
      </c>
      <c r="S75" s="11" t="n">
        <v>-6.98</v>
      </c>
      <c r="U75" s="11" t="n">
        <v>-5.68</v>
      </c>
      <c r="W75" s="11" t="n">
        <v>-5.35</v>
      </c>
      <c r="X75" s="11" t="n">
        <v>6.85</v>
      </c>
      <c r="Y75" s="11" t="n">
        <v>10.53</v>
      </c>
      <c r="Z75" s="11" t="n">
        <v>6.7</v>
      </c>
      <c r="AA75" s="11" t="n">
        <v>4.85</v>
      </c>
      <c r="AB75" s="11" t="n">
        <v>10.7</v>
      </c>
      <c r="AC75" s="11" t="n">
        <v>4.91</v>
      </c>
      <c r="AD75" s="11" t="n">
        <v>-16.82</v>
      </c>
      <c r="AE75" s="11" t="n">
        <v>-5.68</v>
      </c>
    </row>
    <row r="76">
      <c r="A76" s="10" t="inlineStr">
        <is>
          <t>신규 연결 현금성자산 증가</t>
        </is>
      </c>
      <c r="I76" s="11" t="n">
        <v>0</v>
      </c>
      <c r="M76" s="11" t="n">
        <v>4.11</v>
      </c>
      <c r="Q76" s="11" t="n">
        <v>0</v>
      </c>
      <c r="AB76" s="11" t="n">
        <v>0</v>
      </c>
      <c r="AC76" s="11" t="n">
        <v>4.11</v>
      </c>
      <c r="AD76" s="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40" customWidth="1" min="32" max="32"/>
  </cols>
  <sheetData>
    <row r="1">
      <c r="A1" s="1" t="inlineStr">
        <is>
          <t>도요전기제조 부문</t>
        </is>
      </c>
    </row>
    <row r="2">
      <c r="A2" s="2" t="inlineStr">
        <is>
          <t>결산기 기준(27.2Q = 2027년 결산기 2분기) · 5월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FY18</t>
        </is>
      </c>
      <c r="X3" s="4" t="inlineStr">
        <is>
          <t>FY19</t>
        </is>
      </c>
      <c r="Y3" s="4" t="inlineStr">
        <is>
          <t>FY20</t>
        </is>
      </c>
      <c r="Z3" s="4" t="inlineStr">
        <is>
          <t>FY21</t>
        </is>
      </c>
      <c r="AA3" s="4" t="inlineStr">
        <is>
          <t>FY22</t>
        </is>
      </c>
      <c r="AB3" s="4" t="inlineStr">
        <is>
          <t>FY23</t>
        </is>
      </c>
      <c r="AC3" s="4" t="inlineStr">
        <is>
          <t>FY24</t>
        </is>
      </c>
      <c r="AD3" s="4" t="inlineStr">
        <is>
          <t>FY25</t>
        </is>
      </c>
      <c r="AE3" s="4" t="inlineStr">
        <is>
          <t>FY26</t>
        </is>
      </c>
      <c r="AF3" s="4" t="inlineStr">
        <is>
          <t>출처</t>
        </is>
      </c>
    </row>
    <row r="4">
      <c r="A4" s="10" t="inlineStr">
        <is>
          <t>TransportationReportableSegmentsMember · 외부 고객 매출</t>
        </is>
      </c>
      <c r="J4" s="11" t="n">
        <v>43</v>
      </c>
      <c r="N4" s="11" t="n">
        <v>55.94</v>
      </c>
      <c r="R4" s="11" t="n">
        <v>61.01</v>
      </c>
      <c r="V4" s="11" t="n">
        <v>80.23</v>
      </c>
      <c r="AF4" s="7" t="inlineStr">
        <is>
          <t>결산단신 XBRL(거래소 공시, TDnet·JPX 보관소). 쓴 문서: 2026-10-14, 2026-07-15, 2026-04-13, 2026-01-13 외 26건 — '출처' 시트에 전부</t>
        </is>
      </c>
    </row>
    <row r="5">
      <c r="A5" s="10" t="inlineStr">
        <is>
          <t>IndustryReportableSegmentsMember · 외부 고객 매출</t>
        </is>
      </c>
      <c r="J5" s="11" t="n">
        <v>21.2</v>
      </c>
      <c r="N5" s="11" t="n">
        <v>22.42</v>
      </c>
      <c r="R5" s="11" t="n">
        <v>23.07</v>
      </c>
      <c r="V5" s="11" t="n">
        <v>24.01</v>
      </c>
    </row>
    <row r="6">
      <c r="A6" s="10" t="inlineStr">
        <is>
          <t>ICTSolutionReportableSegmentMember · 외부 고객 매출</t>
        </is>
      </c>
      <c r="J6" s="11" t="n">
        <v>2.34</v>
      </c>
      <c r="N6" s="11" t="n">
        <v>3.28</v>
      </c>
      <c r="R6" s="11" t="n">
        <v>2.29</v>
      </c>
    </row>
    <row r="7">
      <c r="A7" s="10" t="inlineStr">
        <is>
          <t>OperatingSegmentsNotIncludedInReportableSegmentsAndOtherRevenueGeneratingBusinessActivitiesMember · 외부 고객 매출</t>
        </is>
      </c>
      <c r="J7" s="11" t="n">
        <v>0.02</v>
      </c>
      <c r="K7" s="11" t="n">
        <v>0.01</v>
      </c>
      <c r="L7" s="11" t="n">
        <v>0.01</v>
      </c>
      <c r="M7" s="11" t="n">
        <v>0.01</v>
      </c>
      <c r="N7" s="11" t="n">
        <v>0</v>
      </c>
      <c r="O7" s="11" t="n">
        <v>0.01</v>
      </c>
      <c r="P7" s="11" t="n">
        <v>0.01</v>
      </c>
      <c r="Q7" s="11" t="n">
        <v>0.01</v>
      </c>
      <c r="R7" s="11" t="n">
        <v>0.01</v>
      </c>
      <c r="S7" s="11" t="n">
        <v>0.01</v>
      </c>
      <c r="T7" s="11" t="n">
        <v>0.01</v>
      </c>
      <c r="U7" s="11" t="n">
        <v>0.01</v>
      </c>
      <c r="V7" s="11" t="n">
        <v>0.01</v>
      </c>
      <c r="AC7" s="11" t="n">
        <v>0.05</v>
      </c>
      <c r="AD7" s="11" t="n">
        <v>0.03</v>
      </c>
      <c r="AE7" s="11" t="n">
        <v>0.04</v>
      </c>
    </row>
    <row r="8">
      <c r="A8" s="10" t="inlineStr">
        <is>
          <t>TotalOfReportableSegmentsAndOthersMember · 외부 고객 매출</t>
        </is>
      </c>
      <c r="J8" s="11" t="n">
        <v>66.58</v>
      </c>
      <c r="K8" s="11" t="n">
        <v>81.59</v>
      </c>
      <c r="L8" s="11" t="n">
        <v>74.14</v>
      </c>
      <c r="M8" s="11" t="n">
        <v>99.09</v>
      </c>
      <c r="N8" s="11" t="n">
        <v>81.66</v>
      </c>
      <c r="O8" s="11" t="n">
        <v>108.49</v>
      </c>
      <c r="P8" s="11" t="n">
        <v>100.17</v>
      </c>
      <c r="Q8" s="11" t="n">
        <v>115.07</v>
      </c>
      <c r="R8" s="11" t="n">
        <v>84.09</v>
      </c>
      <c r="S8" s="11" t="n">
        <v>97.7</v>
      </c>
      <c r="T8" s="11" t="n">
        <v>107.82</v>
      </c>
      <c r="U8" s="11" t="n">
        <v>115.19</v>
      </c>
      <c r="V8" s="11" t="n">
        <v>104.26</v>
      </c>
      <c r="AC8" s="11" t="n">
        <v>321.4</v>
      </c>
      <c r="AD8" s="11" t="n">
        <v>405.39</v>
      </c>
      <c r="AE8" s="11" t="n">
        <v>404.8</v>
      </c>
    </row>
    <row r="9">
      <c r="A9" s="10" t="inlineStr">
        <is>
          <t>ReconcilingItemsMember · 외부 고객 매출</t>
        </is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AC9" s="11" t="n">
        <v>0</v>
      </c>
      <c r="AD9" s="11" t="n">
        <v>0</v>
      </c>
      <c r="AE9" s="11" t="n">
        <v>0</v>
      </c>
    </row>
    <row r="10">
      <c r="A10" s="5" t="inlineStr">
        <is>
          <t>외부 고객 매출</t>
        </is>
      </c>
      <c r="J10" s="6" t="n">
        <v>66.58</v>
      </c>
      <c r="K10" s="6" t="n">
        <v>81.59</v>
      </c>
      <c r="L10" s="6" t="n">
        <v>74.14</v>
      </c>
      <c r="M10" s="6" t="n">
        <v>99.09</v>
      </c>
      <c r="N10" s="6" t="n">
        <v>81.66</v>
      </c>
      <c r="O10" s="6" t="n">
        <v>108.49</v>
      </c>
      <c r="P10" s="6" t="n">
        <v>100.17</v>
      </c>
      <c r="Q10" s="6" t="n">
        <v>115.07</v>
      </c>
      <c r="AC10" s="6" t="n">
        <v>321.4</v>
      </c>
      <c r="AD10" s="6" t="n">
        <v>405.39</v>
      </c>
      <c r="AE10" s="6" t="n">
        <v>404.8</v>
      </c>
    </row>
    <row r="11">
      <c r="A11" s="10" t="inlineStr">
        <is>
          <t>TransportationReportableSegmentsMember · 부문 간 내부매출·대체</t>
        </is>
      </c>
      <c r="AC11" s="11" t="n">
        <v>1.68</v>
      </c>
      <c r="AD11" s="11" t="n">
        <v>0.03</v>
      </c>
      <c r="AE11" s="11" t="n">
        <v>0.23</v>
      </c>
    </row>
    <row r="12">
      <c r="A12" s="10" t="inlineStr">
        <is>
          <t>IndustryReportableSegmentsMember · 부문 간 내부매출·대체</t>
        </is>
      </c>
      <c r="AC12" s="11" t="n">
        <v>0.1</v>
      </c>
      <c r="AD12" s="11" t="n">
        <v>0.02</v>
      </c>
      <c r="AE12" s="11" t="n">
        <v>0.02</v>
      </c>
    </row>
    <row r="13">
      <c r="A13" s="10" t="inlineStr">
        <is>
          <t>ICTSolutionReportableSegmentMember · 부문 간 내부매출·대체</t>
        </is>
      </c>
      <c r="AC13" s="11" t="n">
        <v>0</v>
      </c>
      <c r="AD13" s="11" t="n">
        <v>0</v>
      </c>
      <c r="AE13" s="11" t="n">
        <v>0</v>
      </c>
    </row>
    <row r="14">
      <c r="A14" s="10" t="inlineStr">
        <is>
          <t>EntityTotalMember · 외부 고객 매출</t>
        </is>
      </c>
      <c r="N14" s="11" t="n">
        <v>81.66</v>
      </c>
      <c r="R14" s="11" t="n">
        <v>84.09</v>
      </c>
      <c r="V14" s="11" t="n">
        <v>104.26</v>
      </c>
    </row>
    <row r="15">
      <c r="A15" s="10" t="inlineStr">
        <is>
          <t>TransportationReportableSegmentsMember · 부문 간 내부매출·대체</t>
        </is>
      </c>
      <c r="J15" s="11" t="n">
        <v>0</v>
      </c>
      <c r="N15" s="11" t="n">
        <v>0.15</v>
      </c>
      <c r="R15" s="11" t="n">
        <v>0</v>
      </c>
      <c r="V15" s="11" t="n">
        <v>0</v>
      </c>
    </row>
    <row r="16">
      <c r="A16" s="10" t="inlineStr">
        <is>
          <t>IndustryReportableSegmentsMember · 부문 간 내부매출·대체</t>
        </is>
      </c>
      <c r="J16" s="11" t="n">
        <v>0</v>
      </c>
      <c r="N16" s="11" t="n">
        <v>0</v>
      </c>
      <c r="R16" s="11" t="n">
        <v>0.01</v>
      </c>
      <c r="V16" s="11" t="n">
        <v>0</v>
      </c>
    </row>
    <row r="17">
      <c r="A17" s="10" t="inlineStr">
        <is>
          <t>ICTSolutionReportableSegmentMember · 부문 간 내부매출·대체</t>
        </is>
      </c>
      <c r="J17" s="11" t="n">
        <v>0</v>
      </c>
      <c r="N17" s="11" t="n">
        <v>0</v>
      </c>
      <c r="R17" s="11" t="n">
        <v>0</v>
      </c>
    </row>
    <row r="18">
      <c r="A18" s="10" t="inlineStr">
        <is>
          <t>OperatingSegmentsNotIncludedInReportableSegmentsAndOtherRevenueGeneratingBusinessActivitiesMember · 부문 간 내부매출·대체</t>
        </is>
      </c>
      <c r="J18" s="11" t="n">
        <v>0.8</v>
      </c>
      <c r="K18" s="11" t="n">
        <v>0.79</v>
      </c>
      <c r="L18" s="11" t="n">
        <v>0.73</v>
      </c>
      <c r="M18" s="11" t="n">
        <v>0.78</v>
      </c>
      <c r="N18" s="11" t="n">
        <v>0.8</v>
      </c>
      <c r="O18" s="11" t="n">
        <v>0.84</v>
      </c>
      <c r="P18" s="11" t="n">
        <v>0.85</v>
      </c>
      <c r="Q18" s="11" t="n">
        <v>0.99</v>
      </c>
      <c r="R18" s="11" t="n">
        <v>1</v>
      </c>
      <c r="S18" s="11" t="n">
        <v>1.14</v>
      </c>
      <c r="T18" s="11" t="n">
        <v>0.96</v>
      </c>
      <c r="U18" s="11" t="n">
        <v>0.93</v>
      </c>
      <c r="V18" s="11" t="n">
        <v>0.85</v>
      </c>
      <c r="AC18" s="11" t="n">
        <v>3.1</v>
      </c>
      <c r="AD18" s="11" t="n">
        <v>3.48</v>
      </c>
      <c r="AE18" s="11" t="n">
        <v>4.03</v>
      </c>
    </row>
    <row r="19">
      <c r="A19" s="10" t="inlineStr">
        <is>
          <t>TotalOfReportableSegmentsAndOthersMember · 부문 간 내부매출·대체</t>
        </is>
      </c>
      <c r="J19" s="11" t="n">
        <v>0.8</v>
      </c>
      <c r="K19" s="11" t="n">
        <v>0.96</v>
      </c>
      <c r="L19" s="11" t="n">
        <v>0.82</v>
      </c>
      <c r="M19" s="11" t="n">
        <v>2.31</v>
      </c>
      <c r="N19" s="11" t="n">
        <v>0.96</v>
      </c>
      <c r="O19" s="11" t="n">
        <v>0.9399999999999999</v>
      </c>
      <c r="P19" s="11" t="n">
        <v>1.03</v>
      </c>
      <c r="Q19" s="11" t="n">
        <v>0.61</v>
      </c>
      <c r="R19" s="11" t="n">
        <v>1.01</v>
      </c>
      <c r="S19" s="11" t="n">
        <v>1.17</v>
      </c>
      <c r="T19" s="11" t="n">
        <v>1.07</v>
      </c>
      <c r="U19" s="11" t="n">
        <v>1.04</v>
      </c>
      <c r="V19" s="11" t="n">
        <v>0.85</v>
      </c>
      <c r="AC19" s="11" t="n">
        <v>4.89</v>
      </c>
      <c r="AD19" s="11" t="n">
        <v>3.54</v>
      </c>
      <c r="AE19" s="11" t="n">
        <v>4.29</v>
      </c>
    </row>
    <row r="20">
      <c r="A20" s="10" t="inlineStr">
        <is>
          <t>ReconcilingItemsMember · 부문 간 내부매출·대체</t>
        </is>
      </c>
      <c r="J20" s="11" t="n">
        <v>-0.8</v>
      </c>
      <c r="K20" s="11" t="n">
        <v>-0.96</v>
      </c>
      <c r="L20" s="11" t="n">
        <v>-0.82</v>
      </c>
      <c r="M20" s="11" t="n">
        <v>-2.31</v>
      </c>
      <c r="N20" s="11" t="n">
        <v>-0.96</v>
      </c>
      <c r="O20" s="11" t="n">
        <v>-0.9399999999999999</v>
      </c>
      <c r="P20" s="11" t="n">
        <v>-1.03</v>
      </c>
      <c r="Q20" s="11" t="n">
        <v>-0.61</v>
      </c>
      <c r="R20" s="11" t="n">
        <v>-1.01</v>
      </c>
      <c r="S20" s="11" t="n">
        <v>-1.17</v>
      </c>
      <c r="T20" s="11" t="n">
        <v>-1.07</v>
      </c>
      <c r="U20" s="11" t="n">
        <v>-1.04</v>
      </c>
      <c r="V20" s="11" t="n">
        <v>-0.85</v>
      </c>
      <c r="AC20" s="11" t="n">
        <v>-4.89</v>
      </c>
      <c r="AD20" s="11" t="n">
        <v>-3.54</v>
      </c>
      <c r="AE20" s="11" t="n">
        <v>-4.29</v>
      </c>
    </row>
    <row r="21">
      <c r="A21" s="10" t="inlineStr">
        <is>
          <t>부문 간 내부매출·대체</t>
        </is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AC21" s="11" t="n">
        <v>0</v>
      </c>
      <c r="AD21" s="11" t="n">
        <v>0</v>
      </c>
      <c r="AE21" s="11" t="n">
        <v>0</v>
      </c>
    </row>
    <row r="22">
      <c r="A22" s="10" t="inlineStr">
        <is>
          <t>TransportationReportableSegmentsMember · 계</t>
        </is>
      </c>
      <c r="AC22" s="11" t="n">
        <v>209.06</v>
      </c>
      <c r="AD22" s="11" t="n">
        <v>278.26</v>
      </c>
      <c r="AE22" s="11" t="n">
        <v>274.21</v>
      </c>
    </row>
    <row r="23">
      <c r="A23" s="10" t="inlineStr">
        <is>
          <t>IndustryReportableSegmentsMember · 계</t>
        </is>
      </c>
      <c r="AC23" s="11" t="n">
        <v>102.68</v>
      </c>
      <c r="AD23" s="11" t="n">
        <v>108.98</v>
      </c>
      <c r="AE23" s="11" t="n">
        <v>120.11</v>
      </c>
    </row>
    <row r="24">
      <c r="A24" s="10" t="inlineStr">
        <is>
          <t>ICTSolutionReportableSegmentMember · 계</t>
        </is>
      </c>
      <c r="AC24" s="11" t="n">
        <v>11.39</v>
      </c>
      <c r="AD24" s="11" t="n">
        <v>18.17</v>
      </c>
      <c r="AE24" s="11" t="n">
        <v>10.69</v>
      </c>
    </row>
    <row r="25">
      <c r="A25" s="10" t="inlineStr">
        <is>
          <t>EntityTotalMember · 부문 간 내부매출·대체</t>
        </is>
      </c>
      <c r="N25" s="11" t="n">
        <v>0</v>
      </c>
      <c r="R25" s="11" t="n">
        <v>0</v>
      </c>
      <c r="V25" s="11" t="n">
        <v>0</v>
      </c>
    </row>
    <row r="26">
      <c r="A26" s="10" t="inlineStr">
        <is>
          <t>TransportationReportableSegmentsMember · 계</t>
        </is>
      </c>
      <c r="J26" s="11" t="n">
        <v>43</v>
      </c>
      <c r="N26" s="11" t="n">
        <v>56.1</v>
      </c>
      <c r="R26" s="11" t="n">
        <v>61.01</v>
      </c>
      <c r="V26" s="11" t="n">
        <v>80.23999999999999</v>
      </c>
    </row>
    <row r="27">
      <c r="A27" s="10" t="inlineStr">
        <is>
          <t>IndustryReportableSegmentsMember · 계</t>
        </is>
      </c>
      <c r="J27" s="11" t="n">
        <v>21.21</v>
      </c>
      <c r="N27" s="11" t="n">
        <v>22.42</v>
      </c>
      <c r="R27" s="11" t="n">
        <v>23.08</v>
      </c>
      <c r="V27" s="11" t="n">
        <v>24.01</v>
      </c>
    </row>
    <row r="28">
      <c r="A28" s="10" t="inlineStr">
        <is>
          <t>ICTSolutionReportableSegmentMember · 계</t>
        </is>
      </c>
      <c r="J28" s="11" t="n">
        <v>2.34</v>
      </c>
      <c r="N28" s="11" t="n">
        <v>3.28</v>
      </c>
      <c r="R28" s="11" t="n">
        <v>2.29</v>
      </c>
    </row>
    <row r="29">
      <c r="A29" s="10" t="inlineStr">
        <is>
          <t>OperatingSegmentsNotIncludedInReportableSegmentsAndOtherRevenueGeneratingBusinessActivitiesMember · 계</t>
        </is>
      </c>
      <c r="J29" s="11" t="n">
        <v>0.82</v>
      </c>
      <c r="K29" s="11" t="n">
        <v>0.8</v>
      </c>
      <c r="L29" s="11" t="n">
        <v>0.75</v>
      </c>
      <c r="M29" s="11" t="n">
        <v>0.78</v>
      </c>
      <c r="N29" s="11" t="n">
        <v>0.8100000000000001</v>
      </c>
      <c r="O29" s="11" t="n">
        <v>0.85</v>
      </c>
      <c r="P29" s="11" t="n">
        <v>0.86</v>
      </c>
      <c r="Q29" s="11" t="n">
        <v>1</v>
      </c>
      <c r="R29" s="11" t="n">
        <v>1.01</v>
      </c>
      <c r="S29" s="11" t="n">
        <v>1.15</v>
      </c>
      <c r="T29" s="11" t="n">
        <v>0.97</v>
      </c>
      <c r="U29" s="11" t="n">
        <v>0.9399999999999999</v>
      </c>
      <c r="V29" s="11" t="n">
        <v>0.86</v>
      </c>
      <c r="AC29" s="11" t="n">
        <v>3.15</v>
      </c>
      <c r="AD29" s="11" t="n">
        <v>3.52</v>
      </c>
      <c r="AE29" s="11" t="n">
        <v>4.07</v>
      </c>
    </row>
    <row r="30">
      <c r="A30" s="10" t="inlineStr">
        <is>
          <t>TotalOfReportableSegmentsAndOthersMember · 계</t>
        </is>
      </c>
      <c r="J30" s="11" t="n">
        <v>67.38</v>
      </c>
      <c r="K30" s="11" t="n">
        <v>82.55</v>
      </c>
      <c r="L30" s="11" t="n">
        <v>74.95999999999999</v>
      </c>
      <c r="M30" s="11" t="n">
        <v>101.4</v>
      </c>
      <c r="N30" s="11" t="n">
        <v>82.63</v>
      </c>
      <c r="O30" s="11" t="n">
        <v>109.42</v>
      </c>
      <c r="P30" s="11" t="n">
        <v>101.21</v>
      </c>
      <c r="Q30" s="11" t="n">
        <v>115.68</v>
      </c>
      <c r="R30" s="11" t="n">
        <v>85.11</v>
      </c>
      <c r="S30" s="11" t="n">
        <v>98.87</v>
      </c>
      <c r="T30" s="11" t="n">
        <v>108.89</v>
      </c>
      <c r="U30" s="11" t="n">
        <v>116.23</v>
      </c>
      <c r="V30" s="11" t="n">
        <v>105.11</v>
      </c>
      <c r="AC30" s="11" t="n">
        <v>326.29</v>
      </c>
      <c r="AD30" s="11" t="n">
        <v>408.94</v>
      </c>
      <c r="AE30" s="11" t="n">
        <v>409.1</v>
      </c>
    </row>
    <row r="31">
      <c r="A31" s="10" t="inlineStr">
        <is>
          <t>ReconcilingItemsMember · 계</t>
        </is>
      </c>
      <c r="J31" s="11" t="n">
        <v>-0.8</v>
      </c>
      <c r="K31" s="11" t="n">
        <v>-0.96</v>
      </c>
      <c r="L31" s="11" t="n">
        <v>-0.82</v>
      </c>
      <c r="M31" s="11" t="n">
        <v>-2.31</v>
      </c>
      <c r="N31" s="11" t="n">
        <v>-0.96</v>
      </c>
      <c r="O31" s="11" t="n">
        <v>-0.9399999999999999</v>
      </c>
      <c r="P31" s="11" t="n">
        <v>-1.03</v>
      </c>
      <c r="Q31" s="11" t="n">
        <v>-0.61</v>
      </c>
      <c r="R31" s="11" t="n">
        <v>-1.01</v>
      </c>
      <c r="S31" s="11" t="n">
        <v>-1.17</v>
      </c>
      <c r="T31" s="11" t="n">
        <v>-1.07</v>
      </c>
      <c r="U31" s="11" t="n">
        <v>-1.04</v>
      </c>
      <c r="V31" s="11" t="n">
        <v>-0.85</v>
      </c>
      <c r="AC31" s="11" t="n">
        <v>-4.89</v>
      </c>
      <c r="AD31" s="11" t="n">
        <v>-3.54</v>
      </c>
      <c r="AE31" s="11" t="n">
        <v>-4.29</v>
      </c>
    </row>
    <row r="32">
      <c r="A32" s="5" t="inlineStr">
        <is>
          <t>계</t>
        </is>
      </c>
      <c r="J32" s="6" t="n">
        <v>66.58</v>
      </c>
      <c r="K32" s="6" t="n">
        <v>81.59</v>
      </c>
      <c r="L32" s="6" t="n">
        <v>74.14</v>
      </c>
      <c r="M32" s="6" t="n">
        <v>99.09</v>
      </c>
      <c r="N32" s="6" t="n">
        <v>81.66</v>
      </c>
      <c r="O32" s="6" t="n">
        <v>108.49</v>
      </c>
      <c r="P32" s="6" t="n">
        <v>100.17</v>
      </c>
      <c r="Q32" s="6" t="n">
        <v>115.07</v>
      </c>
      <c r="AC32" s="6" t="n">
        <v>321.4</v>
      </c>
      <c r="AD32" s="6" t="n">
        <v>405.39</v>
      </c>
      <c r="AE32" s="6" t="n">
        <v>404.8</v>
      </c>
    </row>
    <row r="33">
      <c r="A33" s="10" t="inlineStr">
        <is>
          <t>TransportationReportableSegmentsMember · 부문 이익(손실)</t>
        </is>
      </c>
      <c r="AC33" s="11" t="n">
        <v>23.87</v>
      </c>
      <c r="AD33" s="11" t="n">
        <v>36.14</v>
      </c>
      <c r="AE33" s="11" t="n">
        <v>53.16</v>
      </c>
    </row>
    <row r="34">
      <c r="A34" s="10" t="inlineStr">
        <is>
          <t>IndustryReportableSegmentsMember · 부문 이익(손실)</t>
        </is>
      </c>
      <c r="AC34" s="11" t="n">
        <v>10.3</v>
      </c>
      <c r="AD34" s="11" t="n">
        <v>14.25</v>
      </c>
      <c r="AE34" s="11" t="n">
        <v>13.89</v>
      </c>
    </row>
    <row r="35">
      <c r="A35" s="10" t="inlineStr">
        <is>
          <t>ICTSolutionReportableSegmentMember · 부문 이익(손실)</t>
        </is>
      </c>
      <c r="AC35" s="11" t="n">
        <v>3.14</v>
      </c>
      <c r="AD35" s="11" t="n">
        <v>5.43</v>
      </c>
      <c r="AE35" s="11" t="n">
        <v>-0.3</v>
      </c>
    </row>
    <row r="36">
      <c r="A36" s="10" t="inlineStr">
        <is>
          <t>EntityTotalMember · 계</t>
        </is>
      </c>
      <c r="N36" s="11" t="n">
        <v>81.66</v>
      </c>
      <c r="R36" s="11" t="n">
        <v>84.09</v>
      </c>
      <c r="V36" s="11" t="n">
        <v>104.26</v>
      </c>
    </row>
    <row r="37">
      <c r="A37" s="10" t="inlineStr">
        <is>
          <t>TransportationReportableSegmentsMember · 부문 이익(손실)</t>
        </is>
      </c>
      <c r="J37" s="11" t="n">
        <v>4.95</v>
      </c>
      <c r="N37" s="11" t="n">
        <v>4.4</v>
      </c>
      <c r="R37" s="11" t="n">
        <v>10.61</v>
      </c>
      <c r="V37" s="11" t="n">
        <v>17.36</v>
      </c>
    </row>
    <row r="38">
      <c r="A38" s="10" t="inlineStr">
        <is>
          <t>IndustryReportableSegmentsMember · 부문 이익(손실)</t>
        </is>
      </c>
      <c r="J38" s="11" t="n">
        <v>0.51</v>
      </c>
      <c r="N38" s="11" t="n">
        <v>2.35</v>
      </c>
      <c r="R38" s="11" t="n">
        <v>1</v>
      </c>
      <c r="V38" s="11" t="n">
        <v>3.08</v>
      </c>
    </row>
    <row r="39">
      <c r="A39" s="10" t="inlineStr">
        <is>
          <t>ICTSolutionReportableSegmentMember · 부문 이익(손실)</t>
        </is>
      </c>
      <c r="J39" s="11" t="n">
        <v>0.6</v>
      </c>
      <c r="N39" s="11" t="n">
        <v>0.82</v>
      </c>
      <c r="R39" s="11" t="n">
        <v>-0.44</v>
      </c>
    </row>
    <row r="40">
      <c r="A40" s="10" t="inlineStr">
        <is>
          <t>OperatingSegmentsNotIncludedInReportableSegmentsAndOtherRevenueGeneratingBusinessActivitiesMember · 부문 이익(손실)</t>
        </is>
      </c>
      <c r="J40" s="11" t="n">
        <v>-0.01</v>
      </c>
      <c r="K40" s="11" t="n">
        <v>0</v>
      </c>
      <c r="L40" s="11" t="n">
        <v>-0.01</v>
      </c>
      <c r="M40" s="11" t="n">
        <v>0</v>
      </c>
      <c r="N40" s="11" t="n">
        <v>-0.01</v>
      </c>
      <c r="O40" s="11" t="n">
        <v>0.01</v>
      </c>
      <c r="P40" s="11" t="n">
        <v>0</v>
      </c>
      <c r="Q40" s="11" t="n">
        <v>0</v>
      </c>
      <c r="R40" s="11" t="n">
        <v>0</v>
      </c>
      <c r="S40" s="11" t="n">
        <v>0.03</v>
      </c>
      <c r="T40" s="11" t="n">
        <v>-0.02</v>
      </c>
      <c r="U40" s="11" t="n">
        <v>0</v>
      </c>
      <c r="V40" s="11" t="n">
        <v>-0.01</v>
      </c>
      <c r="AC40" s="11" t="n">
        <v>-0.02</v>
      </c>
      <c r="AD40" s="11" t="n">
        <v>0</v>
      </c>
      <c r="AE40" s="11" t="n">
        <v>0.01</v>
      </c>
    </row>
    <row r="41">
      <c r="A41" s="10" t="inlineStr">
        <is>
          <t>TotalOfReportableSegmentsAndOthersMember · 부문 이익(손실)</t>
        </is>
      </c>
      <c r="J41" s="11" t="n">
        <v>6.06</v>
      </c>
      <c r="K41" s="11" t="n">
        <v>9.550000000000001</v>
      </c>
      <c r="L41" s="11" t="n">
        <v>6.51</v>
      </c>
      <c r="M41" s="11" t="n">
        <v>15.17</v>
      </c>
      <c r="N41" s="11" t="n">
        <v>7.57</v>
      </c>
      <c r="O41" s="11" t="n">
        <v>15.33</v>
      </c>
      <c r="P41" s="11" t="n">
        <v>13.34</v>
      </c>
      <c r="Q41" s="11" t="n">
        <v>19.59</v>
      </c>
      <c r="R41" s="11" t="n">
        <v>11.61</v>
      </c>
      <c r="S41" s="11" t="n">
        <v>12.28</v>
      </c>
      <c r="T41" s="11" t="n">
        <v>21.21</v>
      </c>
      <c r="U41" s="11" t="n">
        <v>21.67</v>
      </c>
      <c r="V41" s="11" t="n">
        <v>20.42</v>
      </c>
      <c r="AC41" s="11" t="n">
        <v>37.29</v>
      </c>
      <c r="AD41" s="11" t="n">
        <v>55.83</v>
      </c>
      <c r="AE41" s="11" t="n">
        <v>66.77</v>
      </c>
    </row>
    <row r="42">
      <c r="A42" s="10" t="inlineStr">
        <is>
          <t>ReconcilingItemsMember · 부문 이익(손실)</t>
        </is>
      </c>
      <c r="J42" s="11" t="n">
        <v>-6.69</v>
      </c>
      <c r="K42" s="11" t="n">
        <v>-7.05</v>
      </c>
      <c r="L42" s="11" t="n">
        <v>-6.79</v>
      </c>
      <c r="M42" s="11" t="n">
        <v>-7.49</v>
      </c>
      <c r="N42" s="11" t="n">
        <v>-7.29</v>
      </c>
      <c r="O42" s="11" t="n">
        <v>-7.98</v>
      </c>
      <c r="P42" s="11" t="n">
        <v>-8.1</v>
      </c>
      <c r="Q42" s="11" t="n">
        <v>-8.619999999999999</v>
      </c>
      <c r="R42" s="11" t="n">
        <v>-7.93</v>
      </c>
      <c r="S42" s="11" t="n">
        <v>-9.19</v>
      </c>
      <c r="T42" s="11" t="n">
        <v>-9.02</v>
      </c>
      <c r="U42" s="11" t="n">
        <v>-9.51</v>
      </c>
      <c r="V42" s="11" t="n">
        <v>-9.69</v>
      </c>
      <c r="AC42" s="11" t="n">
        <v>-28.02</v>
      </c>
      <c r="AD42" s="11" t="n">
        <v>-31.99</v>
      </c>
      <c r="AE42" s="11" t="n">
        <v>-35.65</v>
      </c>
    </row>
    <row r="43">
      <c r="A43" s="5" t="inlineStr">
        <is>
          <t>부문 이익(손실)</t>
        </is>
      </c>
      <c r="J43" s="6" t="n">
        <v>-0.62</v>
      </c>
      <c r="K43" s="6" t="n">
        <v>2.49</v>
      </c>
      <c r="L43" s="6" t="n">
        <v>-0.28</v>
      </c>
      <c r="M43" s="6" t="n">
        <v>7.68</v>
      </c>
      <c r="N43" s="6" t="n">
        <v>0.27</v>
      </c>
      <c r="O43" s="6" t="n">
        <v>7.35</v>
      </c>
      <c r="P43" s="6" t="n">
        <v>5.25</v>
      </c>
      <c r="Q43" s="6" t="n">
        <v>10.97</v>
      </c>
      <c r="AC43" s="6" t="n">
        <v>9.27</v>
      </c>
      <c r="AD43" s="6" t="n">
        <v>23.84</v>
      </c>
      <c r="AE43" s="6" t="n">
        <v>31.11</v>
      </c>
    </row>
    <row r="44">
      <c r="A44" s="10" t="inlineStr">
        <is>
          <t>TransportationReportableSegmentsMember · 감가상각비</t>
        </is>
      </c>
      <c r="AC44" s="11" t="n">
        <v>4.16</v>
      </c>
      <c r="AD44" s="11" t="n">
        <v>3.4</v>
      </c>
      <c r="AE44" s="11" t="n">
        <v>3.59</v>
      </c>
    </row>
    <row r="45">
      <c r="A45" s="10" t="inlineStr">
        <is>
          <t>IndustryReportableSegmentsMember · 감가상각비</t>
        </is>
      </c>
      <c r="AC45" s="11" t="n">
        <v>2.44</v>
      </c>
      <c r="AD45" s="11" t="n">
        <v>2.46</v>
      </c>
      <c r="AE45" s="11" t="n">
        <v>2.22</v>
      </c>
    </row>
    <row r="46">
      <c r="A46" s="10" t="inlineStr">
        <is>
          <t>ICTSolutionReportableSegmentMember · 감가상각비</t>
        </is>
      </c>
      <c r="AC46" s="11" t="n">
        <v>0.16</v>
      </c>
      <c r="AD46" s="11" t="n">
        <v>0.12</v>
      </c>
      <c r="AE46" s="11" t="n">
        <v>0.12</v>
      </c>
    </row>
    <row r="47">
      <c r="A47" s="10" t="inlineStr">
        <is>
          <t>OperatingSegmentsNotIncludedInReportableSegmentsAndOtherRevenueGeneratingBusinessActivitiesMember · 감가상각비</t>
        </is>
      </c>
      <c r="AC47" s="11" t="n">
        <v>0.02</v>
      </c>
      <c r="AD47" s="11" t="n">
        <v>0.01</v>
      </c>
      <c r="AE47" s="11" t="n">
        <v>0.01</v>
      </c>
    </row>
    <row r="48">
      <c r="A48" s="10" t="inlineStr">
        <is>
          <t>TotalOfReportableSegmentsAndOthersMember · 감가상각비</t>
        </is>
      </c>
      <c r="AC48" s="11" t="n">
        <v>6.79</v>
      </c>
      <c r="AD48" s="11" t="n">
        <v>6</v>
      </c>
      <c r="AE48" s="11" t="n">
        <v>5.95</v>
      </c>
    </row>
    <row r="49">
      <c r="A49" s="10" t="inlineStr">
        <is>
          <t>ReconcilingItemsMember · 감가상각비</t>
        </is>
      </c>
      <c r="AC49" s="11" t="n">
        <v>0.8100000000000001</v>
      </c>
      <c r="AD49" s="11" t="n">
        <v>1.06</v>
      </c>
      <c r="AE49" s="11" t="n">
        <v>1.16</v>
      </c>
    </row>
    <row r="50">
      <c r="A50" s="10" t="inlineStr">
        <is>
          <t>감가상각비</t>
        </is>
      </c>
      <c r="AC50" s="11" t="n">
        <v>7.6</v>
      </c>
      <c r="AD50" s="11" t="n">
        <v>7.07</v>
      </c>
      <c r="AE50" s="11" t="n">
        <v>7.12</v>
      </c>
    </row>
    <row r="51">
      <c r="A51" s="10" t="inlineStr">
        <is>
          <t>TransportationReportableSegmentsMember · 손상차손</t>
        </is>
      </c>
      <c r="AD51" s="11" t="n">
        <v>0</v>
      </c>
    </row>
    <row r="52">
      <c r="A52" s="10" t="inlineStr">
        <is>
          <t>IndustryReportableSegmentsMember · 손상차손</t>
        </is>
      </c>
      <c r="AD52" s="11" t="n">
        <v>0</v>
      </c>
    </row>
    <row r="53">
      <c r="A53" s="10" t="inlineStr">
        <is>
          <t>ICTSolutionReportableSegmentMember · 손상차손</t>
        </is>
      </c>
      <c r="AD53" s="11" t="n">
        <v>0</v>
      </c>
    </row>
    <row r="54">
      <c r="A54" s="10" t="inlineStr">
        <is>
          <t>OperatingSegmentsNotIncludedInReportableSegmentsAndOtherRevenueGeneratingBusinessActivitiesMember · 손상차손</t>
        </is>
      </c>
      <c r="AD54" s="11" t="n">
        <v>0</v>
      </c>
    </row>
    <row r="55">
      <c r="A55" s="10" t="inlineStr">
        <is>
          <t>TotalOfReportableSegmentsAndOthersMember · 손상차손</t>
        </is>
      </c>
      <c r="AD55" s="11" t="n">
        <v>0</v>
      </c>
    </row>
    <row r="56">
      <c r="A56" s="10" t="inlineStr">
        <is>
          <t>ReconcilingItemsMember · 손상차손</t>
        </is>
      </c>
      <c r="AD56" s="11" t="n">
        <v>0.38</v>
      </c>
    </row>
    <row r="57">
      <c r="A57" s="10" t="inlineStr">
        <is>
          <t>손상차손</t>
        </is>
      </c>
      <c r="AD57" s="11" t="n">
        <v>0.38</v>
      </c>
    </row>
    <row r="58">
      <c r="A58" s="10" t="inlineStr">
        <is>
          <t>TransportationReportableSegmentsMember · 유형·무형자산 증가액</t>
        </is>
      </c>
      <c r="AC58" s="11" t="n">
        <v>2.34</v>
      </c>
      <c r="AD58" s="11" t="n">
        <v>2.04</v>
      </c>
      <c r="AE58" s="11" t="n">
        <v>5.64</v>
      </c>
    </row>
    <row r="59">
      <c r="A59" s="10" t="inlineStr">
        <is>
          <t>IndustryReportableSegmentsMember · 유형·무형자산 증가액</t>
        </is>
      </c>
      <c r="AC59" s="11" t="n">
        <v>1.32</v>
      </c>
      <c r="AD59" s="11" t="n">
        <v>0.73</v>
      </c>
      <c r="AE59" s="11" t="n">
        <v>1.02</v>
      </c>
    </row>
    <row r="60">
      <c r="A60" s="10" t="inlineStr">
        <is>
          <t>ICTSolutionReportableSegmentMember · 유형·무형자산 증가액</t>
        </is>
      </c>
      <c r="AC60" s="11" t="n">
        <v>0.08</v>
      </c>
      <c r="AD60" s="11" t="n">
        <v>0.03</v>
      </c>
      <c r="AE60" s="11" t="n">
        <v>0.08</v>
      </c>
    </row>
    <row r="61">
      <c r="A61" s="10" t="inlineStr">
        <is>
          <t>OperatingSegmentsNotIncludedInReportableSegmentsAndOtherRevenueGeneratingBusinessActivitiesMember · 유형·무형자산 증가액</t>
        </is>
      </c>
      <c r="AC61" s="11" t="n">
        <v>0</v>
      </c>
      <c r="AD61" s="11" t="n">
        <v>0</v>
      </c>
      <c r="AE61" s="11" t="n">
        <v>0</v>
      </c>
    </row>
    <row r="62">
      <c r="A62" s="10" t="inlineStr">
        <is>
          <t>TotalOfReportableSegmentsAndOthersMember · 유형·무형자산 증가액</t>
        </is>
      </c>
      <c r="AC62" s="11" t="n">
        <v>3.74</v>
      </c>
      <c r="AD62" s="11" t="n">
        <v>2.81</v>
      </c>
      <c r="AE62" s="11" t="n">
        <v>6.76</v>
      </c>
    </row>
    <row r="63">
      <c r="A63" s="10" t="inlineStr">
        <is>
          <t>ReconcilingItemsMember · 유형·무형자산 증가액</t>
        </is>
      </c>
      <c r="AC63" s="11" t="n">
        <v>2.67</v>
      </c>
      <c r="AD63" s="11" t="n">
        <v>1.2</v>
      </c>
      <c r="AE63" s="11" t="n">
        <v>1.15</v>
      </c>
    </row>
    <row r="64">
      <c r="A64" s="10" t="inlineStr">
        <is>
          <t>유형·무형자산 증가액</t>
        </is>
      </c>
      <c r="AC64" s="11" t="n">
        <v>6.42</v>
      </c>
      <c r="AD64" s="11" t="n">
        <v>4.02</v>
      </c>
      <c r="AE64" s="11" t="n">
        <v>7.91</v>
      </c>
    </row>
    <row r="65">
      <c r="A65" s="10" t="inlineStr">
        <is>
          <t>EntityTotalMember · 부문 이익(손실)</t>
        </is>
      </c>
      <c r="N65" s="11" t="n">
        <v>0.27</v>
      </c>
      <c r="R65" s="11" t="n">
        <v>3.67</v>
      </c>
      <c r="V65" s="11" t="n">
        <v>10.73</v>
      </c>
    </row>
    <row r="66">
      <c r="A66" s="10" t="inlineStr">
        <is>
          <t>TransportationReportableSegmentsMember · 외부 고객 매출</t>
        </is>
      </c>
      <c r="AC66" s="11" t="n">
        <v>207.37</v>
      </c>
      <c r="AD66" s="11" t="n">
        <v>278.22</v>
      </c>
      <c r="AE66" s="11" t="n">
        <v>273.98</v>
      </c>
    </row>
    <row r="67">
      <c r="A67" s="10" t="inlineStr">
        <is>
          <t>IndustryReportableSegmentsMember · 외부 고객 매출</t>
        </is>
      </c>
      <c r="AC67" s="11" t="n">
        <v>102.57</v>
      </c>
      <c r="AD67" s="11" t="n">
        <v>108.95</v>
      </c>
      <c r="AE67" s="11" t="n">
        <v>120.08</v>
      </c>
    </row>
    <row r="68">
      <c r="A68" s="10" t="inlineStr">
        <is>
          <t>ICTSolutionReportableSegmentMember · 외부 고객 매출</t>
        </is>
      </c>
      <c r="AC68" s="11" t="n">
        <v>11.39</v>
      </c>
      <c r="AD68" s="11" t="n">
        <v>18.17</v>
      </c>
      <c r="AE68" s="11" t="n">
        <v>10.69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1" t="inlineStr">
        <is>
          <t>도요전기제조 섹터·사업 데이터</t>
        </is>
      </c>
    </row>
    <row r="2">
      <c r="A2" s="2" t="inlineStr">
        <is>
          <t>2단계 보고서를 만들 때 모은 자료 · 월차 · 출처는 맨 오른쪽</t>
        </is>
      </c>
    </row>
    <row r="4">
      <c r="A4" s="12" t="inlineStr">
        <is>
          <t>ttm</t>
        </is>
      </c>
      <c r="B4" s="12" t="n"/>
      <c r="C4" s="12" t="n"/>
    </row>
    <row r="5">
      <c r="A5" s="13" t="inlineStr">
        <is>
          <t>항목</t>
        </is>
      </c>
      <c r="B5" s="13" t="inlineStr">
        <is>
          <t>값</t>
        </is>
      </c>
      <c r="C5" s="13" t="inlineStr">
        <is>
          <t>출처</t>
        </is>
      </c>
    </row>
    <row r="6">
      <c r="A6" s="14" t="inlineStr">
        <is>
          <t>2023-07</t>
        </is>
      </c>
      <c r="B6" s="11" t="n">
        <v>91.84999999999999</v>
      </c>
      <c r="C6" s="3" t="inlineStr">
        <is>
          <t>2단계 보고서 자료(회사 설명회 자료·공시)</t>
        </is>
      </c>
    </row>
    <row r="7">
      <c r="A7" s="14" t="inlineStr">
        <is>
          <t>2024-07</t>
        </is>
      </c>
      <c r="B7" s="11" t="n">
        <v>99.5</v>
      </c>
    </row>
    <row r="8">
      <c r="A8" s="14" t="inlineStr">
        <is>
          <t>2024-10</t>
        </is>
      </c>
      <c r="B8" s="11" t="n">
        <v>94.3</v>
      </c>
    </row>
    <row r="9">
      <c r="A9" s="14" t="inlineStr">
        <is>
          <t>2025-01</t>
        </is>
      </c>
      <c r="B9" s="11" t="n">
        <v>152</v>
      </c>
    </row>
    <row r="10">
      <c r="A10" s="14" t="inlineStr">
        <is>
          <t>2025-04</t>
        </is>
      </c>
      <c r="B10" s="11" t="n">
        <v>188.7</v>
      </c>
    </row>
    <row r="11">
      <c r="A11" s="14" t="inlineStr">
        <is>
          <t>2025-07</t>
        </is>
      </c>
      <c r="B11" s="11" t="n">
        <v>231.3</v>
      </c>
    </row>
    <row r="12">
      <c r="A12" s="14" t="inlineStr">
        <is>
          <t>2025-10</t>
        </is>
      </c>
      <c r="B12" s="11" t="n">
        <v>272.3</v>
      </c>
    </row>
    <row r="13">
      <c r="A13" s="14" t="inlineStr">
        <is>
          <t>2026-01</t>
        </is>
      </c>
      <c r="B13" s="11" t="n">
        <v>240.8</v>
      </c>
    </row>
    <row r="14">
      <c r="A14" s="14" t="inlineStr">
        <is>
          <t>2026-04</t>
        </is>
      </c>
      <c r="B14" s="11" t="n">
        <v>299.8</v>
      </c>
    </row>
    <row r="15">
      <c r="A15" s="14" t="inlineStr">
        <is>
          <t>2026-07</t>
        </is>
      </c>
      <c r="B15" s="11" t="n">
        <v>329.8</v>
      </c>
    </row>
    <row r="16">
      <c r="A16" s="14" t="inlineStr">
        <is>
          <t>2026-10</t>
        </is>
      </c>
      <c r="B16" s="11" t="n">
        <v>373.8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1" t="inlineStr">
        <is>
          <t>출처 · 쓴 결산단신</t>
        </is>
      </c>
    </row>
    <row r="3">
      <c r="A3" s="15" t="inlineStr">
        <is>
          <t>공시일</t>
        </is>
      </c>
      <c r="B3" s="15" t="inlineStr">
        <is>
          <t>문서</t>
        </is>
      </c>
      <c r="C3" s="15" t="inlineStr">
        <is>
          <t>PDF</t>
        </is>
      </c>
    </row>
    <row r="4">
      <c r="A4" t="inlineStr">
        <is>
          <t>2026-10-14</t>
        </is>
      </c>
      <c r="B4" t="inlineStr">
        <is>
          <t>2027년 5월 결산기 １분기 결산단신</t>
        </is>
      </c>
      <c r="C4" t="inlineStr">
        <is>
          <t>https://www2.jpx.co.jp/disc/65050/140120261013550084.pdf</t>
        </is>
      </c>
    </row>
    <row r="5">
      <c r="A5" t="inlineStr">
        <is>
          <t>2026-07-15</t>
        </is>
      </c>
      <c r="B5" t="inlineStr">
        <is>
          <t>2026년 5월 결산기 연간 결산단신</t>
        </is>
      </c>
      <c r="C5" t="inlineStr">
        <is>
          <t>https://www2.jpx.co.jp/disc/65050/140120260714593677.pdf</t>
        </is>
      </c>
    </row>
    <row r="6">
      <c r="A6" t="inlineStr">
        <is>
          <t>2026-04-13</t>
        </is>
      </c>
      <c r="B6" t="inlineStr">
        <is>
          <t>2026년 5월 결산기 ３분기 결산단신</t>
        </is>
      </c>
      <c r="C6" t="inlineStr">
        <is>
          <t>https://www2.jpx.co.jp/disc/65050/140120260413502423.pdf</t>
        </is>
      </c>
    </row>
    <row r="7">
      <c r="A7" t="inlineStr">
        <is>
          <t>2026-01-13</t>
        </is>
      </c>
      <c r="B7" t="inlineStr">
        <is>
          <t>2026년 5월 결산기 ２분기 결산단신</t>
        </is>
      </c>
      <c r="C7" t="inlineStr">
        <is>
          <t>https://www2.jpx.co.jp/disc/65050/140120260113532161.pdf</t>
        </is>
      </c>
    </row>
    <row r="8">
      <c r="A8" t="inlineStr">
        <is>
          <t>2025-10-15</t>
        </is>
      </c>
      <c r="B8" t="inlineStr">
        <is>
          <t>2026년 5월 결산기 １분기 결산단신</t>
        </is>
      </c>
      <c r="C8" t="inlineStr">
        <is>
          <t>https://www2.jpx.co.jp/disc/65050/140120251015573613.pdf</t>
        </is>
      </c>
    </row>
    <row r="9">
      <c r="A9" t="inlineStr">
        <is>
          <t>2025-07-14</t>
        </is>
      </c>
      <c r="B9" t="inlineStr">
        <is>
          <t>2025년 5월 결산기 연간 결산단신</t>
        </is>
      </c>
      <c r="C9" t="inlineStr">
        <is>
          <t>https://www2.jpx.co.jp/disc/65050/140120250711512913.pdf</t>
        </is>
      </c>
    </row>
    <row r="10">
      <c r="A10" t="inlineStr">
        <is>
          <t>2025-04-11</t>
        </is>
      </c>
      <c r="B10" t="inlineStr">
        <is>
          <t>2025년 5월 결산기 ３분기 결산단신</t>
        </is>
      </c>
      <c r="C10" t="inlineStr">
        <is>
          <t>https://www2.jpx.co.jp/disc/65050/140120250410513003.pdf</t>
        </is>
      </c>
    </row>
    <row r="11">
      <c r="A11" t="inlineStr">
        <is>
          <t>2025-01-14</t>
        </is>
      </c>
      <c r="B11" t="inlineStr">
        <is>
          <t>2025년 5월 결산기 ２분기 결산단신</t>
        </is>
      </c>
      <c r="C11" t="inlineStr">
        <is>
          <t>https://www2.jpx.co.jp/disc/65050/140120250114549849.pdf</t>
        </is>
      </c>
    </row>
    <row r="12">
      <c r="A12" t="inlineStr">
        <is>
          <t>2024-10-15</t>
        </is>
      </c>
      <c r="B12" t="inlineStr">
        <is>
          <t>2025년 5월 결산기 １분기 결산단신</t>
        </is>
      </c>
      <c r="C12" t="inlineStr">
        <is>
          <t>https://www2.jpx.co.jp/disc/65050/140120241015597695.pdf</t>
        </is>
      </c>
    </row>
    <row r="13">
      <c r="A13" t="inlineStr">
        <is>
          <t>2024-07-12</t>
        </is>
      </c>
      <c r="B13" t="inlineStr">
        <is>
          <t>2024년 5월 결산기 연간 결산단신</t>
        </is>
      </c>
      <c r="C13" t="inlineStr">
        <is>
          <t>https://www2.jpx.co.jp/disc/65050/140120240711548044.pdf</t>
        </is>
      </c>
    </row>
    <row r="14">
      <c r="A14" t="inlineStr">
        <is>
          <t>2024-04-11</t>
        </is>
      </c>
      <c r="B14" t="inlineStr">
        <is>
          <t>2024년 5월 결산기 ３분기 결산단신</t>
        </is>
      </c>
      <c r="C14" t="inlineStr">
        <is>
          <t>https://www2.jpx.co.jp/disc/65050/140120240410568475.pdf</t>
        </is>
      </c>
    </row>
    <row r="15">
      <c r="A15" t="inlineStr">
        <is>
          <t>2024-01-11</t>
        </is>
      </c>
      <c r="B15" t="inlineStr">
        <is>
          <t>2024년 5월 결산기 ２분기 결산단신</t>
        </is>
      </c>
      <c r="C15" t="inlineStr">
        <is>
          <t>https://www2.jpx.co.jp/disc/65050/140120240110512971.pdf</t>
        </is>
      </c>
    </row>
    <row r="16">
      <c r="A16" t="inlineStr">
        <is>
          <t>2023-10-13</t>
        </is>
      </c>
      <c r="B16" t="inlineStr">
        <is>
          <t>2024년 5월 결산기 １분기 결산단신</t>
        </is>
      </c>
      <c r="C16" t="inlineStr">
        <is>
          <t>https://www2.jpx.co.jp/disc/65050/140120231006563953.pdf</t>
        </is>
      </c>
    </row>
    <row r="17">
      <c r="A17" t="inlineStr">
        <is>
          <t>2023-07-13</t>
        </is>
      </c>
      <c r="B17" t="inlineStr">
        <is>
          <t>2023년 5월 결산기 연간 결산단신</t>
        </is>
      </c>
      <c r="C17" t="inlineStr">
        <is>
          <t>https://www2.jpx.co.jp/disc/65050/140120230712521273.pdf</t>
        </is>
      </c>
    </row>
    <row r="18">
      <c r="A18" t="inlineStr">
        <is>
          <t>2023-04-14</t>
        </is>
      </c>
      <c r="B18" t="inlineStr">
        <is>
          <t>2023년 5월 결산기 ３분기 결산단신</t>
        </is>
      </c>
      <c r="C18" t="inlineStr">
        <is>
          <t>https://www2.jpx.co.jp/disc/65050/140120230413546889.pdf</t>
        </is>
      </c>
    </row>
    <row r="19">
      <c r="A19" t="inlineStr">
        <is>
          <t>2023-01-12</t>
        </is>
      </c>
      <c r="B19" t="inlineStr">
        <is>
          <t>2023년 5월 결산기 ２분기 결산단신</t>
        </is>
      </c>
      <c r="C19" t="inlineStr">
        <is>
          <t>https://www2.jpx.co.jp/disc/65050/140120230111587815.pdf</t>
        </is>
      </c>
    </row>
    <row r="20">
      <c r="A20" t="inlineStr">
        <is>
          <t>2022-10-13</t>
        </is>
      </c>
      <c r="B20" t="inlineStr">
        <is>
          <t>2023년 5월 결산기 １분기 결산단신</t>
        </is>
      </c>
      <c r="C20" t="inlineStr">
        <is>
          <t>https://www2.jpx.co.jp/disc/65050/140120221011542704.pdf</t>
        </is>
      </c>
    </row>
    <row r="21">
      <c r="A21" t="inlineStr">
        <is>
          <t>2022-07-14</t>
        </is>
      </c>
      <c r="B21" t="inlineStr">
        <is>
          <t>2022년 5월 결산기 연간 결산단신</t>
        </is>
      </c>
      <c r="C21" t="inlineStr">
        <is>
          <t>https://www2.jpx.co.jp/disc/65050/140120220712598743.pdf</t>
        </is>
      </c>
    </row>
    <row r="22">
      <c r="A22" t="inlineStr">
        <is>
          <t>2022-04-14</t>
        </is>
      </c>
      <c r="B22" t="inlineStr">
        <is>
          <t>2022년 5월 결산기 ３분기 결산단신</t>
        </is>
      </c>
      <c r="C22" t="inlineStr">
        <is>
          <t>https://www2.jpx.co.jp/disc/65050/140120220328511970.pdf</t>
        </is>
      </c>
    </row>
    <row r="23">
      <c r="A23" t="inlineStr">
        <is>
          <t>2022-01-12</t>
        </is>
      </c>
      <c r="B23" t="inlineStr">
        <is>
          <t>2022년 5월 결산기 ２분기 결산단신</t>
        </is>
      </c>
      <c r="C23" t="inlineStr">
        <is>
          <t>https://www2.jpx.co.jp/disc/65050/140120220111566073.pdf</t>
        </is>
      </c>
    </row>
    <row r="24">
      <c r="A24" t="inlineStr">
        <is>
          <t>2021-10-13</t>
        </is>
      </c>
      <c r="B24" t="inlineStr">
        <is>
          <t>2022년 5월 결산기 １분기 결산단신</t>
        </is>
      </c>
      <c r="C24" t="inlineStr">
        <is>
          <t>https://www2.jpx.co.jp/disc/65050/140120211012409798.pdf</t>
        </is>
      </c>
    </row>
    <row r="25">
      <c r="A25" t="inlineStr">
        <is>
          <t>2021-07-15</t>
        </is>
      </c>
      <c r="B25" t="inlineStr">
        <is>
          <t>2021년 5월 결산기 연간 결산단신</t>
        </is>
      </c>
      <c r="C25" t="inlineStr">
        <is>
          <t>https://www2.jpx.co.jp/disc/65050/140120210714467126.pdf</t>
        </is>
      </c>
    </row>
    <row r="26">
      <c r="A26" t="inlineStr">
        <is>
          <t>2021-04-12</t>
        </is>
      </c>
      <c r="B26" t="inlineStr">
        <is>
          <t>2021년 5월 결산기 ３분기 결산단신</t>
        </is>
      </c>
      <c r="C26" t="inlineStr">
        <is>
          <t>https://www2.jpx.co.jp/disc/65050/140120210331487804.pdf</t>
        </is>
      </c>
    </row>
    <row r="27">
      <c r="A27" t="inlineStr">
        <is>
          <t>2021-01-12</t>
        </is>
      </c>
      <c r="B27" t="inlineStr">
        <is>
          <t>2021년 5월 결산기 ２분기 결산단신</t>
        </is>
      </c>
      <c r="C27" t="inlineStr">
        <is>
          <t>https://www2.jpx.co.jp/disc/65050/140120210105440799.pdf</t>
        </is>
      </c>
    </row>
    <row r="28">
      <c r="A28" t="inlineStr">
        <is>
          <t>2020-10-12</t>
        </is>
      </c>
      <c r="B28" t="inlineStr">
        <is>
          <t>2021년 5월 결산기 １분기 결산단신</t>
        </is>
      </c>
      <c r="C28" t="inlineStr">
        <is>
          <t>https://www2.jpx.co.jp/disc/65050/140120201009401731.pdf</t>
        </is>
      </c>
    </row>
    <row r="29">
      <c r="A29" t="inlineStr">
        <is>
          <t>2020-07-13</t>
        </is>
      </c>
      <c r="B29" t="inlineStr">
        <is>
          <t>2020년 5월 결산기 연간 결산단신</t>
        </is>
      </c>
      <c r="C29" t="inlineStr">
        <is>
          <t>https://www2.jpx.co.jp/disc/65050/140120200710460876.pdf</t>
        </is>
      </c>
    </row>
    <row r="30">
      <c r="A30" t="inlineStr">
        <is>
          <t>2020-04-10</t>
        </is>
      </c>
      <c r="B30" t="inlineStr">
        <is>
          <t>2020년 5월 결산기 ３분기 결산단신</t>
        </is>
      </c>
      <c r="C30" t="inlineStr">
        <is>
          <t>https://www2.jpx.co.jp/disc/65050/140120200410492080.pdf</t>
        </is>
      </c>
    </row>
    <row r="31">
      <c r="A31" t="inlineStr">
        <is>
          <t>2020-01-14</t>
        </is>
      </c>
      <c r="B31" t="inlineStr">
        <is>
          <t>2020년 5월 결산기 ２분기 결산단신</t>
        </is>
      </c>
      <c r="C31" t="inlineStr">
        <is>
          <t>https://www2.jpx.co.jp/disc/65050/140120200114446302.pdf</t>
        </is>
      </c>
    </row>
    <row r="32">
      <c r="A32" t="inlineStr">
        <is>
          <t>2019-10-11</t>
        </is>
      </c>
      <c r="B32" t="inlineStr">
        <is>
          <t>2020년 5월 결산기 １분기 결산단신</t>
        </is>
      </c>
      <c r="C32" t="inlineStr">
        <is>
          <t>https://www2.jpx.co.jp/disc/65050/140120190925400916.pdf</t>
        </is>
      </c>
    </row>
    <row r="33">
      <c r="A33" t="inlineStr">
        <is>
          <t>2019-07-11</t>
        </is>
      </c>
      <c r="B33" t="inlineStr">
        <is>
          <t>2019년 5월 결산기 연간 결산단신</t>
        </is>
      </c>
      <c r="C33" t="inlineStr">
        <is>
          <t>https://www2.jpx.co.jp/disc/65050/140120190711470308.pdf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2026-10-25T06:59:17Z</dcterms:created>
  <dcterms:modified xmlns:dcterms="http://purl.org/dc/terms/" xmlns:xsi="http://www.w3.org/2001/XMLSchema-instance" xsi:type="dcterms:W3CDTF">2026-10-25T06:59:17Z</dcterms:modified>
</cp:coreProperties>
</file>