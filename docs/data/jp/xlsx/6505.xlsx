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도요전기제조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5월 결산 · 일본 기준 · 2027.1Q = 2027년 5월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8159</v>
      </c>
      <c r="D4" s="12" t="n">
        <v>7414</v>
      </c>
      <c r="E4" s="12" t="n">
        <v>9909</v>
      </c>
      <c r="F4" s="12" t="n">
        <v>8166</v>
      </c>
      <c r="G4" s="12" t="n">
        <v>10849</v>
      </c>
      <c r="H4" s="12" t="n">
        <v>10017</v>
      </c>
      <c r="I4" s="12" t="n">
        <v>11507</v>
      </c>
      <c r="J4" s="12" t="n">
        <v>8409</v>
      </c>
      <c r="K4" s="12" t="n">
        <v>9770</v>
      </c>
      <c r="L4" s="12" t="n">
        <v>10782</v>
      </c>
      <c r="M4" s="12" t="n">
        <v>11519</v>
      </c>
      <c r="N4" s="12" t="n">
        <v>10426</v>
      </c>
      <c r="O4" s="11" t="n">
        <v>33708</v>
      </c>
      <c r="P4" s="12" t="n">
        <v>42527</v>
      </c>
      <c r="Q4" s="12" t="n">
        <v>41172</v>
      </c>
      <c r="R4" s="12" t="n">
        <v>39071</v>
      </c>
      <c r="S4" s="12" t="n">
        <v>33143</v>
      </c>
      <c r="T4" s="12" t="n">
        <v>30158</v>
      </c>
      <c r="U4" s="12" t="n">
        <v>31025</v>
      </c>
      <c r="V4" s="12" t="n">
        <v>32140</v>
      </c>
      <c r="W4" s="12" t="n">
        <v>40539</v>
      </c>
      <c r="X4" s="12" t="n">
        <v>40480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TransportationReportableSegmentsMember</t>
        </is>
      </c>
      <c r="B7" s="10" t="n"/>
      <c r="C7" s="19" t="n">
        <v>5241</v>
      </c>
      <c r="D7" s="20" t="n">
        <v>4741</v>
      </c>
      <c r="E7" s="20" t="n">
        <v>6455</v>
      </c>
      <c r="F7" s="20" t="n">
        <v>5594</v>
      </c>
      <c r="G7" s="20" t="n">
        <v>7779</v>
      </c>
      <c r="H7" s="20" t="n">
        <v>6623</v>
      </c>
      <c r="I7" s="20" t="n">
        <v>7826</v>
      </c>
      <c r="J7" s="20" t="n">
        <v>6101</v>
      </c>
      <c r="K7" s="20" t="n">
        <v>6339</v>
      </c>
      <c r="L7" s="20" t="n">
        <v>7500</v>
      </c>
      <c r="M7" s="20" t="n">
        <v>7458</v>
      </c>
      <c r="N7" s="20" t="n">
        <v>8023</v>
      </c>
      <c r="O7" s="19" t="n"/>
      <c r="P7" s="20" t="n"/>
      <c r="Q7" s="20" t="n"/>
      <c r="R7" s="20" t="n"/>
      <c r="S7" s="20" t="n"/>
      <c r="T7" s="20" t="n"/>
      <c r="U7" s="20" t="n"/>
      <c r="V7" s="20" t="n">
        <v>20737</v>
      </c>
      <c r="W7" s="20" t="n">
        <v>27822</v>
      </c>
      <c r="X7" s="20" t="n">
        <v>27398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IndustryReportableSegmentsMember</t>
        </is>
      </c>
      <c r="B10" s="10" t="n"/>
      <c r="C10" s="19" t="n">
        <v>2668</v>
      </c>
      <c r="D10" s="20" t="n">
        <v>2373</v>
      </c>
      <c r="E10" s="20" t="n">
        <v>3096</v>
      </c>
      <c r="F10" s="20" t="n">
        <v>2242</v>
      </c>
      <c r="G10" s="20" t="n">
        <v>2702</v>
      </c>
      <c r="H10" s="20" t="n">
        <v>2796</v>
      </c>
      <c r="I10" s="20" t="n">
        <v>3155</v>
      </c>
      <c r="J10" s="20" t="n">
        <v>2307</v>
      </c>
      <c r="K10" s="20" t="n">
        <v>3028</v>
      </c>
      <c r="L10" s="20" t="n">
        <v>2915</v>
      </c>
      <c r="M10" s="20" t="n">
        <v>3758</v>
      </c>
      <c r="N10" s="20" t="n">
        <v>2401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10257</v>
      </c>
      <c r="W10" s="20" t="n">
        <v>10895</v>
      </c>
      <c r="X10" s="20" t="n">
        <v>12008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ICTSolutionReportableSegmentMember</t>
        </is>
      </c>
      <c r="B13" s="10" t="n"/>
      <c r="C13" s="19" t="n">
        <v>249</v>
      </c>
      <c r="D13" s="20" t="n">
        <v>299</v>
      </c>
      <c r="E13" s="20" t="n">
        <v>357</v>
      </c>
      <c r="F13" s="20" t="n">
        <v>328</v>
      </c>
      <c r="G13" s="20" t="n">
        <v>367</v>
      </c>
      <c r="H13" s="20" t="n">
        <v>597</v>
      </c>
      <c r="I13" s="20" t="n">
        <v>525</v>
      </c>
      <c r="J13" s="20" t="n">
        <v>229</v>
      </c>
      <c r="K13" s="20" t="n">
        <v>172</v>
      </c>
      <c r="L13" s="20" t="n">
        <v>366</v>
      </c>
      <c r="M13" s="20" t="n">
        <v>302</v>
      </c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1139</v>
      </c>
      <c r="W13" s="20" t="n">
        <v>1817</v>
      </c>
      <c r="X13" s="20" t="n">
        <v>1069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1</v>
      </c>
      <c r="D16" s="20" t="n">
        <v>1</v>
      </c>
      <c r="E16" s="20" t="n">
        <v>1</v>
      </c>
      <c r="F16" s="20" t="n">
        <v>0</v>
      </c>
      <c r="G16" s="20" t="n">
        <v>1</v>
      </c>
      <c r="H16" s="20" t="n">
        <v>1</v>
      </c>
      <c r="I16" s="20" t="n">
        <v>1</v>
      </c>
      <c r="J16" s="20" t="n">
        <v>1</v>
      </c>
      <c r="K16" s="20" t="n">
        <v>1</v>
      </c>
      <c r="L16" s="20" t="n">
        <v>1</v>
      </c>
      <c r="M16" s="20" t="n">
        <v>1</v>
      </c>
      <c r="N16" s="20" t="n">
        <v>1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5</v>
      </c>
      <c r="W16" s="20" t="n">
        <v>3</v>
      </c>
      <c r="X16" s="20" t="n">
        <v>4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8166</v>
      </c>
      <c r="G19" s="20" t="n"/>
      <c r="H19" s="20" t="n"/>
      <c r="I19" s="20" t="n"/>
      <c r="J19" s="20" t="n">
        <v>8409</v>
      </c>
      <c r="K19" s="20" t="n"/>
      <c r="L19" s="20" t="n"/>
      <c r="M19" s="20" t="n"/>
      <c r="N19" s="20" t="n">
        <v>10426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6092</v>
      </c>
      <c r="D23" s="20" t="n">
        <v>5736</v>
      </c>
      <c r="E23" s="20" t="n">
        <v>7178</v>
      </c>
      <c r="F23" s="20" t="n">
        <v>6325</v>
      </c>
      <c r="G23" s="20" t="n">
        <v>8122</v>
      </c>
      <c r="H23" s="20" t="n">
        <v>7408</v>
      </c>
      <c r="I23" s="20" t="n">
        <v>8081</v>
      </c>
      <c r="J23" s="20" t="n">
        <v>6014</v>
      </c>
      <c r="K23" s="20" t="n">
        <v>7292</v>
      </c>
      <c r="L23" s="20" t="n">
        <v>7417</v>
      </c>
      <c r="M23" s="20" t="n">
        <v>7983</v>
      </c>
      <c r="N23" s="20" t="n">
        <v>7138</v>
      </c>
      <c r="O23" s="19" t="n">
        <v>27041</v>
      </c>
      <c r="P23" s="20" t="n">
        <v>34454</v>
      </c>
      <c r="Q23" s="20" t="n">
        <v>33333</v>
      </c>
      <c r="R23" s="20" t="n">
        <v>30828</v>
      </c>
      <c r="S23" s="20" t="n">
        <v>25805</v>
      </c>
      <c r="T23" s="20" t="n">
        <v>23343</v>
      </c>
      <c r="U23" s="20" t="n">
        <v>23828</v>
      </c>
      <c r="V23" s="20" t="n">
        <v>23968</v>
      </c>
      <c r="W23" s="20" t="n">
        <v>29936</v>
      </c>
      <c r="X23" s="20" t="n">
        <v>28706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1817</v>
      </c>
      <c r="D27" s="20" t="n">
        <v>1706</v>
      </c>
      <c r="E27" s="20" t="n">
        <v>1962</v>
      </c>
      <c r="F27" s="20" t="n">
        <v>1814</v>
      </c>
      <c r="G27" s="20" t="n">
        <v>1991</v>
      </c>
      <c r="H27" s="20" t="n">
        <v>2084</v>
      </c>
      <c r="I27" s="20" t="n">
        <v>2330</v>
      </c>
      <c r="J27" s="20" t="n">
        <v>2027</v>
      </c>
      <c r="K27" s="20" t="n">
        <v>2168</v>
      </c>
      <c r="L27" s="20" t="n">
        <v>2148</v>
      </c>
      <c r="M27" s="20" t="n">
        <v>2319</v>
      </c>
      <c r="N27" s="20" t="n">
        <v>2214</v>
      </c>
      <c r="O27" s="19" t="n">
        <v>5982</v>
      </c>
      <c r="P27" s="20" t="n">
        <v>7705</v>
      </c>
      <c r="Q27" s="20" t="n">
        <v>7281</v>
      </c>
      <c r="R27" s="20" t="n">
        <v>7174</v>
      </c>
      <c r="S27" s="20" t="n">
        <v>6914</v>
      </c>
      <c r="T27" s="20" t="n">
        <v>6643</v>
      </c>
      <c r="U27" s="20" t="n">
        <v>6679</v>
      </c>
      <c r="V27" s="20" t="n">
        <v>7243</v>
      </c>
      <c r="W27" s="20" t="n">
        <v>8219</v>
      </c>
      <c r="X27" s="20" t="n">
        <v>8662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249</v>
      </c>
      <c r="D28" s="12" t="n">
        <v>-28</v>
      </c>
      <c r="E28" s="12" t="n">
        <v>768</v>
      </c>
      <c r="F28" s="12" t="n">
        <v>27</v>
      </c>
      <c r="G28" s="12" t="n">
        <v>735</v>
      </c>
      <c r="H28" s="12" t="n">
        <v>525</v>
      </c>
      <c r="I28" s="12" t="n">
        <v>1097</v>
      </c>
      <c r="J28" s="12" t="n">
        <v>367</v>
      </c>
      <c r="K28" s="12" t="n">
        <v>310</v>
      </c>
      <c r="L28" s="12" t="n">
        <v>1218</v>
      </c>
      <c r="M28" s="12" t="n">
        <v>1216</v>
      </c>
      <c r="N28" s="12" t="n">
        <v>1073</v>
      </c>
      <c r="O28" s="11" t="n">
        <v>684</v>
      </c>
      <c r="P28" s="12" t="n">
        <v>366</v>
      </c>
      <c r="Q28" s="12" t="n">
        <v>557</v>
      </c>
      <c r="R28" s="12" t="n">
        <v>1068</v>
      </c>
      <c r="S28" s="12" t="n">
        <v>423</v>
      </c>
      <c r="T28" s="12" t="n">
        <v>171</v>
      </c>
      <c r="U28" s="12" t="n">
        <v>517</v>
      </c>
      <c r="V28" s="12" t="n">
        <v>927</v>
      </c>
      <c r="W28" s="12" t="n">
        <v>2384</v>
      </c>
      <c r="X28" s="12" t="n">
        <v>3111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49</v>
      </c>
      <c r="D44" s="20" t="n">
        <v>47</v>
      </c>
      <c r="E44" s="20" t="n">
        <v>132</v>
      </c>
      <c r="F44" s="20" t="n">
        <v>34</v>
      </c>
      <c r="G44" s="20" t="n">
        <v>116</v>
      </c>
      <c r="H44" s="20" t="n">
        <v>41</v>
      </c>
      <c r="I44" s="20" t="n">
        <v>90</v>
      </c>
      <c r="J44" s="20" t="n">
        <v>102</v>
      </c>
      <c r="K44" s="20" t="n">
        <v>168</v>
      </c>
      <c r="L44" s="20" t="n">
        <v>91</v>
      </c>
      <c r="M44" s="20" t="n">
        <v>73</v>
      </c>
      <c r="N44" s="20" t="n">
        <v>27</v>
      </c>
      <c r="O44" s="19" t="n">
        <v>67</v>
      </c>
      <c r="P44" s="20" t="n">
        <v>814</v>
      </c>
      <c r="Q44" s="20" t="n">
        <v>804</v>
      </c>
      <c r="R44" s="20" t="n">
        <v>447</v>
      </c>
      <c r="S44" s="20" t="n">
        <v>407</v>
      </c>
      <c r="T44" s="20" t="n">
        <v>460</v>
      </c>
      <c r="U44" s="20" t="n">
        <v>681</v>
      </c>
      <c r="V44" s="20" t="n">
        <v>337</v>
      </c>
      <c r="W44" s="20" t="n">
        <v>281</v>
      </c>
      <c r="X44" s="20" t="n">
        <v>434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135</v>
      </c>
      <c r="D46" s="20" t="n">
        <v>-23</v>
      </c>
      <c r="E46" s="20" t="n">
        <v>261</v>
      </c>
      <c r="F46" s="20" t="n">
        <v>0</v>
      </c>
      <c r="G46" s="20" t="n">
        <v>0</v>
      </c>
      <c r="H46" s="20" t="n">
        <v>0</v>
      </c>
      <c r="I46" s="20" t="n">
        <v>157</v>
      </c>
      <c r="J46" s="20" t="n"/>
      <c r="K46" s="20" t="n"/>
      <c r="L46" s="20" t="n"/>
      <c r="M46" s="20" t="n"/>
      <c r="N46" s="20" t="n"/>
      <c r="O46" s="19" t="n">
        <v>271</v>
      </c>
      <c r="P46" s="20" t="n">
        <v>365</v>
      </c>
      <c r="Q46" s="20" t="n">
        <v>53</v>
      </c>
      <c r="R46" s="20" t="n">
        <v>1</v>
      </c>
      <c r="S46" s="20" t="n">
        <v>0</v>
      </c>
      <c r="T46" s="20" t="n">
        <v>2456</v>
      </c>
      <c r="U46" s="20" t="n">
        <v>513</v>
      </c>
      <c r="V46" s="20" t="n">
        <v>429</v>
      </c>
      <c r="W46" s="20" t="n">
        <v>157</v>
      </c>
      <c r="X46" s="20" t="n">
        <v>0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153</v>
      </c>
      <c r="D48" s="20" t="n">
        <v>143</v>
      </c>
      <c r="E48" s="20" t="n">
        <v>98</v>
      </c>
      <c r="F48" s="20" t="n">
        <v>207</v>
      </c>
      <c r="G48" s="20" t="n">
        <v>96</v>
      </c>
      <c r="H48" s="20" t="n">
        <v>220</v>
      </c>
      <c r="I48" s="20" t="n">
        <v>24</v>
      </c>
      <c r="J48" s="20" t="n">
        <v>229</v>
      </c>
      <c r="K48" s="20" t="n">
        <v>85</v>
      </c>
      <c r="L48" s="20" t="n">
        <v>181</v>
      </c>
      <c r="M48" s="20" t="n">
        <v>132</v>
      </c>
      <c r="N48" s="20" t="n">
        <v>233</v>
      </c>
      <c r="O48" s="19" t="n">
        <v>787</v>
      </c>
      <c r="P48" s="20" t="n">
        <v>459</v>
      </c>
      <c r="Q48" s="20" t="n">
        <v>301</v>
      </c>
      <c r="R48" s="20" t="n">
        <v>439</v>
      </c>
      <c r="S48" s="20" t="n">
        <v>467</v>
      </c>
      <c r="T48" s="20" t="n">
        <v>683</v>
      </c>
      <c r="U48" s="20" t="n">
        <v>550</v>
      </c>
      <c r="V48" s="20" t="n">
        <v>646</v>
      </c>
      <c r="W48" s="20" t="n">
        <v>547</v>
      </c>
      <c r="X48" s="20" t="n">
        <v>627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22</v>
      </c>
      <c r="D50" s="20" t="n">
        <v>13</v>
      </c>
      <c r="E50" s="20" t="n">
        <v>37</v>
      </c>
      <c r="F50" s="20" t="n">
        <v>94</v>
      </c>
      <c r="G50" s="20" t="n">
        <v>-16</v>
      </c>
      <c r="H50" s="20" t="n">
        <v>33</v>
      </c>
      <c r="I50" s="20" t="n">
        <v>235</v>
      </c>
      <c r="J50" s="20" t="n">
        <v>63</v>
      </c>
      <c r="K50" s="20" t="n">
        <v>32</v>
      </c>
      <c r="L50" s="20" t="n">
        <v>53</v>
      </c>
      <c r="M50" s="20" t="n">
        <v>70</v>
      </c>
      <c r="N50" s="20" t="n">
        <v>37</v>
      </c>
      <c r="O50" s="19" t="n">
        <v>290</v>
      </c>
      <c r="P50" s="20" t="n">
        <v>310</v>
      </c>
      <c r="Q50" s="20" t="n">
        <v>363</v>
      </c>
      <c r="R50" s="20" t="n">
        <v>300</v>
      </c>
      <c r="S50" s="20" t="n">
        <v>133</v>
      </c>
      <c r="T50" s="20" t="n">
        <v>89</v>
      </c>
      <c r="U50" s="20" t="n">
        <v>81</v>
      </c>
      <c r="V50" s="20" t="n">
        <v>86</v>
      </c>
      <c r="W50" s="20" t="n">
        <v>346</v>
      </c>
      <c r="X50" s="20" t="n">
        <v>218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295</v>
      </c>
      <c r="D52" s="12" t="n">
        <v>173</v>
      </c>
      <c r="E52" s="12" t="n">
        <v>699</v>
      </c>
      <c r="F52" s="12" t="n">
        <v>175</v>
      </c>
      <c r="G52" s="12" t="n">
        <v>963</v>
      </c>
      <c r="H52" s="12" t="n">
        <v>752</v>
      </c>
      <c r="I52" s="12" t="n">
        <v>818</v>
      </c>
      <c r="J52" s="12" t="n">
        <v>636</v>
      </c>
      <c r="K52" s="12" t="n">
        <v>530</v>
      </c>
      <c r="L52" s="12" t="n">
        <v>1437</v>
      </c>
      <c r="M52" s="12" t="n">
        <v>1351</v>
      </c>
      <c r="N52" s="12" t="n">
        <v>1296</v>
      </c>
      <c r="O52" s="11" t="n">
        <v>976</v>
      </c>
      <c r="P52" s="12" t="n">
        <v>964</v>
      </c>
      <c r="Q52" s="12" t="n">
        <v>1246</v>
      </c>
      <c r="R52" s="12" t="n">
        <v>1653</v>
      </c>
      <c r="S52" s="12" t="n">
        <v>1164</v>
      </c>
      <c r="T52" s="12" t="n">
        <v>-1230</v>
      </c>
      <c r="U52" s="12" t="n">
        <v>1155</v>
      </c>
      <c r="V52" s="12" t="n">
        <v>1395</v>
      </c>
      <c r="W52" s="12" t="n">
        <v>2708</v>
      </c>
      <c r="X52" s="12" t="n">
        <v>3954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124</v>
      </c>
      <c r="D53" s="20" t="n">
        <v>45</v>
      </c>
      <c r="E53" s="20" t="n">
        <v>211</v>
      </c>
      <c r="F53" s="20" t="n">
        <v>78</v>
      </c>
      <c r="G53" s="20" t="n">
        <v>259</v>
      </c>
      <c r="H53" s="20" t="n">
        <v>290</v>
      </c>
      <c r="I53" s="20" t="n">
        <v>-48</v>
      </c>
      <c r="J53" s="20" t="n">
        <v>170</v>
      </c>
      <c r="K53" s="20" t="n">
        <v>131</v>
      </c>
      <c r="L53" s="20" t="n">
        <v>450</v>
      </c>
      <c r="M53" s="20" t="n">
        <v>227</v>
      </c>
      <c r="N53" s="20" t="n">
        <v>420</v>
      </c>
      <c r="O53" s="19" t="n">
        <v>192</v>
      </c>
      <c r="P53" s="20" t="n">
        <v>272</v>
      </c>
      <c r="Q53" s="20" t="n">
        <v>556</v>
      </c>
      <c r="R53" s="20" t="n">
        <v>571</v>
      </c>
      <c r="S53" s="20" t="n">
        <v>186</v>
      </c>
      <c r="T53" s="20" t="n">
        <v>-299</v>
      </c>
      <c r="U53" s="20" t="n">
        <v>330</v>
      </c>
      <c r="V53" s="20" t="n">
        <v>460</v>
      </c>
      <c r="W53" s="20" t="n">
        <v>579</v>
      </c>
      <c r="X53" s="20" t="n">
        <v>978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170</v>
      </c>
      <c r="D55" s="12" t="n">
        <v>128</v>
      </c>
      <c r="E55" s="12" t="n">
        <v>489</v>
      </c>
      <c r="F55" s="12" t="n">
        <v>97</v>
      </c>
      <c r="G55" s="12" t="n">
        <v>703</v>
      </c>
      <c r="H55" s="12" t="n">
        <v>462</v>
      </c>
      <c r="I55" s="12" t="n">
        <v>866</v>
      </c>
      <c r="J55" s="12" t="n">
        <v>465</v>
      </c>
      <c r="K55" s="12" t="n">
        <v>400</v>
      </c>
      <c r="L55" s="12" t="n">
        <v>986</v>
      </c>
      <c r="M55" s="12" t="n">
        <v>1125</v>
      </c>
      <c r="N55" s="12" t="n">
        <v>875</v>
      </c>
      <c r="O55" s="11" t="n">
        <v>784</v>
      </c>
      <c r="P55" s="12" t="n">
        <v>692</v>
      </c>
      <c r="Q55" s="12" t="n">
        <v>690</v>
      </c>
      <c r="R55" s="12" t="n">
        <v>1081</v>
      </c>
      <c r="S55" s="12" t="n">
        <v>977</v>
      </c>
      <c r="T55" s="12" t="n">
        <v>-930</v>
      </c>
      <c r="U55" s="12" t="n">
        <v>824</v>
      </c>
      <c r="V55" s="12" t="n">
        <v>935</v>
      </c>
      <c r="W55" s="12" t="n">
        <v>2128</v>
      </c>
      <c r="X55" s="12" t="n">
        <v>2976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170</v>
      </c>
      <c r="D56" s="12" t="n">
        <v>128</v>
      </c>
      <c r="E56" s="12" t="n">
        <v>489</v>
      </c>
      <c r="F56" s="12" t="n">
        <v>97</v>
      </c>
      <c r="G56" s="12" t="n">
        <v>703</v>
      </c>
      <c r="H56" s="12" t="n">
        <v>462</v>
      </c>
      <c r="I56" s="12" t="n">
        <v>866</v>
      </c>
      <c r="J56" s="12" t="n">
        <v>465</v>
      </c>
      <c r="K56" s="12" t="n">
        <v>400</v>
      </c>
      <c r="L56" s="12" t="n">
        <v>986</v>
      </c>
      <c r="M56" s="12" t="n">
        <v>1125</v>
      </c>
      <c r="N56" s="12" t="n">
        <v>875</v>
      </c>
      <c r="O56" s="11" t="n">
        <v>1174</v>
      </c>
      <c r="P56" s="12" t="n">
        <v>692</v>
      </c>
      <c r="Q56" s="12" t="n">
        <v>690</v>
      </c>
      <c r="R56" s="12" t="n">
        <v>1081</v>
      </c>
      <c r="S56" s="12" t="n">
        <v>977</v>
      </c>
      <c r="T56" s="12" t="n">
        <v>-930</v>
      </c>
      <c r="U56" s="12" t="n">
        <v>824</v>
      </c>
      <c r="V56" s="12" t="n">
        <v>935</v>
      </c>
      <c r="W56" s="12" t="n">
        <v>2128</v>
      </c>
      <c r="X56" s="12" t="n">
        <v>2976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(2026.10.26)</t>
        </is>
      </c>
      <c r="B59" s="27" t="n">
        <v>3020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9735000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2026.10.26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8159</v>
      </c>
      <c r="D90" s="12" t="n">
        <v>7414</v>
      </c>
      <c r="E90" s="12" t="n">
        <v>9909</v>
      </c>
      <c r="F90" s="12" t="n">
        <v>8166</v>
      </c>
      <c r="G90" s="12" t="n">
        <v>10849</v>
      </c>
      <c r="H90" s="12" t="n">
        <v>10017</v>
      </c>
      <c r="I90" s="12" t="n">
        <v>11507</v>
      </c>
      <c r="J90" s="12" t="n">
        <v>8409</v>
      </c>
      <c r="K90" s="12" t="n">
        <v>9770</v>
      </c>
      <c r="L90" s="12" t="n">
        <v>10782</v>
      </c>
      <c r="M90" s="12" t="n">
        <v>11519</v>
      </c>
      <c r="N90" s="12" t="n">
        <v>10426</v>
      </c>
      <c r="T90" s="12" t="n">
        <v>8414</v>
      </c>
      <c r="U90" s="12" t="n">
        <v>10281</v>
      </c>
      <c r="V90" s="12" t="n">
        <v>9909</v>
      </c>
      <c r="W90" s="12" t="n">
        <v>11507</v>
      </c>
      <c r="X90" s="12" t="n">
        <v>11519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매출원가</t>
        </is>
      </c>
      <c r="C92" s="20" t="n">
        <v>6092</v>
      </c>
      <c r="D92" s="20" t="n">
        <v>5736</v>
      </c>
      <c r="E92" s="20" t="n">
        <v>7178</v>
      </c>
      <c r="F92" s="20" t="n">
        <v>6325</v>
      </c>
      <c r="G92" s="20" t="n">
        <v>8122</v>
      </c>
      <c r="H92" s="20" t="n">
        <v>7408</v>
      </c>
      <c r="I92" s="20" t="n">
        <v>8081</v>
      </c>
      <c r="J92" s="20" t="n">
        <v>6014</v>
      </c>
      <c r="K92" s="20" t="n">
        <v>7292</v>
      </c>
      <c r="L92" s="20" t="n">
        <v>7417</v>
      </c>
      <c r="M92" s="20" t="n">
        <v>7983</v>
      </c>
      <c r="N92" s="20" t="n">
        <v>7138</v>
      </c>
      <c r="T92" s="20" t="n">
        <v>6280</v>
      </c>
      <c r="U92" s="20" t="n">
        <v>8089</v>
      </c>
      <c r="V92" s="20" t="n">
        <v>7178</v>
      </c>
      <c r="W92" s="20" t="n">
        <v>8081</v>
      </c>
      <c r="X92" s="20" t="n">
        <v>7983</v>
      </c>
    </row>
    <row r="93">
      <c r="A93" s="9" t="inlineStr">
        <is>
          <t>매출총이익</t>
        </is>
      </c>
      <c r="C93" s="12" t="n">
        <v>2066</v>
      </c>
      <c r="D93" s="12" t="n">
        <v>1678</v>
      </c>
      <c r="E93" s="12" t="n">
        <v>2731</v>
      </c>
      <c r="F93" s="12" t="n">
        <v>1841</v>
      </c>
      <c r="G93" s="12" t="n">
        <v>2726</v>
      </c>
      <c r="H93" s="12" t="n">
        <v>2610</v>
      </c>
      <c r="I93" s="12" t="n">
        <v>3426</v>
      </c>
      <c r="J93" s="12" t="n">
        <v>2395</v>
      </c>
      <c r="K93" s="12" t="n">
        <v>2477</v>
      </c>
      <c r="L93" s="12" t="n">
        <v>3366</v>
      </c>
      <c r="M93" s="12" t="n">
        <v>3535</v>
      </c>
      <c r="N93" s="12" t="n">
        <v>3287</v>
      </c>
      <c r="T93" s="12" t="n">
        <v>2135</v>
      </c>
      <c r="U93" s="12" t="n">
        <v>2192</v>
      </c>
      <c r="V93" s="12" t="n">
        <v>2731</v>
      </c>
      <c r="W93" s="12" t="n">
        <v>3426</v>
      </c>
      <c r="X93" s="12" t="n">
        <v>3535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판매비와 관리비</t>
        </is>
      </c>
      <c r="C95" s="20" t="n">
        <v>1817</v>
      </c>
      <c r="D95" s="20" t="n">
        <v>1706</v>
      </c>
      <c r="E95" s="20" t="n">
        <v>1962</v>
      </c>
      <c r="F95" s="20" t="n">
        <v>1814</v>
      </c>
      <c r="G95" s="20" t="n">
        <v>1991</v>
      </c>
      <c r="H95" s="20" t="n">
        <v>2084</v>
      </c>
      <c r="I95" s="20" t="n">
        <v>2330</v>
      </c>
      <c r="J95" s="20" t="n">
        <v>2027</v>
      </c>
      <c r="K95" s="20" t="n">
        <v>2168</v>
      </c>
      <c r="L95" s="20" t="n">
        <v>2148</v>
      </c>
      <c r="M95" s="20" t="n">
        <v>2319</v>
      </c>
      <c r="N95" s="20" t="n">
        <v>2214</v>
      </c>
      <c r="T95" s="20" t="n">
        <v>1613</v>
      </c>
      <c r="U95" s="20" t="n">
        <v>1763</v>
      </c>
      <c r="V95" s="20" t="n">
        <v>1962</v>
      </c>
      <c r="W95" s="20" t="n">
        <v>2330</v>
      </c>
      <c r="X95" s="20" t="n">
        <v>2319</v>
      </c>
    </row>
    <row r="96">
      <c r="A96" s="9" t="inlineStr">
        <is>
          <t>영업이익</t>
        </is>
      </c>
      <c r="C96" s="12" t="n">
        <v>249</v>
      </c>
      <c r="D96" s="12" t="n">
        <v>-28</v>
      </c>
      <c r="E96" s="12" t="n">
        <v>768</v>
      </c>
      <c r="F96" s="12" t="n">
        <v>27</v>
      </c>
      <c r="G96" s="12" t="n">
        <v>735</v>
      </c>
      <c r="H96" s="12" t="n">
        <v>525</v>
      </c>
      <c r="I96" s="12" t="n">
        <v>1097</v>
      </c>
      <c r="J96" s="12" t="n">
        <v>367</v>
      </c>
      <c r="K96" s="12" t="n">
        <v>310</v>
      </c>
      <c r="L96" s="12" t="n">
        <v>1218</v>
      </c>
      <c r="M96" s="12" t="n">
        <v>1216</v>
      </c>
      <c r="N96" s="12" t="n">
        <v>1073</v>
      </c>
      <c r="T96" s="12" t="n">
        <v>520</v>
      </c>
      <c r="U96" s="12" t="n">
        <v>428</v>
      </c>
      <c r="V96" s="12" t="n">
        <v>768</v>
      </c>
      <c r="W96" s="12" t="n">
        <v>1097</v>
      </c>
      <c r="X96" s="12" t="n">
        <v>1216</v>
      </c>
    </row>
    <row r="97">
      <c r="A97" s="43" t="inlineStr">
        <is>
          <t>OPM</t>
        </is>
      </c>
      <c r="B97" s="3" t="inlineStr">
        <is>
          <t>영업이익 ÷ 매출</t>
        </is>
      </c>
      <c r="C97" s="15">
        <f>IF(OR(C96="",C90=""),"",IF(C90&lt;=0,"",IFERROR(C96/C90,"")))</f>
        <v/>
      </c>
      <c r="D97" s="15">
        <f>IF(OR(D96="",D90=""),"",IF(D90&lt;=0,"",IFERROR(D96/D90,"")))</f>
        <v/>
      </c>
      <c r="E97" s="15">
        <f>IF(OR(E96="",E90=""),"",IF(E90&lt;=0,"",IFERROR(E96/E90,"")))</f>
        <v/>
      </c>
      <c r="F97" s="15">
        <f>IF(OR(F96="",F90=""),"",IF(F90&lt;=0,"",IFERROR(F96/F90,"")))</f>
        <v/>
      </c>
      <c r="G97" s="15">
        <f>IF(OR(G96="",G90=""),"",IF(G90&lt;=0,"",IFERROR(G96/G90,"")))</f>
        <v/>
      </c>
      <c r="H97" s="15">
        <f>IF(OR(H96="",H90=""),"",IF(H90&lt;=0,"",IFERROR(H96/H90,"")))</f>
        <v/>
      </c>
      <c r="I97" s="15">
        <f>IF(OR(I96="",I90=""),"",IF(I90&lt;=0,"",IFERROR(I96/I90,"")))</f>
        <v/>
      </c>
      <c r="J97" s="15">
        <f>IF(OR(J96="",J90=""),"",IF(J90&lt;=0,"",IFERROR(J96/J90,"")))</f>
        <v/>
      </c>
      <c r="K97" s="15">
        <f>IF(OR(K96="",K90=""),"",IF(K90&lt;=0,"",IFERROR(K96/K90,"")))</f>
        <v/>
      </c>
      <c r="L97" s="15">
        <f>IF(OR(L96="",L90=""),"",IF(L90&lt;=0,"",IFERROR(L96/L90,"")))</f>
        <v/>
      </c>
      <c r="M97" s="15">
        <f>IF(OR(M96="",M90=""),"",IF(M90&lt;=0,"",IFERROR(M96/M90,"")))</f>
        <v/>
      </c>
      <c r="N97" s="15">
        <f>IF(OR(N96="",N90=""),"",IF(N90&lt;=0,"",IFERROR(N96/N90,"")))</f>
        <v/>
      </c>
      <c r="T97" s="15">
        <f>IF(OR(T96="",T90=""),"",IF(T90&lt;=0,"",IFERROR(T96/T90,"")))</f>
        <v/>
      </c>
      <c r="U97" s="15">
        <f>IF(OR(U96="",U90=""),"",IF(U90&lt;=0,"",IFERROR(U96/U90,"")))</f>
        <v/>
      </c>
      <c r="V97" s="15">
        <f>IF(OR(V96="",V90=""),"",IF(V90&lt;=0,"",IFERROR(V96/V90,"")))</f>
        <v/>
      </c>
      <c r="W97" s="15">
        <f>IF(OR(W96="",W90=""),"",IF(W90&lt;=0,"",IFERROR(W96/W90,"")))</f>
        <v/>
      </c>
      <c r="X97" s="15">
        <f>IF(OR(X96="",X90=""),"",IF(X90&lt;=0,"",IFERROR(X96/X90,"")))</f>
        <v/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IF(OR(G96="",C96=""),"",IF(C96&lt;=0,"",IFERROR(G96/C96-1,"")))</f>
        <v/>
      </c>
      <c r="H98" s="15">
        <f>IF(OR(H96="",D96=""),"",IF(D96&lt;=0,"",IFERROR(H96/D96-1,"")))</f>
        <v/>
      </c>
      <c r="I98" s="15">
        <f>IF(OR(I96="",E96=""),"",IF(E96&lt;=0,"",IFERROR(I96/E96-1,"")))</f>
        <v/>
      </c>
      <c r="J98" s="15">
        <f>IF(OR(J96="",F96=""),"",IF(F96&lt;=0,"",IFERROR(J96/F96-1,"")))</f>
        <v/>
      </c>
      <c r="K98" s="15">
        <f>IF(OR(K96="",G96=""),"",IF(G96&lt;=0,"",IFERROR(K96/G96-1,"")))</f>
        <v/>
      </c>
      <c r="L98" s="15">
        <f>IF(OR(L96="",H96=""),"",IF(H96&lt;=0,"",IFERROR(L96/H96-1,"")))</f>
        <v/>
      </c>
      <c r="M98" s="15">
        <f>IF(OR(M96="",I96=""),"",IF(I96&lt;=0,"",IFERROR(M96/I96-1,"")))</f>
        <v/>
      </c>
      <c r="N98" s="15">
        <f>IF(OR(N96="",J96=""),"",IF(J96&lt;=0,"",IFERROR(N96/J96-1,"")))</f>
        <v/>
      </c>
      <c r="T98" s="15">
        <f>IF(OR(T96="",S96=""),"",IF(S96&lt;=0,"",IFERROR(T96/S96-1,"")))</f>
        <v/>
      </c>
      <c r="U98" s="15">
        <f>IF(OR(U96="",T96=""),"",IF(T96&lt;=0,"",IFERROR(U96/T96-1,"")))</f>
        <v/>
      </c>
      <c r="V98" s="15">
        <f>IF(OR(V96="",U96=""),"",IF(U96&lt;=0,"",IFERROR(V96/U96-1,"")))</f>
        <v/>
      </c>
      <c r="W98" s="15">
        <f>IF(OR(W96="",V96=""),"",IF(V96&lt;=0,"",IFERROR(W96/V96-1,"")))</f>
        <v/>
      </c>
      <c r="X98" s="15">
        <f>IF(OR(X96="",W96=""),"",IF(W96&lt;=0,"",IFERROR(X96/W96-1,"")))</f>
        <v/>
      </c>
    </row>
    <row r="99">
      <c r="A99" s="18" t="inlineStr">
        <is>
          <t>이자수익</t>
        </is>
      </c>
      <c r="C99" s="20" t="n">
        <v>0</v>
      </c>
      <c r="D99" s="20" t="n">
        <v>0</v>
      </c>
      <c r="E99" s="20" t="n">
        <v>5</v>
      </c>
      <c r="F99" s="20" t="n">
        <v>0</v>
      </c>
      <c r="G99" s="20" t="n">
        <v>1</v>
      </c>
      <c r="H99" s="20" t="n">
        <v>6</v>
      </c>
      <c r="I99" s="20" t="n">
        <v>-4</v>
      </c>
      <c r="J99" s="20" t="n">
        <v>1</v>
      </c>
      <c r="K99" s="20" t="n">
        <v>1</v>
      </c>
      <c r="L99" s="20" t="n">
        <v>6</v>
      </c>
      <c r="M99" s="20" t="n">
        <v>-2</v>
      </c>
      <c r="N99" s="20" t="n">
        <v>1</v>
      </c>
      <c r="T99" s="20" t="n">
        <v>0</v>
      </c>
      <c r="U99" s="20" t="n">
        <v>1</v>
      </c>
      <c r="V99" s="20" t="n">
        <v>5</v>
      </c>
      <c r="W99" s="20" t="n">
        <v>-4</v>
      </c>
      <c r="X99" s="20" t="n">
        <v>-2</v>
      </c>
    </row>
    <row r="100">
      <c r="A100" s="18" t="inlineStr">
        <is>
          <t>배당금수익</t>
        </is>
      </c>
      <c r="C100" s="20" t="n">
        <v>-4</v>
      </c>
      <c r="D100" s="20" t="n">
        <v>88</v>
      </c>
      <c r="E100" s="20" t="n">
        <v>3</v>
      </c>
      <c r="F100" s="20" t="n">
        <v>140</v>
      </c>
      <c r="G100" s="20" t="n">
        <v>13</v>
      </c>
      <c r="H100" s="20" t="n">
        <v>96</v>
      </c>
      <c r="I100" s="20" t="n">
        <v>6</v>
      </c>
      <c r="J100" s="20" t="n">
        <v>200</v>
      </c>
      <c r="K100" s="20" t="n">
        <v>16</v>
      </c>
      <c r="L100" s="20" t="n">
        <v>129</v>
      </c>
      <c r="M100" s="20" t="n">
        <v>6</v>
      </c>
      <c r="N100" s="20" t="n">
        <v>187</v>
      </c>
      <c r="T100" s="20" t="n">
        <v>3</v>
      </c>
      <c r="U100" s="20" t="n">
        <v>-8</v>
      </c>
      <c r="V100" s="20" t="n">
        <v>3</v>
      </c>
      <c r="W100" s="20" t="n">
        <v>6</v>
      </c>
      <c r="X100" s="20" t="n">
        <v>6</v>
      </c>
    </row>
    <row r="101">
      <c r="A101" s="18" t="inlineStr">
        <is>
          <t>지분법이익</t>
        </is>
      </c>
      <c r="C101" s="20" t="n">
        <v>119</v>
      </c>
      <c r="D101" s="20" t="n">
        <v>25</v>
      </c>
      <c r="E101" s="20" t="n">
        <v>29</v>
      </c>
      <c r="F101" s="20" t="n">
        <v>52</v>
      </c>
      <c r="G101" s="20" t="n">
        <v>73</v>
      </c>
      <c r="H101" s="20" t="n">
        <v>68</v>
      </c>
      <c r="I101" s="20" t="n">
        <v>18</v>
      </c>
      <c r="J101" s="20" t="n">
        <v>0</v>
      </c>
      <c r="K101" s="20" t="n">
        <v>8</v>
      </c>
      <c r="L101" s="20" t="n">
        <v>17</v>
      </c>
      <c r="M101" s="20" t="n">
        <v>100</v>
      </c>
      <c r="N101" s="20" t="n">
        <v>28</v>
      </c>
      <c r="T101" s="20" t="n">
        <v>79</v>
      </c>
      <c r="U101" s="20" t="n">
        <v>65</v>
      </c>
      <c r="V101" s="20" t="n">
        <v>29</v>
      </c>
      <c r="W101" s="20" t="n">
        <v>18</v>
      </c>
      <c r="X101" s="20" t="n">
        <v>100</v>
      </c>
    </row>
    <row r="102">
      <c r="A102" s="18" t="inlineStr">
        <is>
          <t>외환차익</t>
        </is>
      </c>
      <c r="C102" s="20" t="n">
        <v>21</v>
      </c>
      <c r="D102" s="20" t="n">
        <v>24</v>
      </c>
      <c r="E102" s="20" t="n">
        <v>44</v>
      </c>
      <c r="F102" s="20" t="n">
        <v>0</v>
      </c>
      <c r="G102" s="20" t="n">
        <v>0</v>
      </c>
      <c r="H102" s="20" t="n">
        <v>0</v>
      </c>
      <c r="I102" s="20" t="n">
        <v>0</v>
      </c>
      <c r="J102" s="20" t="n">
        <v>26</v>
      </c>
      <c r="K102" s="20" t="n">
        <v>49</v>
      </c>
      <c r="L102" s="20" t="n">
        <v>4</v>
      </c>
      <c r="M102" s="20" t="n">
        <v>8</v>
      </c>
      <c r="N102" s="20" t="n">
        <v>3</v>
      </c>
      <c r="T102" s="20" t="n">
        <v>133</v>
      </c>
      <c r="U102" s="20" t="n">
        <v>33</v>
      </c>
      <c r="V102" s="20" t="n">
        <v>44</v>
      </c>
      <c r="W102" s="20" t="n">
        <v>0</v>
      </c>
      <c r="X102" s="20" t="n">
        <v>8</v>
      </c>
    </row>
    <row r="103">
      <c r="A103" s="18" t="inlineStr">
        <is>
          <t>잡이익</t>
        </is>
      </c>
      <c r="C103" s="20" t="n">
        <v>16</v>
      </c>
      <c r="D103" s="20" t="n">
        <v>6</v>
      </c>
      <c r="E103" s="20" t="n">
        <v>16</v>
      </c>
      <c r="F103" s="20" t="n">
        <v>14</v>
      </c>
      <c r="G103" s="20" t="n">
        <v>8</v>
      </c>
      <c r="H103" s="20" t="n">
        <v>50</v>
      </c>
      <c r="I103" s="20" t="n">
        <v>4</v>
      </c>
      <c r="J103" s="20" t="n">
        <v>2</v>
      </c>
      <c r="K103" s="20" t="n">
        <v>9</v>
      </c>
      <c r="L103" s="20" t="n">
        <v>25</v>
      </c>
      <c r="M103" s="20" t="n">
        <v>20</v>
      </c>
      <c r="N103" s="20" t="n">
        <v>13</v>
      </c>
      <c r="T103" s="20" t="n">
        <v>-10</v>
      </c>
      <c r="U103" s="20" t="n">
        <v>11</v>
      </c>
      <c r="V103" s="20" t="n">
        <v>16</v>
      </c>
      <c r="W103" s="20" t="n">
        <v>4</v>
      </c>
      <c r="X103" s="20" t="n">
        <v>20</v>
      </c>
    </row>
    <row r="104">
      <c r="A104" s="18" t="inlineStr">
        <is>
          <t>영업외수익 합계</t>
        </is>
      </c>
      <c r="C104" s="20" t="n">
        <v>153</v>
      </c>
      <c r="D104" s="20" t="n">
        <v>143</v>
      </c>
      <c r="E104" s="20" t="n">
        <v>98</v>
      </c>
      <c r="F104" s="20" t="n">
        <v>207</v>
      </c>
      <c r="G104" s="20" t="n">
        <v>96</v>
      </c>
      <c r="H104" s="20" t="n">
        <v>220</v>
      </c>
      <c r="I104" s="20" t="n">
        <v>24</v>
      </c>
      <c r="J104" s="20" t="n">
        <v>229</v>
      </c>
      <c r="K104" s="20" t="n">
        <v>85</v>
      </c>
      <c r="L104" s="20" t="n">
        <v>181</v>
      </c>
      <c r="M104" s="20" t="n">
        <v>132</v>
      </c>
      <c r="N104" s="20" t="n">
        <v>233</v>
      </c>
      <c r="T104" s="20" t="n">
        <v>224</v>
      </c>
      <c r="U104" s="20" t="n">
        <v>101</v>
      </c>
      <c r="V104" s="20" t="n">
        <v>98</v>
      </c>
      <c r="W104" s="20" t="n">
        <v>24</v>
      </c>
      <c r="X104" s="20" t="n">
        <v>132</v>
      </c>
    </row>
    <row r="105">
      <c r="A105" s="18" t="inlineStr">
        <is>
          <t>이자비용</t>
        </is>
      </c>
      <c r="C105" s="20" t="n">
        <v>12</v>
      </c>
      <c r="D105" s="20" t="n">
        <v>11</v>
      </c>
      <c r="E105" s="20" t="n">
        <v>13</v>
      </c>
      <c r="F105" s="20" t="n">
        <v>14</v>
      </c>
      <c r="G105" s="20" t="n">
        <v>15</v>
      </c>
      <c r="H105" s="20" t="n">
        <v>21</v>
      </c>
      <c r="I105" s="20" t="n">
        <v>25</v>
      </c>
      <c r="J105" s="20" t="n">
        <v>26</v>
      </c>
      <c r="K105" s="20" t="n">
        <v>28</v>
      </c>
      <c r="L105" s="20" t="n">
        <v>34</v>
      </c>
      <c r="M105" s="20" t="n">
        <v>38</v>
      </c>
      <c r="N105" s="20" t="n">
        <v>36</v>
      </c>
      <c r="T105" s="20" t="n">
        <v>13</v>
      </c>
      <c r="U105" s="20" t="n">
        <v>12</v>
      </c>
      <c r="V105" s="20" t="n">
        <v>13</v>
      </c>
      <c r="W105" s="20" t="n">
        <v>25</v>
      </c>
      <c r="X105" s="20" t="n">
        <v>38</v>
      </c>
    </row>
    <row r="106">
      <c r="A106" s="18" t="inlineStr">
        <is>
          <t>고정자산 폐기손실</t>
        </is>
      </c>
      <c r="T106" s="20" t="n">
        <v>4</v>
      </c>
      <c r="U106" s="20" t="n">
        <v>1</v>
      </c>
    </row>
    <row r="107">
      <c r="A107" s="18" t="inlineStr">
        <is>
          <t>외환차손</t>
        </is>
      </c>
      <c r="C107" s="20" t="n">
        <v>0</v>
      </c>
      <c r="D107" s="20" t="n">
        <v>0</v>
      </c>
      <c r="E107" s="20" t="n">
        <v>0</v>
      </c>
      <c r="F107" s="20" t="n">
        <v>79</v>
      </c>
      <c r="G107" s="20" t="n">
        <v>-36</v>
      </c>
      <c r="H107" s="20" t="n">
        <v>11</v>
      </c>
      <c r="I107" s="20" t="n">
        <v>25</v>
      </c>
      <c r="J107" s="20" t="n">
        <v>0</v>
      </c>
      <c r="K107" s="20" t="n">
        <v>0</v>
      </c>
      <c r="L107" s="20" t="n">
        <v>0</v>
      </c>
      <c r="M107" s="20" t="n">
        <v>0</v>
      </c>
      <c r="V107" s="20" t="n">
        <v>0</v>
      </c>
      <c r="W107" s="20" t="n">
        <v>25</v>
      </c>
      <c r="X107" s="20" t="n">
        <v>0</v>
      </c>
    </row>
    <row r="108">
      <c r="A108" s="18" t="inlineStr">
        <is>
          <t>지분법손실</t>
        </is>
      </c>
      <c r="F108" s="20" t="n">
        <v>0</v>
      </c>
      <c r="J108" s="20" t="n">
        <v>1</v>
      </c>
      <c r="N108" s="20" t="n">
        <v>0</v>
      </c>
    </row>
    <row r="109">
      <c r="A109" s="18" t="inlineStr">
        <is>
          <t>납기지연 연체금</t>
        </is>
      </c>
      <c r="F109" s="20" t="n">
        <v>0</v>
      </c>
      <c r="G109" s="20" t="n">
        <v>0</v>
      </c>
      <c r="H109" s="20" t="n">
        <v>0</v>
      </c>
      <c r="I109" s="20" t="n">
        <v>94</v>
      </c>
      <c r="J109" s="20" t="n">
        <v>25</v>
      </c>
      <c r="K109" s="20" t="n">
        <v>3</v>
      </c>
      <c r="L109" s="20" t="n">
        <v>6</v>
      </c>
      <c r="M109" s="20" t="n">
        <v>1</v>
      </c>
      <c r="N109" s="20" t="n">
        <v>1</v>
      </c>
      <c r="W109" s="20" t="n">
        <v>94</v>
      </c>
      <c r="X109" s="20" t="n">
        <v>1</v>
      </c>
    </row>
    <row r="110">
      <c r="A110" s="18" t="inlineStr">
        <is>
          <t>잡손실</t>
        </is>
      </c>
      <c r="C110" s="20" t="n">
        <v>11</v>
      </c>
      <c r="D110" s="20" t="n">
        <v>1</v>
      </c>
      <c r="E110" s="20" t="n">
        <v>15</v>
      </c>
      <c r="F110" s="20" t="n">
        <v>0</v>
      </c>
      <c r="G110" s="20" t="n">
        <v>4</v>
      </c>
      <c r="H110" s="20" t="n">
        <v>2</v>
      </c>
      <c r="I110" s="20" t="n">
        <v>22</v>
      </c>
      <c r="J110" s="20" t="n">
        <v>10</v>
      </c>
      <c r="K110" s="20" t="n">
        <v>2</v>
      </c>
      <c r="L110" s="20" t="n">
        <v>13</v>
      </c>
      <c r="M110" s="20" t="n">
        <v>7</v>
      </c>
      <c r="N110" s="20" t="n">
        <v>0</v>
      </c>
      <c r="T110" s="20" t="n">
        <v>14</v>
      </c>
      <c r="U110" s="20" t="n">
        <v>16</v>
      </c>
      <c r="V110" s="20" t="n">
        <v>15</v>
      </c>
      <c r="W110" s="20" t="n">
        <v>22</v>
      </c>
      <c r="X110" s="20" t="n">
        <v>7</v>
      </c>
    </row>
    <row r="111">
      <c r="A111" s="18" t="inlineStr">
        <is>
          <t>영업외비용 합계</t>
        </is>
      </c>
      <c r="C111" s="20" t="n">
        <v>22</v>
      </c>
      <c r="D111" s="20" t="n">
        <v>13</v>
      </c>
      <c r="E111" s="20" t="n">
        <v>37</v>
      </c>
      <c r="F111" s="20" t="n">
        <v>94</v>
      </c>
      <c r="G111" s="20" t="n">
        <v>-16</v>
      </c>
      <c r="H111" s="20" t="n">
        <v>33</v>
      </c>
      <c r="I111" s="20" t="n">
        <v>235</v>
      </c>
      <c r="J111" s="20" t="n">
        <v>63</v>
      </c>
      <c r="K111" s="20" t="n">
        <v>32</v>
      </c>
      <c r="L111" s="20" t="n">
        <v>53</v>
      </c>
      <c r="M111" s="20" t="n">
        <v>70</v>
      </c>
      <c r="N111" s="20" t="n">
        <v>37</v>
      </c>
      <c r="T111" s="20" t="n">
        <v>34</v>
      </c>
      <c r="U111" s="20" t="n">
        <v>32</v>
      </c>
      <c r="V111" s="20" t="n">
        <v>37</v>
      </c>
      <c r="W111" s="20" t="n">
        <v>235</v>
      </c>
      <c r="X111" s="20" t="n">
        <v>70</v>
      </c>
    </row>
    <row r="112">
      <c r="A112" s="9" t="inlineStr">
        <is>
          <t>경상이익</t>
        </is>
      </c>
      <c r="C112" s="12" t="n">
        <v>380</v>
      </c>
      <c r="D112" s="12" t="n">
        <v>102</v>
      </c>
      <c r="E112" s="12" t="n">
        <v>829</v>
      </c>
      <c r="F112" s="12" t="n">
        <v>140</v>
      </c>
      <c r="G112" s="12" t="n">
        <v>847</v>
      </c>
      <c r="H112" s="12" t="n">
        <v>712</v>
      </c>
      <c r="I112" s="12" t="n">
        <v>885</v>
      </c>
      <c r="J112" s="12" t="n">
        <v>533</v>
      </c>
      <c r="K112" s="12" t="n">
        <v>363</v>
      </c>
      <c r="L112" s="12" t="n">
        <v>1345</v>
      </c>
      <c r="M112" s="12" t="n">
        <v>1279</v>
      </c>
      <c r="N112" s="12" t="n">
        <v>1269</v>
      </c>
      <c r="T112" s="12" t="n">
        <v>712</v>
      </c>
      <c r="U112" s="12" t="n">
        <v>499</v>
      </c>
      <c r="V112" s="12" t="n">
        <v>829</v>
      </c>
      <c r="W112" s="12" t="n">
        <v>885</v>
      </c>
      <c r="X112" s="12" t="n">
        <v>1279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IF(OR(G112="",C112=""),"",IF(C112&lt;=0,"",IFERROR(G112/C112-1,"")))</f>
        <v/>
      </c>
      <c r="H113" s="15">
        <f>IF(OR(H112="",D112=""),"",IF(D112&lt;=0,"",IFERROR(H112/D112-1,"")))</f>
        <v/>
      </c>
      <c r="I113" s="15">
        <f>IF(OR(I112="",E112=""),"",IF(E112&lt;=0,"",IFERROR(I112/E112-1,"")))</f>
        <v/>
      </c>
      <c r="J113" s="15">
        <f>IF(OR(J112="",F112=""),"",IF(F112&lt;=0,"",IFERROR(J112/F112-1,"")))</f>
        <v/>
      </c>
      <c r="K113" s="15">
        <f>IF(OR(K112="",G112=""),"",IF(G112&lt;=0,"",IFERROR(K112/G112-1,"")))</f>
        <v/>
      </c>
      <c r="L113" s="15">
        <f>IF(OR(L112="",H112=""),"",IF(H112&lt;=0,"",IFERROR(L112/H112-1,"")))</f>
        <v/>
      </c>
      <c r="M113" s="15">
        <f>IF(OR(M112="",I112=""),"",IF(I112&lt;=0,"",IFERROR(M112/I112-1,"")))</f>
        <v/>
      </c>
      <c r="N113" s="15">
        <f>IF(OR(N112="",J112=""),"",IF(J112&lt;=0,"",IFERROR(N112/J112-1,"")))</f>
        <v/>
      </c>
      <c r="T113" s="15">
        <f>IF(OR(T112="",S112=""),"",IF(S112&lt;=0,"",IFERROR(T112/S112-1,"")))</f>
        <v/>
      </c>
      <c r="U113" s="15">
        <f>IF(OR(U112="",T112=""),"",IF(T112&lt;=0,"",IFERROR(U112/T112-1,"")))</f>
        <v/>
      </c>
      <c r="V113" s="15">
        <f>IF(OR(V112="",U112=""),"",IF(U112&lt;=0,"",IFERROR(V112/U112-1,"")))</f>
        <v/>
      </c>
      <c r="W113" s="15">
        <f>IF(OR(W112="",V112=""),"",IF(V112&lt;=0,"",IFERROR(W112/V112-1,"")))</f>
        <v/>
      </c>
      <c r="X113" s="15">
        <f>IF(OR(X112="",W112=""),"",IF(W112&lt;=0,"",IFERROR(X112/W112-1,"")))</f>
        <v/>
      </c>
    </row>
    <row r="114">
      <c r="A114" s="18" t="inlineStr">
        <is>
          <t>환산조정 환입이익</t>
        </is>
      </c>
      <c r="T114" s="20" t="n">
        <v>0</v>
      </c>
      <c r="U114" s="20" t="n">
        <v>0</v>
      </c>
    </row>
    <row r="115">
      <c r="A115" s="18" t="inlineStr">
        <is>
          <t>고정자산 매각이익</t>
        </is>
      </c>
      <c r="C115" s="20" t="n">
        <v>0</v>
      </c>
      <c r="D115" s="20" t="n">
        <v>0</v>
      </c>
      <c r="E115" s="20" t="n">
        <v>0</v>
      </c>
      <c r="T115" s="20" t="n">
        <v>0</v>
      </c>
      <c r="U115" s="20" t="n">
        <v>0</v>
      </c>
      <c r="V115" s="20" t="n">
        <v>0</v>
      </c>
    </row>
    <row r="116">
      <c r="A116" s="18" t="inlineStr">
        <is>
          <t>투자유가증권 매각이익</t>
        </is>
      </c>
      <c r="C116" s="20" t="n">
        <v>49</v>
      </c>
      <c r="D116" s="20" t="n">
        <v>47</v>
      </c>
      <c r="E116" s="20" t="n">
        <v>132</v>
      </c>
      <c r="F116" s="20" t="n">
        <v>34</v>
      </c>
      <c r="G116" s="20" t="n">
        <v>116</v>
      </c>
      <c r="H116" s="20" t="n">
        <v>41</v>
      </c>
      <c r="I116" s="20" t="n">
        <v>90</v>
      </c>
      <c r="J116" s="20" t="n">
        <v>102</v>
      </c>
      <c r="K116" s="20" t="n">
        <v>168</v>
      </c>
      <c r="L116" s="20" t="n">
        <v>91</v>
      </c>
      <c r="M116" s="20" t="n">
        <v>73</v>
      </c>
      <c r="N116" s="20" t="n">
        <v>27</v>
      </c>
      <c r="T116" s="20" t="n">
        <v>0</v>
      </c>
      <c r="U116" s="20" t="n">
        <v>50</v>
      </c>
      <c r="V116" s="20" t="n">
        <v>132</v>
      </c>
      <c r="W116" s="20" t="n">
        <v>90</v>
      </c>
      <c r="X116" s="20" t="n">
        <v>73</v>
      </c>
    </row>
    <row r="117">
      <c r="A117" s="18" t="inlineStr">
        <is>
          <t>특별이익 합계</t>
        </is>
      </c>
      <c r="C117" s="20" t="n">
        <v>49</v>
      </c>
      <c r="D117" s="20" t="n">
        <v>47</v>
      </c>
      <c r="E117" s="20" t="n">
        <v>132</v>
      </c>
      <c r="F117" s="20" t="n">
        <v>34</v>
      </c>
      <c r="G117" s="20" t="n">
        <v>116</v>
      </c>
      <c r="H117" s="20" t="n">
        <v>41</v>
      </c>
      <c r="I117" s="20" t="n">
        <v>90</v>
      </c>
      <c r="J117" s="20" t="n">
        <v>102</v>
      </c>
      <c r="K117" s="20" t="n">
        <v>168</v>
      </c>
      <c r="L117" s="20" t="n">
        <v>91</v>
      </c>
      <c r="M117" s="20" t="n">
        <v>73</v>
      </c>
      <c r="N117" s="20" t="n">
        <v>27</v>
      </c>
      <c r="T117" s="20" t="n">
        <v>0</v>
      </c>
      <c r="U117" s="20" t="n">
        <v>50</v>
      </c>
      <c r="V117" s="20" t="n">
        <v>132</v>
      </c>
      <c r="W117" s="20" t="n">
        <v>90</v>
      </c>
      <c r="X117" s="20" t="n">
        <v>73</v>
      </c>
    </row>
    <row r="118">
      <c r="A118" s="18" t="inlineStr">
        <is>
          <t>사업구조개혁 비용</t>
        </is>
      </c>
      <c r="C118" s="20" t="n">
        <v>135</v>
      </c>
      <c r="D118" s="20" t="n">
        <v>-23</v>
      </c>
      <c r="E118" s="20" t="n">
        <v>178</v>
      </c>
      <c r="F118" s="20" t="n">
        <v>0</v>
      </c>
      <c r="G118" s="20" t="n">
        <v>0</v>
      </c>
      <c r="H118" s="20" t="n">
        <v>0</v>
      </c>
      <c r="I118" s="20" t="n">
        <v>0</v>
      </c>
      <c r="T118" s="20" t="n">
        <v>0</v>
      </c>
      <c r="U118" s="20" t="n">
        <v>23</v>
      </c>
      <c r="V118" s="20" t="n">
        <v>178</v>
      </c>
      <c r="W118" s="20" t="n">
        <v>0</v>
      </c>
    </row>
    <row r="119">
      <c r="A119" s="18" t="inlineStr">
        <is>
          <t>투자유가증권 평가손실</t>
        </is>
      </c>
      <c r="T119" s="20" t="n">
        <v>-1</v>
      </c>
      <c r="U119" s="20" t="n">
        <v>0</v>
      </c>
    </row>
    <row r="120">
      <c r="A120" s="18" t="inlineStr">
        <is>
          <t>특별손실 합계</t>
        </is>
      </c>
      <c r="C120" s="20" t="n">
        <v>135</v>
      </c>
      <c r="D120" s="20" t="n">
        <v>-23</v>
      </c>
      <c r="E120" s="20" t="n">
        <v>261</v>
      </c>
      <c r="F120" s="20" t="n">
        <v>0</v>
      </c>
      <c r="G120" s="20" t="n">
        <v>0</v>
      </c>
      <c r="H120" s="20" t="n">
        <v>0</v>
      </c>
      <c r="I120" s="20" t="n">
        <v>157</v>
      </c>
      <c r="T120" s="20" t="n">
        <v>2410</v>
      </c>
      <c r="U120" s="20" t="n">
        <v>23</v>
      </c>
      <c r="V120" s="20" t="n">
        <v>261</v>
      </c>
      <c r="W120" s="20" t="n">
        <v>157</v>
      </c>
    </row>
    <row r="121">
      <c r="A121" s="9" t="inlineStr">
        <is>
          <t>법인세차감전 순이익</t>
        </is>
      </c>
      <c r="C121" s="12" t="n">
        <v>295</v>
      </c>
      <c r="D121" s="12" t="n">
        <v>173</v>
      </c>
      <c r="E121" s="12" t="n">
        <v>699</v>
      </c>
      <c r="F121" s="12" t="n">
        <v>175</v>
      </c>
      <c r="G121" s="12" t="n">
        <v>963</v>
      </c>
      <c r="H121" s="12" t="n">
        <v>752</v>
      </c>
      <c r="I121" s="12" t="n">
        <v>818</v>
      </c>
      <c r="J121" s="12" t="n">
        <v>636</v>
      </c>
      <c r="K121" s="12" t="n">
        <v>530</v>
      </c>
      <c r="L121" s="12" t="n">
        <v>1437</v>
      </c>
      <c r="M121" s="12" t="n">
        <v>1351</v>
      </c>
      <c r="N121" s="12" t="n">
        <v>1296</v>
      </c>
      <c r="T121" s="12" t="n">
        <v>-1698</v>
      </c>
      <c r="U121" s="12" t="n">
        <v>525</v>
      </c>
      <c r="V121" s="12" t="n">
        <v>699</v>
      </c>
      <c r="W121" s="12" t="n">
        <v>818</v>
      </c>
      <c r="X121" s="12" t="n">
        <v>1351</v>
      </c>
    </row>
    <row r="122">
      <c r="A122" s="18" t="inlineStr">
        <is>
          <t>법인세·주민세·사업세</t>
        </is>
      </c>
      <c r="C122" s="20" t="n">
        <v>87</v>
      </c>
      <c r="D122" s="20" t="n">
        <v>-50</v>
      </c>
      <c r="E122" s="20" t="n">
        <v>347</v>
      </c>
      <c r="F122" s="20" t="n">
        <v>10</v>
      </c>
      <c r="G122" s="20" t="n">
        <v>433</v>
      </c>
      <c r="H122" s="20" t="n">
        <v>146</v>
      </c>
      <c r="I122" s="20" t="n">
        <v>401</v>
      </c>
      <c r="J122" s="20" t="n">
        <v>12</v>
      </c>
      <c r="K122" s="20" t="n">
        <v>179</v>
      </c>
      <c r="L122" s="20" t="n">
        <v>187</v>
      </c>
      <c r="M122" s="20" t="n">
        <v>392</v>
      </c>
      <c r="N122" s="20" t="n">
        <v>208</v>
      </c>
      <c r="T122" s="20" t="n">
        <v>315</v>
      </c>
      <c r="U122" s="20" t="n">
        <v>179</v>
      </c>
      <c r="V122" s="20" t="n">
        <v>347</v>
      </c>
      <c r="W122" s="20" t="n">
        <v>401</v>
      </c>
      <c r="X122" s="20" t="n">
        <v>392</v>
      </c>
    </row>
    <row r="123">
      <c r="A123" s="18" t="inlineStr">
        <is>
          <t>법인세 조정액</t>
        </is>
      </c>
      <c r="C123" s="20" t="n">
        <v>38</v>
      </c>
      <c r="D123" s="20" t="n">
        <v>95</v>
      </c>
      <c r="E123" s="20" t="n">
        <v>-137</v>
      </c>
      <c r="F123" s="20" t="n">
        <v>67</v>
      </c>
      <c r="G123" s="20" t="n">
        <v>-172</v>
      </c>
      <c r="H123" s="20" t="n">
        <v>143</v>
      </c>
      <c r="I123" s="20" t="n">
        <v>-448</v>
      </c>
      <c r="J123" s="20" t="n">
        <v>157</v>
      </c>
      <c r="K123" s="20" t="n">
        <v>-48</v>
      </c>
      <c r="L123" s="20" t="n">
        <v>263</v>
      </c>
      <c r="M123" s="20" t="n">
        <v>-165</v>
      </c>
      <c r="N123" s="20" t="n">
        <v>211</v>
      </c>
      <c r="T123" s="20" t="n">
        <v>-790</v>
      </c>
      <c r="U123" s="20" t="n">
        <v>-46</v>
      </c>
      <c r="V123" s="20" t="n">
        <v>-137</v>
      </c>
      <c r="W123" s="20" t="n">
        <v>-448</v>
      </c>
      <c r="X123" s="20" t="n">
        <v>-165</v>
      </c>
    </row>
    <row r="124">
      <c r="A124" s="18" t="inlineStr">
        <is>
          <t>법인세 등 합계</t>
        </is>
      </c>
      <c r="C124" s="20" t="n">
        <v>124</v>
      </c>
      <c r="D124" s="20" t="n">
        <v>45</v>
      </c>
      <c r="E124" s="20" t="n">
        <v>211</v>
      </c>
      <c r="F124" s="20" t="n">
        <v>78</v>
      </c>
      <c r="G124" s="20" t="n">
        <v>259</v>
      </c>
      <c r="H124" s="20" t="n">
        <v>290</v>
      </c>
      <c r="I124" s="20" t="n">
        <v>-48</v>
      </c>
      <c r="J124" s="20" t="n">
        <v>170</v>
      </c>
      <c r="K124" s="20" t="n">
        <v>131</v>
      </c>
      <c r="L124" s="20" t="n">
        <v>450</v>
      </c>
      <c r="M124" s="20" t="n">
        <v>227</v>
      </c>
      <c r="N124" s="20" t="n">
        <v>420</v>
      </c>
      <c r="T124" s="20" t="n">
        <v>-474</v>
      </c>
      <c r="U124" s="20" t="n">
        <v>133</v>
      </c>
      <c r="V124" s="20" t="n">
        <v>211</v>
      </c>
      <c r="W124" s="20" t="n">
        <v>-48</v>
      </c>
      <c r="X124" s="20" t="n">
        <v>227</v>
      </c>
    </row>
    <row r="125">
      <c r="A125" s="9" t="inlineStr">
        <is>
          <t>순이익</t>
        </is>
      </c>
      <c r="C125" s="12" t="n">
        <v>170</v>
      </c>
      <c r="D125" s="12" t="n">
        <v>128</v>
      </c>
      <c r="E125" s="12" t="n">
        <v>489</v>
      </c>
      <c r="F125" s="12" t="n">
        <v>97</v>
      </c>
      <c r="G125" s="12" t="n">
        <v>703</v>
      </c>
      <c r="H125" s="12" t="n">
        <v>462</v>
      </c>
      <c r="I125" s="12" t="n">
        <v>866</v>
      </c>
      <c r="J125" s="12" t="n">
        <v>465</v>
      </c>
      <c r="K125" s="12" t="n">
        <v>400</v>
      </c>
      <c r="L125" s="12" t="n">
        <v>986</v>
      </c>
      <c r="M125" s="12" t="n">
        <v>1125</v>
      </c>
      <c r="N125" s="12" t="n">
        <v>875</v>
      </c>
      <c r="T125" s="12" t="n">
        <v>-1223</v>
      </c>
      <c r="U125" s="12" t="n">
        <v>392</v>
      </c>
      <c r="V125" s="12" t="n">
        <v>489</v>
      </c>
      <c r="W125" s="12" t="n">
        <v>866</v>
      </c>
      <c r="X125" s="12" t="n">
        <v>1125</v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G126" s="15">
        <f>IF(OR(G125="",C125=""),"",IF(C125&lt;=0,"",IFERROR(G125/C125-1,"")))</f>
        <v/>
      </c>
      <c r="H126" s="15">
        <f>IF(OR(H125="",D125=""),"",IF(D125&lt;=0,"",IFERROR(H125/D125-1,"")))</f>
        <v/>
      </c>
      <c r="I126" s="15">
        <f>IF(OR(I125="",E125=""),"",IF(E125&lt;=0,"",IFERROR(I125/E125-1,"")))</f>
        <v/>
      </c>
      <c r="J126" s="15">
        <f>IF(OR(J125="",F125=""),"",IF(F125&lt;=0,"",IFERROR(J125/F125-1,"")))</f>
        <v/>
      </c>
      <c r="K126" s="15">
        <f>IF(OR(K125="",G125=""),"",IF(G125&lt;=0,"",IFERROR(K125/G125-1,"")))</f>
        <v/>
      </c>
      <c r="L126" s="15">
        <f>IF(OR(L125="",H125=""),"",IF(H125&lt;=0,"",IFERROR(L125/H125-1,"")))</f>
        <v/>
      </c>
      <c r="M126" s="15">
        <f>IF(OR(M125="",I125=""),"",IF(I125&lt;=0,"",IFERROR(M125/I125-1,"")))</f>
        <v/>
      </c>
      <c r="N126" s="15">
        <f>IF(OR(N125="",J125=""),"",IF(J125&lt;=0,"",IFERROR(N125/J125-1,"")))</f>
        <v/>
      </c>
      <c r="T126" s="15">
        <f>IF(OR(T125="",S125=""),"",IF(S125&lt;=0,"",IFERROR(T125/S125-1,"")))</f>
        <v/>
      </c>
      <c r="U126" s="15">
        <f>IF(OR(U125="",T125=""),"",IF(T125&lt;=0,"",IFERROR(U125/T125-1,"")))</f>
        <v/>
      </c>
      <c r="V126" s="15">
        <f>IF(OR(V125="",U125=""),"",IF(U125&lt;=0,"",IFERROR(V125/U125-1,"")))</f>
        <v/>
      </c>
      <c r="W126" s="15">
        <f>IF(OR(W125="",V125=""),"",IF(V125&lt;=0,"",IFERROR(W125/V125-1,"")))</f>
        <v/>
      </c>
      <c r="X126" s="15">
        <f>IF(OR(X125="",W125=""),"",IF(W125&lt;=0,"",IFERROR(X125/W125-1,"")))</f>
        <v/>
      </c>
    </row>
    <row r="127">
      <c r="A127" s="9" t="inlineStr">
        <is>
          <t>지배주주 순이익</t>
        </is>
      </c>
      <c r="C127" s="12" t="n">
        <v>170</v>
      </c>
      <c r="D127" s="12" t="n">
        <v>128</v>
      </c>
      <c r="E127" s="12" t="n">
        <v>489</v>
      </c>
      <c r="F127" s="12" t="n">
        <v>97</v>
      </c>
      <c r="G127" s="12" t="n">
        <v>703</v>
      </c>
      <c r="H127" s="12" t="n">
        <v>462</v>
      </c>
      <c r="I127" s="12" t="n">
        <v>866</v>
      </c>
      <c r="J127" s="12" t="n">
        <v>465</v>
      </c>
      <c r="K127" s="12" t="n">
        <v>400</v>
      </c>
      <c r="L127" s="12" t="n">
        <v>986</v>
      </c>
      <c r="M127" s="12" t="n">
        <v>1125</v>
      </c>
      <c r="N127" s="12" t="n">
        <v>875</v>
      </c>
      <c r="T127" s="12" t="n">
        <v>-1223</v>
      </c>
      <c r="U127" s="12" t="n">
        <v>392</v>
      </c>
      <c r="V127" s="12" t="n">
        <v>489</v>
      </c>
      <c r="W127" s="12" t="n">
        <v>866</v>
      </c>
      <c r="X127" s="12" t="n">
        <v>1125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IF(OR(G127="",C127=""),"",IF(C127&lt;=0,"",IFERROR(G127/C127-1,"")))</f>
        <v/>
      </c>
      <c r="H128" s="15">
        <f>IF(OR(H127="",D127=""),"",IF(D127&lt;=0,"",IFERROR(H127/D127-1,"")))</f>
        <v/>
      </c>
      <c r="I128" s="15">
        <f>IF(OR(I127="",E127=""),"",IF(E127&lt;=0,"",IFERROR(I127/E127-1,"")))</f>
        <v/>
      </c>
      <c r="J128" s="15">
        <f>IF(OR(J127="",F127=""),"",IF(F127&lt;=0,"",IFERROR(J127/F127-1,"")))</f>
        <v/>
      </c>
      <c r="K128" s="15">
        <f>IF(OR(K127="",G127=""),"",IF(G127&lt;=0,"",IFERROR(K127/G127-1,"")))</f>
        <v/>
      </c>
      <c r="L128" s="15">
        <f>IF(OR(L127="",H127=""),"",IF(H127&lt;=0,"",IFERROR(L127/H127-1,"")))</f>
        <v/>
      </c>
      <c r="M128" s="15">
        <f>IF(OR(M127="",I127=""),"",IF(I127&lt;=0,"",IFERROR(M127/I127-1,"")))</f>
        <v/>
      </c>
      <c r="N128" s="15">
        <f>IF(OR(N127="",J127=""),"",IF(J127&lt;=0,"",IFERROR(N127/J127-1,"")))</f>
        <v/>
      </c>
      <c r="T128" s="15">
        <f>IF(OR(T127="",S127=""),"",IF(S127&lt;=0,"",IFERROR(T127/S127-1,"")))</f>
        <v/>
      </c>
      <c r="U128" s="15">
        <f>IF(OR(U127="",T127=""),"",IF(T127&lt;=0,"",IFERROR(U127/T127-1,"")))</f>
        <v/>
      </c>
      <c r="V128" s="15">
        <f>IF(OR(V127="",U127=""),"",IF(U127&lt;=0,"",IFERROR(V127/U127-1,"")))</f>
        <v/>
      </c>
      <c r="W128" s="15">
        <f>IF(OR(W127="",V127=""),"",IF(V127&lt;=0,"",IFERROR(W127/V127-1,"")))</f>
        <v/>
      </c>
      <c r="X128" s="15">
        <f>IF(OR(X127="",W127=""),"",IF(W127&lt;=0,"",IFERROR(X127/W127-1,"")))</f>
        <v/>
      </c>
    </row>
    <row r="130">
      <c r="A130" s="16" t="inlineStr">
        <is>
          <t>포괄손익 · 전 항목</t>
        </is>
      </c>
      <c r="B130" s="42" t="inlineStr">
        <is>
          <t>분기 = 3개월 단독</t>
        </is>
      </c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</row>
    <row r="131">
      <c r="A131" s="5" t="inlineStr">
        <is>
          <t>항목</t>
        </is>
      </c>
      <c r="B131" s="5" t="inlineStr">
        <is>
          <t>참고</t>
        </is>
      </c>
      <c r="C131" s="5" t="inlineStr">
        <is>
          <t>2024.2Q</t>
        </is>
      </c>
      <c r="D131" s="5" t="inlineStr">
        <is>
          <t>2024.3Q</t>
        </is>
      </c>
      <c r="E131" s="5" t="inlineStr">
        <is>
          <t>2024.4Q</t>
        </is>
      </c>
      <c r="F131" s="5" t="inlineStr">
        <is>
          <t>2025.1Q</t>
        </is>
      </c>
      <c r="G131" s="5" t="inlineStr">
        <is>
          <t>2025.2Q</t>
        </is>
      </c>
      <c r="H131" s="5" t="inlineStr">
        <is>
          <t>2025.3Q</t>
        </is>
      </c>
      <c r="I131" s="5" t="inlineStr">
        <is>
          <t>2025.4Q</t>
        </is>
      </c>
      <c r="J131" s="5" t="inlineStr">
        <is>
          <t>2026.1Q</t>
        </is>
      </c>
      <c r="K131" s="5" t="inlineStr">
        <is>
          <t>2026.2Q</t>
        </is>
      </c>
      <c r="L131" s="5" t="inlineStr">
        <is>
          <t>2026.3Q</t>
        </is>
      </c>
      <c r="M131" s="5" t="inlineStr">
        <is>
          <t>2026.4Q</t>
        </is>
      </c>
      <c r="N131" s="5" t="inlineStr">
        <is>
          <t>2027.1Q</t>
        </is>
      </c>
      <c r="O131" s="5" t="inlineStr">
        <is>
          <t>2017</t>
        </is>
      </c>
      <c r="P131" s="5" t="inlineStr">
        <is>
          <t>2018</t>
        </is>
      </c>
      <c r="Q131" s="5" t="inlineStr">
        <is>
          <t>2019</t>
        </is>
      </c>
      <c r="R131" s="5" t="inlineStr">
        <is>
          <t>2020</t>
        </is>
      </c>
      <c r="S131" s="5" t="inlineStr">
        <is>
          <t>2021</t>
        </is>
      </c>
      <c r="T131" s="5" t="inlineStr">
        <is>
          <t>2022</t>
        </is>
      </c>
      <c r="U131" s="5" t="inlineStr">
        <is>
          <t>2023</t>
        </is>
      </c>
      <c r="V131" s="5" t="inlineStr">
        <is>
          <t>2024</t>
        </is>
      </c>
      <c r="W131" s="5" t="inlineStr">
        <is>
          <t>2025</t>
        </is>
      </c>
      <c r="X131" s="5" t="inlineStr">
        <is>
          <t>2026</t>
        </is>
      </c>
      <c r="Y131" s="5" t="inlineStr">
        <is>
          <t>2027(MW)</t>
        </is>
      </c>
      <c r="Z131" s="5" t="inlineStr">
        <is>
          <t>2028(MW)</t>
        </is>
      </c>
      <c r="AA131" s="5" t="inlineStr">
        <is>
          <t>2029(MW)</t>
        </is>
      </c>
      <c r="AB131" s="5" t="inlineStr">
        <is>
          <t>2030(MW)</t>
        </is>
      </c>
      <c r="AC131" s="5" t="inlineStr">
        <is>
          <t>2031(MW)</t>
        </is>
      </c>
    </row>
    <row r="132">
      <c r="A132" s="9" t="inlineStr">
        <is>
          <t>순이익</t>
        </is>
      </c>
      <c r="C132" s="12" t="n">
        <v>170</v>
      </c>
      <c r="D132" s="12" t="n">
        <v>128</v>
      </c>
      <c r="E132" s="12" t="n">
        <v>489</v>
      </c>
      <c r="F132" s="12" t="n">
        <v>97</v>
      </c>
      <c r="G132" s="12" t="n">
        <v>703</v>
      </c>
      <c r="H132" s="12" t="n">
        <v>462</v>
      </c>
      <c r="I132" s="12" t="n">
        <v>866</v>
      </c>
      <c r="J132" s="12" t="n">
        <v>465</v>
      </c>
      <c r="K132" s="12" t="n">
        <v>400</v>
      </c>
      <c r="L132" s="12" t="n">
        <v>986</v>
      </c>
      <c r="M132" s="12" t="n">
        <v>1125</v>
      </c>
      <c r="N132" s="12" t="n">
        <v>875</v>
      </c>
      <c r="T132" s="12" t="n">
        <v>-1223</v>
      </c>
      <c r="U132" s="12" t="n">
        <v>392</v>
      </c>
      <c r="V132" s="12" t="n">
        <v>489</v>
      </c>
      <c r="W132" s="12" t="n">
        <v>866</v>
      </c>
      <c r="X132" s="12" t="n">
        <v>1125</v>
      </c>
    </row>
    <row r="133">
      <c r="A133" s="18" t="inlineStr">
        <is>
          <t>기타유가증권 평가차액</t>
        </is>
      </c>
      <c r="C133" s="20" t="n">
        <v>-193</v>
      </c>
      <c r="D133" s="20" t="n">
        <v>937</v>
      </c>
      <c r="E133" s="20" t="n">
        <v>-1140</v>
      </c>
      <c r="F133" s="20" t="n">
        <v>-717</v>
      </c>
      <c r="G133" s="20" t="n">
        <v>-35</v>
      </c>
      <c r="H133" s="20" t="n">
        <v>-5</v>
      </c>
      <c r="I133" s="20" t="n">
        <v>318</v>
      </c>
      <c r="J133" s="20" t="n">
        <v>1626</v>
      </c>
      <c r="K133" s="20" t="n">
        <v>-72</v>
      </c>
      <c r="L133" s="20" t="n">
        <v>977</v>
      </c>
      <c r="M133" s="20" t="n">
        <v>-2093</v>
      </c>
      <c r="N133" s="20" t="n">
        <v>1083</v>
      </c>
      <c r="T133" s="20" t="n">
        <v>-12</v>
      </c>
      <c r="U133" s="20" t="n">
        <v>1159</v>
      </c>
      <c r="V133" s="20" t="n">
        <v>-1140</v>
      </c>
      <c r="W133" s="20" t="n">
        <v>318</v>
      </c>
      <c r="X133" s="20" t="n">
        <v>-2093</v>
      </c>
    </row>
    <row r="134">
      <c r="A134" s="18" t="inlineStr">
        <is>
          <t>해외사업환산조정</t>
        </is>
      </c>
      <c r="C134" s="20" t="n">
        <v>0</v>
      </c>
      <c r="D134" s="20" t="n">
        <v>0</v>
      </c>
      <c r="E134" s="20" t="n">
        <v>212</v>
      </c>
      <c r="F134" s="20" t="n">
        <v>48</v>
      </c>
      <c r="G134" s="20" t="n">
        <v>-65</v>
      </c>
      <c r="H134" s="20" t="n">
        <v>51</v>
      </c>
      <c r="I134" s="20" t="n">
        <v>-44</v>
      </c>
      <c r="J134" s="20" t="n">
        <v>-17</v>
      </c>
      <c r="K134" s="20" t="n">
        <v>31</v>
      </c>
      <c r="L134" s="20" t="n">
        <v>64</v>
      </c>
      <c r="M134" s="20" t="n">
        <v>31</v>
      </c>
      <c r="N134" s="20" t="n">
        <v>33</v>
      </c>
      <c r="T134" s="20" t="n">
        <v>0</v>
      </c>
      <c r="U134" s="20" t="n">
        <v>0</v>
      </c>
      <c r="V134" s="20" t="n">
        <v>212</v>
      </c>
      <c r="W134" s="20" t="n">
        <v>-44</v>
      </c>
      <c r="X134" s="20" t="n">
        <v>31</v>
      </c>
    </row>
    <row r="135">
      <c r="A135" s="18" t="inlineStr">
        <is>
          <t>퇴직급여 조정액</t>
        </is>
      </c>
      <c r="C135" s="20" t="n">
        <v>6</v>
      </c>
      <c r="D135" s="20" t="n">
        <v>6</v>
      </c>
      <c r="E135" s="20" t="n">
        <v>18</v>
      </c>
      <c r="F135" s="20" t="n">
        <v>5</v>
      </c>
      <c r="G135" s="20" t="n">
        <v>5</v>
      </c>
      <c r="H135" s="20" t="n">
        <v>5</v>
      </c>
      <c r="I135" s="20" t="n">
        <v>92</v>
      </c>
      <c r="J135" s="20" t="n">
        <v>-3</v>
      </c>
      <c r="K135" s="20" t="n">
        <v>-3</v>
      </c>
      <c r="L135" s="20" t="n">
        <v>-3</v>
      </c>
      <c r="M135" s="20" t="n">
        <v>353</v>
      </c>
      <c r="N135" s="20" t="n">
        <v>-12</v>
      </c>
      <c r="T135" s="20" t="n">
        <v>17</v>
      </c>
      <c r="U135" s="20" t="n">
        <v>17</v>
      </c>
      <c r="V135" s="20" t="n">
        <v>18</v>
      </c>
      <c r="W135" s="20" t="n">
        <v>92</v>
      </c>
      <c r="X135" s="20" t="n">
        <v>353</v>
      </c>
    </row>
    <row r="136">
      <c r="A136" s="18" t="inlineStr">
        <is>
          <t>지분법 적용회사 지분 해당액</t>
        </is>
      </c>
      <c r="C136" s="20" t="n">
        <v>33</v>
      </c>
      <c r="D136" s="20" t="n">
        <v>54</v>
      </c>
      <c r="E136" s="20" t="n">
        <v>-48</v>
      </c>
      <c r="F136" s="20" t="n">
        <v>77</v>
      </c>
      <c r="G136" s="20" t="n">
        <v>104</v>
      </c>
      <c r="H136" s="20" t="n">
        <v>-140</v>
      </c>
      <c r="I136" s="20" t="n">
        <v>111</v>
      </c>
      <c r="J136" s="20" t="n">
        <v>-99</v>
      </c>
      <c r="K136" s="20" t="n">
        <v>-35</v>
      </c>
      <c r="L136" s="20" t="n">
        <v>62</v>
      </c>
      <c r="M136" s="20" t="n">
        <v>138</v>
      </c>
      <c r="N136" s="20" t="n">
        <v>69</v>
      </c>
      <c r="T136" s="20" t="n">
        <v>50</v>
      </c>
      <c r="U136" s="20" t="n">
        <v>-103</v>
      </c>
      <c r="V136" s="20" t="n">
        <v>-48</v>
      </c>
      <c r="W136" s="20" t="n">
        <v>111</v>
      </c>
      <c r="X136" s="20" t="n">
        <v>138</v>
      </c>
    </row>
    <row r="137">
      <c r="A137" s="18" t="inlineStr">
        <is>
          <t>기타포괄손익 합계</t>
        </is>
      </c>
      <c r="C137" s="20" t="n">
        <v>-153</v>
      </c>
      <c r="D137" s="20" t="n">
        <v>996</v>
      </c>
      <c r="E137" s="20" t="n">
        <v>-956</v>
      </c>
      <c r="F137" s="20" t="n">
        <v>-586</v>
      </c>
      <c r="G137" s="20" t="n">
        <v>10</v>
      </c>
      <c r="H137" s="20" t="n">
        <v>-89</v>
      </c>
      <c r="I137" s="20" t="n">
        <v>475</v>
      </c>
      <c r="J137" s="20" t="n">
        <v>1506</v>
      </c>
      <c r="K137" s="20" t="n">
        <v>-79</v>
      </c>
      <c r="L137" s="20" t="n">
        <v>1101</v>
      </c>
      <c r="M137" s="20" t="n">
        <v>-1569</v>
      </c>
      <c r="N137" s="20" t="n">
        <v>1174</v>
      </c>
      <c r="T137" s="20" t="n">
        <v>56</v>
      </c>
      <c r="U137" s="20" t="n">
        <v>1074</v>
      </c>
      <c r="V137" s="20" t="n">
        <v>-956</v>
      </c>
      <c r="W137" s="20" t="n">
        <v>475</v>
      </c>
      <c r="X137" s="20" t="n">
        <v>-1569</v>
      </c>
    </row>
    <row r="138">
      <c r="A138" s="9" t="inlineStr">
        <is>
          <t>포괄이익</t>
        </is>
      </c>
      <c r="C138" s="12" t="n">
        <v>17</v>
      </c>
      <c r="D138" s="12" t="n">
        <v>1124</v>
      </c>
      <c r="E138" s="12" t="n">
        <v>-467</v>
      </c>
      <c r="F138" s="12" t="n">
        <v>-488</v>
      </c>
      <c r="G138" s="12" t="n">
        <v>711</v>
      </c>
      <c r="H138" s="12" t="n">
        <v>374</v>
      </c>
      <c r="I138" s="12" t="n">
        <v>1341</v>
      </c>
      <c r="J138" s="12" t="n">
        <v>1971</v>
      </c>
      <c r="K138" s="12" t="n">
        <v>322</v>
      </c>
      <c r="L138" s="12" t="n">
        <v>2087</v>
      </c>
      <c r="M138" s="12" t="n">
        <v>-444</v>
      </c>
      <c r="N138" s="12" t="n">
        <v>2050</v>
      </c>
      <c r="T138" s="12" t="n">
        <v>-1168</v>
      </c>
      <c r="U138" s="12" t="n">
        <v>1465</v>
      </c>
      <c r="V138" s="12" t="n">
        <v>-467</v>
      </c>
      <c r="W138" s="12" t="n">
        <v>1341</v>
      </c>
      <c r="X138" s="12" t="n">
        <v>-444</v>
      </c>
    </row>
    <row r="139">
      <c r="A139" s="9" t="inlineStr">
        <is>
          <t>지배주주 포괄이익</t>
        </is>
      </c>
      <c r="C139" s="12" t="n">
        <v>17</v>
      </c>
      <c r="D139" s="12" t="n">
        <v>1124</v>
      </c>
      <c r="E139" s="12" t="n">
        <v>-467</v>
      </c>
      <c r="F139" s="12" t="n">
        <v>-488</v>
      </c>
      <c r="G139" s="12" t="n">
        <v>711</v>
      </c>
      <c r="H139" s="12" t="n">
        <v>374</v>
      </c>
      <c r="I139" s="12" t="n">
        <v>1341</v>
      </c>
      <c r="J139" s="12" t="n">
        <v>1971</v>
      </c>
      <c r="K139" s="12" t="n">
        <v>322</v>
      </c>
      <c r="L139" s="12" t="n">
        <v>2087</v>
      </c>
      <c r="M139" s="12" t="n">
        <v>-444</v>
      </c>
      <c r="N139" s="12" t="n">
        <v>2050</v>
      </c>
      <c r="T139" s="12" t="n">
        <v>-1168</v>
      </c>
      <c r="U139" s="12" t="n">
        <v>1465</v>
      </c>
      <c r="V139" s="12" t="n">
        <v>-467</v>
      </c>
      <c r="W139" s="12" t="n">
        <v>1341</v>
      </c>
      <c r="X139" s="12" t="n">
        <v>-444</v>
      </c>
    </row>
    <row r="140">
      <c r="A140" s="9" t="inlineStr">
        <is>
          <t>비지배주주 포괄이익</t>
        </is>
      </c>
      <c r="C140" s="12" t="n">
        <v>0</v>
      </c>
      <c r="D140" s="12" t="n">
        <v>0</v>
      </c>
      <c r="E140" s="12" t="n">
        <v>0</v>
      </c>
      <c r="F140" s="12" t="n">
        <v>0</v>
      </c>
      <c r="G140" s="12" t="n">
        <v>0</v>
      </c>
      <c r="H140" s="12" t="n">
        <v>0</v>
      </c>
      <c r="I140" s="12" t="n">
        <v>0</v>
      </c>
      <c r="J140" s="12" t="n">
        <v>0</v>
      </c>
      <c r="K140" s="12" t="n">
        <v>0</v>
      </c>
      <c r="L140" s="12" t="n">
        <v>0</v>
      </c>
      <c r="M140" s="12" t="n">
        <v>0</v>
      </c>
      <c r="N140" s="12" t="n">
        <v>0</v>
      </c>
      <c r="T140" s="12" t="n">
        <v>0</v>
      </c>
      <c r="U140" s="12" t="n">
        <v>0</v>
      </c>
      <c r="V140" s="12" t="n">
        <v>0</v>
      </c>
      <c r="W140" s="12" t="n">
        <v>0</v>
      </c>
      <c r="X140" s="12" t="n">
        <v>0</v>
      </c>
    </row>
    <row r="142">
      <c r="A142" s="16" t="inlineStr">
        <is>
          <t>부문 · 전 항목</t>
        </is>
      </c>
      <c r="B142" s="42" t="inlineStr">
        <is>
          <t>부문 · 항목</t>
        </is>
      </c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</row>
    <row r="143">
      <c r="A143" s="5" t="inlineStr">
        <is>
          <t>항목</t>
        </is>
      </c>
      <c r="B143" s="5" t="inlineStr">
        <is>
          <t>참고</t>
        </is>
      </c>
      <c r="C143" s="5" t="inlineStr">
        <is>
          <t>2024.2Q</t>
        </is>
      </c>
      <c r="D143" s="5" t="inlineStr">
        <is>
          <t>2024.3Q</t>
        </is>
      </c>
      <c r="E143" s="5" t="inlineStr">
        <is>
          <t>2024.4Q</t>
        </is>
      </c>
      <c r="F143" s="5" t="inlineStr">
        <is>
          <t>2025.1Q</t>
        </is>
      </c>
      <c r="G143" s="5" t="inlineStr">
        <is>
          <t>2025.2Q</t>
        </is>
      </c>
      <c r="H143" s="5" t="inlineStr">
        <is>
          <t>2025.3Q</t>
        </is>
      </c>
      <c r="I143" s="5" t="inlineStr">
        <is>
          <t>2025.4Q</t>
        </is>
      </c>
      <c r="J143" s="5" t="inlineStr">
        <is>
          <t>2026.1Q</t>
        </is>
      </c>
      <c r="K143" s="5" t="inlineStr">
        <is>
          <t>2026.2Q</t>
        </is>
      </c>
      <c r="L143" s="5" t="inlineStr">
        <is>
          <t>2026.3Q</t>
        </is>
      </c>
      <c r="M143" s="5" t="inlineStr">
        <is>
          <t>2026.4Q</t>
        </is>
      </c>
      <c r="N143" s="5" t="inlineStr">
        <is>
          <t>2027.1Q</t>
        </is>
      </c>
      <c r="O143" s="5" t="inlineStr">
        <is>
          <t>2017</t>
        </is>
      </c>
      <c r="P143" s="5" t="inlineStr">
        <is>
          <t>2018</t>
        </is>
      </c>
      <c r="Q143" s="5" t="inlineStr">
        <is>
          <t>2019</t>
        </is>
      </c>
      <c r="R143" s="5" t="inlineStr">
        <is>
          <t>2020</t>
        </is>
      </c>
      <c r="S143" s="5" t="inlineStr">
        <is>
          <t>2021</t>
        </is>
      </c>
      <c r="T143" s="5" t="inlineStr">
        <is>
          <t>2022</t>
        </is>
      </c>
      <c r="U143" s="5" t="inlineStr">
        <is>
          <t>2023</t>
        </is>
      </c>
      <c r="V143" s="5" t="inlineStr">
        <is>
          <t>2024</t>
        </is>
      </c>
      <c r="W143" s="5" t="inlineStr">
        <is>
          <t>2025</t>
        </is>
      </c>
      <c r="X143" s="5" t="inlineStr">
        <is>
          <t>2026</t>
        </is>
      </c>
      <c r="Y143" s="5" t="inlineStr">
        <is>
          <t>2027(MW)</t>
        </is>
      </c>
      <c r="Z143" s="5" t="inlineStr">
        <is>
          <t>2028(MW)</t>
        </is>
      </c>
      <c r="AA143" s="5" t="inlineStr">
        <is>
          <t>2029(MW)</t>
        </is>
      </c>
      <c r="AB143" s="5" t="inlineStr">
        <is>
          <t>2030(MW)</t>
        </is>
      </c>
      <c r="AC143" s="5" t="inlineStr">
        <is>
          <t>2031(MW)</t>
        </is>
      </c>
    </row>
    <row r="144">
      <c r="A144" s="18" t="inlineStr">
        <is>
          <t>TransportationReportableSegmentsMember · 외부 고객 매출</t>
        </is>
      </c>
      <c r="C144" s="20" t="n">
        <v>5241</v>
      </c>
      <c r="D144" s="20" t="n">
        <v>4741</v>
      </c>
      <c r="E144" s="20" t="n">
        <v>6455</v>
      </c>
      <c r="F144" s="20" t="n">
        <v>5594</v>
      </c>
      <c r="G144" s="20" t="n">
        <v>7779</v>
      </c>
      <c r="H144" s="20" t="n">
        <v>6623</v>
      </c>
      <c r="I144" s="20" t="n">
        <v>7826</v>
      </c>
      <c r="J144" s="20" t="n">
        <v>6101</v>
      </c>
      <c r="K144" s="20" t="n">
        <v>6339</v>
      </c>
      <c r="L144" s="20" t="n">
        <v>7500</v>
      </c>
      <c r="M144" s="20" t="n">
        <v>7458</v>
      </c>
      <c r="N144" s="20" t="n">
        <v>8023</v>
      </c>
      <c r="V144" s="20" t="n">
        <v>6455</v>
      </c>
      <c r="W144" s="20" t="n">
        <v>7826</v>
      </c>
      <c r="X144" s="20" t="n">
        <v>7458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IndustryReportableSegmentsMember · 외부 고객 매출</t>
        </is>
      </c>
      <c r="C146" s="20" t="n">
        <v>2668</v>
      </c>
      <c r="D146" s="20" t="n">
        <v>2373</v>
      </c>
      <c r="E146" s="20" t="n">
        <v>3096</v>
      </c>
      <c r="F146" s="20" t="n">
        <v>2242</v>
      </c>
      <c r="G146" s="20" t="n">
        <v>2702</v>
      </c>
      <c r="H146" s="20" t="n">
        <v>2796</v>
      </c>
      <c r="I146" s="20" t="n">
        <v>3155</v>
      </c>
      <c r="J146" s="20" t="n">
        <v>2307</v>
      </c>
      <c r="K146" s="20" t="n">
        <v>3028</v>
      </c>
      <c r="L146" s="20" t="n">
        <v>2915</v>
      </c>
      <c r="M146" s="20" t="n">
        <v>3758</v>
      </c>
      <c r="N146" s="20" t="n">
        <v>2401</v>
      </c>
      <c r="V146" s="20" t="n">
        <v>3096</v>
      </c>
      <c r="W146" s="20" t="n">
        <v>3155</v>
      </c>
      <c r="X146" s="20" t="n">
        <v>3758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18" t="inlineStr">
        <is>
          <t>ICTSolutionReportableSegmentMember · 외부 고객 매출</t>
        </is>
      </c>
      <c r="C148" s="20" t="n">
        <v>249</v>
      </c>
      <c r="D148" s="20" t="n">
        <v>299</v>
      </c>
      <c r="E148" s="20" t="n">
        <v>357</v>
      </c>
      <c r="F148" s="20" t="n">
        <v>328</v>
      </c>
      <c r="G148" s="20" t="n">
        <v>367</v>
      </c>
      <c r="H148" s="20" t="n">
        <v>597</v>
      </c>
      <c r="I148" s="20" t="n">
        <v>525</v>
      </c>
      <c r="J148" s="20" t="n">
        <v>229</v>
      </c>
      <c r="K148" s="20" t="n">
        <v>172</v>
      </c>
      <c r="L148" s="20" t="n">
        <v>366</v>
      </c>
      <c r="M148" s="20" t="n">
        <v>302</v>
      </c>
      <c r="V148" s="20" t="n">
        <v>357</v>
      </c>
      <c r="W148" s="20" t="n">
        <v>525</v>
      </c>
      <c r="X148" s="20" t="n">
        <v>302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기타 · 외부 고객 매출</t>
        </is>
      </c>
      <c r="C150" s="20" t="n">
        <v>1</v>
      </c>
      <c r="D150" s="20" t="n">
        <v>1</v>
      </c>
      <c r="E150" s="20" t="n">
        <v>1</v>
      </c>
      <c r="F150" s="20" t="n">
        <v>0</v>
      </c>
      <c r="G150" s="20" t="n">
        <v>1</v>
      </c>
      <c r="H150" s="20" t="n">
        <v>1</v>
      </c>
      <c r="I150" s="20" t="n">
        <v>1</v>
      </c>
      <c r="J150" s="20" t="n">
        <v>1</v>
      </c>
      <c r="K150" s="20" t="n">
        <v>1</v>
      </c>
      <c r="L150" s="20" t="n">
        <v>1</v>
      </c>
      <c r="M150" s="20" t="n">
        <v>1</v>
      </c>
      <c r="N150" s="20" t="n">
        <v>1</v>
      </c>
      <c r="V150" s="20" t="n">
        <v>1</v>
      </c>
      <c r="W150" s="20" t="n">
        <v>1</v>
      </c>
      <c r="X150" s="20" t="n">
        <v>1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합계 · 외부 고객 매출</t>
        </is>
      </c>
      <c r="C152" s="20" t="n">
        <v>8159</v>
      </c>
      <c r="D152" s="20" t="n">
        <v>7414</v>
      </c>
      <c r="E152" s="20" t="n">
        <v>9909</v>
      </c>
      <c r="F152" s="20" t="n">
        <v>8166</v>
      </c>
      <c r="G152" s="20" t="n">
        <v>10849</v>
      </c>
      <c r="H152" s="20" t="n">
        <v>10017</v>
      </c>
      <c r="I152" s="20" t="n">
        <v>11507</v>
      </c>
      <c r="J152" s="20" t="n">
        <v>8409</v>
      </c>
      <c r="K152" s="20" t="n">
        <v>9770</v>
      </c>
      <c r="L152" s="20" t="n">
        <v>10782</v>
      </c>
      <c r="M152" s="20" t="n">
        <v>11519</v>
      </c>
      <c r="N152" s="20" t="n">
        <v>10426</v>
      </c>
      <c r="V152" s="20" t="n">
        <v>9909</v>
      </c>
      <c r="W152" s="20" t="n">
        <v>11507</v>
      </c>
      <c r="X152" s="20" t="n">
        <v>11519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조정액 · 외부 고객 매출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0</v>
      </c>
      <c r="K154" s="20" t="n">
        <v>0</v>
      </c>
      <c r="L154" s="20" t="n">
        <v>0</v>
      </c>
      <c r="M154" s="20" t="n">
        <v>0</v>
      </c>
      <c r="N154" s="20" t="n">
        <v>0</v>
      </c>
      <c r="V154" s="20" t="n">
        <v>0</v>
      </c>
      <c r="W154" s="20" t="n">
        <v>0</v>
      </c>
      <c r="X154" s="20" t="n">
        <v>0</v>
      </c>
    </row>
    <row r="155">
      <c r="A155" s="9" t="inlineStr">
        <is>
          <t>외부 고객 매출</t>
        </is>
      </c>
      <c r="C155" s="12" t="n">
        <v>8159</v>
      </c>
      <c r="D155" s="12" t="n">
        <v>7414</v>
      </c>
      <c r="E155" s="12" t="n">
        <v>9909</v>
      </c>
      <c r="F155" s="12" t="n">
        <v>8166</v>
      </c>
      <c r="G155" s="12" t="n">
        <v>10849</v>
      </c>
      <c r="H155" s="12" t="n">
        <v>10017</v>
      </c>
      <c r="I155" s="12" t="n">
        <v>11507</v>
      </c>
      <c r="V155" s="12" t="n">
        <v>9909</v>
      </c>
      <c r="W155" s="12" t="n">
        <v>11507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</row>
    <row r="157">
      <c r="A157" s="18" t="inlineStr">
        <is>
          <t>EntityTotalMember · 외부 고객 매출</t>
        </is>
      </c>
      <c r="F157" s="20" t="n">
        <v>8166</v>
      </c>
      <c r="J157" s="20" t="n">
        <v>8409</v>
      </c>
      <c r="N157" s="20" t="n">
        <v>10426</v>
      </c>
    </row>
    <row r="158">
      <c r="A158" s="18" t="inlineStr">
        <is>
          <t>TransportationReportableSegmentsMember · 부문 간 내부매출·대체</t>
        </is>
      </c>
      <c r="C158" s="20" t="n">
        <v>8</v>
      </c>
      <c r="D158" s="20" t="n">
        <v>8</v>
      </c>
      <c r="E158" s="20" t="n">
        <v>152</v>
      </c>
      <c r="F158" s="20" t="n">
        <v>15</v>
      </c>
      <c r="G158" s="20" t="n">
        <v>9</v>
      </c>
      <c r="H158" s="20" t="n">
        <v>18</v>
      </c>
      <c r="I158" s="20" t="n">
        <v>-39</v>
      </c>
      <c r="J158" s="20" t="n">
        <v>0</v>
      </c>
      <c r="K158" s="20" t="n">
        <v>1</v>
      </c>
      <c r="L158" s="20" t="n">
        <v>11</v>
      </c>
      <c r="M158" s="20" t="n">
        <v>11</v>
      </c>
      <c r="N158" s="20" t="n">
        <v>0</v>
      </c>
      <c r="V158" s="20" t="n">
        <v>152</v>
      </c>
      <c r="W158" s="20" t="n">
        <v>-39</v>
      </c>
      <c r="X158" s="20" t="n">
        <v>11</v>
      </c>
    </row>
    <row r="159">
      <c r="A159" s="18" t="inlineStr">
        <is>
          <t>IndustryReportableSegmentsMember · 부문 간 내부매출·대체</t>
        </is>
      </c>
      <c r="C159" s="20" t="n">
        <v>9</v>
      </c>
      <c r="D159" s="20" t="n">
        <v>0</v>
      </c>
      <c r="E159" s="20" t="n">
        <v>1</v>
      </c>
      <c r="F159" s="20" t="n">
        <v>0</v>
      </c>
      <c r="G159" s="20" t="n">
        <v>1</v>
      </c>
      <c r="H159" s="20" t="n">
        <v>0</v>
      </c>
      <c r="I159" s="20" t="n">
        <v>1</v>
      </c>
      <c r="J159" s="20" t="n">
        <v>1</v>
      </c>
      <c r="K159" s="20" t="n">
        <v>1</v>
      </c>
      <c r="L159" s="20" t="n">
        <v>0</v>
      </c>
      <c r="M159" s="20" t="n">
        <v>0</v>
      </c>
      <c r="N159" s="20" t="n">
        <v>0</v>
      </c>
      <c r="V159" s="20" t="n">
        <v>1</v>
      </c>
      <c r="W159" s="20" t="n">
        <v>1</v>
      </c>
      <c r="X159" s="20" t="n">
        <v>0</v>
      </c>
    </row>
    <row r="160">
      <c r="A160" s="18" t="inlineStr">
        <is>
          <t>ICTSolutionReportableSegmentMember · 부문 간 내부매출·대체</t>
        </is>
      </c>
      <c r="C160" s="20" t="n">
        <v>0</v>
      </c>
      <c r="D160" s="20" t="n">
        <v>0</v>
      </c>
      <c r="E160" s="20" t="n">
        <v>0</v>
      </c>
      <c r="F160" s="20" t="n">
        <v>0</v>
      </c>
      <c r="G160" s="20" t="n">
        <v>0</v>
      </c>
      <c r="H160" s="20" t="n">
        <v>0</v>
      </c>
      <c r="I160" s="20" t="n">
        <v>0</v>
      </c>
      <c r="J160" s="20" t="n">
        <v>0</v>
      </c>
      <c r="K160" s="20" t="n">
        <v>0</v>
      </c>
      <c r="L160" s="20" t="n">
        <v>0</v>
      </c>
      <c r="M160" s="20" t="n">
        <v>0</v>
      </c>
      <c r="V160" s="20" t="n">
        <v>0</v>
      </c>
      <c r="W160" s="20" t="n">
        <v>0</v>
      </c>
      <c r="X160" s="20" t="n">
        <v>0</v>
      </c>
    </row>
    <row r="161">
      <c r="A161" s="18" t="inlineStr">
        <is>
          <t>기타 · 부문 간 내부매출·대체</t>
        </is>
      </c>
      <c r="C161" s="20" t="n">
        <v>79</v>
      </c>
      <c r="D161" s="20" t="n">
        <v>73</v>
      </c>
      <c r="E161" s="20" t="n">
        <v>78</v>
      </c>
      <c r="F161" s="20" t="n">
        <v>80</v>
      </c>
      <c r="G161" s="20" t="n">
        <v>84</v>
      </c>
      <c r="H161" s="20" t="n">
        <v>85</v>
      </c>
      <c r="I161" s="20" t="n">
        <v>99</v>
      </c>
      <c r="J161" s="20" t="n">
        <v>100</v>
      </c>
      <c r="K161" s="20" t="n">
        <v>114</v>
      </c>
      <c r="L161" s="20" t="n">
        <v>96</v>
      </c>
      <c r="M161" s="20" t="n">
        <v>93</v>
      </c>
      <c r="N161" s="20" t="n">
        <v>85</v>
      </c>
      <c r="V161" s="20" t="n">
        <v>78</v>
      </c>
      <c r="W161" s="20" t="n">
        <v>99</v>
      </c>
      <c r="X161" s="20" t="n">
        <v>93</v>
      </c>
    </row>
    <row r="162">
      <c r="A162" s="18" t="inlineStr">
        <is>
          <t>합계 · 부문 간 내부매출·대체</t>
        </is>
      </c>
      <c r="C162" s="20" t="n">
        <v>96</v>
      </c>
      <c r="D162" s="20" t="n">
        <v>82</v>
      </c>
      <c r="E162" s="20" t="n">
        <v>231</v>
      </c>
      <c r="F162" s="20" t="n">
        <v>96</v>
      </c>
      <c r="G162" s="20" t="n">
        <v>94</v>
      </c>
      <c r="H162" s="20" t="n">
        <v>103</v>
      </c>
      <c r="I162" s="20" t="n">
        <v>61</v>
      </c>
      <c r="J162" s="20" t="n">
        <v>101</v>
      </c>
      <c r="K162" s="20" t="n">
        <v>117</v>
      </c>
      <c r="L162" s="20" t="n">
        <v>107</v>
      </c>
      <c r="M162" s="20" t="n">
        <v>104</v>
      </c>
      <c r="N162" s="20" t="n">
        <v>85</v>
      </c>
      <c r="V162" s="20" t="n">
        <v>231</v>
      </c>
      <c r="W162" s="20" t="n">
        <v>61</v>
      </c>
      <c r="X162" s="20" t="n">
        <v>104</v>
      </c>
    </row>
    <row r="163">
      <c r="A163" s="18" t="inlineStr">
        <is>
          <t>조정액 · 부문 간 내부매출·대체</t>
        </is>
      </c>
      <c r="C163" s="20" t="n">
        <v>-96</v>
      </c>
      <c r="D163" s="20" t="n">
        <v>-82</v>
      </c>
      <c r="E163" s="20" t="n">
        <v>-231</v>
      </c>
      <c r="F163" s="20" t="n">
        <v>-96</v>
      </c>
      <c r="G163" s="20" t="n">
        <v>-94</v>
      </c>
      <c r="H163" s="20" t="n">
        <v>-103</v>
      </c>
      <c r="I163" s="20" t="n">
        <v>-61</v>
      </c>
      <c r="J163" s="20" t="n">
        <v>-101</v>
      </c>
      <c r="K163" s="20" t="n">
        <v>-117</v>
      </c>
      <c r="L163" s="20" t="n">
        <v>-107</v>
      </c>
      <c r="M163" s="20" t="n">
        <v>-104</v>
      </c>
      <c r="N163" s="20" t="n">
        <v>-85</v>
      </c>
      <c r="V163" s="20" t="n">
        <v>-231</v>
      </c>
      <c r="W163" s="20" t="n">
        <v>-61</v>
      </c>
      <c r="X163" s="20" t="n">
        <v>-104</v>
      </c>
    </row>
    <row r="164">
      <c r="A164" s="18" t="inlineStr">
        <is>
          <t>부문 간 내부매출·대체</t>
        </is>
      </c>
      <c r="C164" s="20" t="n">
        <v>0</v>
      </c>
      <c r="D164" s="20" t="n">
        <v>0</v>
      </c>
      <c r="E164" s="20" t="n">
        <v>0</v>
      </c>
      <c r="F164" s="20" t="n">
        <v>0</v>
      </c>
      <c r="G164" s="20" t="n">
        <v>0</v>
      </c>
      <c r="H164" s="20" t="n">
        <v>0</v>
      </c>
      <c r="I164" s="20" t="n">
        <v>0</v>
      </c>
      <c r="V164" s="20" t="n">
        <v>0</v>
      </c>
      <c r="W164" s="20" t="n">
        <v>0</v>
      </c>
    </row>
    <row r="165">
      <c r="A165" s="18" t="inlineStr">
        <is>
          <t>EntityTotalMember · 부문 간 내부매출·대체</t>
        </is>
      </c>
      <c r="F165" s="20" t="n">
        <v>0</v>
      </c>
      <c r="J165" s="20" t="n">
        <v>0</v>
      </c>
      <c r="N165" s="20" t="n">
        <v>0</v>
      </c>
    </row>
    <row r="166">
      <c r="A166" s="18" t="inlineStr">
        <is>
          <t>TransportationReportableSegmentsMember · 계</t>
        </is>
      </c>
      <c r="C166" s="20" t="n">
        <v>5249</v>
      </c>
      <c r="D166" s="20" t="n">
        <v>4749</v>
      </c>
      <c r="E166" s="20" t="n">
        <v>6608</v>
      </c>
      <c r="F166" s="20" t="n">
        <v>5610</v>
      </c>
      <c r="G166" s="20" t="n">
        <v>7787</v>
      </c>
      <c r="H166" s="20" t="n">
        <v>6642</v>
      </c>
      <c r="I166" s="20" t="n">
        <v>7787</v>
      </c>
      <c r="J166" s="20" t="n">
        <v>6101</v>
      </c>
      <c r="K166" s="20" t="n">
        <v>6340</v>
      </c>
      <c r="L166" s="20" t="n">
        <v>7512</v>
      </c>
      <c r="M166" s="20" t="n">
        <v>7468</v>
      </c>
      <c r="N166" s="20" t="n">
        <v>8024</v>
      </c>
      <c r="V166" s="20" t="n">
        <v>6608</v>
      </c>
      <c r="W166" s="20" t="n">
        <v>7787</v>
      </c>
      <c r="X166" s="20" t="n">
        <v>7468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IndustryReportableSegmentsMember · 계</t>
        </is>
      </c>
      <c r="C168" s="20" t="n">
        <v>2676</v>
      </c>
      <c r="D168" s="20" t="n">
        <v>2374</v>
      </c>
      <c r="E168" s="20" t="n">
        <v>3097</v>
      </c>
      <c r="F168" s="20" t="n">
        <v>2242</v>
      </c>
      <c r="G168" s="20" t="n">
        <v>2704</v>
      </c>
      <c r="H168" s="20" t="n">
        <v>2796</v>
      </c>
      <c r="I168" s="20" t="n">
        <v>3156</v>
      </c>
      <c r="J168" s="20" t="n">
        <v>2308</v>
      </c>
      <c r="K168" s="20" t="n">
        <v>3030</v>
      </c>
      <c r="L168" s="20" t="n">
        <v>2914</v>
      </c>
      <c r="M168" s="20" t="n">
        <v>3759</v>
      </c>
      <c r="N168" s="20" t="n">
        <v>2401</v>
      </c>
      <c r="V168" s="20" t="n">
        <v>3097</v>
      </c>
      <c r="W168" s="20" t="n">
        <v>3156</v>
      </c>
      <c r="X168" s="20" t="n">
        <v>3759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ICTSolutionReportableSegmentMember · 계</t>
        </is>
      </c>
      <c r="C170" s="20" t="n">
        <v>249</v>
      </c>
      <c r="D170" s="20" t="n">
        <v>299</v>
      </c>
      <c r="E170" s="20" t="n">
        <v>357</v>
      </c>
      <c r="F170" s="20" t="n">
        <v>328</v>
      </c>
      <c r="G170" s="20" t="n">
        <v>367</v>
      </c>
      <c r="H170" s="20" t="n">
        <v>597</v>
      </c>
      <c r="I170" s="20" t="n">
        <v>525</v>
      </c>
      <c r="J170" s="20" t="n">
        <v>229</v>
      </c>
      <c r="K170" s="20" t="n">
        <v>172</v>
      </c>
      <c r="L170" s="20" t="n">
        <v>366</v>
      </c>
      <c r="M170" s="20" t="n">
        <v>302</v>
      </c>
      <c r="V170" s="20" t="n">
        <v>357</v>
      </c>
      <c r="W170" s="20" t="n">
        <v>525</v>
      </c>
      <c r="X170" s="20" t="n">
        <v>302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기타 · 계</t>
        </is>
      </c>
      <c r="C172" s="20" t="n">
        <v>80</v>
      </c>
      <c r="D172" s="20" t="n">
        <v>75</v>
      </c>
      <c r="E172" s="20" t="n">
        <v>78</v>
      </c>
      <c r="F172" s="20" t="n">
        <v>81</v>
      </c>
      <c r="G172" s="20" t="n">
        <v>85</v>
      </c>
      <c r="H172" s="20" t="n">
        <v>86</v>
      </c>
      <c r="I172" s="20" t="n">
        <v>100</v>
      </c>
      <c r="J172" s="20" t="n">
        <v>101</v>
      </c>
      <c r="K172" s="20" t="n">
        <v>115</v>
      </c>
      <c r="L172" s="20" t="n">
        <v>97</v>
      </c>
      <c r="M172" s="20" t="n">
        <v>94</v>
      </c>
      <c r="N172" s="20" t="n">
        <v>86</v>
      </c>
      <c r="V172" s="20" t="n">
        <v>78</v>
      </c>
      <c r="W172" s="20" t="n">
        <v>100</v>
      </c>
      <c r="X172" s="20" t="n">
        <v>94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합계 · 계</t>
        </is>
      </c>
      <c r="C174" s="20" t="n">
        <v>8255</v>
      </c>
      <c r="D174" s="20" t="n">
        <v>7496</v>
      </c>
      <c r="E174" s="20" t="n">
        <v>10140</v>
      </c>
      <c r="F174" s="20" t="n">
        <v>8263</v>
      </c>
      <c r="G174" s="20" t="n">
        <v>10942</v>
      </c>
      <c r="H174" s="20" t="n">
        <v>10121</v>
      </c>
      <c r="I174" s="20" t="n">
        <v>11568</v>
      </c>
      <c r="J174" s="20" t="n">
        <v>8511</v>
      </c>
      <c r="K174" s="20" t="n">
        <v>9887</v>
      </c>
      <c r="L174" s="20" t="n">
        <v>10889</v>
      </c>
      <c r="M174" s="20" t="n">
        <v>11623</v>
      </c>
      <c r="N174" s="20" t="n">
        <v>10511</v>
      </c>
      <c r="V174" s="20" t="n">
        <v>10140</v>
      </c>
      <c r="W174" s="20" t="n">
        <v>11568</v>
      </c>
      <c r="X174" s="20" t="n">
        <v>11623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조정액 · 계</t>
        </is>
      </c>
      <c r="C176" s="20" t="n">
        <v>-96</v>
      </c>
      <c r="D176" s="20" t="n">
        <v>-82</v>
      </c>
      <c r="E176" s="20" t="n">
        <v>-231</v>
      </c>
      <c r="F176" s="20" t="n">
        <v>-96</v>
      </c>
      <c r="G176" s="20" t="n">
        <v>-94</v>
      </c>
      <c r="H176" s="20" t="n">
        <v>-103</v>
      </c>
      <c r="I176" s="20" t="n">
        <v>-61</v>
      </c>
      <c r="J176" s="20" t="n">
        <v>-101</v>
      </c>
      <c r="K176" s="20" t="n">
        <v>-117</v>
      </c>
      <c r="L176" s="20" t="n">
        <v>-107</v>
      </c>
      <c r="M176" s="20" t="n">
        <v>-104</v>
      </c>
      <c r="N176" s="20" t="n">
        <v>-85</v>
      </c>
      <c r="V176" s="20" t="n">
        <v>-231</v>
      </c>
      <c r="W176" s="20" t="n">
        <v>-61</v>
      </c>
      <c r="X176" s="20" t="n">
        <v>-104</v>
      </c>
    </row>
    <row r="177">
      <c r="A177" s="9" t="inlineStr">
        <is>
          <t>계</t>
        </is>
      </c>
      <c r="C177" s="12" t="n">
        <v>8159</v>
      </c>
      <c r="D177" s="12" t="n">
        <v>7414</v>
      </c>
      <c r="E177" s="12" t="n">
        <v>9909</v>
      </c>
      <c r="F177" s="12" t="n">
        <v>8166</v>
      </c>
      <c r="G177" s="12" t="n">
        <v>10849</v>
      </c>
      <c r="H177" s="12" t="n">
        <v>10017</v>
      </c>
      <c r="I177" s="12" t="n">
        <v>11507</v>
      </c>
      <c r="V177" s="12" t="n">
        <v>9909</v>
      </c>
      <c r="W177" s="12" t="n">
        <v>11507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</row>
    <row r="179">
      <c r="A179" s="18" t="inlineStr">
        <is>
          <t>EntityTotalMember · 계</t>
        </is>
      </c>
      <c r="F179" s="20" t="n">
        <v>8166</v>
      </c>
      <c r="J179" s="20" t="n">
        <v>8409</v>
      </c>
      <c r="N179" s="20" t="n">
        <v>10426</v>
      </c>
    </row>
    <row r="180">
      <c r="A180" s="18" t="inlineStr">
        <is>
          <t>TransportationReportableSegmentsMember · 부문 이익(손실)</t>
        </is>
      </c>
      <c r="C180" s="20" t="n">
        <v>626</v>
      </c>
      <c r="D180" s="20" t="n">
        <v>371</v>
      </c>
      <c r="E180" s="20" t="n">
        <v>895</v>
      </c>
      <c r="F180" s="20" t="n">
        <v>440</v>
      </c>
      <c r="G180" s="20" t="n">
        <v>1055</v>
      </c>
      <c r="H180" s="20" t="n">
        <v>734</v>
      </c>
      <c r="I180" s="20" t="n">
        <v>1385</v>
      </c>
      <c r="J180" s="20" t="n">
        <v>1061</v>
      </c>
      <c r="K180" s="20" t="n">
        <v>1075</v>
      </c>
      <c r="L180" s="20" t="n">
        <v>1691</v>
      </c>
      <c r="M180" s="20" t="n">
        <v>1489</v>
      </c>
      <c r="N180" s="20" t="n">
        <v>1736</v>
      </c>
      <c r="V180" s="20" t="n">
        <v>895</v>
      </c>
      <c r="W180" s="20" t="n">
        <v>1385</v>
      </c>
      <c r="X180" s="20" t="n">
        <v>1489</v>
      </c>
    </row>
    <row r="181">
      <c r="A181" s="43" t="inlineStr">
        <is>
          <t>OPM</t>
        </is>
      </c>
      <c r="B181" s="3" t="inlineStr">
        <is>
          <t>영업이익 ÷ 매출</t>
        </is>
      </c>
      <c r="C181" s="15">
        <f>IF(OR(C180="",C166=""),"",IF(C166&lt;=0,"",IFERROR(C180/C166,"")))</f>
        <v/>
      </c>
      <c r="D181" s="15">
        <f>IF(OR(D180="",D166=""),"",IF(D166&lt;=0,"",IFERROR(D180/D166,"")))</f>
        <v/>
      </c>
      <c r="E181" s="15">
        <f>IF(OR(E180="",E166=""),"",IF(E166&lt;=0,"",IFERROR(E180/E166,"")))</f>
        <v/>
      </c>
      <c r="F181" s="15">
        <f>IF(OR(F180="",F166=""),"",IF(F166&lt;=0,"",IFERROR(F180/F166,"")))</f>
        <v/>
      </c>
      <c r="G181" s="15">
        <f>IF(OR(G180="",G166=""),"",IF(G166&lt;=0,"",IFERROR(G180/G166,"")))</f>
        <v/>
      </c>
      <c r="H181" s="15">
        <f>IF(OR(H180="",H166=""),"",IF(H166&lt;=0,"",IFERROR(H180/H166,"")))</f>
        <v/>
      </c>
      <c r="I181" s="15">
        <f>IF(OR(I180="",I166=""),"",IF(I166&lt;=0,"",IFERROR(I180/I166,"")))</f>
        <v/>
      </c>
      <c r="J181" s="15">
        <f>IF(OR(J180="",J166=""),"",IF(J166&lt;=0,"",IFERROR(J180/J166,"")))</f>
        <v/>
      </c>
      <c r="K181" s="15">
        <f>IF(OR(K180="",K166=""),"",IF(K166&lt;=0,"",IFERROR(K180/K166,"")))</f>
        <v/>
      </c>
      <c r="L181" s="15">
        <f>IF(OR(L180="",L166=""),"",IF(L166&lt;=0,"",IFERROR(L180/L166,"")))</f>
        <v/>
      </c>
      <c r="M181" s="15">
        <f>IF(OR(M180="",M166=""),"",IF(M166&lt;=0,"",IFERROR(M180/M166,"")))</f>
        <v/>
      </c>
      <c r="N181" s="15">
        <f>IF(OR(N180="",N166=""),"",IF(N166&lt;=0,"",IFERROR(N180/N166,"")))</f>
        <v/>
      </c>
      <c r="V181" s="15">
        <f>IF(OR(V180="",V166=""),"",IF(V166&lt;=0,"",IFERROR(V180/V166,"")))</f>
        <v/>
      </c>
      <c r="W181" s="15">
        <f>IF(OR(W180="",W166=""),"",IF(W166&lt;=0,"",IFERROR(W180/W166,"")))</f>
        <v/>
      </c>
      <c r="X181" s="15">
        <f>IF(OR(X180="",X166=""),"",IF(X166&lt;=0,"",IFERROR(X180/X166,"")))</f>
        <v/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IF(OR(G180="",C180=""),"",IF(C180&lt;=0,"",IFERROR(G180/C180-1,"")))</f>
        <v/>
      </c>
      <c r="H182" s="15">
        <f>IF(OR(H180="",D180=""),"",IF(D180&lt;=0,"",IFERROR(H180/D180-1,"")))</f>
        <v/>
      </c>
      <c r="I182" s="15">
        <f>IF(OR(I180="",E180=""),"",IF(E180&lt;=0,"",IFERROR(I180/E180-1,"")))</f>
        <v/>
      </c>
      <c r="J182" s="15">
        <f>IF(OR(J180="",F180=""),"",IF(F180&lt;=0,"",IFERROR(J180/F180-1,"")))</f>
        <v/>
      </c>
      <c r="K182" s="15">
        <f>IF(OR(K180="",G180=""),"",IF(G180&lt;=0,"",IFERROR(K180/G180-1,"")))</f>
        <v/>
      </c>
      <c r="L182" s="15">
        <f>IF(OR(L180="",H180=""),"",IF(H180&lt;=0,"",IFERROR(L180/H180-1,"")))</f>
        <v/>
      </c>
      <c r="M182" s="15">
        <f>IF(OR(M180="",I180=""),"",IF(I180&lt;=0,"",IFERROR(M180/I180-1,"")))</f>
        <v/>
      </c>
      <c r="N182" s="15">
        <f>IF(OR(N180="",J180=""),"",IF(J180&lt;=0,"",IFERROR(N180/J180-1,"")))</f>
        <v/>
      </c>
      <c r="V182" s="15">
        <f>IF(OR(V180="",U180=""),"",IF(U180&lt;=0,"",IFERROR(V180/U180-1,"")))</f>
        <v/>
      </c>
      <c r="W182" s="15">
        <f>IF(OR(W180="",V180=""),"",IF(V180&lt;=0,"",IFERROR(W180/V180-1,"")))</f>
        <v/>
      </c>
      <c r="X182" s="15">
        <f>IF(OR(X180="",W180=""),"",IF(W180&lt;=0,"",IFERROR(X180/W180-1,"")))</f>
        <v/>
      </c>
    </row>
    <row r="183">
      <c r="A183" s="18" t="inlineStr">
        <is>
          <t>IndustryReportableSegmentsMember · 부문 이익(손실)</t>
        </is>
      </c>
      <c r="C183" s="20" t="n">
        <v>270</v>
      </c>
      <c r="D183" s="20" t="n">
        <v>202</v>
      </c>
      <c r="E183" s="20" t="n">
        <v>507</v>
      </c>
      <c r="F183" s="20" t="n">
        <v>235</v>
      </c>
      <c r="G183" s="20" t="n">
        <v>368</v>
      </c>
      <c r="H183" s="20" t="n">
        <v>405</v>
      </c>
      <c r="I183" s="20" t="n">
        <v>417</v>
      </c>
      <c r="J183" s="20" t="n">
        <v>100</v>
      </c>
      <c r="K183" s="20" t="n">
        <v>320</v>
      </c>
      <c r="L183" s="20" t="n">
        <v>350</v>
      </c>
      <c r="M183" s="20" t="n">
        <v>619</v>
      </c>
      <c r="N183" s="20" t="n">
        <v>308</v>
      </c>
      <c r="V183" s="20" t="n">
        <v>507</v>
      </c>
      <c r="W183" s="20" t="n">
        <v>417</v>
      </c>
      <c r="X183" s="20" t="n">
        <v>619</v>
      </c>
    </row>
    <row r="184">
      <c r="A184" s="43" t="inlineStr">
        <is>
          <t>OPM</t>
        </is>
      </c>
      <c r="B184" s="3" t="inlineStr">
        <is>
          <t>영업이익 ÷ 매출</t>
        </is>
      </c>
      <c r="C184" s="15">
        <f>IF(OR(C183="",C168=""),"",IF(C168&lt;=0,"",IFERROR(C183/C168,"")))</f>
        <v/>
      </c>
      <c r="D184" s="15">
        <f>IF(OR(D183="",D168=""),"",IF(D168&lt;=0,"",IFERROR(D183/D168,"")))</f>
        <v/>
      </c>
      <c r="E184" s="15">
        <f>IF(OR(E183="",E168=""),"",IF(E168&lt;=0,"",IFERROR(E183/E168,"")))</f>
        <v/>
      </c>
      <c r="F184" s="15">
        <f>IF(OR(F183="",F168=""),"",IF(F168&lt;=0,"",IFERROR(F183/F168,"")))</f>
        <v/>
      </c>
      <c r="G184" s="15">
        <f>IF(OR(G183="",G168=""),"",IF(G168&lt;=0,"",IFERROR(G183/G168,"")))</f>
        <v/>
      </c>
      <c r="H184" s="15">
        <f>IF(OR(H183="",H168=""),"",IF(H168&lt;=0,"",IFERROR(H183/H168,"")))</f>
        <v/>
      </c>
      <c r="I184" s="15">
        <f>IF(OR(I183="",I168=""),"",IF(I168&lt;=0,"",IFERROR(I183/I168,"")))</f>
        <v/>
      </c>
      <c r="J184" s="15">
        <f>IF(OR(J183="",J168=""),"",IF(J168&lt;=0,"",IFERROR(J183/J168,"")))</f>
        <v/>
      </c>
      <c r="K184" s="15">
        <f>IF(OR(K183="",K168=""),"",IF(K168&lt;=0,"",IFERROR(K183/K168,"")))</f>
        <v/>
      </c>
      <c r="L184" s="15">
        <f>IF(OR(L183="",L168=""),"",IF(L168&lt;=0,"",IFERROR(L183/L168,"")))</f>
        <v/>
      </c>
      <c r="M184" s="15">
        <f>IF(OR(M183="",M168=""),"",IF(M168&lt;=0,"",IFERROR(M183/M168,"")))</f>
        <v/>
      </c>
      <c r="N184" s="15">
        <f>IF(OR(N183="",N168=""),"",IF(N168&lt;=0,"",IFERROR(N183/N168,"")))</f>
        <v/>
      </c>
      <c r="V184" s="15">
        <f>IF(OR(V183="",V168=""),"",IF(V168&lt;=0,"",IFERROR(V183/V168,"")))</f>
        <v/>
      </c>
      <c r="W184" s="15">
        <f>IF(OR(W183="",W168=""),"",IF(W168&lt;=0,"",IFERROR(W183/W168,"")))</f>
        <v/>
      </c>
      <c r="X184" s="15">
        <f>IF(OR(X183="",X168=""),"",IF(X168&lt;=0,"",IFERROR(X183/X168,"")))</f>
        <v/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IF(OR(G183="",C183=""),"",IF(C183&lt;=0,"",IFERROR(G183/C183-1,"")))</f>
        <v/>
      </c>
      <c r="H185" s="15">
        <f>IF(OR(H183="",D183=""),"",IF(D183&lt;=0,"",IFERROR(H183/D183-1,"")))</f>
        <v/>
      </c>
      <c r="I185" s="15">
        <f>IF(OR(I183="",E183=""),"",IF(E183&lt;=0,"",IFERROR(I183/E183-1,"")))</f>
        <v/>
      </c>
      <c r="J185" s="15">
        <f>IF(OR(J183="",F183=""),"",IF(F183&lt;=0,"",IFERROR(J183/F183-1,"")))</f>
        <v/>
      </c>
      <c r="K185" s="15">
        <f>IF(OR(K183="",G183=""),"",IF(G183&lt;=0,"",IFERROR(K183/G183-1,"")))</f>
        <v/>
      </c>
      <c r="L185" s="15">
        <f>IF(OR(L183="",H183=""),"",IF(H183&lt;=0,"",IFERROR(L183/H183-1,"")))</f>
        <v/>
      </c>
      <c r="M185" s="15">
        <f>IF(OR(M183="",I183=""),"",IF(I183&lt;=0,"",IFERROR(M183/I183-1,"")))</f>
        <v/>
      </c>
      <c r="N185" s="15">
        <f>IF(OR(N183="",J183=""),"",IF(J183&lt;=0,"",IFERROR(N183/J183-1,"")))</f>
        <v/>
      </c>
      <c r="V185" s="15">
        <f>IF(OR(V183="",U183=""),"",IF(U183&lt;=0,"",IFERROR(V183/U183-1,"")))</f>
        <v/>
      </c>
      <c r="W185" s="15">
        <f>IF(OR(W183="",V183=""),"",IF(V183&lt;=0,"",IFERROR(W183/V183-1,"")))</f>
        <v/>
      </c>
      <c r="X185" s="15">
        <f>IF(OR(X183="",W183=""),"",IF(W183&lt;=0,"",IFERROR(X183/W183-1,"")))</f>
        <v/>
      </c>
    </row>
    <row r="186">
      <c r="A186" s="18" t="inlineStr">
        <is>
          <t>ICTSolutionReportableSegmentMember · 부문 이익(손실)</t>
        </is>
      </c>
      <c r="C186" s="20" t="n">
        <v>59</v>
      </c>
      <c r="D186" s="20" t="n">
        <v>79</v>
      </c>
      <c r="E186" s="20" t="n">
        <v>116</v>
      </c>
      <c r="F186" s="20" t="n">
        <v>82</v>
      </c>
      <c r="G186" s="20" t="n">
        <v>109</v>
      </c>
      <c r="H186" s="20" t="n">
        <v>196</v>
      </c>
      <c r="I186" s="20" t="n">
        <v>156</v>
      </c>
      <c r="J186" s="20" t="n">
        <v>-44</v>
      </c>
      <c r="K186" s="20" t="n">
        <v>-126</v>
      </c>
      <c r="L186" s="20" t="n">
        <v>80</v>
      </c>
      <c r="M186" s="20" t="n">
        <v>60</v>
      </c>
      <c r="V186" s="20" t="n">
        <v>116</v>
      </c>
      <c r="W186" s="20" t="n">
        <v>156</v>
      </c>
      <c r="X186" s="20" t="n">
        <v>60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IF(OR(C186="",C170=""),"",IF(C170&lt;=0,"",IFERROR(C186/C170,"")))</f>
        <v/>
      </c>
      <c r="D187" s="15">
        <f>IF(OR(D186="",D170=""),"",IF(D170&lt;=0,"",IFERROR(D186/D170,"")))</f>
        <v/>
      </c>
      <c r="E187" s="15">
        <f>IF(OR(E186="",E170=""),"",IF(E170&lt;=0,"",IFERROR(E186/E170,"")))</f>
        <v/>
      </c>
      <c r="F187" s="15">
        <f>IF(OR(F186="",F170=""),"",IF(F170&lt;=0,"",IFERROR(F186/F170,"")))</f>
        <v/>
      </c>
      <c r="G187" s="15">
        <f>IF(OR(G186="",G170=""),"",IF(G170&lt;=0,"",IFERROR(G186/G170,"")))</f>
        <v/>
      </c>
      <c r="H187" s="15">
        <f>IF(OR(H186="",H170=""),"",IF(H170&lt;=0,"",IFERROR(H186/H170,"")))</f>
        <v/>
      </c>
      <c r="I187" s="15">
        <f>IF(OR(I186="",I170=""),"",IF(I170&lt;=0,"",IFERROR(I186/I170,"")))</f>
        <v/>
      </c>
      <c r="J187" s="15">
        <f>IF(OR(J186="",J170=""),"",IF(J170&lt;=0,"",IFERROR(J186/J170,"")))</f>
        <v/>
      </c>
      <c r="K187" s="15">
        <f>IF(OR(K186="",K170=""),"",IF(K170&lt;=0,"",IFERROR(K186/K170,"")))</f>
        <v/>
      </c>
      <c r="L187" s="15">
        <f>IF(OR(L186="",L170=""),"",IF(L170&lt;=0,"",IFERROR(L186/L170,"")))</f>
        <v/>
      </c>
      <c r="M187" s="15">
        <f>IF(OR(M186="",M170=""),"",IF(M170&lt;=0,"",IFERROR(M186/M170,"")))</f>
        <v/>
      </c>
      <c r="V187" s="15">
        <f>IF(OR(V186="",V170=""),"",IF(V170&lt;=0,"",IFERROR(V186/V170,"")))</f>
        <v/>
      </c>
      <c r="W187" s="15">
        <f>IF(OR(W186="",W170=""),"",IF(W170&lt;=0,"",IFERROR(W186/W170,"")))</f>
        <v/>
      </c>
      <c r="X187" s="15">
        <f>IF(OR(X186="",X170=""),"",IF(X170&lt;=0,"",IFERROR(X186/X170,"")))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I188" s="15">
        <f>IF(OR(I186="",E186=""),"",IF(E186&lt;=0,"",IFERROR(I186/E186-1,"")))</f>
        <v/>
      </c>
      <c r="J188" s="15">
        <f>IF(OR(J186="",F186=""),"",IF(F186&lt;=0,"",IFERROR(J186/F186-1,"")))</f>
        <v/>
      </c>
      <c r="K188" s="15">
        <f>IF(OR(K186="",G186=""),"",IF(G186&lt;=0,"",IFERROR(K186/G186-1,"")))</f>
        <v/>
      </c>
      <c r="L188" s="15">
        <f>IF(OR(L186="",H186=""),"",IF(H186&lt;=0,"",IFERROR(L186/H186-1,"")))</f>
        <v/>
      </c>
      <c r="M188" s="15">
        <f>IF(OR(M186="",I186=""),"",IF(I186&lt;=0,"",IFERROR(M186/I186-1,"")))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  <c r="X188" s="15">
        <f>IF(OR(X186="",W186=""),"",IF(W186&lt;=0,"",IFERROR(X186/W186-1,"")))</f>
        <v/>
      </c>
    </row>
    <row r="189">
      <c r="A189" s="18" t="inlineStr">
        <is>
          <t>기타 · 부문 이익(손실)</t>
        </is>
      </c>
      <c r="C189" s="20" t="n">
        <v>0</v>
      </c>
      <c r="D189" s="20" t="n">
        <v>-1</v>
      </c>
      <c r="E189" s="20" t="n">
        <v>0</v>
      </c>
      <c r="F189" s="20" t="n">
        <v>-1</v>
      </c>
      <c r="G189" s="20" t="n">
        <v>1</v>
      </c>
      <c r="H189" s="20" t="n">
        <v>0</v>
      </c>
      <c r="I189" s="20" t="n">
        <v>0</v>
      </c>
      <c r="J189" s="20" t="n">
        <v>0</v>
      </c>
      <c r="K189" s="20" t="n">
        <v>3</v>
      </c>
      <c r="L189" s="20" t="n">
        <v>-2</v>
      </c>
      <c r="M189" s="20" t="n">
        <v>0</v>
      </c>
      <c r="N189" s="20" t="n">
        <v>-1</v>
      </c>
      <c r="V189" s="20" t="n">
        <v>0</v>
      </c>
      <c r="W189" s="20" t="n">
        <v>0</v>
      </c>
      <c r="X189" s="20" t="n">
        <v>0</v>
      </c>
    </row>
    <row r="190">
      <c r="A190" s="43" t="inlineStr">
        <is>
          <t>OPM</t>
        </is>
      </c>
      <c r="B190" s="3" t="inlineStr">
        <is>
          <t>영업이익 ÷ 매출</t>
        </is>
      </c>
      <c r="C190" s="15">
        <f>IF(OR(C189="",C172=""),"",IF(C172&lt;=0,"",IFERROR(C189/C172,"")))</f>
        <v/>
      </c>
      <c r="D190" s="15">
        <f>IF(OR(D189="",D172=""),"",IF(D172&lt;=0,"",IFERROR(D189/D172,"")))</f>
        <v/>
      </c>
      <c r="E190" s="15">
        <f>IF(OR(E189="",E172=""),"",IF(E172&lt;=0,"",IFERROR(E189/E172,"")))</f>
        <v/>
      </c>
      <c r="F190" s="15">
        <f>IF(OR(F189="",F172=""),"",IF(F172&lt;=0,"",IFERROR(F189/F172,"")))</f>
        <v/>
      </c>
      <c r="G190" s="15">
        <f>IF(OR(G189="",G172=""),"",IF(G172&lt;=0,"",IFERROR(G189/G172,"")))</f>
        <v/>
      </c>
      <c r="H190" s="15">
        <f>IF(OR(H189="",H172=""),"",IF(H172&lt;=0,"",IFERROR(H189/H172,"")))</f>
        <v/>
      </c>
      <c r="I190" s="15">
        <f>IF(OR(I189="",I172=""),"",IF(I172&lt;=0,"",IFERROR(I189/I172,"")))</f>
        <v/>
      </c>
      <c r="J190" s="15">
        <f>IF(OR(J189="",J172=""),"",IF(J172&lt;=0,"",IFERROR(J189/J172,"")))</f>
        <v/>
      </c>
      <c r="K190" s="15">
        <f>IF(OR(K189="",K172=""),"",IF(K172&lt;=0,"",IFERROR(K189/K172,"")))</f>
        <v/>
      </c>
      <c r="L190" s="15">
        <f>IF(OR(L189="",L172=""),"",IF(L172&lt;=0,"",IFERROR(L189/L172,"")))</f>
        <v/>
      </c>
      <c r="M190" s="15">
        <f>IF(OR(M189="",M172=""),"",IF(M172&lt;=0,"",IFERROR(M189/M172,"")))</f>
        <v/>
      </c>
      <c r="N190" s="15">
        <f>IF(OR(N189="",N172=""),"",IF(N172&lt;=0,"",IFERROR(N189/N172,"")))</f>
        <v/>
      </c>
      <c r="V190" s="15">
        <f>IF(OR(V189="",V172=""),"",IF(V172&lt;=0,"",IFERROR(V189/V172,"")))</f>
        <v/>
      </c>
      <c r="W190" s="15">
        <f>IF(OR(W189="",W172=""),"",IF(W172&lt;=0,"",IFERROR(W189/W172,"")))</f>
        <v/>
      </c>
      <c r="X190" s="15">
        <f>IF(OR(X189="",X172=""),"",IF(X172&lt;=0,"",IFERROR(X189/X172,"")))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IF(OR(G189="",C189=""),"",IF(C189&lt;=0,"",IFERROR(G189/C189-1,"")))</f>
        <v/>
      </c>
      <c r="H191" s="15">
        <f>IF(OR(H189="",D189=""),"",IF(D189&lt;=0,"",IFERROR(H189/D189-1,"")))</f>
        <v/>
      </c>
      <c r="I191" s="15">
        <f>IF(OR(I189="",E189=""),"",IF(E189&lt;=0,"",IFERROR(I189/E189-1,"")))</f>
        <v/>
      </c>
      <c r="J191" s="15">
        <f>IF(OR(J189="",F189=""),"",IF(F189&lt;=0,"",IFERROR(J189/F189-1,"")))</f>
        <v/>
      </c>
      <c r="K191" s="15">
        <f>IF(OR(K189="",G189=""),"",IF(G189&lt;=0,"",IFERROR(K189/G189-1,"")))</f>
        <v/>
      </c>
      <c r="L191" s="15">
        <f>IF(OR(L189="",H189=""),"",IF(H189&lt;=0,"",IFERROR(L189/H189-1,"")))</f>
        <v/>
      </c>
      <c r="M191" s="15">
        <f>IF(OR(M189="",I189=""),"",IF(I189&lt;=0,"",IFERROR(M189/I189-1,"")))</f>
        <v/>
      </c>
      <c r="N191" s="15">
        <f>IF(OR(N189="",J189=""),"",IF(J189&lt;=0,"",IFERROR(N189/J189-1,"")))</f>
        <v/>
      </c>
      <c r="V191" s="15">
        <f>IF(OR(V189="",U189=""),"",IF(U189&lt;=0,"",IFERROR(V189/U189-1,"")))</f>
        <v/>
      </c>
      <c r="W191" s="15">
        <f>IF(OR(W189="",V189=""),"",IF(V189&lt;=0,"",IFERROR(W189/V189-1,"")))</f>
        <v/>
      </c>
      <c r="X191" s="15">
        <f>IF(OR(X189="",W189=""),"",IF(W189&lt;=0,"",IFERROR(X189/W189-1,"")))</f>
        <v/>
      </c>
    </row>
    <row r="192">
      <c r="A192" s="18" t="inlineStr">
        <is>
          <t>합계 · 부문 이익(손실)</t>
        </is>
      </c>
      <c r="C192" s="20" t="n">
        <v>955</v>
      </c>
      <c r="D192" s="20" t="n">
        <v>651</v>
      </c>
      <c r="E192" s="20" t="n">
        <v>1517</v>
      </c>
      <c r="F192" s="20" t="n">
        <v>757</v>
      </c>
      <c r="G192" s="20" t="n">
        <v>1533</v>
      </c>
      <c r="H192" s="20" t="n">
        <v>1334</v>
      </c>
      <c r="I192" s="20" t="n">
        <v>1959</v>
      </c>
      <c r="J192" s="20" t="n">
        <v>1161</v>
      </c>
      <c r="K192" s="20" t="n">
        <v>1228</v>
      </c>
      <c r="L192" s="20" t="n">
        <v>2121</v>
      </c>
      <c r="M192" s="20" t="n">
        <v>2167</v>
      </c>
      <c r="N192" s="20" t="n">
        <v>2042</v>
      </c>
      <c r="V192" s="20" t="n">
        <v>1517</v>
      </c>
      <c r="W192" s="20" t="n">
        <v>1959</v>
      </c>
      <c r="X192" s="20" t="n">
        <v>2167</v>
      </c>
    </row>
    <row r="193">
      <c r="A193" s="43" t="inlineStr">
        <is>
          <t>OPM</t>
        </is>
      </c>
      <c r="B193" s="3" t="inlineStr">
        <is>
          <t>영업이익 ÷ 매출</t>
        </is>
      </c>
      <c r="C193" s="15">
        <f>IF(OR(C192="",C174=""),"",IF(C174&lt;=0,"",IFERROR(C192/C174,"")))</f>
        <v/>
      </c>
      <c r="D193" s="15">
        <f>IF(OR(D192="",D174=""),"",IF(D174&lt;=0,"",IFERROR(D192/D174,"")))</f>
        <v/>
      </c>
      <c r="E193" s="15">
        <f>IF(OR(E192="",E174=""),"",IF(E174&lt;=0,"",IFERROR(E192/E174,"")))</f>
        <v/>
      </c>
      <c r="F193" s="15">
        <f>IF(OR(F192="",F174=""),"",IF(F174&lt;=0,"",IFERROR(F192/F174,"")))</f>
        <v/>
      </c>
      <c r="G193" s="15">
        <f>IF(OR(G192="",G174=""),"",IF(G174&lt;=0,"",IFERROR(G192/G174,"")))</f>
        <v/>
      </c>
      <c r="H193" s="15">
        <f>IF(OR(H192="",H174=""),"",IF(H174&lt;=0,"",IFERROR(H192/H174,"")))</f>
        <v/>
      </c>
      <c r="I193" s="15">
        <f>IF(OR(I192="",I174=""),"",IF(I174&lt;=0,"",IFERROR(I192/I174,"")))</f>
        <v/>
      </c>
      <c r="J193" s="15">
        <f>IF(OR(J192="",J174=""),"",IF(J174&lt;=0,"",IFERROR(J192/J174,"")))</f>
        <v/>
      </c>
      <c r="K193" s="15">
        <f>IF(OR(K192="",K174=""),"",IF(K174&lt;=0,"",IFERROR(K192/K174,"")))</f>
        <v/>
      </c>
      <c r="L193" s="15">
        <f>IF(OR(L192="",L174=""),"",IF(L174&lt;=0,"",IFERROR(L192/L174,"")))</f>
        <v/>
      </c>
      <c r="M193" s="15">
        <f>IF(OR(M192="",M174=""),"",IF(M174&lt;=0,"",IFERROR(M192/M174,"")))</f>
        <v/>
      </c>
      <c r="N193" s="15">
        <f>IF(OR(N192="",N174=""),"",IF(N174&lt;=0,"",IFERROR(N192/N174,"")))</f>
        <v/>
      </c>
      <c r="V193" s="15">
        <f>IF(OR(V192="",V174=""),"",IF(V174&lt;=0,"",IFERROR(V192/V174,"")))</f>
        <v/>
      </c>
      <c r="W193" s="15">
        <f>IF(OR(W192="",W174=""),"",IF(W174&lt;=0,"",IFERROR(W192/W174,"")))</f>
        <v/>
      </c>
      <c r="X193" s="15">
        <f>IF(OR(X192="",X174=""),"",IF(X174&lt;=0,"",IFERROR(X192/X174,"")))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IF(OR(G192="",C192=""),"",IF(C192&lt;=0,"",IFERROR(G192/C192-1,"")))</f>
        <v/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J194" s="15">
        <f>IF(OR(J192="",F192=""),"",IF(F192&lt;=0,"",IFERROR(J192/F192-1,"")))</f>
        <v/>
      </c>
      <c r="K194" s="15">
        <f>IF(OR(K192="",G192=""),"",IF(G192&lt;=0,"",IFERROR(K192/G192-1,"")))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N194" s="15">
        <f>IF(OR(N192="",J192=""),"",IF(J192&lt;=0,"",IFERROR(N192/J192-1,"")))</f>
        <v/>
      </c>
      <c r="V194" s="15">
        <f>IF(OR(V192="",U192=""),"",IF(U192&lt;=0,"",IFERROR(V192/U192-1,"")))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5">
      <c r="A195" s="18" t="inlineStr">
        <is>
          <t>조정액 · 부문 이익(손실)</t>
        </is>
      </c>
      <c r="C195" s="20" t="n">
        <v>-705</v>
      </c>
      <c r="D195" s="20" t="n">
        <v>-679</v>
      </c>
      <c r="E195" s="20" t="n">
        <v>-749</v>
      </c>
      <c r="F195" s="20" t="n">
        <v>-729</v>
      </c>
      <c r="G195" s="20" t="n">
        <v>-798</v>
      </c>
      <c r="H195" s="20" t="n">
        <v>-810</v>
      </c>
      <c r="I195" s="20" t="n">
        <v>-862</v>
      </c>
      <c r="J195" s="20" t="n">
        <v>-793</v>
      </c>
      <c r="K195" s="20" t="n">
        <v>-919</v>
      </c>
      <c r="L195" s="20" t="n">
        <v>-902</v>
      </c>
      <c r="M195" s="20" t="n">
        <v>-951</v>
      </c>
      <c r="N195" s="20" t="n">
        <v>-969</v>
      </c>
      <c r="V195" s="20" t="n">
        <v>-749</v>
      </c>
      <c r="W195" s="20" t="n">
        <v>-862</v>
      </c>
      <c r="X195" s="20" t="n">
        <v>-951</v>
      </c>
    </row>
    <row r="196">
      <c r="A196" s="9" t="inlineStr">
        <is>
          <t>부문 이익(손실)</t>
        </is>
      </c>
      <c r="C196" s="12" t="n">
        <v>249</v>
      </c>
      <c r="D196" s="12" t="n">
        <v>-28</v>
      </c>
      <c r="E196" s="12" t="n">
        <v>768</v>
      </c>
      <c r="F196" s="12" t="n">
        <v>27</v>
      </c>
      <c r="G196" s="12" t="n">
        <v>735</v>
      </c>
      <c r="H196" s="12" t="n">
        <v>525</v>
      </c>
      <c r="I196" s="12" t="n">
        <v>1097</v>
      </c>
      <c r="V196" s="12" t="n">
        <v>768</v>
      </c>
      <c r="W196" s="12" t="n">
        <v>1097</v>
      </c>
    </row>
    <row r="197">
      <c r="A197" s="43" t="inlineStr">
        <is>
          <t>OPM</t>
        </is>
      </c>
      <c r="B197" s="3" t="inlineStr">
        <is>
          <t>영업이익 ÷ 매출</t>
        </is>
      </c>
      <c r="C197" s="15">
        <f>IF(OR(C196="",C155=""),"",IF(C155&lt;=0,"",IFERROR(C196/C155,"")))</f>
        <v/>
      </c>
      <c r="D197" s="15">
        <f>IF(OR(D196="",D155=""),"",IF(D155&lt;=0,"",IFERROR(D196/D155,"")))</f>
        <v/>
      </c>
      <c r="E197" s="15">
        <f>IF(OR(E196="",E155=""),"",IF(E155&lt;=0,"",IFERROR(E196/E155,"")))</f>
        <v/>
      </c>
      <c r="F197" s="15">
        <f>IF(OR(F196="",F155=""),"",IF(F155&lt;=0,"",IFERROR(F196/F155,"")))</f>
        <v/>
      </c>
      <c r="G197" s="15">
        <f>IF(OR(G196="",G155=""),"",IF(G155&lt;=0,"",IFERROR(G196/G155,"")))</f>
        <v/>
      </c>
      <c r="H197" s="15">
        <f>IF(OR(H196="",H155=""),"",IF(H155&lt;=0,"",IFERROR(H196/H155,"")))</f>
        <v/>
      </c>
      <c r="I197" s="15">
        <f>IF(OR(I196="",I155=""),"",IF(I155&lt;=0,"",IFERROR(I196/I155,"")))</f>
        <v/>
      </c>
      <c r="V197" s="15">
        <f>IF(OR(V196="",V155=""),"",IF(V155&lt;=0,"",IFERROR(V196/V155,"")))</f>
        <v/>
      </c>
      <c r="W197" s="15">
        <f>IF(OR(W196="",W155=""),"",IF(W155&lt;=0,"",IFERROR(W196/W155,"")))</f>
        <v/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IF(OR(G196="",C196=""),"",IF(C196&lt;=0,"",IFERROR(G196/C196-1,"")))</f>
        <v/>
      </c>
      <c r="H198" s="15">
        <f>IF(OR(H196="",D196=""),"",IF(D196&lt;=0,"",IFERROR(H196/D196-1,"")))</f>
        <v/>
      </c>
      <c r="I198" s="15">
        <f>IF(OR(I196="",E196=""),"",IF(E196&lt;=0,"",IFERROR(I196/E196-1,"")))</f>
        <v/>
      </c>
      <c r="V198" s="15">
        <f>IF(OR(V196="",U196=""),"",IF(U196&lt;=0,"",IFERROR(V196/U196-1,"")))</f>
        <v/>
      </c>
      <c r="W198" s="15">
        <f>IF(OR(W196="",V196=""),"",IF(V196&lt;=0,"",IFERROR(W196/V196-1,"")))</f>
        <v/>
      </c>
    </row>
    <row r="199">
      <c r="A199" s="18" t="inlineStr">
        <is>
          <t>EntityTotalMember · 부문 이익(손실)</t>
        </is>
      </c>
      <c r="F199" s="20" t="n">
        <v>27</v>
      </c>
      <c r="J199" s="20" t="n">
        <v>367</v>
      </c>
      <c r="N199" s="20" t="n">
        <v>1073</v>
      </c>
    </row>
    <row r="201">
      <c r="A201" s="16" t="inlineStr">
        <is>
          <t>현금흐름표 · 전 항목</t>
        </is>
      </c>
      <c r="B201" s="42" t="inlineStr">
        <is>
          <t>분기 = 결산기 첫날부터 누계(공시 그대로)</t>
        </is>
      </c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  <c r="AA201" s="16" t="n"/>
      <c r="AB201" s="16" t="n"/>
      <c r="AC201" s="16" t="n"/>
    </row>
    <row r="202">
      <c r="A202" s="5" t="inlineStr">
        <is>
          <t>항목</t>
        </is>
      </c>
      <c r="B202" s="5" t="inlineStr">
        <is>
          <t>참고</t>
        </is>
      </c>
      <c r="C202" s="5" t="inlineStr">
        <is>
          <t>2024.2Q</t>
        </is>
      </c>
      <c r="D202" s="5" t="inlineStr">
        <is>
          <t>2024.3Q</t>
        </is>
      </c>
      <c r="E202" s="5" t="inlineStr">
        <is>
          <t>2024.4Q</t>
        </is>
      </c>
      <c r="F202" s="5" t="inlineStr">
        <is>
          <t>2025.1Q</t>
        </is>
      </c>
      <c r="G202" s="5" t="inlineStr">
        <is>
          <t>2025.2Q</t>
        </is>
      </c>
      <c r="H202" s="5" t="inlineStr">
        <is>
          <t>2025.3Q</t>
        </is>
      </c>
      <c r="I202" s="5" t="inlineStr">
        <is>
          <t>2025.4Q</t>
        </is>
      </c>
      <c r="J202" s="5" t="inlineStr">
        <is>
          <t>2026.1Q</t>
        </is>
      </c>
      <c r="K202" s="5" t="inlineStr">
        <is>
          <t>2026.2Q</t>
        </is>
      </c>
      <c r="L202" s="5" t="inlineStr">
        <is>
          <t>2026.3Q</t>
        </is>
      </c>
      <c r="M202" s="5" t="inlineStr">
        <is>
          <t>2026.4Q</t>
        </is>
      </c>
      <c r="N202" s="5" t="inlineStr">
        <is>
          <t>2027.1Q</t>
        </is>
      </c>
      <c r="O202" s="5" t="inlineStr">
        <is>
          <t>2017</t>
        </is>
      </c>
      <c r="P202" s="5" t="inlineStr">
        <is>
          <t>2018</t>
        </is>
      </c>
      <c r="Q202" s="5" t="inlineStr">
        <is>
          <t>2019</t>
        </is>
      </c>
      <c r="R202" s="5" t="inlineStr">
        <is>
          <t>2020</t>
        </is>
      </c>
      <c r="S202" s="5" t="inlineStr">
        <is>
          <t>2021</t>
        </is>
      </c>
      <c r="T202" s="5" t="inlineStr">
        <is>
          <t>2022</t>
        </is>
      </c>
      <c r="U202" s="5" t="inlineStr">
        <is>
          <t>2023</t>
        </is>
      </c>
      <c r="V202" s="5" t="inlineStr">
        <is>
          <t>2024</t>
        </is>
      </c>
      <c r="W202" s="5" t="inlineStr">
        <is>
          <t>2025</t>
        </is>
      </c>
      <c r="X202" s="5" t="inlineStr">
        <is>
          <t>2026</t>
        </is>
      </c>
      <c r="Y202" s="5" t="inlineStr">
        <is>
          <t>2027(MW)</t>
        </is>
      </c>
      <c r="Z202" s="5" t="inlineStr">
        <is>
          <t>2028(MW)</t>
        </is>
      </c>
      <c r="AA202" s="5" t="inlineStr">
        <is>
          <t>2029(MW)</t>
        </is>
      </c>
      <c r="AB202" s="5" t="inlineStr">
        <is>
          <t>2030(MW)</t>
        </is>
      </c>
      <c r="AC202" s="5" t="inlineStr">
        <is>
          <t>2031(MW)</t>
        </is>
      </c>
    </row>
    <row r="203">
      <c r="A203" s="9" t="inlineStr">
        <is>
          <t>법인세차감전 순이익</t>
        </is>
      </c>
      <c r="C203" s="12" t="n">
        <v>523</v>
      </c>
      <c r="E203" s="12" t="n">
        <v>1395</v>
      </c>
      <c r="G203" s="12" t="n">
        <v>1138</v>
      </c>
      <c r="I203" s="12" t="n">
        <v>2708</v>
      </c>
      <c r="K203" s="12" t="n">
        <v>1166</v>
      </c>
      <c r="M203" s="12" t="n">
        <v>3954</v>
      </c>
      <c r="O203" s="12" t="n">
        <v>1707</v>
      </c>
      <c r="P203" s="12" t="n">
        <v>964</v>
      </c>
      <c r="Q203" s="12" t="n">
        <v>1246</v>
      </c>
      <c r="R203" s="12" t="n">
        <v>1653</v>
      </c>
      <c r="S203" s="12" t="n">
        <v>1164</v>
      </c>
      <c r="T203" s="12" t="n">
        <v>-1230</v>
      </c>
      <c r="U203" s="12" t="n">
        <v>1155</v>
      </c>
      <c r="V203" s="12" t="n">
        <v>1395</v>
      </c>
      <c r="W203" s="12" t="n">
        <v>2708</v>
      </c>
      <c r="X203" s="12" t="n">
        <v>3954</v>
      </c>
    </row>
    <row r="204">
      <c r="A204" s="18" t="inlineStr">
        <is>
          <t>감가상각비</t>
        </is>
      </c>
      <c r="C204" s="20" t="n">
        <v>349</v>
      </c>
      <c r="E204" s="20" t="n">
        <v>760</v>
      </c>
      <c r="G204" s="20" t="n">
        <v>321</v>
      </c>
      <c r="I204" s="20" t="n">
        <v>707</v>
      </c>
      <c r="K204" s="20" t="n">
        <v>329</v>
      </c>
      <c r="M204" s="20" t="n">
        <v>712</v>
      </c>
      <c r="O204" s="20" t="n">
        <v>801</v>
      </c>
      <c r="P204" s="20" t="n">
        <v>1237</v>
      </c>
      <c r="Q204" s="20" t="n">
        <v>1774</v>
      </c>
      <c r="R204" s="20" t="n">
        <v>1487</v>
      </c>
      <c r="S204" s="20" t="n">
        <v>1413</v>
      </c>
      <c r="T204" s="20" t="n">
        <v>1257</v>
      </c>
      <c r="U204" s="20" t="n">
        <v>840</v>
      </c>
      <c r="V204" s="20" t="n">
        <v>760</v>
      </c>
      <c r="W204" s="20" t="n">
        <v>707</v>
      </c>
      <c r="X204" s="20" t="n">
        <v>712</v>
      </c>
    </row>
    <row r="205">
      <c r="A205" s="18" t="inlineStr">
        <is>
          <t>손상차손</t>
        </is>
      </c>
      <c r="E205" s="20" t="n">
        <v>0</v>
      </c>
      <c r="I205" s="20" t="n">
        <v>38</v>
      </c>
      <c r="M205" s="20" t="n">
        <v>0</v>
      </c>
      <c r="S205" s="20" t="n">
        <v>0</v>
      </c>
      <c r="T205" s="20" t="n">
        <v>2256</v>
      </c>
      <c r="U205" s="20" t="n">
        <v>0</v>
      </c>
      <c r="V205" s="20" t="n">
        <v>0</v>
      </c>
      <c r="W205" s="20" t="n">
        <v>38</v>
      </c>
      <c r="X205" s="20" t="n">
        <v>0</v>
      </c>
    </row>
    <row r="206">
      <c r="A206" s="18" t="inlineStr">
        <is>
          <t>대손충당금 증감</t>
        </is>
      </c>
      <c r="C206" s="20" t="n">
        <v>37</v>
      </c>
      <c r="E206" s="20" t="n">
        <v>10</v>
      </c>
      <c r="G206" s="20" t="n">
        <v>15</v>
      </c>
      <c r="I206" s="20" t="n">
        <v>302</v>
      </c>
      <c r="K206" s="20" t="n">
        <v>-0</v>
      </c>
      <c r="M206" s="20" t="n">
        <v>12</v>
      </c>
      <c r="O206" s="20" t="n">
        <v>-1</v>
      </c>
      <c r="P206" s="20" t="n">
        <v>0</v>
      </c>
      <c r="Q206" s="20" t="n">
        <v>-0</v>
      </c>
      <c r="R206" s="20" t="n">
        <v>-7</v>
      </c>
      <c r="S206" s="20" t="n">
        <v>2</v>
      </c>
      <c r="T206" s="20" t="n">
        <v>-0</v>
      </c>
      <c r="U206" s="20" t="n">
        <v>9</v>
      </c>
      <c r="V206" s="20" t="n">
        <v>10</v>
      </c>
      <c r="W206" s="20" t="n">
        <v>302</v>
      </c>
      <c r="X206" s="20" t="n">
        <v>12</v>
      </c>
    </row>
    <row r="207">
      <c r="A207" s="18" t="inlineStr">
        <is>
          <t>상여충당금 증감</t>
        </is>
      </c>
      <c r="C207" s="20" t="n">
        <v>4</v>
      </c>
      <c r="E207" s="20" t="n">
        <v>63</v>
      </c>
      <c r="G207" s="20" t="n">
        <v>105</v>
      </c>
      <c r="I207" s="20" t="n">
        <v>307</v>
      </c>
      <c r="K207" s="20" t="n">
        <v>119</v>
      </c>
      <c r="M207" s="20" t="n">
        <v>103</v>
      </c>
      <c r="O207" s="20" t="n">
        <v>24</v>
      </c>
      <c r="P207" s="20" t="n">
        <v>-138</v>
      </c>
      <c r="Q207" s="20" t="n">
        <v>5</v>
      </c>
      <c r="R207" s="20" t="n">
        <v>57</v>
      </c>
      <c r="S207" s="20" t="n">
        <v>-49</v>
      </c>
      <c r="T207" s="20" t="n">
        <v>-128</v>
      </c>
      <c r="U207" s="20" t="n">
        <v>-26</v>
      </c>
      <c r="V207" s="20" t="n">
        <v>63</v>
      </c>
      <c r="W207" s="20" t="n">
        <v>307</v>
      </c>
      <c r="X207" s="20" t="n">
        <v>103</v>
      </c>
    </row>
    <row r="208">
      <c r="A208" s="18" t="inlineStr">
        <is>
          <t>퇴직급여부채 증감</t>
        </is>
      </c>
      <c r="C208" s="20" t="n">
        <v>41</v>
      </c>
      <c r="E208" s="20" t="n">
        <v>94</v>
      </c>
      <c r="G208" s="20" t="n">
        <v>-28</v>
      </c>
      <c r="I208" s="20" t="n">
        <v>-91</v>
      </c>
      <c r="K208" s="20" t="n">
        <v>15</v>
      </c>
      <c r="M208" s="20" t="n">
        <v>25</v>
      </c>
      <c r="O208" s="20" t="n">
        <v>60</v>
      </c>
      <c r="P208" s="20" t="n">
        <v>-46</v>
      </c>
      <c r="Q208" s="20" t="n">
        <v>37</v>
      </c>
      <c r="R208" s="20" t="n">
        <v>138</v>
      </c>
      <c r="S208" s="20" t="n">
        <v>97</v>
      </c>
      <c r="T208" s="20" t="n">
        <v>5</v>
      </c>
      <c r="U208" s="20" t="n">
        <v>-22</v>
      </c>
      <c r="V208" s="20" t="n">
        <v>94</v>
      </c>
      <c r="W208" s="20" t="n">
        <v>-91</v>
      </c>
      <c r="X208" s="20" t="n">
        <v>25</v>
      </c>
    </row>
    <row r="209">
      <c r="A209" s="18" t="inlineStr">
        <is>
          <t>이자·배당금 수익</t>
        </is>
      </c>
      <c r="C209" s="20" t="n">
        <v>-113</v>
      </c>
      <c r="E209" s="20" t="n">
        <v>-210</v>
      </c>
      <c r="G209" s="20" t="n">
        <v>-155</v>
      </c>
      <c r="I209" s="20" t="n">
        <v>-258</v>
      </c>
      <c r="K209" s="20" t="n">
        <v>-219</v>
      </c>
      <c r="M209" s="20" t="n">
        <v>-357</v>
      </c>
      <c r="O209" s="20" t="n">
        <v>-228</v>
      </c>
      <c r="P209" s="20" t="n">
        <v>-235</v>
      </c>
      <c r="Q209" s="20" t="n">
        <v>-244</v>
      </c>
      <c r="R209" s="20" t="n">
        <v>-235</v>
      </c>
      <c r="S209" s="20" t="n">
        <v>-202</v>
      </c>
      <c r="T209" s="20" t="n">
        <v>-154</v>
      </c>
      <c r="U209" s="20" t="n">
        <v>-191</v>
      </c>
      <c r="V209" s="20" t="n">
        <v>-210</v>
      </c>
      <c r="W209" s="20" t="n">
        <v>-258</v>
      </c>
      <c r="X209" s="20" t="n">
        <v>-357</v>
      </c>
    </row>
    <row r="210">
      <c r="A210" s="18" t="inlineStr">
        <is>
          <t>이자비용</t>
        </is>
      </c>
      <c r="C210" s="20" t="n">
        <v>24</v>
      </c>
      <c r="E210" s="20" t="n">
        <v>48</v>
      </c>
      <c r="G210" s="20" t="n">
        <v>29</v>
      </c>
      <c r="I210" s="20" t="n">
        <v>75</v>
      </c>
      <c r="K210" s="20" t="n">
        <v>54</v>
      </c>
      <c r="M210" s="20" t="n">
        <v>126</v>
      </c>
      <c r="O210" s="20" t="n">
        <v>122</v>
      </c>
      <c r="P210" s="20" t="n">
        <v>148</v>
      </c>
      <c r="Q210" s="20" t="n">
        <v>143</v>
      </c>
      <c r="R210" s="20" t="n">
        <v>83</v>
      </c>
      <c r="S210" s="20" t="n">
        <v>67</v>
      </c>
      <c r="T210" s="20" t="n">
        <v>58</v>
      </c>
      <c r="U210" s="20" t="n">
        <v>52</v>
      </c>
      <c r="V210" s="20" t="n">
        <v>48</v>
      </c>
      <c r="W210" s="20" t="n">
        <v>75</v>
      </c>
      <c r="X210" s="20" t="n">
        <v>126</v>
      </c>
    </row>
    <row r="211">
      <c r="A211" s="18" t="inlineStr">
        <is>
          <t>지분법손익</t>
        </is>
      </c>
      <c r="C211" s="20" t="n">
        <v>-209</v>
      </c>
      <c r="E211" s="20" t="n">
        <v>-263</v>
      </c>
      <c r="G211" s="20" t="n">
        <v>-125</v>
      </c>
      <c r="I211" s="20" t="n">
        <v>-211</v>
      </c>
      <c r="K211" s="20" t="n">
        <v>-8</v>
      </c>
      <c r="M211" s="20" t="n">
        <v>-125</v>
      </c>
      <c r="S211" s="20" t="n">
        <v>0</v>
      </c>
      <c r="T211" s="20" t="n">
        <v>-242</v>
      </c>
      <c r="U211" s="20" t="n">
        <v>-221</v>
      </c>
      <c r="V211" s="20" t="n">
        <v>-263</v>
      </c>
      <c r="W211" s="20" t="n">
        <v>-211</v>
      </c>
      <c r="X211" s="20" t="n">
        <v>-125</v>
      </c>
    </row>
    <row r="212">
      <c r="A212" s="18" t="inlineStr">
        <is>
          <t>재해 보험금 수익</t>
        </is>
      </c>
      <c r="Q212" s="20" t="n">
        <v>0</v>
      </c>
      <c r="R212" s="20" t="n">
        <v>-104</v>
      </c>
      <c r="S212" s="20" t="n">
        <v>-34</v>
      </c>
      <c r="T212" s="20" t="n">
        <v>0</v>
      </c>
    </row>
    <row r="213">
      <c r="A213" s="18" t="inlineStr">
        <is>
          <t>보조금 수입</t>
        </is>
      </c>
      <c r="Q213" s="20" t="n">
        <v>0</v>
      </c>
      <c r="R213" s="20" t="n">
        <v>-40</v>
      </c>
      <c r="S213" s="20" t="n">
        <v>-40</v>
      </c>
      <c r="T213" s="20" t="n">
        <v>-20</v>
      </c>
      <c r="U213" s="20" t="n">
        <v>0</v>
      </c>
    </row>
    <row r="214">
      <c r="A214" s="18" t="inlineStr">
        <is>
          <t>재해복구 비용</t>
        </is>
      </c>
      <c r="Q214" s="20" t="n">
        <v>0</v>
      </c>
      <c r="R214" s="20" t="n">
        <v>79</v>
      </c>
      <c r="S214" s="20" t="n">
        <v>0</v>
      </c>
    </row>
    <row r="215">
      <c r="A215" s="18" t="inlineStr">
        <is>
          <t>유형자산 매각손익</t>
        </is>
      </c>
      <c r="C215" s="20" t="n">
        <v>0</v>
      </c>
      <c r="E215" s="20" t="n">
        <v>0</v>
      </c>
      <c r="T215" s="20" t="n">
        <v>0</v>
      </c>
      <c r="U215" s="20" t="n">
        <v>-150</v>
      </c>
      <c r="V215" s="20" t="n">
        <v>0</v>
      </c>
    </row>
    <row r="216">
      <c r="A216" s="18" t="inlineStr">
        <is>
          <t>투자유가증권 매각손익</t>
        </is>
      </c>
      <c r="C216" s="20" t="n">
        <v>-158</v>
      </c>
      <c r="E216" s="20" t="n">
        <v>-337</v>
      </c>
      <c r="G216" s="20" t="n">
        <v>-150</v>
      </c>
      <c r="I216" s="20" t="n">
        <v>-281</v>
      </c>
      <c r="K216" s="20" t="n">
        <v>-270</v>
      </c>
      <c r="M216" s="20" t="n">
        <v>-434</v>
      </c>
      <c r="O216" s="20" t="n">
        <v>-67</v>
      </c>
      <c r="P216" s="20" t="n">
        <v>-806</v>
      </c>
      <c r="Q216" s="20" t="n">
        <v>-804</v>
      </c>
      <c r="R216" s="20" t="n">
        <v>-447</v>
      </c>
      <c r="S216" s="20" t="n">
        <v>-407</v>
      </c>
      <c r="T216" s="20" t="n">
        <v>-366</v>
      </c>
      <c r="U216" s="20" t="n">
        <v>-530</v>
      </c>
      <c r="V216" s="20" t="n">
        <v>-337</v>
      </c>
      <c r="W216" s="20" t="n">
        <v>-281</v>
      </c>
      <c r="X216" s="20" t="n">
        <v>-434</v>
      </c>
    </row>
    <row r="217">
      <c r="A217" s="18" t="inlineStr">
        <is>
          <t>고정자산 매각손익</t>
        </is>
      </c>
      <c r="O217" s="20" t="n">
        <v>23</v>
      </c>
      <c r="P217" s="20" t="n">
        <v>2</v>
      </c>
      <c r="Q217" s="20" t="n">
        <v>0</v>
      </c>
    </row>
    <row r="218">
      <c r="A218" s="18" t="inlineStr">
        <is>
          <t>공장 통합비용</t>
        </is>
      </c>
      <c r="O218" s="20" t="n">
        <v>0</v>
      </c>
      <c r="P218" s="20" t="n">
        <v>66</v>
      </c>
      <c r="Q218" s="20" t="n">
        <v>0</v>
      </c>
    </row>
    <row r="219">
      <c r="A219" s="18" t="inlineStr">
        <is>
          <t>투자유가증권 평가손익</t>
        </is>
      </c>
      <c r="S219" s="20" t="n">
        <v>0</v>
      </c>
      <c r="T219" s="20" t="n">
        <v>45</v>
      </c>
      <c r="U219" s="20" t="n">
        <v>0</v>
      </c>
    </row>
    <row r="220">
      <c r="A220" s="18" t="inlineStr">
        <is>
          <t>환산조정 환입이익</t>
        </is>
      </c>
      <c r="S220" s="20" t="n">
        <v>0</v>
      </c>
      <c r="T220" s="20" t="n">
        <v>-94</v>
      </c>
      <c r="U220" s="20" t="n">
        <v>0</v>
      </c>
    </row>
    <row r="221">
      <c r="A221" s="18" t="inlineStr">
        <is>
          <t>관계회사 출자금 평가손실</t>
        </is>
      </c>
      <c r="S221" s="20" t="n">
        <v>0</v>
      </c>
      <c r="T221" s="20" t="n">
        <v>155</v>
      </c>
    </row>
    <row r="222">
      <c r="A222" s="18" t="inlineStr">
        <is>
          <t>사업구조개혁 비용</t>
        </is>
      </c>
      <c r="C222" s="20" t="n">
        <v>191</v>
      </c>
      <c r="E222" s="20" t="n">
        <v>346</v>
      </c>
      <c r="G222" s="20" t="n">
        <v>0</v>
      </c>
      <c r="I222" s="20" t="n">
        <v>0</v>
      </c>
      <c r="T222" s="20" t="n">
        <v>0</v>
      </c>
      <c r="U222" s="20" t="n">
        <v>513</v>
      </c>
      <c r="V222" s="20" t="n">
        <v>346</v>
      </c>
      <c r="W222" s="20" t="n">
        <v>0</v>
      </c>
    </row>
    <row r="223">
      <c r="A223" s="18" t="inlineStr">
        <is>
          <t>관계회사 출자금 평가손실</t>
        </is>
      </c>
      <c r="T223" s="20" t="n">
        <v>155</v>
      </c>
      <c r="U223" s="20" t="n">
        <v>0</v>
      </c>
    </row>
    <row r="224">
      <c r="A224" s="18" t="inlineStr">
        <is>
          <t>손해보상 손실</t>
        </is>
      </c>
      <c r="E224" s="20" t="n">
        <v>83</v>
      </c>
      <c r="I224" s="20" t="n">
        <v>119</v>
      </c>
      <c r="M224" s="20" t="n">
        <v>0</v>
      </c>
      <c r="U224" s="20" t="n">
        <v>0</v>
      </c>
      <c r="V224" s="20" t="n">
        <v>83</v>
      </c>
      <c r="W224" s="20" t="n">
        <v>119</v>
      </c>
      <c r="X224" s="20" t="n">
        <v>0</v>
      </c>
    </row>
    <row r="225">
      <c r="A225" s="18" t="inlineStr">
        <is>
          <t>매출채권 증감</t>
        </is>
      </c>
      <c r="C225" s="20" t="n">
        <v>70</v>
      </c>
      <c r="E225" s="20" t="n">
        <v>921</v>
      </c>
      <c r="G225" s="20" t="n">
        <v>-4551</v>
      </c>
      <c r="I225" s="20" t="n">
        <v>-3195</v>
      </c>
      <c r="K225" s="20" t="n">
        <v>-932</v>
      </c>
      <c r="M225" s="20" t="n">
        <v>-630</v>
      </c>
      <c r="O225" s="20" t="n">
        <v>-1617</v>
      </c>
      <c r="P225" s="20" t="n">
        <v>-1812</v>
      </c>
      <c r="Q225" s="20" t="n">
        <v>2527</v>
      </c>
      <c r="R225" s="20" t="n">
        <v>-64</v>
      </c>
      <c r="S225" s="20" t="n">
        <v>1567</v>
      </c>
      <c r="T225" s="20" t="n">
        <v>891</v>
      </c>
      <c r="U225" s="20" t="n">
        <v>-1125</v>
      </c>
      <c r="V225" s="20" t="n">
        <v>921</v>
      </c>
      <c r="W225" s="20" t="n">
        <v>-3195</v>
      </c>
      <c r="X225" s="20" t="n">
        <v>-630</v>
      </c>
    </row>
    <row r="226">
      <c r="A226" s="18" t="inlineStr">
        <is>
          <t>재고자산 증감</t>
        </is>
      </c>
      <c r="C226" s="20" t="n">
        <v>-451</v>
      </c>
      <c r="E226" s="20" t="n">
        <v>-1022</v>
      </c>
      <c r="G226" s="20" t="n">
        <v>-380</v>
      </c>
      <c r="I226" s="20" t="n">
        <v>-530</v>
      </c>
      <c r="K226" s="20" t="n">
        <v>-867</v>
      </c>
      <c r="M226" s="20" t="n">
        <v>-339</v>
      </c>
      <c r="O226" s="20" t="n">
        <v>828</v>
      </c>
      <c r="P226" s="20" t="n">
        <v>-1370</v>
      </c>
      <c r="Q226" s="20" t="n">
        <v>290</v>
      </c>
      <c r="R226" s="20" t="n">
        <v>372</v>
      </c>
      <c r="S226" s="20" t="n">
        <v>274</v>
      </c>
      <c r="T226" s="20" t="n">
        <v>633</v>
      </c>
      <c r="U226" s="20" t="n">
        <v>-51</v>
      </c>
      <c r="V226" s="20" t="n">
        <v>-1022</v>
      </c>
      <c r="W226" s="20" t="n">
        <v>-530</v>
      </c>
      <c r="X226" s="20" t="n">
        <v>-339</v>
      </c>
    </row>
    <row r="227">
      <c r="A227" s="18" t="inlineStr">
        <is>
          <t>매입채무 증감</t>
        </is>
      </c>
      <c r="C227" s="20" t="n">
        <v>-266</v>
      </c>
      <c r="E227" s="20" t="n">
        <v>25</v>
      </c>
      <c r="G227" s="20" t="n">
        <v>33</v>
      </c>
      <c r="I227" s="20" t="n">
        <v>532</v>
      </c>
      <c r="K227" s="20" t="n">
        <v>-1240</v>
      </c>
      <c r="M227" s="20" t="n">
        <v>-2825</v>
      </c>
      <c r="O227" s="20" t="n">
        <v>-167</v>
      </c>
      <c r="P227" s="20" t="n">
        <v>1567</v>
      </c>
      <c r="Q227" s="20" t="n">
        <v>-1790</v>
      </c>
      <c r="R227" s="20" t="n">
        <v>-481</v>
      </c>
      <c r="S227" s="20" t="n">
        <v>-1743</v>
      </c>
      <c r="T227" s="20" t="n">
        <v>-557</v>
      </c>
      <c r="U227" s="20" t="n">
        <v>1012</v>
      </c>
      <c r="V227" s="20" t="n">
        <v>25</v>
      </c>
      <c r="W227" s="20" t="n">
        <v>532</v>
      </c>
      <c r="X227" s="20" t="n">
        <v>-2825</v>
      </c>
    </row>
    <row r="228">
      <c r="A228" s="18" t="inlineStr">
        <is>
          <t>수주손실 충당금 증감</t>
        </is>
      </c>
      <c r="C228" s="20" t="n">
        <v>-261</v>
      </c>
      <c r="E228" s="20" t="n">
        <v>-212</v>
      </c>
      <c r="G228" s="20" t="n">
        <v>138</v>
      </c>
      <c r="I228" s="20" t="n">
        <v>167</v>
      </c>
      <c r="K228" s="20" t="n">
        <v>-237</v>
      </c>
      <c r="M228" s="20" t="n">
        <v>-306</v>
      </c>
      <c r="O228" s="20" t="n">
        <v>69</v>
      </c>
      <c r="P228" s="20" t="n">
        <v>340</v>
      </c>
      <c r="Q228" s="20" t="n">
        <v>-134</v>
      </c>
      <c r="R228" s="20" t="n">
        <v>166</v>
      </c>
      <c r="S228" s="20" t="n">
        <v>142</v>
      </c>
      <c r="T228" s="20" t="n">
        <v>99</v>
      </c>
      <c r="U228" s="20" t="n">
        <v>25</v>
      </c>
      <c r="V228" s="20" t="n">
        <v>-212</v>
      </c>
      <c r="W228" s="20" t="n">
        <v>167</v>
      </c>
      <c r="X228" s="20" t="n">
        <v>-306</v>
      </c>
    </row>
    <row r="229">
      <c r="A229" s="18" t="inlineStr">
        <is>
          <t>선수금 증감</t>
        </is>
      </c>
      <c r="O229" s="20" t="n">
        <v>37</v>
      </c>
      <c r="P229" s="20" t="n">
        <v>68</v>
      </c>
      <c r="Q229" s="20" t="n">
        <v>-129</v>
      </c>
      <c r="R229" s="20" t="n">
        <v>-13</v>
      </c>
      <c r="S229" s="20" t="n">
        <v>-11</v>
      </c>
      <c r="T229" s="20" t="n">
        <v>0</v>
      </c>
    </row>
    <row r="230">
      <c r="A230" s="18" t="inlineStr">
        <is>
          <t>제품보증 충당금 증감</t>
        </is>
      </c>
      <c r="C230" s="20" t="n">
        <v>41</v>
      </c>
      <c r="E230" s="20" t="n">
        <v>85</v>
      </c>
      <c r="G230" s="20" t="n">
        <v>287</v>
      </c>
      <c r="I230" s="20" t="n">
        <v>257</v>
      </c>
      <c r="K230" s="20" t="n">
        <v>46</v>
      </c>
      <c r="M230" s="20" t="n">
        <v>-57</v>
      </c>
      <c r="T230" s="20" t="n">
        <v>-0</v>
      </c>
      <c r="U230" s="20" t="n">
        <v>63</v>
      </c>
      <c r="V230" s="20" t="n">
        <v>85</v>
      </c>
      <c r="W230" s="20" t="n">
        <v>257</v>
      </c>
      <c r="X230" s="20" t="n">
        <v>-57</v>
      </c>
    </row>
    <row r="231">
      <c r="A231" s="18" t="inlineStr">
        <is>
          <t>계약부채 증감</t>
        </is>
      </c>
      <c r="C231" s="20" t="n">
        <v>28</v>
      </c>
      <c r="S231" s="20" t="n">
        <v>0</v>
      </c>
      <c r="T231" s="20" t="n">
        <v>13</v>
      </c>
      <c r="U231" s="20" t="n">
        <v>36</v>
      </c>
    </row>
    <row r="232">
      <c r="A232" s="18" t="inlineStr">
        <is>
          <t>계약부채 증감</t>
        </is>
      </c>
      <c r="C232" s="20" t="n">
        <v>28</v>
      </c>
      <c r="E232" s="20" t="n">
        <v>30</v>
      </c>
      <c r="G232" s="20" t="n">
        <v>-47</v>
      </c>
      <c r="I232" s="20" t="n">
        <v>84</v>
      </c>
      <c r="K232" s="20" t="n">
        <v>86</v>
      </c>
      <c r="M232" s="20" t="n">
        <v>-1</v>
      </c>
      <c r="U232" s="20" t="n">
        <v>36</v>
      </c>
      <c r="V232" s="20" t="n">
        <v>30</v>
      </c>
      <c r="W232" s="20" t="n">
        <v>84</v>
      </c>
      <c r="X232" s="20" t="n">
        <v>-1</v>
      </c>
    </row>
    <row r="233">
      <c r="A233" s="18" t="inlineStr">
        <is>
          <t>미지급비용 증감</t>
        </is>
      </c>
      <c r="C233" s="20" t="n">
        <v>169</v>
      </c>
      <c r="E233" s="20" t="n">
        <v>219</v>
      </c>
      <c r="G233" s="20" t="n">
        <v>170</v>
      </c>
      <c r="I233" s="20" t="n">
        <v>282</v>
      </c>
      <c r="K233" s="20" t="n">
        <v>-14</v>
      </c>
      <c r="M233" s="20" t="n">
        <v>-76</v>
      </c>
      <c r="O233" s="20" t="n">
        <v>-182</v>
      </c>
      <c r="P233" s="20" t="n">
        <v>-233</v>
      </c>
      <c r="Q233" s="20" t="n">
        <v>-170</v>
      </c>
      <c r="R233" s="20" t="n">
        <v>-64</v>
      </c>
      <c r="S233" s="20" t="n">
        <v>-14</v>
      </c>
      <c r="T233" s="20" t="n">
        <v>97</v>
      </c>
      <c r="U233" s="20" t="n">
        <v>-98</v>
      </c>
      <c r="V233" s="20" t="n">
        <v>219</v>
      </c>
      <c r="W233" s="20" t="n">
        <v>282</v>
      </c>
      <c r="X233" s="20" t="n">
        <v>-76</v>
      </c>
    </row>
    <row r="234">
      <c r="A234" s="18" t="inlineStr">
        <is>
          <t>미수 소비세 증감</t>
        </is>
      </c>
      <c r="P234" s="20" t="n">
        <v>-410</v>
      </c>
      <c r="Q234" s="20" t="n">
        <v>415</v>
      </c>
      <c r="R234" s="20" t="n">
        <v>0</v>
      </c>
    </row>
    <row r="235">
      <c r="A235" s="18" t="inlineStr">
        <is>
          <t>미지급 소비세 증감</t>
        </is>
      </c>
      <c r="C235" s="20" t="n">
        <v>-33</v>
      </c>
      <c r="E235" s="20" t="n">
        <v>63</v>
      </c>
      <c r="G235" s="20" t="n">
        <v>-104</v>
      </c>
      <c r="I235" s="20" t="n">
        <v>-77</v>
      </c>
      <c r="K235" s="20" t="n">
        <v>-31</v>
      </c>
      <c r="M235" s="20" t="n">
        <v>321</v>
      </c>
      <c r="P235" s="20" t="n">
        <v>-95</v>
      </c>
      <c r="Q235" s="20" t="n">
        <v>540</v>
      </c>
      <c r="R235" s="20" t="n">
        <v>-268</v>
      </c>
      <c r="S235" s="20" t="n">
        <v>-103</v>
      </c>
      <c r="T235" s="20" t="n">
        <v>-124</v>
      </c>
      <c r="U235" s="20" t="n">
        <v>11</v>
      </c>
      <c r="V235" s="20" t="n">
        <v>63</v>
      </c>
      <c r="W235" s="20" t="n">
        <v>-77</v>
      </c>
      <c r="X235" s="20" t="n">
        <v>321</v>
      </c>
    </row>
    <row r="236">
      <c r="A236" s="18" t="inlineStr">
        <is>
          <t>기타</t>
        </is>
      </c>
      <c r="C236" s="20" t="n">
        <v>-152</v>
      </c>
      <c r="E236" s="20" t="n">
        <v>-269</v>
      </c>
      <c r="G236" s="20" t="n">
        <v>-91</v>
      </c>
      <c r="I236" s="20" t="n">
        <v>-215</v>
      </c>
      <c r="K236" s="20" t="n">
        <v>-97</v>
      </c>
      <c r="M236" s="20" t="n">
        <v>47</v>
      </c>
      <c r="O236" s="20" t="n">
        <v>158</v>
      </c>
      <c r="P236" s="20" t="n">
        <v>-163</v>
      </c>
      <c r="Q236" s="20" t="n">
        <v>120</v>
      </c>
      <c r="R236" s="20" t="n">
        <v>104</v>
      </c>
      <c r="S236" s="20" t="n">
        <v>16</v>
      </c>
      <c r="T236" s="20" t="n">
        <v>-31</v>
      </c>
      <c r="U236" s="20" t="n">
        <v>-205</v>
      </c>
      <c r="V236" s="20" t="n">
        <v>-269</v>
      </c>
      <c r="W236" s="20" t="n">
        <v>-215</v>
      </c>
      <c r="X236" s="20" t="n">
        <v>47</v>
      </c>
    </row>
    <row r="237">
      <c r="A237" s="18" t="inlineStr">
        <is>
          <t>소계</t>
        </is>
      </c>
      <c r="C237" s="20" t="n">
        <v>-163</v>
      </c>
      <c r="E237" s="20" t="n">
        <v>1833</v>
      </c>
      <c r="G237" s="20" t="n">
        <v>-3395</v>
      </c>
      <c r="I237" s="20" t="n">
        <v>720</v>
      </c>
      <c r="K237" s="20" t="n">
        <v>-2102</v>
      </c>
      <c r="M237" s="20" t="n">
        <v>148</v>
      </c>
      <c r="O237" s="20" t="n">
        <v>1570</v>
      </c>
      <c r="P237" s="20" t="n">
        <v>-917</v>
      </c>
      <c r="Q237" s="20" t="n">
        <v>3828</v>
      </c>
      <c r="R237" s="20" t="n">
        <v>2418</v>
      </c>
      <c r="S237" s="20" t="n">
        <v>2138</v>
      </c>
      <c r="T237" s="20" t="n">
        <v>2562</v>
      </c>
      <c r="U237" s="20" t="n">
        <v>1097</v>
      </c>
      <c r="V237" s="20" t="n">
        <v>1833</v>
      </c>
      <c r="W237" s="20" t="n">
        <v>720</v>
      </c>
      <c r="X237" s="20" t="n">
        <v>148</v>
      </c>
    </row>
    <row r="238">
      <c r="A238" s="18" t="inlineStr">
        <is>
          <t>이자·배당금 수취</t>
        </is>
      </c>
      <c r="C238" s="20" t="n">
        <v>123</v>
      </c>
      <c r="E238" s="20" t="n">
        <v>260</v>
      </c>
      <c r="G238" s="20" t="n">
        <v>260</v>
      </c>
      <c r="I238" s="20" t="n">
        <v>362</v>
      </c>
      <c r="K238" s="20" t="n">
        <v>332</v>
      </c>
      <c r="M238" s="20" t="n">
        <v>474</v>
      </c>
      <c r="O238" s="20" t="n">
        <v>235</v>
      </c>
      <c r="P238" s="20" t="n">
        <v>244</v>
      </c>
      <c r="Q238" s="20" t="n">
        <v>259</v>
      </c>
      <c r="R238" s="20" t="n">
        <v>235</v>
      </c>
      <c r="S238" s="20" t="n">
        <v>210</v>
      </c>
      <c r="T238" s="20" t="n">
        <v>162</v>
      </c>
      <c r="U238" s="20" t="n">
        <v>201</v>
      </c>
      <c r="V238" s="20" t="n">
        <v>260</v>
      </c>
      <c r="W238" s="20" t="n">
        <v>362</v>
      </c>
      <c r="X238" s="20" t="n">
        <v>474</v>
      </c>
    </row>
    <row r="239">
      <c r="A239" s="18" t="inlineStr">
        <is>
          <t>이자 지급</t>
        </is>
      </c>
      <c r="C239" s="20" t="n">
        <v>-24</v>
      </c>
      <c r="E239" s="20" t="n">
        <v>-55</v>
      </c>
      <c r="G239" s="20" t="n">
        <v>-21</v>
      </c>
      <c r="I239" s="20" t="n">
        <v>-59</v>
      </c>
      <c r="K239" s="20" t="n">
        <v>-54</v>
      </c>
      <c r="M239" s="20" t="n">
        <v>-124</v>
      </c>
      <c r="O239" s="20" t="n">
        <v>-117</v>
      </c>
      <c r="P239" s="20" t="n">
        <v>-148</v>
      </c>
      <c r="Q239" s="20" t="n">
        <v>-146</v>
      </c>
      <c r="R239" s="20" t="n">
        <v>-91</v>
      </c>
      <c r="S239" s="20" t="n">
        <v>-68</v>
      </c>
      <c r="T239" s="20" t="n">
        <v>-60</v>
      </c>
      <c r="U239" s="20" t="n">
        <v>-53</v>
      </c>
      <c r="V239" s="20" t="n">
        <v>-55</v>
      </c>
      <c r="W239" s="20" t="n">
        <v>-59</v>
      </c>
      <c r="X239" s="20" t="n">
        <v>-124</v>
      </c>
    </row>
    <row r="240">
      <c r="A240" s="18" t="inlineStr">
        <is>
          <t>재해 보험금 수취</t>
        </is>
      </c>
      <c r="Q240" s="20" t="n">
        <v>0</v>
      </c>
      <c r="R240" s="20" t="n">
        <v>104</v>
      </c>
      <c r="S240" s="20" t="n">
        <v>34</v>
      </c>
      <c r="T240" s="20" t="n">
        <v>0</v>
      </c>
    </row>
    <row r="241">
      <c r="A241" s="18" t="inlineStr">
        <is>
          <t>보조금 수취</t>
        </is>
      </c>
      <c r="Q241" s="20" t="n">
        <v>0</v>
      </c>
      <c r="R241" s="20" t="n">
        <v>40</v>
      </c>
      <c r="S241" s="20" t="n">
        <v>40</v>
      </c>
      <c r="T241" s="20" t="n">
        <v>20</v>
      </c>
      <c r="U241" s="20" t="n">
        <v>0</v>
      </c>
    </row>
    <row r="242">
      <c r="A242" s="18" t="inlineStr">
        <is>
          <t>재해복구 비용 지급</t>
        </is>
      </c>
      <c r="Q242" s="20" t="n">
        <v>0</v>
      </c>
      <c r="R242" s="20" t="n">
        <v>-79</v>
      </c>
      <c r="S242" s="20" t="n">
        <v>0</v>
      </c>
    </row>
    <row r="243">
      <c r="A243" s="18" t="inlineStr">
        <is>
          <t>법인세 납부·환급</t>
        </is>
      </c>
      <c r="C243" s="20" t="n">
        <v>-37</v>
      </c>
      <c r="E243" s="20" t="n">
        <v>-192</v>
      </c>
      <c r="G243" s="20" t="n">
        <v>-272</v>
      </c>
      <c r="I243" s="20" t="n">
        <v>-422</v>
      </c>
      <c r="K243" s="20" t="n">
        <v>-834</v>
      </c>
      <c r="M243" s="20" t="n">
        <v>-1324</v>
      </c>
      <c r="O243" s="20" t="n">
        <v>-182</v>
      </c>
      <c r="P243" s="20" t="n">
        <v>-751</v>
      </c>
      <c r="Q243" s="20" t="n">
        <v>-221</v>
      </c>
      <c r="R243" s="20" t="n">
        <v>-477</v>
      </c>
      <c r="S243" s="20" t="n">
        <v>-580</v>
      </c>
      <c r="T243" s="20" t="n">
        <v>-180</v>
      </c>
      <c r="U243" s="20" t="n">
        <v>-429</v>
      </c>
      <c r="V243" s="20" t="n">
        <v>-192</v>
      </c>
      <c r="W243" s="20" t="n">
        <v>-422</v>
      </c>
      <c r="X243" s="20" t="n">
        <v>-1324</v>
      </c>
    </row>
    <row r="244">
      <c r="A244" s="9" t="inlineStr">
        <is>
          <t>영업활동 현금흐름</t>
        </is>
      </c>
      <c r="C244" s="12" t="n">
        <v>-101</v>
      </c>
      <c r="E244" s="12" t="n">
        <v>1846</v>
      </c>
      <c r="G244" s="12" t="n">
        <v>-3429</v>
      </c>
      <c r="I244" s="12" t="n">
        <v>601</v>
      </c>
      <c r="K244" s="12" t="n">
        <v>-2659</v>
      </c>
      <c r="M244" s="12" t="n">
        <v>-826</v>
      </c>
      <c r="O244" s="12" t="n">
        <v>1505</v>
      </c>
      <c r="P244" s="12" t="n">
        <v>-1572</v>
      </c>
      <c r="Q244" s="12" t="n">
        <v>3720</v>
      </c>
      <c r="R244" s="12" t="n">
        <v>2148</v>
      </c>
      <c r="S244" s="12" t="n">
        <v>1776</v>
      </c>
      <c r="T244" s="12" t="n">
        <v>2504</v>
      </c>
      <c r="U244" s="12" t="n">
        <v>815</v>
      </c>
      <c r="V244" s="12" t="n">
        <v>1846</v>
      </c>
      <c r="W244" s="12" t="n">
        <v>601</v>
      </c>
      <c r="X244" s="12" t="n">
        <v>-826</v>
      </c>
    </row>
    <row r="245">
      <c r="A245" s="18" t="inlineStr">
        <is>
          <t>유형자산 취득(설비투자)</t>
        </is>
      </c>
      <c r="C245" s="20" t="n">
        <v>-139</v>
      </c>
      <c r="E245" s="20" t="n">
        <v>-312</v>
      </c>
      <c r="G245" s="20" t="n">
        <v>-331</v>
      </c>
      <c r="I245" s="20" t="n">
        <v>-505</v>
      </c>
      <c r="K245" s="20" t="n">
        <v>-220</v>
      </c>
      <c r="M245" s="20" t="n">
        <v>-789</v>
      </c>
      <c r="O245" s="20" t="n">
        <v>-3901</v>
      </c>
      <c r="P245" s="20" t="n">
        <v>-3448</v>
      </c>
      <c r="Q245" s="20" t="n">
        <v>-2277</v>
      </c>
      <c r="R245" s="20" t="n">
        <v>-647</v>
      </c>
      <c r="S245" s="20" t="n">
        <v>-548</v>
      </c>
      <c r="T245" s="20" t="n">
        <v>-351</v>
      </c>
      <c r="U245" s="20" t="n">
        <v>-324</v>
      </c>
      <c r="V245" s="20" t="n">
        <v>-312</v>
      </c>
      <c r="W245" s="20" t="n">
        <v>-505</v>
      </c>
      <c r="X245" s="20" t="n">
        <v>-789</v>
      </c>
    </row>
    <row r="246">
      <c r="A246" s="18" t="inlineStr">
        <is>
          <t>유형자산 매각</t>
        </is>
      </c>
      <c r="C246" s="20" t="n">
        <v>0</v>
      </c>
      <c r="E246" s="20" t="n">
        <v>0</v>
      </c>
      <c r="G246" s="20" t="n">
        <v>0</v>
      </c>
      <c r="I246" s="20" t="n">
        <v>0</v>
      </c>
      <c r="K246" s="20" t="n">
        <v>23</v>
      </c>
      <c r="M246" s="20" t="n">
        <v>37</v>
      </c>
      <c r="O246" s="20" t="n">
        <v>0</v>
      </c>
      <c r="P246" s="20" t="n">
        <v>79</v>
      </c>
      <c r="Q246" s="20" t="n">
        <v>0</v>
      </c>
      <c r="S246" s="20" t="n">
        <v>0</v>
      </c>
      <c r="T246" s="20" t="n">
        <v>14</v>
      </c>
      <c r="U246" s="20" t="n">
        <v>266</v>
      </c>
      <c r="V246" s="20" t="n">
        <v>0</v>
      </c>
      <c r="W246" s="20" t="n">
        <v>0</v>
      </c>
      <c r="X246" s="20" t="n">
        <v>37</v>
      </c>
    </row>
    <row r="247">
      <c r="A247" s="18" t="inlineStr">
        <is>
          <t>무형자산 취득</t>
        </is>
      </c>
      <c r="C247" s="20" t="n">
        <v>-60</v>
      </c>
      <c r="E247" s="20" t="n">
        <v>-82</v>
      </c>
      <c r="G247" s="20" t="n">
        <v>-10</v>
      </c>
      <c r="I247" s="20" t="n">
        <v>-71</v>
      </c>
      <c r="K247" s="20" t="n">
        <v>-26</v>
      </c>
      <c r="M247" s="20" t="n">
        <v>-44</v>
      </c>
      <c r="O247" s="20" t="n">
        <v>-619</v>
      </c>
      <c r="P247" s="20" t="n">
        <v>-132</v>
      </c>
      <c r="Q247" s="20" t="n">
        <v>-49</v>
      </c>
      <c r="R247" s="20" t="n">
        <v>-33</v>
      </c>
      <c r="S247" s="20" t="n">
        <v>-43</v>
      </c>
      <c r="T247" s="20" t="n">
        <v>-18</v>
      </c>
      <c r="U247" s="20" t="n">
        <v>-17</v>
      </c>
      <c r="V247" s="20" t="n">
        <v>-82</v>
      </c>
      <c r="W247" s="20" t="n">
        <v>-71</v>
      </c>
      <c r="X247" s="20" t="n">
        <v>-44</v>
      </c>
    </row>
    <row r="248">
      <c r="A248" s="18" t="inlineStr">
        <is>
          <t>투자유가증권 취득</t>
        </is>
      </c>
      <c r="C248" s="20" t="n">
        <v>-7</v>
      </c>
      <c r="E248" s="20" t="n">
        <v>-480</v>
      </c>
      <c r="G248" s="20" t="n">
        <v>-5</v>
      </c>
      <c r="I248" s="20" t="n">
        <v>-11</v>
      </c>
      <c r="K248" s="20" t="n">
        <v>-6</v>
      </c>
      <c r="M248" s="20" t="n">
        <v>-11</v>
      </c>
      <c r="O248" s="20" t="n">
        <v>-320</v>
      </c>
      <c r="P248" s="20" t="n">
        <v>-170</v>
      </c>
      <c r="Q248" s="20" t="n">
        <v>-260</v>
      </c>
      <c r="R248" s="20" t="n">
        <v>-14</v>
      </c>
      <c r="S248" s="20" t="n">
        <v>-14</v>
      </c>
      <c r="T248" s="20" t="n">
        <v>-73</v>
      </c>
      <c r="U248" s="20" t="n">
        <v>-14</v>
      </c>
      <c r="V248" s="20" t="n">
        <v>-480</v>
      </c>
      <c r="W248" s="20" t="n">
        <v>-11</v>
      </c>
      <c r="X248" s="20" t="n">
        <v>-11</v>
      </c>
    </row>
    <row r="249">
      <c r="A249" s="18" t="inlineStr">
        <is>
          <t>투자유가증권 매각</t>
        </is>
      </c>
      <c r="C249" s="20" t="n">
        <v>268</v>
      </c>
      <c r="E249" s="20" t="n">
        <v>530</v>
      </c>
      <c r="G249" s="20" t="n">
        <v>228</v>
      </c>
      <c r="I249" s="20" t="n">
        <v>611</v>
      </c>
      <c r="K249" s="20" t="n">
        <v>421</v>
      </c>
      <c r="M249" s="20" t="n">
        <v>841</v>
      </c>
      <c r="O249" s="20" t="n">
        <v>93</v>
      </c>
      <c r="P249" s="20" t="n">
        <v>1100</v>
      </c>
      <c r="Q249" s="20" t="n">
        <v>1441</v>
      </c>
      <c r="R249" s="20" t="n">
        <v>1132</v>
      </c>
      <c r="S249" s="20" t="n">
        <v>693</v>
      </c>
      <c r="T249" s="20" t="n">
        <v>466</v>
      </c>
      <c r="U249" s="20" t="n">
        <v>818</v>
      </c>
      <c r="V249" s="20" t="n">
        <v>530</v>
      </c>
      <c r="W249" s="20" t="n">
        <v>611</v>
      </c>
      <c r="X249" s="20" t="n">
        <v>841</v>
      </c>
    </row>
    <row r="250">
      <c r="A250" s="18" t="inlineStr">
        <is>
          <t>관계회사 청산 수입</t>
        </is>
      </c>
      <c r="S250" s="20" t="n">
        <v>0</v>
      </c>
      <c r="T250" s="20" t="n">
        <v>283</v>
      </c>
      <c r="U250" s="20" t="n">
        <v>0</v>
      </c>
    </row>
    <row r="251">
      <c r="A251" s="18" t="inlineStr">
        <is>
          <t>대여</t>
        </is>
      </c>
      <c r="O251" s="20" t="n">
        <v>0</v>
      </c>
      <c r="P251" s="20" t="n">
        <v>-70</v>
      </c>
      <c r="Q251" s="20" t="n">
        <v>0</v>
      </c>
      <c r="R251" s="20" t="n">
        <v>-26</v>
      </c>
      <c r="S251" s="20" t="n">
        <v>-111</v>
      </c>
      <c r="T251" s="20" t="n">
        <v>0</v>
      </c>
      <c r="U251" s="20" t="n">
        <v>-50</v>
      </c>
    </row>
    <row r="252">
      <c r="A252" s="18" t="inlineStr">
        <is>
          <t>대여금 회수</t>
        </is>
      </c>
      <c r="O252" s="20" t="n">
        <v>0</v>
      </c>
      <c r="P252" s="20" t="n">
        <v>35</v>
      </c>
      <c r="Q252" s="20" t="n">
        <v>35</v>
      </c>
      <c r="R252" s="20" t="n">
        <v>0</v>
      </c>
      <c r="S252" s="20" t="n">
        <v>11</v>
      </c>
      <c r="T252" s="20" t="n">
        <v>15</v>
      </c>
      <c r="U252" s="20" t="n">
        <v>0</v>
      </c>
    </row>
    <row r="253">
      <c r="A253" s="18" t="inlineStr">
        <is>
          <t>정기예금 순증감</t>
        </is>
      </c>
      <c r="G253" s="20" t="n">
        <v>-146</v>
      </c>
      <c r="K253" s="20" t="n">
        <v>-1</v>
      </c>
    </row>
    <row r="254">
      <c r="A254" s="18" t="inlineStr">
        <is>
          <t>관계회사 출자금 납입</t>
        </is>
      </c>
      <c r="E254" s="20" t="n">
        <v>-12</v>
      </c>
      <c r="I254" s="20" t="n">
        <v>-44</v>
      </c>
      <c r="M254" s="20" t="n">
        <v>-17</v>
      </c>
      <c r="O254" s="20" t="n">
        <v>0</v>
      </c>
      <c r="P254" s="20" t="n">
        <v>-491</v>
      </c>
      <c r="Q254" s="20" t="n">
        <v>0</v>
      </c>
      <c r="R254" s="20" t="n">
        <v>-338</v>
      </c>
      <c r="S254" s="20" t="n">
        <v>-88</v>
      </c>
      <c r="T254" s="20" t="n">
        <v>0</v>
      </c>
      <c r="U254" s="20" t="n">
        <v>0</v>
      </c>
      <c r="V254" s="20" t="n">
        <v>-12</v>
      </c>
      <c r="W254" s="20" t="n">
        <v>-44</v>
      </c>
      <c r="X254" s="20" t="n">
        <v>-17</v>
      </c>
    </row>
    <row r="255">
      <c r="A255" s="18" t="inlineStr">
        <is>
          <t>정기예금 예입</t>
        </is>
      </c>
      <c r="C255" s="20" t="n">
        <v>0</v>
      </c>
      <c r="E255" s="20" t="n">
        <v>0</v>
      </c>
      <c r="G255" s="20" t="n">
        <v>-146</v>
      </c>
      <c r="I255" s="20" t="n">
        <v>-272</v>
      </c>
      <c r="M255" s="20" t="n">
        <v>-44</v>
      </c>
      <c r="V255" s="20" t="n">
        <v>0</v>
      </c>
      <c r="W255" s="20" t="n">
        <v>-272</v>
      </c>
      <c r="X255" s="20" t="n">
        <v>-44</v>
      </c>
    </row>
    <row r="256">
      <c r="A256" s="18" t="inlineStr">
        <is>
          <t>자회사 주식 취득</t>
        </is>
      </c>
      <c r="C256" s="20" t="n">
        <v>0</v>
      </c>
      <c r="G256" s="20" t="n">
        <v>-18</v>
      </c>
    </row>
    <row r="257">
      <c r="A257" s="18" t="inlineStr">
        <is>
          <t>기타</t>
        </is>
      </c>
      <c r="C257" s="20" t="n">
        <v>-61</v>
      </c>
      <c r="E257" s="20" t="n">
        <v>-56</v>
      </c>
      <c r="G257" s="20" t="n">
        <v>-52</v>
      </c>
      <c r="I257" s="20" t="n">
        <v>4</v>
      </c>
      <c r="K257" s="20" t="n">
        <v>-100</v>
      </c>
      <c r="M257" s="20" t="n">
        <v>-97</v>
      </c>
      <c r="O257" s="20" t="n">
        <v>57</v>
      </c>
      <c r="P257" s="20" t="n">
        <v>11</v>
      </c>
      <c r="Q257" s="20" t="n">
        <v>92</v>
      </c>
      <c r="R257" s="20" t="n">
        <v>-31</v>
      </c>
      <c r="S257" s="20" t="n">
        <v>-53</v>
      </c>
      <c r="T257" s="20" t="n">
        <v>-45</v>
      </c>
      <c r="U257" s="20" t="n">
        <v>-92</v>
      </c>
      <c r="V257" s="20" t="n">
        <v>-56</v>
      </c>
      <c r="W257" s="20" t="n">
        <v>4</v>
      </c>
      <c r="X257" s="20" t="n">
        <v>-97</v>
      </c>
    </row>
    <row r="258">
      <c r="A258" s="9" t="inlineStr">
        <is>
          <t>투자활동 현금흐름</t>
        </is>
      </c>
      <c r="C258" s="12" t="n">
        <v>0</v>
      </c>
      <c r="E258" s="12" t="n">
        <v>-413</v>
      </c>
      <c r="G258" s="12" t="n">
        <v>-318</v>
      </c>
      <c r="I258" s="12" t="n">
        <v>-290</v>
      </c>
      <c r="K258" s="12" t="n">
        <v>89</v>
      </c>
      <c r="M258" s="12" t="n">
        <v>-126</v>
      </c>
      <c r="O258" s="12" t="n">
        <v>-4691</v>
      </c>
      <c r="P258" s="12" t="n">
        <v>-3087</v>
      </c>
      <c r="Q258" s="12" t="n">
        <v>-1019</v>
      </c>
      <c r="R258" s="12" t="n">
        <v>41</v>
      </c>
      <c r="S258" s="12" t="n">
        <v>-155</v>
      </c>
      <c r="T258" s="12" t="n">
        <v>289</v>
      </c>
      <c r="U258" s="12" t="n">
        <v>635</v>
      </c>
      <c r="V258" s="12" t="n">
        <v>-413</v>
      </c>
      <c r="W258" s="12" t="n">
        <v>-290</v>
      </c>
      <c r="X258" s="12" t="n">
        <v>-126</v>
      </c>
    </row>
    <row r="259">
      <c r="A259" s="18" t="inlineStr">
        <is>
          <t>단기차입금 순증감</t>
        </is>
      </c>
      <c r="C259" s="20" t="n">
        <v>0</v>
      </c>
      <c r="G259" s="20" t="n">
        <v>2300</v>
      </c>
      <c r="I259" s="20" t="n">
        <v>0</v>
      </c>
      <c r="K259" s="20" t="n">
        <v>2400</v>
      </c>
      <c r="M259" s="20" t="n">
        <v>2100</v>
      </c>
      <c r="O259" s="20" t="n">
        <v>313</v>
      </c>
      <c r="P259" s="20" t="n">
        <v>2929</v>
      </c>
      <c r="Q259" s="20" t="n">
        <v>-1990</v>
      </c>
      <c r="R259" s="20" t="n">
        <v>-287</v>
      </c>
      <c r="S259" s="20" t="n">
        <v>-83</v>
      </c>
      <c r="T259" s="20" t="n">
        <v>-1500</v>
      </c>
      <c r="U259" s="20" t="n">
        <v>0</v>
      </c>
      <c r="W259" s="20" t="n">
        <v>0</v>
      </c>
      <c r="X259" s="20" t="n">
        <v>2100</v>
      </c>
    </row>
    <row r="260">
      <c r="A260" s="18" t="inlineStr">
        <is>
          <t>장기차입</t>
        </is>
      </c>
      <c r="E260" s="20" t="n">
        <v>300</v>
      </c>
      <c r="G260" s="20" t="n">
        <v>0</v>
      </c>
      <c r="I260" s="20" t="n">
        <v>3220</v>
      </c>
      <c r="K260" s="20" t="n">
        <v>500</v>
      </c>
      <c r="M260" s="20" t="n">
        <v>3500</v>
      </c>
      <c r="O260" s="20" t="n">
        <v>3500</v>
      </c>
      <c r="P260" s="20" t="n">
        <v>5500</v>
      </c>
      <c r="Q260" s="20" t="n">
        <v>4600</v>
      </c>
      <c r="R260" s="20" t="n">
        <v>0</v>
      </c>
      <c r="U260" s="20" t="n">
        <v>0</v>
      </c>
      <c r="V260" s="20" t="n">
        <v>300</v>
      </c>
      <c r="W260" s="20" t="n">
        <v>3220</v>
      </c>
      <c r="X260" s="20" t="n">
        <v>3500</v>
      </c>
    </row>
    <row r="261">
      <c r="A261" s="18" t="inlineStr">
        <is>
          <t>장기차입금 상환</t>
        </is>
      </c>
      <c r="C261" s="20" t="n">
        <v>-292</v>
      </c>
      <c r="E261" s="20" t="n">
        <v>-885</v>
      </c>
      <c r="G261" s="20" t="n">
        <v>-292</v>
      </c>
      <c r="I261" s="20" t="n">
        <v>-4600</v>
      </c>
      <c r="K261" s="20" t="n">
        <v>-361</v>
      </c>
      <c r="M261" s="20" t="n">
        <v>-4684</v>
      </c>
      <c r="O261" s="20" t="n">
        <v>-352</v>
      </c>
      <c r="P261" s="20" t="n">
        <v>-4002</v>
      </c>
      <c r="Q261" s="20" t="n">
        <v>-3355</v>
      </c>
      <c r="R261" s="20" t="n">
        <v>-568</v>
      </c>
      <c r="S261" s="20" t="n">
        <v>-617</v>
      </c>
      <c r="T261" s="20" t="n">
        <v>-585</v>
      </c>
      <c r="U261" s="20" t="n">
        <v>-585</v>
      </c>
      <c r="V261" s="20" t="n">
        <v>-885</v>
      </c>
      <c r="W261" s="20" t="n">
        <v>-4600</v>
      </c>
      <c r="X261" s="20" t="n">
        <v>-4684</v>
      </c>
    </row>
    <row r="262">
      <c r="A262" s="18" t="inlineStr">
        <is>
          <t>자기주식 취득</t>
        </is>
      </c>
      <c r="C262" s="20" t="n">
        <v>-0</v>
      </c>
      <c r="E262" s="20" t="n">
        <v>-110</v>
      </c>
      <c r="G262" s="20" t="n">
        <v>-154</v>
      </c>
      <c r="I262" s="20" t="n">
        <v>-578</v>
      </c>
      <c r="K262" s="20" t="n">
        <v>-134</v>
      </c>
      <c r="M262" s="20" t="n">
        <v>-135</v>
      </c>
      <c r="O262" s="20" t="n">
        <v>-302</v>
      </c>
      <c r="P262" s="20" t="n">
        <v>-2</v>
      </c>
      <c r="Q262" s="20" t="n">
        <v>-800</v>
      </c>
      <c r="R262" s="20" t="n">
        <v>-0</v>
      </c>
      <c r="S262" s="20" t="n">
        <v>-0</v>
      </c>
      <c r="T262" s="20" t="n">
        <v>-0</v>
      </c>
      <c r="U262" s="20" t="n">
        <v>-0</v>
      </c>
      <c r="V262" s="20" t="n">
        <v>-110</v>
      </c>
      <c r="W262" s="20" t="n">
        <v>-578</v>
      </c>
      <c r="X262" s="20" t="n">
        <v>-135</v>
      </c>
    </row>
    <row r="263">
      <c r="A263" s="18" t="inlineStr">
        <is>
          <t>자기주식 처분</t>
        </is>
      </c>
      <c r="E263" s="20" t="n">
        <v>0</v>
      </c>
      <c r="I263" s="20" t="n">
        <v>236</v>
      </c>
      <c r="M263" s="20" t="n">
        <v>90</v>
      </c>
      <c r="T263" s="20" t="n">
        <v>0</v>
      </c>
      <c r="U263" s="20" t="n">
        <v>464</v>
      </c>
      <c r="V263" s="20" t="n">
        <v>0</v>
      </c>
      <c r="W263" s="20" t="n">
        <v>236</v>
      </c>
      <c r="X263" s="20" t="n">
        <v>90</v>
      </c>
    </row>
    <row r="264">
      <c r="A264" s="18" t="inlineStr">
        <is>
          <t>배당금 지급</t>
        </is>
      </c>
      <c r="C264" s="20" t="n">
        <v>-282</v>
      </c>
      <c r="E264" s="20" t="n">
        <v>-281</v>
      </c>
      <c r="G264" s="20" t="n">
        <v>-277</v>
      </c>
      <c r="I264" s="20" t="n">
        <v>-278</v>
      </c>
      <c r="K264" s="20" t="n">
        <v>-639</v>
      </c>
      <c r="M264" s="20" t="n">
        <v>-639</v>
      </c>
      <c r="O264" s="20" t="n">
        <v>-289</v>
      </c>
      <c r="P264" s="20" t="n">
        <v>-283</v>
      </c>
      <c r="Q264" s="20" t="n">
        <v>-471</v>
      </c>
      <c r="R264" s="20" t="n">
        <v>-268</v>
      </c>
      <c r="S264" s="20" t="n">
        <v>-268</v>
      </c>
      <c r="T264" s="20" t="n">
        <v>-269</v>
      </c>
      <c r="U264" s="20" t="n">
        <v>-267</v>
      </c>
      <c r="V264" s="20" t="n">
        <v>-281</v>
      </c>
      <c r="W264" s="20" t="n">
        <v>-278</v>
      </c>
      <c r="X264" s="20" t="n">
        <v>-639</v>
      </c>
    </row>
    <row r="265">
      <c r="A265" s="18" t="inlineStr">
        <is>
          <t>기타</t>
        </is>
      </c>
      <c r="C265" s="20" t="n">
        <v>-0</v>
      </c>
      <c r="E265" s="20" t="n">
        <v>-3</v>
      </c>
      <c r="G265" s="20" t="n">
        <v>-2</v>
      </c>
      <c r="I265" s="20" t="n">
        <v>-4</v>
      </c>
      <c r="K265" s="20" t="n">
        <v>56</v>
      </c>
      <c r="M265" s="20" t="n">
        <v>-4</v>
      </c>
      <c r="O265" s="20" t="n">
        <v>-0</v>
      </c>
      <c r="P265" s="20" t="n">
        <v>-0</v>
      </c>
      <c r="Q265" s="20" t="n">
        <v>4</v>
      </c>
      <c r="R265" s="20" t="n">
        <v>-1</v>
      </c>
      <c r="S265" s="20" t="n">
        <v>-1</v>
      </c>
      <c r="T265" s="20" t="n">
        <v>-1</v>
      </c>
      <c r="U265" s="20" t="n">
        <v>-2</v>
      </c>
      <c r="V265" s="20" t="n">
        <v>-3</v>
      </c>
      <c r="W265" s="20" t="n">
        <v>-4</v>
      </c>
      <c r="X265" s="20" t="n">
        <v>-4</v>
      </c>
    </row>
    <row r="266">
      <c r="A266" s="9" t="inlineStr">
        <is>
          <t>재무활동 현금흐름</t>
        </is>
      </c>
      <c r="C266" s="12" t="n">
        <v>-576</v>
      </c>
      <c r="E266" s="12" t="n">
        <v>-979</v>
      </c>
      <c r="G266" s="12" t="n">
        <v>1572</v>
      </c>
      <c r="I266" s="12" t="n">
        <v>-2004</v>
      </c>
      <c r="K266" s="12" t="n">
        <v>1820</v>
      </c>
      <c r="M266" s="12" t="n">
        <v>226</v>
      </c>
      <c r="O266" s="12" t="n">
        <v>2868</v>
      </c>
      <c r="P266" s="12" t="n">
        <v>4140</v>
      </c>
      <c r="Q266" s="12" t="n">
        <v>-2012</v>
      </c>
      <c r="R266" s="12" t="n">
        <v>-1126</v>
      </c>
      <c r="S266" s="12" t="n">
        <v>-971</v>
      </c>
      <c r="T266" s="12" t="n">
        <v>-2356</v>
      </c>
      <c r="U266" s="12" t="n">
        <v>-390</v>
      </c>
      <c r="V266" s="12" t="n">
        <v>-979</v>
      </c>
      <c r="W266" s="12" t="n">
        <v>-2004</v>
      </c>
      <c r="X266" s="12" t="n">
        <v>226</v>
      </c>
    </row>
    <row r="267">
      <c r="A267" s="18" t="inlineStr">
        <is>
          <t>현금성자산 환산차이</t>
        </is>
      </c>
      <c r="C267" s="20" t="n">
        <v>2</v>
      </c>
      <c r="E267" s="20" t="n">
        <v>38</v>
      </c>
      <c r="G267" s="20" t="n">
        <v>-7</v>
      </c>
      <c r="I267" s="20" t="n">
        <v>11</v>
      </c>
      <c r="K267" s="20" t="n">
        <v>50</v>
      </c>
      <c r="M267" s="20" t="n">
        <v>157</v>
      </c>
      <c r="O267" s="20" t="n">
        <v>6</v>
      </c>
      <c r="P267" s="20" t="n">
        <v>-16</v>
      </c>
      <c r="Q267" s="20" t="n">
        <v>-4</v>
      </c>
      <c r="R267" s="20" t="n">
        <v>-10</v>
      </c>
      <c r="S267" s="20" t="n">
        <v>21</v>
      </c>
      <c r="T267" s="20" t="n">
        <v>48</v>
      </c>
      <c r="U267" s="20" t="n">
        <v>10</v>
      </c>
      <c r="V267" s="20" t="n">
        <v>38</v>
      </c>
      <c r="W267" s="20" t="n">
        <v>11</v>
      </c>
      <c r="X267" s="20" t="n">
        <v>157</v>
      </c>
    </row>
    <row r="268">
      <c r="A268" s="18" t="inlineStr">
        <is>
          <t>현금성자산 증감</t>
        </is>
      </c>
      <c r="C268" s="20" t="n">
        <v>-674</v>
      </c>
      <c r="E268" s="20" t="n">
        <v>491</v>
      </c>
      <c r="G268" s="20" t="n">
        <v>-2182</v>
      </c>
      <c r="I268" s="20" t="n">
        <v>-1682</v>
      </c>
      <c r="K268" s="20" t="n">
        <v>-698</v>
      </c>
      <c r="M268" s="20" t="n">
        <v>-568</v>
      </c>
      <c r="O268" s="20" t="n">
        <v>-310</v>
      </c>
      <c r="P268" s="20" t="n">
        <v>-535</v>
      </c>
      <c r="Q268" s="20" t="n">
        <v>685</v>
      </c>
      <c r="R268" s="20" t="n">
        <v>1053</v>
      </c>
      <c r="S268" s="20" t="n">
        <v>670</v>
      </c>
      <c r="T268" s="20" t="n">
        <v>485</v>
      </c>
      <c r="U268" s="20" t="n">
        <v>1070</v>
      </c>
      <c r="V268" s="20" t="n">
        <v>491</v>
      </c>
      <c r="W268" s="20" t="n">
        <v>-1682</v>
      </c>
      <c r="X268" s="20" t="n">
        <v>-568</v>
      </c>
    </row>
    <row r="269">
      <c r="A269" s="18" t="inlineStr">
        <is>
          <t>신규 연결 현금성자산 증가</t>
        </is>
      </c>
      <c r="E269" s="20" t="n">
        <v>411</v>
      </c>
      <c r="I269" s="20" t="n">
        <v>0</v>
      </c>
      <c r="U269" s="20" t="n">
        <v>0</v>
      </c>
      <c r="V269" s="20" t="n">
        <v>411</v>
      </c>
      <c r="W269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도요전기제조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29240</v>
      </c>
      <c r="D5" s="12" t="n">
        <v>31184</v>
      </c>
      <c r="E5" s="12" t="n">
        <v>32942</v>
      </c>
      <c r="F5" s="12" t="n">
        <v>30437</v>
      </c>
      <c r="G5" s="12" t="n">
        <v>31198</v>
      </c>
      <c r="H5" s="11" t="n">
        <v>24189</v>
      </c>
      <c r="I5" s="12" t="n">
        <v>26738</v>
      </c>
      <c r="J5" s="12" t="n">
        <v>27960</v>
      </c>
      <c r="K5" s="12" t="n">
        <v>30086</v>
      </c>
      <c r="L5" s="12" t="n">
        <v>30437</v>
      </c>
    </row>
    <row r="6">
      <c r="A6" s="18" t="inlineStr">
        <is>
          <t>현금및현금성자산</t>
        </is>
      </c>
      <c r="B6" s="10" t="n"/>
      <c r="C6" s="19" t="n">
        <v>4585</v>
      </c>
      <c r="D6" s="20" t="n">
        <v>4313</v>
      </c>
      <c r="E6" s="20" t="n">
        <v>4239</v>
      </c>
      <c r="F6" s="20" t="n">
        <v>4529</v>
      </c>
      <c r="G6" s="20" t="n">
        <v>4306</v>
      </c>
      <c r="H6" s="19" t="n">
        <v>4449</v>
      </c>
      <c r="I6" s="20" t="n">
        <v>5520</v>
      </c>
      <c r="J6" s="20" t="n">
        <v>6423</v>
      </c>
      <c r="K6" s="20" t="n">
        <v>5007</v>
      </c>
      <c r="L6" s="20" t="n">
        <v>4529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14212</v>
      </c>
      <c r="D8" s="20" t="n">
        <v>16249</v>
      </c>
      <c r="E8" s="20" t="n">
        <v>18086</v>
      </c>
      <c r="F8" s="20" t="n">
        <v>16153</v>
      </c>
      <c r="G8" s="20" t="n">
        <v>17422</v>
      </c>
      <c r="H8" s="19" t="n">
        <v>12091</v>
      </c>
      <c r="I8" s="20" t="n">
        <v>13236</v>
      </c>
      <c r="J8" s="20" t="n">
        <v>11756</v>
      </c>
      <c r="K8" s="20" t="n">
        <v>15161</v>
      </c>
      <c r="L8" s="20" t="n">
        <v>16153</v>
      </c>
    </row>
    <row r="9">
      <c r="A9" s="18" t="inlineStr">
        <is>
          <t>재고자산</t>
        </is>
      </c>
      <c r="B9" s="10" t="n"/>
      <c r="C9" s="19" t="n">
        <v>8964</v>
      </c>
      <c r="D9" s="20" t="n">
        <v>8943</v>
      </c>
      <c r="E9" s="20" t="n">
        <v>8905</v>
      </c>
      <c r="F9" s="20" t="n">
        <v>8423</v>
      </c>
      <c r="G9" s="20" t="n">
        <v>8303</v>
      </c>
      <c r="H9" s="19" t="n">
        <v>6266</v>
      </c>
      <c r="I9" s="20" t="n">
        <v>6318</v>
      </c>
      <c r="J9" s="20" t="n">
        <v>7546</v>
      </c>
      <c r="K9" s="20" t="n">
        <v>8075</v>
      </c>
      <c r="L9" s="20" t="n">
        <v>8423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25001</v>
      </c>
      <c r="D11" s="12" t="n">
        <v>24681</v>
      </c>
      <c r="E11" s="12" t="n">
        <v>26070</v>
      </c>
      <c r="F11" s="12" t="n">
        <v>23374</v>
      </c>
      <c r="G11" s="12" t="n">
        <v>25309</v>
      </c>
      <c r="H11" s="11" t="n">
        <v>22726</v>
      </c>
      <c r="I11" s="12" t="n">
        <v>22943</v>
      </c>
      <c r="J11" s="12" t="n">
        <v>23691</v>
      </c>
      <c r="K11" s="12" t="n">
        <v>23124</v>
      </c>
      <c r="L11" s="12" t="n">
        <v>23374</v>
      </c>
    </row>
    <row r="12">
      <c r="A12" s="18" t="inlineStr">
        <is>
          <t>유형자산</t>
        </is>
      </c>
      <c r="B12" s="10" t="n"/>
      <c r="C12" s="19" t="n">
        <v>5136</v>
      </c>
      <c r="D12" s="20" t="n">
        <v>5065</v>
      </c>
      <c r="E12" s="20" t="n">
        <v>4998</v>
      </c>
      <c r="F12" s="20" t="n">
        <v>5225</v>
      </c>
      <c r="G12" s="20" t="n">
        <v>5488</v>
      </c>
      <c r="H12" s="19" t="n">
        <v>6322</v>
      </c>
      <c r="I12" s="20" t="n">
        <v>5701</v>
      </c>
      <c r="J12" s="20" t="n">
        <v>5555</v>
      </c>
      <c r="K12" s="20" t="n">
        <v>5177</v>
      </c>
      <c r="L12" s="20" t="n">
        <v>5225</v>
      </c>
    </row>
    <row r="13">
      <c r="A13" s="18" t="inlineStr">
        <is>
          <t>무형자산</t>
        </is>
      </c>
      <c r="B13" s="10" t="n"/>
      <c r="C13" s="19" t="n">
        <v>163</v>
      </c>
      <c r="D13" s="20" t="n">
        <v>171</v>
      </c>
      <c r="E13" s="20" t="n">
        <v>151</v>
      </c>
      <c r="F13" s="20" t="n">
        <v>147</v>
      </c>
      <c r="G13" s="20" t="n">
        <v>144</v>
      </c>
      <c r="H13" s="19" t="n">
        <v>101</v>
      </c>
      <c r="I13" s="20" t="n">
        <v>77</v>
      </c>
      <c r="J13" s="20" t="n">
        <v>127</v>
      </c>
      <c r="K13" s="20" t="n">
        <v>159</v>
      </c>
      <c r="L13" s="20" t="n">
        <v>147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54241</v>
      </c>
      <c r="D16" s="12" t="n">
        <v>55865</v>
      </c>
      <c r="E16" s="12" t="n">
        <v>59012</v>
      </c>
      <c r="F16" s="12" t="n">
        <v>53812</v>
      </c>
      <c r="G16" s="12" t="n">
        <v>56507</v>
      </c>
      <c r="H16" s="11" t="n">
        <v>46916</v>
      </c>
      <c r="I16" s="12" t="n">
        <v>49682</v>
      </c>
      <c r="J16" s="12" t="n">
        <v>51652</v>
      </c>
      <c r="K16" s="12" t="n">
        <v>53210</v>
      </c>
      <c r="L16" s="12" t="n">
        <v>53812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16547</v>
      </c>
      <c r="D18" s="12" t="n">
        <v>17618</v>
      </c>
      <c r="E18" s="12" t="n">
        <v>18119</v>
      </c>
      <c r="F18" s="12" t="n">
        <v>11927</v>
      </c>
      <c r="G18" s="12" t="n">
        <v>11457</v>
      </c>
      <c r="H18" s="11" t="n">
        <v>9569</v>
      </c>
      <c r="I18" s="12" t="n">
        <v>10699</v>
      </c>
      <c r="J18" s="12" t="n">
        <v>15240</v>
      </c>
      <c r="K18" s="12" t="n">
        <v>17244</v>
      </c>
      <c r="L18" s="12" t="n">
        <v>11927</v>
      </c>
    </row>
    <row r="19">
      <c r="A19" s="18" t="inlineStr">
        <is>
          <t>매입채무</t>
        </is>
      </c>
      <c r="B19" s="10" t="n"/>
      <c r="C19" s="19" t="n">
        <v>2031</v>
      </c>
      <c r="D19" s="20" t="n">
        <v>2202</v>
      </c>
      <c r="E19" s="20" t="n">
        <v>2261</v>
      </c>
      <c r="F19" s="20" t="n">
        <v>2174</v>
      </c>
      <c r="G19" s="20" t="n">
        <v>1712</v>
      </c>
      <c r="H19" s="19" t="n">
        <v>1610</v>
      </c>
      <c r="I19" s="20" t="n">
        <v>2060</v>
      </c>
      <c r="J19" s="20" t="n">
        <v>2292</v>
      </c>
      <c r="K19" s="20" t="n">
        <v>2496</v>
      </c>
      <c r="L19" s="20" t="n">
        <v>2174</v>
      </c>
    </row>
    <row r="20">
      <c r="A20" s="18" t="inlineStr">
        <is>
          <t>단기차입금</t>
        </is>
      </c>
      <c r="B20" s="10" t="n"/>
      <c r="C20" s="19" t="n">
        <v>6205</v>
      </c>
      <c r="D20" s="20" t="n">
        <v>6985</v>
      </c>
      <c r="E20" s="20" t="n">
        <v>8895</v>
      </c>
      <c r="F20" s="20" t="n">
        <v>2675</v>
      </c>
      <c r="G20" s="20" t="n">
        <v>3336</v>
      </c>
      <c r="H20" s="19" t="n">
        <v>585</v>
      </c>
      <c r="I20" s="20" t="n">
        <v>885</v>
      </c>
      <c r="J20" s="20" t="n">
        <v>4585</v>
      </c>
      <c r="K20" s="20" t="n">
        <v>4585</v>
      </c>
      <c r="L20" s="20" t="n">
        <v>2675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9009</v>
      </c>
      <c r="D23" s="12" t="n">
        <v>9294</v>
      </c>
      <c r="E23" s="12" t="n">
        <v>9843</v>
      </c>
      <c r="F23" s="12" t="n">
        <v>11273</v>
      </c>
      <c r="G23" s="12" t="n">
        <v>11894</v>
      </c>
      <c r="H23" s="11" t="n">
        <v>15333</v>
      </c>
      <c r="I23" s="12" t="n">
        <v>14399</v>
      </c>
      <c r="J23" s="12" t="n">
        <v>10341</v>
      </c>
      <c r="K23" s="12" t="n">
        <v>8580</v>
      </c>
      <c r="L23" s="12" t="n">
        <v>11273</v>
      </c>
    </row>
    <row r="24">
      <c r="A24" s="18" t="inlineStr">
        <is>
          <t>장기차입금</t>
        </is>
      </c>
      <c r="B24" s="10" t="n"/>
      <c r="C24" s="19" t="n">
        <v>4418</v>
      </c>
      <c r="D24" s="20" t="n">
        <v>4760</v>
      </c>
      <c r="E24" s="20" t="n">
        <v>4566</v>
      </c>
      <c r="F24" s="20" t="n">
        <v>7447</v>
      </c>
      <c r="G24" s="20" t="n">
        <v>7302</v>
      </c>
      <c r="H24" s="19" t="n">
        <v>11173</v>
      </c>
      <c r="I24" s="20" t="n">
        <v>10288</v>
      </c>
      <c r="J24" s="20" t="n">
        <v>6003</v>
      </c>
      <c r="K24" s="20" t="n">
        <v>4622</v>
      </c>
      <c r="L24" s="20" t="n">
        <v>7447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25556</v>
      </c>
      <c r="D27" s="12" t="n">
        <v>26913</v>
      </c>
      <c r="E27" s="12" t="n">
        <v>27962</v>
      </c>
      <c r="F27" s="12" t="n">
        <v>23201</v>
      </c>
      <c r="G27" s="12" t="n">
        <v>23351</v>
      </c>
      <c r="H27" s="11" t="n">
        <v>24903</v>
      </c>
      <c r="I27" s="12" t="n">
        <v>25099</v>
      </c>
      <c r="J27" s="12" t="n">
        <v>25582</v>
      </c>
      <c r="K27" s="12" t="n">
        <v>25825</v>
      </c>
      <c r="L27" s="12" t="n">
        <v>23201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28684</v>
      </c>
      <c r="D31" s="12" t="n">
        <v>28952</v>
      </c>
      <c r="E31" s="12" t="n">
        <v>31049</v>
      </c>
      <c r="F31" s="12" t="n">
        <v>30611</v>
      </c>
      <c r="G31" s="12" t="n">
        <v>33155</v>
      </c>
      <c r="H31" s="11" t="n">
        <v>22012</v>
      </c>
      <c r="I31" s="12" t="n">
        <v>24582</v>
      </c>
      <c r="J31" s="12" t="n">
        <v>26070</v>
      </c>
      <c r="K31" s="12" t="n">
        <v>27385</v>
      </c>
      <c r="L31" s="12" t="n">
        <v>30611</v>
      </c>
    </row>
    <row r="32">
      <c r="A32" s="18" t="inlineStr">
        <is>
          <t>자본금</t>
        </is>
      </c>
      <c r="B32" s="10" t="n"/>
      <c r="C32" s="19" t="n">
        <v>4998</v>
      </c>
      <c r="D32" s="20" t="n">
        <v>4998</v>
      </c>
      <c r="E32" s="20" t="n">
        <v>4998</v>
      </c>
      <c r="F32" s="20" t="n">
        <v>4998</v>
      </c>
      <c r="G32" s="20" t="n">
        <v>4998</v>
      </c>
      <c r="H32" s="19" t="n">
        <v>4998</v>
      </c>
      <c r="I32" s="20" t="n">
        <v>4998</v>
      </c>
      <c r="J32" s="20" t="n">
        <v>4998</v>
      </c>
      <c r="K32" s="20" t="n">
        <v>4998</v>
      </c>
      <c r="L32" s="20" t="n">
        <v>4998</v>
      </c>
    </row>
    <row r="33">
      <c r="A33" s="18" t="inlineStr">
        <is>
          <t>이익잉여금</t>
        </is>
      </c>
      <c r="B33" s="10" t="n"/>
      <c r="C33" s="19" t="n">
        <v>13943</v>
      </c>
      <c r="D33" s="20" t="n">
        <v>14343</v>
      </c>
      <c r="E33" s="20" t="n">
        <v>15329</v>
      </c>
      <c r="F33" s="20" t="n">
        <v>16454</v>
      </c>
      <c r="G33" s="20" t="n">
        <v>16415</v>
      </c>
      <c r="H33" s="19" t="n">
        <v>11122</v>
      </c>
      <c r="I33" s="20" t="n">
        <v>11347</v>
      </c>
      <c r="J33" s="20" t="n">
        <v>12299</v>
      </c>
      <c r="K33" s="20" t="n">
        <v>14122</v>
      </c>
      <c r="L33" s="20" t="n">
        <v>16454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28684</v>
      </c>
      <c r="D35" s="12" t="n">
        <v>28952</v>
      </c>
      <c r="E35" s="12" t="n">
        <v>31049</v>
      </c>
      <c r="F35" s="12" t="n">
        <v>30611</v>
      </c>
      <c r="G35" s="12" t="n">
        <v>33155</v>
      </c>
      <c r="H35" s="11" t="n">
        <v>22012</v>
      </c>
      <c r="I35" s="12" t="n">
        <v>24582</v>
      </c>
      <c r="J35" s="12" t="n">
        <v>26070</v>
      </c>
      <c r="K35" s="12" t="n">
        <v>27385</v>
      </c>
      <c r="L35" s="12" t="n">
        <v>30611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1371</v>
      </c>
      <c r="E37" s="12" t="n"/>
      <c r="F37" s="12" t="n">
        <v>-826</v>
      </c>
      <c r="G37" s="12" t="n"/>
      <c r="H37" s="11" t="n">
        <v>2504</v>
      </c>
      <c r="I37" s="12" t="n">
        <v>815</v>
      </c>
      <c r="J37" s="12" t="n">
        <v>1846</v>
      </c>
      <c r="K37" s="12" t="n">
        <v>601</v>
      </c>
      <c r="L37" s="12" t="n">
        <v>-826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481</v>
      </c>
      <c r="E38" s="20" t="n"/>
      <c r="F38" s="20" t="n">
        <v>833</v>
      </c>
      <c r="G38" s="20" t="n"/>
      <c r="H38" s="19" t="n">
        <v>369</v>
      </c>
      <c r="I38" s="20" t="n">
        <v>341</v>
      </c>
      <c r="J38" s="20" t="n">
        <v>394</v>
      </c>
      <c r="K38" s="20" t="n">
        <v>576</v>
      </c>
      <c r="L38" s="20" t="n">
        <v>833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640</v>
      </c>
      <c r="E40" s="20" t="n"/>
      <c r="F40" s="20" t="n">
        <v>639</v>
      </c>
      <c r="G40" s="20" t="n"/>
      <c r="H40" s="19" t="n">
        <v>269</v>
      </c>
      <c r="I40" s="20" t="n">
        <v>267</v>
      </c>
      <c r="J40" s="20" t="n">
        <v>281</v>
      </c>
      <c r="K40" s="20" t="n">
        <v>278</v>
      </c>
      <c r="L40" s="20" t="n">
        <v>639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IFERROR(IF((IF(COUNT('연간'!G56:J56)&lt;4,"",SUM('연간'!G56:J56)))&lt;=0,"적자",C28/(IF(COUNT('연간'!G56:J56)&lt;4,"",SUM('연간'!G56:J56)))),"")</f>
        <v/>
      </c>
      <c r="D49" s="47">
        <f>IFERROR(IF((IF(COUNT('연간'!H56:K56)&lt;4,"",SUM('연간'!H56:K56)))&lt;=0,"적자",D28/(IF(COUNT('연간'!H56:K56)&lt;4,"",SUM('연간'!H56:K56)))),"")</f>
        <v/>
      </c>
      <c r="E49" s="47">
        <f>IFERROR(IF((IF(COUNT('연간'!I56:L56)&lt;4,"",SUM('연간'!I56:L56)))&lt;=0,"적자",E28/(IF(COUNT('연간'!I56:L56)&lt;4,"",SUM('연간'!I56:L56)))),"")</f>
        <v/>
      </c>
      <c r="F49" s="47">
        <f>IFERROR(IF((IF(COUNT('연간'!J56:M56)&lt;4,"",SUM('연간'!J56:M56)))&lt;=0,"적자",F28/(IF(COUNT('연간'!J56:M56)&lt;4,"",SUM('연간'!J56:M56)))),"")</f>
        <v/>
      </c>
      <c r="G49" s="47">
        <f>IFERROR(IF((IF(COUNT('연간'!K56:N56)&lt;4,"",SUM('연간'!K56:N56)))&lt;=0,"적자",G28/(IF(COUNT('연간'!K56:N56)&lt;4,"",SUM('연간'!K56:N56)))),"")</f>
        <v/>
      </c>
      <c r="H49" s="46">
        <f>IFERROR(IF(('연간'!T56)&lt;=0,"적자",H28/('연간'!T56)),"")</f>
        <v/>
      </c>
      <c r="I49" s="47">
        <f>IFERROR(IF(('연간'!U56)&lt;=0,"적자",I28/('연간'!U56)),"")</f>
        <v/>
      </c>
      <c r="J49" s="47">
        <f>IFERROR(IF(('연간'!V56)&lt;=0,"적자",J28/('연간'!V56)),"")</f>
        <v/>
      </c>
      <c r="K49" s="47">
        <f>IFERROR(IF(('연간'!W56)&lt;=0,"적자",K28/('연간'!W56)),"")</f>
        <v/>
      </c>
      <c r="L49" s="47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4585</v>
      </c>
      <c r="D71" s="20" t="n">
        <v>4313</v>
      </c>
      <c r="E71" s="20" t="n">
        <v>4239</v>
      </c>
      <c r="F71" s="20" t="n">
        <v>4529</v>
      </c>
      <c r="G71" s="20" t="n">
        <v>4306</v>
      </c>
      <c r="H71" s="20" t="n">
        <v>4449</v>
      </c>
      <c r="I71" s="20" t="n">
        <v>5520</v>
      </c>
      <c r="J71" s="20" t="n">
        <v>6423</v>
      </c>
      <c r="K71" s="20" t="n">
        <v>5007</v>
      </c>
      <c r="L71" s="20" t="n">
        <v>4529</v>
      </c>
    </row>
    <row r="72">
      <c r="A72" s="18" t="inlineStr">
        <is>
          <t>받을어음·매출채권·계약자산</t>
        </is>
      </c>
      <c r="C72" s="20" t="n">
        <v>14212</v>
      </c>
      <c r="D72" s="20" t="n">
        <v>16249</v>
      </c>
      <c r="E72" s="20" t="n">
        <v>18086</v>
      </c>
      <c r="F72" s="20" t="n">
        <v>16153</v>
      </c>
      <c r="G72" s="20" t="n">
        <v>17422</v>
      </c>
      <c r="H72" s="20" t="n">
        <v>12091</v>
      </c>
      <c r="I72" s="20" t="n">
        <v>13236</v>
      </c>
      <c r="J72" s="20" t="n">
        <v>11756</v>
      </c>
      <c r="K72" s="20" t="n">
        <v>15161</v>
      </c>
      <c r="L72" s="20" t="n">
        <v>16153</v>
      </c>
    </row>
    <row r="73">
      <c r="A73" s="18" t="inlineStr">
        <is>
          <t>받을어음·매출채권</t>
        </is>
      </c>
      <c r="H73" s="20" t="n">
        <v>0</v>
      </c>
    </row>
    <row r="74">
      <c r="A74" s="18" t="inlineStr">
        <is>
          <t>전자기록채권</t>
        </is>
      </c>
      <c r="C74" s="20" t="n">
        <v>1323</v>
      </c>
      <c r="D74" s="20" t="n">
        <v>1487</v>
      </c>
      <c r="E74" s="20" t="n">
        <v>1396</v>
      </c>
      <c r="F74" s="20" t="n">
        <v>1290</v>
      </c>
      <c r="G74" s="20" t="n">
        <v>1043</v>
      </c>
      <c r="H74" s="20" t="n">
        <v>1136</v>
      </c>
      <c r="I74" s="20" t="n">
        <v>1116</v>
      </c>
      <c r="J74" s="20" t="n">
        <v>1849</v>
      </c>
      <c r="K74" s="20" t="n">
        <v>1640</v>
      </c>
      <c r="L74" s="20" t="n">
        <v>1290</v>
      </c>
    </row>
    <row r="75">
      <c r="A75" s="18" t="inlineStr">
        <is>
          <t>상품·제품</t>
        </is>
      </c>
      <c r="C75" s="20" t="n">
        <v>697</v>
      </c>
      <c r="D75" s="20" t="n">
        <v>595</v>
      </c>
      <c r="E75" s="20" t="n">
        <v>447</v>
      </c>
      <c r="F75" s="20" t="n">
        <v>356</v>
      </c>
      <c r="G75" s="20" t="n">
        <v>448</v>
      </c>
      <c r="H75" s="20" t="n">
        <v>501</v>
      </c>
      <c r="I75" s="20" t="n">
        <v>376</v>
      </c>
      <c r="J75" s="20" t="n">
        <v>466</v>
      </c>
      <c r="K75" s="20" t="n">
        <v>752</v>
      </c>
      <c r="L75" s="20" t="n">
        <v>356</v>
      </c>
    </row>
    <row r="76">
      <c r="A76" s="18" t="inlineStr">
        <is>
          <t>재공품</t>
        </is>
      </c>
      <c r="C76" s="20" t="n">
        <v>4454</v>
      </c>
      <c r="D76" s="20" t="n">
        <v>4852</v>
      </c>
      <c r="E76" s="20" t="n">
        <v>4808</v>
      </c>
      <c r="F76" s="20" t="n">
        <v>4600</v>
      </c>
      <c r="G76" s="20" t="n">
        <v>4318</v>
      </c>
      <c r="H76" s="20" t="n">
        <v>3077</v>
      </c>
      <c r="I76" s="20" t="n">
        <v>3106</v>
      </c>
      <c r="J76" s="20" t="n">
        <v>3692</v>
      </c>
      <c r="K76" s="20" t="n">
        <v>3553</v>
      </c>
      <c r="L76" s="20" t="n">
        <v>4600</v>
      </c>
    </row>
    <row r="77">
      <c r="A77" s="18" t="inlineStr">
        <is>
          <t>원재료·저장품</t>
        </is>
      </c>
      <c r="C77" s="20" t="n">
        <v>3813</v>
      </c>
      <c r="D77" s="20" t="n">
        <v>3496</v>
      </c>
      <c r="E77" s="20" t="n">
        <v>3650</v>
      </c>
      <c r="F77" s="20" t="n">
        <v>3467</v>
      </c>
      <c r="G77" s="20" t="n">
        <v>3537</v>
      </c>
      <c r="H77" s="20" t="n">
        <v>2688</v>
      </c>
      <c r="I77" s="20" t="n">
        <v>2836</v>
      </c>
      <c r="J77" s="20" t="n">
        <v>3388</v>
      </c>
      <c r="K77" s="20" t="n">
        <v>3770</v>
      </c>
      <c r="L77" s="20" t="n">
        <v>3467</v>
      </c>
    </row>
    <row r="78">
      <c r="A78" s="18" t="inlineStr">
        <is>
          <t>선급금</t>
        </is>
      </c>
      <c r="C78" s="20" t="n">
        <v>63</v>
      </c>
      <c r="D78" s="20" t="n">
        <v>11</v>
      </c>
      <c r="E78" s="20" t="n">
        <v>34</v>
      </c>
      <c r="F78" s="20" t="n">
        <v>17</v>
      </c>
      <c r="G78" s="20" t="n">
        <v>25</v>
      </c>
      <c r="H78" s="20" t="n">
        <v>8</v>
      </c>
      <c r="I78" s="20" t="n">
        <v>22</v>
      </c>
      <c r="J78" s="20" t="n">
        <v>13</v>
      </c>
      <c r="K78" s="20" t="n">
        <v>16</v>
      </c>
      <c r="L78" s="20" t="n">
        <v>17</v>
      </c>
    </row>
    <row r="79">
      <c r="A79" s="18" t="inlineStr">
        <is>
          <t>미수금</t>
        </is>
      </c>
      <c r="C79" s="20" t="n">
        <v>80</v>
      </c>
      <c r="D79" s="20" t="n">
        <v>87</v>
      </c>
      <c r="E79" s="20" t="n">
        <v>305</v>
      </c>
      <c r="F79" s="20" t="n">
        <v>70</v>
      </c>
      <c r="G79" s="20" t="n">
        <v>82</v>
      </c>
      <c r="H79" s="20" t="n">
        <v>25</v>
      </c>
      <c r="I79" s="20" t="n">
        <v>162</v>
      </c>
      <c r="J79" s="20" t="n">
        <v>116</v>
      </c>
      <c r="K79" s="20" t="n">
        <v>157</v>
      </c>
      <c r="L79" s="20" t="n">
        <v>70</v>
      </c>
    </row>
    <row r="80">
      <c r="A80" s="18" t="inlineStr">
        <is>
          <t>기타</t>
        </is>
      </c>
      <c r="C80" s="20" t="n">
        <v>337</v>
      </c>
      <c r="D80" s="20" t="n">
        <v>417</v>
      </c>
      <c r="E80" s="20" t="n">
        <v>301</v>
      </c>
      <c r="F80" s="20" t="n">
        <v>291</v>
      </c>
      <c r="G80" s="20" t="n">
        <v>338</v>
      </c>
      <c r="H80" s="20" t="n">
        <v>212</v>
      </c>
      <c r="I80" s="20" t="n">
        <v>370</v>
      </c>
      <c r="J80" s="20" t="n">
        <v>280</v>
      </c>
      <c r="K80" s="20" t="n">
        <v>356</v>
      </c>
      <c r="L80" s="20" t="n">
        <v>291</v>
      </c>
    </row>
    <row r="81">
      <c r="A81" s="18" t="inlineStr">
        <is>
          <t>대손충당금</t>
        </is>
      </c>
      <c r="C81" s="20" t="n">
        <v>-327</v>
      </c>
      <c r="D81" s="20" t="n">
        <v>-327</v>
      </c>
      <c r="E81" s="20" t="n">
        <v>-328</v>
      </c>
      <c r="F81" s="20" t="n">
        <v>-339</v>
      </c>
      <c r="G81" s="20" t="n">
        <v>-324</v>
      </c>
      <c r="H81" s="20" t="n">
        <v>-1</v>
      </c>
      <c r="I81" s="20" t="n">
        <v>-10</v>
      </c>
      <c r="J81" s="20" t="n">
        <v>-25</v>
      </c>
      <c r="K81" s="20" t="n">
        <v>-327</v>
      </c>
      <c r="L81" s="20" t="n">
        <v>-339</v>
      </c>
    </row>
    <row r="82">
      <c r="A82" s="9" t="inlineStr">
        <is>
          <t>유동자산 합계</t>
        </is>
      </c>
      <c r="C82" s="12" t="n">
        <v>29240</v>
      </c>
      <c r="D82" s="12" t="n">
        <v>31184</v>
      </c>
      <c r="E82" s="12" t="n">
        <v>32942</v>
      </c>
      <c r="F82" s="12" t="n">
        <v>30437</v>
      </c>
      <c r="G82" s="12" t="n">
        <v>31198</v>
      </c>
      <c r="H82" s="12" t="n">
        <v>24189</v>
      </c>
      <c r="I82" s="12" t="n">
        <v>26738</v>
      </c>
      <c r="J82" s="12" t="n">
        <v>27960</v>
      </c>
      <c r="K82" s="12" t="n">
        <v>30086</v>
      </c>
      <c r="L82" s="12" t="n">
        <v>30437</v>
      </c>
    </row>
    <row r="83">
      <c r="A83" s="18" t="inlineStr">
        <is>
          <t>건물·구축물</t>
        </is>
      </c>
      <c r="C83" s="20" t="n">
        <v>9901</v>
      </c>
      <c r="D83" s="20" t="n">
        <v>9900</v>
      </c>
      <c r="E83" s="20" t="n">
        <v>9885</v>
      </c>
      <c r="F83" s="20" t="n">
        <v>9926</v>
      </c>
      <c r="G83" s="20" t="n">
        <v>10175</v>
      </c>
      <c r="H83" s="20" t="n">
        <v>10326</v>
      </c>
      <c r="I83" s="20" t="n">
        <v>9952</v>
      </c>
      <c r="J83" s="20" t="n">
        <v>9987</v>
      </c>
      <c r="K83" s="20" t="n">
        <v>9984</v>
      </c>
      <c r="L83" s="20" t="n">
        <v>9926</v>
      </c>
    </row>
    <row r="84">
      <c r="A84" s="18" t="inlineStr">
        <is>
          <t>감가상각누계액</t>
        </is>
      </c>
      <c r="C84" s="20" t="n">
        <v>-6836</v>
      </c>
      <c r="D84" s="20" t="n">
        <v>-6896</v>
      </c>
      <c r="E84" s="20" t="n">
        <v>-6926</v>
      </c>
      <c r="F84" s="20" t="n">
        <v>-6987</v>
      </c>
      <c r="G84" s="20" t="n">
        <v>-7048</v>
      </c>
      <c r="H84" s="20" t="n">
        <v>-6341</v>
      </c>
      <c r="I84" s="20" t="n">
        <v>-6340</v>
      </c>
      <c r="J84" s="20" t="n">
        <v>-6614</v>
      </c>
      <c r="K84" s="20" t="n">
        <v>-6860</v>
      </c>
      <c r="L84" s="20" t="n">
        <v>-6987</v>
      </c>
    </row>
    <row r="85">
      <c r="A85" s="18" t="inlineStr">
        <is>
          <t>건물·구축물(순액)</t>
        </is>
      </c>
      <c r="C85" s="20" t="n">
        <v>3065</v>
      </c>
      <c r="D85" s="20" t="n">
        <v>3004</v>
      </c>
      <c r="E85" s="20" t="n">
        <v>2958</v>
      </c>
      <c r="F85" s="20" t="n">
        <v>2938</v>
      </c>
      <c r="G85" s="20" t="n">
        <v>3127</v>
      </c>
      <c r="H85" s="20" t="n">
        <v>3985</v>
      </c>
      <c r="I85" s="20" t="n">
        <v>3611</v>
      </c>
      <c r="J85" s="20" t="n">
        <v>3372</v>
      </c>
      <c r="K85" s="20" t="n">
        <v>3124</v>
      </c>
      <c r="L85" s="20" t="n">
        <v>2938</v>
      </c>
    </row>
    <row r="86">
      <c r="A86" s="18" t="inlineStr">
        <is>
          <t>기계장치·운반구</t>
        </is>
      </c>
      <c r="C86" s="20" t="n">
        <v>8503</v>
      </c>
      <c r="D86" s="20" t="n">
        <v>8500</v>
      </c>
      <c r="E86" s="20" t="n">
        <v>8389</v>
      </c>
      <c r="F86" s="20" t="n">
        <v>8375</v>
      </c>
      <c r="G86" s="20" t="n">
        <v>8414</v>
      </c>
      <c r="H86" s="20" t="n">
        <v>8185</v>
      </c>
      <c r="I86" s="20" t="n">
        <v>8208</v>
      </c>
      <c r="J86" s="20" t="n">
        <v>8341</v>
      </c>
      <c r="K86" s="20" t="n">
        <v>8509</v>
      </c>
      <c r="L86" s="20" t="n">
        <v>8375</v>
      </c>
    </row>
    <row r="87">
      <c r="A87" s="18" t="inlineStr">
        <is>
          <t>감가상각누계액</t>
        </is>
      </c>
      <c r="C87" s="20" t="n">
        <v>-8138</v>
      </c>
      <c r="D87" s="20" t="n">
        <v>-8146</v>
      </c>
      <c r="E87" s="20" t="n">
        <v>-8056</v>
      </c>
      <c r="F87" s="20" t="n">
        <v>-8079</v>
      </c>
      <c r="G87" s="20" t="n">
        <v>-8105</v>
      </c>
      <c r="H87" s="20" t="n">
        <v>-7605</v>
      </c>
      <c r="I87" s="20" t="n">
        <v>-7860</v>
      </c>
      <c r="J87" s="20" t="n">
        <v>-8038</v>
      </c>
      <c r="K87" s="20" t="n">
        <v>-8124</v>
      </c>
      <c r="L87" s="20" t="n">
        <v>-8079</v>
      </c>
    </row>
    <row r="88">
      <c r="A88" s="18" t="inlineStr">
        <is>
          <t>기계장치·운반구(순액)</t>
        </is>
      </c>
      <c r="C88" s="20" t="n">
        <v>364</v>
      </c>
      <c r="D88" s="20" t="n">
        <v>354</v>
      </c>
      <c r="E88" s="20" t="n">
        <v>332</v>
      </c>
      <c r="F88" s="20" t="n">
        <v>296</v>
      </c>
      <c r="G88" s="20" t="n">
        <v>309</v>
      </c>
      <c r="H88" s="20" t="n">
        <v>579</v>
      </c>
      <c r="I88" s="20" t="n">
        <v>348</v>
      </c>
      <c r="J88" s="20" t="n">
        <v>303</v>
      </c>
      <c r="K88" s="20" t="n">
        <v>385</v>
      </c>
      <c r="L88" s="20" t="n">
        <v>296</v>
      </c>
    </row>
    <row r="89">
      <c r="A89" s="18" t="inlineStr">
        <is>
          <t>토지</t>
        </is>
      </c>
      <c r="C89" s="20" t="n">
        <v>1223</v>
      </c>
      <c r="D89" s="20" t="n">
        <v>1223</v>
      </c>
      <c r="E89" s="20" t="n">
        <v>1215</v>
      </c>
      <c r="F89" s="20" t="n">
        <v>1215</v>
      </c>
      <c r="G89" s="20" t="n">
        <v>1215</v>
      </c>
      <c r="H89" s="20" t="n">
        <v>1270</v>
      </c>
      <c r="I89" s="20" t="n">
        <v>1269</v>
      </c>
      <c r="J89" s="20" t="n">
        <v>1269</v>
      </c>
      <c r="K89" s="20" t="n">
        <v>1246</v>
      </c>
      <c r="L89" s="20" t="n">
        <v>1215</v>
      </c>
    </row>
    <row r="90">
      <c r="A90" s="18" t="inlineStr">
        <is>
          <t>건설중인자산</t>
        </is>
      </c>
      <c r="C90" s="20" t="n">
        <v>33</v>
      </c>
      <c r="D90" s="20" t="n">
        <v>37</v>
      </c>
      <c r="E90" s="20" t="n">
        <v>51</v>
      </c>
      <c r="F90" s="20" t="n">
        <v>319</v>
      </c>
      <c r="G90" s="20" t="n">
        <v>325</v>
      </c>
      <c r="H90" s="20" t="n">
        <v>7</v>
      </c>
      <c r="I90" s="20" t="n">
        <v>11</v>
      </c>
      <c r="J90" s="20" t="n">
        <v>135</v>
      </c>
      <c r="K90" s="20" t="n">
        <v>2</v>
      </c>
      <c r="L90" s="20" t="n">
        <v>319</v>
      </c>
    </row>
    <row r="91">
      <c r="A91" s="18" t="inlineStr">
        <is>
          <t>기타</t>
        </is>
      </c>
      <c r="C91" s="20" t="n">
        <v>5307</v>
      </c>
      <c r="D91" s="20" t="n">
        <v>5244</v>
      </c>
      <c r="E91" s="20" t="n">
        <v>5232</v>
      </c>
      <c r="F91" s="20" t="n">
        <v>5333</v>
      </c>
      <c r="G91" s="20" t="n">
        <v>5436</v>
      </c>
      <c r="H91" s="20" t="n">
        <v>4977</v>
      </c>
      <c r="I91" s="20" t="n">
        <v>5138</v>
      </c>
      <c r="J91" s="20" t="n">
        <v>5250</v>
      </c>
      <c r="K91" s="20" t="n">
        <v>5234</v>
      </c>
      <c r="L91" s="20" t="n">
        <v>5333</v>
      </c>
    </row>
    <row r="92">
      <c r="A92" s="18" t="inlineStr">
        <is>
          <t>감가상각누계액</t>
        </is>
      </c>
      <c r="C92" s="20" t="n">
        <v>-4857</v>
      </c>
      <c r="D92" s="20" t="n">
        <v>-4798</v>
      </c>
      <c r="E92" s="20" t="n">
        <v>-4792</v>
      </c>
      <c r="F92" s="20" t="n">
        <v>-4878</v>
      </c>
      <c r="G92" s="20" t="n">
        <v>-4925</v>
      </c>
      <c r="H92" s="20" t="n">
        <v>-4497</v>
      </c>
      <c r="I92" s="20" t="n">
        <v>-4678</v>
      </c>
      <c r="J92" s="20" t="n">
        <v>-4776</v>
      </c>
      <c r="K92" s="20" t="n">
        <v>-4815</v>
      </c>
      <c r="L92" s="20" t="n">
        <v>-4878</v>
      </c>
    </row>
    <row r="93">
      <c r="A93" s="18" t="inlineStr">
        <is>
          <t>기타(순액)</t>
        </is>
      </c>
      <c r="C93" s="20" t="n">
        <v>449</v>
      </c>
      <c r="D93" s="20" t="n">
        <v>445</v>
      </c>
      <c r="E93" s="20" t="n">
        <v>439</v>
      </c>
      <c r="F93" s="20" t="n">
        <v>455</v>
      </c>
      <c r="G93" s="20" t="n">
        <v>511</v>
      </c>
      <c r="H93" s="20" t="n">
        <v>479</v>
      </c>
      <c r="I93" s="20" t="n">
        <v>459</v>
      </c>
      <c r="J93" s="20" t="n">
        <v>474</v>
      </c>
      <c r="K93" s="20" t="n">
        <v>418</v>
      </c>
      <c r="L93" s="20" t="n">
        <v>455</v>
      </c>
    </row>
    <row r="94">
      <c r="A94" s="18" t="inlineStr">
        <is>
          <t>유형자산 합계</t>
        </is>
      </c>
      <c r="C94" s="20" t="n">
        <v>5136</v>
      </c>
      <c r="D94" s="20" t="n">
        <v>5065</v>
      </c>
      <c r="E94" s="20" t="n">
        <v>4998</v>
      </c>
      <c r="F94" s="20" t="n">
        <v>5225</v>
      </c>
      <c r="G94" s="20" t="n">
        <v>5488</v>
      </c>
      <c r="H94" s="20" t="n">
        <v>6322</v>
      </c>
      <c r="I94" s="20" t="n">
        <v>5701</v>
      </c>
      <c r="J94" s="20" t="n">
        <v>5555</v>
      </c>
      <c r="K94" s="20" t="n">
        <v>5177</v>
      </c>
      <c r="L94" s="20" t="n">
        <v>5225</v>
      </c>
    </row>
    <row r="95">
      <c r="A95" s="18" t="inlineStr">
        <is>
          <t>소프트웨어</t>
        </is>
      </c>
      <c r="C95" s="20" t="n">
        <v>145</v>
      </c>
      <c r="D95" s="20" t="n">
        <v>145</v>
      </c>
      <c r="E95" s="20" t="n">
        <v>138</v>
      </c>
      <c r="F95" s="20" t="n">
        <v>134</v>
      </c>
      <c r="G95" s="20" t="n">
        <v>131</v>
      </c>
      <c r="H95" s="20" t="n">
        <v>87</v>
      </c>
      <c r="I95" s="20" t="n">
        <v>63</v>
      </c>
      <c r="J95" s="20" t="n">
        <v>84</v>
      </c>
      <c r="K95" s="20" t="n">
        <v>137</v>
      </c>
      <c r="L95" s="20" t="n">
        <v>134</v>
      </c>
    </row>
    <row r="96">
      <c r="A96" s="18" t="inlineStr">
        <is>
          <t>개발 중 소프트웨어</t>
        </is>
      </c>
      <c r="D96" s="20" t="n">
        <v>13</v>
      </c>
      <c r="E96" s="20" t="n">
        <v>0</v>
      </c>
      <c r="F96" s="20" t="n">
        <v>0</v>
      </c>
      <c r="I96" s="20" t="n">
        <v>0</v>
      </c>
      <c r="J96" s="20" t="n">
        <v>29</v>
      </c>
      <c r="K96" s="20" t="n">
        <v>8</v>
      </c>
      <c r="L96" s="20" t="n">
        <v>0</v>
      </c>
    </row>
    <row r="97">
      <c r="A97" s="18" t="inlineStr">
        <is>
          <t>기타</t>
        </is>
      </c>
      <c r="C97" s="20" t="n">
        <v>17</v>
      </c>
      <c r="D97" s="20" t="n">
        <v>12</v>
      </c>
      <c r="E97" s="20" t="n">
        <v>12</v>
      </c>
      <c r="F97" s="20" t="n">
        <v>12</v>
      </c>
      <c r="G97" s="20" t="n">
        <v>12</v>
      </c>
      <c r="H97" s="20" t="n">
        <v>14</v>
      </c>
      <c r="I97" s="20" t="n">
        <v>13</v>
      </c>
      <c r="J97" s="20" t="n">
        <v>13</v>
      </c>
      <c r="K97" s="20" t="n">
        <v>13</v>
      </c>
      <c r="L97" s="20" t="n">
        <v>12</v>
      </c>
    </row>
    <row r="98">
      <c r="A98" s="18" t="inlineStr">
        <is>
          <t>무형자산 합계</t>
        </is>
      </c>
      <c r="C98" s="20" t="n">
        <v>163</v>
      </c>
      <c r="D98" s="20" t="n">
        <v>171</v>
      </c>
      <c r="E98" s="20" t="n">
        <v>151</v>
      </c>
      <c r="F98" s="20" t="n">
        <v>147</v>
      </c>
      <c r="G98" s="20" t="n">
        <v>144</v>
      </c>
      <c r="H98" s="20" t="n">
        <v>101</v>
      </c>
      <c r="I98" s="20" t="n">
        <v>77</v>
      </c>
      <c r="J98" s="20" t="n">
        <v>127</v>
      </c>
      <c r="K98" s="20" t="n">
        <v>159</v>
      </c>
      <c r="L98" s="20" t="n">
        <v>147</v>
      </c>
    </row>
    <row r="99">
      <c r="A99" s="18" t="inlineStr">
        <is>
          <t>투자유가증권</t>
        </is>
      </c>
      <c r="C99" s="20" t="n">
        <v>16458</v>
      </c>
      <c r="D99" s="20" t="n">
        <v>16266</v>
      </c>
      <c r="E99" s="20" t="n">
        <v>17602</v>
      </c>
      <c r="F99" s="20" t="n">
        <v>14423</v>
      </c>
      <c r="G99" s="20" t="n">
        <v>15959</v>
      </c>
      <c r="H99" s="20" t="n">
        <v>12471</v>
      </c>
      <c r="I99" s="20" t="n">
        <v>14288</v>
      </c>
      <c r="J99" s="20" t="n">
        <v>15009</v>
      </c>
      <c r="K99" s="20" t="n">
        <v>14178</v>
      </c>
      <c r="L99" s="20" t="n">
        <v>14423</v>
      </c>
    </row>
    <row r="100">
      <c r="A100" s="18" t="inlineStr">
        <is>
          <t>이연법인세자산</t>
        </is>
      </c>
      <c r="C100" s="20" t="n">
        <v>0</v>
      </c>
      <c r="D100" s="20" t="n">
        <v>0</v>
      </c>
      <c r="E100" s="20" t="n">
        <v>30</v>
      </c>
      <c r="F100" s="20" t="n">
        <v>47</v>
      </c>
      <c r="G100" s="20" t="n">
        <v>29</v>
      </c>
      <c r="H100" s="20" t="n">
        <v>883</v>
      </c>
      <c r="I100" s="20" t="n">
        <v>108</v>
      </c>
      <c r="J100" s="20" t="n">
        <v>0</v>
      </c>
      <c r="K100" s="20" t="n">
        <v>292</v>
      </c>
      <c r="L100" s="20" t="n">
        <v>47</v>
      </c>
    </row>
    <row r="101">
      <c r="A101" s="18" t="inlineStr">
        <is>
          <t>기타</t>
        </is>
      </c>
      <c r="C101" s="20" t="n">
        <v>3245</v>
      </c>
      <c r="D101" s="20" t="n">
        <v>3180</v>
      </c>
      <c r="E101" s="20" t="n">
        <v>3289</v>
      </c>
      <c r="F101" s="20" t="n">
        <v>3533</v>
      </c>
      <c r="G101" s="20" t="n">
        <v>3690</v>
      </c>
      <c r="H101" s="20" t="n">
        <v>2953</v>
      </c>
      <c r="I101" s="20" t="n">
        <v>2775</v>
      </c>
      <c r="J101" s="20" t="n">
        <v>3001</v>
      </c>
      <c r="K101" s="20" t="n">
        <v>3318</v>
      </c>
      <c r="L101" s="20" t="n">
        <v>3533</v>
      </c>
    </row>
    <row r="102">
      <c r="A102" s="18" t="inlineStr">
        <is>
          <t>대손충당금</t>
        </is>
      </c>
      <c r="C102" s="20" t="n">
        <v>-2</v>
      </c>
      <c r="D102" s="20" t="n">
        <v>-2</v>
      </c>
      <c r="E102" s="20" t="n">
        <v>-2</v>
      </c>
      <c r="F102" s="20" t="n">
        <v>-2</v>
      </c>
      <c r="G102" s="20" t="n">
        <v>-2</v>
      </c>
      <c r="H102" s="20" t="n">
        <v>-6</v>
      </c>
      <c r="I102" s="20" t="n">
        <v>-7</v>
      </c>
      <c r="J102" s="20" t="n">
        <v>-2</v>
      </c>
      <c r="K102" s="20" t="n">
        <v>-2</v>
      </c>
      <c r="L102" s="20" t="n">
        <v>-2</v>
      </c>
    </row>
    <row r="103">
      <c r="A103" s="18" t="inlineStr">
        <is>
          <t>투자 및 기타자산 합계</t>
        </is>
      </c>
      <c r="C103" s="20" t="n">
        <v>19700</v>
      </c>
      <c r="D103" s="20" t="n">
        <v>19444</v>
      </c>
      <c r="E103" s="20" t="n">
        <v>20920</v>
      </c>
      <c r="F103" s="20" t="n">
        <v>18001</v>
      </c>
      <c r="G103" s="20" t="n">
        <v>19676</v>
      </c>
      <c r="H103" s="20" t="n">
        <v>16302</v>
      </c>
      <c r="I103" s="20" t="n">
        <v>17165</v>
      </c>
      <c r="J103" s="20" t="n">
        <v>18008</v>
      </c>
      <c r="K103" s="20" t="n">
        <v>17786</v>
      </c>
      <c r="L103" s="20" t="n">
        <v>18001</v>
      </c>
    </row>
    <row r="104">
      <c r="A104" s="9" t="inlineStr">
        <is>
          <t>비유동자산 합계</t>
        </is>
      </c>
      <c r="C104" s="12" t="n">
        <v>25001</v>
      </c>
      <c r="D104" s="12" t="n">
        <v>24681</v>
      </c>
      <c r="E104" s="12" t="n">
        <v>26070</v>
      </c>
      <c r="F104" s="12" t="n">
        <v>23374</v>
      </c>
      <c r="G104" s="12" t="n">
        <v>25309</v>
      </c>
      <c r="H104" s="12" t="n">
        <v>22726</v>
      </c>
      <c r="I104" s="12" t="n">
        <v>22943</v>
      </c>
      <c r="J104" s="12" t="n">
        <v>23691</v>
      </c>
      <c r="K104" s="12" t="n">
        <v>23124</v>
      </c>
      <c r="L104" s="12" t="n">
        <v>23374</v>
      </c>
    </row>
    <row r="105">
      <c r="A105" s="9" t="inlineStr">
        <is>
          <t>자산 합계</t>
        </is>
      </c>
      <c r="C105" s="12" t="n">
        <v>54241</v>
      </c>
      <c r="D105" s="12" t="n">
        <v>55865</v>
      </c>
      <c r="E105" s="12" t="n">
        <v>59012</v>
      </c>
      <c r="F105" s="12" t="n">
        <v>53812</v>
      </c>
      <c r="G105" s="12" t="n">
        <v>56507</v>
      </c>
      <c r="H105" s="12" t="n">
        <v>46916</v>
      </c>
      <c r="I105" s="12" t="n">
        <v>49682</v>
      </c>
      <c r="J105" s="12" t="n">
        <v>51652</v>
      </c>
      <c r="K105" s="12" t="n">
        <v>53210</v>
      </c>
      <c r="L105" s="12" t="n">
        <v>53812</v>
      </c>
    </row>
    <row r="106">
      <c r="A106" s="18" t="inlineStr">
        <is>
          <t>지급어음·매입채무</t>
        </is>
      </c>
      <c r="C106" s="20" t="n">
        <v>2031</v>
      </c>
      <c r="D106" s="20" t="n">
        <v>2202</v>
      </c>
      <c r="E106" s="20" t="n">
        <v>2261</v>
      </c>
      <c r="F106" s="20" t="n">
        <v>2174</v>
      </c>
      <c r="G106" s="20" t="n">
        <v>1712</v>
      </c>
      <c r="H106" s="20" t="n">
        <v>1610</v>
      </c>
      <c r="I106" s="20" t="n">
        <v>2060</v>
      </c>
      <c r="J106" s="20" t="n">
        <v>2292</v>
      </c>
      <c r="K106" s="20" t="n">
        <v>2496</v>
      </c>
      <c r="L106" s="20" t="n">
        <v>2174</v>
      </c>
    </row>
    <row r="107">
      <c r="A107" s="18" t="inlineStr">
        <is>
          <t>전자기록채무</t>
        </is>
      </c>
      <c r="C107" s="20" t="n">
        <v>4576</v>
      </c>
      <c r="D107" s="20" t="n">
        <v>4070</v>
      </c>
      <c r="E107" s="20" t="n">
        <v>3437</v>
      </c>
      <c r="F107" s="20" t="n">
        <v>2521</v>
      </c>
      <c r="G107" s="20" t="n">
        <v>2429</v>
      </c>
      <c r="H107" s="20" t="n">
        <v>4205</v>
      </c>
      <c r="I107" s="20" t="n">
        <v>4768</v>
      </c>
      <c r="J107" s="20" t="n">
        <v>4684</v>
      </c>
      <c r="K107" s="20" t="n">
        <v>5014</v>
      </c>
      <c r="L107" s="20" t="n">
        <v>2521</v>
      </c>
    </row>
    <row r="108">
      <c r="A108" s="18" t="inlineStr">
        <is>
          <t>단기차입금</t>
        </is>
      </c>
      <c r="C108" s="20" t="n">
        <v>6205</v>
      </c>
      <c r="D108" s="20" t="n">
        <v>6985</v>
      </c>
      <c r="E108" s="20" t="n">
        <v>8895</v>
      </c>
      <c r="F108" s="20" t="n">
        <v>2675</v>
      </c>
      <c r="G108" s="20" t="n">
        <v>3336</v>
      </c>
      <c r="H108" s="20" t="n">
        <v>585</v>
      </c>
      <c r="I108" s="20" t="n">
        <v>885</v>
      </c>
      <c r="J108" s="20" t="n">
        <v>4585</v>
      </c>
      <c r="K108" s="20" t="n">
        <v>4585</v>
      </c>
      <c r="L108" s="20" t="n">
        <v>2675</v>
      </c>
    </row>
    <row r="109">
      <c r="A109" s="18" t="inlineStr">
        <is>
          <t>미지급비용</t>
        </is>
      </c>
      <c r="C109" s="20" t="n">
        <v>1078</v>
      </c>
      <c r="D109" s="20" t="n">
        <v>1093</v>
      </c>
      <c r="E109" s="20" t="n">
        <v>1023</v>
      </c>
      <c r="F109" s="20" t="n">
        <v>1032</v>
      </c>
      <c r="G109" s="20" t="n">
        <v>1063</v>
      </c>
      <c r="H109" s="20" t="n">
        <v>688</v>
      </c>
      <c r="I109" s="20" t="n">
        <v>589</v>
      </c>
      <c r="J109" s="20" t="n">
        <v>809</v>
      </c>
      <c r="K109" s="20" t="n">
        <v>1107</v>
      </c>
      <c r="L109" s="20" t="n">
        <v>1032</v>
      </c>
    </row>
    <row r="110">
      <c r="A110" s="18" t="inlineStr">
        <is>
          <t>미지급법인세</t>
        </is>
      </c>
      <c r="C110" s="20" t="n">
        <v>39</v>
      </c>
      <c r="D110" s="20" t="n">
        <v>218</v>
      </c>
      <c r="E110" s="20" t="n">
        <v>110</v>
      </c>
      <c r="F110" s="20" t="n">
        <v>329</v>
      </c>
      <c r="G110" s="20" t="n">
        <v>224</v>
      </c>
      <c r="H110" s="20" t="n">
        <v>306</v>
      </c>
      <c r="I110" s="20" t="n">
        <v>128</v>
      </c>
      <c r="J110" s="20" t="n">
        <v>309</v>
      </c>
      <c r="K110" s="20" t="n">
        <v>891</v>
      </c>
      <c r="L110" s="20" t="n">
        <v>329</v>
      </c>
    </row>
    <row r="111">
      <c r="A111" s="18" t="inlineStr">
        <is>
          <t>미지급 소비세</t>
        </is>
      </c>
      <c r="C111" s="20" t="n">
        <v>67</v>
      </c>
      <c r="D111" s="20" t="n">
        <v>48</v>
      </c>
      <c r="E111" s="20" t="n">
        <v>34</v>
      </c>
      <c r="F111" s="20" t="n">
        <v>402</v>
      </c>
      <c r="G111" s="20" t="n">
        <v>133</v>
      </c>
      <c r="H111" s="20" t="n">
        <v>82</v>
      </c>
      <c r="I111" s="20" t="n">
        <v>94</v>
      </c>
      <c r="J111" s="20" t="n">
        <v>158</v>
      </c>
      <c r="K111" s="20" t="n">
        <v>80</v>
      </c>
      <c r="L111" s="20" t="n">
        <v>402</v>
      </c>
    </row>
    <row r="112">
      <c r="A112" s="18" t="inlineStr">
        <is>
          <t>계약부채</t>
        </is>
      </c>
      <c r="C112" s="20" t="n">
        <v>278</v>
      </c>
      <c r="D112" s="20" t="n">
        <v>300</v>
      </c>
      <c r="E112" s="20" t="n">
        <v>396</v>
      </c>
      <c r="F112" s="20" t="n">
        <v>219</v>
      </c>
      <c r="G112" s="20" t="n">
        <v>283</v>
      </c>
      <c r="H112" s="20" t="n">
        <v>47</v>
      </c>
      <c r="I112" s="20" t="n">
        <v>84</v>
      </c>
      <c r="J112" s="20" t="n">
        <v>129</v>
      </c>
      <c r="K112" s="20" t="n">
        <v>214</v>
      </c>
      <c r="L112" s="20" t="n">
        <v>219</v>
      </c>
    </row>
    <row r="113">
      <c r="A113" s="18" t="inlineStr">
        <is>
          <t>선수금</t>
        </is>
      </c>
      <c r="H113" s="20" t="n">
        <v>0</v>
      </c>
    </row>
    <row r="114">
      <c r="A114" s="18" t="inlineStr">
        <is>
          <t>예수금</t>
        </is>
      </c>
      <c r="C114" s="20" t="n">
        <v>182</v>
      </c>
      <c r="D114" s="20" t="n">
        <v>124</v>
      </c>
      <c r="E114" s="20" t="n">
        <v>121</v>
      </c>
      <c r="F114" s="20" t="n">
        <v>153</v>
      </c>
      <c r="G114" s="20" t="n">
        <v>215</v>
      </c>
      <c r="H114" s="20" t="n">
        <v>190</v>
      </c>
      <c r="I114" s="20" t="n">
        <v>189</v>
      </c>
      <c r="J114" s="20" t="n">
        <v>160</v>
      </c>
      <c r="K114" s="20" t="n">
        <v>126</v>
      </c>
      <c r="L114" s="20" t="n">
        <v>153</v>
      </c>
    </row>
    <row r="115">
      <c r="A115" s="18" t="inlineStr">
        <is>
          <t>임원 상여충당금</t>
        </is>
      </c>
      <c r="C115" s="20" t="n">
        <v>14</v>
      </c>
      <c r="D115" s="20" t="n">
        <v>28</v>
      </c>
      <c r="E115" s="20" t="n">
        <v>42</v>
      </c>
      <c r="F115" s="20" t="n">
        <v>66</v>
      </c>
      <c r="G115" s="20" t="n">
        <v>16</v>
      </c>
      <c r="H115" s="20" t="n">
        <v>6</v>
      </c>
      <c r="I115" s="20" t="n">
        <v>39</v>
      </c>
      <c r="J115" s="20" t="n">
        <v>54</v>
      </c>
      <c r="K115" s="20" t="n">
        <v>56</v>
      </c>
      <c r="L115" s="20" t="n">
        <v>66</v>
      </c>
    </row>
    <row r="116">
      <c r="A116" s="18" t="inlineStr">
        <is>
          <t>상여충당금</t>
        </is>
      </c>
      <c r="C116" s="20" t="n">
        <v>574</v>
      </c>
      <c r="D116" s="20" t="n">
        <v>1164</v>
      </c>
      <c r="E116" s="20" t="n">
        <v>547</v>
      </c>
      <c r="F116" s="20" t="n">
        <v>1148</v>
      </c>
      <c r="G116" s="20" t="n">
        <v>626</v>
      </c>
      <c r="H116" s="20" t="n">
        <v>699</v>
      </c>
      <c r="I116" s="20" t="n">
        <v>673</v>
      </c>
      <c r="J116" s="20" t="n">
        <v>737</v>
      </c>
      <c r="K116" s="20" t="n">
        <v>1044</v>
      </c>
      <c r="L116" s="20" t="n">
        <v>1148</v>
      </c>
    </row>
    <row r="117">
      <c r="A117" s="18" t="inlineStr">
        <is>
          <t>수주손실 충당금</t>
        </is>
      </c>
      <c r="C117" s="20" t="n">
        <v>767</v>
      </c>
      <c r="D117" s="20" t="n">
        <v>706</v>
      </c>
      <c r="E117" s="20" t="n">
        <v>551</v>
      </c>
      <c r="F117" s="20" t="n">
        <v>638</v>
      </c>
      <c r="G117" s="20" t="n">
        <v>631</v>
      </c>
      <c r="H117" s="20" t="n">
        <v>963</v>
      </c>
      <c r="I117" s="20" t="n">
        <v>989</v>
      </c>
      <c r="J117" s="20" t="n">
        <v>777</v>
      </c>
      <c r="K117" s="20" t="n">
        <v>944</v>
      </c>
      <c r="L117" s="20" t="n">
        <v>638</v>
      </c>
    </row>
    <row r="118">
      <c r="A118" s="18" t="inlineStr">
        <is>
          <t>제품보증 충당금</t>
        </is>
      </c>
      <c r="C118" s="20" t="n">
        <v>485</v>
      </c>
      <c r="D118" s="20" t="n">
        <v>459</v>
      </c>
      <c r="E118" s="20" t="n">
        <v>423</v>
      </c>
      <c r="F118" s="20" t="n">
        <v>355</v>
      </c>
      <c r="G118" s="20" t="n">
        <v>307</v>
      </c>
      <c r="H118" s="20" t="n">
        <v>6</v>
      </c>
      <c r="I118" s="20" t="n">
        <v>70</v>
      </c>
      <c r="J118" s="20" t="n">
        <v>156</v>
      </c>
      <c r="K118" s="20" t="n">
        <v>413</v>
      </c>
      <c r="L118" s="20" t="n">
        <v>355</v>
      </c>
    </row>
    <row r="119">
      <c r="A119" s="18" t="inlineStr">
        <is>
          <t>기타</t>
        </is>
      </c>
      <c r="C119" s="20" t="n">
        <v>248</v>
      </c>
      <c r="D119" s="20" t="n">
        <v>216</v>
      </c>
      <c r="E119" s="20" t="n">
        <v>273</v>
      </c>
      <c r="F119" s="20" t="n">
        <v>208</v>
      </c>
      <c r="G119" s="20" t="n">
        <v>475</v>
      </c>
      <c r="H119" s="20" t="n">
        <v>176</v>
      </c>
      <c r="I119" s="20" t="n">
        <v>127</v>
      </c>
      <c r="J119" s="20" t="n">
        <v>386</v>
      </c>
      <c r="K119" s="20" t="n">
        <v>268</v>
      </c>
      <c r="L119" s="20" t="n">
        <v>208</v>
      </c>
    </row>
    <row r="120">
      <c r="A120" s="9" t="inlineStr">
        <is>
          <t>유동부채 합계</t>
        </is>
      </c>
      <c r="C120" s="12" t="n">
        <v>16547</v>
      </c>
      <c r="D120" s="12" t="n">
        <v>17618</v>
      </c>
      <c r="E120" s="12" t="n">
        <v>18119</v>
      </c>
      <c r="F120" s="12" t="n">
        <v>11927</v>
      </c>
      <c r="G120" s="12" t="n">
        <v>11457</v>
      </c>
      <c r="H120" s="12" t="n">
        <v>9569</v>
      </c>
      <c r="I120" s="12" t="n">
        <v>10699</v>
      </c>
      <c r="J120" s="12" t="n">
        <v>15240</v>
      </c>
      <c r="K120" s="12" t="n">
        <v>17244</v>
      </c>
      <c r="L120" s="12" t="n">
        <v>11927</v>
      </c>
    </row>
    <row r="121">
      <c r="A121" s="18" t="inlineStr">
        <is>
          <t>장기차입금</t>
        </is>
      </c>
      <c r="C121" s="20" t="n">
        <v>4418</v>
      </c>
      <c r="D121" s="20" t="n">
        <v>4760</v>
      </c>
      <c r="E121" s="20" t="n">
        <v>4566</v>
      </c>
      <c r="F121" s="20" t="n">
        <v>7447</v>
      </c>
      <c r="G121" s="20" t="n">
        <v>7302</v>
      </c>
      <c r="H121" s="20" t="n">
        <v>11173</v>
      </c>
      <c r="I121" s="20" t="n">
        <v>10288</v>
      </c>
      <c r="J121" s="20" t="n">
        <v>6003</v>
      </c>
      <c r="K121" s="20" t="n">
        <v>4622</v>
      </c>
      <c r="L121" s="20" t="n">
        <v>7447</v>
      </c>
    </row>
    <row r="122">
      <c r="A122" s="18" t="inlineStr">
        <is>
          <t>장기미지급금</t>
        </is>
      </c>
      <c r="C122" s="20" t="n">
        <v>29</v>
      </c>
      <c r="D122" s="20" t="n">
        <v>11</v>
      </c>
      <c r="E122" s="20" t="n">
        <v>11</v>
      </c>
      <c r="F122" s="20" t="n">
        <v>11</v>
      </c>
      <c r="G122" s="20" t="n">
        <v>3</v>
      </c>
      <c r="H122" s="20" t="n">
        <v>38</v>
      </c>
      <c r="I122" s="20" t="n">
        <v>30</v>
      </c>
      <c r="J122" s="20" t="n">
        <v>11</v>
      </c>
      <c r="K122" s="20" t="n">
        <v>11</v>
      </c>
      <c r="L122" s="20" t="n">
        <v>11</v>
      </c>
    </row>
    <row r="123">
      <c r="A123" s="18" t="inlineStr">
        <is>
          <t>이연법인세부채</t>
        </is>
      </c>
      <c r="C123" s="20" t="n">
        <v>613</v>
      </c>
      <c r="D123" s="20" t="n">
        <v>531</v>
      </c>
      <c r="E123" s="20" t="n">
        <v>1273</v>
      </c>
      <c r="F123" s="20" t="n">
        <v>324</v>
      </c>
      <c r="G123" s="20" t="n">
        <v>1011</v>
      </c>
      <c r="H123" s="20" t="n">
        <v>0</v>
      </c>
      <c r="I123" s="20" t="n">
        <v>0</v>
      </c>
      <c r="J123" s="20" t="n">
        <v>164</v>
      </c>
      <c r="K123" s="20" t="n">
        <v>0</v>
      </c>
      <c r="L123" s="20" t="n">
        <v>324</v>
      </c>
    </row>
    <row r="124">
      <c r="A124" s="18" t="inlineStr">
        <is>
          <t>퇴직급여부채</t>
        </is>
      </c>
      <c r="C124" s="20" t="n">
        <v>3936</v>
      </c>
      <c r="D124" s="20" t="n">
        <v>3949</v>
      </c>
      <c r="E124" s="20" t="n">
        <v>3943</v>
      </c>
      <c r="F124" s="20" t="n">
        <v>3437</v>
      </c>
      <c r="G124" s="20" t="n">
        <v>3469</v>
      </c>
      <c r="H124" s="20" t="n">
        <v>4113</v>
      </c>
      <c r="I124" s="20" t="n">
        <v>4075</v>
      </c>
      <c r="J124" s="20" t="n">
        <v>4151</v>
      </c>
      <c r="K124" s="20" t="n">
        <v>3933</v>
      </c>
      <c r="L124" s="20" t="n">
        <v>3437</v>
      </c>
    </row>
    <row r="125">
      <c r="A125" s="18" t="inlineStr">
        <is>
          <t>기타</t>
        </is>
      </c>
      <c r="C125" s="20" t="n">
        <v>11</v>
      </c>
      <c r="D125" s="20" t="n">
        <v>41</v>
      </c>
      <c r="E125" s="20" t="n">
        <v>48</v>
      </c>
      <c r="F125" s="20" t="n">
        <v>53</v>
      </c>
      <c r="G125" s="20" t="n">
        <v>106</v>
      </c>
      <c r="H125" s="20" t="n">
        <v>6</v>
      </c>
      <c r="I125" s="20" t="n">
        <v>4</v>
      </c>
      <c r="J125" s="20" t="n">
        <v>11</v>
      </c>
      <c r="K125" s="20" t="n">
        <v>12</v>
      </c>
      <c r="L125" s="20" t="n">
        <v>53</v>
      </c>
    </row>
    <row r="126">
      <c r="A126" s="9" t="inlineStr">
        <is>
          <t>비유동부채 합계</t>
        </is>
      </c>
      <c r="C126" s="12" t="n">
        <v>9009</v>
      </c>
      <c r="D126" s="12" t="n">
        <v>9294</v>
      </c>
      <c r="E126" s="12" t="n">
        <v>9843</v>
      </c>
      <c r="F126" s="12" t="n">
        <v>11273</v>
      </c>
      <c r="G126" s="12" t="n">
        <v>11894</v>
      </c>
      <c r="H126" s="12" t="n">
        <v>15333</v>
      </c>
      <c r="I126" s="12" t="n">
        <v>14399</v>
      </c>
      <c r="J126" s="12" t="n">
        <v>10341</v>
      </c>
      <c r="K126" s="12" t="n">
        <v>8580</v>
      </c>
      <c r="L126" s="12" t="n">
        <v>11273</v>
      </c>
    </row>
    <row r="127">
      <c r="A127" s="9" t="inlineStr">
        <is>
          <t>부채 합계</t>
        </is>
      </c>
      <c r="C127" s="12" t="n">
        <v>25556</v>
      </c>
      <c r="D127" s="12" t="n">
        <v>26913</v>
      </c>
      <c r="E127" s="12" t="n">
        <v>27962</v>
      </c>
      <c r="F127" s="12" t="n">
        <v>23201</v>
      </c>
      <c r="G127" s="12" t="n">
        <v>23351</v>
      </c>
      <c r="H127" s="12" t="n">
        <v>24903</v>
      </c>
      <c r="I127" s="12" t="n">
        <v>25099</v>
      </c>
      <c r="J127" s="12" t="n">
        <v>25582</v>
      </c>
      <c r="K127" s="12" t="n">
        <v>25825</v>
      </c>
      <c r="L127" s="12" t="n">
        <v>23201</v>
      </c>
    </row>
    <row r="128">
      <c r="A128" s="18" t="inlineStr">
        <is>
          <t>자본금</t>
        </is>
      </c>
      <c r="C128" s="20" t="n">
        <v>4998</v>
      </c>
      <c r="D128" s="20" t="n">
        <v>4998</v>
      </c>
      <c r="E128" s="20" t="n">
        <v>4998</v>
      </c>
      <c r="F128" s="20" t="n">
        <v>4998</v>
      </c>
      <c r="G128" s="20" t="n">
        <v>4998</v>
      </c>
      <c r="H128" s="20" t="n">
        <v>4998</v>
      </c>
      <c r="I128" s="20" t="n">
        <v>4998</v>
      </c>
      <c r="J128" s="20" t="n">
        <v>4998</v>
      </c>
      <c r="K128" s="20" t="n">
        <v>4998</v>
      </c>
      <c r="L128" s="20" t="n">
        <v>4998</v>
      </c>
    </row>
    <row r="129">
      <c r="A129" s="18" t="inlineStr">
        <is>
          <t>자본잉여금</t>
        </is>
      </c>
      <c r="C129" s="20" t="n">
        <v>3177</v>
      </c>
      <c r="D129" s="20" t="n">
        <v>3182</v>
      </c>
      <c r="E129" s="20" t="n">
        <v>3182</v>
      </c>
      <c r="F129" s="20" t="n">
        <v>3182</v>
      </c>
      <c r="G129" s="20" t="n">
        <v>3761</v>
      </c>
      <c r="H129" s="20" t="n">
        <v>3177</v>
      </c>
      <c r="I129" s="20" t="n">
        <v>3177</v>
      </c>
      <c r="J129" s="20" t="n">
        <v>3177</v>
      </c>
      <c r="K129" s="20" t="n">
        <v>3177</v>
      </c>
      <c r="L129" s="20" t="n">
        <v>3182</v>
      </c>
    </row>
    <row r="130">
      <c r="A130" s="18" t="inlineStr">
        <is>
          <t>이익잉여금</t>
        </is>
      </c>
      <c r="C130" s="20" t="n">
        <v>13943</v>
      </c>
      <c r="D130" s="20" t="n">
        <v>14343</v>
      </c>
      <c r="E130" s="20" t="n">
        <v>15329</v>
      </c>
      <c r="F130" s="20" t="n">
        <v>16454</v>
      </c>
      <c r="G130" s="20" t="n">
        <v>16415</v>
      </c>
      <c r="H130" s="20" t="n">
        <v>11122</v>
      </c>
      <c r="I130" s="20" t="n">
        <v>11347</v>
      </c>
      <c r="J130" s="20" t="n">
        <v>12299</v>
      </c>
      <c r="K130" s="20" t="n">
        <v>14122</v>
      </c>
      <c r="L130" s="20" t="n">
        <v>16454</v>
      </c>
    </row>
    <row r="131">
      <c r="A131" s="18" t="inlineStr">
        <is>
          <t>자기주식</t>
        </is>
      </c>
      <c r="C131" s="20" t="n">
        <v>-941</v>
      </c>
      <c r="D131" s="20" t="n">
        <v>-1000</v>
      </c>
      <c r="E131" s="20" t="n">
        <v>-990</v>
      </c>
      <c r="F131" s="20" t="n">
        <v>-984</v>
      </c>
      <c r="G131" s="20" t="n">
        <v>-155</v>
      </c>
      <c r="H131" s="20" t="n">
        <v>-1282</v>
      </c>
      <c r="I131" s="20" t="n">
        <v>-486</v>
      </c>
      <c r="J131" s="20" t="n">
        <v>-596</v>
      </c>
      <c r="K131" s="20" t="n">
        <v>-914</v>
      </c>
      <c r="L131" s="20" t="n">
        <v>-984</v>
      </c>
    </row>
    <row r="132">
      <c r="A132" s="9" t="inlineStr">
        <is>
          <t>주주자본 합계</t>
        </is>
      </c>
      <c r="C132" s="12" t="n">
        <v>21177</v>
      </c>
      <c r="D132" s="12" t="n">
        <v>21523</v>
      </c>
      <c r="E132" s="12" t="n">
        <v>22520</v>
      </c>
      <c r="F132" s="12" t="n">
        <v>23651</v>
      </c>
      <c r="G132" s="12" t="n">
        <v>25020</v>
      </c>
      <c r="H132" s="12" t="n">
        <v>18016</v>
      </c>
      <c r="I132" s="12" t="n">
        <v>19036</v>
      </c>
      <c r="J132" s="12" t="n">
        <v>19878</v>
      </c>
      <c r="K132" s="12" t="n">
        <v>21384</v>
      </c>
      <c r="L132" s="12" t="n">
        <v>23651</v>
      </c>
    </row>
    <row r="133">
      <c r="A133" s="18" t="inlineStr">
        <is>
          <t>기타유가증권 평가차액</t>
        </is>
      </c>
      <c r="C133" s="20" t="n">
        <v>6882</v>
      </c>
      <c r="D133" s="20" t="n">
        <v>6810</v>
      </c>
      <c r="E133" s="20" t="n">
        <v>7787</v>
      </c>
      <c r="F133" s="20" t="n">
        <v>5694</v>
      </c>
      <c r="G133" s="20" t="n">
        <v>6778</v>
      </c>
      <c r="H133" s="20" t="n">
        <v>3913</v>
      </c>
      <c r="I133" s="20" t="n">
        <v>5370</v>
      </c>
      <c r="J133" s="20" t="n">
        <v>5696</v>
      </c>
      <c r="K133" s="20" t="n">
        <v>5256</v>
      </c>
      <c r="L133" s="20" t="n">
        <v>5694</v>
      </c>
    </row>
    <row r="134">
      <c r="A134" s="18" t="inlineStr">
        <is>
          <t>해외사업환산조정</t>
        </is>
      </c>
      <c r="C134" s="20" t="n">
        <v>510</v>
      </c>
      <c r="D134" s="20" t="n">
        <v>507</v>
      </c>
      <c r="E134" s="20" t="n">
        <v>633</v>
      </c>
      <c r="F134" s="20" t="n">
        <v>803</v>
      </c>
      <c r="G134" s="20" t="n">
        <v>906</v>
      </c>
      <c r="H134" s="20" t="n">
        <v>144</v>
      </c>
      <c r="I134" s="20" t="n">
        <v>202</v>
      </c>
      <c r="J134" s="20" t="n">
        <v>485</v>
      </c>
      <c r="K134" s="20" t="n">
        <v>627</v>
      </c>
      <c r="L134" s="20" t="n">
        <v>803</v>
      </c>
    </row>
    <row r="135">
      <c r="A135" s="18" t="inlineStr">
        <is>
          <t>퇴직급여 조정누계액</t>
        </is>
      </c>
      <c r="C135" s="20" t="n">
        <v>114</v>
      </c>
      <c r="D135" s="20" t="n">
        <v>110</v>
      </c>
      <c r="E135" s="20" t="n">
        <v>107</v>
      </c>
      <c r="F135" s="20" t="n">
        <v>462</v>
      </c>
      <c r="G135" s="20" t="n">
        <v>449</v>
      </c>
      <c r="H135" s="20" t="n">
        <v>-61</v>
      </c>
      <c r="I135" s="20" t="n">
        <v>-26</v>
      </c>
      <c r="J135" s="20" t="n">
        <v>9</v>
      </c>
      <c r="K135" s="20" t="n">
        <v>117</v>
      </c>
      <c r="L135" s="20" t="n">
        <v>462</v>
      </c>
    </row>
    <row r="136">
      <c r="A136" s="18" t="inlineStr">
        <is>
          <t>기타포괄손익누계액 합계</t>
        </is>
      </c>
      <c r="C136" s="20" t="n">
        <v>7507</v>
      </c>
      <c r="D136" s="20" t="n">
        <v>7428</v>
      </c>
      <c r="E136" s="20" t="n">
        <v>8529</v>
      </c>
      <c r="F136" s="20" t="n">
        <v>6960</v>
      </c>
      <c r="G136" s="20" t="n">
        <v>8135</v>
      </c>
      <c r="H136" s="20" t="n">
        <v>3996</v>
      </c>
      <c r="I136" s="20" t="n">
        <v>5546</v>
      </c>
      <c r="J136" s="20" t="n">
        <v>6191</v>
      </c>
      <c r="K136" s="20" t="n">
        <v>6000</v>
      </c>
      <c r="L136" s="20" t="n">
        <v>6960</v>
      </c>
    </row>
    <row r="137">
      <c r="A137" s="9" t="inlineStr">
        <is>
          <t>순자산 합계</t>
        </is>
      </c>
      <c r="C137" s="12" t="n">
        <v>28684</v>
      </c>
      <c r="D137" s="12" t="n">
        <v>28952</v>
      </c>
      <c r="E137" s="12" t="n">
        <v>31049</v>
      </c>
      <c r="F137" s="12" t="n">
        <v>30611</v>
      </c>
      <c r="G137" s="12" t="n">
        <v>33155</v>
      </c>
      <c r="H137" s="12" t="n">
        <v>22012</v>
      </c>
      <c r="I137" s="12" t="n">
        <v>24582</v>
      </c>
      <c r="J137" s="12" t="n">
        <v>26070</v>
      </c>
      <c r="K137" s="12" t="n">
        <v>27385</v>
      </c>
      <c r="L137" s="12" t="n">
        <v>30611</v>
      </c>
    </row>
    <row r="138">
      <c r="A138" s="9" t="inlineStr">
        <is>
          <t>부채·순자산 합계</t>
        </is>
      </c>
      <c r="C138" s="12" t="n">
        <v>54241</v>
      </c>
      <c r="D138" s="12" t="n">
        <v>55865</v>
      </c>
      <c r="E138" s="12" t="n">
        <v>59012</v>
      </c>
      <c r="F138" s="12" t="n">
        <v>53812</v>
      </c>
      <c r="G138" s="12" t="n">
        <v>56507</v>
      </c>
      <c r="H138" s="12" t="n">
        <v>46916</v>
      </c>
      <c r="I138" s="12" t="n">
        <v>49682</v>
      </c>
      <c r="J138" s="12" t="n">
        <v>51652</v>
      </c>
      <c r="K138" s="12" t="n">
        <v>53210</v>
      </c>
      <c r="L138" s="12" t="n">
        <v>53812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도요전기제조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ttm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2023-07</t>
        </is>
      </c>
      <c r="B6" s="55" t="n">
        <v>91.84999999999999</v>
      </c>
      <c r="C6" s="56" t="inlineStr">
        <is>
          <t>2단계 보고서 자료(회사 설명회 자료·공시)</t>
        </is>
      </c>
    </row>
    <row r="7">
      <c r="A7" s="54" t="inlineStr">
        <is>
          <t>2024-07</t>
        </is>
      </c>
      <c r="B7" s="55" t="n">
        <v>99.5</v>
      </c>
    </row>
    <row r="8">
      <c r="A8" s="54" t="inlineStr">
        <is>
          <t>2024-10</t>
        </is>
      </c>
      <c r="B8" s="55" t="n">
        <v>94.3</v>
      </c>
    </row>
    <row r="9">
      <c r="A9" s="54" t="inlineStr">
        <is>
          <t>2025-01</t>
        </is>
      </c>
      <c r="B9" s="55" t="n">
        <v>152</v>
      </c>
    </row>
    <row r="10">
      <c r="A10" s="54" t="inlineStr">
        <is>
          <t>2025-04</t>
        </is>
      </c>
      <c r="B10" s="55" t="n">
        <v>188.7</v>
      </c>
    </row>
    <row r="11">
      <c r="A11" s="54" t="inlineStr">
        <is>
          <t>2025-07</t>
        </is>
      </c>
      <c r="B11" s="55" t="n">
        <v>231.3</v>
      </c>
    </row>
    <row r="12">
      <c r="A12" s="54" t="inlineStr">
        <is>
          <t>2025-10</t>
        </is>
      </c>
      <c r="B12" s="55" t="n">
        <v>272.3</v>
      </c>
    </row>
    <row r="13">
      <c r="A13" s="54" t="inlineStr">
        <is>
          <t>2026-01</t>
        </is>
      </c>
      <c r="B13" s="55" t="n">
        <v>240.8</v>
      </c>
    </row>
    <row r="14">
      <c r="A14" s="54" t="inlineStr">
        <is>
          <t>2026-04</t>
        </is>
      </c>
      <c r="B14" s="55" t="n">
        <v>299.8</v>
      </c>
    </row>
    <row r="15">
      <c r="A15" s="54" t="inlineStr">
        <is>
          <t>2026-07</t>
        </is>
      </c>
      <c r="B15" s="55" t="n">
        <v>329.8</v>
      </c>
    </row>
    <row r="16">
      <c r="A16" s="54" t="inlineStr">
        <is>
          <t>2026-10</t>
        </is>
      </c>
      <c r="B16" s="55" t="n">
        <v>373.8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7" t="inlineStr">
        <is>
          <t>공시일</t>
        </is>
      </c>
      <c r="B3" s="57" t="inlineStr">
        <is>
          <t>문서</t>
        </is>
      </c>
      <c r="C3" s="57" t="inlineStr">
        <is>
          <t>PDF</t>
        </is>
      </c>
    </row>
    <row r="4">
      <c r="A4" t="inlineStr">
        <is>
          <t>2026-10-14</t>
        </is>
      </c>
      <c r="B4" t="inlineStr">
        <is>
          <t>2027년 5월 결산기 １분기 결산단신</t>
        </is>
      </c>
      <c r="C4" t="inlineStr">
        <is>
          <t>https://www2.jpx.co.jp/disc/65050/140120261013550084.pdf</t>
        </is>
      </c>
    </row>
    <row r="5">
      <c r="A5" t="inlineStr">
        <is>
          <t>2026-07-15</t>
        </is>
      </c>
      <c r="B5" t="inlineStr">
        <is>
          <t>2026년 5월 결산기 연간 결산단신</t>
        </is>
      </c>
      <c r="C5" t="inlineStr">
        <is>
          <t>https://www2.jpx.co.jp/disc/65050/140120260714593677.pdf</t>
        </is>
      </c>
    </row>
    <row r="6">
      <c r="A6" t="inlineStr">
        <is>
          <t>2026-04-13</t>
        </is>
      </c>
      <c r="B6" t="inlineStr">
        <is>
          <t>2026년 5월 결산기 ３분기 결산단신</t>
        </is>
      </c>
      <c r="C6" t="inlineStr">
        <is>
          <t>https://www2.jpx.co.jp/disc/65050/140120260413502423.pdf</t>
        </is>
      </c>
    </row>
    <row r="7">
      <c r="A7" t="inlineStr">
        <is>
          <t>2026-01-13</t>
        </is>
      </c>
      <c r="B7" t="inlineStr">
        <is>
          <t>2026년 5월 결산기 ２분기 결산단신</t>
        </is>
      </c>
      <c r="C7" t="inlineStr">
        <is>
          <t>https://www2.jpx.co.jp/disc/65050/140120260113532161.pdf</t>
        </is>
      </c>
    </row>
    <row r="8">
      <c r="A8" t="inlineStr">
        <is>
          <t>2025-10-15</t>
        </is>
      </c>
      <c r="B8" t="inlineStr">
        <is>
          <t>2026년 5월 결산기 １분기 결산단신</t>
        </is>
      </c>
      <c r="C8" t="inlineStr">
        <is>
          <t>https://www2.jpx.co.jp/disc/65050/140120251015573613.pdf</t>
        </is>
      </c>
    </row>
    <row r="9">
      <c r="A9" t="inlineStr">
        <is>
          <t>2025-07-14</t>
        </is>
      </c>
      <c r="B9" t="inlineStr">
        <is>
          <t>2025년 5월 결산기 연간 결산단신</t>
        </is>
      </c>
      <c r="C9" t="inlineStr">
        <is>
          <t>https://www2.jpx.co.jp/disc/65050/140120250711512913.pdf</t>
        </is>
      </c>
    </row>
    <row r="10">
      <c r="A10" t="inlineStr">
        <is>
          <t>2025-04-11</t>
        </is>
      </c>
      <c r="B10" t="inlineStr">
        <is>
          <t>2025년 5월 결산기 ３분기 결산단신</t>
        </is>
      </c>
      <c r="C10" t="inlineStr">
        <is>
          <t>https://www2.jpx.co.jp/disc/65050/140120250410513003.pdf</t>
        </is>
      </c>
    </row>
    <row r="11">
      <c r="A11" t="inlineStr">
        <is>
          <t>2025-01-14</t>
        </is>
      </c>
      <c r="B11" t="inlineStr">
        <is>
          <t>2025년 5월 결산기 ２분기 결산단신</t>
        </is>
      </c>
      <c r="C11" t="inlineStr">
        <is>
          <t>https://www2.jpx.co.jp/disc/65050/140120250114549849.pdf</t>
        </is>
      </c>
    </row>
    <row r="12">
      <c r="A12" t="inlineStr">
        <is>
          <t>2024-10-15</t>
        </is>
      </c>
      <c r="B12" t="inlineStr">
        <is>
          <t>2025년 5월 결산기 １분기 결산단신</t>
        </is>
      </c>
      <c r="C12" t="inlineStr">
        <is>
          <t>https://www2.jpx.co.jp/disc/65050/140120241015597695.pdf</t>
        </is>
      </c>
    </row>
    <row r="13">
      <c r="A13" t="inlineStr">
        <is>
          <t>2024-07-12</t>
        </is>
      </c>
      <c r="B13" t="inlineStr">
        <is>
          <t>2024년 5월 결산기 연간 결산단신</t>
        </is>
      </c>
      <c r="C13" t="inlineStr">
        <is>
          <t>https://www2.jpx.co.jp/disc/65050/140120240711548044.pdf</t>
        </is>
      </c>
    </row>
    <row r="14">
      <c r="A14" t="inlineStr">
        <is>
          <t>2024-04-11</t>
        </is>
      </c>
      <c r="B14" t="inlineStr">
        <is>
          <t>2024년 5월 결산기 ３분기 결산단신</t>
        </is>
      </c>
      <c r="C14" t="inlineStr">
        <is>
          <t>https://www2.jpx.co.jp/disc/65050/140120240410568475.pdf</t>
        </is>
      </c>
    </row>
    <row r="15">
      <c r="A15" t="inlineStr">
        <is>
          <t>2024-01-11</t>
        </is>
      </c>
      <c r="B15" t="inlineStr">
        <is>
          <t>2024년 5월 결산기 ２분기 결산단신</t>
        </is>
      </c>
      <c r="C15" t="inlineStr">
        <is>
          <t>https://www2.jpx.co.jp/disc/65050/140120240110512971.pdf</t>
        </is>
      </c>
    </row>
    <row r="16">
      <c r="A16" t="inlineStr">
        <is>
          <t>2023-10-13</t>
        </is>
      </c>
      <c r="B16" t="inlineStr">
        <is>
          <t>2024년 5월 결산기 １분기 결산단신</t>
        </is>
      </c>
      <c r="C16" t="inlineStr">
        <is>
          <t>https://www2.jpx.co.jp/disc/65050/140120231006563953.pdf</t>
        </is>
      </c>
    </row>
    <row r="17">
      <c r="A17" t="inlineStr">
        <is>
          <t>2023-07-13</t>
        </is>
      </c>
      <c r="B17" t="inlineStr">
        <is>
          <t>2023년 5월 결산기 연간 결산단신</t>
        </is>
      </c>
      <c r="C17" t="inlineStr">
        <is>
          <t>https://www2.jpx.co.jp/disc/65050/140120230712521273.pdf</t>
        </is>
      </c>
    </row>
    <row r="18">
      <c r="A18" t="inlineStr">
        <is>
          <t>2023-04-14</t>
        </is>
      </c>
      <c r="B18" t="inlineStr">
        <is>
          <t>2023년 5월 결산기 ３분기 결산단신</t>
        </is>
      </c>
      <c r="C18" t="inlineStr">
        <is>
          <t>https://www2.jpx.co.jp/disc/65050/140120230413546889.pdf</t>
        </is>
      </c>
    </row>
    <row r="19">
      <c r="A19" t="inlineStr">
        <is>
          <t>2023-01-12</t>
        </is>
      </c>
      <c r="B19" t="inlineStr">
        <is>
          <t>2023년 5월 결산기 ２분기 결산단신</t>
        </is>
      </c>
      <c r="C19" t="inlineStr">
        <is>
          <t>https://www2.jpx.co.jp/disc/65050/140120230111587815.pdf</t>
        </is>
      </c>
    </row>
    <row r="20">
      <c r="A20" t="inlineStr">
        <is>
          <t>2022-07-14</t>
        </is>
      </c>
      <c r="B20" t="inlineStr">
        <is>
          <t>2022년 5월 결산기 연간 결산단신</t>
        </is>
      </c>
      <c r="C20" t="inlineStr">
        <is>
          <t>https://www2.jpx.co.jp/disc/65050/140120220712598743.pdf</t>
        </is>
      </c>
    </row>
    <row r="21">
      <c r="A21" t="inlineStr">
        <is>
          <t>2021-07-15</t>
        </is>
      </c>
      <c r="B21" t="inlineStr">
        <is>
          <t>2021년 5월 결산기 연간 결산단신</t>
        </is>
      </c>
      <c r="C21" t="inlineStr">
        <is>
          <t>https://www2.jpx.co.jp/disc/65050/140120210714467126.pdf</t>
        </is>
      </c>
    </row>
    <row r="22">
      <c r="A22" t="inlineStr">
        <is>
          <t>2020-07-13</t>
        </is>
      </c>
      <c r="B22" t="inlineStr">
        <is>
          <t>2020년 5월 결산기 연간 결산단신</t>
        </is>
      </c>
      <c r="C22" t="inlineStr">
        <is>
          <t>https://www2.jpx.co.jp/disc/65050/140120200710460876.pdf</t>
        </is>
      </c>
    </row>
    <row r="23">
      <c r="A23" t="inlineStr">
        <is>
          <t>2019-07-11</t>
        </is>
      </c>
      <c r="B23" t="inlineStr">
        <is>
          <t>2019년 5월 결산기 연간 결산단신</t>
        </is>
      </c>
      <c r="C23" t="inlineStr">
        <is>
          <t>https://www2.jpx.co.jp/disc/65050/140120190711470308.pdf</t>
        </is>
      </c>
    </row>
    <row r="24">
      <c r="A24" t="inlineStr">
        <is>
          <t>2018-07-12</t>
        </is>
      </c>
      <c r="B24" t="inlineStr">
        <is>
          <t>연간 결산단신</t>
        </is>
      </c>
      <c r="C24" t="inlineStr">
        <is>
          <t>https://www2.jpx.co.jp/disc/65050/140120180711479868.pdf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2026-10-26T10:55:31Z</dcterms:created>
  <dcterms:modified xmlns:dcterms="http://purl.org/dc/terms/" xmlns:xsi="http://www.w3.org/2001/XMLSchema-instance" xsi:type="dcterms:W3CDTF">2026-10-26T10:55:32Z</dcterms:modified>
</cp:coreProperties>
</file>