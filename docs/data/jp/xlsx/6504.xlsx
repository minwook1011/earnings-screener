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9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후지전기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267969</v>
      </c>
      <c r="D4" s="12" t="n">
        <v>343553</v>
      </c>
      <c r="E4" s="12" t="n">
        <v>236387</v>
      </c>
      <c r="F4" s="12" t="n">
        <v>260990</v>
      </c>
      <c r="G4" s="12" t="n">
        <v>293687</v>
      </c>
      <c r="H4" s="12" t="n">
        <v>332343</v>
      </c>
      <c r="I4" s="12" t="n">
        <v>247916</v>
      </c>
      <c r="J4" s="12" t="n">
        <v>295244</v>
      </c>
      <c r="K4" s="12" t="n">
        <v>307895</v>
      </c>
      <c r="L4" s="12" t="n">
        <v>376540</v>
      </c>
      <c r="M4" s="12" t="n">
        <v>273259</v>
      </c>
      <c r="N4" s="12" t="n">
        <v>320064</v>
      </c>
      <c r="O4" s="11" t="n">
        <v>837765</v>
      </c>
      <c r="P4" s="12" t="n">
        <v>893451</v>
      </c>
      <c r="Q4" s="12" t="n">
        <v>914915</v>
      </c>
      <c r="R4" s="12" t="n">
        <v>900604</v>
      </c>
      <c r="S4" s="12" t="n">
        <v>875927</v>
      </c>
      <c r="T4" s="12" t="n">
        <v>910226</v>
      </c>
      <c r="U4" s="12" t="n">
        <v>1009447</v>
      </c>
      <c r="V4" s="12" t="n">
        <v>1103214</v>
      </c>
      <c r="W4" s="12" t="n">
        <v>1123407</v>
      </c>
      <c r="X4" s="12" t="n">
        <v>1227595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에너지</t>
        </is>
      </c>
      <c r="B7" s="10" t="n"/>
      <c r="C7" s="19" t="n">
        <v>82171</v>
      </c>
      <c r="D7" s="20" t="n">
        <v>111745</v>
      </c>
      <c r="E7" s="20" t="n">
        <v>64645</v>
      </c>
      <c r="F7" s="20" t="n">
        <v>77632</v>
      </c>
      <c r="G7" s="20" t="n">
        <v>87276</v>
      </c>
      <c r="H7" s="20" t="n">
        <v>118164</v>
      </c>
      <c r="I7" s="20" t="n">
        <v>72441</v>
      </c>
      <c r="J7" s="20" t="n">
        <v>90028</v>
      </c>
      <c r="K7" s="20" t="n">
        <v>93221</v>
      </c>
      <c r="L7" s="20" t="n">
        <v>129570</v>
      </c>
      <c r="M7" s="20" t="n">
        <v>81409</v>
      </c>
      <c r="N7" s="20" t="n">
        <v>110571</v>
      </c>
      <c r="O7" s="19" t="n"/>
      <c r="P7" s="20" t="n"/>
      <c r="Q7" s="20" t="n"/>
      <c r="R7" s="20" t="n"/>
      <c r="S7" s="20" t="n"/>
      <c r="T7" s="20" t="n"/>
      <c r="U7" s="20" t="n"/>
      <c r="V7" s="20" t="n">
        <v>338932</v>
      </c>
      <c r="W7" s="20" t="n">
        <v>347717</v>
      </c>
      <c r="X7" s="20" t="n">
        <v>385260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인더스트리</t>
        </is>
      </c>
      <c r="B10" s="10" t="n"/>
      <c r="C10" s="19" t="n">
        <v>94664</v>
      </c>
      <c r="D10" s="20" t="n">
        <v>134880</v>
      </c>
      <c r="E10" s="20" t="n">
        <v>79944</v>
      </c>
      <c r="F10" s="20" t="n">
        <v>94106</v>
      </c>
      <c r="G10" s="20" t="n">
        <v>112706</v>
      </c>
      <c r="H10" s="20" t="n">
        <v>109923</v>
      </c>
      <c r="I10" s="20" t="n">
        <v>86658</v>
      </c>
      <c r="J10" s="20" t="n">
        <v>117278</v>
      </c>
      <c r="K10" s="20" t="n">
        <v>115192</v>
      </c>
      <c r="L10" s="20" t="n">
        <v>145225</v>
      </c>
      <c r="M10" s="20" t="n">
        <v>103380</v>
      </c>
      <c r="N10" s="20" t="n">
        <v>122257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400999</v>
      </c>
      <c r="W10" s="20" t="n">
        <v>396679</v>
      </c>
      <c r="X10" s="20" t="n">
        <v>464353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반도체</t>
        </is>
      </c>
      <c r="B13" s="10" t="n"/>
      <c r="C13" s="19" t="n">
        <v>56560</v>
      </c>
      <c r="D13" s="20" t="n">
        <v>60353</v>
      </c>
      <c r="E13" s="20" t="n">
        <v>52814</v>
      </c>
      <c r="F13" s="20" t="n">
        <v>53489</v>
      </c>
      <c r="G13" s="20" t="n">
        <v>57725</v>
      </c>
      <c r="H13" s="20" t="n">
        <v>69496</v>
      </c>
      <c r="I13" s="20" t="n">
        <v>54285</v>
      </c>
      <c r="J13" s="20" t="n">
        <v>53240</v>
      </c>
      <c r="K13" s="20" t="n">
        <v>63027</v>
      </c>
      <c r="L13" s="20" t="n">
        <v>63701</v>
      </c>
      <c r="M13" s="20" t="n">
        <v>53422</v>
      </c>
      <c r="N13" s="20" t="n">
        <v>52993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222659</v>
      </c>
      <c r="W13" s="20" t="n">
        <v>233524</v>
      </c>
      <c r="X13" s="20" t="n">
        <v>234253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식품 유통</t>
        </is>
      </c>
      <c r="B16" s="10" t="n"/>
      <c r="C16" s="19" t="n">
        <v>25853</v>
      </c>
      <c r="D16" s="20" t="n">
        <v>27215</v>
      </c>
      <c r="E16" s="20" t="n">
        <v>30114</v>
      </c>
      <c r="F16" s="20" t="n">
        <v>27243</v>
      </c>
      <c r="G16" s="20" t="n">
        <v>26634</v>
      </c>
      <c r="H16" s="20" t="n">
        <v>25270</v>
      </c>
      <c r="I16" s="20" t="n">
        <v>25692</v>
      </c>
      <c r="J16" s="20" t="n">
        <v>25549</v>
      </c>
      <c r="K16" s="20" t="n">
        <v>26695</v>
      </c>
      <c r="L16" s="20" t="n">
        <v>27637</v>
      </c>
      <c r="M16" s="20" t="n">
        <v>25268</v>
      </c>
      <c r="N16" s="20" t="n">
        <v>23976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105536</v>
      </c>
      <c r="W16" s="20" t="n">
        <v>109261</v>
      </c>
      <c r="X16" s="20" t="n">
        <v>105573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8721</v>
      </c>
      <c r="D19" s="20" t="n">
        <v>9359</v>
      </c>
      <c r="E19" s="20" t="n">
        <v>8869</v>
      </c>
      <c r="F19" s="20" t="n">
        <v>8520</v>
      </c>
      <c r="G19" s="20" t="n">
        <v>9344</v>
      </c>
      <c r="H19" s="20" t="n">
        <v>9490</v>
      </c>
      <c r="I19" s="20" t="n">
        <v>8838</v>
      </c>
      <c r="J19" s="20" t="n">
        <v>9149</v>
      </c>
      <c r="K19" s="20" t="n">
        <v>9759</v>
      </c>
      <c r="L19" s="20" t="n">
        <v>10408</v>
      </c>
      <c r="M19" s="20" t="n">
        <v>9778</v>
      </c>
      <c r="N19" s="20" t="n">
        <v>10267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35085</v>
      </c>
      <c r="W19" s="20" t="n">
        <v>36223</v>
      </c>
      <c r="X19" s="20" t="n">
        <v>38154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195321</v>
      </c>
      <c r="D23" s="20" t="n">
        <v>241723</v>
      </c>
      <c r="E23" s="20" t="n">
        <v>170685</v>
      </c>
      <c r="F23" s="20" t="n">
        <v>189304</v>
      </c>
      <c r="G23" s="20" t="n">
        <v>213811</v>
      </c>
      <c r="H23" s="20" t="n">
        <v>231705</v>
      </c>
      <c r="I23" s="20" t="n">
        <v>179858</v>
      </c>
      <c r="J23" s="20" t="n">
        <v>220220</v>
      </c>
      <c r="K23" s="20" t="n">
        <v>224046</v>
      </c>
      <c r="L23" s="20" t="n">
        <v>259470</v>
      </c>
      <c r="M23" s="20" t="n">
        <v>194477</v>
      </c>
      <c r="N23" s="20" t="n">
        <v>230767</v>
      </c>
      <c r="O23" s="19" t="n">
        <v>624371</v>
      </c>
      <c r="P23" s="20" t="n">
        <v>661824</v>
      </c>
      <c r="Q23" s="20" t="n">
        <v>679876</v>
      </c>
      <c r="R23" s="20" t="n">
        <v>680067</v>
      </c>
      <c r="S23" s="20" t="n">
        <v>654661</v>
      </c>
      <c r="T23" s="20" t="n">
        <v>657789</v>
      </c>
      <c r="U23" s="20" t="n">
        <v>732528</v>
      </c>
      <c r="V23" s="20" t="n">
        <v>799925</v>
      </c>
      <c r="W23" s="20" t="n">
        <v>805505</v>
      </c>
      <c r="X23" s="20" t="n">
        <v>883594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49985</v>
      </c>
      <c r="D29" s="20" t="n">
        <v>53421</v>
      </c>
      <c r="E29" s="20" t="n">
        <v>48448</v>
      </c>
      <c r="F29" s="20" t="n">
        <v>48603</v>
      </c>
      <c r="G29" s="20" t="n">
        <v>51781</v>
      </c>
      <c r="H29" s="20" t="n">
        <v>51422</v>
      </c>
      <c r="I29" s="20" t="n">
        <v>49966</v>
      </c>
      <c r="J29" s="20" t="n">
        <v>50356</v>
      </c>
      <c r="K29" s="20" t="n">
        <v>52581</v>
      </c>
      <c r="L29" s="20" t="n">
        <v>54477</v>
      </c>
      <c r="M29" s="20" t="n">
        <v>53761</v>
      </c>
      <c r="N29" s="20" t="n">
        <v>54502</v>
      </c>
      <c r="O29" s="19" t="n">
        <v>168684</v>
      </c>
      <c r="P29" s="20" t="n">
        <v>175665</v>
      </c>
      <c r="Q29" s="20" t="n">
        <v>175066</v>
      </c>
      <c r="R29" s="20" t="n">
        <v>178020</v>
      </c>
      <c r="S29" s="20" t="n">
        <v>172670</v>
      </c>
      <c r="T29" s="20" t="n">
        <v>177601</v>
      </c>
      <c r="U29" s="20" t="n">
        <v>188036</v>
      </c>
      <c r="V29" s="20" t="n">
        <v>197222</v>
      </c>
      <c r="W29" s="20" t="n">
        <v>200254</v>
      </c>
      <c r="X29" s="20" t="n">
        <v>207380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22662</v>
      </c>
      <c r="D31" s="12" t="n">
        <v>48410</v>
      </c>
      <c r="E31" s="12" t="n">
        <v>17254</v>
      </c>
      <c r="F31" s="12" t="n">
        <v>23082</v>
      </c>
      <c r="G31" s="12" t="n">
        <v>28095</v>
      </c>
      <c r="H31" s="12" t="n">
        <v>49215</v>
      </c>
      <c r="I31" s="12" t="n">
        <v>18091</v>
      </c>
      <c r="J31" s="12" t="n">
        <v>24668</v>
      </c>
      <c r="K31" s="12" t="n">
        <v>31268</v>
      </c>
      <c r="L31" s="12" t="n">
        <v>62593</v>
      </c>
      <c r="M31" s="12" t="n">
        <v>25019</v>
      </c>
      <c r="N31" s="12" t="n">
        <v>34796</v>
      </c>
      <c r="O31" s="11" t="n">
        <v>44709</v>
      </c>
      <c r="P31" s="12" t="n">
        <v>55962</v>
      </c>
      <c r="Q31" s="12" t="n">
        <v>59972</v>
      </c>
      <c r="R31" s="12" t="n">
        <v>42515</v>
      </c>
      <c r="S31" s="12" t="n">
        <v>48595</v>
      </c>
      <c r="T31" s="12" t="n">
        <v>74835</v>
      </c>
      <c r="U31" s="12" t="n">
        <v>88882</v>
      </c>
      <c r="V31" s="12" t="n">
        <v>106066</v>
      </c>
      <c r="W31" s="12" t="n">
        <v>117646</v>
      </c>
      <c r="X31" s="12" t="n">
        <v>136620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1367</v>
      </c>
      <c r="D47" s="20" t="n">
        <v>1690</v>
      </c>
      <c r="E47" s="20" t="n">
        <v>337</v>
      </c>
      <c r="F47" s="20" t="n">
        <v>16375</v>
      </c>
      <c r="G47" s="20" t="n">
        <v>24</v>
      </c>
      <c r="H47" s="20" t="n">
        <v>3041</v>
      </c>
      <c r="I47" s="20" t="n">
        <v>3</v>
      </c>
      <c r="J47" s="20" t="n">
        <v>74</v>
      </c>
      <c r="K47" s="20" t="n">
        <v>1413</v>
      </c>
      <c r="L47" s="20" t="n">
        <v>4094</v>
      </c>
      <c r="M47" s="20" t="n">
        <v>6983</v>
      </c>
      <c r="N47" s="20" t="n">
        <v>8</v>
      </c>
      <c r="O47" s="19" t="n">
        <v>19817</v>
      </c>
      <c r="P47" s="20" t="n">
        <v>1900</v>
      </c>
      <c r="Q47" s="20" t="n">
        <v>2451</v>
      </c>
      <c r="R47" s="20" t="n">
        <v>2771</v>
      </c>
      <c r="S47" s="20" t="n">
        <v>41145</v>
      </c>
      <c r="T47" s="20" t="n">
        <v>10538</v>
      </c>
      <c r="U47" s="20" t="n">
        <v>11154</v>
      </c>
      <c r="V47" s="20" t="n">
        <v>8554</v>
      </c>
      <c r="W47" s="20" t="n">
        <v>19777</v>
      </c>
      <c r="X47" s="20" t="n">
        <v>5584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276</v>
      </c>
      <c r="D49" s="20" t="n">
        <v>1444</v>
      </c>
      <c r="E49" s="20" t="n">
        <v>87</v>
      </c>
      <c r="F49" s="20" t="n">
        <v>280</v>
      </c>
      <c r="G49" s="20" t="n">
        <v>183</v>
      </c>
      <c r="H49" s="20" t="n">
        <v>4324</v>
      </c>
      <c r="I49" s="20" t="n">
        <v>230</v>
      </c>
      <c r="J49" s="20" t="n">
        <v>1068</v>
      </c>
      <c r="K49" s="20" t="n">
        <v>669</v>
      </c>
      <c r="L49" s="20" t="n">
        <v>2835</v>
      </c>
      <c r="M49" s="20" t="n">
        <v>183</v>
      </c>
      <c r="N49" s="20" t="n">
        <v>123</v>
      </c>
      <c r="O49" s="19" t="n">
        <v>2170</v>
      </c>
      <c r="P49" s="20" t="n">
        <v>1142</v>
      </c>
      <c r="Q49" s="20" t="n">
        <v>3643</v>
      </c>
      <c r="R49" s="20" t="n">
        <v>3423</v>
      </c>
      <c r="S49" s="20" t="n">
        <v>28262</v>
      </c>
      <c r="T49" s="20" t="n">
        <v>1349</v>
      </c>
      <c r="U49" s="20" t="n">
        <v>3220</v>
      </c>
      <c r="V49" s="20" t="n">
        <v>2344</v>
      </c>
      <c r="W49" s="20" t="n">
        <v>4874</v>
      </c>
      <c r="X49" s="20" t="n">
        <v>4802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-32</v>
      </c>
      <c r="D51" s="20" t="n">
        <v>4152</v>
      </c>
      <c r="E51" s="20" t="n">
        <v>2417</v>
      </c>
      <c r="F51" s="20" t="n">
        <v>-489</v>
      </c>
      <c r="G51" s="20" t="n">
        <v>2380</v>
      </c>
      <c r="H51" s="20" t="n">
        <v>2961</v>
      </c>
      <c r="I51" s="20" t="n">
        <v>1498</v>
      </c>
      <c r="J51" s="20" t="n">
        <v>604</v>
      </c>
      <c r="K51" s="20" t="n">
        <v>1710</v>
      </c>
      <c r="L51" s="20" t="n">
        <v>4324</v>
      </c>
      <c r="M51" s="20" t="n">
        <v>2096</v>
      </c>
      <c r="N51" s="20" t="n">
        <v>437</v>
      </c>
      <c r="O51" s="19" t="n">
        <v>4780</v>
      </c>
      <c r="P51" s="20" t="n">
        <v>4664</v>
      </c>
      <c r="Q51" s="20" t="n">
        <v>5991</v>
      </c>
      <c r="R51" s="20" t="n">
        <v>5505</v>
      </c>
      <c r="S51" s="20" t="n">
        <v>5951</v>
      </c>
      <c r="T51" s="20" t="n">
        <v>7329</v>
      </c>
      <c r="U51" s="20" t="n">
        <v>5927</v>
      </c>
      <c r="V51" s="20" t="n">
        <v>7903</v>
      </c>
      <c r="W51" s="20" t="n">
        <v>7269</v>
      </c>
      <c r="X51" s="20" t="n">
        <v>8136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610</v>
      </c>
      <c r="D53" s="20" t="n">
        <v>1379</v>
      </c>
      <c r="E53" s="20" t="n">
        <v>1420</v>
      </c>
      <c r="F53" s="20" t="n">
        <v>1896</v>
      </c>
      <c r="G53" s="20" t="n">
        <v>1053</v>
      </c>
      <c r="H53" s="20" t="n">
        <v>1787</v>
      </c>
      <c r="I53" s="20" t="n">
        <v>2265</v>
      </c>
      <c r="J53" s="20" t="n">
        <v>863</v>
      </c>
      <c r="K53" s="20" t="n">
        <v>505</v>
      </c>
      <c r="L53" s="20" t="n">
        <v>1813</v>
      </c>
      <c r="M53" s="20" t="n">
        <v>1509</v>
      </c>
      <c r="N53" s="20" t="n">
        <v>3243</v>
      </c>
      <c r="O53" s="19" t="n">
        <v>3193</v>
      </c>
      <c r="P53" s="20" t="n">
        <v>4579</v>
      </c>
      <c r="Q53" s="20" t="n">
        <v>2483</v>
      </c>
      <c r="R53" s="20" t="n">
        <v>3507</v>
      </c>
      <c r="S53" s="20" t="n">
        <v>4146</v>
      </c>
      <c r="T53" s="20" t="n">
        <v>2867</v>
      </c>
      <c r="U53" s="20" t="n">
        <v>6997</v>
      </c>
      <c r="V53" s="20" t="n">
        <v>6147</v>
      </c>
      <c r="W53" s="20" t="n">
        <v>6156</v>
      </c>
      <c r="X53" s="20" t="n">
        <v>5446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23111</v>
      </c>
      <c r="D55" s="12" t="n">
        <v>51429</v>
      </c>
      <c r="E55" s="12" t="n">
        <v>18501</v>
      </c>
      <c r="F55" s="12" t="n">
        <v>36793</v>
      </c>
      <c r="G55" s="12" t="n">
        <v>29262</v>
      </c>
      <c r="H55" s="12" t="n">
        <v>49105</v>
      </c>
      <c r="I55" s="12" t="n">
        <v>17097</v>
      </c>
      <c r="J55" s="12" t="n">
        <v>23415</v>
      </c>
      <c r="K55" s="12" t="n">
        <v>33216</v>
      </c>
      <c r="L55" s="12" t="n">
        <v>66363</v>
      </c>
      <c r="M55" s="12" t="n">
        <v>32407</v>
      </c>
      <c r="N55" s="12" t="n">
        <v>31873</v>
      </c>
      <c r="O55" s="11" t="n">
        <v>63943</v>
      </c>
      <c r="P55" s="12" t="n">
        <v>56805</v>
      </c>
      <c r="Q55" s="12" t="n">
        <v>62287</v>
      </c>
      <c r="R55" s="12" t="n">
        <v>43860</v>
      </c>
      <c r="S55" s="12" t="n">
        <v>63284</v>
      </c>
      <c r="T55" s="12" t="n">
        <v>88487</v>
      </c>
      <c r="U55" s="12" t="n">
        <v>95746</v>
      </c>
      <c r="V55" s="12" t="n">
        <v>114032</v>
      </c>
      <c r="W55" s="12" t="n">
        <v>133661</v>
      </c>
      <c r="X55" s="12" t="n">
        <v>140091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8436</v>
      </c>
      <c r="D57" s="20" t="n">
        <v>10901</v>
      </c>
      <c r="E57" s="20" t="n">
        <v>5875</v>
      </c>
      <c r="F57" s="20" t="n">
        <v>11625</v>
      </c>
      <c r="G57" s="20" t="n">
        <v>7884</v>
      </c>
      <c r="H57" s="20" t="n">
        <v>11596</v>
      </c>
      <c r="I57" s="20" t="n">
        <v>5764</v>
      </c>
      <c r="J57" s="20" t="n">
        <v>6884</v>
      </c>
      <c r="K57" s="20" t="n">
        <v>10380</v>
      </c>
      <c r="L57" s="20" t="n">
        <v>15642</v>
      </c>
      <c r="M57" s="20" t="n">
        <v>10738</v>
      </c>
      <c r="N57" s="20" t="n">
        <v>8668</v>
      </c>
      <c r="O57" s="19" t="n">
        <v>18923</v>
      </c>
      <c r="P57" s="20" t="n">
        <v>14803</v>
      </c>
      <c r="Q57" s="20" t="n">
        <v>17216</v>
      </c>
      <c r="R57" s="20" t="n">
        <v>11989</v>
      </c>
      <c r="S57" s="20" t="n">
        <v>17941</v>
      </c>
      <c r="T57" s="20" t="n">
        <v>23931</v>
      </c>
      <c r="U57" s="20" t="n">
        <v>27112</v>
      </c>
      <c r="V57" s="20" t="n">
        <v>31961</v>
      </c>
      <c r="W57" s="20" t="n">
        <v>36980</v>
      </c>
      <c r="X57" s="20" t="n">
        <v>38670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14675</v>
      </c>
      <c r="D59" s="12" t="n">
        <v>40527</v>
      </c>
      <c r="E59" s="12" t="n">
        <v>12626</v>
      </c>
      <c r="F59" s="12" t="n">
        <v>25168</v>
      </c>
      <c r="G59" s="12" t="n">
        <v>21377</v>
      </c>
      <c r="H59" s="12" t="n">
        <v>37510</v>
      </c>
      <c r="I59" s="12" t="n">
        <v>11332</v>
      </c>
      <c r="J59" s="12" t="n">
        <v>16532</v>
      </c>
      <c r="K59" s="12" t="n">
        <v>22836</v>
      </c>
      <c r="L59" s="12" t="n">
        <v>50721</v>
      </c>
      <c r="M59" s="12" t="n">
        <v>21668</v>
      </c>
      <c r="N59" s="12" t="n">
        <v>23206</v>
      </c>
      <c r="O59" s="11" t="n">
        <v>45019</v>
      </c>
      <c r="P59" s="12" t="n">
        <v>42001</v>
      </c>
      <c r="Q59" s="12" t="n">
        <v>45070</v>
      </c>
      <c r="R59" s="12" t="n">
        <v>31871</v>
      </c>
      <c r="S59" s="12" t="n">
        <v>45342</v>
      </c>
      <c r="T59" s="12" t="n">
        <v>64555</v>
      </c>
      <c r="U59" s="12" t="n">
        <v>68634</v>
      </c>
      <c r="V59" s="12" t="n">
        <v>82070</v>
      </c>
      <c r="W59" s="12" t="n">
        <v>96681</v>
      </c>
      <c r="X59" s="12" t="n">
        <v>101421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12912</v>
      </c>
      <c r="D61" s="12" t="n">
        <v>38098</v>
      </c>
      <c r="E61" s="12" t="n">
        <v>11475</v>
      </c>
      <c r="F61" s="12" t="n">
        <v>24064</v>
      </c>
      <c r="G61" s="12" t="n">
        <v>19876</v>
      </c>
      <c r="H61" s="12" t="n">
        <v>36824</v>
      </c>
      <c r="I61" s="12" t="n">
        <v>10925</v>
      </c>
      <c r="J61" s="12" t="n">
        <v>15689</v>
      </c>
      <c r="K61" s="12" t="n">
        <v>21892</v>
      </c>
      <c r="L61" s="12" t="n">
        <v>49524</v>
      </c>
      <c r="M61" s="12" t="n">
        <v>20696</v>
      </c>
      <c r="N61" s="12" t="n">
        <v>21420</v>
      </c>
      <c r="O61" s="11" t="n">
        <v>40978</v>
      </c>
      <c r="P61" s="12" t="n">
        <v>37763</v>
      </c>
      <c r="Q61" s="12" t="n">
        <v>40267</v>
      </c>
      <c r="R61" s="12" t="n">
        <v>28793</v>
      </c>
      <c r="S61" s="12" t="n">
        <v>41926</v>
      </c>
      <c r="T61" s="12" t="n">
        <v>58660</v>
      </c>
      <c r="U61" s="12" t="n">
        <v>61348</v>
      </c>
      <c r="V61" s="12" t="n">
        <v>75353</v>
      </c>
      <c r="W61" s="12" t="n">
        <v>92239</v>
      </c>
      <c r="X61" s="12" t="n">
        <v>98030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267969</v>
      </c>
      <c r="D96" s="12" t="n">
        <v>343553</v>
      </c>
      <c r="E96" s="12" t="n">
        <v>236387</v>
      </c>
      <c r="F96" s="12" t="n">
        <v>260990</v>
      </c>
      <c r="G96" s="12" t="n">
        <v>293687</v>
      </c>
      <c r="H96" s="12" t="n">
        <v>332343</v>
      </c>
      <c r="I96" s="12" t="n">
        <v>247916</v>
      </c>
      <c r="J96" s="12" t="n">
        <v>295244</v>
      </c>
      <c r="K96" s="12" t="n">
        <v>307895</v>
      </c>
      <c r="L96" s="12" t="n">
        <v>376540</v>
      </c>
      <c r="M96" s="12" t="n">
        <v>273259</v>
      </c>
      <c r="N96" s="12" t="n">
        <v>320064</v>
      </c>
      <c r="V96" s="12" t="n">
        <v>343553</v>
      </c>
      <c r="W96" s="12" t="n">
        <v>332343</v>
      </c>
      <c r="X96" s="12" t="n">
        <v>376540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195321</v>
      </c>
      <c r="D98" s="20" t="n">
        <v>241723</v>
      </c>
      <c r="E98" s="20" t="n">
        <v>170685</v>
      </c>
      <c r="F98" s="20" t="n">
        <v>189304</v>
      </c>
      <c r="G98" s="20" t="n">
        <v>213811</v>
      </c>
      <c r="H98" s="20" t="n">
        <v>231705</v>
      </c>
      <c r="I98" s="20" t="n">
        <v>179858</v>
      </c>
      <c r="J98" s="20" t="n">
        <v>220220</v>
      </c>
      <c r="K98" s="20" t="n">
        <v>224046</v>
      </c>
      <c r="L98" s="20" t="n">
        <v>259470</v>
      </c>
      <c r="M98" s="20" t="n">
        <v>194477</v>
      </c>
      <c r="N98" s="20" t="n">
        <v>230767</v>
      </c>
      <c r="V98" s="20" t="n">
        <v>241723</v>
      </c>
      <c r="W98" s="20" t="n">
        <v>231705</v>
      </c>
      <c r="X98" s="20" t="n">
        <v>259470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72647</v>
      </c>
      <c r="D100" s="12" t="n">
        <v>101831</v>
      </c>
      <c r="E100" s="12" t="n">
        <v>65702</v>
      </c>
      <c r="F100" s="12" t="n">
        <v>71685</v>
      </c>
      <c r="G100" s="12" t="n">
        <v>79876</v>
      </c>
      <c r="H100" s="12" t="n">
        <v>100638</v>
      </c>
      <c r="I100" s="12" t="n">
        <v>68058</v>
      </c>
      <c r="J100" s="12" t="n">
        <v>75023</v>
      </c>
      <c r="K100" s="12" t="n">
        <v>83849</v>
      </c>
      <c r="L100" s="12" t="n">
        <v>117071</v>
      </c>
      <c r="M100" s="12" t="n">
        <v>78781</v>
      </c>
      <c r="N100" s="12" t="n">
        <v>89298</v>
      </c>
      <c r="V100" s="12" t="n">
        <v>101831</v>
      </c>
      <c r="W100" s="12" t="n">
        <v>100638</v>
      </c>
      <c r="X100" s="12" t="n">
        <v>117071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49985</v>
      </c>
      <c r="D102" s="20" t="n">
        <v>53421</v>
      </c>
      <c r="E102" s="20" t="n">
        <v>48448</v>
      </c>
      <c r="F102" s="20" t="n">
        <v>48603</v>
      </c>
      <c r="G102" s="20" t="n">
        <v>51781</v>
      </c>
      <c r="H102" s="20" t="n">
        <v>51422</v>
      </c>
      <c r="I102" s="20" t="n">
        <v>49966</v>
      </c>
      <c r="J102" s="20" t="n">
        <v>50356</v>
      </c>
      <c r="K102" s="20" t="n">
        <v>52581</v>
      </c>
      <c r="L102" s="20" t="n">
        <v>54477</v>
      </c>
      <c r="M102" s="20" t="n">
        <v>53761</v>
      </c>
      <c r="N102" s="20" t="n">
        <v>54502</v>
      </c>
      <c r="V102" s="20" t="n">
        <v>53421</v>
      </c>
      <c r="W102" s="20" t="n">
        <v>51422</v>
      </c>
      <c r="X102" s="20" t="n">
        <v>54477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22662</v>
      </c>
      <c r="D104" s="12" t="n">
        <v>48410</v>
      </c>
      <c r="E104" s="12" t="n">
        <v>17254</v>
      </c>
      <c r="F104" s="12" t="n">
        <v>23082</v>
      </c>
      <c r="G104" s="12" t="n">
        <v>28095</v>
      </c>
      <c r="H104" s="12" t="n">
        <v>49215</v>
      </c>
      <c r="I104" s="12" t="n">
        <v>18091</v>
      </c>
      <c r="J104" s="12" t="n">
        <v>24668</v>
      </c>
      <c r="K104" s="12" t="n">
        <v>31268</v>
      </c>
      <c r="L104" s="12" t="n">
        <v>62593</v>
      </c>
      <c r="M104" s="12" t="n">
        <v>25019</v>
      </c>
      <c r="N104" s="12" t="n">
        <v>34796</v>
      </c>
      <c r="V104" s="12" t="n">
        <v>48410</v>
      </c>
      <c r="W104" s="12" t="n">
        <v>49215</v>
      </c>
      <c r="X104" s="12" t="n">
        <v>62593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이자수익</t>
        </is>
      </c>
      <c r="C107" s="20" t="n">
        <v>156</v>
      </c>
      <c r="D107" s="20" t="n">
        <v>133</v>
      </c>
      <c r="E107" s="20" t="n">
        <v>137</v>
      </c>
      <c r="F107" s="20" t="n">
        <v>161</v>
      </c>
      <c r="G107" s="20" t="n">
        <v>192</v>
      </c>
      <c r="H107" s="20" t="n">
        <v>195</v>
      </c>
      <c r="I107" s="20" t="n">
        <v>144</v>
      </c>
      <c r="J107" s="20" t="n">
        <v>227</v>
      </c>
      <c r="K107" s="20" t="n">
        <v>174</v>
      </c>
      <c r="L107" s="20" t="n">
        <v>204</v>
      </c>
      <c r="M107" s="20" t="n">
        <v>145</v>
      </c>
      <c r="N107" s="20" t="n">
        <v>135</v>
      </c>
      <c r="V107" s="20" t="n">
        <v>133</v>
      </c>
      <c r="W107" s="20" t="n">
        <v>195</v>
      </c>
      <c r="X107" s="20" t="n">
        <v>204</v>
      </c>
    </row>
    <row r="108">
      <c r="A108" s="18" t="inlineStr">
        <is>
          <t>배당금수익</t>
        </is>
      </c>
      <c r="C108" s="20" t="n">
        <v>704</v>
      </c>
      <c r="D108" s="20" t="n">
        <v>876</v>
      </c>
      <c r="E108" s="20" t="n">
        <v>1018</v>
      </c>
      <c r="F108" s="20" t="n">
        <v>35</v>
      </c>
      <c r="G108" s="20" t="n">
        <v>504</v>
      </c>
      <c r="H108" s="20" t="n">
        <v>1233</v>
      </c>
      <c r="I108" s="20" t="n">
        <v>924</v>
      </c>
      <c r="J108" s="20" t="n">
        <v>19</v>
      </c>
      <c r="K108" s="20" t="n">
        <v>662</v>
      </c>
      <c r="L108" s="20" t="n">
        <v>987</v>
      </c>
      <c r="M108" s="20" t="n">
        <v>1661</v>
      </c>
      <c r="N108" s="20" t="n">
        <v>16</v>
      </c>
      <c r="V108" s="20" t="n">
        <v>876</v>
      </c>
      <c r="W108" s="20" t="n">
        <v>1233</v>
      </c>
      <c r="X108" s="20" t="n">
        <v>987</v>
      </c>
    </row>
    <row r="109">
      <c r="A109" s="18" t="inlineStr">
        <is>
          <t>보조금 수입</t>
        </is>
      </c>
      <c r="D109" s="20" t="n">
        <v>0</v>
      </c>
      <c r="H109" s="20" t="n">
        <v>0</v>
      </c>
      <c r="L109" s="20" t="n">
        <v>0</v>
      </c>
      <c r="V109" s="20" t="n">
        <v>0</v>
      </c>
      <c r="W109" s="20" t="n">
        <v>0</v>
      </c>
      <c r="X109" s="20" t="n">
        <v>0</v>
      </c>
    </row>
    <row r="110">
      <c r="A110" s="18" t="inlineStr">
        <is>
          <t>외환차익</t>
        </is>
      </c>
      <c r="C110" s="20" t="n">
        <v>-1304</v>
      </c>
      <c r="D110" s="20" t="n">
        <v>1889</v>
      </c>
      <c r="E110" s="20" t="n">
        <v>1091</v>
      </c>
      <c r="F110" s="20" t="n">
        <v>-1091</v>
      </c>
      <c r="G110" s="20" t="n">
        <v>122</v>
      </c>
      <c r="H110" s="20" t="n">
        <v>-122</v>
      </c>
      <c r="I110" s="20" t="n">
        <v>0</v>
      </c>
      <c r="L110" s="20" t="n">
        <v>909</v>
      </c>
      <c r="V110" s="20" t="n">
        <v>1889</v>
      </c>
      <c r="W110" s="20" t="n">
        <v>-122</v>
      </c>
      <c r="X110" s="20" t="n">
        <v>909</v>
      </c>
    </row>
    <row r="111">
      <c r="A111" s="18" t="inlineStr">
        <is>
          <t>기타</t>
        </is>
      </c>
      <c r="C111" s="20" t="n">
        <v>413</v>
      </c>
      <c r="D111" s="20" t="n">
        <v>176</v>
      </c>
      <c r="E111" s="20" t="n">
        <v>170</v>
      </c>
      <c r="F111" s="20" t="n">
        <v>406</v>
      </c>
      <c r="G111" s="20" t="n">
        <v>362</v>
      </c>
      <c r="H111" s="20" t="n">
        <v>590</v>
      </c>
      <c r="I111" s="20" t="n">
        <v>429</v>
      </c>
      <c r="J111" s="20" t="n">
        <v>359</v>
      </c>
      <c r="K111" s="20" t="n">
        <v>382</v>
      </c>
      <c r="L111" s="20" t="n">
        <v>696</v>
      </c>
      <c r="M111" s="20" t="n">
        <v>289</v>
      </c>
      <c r="N111" s="20" t="n">
        <v>286</v>
      </c>
      <c r="V111" s="20" t="n">
        <v>176</v>
      </c>
      <c r="W111" s="20" t="n">
        <v>590</v>
      </c>
      <c r="X111" s="20" t="n">
        <v>696</v>
      </c>
    </row>
    <row r="112">
      <c r="A112" s="18" t="inlineStr">
        <is>
          <t>영업외수익 합계</t>
        </is>
      </c>
      <c r="C112" s="20" t="n">
        <v>-32</v>
      </c>
      <c r="D112" s="20" t="n">
        <v>4152</v>
      </c>
      <c r="E112" s="20" t="n">
        <v>2417</v>
      </c>
      <c r="F112" s="20" t="n">
        <v>-489</v>
      </c>
      <c r="G112" s="20" t="n">
        <v>2380</v>
      </c>
      <c r="H112" s="20" t="n">
        <v>2961</v>
      </c>
      <c r="I112" s="20" t="n">
        <v>1498</v>
      </c>
      <c r="J112" s="20" t="n">
        <v>604</v>
      </c>
      <c r="K112" s="20" t="n">
        <v>1710</v>
      </c>
      <c r="L112" s="20" t="n">
        <v>4324</v>
      </c>
      <c r="M112" s="20" t="n">
        <v>2096</v>
      </c>
      <c r="N112" s="20" t="n">
        <v>437</v>
      </c>
      <c r="V112" s="20" t="n">
        <v>4152</v>
      </c>
      <c r="W112" s="20" t="n">
        <v>2961</v>
      </c>
      <c r="X112" s="20" t="n">
        <v>4324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IF(OR(G112="",C112=""),"",IF(G112*C112&lt;=0,"",IFERROR(G112/C112-1,"")))</f>
        <v/>
      </c>
      <c r="H113" s="15">
        <f>IF(OR(H112="",D112=""),"",IF(H112*D112&lt;=0,"",IFERROR(H112/D112-1,"")))</f>
        <v/>
      </c>
      <c r="I113" s="15">
        <f>IF(OR(I112="",E112=""),"",IF(I112*E112&lt;=0,"",IFERROR(I112/E112-1,"")))</f>
        <v/>
      </c>
      <c r="J113" s="15">
        <f>IF(OR(J112="",F112=""),"",IF(J112*F112&lt;=0,"",IFERROR(J112/F112-1,"")))</f>
        <v/>
      </c>
      <c r="K113" s="15">
        <f>IF(OR(K112="",G112=""),"",IF(K112*G112&lt;=0,"",IFERROR(K112/G112-1,"")))</f>
        <v/>
      </c>
      <c r="L113" s="15">
        <f>IF(OR(L112="",H112=""),"",IF(L112*H112&lt;=0,"",IFERROR(L112/H112-1,"")))</f>
        <v/>
      </c>
      <c r="M113" s="15">
        <f>IF(OR(M112="",I112=""),"",IF(M112*I112&lt;=0,"",IFERROR(M112/I112-1,"")))</f>
        <v/>
      </c>
      <c r="N113" s="15">
        <f>IF(OR(N112="",J112=""),"",IF(N112*J112&lt;=0,"",IFERROR(N112/J112-1,"")))</f>
        <v/>
      </c>
      <c r="V113" s="15">
        <f>IF(OR(V112="",U112=""),"",IF(V112*U112&lt;=0,"",IFERROR(V112/U112-1,"")))</f>
        <v/>
      </c>
      <c r="W113" s="15">
        <f>IF(OR(W112="",V112=""),"",IF(W112*V112&lt;=0,"",IFERROR(W112/V112-1,"")))</f>
        <v/>
      </c>
      <c r="X113" s="15">
        <f>IF(OR(X112="",W112=""),"",IF(X112*W112&lt;=0,"",IFERROR(X112/W112-1,"")))</f>
        <v/>
      </c>
    </row>
    <row r="114">
      <c r="A114" s="18" t="inlineStr">
        <is>
          <t>이자비용</t>
        </is>
      </c>
      <c r="C114" s="20" t="n">
        <v>520</v>
      </c>
      <c r="D114" s="20" t="n">
        <v>609</v>
      </c>
      <c r="E114" s="20" t="n">
        <v>757</v>
      </c>
      <c r="F114" s="20" t="n">
        <v>837</v>
      </c>
      <c r="G114" s="20" t="n">
        <v>930</v>
      </c>
      <c r="H114" s="20" t="n">
        <v>811</v>
      </c>
      <c r="I114" s="20" t="n">
        <v>806</v>
      </c>
      <c r="J114" s="20" t="n">
        <v>797</v>
      </c>
      <c r="K114" s="20" t="n">
        <v>736</v>
      </c>
      <c r="L114" s="20" t="n">
        <v>728</v>
      </c>
      <c r="M114" s="20" t="n">
        <v>653</v>
      </c>
      <c r="N114" s="20" t="n">
        <v>654</v>
      </c>
      <c r="V114" s="20" t="n">
        <v>609</v>
      </c>
      <c r="W114" s="20" t="n">
        <v>811</v>
      </c>
      <c r="X114" s="20" t="n">
        <v>728</v>
      </c>
    </row>
    <row r="115">
      <c r="A115" s="18" t="inlineStr">
        <is>
          <t>지분법손실</t>
        </is>
      </c>
      <c r="C115" s="20" t="n">
        <v>-311</v>
      </c>
      <c r="E115" s="20" t="n">
        <v>348</v>
      </c>
      <c r="F115" s="20" t="n">
        <v>341</v>
      </c>
      <c r="G115" s="20" t="n">
        <v>-264</v>
      </c>
      <c r="I115" s="20" t="n">
        <v>335</v>
      </c>
      <c r="J115" s="20" t="n">
        <v>53</v>
      </c>
      <c r="K115" s="20" t="n">
        <v>-312</v>
      </c>
      <c r="M115" s="20" t="n">
        <v>368</v>
      </c>
      <c r="N115" s="20" t="n">
        <v>-61</v>
      </c>
    </row>
    <row r="116">
      <c r="A116" s="18" t="inlineStr">
        <is>
          <t>유휴자산 감가상각비</t>
        </is>
      </c>
      <c r="E116" s="20" t="n">
        <v>30</v>
      </c>
      <c r="F116" s="20" t="n">
        <v>22</v>
      </c>
      <c r="G116" s="20" t="n">
        <v>31</v>
      </c>
      <c r="H116" s="20" t="n">
        <v>18</v>
      </c>
      <c r="I116" s="20" t="n">
        <v>315</v>
      </c>
      <c r="J116" s="20" t="n">
        <v>316</v>
      </c>
      <c r="K116" s="20" t="n">
        <v>345</v>
      </c>
      <c r="L116" s="20" t="n">
        <v>362</v>
      </c>
      <c r="M116" s="20" t="n">
        <v>373</v>
      </c>
      <c r="N116" s="20" t="n">
        <v>375</v>
      </c>
      <c r="W116" s="20" t="n">
        <v>18</v>
      </c>
      <c r="X116" s="20" t="n">
        <v>362</v>
      </c>
    </row>
    <row r="117">
      <c r="A117" s="18" t="inlineStr">
        <is>
          <t>사업 전환 비용</t>
        </is>
      </c>
      <c r="C117" s="20" t="n">
        <v>215</v>
      </c>
      <c r="D117" s="20" t="n">
        <v>568</v>
      </c>
      <c r="E117" s="20" t="n">
        <v>170</v>
      </c>
      <c r="F117" s="20" t="n">
        <v>12</v>
      </c>
      <c r="G117" s="20" t="n">
        <v>19</v>
      </c>
      <c r="H117" s="20" t="n">
        <v>-11</v>
      </c>
      <c r="I117" s="20" t="n">
        <v>0</v>
      </c>
      <c r="J117" s="20" t="n">
        <v>0</v>
      </c>
      <c r="K117" s="20" t="n">
        <v>0</v>
      </c>
      <c r="L117" s="20" t="n">
        <v>0</v>
      </c>
      <c r="V117" s="20" t="n">
        <v>568</v>
      </c>
      <c r="W117" s="20" t="n">
        <v>-11</v>
      </c>
      <c r="X117" s="20" t="n">
        <v>0</v>
      </c>
    </row>
    <row r="118">
      <c r="A118" s="18" t="inlineStr">
        <is>
          <t>채무보증 손실</t>
        </is>
      </c>
      <c r="C118" s="20" t="n">
        <v>0</v>
      </c>
      <c r="D118" s="20" t="n">
        <v>0</v>
      </c>
      <c r="E118" s="20" t="n">
        <v>0</v>
      </c>
      <c r="F118" s="20" t="n">
        <v>0</v>
      </c>
      <c r="G118" s="20" t="n">
        <v>0</v>
      </c>
      <c r="H118" s="20" t="n">
        <v>0</v>
      </c>
      <c r="V118" s="20" t="n">
        <v>0</v>
      </c>
      <c r="W118" s="20" t="n">
        <v>0</v>
      </c>
    </row>
    <row r="119">
      <c r="A119" s="18" t="inlineStr">
        <is>
          <t>외환차손</t>
        </is>
      </c>
      <c r="E119" s="20" t="n">
        <v>0</v>
      </c>
      <c r="F119" s="20" t="n">
        <v>659</v>
      </c>
      <c r="I119" s="20" t="n">
        <v>747</v>
      </c>
      <c r="J119" s="20" t="n">
        <v>-416</v>
      </c>
      <c r="M119" s="20" t="n">
        <v>78</v>
      </c>
      <c r="N119" s="20" t="n">
        <v>1453</v>
      </c>
    </row>
    <row r="120">
      <c r="A120" s="18" t="inlineStr">
        <is>
          <t>기타</t>
        </is>
      </c>
      <c r="C120" s="20" t="n">
        <v>187</v>
      </c>
      <c r="D120" s="20" t="n">
        <v>-3</v>
      </c>
      <c r="E120" s="20" t="n">
        <v>113</v>
      </c>
      <c r="F120" s="20" t="n">
        <v>25</v>
      </c>
      <c r="G120" s="20" t="n">
        <v>996</v>
      </c>
      <c r="H120" s="20" t="n">
        <v>-459</v>
      </c>
      <c r="I120" s="20" t="n">
        <v>59</v>
      </c>
      <c r="J120" s="20" t="n">
        <v>115</v>
      </c>
      <c r="K120" s="20" t="n">
        <v>67</v>
      </c>
      <c r="L120" s="20" t="n">
        <v>798</v>
      </c>
      <c r="M120" s="20" t="n">
        <v>36</v>
      </c>
      <c r="N120" s="20" t="n">
        <v>821</v>
      </c>
      <c r="V120" s="20" t="n">
        <v>-3</v>
      </c>
      <c r="W120" s="20" t="n">
        <v>-459</v>
      </c>
      <c r="X120" s="20" t="n">
        <v>798</v>
      </c>
    </row>
    <row r="121">
      <c r="A121" s="18" t="inlineStr">
        <is>
          <t>영업외비용 합계</t>
        </is>
      </c>
      <c r="C121" s="20" t="n">
        <v>610</v>
      </c>
      <c r="D121" s="20" t="n">
        <v>1379</v>
      </c>
      <c r="E121" s="20" t="n">
        <v>1420</v>
      </c>
      <c r="F121" s="20" t="n">
        <v>1896</v>
      </c>
      <c r="G121" s="20" t="n">
        <v>1053</v>
      </c>
      <c r="H121" s="20" t="n">
        <v>1787</v>
      </c>
      <c r="I121" s="20" t="n">
        <v>2265</v>
      </c>
      <c r="J121" s="20" t="n">
        <v>863</v>
      </c>
      <c r="K121" s="20" t="n">
        <v>505</v>
      </c>
      <c r="L121" s="20" t="n">
        <v>1813</v>
      </c>
      <c r="M121" s="20" t="n">
        <v>1509</v>
      </c>
      <c r="N121" s="20" t="n">
        <v>3243</v>
      </c>
      <c r="V121" s="20" t="n">
        <v>1379</v>
      </c>
      <c r="W121" s="20" t="n">
        <v>1787</v>
      </c>
      <c r="X121" s="20" t="n">
        <v>1813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9" t="inlineStr">
        <is>
          <t>경상이익</t>
        </is>
      </c>
      <c r="C123" s="12" t="n">
        <v>22020</v>
      </c>
      <c r="D123" s="12" t="n">
        <v>51183</v>
      </c>
      <c r="E123" s="12" t="n">
        <v>18251</v>
      </c>
      <c r="F123" s="12" t="n">
        <v>20698</v>
      </c>
      <c r="G123" s="12" t="n">
        <v>29421</v>
      </c>
      <c r="H123" s="12" t="n">
        <v>50389</v>
      </c>
      <c r="I123" s="12" t="n">
        <v>17324</v>
      </c>
      <c r="J123" s="12" t="n">
        <v>24409</v>
      </c>
      <c r="K123" s="12" t="n">
        <v>32473</v>
      </c>
      <c r="L123" s="12" t="n">
        <v>65104</v>
      </c>
      <c r="M123" s="12" t="n">
        <v>25606</v>
      </c>
      <c r="N123" s="12" t="n">
        <v>31989</v>
      </c>
      <c r="V123" s="12" t="n">
        <v>51183</v>
      </c>
      <c r="W123" s="12" t="n">
        <v>50389</v>
      </c>
      <c r="X123" s="12" t="n">
        <v>65104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IF(OR(G123="",C123=""),"",IF(C123&lt;=0,"",IFERROR(G123/C123-1,"")))</f>
        <v/>
      </c>
      <c r="H124" s="15">
        <f>IF(OR(H123="",D123=""),"",IF(D123&lt;=0,"",IFERROR(H123/D123-1,"")))</f>
        <v/>
      </c>
      <c r="I124" s="15">
        <f>IF(OR(I123="",E123=""),"",IF(E123&lt;=0,"",IFERROR(I123/E123-1,"")))</f>
        <v/>
      </c>
      <c r="J124" s="15">
        <f>IF(OR(J123="",F123=""),"",IF(F123&lt;=0,"",IFERROR(J123/F123-1,"")))</f>
        <v/>
      </c>
      <c r="K124" s="15">
        <f>IF(OR(K123="",G123=""),"",IF(G123&lt;=0,"",IFERROR(K123/G123-1,"")))</f>
        <v/>
      </c>
      <c r="L124" s="15">
        <f>IF(OR(L123="",H123=""),"",IF(H123&lt;=0,"",IFERROR(L123/H123-1,"")))</f>
        <v/>
      </c>
      <c r="M124" s="15">
        <f>IF(OR(M123="",I123=""),"",IF(I123&lt;=0,"",IFERROR(M123/I123-1,"")))</f>
        <v/>
      </c>
      <c r="N124" s="15">
        <f>IF(OR(N123="",J123=""),"",IF(J123&lt;=0,"",IFERROR(N123/J123-1,"")))</f>
        <v/>
      </c>
      <c r="V124" s="15">
        <f>IF(OR(V123="",U123=""),"",IF(U123&lt;=0,"",IFERROR(V123/U123-1,"")))</f>
        <v/>
      </c>
      <c r="W124" s="15">
        <f>IF(OR(W123="",V123=""),"",IF(V123&lt;=0,"",IFERROR(W123/V123-1,"")))</f>
        <v/>
      </c>
      <c r="X124" s="15">
        <f>IF(OR(X123="",W123=""),"",IF(W123&lt;=0,"",IFERROR(X123/W123-1,"")))</f>
        <v/>
      </c>
    </row>
    <row r="125">
      <c r="A125" s="18" t="inlineStr">
        <is>
          <t>고정자산 매각이익</t>
        </is>
      </c>
      <c r="C125" s="20" t="n">
        <v>213</v>
      </c>
      <c r="D125" s="20" t="n">
        <v>55</v>
      </c>
      <c r="E125" s="20" t="n">
        <v>90</v>
      </c>
      <c r="F125" s="20" t="n">
        <v>10</v>
      </c>
      <c r="G125" s="20" t="n">
        <v>17</v>
      </c>
      <c r="H125" s="20" t="n">
        <v>15</v>
      </c>
      <c r="I125" s="20" t="n">
        <v>3</v>
      </c>
      <c r="J125" s="20" t="n">
        <v>11</v>
      </c>
      <c r="K125" s="20" t="n">
        <v>1413</v>
      </c>
      <c r="L125" s="20" t="n">
        <v>29</v>
      </c>
      <c r="M125" s="20" t="n">
        <v>18</v>
      </c>
      <c r="N125" s="20" t="n">
        <v>8</v>
      </c>
      <c r="V125" s="20" t="n">
        <v>55</v>
      </c>
      <c r="W125" s="20" t="n">
        <v>15</v>
      </c>
      <c r="X125" s="20" t="n">
        <v>29</v>
      </c>
    </row>
    <row r="126">
      <c r="A126" s="18" t="inlineStr">
        <is>
          <t>투자유가증권 매각이익</t>
        </is>
      </c>
      <c r="C126" s="20" t="n">
        <v>1154</v>
      </c>
      <c r="D126" s="20" t="n">
        <v>1634</v>
      </c>
      <c r="E126" s="20" t="n">
        <v>247</v>
      </c>
      <c r="F126" s="20" t="n">
        <v>16365</v>
      </c>
      <c r="G126" s="20" t="n">
        <v>6</v>
      </c>
      <c r="H126" s="20" t="n">
        <v>26</v>
      </c>
      <c r="I126" s="20" t="n">
        <v>0</v>
      </c>
      <c r="J126" s="20" t="n">
        <v>62</v>
      </c>
      <c r="K126" s="20" t="n">
        <v>0</v>
      </c>
      <c r="L126" s="20" t="n">
        <v>4065</v>
      </c>
      <c r="M126" s="20" t="n">
        <v>6965</v>
      </c>
      <c r="N126" s="20" t="n">
        <v>0</v>
      </c>
      <c r="V126" s="20" t="n">
        <v>1634</v>
      </c>
      <c r="W126" s="20" t="n">
        <v>26</v>
      </c>
      <c r="X126" s="20" t="n">
        <v>4065</v>
      </c>
    </row>
    <row r="127">
      <c r="A127" s="18" t="inlineStr">
        <is>
          <t>특별이익 합계</t>
        </is>
      </c>
      <c r="C127" s="20" t="n">
        <v>1367</v>
      </c>
      <c r="D127" s="20" t="n">
        <v>1690</v>
      </c>
      <c r="E127" s="20" t="n">
        <v>337</v>
      </c>
      <c r="F127" s="20" t="n">
        <v>16375</v>
      </c>
      <c r="G127" s="20" t="n">
        <v>24</v>
      </c>
      <c r="H127" s="20" t="n">
        <v>3041</v>
      </c>
      <c r="I127" s="20" t="n">
        <v>3</v>
      </c>
      <c r="J127" s="20" t="n">
        <v>74</v>
      </c>
      <c r="K127" s="20" t="n">
        <v>1413</v>
      </c>
      <c r="L127" s="20" t="n">
        <v>4094</v>
      </c>
      <c r="M127" s="20" t="n">
        <v>6983</v>
      </c>
      <c r="N127" s="20" t="n">
        <v>8</v>
      </c>
      <c r="V127" s="20" t="n">
        <v>1690</v>
      </c>
      <c r="W127" s="20" t="n">
        <v>3041</v>
      </c>
      <c r="X127" s="20" t="n">
        <v>4094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IF(OR(G127="",C127=""),"",IF(G127*C127&lt;=0,"",IFERROR(G127/C127-1,"")))</f>
        <v/>
      </c>
      <c r="H128" s="15">
        <f>IF(OR(H127="",D127=""),"",IF(H127*D127&lt;=0,"",IFERROR(H127/D127-1,"")))</f>
        <v/>
      </c>
      <c r="I128" s="15">
        <f>IF(OR(I127="",E127=""),"",IF(I127*E127&lt;=0,"",IFERROR(I127/E127-1,"")))</f>
        <v/>
      </c>
      <c r="J128" s="15">
        <f>IF(OR(J127="",F127=""),"",IF(J127*F127&lt;=0,"",IFERROR(J127/F127-1,"")))</f>
        <v/>
      </c>
      <c r="K128" s="15">
        <f>IF(OR(K127="",G127=""),"",IF(K127*G127&lt;=0,"",IFERROR(K127/G127-1,"")))</f>
        <v/>
      </c>
      <c r="L128" s="15">
        <f>IF(OR(L127="",H127=""),"",IF(L127*H127&lt;=0,"",IFERROR(L127/H127-1,"")))</f>
        <v/>
      </c>
      <c r="M128" s="15">
        <f>IF(OR(M127="",I127=""),"",IF(M127*I127&lt;=0,"",IFERROR(M127/I127-1,"")))</f>
        <v/>
      </c>
      <c r="N128" s="15">
        <f>IF(OR(N127="",J127=""),"",IF(N127*J127&lt;=0,"",IFERROR(N127/J127-1,"")))</f>
        <v/>
      </c>
      <c r="V128" s="15">
        <f>IF(OR(V127="",U127=""),"",IF(V127*U127&lt;=0,"",IFERROR(V127/U127-1,"")))</f>
        <v/>
      </c>
      <c r="W128" s="15">
        <f>IF(OR(W127="",V127=""),"",IF(W127*V127&lt;=0,"",IFERROR(W127/V127-1,"")))</f>
        <v/>
      </c>
      <c r="X128" s="15">
        <f>IF(OR(X127="",W127=""),"",IF(X127*W127&lt;=0,"",IFERROR(X127/W127-1,"")))</f>
        <v/>
      </c>
    </row>
    <row r="129">
      <c r="A129" s="18" t="inlineStr">
        <is>
          <t>고정자산 처분손실</t>
        </is>
      </c>
      <c r="C129" s="20" t="n">
        <v>276</v>
      </c>
      <c r="D129" s="20" t="n">
        <v>541</v>
      </c>
      <c r="E129" s="20" t="n">
        <v>87</v>
      </c>
      <c r="F129" s="20" t="n">
        <v>280</v>
      </c>
      <c r="G129" s="20" t="n">
        <v>183</v>
      </c>
      <c r="H129" s="20" t="n">
        <v>437</v>
      </c>
      <c r="I129" s="20" t="n">
        <v>230</v>
      </c>
      <c r="J129" s="20" t="n">
        <v>662</v>
      </c>
      <c r="K129" s="20" t="n">
        <v>202</v>
      </c>
      <c r="L129" s="20" t="n">
        <v>253</v>
      </c>
      <c r="M129" s="20" t="n">
        <v>183</v>
      </c>
      <c r="N129" s="20" t="n">
        <v>123</v>
      </c>
      <c r="V129" s="20" t="n">
        <v>541</v>
      </c>
      <c r="W129" s="20" t="n">
        <v>437</v>
      </c>
      <c r="X129" s="20" t="n">
        <v>253</v>
      </c>
    </row>
    <row r="130">
      <c r="A130" s="18" t="inlineStr">
        <is>
          <t>손상차손</t>
        </is>
      </c>
      <c r="G130" s="20" t="n">
        <v>0</v>
      </c>
      <c r="H130" s="20" t="n">
        <v>0</v>
      </c>
      <c r="K130" s="20" t="n">
        <v>21</v>
      </c>
      <c r="L130" s="20" t="n">
        <v>2521</v>
      </c>
      <c r="W130" s="20" t="n">
        <v>0</v>
      </c>
      <c r="X130" s="20" t="n">
        <v>2521</v>
      </c>
    </row>
    <row r="131">
      <c r="A131" s="18" t="inlineStr">
        <is>
          <t>특별퇴직금</t>
        </is>
      </c>
      <c r="H131" s="20" t="n">
        <v>0</v>
      </c>
      <c r="L131" s="20" t="n">
        <v>10</v>
      </c>
      <c r="W131" s="20" t="n">
        <v>0</v>
      </c>
      <c r="X131" s="20" t="n">
        <v>10</v>
      </c>
    </row>
    <row r="132">
      <c r="A132" s="18" t="inlineStr">
        <is>
          <t>특별손실 합계</t>
        </is>
      </c>
      <c r="C132" s="20" t="n">
        <v>276</v>
      </c>
      <c r="D132" s="20" t="n">
        <v>1444</v>
      </c>
      <c r="E132" s="20" t="n">
        <v>87</v>
      </c>
      <c r="F132" s="20" t="n">
        <v>280</v>
      </c>
      <c r="G132" s="20" t="n">
        <v>183</v>
      </c>
      <c r="H132" s="20" t="n">
        <v>4324</v>
      </c>
      <c r="I132" s="20" t="n">
        <v>230</v>
      </c>
      <c r="J132" s="20" t="n">
        <v>1068</v>
      </c>
      <c r="K132" s="20" t="n">
        <v>669</v>
      </c>
      <c r="L132" s="20" t="n">
        <v>2835</v>
      </c>
      <c r="M132" s="20" t="n">
        <v>183</v>
      </c>
      <c r="N132" s="20" t="n">
        <v>123</v>
      </c>
      <c r="V132" s="20" t="n">
        <v>1444</v>
      </c>
      <c r="W132" s="20" t="n">
        <v>4324</v>
      </c>
      <c r="X132" s="20" t="n">
        <v>2835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IF(OR(G132="",C132=""),"",IF(G132*C132&lt;=0,"",IFERROR(G132/C132-1,"")))</f>
        <v/>
      </c>
      <c r="H133" s="15">
        <f>IF(OR(H132="",D132=""),"",IF(H132*D132&lt;=0,"",IFERROR(H132/D132-1,"")))</f>
        <v/>
      </c>
      <c r="I133" s="15">
        <f>IF(OR(I132="",E132=""),"",IF(I132*E132&lt;=0,"",IFERROR(I132/E132-1,"")))</f>
        <v/>
      </c>
      <c r="J133" s="15">
        <f>IF(OR(J132="",F132=""),"",IF(J132*F132&lt;=0,"",IFERROR(J132/F132-1,"")))</f>
        <v/>
      </c>
      <c r="K133" s="15">
        <f>IF(OR(K132="",G132=""),"",IF(K132*G132&lt;=0,"",IFERROR(K132/G132-1,"")))</f>
        <v/>
      </c>
      <c r="L133" s="15">
        <f>IF(OR(L132="",H132=""),"",IF(L132*H132&lt;=0,"",IFERROR(L132/H132-1,"")))</f>
        <v/>
      </c>
      <c r="M133" s="15">
        <f>IF(OR(M132="",I132=""),"",IF(M132*I132&lt;=0,"",IFERROR(M132/I132-1,"")))</f>
        <v/>
      </c>
      <c r="N133" s="15">
        <f>IF(OR(N132="",J132=""),"",IF(N132*J132&lt;=0,"",IFERROR(N132/J132-1,"")))</f>
        <v/>
      </c>
      <c r="V133" s="15">
        <f>IF(OR(V132="",U132=""),"",IF(V132*U132&lt;=0,"",IFERROR(V132/U132-1,"")))</f>
        <v/>
      </c>
      <c r="W133" s="15">
        <f>IF(OR(W132="",V132=""),"",IF(W132*V132&lt;=0,"",IFERROR(W132/V132-1,"")))</f>
        <v/>
      </c>
      <c r="X133" s="15">
        <f>IF(OR(X132="",W132=""),"",IF(X132*W132&lt;=0,"",IFERROR(X132/W132-1,"")))</f>
        <v/>
      </c>
    </row>
    <row r="134">
      <c r="A134" s="9" t="inlineStr">
        <is>
          <t>법인세차감전 순이익</t>
        </is>
      </c>
      <c r="C134" s="12" t="n">
        <v>23111</v>
      </c>
      <c r="D134" s="12" t="n">
        <v>51429</v>
      </c>
      <c r="E134" s="12" t="n">
        <v>18501</v>
      </c>
      <c r="F134" s="12" t="n">
        <v>36793</v>
      </c>
      <c r="G134" s="12" t="n">
        <v>29262</v>
      </c>
      <c r="H134" s="12" t="n">
        <v>49105</v>
      </c>
      <c r="I134" s="12" t="n">
        <v>17097</v>
      </c>
      <c r="J134" s="12" t="n">
        <v>23415</v>
      </c>
      <c r="K134" s="12" t="n">
        <v>33216</v>
      </c>
      <c r="L134" s="12" t="n">
        <v>66363</v>
      </c>
      <c r="M134" s="12" t="n">
        <v>32407</v>
      </c>
      <c r="N134" s="12" t="n">
        <v>31873</v>
      </c>
      <c r="V134" s="12" t="n">
        <v>51429</v>
      </c>
      <c r="W134" s="12" t="n">
        <v>49105</v>
      </c>
      <c r="X134" s="12" t="n">
        <v>66363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6">
      <c r="A136" s="18" t="inlineStr">
        <is>
          <t>법인세 등</t>
        </is>
      </c>
      <c r="C136" s="20" t="n">
        <v>8436</v>
      </c>
      <c r="D136" s="20" t="n">
        <v>10901</v>
      </c>
      <c r="E136" s="20" t="n">
        <v>5875</v>
      </c>
      <c r="F136" s="20" t="n">
        <v>11625</v>
      </c>
      <c r="G136" s="20" t="n">
        <v>7884</v>
      </c>
      <c r="H136" s="20" t="n">
        <v>11596</v>
      </c>
      <c r="I136" s="20" t="n">
        <v>5764</v>
      </c>
      <c r="J136" s="20" t="n">
        <v>6884</v>
      </c>
      <c r="K136" s="20" t="n">
        <v>10380</v>
      </c>
      <c r="L136" s="20" t="n">
        <v>15642</v>
      </c>
      <c r="M136" s="20" t="n">
        <v>10738</v>
      </c>
      <c r="N136" s="20" t="n">
        <v>8668</v>
      </c>
      <c r="V136" s="20" t="n">
        <v>10901</v>
      </c>
      <c r="W136" s="20" t="n">
        <v>11596</v>
      </c>
      <c r="X136" s="20" t="n">
        <v>15642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IF(OR(G136="",C136=""),"",IF(G136*C136&lt;=0,"",IFERROR(G136/C136-1,"")))</f>
        <v/>
      </c>
      <c r="H137" s="15">
        <f>IF(OR(H136="",D136=""),"",IF(H136*D136&lt;=0,"",IFERROR(H136/D136-1,"")))</f>
        <v/>
      </c>
      <c r="I137" s="15">
        <f>IF(OR(I136="",E136=""),"",IF(I136*E136&lt;=0,"",IFERROR(I136/E136-1,"")))</f>
        <v/>
      </c>
      <c r="J137" s="15">
        <f>IF(OR(J136="",F136=""),"",IF(J136*F136&lt;=0,"",IFERROR(J136/F136-1,"")))</f>
        <v/>
      </c>
      <c r="K137" s="15">
        <f>IF(OR(K136="",G136=""),"",IF(K136*G136&lt;=0,"",IFERROR(K136/G136-1,"")))</f>
        <v/>
      </c>
      <c r="L137" s="15">
        <f>IF(OR(L136="",H136=""),"",IF(L136*H136&lt;=0,"",IFERROR(L136/H136-1,"")))</f>
        <v/>
      </c>
      <c r="M137" s="15">
        <f>IF(OR(M136="",I136=""),"",IF(M136*I136&lt;=0,"",IFERROR(M136/I136-1,"")))</f>
        <v/>
      </c>
      <c r="N137" s="15">
        <f>IF(OR(N136="",J136=""),"",IF(N136*J136&lt;=0,"",IFERROR(N136/J136-1,"")))</f>
        <v/>
      </c>
      <c r="V137" s="15">
        <f>IF(OR(V136="",U136=""),"",IF(V136*U136&lt;=0,"",IFERROR(V136/U136-1,"")))</f>
        <v/>
      </c>
      <c r="W137" s="15">
        <f>IF(OR(W136="",V136=""),"",IF(W136*V136&lt;=0,"",IFERROR(W136/V136-1,"")))</f>
        <v/>
      </c>
      <c r="X137" s="15">
        <f>IF(OR(X136="",W136=""),"",IF(X136*W136&lt;=0,"",IFERROR(X136/W136-1,"")))</f>
        <v/>
      </c>
    </row>
    <row r="138">
      <c r="A138" s="9" t="inlineStr">
        <is>
          <t>순이익</t>
        </is>
      </c>
      <c r="C138" s="12" t="n">
        <v>14675</v>
      </c>
      <c r="D138" s="12" t="n">
        <v>40527</v>
      </c>
      <c r="E138" s="12" t="n">
        <v>12626</v>
      </c>
      <c r="F138" s="12" t="n">
        <v>25168</v>
      </c>
      <c r="G138" s="12" t="n">
        <v>21377</v>
      </c>
      <c r="H138" s="12" t="n">
        <v>37510</v>
      </c>
      <c r="I138" s="12" t="n">
        <v>11332</v>
      </c>
      <c r="J138" s="12" t="n">
        <v>16532</v>
      </c>
      <c r="K138" s="12" t="n">
        <v>22836</v>
      </c>
      <c r="L138" s="12" t="n">
        <v>50721</v>
      </c>
      <c r="M138" s="12" t="n">
        <v>21668</v>
      </c>
      <c r="N138" s="12" t="n">
        <v>23206</v>
      </c>
      <c r="V138" s="12" t="n">
        <v>40527</v>
      </c>
      <c r="W138" s="12" t="n">
        <v>37510</v>
      </c>
      <c r="X138" s="12" t="n">
        <v>50721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IF(OR(G138="",C138=""),"",IF(C138&lt;=0,"",IFERROR(G138/C138-1,"")))</f>
        <v/>
      </c>
      <c r="H139" s="15">
        <f>IF(OR(H138="",D138=""),"",IF(D138&lt;=0,"",IFERROR(H138/D138-1,"")))</f>
        <v/>
      </c>
      <c r="I139" s="15">
        <f>IF(OR(I138="",E138=""),"",IF(E138&lt;=0,"",IFERROR(I138/E138-1,"")))</f>
        <v/>
      </c>
      <c r="J139" s="15">
        <f>IF(OR(J138="",F138=""),"",IF(F138&lt;=0,"",IFERROR(J138/F138-1,"")))</f>
        <v/>
      </c>
      <c r="K139" s="15">
        <f>IF(OR(K138="",G138=""),"",IF(G138&lt;=0,"",IFERROR(K138/G138-1,"")))</f>
        <v/>
      </c>
      <c r="L139" s="15">
        <f>IF(OR(L138="",H138=""),"",IF(H138&lt;=0,"",IFERROR(L138/H138-1,"")))</f>
        <v/>
      </c>
      <c r="M139" s="15">
        <f>IF(OR(M138="",I138=""),"",IF(I138&lt;=0,"",IFERROR(M138/I138-1,"")))</f>
        <v/>
      </c>
      <c r="N139" s="15">
        <f>IF(OR(N138="",J138=""),"",IF(J138&lt;=0,"",IFERROR(N138/J138-1,"")))</f>
        <v/>
      </c>
      <c r="V139" s="15">
        <f>IF(OR(V138="",U138=""),"",IF(U138&lt;=0,"",IFERROR(V138/U138-1,"")))</f>
        <v/>
      </c>
      <c r="W139" s="15">
        <f>IF(OR(W138="",V138=""),"",IF(V138&lt;=0,"",IFERROR(W138/V138-1,"")))</f>
        <v/>
      </c>
      <c r="X139" s="15">
        <f>IF(OR(X138="",W138=""),"",IF(W138&lt;=0,"",IFERROR(X138/W138-1,"")))</f>
        <v/>
      </c>
    </row>
    <row r="140">
      <c r="A140" s="9" t="inlineStr">
        <is>
          <t>비지배주주 순이익</t>
        </is>
      </c>
      <c r="C140" s="12" t="n">
        <v>1762</v>
      </c>
      <c r="D140" s="12" t="n">
        <v>2430</v>
      </c>
      <c r="E140" s="12" t="n">
        <v>1150</v>
      </c>
      <c r="F140" s="12" t="n">
        <v>1105</v>
      </c>
      <c r="G140" s="12" t="n">
        <v>1501</v>
      </c>
      <c r="H140" s="12" t="n">
        <v>685</v>
      </c>
      <c r="I140" s="12" t="n">
        <v>407</v>
      </c>
      <c r="J140" s="12" t="n">
        <v>842</v>
      </c>
      <c r="K140" s="12" t="n">
        <v>944</v>
      </c>
      <c r="L140" s="12" t="n">
        <v>1197</v>
      </c>
      <c r="M140" s="12" t="n">
        <v>972</v>
      </c>
      <c r="N140" s="12" t="n">
        <v>1785</v>
      </c>
      <c r="V140" s="12" t="n">
        <v>2430</v>
      </c>
      <c r="W140" s="12" t="n">
        <v>685</v>
      </c>
      <c r="X140" s="12" t="n">
        <v>1197</v>
      </c>
    </row>
    <row r="141">
      <c r="A141" s="9" t="inlineStr">
        <is>
          <t>지배주주 순이익</t>
        </is>
      </c>
      <c r="C141" s="12" t="n">
        <v>12912</v>
      </c>
      <c r="D141" s="12" t="n">
        <v>38098</v>
      </c>
      <c r="E141" s="12" t="n">
        <v>11475</v>
      </c>
      <c r="F141" s="12" t="n">
        <v>24064</v>
      </c>
      <c r="G141" s="12" t="n">
        <v>19876</v>
      </c>
      <c r="H141" s="12" t="n">
        <v>36824</v>
      </c>
      <c r="I141" s="12" t="n">
        <v>10925</v>
      </c>
      <c r="J141" s="12" t="n">
        <v>15689</v>
      </c>
      <c r="K141" s="12" t="n">
        <v>21892</v>
      </c>
      <c r="L141" s="12" t="n">
        <v>49524</v>
      </c>
      <c r="M141" s="12" t="n">
        <v>20696</v>
      </c>
      <c r="N141" s="12" t="n">
        <v>21420</v>
      </c>
      <c r="V141" s="12" t="n">
        <v>38098</v>
      </c>
      <c r="W141" s="12" t="n">
        <v>36824</v>
      </c>
      <c r="X141" s="12" t="n">
        <v>49524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4">
      <c r="A144" s="16" t="inlineStr">
        <is>
          <t>포괄손익 · 전 항목</t>
        </is>
      </c>
      <c r="B144" s="42" t="inlineStr">
        <is>
          <t>분기 = 3개월 단독</t>
        </is>
      </c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</row>
    <row r="145">
      <c r="A145" s="5" t="inlineStr">
        <is>
          <t>항목</t>
        </is>
      </c>
      <c r="B145" s="5" t="inlineStr">
        <is>
          <t>참고</t>
        </is>
      </c>
      <c r="C145" s="5" t="inlineStr">
        <is>
          <t>2024.3Q</t>
        </is>
      </c>
      <c r="D145" s="5" t="inlineStr">
        <is>
          <t>2024.4Q</t>
        </is>
      </c>
      <c r="E145" s="5" t="inlineStr">
        <is>
          <t>2025.1Q</t>
        </is>
      </c>
      <c r="F145" s="5" t="inlineStr">
        <is>
          <t>2025.2Q</t>
        </is>
      </c>
      <c r="G145" s="5" t="inlineStr">
        <is>
          <t>2025.3Q</t>
        </is>
      </c>
      <c r="H145" s="5" t="inlineStr">
        <is>
          <t>2025.4Q</t>
        </is>
      </c>
      <c r="I145" s="5" t="inlineStr">
        <is>
          <t>2026.1Q</t>
        </is>
      </c>
      <c r="J145" s="5" t="inlineStr">
        <is>
          <t>2026.2Q</t>
        </is>
      </c>
      <c r="K145" s="5" t="inlineStr">
        <is>
          <t>2026.3Q</t>
        </is>
      </c>
      <c r="L145" s="5" t="inlineStr">
        <is>
          <t>2026.4Q</t>
        </is>
      </c>
      <c r="M145" s="5" t="inlineStr">
        <is>
          <t>2027.1Q</t>
        </is>
      </c>
      <c r="N145" s="5" t="inlineStr">
        <is>
          <t>2027.2Q</t>
        </is>
      </c>
      <c r="O145" s="5" t="inlineStr">
        <is>
          <t>2017</t>
        </is>
      </c>
      <c r="P145" s="5" t="inlineStr">
        <is>
          <t>2018</t>
        </is>
      </c>
      <c r="Q145" s="5" t="inlineStr">
        <is>
          <t>2019</t>
        </is>
      </c>
      <c r="R145" s="5" t="inlineStr">
        <is>
          <t>2020</t>
        </is>
      </c>
      <c r="S145" s="5" t="inlineStr">
        <is>
          <t>2021</t>
        </is>
      </c>
      <c r="T145" s="5" t="inlineStr">
        <is>
          <t>2022</t>
        </is>
      </c>
      <c r="U145" s="5" t="inlineStr">
        <is>
          <t>2023</t>
        </is>
      </c>
      <c r="V145" s="5" t="inlineStr">
        <is>
          <t>2024</t>
        </is>
      </c>
      <c r="W145" s="5" t="inlineStr">
        <is>
          <t>2025</t>
        </is>
      </c>
      <c r="X145" s="5" t="inlineStr">
        <is>
          <t>2026</t>
        </is>
      </c>
      <c r="Y145" s="5" t="inlineStr">
        <is>
          <t>2027(MW)</t>
        </is>
      </c>
      <c r="Z145" s="5" t="inlineStr">
        <is>
          <t>2028(MW)</t>
        </is>
      </c>
      <c r="AA145" s="5" t="inlineStr">
        <is>
          <t>2029(MW)</t>
        </is>
      </c>
      <c r="AB145" s="5" t="inlineStr">
        <is>
          <t>2030(MW)</t>
        </is>
      </c>
      <c r="AC145" s="5" t="inlineStr">
        <is>
          <t>2031(MW)</t>
        </is>
      </c>
    </row>
    <row r="146">
      <c r="A146" s="9" t="inlineStr">
        <is>
          <t>순이익</t>
        </is>
      </c>
      <c r="C146" s="12" t="n">
        <v>14675</v>
      </c>
      <c r="D146" s="12" t="n">
        <v>40527</v>
      </c>
      <c r="E146" s="12" t="n">
        <v>12626</v>
      </c>
      <c r="F146" s="12" t="n">
        <v>25168</v>
      </c>
      <c r="G146" s="12" t="n">
        <v>21377</v>
      </c>
      <c r="H146" s="12" t="n">
        <v>37510</v>
      </c>
      <c r="I146" s="12" t="n">
        <v>11332</v>
      </c>
      <c r="J146" s="12" t="n">
        <v>16532</v>
      </c>
      <c r="K146" s="12" t="n">
        <v>22836</v>
      </c>
      <c r="L146" s="12" t="n">
        <v>50721</v>
      </c>
      <c r="M146" s="12" t="n">
        <v>21668</v>
      </c>
      <c r="N146" s="12" t="n">
        <v>23206</v>
      </c>
      <c r="V146" s="12" t="n">
        <v>40527</v>
      </c>
      <c r="W146" s="12" t="n">
        <v>37510</v>
      </c>
      <c r="X146" s="12" t="n">
        <v>50721</v>
      </c>
    </row>
    <row r="147">
      <c r="A147" s="18" t="inlineStr">
        <is>
          <t>기타유가증권 평가차액</t>
        </is>
      </c>
      <c r="C147" s="20" t="n">
        <v>7238</v>
      </c>
      <c r="D147" s="20" t="n">
        <v>6334</v>
      </c>
      <c r="E147" s="20" t="n">
        <v>918</v>
      </c>
      <c r="F147" s="20" t="n">
        <v>-5490</v>
      </c>
      <c r="G147" s="20" t="n">
        <v>-1986</v>
      </c>
      <c r="H147" s="20" t="n">
        <v>1126</v>
      </c>
      <c r="I147" s="20" t="n">
        <v>8608</v>
      </c>
      <c r="J147" s="20" t="n">
        <v>1537</v>
      </c>
      <c r="K147" s="20" t="n">
        <v>17336</v>
      </c>
      <c r="L147" s="20" t="n">
        <v>-19771</v>
      </c>
      <c r="M147" s="20" t="n">
        <v>2778</v>
      </c>
      <c r="N147" s="20" t="n">
        <v>4839</v>
      </c>
      <c r="V147" s="20" t="n">
        <v>6334</v>
      </c>
      <c r="W147" s="20" t="n">
        <v>1126</v>
      </c>
      <c r="X147" s="20" t="n">
        <v>-19771</v>
      </c>
    </row>
    <row r="148">
      <c r="A148" s="18" t="inlineStr">
        <is>
          <t>이연헤지손익</t>
        </is>
      </c>
      <c r="C148" s="20" t="n">
        <v>-17</v>
      </c>
      <c r="D148" s="20" t="n">
        <v>-164</v>
      </c>
      <c r="E148" s="20" t="n">
        <v>-124</v>
      </c>
      <c r="F148" s="20" t="n">
        <v>55</v>
      </c>
      <c r="G148" s="20" t="n">
        <v>-215</v>
      </c>
      <c r="H148" s="20" t="n">
        <v>316</v>
      </c>
      <c r="I148" s="20" t="n">
        <v>433</v>
      </c>
      <c r="J148" s="20" t="n">
        <v>172</v>
      </c>
      <c r="K148" s="20" t="n">
        <v>433</v>
      </c>
      <c r="L148" s="20" t="n">
        <v>-246</v>
      </c>
      <c r="M148" s="20" t="n">
        <v>158</v>
      </c>
      <c r="N148" s="20" t="n">
        <v>-158</v>
      </c>
      <c r="V148" s="20" t="n">
        <v>-164</v>
      </c>
      <c r="W148" s="20" t="n">
        <v>316</v>
      </c>
      <c r="X148" s="20" t="n">
        <v>-246</v>
      </c>
    </row>
    <row r="149">
      <c r="A149" s="18" t="inlineStr">
        <is>
          <t>해외사업환산조정</t>
        </is>
      </c>
      <c r="C149" s="20" t="n">
        <v>-4671</v>
      </c>
      <c r="D149" s="20" t="n">
        <v>7336</v>
      </c>
      <c r="E149" s="20" t="n">
        <v>12324</v>
      </c>
      <c r="F149" s="20" t="n">
        <v>-13595</v>
      </c>
      <c r="G149" s="20" t="n">
        <v>10914</v>
      </c>
      <c r="H149" s="20" t="n">
        <v>-7390</v>
      </c>
      <c r="I149" s="20" t="n">
        <v>-4525</v>
      </c>
      <c r="J149" s="20" t="n">
        <v>5197</v>
      </c>
      <c r="K149" s="20" t="n">
        <v>10844</v>
      </c>
      <c r="L149" s="20" t="n">
        <v>4723</v>
      </c>
      <c r="M149" s="20" t="n">
        <v>5024</v>
      </c>
      <c r="N149" s="20" t="n">
        <v>-4634</v>
      </c>
      <c r="V149" s="20" t="n">
        <v>7336</v>
      </c>
      <c r="W149" s="20" t="n">
        <v>-7390</v>
      </c>
      <c r="X149" s="20" t="n">
        <v>4723</v>
      </c>
    </row>
    <row r="150">
      <c r="A150" s="18" t="inlineStr">
        <is>
          <t>퇴직급여 조정액</t>
        </is>
      </c>
      <c r="C150" s="20" t="n">
        <v>-177</v>
      </c>
      <c r="D150" s="20" t="n">
        <v>3008</v>
      </c>
      <c r="E150" s="20" t="n">
        <v>-140</v>
      </c>
      <c r="F150" s="20" t="n">
        <v>-143</v>
      </c>
      <c r="G150" s="20" t="n">
        <v>-138</v>
      </c>
      <c r="H150" s="20" t="n">
        <v>-411</v>
      </c>
      <c r="I150" s="20" t="n">
        <v>-138</v>
      </c>
      <c r="J150" s="20" t="n">
        <v>-136</v>
      </c>
      <c r="K150" s="20" t="n">
        <v>-134</v>
      </c>
      <c r="L150" s="20" t="n">
        <v>13817</v>
      </c>
      <c r="M150" s="20" t="n">
        <v>-369</v>
      </c>
      <c r="N150" s="20" t="n">
        <v>-371</v>
      </c>
      <c r="V150" s="20" t="n">
        <v>3008</v>
      </c>
      <c r="W150" s="20" t="n">
        <v>-411</v>
      </c>
      <c r="X150" s="20" t="n">
        <v>13817</v>
      </c>
    </row>
    <row r="151">
      <c r="A151" s="18" t="inlineStr">
        <is>
          <t>지분법 적용회사 지분 해당액</t>
        </is>
      </c>
      <c r="C151" s="20" t="n">
        <v>31</v>
      </c>
      <c r="D151" s="20" t="n">
        <v>194</v>
      </c>
      <c r="E151" s="20" t="n">
        <v>9</v>
      </c>
      <c r="F151" s="20" t="n">
        <v>54</v>
      </c>
      <c r="G151" s="20" t="n">
        <v>21</v>
      </c>
      <c r="H151" s="20" t="n">
        <v>260</v>
      </c>
      <c r="I151" s="20" t="n">
        <v>-52</v>
      </c>
      <c r="J151" s="20" t="n">
        <v>9</v>
      </c>
      <c r="K151" s="20" t="n">
        <v>37</v>
      </c>
      <c r="L151" s="20" t="n">
        <v>231</v>
      </c>
      <c r="M151" s="20" t="n">
        <v>-23</v>
      </c>
      <c r="N151" s="20" t="n">
        <v>-61</v>
      </c>
      <c r="V151" s="20" t="n">
        <v>194</v>
      </c>
      <c r="W151" s="20" t="n">
        <v>260</v>
      </c>
      <c r="X151" s="20" t="n">
        <v>231</v>
      </c>
    </row>
    <row r="152">
      <c r="A152" s="18" t="inlineStr">
        <is>
          <t>기타포괄손익 합계</t>
        </is>
      </c>
      <c r="C152" s="20" t="n">
        <v>2404</v>
      </c>
      <c r="D152" s="20" t="n">
        <v>16710</v>
      </c>
      <c r="E152" s="20" t="n">
        <v>12987</v>
      </c>
      <c r="F152" s="20" t="n">
        <v>-19120</v>
      </c>
      <c r="G152" s="20" t="n">
        <v>8596</v>
      </c>
      <c r="H152" s="20" t="n">
        <v>-6097</v>
      </c>
      <c r="I152" s="20" t="n">
        <v>4325</v>
      </c>
      <c r="J152" s="20" t="n">
        <v>6780</v>
      </c>
      <c r="K152" s="20" t="n">
        <v>28517</v>
      </c>
      <c r="L152" s="20" t="n">
        <v>-1245</v>
      </c>
      <c r="M152" s="20" t="n">
        <v>7568</v>
      </c>
      <c r="N152" s="20" t="n">
        <v>-384</v>
      </c>
      <c r="V152" s="20" t="n">
        <v>16710</v>
      </c>
      <c r="W152" s="20" t="n">
        <v>-6097</v>
      </c>
      <c r="X152" s="20" t="n">
        <v>-1245</v>
      </c>
    </row>
    <row r="153">
      <c r="A153" s="9" t="inlineStr">
        <is>
          <t>포괄이익</t>
        </is>
      </c>
      <c r="C153" s="12" t="n">
        <v>17079</v>
      </c>
      <c r="D153" s="12" t="n">
        <v>57237</v>
      </c>
      <c r="E153" s="12" t="n">
        <v>25613</v>
      </c>
      <c r="F153" s="12" t="n">
        <v>6048</v>
      </c>
      <c r="G153" s="12" t="n">
        <v>29974</v>
      </c>
      <c r="H153" s="12" t="n">
        <v>31411</v>
      </c>
      <c r="I153" s="12" t="n">
        <v>15657</v>
      </c>
      <c r="J153" s="12" t="n">
        <v>23312</v>
      </c>
      <c r="K153" s="12" t="n">
        <v>51353</v>
      </c>
      <c r="L153" s="12" t="n">
        <v>49476</v>
      </c>
      <c r="M153" s="12" t="n">
        <v>29237</v>
      </c>
      <c r="N153" s="12" t="n">
        <v>22822</v>
      </c>
      <c r="V153" s="12" t="n">
        <v>57237</v>
      </c>
      <c r="W153" s="12" t="n">
        <v>31411</v>
      </c>
      <c r="X153" s="12" t="n">
        <v>49476</v>
      </c>
    </row>
    <row r="154">
      <c r="A154" s="9" t="inlineStr">
        <is>
          <t>지배주주 포괄이익</t>
        </is>
      </c>
      <c r="C154" s="12" t="n">
        <v>16070</v>
      </c>
      <c r="D154" s="12" t="n">
        <v>53929</v>
      </c>
      <c r="E154" s="12" t="n">
        <v>23340</v>
      </c>
      <c r="F154" s="12" t="n">
        <v>6032</v>
      </c>
      <c r="G154" s="12" t="n">
        <v>27655</v>
      </c>
      <c r="H154" s="12" t="n">
        <v>31971</v>
      </c>
      <c r="I154" s="12" t="n">
        <v>15588</v>
      </c>
      <c r="J154" s="12" t="n">
        <v>22001</v>
      </c>
      <c r="K154" s="12" t="n">
        <v>49408</v>
      </c>
      <c r="L154" s="12" t="n">
        <v>47592</v>
      </c>
      <c r="M154" s="12" t="n">
        <v>27749</v>
      </c>
      <c r="N154" s="12" t="n">
        <v>21403</v>
      </c>
      <c r="V154" s="12" t="n">
        <v>53929</v>
      </c>
      <c r="W154" s="12" t="n">
        <v>31971</v>
      </c>
      <c r="X154" s="12" t="n">
        <v>47592</v>
      </c>
    </row>
    <row r="155">
      <c r="A155" s="9" t="inlineStr">
        <is>
          <t>비지배주주 포괄이익</t>
        </is>
      </c>
      <c r="C155" s="12" t="n">
        <v>1009</v>
      </c>
      <c r="D155" s="12" t="n">
        <v>3308</v>
      </c>
      <c r="E155" s="12" t="n">
        <v>2273</v>
      </c>
      <c r="F155" s="12" t="n">
        <v>15</v>
      </c>
      <c r="G155" s="12" t="n">
        <v>2319</v>
      </c>
      <c r="H155" s="12" t="n">
        <v>-559</v>
      </c>
      <c r="I155" s="12" t="n">
        <v>68</v>
      </c>
      <c r="J155" s="12" t="n">
        <v>1312</v>
      </c>
      <c r="K155" s="12" t="n">
        <v>1944</v>
      </c>
      <c r="L155" s="12" t="n">
        <v>1885</v>
      </c>
      <c r="M155" s="12" t="n">
        <v>1487</v>
      </c>
      <c r="N155" s="12" t="n">
        <v>1419</v>
      </c>
      <c r="V155" s="12" t="n">
        <v>3308</v>
      </c>
      <c r="W155" s="12" t="n">
        <v>-559</v>
      </c>
      <c r="X155" s="12" t="n">
        <v>1885</v>
      </c>
    </row>
    <row r="157">
      <c r="A157" s="16" t="inlineStr">
        <is>
          <t>부문 · 전 항목</t>
        </is>
      </c>
      <c r="B157" s="42" t="inlineStr">
        <is>
          <t>부문 · 항목</t>
        </is>
      </c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</row>
    <row r="158">
      <c r="A158" s="5" t="inlineStr">
        <is>
          <t>항목</t>
        </is>
      </c>
      <c r="B158" s="5" t="inlineStr">
        <is>
          <t>참고</t>
        </is>
      </c>
      <c r="C158" s="5" t="inlineStr">
        <is>
          <t>2024.3Q</t>
        </is>
      </c>
      <c r="D158" s="5" t="inlineStr">
        <is>
          <t>2024.4Q</t>
        </is>
      </c>
      <c r="E158" s="5" t="inlineStr">
        <is>
          <t>2025.1Q</t>
        </is>
      </c>
      <c r="F158" s="5" t="inlineStr">
        <is>
          <t>2025.2Q</t>
        </is>
      </c>
      <c r="G158" s="5" t="inlineStr">
        <is>
          <t>2025.3Q</t>
        </is>
      </c>
      <c r="H158" s="5" t="inlineStr">
        <is>
          <t>2025.4Q</t>
        </is>
      </c>
      <c r="I158" s="5" t="inlineStr">
        <is>
          <t>2026.1Q</t>
        </is>
      </c>
      <c r="J158" s="5" t="inlineStr">
        <is>
          <t>2026.2Q</t>
        </is>
      </c>
      <c r="K158" s="5" t="inlineStr">
        <is>
          <t>2026.3Q</t>
        </is>
      </c>
      <c r="L158" s="5" t="inlineStr">
        <is>
          <t>2026.4Q</t>
        </is>
      </c>
      <c r="M158" s="5" t="inlineStr">
        <is>
          <t>2027.1Q</t>
        </is>
      </c>
      <c r="N158" s="5" t="inlineStr">
        <is>
          <t>2027.2Q</t>
        </is>
      </c>
      <c r="O158" s="5" t="inlineStr">
        <is>
          <t>2017</t>
        </is>
      </c>
      <c r="P158" s="5" t="inlineStr">
        <is>
          <t>2018</t>
        </is>
      </c>
      <c r="Q158" s="5" t="inlineStr">
        <is>
          <t>2019</t>
        </is>
      </c>
      <c r="R158" s="5" t="inlineStr">
        <is>
          <t>2020</t>
        </is>
      </c>
      <c r="S158" s="5" t="inlineStr">
        <is>
          <t>2021</t>
        </is>
      </c>
      <c r="T158" s="5" t="inlineStr">
        <is>
          <t>2022</t>
        </is>
      </c>
      <c r="U158" s="5" t="inlineStr">
        <is>
          <t>2023</t>
        </is>
      </c>
      <c r="V158" s="5" t="inlineStr">
        <is>
          <t>2024</t>
        </is>
      </c>
      <c r="W158" s="5" t="inlineStr">
        <is>
          <t>2025</t>
        </is>
      </c>
      <c r="X158" s="5" t="inlineStr">
        <is>
          <t>2026</t>
        </is>
      </c>
      <c r="Y158" s="5" t="inlineStr">
        <is>
          <t>2027(MW)</t>
        </is>
      </c>
      <c r="Z158" s="5" t="inlineStr">
        <is>
          <t>2028(MW)</t>
        </is>
      </c>
      <c r="AA158" s="5" t="inlineStr">
        <is>
          <t>2029(MW)</t>
        </is>
      </c>
      <c r="AB158" s="5" t="inlineStr">
        <is>
          <t>2030(MW)</t>
        </is>
      </c>
      <c r="AC158" s="5" t="inlineStr">
        <is>
          <t>2031(MW)</t>
        </is>
      </c>
    </row>
    <row r="159">
      <c r="A159" s="18" t="inlineStr">
        <is>
          <t>에너지 · 외부 고객 매출</t>
        </is>
      </c>
      <c r="C159" s="20" t="n">
        <v>82171</v>
      </c>
      <c r="D159" s="20" t="n">
        <v>111745</v>
      </c>
      <c r="E159" s="20" t="n">
        <v>64645</v>
      </c>
      <c r="F159" s="20" t="n">
        <v>77632</v>
      </c>
      <c r="G159" s="20" t="n">
        <v>87276</v>
      </c>
      <c r="H159" s="20" t="n">
        <v>118164</v>
      </c>
      <c r="I159" s="20" t="n">
        <v>72441</v>
      </c>
      <c r="J159" s="20" t="n">
        <v>90028</v>
      </c>
      <c r="K159" s="20" t="n">
        <v>93221</v>
      </c>
      <c r="L159" s="20" t="n">
        <v>129570</v>
      </c>
      <c r="M159" s="20" t="n">
        <v>81409</v>
      </c>
      <c r="N159" s="20" t="n">
        <v>110571</v>
      </c>
      <c r="V159" s="20" t="n">
        <v>111745</v>
      </c>
      <c r="W159" s="20" t="n">
        <v>118164</v>
      </c>
      <c r="X159" s="20" t="n">
        <v>129570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인더스트리 · 외부 고객 매출</t>
        </is>
      </c>
      <c r="C161" s="20" t="n">
        <v>94664</v>
      </c>
      <c r="D161" s="20" t="n">
        <v>134880</v>
      </c>
      <c r="E161" s="20" t="n">
        <v>79944</v>
      </c>
      <c r="F161" s="20" t="n">
        <v>94106</v>
      </c>
      <c r="G161" s="20" t="n">
        <v>112706</v>
      </c>
      <c r="H161" s="20" t="n">
        <v>109923</v>
      </c>
      <c r="I161" s="20" t="n">
        <v>86658</v>
      </c>
      <c r="J161" s="20" t="n">
        <v>117278</v>
      </c>
      <c r="K161" s="20" t="n">
        <v>115192</v>
      </c>
      <c r="L161" s="20" t="n">
        <v>145225</v>
      </c>
      <c r="M161" s="20" t="n">
        <v>103380</v>
      </c>
      <c r="N161" s="20" t="n">
        <v>122257</v>
      </c>
      <c r="V161" s="20" t="n">
        <v>134880</v>
      </c>
      <c r="W161" s="20" t="n">
        <v>109923</v>
      </c>
      <c r="X161" s="20" t="n">
        <v>145225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반도체 · 외부 고객 매출</t>
        </is>
      </c>
      <c r="C163" s="20" t="n">
        <v>56560</v>
      </c>
      <c r="D163" s="20" t="n">
        <v>60353</v>
      </c>
      <c r="E163" s="20" t="n">
        <v>52814</v>
      </c>
      <c r="F163" s="20" t="n">
        <v>53489</v>
      </c>
      <c r="G163" s="20" t="n">
        <v>57725</v>
      </c>
      <c r="H163" s="20" t="n">
        <v>69496</v>
      </c>
      <c r="I163" s="20" t="n">
        <v>54285</v>
      </c>
      <c r="J163" s="20" t="n">
        <v>53240</v>
      </c>
      <c r="K163" s="20" t="n">
        <v>63027</v>
      </c>
      <c r="L163" s="20" t="n">
        <v>63701</v>
      </c>
      <c r="M163" s="20" t="n">
        <v>53422</v>
      </c>
      <c r="N163" s="20" t="n">
        <v>52993</v>
      </c>
      <c r="V163" s="20" t="n">
        <v>60353</v>
      </c>
      <c r="W163" s="20" t="n">
        <v>69496</v>
      </c>
      <c r="X163" s="20" t="n">
        <v>63701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식품 유통 · 외부 고객 매출</t>
        </is>
      </c>
      <c r="C165" s="20" t="n">
        <v>25853</v>
      </c>
      <c r="D165" s="20" t="n">
        <v>27215</v>
      </c>
      <c r="E165" s="20" t="n">
        <v>30114</v>
      </c>
      <c r="F165" s="20" t="n">
        <v>27243</v>
      </c>
      <c r="G165" s="20" t="n">
        <v>26634</v>
      </c>
      <c r="H165" s="20" t="n">
        <v>25270</v>
      </c>
      <c r="I165" s="20" t="n">
        <v>25692</v>
      </c>
      <c r="J165" s="20" t="n">
        <v>25549</v>
      </c>
      <c r="K165" s="20" t="n">
        <v>26695</v>
      </c>
      <c r="L165" s="20" t="n">
        <v>27637</v>
      </c>
      <c r="M165" s="20" t="n">
        <v>25268</v>
      </c>
      <c r="N165" s="20" t="n">
        <v>23976</v>
      </c>
      <c r="V165" s="20" t="n">
        <v>27215</v>
      </c>
      <c r="W165" s="20" t="n">
        <v>25270</v>
      </c>
      <c r="X165" s="20" t="n">
        <v>27637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기타 · 외부 고객 매출</t>
        </is>
      </c>
      <c r="C167" s="20" t="n">
        <v>8721</v>
      </c>
      <c r="D167" s="20" t="n">
        <v>9359</v>
      </c>
      <c r="E167" s="20" t="n">
        <v>8869</v>
      </c>
      <c r="F167" s="20" t="n">
        <v>8520</v>
      </c>
      <c r="G167" s="20" t="n">
        <v>9344</v>
      </c>
      <c r="H167" s="20" t="n">
        <v>9490</v>
      </c>
      <c r="I167" s="20" t="n">
        <v>8838</v>
      </c>
      <c r="J167" s="20" t="n">
        <v>9149</v>
      </c>
      <c r="K167" s="20" t="n">
        <v>9759</v>
      </c>
      <c r="L167" s="20" t="n">
        <v>10408</v>
      </c>
      <c r="M167" s="20" t="n">
        <v>9778</v>
      </c>
      <c r="N167" s="20" t="n">
        <v>10267</v>
      </c>
      <c r="V167" s="20" t="n">
        <v>9359</v>
      </c>
      <c r="W167" s="20" t="n">
        <v>9490</v>
      </c>
      <c r="X167" s="20" t="n">
        <v>10408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합계 · 외부 고객 매출</t>
        </is>
      </c>
      <c r="C169" s="20" t="n">
        <v>267969</v>
      </c>
      <c r="D169" s="20" t="n">
        <v>343553</v>
      </c>
      <c r="E169" s="20" t="n">
        <v>236387</v>
      </c>
      <c r="F169" s="20" t="n">
        <v>260990</v>
      </c>
      <c r="G169" s="20" t="n">
        <v>293687</v>
      </c>
      <c r="H169" s="20" t="n">
        <v>332343</v>
      </c>
      <c r="I169" s="20" t="n">
        <v>247916</v>
      </c>
      <c r="J169" s="20" t="n">
        <v>295244</v>
      </c>
      <c r="K169" s="20" t="n">
        <v>307895</v>
      </c>
      <c r="L169" s="20" t="n">
        <v>376540</v>
      </c>
      <c r="M169" s="20" t="n">
        <v>273259</v>
      </c>
      <c r="N169" s="20" t="n">
        <v>320064</v>
      </c>
      <c r="V169" s="20" t="n">
        <v>343553</v>
      </c>
      <c r="W169" s="20" t="n">
        <v>332343</v>
      </c>
      <c r="X169" s="20" t="n">
        <v>376540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조정액 · 외부 고객 매출</t>
        </is>
      </c>
      <c r="C171" s="20" t="n">
        <v>0</v>
      </c>
      <c r="D171" s="20" t="n">
        <v>0</v>
      </c>
      <c r="E171" s="20" t="n">
        <v>0</v>
      </c>
      <c r="F171" s="20" t="n">
        <v>0</v>
      </c>
      <c r="G171" s="20" t="n">
        <v>0</v>
      </c>
      <c r="H171" s="20" t="n">
        <v>0</v>
      </c>
      <c r="I171" s="20" t="n">
        <v>0</v>
      </c>
      <c r="J171" s="20" t="n">
        <v>0</v>
      </c>
      <c r="K171" s="20" t="n">
        <v>0</v>
      </c>
      <c r="L171" s="20" t="n">
        <v>0</v>
      </c>
      <c r="M171" s="20" t="n">
        <v>0</v>
      </c>
      <c r="N171" s="20" t="n">
        <v>0</v>
      </c>
      <c r="V171" s="20" t="n">
        <v>0</v>
      </c>
      <c r="W171" s="20" t="n">
        <v>0</v>
      </c>
      <c r="X171" s="20" t="n">
        <v>0</v>
      </c>
    </row>
    <row r="172">
      <c r="A172" s="9" t="inlineStr">
        <is>
          <t>외부 고객 매출</t>
        </is>
      </c>
      <c r="C172" s="12" t="n">
        <v>267969</v>
      </c>
      <c r="D172" s="12" t="n">
        <v>343553</v>
      </c>
      <c r="E172" s="12" t="n">
        <v>236387</v>
      </c>
      <c r="F172" s="12" t="n">
        <v>260990</v>
      </c>
      <c r="G172" s="12" t="n">
        <v>293687</v>
      </c>
      <c r="H172" s="12" t="n">
        <v>332343</v>
      </c>
      <c r="I172" s="12" t="n">
        <v>247916</v>
      </c>
      <c r="J172" s="12" t="n">
        <v>295244</v>
      </c>
      <c r="K172" s="12" t="n">
        <v>307895</v>
      </c>
      <c r="L172" s="12" t="n">
        <v>376540</v>
      </c>
      <c r="M172" s="12" t="n">
        <v>273259</v>
      </c>
      <c r="N172" s="12" t="n">
        <v>320064</v>
      </c>
      <c r="V172" s="12" t="n">
        <v>343553</v>
      </c>
      <c r="W172" s="12" t="n">
        <v>332343</v>
      </c>
      <c r="X172" s="12" t="n">
        <v>376540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에너지 · 부문 간 내부매출·대체</t>
        </is>
      </c>
      <c r="C174" s="20" t="n">
        <v>906</v>
      </c>
      <c r="D174" s="20" t="n">
        <v>1687</v>
      </c>
      <c r="E174" s="20" t="n">
        <v>726</v>
      </c>
      <c r="F174" s="20" t="n">
        <v>998</v>
      </c>
      <c r="G174" s="20" t="n">
        <v>2692</v>
      </c>
      <c r="H174" s="20" t="n">
        <v>2203</v>
      </c>
      <c r="I174" s="20" t="n">
        <v>1747</v>
      </c>
      <c r="J174" s="20" t="n">
        <v>1920</v>
      </c>
      <c r="K174" s="20" t="n">
        <v>1745</v>
      </c>
      <c r="L174" s="20" t="n">
        <v>3494</v>
      </c>
      <c r="M174" s="20" t="n">
        <v>1078</v>
      </c>
      <c r="N174" s="20" t="n">
        <v>3382</v>
      </c>
      <c r="V174" s="20" t="n">
        <v>1687</v>
      </c>
      <c r="W174" s="20" t="n">
        <v>2203</v>
      </c>
      <c r="X174" s="20" t="n">
        <v>3494</v>
      </c>
    </row>
    <row r="175">
      <c r="A175" s="18" t="inlineStr">
        <is>
          <t>인더스트리 · 부문 간 내부매출·대체</t>
        </is>
      </c>
      <c r="C175" s="20" t="n">
        <v>4773</v>
      </c>
      <c r="D175" s="20" t="n">
        <v>5927</v>
      </c>
      <c r="E175" s="20" t="n">
        <v>502</v>
      </c>
      <c r="F175" s="20" t="n">
        <v>828</v>
      </c>
      <c r="G175" s="20" t="n">
        <v>725</v>
      </c>
      <c r="H175" s="20" t="n">
        <v>1298</v>
      </c>
      <c r="I175" s="20" t="n">
        <v>675</v>
      </c>
      <c r="J175" s="20" t="n">
        <v>831</v>
      </c>
      <c r="K175" s="20" t="n">
        <v>624</v>
      </c>
      <c r="L175" s="20" t="n">
        <v>748</v>
      </c>
      <c r="M175" s="20" t="n">
        <v>505</v>
      </c>
      <c r="N175" s="20" t="n">
        <v>669</v>
      </c>
      <c r="V175" s="20" t="n">
        <v>5927</v>
      </c>
      <c r="W175" s="20" t="n">
        <v>1298</v>
      </c>
      <c r="X175" s="20" t="n">
        <v>748</v>
      </c>
    </row>
    <row r="176">
      <c r="A176" s="18" t="inlineStr">
        <is>
          <t>반도체 · 부문 간 내부매출·대체</t>
        </is>
      </c>
      <c r="C176" s="20" t="n">
        <v>1403</v>
      </c>
      <c r="D176" s="20" t="n">
        <v>1183</v>
      </c>
      <c r="E176" s="20" t="n">
        <v>1066</v>
      </c>
      <c r="F176" s="20" t="n">
        <v>679</v>
      </c>
      <c r="G176" s="20" t="n">
        <v>876</v>
      </c>
      <c r="H176" s="20" t="n">
        <v>642</v>
      </c>
      <c r="I176" s="20" t="n">
        <v>555</v>
      </c>
      <c r="J176" s="20" t="n">
        <v>644</v>
      </c>
      <c r="K176" s="20" t="n">
        <v>901</v>
      </c>
      <c r="L176" s="20" t="n">
        <v>1033</v>
      </c>
      <c r="M176" s="20" t="n">
        <v>977</v>
      </c>
      <c r="N176" s="20" t="n">
        <v>1117</v>
      </c>
      <c r="V176" s="20" t="n">
        <v>1183</v>
      </c>
      <c r="W176" s="20" t="n">
        <v>642</v>
      </c>
      <c r="X176" s="20" t="n">
        <v>1033</v>
      </c>
    </row>
    <row r="177">
      <c r="A177" s="18" t="inlineStr">
        <is>
          <t>식품 유통 · 부문 간 내부매출·대체</t>
        </is>
      </c>
      <c r="C177" s="20" t="n">
        <v>423</v>
      </c>
      <c r="D177" s="20" t="n">
        <v>614</v>
      </c>
      <c r="E177" s="20" t="n">
        <v>570</v>
      </c>
      <c r="F177" s="20" t="n">
        <v>359</v>
      </c>
      <c r="G177" s="20" t="n">
        <v>569</v>
      </c>
      <c r="H177" s="20" t="n">
        <v>737</v>
      </c>
      <c r="I177" s="20" t="n">
        <v>627</v>
      </c>
      <c r="J177" s="20" t="n">
        <v>515</v>
      </c>
      <c r="K177" s="20" t="n">
        <v>537</v>
      </c>
      <c r="L177" s="20" t="n">
        <v>724</v>
      </c>
      <c r="M177" s="20" t="n">
        <v>851</v>
      </c>
      <c r="N177" s="20" t="n">
        <v>663</v>
      </c>
      <c r="V177" s="20" t="n">
        <v>614</v>
      </c>
      <c r="W177" s="20" t="n">
        <v>737</v>
      </c>
      <c r="X177" s="20" t="n">
        <v>724</v>
      </c>
    </row>
    <row r="178">
      <c r="A178" s="18" t="inlineStr">
        <is>
          <t>기타 · 부문 간 내부매출·대체</t>
        </is>
      </c>
      <c r="C178" s="20" t="n">
        <v>6683</v>
      </c>
      <c r="D178" s="20" t="n">
        <v>7125</v>
      </c>
      <c r="E178" s="20" t="n">
        <v>4975</v>
      </c>
      <c r="F178" s="20" t="n">
        <v>5051</v>
      </c>
      <c r="G178" s="20" t="n">
        <v>4882</v>
      </c>
      <c r="H178" s="20" t="n">
        <v>5016</v>
      </c>
      <c r="I178" s="20" t="n">
        <v>4934</v>
      </c>
      <c r="J178" s="20" t="n">
        <v>4920</v>
      </c>
      <c r="K178" s="20" t="n">
        <v>4918</v>
      </c>
      <c r="L178" s="20" t="n">
        <v>5431</v>
      </c>
      <c r="M178" s="20" t="n">
        <v>5270</v>
      </c>
      <c r="N178" s="20" t="n">
        <v>5284</v>
      </c>
      <c r="V178" s="20" t="n">
        <v>7125</v>
      </c>
      <c r="W178" s="20" t="n">
        <v>5016</v>
      </c>
      <c r="X178" s="20" t="n">
        <v>5431</v>
      </c>
    </row>
    <row r="179">
      <c r="A179" s="18" t="inlineStr">
        <is>
          <t>합계 · 부문 간 내부매출·대체</t>
        </is>
      </c>
      <c r="C179" s="20" t="n">
        <v>14189</v>
      </c>
      <c r="D179" s="20" t="n">
        <v>16535</v>
      </c>
      <c r="E179" s="20" t="n">
        <v>7841</v>
      </c>
      <c r="F179" s="20" t="n">
        <v>7914</v>
      </c>
      <c r="G179" s="20" t="n">
        <v>9744</v>
      </c>
      <c r="H179" s="20" t="n">
        <v>9897</v>
      </c>
      <c r="I179" s="20" t="n">
        <v>8540</v>
      </c>
      <c r="J179" s="20" t="n">
        <v>8830</v>
      </c>
      <c r="K179" s="20" t="n">
        <v>8725</v>
      </c>
      <c r="L179" s="20" t="n">
        <v>11429</v>
      </c>
      <c r="M179" s="20" t="n">
        <v>8683</v>
      </c>
      <c r="N179" s="20" t="n">
        <v>11115</v>
      </c>
      <c r="V179" s="20" t="n">
        <v>16535</v>
      </c>
      <c r="W179" s="20" t="n">
        <v>9897</v>
      </c>
      <c r="X179" s="20" t="n">
        <v>11429</v>
      </c>
    </row>
    <row r="180">
      <c r="A180" s="18" t="inlineStr">
        <is>
          <t>조정액 · 부문 간 내부매출·대체</t>
        </is>
      </c>
      <c r="C180" s="20" t="n">
        <v>-14189</v>
      </c>
      <c r="D180" s="20" t="n">
        <v>-16535</v>
      </c>
      <c r="E180" s="20" t="n">
        <v>-7841</v>
      </c>
      <c r="F180" s="20" t="n">
        <v>-7914</v>
      </c>
      <c r="G180" s="20" t="n">
        <v>-9744</v>
      </c>
      <c r="H180" s="20" t="n">
        <v>-9897</v>
      </c>
      <c r="I180" s="20" t="n">
        <v>-8540</v>
      </c>
      <c r="J180" s="20" t="n">
        <v>-8830</v>
      </c>
      <c r="K180" s="20" t="n">
        <v>-8725</v>
      </c>
      <c r="L180" s="20" t="n">
        <v>-11429</v>
      </c>
      <c r="M180" s="20" t="n">
        <v>-8683</v>
      </c>
      <c r="N180" s="20" t="n">
        <v>-11115</v>
      </c>
      <c r="V180" s="20" t="n">
        <v>-16535</v>
      </c>
      <c r="W180" s="20" t="n">
        <v>-9897</v>
      </c>
      <c r="X180" s="20" t="n">
        <v>-11429</v>
      </c>
    </row>
    <row r="181">
      <c r="A181" s="18" t="inlineStr">
        <is>
          <t>부문 간 내부매출·대체</t>
        </is>
      </c>
      <c r="C181" s="20" t="n">
        <v>0</v>
      </c>
      <c r="D181" s="20" t="n">
        <v>0</v>
      </c>
      <c r="E181" s="20" t="n">
        <v>0</v>
      </c>
      <c r="F181" s="20" t="n">
        <v>0</v>
      </c>
      <c r="G181" s="20" t="n">
        <v>0</v>
      </c>
      <c r="H181" s="20" t="n">
        <v>0</v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0" t="n">
        <v>0</v>
      </c>
      <c r="V181" s="20" t="n">
        <v>0</v>
      </c>
      <c r="W181" s="20" t="n">
        <v>0</v>
      </c>
      <c r="X181" s="20" t="n">
        <v>0</v>
      </c>
    </row>
    <row r="182">
      <c r="A182" s="18" t="inlineStr">
        <is>
          <t>에너지 · 계</t>
        </is>
      </c>
      <c r="C182" s="20" t="n">
        <v>83077</v>
      </c>
      <c r="D182" s="20" t="n">
        <v>113433</v>
      </c>
      <c r="E182" s="20" t="n">
        <v>65371</v>
      </c>
      <c r="F182" s="20" t="n">
        <v>78630</v>
      </c>
      <c r="G182" s="20" t="n">
        <v>89968</v>
      </c>
      <c r="H182" s="20" t="n">
        <v>120367</v>
      </c>
      <c r="I182" s="20" t="n">
        <v>74188</v>
      </c>
      <c r="J182" s="20" t="n">
        <v>91948</v>
      </c>
      <c r="K182" s="20" t="n">
        <v>94967</v>
      </c>
      <c r="L182" s="20" t="n">
        <v>133064</v>
      </c>
      <c r="M182" s="20" t="n">
        <v>82487</v>
      </c>
      <c r="N182" s="20" t="n">
        <v>113953</v>
      </c>
      <c r="V182" s="20" t="n">
        <v>113433</v>
      </c>
      <c r="W182" s="20" t="n">
        <v>120367</v>
      </c>
      <c r="X182" s="20" t="n">
        <v>133064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H183" s="15">
        <f>IF(OR(H182="",D182=""),"",IF(D182&lt;=0,"",IFERROR(H182/D182-1,"")))</f>
        <v/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L183" s="15">
        <f>IF(OR(L182="",H182=""),"",IF(H182&lt;=0,"",IFERROR(L182/H182-1,"")))</f>
        <v/>
      </c>
      <c r="M183" s="15">
        <f>IF(OR(M182="",I182=""),"",IF(I182&lt;=0,"",IFERROR(M182/I182-1,"")))</f>
        <v/>
      </c>
      <c r="N183" s="15">
        <f>IF(OR(N182="",J182=""),"",IF(J182&lt;=0,"",IFERROR(N182/J182-1,"")))</f>
        <v/>
      </c>
      <c r="V183" s="15">
        <f>IF(OR(V182="",U182=""),"",IF(U182&lt;=0,"",IFERROR(V182/U182-1,"")))</f>
        <v/>
      </c>
      <c r="W183" s="15">
        <f>IF(OR(W182="",V182=""),"",IF(V182&lt;=0,"",IFERROR(W182/V182-1,"")))</f>
        <v/>
      </c>
      <c r="X183" s="15">
        <f>IF(OR(X182="",W182=""),"",IF(W182&lt;=0,"",IFERROR(X182/W182-1,"")))</f>
        <v/>
      </c>
    </row>
    <row r="184">
      <c r="A184" s="18" t="inlineStr">
        <is>
          <t>인더스트리 · 계</t>
        </is>
      </c>
      <c r="C184" s="20" t="n">
        <v>99437</v>
      </c>
      <c r="D184" s="20" t="n">
        <v>140807</v>
      </c>
      <c r="E184" s="20" t="n">
        <v>80446</v>
      </c>
      <c r="F184" s="20" t="n">
        <v>94934</v>
      </c>
      <c r="G184" s="20" t="n">
        <v>113431</v>
      </c>
      <c r="H184" s="20" t="n">
        <v>111221</v>
      </c>
      <c r="I184" s="20" t="n">
        <v>87334</v>
      </c>
      <c r="J184" s="20" t="n">
        <v>118109</v>
      </c>
      <c r="K184" s="20" t="n">
        <v>115816</v>
      </c>
      <c r="L184" s="20" t="n">
        <v>145973</v>
      </c>
      <c r="M184" s="20" t="n">
        <v>103886</v>
      </c>
      <c r="N184" s="20" t="n">
        <v>122926</v>
      </c>
      <c r="V184" s="20" t="n">
        <v>140807</v>
      </c>
      <c r="W184" s="20" t="n">
        <v>111221</v>
      </c>
      <c r="X184" s="20" t="n">
        <v>145973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K185" s="15">
        <f>IF(OR(K184="",G184=""),"",IF(G184&lt;=0,"",IFERROR(K184/G184-1,"")))</f>
        <v/>
      </c>
      <c r="L185" s="15">
        <f>IF(OR(L184="",H184=""),"",IF(H184&lt;=0,"",IFERROR(L184/H184-1,"")))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  <c r="V185" s="15">
        <f>IF(OR(V184="",U184=""),"",IF(U184&lt;=0,"",IFERROR(V184/U184-1,"")))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반도체 · 계</t>
        </is>
      </c>
      <c r="C186" s="20" t="n">
        <v>57963</v>
      </c>
      <c r="D186" s="20" t="n">
        <v>61535</v>
      </c>
      <c r="E186" s="20" t="n">
        <v>53880</v>
      </c>
      <c r="F186" s="20" t="n">
        <v>54168</v>
      </c>
      <c r="G186" s="20" t="n">
        <v>58602</v>
      </c>
      <c r="H186" s="20" t="n">
        <v>70138</v>
      </c>
      <c r="I186" s="20" t="n">
        <v>54840</v>
      </c>
      <c r="J186" s="20" t="n">
        <v>53885</v>
      </c>
      <c r="K186" s="20" t="n">
        <v>63928</v>
      </c>
      <c r="L186" s="20" t="n">
        <v>64733</v>
      </c>
      <c r="M186" s="20" t="n">
        <v>54399</v>
      </c>
      <c r="N186" s="20" t="n">
        <v>54110</v>
      </c>
      <c r="V186" s="20" t="n">
        <v>61535</v>
      </c>
      <c r="W186" s="20" t="n">
        <v>70138</v>
      </c>
      <c r="X186" s="20" t="n">
        <v>64733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K187" s="15">
        <f>IF(OR(K186="",G186=""),"",IF(G186&lt;=0,"",IFERROR(K186/G186-1,"")))</f>
        <v/>
      </c>
      <c r="L187" s="15">
        <f>IF(OR(L186="",H186=""),"",IF(H186&lt;=0,"",IFERROR(L186/H186-1,"")))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식품 유통 · 계</t>
        </is>
      </c>
      <c r="C188" s="20" t="n">
        <v>26276</v>
      </c>
      <c r="D188" s="20" t="n">
        <v>27830</v>
      </c>
      <c r="E188" s="20" t="n">
        <v>30685</v>
      </c>
      <c r="F188" s="20" t="n">
        <v>27601</v>
      </c>
      <c r="G188" s="20" t="n">
        <v>27204</v>
      </c>
      <c r="H188" s="20" t="n">
        <v>26007</v>
      </c>
      <c r="I188" s="20" t="n">
        <v>26319</v>
      </c>
      <c r="J188" s="20" t="n">
        <v>26064</v>
      </c>
      <c r="K188" s="20" t="n">
        <v>27233</v>
      </c>
      <c r="L188" s="20" t="n">
        <v>28360</v>
      </c>
      <c r="M188" s="20" t="n">
        <v>26119</v>
      </c>
      <c r="N188" s="20" t="n">
        <v>24640</v>
      </c>
      <c r="V188" s="20" t="n">
        <v>27830</v>
      </c>
      <c r="W188" s="20" t="n">
        <v>26007</v>
      </c>
      <c r="X188" s="20" t="n">
        <v>28360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IF(OR(G188="",C188=""),"",IF(C188&lt;=0,"",IFERROR(G188/C188-1,"")))</f>
        <v/>
      </c>
      <c r="H189" s="15">
        <f>IF(OR(H188="",D188=""),"",IF(D188&lt;=0,"",IFERROR(H188/D188-1,"")))</f>
        <v/>
      </c>
      <c r="I189" s="15">
        <f>IF(OR(I188="",E188=""),"",IF(E188&lt;=0,"",IFERROR(I188/E188-1,"")))</f>
        <v/>
      </c>
      <c r="J189" s="15">
        <f>IF(OR(J188="",F188=""),"",IF(F188&lt;=0,"",IFERROR(J188/F188-1,"")))</f>
        <v/>
      </c>
      <c r="K189" s="15">
        <f>IF(OR(K188="",G188=""),"",IF(G188&lt;=0,"",IFERROR(K188/G188-1,"")))</f>
        <v/>
      </c>
      <c r="L189" s="15">
        <f>IF(OR(L188="",H188=""),"",IF(H188&lt;=0,"",IFERROR(L188/H188-1,"")))</f>
        <v/>
      </c>
      <c r="M189" s="15">
        <f>IF(OR(M188="",I188=""),"",IF(I188&lt;=0,"",IFERROR(M188/I188-1,"")))</f>
        <v/>
      </c>
      <c r="N189" s="15">
        <f>IF(OR(N188="",J188=""),"",IF(J188&lt;=0,"",IFERROR(N188/J188-1,"")))</f>
        <v/>
      </c>
      <c r="V189" s="15">
        <f>IF(OR(V188="",U188=""),"",IF(U188&lt;=0,"",IFERROR(V188/U188-1,"")))</f>
        <v/>
      </c>
      <c r="W189" s="15">
        <f>IF(OR(W188="",V188=""),"",IF(V188&lt;=0,"",IFERROR(W188/V188-1,"")))</f>
        <v/>
      </c>
      <c r="X189" s="15">
        <f>IF(OR(X188="",W188=""),"",IF(W188&lt;=0,"",IFERROR(X188/W188-1,"")))</f>
        <v/>
      </c>
    </row>
    <row r="190">
      <c r="A190" s="18" t="inlineStr">
        <is>
          <t>기타 · 계</t>
        </is>
      </c>
      <c r="C190" s="20" t="n">
        <v>15405</v>
      </c>
      <c r="D190" s="20" t="n">
        <v>16484</v>
      </c>
      <c r="E190" s="20" t="n">
        <v>13844</v>
      </c>
      <c r="F190" s="20" t="n">
        <v>13571</v>
      </c>
      <c r="G190" s="20" t="n">
        <v>14226</v>
      </c>
      <c r="H190" s="20" t="n">
        <v>14507</v>
      </c>
      <c r="I190" s="20" t="n">
        <v>13773</v>
      </c>
      <c r="J190" s="20" t="n">
        <v>14068</v>
      </c>
      <c r="K190" s="20" t="n">
        <v>14677</v>
      </c>
      <c r="L190" s="20" t="n">
        <v>15839</v>
      </c>
      <c r="M190" s="20" t="n">
        <v>15048</v>
      </c>
      <c r="N190" s="20" t="n">
        <v>15552</v>
      </c>
      <c r="V190" s="20" t="n">
        <v>16484</v>
      </c>
      <c r="W190" s="20" t="n">
        <v>14507</v>
      </c>
      <c r="X190" s="20" t="n">
        <v>15839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합계 · 계</t>
        </is>
      </c>
      <c r="C192" s="20" t="n">
        <v>282157</v>
      </c>
      <c r="D192" s="20" t="n">
        <v>360089</v>
      </c>
      <c r="E192" s="20" t="n">
        <v>244229</v>
      </c>
      <c r="F192" s="20" t="n">
        <v>268904</v>
      </c>
      <c r="G192" s="20" t="n">
        <v>303430</v>
      </c>
      <c r="H192" s="20" t="n">
        <v>342240</v>
      </c>
      <c r="I192" s="20" t="n">
        <v>256457</v>
      </c>
      <c r="J192" s="20" t="n">
        <v>304073</v>
      </c>
      <c r="K192" s="20" t="n">
        <v>316620</v>
      </c>
      <c r="L192" s="20" t="n">
        <v>387970</v>
      </c>
      <c r="M192" s="20" t="n">
        <v>281942</v>
      </c>
      <c r="N192" s="20" t="n">
        <v>331180</v>
      </c>
      <c r="V192" s="20" t="n">
        <v>360089</v>
      </c>
      <c r="W192" s="20" t="n">
        <v>342240</v>
      </c>
      <c r="X192" s="20" t="n">
        <v>387970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IF(OR(G192="",C192=""),"",IF(C192&lt;=0,"",IFERROR(G192/C192-1,"")))</f>
        <v/>
      </c>
      <c r="H193" s="15">
        <f>IF(OR(H192="",D192=""),"",IF(D192&lt;=0,"",IFERROR(H192/D192-1,"")))</f>
        <v/>
      </c>
      <c r="I193" s="15">
        <f>IF(OR(I192="",E192=""),"",IF(E192&lt;=0,"",IFERROR(I192/E192-1,"")))</f>
        <v/>
      </c>
      <c r="J193" s="15">
        <f>IF(OR(J192="",F192=""),"",IF(F192&lt;=0,"",IFERROR(J192/F192-1,"")))</f>
        <v/>
      </c>
      <c r="K193" s="15">
        <f>IF(OR(K192="",G192=""),"",IF(G192&lt;=0,"",IFERROR(K192/G192-1,"")))</f>
        <v/>
      </c>
      <c r="L193" s="15">
        <f>IF(OR(L192="",H192=""),"",IF(H192&lt;=0,"",IFERROR(L192/H192-1,"")))</f>
        <v/>
      </c>
      <c r="M193" s="15">
        <f>IF(OR(M192="",I192=""),"",IF(I192&lt;=0,"",IFERROR(M192/I192-1,"")))</f>
        <v/>
      </c>
      <c r="N193" s="15">
        <f>IF(OR(N192="",J192=""),"",IF(J192&lt;=0,"",IFERROR(N192/J192-1,"")))</f>
        <v/>
      </c>
      <c r="V193" s="15">
        <f>IF(OR(V192="",U192=""),"",IF(U192&lt;=0,"",IFERROR(V192/U192-1,"")))</f>
        <v/>
      </c>
      <c r="W193" s="15">
        <f>IF(OR(W192="",V192=""),"",IF(V192&lt;=0,"",IFERROR(W192/V192-1,"")))</f>
        <v/>
      </c>
      <c r="X193" s="15">
        <f>IF(OR(X192="",W192=""),"",IF(W192&lt;=0,"",IFERROR(X192/W192-1,"")))</f>
        <v/>
      </c>
    </row>
    <row r="194">
      <c r="A194" s="18" t="inlineStr">
        <is>
          <t>조정액 · 계</t>
        </is>
      </c>
      <c r="C194" s="20" t="n">
        <v>-14189</v>
      </c>
      <c r="D194" s="20" t="n">
        <v>-16535</v>
      </c>
      <c r="E194" s="20" t="n">
        <v>-7841</v>
      </c>
      <c r="F194" s="20" t="n">
        <v>-7914</v>
      </c>
      <c r="G194" s="20" t="n">
        <v>-9744</v>
      </c>
      <c r="H194" s="20" t="n">
        <v>-9897</v>
      </c>
      <c r="I194" s="20" t="n">
        <v>-8540</v>
      </c>
      <c r="J194" s="20" t="n">
        <v>-8830</v>
      </c>
      <c r="K194" s="20" t="n">
        <v>-8725</v>
      </c>
      <c r="L194" s="20" t="n">
        <v>-11429</v>
      </c>
      <c r="M194" s="20" t="n">
        <v>-8683</v>
      </c>
      <c r="N194" s="20" t="n">
        <v>-11115</v>
      </c>
      <c r="V194" s="20" t="n">
        <v>-16535</v>
      </c>
      <c r="W194" s="20" t="n">
        <v>-9897</v>
      </c>
      <c r="X194" s="20" t="n">
        <v>-11429</v>
      </c>
    </row>
    <row r="195">
      <c r="A195" s="9" t="inlineStr">
        <is>
          <t>계</t>
        </is>
      </c>
      <c r="C195" s="12" t="n">
        <v>267969</v>
      </c>
      <c r="D195" s="12" t="n">
        <v>343553</v>
      </c>
      <c r="E195" s="12" t="n">
        <v>236387</v>
      </c>
      <c r="F195" s="12" t="n">
        <v>260990</v>
      </c>
      <c r="G195" s="12" t="n">
        <v>293687</v>
      </c>
      <c r="H195" s="12" t="n">
        <v>332343</v>
      </c>
      <c r="I195" s="12" t="n">
        <v>247916</v>
      </c>
      <c r="J195" s="12" t="n">
        <v>295244</v>
      </c>
      <c r="K195" s="12" t="n">
        <v>307895</v>
      </c>
      <c r="L195" s="12" t="n">
        <v>376540</v>
      </c>
      <c r="M195" s="12" t="n">
        <v>273259</v>
      </c>
      <c r="N195" s="12" t="n">
        <v>320064</v>
      </c>
      <c r="V195" s="12" t="n">
        <v>343553</v>
      </c>
      <c r="W195" s="12" t="n">
        <v>332343</v>
      </c>
      <c r="X195" s="12" t="n">
        <v>376540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IF(OR(G195="",C195=""),"",IF(C195&lt;=0,"",IFERROR(G195/C195-1,"")))</f>
        <v/>
      </c>
      <c r="H196" s="15">
        <f>IF(OR(H195="",D195=""),"",IF(D195&lt;=0,"",IFERROR(H195/D195-1,"")))</f>
        <v/>
      </c>
      <c r="I196" s="15">
        <f>IF(OR(I195="",E195=""),"",IF(E195&lt;=0,"",IFERROR(I195/E195-1,"")))</f>
        <v/>
      </c>
      <c r="J196" s="15">
        <f>IF(OR(J195="",F195=""),"",IF(F195&lt;=0,"",IFERROR(J195/F195-1,"")))</f>
        <v/>
      </c>
      <c r="K196" s="15">
        <f>IF(OR(K195="",G195=""),"",IF(G195&lt;=0,"",IFERROR(K195/G195-1,"")))</f>
        <v/>
      </c>
      <c r="L196" s="15">
        <f>IF(OR(L195="",H195=""),"",IF(H195&lt;=0,"",IFERROR(L195/H195-1,"")))</f>
        <v/>
      </c>
      <c r="M196" s="15">
        <f>IF(OR(M195="",I195=""),"",IF(I195&lt;=0,"",IFERROR(M195/I195-1,"")))</f>
        <v/>
      </c>
      <c r="N196" s="15">
        <f>IF(OR(N195="",J195=""),"",IF(J195&lt;=0,"",IFERROR(N195/J195-1,"")))</f>
        <v/>
      </c>
      <c r="V196" s="15">
        <f>IF(OR(V195="",U195=""),"",IF(U195&lt;=0,"",IFERROR(V195/U195-1,"")))</f>
        <v/>
      </c>
      <c r="W196" s="15">
        <f>IF(OR(W195="",V195=""),"",IF(V195&lt;=0,"",IFERROR(W195/V195-1,"")))</f>
        <v/>
      </c>
      <c r="X196" s="15">
        <f>IF(OR(X195="",W195=""),"",IF(W195&lt;=0,"",IFERROR(X195/W195-1,"")))</f>
        <v/>
      </c>
    </row>
    <row r="197">
      <c r="A197" s="18" t="inlineStr">
        <is>
          <t>에너지 · 부문 이익(손실)</t>
        </is>
      </c>
      <c r="C197" s="20" t="n">
        <v>5792</v>
      </c>
      <c r="D197" s="20" t="n">
        <v>15702</v>
      </c>
      <c r="E197" s="20" t="n">
        <v>3383</v>
      </c>
      <c r="F197" s="20" t="n">
        <v>6632</v>
      </c>
      <c r="G197" s="20" t="n">
        <v>10254</v>
      </c>
      <c r="H197" s="20" t="n">
        <v>15994</v>
      </c>
      <c r="I197" s="20" t="n">
        <v>8448</v>
      </c>
      <c r="J197" s="20" t="n">
        <v>10463</v>
      </c>
      <c r="K197" s="20" t="n">
        <v>14174</v>
      </c>
      <c r="L197" s="20" t="n">
        <v>26421</v>
      </c>
      <c r="M197" s="20" t="n">
        <v>12114</v>
      </c>
      <c r="N197" s="20" t="n">
        <v>17774</v>
      </c>
      <c r="V197" s="20" t="n">
        <v>15702</v>
      </c>
      <c r="W197" s="20" t="n">
        <v>15994</v>
      </c>
      <c r="X197" s="20" t="n">
        <v>26421</v>
      </c>
    </row>
    <row r="198">
      <c r="A198" s="43" t="inlineStr">
        <is>
          <t>OPM</t>
        </is>
      </c>
      <c r="B198" s="3" t="inlineStr">
        <is>
          <t>영업이익 ÷ 매출</t>
        </is>
      </c>
      <c r="C198" s="15">
        <f>IF(OR(C197="",C182=""),"",IF(C182&lt;=0,"",IFERROR(C197/C182,"")))</f>
        <v/>
      </c>
      <c r="D198" s="15">
        <f>IF(OR(D197="",D182=""),"",IF(D182&lt;=0,"",IFERROR(D197/D182,"")))</f>
        <v/>
      </c>
      <c r="E198" s="15">
        <f>IF(OR(E197="",E182=""),"",IF(E182&lt;=0,"",IFERROR(E197/E182,"")))</f>
        <v/>
      </c>
      <c r="F198" s="15">
        <f>IF(OR(F197="",F182=""),"",IF(F182&lt;=0,"",IFERROR(F197/F182,"")))</f>
        <v/>
      </c>
      <c r="G198" s="15">
        <f>IF(OR(G197="",G182=""),"",IF(G182&lt;=0,"",IFERROR(G197/G182,"")))</f>
        <v/>
      </c>
      <c r="H198" s="15">
        <f>IF(OR(H197="",H182=""),"",IF(H182&lt;=0,"",IFERROR(H197/H182,"")))</f>
        <v/>
      </c>
      <c r="I198" s="15">
        <f>IF(OR(I197="",I182=""),"",IF(I182&lt;=0,"",IFERROR(I197/I182,"")))</f>
        <v/>
      </c>
      <c r="J198" s="15">
        <f>IF(OR(J197="",J182=""),"",IF(J182&lt;=0,"",IFERROR(J197/J182,"")))</f>
        <v/>
      </c>
      <c r="K198" s="15">
        <f>IF(OR(K197="",K182=""),"",IF(K182&lt;=0,"",IFERROR(K197/K182,"")))</f>
        <v/>
      </c>
      <c r="L198" s="15">
        <f>IF(OR(L197="",L182=""),"",IF(L182&lt;=0,"",IFERROR(L197/L182,"")))</f>
        <v/>
      </c>
      <c r="M198" s="15">
        <f>IF(OR(M197="",M182=""),"",IF(M182&lt;=0,"",IFERROR(M197/M182,"")))</f>
        <v/>
      </c>
      <c r="N198" s="15">
        <f>IF(OR(N197="",N182=""),"",IF(N182&lt;=0,"",IFERROR(N197/N182,"")))</f>
        <v/>
      </c>
      <c r="V198" s="15">
        <f>IF(OR(V197="",V182=""),"",IF(V182&lt;=0,"",IFERROR(V197/V182,"")))</f>
        <v/>
      </c>
      <c r="W198" s="15">
        <f>IF(OR(W197="",W182=""),"",IF(W182&lt;=0,"",IFERROR(W197/W182,"")))</f>
        <v/>
      </c>
      <c r="X198" s="15">
        <f>IF(OR(X197="",X182=""),"",IF(X182&lt;=0,"",IFERROR(X197/X182,"")))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IF(OR(G197="",C197=""),"",IF(C197&lt;=0,"",IFERROR(G197/C197-1,"")))</f>
        <v/>
      </c>
      <c r="H199" s="15">
        <f>IF(OR(H197="",D197=""),"",IF(D197&lt;=0,"",IFERROR(H197/D197-1,"")))</f>
        <v/>
      </c>
      <c r="I199" s="15">
        <f>IF(OR(I197="",E197=""),"",IF(E197&lt;=0,"",IFERROR(I197/E197-1,"")))</f>
        <v/>
      </c>
      <c r="J199" s="15">
        <f>IF(OR(J197="",F197=""),"",IF(F197&lt;=0,"",IFERROR(J197/F197-1,"")))</f>
        <v/>
      </c>
      <c r="K199" s="15">
        <f>IF(OR(K197="",G197=""),"",IF(G197&lt;=0,"",IFERROR(K197/G197-1,"")))</f>
        <v/>
      </c>
      <c r="L199" s="15">
        <f>IF(OR(L197="",H197=""),"",IF(H197&lt;=0,"",IFERROR(L197/H197-1,"")))</f>
        <v/>
      </c>
      <c r="M199" s="15">
        <f>IF(OR(M197="",I197=""),"",IF(I197&lt;=0,"",IFERROR(M197/I197-1,"")))</f>
        <v/>
      </c>
      <c r="N199" s="15">
        <f>IF(OR(N197="",J197=""),"",IF(J197&lt;=0,"",IFERROR(N197/J197-1,"")))</f>
        <v/>
      </c>
      <c r="V199" s="15">
        <f>IF(OR(V197="",U197=""),"",IF(U197&lt;=0,"",IFERROR(V197/U197-1,"")))</f>
        <v/>
      </c>
      <c r="W199" s="15">
        <f>IF(OR(W197="",V197=""),"",IF(V197&lt;=0,"",IFERROR(W197/V197-1,"")))</f>
        <v/>
      </c>
      <c r="X199" s="15">
        <f>IF(OR(X197="",W197=""),"",IF(W197&lt;=0,"",IFERROR(X197/W197-1,"")))</f>
        <v/>
      </c>
    </row>
    <row r="200">
      <c r="A200" s="18" t="inlineStr">
        <is>
          <t>인더스트리 · 부문 이익(손실)</t>
        </is>
      </c>
      <c r="C200" s="20" t="n">
        <v>6316</v>
      </c>
      <c r="D200" s="20" t="n">
        <v>22777</v>
      </c>
      <c r="E200" s="20" t="n">
        <v>1872</v>
      </c>
      <c r="F200" s="20" t="n">
        <v>6265</v>
      </c>
      <c r="G200" s="20" t="n">
        <v>8989</v>
      </c>
      <c r="H200" s="20" t="n">
        <v>16845</v>
      </c>
      <c r="I200" s="20" t="n">
        <v>2897</v>
      </c>
      <c r="J200" s="20" t="n">
        <v>8158</v>
      </c>
      <c r="K200" s="20" t="n">
        <v>8694</v>
      </c>
      <c r="L200" s="20" t="n">
        <v>24634</v>
      </c>
      <c r="M200" s="20" t="n">
        <v>8528</v>
      </c>
      <c r="N200" s="20" t="n">
        <v>12385</v>
      </c>
      <c r="V200" s="20" t="n">
        <v>22777</v>
      </c>
      <c r="W200" s="20" t="n">
        <v>16845</v>
      </c>
      <c r="X200" s="20" t="n">
        <v>24634</v>
      </c>
    </row>
    <row r="201">
      <c r="A201" s="43" t="inlineStr">
        <is>
          <t>OPM</t>
        </is>
      </c>
      <c r="B201" s="3" t="inlineStr">
        <is>
          <t>영업이익 ÷ 매출</t>
        </is>
      </c>
      <c r="C201" s="15">
        <f>IF(OR(C200="",C184=""),"",IF(C184&lt;=0,"",IFERROR(C200/C184,"")))</f>
        <v/>
      </c>
      <c r="D201" s="15">
        <f>IF(OR(D200="",D184=""),"",IF(D184&lt;=0,"",IFERROR(D200/D184,"")))</f>
        <v/>
      </c>
      <c r="E201" s="15">
        <f>IF(OR(E200="",E184=""),"",IF(E184&lt;=0,"",IFERROR(E200/E184,"")))</f>
        <v/>
      </c>
      <c r="F201" s="15">
        <f>IF(OR(F200="",F184=""),"",IF(F184&lt;=0,"",IFERROR(F200/F184,"")))</f>
        <v/>
      </c>
      <c r="G201" s="15">
        <f>IF(OR(G200="",G184=""),"",IF(G184&lt;=0,"",IFERROR(G200/G184,"")))</f>
        <v/>
      </c>
      <c r="H201" s="15">
        <f>IF(OR(H200="",H184=""),"",IF(H184&lt;=0,"",IFERROR(H200/H184,"")))</f>
        <v/>
      </c>
      <c r="I201" s="15">
        <f>IF(OR(I200="",I184=""),"",IF(I184&lt;=0,"",IFERROR(I200/I184,"")))</f>
        <v/>
      </c>
      <c r="J201" s="15">
        <f>IF(OR(J200="",J184=""),"",IF(J184&lt;=0,"",IFERROR(J200/J184,"")))</f>
        <v/>
      </c>
      <c r="K201" s="15">
        <f>IF(OR(K200="",K184=""),"",IF(K184&lt;=0,"",IFERROR(K200/K184,"")))</f>
        <v/>
      </c>
      <c r="L201" s="15">
        <f>IF(OR(L200="",L184=""),"",IF(L184&lt;=0,"",IFERROR(L200/L184,"")))</f>
        <v/>
      </c>
      <c r="M201" s="15">
        <f>IF(OR(M200="",M184=""),"",IF(M184&lt;=0,"",IFERROR(M200/M184,"")))</f>
        <v/>
      </c>
      <c r="N201" s="15">
        <f>IF(OR(N200="",N184=""),"",IF(N184&lt;=0,"",IFERROR(N200/N184,"")))</f>
        <v/>
      </c>
      <c r="V201" s="15">
        <f>IF(OR(V200="",V184=""),"",IF(V184&lt;=0,"",IFERROR(V200/V184,"")))</f>
        <v/>
      </c>
      <c r="W201" s="15">
        <f>IF(OR(W200="",W184=""),"",IF(W184&lt;=0,"",IFERROR(W200/W184,"")))</f>
        <v/>
      </c>
      <c r="X201" s="15">
        <f>IF(OR(X200="",X184=""),"",IF(X184&lt;=0,"",IFERROR(X200/X184,"")))</f>
        <v/>
      </c>
    </row>
    <row r="202">
      <c r="A202" s="43" t="inlineStr">
        <is>
          <t>YoY</t>
        </is>
      </c>
      <c r="B202" s="3" t="inlineStr">
        <is>
          <t>전년 같은 분기·전년 대비</t>
        </is>
      </c>
      <c r="G202" s="15">
        <f>IF(OR(G200="",C200=""),"",IF(C200&lt;=0,"",IFERROR(G200/C200-1,"")))</f>
        <v/>
      </c>
      <c r="H202" s="15">
        <f>IF(OR(H200="",D200=""),"",IF(D200&lt;=0,"",IFERROR(H200/D200-1,"")))</f>
        <v/>
      </c>
      <c r="I202" s="15">
        <f>IF(OR(I200="",E200=""),"",IF(E200&lt;=0,"",IFERROR(I200/E200-1,"")))</f>
        <v/>
      </c>
      <c r="J202" s="15">
        <f>IF(OR(J200="",F200=""),"",IF(F200&lt;=0,"",IFERROR(J200/F200-1,"")))</f>
        <v/>
      </c>
      <c r="K202" s="15">
        <f>IF(OR(K200="",G200=""),"",IF(G200&lt;=0,"",IFERROR(K200/G200-1,"")))</f>
        <v/>
      </c>
      <c r="L202" s="15">
        <f>IF(OR(L200="",H200=""),"",IF(H200&lt;=0,"",IFERROR(L200/H200-1,"")))</f>
        <v/>
      </c>
      <c r="M202" s="15">
        <f>IF(OR(M200="",I200=""),"",IF(I200&lt;=0,"",IFERROR(M200/I200-1,"")))</f>
        <v/>
      </c>
      <c r="N202" s="15">
        <f>IF(OR(N200="",J200=""),"",IF(J200&lt;=0,"",IFERROR(N200/J200-1,"")))</f>
        <v/>
      </c>
      <c r="V202" s="15">
        <f>IF(OR(V200="",U200=""),"",IF(U200&lt;=0,"",IFERROR(V200/U200-1,"")))</f>
        <v/>
      </c>
      <c r="W202" s="15">
        <f>IF(OR(W200="",V200=""),"",IF(V200&lt;=0,"",IFERROR(W200/V200-1,"")))</f>
        <v/>
      </c>
      <c r="X202" s="15">
        <f>IF(OR(X200="",W200=""),"",IF(W200&lt;=0,"",IFERROR(X200/W200-1,"")))</f>
        <v/>
      </c>
    </row>
    <row r="203">
      <c r="A203" s="18" t="inlineStr">
        <is>
          <t>반도체 · 부문 이익(손실)</t>
        </is>
      </c>
      <c r="C203" s="20" t="n">
        <v>9609</v>
      </c>
      <c r="D203" s="20" t="n">
        <v>9758</v>
      </c>
      <c r="E203" s="20" t="n">
        <v>7731</v>
      </c>
      <c r="F203" s="20" t="n">
        <v>7328</v>
      </c>
      <c r="G203" s="20" t="n">
        <v>6484</v>
      </c>
      <c r="H203" s="20" t="n">
        <v>15538</v>
      </c>
      <c r="I203" s="20" t="n">
        <v>4892</v>
      </c>
      <c r="J203" s="20" t="n">
        <v>4081</v>
      </c>
      <c r="K203" s="20" t="n">
        <v>6014</v>
      </c>
      <c r="L203" s="20" t="n">
        <v>8533</v>
      </c>
      <c r="M203" s="20" t="n">
        <v>3065</v>
      </c>
      <c r="N203" s="20" t="n">
        <v>3367</v>
      </c>
      <c r="V203" s="20" t="n">
        <v>9758</v>
      </c>
      <c r="W203" s="20" t="n">
        <v>15538</v>
      </c>
      <c r="X203" s="20" t="n">
        <v>8533</v>
      </c>
    </row>
    <row r="204">
      <c r="A204" s="43" t="inlineStr">
        <is>
          <t>OPM</t>
        </is>
      </c>
      <c r="B204" s="3" t="inlineStr">
        <is>
          <t>영업이익 ÷ 매출</t>
        </is>
      </c>
      <c r="C204" s="15">
        <f>IF(OR(C203="",C186=""),"",IF(C186&lt;=0,"",IFERROR(C203/C186,"")))</f>
        <v/>
      </c>
      <c r="D204" s="15">
        <f>IF(OR(D203="",D186=""),"",IF(D186&lt;=0,"",IFERROR(D203/D186,"")))</f>
        <v/>
      </c>
      <c r="E204" s="15">
        <f>IF(OR(E203="",E186=""),"",IF(E186&lt;=0,"",IFERROR(E203/E186,"")))</f>
        <v/>
      </c>
      <c r="F204" s="15">
        <f>IF(OR(F203="",F186=""),"",IF(F186&lt;=0,"",IFERROR(F203/F186,"")))</f>
        <v/>
      </c>
      <c r="G204" s="15">
        <f>IF(OR(G203="",G186=""),"",IF(G186&lt;=0,"",IFERROR(G203/G186,"")))</f>
        <v/>
      </c>
      <c r="H204" s="15">
        <f>IF(OR(H203="",H186=""),"",IF(H186&lt;=0,"",IFERROR(H203/H186,"")))</f>
        <v/>
      </c>
      <c r="I204" s="15">
        <f>IF(OR(I203="",I186=""),"",IF(I186&lt;=0,"",IFERROR(I203/I186,"")))</f>
        <v/>
      </c>
      <c r="J204" s="15">
        <f>IF(OR(J203="",J186=""),"",IF(J186&lt;=0,"",IFERROR(J203/J186,"")))</f>
        <v/>
      </c>
      <c r="K204" s="15">
        <f>IF(OR(K203="",K186=""),"",IF(K186&lt;=0,"",IFERROR(K203/K186,"")))</f>
        <v/>
      </c>
      <c r="L204" s="15">
        <f>IF(OR(L203="",L186=""),"",IF(L186&lt;=0,"",IFERROR(L203/L186,"")))</f>
        <v/>
      </c>
      <c r="M204" s="15">
        <f>IF(OR(M203="",M186=""),"",IF(M186&lt;=0,"",IFERROR(M203/M186,"")))</f>
        <v/>
      </c>
      <c r="N204" s="15">
        <f>IF(OR(N203="",N186=""),"",IF(N186&lt;=0,"",IFERROR(N203/N186,"")))</f>
        <v/>
      </c>
      <c r="V204" s="15">
        <f>IF(OR(V203="",V186=""),"",IF(V186&lt;=0,"",IFERROR(V203/V186,"")))</f>
        <v/>
      </c>
      <c r="W204" s="15">
        <f>IF(OR(W203="",W186=""),"",IF(W186&lt;=0,"",IFERROR(W203/W186,"")))</f>
        <v/>
      </c>
      <c r="X204" s="15">
        <f>IF(OR(X203="",X186=""),"",IF(X186&lt;=0,"",IFERROR(X203/X186,"")))</f>
        <v/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G205" s="15">
        <f>IF(OR(G203="",C203=""),"",IF(C203&lt;=0,"",IFERROR(G203/C203-1,"")))</f>
        <v/>
      </c>
      <c r="H205" s="15">
        <f>IF(OR(H203="",D203=""),"",IF(D203&lt;=0,"",IFERROR(H203/D203-1,"")))</f>
        <v/>
      </c>
      <c r="I205" s="15">
        <f>IF(OR(I203="",E203=""),"",IF(E203&lt;=0,"",IFERROR(I203/E203-1,"")))</f>
        <v/>
      </c>
      <c r="J205" s="15">
        <f>IF(OR(J203="",F203=""),"",IF(F203&lt;=0,"",IFERROR(J203/F203-1,"")))</f>
        <v/>
      </c>
      <c r="K205" s="15">
        <f>IF(OR(K203="",G203=""),"",IF(G203&lt;=0,"",IFERROR(K203/G203-1,"")))</f>
        <v/>
      </c>
      <c r="L205" s="15">
        <f>IF(OR(L203="",H203=""),"",IF(H203&lt;=0,"",IFERROR(L203/H203-1,"")))</f>
        <v/>
      </c>
      <c r="M205" s="15">
        <f>IF(OR(M203="",I203=""),"",IF(I203&lt;=0,"",IFERROR(M203/I203-1,"")))</f>
        <v/>
      </c>
      <c r="N205" s="15">
        <f>IF(OR(N203="",J203=""),"",IF(J203&lt;=0,"",IFERROR(N203/J203-1,"")))</f>
        <v/>
      </c>
      <c r="V205" s="15">
        <f>IF(OR(V203="",U203=""),"",IF(U203&lt;=0,"",IFERROR(V203/U203-1,"")))</f>
        <v/>
      </c>
      <c r="W205" s="15">
        <f>IF(OR(W203="",V203=""),"",IF(V203&lt;=0,"",IFERROR(W203/V203-1,"")))</f>
        <v/>
      </c>
      <c r="X205" s="15">
        <f>IF(OR(X203="",W203=""),"",IF(W203&lt;=0,"",IFERROR(X203/W203-1,"")))</f>
        <v/>
      </c>
    </row>
    <row r="206">
      <c r="A206" s="18" t="inlineStr">
        <is>
          <t>식품 유통 · 부문 이익(손실)</t>
        </is>
      </c>
      <c r="C206" s="20" t="n">
        <v>1467</v>
      </c>
      <c r="D206" s="20" t="n">
        <v>1919</v>
      </c>
      <c r="E206" s="20" t="n">
        <v>5176</v>
      </c>
      <c r="F206" s="20" t="n">
        <v>3533</v>
      </c>
      <c r="G206" s="20" t="n">
        <v>3565</v>
      </c>
      <c r="H206" s="20" t="n">
        <v>1628</v>
      </c>
      <c r="I206" s="20" t="n">
        <v>3132</v>
      </c>
      <c r="J206" s="20" t="n">
        <v>2674</v>
      </c>
      <c r="K206" s="20" t="n">
        <v>3513</v>
      </c>
      <c r="L206" s="20" t="n">
        <v>3813</v>
      </c>
      <c r="M206" s="20" t="n">
        <v>2695</v>
      </c>
      <c r="N206" s="20" t="n">
        <v>2360</v>
      </c>
      <c r="V206" s="20" t="n">
        <v>1919</v>
      </c>
      <c r="W206" s="20" t="n">
        <v>1628</v>
      </c>
      <c r="X206" s="20" t="n">
        <v>3813</v>
      </c>
    </row>
    <row r="207">
      <c r="A207" s="43" t="inlineStr">
        <is>
          <t>OPM</t>
        </is>
      </c>
      <c r="B207" s="3" t="inlineStr">
        <is>
          <t>영업이익 ÷ 매출</t>
        </is>
      </c>
      <c r="C207" s="15">
        <f>IF(OR(C206="",C188=""),"",IF(C188&lt;=0,"",IFERROR(C206/C188,"")))</f>
        <v/>
      </c>
      <c r="D207" s="15">
        <f>IF(OR(D206="",D188=""),"",IF(D188&lt;=0,"",IFERROR(D206/D188,"")))</f>
        <v/>
      </c>
      <c r="E207" s="15">
        <f>IF(OR(E206="",E188=""),"",IF(E188&lt;=0,"",IFERROR(E206/E188,"")))</f>
        <v/>
      </c>
      <c r="F207" s="15">
        <f>IF(OR(F206="",F188=""),"",IF(F188&lt;=0,"",IFERROR(F206/F188,"")))</f>
        <v/>
      </c>
      <c r="G207" s="15">
        <f>IF(OR(G206="",G188=""),"",IF(G188&lt;=0,"",IFERROR(G206/G188,"")))</f>
        <v/>
      </c>
      <c r="H207" s="15">
        <f>IF(OR(H206="",H188=""),"",IF(H188&lt;=0,"",IFERROR(H206/H188,"")))</f>
        <v/>
      </c>
      <c r="I207" s="15">
        <f>IF(OR(I206="",I188=""),"",IF(I188&lt;=0,"",IFERROR(I206/I188,"")))</f>
        <v/>
      </c>
      <c r="J207" s="15">
        <f>IF(OR(J206="",J188=""),"",IF(J188&lt;=0,"",IFERROR(J206/J188,"")))</f>
        <v/>
      </c>
      <c r="K207" s="15">
        <f>IF(OR(K206="",K188=""),"",IF(K188&lt;=0,"",IFERROR(K206/K188,"")))</f>
        <v/>
      </c>
      <c r="L207" s="15">
        <f>IF(OR(L206="",L188=""),"",IF(L188&lt;=0,"",IFERROR(L206/L188,"")))</f>
        <v/>
      </c>
      <c r="M207" s="15">
        <f>IF(OR(M206="",M188=""),"",IF(M188&lt;=0,"",IFERROR(M206/M188,"")))</f>
        <v/>
      </c>
      <c r="N207" s="15">
        <f>IF(OR(N206="",N188=""),"",IF(N188&lt;=0,"",IFERROR(N206/N188,"")))</f>
        <v/>
      </c>
      <c r="V207" s="15">
        <f>IF(OR(V206="",V188=""),"",IF(V188&lt;=0,"",IFERROR(V206/V188,"")))</f>
        <v/>
      </c>
      <c r="W207" s="15">
        <f>IF(OR(W206="",W188=""),"",IF(W188&lt;=0,"",IFERROR(W206/W188,"")))</f>
        <v/>
      </c>
      <c r="X207" s="15">
        <f>IF(OR(X206="",X188=""),"",IF(X188&lt;=0,"",IFERROR(X206/X188,"")))</f>
        <v/>
      </c>
    </row>
    <row r="208">
      <c r="A208" s="43" t="inlineStr">
        <is>
          <t>YoY</t>
        </is>
      </c>
      <c r="B208" s="3" t="inlineStr">
        <is>
          <t>전년 같은 분기·전년 대비</t>
        </is>
      </c>
      <c r="G208" s="15">
        <f>IF(OR(G206="",C206=""),"",IF(C206&lt;=0,"",IFERROR(G206/C206-1,"")))</f>
        <v/>
      </c>
      <c r="H208" s="15">
        <f>IF(OR(H206="",D206=""),"",IF(D206&lt;=0,"",IFERROR(H206/D206-1,"")))</f>
        <v/>
      </c>
      <c r="I208" s="15">
        <f>IF(OR(I206="",E206=""),"",IF(E206&lt;=0,"",IFERROR(I206/E206-1,"")))</f>
        <v/>
      </c>
      <c r="J208" s="15">
        <f>IF(OR(J206="",F206=""),"",IF(F206&lt;=0,"",IFERROR(J206/F206-1,"")))</f>
        <v/>
      </c>
      <c r="K208" s="15">
        <f>IF(OR(K206="",G206=""),"",IF(G206&lt;=0,"",IFERROR(K206/G206-1,"")))</f>
        <v/>
      </c>
      <c r="L208" s="15">
        <f>IF(OR(L206="",H206=""),"",IF(H206&lt;=0,"",IFERROR(L206/H206-1,"")))</f>
        <v/>
      </c>
      <c r="M208" s="15">
        <f>IF(OR(M206="",I206=""),"",IF(I206&lt;=0,"",IFERROR(M206/I206-1,"")))</f>
        <v/>
      </c>
      <c r="N208" s="15">
        <f>IF(OR(N206="",J206=""),"",IF(J206&lt;=0,"",IFERROR(N206/J206-1,"")))</f>
        <v/>
      </c>
      <c r="V208" s="15">
        <f>IF(OR(V206="",U206=""),"",IF(U206&lt;=0,"",IFERROR(V206/U206-1,"")))</f>
        <v/>
      </c>
      <c r="W208" s="15">
        <f>IF(OR(W206="",V206=""),"",IF(V206&lt;=0,"",IFERROR(W206/V206-1,"")))</f>
        <v/>
      </c>
      <c r="X208" s="15">
        <f>IF(OR(X206="",W206=""),"",IF(W206&lt;=0,"",IFERROR(X206/W206-1,"")))</f>
        <v/>
      </c>
    </row>
    <row r="209">
      <c r="A209" s="18" t="inlineStr">
        <is>
          <t>기타 · 부문 이익(손실)</t>
        </is>
      </c>
      <c r="C209" s="20" t="n">
        <v>944</v>
      </c>
      <c r="D209" s="20" t="n">
        <v>1316</v>
      </c>
      <c r="E209" s="20" t="n">
        <v>792</v>
      </c>
      <c r="F209" s="20" t="n">
        <v>860</v>
      </c>
      <c r="G209" s="20" t="n">
        <v>775</v>
      </c>
      <c r="H209" s="20" t="n">
        <v>1335</v>
      </c>
      <c r="I209" s="20" t="n">
        <v>769</v>
      </c>
      <c r="J209" s="20" t="n">
        <v>821</v>
      </c>
      <c r="K209" s="20" t="n">
        <v>949</v>
      </c>
      <c r="L209" s="20" t="n">
        <v>1326</v>
      </c>
      <c r="M209" s="20" t="n">
        <v>875</v>
      </c>
      <c r="N209" s="20" t="n">
        <v>863</v>
      </c>
      <c r="V209" s="20" t="n">
        <v>1316</v>
      </c>
      <c r="W209" s="20" t="n">
        <v>1335</v>
      </c>
      <c r="X209" s="20" t="n">
        <v>1326</v>
      </c>
    </row>
    <row r="210">
      <c r="A210" s="43" t="inlineStr">
        <is>
          <t>OPM</t>
        </is>
      </c>
      <c r="B210" s="3" t="inlineStr">
        <is>
          <t>영업이익 ÷ 매출</t>
        </is>
      </c>
      <c r="C210" s="15">
        <f>IF(OR(C209="",C190=""),"",IF(C190&lt;=0,"",IFERROR(C209/C190,"")))</f>
        <v/>
      </c>
      <c r="D210" s="15">
        <f>IF(OR(D209="",D190=""),"",IF(D190&lt;=0,"",IFERROR(D209/D190,"")))</f>
        <v/>
      </c>
      <c r="E210" s="15">
        <f>IF(OR(E209="",E190=""),"",IF(E190&lt;=0,"",IFERROR(E209/E190,"")))</f>
        <v/>
      </c>
      <c r="F210" s="15">
        <f>IF(OR(F209="",F190=""),"",IF(F190&lt;=0,"",IFERROR(F209/F190,"")))</f>
        <v/>
      </c>
      <c r="G210" s="15">
        <f>IF(OR(G209="",G190=""),"",IF(G190&lt;=0,"",IFERROR(G209/G190,"")))</f>
        <v/>
      </c>
      <c r="H210" s="15">
        <f>IF(OR(H209="",H190=""),"",IF(H190&lt;=0,"",IFERROR(H209/H190,"")))</f>
        <v/>
      </c>
      <c r="I210" s="15">
        <f>IF(OR(I209="",I190=""),"",IF(I190&lt;=0,"",IFERROR(I209/I190,"")))</f>
        <v/>
      </c>
      <c r="J210" s="15">
        <f>IF(OR(J209="",J190=""),"",IF(J190&lt;=0,"",IFERROR(J209/J190,"")))</f>
        <v/>
      </c>
      <c r="K210" s="15">
        <f>IF(OR(K209="",K190=""),"",IF(K190&lt;=0,"",IFERROR(K209/K190,"")))</f>
        <v/>
      </c>
      <c r="L210" s="15">
        <f>IF(OR(L209="",L190=""),"",IF(L190&lt;=0,"",IFERROR(L209/L190,"")))</f>
        <v/>
      </c>
      <c r="M210" s="15">
        <f>IF(OR(M209="",M190=""),"",IF(M190&lt;=0,"",IFERROR(M209/M190,"")))</f>
        <v/>
      </c>
      <c r="N210" s="15">
        <f>IF(OR(N209="",N190=""),"",IF(N190&lt;=0,"",IFERROR(N209/N190,"")))</f>
        <v/>
      </c>
      <c r="V210" s="15">
        <f>IF(OR(V209="",V190=""),"",IF(V190&lt;=0,"",IFERROR(V209/V190,"")))</f>
        <v/>
      </c>
      <c r="W210" s="15">
        <f>IF(OR(W209="",W190=""),"",IF(W190&lt;=0,"",IFERROR(W209/W190,"")))</f>
        <v/>
      </c>
      <c r="X210" s="15">
        <f>IF(OR(X209="",X190=""),"",IF(X190&lt;=0,"",IFERROR(X209/X190,"")))</f>
        <v/>
      </c>
    </row>
    <row r="211">
      <c r="A211" s="43" t="inlineStr">
        <is>
          <t>YoY</t>
        </is>
      </c>
      <c r="B211" s="3" t="inlineStr">
        <is>
          <t>전년 같은 분기·전년 대비</t>
        </is>
      </c>
      <c r="G211" s="15">
        <f>IF(OR(G209="",C209=""),"",IF(C209&lt;=0,"",IFERROR(G209/C209-1,"")))</f>
        <v/>
      </c>
      <c r="H211" s="15">
        <f>IF(OR(H209="",D209=""),"",IF(D209&lt;=0,"",IFERROR(H209/D209-1,"")))</f>
        <v/>
      </c>
      <c r="I211" s="15">
        <f>IF(OR(I209="",E209=""),"",IF(E209&lt;=0,"",IFERROR(I209/E209-1,"")))</f>
        <v/>
      </c>
      <c r="J211" s="15">
        <f>IF(OR(J209="",F209=""),"",IF(F209&lt;=0,"",IFERROR(J209/F209-1,"")))</f>
        <v/>
      </c>
      <c r="K211" s="15">
        <f>IF(OR(K209="",G209=""),"",IF(G209&lt;=0,"",IFERROR(K209/G209-1,"")))</f>
        <v/>
      </c>
      <c r="L211" s="15">
        <f>IF(OR(L209="",H209=""),"",IF(H209&lt;=0,"",IFERROR(L209/H209-1,"")))</f>
        <v/>
      </c>
      <c r="M211" s="15">
        <f>IF(OR(M209="",I209=""),"",IF(I209&lt;=0,"",IFERROR(M209/I209-1,"")))</f>
        <v/>
      </c>
      <c r="N211" s="15">
        <f>IF(OR(N209="",J209=""),"",IF(J209&lt;=0,"",IFERROR(N209/J209-1,"")))</f>
        <v/>
      </c>
      <c r="V211" s="15">
        <f>IF(OR(V209="",U209=""),"",IF(U209&lt;=0,"",IFERROR(V209/U209-1,"")))</f>
        <v/>
      </c>
      <c r="W211" s="15">
        <f>IF(OR(W209="",V209=""),"",IF(V209&lt;=0,"",IFERROR(W209/V209-1,"")))</f>
        <v/>
      </c>
      <c r="X211" s="15">
        <f>IF(OR(X209="",W209=""),"",IF(W209&lt;=0,"",IFERROR(X209/W209-1,"")))</f>
        <v/>
      </c>
    </row>
    <row r="212">
      <c r="A212" s="18" t="inlineStr">
        <is>
          <t>합계 · 부문 이익(손실)</t>
        </is>
      </c>
      <c r="C212" s="20" t="n">
        <v>24127</v>
      </c>
      <c r="D212" s="20" t="n">
        <v>51473</v>
      </c>
      <c r="E212" s="20" t="n">
        <v>18955</v>
      </c>
      <c r="F212" s="20" t="n">
        <v>24620</v>
      </c>
      <c r="G212" s="20" t="n">
        <v>30065</v>
      </c>
      <c r="H212" s="20" t="n">
        <v>51341</v>
      </c>
      <c r="I212" s="20" t="n">
        <v>20141</v>
      </c>
      <c r="J212" s="20" t="n">
        <v>26196</v>
      </c>
      <c r="K212" s="20" t="n">
        <v>33345</v>
      </c>
      <c r="L212" s="20" t="n">
        <v>64725</v>
      </c>
      <c r="M212" s="20" t="n">
        <v>27278</v>
      </c>
      <c r="N212" s="20" t="n">
        <v>36751</v>
      </c>
      <c r="V212" s="20" t="n">
        <v>51473</v>
      </c>
      <c r="W212" s="20" t="n">
        <v>51341</v>
      </c>
      <c r="X212" s="20" t="n">
        <v>64725</v>
      </c>
    </row>
    <row r="213">
      <c r="A213" s="43" t="inlineStr">
        <is>
          <t>OPM</t>
        </is>
      </c>
      <c r="B213" s="3" t="inlineStr">
        <is>
          <t>영업이익 ÷ 매출</t>
        </is>
      </c>
      <c r="C213" s="15">
        <f>IF(OR(C212="",C192=""),"",IF(C192&lt;=0,"",IFERROR(C212/C192,"")))</f>
        <v/>
      </c>
      <c r="D213" s="15">
        <f>IF(OR(D212="",D192=""),"",IF(D192&lt;=0,"",IFERROR(D212/D192,"")))</f>
        <v/>
      </c>
      <c r="E213" s="15">
        <f>IF(OR(E212="",E192=""),"",IF(E192&lt;=0,"",IFERROR(E212/E192,"")))</f>
        <v/>
      </c>
      <c r="F213" s="15">
        <f>IF(OR(F212="",F192=""),"",IF(F192&lt;=0,"",IFERROR(F212/F192,"")))</f>
        <v/>
      </c>
      <c r="G213" s="15">
        <f>IF(OR(G212="",G192=""),"",IF(G192&lt;=0,"",IFERROR(G212/G192,"")))</f>
        <v/>
      </c>
      <c r="H213" s="15">
        <f>IF(OR(H212="",H192=""),"",IF(H192&lt;=0,"",IFERROR(H212/H192,"")))</f>
        <v/>
      </c>
      <c r="I213" s="15">
        <f>IF(OR(I212="",I192=""),"",IF(I192&lt;=0,"",IFERROR(I212/I192,"")))</f>
        <v/>
      </c>
      <c r="J213" s="15">
        <f>IF(OR(J212="",J192=""),"",IF(J192&lt;=0,"",IFERROR(J212/J192,"")))</f>
        <v/>
      </c>
      <c r="K213" s="15">
        <f>IF(OR(K212="",K192=""),"",IF(K192&lt;=0,"",IFERROR(K212/K192,"")))</f>
        <v/>
      </c>
      <c r="L213" s="15">
        <f>IF(OR(L212="",L192=""),"",IF(L192&lt;=0,"",IFERROR(L212/L192,"")))</f>
        <v/>
      </c>
      <c r="M213" s="15">
        <f>IF(OR(M212="",M192=""),"",IF(M192&lt;=0,"",IFERROR(M212/M192,"")))</f>
        <v/>
      </c>
      <c r="N213" s="15">
        <f>IF(OR(N212="",N192=""),"",IF(N192&lt;=0,"",IFERROR(N212/N192,"")))</f>
        <v/>
      </c>
      <c r="V213" s="15">
        <f>IF(OR(V212="",V192=""),"",IF(V192&lt;=0,"",IFERROR(V212/V192,"")))</f>
        <v/>
      </c>
      <c r="W213" s="15">
        <f>IF(OR(W212="",W192=""),"",IF(W192&lt;=0,"",IFERROR(W212/W192,"")))</f>
        <v/>
      </c>
      <c r="X213" s="15">
        <f>IF(OR(X212="",X192=""),"",IF(X192&lt;=0,"",IFERROR(X212/X192,"")))</f>
        <v/>
      </c>
    </row>
    <row r="214">
      <c r="A214" s="43" t="inlineStr">
        <is>
          <t>YoY</t>
        </is>
      </c>
      <c r="B214" s="3" t="inlineStr">
        <is>
          <t>전년 같은 분기·전년 대비</t>
        </is>
      </c>
      <c r="G214" s="15">
        <f>IF(OR(G212="",C212=""),"",IF(C212&lt;=0,"",IFERROR(G212/C212-1,"")))</f>
        <v/>
      </c>
      <c r="H214" s="15">
        <f>IF(OR(H212="",D212=""),"",IF(D212&lt;=0,"",IFERROR(H212/D212-1,"")))</f>
        <v/>
      </c>
      <c r="I214" s="15">
        <f>IF(OR(I212="",E212=""),"",IF(E212&lt;=0,"",IFERROR(I212/E212-1,"")))</f>
        <v/>
      </c>
      <c r="J214" s="15">
        <f>IF(OR(J212="",F212=""),"",IF(F212&lt;=0,"",IFERROR(J212/F212-1,"")))</f>
        <v/>
      </c>
      <c r="K214" s="15">
        <f>IF(OR(K212="",G212=""),"",IF(G212&lt;=0,"",IFERROR(K212/G212-1,"")))</f>
        <v/>
      </c>
      <c r="L214" s="15">
        <f>IF(OR(L212="",H212=""),"",IF(H212&lt;=0,"",IFERROR(L212/H212-1,"")))</f>
        <v/>
      </c>
      <c r="M214" s="15">
        <f>IF(OR(M212="",I212=""),"",IF(I212&lt;=0,"",IFERROR(M212/I212-1,"")))</f>
        <v/>
      </c>
      <c r="N214" s="15">
        <f>IF(OR(N212="",J212=""),"",IF(J212&lt;=0,"",IFERROR(N212/J212-1,"")))</f>
        <v/>
      </c>
      <c r="V214" s="15">
        <f>IF(OR(V212="",U212=""),"",IF(U212&lt;=0,"",IFERROR(V212/U212-1,"")))</f>
        <v/>
      </c>
      <c r="W214" s="15">
        <f>IF(OR(W212="",V212=""),"",IF(V212&lt;=0,"",IFERROR(W212/V212-1,"")))</f>
        <v/>
      </c>
      <c r="X214" s="15">
        <f>IF(OR(X212="",W212=""),"",IF(W212&lt;=0,"",IFERROR(X212/W212-1,"")))</f>
        <v/>
      </c>
    </row>
    <row r="215">
      <c r="A215" s="18" t="inlineStr">
        <is>
          <t>조정액 · 부문 이익(손실)</t>
        </is>
      </c>
      <c r="C215" s="20" t="n">
        <v>-1465</v>
      </c>
      <c r="D215" s="20" t="n">
        <v>-3063</v>
      </c>
      <c r="E215" s="20" t="n">
        <v>-1701</v>
      </c>
      <c r="F215" s="20" t="n">
        <v>-1537</v>
      </c>
      <c r="G215" s="20" t="n">
        <v>-1971</v>
      </c>
      <c r="H215" s="20" t="n">
        <v>-2125</v>
      </c>
      <c r="I215" s="20" t="n">
        <v>-2049</v>
      </c>
      <c r="J215" s="20" t="n">
        <v>-1528</v>
      </c>
      <c r="K215" s="20" t="n">
        <v>-2078</v>
      </c>
      <c r="L215" s="20" t="n">
        <v>-2132</v>
      </c>
      <c r="M215" s="20" t="n">
        <v>-2258</v>
      </c>
      <c r="N215" s="20" t="n">
        <v>-1956</v>
      </c>
      <c r="V215" s="20" t="n">
        <v>-3063</v>
      </c>
      <c r="W215" s="20" t="n">
        <v>-2125</v>
      </c>
      <c r="X215" s="20" t="n">
        <v>-2132</v>
      </c>
    </row>
    <row r="216">
      <c r="A216" s="9" t="inlineStr">
        <is>
          <t>부문 이익(손실)</t>
        </is>
      </c>
      <c r="C216" s="12" t="n">
        <v>22662</v>
      </c>
      <c r="D216" s="12" t="n">
        <v>48410</v>
      </c>
      <c r="E216" s="12" t="n">
        <v>17254</v>
      </c>
      <c r="F216" s="12" t="n">
        <v>23082</v>
      </c>
      <c r="G216" s="12" t="n">
        <v>28095</v>
      </c>
      <c r="H216" s="12" t="n">
        <v>49215</v>
      </c>
      <c r="I216" s="12" t="n">
        <v>18091</v>
      </c>
      <c r="J216" s="12" t="n">
        <v>24668</v>
      </c>
      <c r="K216" s="12" t="n">
        <v>31268</v>
      </c>
      <c r="L216" s="12" t="n">
        <v>62593</v>
      </c>
      <c r="M216" s="12" t="n">
        <v>25019</v>
      </c>
      <c r="N216" s="12" t="n">
        <v>34796</v>
      </c>
      <c r="V216" s="12" t="n">
        <v>48410</v>
      </c>
      <c r="W216" s="12" t="n">
        <v>49215</v>
      </c>
      <c r="X216" s="12" t="n">
        <v>62593</v>
      </c>
    </row>
    <row r="217">
      <c r="A217" s="43" t="inlineStr">
        <is>
          <t>OPM</t>
        </is>
      </c>
      <c r="B217" s="3" t="inlineStr">
        <is>
          <t>영업이익 ÷ 매출</t>
        </is>
      </c>
      <c r="C217" s="15">
        <f>IF(OR(C216="",C172=""),"",IF(C172&lt;=0,"",IFERROR(C216/C172,"")))</f>
        <v/>
      </c>
      <c r="D217" s="15">
        <f>IF(OR(D216="",D172=""),"",IF(D172&lt;=0,"",IFERROR(D216/D172,"")))</f>
        <v/>
      </c>
      <c r="E217" s="15">
        <f>IF(OR(E216="",E172=""),"",IF(E172&lt;=0,"",IFERROR(E216/E172,"")))</f>
        <v/>
      </c>
      <c r="F217" s="15">
        <f>IF(OR(F216="",F172=""),"",IF(F172&lt;=0,"",IFERROR(F216/F172,"")))</f>
        <v/>
      </c>
      <c r="G217" s="15">
        <f>IF(OR(G216="",G172=""),"",IF(G172&lt;=0,"",IFERROR(G216/G172,"")))</f>
        <v/>
      </c>
      <c r="H217" s="15">
        <f>IF(OR(H216="",H172=""),"",IF(H172&lt;=0,"",IFERROR(H216/H172,"")))</f>
        <v/>
      </c>
      <c r="I217" s="15">
        <f>IF(OR(I216="",I172=""),"",IF(I172&lt;=0,"",IFERROR(I216/I172,"")))</f>
        <v/>
      </c>
      <c r="J217" s="15">
        <f>IF(OR(J216="",J172=""),"",IF(J172&lt;=0,"",IFERROR(J216/J172,"")))</f>
        <v/>
      </c>
      <c r="K217" s="15">
        <f>IF(OR(K216="",K172=""),"",IF(K172&lt;=0,"",IFERROR(K216/K172,"")))</f>
        <v/>
      </c>
      <c r="L217" s="15">
        <f>IF(OR(L216="",L172=""),"",IF(L172&lt;=0,"",IFERROR(L216/L172,"")))</f>
        <v/>
      </c>
      <c r="M217" s="15">
        <f>IF(OR(M216="",M172=""),"",IF(M172&lt;=0,"",IFERROR(M216/M172,"")))</f>
        <v/>
      </c>
      <c r="N217" s="15">
        <f>IF(OR(N216="",N172=""),"",IF(N172&lt;=0,"",IFERROR(N216/N172,"")))</f>
        <v/>
      </c>
      <c r="V217" s="15">
        <f>IF(OR(V216="",V172=""),"",IF(V172&lt;=0,"",IFERROR(V216/V172,"")))</f>
        <v/>
      </c>
      <c r="W217" s="15">
        <f>IF(OR(W216="",W172=""),"",IF(W172&lt;=0,"",IFERROR(W216/W172,"")))</f>
        <v/>
      </c>
      <c r="X217" s="15">
        <f>IF(OR(X216="",X172=""),"",IF(X172&lt;=0,"",IFERROR(X216/X172,"")))</f>
        <v/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G218" s="15">
        <f>IF(OR(G216="",C216=""),"",IF(C216&lt;=0,"",IFERROR(G216/C216-1,"")))</f>
        <v/>
      </c>
      <c r="H218" s="15">
        <f>IF(OR(H216="",D216=""),"",IF(D216&lt;=0,"",IFERROR(H216/D216-1,"")))</f>
        <v/>
      </c>
      <c r="I218" s="15">
        <f>IF(OR(I216="",E216=""),"",IF(E216&lt;=0,"",IFERROR(I216/E216-1,"")))</f>
        <v/>
      </c>
      <c r="J218" s="15">
        <f>IF(OR(J216="",F216=""),"",IF(F216&lt;=0,"",IFERROR(J216/F216-1,"")))</f>
        <v/>
      </c>
      <c r="K218" s="15">
        <f>IF(OR(K216="",G216=""),"",IF(G216&lt;=0,"",IFERROR(K216/G216-1,"")))</f>
        <v/>
      </c>
      <c r="L218" s="15">
        <f>IF(OR(L216="",H216=""),"",IF(H216&lt;=0,"",IFERROR(L216/H216-1,"")))</f>
        <v/>
      </c>
      <c r="M218" s="15">
        <f>IF(OR(M216="",I216=""),"",IF(I216&lt;=0,"",IFERROR(M216/I216-1,"")))</f>
        <v/>
      </c>
      <c r="N218" s="15">
        <f>IF(OR(N216="",J216=""),"",IF(J216&lt;=0,"",IFERROR(N216/J216-1,"")))</f>
        <v/>
      </c>
      <c r="V218" s="15">
        <f>IF(OR(V216="",U216=""),"",IF(U216&lt;=0,"",IFERROR(V216/U216-1,"")))</f>
        <v/>
      </c>
      <c r="W218" s="15">
        <f>IF(OR(W216="",V216=""),"",IF(V216&lt;=0,"",IFERROR(W216/V216-1,"")))</f>
        <v/>
      </c>
      <c r="X218" s="15">
        <f>IF(OR(X216="",W216=""),"",IF(W216&lt;=0,"",IFERROR(X216/W216-1,"")))</f>
        <v/>
      </c>
    </row>
    <row r="220">
      <c r="A220" s="16" t="inlineStr">
        <is>
          <t>현금흐름표 · 전 항목</t>
        </is>
      </c>
      <c r="B220" s="42" t="inlineStr">
        <is>
          <t>분기 = 결산기 첫날부터 누계(공시 그대로)</t>
        </is>
      </c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</row>
    <row r="221">
      <c r="A221" s="5" t="inlineStr">
        <is>
          <t>항목</t>
        </is>
      </c>
      <c r="B221" s="5" t="inlineStr">
        <is>
          <t>참고</t>
        </is>
      </c>
      <c r="C221" s="5" t="inlineStr">
        <is>
          <t>2024.3Q</t>
        </is>
      </c>
      <c r="D221" s="5" t="inlineStr">
        <is>
          <t>2024.4Q</t>
        </is>
      </c>
      <c r="E221" s="5" t="inlineStr">
        <is>
          <t>2025.1Q</t>
        </is>
      </c>
      <c r="F221" s="5" t="inlineStr">
        <is>
          <t>2025.2Q</t>
        </is>
      </c>
      <c r="G221" s="5" t="inlineStr">
        <is>
          <t>2025.3Q</t>
        </is>
      </c>
      <c r="H221" s="5" t="inlineStr">
        <is>
          <t>2025.4Q</t>
        </is>
      </c>
      <c r="I221" s="5" t="inlineStr">
        <is>
          <t>2026.1Q</t>
        </is>
      </c>
      <c r="J221" s="5" t="inlineStr">
        <is>
          <t>2026.2Q</t>
        </is>
      </c>
      <c r="K221" s="5" t="inlineStr">
        <is>
          <t>2026.3Q</t>
        </is>
      </c>
      <c r="L221" s="5" t="inlineStr">
        <is>
          <t>2026.4Q</t>
        </is>
      </c>
      <c r="M221" s="5" t="inlineStr">
        <is>
          <t>2027.1Q</t>
        </is>
      </c>
      <c r="N221" s="5" t="inlineStr">
        <is>
          <t>2027.2Q</t>
        </is>
      </c>
      <c r="O221" s="5" t="inlineStr">
        <is>
          <t>2017</t>
        </is>
      </c>
      <c r="P221" s="5" t="inlineStr">
        <is>
          <t>2018</t>
        </is>
      </c>
      <c r="Q221" s="5" t="inlineStr">
        <is>
          <t>2019</t>
        </is>
      </c>
      <c r="R221" s="5" t="inlineStr">
        <is>
          <t>2020</t>
        </is>
      </c>
      <c r="S221" s="5" t="inlineStr">
        <is>
          <t>2021</t>
        </is>
      </c>
      <c r="T221" s="5" t="inlineStr">
        <is>
          <t>2022</t>
        </is>
      </c>
      <c r="U221" s="5" t="inlineStr">
        <is>
          <t>2023</t>
        </is>
      </c>
      <c r="V221" s="5" t="inlineStr">
        <is>
          <t>2024</t>
        </is>
      </c>
      <c r="W221" s="5" t="inlineStr">
        <is>
          <t>2025</t>
        </is>
      </c>
      <c r="X221" s="5" t="inlineStr">
        <is>
          <t>2026</t>
        </is>
      </c>
      <c r="Y221" s="5" t="inlineStr">
        <is>
          <t>2027(MW)</t>
        </is>
      </c>
      <c r="Z221" s="5" t="inlineStr">
        <is>
          <t>2028(MW)</t>
        </is>
      </c>
      <c r="AA221" s="5" t="inlineStr">
        <is>
          <t>2029(MW)</t>
        </is>
      </c>
      <c r="AB221" s="5" t="inlineStr">
        <is>
          <t>2030(MW)</t>
        </is>
      </c>
      <c r="AC221" s="5" t="inlineStr">
        <is>
          <t>2031(MW)</t>
        </is>
      </c>
    </row>
    <row r="222">
      <c r="A222" s="9" t="inlineStr">
        <is>
          <t>법인세차감전 순이익</t>
        </is>
      </c>
      <c r="C222" s="12" t="n">
        <v>62603</v>
      </c>
      <c r="D222" s="12" t="n">
        <v>114032</v>
      </c>
      <c r="E222" s="12" t="n">
        <v>18501</v>
      </c>
      <c r="F222" s="12" t="n">
        <v>55294</v>
      </c>
      <c r="G222" s="12" t="n">
        <v>84556</v>
      </c>
      <c r="H222" s="12" t="n">
        <v>133661</v>
      </c>
      <c r="I222" s="12" t="n">
        <v>17097</v>
      </c>
      <c r="J222" s="12" t="n">
        <v>40512</v>
      </c>
      <c r="K222" s="12" t="n">
        <v>73728</v>
      </c>
      <c r="L222" s="12" t="n">
        <v>140091</v>
      </c>
      <c r="M222" s="12" t="n">
        <v>32407</v>
      </c>
      <c r="N222" s="12" t="n">
        <v>64280</v>
      </c>
      <c r="O222" s="12" t="n">
        <v>63943</v>
      </c>
      <c r="P222" s="12" t="n">
        <v>56805</v>
      </c>
      <c r="Q222" s="12" t="n">
        <v>62287</v>
      </c>
      <c r="R222" s="12" t="n">
        <v>43860</v>
      </c>
      <c r="S222" s="12" t="n">
        <v>63284</v>
      </c>
      <c r="T222" s="12" t="n">
        <v>88487</v>
      </c>
      <c r="U222" s="12" t="n">
        <v>95746</v>
      </c>
      <c r="V222" s="12" t="n">
        <v>114032</v>
      </c>
      <c r="W222" s="12" t="n">
        <v>133661</v>
      </c>
      <c r="X222" s="12" t="n">
        <v>140091</v>
      </c>
    </row>
    <row r="223">
      <c r="A223" s="18" t="inlineStr">
        <is>
          <t>감가상각비</t>
        </is>
      </c>
      <c r="C223" s="20" t="n">
        <v>37662</v>
      </c>
      <c r="D223" s="20" t="n">
        <v>51875</v>
      </c>
      <c r="E223" s="20" t="n">
        <v>13963</v>
      </c>
      <c r="F223" s="20" t="n">
        <v>27430</v>
      </c>
      <c r="G223" s="20" t="n">
        <v>42578</v>
      </c>
      <c r="H223" s="20" t="n">
        <v>57341</v>
      </c>
      <c r="I223" s="20" t="n">
        <v>15021</v>
      </c>
      <c r="J223" s="20" t="n">
        <v>30314</v>
      </c>
      <c r="K223" s="20" t="n">
        <v>46455</v>
      </c>
      <c r="L223" s="20" t="n">
        <v>61778</v>
      </c>
      <c r="M223" s="20" t="n">
        <v>15118</v>
      </c>
      <c r="N223" s="20" t="n">
        <v>30343</v>
      </c>
      <c r="O223" s="20" t="n">
        <v>29445</v>
      </c>
      <c r="P223" s="20" t="n">
        <v>30151</v>
      </c>
      <c r="Q223" s="20" t="n">
        <v>30906</v>
      </c>
      <c r="R223" s="20" t="n">
        <v>32319</v>
      </c>
      <c r="S223" s="20" t="n">
        <v>36194</v>
      </c>
      <c r="T223" s="20" t="n">
        <v>39969</v>
      </c>
      <c r="U223" s="20" t="n">
        <v>45938</v>
      </c>
      <c r="V223" s="20" t="n">
        <v>51875</v>
      </c>
      <c r="W223" s="20" t="n">
        <v>57341</v>
      </c>
      <c r="X223" s="20" t="n">
        <v>61778</v>
      </c>
    </row>
    <row r="224">
      <c r="A224" s="18" t="inlineStr">
        <is>
          <t>대손충당금 증감</t>
        </is>
      </c>
      <c r="C224" s="20" t="n">
        <v>2241</v>
      </c>
      <c r="D224" s="20" t="n">
        <v>4241</v>
      </c>
      <c r="E224" s="20" t="n">
        <v>-43</v>
      </c>
      <c r="F224" s="20" t="n">
        <v>-123</v>
      </c>
      <c r="G224" s="20" t="n">
        <v>1373</v>
      </c>
      <c r="H224" s="20" t="n">
        <v>1277</v>
      </c>
      <c r="I224" s="20" t="n">
        <v>-133</v>
      </c>
      <c r="J224" s="20" t="n">
        <v>-353</v>
      </c>
      <c r="K224" s="20" t="n">
        <v>-1254</v>
      </c>
      <c r="L224" s="20" t="n">
        <v>-1714</v>
      </c>
      <c r="M224" s="20" t="n">
        <v>-151</v>
      </c>
      <c r="N224" s="20" t="n">
        <v>556</v>
      </c>
      <c r="O224" s="20" t="n">
        <v>41</v>
      </c>
      <c r="P224" s="20" t="n">
        <v>-347</v>
      </c>
      <c r="Q224" s="20" t="n">
        <v>802</v>
      </c>
      <c r="R224" s="20" t="n">
        <v>352</v>
      </c>
      <c r="S224" s="20" t="n">
        <v>1268</v>
      </c>
      <c r="T224" s="20" t="n">
        <v>1006</v>
      </c>
      <c r="U224" s="20" t="n">
        <v>2347</v>
      </c>
      <c r="V224" s="20" t="n">
        <v>4241</v>
      </c>
      <c r="W224" s="20" t="n">
        <v>1277</v>
      </c>
      <c r="X224" s="20" t="n">
        <v>-1714</v>
      </c>
    </row>
    <row r="225">
      <c r="A225" s="18" t="inlineStr">
        <is>
          <t>제품보증 충당금 증감</t>
        </is>
      </c>
      <c r="D225" s="20" t="n">
        <v>-1071</v>
      </c>
      <c r="H225" s="20" t="n">
        <v>986</v>
      </c>
      <c r="L225" s="20" t="n">
        <v>-430</v>
      </c>
      <c r="R225" s="20" t="n">
        <v>60</v>
      </c>
      <c r="S225" s="20" t="n">
        <v>15478</v>
      </c>
      <c r="T225" s="20" t="n">
        <v>-8711</v>
      </c>
      <c r="U225" s="20" t="n">
        <v>-3506</v>
      </c>
      <c r="V225" s="20" t="n">
        <v>-1071</v>
      </c>
      <c r="W225" s="20" t="n">
        <v>986</v>
      </c>
      <c r="X225" s="20" t="n">
        <v>-430</v>
      </c>
    </row>
    <row r="226">
      <c r="A226" s="18" t="inlineStr">
        <is>
          <t>제품보증 충당금 증감</t>
        </is>
      </c>
      <c r="C226" s="20" t="n">
        <v>-995</v>
      </c>
      <c r="E226" s="20" t="n">
        <v>-40</v>
      </c>
      <c r="F226" s="20" t="n">
        <v>-115</v>
      </c>
      <c r="G226" s="20" t="n">
        <v>-154</v>
      </c>
      <c r="I226" s="20" t="n">
        <v>-20</v>
      </c>
      <c r="J226" s="20" t="n">
        <v>24</v>
      </c>
      <c r="K226" s="20" t="n">
        <v>107</v>
      </c>
      <c r="M226" s="20" t="n">
        <v>5</v>
      </c>
      <c r="N226" s="20" t="n">
        <v>-19</v>
      </c>
    </row>
    <row r="227">
      <c r="A227" s="18" t="inlineStr">
        <is>
          <t>이자·배당금 수익</t>
        </is>
      </c>
      <c r="C227" s="20" t="n">
        <v>-2336</v>
      </c>
      <c r="D227" s="20" t="n">
        <v>-3346</v>
      </c>
      <c r="E227" s="20" t="n">
        <v>-1156</v>
      </c>
      <c r="F227" s="20" t="n">
        <v>-1352</v>
      </c>
      <c r="G227" s="20" t="n">
        <v>-2047</v>
      </c>
      <c r="H227" s="20" t="n">
        <v>-3475</v>
      </c>
      <c r="I227" s="20" t="n">
        <v>-1068</v>
      </c>
      <c r="J227" s="20" t="n">
        <v>-1314</v>
      </c>
      <c r="K227" s="20" t="n">
        <v>-2150</v>
      </c>
      <c r="L227" s="20" t="n">
        <v>-3342</v>
      </c>
      <c r="M227" s="20" t="n">
        <v>-1806</v>
      </c>
      <c r="N227" s="20" t="n">
        <v>-1958</v>
      </c>
      <c r="O227" s="20" t="n">
        <v>-2822</v>
      </c>
      <c r="P227" s="20" t="n">
        <v>-2503</v>
      </c>
      <c r="Q227" s="20" t="n">
        <v>-3122</v>
      </c>
      <c r="R227" s="20" t="n">
        <v>-2830</v>
      </c>
      <c r="S227" s="20" t="n">
        <v>-2955</v>
      </c>
      <c r="T227" s="20" t="n">
        <v>-2885</v>
      </c>
      <c r="U227" s="20" t="n">
        <v>-3742</v>
      </c>
      <c r="V227" s="20" t="n">
        <v>-3346</v>
      </c>
      <c r="W227" s="20" t="n">
        <v>-3475</v>
      </c>
      <c r="X227" s="20" t="n">
        <v>-3342</v>
      </c>
    </row>
    <row r="228">
      <c r="A228" s="18" t="inlineStr">
        <is>
          <t>이자비용</t>
        </is>
      </c>
      <c r="C228" s="20" t="n">
        <v>1492</v>
      </c>
      <c r="D228" s="20" t="n">
        <v>2101</v>
      </c>
      <c r="E228" s="20" t="n">
        <v>757</v>
      </c>
      <c r="F228" s="20" t="n">
        <v>1594</v>
      </c>
      <c r="G228" s="20" t="n">
        <v>2524</v>
      </c>
      <c r="H228" s="20" t="n">
        <v>3335</v>
      </c>
      <c r="I228" s="20" t="n">
        <v>806</v>
      </c>
      <c r="J228" s="20" t="n">
        <v>1603</v>
      </c>
      <c r="K228" s="20" t="n">
        <v>2339</v>
      </c>
      <c r="L228" s="20" t="n">
        <v>3067</v>
      </c>
      <c r="M228" s="20" t="n">
        <v>653</v>
      </c>
      <c r="N228" s="20" t="n">
        <v>1307</v>
      </c>
      <c r="O228" s="20" t="n">
        <v>2135</v>
      </c>
      <c r="P228" s="20" t="n">
        <v>1621</v>
      </c>
      <c r="Q228" s="20" t="n">
        <v>1377</v>
      </c>
      <c r="R228" s="20" t="n">
        <v>1405</v>
      </c>
      <c r="S228" s="20" t="n">
        <v>1441</v>
      </c>
      <c r="T228" s="20" t="n">
        <v>1744</v>
      </c>
      <c r="U228" s="20" t="n">
        <v>1993</v>
      </c>
      <c r="V228" s="20" t="n">
        <v>2101</v>
      </c>
      <c r="W228" s="20" t="n">
        <v>3335</v>
      </c>
      <c r="X228" s="20" t="n">
        <v>3067</v>
      </c>
    </row>
    <row r="229">
      <c r="A229" s="18" t="inlineStr">
        <is>
          <t>외환차손익</t>
        </is>
      </c>
      <c r="C229" s="20" t="n">
        <v>-290</v>
      </c>
      <c r="D229" s="20" t="n">
        <v>-428</v>
      </c>
      <c r="E229" s="20" t="n">
        <v>-207</v>
      </c>
      <c r="F229" s="20" t="n">
        <v>96</v>
      </c>
      <c r="G229" s="20" t="n">
        <v>-139</v>
      </c>
      <c r="H229" s="20" t="n">
        <v>-162</v>
      </c>
      <c r="I229" s="20" t="n">
        <v>104</v>
      </c>
      <c r="J229" s="20" t="n">
        <v>198</v>
      </c>
      <c r="K229" s="20" t="n">
        <v>140</v>
      </c>
      <c r="L229" s="20" t="n">
        <v>-56</v>
      </c>
      <c r="M229" s="20" t="n">
        <v>-91</v>
      </c>
      <c r="N229" s="20" t="n">
        <v>-212</v>
      </c>
      <c r="O229" s="20" t="n">
        <v>-53</v>
      </c>
      <c r="P229" s="20" t="n">
        <v>741</v>
      </c>
      <c r="Q229" s="20" t="n">
        <v>-544</v>
      </c>
      <c r="R229" s="20" t="n">
        <v>149</v>
      </c>
      <c r="S229" s="20" t="n">
        <v>204</v>
      </c>
      <c r="T229" s="20" t="n">
        <v>-226</v>
      </c>
      <c r="U229" s="20" t="n">
        <v>-474</v>
      </c>
      <c r="V229" s="20" t="n">
        <v>-428</v>
      </c>
      <c r="W229" s="20" t="n">
        <v>-162</v>
      </c>
      <c r="X229" s="20" t="n">
        <v>-56</v>
      </c>
    </row>
    <row r="230">
      <c r="A230" s="18" t="inlineStr">
        <is>
          <t>고정자산 매각손익</t>
        </is>
      </c>
      <c r="C230" s="20" t="n">
        <v>-911</v>
      </c>
      <c r="D230" s="20" t="n">
        <v>-966</v>
      </c>
      <c r="E230" s="20" t="n">
        <v>-90</v>
      </c>
      <c r="F230" s="20" t="n">
        <v>-100</v>
      </c>
      <c r="G230" s="20" t="n">
        <v>-117</v>
      </c>
      <c r="H230" s="20" t="n">
        <v>-132</v>
      </c>
      <c r="I230" s="20" t="n">
        <v>-3</v>
      </c>
      <c r="J230" s="20" t="n">
        <v>-14</v>
      </c>
      <c r="K230" s="20" t="n">
        <v>-1427</v>
      </c>
      <c r="L230" s="20" t="n">
        <v>-1456</v>
      </c>
      <c r="M230" s="20" t="n">
        <v>-18</v>
      </c>
      <c r="N230" s="20" t="n">
        <v>-26</v>
      </c>
      <c r="O230" s="20" t="n">
        <v>-55</v>
      </c>
      <c r="P230" s="20" t="n">
        <v>-209</v>
      </c>
      <c r="Q230" s="20" t="n">
        <v>-96</v>
      </c>
      <c r="R230" s="20" t="n">
        <v>-245</v>
      </c>
      <c r="S230" s="20" t="n">
        <v>-280</v>
      </c>
      <c r="T230" s="20" t="n">
        <v>-179</v>
      </c>
      <c r="U230" s="20" t="n">
        <v>-939</v>
      </c>
      <c r="V230" s="20" t="n">
        <v>-966</v>
      </c>
      <c r="W230" s="20" t="n">
        <v>-132</v>
      </c>
      <c r="X230" s="20" t="n">
        <v>-1456</v>
      </c>
    </row>
    <row r="231">
      <c r="A231" s="18" t="inlineStr">
        <is>
          <t>투자유가증권 매각손익</t>
        </is>
      </c>
      <c r="C231" s="20" t="n">
        <v>-5953</v>
      </c>
      <c r="D231" s="20" t="n">
        <v>-6855</v>
      </c>
      <c r="E231" s="20" t="n">
        <v>-247</v>
      </c>
      <c r="F231" s="20" t="n">
        <v>-16612</v>
      </c>
      <c r="G231" s="20" t="n">
        <v>-16618</v>
      </c>
      <c r="H231" s="20" t="n">
        <v>-16644</v>
      </c>
      <c r="I231" s="20" t="n">
        <v>0</v>
      </c>
      <c r="J231" s="20" t="n">
        <v>-62</v>
      </c>
      <c r="K231" s="20" t="n">
        <v>-62</v>
      </c>
      <c r="L231" s="20" t="n">
        <v>-4127</v>
      </c>
      <c r="M231" s="20" t="n">
        <v>-6965</v>
      </c>
      <c r="N231" s="20" t="n">
        <v>-6965</v>
      </c>
      <c r="O231" s="20" t="n">
        <v>-18849</v>
      </c>
      <c r="P231" s="20" t="n">
        <v>-1691</v>
      </c>
      <c r="Q231" s="20" t="n">
        <v>-1055</v>
      </c>
      <c r="R231" s="20" t="n">
        <v>-2525</v>
      </c>
      <c r="S231" s="20" t="n">
        <v>-40864</v>
      </c>
      <c r="T231" s="20" t="n">
        <v>-10359</v>
      </c>
      <c r="U231" s="20" t="n">
        <v>-9917</v>
      </c>
      <c r="V231" s="20" t="n">
        <v>-6855</v>
      </c>
      <c r="W231" s="20" t="n">
        <v>-16644</v>
      </c>
      <c r="X231" s="20" t="n">
        <v>-4127</v>
      </c>
    </row>
    <row r="232">
      <c r="A232" s="18" t="inlineStr">
        <is>
          <t>관계회사 정리손실 충당금 전입</t>
        </is>
      </c>
      <c r="D232" s="20" t="n">
        <v>0</v>
      </c>
      <c r="T232" s="20" t="n">
        <v>0</v>
      </c>
      <c r="U232" s="20" t="n">
        <v>1115</v>
      </c>
      <c r="V232" s="20" t="n">
        <v>0</v>
      </c>
    </row>
    <row r="233">
      <c r="A233" s="18" t="inlineStr">
        <is>
          <t>생산거점 통합 비용</t>
        </is>
      </c>
      <c r="S233" s="20" t="n">
        <v>0</v>
      </c>
      <c r="T233" s="20" t="n">
        <v>335</v>
      </c>
      <c r="U233" s="20" t="n">
        <v>0</v>
      </c>
    </row>
    <row r="234">
      <c r="A234" s="18" t="inlineStr">
        <is>
          <t>사업 철수 손실</t>
        </is>
      </c>
      <c r="S234" s="20" t="n">
        <v>0</v>
      </c>
      <c r="T234" s="20" t="n">
        <v>141</v>
      </c>
      <c r="U234" s="20" t="n">
        <v>0</v>
      </c>
    </row>
    <row r="235">
      <c r="A235" s="18" t="inlineStr">
        <is>
          <t>매출채권·계약자산 증감</t>
        </is>
      </c>
      <c r="S235" s="20" t="n">
        <v>0</v>
      </c>
      <c r="T235" s="20" t="n">
        <v>-749</v>
      </c>
      <c r="U235" s="20" t="n">
        <v>-28444</v>
      </c>
    </row>
    <row r="236">
      <c r="A236" s="18" t="inlineStr">
        <is>
          <t>고정자산 처분손익</t>
        </is>
      </c>
      <c r="C236" s="20" t="n">
        <v>900</v>
      </c>
      <c r="D236" s="20" t="n">
        <v>1441</v>
      </c>
      <c r="E236" s="20" t="n">
        <v>87</v>
      </c>
      <c r="F236" s="20" t="n">
        <v>367</v>
      </c>
      <c r="G236" s="20" t="n">
        <v>550</v>
      </c>
      <c r="H236" s="20" t="n">
        <v>987</v>
      </c>
      <c r="I236" s="20" t="n">
        <v>230</v>
      </c>
      <c r="J236" s="20" t="n">
        <v>892</v>
      </c>
      <c r="K236" s="20" t="n">
        <v>1094</v>
      </c>
      <c r="L236" s="20" t="n">
        <v>1347</v>
      </c>
      <c r="M236" s="20" t="n">
        <v>183</v>
      </c>
      <c r="N236" s="20" t="n">
        <v>306</v>
      </c>
      <c r="O236" s="20" t="n">
        <v>568</v>
      </c>
      <c r="P236" s="20" t="n">
        <v>366</v>
      </c>
      <c r="Q236" s="20" t="n">
        <v>1121</v>
      </c>
      <c r="R236" s="20" t="n">
        <v>1517</v>
      </c>
      <c r="S236" s="20" t="n">
        <v>552</v>
      </c>
      <c r="T236" s="20" t="n">
        <v>632</v>
      </c>
      <c r="U236" s="20" t="n">
        <v>569</v>
      </c>
      <c r="V236" s="20" t="n">
        <v>1441</v>
      </c>
      <c r="W236" s="20" t="n">
        <v>987</v>
      </c>
      <c r="X236" s="20" t="n">
        <v>1347</v>
      </c>
    </row>
    <row r="237">
      <c r="A237" s="18" t="inlineStr">
        <is>
          <t>투자유가증권 평가손익</t>
        </is>
      </c>
      <c r="D237" s="20" t="n">
        <v>171</v>
      </c>
      <c r="H237" s="20" t="n">
        <v>107</v>
      </c>
      <c r="L237" s="20" t="n">
        <v>51</v>
      </c>
      <c r="O237" s="20" t="n">
        <v>244</v>
      </c>
      <c r="P237" s="20" t="n">
        <v>776</v>
      </c>
      <c r="Q237" s="20" t="n">
        <v>279</v>
      </c>
      <c r="R237" s="20" t="n">
        <v>1481</v>
      </c>
      <c r="S237" s="20" t="n">
        <v>1018</v>
      </c>
      <c r="T237" s="20" t="n">
        <v>239</v>
      </c>
      <c r="U237" s="20" t="n">
        <v>1236</v>
      </c>
      <c r="V237" s="20" t="n">
        <v>171</v>
      </c>
      <c r="W237" s="20" t="n">
        <v>107</v>
      </c>
      <c r="X237" s="20" t="n">
        <v>51</v>
      </c>
    </row>
    <row r="238">
      <c r="A238" s="18" t="inlineStr">
        <is>
          <t>화해금</t>
        </is>
      </c>
      <c r="D238" s="20" t="n">
        <v>0</v>
      </c>
      <c r="H238" s="20" t="n">
        <v>3780</v>
      </c>
      <c r="L238" s="20" t="n">
        <v>0</v>
      </c>
      <c r="V238" s="20" t="n">
        <v>0</v>
      </c>
      <c r="W238" s="20" t="n">
        <v>3780</v>
      </c>
      <c r="X238" s="20" t="n">
        <v>0</v>
      </c>
    </row>
    <row r="239">
      <c r="A239" s="18" t="inlineStr">
        <is>
          <t>화해금 수령</t>
        </is>
      </c>
      <c r="D239" s="20" t="n">
        <v>0</v>
      </c>
      <c r="H239" s="20" t="n">
        <v>-3000</v>
      </c>
      <c r="L239" s="20" t="n">
        <v>0</v>
      </c>
      <c r="V239" s="20" t="n">
        <v>0</v>
      </c>
      <c r="W239" s="20" t="n">
        <v>-3000</v>
      </c>
      <c r="X239" s="20" t="n">
        <v>0</v>
      </c>
    </row>
    <row r="240">
      <c r="A240" s="18" t="inlineStr">
        <is>
          <t>손상차손</t>
        </is>
      </c>
      <c r="F240" s="20" t="n">
        <v>0</v>
      </c>
      <c r="G240" s="20" t="n">
        <v>0</v>
      </c>
      <c r="H240" s="20" t="n">
        <v>0</v>
      </c>
      <c r="J240" s="20" t="n">
        <v>405</v>
      </c>
      <c r="K240" s="20" t="n">
        <v>426</v>
      </c>
      <c r="L240" s="20" t="n">
        <v>2947</v>
      </c>
      <c r="N240" s="20" t="n">
        <v>0</v>
      </c>
      <c r="O240" s="20" t="n">
        <v>1356</v>
      </c>
      <c r="P240" s="20" t="n">
        <v>0</v>
      </c>
      <c r="Q240" s="20" t="n">
        <v>2242</v>
      </c>
      <c r="R240" s="20" t="n">
        <v>0</v>
      </c>
      <c r="S240" s="20" t="n">
        <v>963</v>
      </c>
      <c r="T240" s="20" t="n">
        <v>0</v>
      </c>
      <c r="W240" s="20" t="n">
        <v>0</v>
      </c>
      <c r="X240" s="20" t="n">
        <v>2947</v>
      </c>
    </row>
    <row r="241">
      <c r="A241" s="18" t="inlineStr">
        <is>
          <t>환산조정 환입이익</t>
        </is>
      </c>
      <c r="P241" s="20" t="n">
        <v>0</v>
      </c>
      <c r="Q241" s="20" t="n">
        <v>-1299</v>
      </c>
      <c r="R241" s="20" t="n">
        <v>0</v>
      </c>
    </row>
    <row r="242">
      <c r="A242" s="18" t="inlineStr">
        <is>
          <t>매출채권 증감</t>
        </is>
      </c>
      <c r="O242" s="20" t="n">
        <v>-14107</v>
      </c>
      <c r="P242" s="20" t="n">
        <v>-16633</v>
      </c>
      <c r="Q242" s="20" t="n">
        <v>-21949</v>
      </c>
      <c r="R242" s="20" t="n">
        <v>12127</v>
      </c>
      <c r="S242" s="20" t="n">
        <v>-20852</v>
      </c>
      <c r="T242" s="20" t="n">
        <v>0</v>
      </c>
    </row>
    <row r="243">
      <c r="A243" s="18" t="inlineStr">
        <is>
          <t>특별퇴직금</t>
        </is>
      </c>
      <c r="G243" s="20" t="n">
        <v>0</v>
      </c>
      <c r="H243" s="20" t="n">
        <v>0</v>
      </c>
      <c r="K243" s="20" t="n">
        <v>446</v>
      </c>
      <c r="L243" s="20" t="n">
        <v>456</v>
      </c>
      <c r="W243" s="20" t="n">
        <v>0</v>
      </c>
      <c r="X243" s="20" t="n">
        <v>456</v>
      </c>
    </row>
    <row r="244">
      <c r="A244" s="18" t="inlineStr">
        <is>
          <t>매출채권·계약자산 증감</t>
        </is>
      </c>
      <c r="C244" s="20" t="n">
        <v>28724</v>
      </c>
      <c r="D244" s="20" t="n">
        <v>-35699</v>
      </c>
      <c r="E244" s="20" t="n">
        <v>78286</v>
      </c>
      <c r="F244" s="20" t="n">
        <v>77899</v>
      </c>
      <c r="G244" s="20" t="n">
        <v>48179</v>
      </c>
      <c r="H244" s="20" t="n">
        <v>11770</v>
      </c>
      <c r="I244" s="20" t="n">
        <v>60434</v>
      </c>
      <c r="J244" s="20" t="n">
        <v>42023</v>
      </c>
      <c r="K244" s="20" t="n">
        <v>47460</v>
      </c>
      <c r="L244" s="20" t="n">
        <v>-21181</v>
      </c>
      <c r="M244" s="20" t="n">
        <v>85150</v>
      </c>
      <c r="N244" s="20" t="n">
        <v>58224</v>
      </c>
      <c r="U244" s="20" t="n">
        <v>-28444</v>
      </c>
      <c r="V244" s="20" t="n">
        <v>-35699</v>
      </c>
      <c r="W244" s="20" t="n">
        <v>11770</v>
      </c>
      <c r="X244" s="20" t="n">
        <v>-21181</v>
      </c>
    </row>
    <row r="245">
      <c r="A245" s="18" t="inlineStr">
        <is>
          <t>재고자산 증감</t>
        </is>
      </c>
      <c r="C245" s="20" t="n">
        <v>-36273</v>
      </c>
      <c r="D245" s="20" t="n">
        <v>-21360</v>
      </c>
      <c r="E245" s="20" t="n">
        <v>-17228</v>
      </c>
      <c r="F245" s="20" t="n">
        <v>-19214</v>
      </c>
      <c r="G245" s="20" t="n">
        <v>-24795</v>
      </c>
      <c r="H245" s="20" t="n">
        <v>-11670</v>
      </c>
      <c r="I245" s="20" t="n">
        <v>-15096</v>
      </c>
      <c r="J245" s="20" t="n">
        <v>-16493</v>
      </c>
      <c r="K245" s="20" t="n">
        <v>-26276</v>
      </c>
      <c r="L245" s="20" t="n">
        <v>-11583</v>
      </c>
      <c r="M245" s="20" t="n">
        <v>-21019</v>
      </c>
      <c r="N245" s="20" t="n">
        <v>-28625</v>
      </c>
      <c r="O245" s="20" t="n">
        <v>1557</v>
      </c>
      <c r="P245" s="20" t="n">
        <v>-6933</v>
      </c>
      <c r="Q245" s="20" t="n">
        <v>-26937</v>
      </c>
      <c r="R245" s="20" t="n">
        <v>-11873</v>
      </c>
      <c r="S245" s="20" t="n">
        <v>7513</v>
      </c>
      <c r="T245" s="20" t="n">
        <v>-5707</v>
      </c>
      <c r="U245" s="20" t="n">
        <v>-25709</v>
      </c>
      <c r="V245" s="20" t="n">
        <v>-21360</v>
      </c>
      <c r="W245" s="20" t="n">
        <v>-11670</v>
      </c>
      <c r="X245" s="20" t="n">
        <v>-11583</v>
      </c>
    </row>
    <row r="246">
      <c r="A246" s="18" t="inlineStr">
        <is>
          <t>매입채무 증감</t>
        </is>
      </c>
      <c r="C246" s="20" t="n">
        <v>-19872</v>
      </c>
      <c r="D246" s="20" t="n">
        <v>3516</v>
      </c>
      <c r="E246" s="20" t="n">
        <v>-18522</v>
      </c>
      <c r="F246" s="20" t="n">
        <v>-34959</v>
      </c>
      <c r="G246" s="20" t="n">
        <v>-15846</v>
      </c>
      <c r="H246" s="20" t="n">
        <v>-14999</v>
      </c>
      <c r="I246" s="20" t="n">
        <v>-31925</v>
      </c>
      <c r="J246" s="20" t="n">
        <v>-17130</v>
      </c>
      <c r="K246" s="20" t="n">
        <v>-13457</v>
      </c>
      <c r="L246" s="20" t="n">
        <v>-3581</v>
      </c>
      <c r="M246" s="20" t="n">
        <v>-26772</v>
      </c>
      <c r="N246" s="20" t="n">
        <v>-17015</v>
      </c>
      <c r="O246" s="20" t="n">
        <v>7169</v>
      </c>
      <c r="P246" s="20" t="n">
        <v>18645</v>
      </c>
      <c r="Q246" s="20" t="n">
        <v>12410</v>
      </c>
      <c r="R246" s="20" t="n">
        <v>-15159</v>
      </c>
      <c r="S246" s="20" t="n">
        <v>-15881</v>
      </c>
      <c r="T246" s="20" t="n">
        <v>-2623</v>
      </c>
      <c r="U246" s="20" t="n">
        <v>28711</v>
      </c>
      <c r="V246" s="20" t="n">
        <v>3516</v>
      </c>
      <c r="W246" s="20" t="n">
        <v>-14999</v>
      </c>
      <c r="X246" s="20" t="n">
        <v>-3581</v>
      </c>
    </row>
    <row r="247">
      <c r="A247" s="18" t="inlineStr">
        <is>
          <t>선수금 증감</t>
        </is>
      </c>
      <c r="O247" s="20" t="n">
        <v>4909</v>
      </c>
      <c r="P247" s="20" t="n">
        <v>3487</v>
      </c>
      <c r="Q247" s="20" t="n">
        <v>-3129</v>
      </c>
      <c r="R247" s="20" t="n">
        <v>1557</v>
      </c>
      <c r="S247" s="20" t="n">
        <v>-12185</v>
      </c>
      <c r="T247" s="20" t="n">
        <v>0</v>
      </c>
    </row>
    <row r="248">
      <c r="A248" s="18" t="inlineStr">
        <is>
          <t>계약부채 증감</t>
        </is>
      </c>
      <c r="S248" s="20" t="n">
        <v>0</v>
      </c>
      <c r="T248" s="20" t="n">
        <v>9339</v>
      </c>
      <c r="U248" s="20" t="n">
        <v>9748</v>
      </c>
    </row>
    <row r="249">
      <c r="A249" s="18" t="inlineStr">
        <is>
          <t>계약부채 증감</t>
        </is>
      </c>
      <c r="C249" s="20" t="n">
        <v>12180</v>
      </c>
      <c r="D249" s="20" t="n">
        <v>4357</v>
      </c>
      <c r="E249" s="20" t="n">
        <v>24882</v>
      </c>
      <c r="F249" s="20" t="n">
        <v>32044</v>
      </c>
      <c r="G249" s="20" t="n">
        <v>22105</v>
      </c>
      <c r="H249" s="20" t="n">
        <v>12104</v>
      </c>
      <c r="I249" s="20" t="n">
        <v>-1616</v>
      </c>
      <c r="J249" s="20" t="n">
        <v>-4422</v>
      </c>
      <c r="K249" s="20" t="n">
        <v>12323</v>
      </c>
      <c r="L249" s="20" t="n">
        <v>10836</v>
      </c>
      <c r="M249" s="20" t="n">
        <v>14811</v>
      </c>
      <c r="N249" s="20" t="n">
        <v>25256</v>
      </c>
      <c r="U249" s="20" t="n">
        <v>9748</v>
      </c>
      <c r="V249" s="20" t="n">
        <v>4357</v>
      </c>
      <c r="W249" s="20" t="n">
        <v>12104</v>
      </c>
      <c r="X249" s="20" t="n">
        <v>10836</v>
      </c>
    </row>
    <row r="250">
      <c r="A250" s="18" t="inlineStr">
        <is>
          <t>기타</t>
        </is>
      </c>
      <c r="C250" s="20" t="n">
        <v>-23686</v>
      </c>
      <c r="D250" s="20" t="n">
        <v>3060</v>
      </c>
      <c r="E250" s="20" t="n">
        <v>-17925</v>
      </c>
      <c r="F250" s="20" t="n">
        <v>-16884</v>
      </c>
      <c r="G250" s="20" t="n">
        <v>-26510</v>
      </c>
      <c r="H250" s="20" t="n">
        <v>128</v>
      </c>
      <c r="I250" s="20" t="n">
        <v>-7916</v>
      </c>
      <c r="J250" s="20" t="n">
        <v>-13565</v>
      </c>
      <c r="K250" s="20" t="n">
        <v>-24579</v>
      </c>
      <c r="L250" s="20" t="n">
        <v>-10573</v>
      </c>
      <c r="M250" s="20" t="n">
        <v>-15566</v>
      </c>
      <c r="N250" s="20" t="n">
        <v>-14509</v>
      </c>
      <c r="O250" s="20" t="n">
        <v>-7411</v>
      </c>
      <c r="P250" s="20" t="n">
        <v>4380</v>
      </c>
      <c r="Q250" s="20" t="n">
        <v>12186</v>
      </c>
      <c r="R250" s="20" t="n">
        <v>-961</v>
      </c>
      <c r="S250" s="20" t="n">
        <v>862</v>
      </c>
      <c r="T250" s="20" t="n">
        <v>-9623</v>
      </c>
      <c r="U250" s="20" t="n">
        <v>22933</v>
      </c>
      <c r="V250" s="20" t="n">
        <v>3060</v>
      </c>
      <c r="W250" s="20" t="n">
        <v>128</v>
      </c>
      <c r="X250" s="20" t="n">
        <v>-10573</v>
      </c>
    </row>
    <row r="251">
      <c r="A251" s="18" t="inlineStr">
        <is>
          <t>소계</t>
        </is>
      </c>
      <c r="C251" s="20" t="n">
        <v>55486</v>
      </c>
      <c r="D251" s="20" t="n">
        <v>115068</v>
      </c>
      <c r="E251" s="20" t="n">
        <v>81017</v>
      </c>
      <c r="F251" s="20" t="n">
        <v>105365</v>
      </c>
      <c r="G251" s="20" t="n">
        <v>115636</v>
      </c>
      <c r="H251" s="20" t="n">
        <v>175395</v>
      </c>
      <c r="I251" s="20" t="n">
        <v>35914</v>
      </c>
      <c r="J251" s="20" t="n">
        <v>62617</v>
      </c>
      <c r="K251" s="20" t="n">
        <v>115316</v>
      </c>
      <c r="L251" s="20" t="n">
        <v>162529</v>
      </c>
      <c r="M251" s="20" t="n">
        <v>75936</v>
      </c>
      <c r="N251" s="20" t="n">
        <v>110943</v>
      </c>
      <c r="O251" s="20" t="n">
        <v>68073</v>
      </c>
      <c r="P251" s="20" t="n">
        <v>88657</v>
      </c>
      <c r="Q251" s="20" t="n">
        <v>65479</v>
      </c>
      <c r="R251" s="20" t="n">
        <v>61235</v>
      </c>
      <c r="S251" s="20" t="n">
        <v>35762</v>
      </c>
      <c r="T251" s="20" t="n">
        <v>100829</v>
      </c>
      <c r="U251" s="20" t="n">
        <v>137607</v>
      </c>
      <c r="V251" s="20" t="n">
        <v>115068</v>
      </c>
      <c r="W251" s="20" t="n">
        <v>175395</v>
      </c>
      <c r="X251" s="20" t="n">
        <v>162529</v>
      </c>
    </row>
    <row r="252">
      <c r="A252" s="18" t="inlineStr">
        <is>
          <t>이자·배당금 수취</t>
        </is>
      </c>
      <c r="C252" s="20" t="n">
        <v>2305</v>
      </c>
      <c r="D252" s="20" t="n">
        <v>3438</v>
      </c>
      <c r="E252" s="20" t="n">
        <v>1148</v>
      </c>
      <c r="F252" s="20" t="n">
        <v>1365</v>
      </c>
      <c r="G252" s="20" t="n">
        <v>2057</v>
      </c>
      <c r="H252" s="20" t="n">
        <v>3474</v>
      </c>
      <c r="I252" s="20" t="n">
        <v>1067</v>
      </c>
      <c r="J252" s="20" t="n">
        <v>1322</v>
      </c>
      <c r="K252" s="20" t="n">
        <v>2157</v>
      </c>
      <c r="L252" s="20" t="n">
        <v>3327</v>
      </c>
      <c r="M252" s="20" t="n">
        <v>1813</v>
      </c>
      <c r="N252" s="20" t="n">
        <v>1985</v>
      </c>
      <c r="O252" s="20" t="n">
        <v>2838</v>
      </c>
      <c r="P252" s="20" t="n">
        <v>2507</v>
      </c>
      <c r="Q252" s="20" t="n">
        <v>3142</v>
      </c>
      <c r="R252" s="20" t="n">
        <v>2830</v>
      </c>
      <c r="S252" s="20" t="n">
        <v>2959</v>
      </c>
      <c r="T252" s="20" t="n">
        <v>2847</v>
      </c>
      <c r="U252" s="20" t="n">
        <v>3679</v>
      </c>
      <c r="V252" s="20" t="n">
        <v>3438</v>
      </c>
      <c r="W252" s="20" t="n">
        <v>3474</v>
      </c>
      <c r="X252" s="20" t="n">
        <v>3327</v>
      </c>
    </row>
    <row r="253">
      <c r="A253" s="18" t="inlineStr">
        <is>
          <t>이자 지급</t>
        </is>
      </c>
      <c r="C253" s="20" t="n">
        <v>-1576</v>
      </c>
      <c r="D253" s="20" t="n">
        <v>-2166</v>
      </c>
      <c r="E253" s="20" t="n">
        <v>-768</v>
      </c>
      <c r="F253" s="20" t="n">
        <v>-1546</v>
      </c>
      <c r="G253" s="20" t="n">
        <v>-2536</v>
      </c>
      <c r="H253" s="20" t="n">
        <v>-3286</v>
      </c>
      <c r="I253" s="20" t="n">
        <v>-868</v>
      </c>
      <c r="J253" s="20" t="n">
        <v>-1603</v>
      </c>
      <c r="K253" s="20" t="n">
        <v>-2400</v>
      </c>
      <c r="L253" s="20" t="n">
        <v>-3063</v>
      </c>
      <c r="M253" s="20" t="n">
        <v>-717</v>
      </c>
      <c r="N253" s="20" t="n">
        <v>-1313</v>
      </c>
      <c r="O253" s="20" t="n">
        <v>-2230</v>
      </c>
      <c r="P253" s="20" t="n">
        <v>-1652</v>
      </c>
      <c r="Q253" s="20" t="n">
        <v>-1412</v>
      </c>
      <c r="R253" s="20" t="n">
        <v>-1396</v>
      </c>
      <c r="S253" s="20" t="n">
        <v>-1416</v>
      </c>
      <c r="T253" s="20" t="n">
        <v>-1738</v>
      </c>
      <c r="U253" s="20" t="n">
        <v>-1996</v>
      </c>
      <c r="V253" s="20" t="n">
        <v>-2166</v>
      </c>
      <c r="W253" s="20" t="n">
        <v>-3286</v>
      </c>
      <c r="X253" s="20" t="n">
        <v>-3063</v>
      </c>
    </row>
    <row r="254">
      <c r="A254" s="18" t="inlineStr">
        <is>
          <t>법인세 납부</t>
        </is>
      </c>
      <c r="C254" s="20" t="n">
        <v>-17288</v>
      </c>
      <c r="D254" s="20" t="n">
        <v>-31481</v>
      </c>
      <c r="E254" s="20" t="n">
        <v>-15153</v>
      </c>
      <c r="F254" s="20" t="n">
        <v>-17640</v>
      </c>
      <c r="G254" s="20" t="n">
        <v>-18978</v>
      </c>
      <c r="H254" s="20" t="n">
        <v>-33662</v>
      </c>
      <c r="I254" s="20" t="n">
        <v>-24971</v>
      </c>
      <c r="J254" s="20" t="n">
        <v>-26431</v>
      </c>
      <c r="K254" s="20" t="n">
        <v>-34711</v>
      </c>
      <c r="L254" s="20" t="n">
        <v>-38774</v>
      </c>
      <c r="M254" s="20" t="n">
        <v>-25514</v>
      </c>
      <c r="N254" s="20" t="n">
        <v>-28839</v>
      </c>
      <c r="O254" s="20" t="n">
        <v>-10496</v>
      </c>
      <c r="P254" s="20" t="n">
        <v>-36365</v>
      </c>
      <c r="Q254" s="20" t="n">
        <v>-12260</v>
      </c>
      <c r="R254" s="20" t="n">
        <v>-16582</v>
      </c>
      <c r="S254" s="20" t="n">
        <v>-10374</v>
      </c>
      <c r="T254" s="20" t="n">
        <v>-25129</v>
      </c>
      <c r="U254" s="20" t="n">
        <v>-23126</v>
      </c>
      <c r="V254" s="20" t="n">
        <v>-31481</v>
      </c>
      <c r="W254" s="20" t="n">
        <v>-33662</v>
      </c>
      <c r="X254" s="20" t="n">
        <v>-38774</v>
      </c>
    </row>
    <row r="255">
      <c r="A255" s="18" t="inlineStr">
        <is>
          <t>화해금 수취액</t>
        </is>
      </c>
      <c r="D255" s="20" t="n">
        <v>0</v>
      </c>
      <c r="H255" s="20" t="n">
        <v>3000</v>
      </c>
      <c r="L255" s="20" t="n">
        <v>0</v>
      </c>
      <c r="V255" s="20" t="n">
        <v>0</v>
      </c>
      <c r="W255" s="20" t="n">
        <v>3000</v>
      </c>
      <c r="X255" s="20" t="n">
        <v>0</v>
      </c>
    </row>
    <row r="256">
      <c r="A256" s="18" t="inlineStr">
        <is>
          <t>특별퇴직금 지급액</t>
        </is>
      </c>
      <c r="G256" s="20" t="n">
        <v>0</v>
      </c>
      <c r="H256" s="20" t="n">
        <v>0</v>
      </c>
      <c r="K256" s="20" t="n">
        <v>-446</v>
      </c>
      <c r="L256" s="20" t="n">
        <v>-456</v>
      </c>
      <c r="W256" s="20" t="n">
        <v>0</v>
      </c>
      <c r="X256" s="20" t="n">
        <v>-456</v>
      </c>
    </row>
    <row r="257">
      <c r="A257" s="9" t="inlineStr">
        <is>
          <t>영업활동 현금흐름</t>
        </is>
      </c>
      <c r="C257" s="12" t="n">
        <v>38926</v>
      </c>
      <c r="D257" s="12" t="n">
        <v>84858</v>
      </c>
      <c r="E257" s="12" t="n">
        <v>66243</v>
      </c>
      <c r="F257" s="12" t="n">
        <v>87543</v>
      </c>
      <c r="G257" s="12" t="n">
        <v>96178</v>
      </c>
      <c r="H257" s="12" t="n">
        <v>144920</v>
      </c>
      <c r="I257" s="12" t="n">
        <v>11140</v>
      </c>
      <c r="J257" s="12" t="n">
        <v>35904</v>
      </c>
      <c r="K257" s="12" t="n">
        <v>79914</v>
      </c>
      <c r="L257" s="12" t="n">
        <v>123562</v>
      </c>
      <c r="M257" s="12" t="n">
        <v>51517</v>
      </c>
      <c r="N257" s="12" t="n">
        <v>82775</v>
      </c>
      <c r="O257" s="12" t="n">
        <v>58185</v>
      </c>
      <c r="P257" s="12" t="n">
        <v>53146</v>
      </c>
      <c r="Q257" s="12" t="n">
        <v>54949</v>
      </c>
      <c r="R257" s="12" t="n">
        <v>46087</v>
      </c>
      <c r="S257" s="12" t="n">
        <v>26931</v>
      </c>
      <c r="T257" s="12" t="n">
        <v>76809</v>
      </c>
      <c r="U257" s="12" t="n">
        <v>116163</v>
      </c>
      <c r="V257" s="12" t="n">
        <v>84858</v>
      </c>
      <c r="W257" s="12" t="n">
        <v>144920</v>
      </c>
      <c r="X257" s="12" t="n">
        <v>123562</v>
      </c>
    </row>
    <row r="258">
      <c r="A258" s="18" t="inlineStr">
        <is>
          <t>유형자산 취득(설비투자)</t>
        </is>
      </c>
      <c r="C258" s="20" t="n">
        <v>-41963</v>
      </c>
      <c r="D258" s="20" t="n">
        <v>-66960</v>
      </c>
      <c r="E258" s="20" t="n">
        <v>-26065</v>
      </c>
      <c r="F258" s="20" t="n">
        <v>-41576</v>
      </c>
      <c r="G258" s="20" t="n">
        <v>-55992</v>
      </c>
      <c r="H258" s="20" t="n">
        <v>-76748</v>
      </c>
      <c r="I258" s="20" t="n">
        <v>-16973</v>
      </c>
      <c r="J258" s="20" t="n">
        <v>-40288</v>
      </c>
      <c r="K258" s="20" t="n">
        <v>-56448</v>
      </c>
      <c r="L258" s="20" t="n">
        <v>-70534</v>
      </c>
      <c r="M258" s="20" t="n">
        <v>-10411</v>
      </c>
      <c r="N258" s="20" t="n">
        <v>-24022</v>
      </c>
      <c r="O258" s="20" t="n">
        <v>-18085</v>
      </c>
      <c r="P258" s="20" t="n">
        <v>-12279</v>
      </c>
      <c r="Q258" s="20" t="n">
        <v>-15932</v>
      </c>
      <c r="R258" s="20" t="n">
        <v>-22699</v>
      </c>
      <c r="S258" s="20" t="n">
        <v>-20578</v>
      </c>
      <c r="T258" s="20" t="n">
        <v>-33047</v>
      </c>
      <c r="U258" s="20" t="n">
        <v>-61080</v>
      </c>
      <c r="V258" s="20" t="n">
        <v>-66960</v>
      </c>
      <c r="W258" s="20" t="n">
        <v>-76748</v>
      </c>
      <c r="X258" s="20" t="n">
        <v>-70534</v>
      </c>
    </row>
    <row r="259">
      <c r="A259" s="18" t="inlineStr">
        <is>
          <t>유형자산 매각</t>
        </is>
      </c>
      <c r="C259" s="20" t="n">
        <v>1089</v>
      </c>
      <c r="D259" s="20" t="n">
        <v>1182</v>
      </c>
      <c r="E259" s="20" t="n">
        <v>110</v>
      </c>
      <c r="F259" s="20" t="n">
        <v>135</v>
      </c>
      <c r="G259" s="20" t="n">
        <v>233</v>
      </c>
      <c r="H259" s="20" t="n">
        <v>267</v>
      </c>
      <c r="I259" s="20" t="n">
        <v>75</v>
      </c>
      <c r="J259" s="20" t="n">
        <v>161</v>
      </c>
      <c r="K259" s="20" t="n">
        <v>465</v>
      </c>
      <c r="L259" s="20" t="n">
        <v>1694</v>
      </c>
      <c r="M259" s="20" t="n">
        <v>157</v>
      </c>
      <c r="N259" s="20" t="n">
        <v>182</v>
      </c>
      <c r="O259" s="20" t="n">
        <v>358</v>
      </c>
      <c r="P259" s="20" t="n">
        <v>640</v>
      </c>
      <c r="Q259" s="20" t="n">
        <v>354</v>
      </c>
      <c r="R259" s="20" t="n">
        <v>741</v>
      </c>
      <c r="S259" s="20" t="n">
        <v>622</v>
      </c>
      <c r="T259" s="20" t="n">
        <v>3762</v>
      </c>
      <c r="U259" s="20" t="n">
        <v>2698</v>
      </c>
      <c r="V259" s="20" t="n">
        <v>1182</v>
      </c>
      <c r="W259" s="20" t="n">
        <v>267</v>
      </c>
      <c r="X259" s="20" t="n">
        <v>1694</v>
      </c>
    </row>
    <row r="260">
      <c r="A260" s="18" t="inlineStr">
        <is>
          <t>무형자산 취득</t>
        </is>
      </c>
      <c r="D260" s="20" t="n">
        <v>-7243</v>
      </c>
      <c r="E260" s="20" t="n">
        <v>-1278</v>
      </c>
      <c r="F260" s="20" t="n">
        <v>-2887</v>
      </c>
      <c r="G260" s="20" t="n">
        <v>-6376</v>
      </c>
      <c r="H260" s="20" t="n">
        <v>-10006</v>
      </c>
      <c r="I260" s="20" t="n">
        <v>-2979</v>
      </c>
      <c r="J260" s="20" t="n">
        <v>-5956</v>
      </c>
      <c r="K260" s="20" t="n">
        <v>-10124</v>
      </c>
      <c r="L260" s="20" t="n">
        <v>-13492</v>
      </c>
      <c r="M260" s="20" t="n">
        <v>-3383</v>
      </c>
      <c r="N260" s="20" t="n">
        <v>-6346</v>
      </c>
      <c r="V260" s="20" t="n">
        <v>-7243</v>
      </c>
      <c r="W260" s="20" t="n">
        <v>-10006</v>
      </c>
      <c r="X260" s="20" t="n">
        <v>-13492</v>
      </c>
    </row>
    <row r="261">
      <c r="A261" s="18" t="inlineStr">
        <is>
          <t>투자유가증권 취득</t>
        </is>
      </c>
      <c r="C261" s="20" t="n">
        <v>-124</v>
      </c>
      <c r="D261" s="20" t="n">
        <v>-318</v>
      </c>
      <c r="E261" s="20" t="n">
        <v>-31</v>
      </c>
      <c r="F261" s="20" t="n">
        <v>-122</v>
      </c>
      <c r="G261" s="20" t="n">
        <v>-176</v>
      </c>
      <c r="H261" s="20" t="n">
        <v>-277</v>
      </c>
      <c r="I261" s="20" t="n">
        <v>-22</v>
      </c>
      <c r="J261" s="20" t="n">
        <v>-43</v>
      </c>
      <c r="K261" s="20" t="n">
        <v>-76</v>
      </c>
      <c r="L261" s="20" t="n">
        <v>-99</v>
      </c>
      <c r="M261" s="20" t="n">
        <v>-33</v>
      </c>
      <c r="N261" s="20" t="n">
        <v>-1154</v>
      </c>
      <c r="O261" s="20" t="n">
        <v>-1549</v>
      </c>
      <c r="P261" s="20" t="n">
        <v>-2362</v>
      </c>
      <c r="Q261" s="20" t="n">
        <v>-639</v>
      </c>
      <c r="R261" s="20" t="n">
        <v>-638</v>
      </c>
      <c r="S261" s="20" t="n">
        <v>-28</v>
      </c>
      <c r="T261" s="20" t="n">
        <v>-1909</v>
      </c>
      <c r="U261" s="20" t="n">
        <v>-212</v>
      </c>
      <c r="V261" s="20" t="n">
        <v>-318</v>
      </c>
      <c r="W261" s="20" t="n">
        <v>-277</v>
      </c>
      <c r="X261" s="20" t="n">
        <v>-99</v>
      </c>
    </row>
    <row r="262">
      <c r="A262" s="18" t="inlineStr">
        <is>
          <t>투자유가증권 매각</t>
        </is>
      </c>
      <c r="C262" s="20" t="n">
        <v>9682</v>
      </c>
      <c r="D262" s="20" t="n">
        <v>11626</v>
      </c>
      <c r="E262" s="20" t="n">
        <v>260</v>
      </c>
      <c r="F262" s="20" t="n">
        <v>18446</v>
      </c>
      <c r="G262" s="20" t="n">
        <v>18466</v>
      </c>
      <c r="H262" s="20" t="n">
        <v>18492</v>
      </c>
      <c r="I262" s="20" t="n">
        <v>0</v>
      </c>
      <c r="J262" s="20" t="n">
        <v>65</v>
      </c>
      <c r="K262" s="20" t="n">
        <v>65</v>
      </c>
      <c r="L262" s="20" t="n">
        <v>4325</v>
      </c>
      <c r="M262" s="20" t="n">
        <v>7787</v>
      </c>
      <c r="N262" s="20" t="n">
        <v>7787</v>
      </c>
      <c r="O262" s="20" t="n">
        <v>33251</v>
      </c>
      <c r="P262" s="20" t="n">
        <v>2741</v>
      </c>
      <c r="Q262" s="20" t="n">
        <v>1600</v>
      </c>
      <c r="R262" s="20" t="n">
        <v>8956</v>
      </c>
      <c r="S262" s="20" t="n">
        <v>49230</v>
      </c>
      <c r="T262" s="20" t="n">
        <v>17408</v>
      </c>
      <c r="U262" s="20" t="n">
        <v>17842</v>
      </c>
      <c r="V262" s="20" t="n">
        <v>11626</v>
      </c>
      <c r="W262" s="20" t="n">
        <v>18492</v>
      </c>
      <c r="X262" s="20" t="n">
        <v>4325</v>
      </c>
    </row>
    <row r="263">
      <c r="A263" s="18" t="inlineStr">
        <is>
          <t>연결범위 변경 자회사 주식 매각(지출)</t>
        </is>
      </c>
      <c r="O263" s="20" t="n">
        <v>-130</v>
      </c>
      <c r="P263" s="20" t="n">
        <v>0</v>
      </c>
    </row>
    <row r="264">
      <c r="A264" s="18" t="inlineStr">
        <is>
          <t>연결범위 변경 자회사 주식 취득</t>
        </is>
      </c>
      <c r="Q264" s="20" t="n">
        <v>0</v>
      </c>
      <c r="R264" s="20" t="n">
        <v>-9422</v>
      </c>
      <c r="S264" s="20" t="n">
        <v>0</v>
      </c>
    </row>
    <row r="265">
      <c r="A265" s="18" t="inlineStr">
        <is>
          <t>대여</t>
        </is>
      </c>
      <c r="C265" s="20" t="n">
        <v>-15321</v>
      </c>
      <c r="D265" s="20" t="n">
        <v>-18313</v>
      </c>
      <c r="E265" s="20" t="n">
        <v>-2786</v>
      </c>
      <c r="F265" s="20" t="n">
        <v>-2958</v>
      </c>
      <c r="G265" s="20" t="n">
        <v>-7729</v>
      </c>
      <c r="H265" s="20" t="n">
        <v>-10499</v>
      </c>
      <c r="I265" s="20" t="n">
        <v>-6743</v>
      </c>
      <c r="J265" s="20" t="n">
        <v>-10386</v>
      </c>
      <c r="K265" s="20" t="n">
        <v>-18569</v>
      </c>
      <c r="L265" s="20" t="n">
        <v>-22447</v>
      </c>
      <c r="M265" s="20" t="n">
        <v>-5652</v>
      </c>
      <c r="N265" s="20" t="n">
        <v>-6065</v>
      </c>
      <c r="O265" s="20" t="n">
        <v>-4371</v>
      </c>
      <c r="P265" s="20" t="n">
        <v>-4634</v>
      </c>
      <c r="Q265" s="20" t="n">
        <v>-7381</v>
      </c>
      <c r="R265" s="20" t="n">
        <v>-7825</v>
      </c>
      <c r="S265" s="20" t="n">
        <v>-3418</v>
      </c>
      <c r="T265" s="20" t="n">
        <v>-11146</v>
      </c>
      <c r="U265" s="20" t="n">
        <v>-14123</v>
      </c>
      <c r="V265" s="20" t="n">
        <v>-18313</v>
      </c>
      <c r="W265" s="20" t="n">
        <v>-10499</v>
      </c>
      <c r="X265" s="20" t="n">
        <v>-22447</v>
      </c>
    </row>
    <row r="266">
      <c r="A266" s="18" t="inlineStr">
        <is>
          <t>대여금 회수</t>
        </is>
      </c>
      <c r="C266" s="20" t="n">
        <v>10392</v>
      </c>
      <c r="D266" s="20" t="n">
        <v>17277</v>
      </c>
      <c r="E266" s="20" t="n">
        <v>3048</v>
      </c>
      <c r="F266" s="20" t="n">
        <v>3508</v>
      </c>
      <c r="G266" s="20" t="n">
        <v>5949</v>
      </c>
      <c r="H266" s="20" t="n">
        <v>10681</v>
      </c>
      <c r="I266" s="20" t="n">
        <v>4987</v>
      </c>
      <c r="J266" s="20" t="n">
        <v>10639</v>
      </c>
      <c r="K266" s="20" t="n">
        <v>14370</v>
      </c>
      <c r="L266" s="20" t="n">
        <v>22987</v>
      </c>
      <c r="M266" s="20" t="n">
        <v>5801</v>
      </c>
      <c r="N266" s="20" t="n">
        <v>6660</v>
      </c>
      <c r="O266" s="20" t="n">
        <v>4958</v>
      </c>
      <c r="P266" s="20" t="n">
        <v>5299</v>
      </c>
      <c r="Q266" s="20" t="n">
        <v>7339</v>
      </c>
      <c r="R266" s="20" t="n">
        <v>7768</v>
      </c>
      <c r="S266" s="20" t="n">
        <v>2802</v>
      </c>
      <c r="T266" s="20" t="n">
        <v>7324</v>
      </c>
      <c r="U266" s="20" t="n">
        <v>11306</v>
      </c>
      <c r="V266" s="20" t="n">
        <v>17277</v>
      </c>
      <c r="W266" s="20" t="n">
        <v>10681</v>
      </c>
      <c r="X266" s="20" t="n">
        <v>22987</v>
      </c>
    </row>
    <row r="267">
      <c r="A267" s="18" t="inlineStr">
        <is>
          <t>기타</t>
        </is>
      </c>
      <c r="C267" s="20" t="n">
        <v>-5167</v>
      </c>
      <c r="D267" s="20" t="n">
        <v>331</v>
      </c>
      <c r="E267" s="20" t="n">
        <v>-304</v>
      </c>
      <c r="F267" s="20" t="n">
        <v>-311</v>
      </c>
      <c r="G267" s="20" t="n">
        <v>3822</v>
      </c>
      <c r="H267" s="20" t="n">
        <v>4705</v>
      </c>
      <c r="I267" s="20" t="n">
        <v>-60</v>
      </c>
      <c r="J267" s="20" t="n">
        <v>1195</v>
      </c>
      <c r="K267" s="20" t="n">
        <v>2479</v>
      </c>
      <c r="L267" s="20" t="n">
        <v>4959</v>
      </c>
      <c r="M267" s="20" t="n">
        <v>-1418</v>
      </c>
      <c r="N267" s="20" t="n">
        <v>-1699</v>
      </c>
      <c r="O267" s="20" t="n">
        <v>-4681</v>
      </c>
      <c r="P267" s="20" t="n">
        <v>-3955</v>
      </c>
      <c r="Q267" s="20" t="n">
        <v>-6788</v>
      </c>
      <c r="R267" s="20" t="n">
        <v>-4500</v>
      </c>
      <c r="S267" s="20" t="n">
        <v>-5151</v>
      </c>
      <c r="T267" s="20" t="n">
        <v>-4742</v>
      </c>
      <c r="U267" s="20" t="n">
        <v>-5929</v>
      </c>
      <c r="V267" s="20" t="n">
        <v>331</v>
      </c>
      <c r="W267" s="20" t="n">
        <v>4705</v>
      </c>
      <c r="X267" s="20" t="n">
        <v>4959</v>
      </c>
    </row>
    <row r="268">
      <c r="A268" s="9" t="inlineStr">
        <is>
          <t>투자활동 현금흐름</t>
        </is>
      </c>
      <c r="C268" s="12" t="n">
        <v>-41413</v>
      </c>
      <c r="D268" s="12" t="n">
        <v>-62418</v>
      </c>
      <c r="E268" s="12" t="n">
        <v>-27046</v>
      </c>
      <c r="F268" s="12" t="n">
        <v>-25765</v>
      </c>
      <c r="G268" s="12" t="n">
        <v>-41802</v>
      </c>
      <c r="H268" s="12" t="n">
        <v>-63384</v>
      </c>
      <c r="I268" s="12" t="n">
        <v>-21716</v>
      </c>
      <c r="J268" s="12" t="n">
        <v>-44612</v>
      </c>
      <c r="K268" s="12" t="n">
        <v>-67838</v>
      </c>
      <c r="L268" s="12" t="n">
        <v>-72608</v>
      </c>
      <c r="M268" s="12" t="n">
        <v>-7152</v>
      </c>
      <c r="N268" s="12" t="n">
        <v>-24656</v>
      </c>
      <c r="O268" s="12" t="n">
        <v>9748</v>
      </c>
      <c r="P268" s="12" t="n">
        <v>-14550</v>
      </c>
      <c r="Q268" s="12" t="n">
        <v>-21448</v>
      </c>
      <c r="R268" s="12" t="n">
        <v>-27621</v>
      </c>
      <c r="S268" s="12" t="n">
        <v>23477</v>
      </c>
      <c r="T268" s="12" t="n">
        <v>-22350</v>
      </c>
      <c r="U268" s="12" t="n">
        <v>-49498</v>
      </c>
      <c r="V268" s="12" t="n">
        <v>-62418</v>
      </c>
      <c r="W268" s="12" t="n">
        <v>-63384</v>
      </c>
      <c r="X268" s="12" t="n">
        <v>-72608</v>
      </c>
    </row>
    <row r="269">
      <c r="A269" s="18" t="inlineStr">
        <is>
          <t>단기차입금 순증감</t>
        </is>
      </c>
      <c r="C269" s="20" t="n">
        <v>94</v>
      </c>
      <c r="D269" s="20" t="n">
        <v>2023</v>
      </c>
      <c r="E269" s="20" t="n">
        <v>583</v>
      </c>
      <c r="F269" s="20" t="n">
        <v>243</v>
      </c>
      <c r="G269" s="20" t="n">
        <v>-1212</v>
      </c>
      <c r="H269" s="20" t="n">
        <v>-1247</v>
      </c>
      <c r="I269" s="20" t="n">
        <v>-870</v>
      </c>
      <c r="J269" s="20" t="n">
        <v>-1140</v>
      </c>
      <c r="K269" s="20" t="n">
        <v>-2695</v>
      </c>
      <c r="L269" s="20" t="n">
        <v>-4527</v>
      </c>
      <c r="M269" s="20" t="n">
        <v>43</v>
      </c>
      <c r="N269" s="20" t="n">
        <v>5454</v>
      </c>
      <c r="O269" s="20" t="n">
        <v>-228</v>
      </c>
      <c r="P269" s="20" t="n">
        <v>-4570</v>
      </c>
      <c r="Q269" s="20" t="n">
        <v>-10680</v>
      </c>
      <c r="R269" s="20" t="n">
        <v>-2296</v>
      </c>
      <c r="S269" s="20" t="n">
        <v>-2678</v>
      </c>
      <c r="T269" s="20" t="n">
        <v>-3592</v>
      </c>
      <c r="U269" s="20" t="n">
        <v>-6002</v>
      </c>
      <c r="V269" s="20" t="n">
        <v>2023</v>
      </c>
      <c r="W269" s="20" t="n">
        <v>-1247</v>
      </c>
      <c r="X269" s="20" t="n">
        <v>-4527</v>
      </c>
    </row>
    <row r="270">
      <c r="A270" s="18" t="inlineStr">
        <is>
          <t>기업어음 증감(△는 감소)</t>
        </is>
      </c>
      <c r="C270" s="20" t="n">
        <v>45000</v>
      </c>
      <c r="D270" s="20" t="n">
        <v>36000</v>
      </c>
      <c r="E270" s="20" t="n">
        <v>-22000</v>
      </c>
      <c r="F270" s="20" t="n">
        <v>-36000</v>
      </c>
      <c r="G270" s="20" t="n">
        <v>-16000</v>
      </c>
      <c r="H270" s="20" t="n">
        <v>-36000</v>
      </c>
      <c r="I270" s="20" t="n">
        <v>27000</v>
      </c>
      <c r="J270" s="20" t="n">
        <v>25000</v>
      </c>
      <c r="K270" s="20" t="n">
        <v>35000</v>
      </c>
      <c r="L270" s="20" t="n">
        <v>0</v>
      </c>
      <c r="M270" s="20" t="n">
        <v>0</v>
      </c>
      <c r="N270" s="20" t="n">
        <v>0</v>
      </c>
      <c r="O270" s="20" t="n">
        <v>-22000</v>
      </c>
      <c r="P270" s="20" t="n">
        <v>0</v>
      </c>
      <c r="Q270" s="20" t="n">
        <v>8000</v>
      </c>
      <c r="R270" s="20" t="n">
        <v>43500</v>
      </c>
      <c r="S270" s="20" t="n">
        <v>-51500</v>
      </c>
      <c r="T270" s="20" t="n">
        <v>0</v>
      </c>
      <c r="U270" s="20" t="n">
        <v>0</v>
      </c>
      <c r="V270" s="20" t="n">
        <v>36000</v>
      </c>
      <c r="W270" s="20" t="n">
        <v>-36000</v>
      </c>
      <c r="X270" s="20" t="n">
        <v>0</v>
      </c>
    </row>
    <row r="271">
      <c r="A271" s="18" t="inlineStr">
        <is>
          <t>장기차입</t>
        </is>
      </c>
      <c r="C271" s="20" t="n">
        <v>15000</v>
      </c>
      <c r="D271" s="20" t="n">
        <v>15000</v>
      </c>
      <c r="E271" s="20" t="n">
        <v>15120</v>
      </c>
      <c r="F271" s="20" t="n">
        <v>15111</v>
      </c>
      <c r="G271" s="20" t="n">
        <v>15115</v>
      </c>
      <c r="H271" s="20" t="n">
        <v>15113</v>
      </c>
      <c r="I271" s="20" t="n">
        <v>0</v>
      </c>
      <c r="J271" s="20" t="n">
        <v>0</v>
      </c>
      <c r="K271" s="20" t="n">
        <v>0</v>
      </c>
      <c r="L271" s="20" t="n">
        <v>0</v>
      </c>
      <c r="O271" s="20" t="n">
        <v>11355</v>
      </c>
      <c r="P271" s="20" t="n">
        <v>2060</v>
      </c>
      <c r="Q271" s="20" t="n">
        <v>3044</v>
      </c>
      <c r="R271" s="20" t="n">
        <v>30126</v>
      </c>
      <c r="S271" s="20" t="n">
        <v>62165</v>
      </c>
      <c r="T271" s="20" t="n">
        <v>0</v>
      </c>
      <c r="U271" s="20" t="n">
        <v>0</v>
      </c>
      <c r="V271" s="20" t="n">
        <v>15000</v>
      </c>
      <c r="W271" s="20" t="n">
        <v>15113</v>
      </c>
      <c r="X271" s="20" t="n">
        <v>0</v>
      </c>
    </row>
    <row r="272">
      <c r="A272" s="18" t="inlineStr">
        <is>
          <t>장기차입금 상환</t>
        </is>
      </c>
      <c r="C272" s="20" t="n">
        <v>-37770</v>
      </c>
      <c r="D272" s="20" t="n">
        <v>-37885</v>
      </c>
      <c r="E272" s="20" t="n">
        <v>-27000</v>
      </c>
      <c r="F272" s="20" t="n">
        <v>-28005</v>
      </c>
      <c r="G272" s="20" t="n">
        <v>-28011</v>
      </c>
      <c r="H272" s="20" t="n">
        <v>-28517</v>
      </c>
      <c r="I272" s="20" t="n">
        <v>-5</v>
      </c>
      <c r="J272" s="20" t="n">
        <v>-12</v>
      </c>
      <c r="K272" s="20" t="n">
        <v>-19</v>
      </c>
      <c r="L272" s="20" t="n">
        <v>-125</v>
      </c>
      <c r="M272" s="20" t="n">
        <v>-6</v>
      </c>
      <c r="N272" s="20" t="n">
        <v>-15012</v>
      </c>
      <c r="O272" s="20" t="n">
        <v>-16582</v>
      </c>
      <c r="P272" s="20" t="n">
        <v>-25559</v>
      </c>
      <c r="Q272" s="20" t="n">
        <v>-2068</v>
      </c>
      <c r="R272" s="20" t="n">
        <v>-26663</v>
      </c>
      <c r="S272" s="20" t="n">
        <v>-2156</v>
      </c>
      <c r="T272" s="20" t="n">
        <v>-4405</v>
      </c>
      <c r="U272" s="20" t="n">
        <v>-30330</v>
      </c>
      <c r="V272" s="20" t="n">
        <v>-37885</v>
      </c>
      <c r="W272" s="20" t="n">
        <v>-28517</v>
      </c>
      <c r="X272" s="20" t="n">
        <v>-125</v>
      </c>
    </row>
    <row r="273">
      <c r="A273" s="18" t="inlineStr">
        <is>
          <t>사채 발행</t>
        </is>
      </c>
      <c r="C273" s="20" t="n">
        <v>0</v>
      </c>
      <c r="D273" s="20" t="n">
        <v>0</v>
      </c>
      <c r="E273" s="20" t="n">
        <v>10000</v>
      </c>
      <c r="F273" s="20" t="n">
        <v>10000</v>
      </c>
      <c r="G273" s="20" t="n">
        <v>10000</v>
      </c>
      <c r="H273" s="20" t="n">
        <v>10000</v>
      </c>
      <c r="I273" s="20" t="n">
        <v>0</v>
      </c>
      <c r="J273" s="20" t="n">
        <v>0</v>
      </c>
      <c r="K273" s="20" t="n">
        <v>0</v>
      </c>
      <c r="L273" s="20" t="n">
        <v>0</v>
      </c>
      <c r="O273" s="20" t="n">
        <v>15000</v>
      </c>
      <c r="P273" s="20" t="n">
        <v>10000</v>
      </c>
      <c r="Q273" s="20" t="n">
        <v>10000</v>
      </c>
      <c r="R273" s="20" t="n">
        <v>0</v>
      </c>
      <c r="V273" s="20" t="n">
        <v>0</v>
      </c>
      <c r="W273" s="20" t="n">
        <v>10000</v>
      </c>
      <c r="X273" s="20" t="n">
        <v>0</v>
      </c>
    </row>
    <row r="274">
      <c r="A274" s="18" t="inlineStr">
        <is>
          <t>사채 상환</t>
        </is>
      </c>
      <c r="C274" s="20" t="n">
        <v>-15000</v>
      </c>
      <c r="D274" s="20" t="n">
        <v>-15000</v>
      </c>
      <c r="F274" s="20" t="n">
        <v>0</v>
      </c>
      <c r="G274" s="20" t="n">
        <v>0</v>
      </c>
      <c r="H274" s="20" t="n">
        <v>0</v>
      </c>
      <c r="O274" s="20" t="n">
        <v>-20500</v>
      </c>
      <c r="P274" s="20" t="n">
        <v>-5000</v>
      </c>
      <c r="Q274" s="20" t="n">
        <v>-20000</v>
      </c>
      <c r="R274" s="20" t="n">
        <v>0</v>
      </c>
      <c r="S274" s="20" t="n">
        <v>-15000</v>
      </c>
      <c r="T274" s="20" t="n">
        <v>0</v>
      </c>
      <c r="U274" s="20" t="n">
        <v>0</v>
      </c>
      <c r="V274" s="20" t="n">
        <v>-15000</v>
      </c>
      <c r="W274" s="20" t="n">
        <v>0</v>
      </c>
    </row>
    <row r="275">
      <c r="A275" s="18" t="inlineStr">
        <is>
          <t>리스부채 상환</t>
        </is>
      </c>
      <c r="C275" s="20" t="n">
        <v>-18621</v>
      </c>
      <c r="D275" s="20" t="n">
        <v>-24468</v>
      </c>
      <c r="E275" s="20" t="n">
        <v>-5652</v>
      </c>
      <c r="F275" s="20" t="n">
        <v>-11184</v>
      </c>
      <c r="G275" s="20" t="n">
        <v>-16339</v>
      </c>
      <c r="H275" s="20" t="n">
        <v>-20675</v>
      </c>
      <c r="I275" s="20" t="n">
        <v>-4061</v>
      </c>
      <c r="J275" s="20" t="n">
        <v>-7850</v>
      </c>
      <c r="K275" s="20" t="n">
        <v>-11941</v>
      </c>
      <c r="L275" s="20" t="n">
        <v>-15405</v>
      </c>
      <c r="M275" s="20" t="n">
        <v>-3354</v>
      </c>
      <c r="N275" s="20" t="n">
        <v>-5997</v>
      </c>
      <c r="O275" s="20" t="n">
        <v>-12879</v>
      </c>
      <c r="P275" s="20" t="n">
        <v>-12785</v>
      </c>
      <c r="Q275" s="20" t="n">
        <v>-13106</v>
      </c>
      <c r="R275" s="20" t="n">
        <v>-14625</v>
      </c>
      <c r="S275" s="20" t="n">
        <v>-17882</v>
      </c>
      <c r="T275" s="20" t="n">
        <v>-20551</v>
      </c>
      <c r="U275" s="20" t="n">
        <v>-23580</v>
      </c>
      <c r="V275" s="20" t="n">
        <v>-24468</v>
      </c>
      <c r="W275" s="20" t="n">
        <v>-20675</v>
      </c>
      <c r="X275" s="20" t="n">
        <v>-15405</v>
      </c>
    </row>
    <row r="276">
      <c r="A276" s="18" t="inlineStr">
        <is>
          <t>자기주식 매각</t>
        </is>
      </c>
      <c r="C276" s="20" t="n">
        <v>0</v>
      </c>
      <c r="D276" s="20" t="n">
        <v>0</v>
      </c>
      <c r="G276" s="20" t="n">
        <v>2320</v>
      </c>
      <c r="H276" s="20" t="n">
        <v>2407</v>
      </c>
      <c r="I276" s="20" t="n">
        <v>0</v>
      </c>
      <c r="J276" s="20" t="n">
        <v>0</v>
      </c>
      <c r="K276" s="20" t="n">
        <v>0</v>
      </c>
      <c r="L276" s="20" t="n">
        <v>1</v>
      </c>
      <c r="M276" s="20" t="n">
        <v>1</v>
      </c>
      <c r="N276" s="20" t="n">
        <v>1</v>
      </c>
      <c r="O276" s="20" t="n">
        <v>1</v>
      </c>
      <c r="P276" s="20" t="n">
        <v>0</v>
      </c>
      <c r="Q276" s="20" t="n">
        <v>2</v>
      </c>
      <c r="R276" s="20" t="n">
        <v>1</v>
      </c>
      <c r="S276" s="20" t="n">
        <v>1</v>
      </c>
      <c r="T276" s="20" t="n">
        <v>0</v>
      </c>
      <c r="U276" s="20" t="n">
        <v>0</v>
      </c>
      <c r="V276" s="20" t="n">
        <v>0</v>
      </c>
      <c r="W276" s="20" t="n">
        <v>2407</v>
      </c>
      <c r="X276" s="20" t="n">
        <v>1</v>
      </c>
    </row>
    <row r="277">
      <c r="A277" s="18" t="inlineStr">
        <is>
          <t>자기주식 취득</t>
        </is>
      </c>
      <c r="C277" s="20" t="n">
        <v>-17</v>
      </c>
      <c r="D277" s="20" t="n">
        <v>-26</v>
      </c>
      <c r="E277" s="20" t="n">
        <v>-3</v>
      </c>
      <c r="F277" s="20" t="n">
        <v>-11</v>
      </c>
      <c r="G277" s="20" t="n">
        <v>-2336</v>
      </c>
      <c r="H277" s="20" t="n">
        <v>-2340</v>
      </c>
      <c r="I277" s="20" t="n">
        <v>-4</v>
      </c>
      <c r="J277" s="20" t="n">
        <v>-9</v>
      </c>
      <c r="K277" s="20" t="n">
        <v>-18</v>
      </c>
      <c r="L277" s="20" t="n">
        <v>-33</v>
      </c>
      <c r="M277" s="20" t="n">
        <v>-21009</v>
      </c>
      <c r="N277" s="20" t="n">
        <v>-21016</v>
      </c>
      <c r="O277" s="20" t="n">
        <v>-29</v>
      </c>
      <c r="P277" s="20" t="n">
        <v>-43</v>
      </c>
      <c r="Q277" s="20" t="n">
        <v>-32</v>
      </c>
      <c r="R277" s="20" t="n">
        <v>-11</v>
      </c>
      <c r="S277" s="20" t="n">
        <v>-13</v>
      </c>
      <c r="T277" s="20" t="n">
        <v>-19</v>
      </c>
      <c r="U277" s="20" t="n">
        <v>-10</v>
      </c>
      <c r="V277" s="20" t="n">
        <v>-26</v>
      </c>
      <c r="W277" s="20" t="n">
        <v>-2340</v>
      </c>
      <c r="X277" s="20" t="n">
        <v>-33</v>
      </c>
    </row>
    <row r="278">
      <c r="A278" s="18" t="inlineStr">
        <is>
          <t>자회사 자기주식 취득 지출</t>
        </is>
      </c>
      <c r="C278" s="20" t="n">
        <v>0</v>
      </c>
      <c r="D278" s="20" t="n">
        <v>0</v>
      </c>
      <c r="F278" s="20" t="n">
        <v>-10</v>
      </c>
      <c r="G278" s="20" t="n">
        <v>-20</v>
      </c>
      <c r="H278" s="20" t="n">
        <v>-20</v>
      </c>
      <c r="J278" s="20" t="n">
        <v>-13</v>
      </c>
      <c r="K278" s="20" t="n">
        <v>-13</v>
      </c>
      <c r="L278" s="20" t="n">
        <v>-13</v>
      </c>
      <c r="N278" s="20" t="n">
        <v>0</v>
      </c>
      <c r="V278" s="20" t="n">
        <v>0</v>
      </c>
      <c r="W278" s="20" t="n">
        <v>-20</v>
      </c>
      <c r="X278" s="20" t="n">
        <v>-13</v>
      </c>
    </row>
    <row r="279">
      <c r="A279" s="18" t="inlineStr">
        <is>
          <t>배당금 지급</t>
        </is>
      </c>
      <c r="C279" s="20" t="n">
        <v>-17139</v>
      </c>
      <c r="D279" s="20" t="n">
        <v>-17139</v>
      </c>
      <c r="E279" s="20" t="n">
        <v>-10712</v>
      </c>
      <c r="F279" s="20" t="n">
        <v>-10712</v>
      </c>
      <c r="G279" s="20" t="n">
        <v>-21424</v>
      </c>
      <c r="H279" s="20" t="n">
        <v>-21424</v>
      </c>
      <c r="I279" s="20" t="n">
        <v>-12547</v>
      </c>
      <c r="J279" s="20" t="n">
        <v>-12547</v>
      </c>
      <c r="K279" s="20" t="n">
        <v>-25980</v>
      </c>
      <c r="L279" s="20" t="n">
        <v>-25980</v>
      </c>
      <c r="M279" s="20" t="n">
        <v>-16089</v>
      </c>
      <c r="N279" s="20" t="n">
        <v>-16089</v>
      </c>
      <c r="O279" s="20" t="n">
        <v>-7143</v>
      </c>
      <c r="P279" s="20" t="n">
        <v>-8571</v>
      </c>
      <c r="Q279" s="20" t="n">
        <v>-11428</v>
      </c>
      <c r="R279" s="20" t="n">
        <v>-11427</v>
      </c>
      <c r="S279" s="20" t="n">
        <v>-11427</v>
      </c>
      <c r="T279" s="20" t="n">
        <v>-12855</v>
      </c>
      <c r="U279" s="20" t="n">
        <v>-15711</v>
      </c>
      <c r="V279" s="20" t="n">
        <v>-17139</v>
      </c>
      <c r="W279" s="20" t="n">
        <v>-21424</v>
      </c>
      <c r="X279" s="20" t="n">
        <v>-25980</v>
      </c>
    </row>
    <row r="280">
      <c r="A280" s="18" t="inlineStr">
        <is>
          <t>비지배주주 배당금 지급</t>
        </is>
      </c>
      <c r="C280" s="20" t="n">
        <v>-4340</v>
      </c>
      <c r="D280" s="20" t="n">
        <v>-4370</v>
      </c>
      <c r="E280" s="20" t="n">
        <v>-3542</v>
      </c>
      <c r="F280" s="20" t="n">
        <v>-3542</v>
      </c>
      <c r="G280" s="20" t="n">
        <v>-3542</v>
      </c>
      <c r="H280" s="20" t="n">
        <v>-3542</v>
      </c>
      <c r="I280" s="20" t="n">
        <v>-1301</v>
      </c>
      <c r="J280" s="20" t="n">
        <v>-1301</v>
      </c>
      <c r="K280" s="20" t="n">
        <v>-1301</v>
      </c>
      <c r="L280" s="20" t="n">
        <v>-1301</v>
      </c>
      <c r="M280" s="20" t="n">
        <v>-1670</v>
      </c>
      <c r="N280" s="20" t="n">
        <v>-1670</v>
      </c>
      <c r="O280" s="20" t="n">
        <v>-901</v>
      </c>
      <c r="P280" s="20" t="n">
        <v>-2364</v>
      </c>
      <c r="Q280" s="20" t="n">
        <v>-1340</v>
      </c>
      <c r="R280" s="20" t="n">
        <v>-1442</v>
      </c>
      <c r="S280" s="20" t="n">
        <v>-1134</v>
      </c>
      <c r="T280" s="20" t="n">
        <v>-1308</v>
      </c>
      <c r="U280" s="20" t="n">
        <v>-3508</v>
      </c>
      <c r="V280" s="20" t="n">
        <v>-4370</v>
      </c>
      <c r="W280" s="20" t="n">
        <v>-3542</v>
      </c>
      <c r="X280" s="20" t="n">
        <v>-1301</v>
      </c>
    </row>
    <row r="281">
      <c r="A281" s="18" t="inlineStr">
        <is>
          <t>연결범위 변경 없는 자회사 주식 취득</t>
        </is>
      </c>
      <c r="D281" s="20" t="n">
        <v>0</v>
      </c>
      <c r="F281" s="20" t="n">
        <v>0</v>
      </c>
      <c r="G281" s="20" t="n">
        <v>0</v>
      </c>
      <c r="H281" s="20" t="n">
        <v>0</v>
      </c>
      <c r="J281" s="20" t="n">
        <v>-787</v>
      </c>
      <c r="K281" s="20" t="n">
        <v>-787</v>
      </c>
      <c r="L281" s="20" t="n">
        <v>-787</v>
      </c>
      <c r="N281" s="20" t="n">
        <v>0</v>
      </c>
      <c r="P281" s="20" t="n">
        <v>-1</v>
      </c>
      <c r="Q281" s="20" t="n">
        <v>-512</v>
      </c>
      <c r="R281" s="20" t="n">
        <v>-242</v>
      </c>
      <c r="S281" s="20" t="n">
        <v>0</v>
      </c>
      <c r="T281" s="20" t="n">
        <v>-163</v>
      </c>
      <c r="U281" s="20" t="n">
        <v>-2</v>
      </c>
      <c r="V281" s="20" t="n">
        <v>0</v>
      </c>
      <c r="W281" s="20" t="n">
        <v>0</v>
      </c>
      <c r="X281" s="20" t="n">
        <v>-787</v>
      </c>
    </row>
    <row r="282">
      <c r="A282" s="18" t="inlineStr">
        <is>
          <t>기타</t>
        </is>
      </c>
      <c r="O282" s="20" t="n">
        <v>-2175</v>
      </c>
      <c r="P282" s="20" t="n">
        <v>-53</v>
      </c>
      <c r="Q282" s="20" t="n">
        <v>-52</v>
      </c>
      <c r="R282" s="20" t="n">
        <v>0</v>
      </c>
    </row>
    <row r="283">
      <c r="A283" s="18" t="inlineStr">
        <is>
          <t>비지배주주 납입</t>
        </is>
      </c>
      <c r="R283" s="20" t="n">
        <v>0</v>
      </c>
      <c r="S283" s="20" t="n">
        <v>105</v>
      </c>
      <c r="T283" s="20" t="n">
        <v>0</v>
      </c>
    </row>
    <row r="284">
      <c r="A284" s="18" t="inlineStr">
        <is>
          <t>세일앤리스백 수입</t>
        </is>
      </c>
      <c r="D284" s="20" t="n">
        <v>0</v>
      </c>
      <c r="T284" s="20" t="n">
        <v>0</v>
      </c>
      <c r="U284" s="20" t="n">
        <v>1955</v>
      </c>
      <c r="V284" s="20" t="n">
        <v>0</v>
      </c>
    </row>
    <row r="285">
      <c r="A285" s="9" t="inlineStr">
        <is>
          <t>재무활동 현금흐름</t>
        </is>
      </c>
      <c r="C285" s="12" t="n">
        <v>-32795</v>
      </c>
      <c r="D285" s="12" t="n">
        <v>-45867</v>
      </c>
      <c r="E285" s="12" t="n">
        <v>-43206</v>
      </c>
      <c r="F285" s="12" t="n">
        <v>-64110</v>
      </c>
      <c r="G285" s="12" t="n">
        <v>-61451</v>
      </c>
      <c r="H285" s="12" t="n">
        <v>-86246</v>
      </c>
      <c r="I285" s="12" t="n">
        <v>8208</v>
      </c>
      <c r="J285" s="12" t="n">
        <v>1337</v>
      </c>
      <c r="K285" s="12" t="n">
        <v>-7757</v>
      </c>
      <c r="L285" s="12" t="n">
        <v>-48174</v>
      </c>
      <c r="M285" s="12" t="n">
        <v>-42085</v>
      </c>
      <c r="N285" s="12" t="n">
        <v>-54330</v>
      </c>
      <c r="O285" s="12" t="n">
        <v>-56083</v>
      </c>
      <c r="P285" s="12" t="n">
        <v>-46887</v>
      </c>
      <c r="Q285" s="12" t="n">
        <v>-38174</v>
      </c>
      <c r="R285" s="12" t="n">
        <v>16917</v>
      </c>
      <c r="S285" s="12" t="n">
        <v>-39520</v>
      </c>
      <c r="T285" s="12" t="n">
        <v>-42894</v>
      </c>
      <c r="U285" s="12" t="n">
        <v>-77193</v>
      </c>
      <c r="V285" s="12" t="n">
        <v>-45867</v>
      </c>
      <c r="W285" s="12" t="n">
        <v>-86246</v>
      </c>
      <c r="X285" s="12" t="n">
        <v>-48174</v>
      </c>
    </row>
    <row r="286">
      <c r="A286" s="18" t="inlineStr">
        <is>
          <t>현금성자산 환산차이</t>
        </is>
      </c>
      <c r="C286" s="20" t="n">
        <v>3063</v>
      </c>
      <c r="D286" s="20" t="n">
        <v>4806</v>
      </c>
      <c r="E286" s="20" t="n">
        <v>2538</v>
      </c>
      <c r="F286" s="20" t="n">
        <v>278</v>
      </c>
      <c r="G286" s="20" t="n">
        <v>1801</v>
      </c>
      <c r="H286" s="20" t="n">
        <v>637</v>
      </c>
      <c r="I286" s="20" t="n">
        <v>-1392</v>
      </c>
      <c r="J286" s="20" t="n">
        <v>-251</v>
      </c>
      <c r="K286" s="20" t="n">
        <v>2362</v>
      </c>
      <c r="L286" s="20" t="n">
        <v>4406</v>
      </c>
      <c r="M286" s="20" t="n">
        <v>1290</v>
      </c>
      <c r="N286" s="20" t="n">
        <v>762</v>
      </c>
      <c r="O286" s="20" t="n">
        <v>-910</v>
      </c>
      <c r="P286" s="20" t="n">
        <v>-374</v>
      </c>
      <c r="Q286" s="20" t="n">
        <v>338</v>
      </c>
      <c r="R286" s="20" t="n">
        <v>-772</v>
      </c>
      <c r="S286" s="20" t="n">
        <v>680</v>
      </c>
      <c r="T286" s="20" t="n">
        <v>4453</v>
      </c>
      <c r="U286" s="20" t="n">
        <v>3210</v>
      </c>
      <c r="V286" s="20" t="n">
        <v>4806</v>
      </c>
      <c r="W286" s="20" t="n">
        <v>637</v>
      </c>
      <c r="X286" s="20" t="n">
        <v>4406</v>
      </c>
    </row>
    <row r="287">
      <c r="A287" s="18" t="inlineStr">
        <is>
          <t>현금성자산 증감</t>
        </is>
      </c>
      <c r="C287" s="20" t="n">
        <v>-32218</v>
      </c>
      <c r="D287" s="20" t="n">
        <v>-18621</v>
      </c>
      <c r="E287" s="20" t="n">
        <v>-1471</v>
      </c>
      <c r="F287" s="20" t="n">
        <v>-2053</v>
      </c>
      <c r="G287" s="20" t="n">
        <v>-5273</v>
      </c>
      <c r="H287" s="20" t="n">
        <v>-4073</v>
      </c>
      <c r="I287" s="20" t="n">
        <v>-3759</v>
      </c>
      <c r="J287" s="20" t="n">
        <v>-7622</v>
      </c>
      <c r="K287" s="20" t="n">
        <v>6680</v>
      </c>
      <c r="L287" s="20" t="n">
        <v>7186</v>
      </c>
      <c r="M287" s="20" t="n">
        <v>3570</v>
      </c>
      <c r="N287" s="20" t="n">
        <v>4550</v>
      </c>
      <c r="O287" s="20" t="n">
        <v>10940</v>
      </c>
      <c r="P287" s="20" t="n">
        <v>-8664</v>
      </c>
      <c r="Q287" s="20" t="n">
        <v>-4333</v>
      </c>
      <c r="R287" s="20" t="n">
        <v>34611</v>
      </c>
      <c r="S287" s="20" t="n">
        <v>11569</v>
      </c>
      <c r="T287" s="20" t="n">
        <v>16017</v>
      </c>
      <c r="U287" s="20" t="n">
        <v>-7318</v>
      </c>
      <c r="V287" s="20" t="n">
        <v>-18621</v>
      </c>
      <c r="W287" s="20" t="n">
        <v>-4073</v>
      </c>
      <c r="X287" s="20" t="n">
        <v>7186</v>
      </c>
    </row>
    <row r="288">
      <c r="A288" s="18" t="inlineStr">
        <is>
          <t>연결범위 변경에 따른 현금성자산 증감</t>
        </is>
      </c>
      <c r="C288" s="20" t="n">
        <v>0</v>
      </c>
      <c r="D288" s="20" t="n">
        <v>0</v>
      </c>
      <c r="E288" s="20" t="n">
        <v>1205</v>
      </c>
      <c r="F288" s="20" t="n">
        <v>1205</v>
      </c>
      <c r="G288" s="20" t="n">
        <v>1205</v>
      </c>
      <c r="H288" s="20" t="n">
        <v>1205</v>
      </c>
      <c r="I288" s="20" t="n">
        <v>0</v>
      </c>
      <c r="J288" s="20" t="n">
        <v>0</v>
      </c>
      <c r="K288" s="20" t="n">
        <v>0</v>
      </c>
      <c r="L288" s="20" t="n">
        <v>0</v>
      </c>
      <c r="O288" s="20" t="n">
        <v>107</v>
      </c>
      <c r="P288" s="20" t="n">
        <v>108</v>
      </c>
      <c r="Q288" s="20" t="n">
        <v>138</v>
      </c>
      <c r="R288" s="20" t="n">
        <v>0</v>
      </c>
      <c r="S288" s="20" t="n">
        <v>16</v>
      </c>
      <c r="T288" s="20" t="n">
        <v>0</v>
      </c>
      <c r="V288" s="20" t="n">
        <v>0</v>
      </c>
      <c r="W288" s="20" t="n">
        <v>1205</v>
      </c>
      <c r="X288" s="20" t="n">
        <v>0</v>
      </c>
    </row>
    <row r="289">
      <c r="A289" s="18" t="inlineStr">
        <is>
          <t>비연결 자회사 합병에 따른 현금성자산 증가</t>
        </is>
      </c>
      <c r="D289" s="20" t="n">
        <v>0</v>
      </c>
      <c r="G289" s="20" t="n">
        <v>0</v>
      </c>
      <c r="H289" s="20" t="n">
        <v>0</v>
      </c>
      <c r="K289" s="20" t="n">
        <v>11</v>
      </c>
      <c r="L289" s="20" t="n">
        <v>11</v>
      </c>
      <c r="T289" s="20" t="n">
        <v>0</v>
      </c>
      <c r="U289" s="20" t="n">
        <v>132</v>
      </c>
      <c r="V289" s="20" t="n">
        <v>0</v>
      </c>
      <c r="W289" s="20" t="n">
        <v>0</v>
      </c>
      <c r="X289" s="20" t="n">
        <v>11</v>
      </c>
    </row>
    <row r="290">
      <c r="A290" s="18" t="inlineStr">
        <is>
          <t>연결·비연결 자회사 합병에 따른 현금성자산 증가액</t>
        </is>
      </c>
      <c r="J290" s="20" t="n">
        <v>0</v>
      </c>
      <c r="N290" s="20" t="n">
        <v>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후지전기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745650</v>
      </c>
      <c r="D5" s="12" t="n">
        <v>789899</v>
      </c>
      <c r="E5" s="12" t="n">
        <v>831844</v>
      </c>
      <c r="F5" s="12" t="n">
        <v>783617</v>
      </c>
      <c r="G5" s="12" t="n">
        <v>819712</v>
      </c>
      <c r="H5" s="11" t="n">
        <v>681981</v>
      </c>
      <c r="I5" s="12" t="n">
        <v>713553</v>
      </c>
      <c r="J5" s="12" t="n">
        <v>763072</v>
      </c>
      <c r="K5" s="12" t="n">
        <v>766672</v>
      </c>
      <c r="L5" s="12" t="n">
        <v>831844</v>
      </c>
    </row>
    <row r="6">
      <c r="A6" s="18" t="inlineStr">
        <is>
          <t>현금및현금성자산</t>
        </is>
      </c>
      <c r="B6" s="10" t="n"/>
      <c r="C6" s="19" t="n">
        <v>55882</v>
      </c>
      <c r="D6" s="20" t="n">
        <v>70339</v>
      </c>
      <c r="E6" s="20" t="n">
        <v>70931</v>
      </c>
      <c r="F6" s="20" t="n">
        <v>74586</v>
      </c>
      <c r="G6" s="20" t="n">
        <v>75534</v>
      </c>
      <c r="H6" s="19" t="n">
        <v>92966</v>
      </c>
      <c r="I6" s="20" t="n">
        <v>84700</v>
      </c>
      <c r="J6" s="20" t="n">
        <v>66186</v>
      </c>
      <c r="K6" s="20" t="n">
        <v>63542</v>
      </c>
      <c r="L6" s="20" t="n">
        <v>70931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196499</v>
      </c>
      <c r="D8" s="20" t="n">
        <v>179239</v>
      </c>
      <c r="E8" s="20" t="n">
        <v>273200</v>
      </c>
      <c r="F8" s="20" t="n">
        <v>175109</v>
      </c>
      <c r="G8" s="20" t="n">
        <v>196183</v>
      </c>
      <c r="H8" s="19" t="n">
        <v>217731</v>
      </c>
      <c r="I8" s="20" t="n">
        <v>236462</v>
      </c>
      <c r="J8" s="20" t="n">
        <v>257372</v>
      </c>
      <c r="K8" s="20" t="n">
        <v>249353</v>
      </c>
      <c r="L8" s="20" t="n">
        <v>273200</v>
      </c>
    </row>
    <row r="9">
      <c r="A9" s="18" t="inlineStr">
        <is>
          <t>재고자산</t>
        </is>
      </c>
      <c r="B9" s="10" t="n"/>
      <c r="C9" s="19" t="n">
        <v>255865</v>
      </c>
      <c r="D9" s="20" t="n">
        <v>270266</v>
      </c>
      <c r="E9" s="20" t="n">
        <v>257073</v>
      </c>
      <c r="F9" s="20" t="n">
        <v>279927</v>
      </c>
      <c r="G9" s="20" t="n">
        <v>285955</v>
      </c>
      <c r="H9" s="19" t="n">
        <v>170293</v>
      </c>
      <c r="I9" s="20" t="n">
        <v>198690</v>
      </c>
      <c r="J9" s="20" t="n">
        <v>226134</v>
      </c>
      <c r="K9" s="20" t="n">
        <v>238649</v>
      </c>
      <c r="L9" s="20" t="n">
        <v>257073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559215</v>
      </c>
      <c r="D11" s="12" t="n">
        <v>589200</v>
      </c>
      <c r="E11" s="12" t="n">
        <v>574778</v>
      </c>
      <c r="F11" s="12" t="n">
        <v>574127</v>
      </c>
      <c r="G11" s="12" t="n">
        <v>578235</v>
      </c>
      <c r="H11" s="11" t="n">
        <v>435058</v>
      </c>
      <c r="I11" s="12" t="n">
        <v>467946</v>
      </c>
      <c r="J11" s="12" t="n">
        <v>508064</v>
      </c>
      <c r="K11" s="12" t="n">
        <v>545435</v>
      </c>
      <c r="L11" s="12" t="n">
        <v>574778</v>
      </c>
    </row>
    <row r="12">
      <c r="A12" s="18" t="inlineStr">
        <is>
          <t>유형자산</t>
        </is>
      </c>
      <c r="B12" s="10" t="n"/>
      <c r="C12" s="19" t="n">
        <v>349008</v>
      </c>
      <c r="D12" s="20" t="n">
        <v>352241</v>
      </c>
      <c r="E12" s="20" t="n">
        <v>348865</v>
      </c>
      <c r="F12" s="20" t="n">
        <v>345065</v>
      </c>
      <c r="G12" s="20" t="n">
        <v>341413</v>
      </c>
      <c r="H12" s="19" t="n">
        <v>233675</v>
      </c>
      <c r="I12" s="20" t="n">
        <v>283912</v>
      </c>
      <c r="J12" s="20" t="n">
        <v>311456</v>
      </c>
      <c r="K12" s="20" t="n">
        <v>347074</v>
      </c>
      <c r="L12" s="20" t="n">
        <v>348865</v>
      </c>
    </row>
    <row r="13">
      <c r="A13" s="18" t="inlineStr">
        <is>
          <t>무형자산</t>
        </is>
      </c>
      <c r="B13" s="10" t="n"/>
      <c r="C13" s="19" t="n">
        <v>32774</v>
      </c>
      <c r="D13" s="20" t="n">
        <v>35758</v>
      </c>
      <c r="E13" s="20" t="n">
        <v>37718</v>
      </c>
      <c r="F13" s="20" t="n">
        <v>39612</v>
      </c>
      <c r="G13" s="20" t="n">
        <v>40707</v>
      </c>
      <c r="H13" s="19" t="n">
        <v>22504</v>
      </c>
      <c r="I13" s="20" t="n">
        <v>24032</v>
      </c>
      <c r="J13" s="20" t="n">
        <v>25462</v>
      </c>
      <c r="K13" s="20" t="n">
        <v>30318</v>
      </c>
      <c r="L13" s="20" t="n">
        <v>37718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1304922</v>
      </c>
      <c r="D16" s="12" t="n">
        <v>1379152</v>
      </c>
      <c r="E16" s="12" t="n">
        <v>1406669</v>
      </c>
      <c r="F16" s="12" t="n">
        <v>1357786</v>
      </c>
      <c r="G16" s="12" t="n">
        <v>1397985</v>
      </c>
      <c r="H16" s="11" t="n">
        <v>1117112</v>
      </c>
      <c r="I16" s="12" t="n">
        <v>1181552</v>
      </c>
      <c r="J16" s="12" t="n">
        <v>1271174</v>
      </c>
      <c r="K16" s="12" t="n">
        <v>1312175</v>
      </c>
      <c r="L16" s="12" t="n">
        <v>1406669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415698</v>
      </c>
      <c r="D18" s="12" t="n">
        <v>448409</v>
      </c>
      <c r="E18" s="12" t="n">
        <v>434047</v>
      </c>
      <c r="F18" s="12" t="n">
        <v>411740</v>
      </c>
      <c r="G18" s="12" t="n">
        <v>431033</v>
      </c>
      <c r="H18" s="11" t="n">
        <v>386969</v>
      </c>
      <c r="I18" s="12" t="n">
        <v>446826</v>
      </c>
      <c r="J18" s="12" t="n">
        <v>475342</v>
      </c>
      <c r="K18" s="12" t="n">
        <v>431466</v>
      </c>
      <c r="L18" s="12" t="n">
        <v>434047</v>
      </c>
    </row>
    <row r="19">
      <c r="A19" s="18" t="inlineStr">
        <is>
          <t>매입채무</t>
        </is>
      </c>
      <c r="B19" s="10" t="n"/>
      <c r="C19" s="19" t="n">
        <v>175374</v>
      </c>
      <c r="D19" s="20" t="n">
        <v>180263</v>
      </c>
      <c r="E19" s="20" t="n">
        <v>190893</v>
      </c>
      <c r="F19" s="20" t="n">
        <v>164693</v>
      </c>
      <c r="G19" s="20" t="n">
        <v>174937</v>
      </c>
      <c r="H19" s="19" t="n">
        <v>171749</v>
      </c>
      <c r="I19" s="20" t="n">
        <v>201593</v>
      </c>
      <c r="J19" s="20" t="n">
        <v>207408</v>
      </c>
      <c r="K19" s="20" t="n">
        <v>192834</v>
      </c>
      <c r="L19" s="20" t="n">
        <v>190893</v>
      </c>
    </row>
    <row r="20">
      <c r="A20" s="18" t="inlineStr">
        <is>
          <t>단기차입금</t>
        </is>
      </c>
      <c r="B20" s="10" t="n"/>
      <c r="C20" s="19" t="n">
        <v>24691</v>
      </c>
      <c r="D20" s="20" t="n">
        <v>23801</v>
      </c>
      <c r="E20" s="20" t="n">
        <v>21827</v>
      </c>
      <c r="F20" s="20" t="n">
        <v>29472</v>
      </c>
      <c r="G20" s="20" t="n">
        <v>19799</v>
      </c>
      <c r="H20" s="19" t="n">
        <v>44984</v>
      </c>
      <c r="I20" s="20" t="n">
        <v>46875</v>
      </c>
      <c r="J20" s="20" t="n">
        <v>40259</v>
      </c>
      <c r="K20" s="20" t="n">
        <v>10716</v>
      </c>
      <c r="L20" s="20" t="n">
        <v>21827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>
        <v>0</v>
      </c>
      <c r="F21" s="20" t="n">
        <v>10000</v>
      </c>
      <c r="G21" s="20" t="n">
        <v>10000</v>
      </c>
      <c r="H21" s="19" t="n">
        <v>0</v>
      </c>
      <c r="I21" s="20" t="n">
        <v>15000</v>
      </c>
      <c r="J21" s="20" t="n">
        <v>0</v>
      </c>
      <c r="K21" s="20" t="n"/>
      <c r="L21" s="20" t="n">
        <v>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133657</v>
      </c>
      <c r="D23" s="12" t="n">
        <v>137267</v>
      </c>
      <c r="E23" s="12" t="n">
        <v>129685</v>
      </c>
      <c r="F23" s="12" t="n">
        <v>112648</v>
      </c>
      <c r="G23" s="12" t="n">
        <v>110299</v>
      </c>
      <c r="H23" s="11" t="n">
        <v>206413</v>
      </c>
      <c r="I23" s="12" t="n">
        <v>162657</v>
      </c>
      <c r="J23" s="12" t="n">
        <v>134359</v>
      </c>
      <c r="K23" s="12" t="n">
        <v>150050</v>
      </c>
      <c r="L23" s="12" t="n">
        <v>129685</v>
      </c>
    </row>
    <row r="24">
      <c r="A24" s="18" t="inlineStr">
        <is>
          <t>장기차입금</t>
        </is>
      </c>
      <c r="B24" s="10" t="n"/>
      <c r="C24" s="19" t="n">
        <v>15067</v>
      </c>
      <c r="D24" s="20" t="n">
        <v>15064</v>
      </c>
      <c r="E24" s="20" t="n">
        <v>15057</v>
      </c>
      <c r="F24" s="20" t="n">
        <v>7551</v>
      </c>
      <c r="G24" s="20" t="n">
        <v>7543</v>
      </c>
      <c r="H24" s="19" t="n">
        <v>66276</v>
      </c>
      <c r="I24" s="20" t="n">
        <v>28600</v>
      </c>
      <c r="J24" s="20" t="n">
        <v>15100</v>
      </c>
      <c r="K24" s="20" t="n">
        <v>30073</v>
      </c>
      <c r="L24" s="20" t="n">
        <v>15057</v>
      </c>
    </row>
    <row r="25">
      <c r="A25" s="18" t="inlineStr">
        <is>
          <t>사채</t>
        </is>
      </c>
      <c r="B25" s="10" t="n"/>
      <c r="C25" s="19" t="n">
        <v>30000</v>
      </c>
      <c r="D25" s="20" t="n">
        <v>30000</v>
      </c>
      <c r="E25" s="20" t="n">
        <v>30000</v>
      </c>
      <c r="F25" s="20" t="n">
        <v>20000</v>
      </c>
      <c r="G25" s="20" t="n">
        <v>20000</v>
      </c>
      <c r="H25" s="19" t="n">
        <v>35000</v>
      </c>
      <c r="I25" s="20" t="n">
        <v>20000</v>
      </c>
      <c r="J25" s="20" t="n">
        <v>20000</v>
      </c>
      <c r="K25" s="20" t="n">
        <v>30000</v>
      </c>
      <c r="L25" s="20" t="n">
        <v>30000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549355</v>
      </c>
      <c r="D27" s="12" t="n">
        <v>585676</v>
      </c>
      <c r="E27" s="12" t="n">
        <v>563732</v>
      </c>
      <c r="F27" s="12" t="n">
        <v>524389</v>
      </c>
      <c r="G27" s="12" t="n">
        <v>541333</v>
      </c>
      <c r="H27" s="11" t="n">
        <v>593382</v>
      </c>
      <c r="I27" s="12" t="n">
        <v>609483</v>
      </c>
      <c r="J27" s="12" t="n">
        <v>609701</v>
      </c>
      <c r="K27" s="12" t="n">
        <v>581517</v>
      </c>
      <c r="L27" s="12" t="n">
        <v>563732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716617</v>
      </c>
      <c r="D31" s="12" t="n">
        <v>752585</v>
      </c>
      <c r="E31" s="12" t="n">
        <v>800161</v>
      </c>
      <c r="F31" s="12" t="n">
        <v>790813</v>
      </c>
      <c r="G31" s="12" t="n">
        <v>812649</v>
      </c>
      <c r="H31" s="11" t="n">
        <v>472900</v>
      </c>
      <c r="I31" s="12" t="n">
        <v>517092</v>
      </c>
      <c r="J31" s="12" t="n">
        <v>602516</v>
      </c>
      <c r="K31" s="12" t="n">
        <v>691767</v>
      </c>
      <c r="L31" s="12" t="n">
        <v>800161</v>
      </c>
    </row>
    <row r="32">
      <c r="A32" s="18" t="inlineStr">
        <is>
          <t>자본금</t>
        </is>
      </c>
      <c r="B32" s="10" t="n"/>
      <c r="C32" s="19" t="n">
        <v>47586</v>
      </c>
      <c r="D32" s="20" t="n">
        <v>47586</v>
      </c>
      <c r="E32" s="20" t="n">
        <v>47586</v>
      </c>
      <c r="F32" s="20" t="n">
        <v>47586</v>
      </c>
      <c r="G32" s="20" t="n">
        <v>47586</v>
      </c>
      <c r="H32" s="19" t="n">
        <v>47586</v>
      </c>
      <c r="I32" s="20" t="n">
        <v>47586</v>
      </c>
      <c r="J32" s="20" t="n">
        <v>47586</v>
      </c>
      <c r="K32" s="20" t="n">
        <v>47586</v>
      </c>
      <c r="L32" s="20" t="n">
        <v>47586</v>
      </c>
    </row>
    <row r="33">
      <c r="A33" s="18" t="inlineStr">
        <is>
          <t>이익잉여금</t>
        </is>
      </c>
      <c r="B33" s="10" t="n"/>
      <c r="C33" s="19" t="n">
        <v>507953</v>
      </c>
      <c r="D33" s="20" t="n">
        <v>516412</v>
      </c>
      <c r="E33" s="20" t="n">
        <v>565936</v>
      </c>
      <c r="F33" s="20" t="n">
        <v>570542</v>
      </c>
      <c r="G33" s="20" t="n">
        <v>591875</v>
      </c>
      <c r="H33" s="19" t="n">
        <v>319285</v>
      </c>
      <c r="I33" s="20" t="n">
        <v>364922</v>
      </c>
      <c r="J33" s="20" t="n">
        <v>423135</v>
      </c>
      <c r="K33" s="20" t="n">
        <v>493885</v>
      </c>
      <c r="L33" s="20" t="n">
        <v>565936</v>
      </c>
    </row>
    <row r="34">
      <c r="A34" s="18" t="inlineStr">
        <is>
          <t>비지배지분</t>
        </is>
      </c>
      <c r="B34" s="10" t="n"/>
      <c r="C34" s="19" t="n">
        <v>38950</v>
      </c>
      <c r="D34" s="20" t="n">
        <v>40891</v>
      </c>
      <c r="E34" s="20" t="n">
        <v>42775</v>
      </c>
      <c r="F34" s="20" t="n">
        <v>42584</v>
      </c>
      <c r="G34" s="20" t="n">
        <v>44003</v>
      </c>
      <c r="H34" s="19" t="n">
        <v>50829</v>
      </c>
      <c r="I34" s="20" t="n">
        <v>54976</v>
      </c>
      <c r="J34" s="20" t="n">
        <v>58956</v>
      </c>
      <c r="K34" s="20" t="n">
        <v>38891</v>
      </c>
      <c r="L34" s="20" t="n">
        <v>42775</v>
      </c>
    </row>
    <row r="35">
      <c r="A35" s="9" t="inlineStr">
        <is>
          <t>자본총계</t>
        </is>
      </c>
      <c r="B35" s="10" t="n"/>
      <c r="C35" s="11" t="n">
        <v>755567</v>
      </c>
      <c r="D35" s="12" t="n">
        <v>793476</v>
      </c>
      <c r="E35" s="12" t="n">
        <v>842936</v>
      </c>
      <c r="F35" s="12" t="n">
        <v>833397</v>
      </c>
      <c r="G35" s="12" t="n">
        <v>856652</v>
      </c>
      <c r="H35" s="11" t="n">
        <v>523729</v>
      </c>
      <c r="I35" s="12" t="n">
        <v>572068</v>
      </c>
      <c r="J35" s="12" t="n">
        <v>661472</v>
      </c>
      <c r="K35" s="12" t="n">
        <v>730658</v>
      </c>
      <c r="L35" s="12" t="n">
        <v>842936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93281</v>
      </c>
      <c r="D37" s="12" t="n">
        <v>128656</v>
      </c>
      <c r="E37" s="12" t="n">
        <v>123562</v>
      </c>
      <c r="F37" s="12" t="n">
        <v>163939</v>
      </c>
      <c r="G37" s="12" t="n">
        <v>170433</v>
      </c>
      <c r="H37" s="11" t="n">
        <v>76809</v>
      </c>
      <c r="I37" s="12" t="n">
        <v>116163</v>
      </c>
      <c r="J37" s="12" t="n">
        <v>84858</v>
      </c>
      <c r="K37" s="12" t="n">
        <v>144920</v>
      </c>
      <c r="L37" s="12" t="n">
        <v>123562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88535</v>
      </c>
      <c r="D38" s="20" t="n">
        <v>90958</v>
      </c>
      <c r="E38" s="20" t="n">
        <v>84026</v>
      </c>
      <c r="F38" s="20" t="n">
        <v>77868</v>
      </c>
      <c r="G38" s="20" t="n">
        <v>68150</v>
      </c>
      <c r="H38" s="19" t="n">
        <v>33047</v>
      </c>
      <c r="I38" s="20" t="n">
        <v>61080</v>
      </c>
      <c r="J38" s="20" t="n">
        <v>74203</v>
      </c>
      <c r="K38" s="20" t="n">
        <v>86754</v>
      </c>
      <c r="L38" s="20" t="n">
        <v>84026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23259</v>
      </c>
      <c r="D40" s="20" t="n">
        <v>25980</v>
      </c>
      <c r="E40" s="20" t="n">
        <v>25980</v>
      </c>
      <c r="F40" s="20" t="n">
        <v>29522</v>
      </c>
      <c r="G40" s="20" t="n">
        <v>29522</v>
      </c>
      <c r="H40" s="19" t="n">
        <v>12855</v>
      </c>
      <c r="I40" s="20" t="n">
        <v>15711</v>
      </c>
      <c r="J40" s="20" t="n">
        <v>17139</v>
      </c>
      <c r="K40" s="20" t="n">
        <v>21424</v>
      </c>
      <c r="L40" s="20" t="n">
        <v>25980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55882</v>
      </c>
      <c r="D71" s="20" t="n">
        <v>70339</v>
      </c>
      <c r="E71" s="20" t="n">
        <v>70931</v>
      </c>
      <c r="F71" s="20" t="n">
        <v>74586</v>
      </c>
      <c r="G71" s="20" t="n">
        <v>75534</v>
      </c>
      <c r="H71" s="20" t="n">
        <v>92966</v>
      </c>
      <c r="I71" s="20" t="n">
        <v>84700</v>
      </c>
      <c r="J71" s="20" t="n">
        <v>66186</v>
      </c>
      <c r="K71" s="20" t="n">
        <v>63542</v>
      </c>
      <c r="L71" s="20" t="n">
        <v>70931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</t>
        </is>
      </c>
      <c r="C73" s="20" t="n">
        <v>12442</v>
      </c>
      <c r="D73" s="20" t="n">
        <v>11137</v>
      </c>
      <c r="E73" s="20" t="n">
        <v>10181</v>
      </c>
      <c r="F73" s="20" t="n">
        <v>10455</v>
      </c>
      <c r="G73" s="20" t="n">
        <v>10454</v>
      </c>
      <c r="H73" s="20" t="n">
        <v>75521</v>
      </c>
      <c r="I73" s="20" t="n">
        <v>76013</v>
      </c>
      <c r="J73" s="20" t="n">
        <v>77134</v>
      </c>
      <c r="K73" s="20" t="n">
        <v>12718</v>
      </c>
      <c r="L73" s="20" t="n">
        <v>10181</v>
      </c>
    </row>
    <row r="74">
      <c r="A74" s="18" t="inlineStr">
        <is>
          <t>전자기록채권</t>
        </is>
      </c>
      <c r="C74" s="20" t="n">
        <v>44525</v>
      </c>
      <c r="D74" s="20" t="n">
        <v>56482</v>
      </c>
      <c r="E74" s="20" t="n">
        <v>55642</v>
      </c>
      <c r="F74" s="20" t="n">
        <v>56422</v>
      </c>
      <c r="G74" s="20" t="n">
        <v>48048</v>
      </c>
      <c r="K74" s="20" t="n">
        <v>61894</v>
      </c>
      <c r="L74" s="20" t="n">
        <v>55642</v>
      </c>
    </row>
    <row r="75">
      <c r="A75" s="18" t="inlineStr">
        <is>
          <t>매출채권</t>
        </is>
      </c>
      <c r="C75" s="20" t="n">
        <v>196499</v>
      </c>
      <c r="D75" s="20" t="n">
        <v>179239</v>
      </c>
      <c r="E75" s="20" t="n">
        <v>273200</v>
      </c>
      <c r="F75" s="20" t="n">
        <v>175109</v>
      </c>
      <c r="G75" s="20" t="n">
        <v>196183</v>
      </c>
      <c r="H75" s="20" t="n">
        <v>217731</v>
      </c>
      <c r="I75" s="20" t="n">
        <v>236462</v>
      </c>
      <c r="J75" s="20" t="n">
        <v>257372</v>
      </c>
      <c r="K75" s="20" t="n">
        <v>249353</v>
      </c>
      <c r="L75" s="20" t="n">
        <v>273200</v>
      </c>
    </row>
    <row r="76">
      <c r="A76" s="18" t="inlineStr">
        <is>
          <t>계약자산</t>
        </is>
      </c>
      <c r="C76" s="20" t="n">
        <v>122797</v>
      </c>
      <c r="D76" s="20" t="n">
        <v>128178</v>
      </c>
      <c r="E76" s="20" t="n">
        <v>105640</v>
      </c>
      <c r="F76" s="20" t="n">
        <v>119005</v>
      </c>
      <c r="G76" s="20" t="n">
        <v>131514</v>
      </c>
      <c r="H76" s="20" t="n">
        <v>64088</v>
      </c>
      <c r="I76" s="20" t="n">
        <v>76023</v>
      </c>
      <c r="J76" s="20" t="n">
        <v>95622</v>
      </c>
      <c r="K76" s="20" t="n">
        <v>93830</v>
      </c>
      <c r="L76" s="20" t="n">
        <v>105640</v>
      </c>
    </row>
    <row r="77">
      <c r="A77" s="18" t="inlineStr">
        <is>
          <t>상품·제품</t>
        </is>
      </c>
      <c r="C77" s="20" t="n">
        <v>99206</v>
      </c>
      <c r="D77" s="20" t="n">
        <v>103306</v>
      </c>
      <c r="E77" s="20" t="n">
        <v>98282</v>
      </c>
      <c r="F77" s="20" t="n">
        <v>107678</v>
      </c>
      <c r="G77" s="20" t="n">
        <v>104846</v>
      </c>
      <c r="H77" s="20" t="n">
        <v>55051</v>
      </c>
      <c r="I77" s="20" t="n">
        <v>64500</v>
      </c>
      <c r="J77" s="20" t="n">
        <v>77539</v>
      </c>
      <c r="K77" s="20" t="n">
        <v>84472</v>
      </c>
      <c r="L77" s="20" t="n">
        <v>98282</v>
      </c>
    </row>
    <row r="78">
      <c r="A78" s="18" t="inlineStr">
        <is>
          <t>재공품</t>
        </is>
      </c>
      <c r="C78" s="20" t="n">
        <v>59300</v>
      </c>
      <c r="D78" s="20" t="n">
        <v>63826</v>
      </c>
      <c r="E78" s="20" t="n">
        <v>59797</v>
      </c>
      <c r="F78" s="20" t="n">
        <v>67097</v>
      </c>
      <c r="G78" s="20" t="n">
        <v>71889</v>
      </c>
      <c r="H78" s="20" t="n">
        <v>51827</v>
      </c>
      <c r="I78" s="20" t="n">
        <v>54642</v>
      </c>
      <c r="J78" s="20" t="n">
        <v>51772</v>
      </c>
      <c r="K78" s="20" t="n">
        <v>55156</v>
      </c>
      <c r="L78" s="20" t="n">
        <v>59797</v>
      </c>
    </row>
    <row r="79">
      <c r="A79" s="18" t="inlineStr">
        <is>
          <t>원재료·저장품</t>
        </is>
      </c>
      <c r="C79" s="20" t="n">
        <v>97359</v>
      </c>
      <c r="D79" s="20" t="n">
        <v>103134</v>
      </c>
      <c r="E79" s="20" t="n">
        <v>98994</v>
      </c>
      <c r="F79" s="20" t="n">
        <v>105152</v>
      </c>
      <c r="G79" s="20" t="n">
        <v>109220</v>
      </c>
      <c r="H79" s="20" t="n">
        <v>63415</v>
      </c>
      <c r="I79" s="20" t="n">
        <v>79548</v>
      </c>
      <c r="J79" s="20" t="n">
        <v>96823</v>
      </c>
      <c r="K79" s="20" t="n">
        <v>99021</v>
      </c>
      <c r="L79" s="20" t="n">
        <v>98994</v>
      </c>
    </row>
    <row r="80">
      <c r="A80" s="18" t="inlineStr">
        <is>
          <t>기타</t>
        </is>
      </c>
      <c r="C80" s="20" t="n">
        <v>67768</v>
      </c>
      <c r="D80" s="20" t="n">
        <v>83963</v>
      </c>
      <c r="E80" s="20" t="n">
        <v>68092</v>
      </c>
      <c r="F80" s="20" t="n">
        <v>77016</v>
      </c>
      <c r="G80" s="20" t="n">
        <v>80015</v>
      </c>
      <c r="H80" s="20" t="n">
        <v>66499</v>
      </c>
      <c r="I80" s="20" t="n">
        <v>49235</v>
      </c>
      <c r="J80" s="20" t="n">
        <v>50958</v>
      </c>
      <c r="K80" s="20" t="n">
        <v>57083</v>
      </c>
      <c r="L80" s="20" t="n">
        <v>68092</v>
      </c>
    </row>
    <row r="81">
      <c r="A81" s="18" t="inlineStr">
        <is>
          <t>대손충당금</t>
        </is>
      </c>
      <c r="C81" s="20" t="n">
        <v>-10133</v>
      </c>
      <c r="D81" s="20" t="n">
        <v>-9708</v>
      </c>
      <c r="E81" s="20" t="n">
        <v>-8920</v>
      </c>
      <c r="F81" s="20" t="n">
        <v>-8907</v>
      </c>
      <c r="G81" s="20" t="n">
        <v>-7992</v>
      </c>
      <c r="H81" s="20" t="n">
        <v>-5121</v>
      </c>
      <c r="I81" s="20" t="n">
        <v>-7573</v>
      </c>
      <c r="J81" s="20" t="n">
        <v>-10337</v>
      </c>
      <c r="K81" s="20" t="n">
        <v>-10401</v>
      </c>
      <c r="L81" s="20" t="n">
        <v>-8920</v>
      </c>
    </row>
    <row r="82">
      <c r="A82" s="9" t="inlineStr">
        <is>
          <t>유동자산 합계</t>
        </is>
      </c>
      <c r="C82" s="12" t="n">
        <v>745650</v>
      </c>
      <c r="D82" s="12" t="n">
        <v>789899</v>
      </c>
      <c r="E82" s="12" t="n">
        <v>831844</v>
      </c>
      <c r="F82" s="12" t="n">
        <v>783617</v>
      </c>
      <c r="G82" s="12" t="n">
        <v>819712</v>
      </c>
      <c r="H82" s="12" t="n">
        <v>681981</v>
      </c>
      <c r="I82" s="12" t="n">
        <v>713553</v>
      </c>
      <c r="J82" s="12" t="n">
        <v>763072</v>
      </c>
      <c r="K82" s="12" t="n">
        <v>766672</v>
      </c>
      <c r="L82" s="12" t="n">
        <v>831844</v>
      </c>
    </row>
    <row r="83">
      <c r="A83" s="18" t="inlineStr">
        <is>
          <t>건물·구축물(순액)</t>
        </is>
      </c>
      <c r="E83" s="20" t="n">
        <v>117300</v>
      </c>
      <c r="H83" s="20" t="n">
        <v>96946</v>
      </c>
      <c r="I83" s="20" t="n">
        <v>99434</v>
      </c>
      <c r="J83" s="20" t="n">
        <v>103829</v>
      </c>
      <c r="K83" s="20" t="n">
        <v>113893</v>
      </c>
      <c r="L83" s="20" t="n">
        <v>117300</v>
      </c>
    </row>
    <row r="84">
      <c r="A84" s="18" t="inlineStr">
        <is>
          <t>기계장치·운반구(순액)</t>
        </is>
      </c>
      <c r="E84" s="20" t="n">
        <v>101530</v>
      </c>
      <c r="H84" s="20" t="n">
        <v>31573</v>
      </c>
      <c r="I84" s="20" t="n">
        <v>37913</v>
      </c>
      <c r="J84" s="20" t="n">
        <v>73555</v>
      </c>
      <c r="K84" s="20" t="n">
        <v>105853</v>
      </c>
      <c r="L84" s="20" t="n">
        <v>101530</v>
      </c>
    </row>
    <row r="85">
      <c r="A85" s="18" t="inlineStr">
        <is>
          <t>공구·기구·비품(순액)</t>
        </is>
      </c>
      <c r="E85" s="20" t="n">
        <v>15521</v>
      </c>
      <c r="H85" s="20" t="n">
        <v>7494</v>
      </c>
      <c r="I85" s="20" t="n">
        <v>7467</v>
      </c>
      <c r="J85" s="20" t="n">
        <v>11696</v>
      </c>
      <c r="K85" s="20" t="n">
        <v>13420</v>
      </c>
      <c r="L85" s="20" t="n">
        <v>15521</v>
      </c>
    </row>
    <row r="86">
      <c r="A86" s="18" t="inlineStr">
        <is>
          <t>토지</t>
        </is>
      </c>
      <c r="E86" s="20" t="n">
        <v>36313</v>
      </c>
      <c r="H86" s="20" t="n">
        <v>35695</v>
      </c>
      <c r="I86" s="20" t="n">
        <v>35604</v>
      </c>
      <c r="J86" s="20" t="n">
        <v>35870</v>
      </c>
      <c r="K86" s="20" t="n">
        <v>36019</v>
      </c>
      <c r="L86" s="20" t="n">
        <v>36313</v>
      </c>
    </row>
    <row r="87">
      <c r="A87" s="18" t="inlineStr">
        <is>
          <t>리스자산(순액)</t>
        </is>
      </c>
      <c r="E87" s="20" t="n">
        <v>13917</v>
      </c>
      <c r="H87" s="20" t="n">
        <v>51779</v>
      </c>
      <c r="I87" s="20" t="n">
        <v>60086</v>
      </c>
      <c r="J87" s="20" t="n">
        <v>41552</v>
      </c>
      <c r="K87" s="20" t="n">
        <v>25367</v>
      </c>
      <c r="L87" s="20" t="n">
        <v>13917</v>
      </c>
    </row>
    <row r="88">
      <c r="A88" s="18" t="inlineStr">
        <is>
          <t>건설중인자산</t>
        </is>
      </c>
      <c r="E88" s="20" t="n">
        <v>59969</v>
      </c>
      <c r="H88" s="20" t="n">
        <v>8632</v>
      </c>
      <c r="I88" s="20" t="n">
        <v>40851</v>
      </c>
      <c r="J88" s="20" t="n">
        <v>42504</v>
      </c>
      <c r="K88" s="20" t="n">
        <v>49089</v>
      </c>
      <c r="L88" s="20" t="n">
        <v>59969</v>
      </c>
    </row>
    <row r="89">
      <c r="A89" s="18" t="inlineStr">
        <is>
          <t>기타</t>
        </is>
      </c>
      <c r="E89" s="20" t="n">
        <v>4312</v>
      </c>
      <c r="H89" s="20" t="n">
        <v>1553</v>
      </c>
      <c r="I89" s="20" t="n">
        <v>2555</v>
      </c>
      <c r="J89" s="20" t="n">
        <v>2446</v>
      </c>
      <c r="K89" s="20" t="n">
        <v>3430</v>
      </c>
      <c r="L89" s="20" t="n">
        <v>4312</v>
      </c>
    </row>
    <row r="90">
      <c r="A90" s="18" t="inlineStr">
        <is>
          <t>유형자산</t>
        </is>
      </c>
      <c r="C90" s="20" t="n">
        <v>349008</v>
      </c>
      <c r="D90" s="20" t="n">
        <v>352241</v>
      </c>
      <c r="E90" s="20" t="n">
        <v>348865</v>
      </c>
      <c r="F90" s="20" t="n">
        <v>345065</v>
      </c>
      <c r="G90" s="20" t="n">
        <v>341413</v>
      </c>
      <c r="H90" s="20" t="n">
        <v>233675</v>
      </c>
      <c r="I90" s="20" t="n">
        <v>283912</v>
      </c>
      <c r="J90" s="20" t="n">
        <v>311456</v>
      </c>
      <c r="K90" s="20" t="n">
        <v>347074</v>
      </c>
      <c r="L90" s="20" t="n">
        <v>348865</v>
      </c>
    </row>
    <row r="91">
      <c r="A91" s="18" t="inlineStr">
        <is>
          <t>무형자산</t>
        </is>
      </c>
      <c r="C91" s="20" t="n">
        <v>32774</v>
      </c>
      <c r="D91" s="20" t="n">
        <v>35758</v>
      </c>
      <c r="E91" s="20" t="n">
        <v>37718</v>
      </c>
      <c r="F91" s="20" t="n">
        <v>39612</v>
      </c>
      <c r="G91" s="20" t="n">
        <v>40707</v>
      </c>
      <c r="H91" s="20" t="n">
        <v>22504</v>
      </c>
      <c r="I91" s="20" t="n">
        <v>24032</v>
      </c>
      <c r="J91" s="20" t="n">
        <v>25462</v>
      </c>
      <c r="K91" s="20" t="n">
        <v>30318</v>
      </c>
      <c r="L91" s="20" t="n">
        <v>37718</v>
      </c>
    </row>
    <row r="92">
      <c r="A92" s="18" t="inlineStr">
        <is>
          <t>투자유가증권</t>
        </is>
      </c>
      <c r="C92" s="20" t="n">
        <v>122719</v>
      </c>
      <c r="D92" s="20" t="n">
        <v>148132</v>
      </c>
      <c r="E92" s="20" t="n">
        <v>120733</v>
      </c>
      <c r="F92" s="20" t="n">
        <v>123329</v>
      </c>
      <c r="G92" s="20" t="n">
        <v>131418</v>
      </c>
      <c r="H92" s="20" t="n">
        <v>126316</v>
      </c>
      <c r="I92" s="20" t="n">
        <v>108460</v>
      </c>
      <c r="J92" s="20" t="n">
        <v>118427</v>
      </c>
      <c r="K92" s="20" t="n">
        <v>108713</v>
      </c>
      <c r="L92" s="20" t="n">
        <v>120733</v>
      </c>
    </row>
    <row r="93">
      <c r="A93" s="18" t="inlineStr">
        <is>
          <t>장기대여금</t>
        </is>
      </c>
      <c r="E93" s="20" t="n">
        <v>3681</v>
      </c>
      <c r="H93" s="20" t="n">
        <v>817</v>
      </c>
      <c r="I93" s="20" t="n">
        <v>811</v>
      </c>
      <c r="J93" s="20" t="n">
        <v>4521</v>
      </c>
      <c r="K93" s="20" t="n">
        <v>3948</v>
      </c>
      <c r="L93" s="20" t="n">
        <v>3681</v>
      </c>
    </row>
    <row r="94">
      <c r="A94" s="18" t="inlineStr">
        <is>
          <t>이연법인세자산</t>
        </is>
      </c>
      <c r="E94" s="20" t="n">
        <v>10634</v>
      </c>
      <c r="H94" s="20" t="n">
        <v>13286</v>
      </c>
      <c r="I94" s="20" t="n">
        <v>16636</v>
      </c>
      <c r="J94" s="20" t="n">
        <v>11478</v>
      </c>
      <c r="K94" s="20" t="n">
        <v>18275</v>
      </c>
      <c r="L94" s="20" t="n">
        <v>10634</v>
      </c>
    </row>
    <row r="95">
      <c r="A95" s="18" t="inlineStr">
        <is>
          <t>퇴직급여자산</t>
        </is>
      </c>
      <c r="C95" s="20" t="n">
        <v>26195</v>
      </c>
      <c r="D95" s="20" t="n">
        <v>26311</v>
      </c>
      <c r="E95" s="20" t="n">
        <v>38136</v>
      </c>
      <c r="F95" s="20" t="n">
        <v>37996</v>
      </c>
      <c r="G95" s="20" t="n">
        <v>37863</v>
      </c>
      <c r="H95" s="20" t="n">
        <v>22516</v>
      </c>
      <c r="I95" s="20" t="n">
        <v>19918</v>
      </c>
      <c r="J95" s="20" t="n">
        <v>25401</v>
      </c>
      <c r="K95" s="20" t="n">
        <v>26052</v>
      </c>
      <c r="L95" s="20" t="n">
        <v>38136</v>
      </c>
    </row>
    <row r="96">
      <c r="A96" s="18" t="inlineStr">
        <is>
          <t>기타</t>
        </is>
      </c>
      <c r="C96" s="20" t="n">
        <v>32122</v>
      </c>
      <c r="D96" s="20" t="n">
        <v>30431</v>
      </c>
      <c r="E96" s="20" t="n">
        <v>33478</v>
      </c>
      <c r="F96" s="20" t="n">
        <v>32245</v>
      </c>
      <c r="G96" s="20" t="n">
        <v>31825</v>
      </c>
      <c r="H96" s="20" t="n">
        <v>16410</v>
      </c>
      <c r="I96" s="20" t="n">
        <v>14663</v>
      </c>
      <c r="J96" s="20" t="n">
        <v>13745</v>
      </c>
      <c r="K96" s="20" t="n">
        <v>14679</v>
      </c>
      <c r="L96" s="20" t="n">
        <v>33478</v>
      </c>
    </row>
    <row r="97">
      <c r="A97" s="18" t="inlineStr">
        <is>
          <t>대손충당금</t>
        </is>
      </c>
      <c r="C97" s="20" t="n">
        <v>-3605</v>
      </c>
      <c r="D97" s="20" t="n">
        <v>-3675</v>
      </c>
      <c r="E97" s="20" t="n">
        <v>-4154</v>
      </c>
      <c r="F97" s="20" t="n">
        <v>-4121</v>
      </c>
      <c r="G97" s="20" t="n">
        <v>-4993</v>
      </c>
      <c r="H97" s="20" t="n">
        <v>-468</v>
      </c>
      <c r="I97" s="20" t="n">
        <v>-488</v>
      </c>
      <c r="J97" s="20" t="n">
        <v>-2429</v>
      </c>
      <c r="K97" s="20" t="n">
        <v>-3627</v>
      </c>
      <c r="L97" s="20" t="n">
        <v>-4154</v>
      </c>
    </row>
    <row r="98">
      <c r="A98" s="18" t="inlineStr">
        <is>
          <t>투자 및 기타자산 합계</t>
        </is>
      </c>
      <c r="C98" s="20" t="n">
        <v>177432</v>
      </c>
      <c r="D98" s="20" t="n">
        <v>201199</v>
      </c>
      <c r="E98" s="20" t="n">
        <v>188194</v>
      </c>
      <c r="F98" s="20" t="n">
        <v>189449</v>
      </c>
      <c r="G98" s="20" t="n">
        <v>196114</v>
      </c>
      <c r="H98" s="20" t="n">
        <v>178878</v>
      </c>
      <c r="I98" s="20" t="n">
        <v>160001</v>
      </c>
      <c r="J98" s="20" t="n">
        <v>171145</v>
      </c>
      <c r="K98" s="20" t="n">
        <v>168042</v>
      </c>
      <c r="L98" s="20" t="n">
        <v>188194</v>
      </c>
    </row>
    <row r="99">
      <c r="A99" s="9" t="inlineStr">
        <is>
          <t>비유동자산 합계</t>
        </is>
      </c>
      <c r="C99" s="12" t="n">
        <v>559215</v>
      </c>
      <c r="D99" s="12" t="n">
        <v>589200</v>
      </c>
      <c r="E99" s="12" t="n">
        <v>574778</v>
      </c>
      <c r="F99" s="12" t="n">
        <v>574127</v>
      </c>
      <c r="G99" s="12" t="n">
        <v>578235</v>
      </c>
      <c r="H99" s="12" t="n">
        <v>435058</v>
      </c>
      <c r="I99" s="12" t="n">
        <v>467946</v>
      </c>
      <c r="J99" s="12" t="n">
        <v>508064</v>
      </c>
      <c r="K99" s="12" t="n">
        <v>545435</v>
      </c>
      <c r="L99" s="12" t="n">
        <v>574778</v>
      </c>
    </row>
    <row r="100">
      <c r="A100" s="18" t="inlineStr">
        <is>
          <t>이연자산</t>
        </is>
      </c>
      <c r="C100" s="20" t="n">
        <v>57</v>
      </c>
      <c r="D100" s="20" t="n">
        <v>52</v>
      </c>
      <c r="E100" s="20" t="n">
        <v>47</v>
      </c>
      <c r="F100" s="20" t="n">
        <v>42</v>
      </c>
      <c r="G100" s="20" t="n">
        <v>37</v>
      </c>
      <c r="H100" s="20" t="n">
        <v>71</v>
      </c>
      <c r="I100" s="20" t="n">
        <v>51</v>
      </c>
      <c r="J100" s="20" t="n">
        <v>37</v>
      </c>
      <c r="K100" s="20" t="n">
        <v>67</v>
      </c>
      <c r="L100" s="20" t="n">
        <v>47</v>
      </c>
    </row>
    <row r="101">
      <c r="A101" s="9" t="inlineStr">
        <is>
          <t>자산 합계</t>
        </is>
      </c>
      <c r="C101" s="12" t="n">
        <v>1304922</v>
      </c>
      <c r="D101" s="12" t="n">
        <v>1379152</v>
      </c>
      <c r="E101" s="12" t="n">
        <v>1406669</v>
      </c>
      <c r="F101" s="12" t="n">
        <v>1357786</v>
      </c>
      <c r="G101" s="12" t="n">
        <v>1397985</v>
      </c>
      <c r="H101" s="12" t="n">
        <v>1117112</v>
      </c>
      <c r="I101" s="12" t="n">
        <v>1181552</v>
      </c>
      <c r="J101" s="12" t="n">
        <v>1271174</v>
      </c>
      <c r="K101" s="12" t="n">
        <v>1312175</v>
      </c>
      <c r="L101" s="12" t="n">
        <v>1406669</v>
      </c>
    </row>
    <row r="102">
      <c r="A102" s="18" t="inlineStr">
        <is>
          <t>지급어음·매입채무</t>
        </is>
      </c>
      <c r="C102" s="20" t="n">
        <v>175374</v>
      </c>
      <c r="D102" s="20" t="n">
        <v>180263</v>
      </c>
      <c r="E102" s="20" t="n">
        <v>190893</v>
      </c>
      <c r="F102" s="20" t="n">
        <v>164693</v>
      </c>
      <c r="G102" s="20" t="n">
        <v>174937</v>
      </c>
      <c r="H102" s="20" t="n">
        <v>171749</v>
      </c>
      <c r="I102" s="20" t="n">
        <v>201593</v>
      </c>
      <c r="J102" s="20" t="n">
        <v>207408</v>
      </c>
      <c r="K102" s="20" t="n">
        <v>192834</v>
      </c>
      <c r="L102" s="20" t="n">
        <v>190893</v>
      </c>
    </row>
    <row r="103">
      <c r="A103" s="18" t="inlineStr">
        <is>
          <t>단기차입금</t>
        </is>
      </c>
      <c r="C103" s="20" t="n">
        <v>24691</v>
      </c>
      <c r="D103" s="20" t="n">
        <v>23801</v>
      </c>
      <c r="E103" s="20" t="n">
        <v>21827</v>
      </c>
      <c r="F103" s="20" t="n">
        <v>29472</v>
      </c>
      <c r="G103" s="20" t="n">
        <v>19799</v>
      </c>
      <c r="H103" s="20" t="n">
        <v>44984</v>
      </c>
      <c r="I103" s="20" t="n">
        <v>46875</v>
      </c>
      <c r="J103" s="20" t="n">
        <v>40259</v>
      </c>
      <c r="K103" s="20" t="n">
        <v>10716</v>
      </c>
      <c r="L103" s="20" t="n">
        <v>21827</v>
      </c>
    </row>
    <row r="104">
      <c r="A104" s="18" t="inlineStr">
        <is>
          <t>기업어음(CP)</t>
        </is>
      </c>
      <c r="C104" s="20" t="n">
        <v>25000</v>
      </c>
      <c r="D104" s="20" t="n">
        <v>35000</v>
      </c>
      <c r="I104" s="20" t="n">
        <v>0</v>
      </c>
      <c r="J104" s="20" t="n">
        <v>36000</v>
      </c>
      <c r="K104" s="20" t="n">
        <v>0</v>
      </c>
    </row>
    <row r="105">
      <c r="A105" s="18" t="inlineStr">
        <is>
          <t>리스부채</t>
        </is>
      </c>
      <c r="E105" s="20" t="n">
        <v>10159</v>
      </c>
      <c r="H105" s="20" t="n">
        <v>19584</v>
      </c>
      <c r="I105" s="20" t="n">
        <v>23261</v>
      </c>
      <c r="J105" s="20" t="n">
        <v>20283</v>
      </c>
      <c r="K105" s="20" t="n">
        <v>14292</v>
      </c>
      <c r="L105" s="20" t="n">
        <v>10159</v>
      </c>
    </row>
    <row r="106">
      <c r="A106" s="18" t="inlineStr">
        <is>
          <t>미지급비용</t>
        </is>
      </c>
      <c r="E106" s="20" t="n">
        <v>60207</v>
      </c>
      <c r="H106" s="20" t="n">
        <v>53192</v>
      </c>
      <c r="I106" s="20" t="n">
        <v>52757</v>
      </c>
      <c r="J106" s="20" t="n">
        <v>55859</v>
      </c>
      <c r="K106" s="20" t="n">
        <v>58809</v>
      </c>
      <c r="L106" s="20" t="n">
        <v>60207</v>
      </c>
    </row>
    <row r="107">
      <c r="A107" s="18" t="inlineStr">
        <is>
          <t>1년 내 상환 사채</t>
        </is>
      </c>
      <c r="E107" s="20" t="n">
        <v>0</v>
      </c>
      <c r="F107" s="20" t="n">
        <v>10000</v>
      </c>
      <c r="G107" s="20" t="n">
        <v>10000</v>
      </c>
      <c r="H107" s="20" t="n">
        <v>0</v>
      </c>
      <c r="I107" s="20" t="n">
        <v>15000</v>
      </c>
      <c r="J107" s="20" t="n">
        <v>0</v>
      </c>
      <c r="L107" s="20" t="n">
        <v>0</v>
      </c>
    </row>
    <row r="108">
      <c r="A108" s="18" t="inlineStr">
        <is>
          <t>미지급법인세</t>
        </is>
      </c>
      <c r="C108" s="20" t="n">
        <v>11784</v>
      </c>
      <c r="D108" s="20" t="n">
        <v>15536</v>
      </c>
      <c r="E108" s="20" t="n">
        <v>30553</v>
      </c>
      <c r="F108" s="20" t="n">
        <v>13392</v>
      </c>
      <c r="G108" s="20" t="n">
        <v>20222</v>
      </c>
      <c r="H108" s="20" t="n">
        <v>14879</v>
      </c>
      <c r="I108" s="20" t="n">
        <v>18710</v>
      </c>
      <c r="J108" s="20" t="n">
        <v>19676</v>
      </c>
      <c r="K108" s="20" t="n">
        <v>28121</v>
      </c>
      <c r="L108" s="20" t="n">
        <v>30553</v>
      </c>
    </row>
    <row r="109">
      <c r="A109" s="18" t="inlineStr">
        <is>
          <t>선수금</t>
        </is>
      </c>
      <c r="H109" s="20" t="n">
        <v>0</v>
      </c>
    </row>
    <row r="110">
      <c r="A110" s="18" t="inlineStr">
        <is>
          <t>계약부채</t>
        </is>
      </c>
      <c r="C110" s="20" t="n">
        <v>62634</v>
      </c>
      <c r="D110" s="20" t="n">
        <v>79982</v>
      </c>
      <c r="E110" s="20" t="n">
        <v>78689</v>
      </c>
      <c r="F110" s="20" t="n">
        <v>93594</v>
      </c>
      <c r="G110" s="20" t="n">
        <v>103807</v>
      </c>
      <c r="H110" s="20" t="n">
        <v>39443</v>
      </c>
      <c r="I110" s="20" t="n">
        <v>49449</v>
      </c>
      <c r="J110" s="20" t="n">
        <v>55007</v>
      </c>
      <c r="K110" s="20" t="n">
        <v>67129</v>
      </c>
      <c r="L110" s="20" t="n">
        <v>78689</v>
      </c>
    </row>
    <row r="111">
      <c r="A111" s="18" t="inlineStr">
        <is>
          <t>제품보증 충당금</t>
        </is>
      </c>
      <c r="C111" s="20" t="n">
        <v>3728</v>
      </c>
      <c r="D111" s="20" t="n">
        <v>3818</v>
      </c>
      <c r="E111" s="20" t="n">
        <v>3276</v>
      </c>
      <c r="F111" s="20" t="n">
        <v>3283</v>
      </c>
      <c r="G111" s="20" t="n">
        <v>3253</v>
      </c>
      <c r="H111" s="20" t="n">
        <v>7280</v>
      </c>
      <c r="I111" s="20" t="n">
        <v>3775</v>
      </c>
      <c r="J111" s="20" t="n">
        <v>2724</v>
      </c>
      <c r="K111" s="20" t="n">
        <v>3706</v>
      </c>
      <c r="L111" s="20" t="n">
        <v>3276</v>
      </c>
    </row>
    <row r="112">
      <c r="A112" s="18" t="inlineStr">
        <is>
          <t>기타</t>
        </is>
      </c>
      <c r="C112" s="20" t="n">
        <v>112486</v>
      </c>
      <c r="D112" s="20" t="n">
        <v>110006</v>
      </c>
      <c r="E112" s="20" t="n">
        <v>108807</v>
      </c>
      <c r="F112" s="20" t="n">
        <v>97303</v>
      </c>
      <c r="G112" s="20" t="n">
        <v>99013</v>
      </c>
      <c r="H112" s="20" t="n">
        <v>35856</v>
      </c>
      <c r="I112" s="20" t="n">
        <v>35403</v>
      </c>
      <c r="J112" s="20" t="n">
        <v>38122</v>
      </c>
      <c r="K112" s="20" t="n">
        <v>55857</v>
      </c>
      <c r="L112" s="20" t="n">
        <v>108807</v>
      </c>
    </row>
    <row r="113">
      <c r="A113" s="9" t="inlineStr">
        <is>
          <t>유동부채 합계</t>
        </is>
      </c>
      <c r="C113" s="12" t="n">
        <v>415698</v>
      </c>
      <c r="D113" s="12" t="n">
        <v>448409</v>
      </c>
      <c r="E113" s="12" t="n">
        <v>434047</v>
      </c>
      <c r="F113" s="12" t="n">
        <v>411740</v>
      </c>
      <c r="G113" s="12" t="n">
        <v>431033</v>
      </c>
      <c r="H113" s="12" t="n">
        <v>386969</v>
      </c>
      <c r="I113" s="12" t="n">
        <v>446826</v>
      </c>
      <c r="J113" s="12" t="n">
        <v>475342</v>
      </c>
      <c r="K113" s="12" t="n">
        <v>431466</v>
      </c>
      <c r="L113" s="12" t="n">
        <v>434047</v>
      </c>
    </row>
    <row r="114">
      <c r="A114" s="18" t="inlineStr">
        <is>
          <t>사채</t>
        </is>
      </c>
      <c r="C114" s="20" t="n">
        <v>30000</v>
      </c>
      <c r="D114" s="20" t="n">
        <v>30000</v>
      </c>
      <c r="E114" s="20" t="n">
        <v>30000</v>
      </c>
      <c r="F114" s="20" t="n">
        <v>20000</v>
      </c>
      <c r="G114" s="20" t="n">
        <v>20000</v>
      </c>
      <c r="H114" s="20" t="n">
        <v>35000</v>
      </c>
      <c r="I114" s="20" t="n">
        <v>20000</v>
      </c>
      <c r="J114" s="20" t="n">
        <v>20000</v>
      </c>
      <c r="K114" s="20" t="n">
        <v>30000</v>
      </c>
      <c r="L114" s="20" t="n">
        <v>30000</v>
      </c>
    </row>
    <row r="115">
      <c r="A115" s="18" t="inlineStr">
        <is>
          <t>장기차입금</t>
        </is>
      </c>
      <c r="C115" s="20" t="n">
        <v>15067</v>
      </c>
      <c r="D115" s="20" t="n">
        <v>15064</v>
      </c>
      <c r="E115" s="20" t="n">
        <v>15057</v>
      </c>
      <c r="F115" s="20" t="n">
        <v>7551</v>
      </c>
      <c r="G115" s="20" t="n">
        <v>7543</v>
      </c>
      <c r="H115" s="20" t="n">
        <v>66276</v>
      </c>
      <c r="I115" s="20" t="n">
        <v>28600</v>
      </c>
      <c r="J115" s="20" t="n">
        <v>15100</v>
      </c>
      <c r="K115" s="20" t="n">
        <v>30073</v>
      </c>
      <c r="L115" s="20" t="n">
        <v>15057</v>
      </c>
    </row>
    <row r="116">
      <c r="A116" s="18" t="inlineStr">
        <is>
          <t>리스부채</t>
        </is>
      </c>
      <c r="E116" s="20" t="n">
        <v>7502</v>
      </c>
      <c r="H116" s="20" t="n">
        <v>40978</v>
      </c>
      <c r="I116" s="20" t="n">
        <v>46895</v>
      </c>
      <c r="J116" s="20" t="n">
        <v>28711</v>
      </c>
      <c r="K116" s="20" t="n">
        <v>16212</v>
      </c>
      <c r="L116" s="20" t="n">
        <v>7502</v>
      </c>
    </row>
    <row r="117">
      <c r="A117" s="18" t="inlineStr">
        <is>
          <t>이연법인세부채</t>
        </is>
      </c>
      <c r="E117" s="20" t="n">
        <v>1137</v>
      </c>
      <c r="H117" s="20" t="n">
        <v>1580</v>
      </c>
      <c r="I117" s="20" t="n">
        <v>1085</v>
      </c>
      <c r="J117" s="20" t="n">
        <v>840</v>
      </c>
      <c r="K117" s="20" t="n">
        <v>916</v>
      </c>
      <c r="L117" s="20" t="n">
        <v>1137</v>
      </c>
    </row>
    <row r="118">
      <c r="A118" s="18" t="inlineStr">
        <is>
          <t>임원 퇴직위로 충당금</t>
        </is>
      </c>
      <c r="C118" s="20" t="n">
        <v>111</v>
      </c>
      <c r="D118" s="20" t="n">
        <v>117</v>
      </c>
      <c r="E118" s="20" t="n">
        <v>126</v>
      </c>
      <c r="F118" s="20" t="n">
        <v>118</v>
      </c>
      <c r="G118" s="20" t="n">
        <v>128</v>
      </c>
      <c r="H118" s="20" t="n">
        <v>94</v>
      </c>
      <c r="I118" s="20" t="n">
        <v>65</v>
      </c>
      <c r="J118" s="20" t="n">
        <v>79</v>
      </c>
      <c r="K118" s="20" t="n">
        <v>95</v>
      </c>
      <c r="L118" s="20" t="n">
        <v>126</v>
      </c>
    </row>
    <row r="119">
      <c r="A119" s="18" t="inlineStr">
        <is>
          <t>퇴직급여부채</t>
        </is>
      </c>
      <c r="C119" s="20" t="n">
        <v>68711</v>
      </c>
      <c r="D119" s="20" t="n">
        <v>70149</v>
      </c>
      <c r="E119" s="20" t="n">
        <v>60775</v>
      </c>
      <c r="F119" s="20" t="n">
        <v>62473</v>
      </c>
      <c r="G119" s="20" t="n">
        <v>62655</v>
      </c>
      <c r="H119" s="20" t="n">
        <v>57590</v>
      </c>
      <c r="I119" s="20" t="n">
        <v>60345</v>
      </c>
      <c r="J119" s="20" t="n">
        <v>63803</v>
      </c>
      <c r="K119" s="20" t="n">
        <v>66797</v>
      </c>
      <c r="L119" s="20" t="n">
        <v>60775</v>
      </c>
    </row>
    <row r="120">
      <c r="A120" s="18" t="inlineStr">
        <is>
          <t>기타</t>
        </is>
      </c>
      <c r="C120" s="20" t="n">
        <v>19767</v>
      </c>
      <c r="D120" s="20" t="n">
        <v>21934</v>
      </c>
      <c r="E120" s="20" t="n">
        <v>23725</v>
      </c>
      <c r="F120" s="20" t="n">
        <v>22504</v>
      </c>
      <c r="G120" s="20" t="n">
        <v>19972</v>
      </c>
      <c r="H120" s="20" t="n">
        <v>4891</v>
      </c>
      <c r="I120" s="20" t="n">
        <v>5665</v>
      </c>
      <c r="J120" s="20" t="n">
        <v>5824</v>
      </c>
      <c r="K120" s="20" t="n">
        <v>5955</v>
      </c>
      <c r="L120" s="20" t="n">
        <v>23725</v>
      </c>
    </row>
    <row r="121">
      <c r="A121" s="9" t="inlineStr">
        <is>
          <t>비유동부채 합계</t>
        </is>
      </c>
      <c r="C121" s="12" t="n">
        <v>133657</v>
      </c>
      <c r="D121" s="12" t="n">
        <v>137267</v>
      </c>
      <c r="E121" s="12" t="n">
        <v>129685</v>
      </c>
      <c r="F121" s="12" t="n">
        <v>112648</v>
      </c>
      <c r="G121" s="12" t="n">
        <v>110299</v>
      </c>
      <c r="H121" s="12" t="n">
        <v>206413</v>
      </c>
      <c r="I121" s="12" t="n">
        <v>162657</v>
      </c>
      <c r="J121" s="12" t="n">
        <v>134359</v>
      </c>
      <c r="K121" s="12" t="n">
        <v>150050</v>
      </c>
      <c r="L121" s="12" t="n">
        <v>129685</v>
      </c>
    </row>
    <row r="122">
      <c r="A122" s="9" t="inlineStr">
        <is>
          <t>부채 합계</t>
        </is>
      </c>
      <c r="C122" s="12" t="n">
        <v>549355</v>
      </c>
      <c r="D122" s="12" t="n">
        <v>585676</v>
      </c>
      <c r="E122" s="12" t="n">
        <v>563732</v>
      </c>
      <c r="F122" s="12" t="n">
        <v>524389</v>
      </c>
      <c r="G122" s="12" t="n">
        <v>541333</v>
      </c>
      <c r="H122" s="12" t="n">
        <v>593382</v>
      </c>
      <c r="I122" s="12" t="n">
        <v>609483</v>
      </c>
      <c r="J122" s="12" t="n">
        <v>609701</v>
      </c>
      <c r="K122" s="12" t="n">
        <v>581517</v>
      </c>
      <c r="L122" s="12" t="n">
        <v>563732</v>
      </c>
    </row>
    <row r="123">
      <c r="A123" s="18" t="inlineStr">
        <is>
          <t>자본금</t>
        </is>
      </c>
      <c r="C123" s="20" t="n">
        <v>47586</v>
      </c>
      <c r="D123" s="20" t="n">
        <v>47586</v>
      </c>
      <c r="E123" s="20" t="n">
        <v>47586</v>
      </c>
      <c r="F123" s="20" t="n">
        <v>47586</v>
      </c>
      <c r="G123" s="20" t="n">
        <v>47586</v>
      </c>
      <c r="H123" s="20" t="n">
        <v>47586</v>
      </c>
      <c r="I123" s="20" t="n">
        <v>47586</v>
      </c>
      <c r="J123" s="20" t="n">
        <v>47586</v>
      </c>
      <c r="K123" s="20" t="n">
        <v>47586</v>
      </c>
      <c r="L123" s="20" t="n">
        <v>47586</v>
      </c>
    </row>
    <row r="124">
      <c r="A124" s="18" t="inlineStr">
        <is>
          <t>자본잉여금</t>
        </is>
      </c>
      <c r="C124" s="20" t="n">
        <v>63783</v>
      </c>
      <c r="D124" s="20" t="n">
        <v>63783</v>
      </c>
      <c r="E124" s="20" t="n">
        <v>63784</v>
      </c>
      <c r="F124" s="20" t="n">
        <v>63785</v>
      </c>
      <c r="G124" s="20" t="n">
        <v>63785</v>
      </c>
      <c r="H124" s="20" t="n">
        <v>45955</v>
      </c>
      <c r="I124" s="20" t="n">
        <v>45953</v>
      </c>
      <c r="J124" s="20" t="n">
        <v>45954</v>
      </c>
      <c r="K124" s="20" t="n">
        <v>64573</v>
      </c>
      <c r="L124" s="20" t="n">
        <v>63784</v>
      </c>
    </row>
    <row r="125">
      <c r="A125" s="18" t="inlineStr">
        <is>
          <t>이익잉여금</t>
        </is>
      </c>
      <c r="C125" s="20" t="n">
        <v>507953</v>
      </c>
      <c r="D125" s="20" t="n">
        <v>516412</v>
      </c>
      <c r="E125" s="20" t="n">
        <v>565936</v>
      </c>
      <c r="F125" s="20" t="n">
        <v>570542</v>
      </c>
      <c r="G125" s="20" t="n">
        <v>591875</v>
      </c>
      <c r="H125" s="20" t="n">
        <v>319285</v>
      </c>
      <c r="I125" s="20" t="n">
        <v>364922</v>
      </c>
      <c r="J125" s="20" t="n">
        <v>423135</v>
      </c>
      <c r="K125" s="20" t="n">
        <v>493885</v>
      </c>
      <c r="L125" s="20" t="n">
        <v>565936</v>
      </c>
    </row>
    <row r="126">
      <c r="A126" s="18" t="inlineStr">
        <is>
          <t>자기주식</t>
        </is>
      </c>
      <c r="C126" s="20" t="n">
        <v>-3676</v>
      </c>
      <c r="D126" s="20" t="n">
        <v>-3684</v>
      </c>
      <c r="E126" s="20" t="n">
        <v>-3700</v>
      </c>
      <c r="F126" s="20" t="n">
        <v>-24709</v>
      </c>
      <c r="G126" s="20" t="n">
        <v>-24189</v>
      </c>
      <c r="H126" s="20" t="n">
        <v>-7359</v>
      </c>
      <c r="I126" s="20" t="n">
        <v>-7370</v>
      </c>
      <c r="J126" s="20" t="n">
        <v>-7397</v>
      </c>
      <c r="K126" s="20" t="n">
        <v>-4273</v>
      </c>
      <c r="L126" s="20" t="n">
        <v>-3700</v>
      </c>
    </row>
    <row r="127">
      <c r="A127" s="9" t="inlineStr">
        <is>
          <t>주주자본 합계</t>
        </is>
      </c>
      <c r="C127" s="12" t="n">
        <v>615646</v>
      </c>
      <c r="D127" s="12" t="n">
        <v>624097</v>
      </c>
      <c r="E127" s="12" t="n">
        <v>673606</v>
      </c>
      <c r="F127" s="12" t="n">
        <v>657205</v>
      </c>
      <c r="G127" s="12" t="n">
        <v>679058</v>
      </c>
      <c r="H127" s="12" t="n">
        <v>405467</v>
      </c>
      <c r="I127" s="12" t="n">
        <v>451091</v>
      </c>
      <c r="J127" s="12" t="n">
        <v>509278</v>
      </c>
      <c r="K127" s="12" t="n">
        <v>601771</v>
      </c>
      <c r="L127" s="12" t="n">
        <v>673606</v>
      </c>
    </row>
    <row r="128">
      <c r="A128" s="18" t="inlineStr">
        <is>
          <t>기타유가증권 평가차액</t>
        </is>
      </c>
      <c r="C128" s="20" t="n">
        <v>59475</v>
      </c>
      <c r="D128" s="20" t="n">
        <v>76805</v>
      </c>
      <c r="E128" s="20" t="n">
        <v>57031</v>
      </c>
      <c r="F128" s="20" t="n">
        <v>59809</v>
      </c>
      <c r="G128" s="20" t="n">
        <v>64647</v>
      </c>
      <c r="H128" s="20" t="n">
        <v>51649</v>
      </c>
      <c r="I128" s="20" t="n">
        <v>45550</v>
      </c>
      <c r="J128" s="20" t="n">
        <v>54717</v>
      </c>
      <c r="K128" s="20" t="n">
        <v>49318</v>
      </c>
      <c r="L128" s="20" t="n">
        <v>57031</v>
      </c>
    </row>
    <row r="129">
      <c r="A129" s="18" t="inlineStr">
        <is>
          <t>이연헤지손익</t>
        </is>
      </c>
      <c r="C129" s="20" t="n">
        <v>602</v>
      </c>
      <c r="D129" s="20" t="n">
        <v>1035</v>
      </c>
      <c r="E129" s="20" t="n">
        <v>789</v>
      </c>
      <c r="F129" s="20" t="n">
        <v>948</v>
      </c>
      <c r="G129" s="20" t="n">
        <v>790</v>
      </c>
      <c r="H129" s="20" t="n">
        <v>507</v>
      </c>
      <c r="I129" s="20" t="n">
        <v>241</v>
      </c>
      <c r="J129" s="20" t="n">
        <v>-35</v>
      </c>
      <c r="K129" s="20" t="n">
        <v>-2</v>
      </c>
      <c r="L129" s="20" t="n">
        <v>789</v>
      </c>
    </row>
    <row r="130">
      <c r="A130" s="18" t="inlineStr">
        <is>
          <t>해외사업환산조정</t>
        </is>
      </c>
      <c r="C130" s="20" t="n">
        <v>40526</v>
      </c>
      <c r="D130" s="20" t="n">
        <v>50410</v>
      </c>
      <c r="E130" s="20" t="n">
        <v>54737</v>
      </c>
      <c r="F130" s="20" t="n">
        <v>59219</v>
      </c>
      <c r="G130" s="20" t="n">
        <v>54890</v>
      </c>
      <c r="H130" s="20" t="n">
        <v>14169</v>
      </c>
      <c r="I130" s="20" t="n">
        <v>22222</v>
      </c>
      <c r="J130" s="20" t="n">
        <v>37772</v>
      </c>
      <c r="K130" s="20" t="n">
        <v>40046</v>
      </c>
      <c r="L130" s="20" t="n">
        <v>54737</v>
      </c>
    </row>
    <row r="131">
      <c r="A131" s="18" t="inlineStr">
        <is>
          <t>퇴직급여 조정누계액</t>
        </is>
      </c>
      <c r="C131" s="20" t="n">
        <v>366</v>
      </c>
      <c r="D131" s="20" t="n">
        <v>235</v>
      </c>
      <c r="E131" s="20" t="n">
        <v>13997</v>
      </c>
      <c r="F131" s="20" t="n">
        <v>13630</v>
      </c>
      <c r="G131" s="20" t="n">
        <v>13263</v>
      </c>
      <c r="H131" s="20" t="n">
        <v>1107</v>
      </c>
      <c r="I131" s="20" t="n">
        <v>-2013</v>
      </c>
      <c r="J131" s="20" t="n">
        <v>782</v>
      </c>
      <c r="K131" s="20" t="n">
        <v>633</v>
      </c>
      <c r="L131" s="20" t="n">
        <v>13997</v>
      </c>
    </row>
    <row r="132">
      <c r="A132" s="18" t="inlineStr">
        <is>
          <t>기타포괄손익누계액 합계</t>
        </is>
      </c>
      <c r="C132" s="20" t="n">
        <v>100970</v>
      </c>
      <c r="D132" s="20" t="n">
        <v>128486</v>
      </c>
      <c r="E132" s="20" t="n">
        <v>126555</v>
      </c>
      <c r="F132" s="20" t="n">
        <v>133608</v>
      </c>
      <c r="G132" s="20" t="n">
        <v>133591</v>
      </c>
      <c r="H132" s="20" t="n">
        <v>67433</v>
      </c>
      <c r="I132" s="20" t="n">
        <v>66000</v>
      </c>
      <c r="J132" s="20" t="n">
        <v>93237</v>
      </c>
      <c r="K132" s="20" t="n">
        <v>89995</v>
      </c>
      <c r="L132" s="20" t="n">
        <v>126555</v>
      </c>
    </row>
    <row r="133">
      <c r="A133" s="18" t="inlineStr">
        <is>
          <t>비지배지분</t>
        </is>
      </c>
      <c r="C133" s="20" t="n">
        <v>38950</v>
      </c>
      <c r="D133" s="20" t="n">
        <v>40891</v>
      </c>
      <c r="E133" s="20" t="n">
        <v>42775</v>
      </c>
      <c r="F133" s="20" t="n">
        <v>42584</v>
      </c>
      <c r="G133" s="20" t="n">
        <v>44003</v>
      </c>
      <c r="H133" s="20" t="n">
        <v>50829</v>
      </c>
      <c r="I133" s="20" t="n">
        <v>54976</v>
      </c>
      <c r="J133" s="20" t="n">
        <v>58956</v>
      </c>
      <c r="K133" s="20" t="n">
        <v>38891</v>
      </c>
      <c r="L133" s="20" t="n">
        <v>42775</v>
      </c>
    </row>
    <row r="134">
      <c r="A134" s="9" t="inlineStr">
        <is>
          <t>순자산 합계</t>
        </is>
      </c>
      <c r="C134" s="12" t="n">
        <v>755567</v>
      </c>
      <c r="D134" s="12" t="n">
        <v>793476</v>
      </c>
      <c r="E134" s="12" t="n">
        <v>842936</v>
      </c>
      <c r="F134" s="12" t="n">
        <v>833397</v>
      </c>
      <c r="G134" s="12" t="n">
        <v>856652</v>
      </c>
      <c r="H134" s="12" t="n">
        <v>523729</v>
      </c>
      <c r="I134" s="12" t="n">
        <v>572068</v>
      </c>
      <c r="J134" s="12" t="n">
        <v>661472</v>
      </c>
      <c r="K134" s="12" t="n">
        <v>730658</v>
      </c>
      <c r="L134" s="12" t="n">
        <v>842936</v>
      </c>
    </row>
    <row r="135">
      <c r="A135" s="9" t="inlineStr">
        <is>
          <t>부채·순자산 합계</t>
        </is>
      </c>
      <c r="C135" s="12" t="n">
        <v>1304922</v>
      </c>
      <c r="D135" s="12" t="n">
        <v>1379152</v>
      </c>
      <c r="E135" s="12" t="n">
        <v>1406669</v>
      </c>
      <c r="F135" s="12" t="n">
        <v>1357786</v>
      </c>
      <c r="G135" s="12" t="n">
        <v>1397985</v>
      </c>
      <c r="H135" s="12" t="n">
        <v>1117112</v>
      </c>
      <c r="I135" s="12" t="n">
        <v>1181552</v>
      </c>
      <c r="J135" s="12" t="n">
        <v>1271174</v>
      </c>
      <c r="K135" s="12" t="n">
        <v>1312175</v>
      </c>
      <c r="L135" s="12" t="n">
        <v>1406669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4" customWidth="1" min="12" max="12"/>
  </cols>
  <sheetData>
    <row r="1">
      <c r="A1" s="50" t="inlineStr">
        <is>
          <t>후지전기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annual EPS dps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</row>
    <row r="5">
      <c r="A5" s="53" t="inlineStr">
        <is>
          <t>항목</t>
        </is>
      </c>
      <c r="B5" s="53" t="inlineStr">
        <is>
          <t>2017</t>
        </is>
      </c>
      <c r="C5" s="53" t="inlineStr">
        <is>
          <t>2018</t>
        </is>
      </c>
      <c r="D5" s="53" t="inlineStr">
        <is>
          <t>2019</t>
        </is>
      </c>
      <c r="E5" s="53" t="inlineStr">
        <is>
          <t>2020</t>
        </is>
      </c>
      <c r="F5" s="53" t="inlineStr">
        <is>
          <t>2021</t>
        </is>
      </c>
      <c r="G5" s="53" t="inlineStr">
        <is>
          <t>2022</t>
        </is>
      </c>
      <c r="H5" s="53" t="inlineStr">
        <is>
          <t>2023</t>
        </is>
      </c>
      <c r="I5" s="53" t="inlineStr">
        <is>
          <t>2024</t>
        </is>
      </c>
      <c r="J5" s="53" t="inlineStr">
        <is>
          <t>2025</t>
        </is>
      </c>
      <c r="K5" s="53" t="inlineStr">
        <is>
          <t>2026</t>
        </is>
      </c>
      <c r="L5" s="53" t="inlineStr">
        <is>
          <t>출처</t>
        </is>
      </c>
    </row>
    <row r="6">
      <c r="A6" s="54" t="inlineStr">
        <is>
          <t>labels</t>
        </is>
      </c>
      <c r="B6" s="55" t="n">
        <v>2017</v>
      </c>
      <c r="C6" s="55" t="n">
        <v>2018</v>
      </c>
      <c r="D6" s="55" t="n">
        <v>2019</v>
      </c>
      <c r="E6" s="55" t="n">
        <v>2020</v>
      </c>
      <c r="F6" s="55" t="n">
        <v>2021</v>
      </c>
      <c r="G6" s="55" t="n">
        <v>2022</v>
      </c>
      <c r="H6" s="55" t="n">
        <v>2023</v>
      </c>
      <c r="I6" s="55" t="n">
        <v>2024</v>
      </c>
      <c r="J6" s="55" t="n">
        <v>2025</v>
      </c>
      <c r="K6" s="55" t="n">
        <v>2026</v>
      </c>
      <c r="L6" s="56" t="inlineStr">
        <is>
          <t>2018년 10월 5주→1주 주식병합 — 2017·2018 EPS·DPS는 병합 전(×5 하면 같은 기준). 2019 DPS 미수록(데이터 없음)</t>
        </is>
      </c>
    </row>
    <row r="7">
      <c r="A7" s="54" t="inlineStr">
        <is>
          <t>EPS</t>
        </is>
      </c>
      <c r="B7" s="57" t="n">
        <v>57.36</v>
      </c>
      <c r="C7" s="57" t="n">
        <v>52.87</v>
      </c>
      <c r="D7" s="57" t="n">
        <v>281.89</v>
      </c>
      <c r="E7" s="57" t="n">
        <v>201.57</v>
      </c>
      <c r="F7" s="57" t="n">
        <v>293.52</v>
      </c>
      <c r="G7" s="57" t="n">
        <v>410.68</v>
      </c>
      <c r="H7" s="57" t="n">
        <v>429.5</v>
      </c>
      <c r="I7" s="57" t="n">
        <v>527.5700000000001</v>
      </c>
      <c r="J7" s="57" t="n">
        <v>642.6900000000001</v>
      </c>
      <c r="K7" s="57" t="n">
        <v>665.1799999999999</v>
      </c>
    </row>
    <row r="8">
      <c r="A8" s="54" t="inlineStr">
        <is>
          <t>dps</t>
        </is>
      </c>
      <c r="B8" s="55" t="n">
        <v>11</v>
      </c>
      <c r="C8" s="55" t="n">
        <v>14</v>
      </c>
      <c r="D8" s="58" t="n"/>
      <c r="E8" s="55" t="n">
        <v>80</v>
      </c>
      <c r="F8" s="55" t="n">
        <v>85</v>
      </c>
      <c r="G8" s="55" t="n">
        <v>100</v>
      </c>
      <c r="H8" s="55" t="n">
        <v>115</v>
      </c>
      <c r="I8" s="55" t="n">
        <v>135</v>
      </c>
      <c r="J8" s="55" t="n">
        <v>160</v>
      </c>
      <c r="K8" s="55" t="n">
        <v>200</v>
      </c>
    </row>
    <row r="10">
      <c r="A10" s="52" t="inlineStr">
        <is>
          <t>bs annual</t>
        </is>
      </c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  <c r="K10" s="52" t="n"/>
      <c r="L10" s="52" t="n"/>
    </row>
    <row r="11">
      <c r="A11" s="53" t="inlineStr">
        <is>
          <t>항목</t>
        </is>
      </c>
      <c r="B11" s="53" t="inlineStr">
        <is>
          <t>2022</t>
        </is>
      </c>
      <c r="C11" s="53" t="inlineStr">
        <is>
          <t>2023</t>
        </is>
      </c>
      <c r="D11" s="53" t="inlineStr">
        <is>
          <t>2024</t>
        </is>
      </c>
      <c r="E11" s="53" t="inlineStr">
        <is>
          <t>2025</t>
        </is>
      </c>
      <c r="F11" s="53" t="inlineStr">
        <is>
          <t>2026</t>
        </is>
      </c>
      <c r="L11" s="53" t="inlineStr">
        <is>
          <t>출처</t>
        </is>
      </c>
    </row>
    <row r="12">
      <c r="A12" s="54" t="inlineStr">
        <is>
          <t>labels</t>
        </is>
      </c>
      <c r="B12" s="55" t="n">
        <v>2022</v>
      </c>
      <c r="C12" s="55" t="n">
        <v>2023</v>
      </c>
      <c r="D12" s="55" t="n">
        <v>2024</v>
      </c>
      <c r="E12" s="55" t="n">
        <v>2025</v>
      </c>
      <c r="F12" s="55" t="n">
        <v>2026</v>
      </c>
      <c r="L12" s="56" t="inlineStr">
        <is>
          <t>2단계 보고서 자료(회사 설명회 자료·공시)</t>
        </is>
      </c>
    </row>
    <row r="13">
      <c r="A13" s="54" t="inlineStr">
        <is>
          <t>current assets</t>
        </is>
      </c>
      <c r="B13" s="57" t="n">
        <v>6819.8</v>
      </c>
      <c r="C13" s="57" t="n">
        <v>7135.5</v>
      </c>
      <c r="D13" s="57" t="n">
        <v>7630.7</v>
      </c>
      <c r="E13" s="57" t="n">
        <v>7666.7</v>
      </c>
      <c r="F13" s="57" t="n">
        <v>8318.4</v>
      </c>
    </row>
    <row r="14">
      <c r="A14" s="54" t="inlineStr">
        <is>
          <t>cash</t>
        </is>
      </c>
      <c r="B14" s="57" t="n">
        <v>929.7</v>
      </c>
      <c r="C14" s="57" t="n">
        <v>847</v>
      </c>
      <c r="D14" s="57" t="n">
        <v>661.9</v>
      </c>
      <c r="E14" s="57" t="n">
        <v>635.4</v>
      </c>
      <c r="F14" s="57" t="n">
        <v>709.3</v>
      </c>
    </row>
    <row r="15">
      <c r="A15" s="54" t="inlineStr">
        <is>
          <t>st fin</t>
        </is>
      </c>
      <c r="B15" s="58" t="n"/>
      <c r="C15" s="58" t="n"/>
      <c r="D15" s="58" t="n"/>
      <c r="E15" s="58" t="n"/>
      <c r="F15" s="58" t="n"/>
    </row>
    <row r="16">
      <c r="A16" s="54" t="inlineStr">
        <is>
          <t>receivables</t>
        </is>
      </c>
      <c r="B16" s="57" t="n">
        <v>2177.3</v>
      </c>
      <c r="C16" s="57" t="n">
        <v>2364.6</v>
      </c>
      <c r="D16" s="57" t="n">
        <v>2573.7</v>
      </c>
      <c r="E16" s="57" t="n">
        <v>2493.5</v>
      </c>
      <c r="F16" s="57" t="n">
        <v>2732</v>
      </c>
    </row>
    <row r="17">
      <c r="A17" s="54" t="inlineStr">
        <is>
          <t>inventory</t>
        </is>
      </c>
      <c r="B17" s="57" t="n">
        <v>1702.9</v>
      </c>
      <c r="C17" s="57" t="n">
        <v>1986.9</v>
      </c>
      <c r="D17" s="57" t="n">
        <v>2261.3</v>
      </c>
      <c r="E17" s="57" t="n">
        <v>2386.5</v>
      </c>
      <c r="F17" s="57" t="n">
        <v>2570.7</v>
      </c>
    </row>
    <row r="18">
      <c r="A18" s="54" t="inlineStr">
        <is>
          <t>noncurrent assets</t>
        </is>
      </c>
      <c r="B18" s="57" t="n">
        <v>4350.6</v>
      </c>
      <c r="C18" s="57" t="n">
        <v>4679.5</v>
      </c>
      <c r="D18" s="57" t="n">
        <v>5080.6</v>
      </c>
      <c r="E18" s="57" t="n">
        <v>5454.4</v>
      </c>
      <c r="F18" s="57" t="n">
        <v>5747.8</v>
      </c>
    </row>
    <row r="19">
      <c r="A19" s="54" t="inlineStr">
        <is>
          <t>ppe</t>
        </is>
      </c>
      <c r="B19" s="57" t="n">
        <v>2336.8</v>
      </c>
      <c r="C19" s="57" t="n">
        <v>2839.1</v>
      </c>
      <c r="D19" s="57" t="n">
        <v>3114.6</v>
      </c>
      <c r="E19" s="57" t="n">
        <v>3470.7</v>
      </c>
      <c r="F19" s="57" t="n">
        <v>3488.7</v>
      </c>
    </row>
    <row r="20">
      <c r="A20" s="54" t="inlineStr">
        <is>
          <t>intangibles</t>
        </is>
      </c>
      <c r="B20" s="57" t="n">
        <v>225</v>
      </c>
      <c r="C20" s="57" t="n">
        <v>240.3</v>
      </c>
      <c r="D20" s="57" t="n">
        <v>254.6</v>
      </c>
      <c r="E20" s="57" t="n">
        <v>303.2</v>
      </c>
      <c r="F20" s="57" t="n">
        <v>377.2</v>
      </c>
    </row>
    <row r="21">
      <c r="A21" s="54" t="inlineStr">
        <is>
          <t>inv property</t>
        </is>
      </c>
      <c r="B21" s="58" t="n"/>
      <c r="C21" s="58" t="n"/>
      <c r="D21" s="58" t="n"/>
      <c r="E21" s="58" t="n"/>
      <c r="F21" s="58" t="n"/>
    </row>
    <row r="22">
      <c r="A22" s="54" t="inlineStr">
        <is>
          <t>합계 assets</t>
        </is>
      </c>
      <c r="B22" s="57" t="n">
        <v>11171.1</v>
      </c>
      <c r="C22" s="57" t="n">
        <v>11815.5</v>
      </c>
      <c r="D22" s="57" t="n">
        <v>12711.7</v>
      </c>
      <c r="E22" s="57" t="n">
        <v>13121.8</v>
      </c>
      <c r="F22" s="57" t="n">
        <v>14066.7</v>
      </c>
    </row>
    <row r="23">
      <c r="A23" s="54" t="inlineStr">
        <is>
          <t>current liab</t>
        </is>
      </c>
      <c r="B23" s="57" t="n">
        <v>3869.7</v>
      </c>
      <c r="C23" s="57" t="n">
        <v>4468.3</v>
      </c>
      <c r="D23" s="57" t="n">
        <v>4753.4</v>
      </c>
      <c r="E23" s="57" t="n">
        <v>4314.7</v>
      </c>
      <c r="F23" s="57" t="n">
        <v>4340.5</v>
      </c>
    </row>
    <row r="24">
      <c r="A24" s="54" t="inlineStr">
        <is>
          <t>payables</t>
        </is>
      </c>
      <c r="B24" s="57" t="n">
        <v>1717.5</v>
      </c>
      <c r="C24" s="57" t="n">
        <v>2015.9</v>
      </c>
      <c r="D24" s="57" t="n">
        <v>2074.1</v>
      </c>
      <c r="E24" s="57" t="n">
        <v>1928.3</v>
      </c>
      <c r="F24" s="57" t="n">
        <v>1908.9</v>
      </c>
    </row>
    <row r="25">
      <c r="A25" s="54" t="inlineStr">
        <is>
          <t>st debt</t>
        </is>
      </c>
      <c r="B25" s="57" t="n">
        <v>449.8</v>
      </c>
      <c r="C25" s="57" t="n">
        <v>468.8</v>
      </c>
      <c r="D25" s="57" t="n">
        <v>402.6</v>
      </c>
      <c r="E25" s="57" t="n">
        <v>107.2</v>
      </c>
      <c r="F25" s="57" t="n">
        <v>218.3</v>
      </c>
    </row>
    <row r="26">
      <c r="A26" s="54" t="inlineStr">
        <is>
          <t>noncurrent liab</t>
        </is>
      </c>
      <c r="B26" s="57" t="n">
        <v>2064.1</v>
      </c>
      <c r="C26" s="57" t="n">
        <v>1626.6</v>
      </c>
      <c r="D26" s="57" t="n">
        <v>1343.6</v>
      </c>
      <c r="E26" s="57" t="n">
        <v>1500.5</v>
      </c>
      <c r="F26" s="57" t="n">
        <v>1296.8</v>
      </c>
    </row>
    <row r="27">
      <c r="A27" s="54" t="inlineStr">
        <is>
          <t>lt debt</t>
        </is>
      </c>
      <c r="B27" s="57" t="n">
        <v>662.8</v>
      </c>
      <c r="C27" s="57" t="n">
        <v>286</v>
      </c>
      <c r="D27" s="57" t="n">
        <v>151</v>
      </c>
      <c r="E27" s="57" t="n">
        <v>300.7</v>
      </c>
      <c r="F27" s="57" t="n">
        <v>150.6</v>
      </c>
    </row>
    <row r="28">
      <c r="A28" s="54" t="inlineStr">
        <is>
          <t>bonds</t>
        </is>
      </c>
      <c r="B28" s="57" t="n">
        <v>350</v>
      </c>
      <c r="C28" s="57" t="n">
        <v>200</v>
      </c>
      <c r="D28" s="57" t="n">
        <v>200</v>
      </c>
      <c r="E28" s="57" t="n">
        <v>300</v>
      </c>
      <c r="F28" s="57" t="n">
        <v>300</v>
      </c>
    </row>
    <row r="29">
      <c r="A29" s="54" t="inlineStr">
        <is>
          <t>합계 liab</t>
        </is>
      </c>
      <c r="B29" s="57" t="n">
        <v>5933.8</v>
      </c>
      <c r="C29" s="57" t="n">
        <v>6094.8</v>
      </c>
      <c r="D29" s="57" t="n">
        <v>6097</v>
      </c>
      <c r="E29" s="57" t="n">
        <v>5815.2</v>
      </c>
      <c r="F29" s="57" t="n">
        <v>5637.3</v>
      </c>
    </row>
    <row r="30">
      <c r="A30" s="54" t="inlineStr">
        <is>
          <t>capital stock</t>
        </is>
      </c>
      <c r="B30" s="57" t="n">
        <v>475.9</v>
      </c>
      <c r="C30" s="57" t="n">
        <v>475.9</v>
      </c>
      <c r="D30" s="57" t="n">
        <v>475.9</v>
      </c>
      <c r="E30" s="57" t="n">
        <v>475.9</v>
      </c>
      <c r="F30" s="57" t="n">
        <v>475.9</v>
      </c>
    </row>
    <row r="31">
      <c r="A31" s="54" t="inlineStr">
        <is>
          <t>retained</t>
        </is>
      </c>
      <c r="B31" s="57" t="n">
        <v>3192.8</v>
      </c>
      <c r="C31" s="57" t="n">
        <v>3649.2</v>
      </c>
      <c r="D31" s="57" t="n">
        <v>4231.4</v>
      </c>
      <c r="E31" s="57" t="n">
        <v>4938.9</v>
      </c>
      <c r="F31" s="57" t="n">
        <v>5659.4</v>
      </c>
    </row>
    <row r="32">
      <c r="A32" s="54" t="inlineStr">
        <is>
          <t>nci</t>
        </is>
      </c>
      <c r="B32" s="57" t="n">
        <v>508.3</v>
      </c>
      <c r="C32" s="57" t="n">
        <v>549.8</v>
      </c>
      <c r="D32" s="57" t="n">
        <v>589.6</v>
      </c>
      <c r="E32" s="57" t="n">
        <v>388.9</v>
      </c>
      <c r="F32" s="57" t="n">
        <v>427.8</v>
      </c>
    </row>
    <row r="33">
      <c r="A33" s="54" t="inlineStr">
        <is>
          <t>합계 equity</t>
        </is>
      </c>
      <c r="B33" s="57" t="n">
        <v>5237.3</v>
      </c>
      <c r="C33" s="57" t="n">
        <v>5720.7</v>
      </c>
      <c r="D33" s="57" t="n">
        <v>6614.7</v>
      </c>
      <c r="E33" s="57" t="n">
        <v>7306.6</v>
      </c>
      <c r="F33" s="57" t="n">
        <v>8429.4</v>
      </c>
    </row>
    <row r="34">
      <c r="A34" s="54" t="inlineStr">
        <is>
          <t>current ltd</t>
        </is>
      </c>
      <c r="B34" s="57" t="n">
        <v>0</v>
      </c>
      <c r="C34" s="57" t="n">
        <v>150</v>
      </c>
      <c r="D34" s="57" t="n">
        <v>0</v>
      </c>
      <c r="E34" s="58" t="n"/>
      <c r="F34" s="57" t="n">
        <v>0</v>
      </c>
    </row>
    <row r="35">
      <c r="A35" s="54" t="inlineStr">
        <is>
          <t>equity owner</t>
        </is>
      </c>
      <c r="B35" s="57" t="n">
        <v>4729</v>
      </c>
      <c r="C35" s="57" t="n">
        <v>5170.9</v>
      </c>
      <c r="D35" s="57" t="n">
        <v>6025.2</v>
      </c>
      <c r="E35" s="57" t="n">
        <v>6917.7</v>
      </c>
      <c r="F35" s="57" t="n">
        <v>8001.6</v>
      </c>
    </row>
    <row r="37">
      <c r="A37" s="52" t="inlineStr">
        <is>
          <t>cf annual</t>
        </is>
      </c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</row>
    <row r="38">
      <c r="A38" s="53" t="inlineStr">
        <is>
          <t>항목</t>
        </is>
      </c>
      <c r="B38" s="53" t="inlineStr">
        <is>
          <t>2022</t>
        </is>
      </c>
      <c r="C38" s="53" t="inlineStr">
        <is>
          <t>2023</t>
        </is>
      </c>
      <c r="D38" s="53" t="inlineStr">
        <is>
          <t>2024</t>
        </is>
      </c>
      <c r="E38" s="53" t="inlineStr">
        <is>
          <t>2025</t>
        </is>
      </c>
      <c r="F38" s="53" t="inlineStr">
        <is>
          <t>2026</t>
        </is>
      </c>
      <c r="L38" s="53" t="inlineStr">
        <is>
          <t>출처</t>
        </is>
      </c>
    </row>
    <row r="39">
      <c r="A39" s="54" t="inlineStr">
        <is>
          <t>labels</t>
        </is>
      </c>
      <c r="B39" s="55" t="n">
        <v>2022</v>
      </c>
      <c r="C39" s="55" t="n">
        <v>2023</v>
      </c>
      <c r="D39" s="55" t="n">
        <v>2024</v>
      </c>
      <c r="E39" s="55" t="n">
        <v>2025</v>
      </c>
      <c r="F39" s="55" t="n">
        <v>2026</v>
      </c>
      <c r="L39" s="56" t="inlineStr">
        <is>
          <t>2단계 보고서 자료(회사 설명회 자료·공시)</t>
        </is>
      </c>
    </row>
    <row r="40">
      <c r="A40" s="54" t="inlineStr">
        <is>
          <t>ocf</t>
        </is>
      </c>
      <c r="B40" s="57" t="n">
        <v>768.1</v>
      </c>
      <c r="C40" s="57" t="n">
        <v>1161.6</v>
      </c>
      <c r="D40" s="57" t="n">
        <v>848.6</v>
      </c>
      <c r="E40" s="57" t="n">
        <v>1449.2</v>
      </c>
      <c r="F40" s="57" t="n">
        <v>1235.6</v>
      </c>
    </row>
    <row r="41">
      <c r="A41" s="54" t="inlineStr">
        <is>
          <t>설비투자</t>
        </is>
      </c>
      <c r="B41" s="57" t="n">
        <v>330.5</v>
      </c>
      <c r="C41" s="57" t="n">
        <v>610.8</v>
      </c>
      <c r="D41" s="57" t="n">
        <v>742</v>
      </c>
      <c r="E41" s="57" t="n">
        <v>867.5</v>
      </c>
      <c r="F41" s="57" t="n">
        <v>840.3</v>
      </c>
    </row>
    <row r="42">
      <c r="A42" s="54" t="inlineStr">
        <is>
          <t>dividends</t>
        </is>
      </c>
      <c r="B42" s="57" t="n">
        <v>128.6</v>
      </c>
      <c r="C42" s="57" t="n">
        <v>157.1</v>
      </c>
      <c r="D42" s="57" t="n">
        <v>171.4</v>
      </c>
      <c r="E42" s="57" t="n">
        <v>214.2</v>
      </c>
      <c r="F42" s="57" t="n">
        <v>259.8</v>
      </c>
    </row>
    <row r="44">
      <c r="A44" s="52" t="inlineStr">
        <is>
          <t>this quarter · 2Q single</t>
        </is>
      </c>
      <c r="B44" s="52" t="n"/>
      <c r="C44" s="52" t="n"/>
      <c r="D44" s="52" t="n"/>
      <c r="E44" s="52" t="n"/>
      <c r="F44" s="52" t="n"/>
      <c r="G44" s="52" t="n"/>
      <c r="H44" s="52" t="n"/>
      <c r="I44" s="52" t="n"/>
      <c r="J44" s="52" t="n"/>
      <c r="K44" s="52" t="n"/>
      <c r="L44" s="52" t="n"/>
    </row>
    <row r="45">
      <c r="A45" s="53" t="inlineStr">
        <is>
          <t>항목</t>
        </is>
      </c>
      <c r="B45" s="53" t="inlineStr">
        <is>
          <t>값</t>
        </is>
      </c>
      <c r="L45" s="53" t="inlineStr">
        <is>
          <t>출처</t>
        </is>
      </c>
    </row>
    <row r="46">
      <c r="A46" s="54" t="inlineStr">
        <is>
          <t>매출</t>
        </is>
      </c>
      <c r="B46" s="57" t="n">
        <v>3200.6</v>
      </c>
      <c r="L46" s="56" t="inlineStr">
        <is>
          <t>2단계 보고서 자료(회사 설명회 자료·공시)</t>
        </is>
      </c>
    </row>
    <row r="47">
      <c r="A47" s="54" t="inlineStr">
        <is>
          <t>매출 YoY</t>
        </is>
      </c>
      <c r="B47" s="57" t="n">
        <v>8.4</v>
      </c>
    </row>
    <row r="48">
      <c r="A48" s="54" t="inlineStr">
        <is>
          <t>gp</t>
        </is>
      </c>
      <c r="B48" s="57" t="n">
        <v>893</v>
      </c>
    </row>
    <row r="49">
      <c r="A49" s="54" t="inlineStr">
        <is>
          <t>sga</t>
        </is>
      </c>
      <c r="B49" s="57" t="n">
        <v>545</v>
      </c>
    </row>
    <row r="50">
      <c r="A50" s="54" t="inlineStr">
        <is>
          <t>영업이익</t>
        </is>
      </c>
      <c r="B50" s="57" t="n">
        <v>348</v>
      </c>
    </row>
    <row r="51">
      <c r="A51" s="54" t="inlineStr">
        <is>
          <t>영업이익 YoY</t>
        </is>
      </c>
      <c r="B51" s="57" t="n">
        <v>41.1</v>
      </c>
    </row>
    <row r="52">
      <c r="A52" s="54" t="inlineStr">
        <is>
          <t>ordinary</t>
        </is>
      </c>
      <c r="B52" s="55" t="n">
        <v>320</v>
      </c>
    </row>
    <row r="53">
      <c r="A53" s="54" t="inlineStr">
        <is>
          <t>ordinary YoY</t>
        </is>
      </c>
      <c r="B53" s="57" t="n">
        <v>31.1</v>
      </c>
    </row>
    <row r="54">
      <c r="A54" s="54" t="inlineStr">
        <is>
          <t>순이익</t>
        </is>
      </c>
      <c r="B54" s="57" t="n">
        <v>214.2</v>
      </c>
    </row>
    <row r="55">
      <c r="A55" s="54" t="inlineStr">
        <is>
          <t>순이익 YoY</t>
        </is>
      </c>
      <c r="B55" s="57" t="n">
        <v>36.5</v>
      </c>
    </row>
    <row r="56">
      <c r="A56" s="54" t="inlineStr">
        <is>
          <t>EPS</t>
        </is>
      </c>
      <c r="B56" s="57" t="n">
        <v>146.55</v>
      </c>
    </row>
    <row r="57">
      <c r="A57" s="54" t="inlineStr">
        <is>
          <t>EPS ly</t>
        </is>
      </c>
      <c r="B57" s="57" t="n">
        <v>106.46</v>
      </c>
    </row>
    <row r="59">
      <c r="A59" s="52" t="inlineStr">
        <is>
          <t>this quarter · 상반기</t>
        </is>
      </c>
      <c r="B59" s="52" t="n"/>
      <c r="C59" s="52" t="n"/>
      <c r="D59" s="52" t="n"/>
      <c r="E59" s="52" t="n"/>
      <c r="F59" s="52" t="n"/>
      <c r="G59" s="52" t="n"/>
      <c r="H59" s="52" t="n"/>
      <c r="I59" s="52" t="n"/>
      <c r="J59" s="52" t="n"/>
      <c r="K59" s="52" t="n"/>
      <c r="L59" s="52" t="n"/>
    </row>
    <row r="60">
      <c r="A60" s="53" t="inlineStr">
        <is>
          <t>항목</t>
        </is>
      </c>
      <c r="B60" s="53" t="inlineStr">
        <is>
          <t>값</t>
        </is>
      </c>
      <c r="L60" s="53" t="inlineStr">
        <is>
          <t>출처</t>
        </is>
      </c>
    </row>
    <row r="61">
      <c r="A61" s="54" t="inlineStr">
        <is>
          <t>매출</t>
        </is>
      </c>
      <c r="B61" s="57" t="n">
        <v>5933.2</v>
      </c>
      <c r="L61" s="56" t="inlineStr">
        <is>
          <t>2단계 보고서 자료(회사 설명회 자료·공시)</t>
        </is>
      </c>
    </row>
    <row r="62">
      <c r="A62" s="54" t="inlineStr">
        <is>
          <t>매출 YoY</t>
        </is>
      </c>
      <c r="B62" s="57" t="n">
        <v>9.199999999999999</v>
      </c>
    </row>
    <row r="63">
      <c r="A63" s="54" t="inlineStr">
        <is>
          <t>gp</t>
        </is>
      </c>
      <c r="B63" s="57" t="n">
        <v>1680.8</v>
      </c>
    </row>
    <row r="64">
      <c r="A64" s="54" t="inlineStr">
        <is>
          <t>sga</t>
        </is>
      </c>
      <c r="B64" s="57" t="n">
        <v>1082.6</v>
      </c>
    </row>
    <row r="65">
      <c r="A65" s="54" t="inlineStr">
        <is>
          <t>영업이익</t>
        </is>
      </c>
      <c r="B65" s="57" t="n">
        <v>598.2</v>
      </c>
    </row>
    <row r="66">
      <c r="A66" s="54" t="inlineStr">
        <is>
          <t>영업이익 YoY</t>
        </is>
      </c>
      <c r="B66" s="57" t="n">
        <v>39.9</v>
      </c>
    </row>
    <row r="67">
      <c r="A67" s="54" t="inlineStr">
        <is>
          <t>ordinary</t>
        </is>
      </c>
      <c r="B67" s="57" t="n">
        <v>576</v>
      </c>
    </row>
    <row r="68">
      <c r="A68" s="54" t="inlineStr">
        <is>
          <t>순이익</t>
        </is>
      </c>
      <c r="B68" s="57" t="n">
        <v>421.2</v>
      </c>
    </row>
    <row r="69">
      <c r="A69" s="54" t="inlineStr">
        <is>
          <t>순이익 YoY</t>
        </is>
      </c>
      <c r="B69" s="57" t="n">
        <v>58.2</v>
      </c>
    </row>
    <row r="70">
      <c r="A70" s="54" t="inlineStr">
        <is>
          <t>EPS</t>
        </is>
      </c>
      <c r="B70" s="57" t="n">
        <v>287.64</v>
      </c>
    </row>
    <row r="72">
      <c r="A72" s="52" t="inlineStr">
        <is>
          <t>this quarter · bs cf 상반기</t>
        </is>
      </c>
      <c r="B72" s="52" t="n"/>
      <c r="C72" s="52" t="n"/>
      <c r="D72" s="52" t="n"/>
      <c r="E72" s="52" t="n"/>
      <c r="F72" s="52" t="n"/>
      <c r="G72" s="52" t="n"/>
      <c r="H72" s="52" t="n"/>
      <c r="I72" s="52" t="n"/>
      <c r="J72" s="52" t="n"/>
      <c r="K72" s="52" t="n"/>
      <c r="L72" s="52" t="n"/>
    </row>
    <row r="73">
      <c r="A73" s="53" t="inlineStr">
        <is>
          <t>항목</t>
        </is>
      </c>
      <c r="B73" s="53" t="inlineStr">
        <is>
          <t>값</t>
        </is>
      </c>
      <c r="L73" s="53" t="inlineStr">
        <is>
          <t>출처</t>
        </is>
      </c>
    </row>
    <row r="74">
      <c r="A74" s="54" t="inlineStr">
        <is>
          <t>자사주매입_억</t>
        </is>
      </c>
      <c r="B74" s="55" t="n">
        <v>210</v>
      </c>
      <c r="L74" s="56" t="inlineStr">
        <is>
          <t>2단계 보고서 자료(회사 설명회 자료·공시)</t>
        </is>
      </c>
    </row>
    <row r="75">
      <c r="A75" s="54" t="inlineStr">
        <is>
          <t>배당지급_억</t>
        </is>
      </c>
      <c r="B75" s="55" t="n">
        <v>161</v>
      </c>
    </row>
    <row r="76">
      <c r="A76" s="54" t="inlineStr">
        <is>
          <t>순유이자부채_억</t>
        </is>
      </c>
      <c r="B76" s="55" t="n">
        <v>-3</v>
      </c>
    </row>
    <row r="77">
      <c r="A77" s="54" t="inlineStr">
        <is>
          <t>유이자부채_억</t>
        </is>
      </c>
      <c r="B77" s="55" t="n">
        <v>742</v>
      </c>
    </row>
    <row r="79">
      <c r="A79" s="52" t="inlineStr">
        <is>
          <t>this quarter · overseas 매출</t>
        </is>
      </c>
      <c r="B79" s="52" t="n"/>
      <c r="C79" s="52" t="n"/>
      <c r="D79" s="52" t="n"/>
      <c r="E79" s="52" t="n"/>
      <c r="F79" s="52" t="n"/>
      <c r="G79" s="52" t="n"/>
      <c r="H79" s="52" t="n"/>
      <c r="I79" s="52" t="n"/>
      <c r="J79" s="52" t="n"/>
      <c r="K79" s="52" t="n"/>
      <c r="L79" s="52" t="n"/>
    </row>
    <row r="80">
      <c r="A80" s="53" t="inlineStr">
        <is>
          <t>항목</t>
        </is>
      </c>
      <c r="B80" s="53" t="inlineStr">
        <is>
          <t>값</t>
        </is>
      </c>
      <c r="L80" s="53" t="inlineStr">
        <is>
          <t>출처</t>
        </is>
      </c>
    </row>
    <row r="81">
      <c r="A81" s="54" t="inlineStr">
        <is>
          <t>2Q</t>
        </is>
      </c>
      <c r="B81" s="55" t="n">
        <v>989</v>
      </c>
      <c r="L81" s="56" t="inlineStr">
        <is>
          <t>2단계 보고서 자료(회사 설명회 자료·공시)</t>
        </is>
      </c>
    </row>
    <row r="82">
      <c r="A82" s="54" t="inlineStr">
        <is>
          <t>2Q YoY</t>
        </is>
      </c>
      <c r="B82" s="57" t="n">
        <v>19.8</v>
      </c>
    </row>
    <row r="83">
      <c r="A83" s="54" t="inlineStr">
        <is>
          <t>상반기</t>
        </is>
      </c>
      <c r="B83" s="55" t="n">
        <v>1813</v>
      </c>
    </row>
    <row r="84">
      <c r="A84" s="54" t="inlineStr">
        <is>
          <t>상반기 YoY</t>
        </is>
      </c>
      <c r="B84" s="57" t="n">
        <v>18.2</v>
      </c>
    </row>
    <row r="86">
      <c r="A86" s="52" t="inlineStr">
        <is>
          <t>컨센서스 2026 10 29 · 2Q 27</t>
        </is>
      </c>
      <c r="B86" s="52" t="n"/>
      <c r="C86" s="52" t="n"/>
      <c r="D86" s="52" t="n"/>
      <c r="E86" s="52" t="n"/>
      <c r="F86" s="52" t="n"/>
      <c r="G86" s="52" t="n"/>
      <c r="H86" s="52" t="n"/>
      <c r="I86" s="52" t="n"/>
      <c r="J86" s="52" t="n"/>
      <c r="K86" s="52" t="n"/>
      <c r="L86" s="52" t="n"/>
    </row>
    <row r="87">
      <c r="A87" s="53" t="inlineStr">
        <is>
          <t>항목</t>
        </is>
      </c>
      <c r="B87" s="53" t="inlineStr">
        <is>
          <t>값</t>
        </is>
      </c>
      <c r="L87" s="53" t="inlineStr">
        <is>
          <t>출처</t>
        </is>
      </c>
    </row>
    <row r="88">
      <c r="A88" s="54" t="inlineStr">
        <is>
          <t>매출 avg</t>
        </is>
      </c>
      <c r="B88" s="57" t="n">
        <v>3196.3</v>
      </c>
      <c r="L88" s="56" t="inlineStr">
        <is>
          <t>야후 파이낸스(jp_consensus) 2026-10-29 발표 직전 기준</t>
        </is>
      </c>
    </row>
    <row r="89">
      <c r="A89" s="54" t="inlineStr">
        <is>
          <t>매출 애널리스트 수</t>
        </is>
      </c>
      <c r="B89" s="55" t="n">
        <v>5</v>
      </c>
    </row>
    <row r="90">
      <c r="A90" s="54" t="inlineStr">
        <is>
          <t>EPS avg</t>
        </is>
      </c>
      <c r="B90" s="57" t="n">
        <v>144.53</v>
      </c>
    </row>
    <row r="91">
      <c r="A91" s="54" t="inlineStr">
        <is>
          <t>EPS 애널리스트 수</t>
        </is>
      </c>
      <c r="B91" s="55" t="n">
        <v>2</v>
      </c>
    </row>
    <row r="93">
      <c r="A93" s="52" t="inlineStr">
        <is>
          <t>컨센서스 2026 10 29 · 3Q 27</t>
        </is>
      </c>
      <c r="B93" s="52" t="n"/>
      <c r="C93" s="52" t="n"/>
      <c r="D93" s="52" t="n"/>
      <c r="E93" s="52" t="n"/>
      <c r="F93" s="52" t="n"/>
      <c r="G93" s="52" t="n"/>
      <c r="H93" s="52" t="n"/>
      <c r="I93" s="52" t="n"/>
      <c r="J93" s="52" t="n"/>
      <c r="K93" s="52" t="n"/>
      <c r="L93" s="52" t="n"/>
    </row>
    <row r="94">
      <c r="A94" s="53" t="inlineStr">
        <is>
          <t>항목</t>
        </is>
      </c>
      <c r="B94" s="53" t="inlineStr">
        <is>
          <t>값</t>
        </is>
      </c>
      <c r="L94" s="53" t="inlineStr">
        <is>
          <t>출처</t>
        </is>
      </c>
    </row>
    <row r="95">
      <c r="A95" s="54" t="inlineStr">
        <is>
          <t>매출 avg</t>
        </is>
      </c>
      <c r="B95" s="57" t="n">
        <v>3252.1</v>
      </c>
      <c r="L95" s="56" t="inlineStr">
        <is>
          <t>야후 파이낸스(jp_consensus) 2026-10-29 발표 직전 기준</t>
        </is>
      </c>
    </row>
    <row r="96">
      <c r="A96" s="54" t="inlineStr">
        <is>
          <t>EPS avg</t>
        </is>
      </c>
      <c r="B96" s="57" t="n">
        <v>176.34</v>
      </c>
    </row>
    <row r="97">
      <c r="A97" s="54" t="inlineStr">
        <is>
          <t>EPS 애널리스트 수</t>
        </is>
      </c>
      <c r="B97" s="55" t="n">
        <v>2</v>
      </c>
    </row>
    <row r="99">
      <c r="A99" s="52" t="inlineStr">
        <is>
          <t>컨센서스 2026 10 29 · fy27</t>
        </is>
      </c>
      <c r="B99" s="52" t="n"/>
      <c r="C99" s="52" t="n"/>
      <c r="D99" s="52" t="n"/>
      <c r="E99" s="52" t="n"/>
      <c r="F99" s="52" t="n"/>
      <c r="G99" s="52" t="n"/>
      <c r="H99" s="52" t="n"/>
      <c r="I99" s="52" t="n"/>
      <c r="J99" s="52" t="n"/>
      <c r="K99" s="52" t="n"/>
      <c r="L99" s="52" t="n"/>
    </row>
    <row r="100">
      <c r="A100" s="53" t="inlineStr">
        <is>
          <t>항목</t>
        </is>
      </c>
      <c r="B100" s="53" t="inlineStr">
        <is>
          <t>값</t>
        </is>
      </c>
      <c r="L100" s="53" t="inlineStr">
        <is>
          <t>출처</t>
        </is>
      </c>
    </row>
    <row r="101">
      <c r="A101" s="54" t="inlineStr">
        <is>
          <t>매출 avg</t>
        </is>
      </c>
      <c r="B101" s="57" t="n">
        <v>13250.7</v>
      </c>
      <c r="L101" s="56" t="inlineStr">
        <is>
          <t>야후 파이낸스(jp_consensus) 2026-10-29 발표 직전 기준</t>
        </is>
      </c>
    </row>
    <row r="102">
      <c r="A102" s="54" t="inlineStr">
        <is>
          <t>매출 애널리스트 수</t>
        </is>
      </c>
      <c r="B102" s="55" t="n">
        <v>9</v>
      </c>
    </row>
    <row r="103">
      <c r="A103" s="54" t="inlineStr">
        <is>
          <t>EPS avg</t>
        </is>
      </c>
      <c r="B103" s="57" t="n">
        <v>805.5599999999999</v>
      </c>
    </row>
    <row r="104">
      <c r="A104" s="54" t="inlineStr">
        <is>
          <t>EPS 애널리스트 수</t>
        </is>
      </c>
      <c r="B104" s="55" t="n">
        <v>9</v>
      </c>
    </row>
    <row r="105">
      <c r="A105" s="54" t="inlineStr">
        <is>
          <t>90일 전 EPS</t>
        </is>
      </c>
      <c r="B105" s="57" t="n">
        <v>724.49</v>
      </c>
    </row>
    <row r="107">
      <c r="A107" s="52" t="inlineStr">
        <is>
          <t>컨센서스 2026 10 29 · fy28</t>
        </is>
      </c>
      <c r="B107" s="52" t="n"/>
      <c r="C107" s="52" t="n"/>
      <c r="D107" s="52" t="n"/>
      <c r="E107" s="52" t="n"/>
      <c r="F107" s="52" t="n"/>
      <c r="G107" s="52" t="n"/>
      <c r="H107" s="52" t="n"/>
      <c r="I107" s="52" t="n"/>
      <c r="J107" s="52" t="n"/>
      <c r="K107" s="52" t="n"/>
      <c r="L107" s="52" t="n"/>
    </row>
    <row r="108">
      <c r="A108" s="53" t="inlineStr">
        <is>
          <t>항목</t>
        </is>
      </c>
      <c r="B108" s="53" t="inlineStr">
        <is>
          <t>값</t>
        </is>
      </c>
      <c r="L108" s="53" t="inlineStr">
        <is>
          <t>출처</t>
        </is>
      </c>
    </row>
    <row r="109">
      <c r="A109" s="54" t="inlineStr">
        <is>
          <t>매출 avg</t>
        </is>
      </c>
      <c r="B109" s="57" t="n">
        <v>14004.8</v>
      </c>
      <c r="L109" s="56" t="inlineStr">
        <is>
          <t>야후 파이낸스(jp_consensus) 2026-10-29 발표 직전 기준</t>
        </is>
      </c>
    </row>
    <row r="110">
      <c r="A110" s="54" t="inlineStr">
        <is>
          <t>EPS avg</t>
        </is>
      </c>
      <c r="B110" s="57" t="n">
        <v>877.3200000000001</v>
      </c>
    </row>
    <row r="111">
      <c r="A111" s="54" t="inlineStr">
        <is>
          <t>애널리스트 수</t>
        </is>
      </c>
      <c r="B111" s="55" t="n">
        <v>9</v>
      </c>
    </row>
    <row r="113">
      <c r="A113" s="52" t="inlineStr">
        <is>
          <t>컨센서스 2026 10 29 · 목표주가 가격</t>
        </is>
      </c>
      <c r="B113" s="52" t="n"/>
      <c r="C113" s="52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</row>
    <row r="114">
      <c r="A114" s="53" t="inlineStr">
        <is>
          <t>항목</t>
        </is>
      </c>
      <c r="B114" s="53" t="inlineStr">
        <is>
          <t>값</t>
        </is>
      </c>
      <c r="L114" s="53" t="inlineStr">
        <is>
          <t>출처</t>
        </is>
      </c>
    </row>
    <row r="115">
      <c r="A115" s="54" t="inlineStr">
        <is>
          <t>평균</t>
        </is>
      </c>
      <c r="B115" s="55" t="n">
        <v>16789</v>
      </c>
      <c r="L115" s="56" t="inlineStr">
        <is>
          <t>야후 파이낸스(jp_consensus) 2026-10-29 발표 직전 기준</t>
        </is>
      </c>
    </row>
    <row r="116">
      <c r="A116" s="54" t="inlineStr">
        <is>
          <t>중앙값</t>
        </is>
      </c>
      <c r="B116" s="55" t="n">
        <v>17500</v>
      </c>
    </row>
    <row r="117">
      <c r="A117" s="54" t="inlineStr">
        <is>
          <t>최고</t>
        </is>
      </c>
      <c r="B117" s="55" t="n">
        <v>21000</v>
      </c>
    </row>
    <row r="118">
      <c r="A118" s="54" t="inlineStr">
        <is>
          <t>최저</t>
        </is>
      </c>
      <c r="B118" s="55" t="n">
        <v>12300</v>
      </c>
    </row>
    <row r="119">
      <c r="A119" s="54" t="inlineStr">
        <is>
          <t>애널리스트 수</t>
        </is>
      </c>
      <c r="B119" s="55" t="n">
        <v>9</v>
      </c>
    </row>
    <row r="121">
      <c r="A121" s="52" t="inlineStr">
        <is>
          <t>shares</t>
        </is>
      </c>
      <c r="B121" s="52" t="n"/>
      <c r="C121" s="52" t="n"/>
      <c r="D121" s="52" t="n"/>
      <c r="E121" s="52" t="n"/>
      <c r="F121" s="52" t="n"/>
      <c r="G121" s="52" t="n"/>
      <c r="H121" s="52" t="n"/>
      <c r="I121" s="52" t="n"/>
      <c r="J121" s="52" t="n"/>
      <c r="K121" s="52" t="n"/>
      <c r="L121" s="52" t="n"/>
    </row>
    <row r="122">
      <c r="A122" s="53" t="inlineStr">
        <is>
          <t>항목</t>
        </is>
      </c>
      <c r="B122" s="53" t="inlineStr">
        <is>
          <t>값</t>
        </is>
      </c>
      <c r="L122" s="53" t="inlineStr">
        <is>
          <t>출처</t>
        </is>
      </c>
    </row>
    <row r="123">
      <c r="A123" s="54" t="inlineStr">
        <is>
          <t>issued</t>
        </is>
      </c>
      <c r="B123" s="55" t="n">
        <v>149296991</v>
      </c>
      <c r="L123" s="56" t="inlineStr">
        <is>
          <t>2단계 보고서 자료(회사 설명회 자료·공시)</t>
        </is>
      </c>
    </row>
    <row r="124">
      <c r="A124" s="54" t="inlineStr">
        <is>
          <t>treasury 26 9</t>
        </is>
      </c>
      <c r="B124" s="55" t="n">
        <v>3240005</v>
      </c>
    </row>
    <row r="125">
      <c r="A125" s="54" t="inlineStr">
        <is>
          <t>outstanding</t>
        </is>
      </c>
      <c r="B125" s="55" t="n">
        <v>146056986</v>
      </c>
    </row>
    <row r="127">
      <c r="A127" s="52" t="inlineStr">
        <is>
          <t>reactions next day %</t>
        </is>
      </c>
      <c r="B127" s="52" t="n"/>
      <c r="C127" s="52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</row>
    <row r="128">
      <c r="A128" s="53" t="inlineStr">
        <is>
          <t>항목</t>
        </is>
      </c>
      <c r="B128" s="53" t="inlineStr">
        <is>
          <t>기준일</t>
        </is>
      </c>
      <c r="C128" s="53" t="inlineStr">
        <is>
          <t>다음날</t>
        </is>
      </c>
      <c r="D128" s="53" t="inlineStr">
        <is>
          <t>등락%</t>
        </is>
      </c>
      <c r="L128" s="53" t="inlineStr">
        <is>
          <t>출처</t>
        </is>
      </c>
    </row>
    <row r="129">
      <c r="A129" s="54" t="inlineStr">
        <is>
          <t>2025-08-08</t>
        </is>
      </c>
      <c r="B129" s="58" t="inlineStr">
        <is>
          <t>2025-08-08</t>
        </is>
      </c>
      <c r="C129" s="58" t="inlineStr">
        <is>
          <t>2025-08-12</t>
        </is>
      </c>
      <c r="D129" s="57" t="n">
        <v>0.5</v>
      </c>
      <c r="L129" s="56" t="inlineStr">
        <is>
          <t>2단계 보고서 자료(회사 설명회 자료·공시)</t>
        </is>
      </c>
    </row>
    <row r="130">
      <c r="A130" s="54" t="inlineStr">
        <is>
          <t>2025-10-30</t>
        </is>
      </c>
      <c r="B130" s="58" t="inlineStr">
        <is>
          <t>2025-10-30</t>
        </is>
      </c>
      <c r="C130" s="58" t="inlineStr">
        <is>
          <t>2025-10-31</t>
        </is>
      </c>
      <c r="D130" s="57" t="n">
        <v>-3.4</v>
      </c>
    </row>
    <row r="131">
      <c r="A131" s="54" t="inlineStr">
        <is>
          <t>2026-01-29</t>
        </is>
      </c>
      <c r="B131" s="58" t="inlineStr">
        <is>
          <t>2026-01-29</t>
        </is>
      </c>
      <c r="C131" s="58" t="inlineStr">
        <is>
          <t>2026-01-30</t>
        </is>
      </c>
      <c r="D131" s="57" t="n">
        <v>-6.5</v>
      </c>
    </row>
    <row r="132">
      <c r="A132" s="54" t="inlineStr">
        <is>
          <t>2026-02-13</t>
        </is>
      </c>
      <c r="B132" s="58" t="inlineStr">
        <is>
          <t>2026-02-13</t>
        </is>
      </c>
      <c r="C132" s="58" t="inlineStr">
        <is>
          <t>2026-02-16</t>
        </is>
      </c>
      <c r="D132" s="57" t="n">
        <v>1.4</v>
      </c>
    </row>
    <row r="133">
      <c r="A133" s="54" t="inlineStr">
        <is>
          <t>2026-04-28</t>
        </is>
      </c>
      <c r="B133" s="58" t="inlineStr">
        <is>
          <t>2026-04-28</t>
        </is>
      </c>
      <c r="C133" s="58" t="inlineStr">
        <is>
          <t>2026-04-30</t>
        </is>
      </c>
      <c r="D133" s="57" t="n">
        <v>3.4</v>
      </c>
    </row>
    <row r="134">
      <c r="A134" s="54" t="inlineStr">
        <is>
          <t>2026-07-30</t>
        </is>
      </c>
      <c r="B134" s="58" t="inlineStr">
        <is>
          <t>2026-07-30</t>
        </is>
      </c>
      <c r="C134" s="58" t="inlineStr">
        <is>
          <t>2026-07-31</t>
        </is>
      </c>
      <c r="D134" s="57" t="n">
        <v>12.5</v>
      </c>
    </row>
    <row r="135">
      <c r="A135" s="54" t="inlineStr">
        <is>
          <t>2026-08-07</t>
        </is>
      </c>
      <c r="B135" s="58" t="inlineStr">
        <is>
          <t>2026-08-07</t>
        </is>
      </c>
      <c r="C135" s="58" t="inlineStr">
        <is>
          <t>2026-08-10</t>
        </is>
      </c>
      <c r="D135" s="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2026-10-29</t>
        </is>
      </c>
      <c r="B4" t="inlineStr">
        <is>
          <t>2027년 3월 결산기 ２분기 결산단신</t>
        </is>
      </c>
      <c r="C4" t="inlineStr">
        <is>
          <t>https://www2.jpx.co.jp/disc/65040/140120261019552779.pdf</t>
        </is>
      </c>
    </row>
    <row r="5">
      <c r="A5" t="inlineStr">
        <is>
          <t>2026-08-07</t>
        </is>
      </c>
      <c r="B5" t="inlineStr">
        <is>
          <t>2027년 3월 결산기 １분기 결산단신</t>
        </is>
      </c>
      <c r="C5" t="inlineStr">
        <is>
          <t>https://www2.jpx.co.jp/disc/65040/140120260731505085.pdf</t>
        </is>
      </c>
    </row>
    <row r="6">
      <c r="A6" t="inlineStr">
        <is>
          <t>2026-07-30</t>
        </is>
      </c>
      <c r="B6" t="inlineStr">
        <is>
          <t>2027년 3월 결산기 １분기 결산단신</t>
        </is>
      </c>
      <c r="C6" t="inlineStr">
        <is>
          <t>https://www2.jpx.co.jp/disc/65040/140120260629583242.pdf</t>
        </is>
      </c>
    </row>
    <row r="7">
      <c r="A7" t="inlineStr">
        <is>
          <t>2026-04-28</t>
        </is>
      </c>
      <c r="B7" t="inlineStr">
        <is>
          <t>2026년 3월 결산기 연간 결산단신</t>
        </is>
      </c>
      <c r="C7" t="inlineStr">
        <is>
          <t>https://www2.jpx.co.jp/disc/65040/140120260413502238.pdf</t>
        </is>
      </c>
    </row>
    <row r="8">
      <c r="A8" t="inlineStr">
        <is>
          <t>2026-02-13</t>
        </is>
      </c>
      <c r="B8" t="inlineStr">
        <is>
          <t>2026년 3월 결산기 ３분기 결산단신</t>
        </is>
      </c>
      <c r="C8" t="inlineStr">
        <is>
          <t>https://www2.jpx.co.jp/disc/65040/140120260203545420.pdf</t>
        </is>
      </c>
    </row>
    <row r="9">
      <c r="A9" t="inlineStr">
        <is>
          <t>2026-01-29</t>
        </is>
      </c>
      <c r="B9" t="inlineStr">
        <is>
          <t>2026년 3월 결산기 ３분기 결산단신</t>
        </is>
      </c>
      <c r="C9" t="inlineStr">
        <is>
          <t>https://www2.jpx.co.jp/disc/65040/140120260117534177.pdf</t>
        </is>
      </c>
    </row>
    <row r="10">
      <c r="A10" t="inlineStr">
        <is>
          <t>2025-10-30</t>
        </is>
      </c>
      <c r="B10" t="inlineStr">
        <is>
          <t>2026년 3월 결산기 ２분기 결산단신</t>
        </is>
      </c>
      <c r="C10" t="inlineStr">
        <is>
          <t>https://www2.jpx.co.jp/disc/65040/140120251009570556.pdf</t>
        </is>
      </c>
    </row>
    <row r="11">
      <c r="A11" t="inlineStr">
        <is>
          <t>2025-08-08</t>
        </is>
      </c>
      <c r="B11" t="inlineStr">
        <is>
          <t>2026년 3월 결산기 １분기 결산단신</t>
        </is>
      </c>
      <c r="C11" t="inlineStr">
        <is>
          <t>https://www2.jpx.co.jp/disc/65040/140120250801526945.pdf</t>
        </is>
      </c>
    </row>
    <row r="12">
      <c r="A12" t="inlineStr">
        <is>
          <t>2025-07-31</t>
        </is>
      </c>
      <c r="B12" t="inlineStr">
        <is>
          <t>2026년 3월 결산기 １분기 결산단신</t>
        </is>
      </c>
      <c r="C12" t="inlineStr">
        <is>
          <t>https://www2.jpx.co.jp/disc/65040/140120250708510100.pdf</t>
        </is>
      </c>
    </row>
    <row r="13">
      <c r="A13" t="inlineStr">
        <is>
          <t>2025-04-25</t>
        </is>
      </c>
      <c r="B13" t="inlineStr">
        <is>
          <t>2025년 3월 결산기 연간 결산단신</t>
        </is>
      </c>
      <c r="C13" t="inlineStr">
        <is>
          <t>https://www2.jpx.co.jp/disc/65040/140120250401505869.pdf</t>
        </is>
      </c>
    </row>
    <row r="14">
      <c r="A14" t="inlineStr">
        <is>
          <t>2025-02-14</t>
        </is>
      </c>
      <c r="B14" t="inlineStr">
        <is>
          <t>2025년 3월 결산기 ３분기 결산단신</t>
        </is>
      </c>
      <c r="C14" t="inlineStr">
        <is>
          <t>https://www2.jpx.co.jp/disc/65040/140120250203561121.pdf</t>
        </is>
      </c>
    </row>
    <row r="15">
      <c r="A15" t="inlineStr">
        <is>
          <t>2025-01-30</t>
        </is>
      </c>
      <c r="B15" t="inlineStr">
        <is>
          <t>2025년 3월 결산기 ３분기 결산단신</t>
        </is>
      </c>
      <c r="C15" t="inlineStr">
        <is>
          <t>https://www2.jpx.co.jp/disc/65040/140120241225544354.pdf</t>
        </is>
      </c>
    </row>
    <row r="16">
      <c r="A16" t="inlineStr">
        <is>
          <t>2024-10-31</t>
        </is>
      </c>
      <c r="B16" t="inlineStr">
        <is>
          <t>2025년 3월 결산기 ２분기 결산단신</t>
        </is>
      </c>
      <c r="C16" t="inlineStr">
        <is>
          <t>https://www2.jpx.co.jp/disc/65040/140120241001591832.pdf</t>
        </is>
      </c>
    </row>
    <row r="17">
      <c r="A17" t="inlineStr">
        <is>
          <t>2024-08-09</t>
        </is>
      </c>
      <c r="B17" t="inlineStr">
        <is>
          <t>2025년 3월 결산기 １분기 결산단신</t>
        </is>
      </c>
      <c r="C17" t="inlineStr">
        <is>
          <t>https://www2.jpx.co.jp/disc/65040/140120240731558889.pdf</t>
        </is>
      </c>
    </row>
    <row r="18">
      <c r="A18" t="inlineStr">
        <is>
          <t>2024-07-25</t>
        </is>
      </c>
      <c r="B18" t="inlineStr">
        <is>
          <t>2025년 3월 결산기 １분기 결산단신</t>
        </is>
      </c>
      <c r="C18" t="inlineStr">
        <is>
          <t>https://www2.jpx.co.jp/disc/65040/140120240703543607.pdf</t>
        </is>
      </c>
    </row>
    <row r="19">
      <c r="A19" t="inlineStr">
        <is>
          <t>2024-04-25</t>
        </is>
      </c>
      <c r="B19" t="inlineStr">
        <is>
          <t>2024년 3월 결산기 연간 결산단신</t>
        </is>
      </c>
      <c r="C19" t="inlineStr">
        <is>
          <t>https://www2.jpx.co.jp/disc/65040/140120240401564192.pdf</t>
        </is>
      </c>
    </row>
    <row r="20">
      <c r="A20" t="inlineStr">
        <is>
          <t>2023-04-27</t>
        </is>
      </c>
      <c r="B20" t="inlineStr">
        <is>
          <t>2023년 3월 결산기 연간 결산단신</t>
        </is>
      </c>
      <c r="C20" t="inlineStr">
        <is>
          <t>https://www2.jpx.co.jp/disc/65040/140120230407544107.pdf</t>
        </is>
      </c>
    </row>
    <row r="21">
      <c r="A21" t="inlineStr">
        <is>
          <t>2022-04-27</t>
        </is>
      </c>
      <c r="B21" t="inlineStr">
        <is>
          <t>2022년 3월 결산기 연간 결산단신</t>
        </is>
      </c>
      <c r="C21" t="inlineStr">
        <is>
          <t>https://www2.jpx.co.jp/disc/65040/140120220412520192.pdf</t>
        </is>
      </c>
    </row>
    <row r="22">
      <c r="A22" t="inlineStr">
        <is>
          <t>2021-04-27</t>
        </is>
      </c>
      <c r="B22" t="inlineStr">
        <is>
          <t>2021년 3월 결산기 연간 결산단신</t>
        </is>
      </c>
      <c r="C22" t="inlineStr">
        <is>
          <t>https://www2.jpx.co.jp/disc/65040/140120210420496547.pdf</t>
        </is>
      </c>
    </row>
    <row r="23">
      <c r="A23" t="inlineStr">
        <is>
          <t>2020-05-29</t>
        </is>
      </c>
      <c r="B23" t="inlineStr">
        <is>
          <t>2020년 3월 결산기 연간 결산단신</t>
        </is>
      </c>
      <c r="C23" t="inlineStr">
        <is>
          <t>https://www2.jpx.co.jp/disc/65040/140120200508406397.pdf</t>
        </is>
      </c>
    </row>
    <row r="24">
      <c r="A24" t="inlineStr">
        <is>
          <t>2019-04-25</t>
        </is>
      </c>
      <c r="B24" t="inlineStr">
        <is>
          <t>2019년 3월 결산기 연간 결산단신</t>
        </is>
      </c>
      <c r="C24" t="inlineStr">
        <is>
          <t>https://www2.jpx.co.jp/disc/65040/140120190405401211.pdf</t>
        </is>
      </c>
    </row>
    <row r="25">
      <c r="A25" t="inlineStr">
        <is>
          <t>2018-04-26</t>
        </is>
      </c>
      <c r="B25" t="inlineStr">
        <is>
          <t>연간 결산단신</t>
        </is>
      </c>
      <c r="C25" t="inlineStr">
        <is>
          <t>https://www2.jpx.co.jp/disc/65040/140120180411409709.pdf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2026-10-29T07:21:06Z</dcterms:created>
  <dcterms:modified xmlns:dcterms="http://purl.org/dc/terms/" xmlns:xsi="http://www.w3.org/2001/XMLSchema-instance" xsi:type="dcterms:W3CDTF">2026-10-29T07:21:06Z</dcterms:modified>
</cp:coreProperties>
</file>