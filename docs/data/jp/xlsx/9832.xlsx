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5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8" borderId="0" applyAlignment="1" pivotButton="0" quotePrefix="0" xfId="0">
      <alignment horizontal="center"/>
    </xf>
    <xf numFmtId="0" fontId="24" fillId="0" borderId="0" pivotButton="0" quotePrefix="0" xfId="0"/>
    <xf numFmtId="3" fontId="24" fillId="0" borderId="0" pivotButton="0" quotePrefix="0" xfId="0"/>
    <xf numFmtId="170" fontId="24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부문별 매출 (억 엔)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'재무제표 한눈에 보기'!A24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보기'!$B$24:$AO$24</f>
            </numRef>
          </val>
          <smooth val="0"/>
        </ser>
        <ser>
          <idx val="1"/>
          <order val="1"/>
          <tx>
            <strRef>
              <f>'재무제표 한눈에 보기'!A25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보기'!$B$25:$AO$25</f>
            </numRef>
          </val>
          <smooth val="0"/>
        </ser>
        <ser>
          <idx val="2"/>
          <order val="2"/>
          <tx>
            <strRef>
              <f>'재무제표 한눈에 보기'!A26</f>
            </strRef>
          </tx>
          <spPr>
            <a:ln xmlns:a="http://schemas.openxmlformats.org/drawingml/2006/main" w="22000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보기'!$B$26:$AO$26</f>
            </numRef>
          </val>
          <smooth val="0"/>
        </ser>
        <ser>
          <idx val="3"/>
          <order val="3"/>
          <tx>
            <strRef>
              <f>'재무제표 한눈에 보기'!A27</f>
            </strRef>
          </tx>
          <spPr>
            <a:ln xmlns:a="http://schemas.openxmlformats.org/drawingml/2006/main" w="22000">
              <a:solidFill>
                <a:srgbClr val="FFC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보기'!$B$27:$AO$27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29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29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48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22</col>
      <colOff>0</colOff>
      <row>48</row>
      <rowOff>0</rowOff>
    </from>
    <ext cx="86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32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9832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67757</v>
      </c>
      <c r="D4" s="12" t="n">
        <v>50219</v>
      </c>
      <c r="E4" s="12" t="n">
        <v>54011</v>
      </c>
      <c r="F4" s="12" t="n">
        <v>56288</v>
      </c>
      <c r="G4" s="12" t="n">
        <v>77917</v>
      </c>
      <c r="H4" s="12" t="n">
        <v>61309</v>
      </c>
      <c r="I4" s="12" t="n">
        <v>64223</v>
      </c>
      <c r="J4" s="12" t="n">
        <v>64615</v>
      </c>
      <c r="K4" s="12" t="n">
        <v>83123</v>
      </c>
      <c r="L4" s="12" t="n">
        <v>68094</v>
      </c>
      <c r="M4" s="12" t="n">
        <v>68815</v>
      </c>
      <c r="N4" s="12" t="n">
        <v>72376</v>
      </c>
      <c r="O4" s="11" t="n">
        <v>204033</v>
      </c>
      <c r="P4" s="12" t="n">
        <v>212328</v>
      </c>
      <c r="Q4" s="12" t="n">
        <v>213840</v>
      </c>
      <c r="R4" s="12" t="n">
        <v>221400</v>
      </c>
      <c r="S4" s="12" t="n">
        <v>220449</v>
      </c>
      <c r="T4" s="12" t="n">
        <v>228586</v>
      </c>
      <c r="U4" s="12" t="n">
        <v>236235</v>
      </c>
      <c r="V4" s="12" t="n">
        <v>229856</v>
      </c>
      <c r="W4" s="12" t="n">
        <v>249525</v>
      </c>
      <c r="X4" s="12" t="n">
        <v>280055</v>
      </c>
      <c r="Y4" s="11">
        <f>IF(COUNT(Y7,Y10,Y13,Y16,Y19,Y22,Y25,Y28)=0,"",SUM(Y7,Y10,Y13,Y16,Y19,Y22,Y25,Y28))</f>
        <v/>
      </c>
      <c r="Z4" s="12">
        <f>IF(COUNT(Z7,Z10,Z13,Z16,Z19,Z22,Z25,Z28)=0,"",SUM(Z7,Z10,Z13,Z16,Z19,Z22,Z25,Z28))</f>
        <v/>
      </c>
      <c r="AA4" s="12">
        <f>IF(COUNT(AA7,AA10,AA13,AA16,AA19,AA22,AA25,AA28)=0,"",SUM(AA7,AA10,AA13,AA16,AA19,AA22,AA25,AA28))</f>
        <v/>
      </c>
      <c r="AB4" s="12">
        <f>IF(COUNT(AB7,AB10,AB13,AB16,AB19,AB22,AB25,AB28)=0,"",SUM(AB7,AB10,AB13,AB16,AB19,AB22,AB25,AB28))</f>
        <v/>
      </c>
      <c r="AC4" s="12">
        <f>IF(COUNT(AC7,AC10,AC13,AC16,AC19,AC22,AC25,AC28)=0,"",SUM(AC7,AC10,AC13,AC16,AC19,AC22,AC25,AC28))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AUTOBACSBusiness Reportable Segments</t>
        </is>
      </c>
      <c r="B7" s="10" t="n"/>
      <c r="C7" s="19" t="n">
        <v>54269</v>
      </c>
      <c r="D7" s="20" t="n"/>
      <c r="E7" s="20" t="n">
        <v>42611</v>
      </c>
      <c r="F7" s="20" t="n">
        <v>44311</v>
      </c>
      <c r="G7" s="20" t="n">
        <v>59875</v>
      </c>
      <c r="H7" s="20" t="n">
        <v>45333</v>
      </c>
      <c r="I7" s="20" t="n">
        <v>45195</v>
      </c>
      <c r="J7" s="20" t="n">
        <v>45797</v>
      </c>
      <c r="K7" s="20" t="n">
        <v>61117</v>
      </c>
      <c r="L7" s="20" t="n">
        <v>46676</v>
      </c>
      <c r="M7" s="20" t="n">
        <v>46829</v>
      </c>
      <c r="N7" s="20" t="n">
        <v>48383</v>
      </c>
      <c r="O7" s="19" t="n"/>
      <c r="P7" s="20" t="n"/>
      <c r="Q7" s="20" t="n"/>
      <c r="R7" s="20" t="n"/>
      <c r="S7" s="20" t="n"/>
      <c r="T7" s="20" t="n"/>
      <c r="U7" s="20" t="n"/>
      <c r="V7" s="20" t="n"/>
      <c r="W7" s="20" t="n">
        <v>192130</v>
      </c>
      <c r="X7" s="20" t="n">
        <v>198785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Consumer Business Reportable Segments</t>
        </is>
      </c>
      <c r="B10" s="10" t="n"/>
      <c r="C10" s="19" t="n">
        <v>5032</v>
      </c>
      <c r="D10" s="20" t="n"/>
      <c r="E10" s="20" t="n">
        <v>4884</v>
      </c>
      <c r="F10" s="20" t="n">
        <v>5280</v>
      </c>
      <c r="G10" s="20" t="n">
        <v>9701</v>
      </c>
      <c r="H10" s="20" t="n">
        <v>9174</v>
      </c>
      <c r="I10" s="20" t="n">
        <v>12126</v>
      </c>
      <c r="J10" s="20" t="n">
        <v>12286</v>
      </c>
      <c r="K10" s="20" t="n">
        <v>13969</v>
      </c>
      <c r="L10" s="20" t="n">
        <v>14244</v>
      </c>
      <c r="M10" s="20" t="n">
        <v>14485</v>
      </c>
      <c r="N10" s="20" t="n">
        <v>17100</v>
      </c>
      <c r="O10" s="19" t="n"/>
      <c r="P10" s="20" t="n"/>
      <c r="Q10" s="20" t="n"/>
      <c r="R10" s="20" t="n"/>
      <c r="S10" s="20" t="n"/>
      <c r="T10" s="20" t="n"/>
      <c r="U10" s="20" t="n"/>
      <c r="V10" s="20" t="n"/>
      <c r="W10" s="20" t="n">
        <v>29039</v>
      </c>
      <c r="X10" s="20" t="n">
        <v>52625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Wholesaling Business Reportable Segments</t>
        </is>
      </c>
      <c r="B13" s="10" t="n"/>
      <c r="C13" s="19" t="n">
        <v>7501</v>
      </c>
      <c r="D13" s="20" t="n"/>
      <c r="E13" s="20" t="n">
        <v>5593</v>
      </c>
      <c r="F13" s="20" t="n">
        <v>5727</v>
      </c>
      <c r="G13" s="20" t="n">
        <v>7259</v>
      </c>
      <c r="H13" s="20" t="n">
        <v>5915</v>
      </c>
      <c r="I13" s="20" t="n">
        <v>5622</v>
      </c>
      <c r="J13" s="20" t="n">
        <v>5415</v>
      </c>
      <c r="K13" s="20" t="n">
        <v>6898</v>
      </c>
      <c r="L13" s="20" t="n">
        <v>5998</v>
      </c>
      <c r="M13" s="20" t="n">
        <v>5968</v>
      </c>
      <c r="N13" s="20" t="n">
        <v>5558</v>
      </c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>
        <v>24494</v>
      </c>
      <c r="X13" s="20" t="n">
        <v>23933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Expansion Business Reportable Segments</t>
        </is>
      </c>
      <c r="B16" s="10" t="n"/>
      <c r="C16" s="19" t="n">
        <v>956</v>
      </c>
      <c r="D16" s="20" t="n"/>
      <c r="E16" s="20" t="n">
        <v>921</v>
      </c>
      <c r="F16" s="20" t="n">
        <v>971</v>
      </c>
      <c r="G16" s="20" t="n">
        <v>1082</v>
      </c>
      <c r="H16" s="20" t="n">
        <v>887</v>
      </c>
      <c r="I16" s="20" t="n">
        <v>1279</v>
      </c>
      <c r="J16" s="20" t="n">
        <v>1117</v>
      </c>
      <c r="K16" s="20" t="n">
        <v>1139</v>
      </c>
      <c r="L16" s="20" t="n">
        <v>1175</v>
      </c>
      <c r="M16" s="20" t="n">
        <v>1531</v>
      </c>
      <c r="N16" s="20" t="n">
        <v>1336</v>
      </c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>
        <v>3861</v>
      </c>
      <c r="X16" s="20" t="n">
        <v>4710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Domestic AUTOBACSBusiness Reportable Segments</t>
        </is>
      </c>
      <c r="B19" s="10" t="n"/>
      <c r="C19" s="19" t="n"/>
      <c r="D19" s="20" t="n"/>
      <c r="E19" s="20" t="n">
        <v>41175</v>
      </c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해외 사업</t>
        </is>
      </c>
      <c r="B22" s="10" t="n"/>
      <c r="C22" s="19" t="n"/>
      <c r="D22" s="20" t="n"/>
      <c r="E22" s="20" t="n">
        <v>3438</v>
      </c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19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8" t="inlineStr">
        <is>
          <t>Car Dealership Bto BAnd Online Alliance Business Reportable Segments</t>
        </is>
      </c>
      <c r="B25" s="10" t="n"/>
      <c r="C25" s="19" t="n"/>
      <c r="D25" s="20" t="n"/>
      <c r="E25" s="20" t="n">
        <v>9281</v>
      </c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19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1" t="n"/>
      <c r="Z25" s="22" t="n"/>
      <c r="AA25" s="22" t="n"/>
      <c r="AB25" s="22" t="n"/>
      <c r="AC25" s="22" t="n"/>
    </row>
    <row r="26">
      <c r="A26" s="13" t="inlineStr">
        <is>
          <t>비중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8" t="inlineStr">
        <is>
          <t>OtherReportableSegmentsMember</t>
        </is>
      </c>
      <c r="B28" s="10" t="n"/>
      <c r="C28" s="19" t="n"/>
      <c r="D28" s="20" t="n"/>
      <c r="E28" s="20" t="n">
        <v>4592</v>
      </c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19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1" t="n"/>
      <c r="Z28" s="22" t="n"/>
      <c r="AA28" s="22" t="n"/>
      <c r="AB28" s="22" t="n"/>
      <c r="AC28" s="22" t="n"/>
    </row>
    <row r="29">
      <c r="A29" s="13" t="inlineStr">
        <is>
          <t>비중</t>
        </is>
      </c>
      <c r="B29" s="10" t="n"/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14">
        <f>IF(OR(Y28="",Y4=""),"",IFERROR(Y28/Y4,""))</f>
        <v/>
      </c>
      <c r="Z29" s="15">
        <f>IF(OR(Z28="",Z4=""),"",IFERROR(Z28/Z4,""))</f>
        <v/>
      </c>
      <c r="AA29" s="15">
        <f>IF(OR(AA28="",AA4=""),"",IFERROR(AA28/AA4,""))</f>
        <v/>
      </c>
      <c r="AB29" s="15">
        <f>IF(OR(AB28="",AB4=""),"",IFERROR(AB28/AB4,""))</f>
        <v/>
      </c>
      <c r="AC29" s="15">
        <f>IF(OR(AC28="",AC4=""),"",IFERROR(AC28/AC4,""))</f>
        <v/>
      </c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6" t="inlineStr">
        <is>
          <t>매출원가</t>
        </is>
      </c>
      <c r="B31" s="16" t="n"/>
      <c r="C31" s="17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7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7" t="n"/>
      <c r="Z31" s="16" t="n"/>
      <c r="AA31" s="16" t="n"/>
      <c r="AB31" s="16" t="n"/>
      <c r="AC31" s="16" t="n"/>
    </row>
    <row r="32">
      <c r="A32" s="18" t="inlineStr">
        <is>
          <t>전체 매출원가</t>
        </is>
      </c>
      <c r="B32" s="10" t="n"/>
      <c r="C32" s="19" t="n">
        <v>45223</v>
      </c>
      <c r="D32" s="20" t="n">
        <v>34772</v>
      </c>
      <c r="E32" s="20" t="n">
        <v>35523</v>
      </c>
      <c r="F32" s="20" t="n">
        <v>36169</v>
      </c>
      <c r="G32" s="20" t="n">
        <v>50626</v>
      </c>
      <c r="H32" s="20" t="n">
        <v>38834</v>
      </c>
      <c r="I32" s="20" t="n">
        <v>41251</v>
      </c>
      <c r="J32" s="20" t="n">
        <v>41332</v>
      </c>
      <c r="K32" s="20" t="n">
        <v>53700</v>
      </c>
      <c r="L32" s="20" t="n">
        <v>43636</v>
      </c>
      <c r="M32" s="20" t="n">
        <v>43524</v>
      </c>
      <c r="N32" s="20" t="n">
        <v>46082</v>
      </c>
      <c r="O32" s="19" t="n">
        <v>137871</v>
      </c>
      <c r="P32" s="20" t="n">
        <v>144361</v>
      </c>
      <c r="Q32" s="20" t="n">
        <v>146259</v>
      </c>
      <c r="R32" s="20" t="n">
        <v>150653</v>
      </c>
      <c r="S32" s="20" t="n">
        <v>147160</v>
      </c>
      <c r="T32" s="20" t="n">
        <v>151436</v>
      </c>
      <c r="U32" s="20" t="n">
        <v>156773</v>
      </c>
      <c r="V32" s="20" t="n">
        <v>154432</v>
      </c>
      <c r="W32" s="20" t="n">
        <v>161152</v>
      </c>
      <c r="X32" s="20" t="n">
        <v>179919</v>
      </c>
      <c r="Y32" s="19" t="n"/>
      <c r="Z32" s="20" t="n"/>
      <c r="AA32" s="20" t="n"/>
      <c r="AB32" s="20" t="n"/>
      <c r="AC32" s="20" t="n"/>
    </row>
    <row r="33">
      <c r="A33" s="13" t="inlineStr">
        <is>
          <t>YoY</t>
        </is>
      </c>
      <c r="B33" s="10" t="n"/>
      <c r="C33" s="14" t="n"/>
      <c r="D33" s="15" t="n"/>
      <c r="E33" s="15" t="n"/>
      <c r="F33" s="15" t="n"/>
      <c r="G33" s="15">
        <f>IF(OR(G32="",C32=""),"",IF(C32&lt;=0,"",IFERROR(G32/C32-1,"")))</f>
        <v/>
      </c>
      <c r="H33" s="15">
        <f>IF(OR(H32="",D32=""),"",IF(D32&lt;=0,"",IFERROR(H32/D32-1,"")))</f>
        <v/>
      </c>
      <c r="I33" s="15">
        <f>IF(OR(I32="",E32=""),"",IF(E32&lt;=0,"",IFERROR(I32/E32-1,"")))</f>
        <v/>
      </c>
      <c r="J33" s="15">
        <f>IF(OR(J32="",F32=""),"",IF(F32&lt;=0,"",IFERROR(J32/F32-1,"")))</f>
        <v/>
      </c>
      <c r="K33" s="15">
        <f>IF(OR(K32="",G32=""),"",IF(G32&lt;=0,"",IFERROR(K32/G32-1,"")))</f>
        <v/>
      </c>
      <c r="L33" s="15">
        <f>IF(OR(L32="",H32=""),"",IF(H32&lt;=0,"",IFERROR(L32/H32-1,"")))</f>
        <v/>
      </c>
      <c r="M33" s="15">
        <f>IF(OR(M32="",I32=""),"",IF(I32&lt;=0,"",IFERROR(M32/I32-1,"")))</f>
        <v/>
      </c>
      <c r="N33" s="15">
        <f>IF(OR(N32="",J32=""),"",IF(J32&lt;=0,"",IFERROR(N32/J32-1,"")))</f>
        <v/>
      </c>
      <c r="O33" s="14" t="n"/>
      <c r="P33" s="15">
        <f>IF(OR(P32="",O32=""),"",IF(O32&lt;=0,"",IFERROR(P32/O32-1,"")))</f>
        <v/>
      </c>
      <c r="Q33" s="15">
        <f>IF(OR(Q32="",P32=""),"",IF(P32&lt;=0,"",IFERROR(Q32/P32-1,"")))</f>
        <v/>
      </c>
      <c r="R33" s="15">
        <f>IF(OR(R32="",Q32=""),"",IF(Q32&lt;=0,"",IFERROR(R32/Q32-1,"")))</f>
        <v/>
      </c>
      <c r="S33" s="15">
        <f>IF(OR(S32="",R32=""),"",IF(R32&lt;=0,"",IFERROR(S32/R32-1,"")))</f>
        <v/>
      </c>
      <c r="T33" s="15">
        <f>IF(OR(T32="",S32=""),"",IF(S32&lt;=0,"",IFERROR(T32/S32-1,"")))</f>
        <v/>
      </c>
      <c r="U33" s="15">
        <f>IF(OR(U32="",T32=""),"",IF(T32&lt;=0,"",IFERROR(U32/T32-1,"")))</f>
        <v/>
      </c>
      <c r="V33" s="15">
        <f>IF(OR(V32="",U32=""),"",IF(U32&lt;=0,"",IFERROR(V32/U32-1,"")))</f>
        <v/>
      </c>
      <c r="W33" s="15">
        <f>IF(OR(W32="",V32=""),"",IF(V32&lt;=0,"",IFERROR(W32/V32-1,"")))</f>
        <v/>
      </c>
      <c r="X33" s="15">
        <f>IF(OR(X32="",W32=""),"",IF(W32&lt;=0,"",IFERROR(X32/W32-1,"")))</f>
        <v/>
      </c>
      <c r="Y33" s="14">
        <f>IF(OR(Y32="",X32=""),"",IF(X32&lt;=0,"",IFERROR(Y32/X32-1,"")))</f>
        <v/>
      </c>
      <c r="Z33" s="15">
        <f>IF(OR(Z32="",Y32=""),"",IF(Y32&lt;=0,"",IFERROR(Z32/Y32-1,"")))</f>
        <v/>
      </c>
      <c r="AA33" s="15">
        <f>IF(OR(AA32="",Z32=""),"",IF(Z32&lt;=0,"",IFERROR(AA32/Z32-1,"")))</f>
        <v/>
      </c>
      <c r="AB33" s="15">
        <f>IF(OR(AB32="",AA32=""),"",IF(AA32&lt;=0,"",IFERROR(AB32/AA32-1,"")))</f>
        <v/>
      </c>
      <c r="AC33" s="15">
        <f>IF(OR(AC32="",AB32=""),"",IF(AB32&lt;=0,"",IFERROR(AC32/AB32-1,"")))</f>
        <v/>
      </c>
    </row>
    <row r="34">
      <c r="A34" s="18" t="inlineStr">
        <is>
          <t>매출총이익</t>
        </is>
      </c>
      <c r="B34" s="10" t="n"/>
      <c r="C34" s="19">
        <f>IF(OR(C4="",C32=""),"",IFERROR(C4-C32,""))</f>
        <v/>
      </c>
      <c r="D34" s="20">
        <f>IF(OR(D4="",D32=""),"",IFERROR(D4-D32,""))</f>
        <v/>
      </c>
      <c r="E34" s="20">
        <f>IF(OR(E4="",E32=""),"",IFERROR(E4-E32,""))</f>
        <v/>
      </c>
      <c r="F34" s="20">
        <f>IF(OR(F4="",F32=""),"",IFERROR(F4-F32,""))</f>
        <v/>
      </c>
      <c r="G34" s="20">
        <f>IF(OR(G4="",G32=""),"",IFERROR(G4-G32,""))</f>
        <v/>
      </c>
      <c r="H34" s="20">
        <f>IF(OR(H4="",H32=""),"",IFERROR(H4-H32,""))</f>
        <v/>
      </c>
      <c r="I34" s="20">
        <f>IF(OR(I4="",I32=""),"",IFERROR(I4-I32,""))</f>
        <v/>
      </c>
      <c r="J34" s="20">
        <f>IF(OR(J4="",J32=""),"",IFERROR(J4-J32,""))</f>
        <v/>
      </c>
      <c r="K34" s="20">
        <f>IF(OR(K4="",K32=""),"",IFERROR(K4-K32,""))</f>
        <v/>
      </c>
      <c r="L34" s="20">
        <f>IF(OR(L4="",L32=""),"",IFERROR(L4-L32,""))</f>
        <v/>
      </c>
      <c r="M34" s="20">
        <f>IF(OR(M4="",M32=""),"",IFERROR(M4-M32,""))</f>
        <v/>
      </c>
      <c r="N34" s="20">
        <f>IF(OR(N4="",N32=""),"",IFERROR(N4-N32,""))</f>
        <v/>
      </c>
      <c r="O34" s="19">
        <f>IF(OR(O4="",O32=""),"",IFERROR(O4-O32,""))</f>
        <v/>
      </c>
      <c r="P34" s="20">
        <f>IF(OR(P4="",P32=""),"",IFERROR(P4-P32,""))</f>
        <v/>
      </c>
      <c r="Q34" s="20">
        <f>IF(OR(Q4="",Q32=""),"",IFERROR(Q4-Q32,""))</f>
        <v/>
      </c>
      <c r="R34" s="20">
        <f>IF(OR(R4="",R32=""),"",IFERROR(R4-R32,""))</f>
        <v/>
      </c>
      <c r="S34" s="20">
        <f>IF(OR(S4="",S32=""),"",IFERROR(S4-S32,""))</f>
        <v/>
      </c>
      <c r="T34" s="20">
        <f>IF(OR(T4="",T32=""),"",IFERROR(T4-T32,""))</f>
        <v/>
      </c>
      <c r="U34" s="20">
        <f>IF(OR(U4="",U32=""),"",IFERROR(U4-U32,""))</f>
        <v/>
      </c>
      <c r="V34" s="20">
        <f>IF(OR(V4="",V32=""),"",IFERROR(V4-V32,""))</f>
        <v/>
      </c>
      <c r="W34" s="20">
        <f>IF(OR(W4="",W32=""),"",IFERROR(W4-W32,""))</f>
        <v/>
      </c>
      <c r="X34" s="20">
        <f>IF(OR(X4="",X32=""),"",IFERROR(X4-X32,""))</f>
        <v/>
      </c>
      <c r="Y34" s="19" t="n"/>
      <c r="Z34" s="20" t="n"/>
      <c r="AA34" s="20" t="n"/>
      <c r="AB34" s="20" t="n"/>
      <c r="AC34" s="20" t="n"/>
    </row>
    <row r="35">
      <c r="A35" s="13" t="inlineStr">
        <is>
          <t>GPM</t>
        </is>
      </c>
      <c r="B35" s="10" t="n"/>
      <c r="C35" s="14">
        <f>IF(OR(C34="",C4=""),"",IFERROR(C34/C4,""))</f>
        <v/>
      </c>
      <c r="D35" s="15">
        <f>IF(OR(D34="",D4=""),"",IFERROR(D34/D4,""))</f>
        <v/>
      </c>
      <c r="E35" s="15">
        <f>IF(OR(E34="",E4=""),"",IFERROR(E34/E4,""))</f>
        <v/>
      </c>
      <c r="F35" s="15">
        <f>IF(OR(F34="",F4=""),"",IFERROR(F34/F4,""))</f>
        <v/>
      </c>
      <c r="G35" s="15">
        <f>IF(OR(G34="",G4=""),"",IFERROR(G34/G4,""))</f>
        <v/>
      </c>
      <c r="H35" s="15">
        <f>IF(OR(H34="",H4=""),"",IFERROR(H34/H4,""))</f>
        <v/>
      </c>
      <c r="I35" s="15">
        <f>IF(OR(I34="",I4=""),"",IFERROR(I34/I4,""))</f>
        <v/>
      </c>
      <c r="J35" s="15">
        <f>IF(OR(J34="",J4=""),"",IFERROR(J34/J4,""))</f>
        <v/>
      </c>
      <c r="K35" s="15">
        <f>IF(OR(K34="",K4=""),"",IFERROR(K34/K4,""))</f>
        <v/>
      </c>
      <c r="L35" s="15">
        <f>IF(OR(L34="",L4=""),"",IFERROR(L34/L4,""))</f>
        <v/>
      </c>
      <c r="M35" s="15">
        <f>IF(OR(M34="",M4=""),"",IFERROR(M34/M4,""))</f>
        <v/>
      </c>
      <c r="N35" s="15">
        <f>IF(OR(N34="",N4=""),"",IFERROR(N34/N4,""))</f>
        <v/>
      </c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>
        <f>IF(OR(Y34="",Y4=""),"",IFERROR(Y34/Y4,""))</f>
        <v/>
      </c>
      <c r="Z35" s="15">
        <f>IF(OR(Z34="",Z4=""),"",IFERROR(Z34/Z4,""))</f>
        <v/>
      </c>
      <c r="AA35" s="15">
        <f>IF(OR(AA34="",AA4=""),"",IFERROR(AA34/AA4,""))</f>
        <v/>
      </c>
      <c r="AB35" s="15">
        <f>IF(OR(AB34="",AB4=""),"",IFERROR(AB34/AB4,""))</f>
        <v/>
      </c>
      <c r="AC35" s="15">
        <f>IF(OR(AC34="",AC4=""),"",IFERROR(AC34/AC4,""))</f>
        <v/>
      </c>
    </row>
    <row r="36">
      <c r="A36" s="13" t="inlineStr">
        <is>
          <t>YoY</t>
        </is>
      </c>
      <c r="B36" s="10" t="n"/>
      <c r="C36" s="14" t="n"/>
      <c r="D36" s="15" t="n"/>
      <c r="E36" s="15" t="n"/>
      <c r="F36" s="15" t="n"/>
      <c r="G36" s="15">
        <f>IF(OR(G34="",C34=""),"",IF(C34&lt;=0,"",IFERROR(G34/C34-1,"")))</f>
        <v/>
      </c>
      <c r="H36" s="15">
        <f>IF(OR(H34="",D34=""),"",IF(D34&lt;=0,"",IFERROR(H34/D34-1,"")))</f>
        <v/>
      </c>
      <c r="I36" s="15">
        <f>IF(OR(I34="",E34=""),"",IF(E34&lt;=0,"",IFERROR(I34/E34-1,"")))</f>
        <v/>
      </c>
      <c r="J36" s="15">
        <f>IF(OR(J34="",F34=""),"",IF(F34&lt;=0,"",IFERROR(J34/F34-1,"")))</f>
        <v/>
      </c>
      <c r="K36" s="15">
        <f>IF(OR(K34="",G34=""),"",IF(G34&lt;=0,"",IFERROR(K34/G34-1,"")))</f>
        <v/>
      </c>
      <c r="L36" s="15">
        <f>IF(OR(L34="",H34=""),"",IF(H34&lt;=0,"",IFERROR(L34/H34-1,"")))</f>
        <v/>
      </c>
      <c r="M36" s="15">
        <f>IF(OR(M34="",I34=""),"",IF(I34&lt;=0,"",IFERROR(M34/I34-1,"")))</f>
        <v/>
      </c>
      <c r="N36" s="15">
        <f>IF(OR(N34="",J34=""),"",IF(J34&lt;=0,"",IFERROR(N34/J34-1,"")))</f>
        <v/>
      </c>
      <c r="O36" s="14" t="n"/>
      <c r="P36" s="15">
        <f>IF(OR(P34="",O34=""),"",IF(O34&lt;=0,"",IFERROR(P34/O34-1,"")))</f>
        <v/>
      </c>
      <c r="Q36" s="15">
        <f>IF(OR(Q34="",P34=""),"",IF(P34&lt;=0,"",IFERROR(Q34/P34-1,"")))</f>
        <v/>
      </c>
      <c r="R36" s="15">
        <f>IF(OR(R34="",Q34=""),"",IF(Q34&lt;=0,"",IFERROR(R34/Q34-1,"")))</f>
        <v/>
      </c>
      <c r="S36" s="15">
        <f>IF(OR(S34="",R34=""),"",IF(R34&lt;=0,"",IFERROR(S34/R34-1,"")))</f>
        <v/>
      </c>
      <c r="T36" s="15">
        <f>IF(OR(T34="",S34=""),"",IF(S34&lt;=0,"",IFERROR(T34/S34-1,"")))</f>
        <v/>
      </c>
      <c r="U36" s="15">
        <f>IF(OR(U34="",T34=""),"",IF(T34&lt;=0,"",IFERROR(U34/T34-1,"")))</f>
        <v/>
      </c>
      <c r="V36" s="15">
        <f>IF(OR(V34="",U34=""),"",IF(U34&lt;=0,"",IFERROR(V34/U34-1,"")))</f>
        <v/>
      </c>
      <c r="W36" s="15">
        <f>IF(OR(W34="",V34=""),"",IF(V34&lt;=0,"",IFERROR(W34/V34-1,"")))</f>
        <v/>
      </c>
      <c r="X36" s="15">
        <f>IF(OR(X34="",W34=""),"",IF(W34&lt;=0,"",IFERROR(X34/W34-1,"")))</f>
        <v/>
      </c>
      <c r="Y36" s="14">
        <f>IF(OR(Y34="",X34=""),"",IF(X34&lt;=0,"",IFERROR(Y34/X34-1,"")))</f>
        <v/>
      </c>
      <c r="Z36" s="15">
        <f>IF(OR(Z34="",Y34=""),"",IF(Y34&lt;=0,"",IFERROR(Z34/Y34-1,"")))</f>
        <v/>
      </c>
      <c r="AA36" s="15">
        <f>IF(OR(AA34="",Z34=""),"",IF(Z34&lt;=0,"",IFERROR(AA34/Z34-1,"")))</f>
        <v/>
      </c>
      <c r="AB36" s="15">
        <f>IF(OR(AB34="",AA34=""),"",IF(AA34&lt;=0,"",IFERROR(AB34/AA34-1,"")))</f>
        <v/>
      </c>
      <c r="AC36" s="15">
        <f>IF(OR(AC34="",AB34=""),"",IF(AB34&lt;=0,"",IFERROR(AC34/AB34-1,"")))</f>
        <v/>
      </c>
    </row>
    <row r="37">
      <c r="A37" s="23" t="inlineStr">
        <is>
          <t>판매관리비</t>
        </is>
      </c>
      <c r="B37" s="23" t="n"/>
      <c r="C37" s="24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4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4" t="n"/>
      <c r="Z37" s="23" t="n"/>
      <c r="AA37" s="23" t="n"/>
      <c r="AB37" s="23" t="n"/>
      <c r="AC37" s="23" t="n"/>
    </row>
    <row r="38">
      <c r="A38" s="18" t="inlineStr">
        <is>
          <t>전체 판관비</t>
        </is>
      </c>
      <c r="B38" s="10" t="n"/>
      <c r="C38" s="19" t="n">
        <v>16995</v>
      </c>
      <c r="D38" s="20" t="n">
        <v>16429</v>
      </c>
      <c r="E38" s="20" t="n">
        <v>17430</v>
      </c>
      <c r="F38" s="20" t="n">
        <v>18667</v>
      </c>
      <c r="G38" s="20" t="n">
        <v>19855</v>
      </c>
      <c r="H38" s="20" t="n">
        <v>20295</v>
      </c>
      <c r="I38" s="20" t="n">
        <v>20285</v>
      </c>
      <c r="J38" s="20" t="n">
        <v>20886</v>
      </c>
      <c r="K38" s="20" t="n">
        <v>22057</v>
      </c>
      <c r="L38" s="20" t="n">
        <v>23112</v>
      </c>
      <c r="M38" s="20" t="n">
        <v>22957</v>
      </c>
      <c r="N38" s="20" t="n">
        <v>23569</v>
      </c>
      <c r="O38" s="19" t="n">
        <v>60332</v>
      </c>
      <c r="P38" s="20" t="n">
        <v>60177</v>
      </c>
      <c r="Q38" s="20" t="n">
        <v>60102</v>
      </c>
      <c r="R38" s="20" t="n">
        <v>63160</v>
      </c>
      <c r="S38" s="20" t="n">
        <v>62711</v>
      </c>
      <c r="T38" s="20" t="n">
        <v>65598</v>
      </c>
      <c r="U38" s="20" t="n">
        <v>67739</v>
      </c>
      <c r="V38" s="20" t="n">
        <v>67414</v>
      </c>
      <c r="W38" s="20" t="n">
        <v>76247</v>
      </c>
      <c r="X38" s="20" t="n">
        <v>86340</v>
      </c>
      <c r="Y38" s="19" t="n"/>
      <c r="Z38" s="20" t="n"/>
      <c r="AA38" s="20" t="n"/>
      <c r="AB38" s="20" t="n"/>
      <c r="AC38" s="20" t="n"/>
    </row>
    <row r="39">
      <c r="A39" s="13" t="inlineStr">
        <is>
          <t>YoY</t>
        </is>
      </c>
      <c r="B39" s="10" t="n"/>
      <c r="C39" s="14" t="n"/>
      <c r="D39" s="15" t="n"/>
      <c r="E39" s="15" t="n"/>
      <c r="F39" s="15" t="n"/>
      <c r="G39" s="15">
        <f>IF(OR(G38="",C38=""),"",IF(C38&lt;=0,"",IFERROR(G38/C38-1,"")))</f>
        <v/>
      </c>
      <c r="H39" s="15">
        <f>IF(OR(H38="",D38=""),"",IF(D38&lt;=0,"",IFERROR(H38/D38-1,"")))</f>
        <v/>
      </c>
      <c r="I39" s="15">
        <f>IF(OR(I38="",E38=""),"",IF(E38&lt;=0,"",IFERROR(I38/E38-1,"")))</f>
        <v/>
      </c>
      <c r="J39" s="15">
        <f>IF(OR(J38="",F38=""),"",IF(F38&lt;=0,"",IFERROR(J38/F38-1,"")))</f>
        <v/>
      </c>
      <c r="K39" s="15">
        <f>IF(OR(K38="",G38=""),"",IF(G38&lt;=0,"",IFERROR(K38/G38-1,"")))</f>
        <v/>
      </c>
      <c r="L39" s="15">
        <f>IF(OR(L38="",H38=""),"",IF(H38&lt;=0,"",IFERROR(L38/H38-1,"")))</f>
        <v/>
      </c>
      <c r="M39" s="15">
        <f>IF(OR(M38="",I38=""),"",IF(I38&lt;=0,"",IFERROR(M38/I38-1,"")))</f>
        <v/>
      </c>
      <c r="N39" s="15">
        <f>IF(OR(N38="",J38=""),"",IF(J38&lt;=0,"",IFERROR(N38/J38-1,"")))</f>
        <v/>
      </c>
      <c r="O39" s="14" t="n"/>
      <c r="P39" s="15">
        <f>IF(OR(P38="",O38=""),"",IF(O38&lt;=0,"",IFERROR(P38/O38-1,"")))</f>
        <v/>
      </c>
      <c r="Q39" s="15">
        <f>IF(OR(Q38="",P38=""),"",IF(P38&lt;=0,"",IFERROR(Q38/P38-1,"")))</f>
        <v/>
      </c>
      <c r="R39" s="15">
        <f>IF(OR(R38="",Q38=""),"",IF(Q38&lt;=0,"",IFERROR(R38/Q38-1,"")))</f>
        <v/>
      </c>
      <c r="S39" s="15">
        <f>IF(OR(S38="",R38=""),"",IF(R38&lt;=0,"",IFERROR(S38/R38-1,"")))</f>
        <v/>
      </c>
      <c r="T39" s="15">
        <f>IF(OR(T38="",S38=""),"",IF(S38&lt;=0,"",IFERROR(T38/S38-1,"")))</f>
        <v/>
      </c>
      <c r="U39" s="15">
        <f>IF(OR(U38="",T38=""),"",IF(T38&lt;=0,"",IFERROR(U38/T38-1,"")))</f>
        <v/>
      </c>
      <c r="V39" s="15">
        <f>IF(OR(V38="",U38=""),"",IF(U38&lt;=0,"",IFERROR(V38/U38-1,"")))</f>
        <v/>
      </c>
      <c r="W39" s="15">
        <f>IF(OR(W38="",V38=""),"",IF(V38&lt;=0,"",IFERROR(W38/V38-1,"")))</f>
        <v/>
      </c>
      <c r="X39" s="15">
        <f>IF(OR(X38="",W38=""),"",IF(W38&lt;=0,"",IFERROR(X38/W38-1,"")))</f>
        <v/>
      </c>
      <c r="Y39" s="14">
        <f>IF(OR(Y38="",X38=""),"",IF(X38&lt;=0,"",IFERROR(Y38/X38-1,"")))</f>
        <v/>
      </c>
      <c r="Z39" s="15">
        <f>IF(OR(Z38="",Y38=""),"",IF(Y38&lt;=0,"",IFERROR(Z38/Y38-1,"")))</f>
        <v/>
      </c>
      <c r="AA39" s="15">
        <f>IF(OR(AA38="",Z38=""),"",IF(Z38&lt;=0,"",IFERROR(AA38/Z38-1,"")))</f>
        <v/>
      </c>
      <c r="AB39" s="15">
        <f>IF(OR(AB38="",AA38=""),"",IF(AA38&lt;=0,"",IFERROR(AB38/AA38-1,"")))</f>
        <v/>
      </c>
      <c r="AC39" s="15">
        <f>IF(OR(AC38="",AB38=""),"",IF(AB38&lt;=0,"",IFERROR(AC38/AB38-1,"")))</f>
        <v/>
      </c>
    </row>
    <row r="40">
      <c r="A40" s="9" t="inlineStr">
        <is>
          <t>영업이익</t>
        </is>
      </c>
      <c r="B40" s="10" t="inlineStr">
        <is>
          <t>MW = 매출 × OPM</t>
        </is>
      </c>
      <c r="C40" s="11" t="n">
        <v>5539</v>
      </c>
      <c r="D40" s="12" t="n">
        <v>-981</v>
      </c>
      <c r="E40" s="12" t="n">
        <v>1057</v>
      </c>
      <c r="F40" s="12" t="n">
        <v>1453</v>
      </c>
      <c r="G40" s="12" t="n">
        <v>7435</v>
      </c>
      <c r="H40" s="12" t="n">
        <v>2181</v>
      </c>
      <c r="I40" s="12" t="n">
        <v>2686</v>
      </c>
      <c r="J40" s="12" t="n">
        <v>2397</v>
      </c>
      <c r="K40" s="12" t="n">
        <v>7366</v>
      </c>
      <c r="L40" s="12" t="n">
        <v>1346</v>
      </c>
      <c r="M40" s="12" t="n">
        <v>2333</v>
      </c>
      <c r="N40" s="12" t="n">
        <v>2725</v>
      </c>
      <c r="O40" s="11" t="n">
        <v>5829</v>
      </c>
      <c r="P40" s="12" t="n">
        <v>7789</v>
      </c>
      <c r="Q40" s="12" t="n">
        <v>7478</v>
      </c>
      <c r="R40" s="12" t="n">
        <v>7585</v>
      </c>
      <c r="S40" s="12" t="n">
        <v>10577</v>
      </c>
      <c r="T40" s="12" t="n">
        <v>11552</v>
      </c>
      <c r="U40" s="12" t="n">
        <v>11722</v>
      </c>
      <c r="V40" s="12" t="n">
        <v>8010</v>
      </c>
      <c r="W40" s="12" t="n">
        <v>12126</v>
      </c>
      <c r="X40" s="12" t="n">
        <v>13795</v>
      </c>
      <c r="Y40" s="11">
        <f>IF(OR(Y4="",Y41=""),"",IFERROR(Y4*Y41,""))</f>
        <v/>
      </c>
      <c r="Z40" s="12">
        <f>IF(OR(Z4="",Z41=""),"",IFERROR(Z4*Z41,""))</f>
        <v/>
      </c>
      <c r="AA40" s="12">
        <f>IF(OR(AA4="",AA41=""),"",IFERROR(AA4*AA41,""))</f>
        <v/>
      </c>
      <c r="AB40" s="12">
        <f>IF(OR(AB4="",AB41=""),"",IFERROR(AB4*AB41,""))</f>
        <v/>
      </c>
      <c r="AC40" s="12">
        <f>IF(OR(AC4="",AC41=""),"",IFERROR(AC4*AC41,""))</f>
        <v/>
      </c>
    </row>
    <row r="41">
      <c r="A41" s="13" t="inlineStr">
        <is>
          <t>OPM</t>
        </is>
      </c>
      <c r="B41" s="10" t="inlineStr">
        <is>
          <t>MW 입력</t>
        </is>
      </c>
      <c r="C41" s="14">
        <f>IF(OR(C40="",C4=""),"",IFERROR(C40/C4,""))</f>
        <v/>
      </c>
      <c r="D41" s="15">
        <f>IF(OR(D40="",D4=""),"",IFERROR(D40/D4,""))</f>
        <v/>
      </c>
      <c r="E41" s="15">
        <f>IF(OR(E40="",E4=""),"",IFERROR(E40/E4,""))</f>
        <v/>
      </c>
      <c r="F41" s="15">
        <f>IF(OR(F40="",F4=""),"",IFERROR(F40/F4,""))</f>
        <v/>
      </c>
      <c r="G41" s="15">
        <f>IF(OR(G40="",G4=""),"",IFERROR(G40/G4,""))</f>
        <v/>
      </c>
      <c r="H41" s="15">
        <f>IF(OR(H40="",H4=""),"",IFERROR(H40/H4,""))</f>
        <v/>
      </c>
      <c r="I41" s="15">
        <f>IF(OR(I40="",I4=""),"",IFERROR(I40/I4,""))</f>
        <v/>
      </c>
      <c r="J41" s="15">
        <f>IF(OR(J40="",J4=""),"",IFERROR(J40/J4,""))</f>
        <v/>
      </c>
      <c r="K41" s="15">
        <f>IF(OR(K40="",K4=""),"",IFERROR(K40/K4,""))</f>
        <v/>
      </c>
      <c r="L41" s="15">
        <f>IF(OR(L40="",L4=""),"",IFERROR(L40/L4,""))</f>
        <v/>
      </c>
      <c r="M41" s="15">
        <f>IF(OR(M40="",M4=""),"",IFERROR(M40/M4,""))</f>
        <v/>
      </c>
      <c r="N41" s="15">
        <f>IF(OR(N40="",N4=""),"",IFERROR(N40/N4,""))</f>
        <v/>
      </c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25" t="n"/>
      <c r="Z41" s="26" t="n"/>
      <c r="AA41" s="26" t="n"/>
      <c r="AB41" s="26" t="n"/>
      <c r="AC41" s="26" t="n"/>
    </row>
    <row r="42">
      <c r="A42" s="13" t="inlineStr">
        <is>
          <t>증가율</t>
        </is>
      </c>
      <c r="B42" s="10" t="n"/>
      <c r="C42" s="14" t="n"/>
      <c r="D42" s="15" t="n"/>
      <c r="E42" s="15" t="n"/>
      <c r="F42" s="15" t="n"/>
      <c r="G42" s="15">
        <f>IF(OR(G40="",C40=""),"",IFERROR(G40/C40-1,""))</f>
        <v/>
      </c>
      <c r="H42" s="15">
        <f>IF(OR(H40="",D40=""),"",IFERROR(H40/D40-1,""))</f>
        <v/>
      </c>
      <c r="I42" s="15">
        <f>IF(OR(I40="",E40=""),"",IFERROR(I40/E40-1,""))</f>
        <v/>
      </c>
      <c r="J42" s="15">
        <f>IF(OR(J40="",F40=""),"",IFERROR(J40/F40-1,""))</f>
        <v/>
      </c>
      <c r="K42" s="15">
        <f>IF(OR(K40="",G40=""),"",IFERROR(K40/G40-1,""))</f>
        <v/>
      </c>
      <c r="L42" s="15">
        <f>IF(OR(L40="",H40=""),"",IFERROR(L40/H40-1,""))</f>
        <v/>
      </c>
      <c r="M42" s="15">
        <f>IF(OR(M40="",I40=""),"",IFERROR(M40/I40-1,""))</f>
        <v/>
      </c>
      <c r="N42" s="15">
        <f>IF(OR(N40="",J40=""),"",IFERROR(N40/J40-1,""))</f>
        <v/>
      </c>
      <c r="O42" s="14" t="n"/>
      <c r="P42" s="15">
        <f>IF(OR(P40="",O40=""),"",IFERROR(P40/O40-1,""))</f>
        <v/>
      </c>
      <c r="Q42" s="15">
        <f>IF(OR(Q40="",P40=""),"",IFERROR(Q40/P40-1,""))</f>
        <v/>
      </c>
      <c r="R42" s="15">
        <f>IF(OR(R40="",Q40=""),"",IFERROR(R40/Q40-1,""))</f>
        <v/>
      </c>
      <c r="S42" s="15">
        <f>IF(OR(S40="",R40=""),"",IFERROR(S40/R40-1,""))</f>
        <v/>
      </c>
      <c r="T42" s="15">
        <f>IF(OR(T40="",S40=""),"",IFERROR(T40/S40-1,""))</f>
        <v/>
      </c>
      <c r="U42" s="15">
        <f>IF(OR(U40="",T40=""),"",IFERROR(U40/T40-1,""))</f>
        <v/>
      </c>
      <c r="V42" s="15">
        <f>IF(OR(V40="",U40=""),"",IFERROR(V40/U40-1,""))</f>
        <v/>
      </c>
      <c r="W42" s="15">
        <f>IF(OR(W40="",V40=""),"",IFERROR(W40/V40-1,""))</f>
        <v/>
      </c>
      <c r="X42" s="15">
        <f>IF(OR(X40="",W40=""),"",IFERROR(X40/W40-1,""))</f>
        <v/>
      </c>
      <c r="Y42" s="14">
        <f>IF(OR(Y40="",X40=""),"",IFERROR(Y40/X40-1,""))</f>
        <v/>
      </c>
      <c r="Z42" s="15">
        <f>IF(OR(Z40="",Y40=""),"",IFERROR(Z40/Y40-1,""))</f>
        <v/>
      </c>
      <c r="AA42" s="15">
        <f>IF(OR(AA40="",Z40=""),"",IFERROR(AA40/Z40-1,""))</f>
        <v/>
      </c>
      <c r="AB42" s="15">
        <f>IF(OR(AB40="",AA40=""),"",IFERROR(AB40/AA40-1,""))</f>
        <v/>
      </c>
      <c r="AC42" s="15">
        <f>IF(OR(AC40="",AB40=""),"",IFERROR(AC40/AB40-1,""))</f>
        <v/>
      </c>
    </row>
    <row r="43">
      <c r="A43" s="16" t="inlineStr">
        <is>
          <t>비용의 성격별 분류</t>
        </is>
      </c>
      <c r="B43" s="16" t="inlineStr">
        <is>
          <t>참고 데이터</t>
        </is>
      </c>
      <c r="C43" s="17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7" t="n"/>
      <c r="Z43" s="16" t="n"/>
      <c r="AA43" s="16" t="n"/>
      <c r="AB43" s="16" t="n"/>
      <c r="AC43" s="16" t="n"/>
    </row>
    <row r="44">
      <c r="A44" s="9" t="inlineStr">
        <is>
          <t>총 판관비</t>
        </is>
      </c>
      <c r="B44" s="10" t="n"/>
      <c r="C44" s="11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1">
        <f>IF(O38="","",O38)</f>
        <v/>
      </c>
      <c r="P44" s="12">
        <f>IF(P38="","",P38)</f>
        <v/>
      </c>
      <c r="Q44" s="12">
        <f>IF(Q38="","",Q38)</f>
        <v/>
      </c>
      <c r="R44" s="12">
        <f>IF(R38="","",R38)</f>
        <v/>
      </c>
      <c r="S44" s="12">
        <f>IF(S38="","",S38)</f>
        <v/>
      </c>
      <c r="T44" s="12">
        <f>IF(T38="","",T38)</f>
        <v/>
      </c>
      <c r="U44" s="12">
        <f>IF(U38="","",U38)</f>
        <v/>
      </c>
      <c r="V44" s="12">
        <f>IF(V38="","",V38)</f>
        <v/>
      </c>
      <c r="W44" s="12">
        <f>IF(W38="","",W38)</f>
        <v/>
      </c>
      <c r="X44" s="12">
        <f>IF(X38="","",X38)</f>
        <v/>
      </c>
      <c r="Y44" s="11" t="n"/>
      <c r="Z44" s="12" t="n"/>
      <c r="AA44" s="12" t="n"/>
      <c r="AB44" s="12" t="n"/>
      <c r="AC44" s="12" t="n"/>
    </row>
    <row r="45">
      <c r="A45" s="18" t="inlineStr">
        <is>
          <t>급여</t>
        </is>
      </c>
      <c r="B45" s="10" t="inlineStr">
        <is>
          <t>고정비</t>
        </is>
      </c>
      <c r="C45" s="19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19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19" t="n"/>
      <c r="Z45" s="20" t="n"/>
      <c r="AA45" s="20" t="n"/>
      <c r="AB45" s="20" t="n"/>
      <c r="AC45" s="20" t="n"/>
    </row>
    <row r="46">
      <c r="A46" s="13" t="inlineStr">
        <is>
          <t>% of Sales</t>
        </is>
      </c>
      <c r="B46" s="10" t="n"/>
      <c r="C46" s="14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14" t="n"/>
      <c r="Z46" s="15" t="n"/>
      <c r="AA46" s="15" t="n"/>
      <c r="AB46" s="15" t="n"/>
      <c r="AC46" s="15" t="n"/>
    </row>
    <row r="47">
      <c r="A47" s="18" t="inlineStr">
        <is>
          <t>감가상각비</t>
        </is>
      </c>
      <c r="B47" s="10" t="inlineStr">
        <is>
          <t>고정비</t>
        </is>
      </c>
      <c r="C47" s="19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19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19" t="n"/>
      <c r="Z47" s="20" t="n"/>
      <c r="AA47" s="20" t="n"/>
      <c r="AB47" s="20" t="n"/>
      <c r="AC47" s="20" t="n"/>
    </row>
    <row r="48">
      <c r="A48" s="13" t="inlineStr">
        <is>
          <t>% of Sales</t>
        </is>
      </c>
      <c r="B48" s="10" t="n"/>
      <c r="C48" s="14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14" t="n"/>
      <c r="Z48" s="15" t="n"/>
      <c r="AA48" s="15" t="n"/>
      <c r="AB48" s="15" t="n"/>
      <c r="AC48" s="15" t="n"/>
    </row>
    <row r="49">
      <c r="A49" s="18" t="inlineStr">
        <is>
          <t>지급수수료</t>
        </is>
      </c>
      <c r="B49" s="10" t="inlineStr">
        <is>
          <t>고정비</t>
        </is>
      </c>
      <c r="C49" s="19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19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19" t="n"/>
      <c r="Z49" s="20" t="n"/>
      <c r="AA49" s="20" t="n"/>
      <c r="AB49" s="20" t="n"/>
      <c r="AC49" s="20" t="n"/>
    </row>
    <row r="50">
      <c r="A50" s="13" t="inlineStr">
        <is>
          <t>% of Sales</t>
        </is>
      </c>
      <c r="B50" s="10" t="n"/>
      <c r="C50" s="14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14" t="n"/>
      <c r="Z50" s="15" t="n"/>
      <c r="AA50" s="15" t="n"/>
      <c r="AB50" s="15" t="n"/>
      <c r="AC50" s="15" t="n"/>
    </row>
    <row r="51">
      <c r="A51" s="18" t="inlineStr">
        <is>
          <t>연구개발비</t>
        </is>
      </c>
      <c r="B51" s="10" t="inlineStr">
        <is>
          <t>변동비</t>
        </is>
      </c>
      <c r="C51" s="19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19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19" t="n"/>
      <c r="Z51" s="20" t="n"/>
      <c r="AA51" s="20" t="n"/>
      <c r="AB51" s="20" t="n"/>
      <c r="AC51" s="20" t="n"/>
    </row>
    <row r="52">
      <c r="A52" s="13" t="inlineStr">
        <is>
          <t>% of Sales</t>
        </is>
      </c>
      <c r="B52" s="10" t="n"/>
      <c r="C52" s="14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14" t="n"/>
      <c r="Z52" s="15" t="n"/>
      <c r="AA52" s="15" t="n"/>
      <c r="AB52" s="15" t="n"/>
      <c r="AC52" s="15" t="n"/>
    </row>
    <row r="53">
      <c r="A53" s="18" t="inlineStr">
        <is>
          <t>기타비용</t>
        </is>
      </c>
      <c r="B53" s="10" t="inlineStr">
        <is>
          <t>변동비</t>
        </is>
      </c>
      <c r="C53" s="19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19">
        <f>IF(OR(O44="",O45="",O47="",O49="",O51=""),"",IFERROR(O44-O45-O47-O49-O51,""))</f>
        <v/>
      </c>
      <c r="P53" s="20">
        <f>IF(OR(P44="",P45="",P47="",P49="",P51=""),"",IFERROR(P44-P45-P47-P49-P51,""))</f>
        <v/>
      </c>
      <c r="Q53" s="20">
        <f>IF(OR(Q44="",Q45="",Q47="",Q49="",Q51=""),"",IFERROR(Q44-Q45-Q47-Q49-Q51,""))</f>
        <v/>
      </c>
      <c r="R53" s="20">
        <f>IF(OR(R44="",R45="",R47="",R49="",R51=""),"",IFERROR(R44-R45-R47-R49-R51,""))</f>
        <v/>
      </c>
      <c r="S53" s="20">
        <f>IF(OR(S44="",S45="",S47="",S49="",S51=""),"",IFERROR(S44-S45-S47-S49-S51,""))</f>
        <v/>
      </c>
      <c r="T53" s="20">
        <f>IF(OR(T44="",T45="",T47="",T49="",T51=""),"",IFERROR(T44-T45-T47-T49-T51,""))</f>
        <v/>
      </c>
      <c r="U53" s="20">
        <f>IF(OR(U44="",U45="",U47="",U49="",U51=""),"",IFERROR(U44-U45-U47-U49-U51,""))</f>
        <v/>
      </c>
      <c r="V53" s="20">
        <f>IF(OR(V44="",V45="",V47="",V49="",V51=""),"",IFERROR(V44-V45-V47-V49-V51,""))</f>
        <v/>
      </c>
      <c r="W53" s="20">
        <f>IF(OR(W44="",W45="",W47="",W49="",W51=""),"",IFERROR(W44-W45-W47-W49-W51,""))</f>
        <v/>
      </c>
      <c r="X53" s="20">
        <f>IF(OR(X44="",X45="",X47="",X49="",X51=""),"",IFERROR(X44-X45-X47-X49-X51,""))</f>
        <v/>
      </c>
      <c r="Y53" s="19" t="n"/>
      <c r="Z53" s="20" t="n"/>
      <c r="AA53" s="20" t="n"/>
      <c r="AB53" s="20" t="n"/>
      <c r="AC53" s="20" t="n"/>
    </row>
    <row r="54">
      <c r="A54" s="13" t="inlineStr">
        <is>
          <t>% of Sales</t>
        </is>
      </c>
      <c r="B54" s="10" t="n"/>
      <c r="C54" s="14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14" t="n"/>
      <c r="Z54" s="15" t="n"/>
      <c r="AA54" s="15" t="n"/>
      <c r="AB54" s="15" t="n"/>
      <c r="AC54" s="15" t="n"/>
    </row>
    <row r="55">
      <c r="A55" s="16" t="inlineStr">
        <is>
          <t>당기순이익 추정</t>
        </is>
      </c>
      <c r="B55" s="16" t="n"/>
      <c r="C55" s="1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7" t="n"/>
      <c r="Z55" s="16" t="n"/>
      <c r="AA55" s="16" t="n"/>
      <c r="AB55" s="16" t="n"/>
      <c r="AC55" s="16" t="n"/>
    </row>
    <row r="56">
      <c r="A56" s="18" t="inlineStr">
        <is>
          <t>특별이익</t>
        </is>
      </c>
      <c r="B56" s="10" t="n"/>
      <c r="C56" s="19" t="n">
        <v>0</v>
      </c>
      <c r="D56" s="20" t="n">
        <v>0</v>
      </c>
      <c r="E56" s="20" t="n"/>
      <c r="F56" s="20" t="n"/>
      <c r="G56" s="20" t="n">
        <v>569</v>
      </c>
      <c r="H56" s="20" t="n">
        <v>0</v>
      </c>
      <c r="I56" s="20" t="n"/>
      <c r="J56" s="20" t="n"/>
      <c r="K56" s="20" t="n">
        <v>0</v>
      </c>
      <c r="L56" s="20" t="n">
        <v>1269</v>
      </c>
      <c r="M56" s="20" t="n"/>
      <c r="N56" s="20" t="n"/>
      <c r="O56" s="19" t="n">
        <v>0</v>
      </c>
      <c r="P56" s="20" t="n">
        <v>1477</v>
      </c>
      <c r="Q56" s="20" t="n">
        <v>1403</v>
      </c>
      <c r="R56" s="20" t="n">
        <v>93</v>
      </c>
      <c r="S56" s="20" t="n">
        <v>0</v>
      </c>
      <c r="T56" s="20" t="n">
        <v>0</v>
      </c>
      <c r="U56" s="20" t="n">
        <v>1177</v>
      </c>
      <c r="V56" s="20" t="n">
        <v>3971</v>
      </c>
      <c r="W56" s="20" t="n">
        <v>1030</v>
      </c>
      <c r="X56" s="20" t="n">
        <v>1269</v>
      </c>
      <c r="Y56" s="19">
        <f>IF(OR(Y4="",Y57=""),"",IFERROR(Y4*Y57,""))</f>
        <v/>
      </c>
      <c r="Z56" s="20">
        <f>IF(OR(Z4="",Z57=""),"",IFERROR(Z4*Z57,""))</f>
        <v/>
      </c>
      <c r="AA56" s="20">
        <f>IF(OR(AA4="",AA57=""),"",IFERROR(AA4*AA57,""))</f>
        <v/>
      </c>
      <c r="AB56" s="20">
        <f>IF(OR(AB4="",AB57=""),"",IFERROR(AB4*AB57,""))</f>
        <v/>
      </c>
      <c r="AC56" s="20">
        <f>IF(OR(AC4="",AC57=""),"",IFERROR(AC4*AC57,""))</f>
        <v/>
      </c>
    </row>
    <row r="57">
      <c r="A57" s="13" t="inlineStr">
        <is>
          <t>% of Sales</t>
        </is>
      </c>
      <c r="B57" s="10" t="inlineStr">
        <is>
          <t>MW = 최근 3년 평균</t>
        </is>
      </c>
      <c r="C57" s="14">
        <f>IF(OR(C56="",C4=""),"",IFERROR(C56/C4,""))</f>
        <v/>
      </c>
      <c r="D57" s="15">
        <f>IF(OR(D56="",D4=""),"",IFERROR(D56/D4,""))</f>
        <v/>
      </c>
      <c r="E57" s="15">
        <f>IF(OR(E56="",E4=""),"",IFERROR(E56/E4,""))</f>
        <v/>
      </c>
      <c r="F57" s="15">
        <f>IF(OR(F56="",F4=""),"",IFERROR(F56/F4,""))</f>
        <v/>
      </c>
      <c r="G57" s="15">
        <f>IF(OR(G56="",G4=""),"",IFERROR(G56/G4,""))</f>
        <v/>
      </c>
      <c r="H57" s="15">
        <f>IF(OR(H56="",H4=""),"",IFERROR(H56/H4,""))</f>
        <v/>
      </c>
      <c r="I57" s="15">
        <f>IF(OR(I56="",I4=""),"",IFERROR(I56/I4,""))</f>
        <v/>
      </c>
      <c r="J57" s="15">
        <f>IF(OR(J56="",J4=""),"",IFERROR(J56/J4,""))</f>
        <v/>
      </c>
      <c r="K57" s="15">
        <f>IF(OR(K56="",K4=""),"",IFERROR(K56/K4,""))</f>
        <v/>
      </c>
      <c r="L57" s="15">
        <f>IF(OR(L56="",L4=""),"",IFERROR(L56/L4,""))</f>
        <v/>
      </c>
      <c r="M57" s="15">
        <f>IF(OR(M56="",M4=""),"",IFERROR(M56/M4,""))</f>
        <v/>
      </c>
      <c r="N57" s="15">
        <f>IF(OR(N56="",N4=""),"",IFERROR(N56/N4,""))</f>
        <v/>
      </c>
      <c r="O57" s="14">
        <f>IF(OR(O56="",O4=""),"",IFERROR(O56/O4,""))</f>
        <v/>
      </c>
      <c r="P57" s="15">
        <f>IF(OR(P56="",P4=""),"",IFERROR(P56/P4,""))</f>
        <v/>
      </c>
      <c r="Q57" s="15">
        <f>IF(OR(Q56="",Q4=""),"",IFERROR(Q56/Q4,""))</f>
        <v/>
      </c>
      <c r="R57" s="15">
        <f>IF(OR(R56="",R4=""),"",IFERROR(R56/R4,""))</f>
        <v/>
      </c>
      <c r="S57" s="15">
        <f>IF(OR(S56="",S4=""),"",IFERROR(S56/S4,""))</f>
        <v/>
      </c>
      <c r="T57" s="15">
        <f>IF(OR(T56="",T4=""),"",IFERROR(T56/T4,""))</f>
        <v/>
      </c>
      <c r="U57" s="15">
        <f>IF(OR(U56="",U4=""),"",IFERROR(U56/U4,""))</f>
        <v/>
      </c>
      <c r="V57" s="15">
        <f>IF(OR(V56="",V4=""),"",IFERROR(V56/V4,""))</f>
        <v/>
      </c>
      <c r="W57" s="15">
        <f>IF(OR(W56="",W4=""),"",IFERROR(W56/W4,""))</f>
        <v/>
      </c>
      <c r="X57" s="15">
        <f>IF(OR(X56="",X4=""),"",IFERROR(X56/X4,""))</f>
        <v/>
      </c>
      <c r="Y57" s="25">
        <f>IFERROR(AVERAGE(V57,W57,X57),"")</f>
        <v/>
      </c>
      <c r="Z57" s="26">
        <f>Y57</f>
        <v/>
      </c>
      <c r="AA57" s="26">
        <f>Z57</f>
        <v/>
      </c>
      <c r="AB57" s="26">
        <f>AA57</f>
        <v/>
      </c>
      <c r="AC57" s="26">
        <f>AB57</f>
        <v/>
      </c>
    </row>
    <row r="58">
      <c r="A58" s="18" t="inlineStr">
        <is>
          <t>특별손실</t>
        </is>
      </c>
      <c r="B58" s="10" t="n"/>
      <c r="C58" s="19" t="n">
        <v>1</v>
      </c>
      <c r="D58" s="20" t="n">
        <v>1691</v>
      </c>
      <c r="E58" s="20" t="n"/>
      <c r="F58" s="20" t="n"/>
      <c r="G58" s="20" t="n">
        <v>0</v>
      </c>
      <c r="H58" s="20" t="n">
        <v>387</v>
      </c>
      <c r="I58" s="20" t="n"/>
      <c r="J58" s="20" t="n"/>
      <c r="K58" s="20" t="n">
        <v>0</v>
      </c>
      <c r="L58" s="20" t="n">
        <v>1526</v>
      </c>
      <c r="M58" s="20" t="n"/>
      <c r="N58" s="20" t="n"/>
      <c r="O58" s="19" t="n">
        <v>2645</v>
      </c>
      <c r="P58" s="20" t="n">
        <v>1449</v>
      </c>
      <c r="Q58" s="20" t="n">
        <v>1852</v>
      </c>
      <c r="R58" s="20" t="n">
        <v>2248</v>
      </c>
      <c r="S58" s="20" t="n">
        <v>418</v>
      </c>
      <c r="T58" s="20" t="n">
        <v>238</v>
      </c>
      <c r="U58" s="20" t="n">
        <v>897</v>
      </c>
      <c r="V58" s="20" t="n">
        <v>1781</v>
      </c>
      <c r="W58" s="20" t="n">
        <v>594</v>
      </c>
      <c r="X58" s="20" t="n">
        <v>1526</v>
      </c>
      <c r="Y58" s="19">
        <f>IF(OR(Y4="",Y59=""),"",IFERROR(Y4*Y59,""))</f>
        <v/>
      </c>
      <c r="Z58" s="20">
        <f>IF(OR(Z4="",Z59=""),"",IFERROR(Z4*Z59,""))</f>
        <v/>
      </c>
      <c r="AA58" s="20">
        <f>IF(OR(AA4="",AA59=""),"",IFERROR(AA4*AA59,""))</f>
        <v/>
      </c>
      <c r="AB58" s="20">
        <f>IF(OR(AB4="",AB59=""),"",IFERROR(AB4*AB59,""))</f>
        <v/>
      </c>
      <c r="AC58" s="20">
        <f>IF(OR(AC4="",AC59=""),"",IFERROR(AC4*AC59,""))</f>
        <v/>
      </c>
    </row>
    <row r="59">
      <c r="A59" s="13" t="inlineStr">
        <is>
          <t>% of Sales</t>
        </is>
      </c>
      <c r="B59" s="10" t="n"/>
      <c r="C59" s="14">
        <f>IF(OR(C58="",C4=""),"",IFERROR(C58/C4,""))</f>
        <v/>
      </c>
      <c r="D59" s="15">
        <f>IF(OR(D58="",D4=""),"",IFERROR(D58/D4,""))</f>
        <v/>
      </c>
      <c r="E59" s="15">
        <f>IF(OR(E58="",E4=""),"",IFERROR(E58/E4,""))</f>
        <v/>
      </c>
      <c r="F59" s="15">
        <f>IF(OR(F58="",F4=""),"",IFERROR(F58/F4,""))</f>
        <v/>
      </c>
      <c r="G59" s="15">
        <f>IF(OR(G58="",G4=""),"",IFERROR(G58/G4,""))</f>
        <v/>
      </c>
      <c r="H59" s="15">
        <f>IF(OR(H58="",H4=""),"",IFERROR(H58/H4,""))</f>
        <v/>
      </c>
      <c r="I59" s="15">
        <f>IF(OR(I58="",I4=""),"",IFERROR(I58/I4,""))</f>
        <v/>
      </c>
      <c r="J59" s="15">
        <f>IF(OR(J58="",J4=""),"",IFERROR(J58/J4,""))</f>
        <v/>
      </c>
      <c r="K59" s="15">
        <f>IF(OR(K58="",K4=""),"",IFERROR(K58/K4,""))</f>
        <v/>
      </c>
      <c r="L59" s="15">
        <f>IF(OR(L58="",L4=""),"",IFERROR(L58/L4,""))</f>
        <v/>
      </c>
      <c r="M59" s="15">
        <f>IF(OR(M58="",M4=""),"",IFERROR(M58/M4,""))</f>
        <v/>
      </c>
      <c r="N59" s="15">
        <f>IF(OR(N58="",N4=""),"",IFERROR(N58/N4,""))</f>
        <v/>
      </c>
      <c r="O59" s="14">
        <f>IF(OR(O58="",O4=""),"",IFERROR(O58/O4,""))</f>
        <v/>
      </c>
      <c r="P59" s="15">
        <f>IF(OR(P58="",P4=""),"",IFERROR(P58/P4,""))</f>
        <v/>
      </c>
      <c r="Q59" s="15">
        <f>IF(OR(Q58="",Q4=""),"",IFERROR(Q58/Q4,""))</f>
        <v/>
      </c>
      <c r="R59" s="15">
        <f>IF(OR(R58="",R4=""),"",IFERROR(R58/R4,""))</f>
        <v/>
      </c>
      <c r="S59" s="15">
        <f>IF(OR(S58="",S4=""),"",IFERROR(S58/S4,""))</f>
        <v/>
      </c>
      <c r="T59" s="15">
        <f>IF(OR(T58="",T4=""),"",IFERROR(T58/T4,""))</f>
        <v/>
      </c>
      <c r="U59" s="15">
        <f>IF(OR(U58="",U4=""),"",IFERROR(U58/U4,""))</f>
        <v/>
      </c>
      <c r="V59" s="15">
        <f>IF(OR(V58="",V4=""),"",IFERROR(V58/V4,""))</f>
        <v/>
      </c>
      <c r="W59" s="15">
        <f>IF(OR(W58="",W4=""),"",IFERROR(W58/W4,""))</f>
        <v/>
      </c>
      <c r="X59" s="15">
        <f>IF(OR(X58="",X4=""),"",IFERROR(X58/X4,""))</f>
        <v/>
      </c>
      <c r="Y59" s="25">
        <f>IFERROR(AVERAGE(V59,W59,X59),"")</f>
        <v/>
      </c>
      <c r="Z59" s="26">
        <f>Y59</f>
        <v/>
      </c>
      <c r="AA59" s="26">
        <f>Z59</f>
        <v/>
      </c>
      <c r="AB59" s="26">
        <f>AA59</f>
        <v/>
      </c>
      <c r="AC59" s="26">
        <f>AB59</f>
        <v/>
      </c>
    </row>
    <row r="60">
      <c r="A60" s="18" t="inlineStr">
        <is>
          <t>영업외수익</t>
        </is>
      </c>
      <c r="B60" s="10" t="n"/>
      <c r="C60" s="19" t="n">
        <v>771</v>
      </c>
      <c r="D60" s="20" t="n">
        <v>155</v>
      </c>
      <c r="E60" s="20" t="n">
        <v>784</v>
      </c>
      <c r="F60" s="20" t="n">
        <v>282</v>
      </c>
      <c r="G60" s="20" t="n">
        <v>1008</v>
      </c>
      <c r="H60" s="20" t="n">
        <v>100</v>
      </c>
      <c r="I60" s="20" t="n">
        <v>673</v>
      </c>
      <c r="J60" s="20" t="n">
        <v>398</v>
      </c>
      <c r="K60" s="20" t="n">
        <v>948</v>
      </c>
      <c r="L60" s="20" t="n">
        <v>301</v>
      </c>
      <c r="M60" s="20" t="n">
        <v>719</v>
      </c>
      <c r="N60" s="20" t="n">
        <v>457</v>
      </c>
      <c r="O60" s="19" t="n">
        <v>3147</v>
      </c>
      <c r="P60" s="20" t="n">
        <v>2292</v>
      </c>
      <c r="Q60" s="20" t="n">
        <v>2390</v>
      </c>
      <c r="R60" s="20" t="n">
        <v>2424</v>
      </c>
      <c r="S60" s="20" t="n">
        <v>2283</v>
      </c>
      <c r="T60" s="20" t="n">
        <v>1878</v>
      </c>
      <c r="U60" s="20" t="n">
        <v>1854</v>
      </c>
      <c r="V60" s="20" t="n">
        <v>2070</v>
      </c>
      <c r="W60" s="20" t="n">
        <v>2174</v>
      </c>
      <c r="X60" s="20" t="n">
        <v>2320</v>
      </c>
      <c r="Y60" s="19">
        <f>IF(OR(Y4="",Y61=""),"",IFERROR(Y4*Y61,""))</f>
        <v/>
      </c>
      <c r="Z60" s="20">
        <f>IF(OR(Z4="",Z61=""),"",IFERROR(Z4*Z61,""))</f>
        <v/>
      </c>
      <c r="AA60" s="20">
        <f>IF(OR(AA4="",AA61=""),"",IFERROR(AA4*AA61,""))</f>
        <v/>
      </c>
      <c r="AB60" s="20">
        <f>IF(OR(AB4="",AB61=""),"",IFERROR(AB4*AB61,""))</f>
        <v/>
      </c>
      <c r="AC60" s="20">
        <f>IF(OR(AC4="",AC61=""),"",IFERROR(AC4*AC61,""))</f>
        <v/>
      </c>
    </row>
    <row r="61">
      <c r="A61" s="13" t="inlineStr">
        <is>
          <t>% of Sales</t>
        </is>
      </c>
      <c r="B61" s="10" t="n"/>
      <c r="C61" s="14">
        <f>IF(OR(C60="",C4=""),"",IFERROR(C60/C4,""))</f>
        <v/>
      </c>
      <c r="D61" s="15">
        <f>IF(OR(D60="",D4=""),"",IFERROR(D60/D4,""))</f>
        <v/>
      </c>
      <c r="E61" s="15">
        <f>IF(OR(E60="",E4=""),"",IFERROR(E60/E4,""))</f>
        <v/>
      </c>
      <c r="F61" s="15">
        <f>IF(OR(F60="",F4=""),"",IFERROR(F60/F4,""))</f>
        <v/>
      </c>
      <c r="G61" s="15">
        <f>IF(OR(G60="",G4=""),"",IFERROR(G60/G4,""))</f>
        <v/>
      </c>
      <c r="H61" s="15">
        <f>IF(OR(H60="",H4=""),"",IFERROR(H60/H4,""))</f>
        <v/>
      </c>
      <c r="I61" s="15">
        <f>IF(OR(I60="",I4=""),"",IFERROR(I60/I4,""))</f>
        <v/>
      </c>
      <c r="J61" s="15">
        <f>IF(OR(J60="",J4=""),"",IFERROR(J60/J4,""))</f>
        <v/>
      </c>
      <c r="K61" s="15">
        <f>IF(OR(K60="",K4=""),"",IFERROR(K60/K4,""))</f>
        <v/>
      </c>
      <c r="L61" s="15">
        <f>IF(OR(L60="",L4=""),"",IFERROR(L60/L4,""))</f>
        <v/>
      </c>
      <c r="M61" s="15">
        <f>IF(OR(M60="",M4=""),"",IFERROR(M60/M4,""))</f>
        <v/>
      </c>
      <c r="N61" s="15">
        <f>IF(OR(N60="",N4=""),"",IFERROR(N60/N4,""))</f>
        <v/>
      </c>
      <c r="O61" s="14">
        <f>IF(OR(O60="",O4=""),"",IFERROR(O60/O4,""))</f>
        <v/>
      </c>
      <c r="P61" s="15">
        <f>IF(OR(P60="",P4=""),"",IFERROR(P60/P4,""))</f>
        <v/>
      </c>
      <c r="Q61" s="15">
        <f>IF(OR(Q60="",Q4=""),"",IFERROR(Q60/Q4,""))</f>
        <v/>
      </c>
      <c r="R61" s="15">
        <f>IF(OR(R60="",R4=""),"",IFERROR(R60/R4,""))</f>
        <v/>
      </c>
      <c r="S61" s="15">
        <f>IF(OR(S60="",S4=""),"",IFERROR(S60/S4,""))</f>
        <v/>
      </c>
      <c r="T61" s="15">
        <f>IF(OR(T60="",T4=""),"",IFERROR(T60/T4,""))</f>
        <v/>
      </c>
      <c r="U61" s="15">
        <f>IF(OR(U60="",U4=""),"",IFERROR(U60/U4,""))</f>
        <v/>
      </c>
      <c r="V61" s="15">
        <f>IF(OR(V60="",V4=""),"",IFERROR(V60/V4,""))</f>
        <v/>
      </c>
      <c r="W61" s="15">
        <f>IF(OR(W60="",W4=""),"",IFERROR(W60/W4,""))</f>
        <v/>
      </c>
      <c r="X61" s="15">
        <f>IF(OR(X60="",X4=""),"",IFERROR(X60/X4,""))</f>
        <v/>
      </c>
      <c r="Y61" s="25">
        <f>IFERROR(AVERAGE(V61,W61,X61),"")</f>
        <v/>
      </c>
      <c r="Z61" s="26">
        <f>Y61</f>
        <v/>
      </c>
      <c r="AA61" s="26">
        <f>Z61</f>
        <v/>
      </c>
      <c r="AB61" s="26">
        <f>AA61</f>
        <v/>
      </c>
      <c r="AC61" s="26">
        <f>AB61</f>
        <v/>
      </c>
    </row>
    <row r="62">
      <c r="A62" s="18" t="inlineStr">
        <is>
          <t>영업외비용</t>
        </is>
      </c>
      <c r="B62" s="10" t="n"/>
      <c r="C62" s="19" t="n">
        <v>398</v>
      </c>
      <c r="D62" s="20" t="n">
        <v>391</v>
      </c>
      <c r="E62" s="20" t="n">
        <v>485</v>
      </c>
      <c r="F62" s="20" t="n">
        <v>385</v>
      </c>
      <c r="G62" s="20" t="n">
        <v>379</v>
      </c>
      <c r="H62" s="20" t="n">
        <v>535</v>
      </c>
      <c r="I62" s="20" t="n">
        <v>310</v>
      </c>
      <c r="J62" s="20" t="n">
        <v>363</v>
      </c>
      <c r="K62" s="20" t="n">
        <v>373</v>
      </c>
      <c r="L62" s="20" t="n">
        <v>444</v>
      </c>
      <c r="M62" s="20" t="n">
        <v>375</v>
      </c>
      <c r="N62" s="20" t="n">
        <v>935</v>
      </c>
      <c r="O62" s="19" t="n">
        <v>1856</v>
      </c>
      <c r="P62" s="20" t="n">
        <v>1855</v>
      </c>
      <c r="Q62" s="20" t="n">
        <v>1665</v>
      </c>
      <c r="R62" s="20" t="n">
        <v>1950</v>
      </c>
      <c r="S62" s="20" t="n">
        <v>1640</v>
      </c>
      <c r="T62" s="20" t="n">
        <v>2184</v>
      </c>
      <c r="U62" s="20" t="n">
        <v>2002</v>
      </c>
      <c r="V62" s="20" t="n">
        <v>1987</v>
      </c>
      <c r="W62" s="20" t="n">
        <v>1784</v>
      </c>
      <c r="X62" s="20" t="n">
        <v>1490</v>
      </c>
      <c r="Y62" s="19">
        <f>IF(OR(Y4="",Y63=""),"",IFERROR(Y4*Y63,""))</f>
        <v/>
      </c>
      <c r="Z62" s="20">
        <f>IF(OR(Z4="",Z63=""),"",IFERROR(Z4*Z63,""))</f>
        <v/>
      </c>
      <c r="AA62" s="20">
        <f>IF(OR(AA4="",AA63=""),"",IFERROR(AA4*AA63,""))</f>
        <v/>
      </c>
      <c r="AB62" s="20">
        <f>IF(OR(AB4="",AB63=""),"",IFERROR(AB4*AB63,""))</f>
        <v/>
      </c>
      <c r="AC62" s="20">
        <f>IF(OR(AC4="",AC63=""),"",IFERROR(AC4*AC63,""))</f>
        <v/>
      </c>
    </row>
    <row r="63">
      <c r="A63" s="13" t="inlineStr">
        <is>
          <t>% of Sales</t>
        </is>
      </c>
      <c r="B63" s="10" t="n"/>
      <c r="C63" s="14">
        <f>IF(OR(C62="",C4=""),"",IFERROR(C62/C4,""))</f>
        <v/>
      </c>
      <c r="D63" s="15">
        <f>IF(OR(D62="",D4=""),"",IFERROR(D62/D4,""))</f>
        <v/>
      </c>
      <c r="E63" s="15">
        <f>IF(OR(E62="",E4=""),"",IFERROR(E62/E4,""))</f>
        <v/>
      </c>
      <c r="F63" s="15">
        <f>IF(OR(F62="",F4=""),"",IFERROR(F62/F4,""))</f>
        <v/>
      </c>
      <c r="G63" s="15">
        <f>IF(OR(G62="",G4=""),"",IFERROR(G62/G4,""))</f>
        <v/>
      </c>
      <c r="H63" s="15">
        <f>IF(OR(H62="",H4=""),"",IFERROR(H62/H4,""))</f>
        <v/>
      </c>
      <c r="I63" s="15">
        <f>IF(OR(I62="",I4=""),"",IFERROR(I62/I4,""))</f>
        <v/>
      </c>
      <c r="J63" s="15">
        <f>IF(OR(J62="",J4=""),"",IFERROR(J62/J4,""))</f>
        <v/>
      </c>
      <c r="K63" s="15">
        <f>IF(OR(K62="",K4=""),"",IFERROR(K62/K4,""))</f>
        <v/>
      </c>
      <c r="L63" s="15">
        <f>IF(OR(L62="",L4=""),"",IFERROR(L62/L4,""))</f>
        <v/>
      </c>
      <c r="M63" s="15">
        <f>IF(OR(M62="",M4=""),"",IFERROR(M62/M4,""))</f>
        <v/>
      </c>
      <c r="N63" s="15">
        <f>IF(OR(N62="",N4=""),"",IFERROR(N62/N4,""))</f>
        <v/>
      </c>
      <c r="O63" s="14">
        <f>IF(OR(O62="",O4=""),"",IFERROR(O62/O4,""))</f>
        <v/>
      </c>
      <c r="P63" s="15">
        <f>IF(OR(P62="",P4=""),"",IFERROR(P62/P4,""))</f>
        <v/>
      </c>
      <c r="Q63" s="15">
        <f>IF(OR(Q62="",Q4=""),"",IFERROR(Q62/Q4,""))</f>
        <v/>
      </c>
      <c r="R63" s="15">
        <f>IF(OR(R62="",R4=""),"",IFERROR(R62/R4,""))</f>
        <v/>
      </c>
      <c r="S63" s="15">
        <f>IF(OR(S62="",S4=""),"",IFERROR(S62/S4,""))</f>
        <v/>
      </c>
      <c r="T63" s="15">
        <f>IF(OR(T62="",T4=""),"",IFERROR(T62/T4,""))</f>
        <v/>
      </c>
      <c r="U63" s="15">
        <f>IF(OR(U62="",U4=""),"",IFERROR(U62/U4,""))</f>
        <v/>
      </c>
      <c r="V63" s="15">
        <f>IF(OR(V62="",V4=""),"",IFERROR(V62/V4,""))</f>
        <v/>
      </c>
      <c r="W63" s="15">
        <f>IF(OR(W62="",W4=""),"",IFERROR(W62/W4,""))</f>
        <v/>
      </c>
      <c r="X63" s="15">
        <f>IF(OR(X62="",X4=""),"",IFERROR(X62/X4,""))</f>
        <v/>
      </c>
      <c r="Y63" s="25">
        <f>IFERROR(AVERAGE(V63,W63,X63),"")</f>
        <v/>
      </c>
      <c r="Z63" s="26">
        <f>Y63</f>
        <v/>
      </c>
      <c r="AA63" s="26">
        <f>Z63</f>
        <v/>
      </c>
      <c r="AB63" s="26">
        <f>AA63</f>
        <v/>
      </c>
      <c r="AC63" s="26">
        <f>AB63</f>
        <v/>
      </c>
    </row>
    <row r="64">
      <c r="A64" s="9" t="inlineStr">
        <is>
          <t>법인세비용차감전순이익(손실)</t>
        </is>
      </c>
      <c r="B64" s="10" t="n"/>
      <c r="C64" s="11" t="n">
        <v>5912</v>
      </c>
      <c r="D64" s="12" t="n">
        <v>-2909</v>
      </c>
      <c r="E64" s="12" t="n">
        <v>1356</v>
      </c>
      <c r="F64" s="12" t="n">
        <v>1605</v>
      </c>
      <c r="G64" s="12" t="n">
        <v>8631</v>
      </c>
      <c r="H64" s="12" t="n">
        <v>1359</v>
      </c>
      <c r="I64" s="12" t="n">
        <v>3049</v>
      </c>
      <c r="J64" s="12" t="n">
        <v>2432</v>
      </c>
      <c r="K64" s="12" t="n">
        <v>7940</v>
      </c>
      <c r="L64" s="12" t="n">
        <v>947</v>
      </c>
      <c r="M64" s="12" t="n">
        <v>2677</v>
      </c>
      <c r="N64" s="12" t="n">
        <v>2247</v>
      </c>
      <c r="O64" s="11" t="n">
        <v>4474</v>
      </c>
      <c r="P64" s="12" t="n">
        <v>8255</v>
      </c>
      <c r="Q64" s="12" t="n">
        <v>7754</v>
      </c>
      <c r="R64" s="12" t="n">
        <v>5905</v>
      </c>
      <c r="S64" s="12" t="n">
        <v>10801</v>
      </c>
      <c r="T64" s="12" t="n">
        <v>11008</v>
      </c>
      <c r="U64" s="12" t="n">
        <v>11854</v>
      </c>
      <c r="V64" s="12" t="n">
        <v>10283</v>
      </c>
      <c r="W64" s="12" t="n">
        <v>12951</v>
      </c>
      <c r="X64" s="12" t="n">
        <v>14368</v>
      </c>
      <c r="Y64" s="11">
        <f>IF(OR(Y40=""),"",IFERROR(Y40+N(Y56)-N(Y58)+N(Y60)-N(Y62),""))</f>
        <v/>
      </c>
      <c r="Z64" s="12">
        <f>IF(OR(Z40=""),"",IFERROR(Z40+N(Z56)-N(Z58)+N(Z60)-N(Z62),""))</f>
        <v/>
      </c>
      <c r="AA64" s="12">
        <f>IF(OR(AA40=""),"",IFERROR(AA40+N(AA56)-N(AA58)+N(AA60)-N(AA62),""))</f>
        <v/>
      </c>
      <c r="AB64" s="12">
        <f>IF(OR(AB40=""),"",IFERROR(AB40+N(AB56)-N(AB58)+N(AB60)-N(AB62),""))</f>
        <v/>
      </c>
      <c r="AC64" s="12">
        <f>IF(OR(AC40=""),"",IFERROR(AC40+N(AC56)-N(AC58)+N(AC60)-N(AC62),""))</f>
        <v/>
      </c>
    </row>
    <row r="65">
      <c r="A65" s="13" t="inlineStr">
        <is>
          <t>YoY</t>
        </is>
      </c>
      <c r="B65" s="10" t="n"/>
      <c r="C65" s="14" t="n"/>
      <c r="D65" s="15" t="n"/>
      <c r="E65" s="15" t="n"/>
      <c r="F65" s="15" t="n"/>
      <c r="G65" s="15">
        <f>IF(OR(G64="",C64=""),"",IF(C64&lt;=0,"",IFERROR(G64/C64-1,"")))</f>
        <v/>
      </c>
      <c r="H65" s="15">
        <f>IF(OR(H64="",D64=""),"",IF(D64&lt;=0,"",IFERROR(H64/D64-1,"")))</f>
        <v/>
      </c>
      <c r="I65" s="15">
        <f>IF(OR(I64="",E64=""),"",IF(E64&lt;=0,"",IFERROR(I64/E64-1,"")))</f>
        <v/>
      </c>
      <c r="J65" s="15">
        <f>IF(OR(J64="",F64=""),"",IF(F64&lt;=0,"",IFERROR(J64/F64-1,"")))</f>
        <v/>
      </c>
      <c r="K65" s="15">
        <f>IF(OR(K64="",G64=""),"",IF(G64&lt;=0,"",IFERROR(K64/G64-1,"")))</f>
        <v/>
      </c>
      <c r="L65" s="15">
        <f>IF(OR(L64="",H64=""),"",IF(H64&lt;=0,"",IFERROR(L64/H64-1,"")))</f>
        <v/>
      </c>
      <c r="M65" s="15">
        <f>IF(OR(M64="",I64=""),"",IF(I64&lt;=0,"",IFERROR(M64/I64-1,"")))</f>
        <v/>
      </c>
      <c r="N65" s="15">
        <f>IF(OR(N64="",J64=""),"",IF(J64&lt;=0,"",IFERROR(N64/J64-1,"")))</f>
        <v/>
      </c>
      <c r="O65" s="14" t="n"/>
      <c r="P65" s="15">
        <f>IF(OR(P64="",O64=""),"",IF(O64&lt;=0,"",IFERROR(P64/O64-1,"")))</f>
        <v/>
      </c>
      <c r="Q65" s="15">
        <f>IF(OR(Q64="",P64=""),"",IF(P64&lt;=0,"",IFERROR(Q64/P64-1,"")))</f>
        <v/>
      </c>
      <c r="R65" s="15">
        <f>IF(OR(R64="",Q64=""),"",IF(Q64&lt;=0,"",IFERROR(R64/Q64-1,"")))</f>
        <v/>
      </c>
      <c r="S65" s="15">
        <f>IF(OR(S64="",R64=""),"",IF(R64&lt;=0,"",IFERROR(S64/R64-1,"")))</f>
        <v/>
      </c>
      <c r="T65" s="15">
        <f>IF(OR(T64="",S64=""),"",IF(S64&lt;=0,"",IFERROR(T64/S64-1,"")))</f>
        <v/>
      </c>
      <c r="U65" s="15">
        <f>IF(OR(U64="",T64=""),"",IF(T64&lt;=0,"",IFERROR(U64/T64-1,"")))</f>
        <v/>
      </c>
      <c r="V65" s="15">
        <f>IF(OR(V64="",U64=""),"",IF(U64&lt;=0,"",IFERROR(V64/U64-1,"")))</f>
        <v/>
      </c>
      <c r="W65" s="15">
        <f>IF(OR(W64="",V64=""),"",IF(V64&lt;=0,"",IFERROR(W64/V64-1,"")))</f>
        <v/>
      </c>
      <c r="X65" s="15">
        <f>IF(OR(X64="",W64=""),"",IF(W64&lt;=0,"",IFERROR(X64/W64-1,"")))</f>
        <v/>
      </c>
      <c r="Y65" s="14">
        <f>IF(OR(Y64="",X64=""),"",IF(X64&lt;=0,"",IFERROR(Y64/X64-1,"")))</f>
        <v/>
      </c>
      <c r="Z65" s="15">
        <f>IF(OR(Z64="",Y64=""),"",IF(Y64&lt;=0,"",IFERROR(Z64/Y64-1,"")))</f>
        <v/>
      </c>
      <c r="AA65" s="15">
        <f>IF(OR(AA64="",Z64=""),"",IF(Z64&lt;=0,"",IFERROR(AA64/Z64-1,"")))</f>
        <v/>
      </c>
      <c r="AB65" s="15">
        <f>IF(OR(AB64="",AA64=""),"",IF(AA64&lt;=0,"",IFERROR(AB64/AA64-1,"")))</f>
        <v/>
      </c>
      <c r="AC65" s="15">
        <f>IF(OR(AC64="",AB64=""),"",IF(AB64&lt;=0,"",IFERROR(AC64/AB64-1,"")))</f>
        <v/>
      </c>
    </row>
    <row r="66">
      <c r="A66" s="18" t="inlineStr">
        <is>
          <t>법인세비용(수익)</t>
        </is>
      </c>
      <c r="B66" s="10" t="n"/>
      <c r="C66" s="19" t="n">
        <v>1937</v>
      </c>
      <c r="D66" s="20" t="n">
        <v>-161</v>
      </c>
      <c r="E66" s="20" t="n">
        <v>622</v>
      </c>
      <c r="F66" s="20" t="n">
        <v>695</v>
      </c>
      <c r="G66" s="20" t="n">
        <v>2612</v>
      </c>
      <c r="H66" s="20" t="n">
        <v>874</v>
      </c>
      <c r="I66" s="20" t="n">
        <v>1009</v>
      </c>
      <c r="J66" s="20" t="n">
        <v>945</v>
      </c>
      <c r="K66" s="20" t="n">
        <v>2737</v>
      </c>
      <c r="L66" s="20" t="n">
        <v>1300</v>
      </c>
      <c r="M66" s="20" t="n">
        <v>1145</v>
      </c>
      <c r="N66" s="20" t="n">
        <v>-3259</v>
      </c>
      <c r="O66" s="19" t="n">
        <v>1477</v>
      </c>
      <c r="P66" s="20" t="n">
        <v>2869</v>
      </c>
      <c r="Q66" s="20" t="n">
        <v>2289</v>
      </c>
      <c r="R66" s="20" t="n">
        <v>2083</v>
      </c>
      <c r="S66" s="20" t="n">
        <v>3490</v>
      </c>
      <c r="T66" s="20" t="n">
        <v>3990</v>
      </c>
      <c r="U66" s="20" t="n">
        <v>4640</v>
      </c>
      <c r="V66" s="20" t="n">
        <v>3915</v>
      </c>
      <c r="W66" s="20" t="n">
        <v>4803</v>
      </c>
      <c r="X66" s="20" t="n">
        <v>5991</v>
      </c>
      <c r="Y66" s="19">
        <f>IF(OR(Y64="",Y67=""),"",IFERROR(MAX(Y64,0)*Y67,""))</f>
        <v/>
      </c>
      <c r="Z66" s="20">
        <f>IF(OR(Z64="",Z67=""),"",IFERROR(MAX(Z64,0)*Z67,""))</f>
        <v/>
      </c>
      <c r="AA66" s="20">
        <f>IF(OR(AA64="",AA67=""),"",IFERROR(MAX(AA64,0)*AA67,""))</f>
        <v/>
      </c>
      <c r="AB66" s="20">
        <f>IF(OR(AB64="",AB67=""),"",IFERROR(MAX(AB64,0)*AB67,""))</f>
        <v/>
      </c>
      <c r="AC66" s="20">
        <f>IF(OR(AC64="",AC67=""),"",IFERROR(MAX(AC64,0)*AC67,""))</f>
        <v/>
      </c>
    </row>
    <row r="67">
      <c r="A67" s="13" t="inlineStr">
        <is>
          <t>법인세율</t>
        </is>
      </c>
      <c r="B67" s="10" t="inlineStr">
        <is>
          <t>MW 기본 30%</t>
        </is>
      </c>
      <c r="C67" s="14">
        <f>IF(OR(C66="",C64=""),"",IFERROR(C66/C64,""))</f>
        <v/>
      </c>
      <c r="D67" s="15">
        <f>IF(OR(D66="",D64=""),"",IFERROR(D66/D64,""))</f>
        <v/>
      </c>
      <c r="E67" s="15">
        <f>IF(OR(E66="",E64=""),"",IFERROR(E66/E64,""))</f>
        <v/>
      </c>
      <c r="F67" s="15">
        <f>IF(OR(F66="",F64=""),"",IFERROR(F66/F64,""))</f>
        <v/>
      </c>
      <c r="G67" s="15">
        <f>IF(OR(G66="",G64=""),"",IFERROR(G66/G64,""))</f>
        <v/>
      </c>
      <c r="H67" s="15">
        <f>IF(OR(H66="",H64=""),"",IFERROR(H66/H64,""))</f>
        <v/>
      </c>
      <c r="I67" s="15">
        <f>IF(OR(I66="",I64=""),"",IFERROR(I66/I64,""))</f>
        <v/>
      </c>
      <c r="J67" s="15">
        <f>IF(OR(J66="",J64=""),"",IFERROR(J66/J64,""))</f>
        <v/>
      </c>
      <c r="K67" s="15">
        <f>IF(OR(K66="",K64=""),"",IFERROR(K66/K64,""))</f>
        <v/>
      </c>
      <c r="L67" s="15">
        <f>IF(OR(L66="",L64=""),"",IFERROR(L66/L64,""))</f>
        <v/>
      </c>
      <c r="M67" s="15">
        <f>IF(OR(M66="",M64=""),"",IFERROR(M66/M64,""))</f>
        <v/>
      </c>
      <c r="N67" s="15">
        <f>IF(OR(N66="",N64=""),"",IFERROR(N66/N64,""))</f>
        <v/>
      </c>
      <c r="O67" s="14">
        <f>IF(OR(O66="",O64=""),"",IFERROR(O66/O64,""))</f>
        <v/>
      </c>
      <c r="P67" s="15">
        <f>IF(OR(P66="",P64=""),"",IFERROR(P66/P64,""))</f>
        <v/>
      </c>
      <c r="Q67" s="15">
        <f>IF(OR(Q66="",Q64=""),"",IFERROR(Q66/Q64,""))</f>
        <v/>
      </c>
      <c r="R67" s="15">
        <f>IF(OR(R66="",R64=""),"",IFERROR(R66/R64,""))</f>
        <v/>
      </c>
      <c r="S67" s="15">
        <f>IF(OR(S66="",S64=""),"",IFERROR(S66/S64,""))</f>
        <v/>
      </c>
      <c r="T67" s="15">
        <f>IF(OR(T66="",T64=""),"",IFERROR(T66/T64,""))</f>
        <v/>
      </c>
      <c r="U67" s="15">
        <f>IF(OR(U66="",U64=""),"",IFERROR(U66/U64,""))</f>
        <v/>
      </c>
      <c r="V67" s="15">
        <f>IF(OR(V66="",V64=""),"",IFERROR(V66/V64,""))</f>
        <v/>
      </c>
      <c r="W67" s="15">
        <f>IF(OR(W66="",W64=""),"",IFERROR(W66/W64,""))</f>
        <v/>
      </c>
      <c r="X67" s="15">
        <f>IF(OR(X66="",X64=""),"",IFERROR(X66/X64,""))</f>
        <v/>
      </c>
      <c r="Y67" s="25" t="n">
        <v>0.3</v>
      </c>
      <c r="Z67" s="26" t="n">
        <v>0.3</v>
      </c>
      <c r="AA67" s="26" t="n">
        <v>0.3</v>
      </c>
      <c r="AB67" s="26" t="n">
        <v>0.3</v>
      </c>
      <c r="AC67" s="26" t="n">
        <v>0.3</v>
      </c>
    </row>
    <row r="68">
      <c r="A68" s="9" t="inlineStr">
        <is>
          <t>당기순이익(손실)</t>
        </is>
      </c>
      <c r="B68" s="10" t="n"/>
      <c r="C68" s="11" t="n">
        <v>3975</v>
      </c>
      <c r="D68" s="12" t="n">
        <v>-2748</v>
      </c>
      <c r="E68" s="12" t="n">
        <v>733</v>
      </c>
      <c r="F68" s="12" t="n">
        <v>910</v>
      </c>
      <c r="G68" s="12" t="n">
        <v>6020</v>
      </c>
      <c r="H68" s="12" t="n">
        <v>485</v>
      </c>
      <c r="I68" s="12" t="n">
        <v>2040</v>
      </c>
      <c r="J68" s="12" t="n">
        <v>1487</v>
      </c>
      <c r="K68" s="12" t="n">
        <v>5203</v>
      </c>
      <c r="L68" s="12" t="n">
        <v>-353</v>
      </c>
      <c r="M68" s="12" t="n">
        <v>1532</v>
      </c>
      <c r="N68" s="12" t="n">
        <v>5506</v>
      </c>
      <c r="O68" s="11" t="n">
        <v>2997</v>
      </c>
      <c r="P68" s="12" t="n">
        <v>5385</v>
      </c>
      <c r="Q68" s="12" t="n">
        <v>5464</v>
      </c>
      <c r="R68" s="12" t="n">
        <v>3821</v>
      </c>
      <c r="S68" s="12" t="n">
        <v>7311</v>
      </c>
      <c r="T68" s="12" t="n">
        <v>7018</v>
      </c>
      <c r="U68" s="12" t="n">
        <v>7214</v>
      </c>
      <c r="V68" s="12" t="n">
        <v>6368</v>
      </c>
      <c r="W68" s="12" t="n">
        <v>8148</v>
      </c>
      <c r="X68" s="12" t="n">
        <v>8377</v>
      </c>
      <c r="Y68" s="11">
        <f>IF(OR(Y64=""),"",IFERROR(Y64-Y66,""))</f>
        <v/>
      </c>
      <c r="Z68" s="12">
        <f>IF(OR(Z64=""),"",IFERROR(Z64-Z66,""))</f>
        <v/>
      </c>
      <c r="AA68" s="12">
        <f>IF(OR(AA64=""),"",IFERROR(AA64-AA66,""))</f>
        <v/>
      </c>
      <c r="AB68" s="12">
        <f>IF(OR(AB64=""),"",IFERROR(AB64-AB66,""))</f>
        <v/>
      </c>
      <c r="AC68" s="12">
        <f>IF(OR(AC64=""),"",IFERROR(AC64-AC66,""))</f>
        <v/>
      </c>
    </row>
    <row r="69">
      <c r="A69" s="13" t="inlineStr">
        <is>
          <t>YoY</t>
        </is>
      </c>
      <c r="B69" s="10" t="n"/>
      <c r="C69" s="14" t="n"/>
      <c r="D69" s="15" t="n"/>
      <c r="E69" s="15" t="n"/>
      <c r="F69" s="15" t="n"/>
      <c r="G69" s="15">
        <f>IF(OR(G68="",C68=""),"",IF(C68&lt;=0,"",IFERROR(G68/C68-1,"")))</f>
        <v/>
      </c>
      <c r="H69" s="15">
        <f>IF(OR(H68="",D68=""),"",IF(D68&lt;=0,"",IFERROR(H68/D68-1,"")))</f>
        <v/>
      </c>
      <c r="I69" s="15">
        <f>IF(OR(I68="",E68=""),"",IF(E68&lt;=0,"",IFERROR(I68/E68-1,"")))</f>
        <v/>
      </c>
      <c r="J69" s="15">
        <f>IF(OR(J68="",F68=""),"",IF(F68&lt;=0,"",IFERROR(J68/F68-1,"")))</f>
        <v/>
      </c>
      <c r="K69" s="15">
        <f>IF(OR(K68="",G68=""),"",IF(G68&lt;=0,"",IFERROR(K68/G68-1,"")))</f>
        <v/>
      </c>
      <c r="L69" s="15">
        <f>IF(OR(L68="",H68=""),"",IF(H68&lt;=0,"",IFERROR(L68/H68-1,"")))</f>
        <v/>
      </c>
      <c r="M69" s="15">
        <f>IF(OR(M68="",I68=""),"",IF(I68&lt;=0,"",IFERROR(M68/I68-1,"")))</f>
        <v/>
      </c>
      <c r="N69" s="15">
        <f>IF(OR(N68="",J68=""),"",IF(J68&lt;=0,"",IFERROR(N68/J68-1,"")))</f>
        <v/>
      </c>
      <c r="O69" s="14" t="n"/>
      <c r="P69" s="15">
        <f>IF(OR(P68="",O68=""),"",IF(O68&lt;=0,"",IFERROR(P68/O68-1,"")))</f>
        <v/>
      </c>
      <c r="Q69" s="15">
        <f>IF(OR(Q68="",P68=""),"",IF(P68&lt;=0,"",IFERROR(Q68/P68-1,"")))</f>
        <v/>
      </c>
      <c r="R69" s="15">
        <f>IF(OR(R68="",Q68=""),"",IF(Q68&lt;=0,"",IFERROR(R68/Q68-1,"")))</f>
        <v/>
      </c>
      <c r="S69" s="15">
        <f>IF(OR(S68="",R68=""),"",IF(R68&lt;=0,"",IFERROR(S68/R68-1,"")))</f>
        <v/>
      </c>
      <c r="T69" s="15">
        <f>IF(OR(T68="",S68=""),"",IF(S68&lt;=0,"",IFERROR(T68/S68-1,"")))</f>
        <v/>
      </c>
      <c r="U69" s="15">
        <f>IF(OR(U68="",T68=""),"",IF(T68&lt;=0,"",IFERROR(U68/T68-1,"")))</f>
        <v/>
      </c>
      <c r="V69" s="15">
        <f>IF(OR(V68="",U68=""),"",IF(U68&lt;=0,"",IFERROR(V68/U68-1,"")))</f>
        <v/>
      </c>
      <c r="W69" s="15">
        <f>IF(OR(W68="",V68=""),"",IF(V68&lt;=0,"",IFERROR(W68/V68-1,"")))</f>
        <v/>
      </c>
      <c r="X69" s="15">
        <f>IF(OR(X68="",W68=""),"",IF(W68&lt;=0,"",IFERROR(X68/W68-1,"")))</f>
        <v/>
      </c>
      <c r="Y69" s="14">
        <f>IF(OR(Y68="",X68=""),"",IF(X68&lt;=0,"",IFERROR(Y68/X68-1,"")))</f>
        <v/>
      </c>
      <c r="Z69" s="15">
        <f>IF(OR(Z68="",Y68=""),"",IF(Y68&lt;=0,"",IFERROR(Z68/Y68-1,"")))</f>
        <v/>
      </c>
      <c r="AA69" s="15">
        <f>IF(OR(AA68="",Z68=""),"",IF(Z68&lt;=0,"",IFERROR(AA68/Z68-1,"")))</f>
        <v/>
      </c>
      <c r="AB69" s="15">
        <f>IF(OR(AB68="",AA68=""),"",IF(AA68&lt;=0,"",IFERROR(AB68/AA68-1,"")))</f>
        <v/>
      </c>
      <c r="AC69" s="15">
        <f>IF(OR(AC68="",AB68=""),"",IF(AB68&lt;=0,"",IFERROR(AC68/AB68-1,"")))</f>
        <v/>
      </c>
    </row>
    <row r="70">
      <c r="A70" s="9" t="inlineStr">
        <is>
          <t>지배주주 순이익</t>
        </is>
      </c>
      <c r="B70" s="10" t="n"/>
      <c r="C70" s="11" t="n">
        <v>3967</v>
      </c>
      <c r="D70" s="12" t="n">
        <v>-2751</v>
      </c>
      <c r="E70" s="12" t="n">
        <v>730</v>
      </c>
      <c r="F70" s="12" t="n">
        <v>908</v>
      </c>
      <c r="G70" s="12" t="n">
        <v>6001</v>
      </c>
      <c r="H70" s="12" t="n">
        <v>493</v>
      </c>
      <c r="I70" s="12" t="n">
        <v>2000</v>
      </c>
      <c r="J70" s="12" t="n">
        <v>1500</v>
      </c>
      <c r="K70" s="12" t="n">
        <v>5216</v>
      </c>
      <c r="L70" s="12" t="n">
        <v>-364</v>
      </c>
      <c r="M70" s="12" t="n">
        <v>1480</v>
      </c>
      <c r="N70" s="12" t="n">
        <v>5507</v>
      </c>
      <c r="O70" s="11" t="n">
        <v>3015</v>
      </c>
      <c r="P70" s="12" t="n">
        <v>5403</v>
      </c>
      <c r="Q70" s="12" t="n">
        <v>5485</v>
      </c>
      <c r="R70" s="12" t="n">
        <v>3764</v>
      </c>
      <c r="S70" s="12" t="n">
        <v>7050</v>
      </c>
      <c r="T70" s="12" t="n">
        <v>7010</v>
      </c>
      <c r="U70" s="12" t="n">
        <v>7239</v>
      </c>
      <c r="V70" s="12" t="n">
        <v>6355</v>
      </c>
      <c r="W70" s="12" t="n">
        <v>8132</v>
      </c>
      <c r="X70" s="12" t="n">
        <v>8352</v>
      </c>
      <c r="Y70" s="11">
        <f>IF(OR(Y68="",Y71=""),"",IFERROR(Y68*Y71,""))</f>
        <v/>
      </c>
      <c r="Z70" s="12">
        <f>IF(OR(Z68="",Z71=""),"",IFERROR(Z68*Z71,""))</f>
        <v/>
      </c>
      <c r="AA70" s="12">
        <f>IF(OR(AA68="",AA71=""),"",IFERROR(AA68*AA71,""))</f>
        <v/>
      </c>
      <c r="AB70" s="12">
        <f>IF(OR(AB68="",AB71=""),"",IFERROR(AB68*AB71,""))</f>
        <v/>
      </c>
      <c r="AC70" s="12">
        <f>IF(OR(AC68="",AC71=""),"",IFERROR(AC68*AC71,""))</f>
        <v/>
      </c>
    </row>
    <row r="71">
      <c r="A71" s="13" t="inlineStr">
        <is>
          <t>지배주주 순이익률</t>
        </is>
      </c>
      <c r="B71" s="10" t="inlineStr">
        <is>
          <t>MW 기본 100%</t>
        </is>
      </c>
      <c r="C71" s="14">
        <f>IF(OR(C70="",C68=""),"",IFERROR(C70/C68,""))</f>
        <v/>
      </c>
      <c r="D71" s="15">
        <f>IF(OR(D70="",D68=""),"",IFERROR(D70/D68,""))</f>
        <v/>
      </c>
      <c r="E71" s="15">
        <f>IF(OR(E70="",E68=""),"",IFERROR(E70/E68,""))</f>
        <v/>
      </c>
      <c r="F71" s="15">
        <f>IF(OR(F70="",F68=""),"",IFERROR(F70/F68,""))</f>
        <v/>
      </c>
      <c r="G71" s="15">
        <f>IF(OR(G70="",G68=""),"",IFERROR(G70/G68,""))</f>
        <v/>
      </c>
      <c r="H71" s="15">
        <f>IF(OR(H70="",H68=""),"",IFERROR(H70/H68,""))</f>
        <v/>
      </c>
      <c r="I71" s="15">
        <f>IF(OR(I70="",I68=""),"",IFERROR(I70/I68,""))</f>
        <v/>
      </c>
      <c r="J71" s="15">
        <f>IF(OR(J70="",J68=""),"",IFERROR(J70/J68,""))</f>
        <v/>
      </c>
      <c r="K71" s="15">
        <f>IF(OR(K70="",K68=""),"",IFERROR(K70/K68,""))</f>
        <v/>
      </c>
      <c r="L71" s="15">
        <f>IF(OR(L70="",L68=""),"",IFERROR(L70/L68,""))</f>
        <v/>
      </c>
      <c r="M71" s="15">
        <f>IF(OR(M70="",M68=""),"",IFERROR(M70/M68,""))</f>
        <v/>
      </c>
      <c r="N71" s="15">
        <f>IF(OR(N70="",N68=""),"",IFERROR(N70/N68,""))</f>
        <v/>
      </c>
      <c r="O71" s="14">
        <f>IF(OR(O70="",O68=""),"",IFERROR(O70/O68,""))</f>
        <v/>
      </c>
      <c r="P71" s="15">
        <f>IF(OR(P70="",P68=""),"",IFERROR(P70/P68,""))</f>
        <v/>
      </c>
      <c r="Q71" s="15">
        <f>IF(OR(Q70="",Q68=""),"",IFERROR(Q70/Q68,""))</f>
        <v/>
      </c>
      <c r="R71" s="15">
        <f>IF(OR(R70="",R68=""),"",IFERROR(R70/R68,""))</f>
        <v/>
      </c>
      <c r="S71" s="15">
        <f>IF(OR(S70="",S68=""),"",IFERROR(S70/S68,""))</f>
        <v/>
      </c>
      <c r="T71" s="15">
        <f>IF(OR(T70="",T68=""),"",IFERROR(T70/T68,""))</f>
        <v/>
      </c>
      <c r="U71" s="15">
        <f>IF(OR(U70="",U68=""),"",IFERROR(U70/U68,""))</f>
        <v/>
      </c>
      <c r="V71" s="15">
        <f>IF(OR(V70="",V68=""),"",IFERROR(V70/V68,""))</f>
        <v/>
      </c>
      <c r="W71" s="15">
        <f>IF(OR(W70="",W68=""),"",IFERROR(W70/W68,""))</f>
        <v/>
      </c>
      <c r="X71" s="15">
        <f>IF(OR(X70="",X68=""),"",IFERROR(X70/X68,""))</f>
        <v/>
      </c>
      <c r="Y71" s="25" t="n">
        <v>1</v>
      </c>
      <c r="Z71" s="26" t="n">
        <v>1</v>
      </c>
      <c r="AA71" s="26" t="n">
        <v>1</v>
      </c>
      <c r="AB71" s="26" t="n">
        <v>1</v>
      </c>
      <c r="AC71" s="26" t="n">
        <v>1</v>
      </c>
    </row>
    <row r="72">
      <c r="A72" s="13" t="inlineStr">
        <is>
          <t>지배주주 순이익 YoY</t>
        </is>
      </c>
      <c r="B72" s="10" t="n"/>
      <c r="C72" s="14" t="n"/>
      <c r="D72" s="15" t="n"/>
      <c r="E72" s="15" t="n"/>
      <c r="F72" s="15" t="n"/>
      <c r="G72" s="15">
        <f>IF(OR(G70="",C70=""),"",IF(C70&lt;=0,"",IFERROR(G70/C70-1,"")))</f>
        <v/>
      </c>
      <c r="H72" s="15">
        <f>IF(OR(H70="",D70=""),"",IF(D70&lt;=0,"",IFERROR(H70/D70-1,"")))</f>
        <v/>
      </c>
      <c r="I72" s="15">
        <f>IF(OR(I70="",E70=""),"",IF(E70&lt;=0,"",IFERROR(I70/E70-1,"")))</f>
        <v/>
      </c>
      <c r="J72" s="15">
        <f>IF(OR(J70="",F70=""),"",IF(F70&lt;=0,"",IFERROR(J70/F70-1,"")))</f>
        <v/>
      </c>
      <c r="K72" s="15">
        <f>IF(OR(K70="",G70=""),"",IF(G70&lt;=0,"",IFERROR(K70/G70-1,"")))</f>
        <v/>
      </c>
      <c r="L72" s="15">
        <f>IF(OR(L70="",H70=""),"",IF(H70&lt;=0,"",IFERROR(L70/H70-1,"")))</f>
        <v/>
      </c>
      <c r="M72" s="15">
        <f>IF(OR(M70="",I70=""),"",IF(I70&lt;=0,"",IFERROR(M70/I70-1,"")))</f>
        <v/>
      </c>
      <c r="N72" s="15">
        <f>IF(OR(N70="",J70=""),"",IF(J70&lt;=0,"",IFERROR(N70/J70-1,"")))</f>
        <v/>
      </c>
      <c r="O72" s="14" t="n"/>
      <c r="P72" s="15">
        <f>IF(OR(P70="",O70=""),"",IF(O70&lt;=0,"",IFERROR(P70/O70-1,"")))</f>
        <v/>
      </c>
      <c r="Q72" s="15">
        <f>IF(OR(Q70="",P70=""),"",IF(P70&lt;=0,"",IFERROR(Q70/P70-1,"")))</f>
        <v/>
      </c>
      <c r="R72" s="15">
        <f>IF(OR(R70="",Q70=""),"",IF(Q70&lt;=0,"",IFERROR(R70/Q70-1,"")))</f>
        <v/>
      </c>
      <c r="S72" s="15">
        <f>IF(OR(S70="",R70=""),"",IF(R70&lt;=0,"",IFERROR(S70/R70-1,"")))</f>
        <v/>
      </c>
      <c r="T72" s="15">
        <f>IF(OR(T70="",S70=""),"",IF(S70&lt;=0,"",IFERROR(T70/S70-1,"")))</f>
        <v/>
      </c>
      <c r="U72" s="15">
        <f>IF(OR(U70="",T70=""),"",IF(T70&lt;=0,"",IFERROR(U70/T70-1,"")))</f>
        <v/>
      </c>
      <c r="V72" s="15">
        <f>IF(OR(V70="",U70=""),"",IF(U70&lt;=0,"",IFERROR(V70/U70-1,"")))</f>
        <v/>
      </c>
      <c r="W72" s="15">
        <f>IF(OR(W70="",V70=""),"",IF(V70&lt;=0,"",IFERROR(W70/V70-1,"")))</f>
        <v/>
      </c>
      <c r="X72" s="15">
        <f>IF(OR(X70="",W70=""),"",IF(W70&lt;=0,"",IFERROR(X70/W70-1,"")))</f>
        <v/>
      </c>
      <c r="Y72" s="14">
        <f>IF(OR(Y70="",X70=""),"",IF(X70&lt;=0,"",IFERROR(Y70/X70-1,"")))</f>
        <v/>
      </c>
      <c r="Z72" s="15">
        <f>IF(OR(Z70="",Y70=""),"",IF(Y70&lt;=0,"",IFERROR(Z70/Y70-1,"")))</f>
        <v/>
      </c>
      <c r="AA72" s="15">
        <f>IF(OR(AA70="",Z70=""),"",IF(Z70&lt;=0,"",IFERROR(AA70/Z70-1,"")))</f>
        <v/>
      </c>
      <c r="AB72" s="15">
        <f>IF(OR(AB70="",AA70=""),"",IF(AA70&lt;=0,"",IFERROR(AB70/AA70-1,"")))</f>
        <v/>
      </c>
      <c r="AC72" s="15">
        <f>IF(OR(AC70="",AB70=""),"",IF(AB70&lt;=0,"",IFERROR(AC70/AB70-1,"")))</f>
        <v/>
      </c>
    </row>
    <row r="73">
      <c r="A73" s="16" t="inlineStr">
        <is>
          <t>목표주가 산출</t>
        </is>
      </c>
      <c r="B73" s="16" t="n"/>
      <c r="C73" s="17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7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7" t="n"/>
      <c r="Z73" s="16" t="n"/>
      <c r="AA73" s="16" t="n"/>
      <c r="AB73" s="16" t="n"/>
      <c r="AC73" s="16" t="n"/>
    </row>
    <row r="74">
      <c r="A74" s="18" t="inlineStr">
        <is>
          <t>현재 주가 ()</t>
        </is>
      </c>
      <c r="B74" s="27" t="n"/>
      <c r="C74" s="28" t="n"/>
      <c r="D74" s="29" t="n"/>
      <c r="E74" s="29" t="n"/>
      <c r="F74" s="29" t="n"/>
      <c r="G74" s="29" t="n"/>
      <c r="H74" s="29" t="n"/>
      <c r="I74" s="29" t="n"/>
      <c r="J74" s="29" t="n"/>
      <c r="K74" s="29" t="n"/>
      <c r="L74" s="29" t="n"/>
      <c r="M74" s="29" t="n"/>
      <c r="N74" s="29" t="n"/>
      <c r="O74" s="28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8" t="n"/>
      <c r="Z74" s="29" t="n"/>
      <c r="AA74" s="29" t="n"/>
      <c r="AB74" s="29" t="n"/>
      <c r="AC74" s="29" t="n"/>
    </row>
    <row r="75">
      <c r="A75" s="18" t="inlineStr">
        <is>
          <t>발행주식수 (보통주)</t>
        </is>
      </c>
      <c r="B75" s="27" t="n"/>
      <c r="C75" s="28" t="n"/>
      <c r="D75" s="29" t="n"/>
      <c r="E75" s="29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8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29" t="n"/>
      <c r="Y75" s="28" t="n"/>
      <c r="Z75" s="29" t="n"/>
      <c r="AA75" s="29" t="n"/>
      <c r="AB75" s="29" t="n"/>
      <c r="AC75" s="29" t="n"/>
    </row>
    <row r="76">
      <c r="A76" s="18" t="inlineStr">
        <is>
          <t>시가총액 (백만엔)</t>
        </is>
      </c>
      <c r="B76" s="12">
        <f>IF(OR(B74="",B75=""),"",B74*B75/1000000.0)</f>
        <v/>
      </c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19" t="n"/>
      <c r="Z76" s="20" t="n"/>
      <c r="AA76" s="20" t="n"/>
      <c r="AB76" s="20" t="n"/>
      <c r="AC76" s="20" t="n"/>
    </row>
    <row r="77">
      <c r="A77" s="13" t="inlineStr">
        <is>
          <t>OPM</t>
        </is>
      </c>
      <c r="B77" s="10" t="n"/>
      <c r="C77" s="14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4">
        <f>IF(O41="","",O41)</f>
        <v/>
      </c>
      <c r="P77" s="15">
        <f>IF(P41="","",P41)</f>
        <v/>
      </c>
      <c r="Q77" s="15">
        <f>IF(Q41="","",Q41)</f>
        <v/>
      </c>
      <c r="R77" s="15">
        <f>IF(R41="","",R41)</f>
        <v/>
      </c>
      <c r="S77" s="15">
        <f>IF(S41="","",S41)</f>
        <v/>
      </c>
      <c r="T77" s="15">
        <f>IF(T41="","",T41)</f>
        <v/>
      </c>
      <c r="U77" s="15">
        <f>IF(U41="","",U41)</f>
        <v/>
      </c>
      <c r="V77" s="15">
        <f>IF(V41="","",V41)</f>
        <v/>
      </c>
      <c r="W77" s="15">
        <f>IF(W41="","",W41)</f>
        <v/>
      </c>
      <c r="X77" s="15">
        <f>IF(X41="","",X41)</f>
        <v/>
      </c>
      <c r="Y77" s="14">
        <f>IF(Y41="","",Y41)</f>
        <v/>
      </c>
      <c r="Z77" s="15">
        <f>IF(Z41="","",Z41)</f>
        <v/>
      </c>
      <c r="AA77" s="15">
        <f>IF(AA41="","",AA41)</f>
        <v/>
      </c>
      <c r="AB77" s="15">
        <f>IF(AB41="","",AB41)</f>
        <v/>
      </c>
      <c r="AC77" s="15">
        <f>IF(AC41="","",AC41)</f>
        <v/>
      </c>
    </row>
    <row r="78">
      <c r="A78" s="13" t="inlineStr">
        <is>
          <t>지배주주 순이익 증가율</t>
        </is>
      </c>
      <c r="B78" s="10" t="n"/>
      <c r="C78" s="14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4" t="n"/>
      <c r="P78" s="15">
        <f>IF(OR(P70="",O70=""),"",IFERROR(P70/O70-1,""))</f>
        <v/>
      </c>
      <c r="Q78" s="15">
        <f>IF(OR(Q70="",P70=""),"",IFERROR(Q70/P70-1,""))</f>
        <v/>
      </c>
      <c r="R78" s="15">
        <f>IF(OR(R70="",Q70=""),"",IFERROR(R70/Q70-1,""))</f>
        <v/>
      </c>
      <c r="S78" s="15">
        <f>IF(OR(S70="",R70=""),"",IFERROR(S70/R70-1,""))</f>
        <v/>
      </c>
      <c r="T78" s="15">
        <f>IF(OR(T70="",S70=""),"",IFERROR(T70/S70-1,""))</f>
        <v/>
      </c>
      <c r="U78" s="15">
        <f>IF(OR(U70="",T70=""),"",IFERROR(U70/T70-1,""))</f>
        <v/>
      </c>
      <c r="V78" s="15">
        <f>IF(OR(V70="",U70=""),"",IFERROR(V70/U70-1,""))</f>
        <v/>
      </c>
      <c r="W78" s="15">
        <f>IF(OR(W70="",V70=""),"",IFERROR(W70/V70-1,""))</f>
        <v/>
      </c>
      <c r="X78" s="15">
        <f>IF(OR(X70="",W70=""),"",IFERROR(X70/W70-1,""))</f>
        <v/>
      </c>
      <c r="Y78" s="14">
        <f>IF(OR(Y70="",X70=""),"",IFERROR(Y70/X70-1,""))</f>
        <v/>
      </c>
      <c r="Z78" s="15">
        <f>IF(OR(Z70="",Y70=""),"",IFERROR(Z70/Y70-1,""))</f>
        <v/>
      </c>
      <c r="AA78" s="15">
        <f>IF(OR(AA70="",Z70=""),"",IFERROR(AA70/Z70-1,""))</f>
        <v/>
      </c>
      <c r="AB78" s="15">
        <f>IF(OR(AB70="",AA70=""),"",IFERROR(AB70/AA70-1,""))</f>
        <v/>
      </c>
      <c r="AC78" s="15">
        <f>IF(OR(AC70="",AB70=""),"",IFERROR(AC70/AB70-1,""))</f>
        <v/>
      </c>
    </row>
    <row r="79">
      <c r="A79" s="18" t="inlineStr">
        <is>
          <t>P/E (현재 주가)</t>
        </is>
      </c>
      <c r="B79" s="10" t="inlineStr">
        <is>
          <t>시총 ÷ 지배순이익</t>
        </is>
      </c>
      <c r="C79" s="30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0" t="n"/>
      <c r="P79" s="31" t="n"/>
      <c r="Q79" s="31" t="n"/>
      <c r="R79" s="31" t="n"/>
      <c r="S79" s="31" t="n"/>
      <c r="T79" s="31" t="n"/>
      <c r="U79" s="31" t="n"/>
      <c r="V79" s="31" t="n"/>
      <c r="W79" s="31" t="n"/>
      <c r="X79" s="31">
        <f>IF(OR($B$76="",X70=""),"",IFERROR($B$76/X70,""))</f>
        <v/>
      </c>
      <c r="Y79" s="30">
        <f>IF(OR($B$76="",Y70=""),"",IFERROR($B$76/Y70,""))</f>
        <v/>
      </c>
      <c r="Z79" s="31">
        <f>IF(OR($B$76="",Z70=""),"",IFERROR($B$76/Z70,""))</f>
        <v/>
      </c>
      <c r="AA79" s="31">
        <f>IF(OR($B$76="",AA70=""),"",IFERROR($B$76/AA70,""))</f>
        <v/>
      </c>
      <c r="AB79" s="31">
        <f>IF(OR($B$76="",AB70=""),"",IFERROR($B$76/AB70,""))</f>
        <v/>
      </c>
      <c r="AC79" s="31">
        <f>IF(OR($B$76="",AC70=""),"",IFERROR($B$76/AC70,""))</f>
        <v/>
      </c>
    </row>
    <row r="80">
      <c r="A80" s="18" t="inlineStr">
        <is>
          <t>Target P/E</t>
        </is>
      </c>
      <c r="B80" s="10" t="inlineStr">
        <is>
          <t>직접 입력</t>
        </is>
      </c>
      <c r="C80" s="30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0" t="n"/>
      <c r="P80" s="3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2" t="n"/>
      <c r="Z80" s="33" t="n"/>
      <c r="AA80" s="33" t="n"/>
      <c r="AB80" s="33" t="n"/>
      <c r="AC80" s="33" t="n"/>
    </row>
    <row r="81">
      <c r="A81" s="18" t="inlineStr">
        <is>
          <t>EPS</t>
        </is>
      </c>
      <c r="B81" s="10" t="inlineStr">
        <is>
          <t>지배순이익 ÷ 주식수</t>
        </is>
      </c>
      <c r="C81" s="28" t="n"/>
      <c r="D81" s="29" t="n"/>
      <c r="E81" s="29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8">
        <f>IF(OR(O70="",$B$75=""),"",IFERROR(O70*1000000.0/$B$75,""))</f>
        <v/>
      </c>
      <c r="P81" s="29">
        <f>IF(OR(P70="",$B$75=""),"",IFERROR(P70*1000000.0/$B$75,""))</f>
        <v/>
      </c>
      <c r="Q81" s="29">
        <f>IF(OR(Q70="",$B$75=""),"",IFERROR(Q70*1000000.0/$B$75,""))</f>
        <v/>
      </c>
      <c r="R81" s="29">
        <f>IF(OR(R70="",$B$75=""),"",IFERROR(R70*1000000.0/$B$75,""))</f>
        <v/>
      </c>
      <c r="S81" s="29">
        <f>IF(OR(S70="",$B$75=""),"",IFERROR(S70*1000000.0/$B$75,""))</f>
        <v/>
      </c>
      <c r="T81" s="29">
        <f>IF(OR(T70="",$B$75=""),"",IFERROR(T70*1000000.0/$B$75,""))</f>
        <v/>
      </c>
      <c r="U81" s="29">
        <f>IF(OR(U70="",$B$75=""),"",IFERROR(U70*1000000.0/$B$75,""))</f>
        <v/>
      </c>
      <c r="V81" s="29">
        <f>IF(OR(V70="",$B$75=""),"",IFERROR(V70*1000000.0/$B$75,""))</f>
        <v/>
      </c>
      <c r="W81" s="29">
        <f>IF(OR(W70="",$B$75=""),"",IFERROR(W70*1000000.0/$B$75,""))</f>
        <v/>
      </c>
      <c r="X81" s="29">
        <f>IF(OR(X70="",$B$75=""),"",IFERROR(X70*1000000.0/$B$75,""))</f>
        <v/>
      </c>
      <c r="Y81" s="28">
        <f>IF(OR(Y70="",$B$75=""),"",IFERROR(Y70*1000000.0/$B$75,""))</f>
        <v/>
      </c>
      <c r="Z81" s="29">
        <f>IF(OR(Z70="",$B$75=""),"",IFERROR(Z70*1000000.0/$B$75,""))</f>
        <v/>
      </c>
      <c r="AA81" s="29">
        <f>IF(OR(AA70="",$B$75=""),"",IFERROR(AA70*1000000.0/$B$75,""))</f>
        <v/>
      </c>
      <c r="AB81" s="29">
        <f>IF(OR(AB70="",$B$75=""),"",IFERROR(AB70*1000000.0/$B$75,""))</f>
        <v/>
      </c>
      <c r="AC81" s="29">
        <f>IF(OR(AC70="",$B$75=""),"",IFERROR(AC70*1000000.0/$B$75,""))</f>
        <v/>
      </c>
    </row>
    <row r="82">
      <c r="A82" s="9" t="inlineStr">
        <is>
          <t>목표주가</t>
        </is>
      </c>
      <c r="B82" s="10" t="n"/>
      <c r="C82" s="34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34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34">
        <f>IF(OR(Y81="",Y80=""),"",IFERROR(Y81*Y80,""))</f>
        <v/>
      </c>
      <c r="Z82" s="27">
        <f>IF(OR(Z81="",Z80=""),"",IFERROR(Z81*Z80,""))</f>
        <v/>
      </c>
      <c r="AA82" s="27">
        <f>IF(OR(AA81="",AA80=""),"",IFERROR(AA81*AA80,""))</f>
        <v/>
      </c>
      <c r="AB82" s="27">
        <f>IF(OR(AB81="",AB80=""),"",IFERROR(AB81*AB80,""))</f>
        <v/>
      </c>
      <c r="AC82" s="27">
        <f>IF(OR(AC81="",AC80=""),"",IFERROR(AC81*AC80,""))</f>
        <v/>
      </c>
    </row>
    <row r="83">
      <c r="A83" s="18" t="inlineStr">
        <is>
          <t>상승여력</t>
        </is>
      </c>
      <c r="B83" s="10" t="n"/>
      <c r="C83" s="35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5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7">
        <f>IF(OR(Y82="",$B$74=""),"",IFERROR(Y82/$B$74-1,""))</f>
        <v/>
      </c>
      <c r="Z83" s="38">
        <f>IF(OR(Z82="",$B$74=""),"",IFERROR(Z82/$B$74-1,""))</f>
        <v/>
      </c>
      <c r="AA83" s="38">
        <f>IF(OR(AA82="",$B$74=""),"",IFERROR(AA82/$B$74-1,""))</f>
        <v/>
      </c>
      <c r="AB83" s="38">
        <f>IF(OR(AB82="",$B$74=""),"",IFERROR(AB82/$B$74-1,""))</f>
        <v/>
      </c>
      <c r="AC83" s="38">
        <f>IF(OR(AC82="",$B$74=""),"",IFERROR(AC82/$B$74-1,""))</f>
        <v/>
      </c>
    </row>
    <row r="84">
      <c r="A84" s="16" t="inlineStr">
        <is>
          <t>자산가치 산출</t>
        </is>
      </c>
      <c r="B84" s="16" t="inlineStr">
        <is>
          <t>최신 분기 BS</t>
        </is>
      </c>
      <c r="C84" s="17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7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7" t="n"/>
      <c r="Z84" s="16" t="n"/>
      <c r="AA84" s="16" t="n"/>
      <c r="AB84" s="16" t="n"/>
      <c r="AC84" s="16" t="n"/>
    </row>
    <row r="85">
      <c r="A85" s="18" t="inlineStr">
        <is>
          <t>현금및현금성자산</t>
        </is>
      </c>
      <c r="B85" s="10" t="n"/>
      <c r="C85" s="19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19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>
        <f>'재무상태표'!G6</f>
        <v/>
      </c>
      <c r="Y85" s="19">
        <f>'재무상태표'!G6</f>
        <v/>
      </c>
      <c r="Z85" s="20">
        <f>'재무상태표'!G6</f>
        <v/>
      </c>
      <c r="AA85" s="20">
        <f>'재무상태표'!G6</f>
        <v/>
      </c>
      <c r="AB85" s="20">
        <f>'재무상태표'!G6</f>
        <v/>
      </c>
      <c r="AC85" s="20">
        <f>'재무상태표'!G6</f>
        <v/>
      </c>
    </row>
    <row r="86">
      <c r="A86" s="18" t="inlineStr">
        <is>
          <t>단기금융상품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>
        <f>'재무상태표'!G7</f>
        <v/>
      </c>
      <c r="Y86" s="19">
        <f>'재무상태표'!G7</f>
        <v/>
      </c>
      <c r="Z86" s="20">
        <f>'재무상태표'!G7</f>
        <v/>
      </c>
      <c r="AA86" s="20">
        <f>'재무상태표'!G7</f>
        <v/>
      </c>
      <c r="AB86" s="20">
        <f>'재무상태표'!G7</f>
        <v/>
      </c>
      <c r="AC86" s="20">
        <f>'재무상태표'!G7</f>
        <v/>
      </c>
    </row>
    <row r="87">
      <c r="A87" s="18" t="inlineStr">
        <is>
          <t>투자부동산</t>
        </is>
      </c>
      <c r="B87" s="10" t="n"/>
      <c r="C87" s="19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19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>
        <f>'재무상태표'!G14</f>
        <v/>
      </c>
      <c r="Y87" s="19">
        <f>'재무상태표'!G14</f>
        <v/>
      </c>
      <c r="Z87" s="20">
        <f>'재무상태표'!G14</f>
        <v/>
      </c>
      <c r="AA87" s="20">
        <f>'재무상태표'!G14</f>
        <v/>
      </c>
      <c r="AB87" s="20">
        <f>'재무상태표'!G14</f>
        <v/>
      </c>
      <c r="AC87" s="20">
        <f>'재무상태표'!G14</f>
        <v/>
      </c>
    </row>
    <row r="88">
      <c r="A88" s="18" t="inlineStr">
        <is>
          <t>지배자본</t>
        </is>
      </c>
      <c r="B88" s="10" t="n"/>
      <c r="C88" s="19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19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>
        <f>'재무상태표'!G31</f>
        <v/>
      </c>
      <c r="Y88" s="19">
        <f>'재무상태표'!G31</f>
        <v/>
      </c>
      <c r="Z88" s="20">
        <f>'재무상태표'!G31</f>
        <v/>
      </c>
      <c r="AA88" s="20">
        <f>'재무상태표'!G31</f>
        <v/>
      </c>
      <c r="AB88" s="20">
        <f>'재무상태표'!G31</f>
        <v/>
      </c>
      <c r="AC88" s="20">
        <f>'재무상태표'!G31</f>
        <v/>
      </c>
    </row>
    <row r="89">
      <c r="A89" s="18" t="inlineStr">
        <is>
          <t>부채</t>
        </is>
      </c>
      <c r="B89" s="10" t="n"/>
      <c r="C89" s="19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19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>
        <f>'재무상태표'!G27</f>
        <v/>
      </c>
      <c r="Y89" s="19">
        <f>'재무상태표'!G27</f>
        <v/>
      </c>
      <c r="Z89" s="20">
        <f>'재무상태표'!G27</f>
        <v/>
      </c>
      <c r="AA89" s="20">
        <f>'재무상태표'!G27</f>
        <v/>
      </c>
      <c r="AB89" s="20">
        <f>'재무상태표'!G27</f>
        <v/>
      </c>
      <c r="AC89" s="20">
        <f>'재무상태표'!G27</f>
        <v/>
      </c>
    </row>
    <row r="90">
      <c r="A90" s="13" t="inlineStr">
        <is>
          <t>부채비율</t>
        </is>
      </c>
      <c r="B90" s="10" t="n"/>
      <c r="C90" s="14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4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>
        <f>IF(OR(X89="",X88=""),"",IFERROR(X89/X88,""))</f>
        <v/>
      </c>
      <c r="Y90" s="14">
        <f>IF(OR(Y89="",Y88=""),"",IFERROR(Y89/Y88,""))</f>
        <v/>
      </c>
      <c r="Z90" s="15">
        <f>IF(OR(Z89="",Z88=""),"",IFERROR(Z89/Z88,""))</f>
        <v/>
      </c>
      <c r="AA90" s="15">
        <f>IF(OR(AA89="",AA88=""),"",IFERROR(AA89/AA88,""))</f>
        <v/>
      </c>
      <c r="AB90" s="15">
        <f>IF(OR(AB89="",AB88=""),"",IFERROR(AB89/AB88,""))</f>
        <v/>
      </c>
      <c r="AC90" s="15">
        <f>IF(OR(AC89="",AC88=""),"",IFERROR(AC89/AC88,""))</f>
        <v/>
      </c>
    </row>
    <row r="91">
      <c r="A91" s="9" t="inlineStr">
        <is>
          <t>자산가치</t>
        </is>
      </c>
      <c r="B91" s="10" t="inlineStr">
        <is>
          <t>현금+단기금융+투자부동산</t>
        </is>
      </c>
      <c r="C91" s="11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1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>
        <f>SUM(X85,X86,X87)</f>
        <v/>
      </c>
      <c r="Y91" s="11">
        <f>SUM(Y85,Y86,Y87)</f>
        <v/>
      </c>
      <c r="Z91" s="12">
        <f>SUM(Z85,Z86,Z87)</f>
        <v/>
      </c>
      <c r="AA91" s="12">
        <f>SUM(AA85,AA86,AA87)</f>
        <v/>
      </c>
      <c r="AB91" s="12">
        <f>SUM(AB85,AB86,AB87)</f>
        <v/>
      </c>
      <c r="AC91" s="12">
        <f>SUM(AC85,AC86,AC87)</f>
        <v/>
      </c>
    </row>
    <row r="92">
      <c r="A92" s="16" t="inlineStr">
        <is>
          <t>기업가치 산출</t>
        </is>
      </c>
      <c r="B92" s="16" t="n"/>
      <c r="C92" s="17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7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7" t="n"/>
      <c r="Z92" s="16" t="n"/>
      <c r="AA92" s="16" t="n"/>
      <c r="AB92" s="16" t="n"/>
      <c r="AC92" s="16" t="n"/>
    </row>
    <row r="93">
      <c r="A93" s="18" t="inlineStr">
        <is>
          <t>목표 시가총액 (P/E)</t>
        </is>
      </c>
      <c r="B93" s="10" t="inlineStr">
        <is>
          <t>지배순이익 × Target P/E</t>
        </is>
      </c>
      <c r="C93" s="19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19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19">
        <f>IF(OR(Y70="",Y80=""),"",IFERROR(Y70*Y80,""))</f>
        <v/>
      </c>
      <c r="Z93" s="20">
        <f>IF(OR(Z70="",Z80=""),"",IFERROR(Z70*Z80,""))</f>
        <v/>
      </c>
      <c r="AA93" s="20">
        <f>IF(OR(AA70="",AA80=""),"",IFERROR(AA70*AA80,""))</f>
        <v/>
      </c>
      <c r="AB93" s="20">
        <f>IF(OR(AB70="",AB80=""),"",IFERROR(AB70*AB80,""))</f>
        <v/>
      </c>
      <c r="AC93" s="20">
        <f>IF(OR(AC70="",AC80=""),"",IFERROR(AC70*AC80,""))</f>
        <v/>
      </c>
    </row>
    <row r="94">
      <c r="A94" s="9" t="inlineStr">
        <is>
          <t>기업가치</t>
        </is>
      </c>
      <c r="B94" s="10" t="inlineStr">
        <is>
          <t>목표시총 + 자산가치</t>
        </is>
      </c>
      <c r="C94" s="11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1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1">
        <f>IF(OR(Y93=""),"",IFERROR(Y93+Y91,""))</f>
        <v/>
      </c>
      <c r="Z94" s="12">
        <f>IF(OR(Z93=""),"",IFERROR(Z93+Z91,""))</f>
        <v/>
      </c>
      <c r="AA94" s="12">
        <f>IF(OR(AA93=""),"",IFERROR(AA93+AA91,""))</f>
        <v/>
      </c>
      <c r="AB94" s="12">
        <f>IF(OR(AB93=""),"",IFERROR(AB93+AB91,""))</f>
        <v/>
      </c>
      <c r="AC94" s="12">
        <f>IF(OR(AC93=""),"",IFERROR(AC93+AC91,""))</f>
        <v/>
      </c>
    </row>
    <row r="95">
      <c r="A95" s="18" t="inlineStr">
        <is>
          <t>현재 시가총액</t>
        </is>
      </c>
      <c r="B95" s="10" t="n"/>
      <c r="C95" s="19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19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19">
        <f>$B$76</f>
        <v/>
      </c>
      <c r="Z95" s="20">
        <f>$B$76</f>
        <v/>
      </c>
      <c r="AA95" s="20">
        <f>$B$76</f>
        <v/>
      </c>
      <c r="AB95" s="20">
        <f>$B$76</f>
        <v/>
      </c>
      <c r="AC95" s="20">
        <f>$B$76</f>
        <v/>
      </c>
    </row>
    <row r="96">
      <c r="A96" s="18" t="inlineStr">
        <is>
          <t>상승여력</t>
        </is>
      </c>
      <c r="B96" s="10" t="n"/>
      <c r="C96" s="35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5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7">
        <f>IF(OR(Y94="",Y95=""),"",IFERROR(Y94/Y95-1,""))</f>
        <v/>
      </c>
      <c r="Z96" s="38">
        <f>IF(OR(Z94="",Z95=""),"",IFERROR(Z94/Z95-1,""))</f>
        <v/>
      </c>
      <c r="AA96" s="38">
        <f>IF(OR(AA94="",AA95=""),"",IFERROR(AA94/AA95-1,""))</f>
        <v/>
      </c>
      <c r="AB96" s="38">
        <f>IF(OR(AB94="",AB95=""),"",IFERROR(AB94/AB95-1,""))</f>
        <v/>
      </c>
      <c r="AC96" s="38">
        <f>IF(OR(AC94="",AC95=""),"",IFERROR(AC94/AC95-1,""))</f>
        <v/>
      </c>
    </row>
    <row r="97">
      <c r="C97" s="39" t="n"/>
      <c r="O97" s="39" t="n"/>
      <c r="Y97" s="39" t="n"/>
    </row>
    <row r="98">
      <c r="A98" s="40" t="inlineStr">
        <is>
          <t>출처</t>
        </is>
      </c>
      <c r="C98" s="39" t="n"/>
      <c r="O98" s="39" t="n"/>
      <c r="Y98" s="39" t="n"/>
    </row>
    <row r="99">
      <c r="A99" s="41" t="inlineStr">
        <is>
          <t>결산단신 XBRL(TDnet·JPX 보관소) — 쓴 문서는 '출처' 시트</t>
        </is>
      </c>
      <c r="C99" s="39" t="n"/>
      <c r="O99" s="39" t="n"/>
      <c r="Y99" s="39" t="n"/>
    </row>
    <row r="100">
      <c r="A100" s="41" t="inlineStr">
        <is>
          <t>분기 = 누계에서 앞 분기를 뺀 3개월 값</t>
        </is>
      </c>
      <c r="C100" s="39" t="n"/>
      <c r="O100" s="39" t="n"/>
      <c r="Y100" s="39" t="n"/>
    </row>
    <row r="101">
      <c r="A101" s="41" t="inlineStr">
        <is>
          <t>주가: 야후 파이낸스 일봉</t>
        </is>
      </c>
      <c r="C101" s="39" t="n"/>
      <c r="O101" s="39" t="n"/>
      <c r="Y101" s="39" t="n"/>
    </row>
    <row r="103">
      <c r="A103" s="16" t="inlineStr">
        <is>
          <t>손익계산서 · 전 항목</t>
        </is>
      </c>
      <c r="B103" s="42" t="inlineStr">
        <is>
          <t>분기 = 3개월 단독</t>
        </is>
      </c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</row>
    <row r="104">
      <c r="A104" s="5" t="inlineStr">
        <is>
          <t>항목</t>
        </is>
      </c>
      <c r="B104" s="5" t="inlineStr">
        <is>
          <t>참고</t>
        </is>
      </c>
      <c r="C104" s="5" t="inlineStr">
        <is>
          <t>2024.3Q</t>
        </is>
      </c>
      <c r="D104" s="5" t="inlineStr">
        <is>
          <t>2024.4Q</t>
        </is>
      </c>
      <c r="E104" s="5" t="inlineStr">
        <is>
          <t>2025.1Q</t>
        </is>
      </c>
      <c r="F104" s="5" t="inlineStr">
        <is>
          <t>2025.2Q</t>
        </is>
      </c>
      <c r="G104" s="5" t="inlineStr">
        <is>
          <t>2025.3Q</t>
        </is>
      </c>
      <c r="H104" s="5" t="inlineStr">
        <is>
          <t>2025.4Q</t>
        </is>
      </c>
      <c r="I104" s="5" t="inlineStr">
        <is>
          <t>2026.1Q</t>
        </is>
      </c>
      <c r="J104" s="5" t="inlineStr">
        <is>
          <t>2026.2Q</t>
        </is>
      </c>
      <c r="K104" s="5" t="inlineStr">
        <is>
          <t>2026.3Q</t>
        </is>
      </c>
      <c r="L104" s="5" t="inlineStr">
        <is>
          <t>2026.4Q</t>
        </is>
      </c>
      <c r="M104" s="5" t="inlineStr">
        <is>
          <t>2027.1Q</t>
        </is>
      </c>
      <c r="N104" s="5" t="inlineStr">
        <is>
          <t>2027.2Q</t>
        </is>
      </c>
      <c r="O104" s="5" t="inlineStr">
        <is>
          <t>2017</t>
        </is>
      </c>
      <c r="P104" s="5" t="inlineStr">
        <is>
          <t>2018</t>
        </is>
      </c>
      <c r="Q104" s="5" t="inlineStr">
        <is>
          <t>2019</t>
        </is>
      </c>
      <c r="R104" s="5" t="inlineStr">
        <is>
          <t>2020</t>
        </is>
      </c>
      <c r="S104" s="5" t="inlineStr">
        <is>
          <t>2021</t>
        </is>
      </c>
      <c r="T104" s="5" t="inlineStr">
        <is>
          <t>2022</t>
        </is>
      </c>
      <c r="U104" s="5" t="inlineStr">
        <is>
          <t>2023</t>
        </is>
      </c>
      <c r="V104" s="5" t="inlineStr">
        <is>
          <t>2024</t>
        </is>
      </c>
      <c r="W104" s="5" t="inlineStr">
        <is>
          <t>2025</t>
        </is>
      </c>
      <c r="X104" s="5" t="inlineStr">
        <is>
          <t>2026</t>
        </is>
      </c>
      <c r="Y104" s="5" t="inlineStr">
        <is>
          <t>2027(MW)</t>
        </is>
      </c>
      <c r="Z104" s="5" t="inlineStr">
        <is>
          <t>2028(MW)</t>
        </is>
      </c>
      <c r="AA104" s="5" t="inlineStr">
        <is>
          <t>2029(MW)</t>
        </is>
      </c>
      <c r="AB104" s="5" t="inlineStr">
        <is>
          <t>2030(MW)</t>
        </is>
      </c>
      <c r="AC104" s="5" t="inlineStr">
        <is>
          <t>2031(MW)</t>
        </is>
      </c>
    </row>
    <row r="105">
      <c r="A105" s="9" t="inlineStr">
        <is>
          <t>매출액</t>
        </is>
      </c>
      <c r="C105" s="12" t="n">
        <v>67757</v>
      </c>
      <c r="D105" s="12" t="n">
        <v>50219</v>
      </c>
      <c r="E105" s="12" t="n">
        <v>54011</v>
      </c>
      <c r="F105" s="12" t="n">
        <v>56288</v>
      </c>
      <c r="G105" s="12" t="n">
        <v>77917</v>
      </c>
      <c r="H105" s="12" t="n">
        <v>61309</v>
      </c>
      <c r="I105" s="12" t="n">
        <v>64223</v>
      </c>
      <c r="J105" s="12" t="n">
        <v>64615</v>
      </c>
      <c r="K105" s="12" t="n">
        <v>83123</v>
      </c>
      <c r="L105" s="12" t="n">
        <v>68094</v>
      </c>
      <c r="M105" s="12" t="n">
        <v>68815</v>
      </c>
      <c r="N105" s="12" t="n">
        <v>72376</v>
      </c>
      <c r="T105" s="12" t="n">
        <v>56649</v>
      </c>
      <c r="U105" s="12" t="n">
        <v>58094</v>
      </c>
      <c r="V105" s="12" t="n">
        <v>50219</v>
      </c>
      <c r="W105" s="12" t="n">
        <v>61309</v>
      </c>
      <c r="X105" s="12" t="n">
        <v>68094</v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IF(OR(G105="",C105=""),"",IF(C105&lt;=0,"",IFERROR(G105/C105-1,"")))</f>
        <v/>
      </c>
      <c r="H106" s="15">
        <f>IF(OR(H105="",D105=""),"",IF(D105&lt;=0,"",IFERROR(H105/D105-1,"")))</f>
        <v/>
      </c>
      <c r="I106" s="15">
        <f>IF(OR(I105="",E105=""),"",IF(E105&lt;=0,"",IFERROR(I105/E105-1,"")))</f>
        <v/>
      </c>
      <c r="J106" s="15">
        <f>IF(OR(J105="",F105=""),"",IF(F105&lt;=0,"",IFERROR(J105/F105-1,"")))</f>
        <v/>
      </c>
      <c r="K106" s="15">
        <f>IF(OR(K105="",G105=""),"",IF(G105&lt;=0,"",IFERROR(K105/G105-1,"")))</f>
        <v/>
      </c>
      <c r="L106" s="15">
        <f>IF(OR(L105="",H105=""),"",IF(H105&lt;=0,"",IFERROR(L105/H105-1,"")))</f>
        <v/>
      </c>
      <c r="M106" s="15">
        <f>IF(OR(M105="",I105=""),"",IF(I105&lt;=0,"",IFERROR(M105/I105-1,"")))</f>
        <v/>
      </c>
      <c r="N106" s="15">
        <f>IF(OR(N105="",J105=""),"",IF(J105&lt;=0,"",IFERROR(N105/J105-1,"")))</f>
        <v/>
      </c>
      <c r="T106" s="15">
        <f>IF(OR(T105="",S105=""),"",IF(S105&lt;=0,"",IFERROR(T105/S105-1,"")))</f>
        <v/>
      </c>
      <c r="U106" s="15">
        <f>IF(OR(U105="",T105=""),"",IF(T105&lt;=0,"",IFERROR(U105/T105-1,"")))</f>
        <v/>
      </c>
      <c r="V106" s="15">
        <f>IF(OR(V105="",U105=""),"",IF(U105&lt;=0,"",IFERROR(V105/U105-1,"")))</f>
        <v/>
      </c>
      <c r="W106" s="15">
        <f>IF(OR(W105="",V105=""),"",IF(V105&lt;=0,"",IFERROR(W105/V105-1,"")))</f>
        <v/>
      </c>
      <c r="X106" s="15">
        <f>IF(OR(X105="",W105=""),"",IF(W105&lt;=0,"",IFERROR(X105/W105-1,"")))</f>
        <v/>
      </c>
    </row>
    <row r="107">
      <c r="A107" s="18" t="inlineStr">
        <is>
          <t>매출원가</t>
        </is>
      </c>
      <c r="C107" s="20" t="n">
        <v>45223</v>
      </c>
      <c r="D107" s="20" t="n">
        <v>34772</v>
      </c>
      <c r="E107" s="20" t="n">
        <v>35523</v>
      </c>
      <c r="F107" s="20" t="n">
        <v>36169</v>
      </c>
      <c r="G107" s="20" t="n">
        <v>50626</v>
      </c>
      <c r="H107" s="20" t="n">
        <v>38834</v>
      </c>
      <c r="I107" s="20" t="n">
        <v>41251</v>
      </c>
      <c r="J107" s="20" t="n">
        <v>41332</v>
      </c>
      <c r="K107" s="20" t="n">
        <v>53700</v>
      </c>
      <c r="L107" s="20" t="n">
        <v>43636</v>
      </c>
      <c r="M107" s="20" t="n">
        <v>43524</v>
      </c>
      <c r="N107" s="20" t="n">
        <v>46082</v>
      </c>
      <c r="T107" s="20" t="n">
        <v>36850</v>
      </c>
      <c r="U107" s="20" t="n">
        <v>38452</v>
      </c>
      <c r="V107" s="20" t="n">
        <v>34772</v>
      </c>
      <c r="W107" s="20" t="n">
        <v>38834</v>
      </c>
      <c r="X107" s="20" t="n">
        <v>43636</v>
      </c>
    </row>
    <row r="108">
      <c r="A108" s="43" t="inlineStr">
        <is>
          <t>YoY</t>
        </is>
      </c>
      <c r="B108" s="3" t="inlineStr">
        <is>
          <t>전년 같은 분기·전년 대비</t>
        </is>
      </c>
      <c r="G108" s="15">
        <f>IF(OR(G107="",C107=""),"",IF(G107*C107&lt;=0,"",IFERROR(G107/C107-1,"")))</f>
        <v/>
      </c>
      <c r="H108" s="15">
        <f>IF(OR(H107="",D107=""),"",IF(H107*D107&lt;=0,"",IFERROR(H107/D107-1,"")))</f>
        <v/>
      </c>
      <c r="I108" s="15">
        <f>IF(OR(I107="",E107=""),"",IF(I107*E107&lt;=0,"",IFERROR(I107/E107-1,"")))</f>
        <v/>
      </c>
      <c r="J108" s="15">
        <f>IF(OR(J107="",F107=""),"",IF(J107*F107&lt;=0,"",IFERROR(J107/F107-1,"")))</f>
        <v/>
      </c>
      <c r="K108" s="15">
        <f>IF(OR(K107="",G107=""),"",IF(K107*G107&lt;=0,"",IFERROR(K107/G107-1,"")))</f>
        <v/>
      </c>
      <c r="L108" s="15">
        <f>IF(OR(L107="",H107=""),"",IF(L107*H107&lt;=0,"",IFERROR(L107/H107-1,"")))</f>
        <v/>
      </c>
      <c r="M108" s="15">
        <f>IF(OR(M107="",I107=""),"",IF(M107*I107&lt;=0,"",IFERROR(M107/I107-1,"")))</f>
        <v/>
      </c>
      <c r="N108" s="15">
        <f>IF(OR(N107="",J107=""),"",IF(N107*J107&lt;=0,"",IFERROR(N107/J107-1,"")))</f>
        <v/>
      </c>
      <c r="T108" s="15">
        <f>IF(OR(T107="",S107=""),"",IF(T107*S107&lt;=0,"",IFERROR(T107/S107-1,"")))</f>
        <v/>
      </c>
      <c r="U108" s="15">
        <f>IF(OR(U107="",T107=""),"",IF(U107*T107&lt;=0,"",IFERROR(U107/T107-1,"")))</f>
        <v/>
      </c>
      <c r="V108" s="15">
        <f>IF(OR(V107="",U107=""),"",IF(V107*U107&lt;=0,"",IFERROR(V107/U107-1,"")))</f>
        <v/>
      </c>
      <c r="W108" s="15">
        <f>IF(OR(W107="",V107=""),"",IF(W107*V107&lt;=0,"",IFERROR(W107/V107-1,"")))</f>
        <v/>
      </c>
      <c r="X108" s="15">
        <f>IF(OR(X107="",W107=""),"",IF(X107*W107&lt;=0,"",IFERROR(X107/W107-1,"")))</f>
        <v/>
      </c>
    </row>
    <row r="109">
      <c r="A109" s="9" t="inlineStr">
        <is>
          <t>매출총이익</t>
        </is>
      </c>
      <c r="C109" s="12" t="n">
        <v>22535</v>
      </c>
      <c r="D109" s="12" t="n">
        <v>15447</v>
      </c>
      <c r="E109" s="12" t="n">
        <v>18487</v>
      </c>
      <c r="F109" s="12" t="n">
        <v>20120</v>
      </c>
      <c r="G109" s="12" t="n">
        <v>27290</v>
      </c>
      <c r="H109" s="12" t="n">
        <v>22476</v>
      </c>
      <c r="I109" s="12" t="n">
        <v>22971</v>
      </c>
      <c r="J109" s="12" t="n">
        <v>23283</v>
      </c>
      <c r="K109" s="12" t="n">
        <v>29424</v>
      </c>
      <c r="L109" s="12" t="n">
        <v>24457</v>
      </c>
      <c r="M109" s="12" t="n">
        <v>25290</v>
      </c>
      <c r="N109" s="12" t="n">
        <v>26295</v>
      </c>
      <c r="T109" s="12" t="n">
        <v>19799</v>
      </c>
      <c r="U109" s="12" t="n">
        <v>19642</v>
      </c>
      <c r="V109" s="12" t="n">
        <v>15447</v>
      </c>
      <c r="W109" s="12" t="n">
        <v>22476</v>
      </c>
      <c r="X109" s="12" t="n">
        <v>24457</v>
      </c>
    </row>
    <row r="110">
      <c r="A110" s="43" t="inlineStr">
        <is>
          <t>YoY</t>
        </is>
      </c>
      <c r="B110" s="3" t="inlineStr">
        <is>
          <t>전년 같은 분기·전년 대비</t>
        </is>
      </c>
      <c r="G110" s="15">
        <f>IF(OR(G109="",C109=""),"",IF(C109&lt;=0,"",IFERROR(G109/C109-1,"")))</f>
        <v/>
      </c>
      <c r="H110" s="15">
        <f>IF(OR(H109="",D109=""),"",IF(D109&lt;=0,"",IFERROR(H109/D109-1,"")))</f>
        <v/>
      </c>
      <c r="I110" s="15">
        <f>IF(OR(I109="",E109=""),"",IF(E109&lt;=0,"",IFERROR(I109/E109-1,"")))</f>
        <v/>
      </c>
      <c r="J110" s="15">
        <f>IF(OR(J109="",F109=""),"",IF(F109&lt;=0,"",IFERROR(J109/F109-1,"")))</f>
        <v/>
      </c>
      <c r="K110" s="15">
        <f>IF(OR(K109="",G109=""),"",IF(G109&lt;=0,"",IFERROR(K109/G109-1,"")))</f>
        <v/>
      </c>
      <c r="L110" s="15">
        <f>IF(OR(L109="",H109=""),"",IF(H109&lt;=0,"",IFERROR(L109/H109-1,"")))</f>
        <v/>
      </c>
      <c r="M110" s="15">
        <f>IF(OR(M109="",I109=""),"",IF(I109&lt;=0,"",IFERROR(M109/I109-1,"")))</f>
        <v/>
      </c>
      <c r="N110" s="15">
        <f>IF(OR(N109="",J109=""),"",IF(J109&lt;=0,"",IFERROR(N109/J109-1,"")))</f>
        <v/>
      </c>
      <c r="T110" s="15">
        <f>IF(OR(T109="",S109=""),"",IF(S109&lt;=0,"",IFERROR(T109/S109-1,"")))</f>
        <v/>
      </c>
      <c r="U110" s="15">
        <f>IF(OR(U109="",T109=""),"",IF(T109&lt;=0,"",IFERROR(U109/T109-1,"")))</f>
        <v/>
      </c>
      <c r="V110" s="15">
        <f>IF(OR(V109="",U109=""),"",IF(U109&lt;=0,"",IFERROR(V109/U109-1,"")))</f>
        <v/>
      </c>
      <c r="W110" s="15">
        <f>IF(OR(W109="",V109=""),"",IF(V109&lt;=0,"",IFERROR(W109/V109-1,"")))</f>
        <v/>
      </c>
      <c r="X110" s="15">
        <f>IF(OR(X109="",W109=""),"",IF(W109&lt;=0,"",IFERROR(X109/W109-1,"")))</f>
        <v/>
      </c>
    </row>
    <row r="111">
      <c r="A111" s="18" t="inlineStr">
        <is>
          <t>판매비와 관리비</t>
        </is>
      </c>
      <c r="C111" s="20" t="n">
        <v>16995</v>
      </c>
      <c r="D111" s="20" t="n">
        <v>16429</v>
      </c>
      <c r="E111" s="20" t="n">
        <v>17430</v>
      </c>
      <c r="F111" s="20" t="n">
        <v>18667</v>
      </c>
      <c r="G111" s="20" t="n">
        <v>19855</v>
      </c>
      <c r="H111" s="20" t="n">
        <v>20295</v>
      </c>
      <c r="I111" s="20" t="n">
        <v>20285</v>
      </c>
      <c r="J111" s="20" t="n">
        <v>20886</v>
      </c>
      <c r="K111" s="20" t="n">
        <v>22057</v>
      </c>
      <c r="L111" s="20" t="n">
        <v>23112</v>
      </c>
      <c r="M111" s="20" t="n">
        <v>22957</v>
      </c>
      <c r="N111" s="20" t="n">
        <v>23569</v>
      </c>
      <c r="T111" s="20" t="n">
        <v>17051</v>
      </c>
      <c r="U111" s="20" t="n">
        <v>17731</v>
      </c>
      <c r="V111" s="20" t="n">
        <v>16429</v>
      </c>
      <c r="W111" s="20" t="n">
        <v>20295</v>
      </c>
      <c r="X111" s="20" t="n">
        <v>23112</v>
      </c>
    </row>
    <row r="112">
      <c r="A112" s="43" t="inlineStr">
        <is>
          <t>YoY</t>
        </is>
      </c>
      <c r="B112" s="3" t="inlineStr">
        <is>
          <t>전년 같은 분기·전년 대비</t>
        </is>
      </c>
      <c r="G112" s="15">
        <f>IF(OR(G111="",C111=""),"",IF(G111*C111&lt;=0,"",IFERROR(G111/C111-1,"")))</f>
        <v/>
      </c>
      <c r="H112" s="15">
        <f>IF(OR(H111="",D111=""),"",IF(H111*D111&lt;=0,"",IFERROR(H111/D111-1,"")))</f>
        <v/>
      </c>
      <c r="I112" s="15">
        <f>IF(OR(I111="",E111=""),"",IF(I111*E111&lt;=0,"",IFERROR(I111/E111-1,"")))</f>
        <v/>
      </c>
      <c r="J112" s="15">
        <f>IF(OR(J111="",F111=""),"",IF(J111*F111&lt;=0,"",IFERROR(J111/F111-1,"")))</f>
        <v/>
      </c>
      <c r="K112" s="15">
        <f>IF(OR(K111="",G111=""),"",IF(K111*G111&lt;=0,"",IFERROR(K111/G111-1,"")))</f>
        <v/>
      </c>
      <c r="L112" s="15">
        <f>IF(OR(L111="",H111=""),"",IF(L111*H111&lt;=0,"",IFERROR(L111/H111-1,"")))</f>
        <v/>
      </c>
      <c r="M112" s="15">
        <f>IF(OR(M111="",I111=""),"",IF(M111*I111&lt;=0,"",IFERROR(M111/I111-1,"")))</f>
        <v/>
      </c>
      <c r="N112" s="15">
        <f>IF(OR(N111="",J111=""),"",IF(N111*J111&lt;=0,"",IFERROR(N111/J111-1,"")))</f>
        <v/>
      </c>
      <c r="T112" s="15">
        <f>IF(OR(T111="",S111=""),"",IF(T111*S111&lt;=0,"",IFERROR(T111/S111-1,"")))</f>
        <v/>
      </c>
      <c r="U112" s="15">
        <f>IF(OR(U111="",T111=""),"",IF(U111*T111&lt;=0,"",IFERROR(U111/T111-1,"")))</f>
        <v/>
      </c>
      <c r="V112" s="15">
        <f>IF(OR(V111="",U111=""),"",IF(V111*U111&lt;=0,"",IFERROR(V111/U111-1,"")))</f>
        <v/>
      </c>
      <c r="W112" s="15">
        <f>IF(OR(W111="",V111=""),"",IF(W111*V111&lt;=0,"",IFERROR(W111/V111-1,"")))</f>
        <v/>
      </c>
      <c r="X112" s="15">
        <f>IF(OR(X111="",W111=""),"",IF(X111*W111&lt;=0,"",IFERROR(X111/W111-1,"")))</f>
        <v/>
      </c>
    </row>
    <row r="113">
      <c r="A113" s="9" t="inlineStr">
        <is>
          <t>영업이익</t>
        </is>
      </c>
      <c r="C113" s="12" t="n">
        <v>5539</v>
      </c>
      <c r="D113" s="12" t="n">
        <v>-981</v>
      </c>
      <c r="E113" s="12" t="n">
        <v>1057</v>
      </c>
      <c r="F113" s="12" t="n">
        <v>1453</v>
      </c>
      <c r="G113" s="12" t="n">
        <v>7435</v>
      </c>
      <c r="H113" s="12" t="n">
        <v>2181</v>
      </c>
      <c r="I113" s="12" t="n">
        <v>2686</v>
      </c>
      <c r="J113" s="12" t="n">
        <v>2397</v>
      </c>
      <c r="K113" s="12" t="n">
        <v>7366</v>
      </c>
      <c r="L113" s="12" t="n">
        <v>1346</v>
      </c>
      <c r="M113" s="12" t="n">
        <v>2333</v>
      </c>
      <c r="N113" s="12" t="n">
        <v>2725</v>
      </c>
      <c r="T113" s="12" t="n">
        <v>2748</v>
      </c>
      <c r="U113" s="12" t="n">
        <v>1911</v>
      </c>
      <c r="V113" s="12" t="n">
        <v>-981</v>
      </c>
      <c r="W113" s="12" t="n">
        <v>2181</v>
      </c>
      <c r="X113" s="12" t="n">
        <v>1346</v>
      </c>
    </row>
    <row r="114">
      <c r="A114" s="43" t="inlineStr">
        <is>
          <t>OPM</t>
        </is>
      </c>
      <c r="B114" s="3" t="inlineStr">
        <is>
          <t>영업이익 ÷ 매출</t>
        </is>
      </c>
      <c r="C114" s="15">
        <f>IF(OR(C113="",C105=""),"",IF(C105&lt;=0,"",IFERROR(C113/C105,"")))</f>
        <v/>
      </c>
      <c r="D114" s="15">
        <f>IF(OR(D113="",D105=""),"",IF(D105&lt;=0,"",IFERROR(D113/D105,"")))</f>
        <v/>
      </c>
      <c r="E114" s="15">
        <f>IF(OR(E113="",E105=""),"",IF(E105&lt;=0,"",IFERROR(E113/E105,"")))</f>
        <v/>
      </c>
      <c r="F114" s="15">
        <f>IF(OR(F113="",F105=""),"",IF(F105&lt;=0,"",IFERROR(F113/F105,"")))</f>
        <v/>
      </c>
      <c r="G114" s="15">
        <f>IF(OR(G113="",G105=""),"",IF(G105&lt;=0,"",IFERROR(G113/G105,"")))</f>
        <v/>
      </c>
      <c r="H114" s="15">
        <f>IF(OR(H113="",H105=""),"",IF(H105&lt;=0,"",IFERROR(H113/H105,"")))</f>
        <v/>
      </c>
      <c r="I114" s="15">
        <f>IF(OR(I113="",I105=""),"",IF(I105&lt;=0,"",IFERROR(I113/I105,"")))</f>
        <v/>
      </c>
      <c r="J114" s="15">
        <f>IF(OR(J113="",J105=""),"",IF(J105&lt;=0,"",IFERROR(J113/J105,"")))</f>
        <v/>
      </c>
      <c r="K114" s="15">
        <f>IF(OR(K113="",K105=""),"",IF(K105&lt;=0,"",IFERROR(K113/K105,"")))</f>
        <v/>
      </c>
      <c r="L114" s="15">
        <f>IF(OR(L113="",L105=""),"",IF(L105&lt;=0,"",IFERROR(L113/L105,"")))</f>
        <v/>
      </c>
      <c r="M114" s="15">
        <f>IF(OR(M113="",M105=""),"",IF(M105&lt;=0,"",IFERROR(M113/M105,"")))</f>
        <v/>
      </c>
      <c r="N114" s="15">
        <f>IF(OR(N113="",N105=""),"",IF(N105&lt;=0,"",IFERROR(N113/N105,"")))</f>
        <v/>
      </c>
      <c r="T114" s="15">
        <f>IF(OR(T113="",T105=""),"",IF(T105&lt;=0,"",IFERROR(T113/T105,"")))</f>
        <v/>
      </c>
      <c r="U114" s="15">
        <f>IF(OR(U113="",U105=""),"",IF(U105&lt;=0,"",IFERROR(U113/U105,"")))</f>
        <v/>
      </c>
      <c r="V114" s="15">
        <f>IF(OR(V113="",V105=""),"",IF(V105&lt;=0,"",IFERROR(V113/V105,"")))</f>
        <v/>
      </c>
      <c r="W114" s="15">
        <f>IF(OR(W113="",W105=""),"",IF(W105&lt;=0,"",IFERROR(W113/W105,"")))</f>
        <v/>
      </c>
      <c r="X114" s="15">
        <f>IF(OR(X113="",X105=""),"",IF(X105&lt;=0,"",IFERROR(X113/X105,"")))</f>
        <v/>
      </c>
    </row>
    <row r="115">
      <c r="A115" s="43" t="inlineStr">
        <is>
          <t>YoY</t>
        </is>
      </c>
      <c r="B115" s="3" t="inlineStr">
        <is>
          <t>전년 같은 분기·전년 대비</t>
        </is>
      </c>
      <c r="G115" s="15">
        <f>IF(OR(G113="",C113=""),"",IF(C113&lt;=0,"",IFERROR(G113/C113-1,"")))</f>
        <v/>
      </c>
      <c r="H115" s="15">
        <f>IF(OR(H113="",D113=""),"",IF(D113&lt;=0,"",IFERROR(H113/D113-1,"")))</f>
        <v/>
      </c>
      <c r="I115" s="15">
        <f>IF(OR(I113="",E113=""),"",IF(E113&lt;=0,"",IFERROR(I113/E113-1,"")))</f>
        <v/>
      </c>
      <c r="J115" s="15">
        <f>IF(OR(J113="",F113=""),"",IF(F113&lt;=0,"",IFERROR(J113/F113-1,"")))</f>
        <v/>
      </c>
      <c r="K115" s="15">
        <f>IF(OR(K113="",G113=""),"",IF(G113&lt;=0,"",IFERROR(K113/G113-1,"")))</f>
        <v/>
      </c>
      <c r="L115" s="15">
        <f>IF(OR(L113="",H113=""),"",IF(H113&lt;=0,"",IFERROR(L113/H113-1,"")))</f>
        <v/>
      </c>
      <c r="M115" s="15">
        <f>IF(OR(M113="",I113=""),"",IF(I113&lt;=0,"",IFERROR(M113/I113-1,"")))</f>
        <v/>
      </c>
      <c r="N115" s="15">
        <f>IF(OR(N113="",J113=""),"",IF(J113&lt;=0,"",IFERROR(N113/J113-1,"")))</f>
        <v/>
      </c>
      <c r="T115" s="15">
        <f>IF(OR(T113="",S113=""),"",IF(S113&lt;=0,"",IFERROR(T113/S113-1,"")))</f>
        <v/>
      </c>
      <c r="U115" s="15">
        <f>IF(OR(U113="",T113=""),"",IF(T113&lt;=0,"",IFERROR(U113/T113-1,"")))</f>
        <v/>
      </c>
      <c r="V115" s="15">
        <f>IF(OR(V113="",U113=""),"",IF(U113&lt;=0,"",IFERROR(V113/U113-1,"")))</f>
        <v/>
      </c>
      <c r="W115" s="15">
        <f>IF(OR(W113="",V113=""),"",IF(V113&lt;=0,"",IFERROR(W113/V113-1,"")))</f>
        <v/>
      </c>
      <c r="X115" s="15">
        <f>IF(OR(X113="",W113=""),"",IF(W113&lt;=0,"",IFERROR(X113/W113-1,"")))</f>
        <v/>
      </c>
    </row>
    <row r="116">
      <c r="A116" s="18" t="inlineStr">
        <is>
          <t>이자수익</t>
        </is>
      </c>
      <c r="C116" s="20" t="n">
        <v>23</v>
      </c>
      <c r="D116" s="20" t="n">
        <v>25</v>
      </c>
      <c r="E116" s="20" t="n">
        <v>25</v>
      </c>
      <c r="F116" s="20" t="n">
        <v>32</v>
      </c>
      <c r="G116" s="20" t="n">
        <v>27</v>
      </c>
      <c r="H116" s="20" t="n">
        <v>34</v>
      </c>
      <c r="I116" s="20" t="n">
        <v>23</v>
      </c>
      <c r="J116" s="20" t="n">
        <v>24</v>
      </c>
      <c r="K116" s="20" t="n">
        <v>18</v>
      </c>
      <c r="L116" s="20" t="n">
        <v>20</v>
      </c>
      <c r="M116" s="20" t="n">
        <v>16</v>
      </c>
      <c r="N116" s="20" t="n">
        <v>28</v>
      </c>
      <c r="T116" s="20" t="n">
        <v>13</v>
      </c>
      <c r="U116" s="20" t="n">
        <v>22</v>
      </c>
      <c r="V116" s="20" t="n">
        <v>25</v>
      </c>
      <c r="W116" s="20" t="n">
        <v>34</v>
      </c>
      <c r="X116" s="20" t="n">
        <v>20</v>
      </c>
    </row>
    <row r="117">
      <c r="A117" s="18" t="inlineStr">
        <is>
          <t>배당금수익</t>
        </is>
      </c>
      <c r="C117" s="20" t="n">
        <v>61</v>
      </c>
      <c r="D117" s="20" t="n">
        <v>0</v>
      </c>
      <c r="E117" s="20" t="n">
        <v>66</v>
      </c>
      <c r="F117" s="20" t="n">
        <v>4</v>
      </c>
      <c r="G117" s="20" t="n">
        <v>63</v>
      </c>
      <c r="H117" s="20" t="n">
        <v>1</v>
      </c>
      <c r="I117" s="20" t="n">
        <v>65</v>
      </c>
      <c r="J117" s="20" t="n">
        <v>1</v>
      </c>
      <c r="K117" s="20" t="n">
        <v>57</v>
      </c>
      <c r="L117" s="20" t="n">
        <v>0</v>
      </c>
      <c r="M117" s="20" t="n">
        <v>130</v>
      </c>
      <c r="N117" s="20" t="n">
        <v>0</v>
      </c>
      <c r="T117" s="20" t="n">
        <v>0</v>
      </c>
      <c r="U117" s="20" t="n">
        <v>0</v>
      </c>
      <c r="V117" s="20" t="n">
        <v>0</v>
      </c>
      <c r="W117" s="20" t="n">
        <v>1</v>
      </c>
      <c r="X117" s="20" t="n">
        <v>0</v>
      </c>
    </row>
    <row r="118">
      <c r="A118" s="18" t="inlineStr">
        <is>
          <t>지분법이익</t>
        </is>
      </c>
      <c r="C118" s="20" t="n">
        <v>318</v>
      </c>
      <c r="D118" s="20" t="n">
        <v>-288</v>
      </c>
      <c r="E118" s="20" t="n">
        <v>126</v>
      </c>
      <c r="F118" s="20" t="n">
        <v>1</v>
      </c>
      <c r="G118" s="20" t="n">
        <v>485</v>
      </c>
      <c r="H118" s="20" t="n">
        <v>-179</v>
      </c>
      <c r="I118" s="20" t="n">
        <v>178</v>
      </c>
      <c r="J118" s="20" t="n">
        <v>14</v>
      </c>
      <c r="K118" s="20" t="n">
        <v>257</v>
      </c>
      <c r="L118" s="20" t="n">
        <v>-157</v>
      </c>
      <c r="M118" s="20" t="n">
        <v>43</v>
      </c>
      <c r="N118" s="20" t="n">
        <v>-43</v>
      </c>
      <c r="T118" s="20" t="n">
        <v>-321</v>
      </c>
      <c r="U118" s="20" t="n">
        <v>0</v>
      </c>
      <c r="V118" s="20" t="n">
        <v>-288</v>
      </c>
      <c r="W118" s="20" t="n">
        <v>-179</v>
      </c>
      <c r="X118" s="20" t="n">
        <v>-157</v>
      </c>
    </row>
    <row r="119">
      <c r="A119" s="18" t="inlineStr">
        <is>
          <t>Lease Revenue System Equipment NOI</t>
        </is>
      </c>
      <c r="C119" s="20" t="n">
        <v>150</v>
      </c>
      <c r="D119" s="20" t="n">
        <v>132</v>
      </c>
      <c r="E119" s="20" t="n">
        <v>199</v>
      </c>
      <c r="F119" s="20" t="n">
        <v>147</v>
      </c>
      <c r="G119" s="20" t="n">
        <v>125</v>
      </c>
      <c r="H119" s="20" t="n">
        <v>145</v>
      </c>
      <c r="I119" s="20" t="n">
        <v>94</v>
      </c>
      <c r="J119" s="20" t="n">
        <v>72</v>
      </c>
      <c r="K119" s="20" t="n">
        <v>73</v>
      </c>
      <c r="L119" s="20" t="n">
        <v>70</v>
      </c>
      <c r="M119" s="20" t="n">
        <v>82</v>
      </c>
      <c r="N119" s="20" t="n">
        <v>81</v>
      </c>
      <c r="T119" s="20" t="n">
        <v>171</v>
      </c>
      <c r="U119" s="20" t="n">
        <v>173</v>
      </c>
      <c r="V119" s="20" t="n">
        <v>132</v>
      </c>
      <c r="W119" s="20" t="n">
        <v>145</v>
      </c>
      <c r="X119" s="20" t="n">
        <v>70</v>
      </c>
    </row>
    <row r="120">
      <c r="A120" s="18" t="inlineStr">
        <is>
          <t>기타</t>
        </is>
      </c>
      <c r="C120" s="20" t="n">
        <v>219</v>
      </c>
      <c r="D120" s="20" t="n">
        <v>223</v>
      </c>
      <c r="E120" s="20" t="n">
        <v>366</v>
      </c>
      <c r="F120" s="20" t="n">
        <v>97</v>
      </c>
      <c r="G120" s="20" t="n">
        <v>308</v>
      </c>
      <c r="H120" s="20" t="n">
        <v>53</v>
      </c>
      <c r="I120" s="20" t="n">
        <v>310</v>
      </c>
      <c r="J120" s="20" t="n">
        <v>289</v>
      </c>
      <c r="K120" s="20" t="n">
        <v>542</v>
      </c>
      <c r="L120" s="20" t="n">
        <v>14</v>
      </c>
      <c r="M120" s="20" t="n">
        <v>446</v>
      </c>
      <c r="N120" s="20" t="n">
        <v>391</v>
      </c>
      <c r="T120" s="20" t="n">
        <v>249</v>
      </c>
      <c r="U120" s="20" t="n">
        <v>190</v>
      </c>
      <c r="V120" s="20" t="n">
        <v>223</v>
      </c>
      <c r="W120" s="20" t="n">
        <v>53</v>
      </c>
      <c r="X120" s="20" t="n">
        <v>14</v>
      </c>
    </row>
    <row r="121">
      <c r="A121" s="18" t="inlineStr">
        <is>
          <t>영업외수익 합계</t>
        </is>
      </c>
      <c r="C121" s="20" t="n">
        <v>771</v>
      </c>
      <c r="D121" s="20" t="n">
        <v>155</v>
      </c>
      <c r="E121" s="20" t="n">
        <v>784</v>
      </c>
      <c r="F121" s="20" t="n">
        <v>282</v>
      </c>
      <c r="G121" s="20" t="n">
        <v>1008</v>
      </c>
      <c r="H121" s="20" t="n">
        <v>100</v>
      </c>
      <c r="I121" s="20" t="n">
        <v>673</v>
      </c>
      <c r="J121" s="20" t="n">
        <v>398</v>
      </c>
      <c r="K121" s="20" t="n">
        <v>948</v>
      </c>
      <c r="L121" s="20" t="n">
        <v>301</v>
      </c>
      <c r="M121" s="20" t="n">
        <v>719</v>
      </c>
      <c r="N121" s="20" t="n">
        <v>457</v>
      </c>
      <c r="T121" s="20" t="n">
        <v>169</v>
      </c>
      <c r="U121" s="20" t="n">
        <v>447</v>
      </c>
      <c r="V121" s="20" t="n">
        <v>155</v>
      </c>
      <c r="W121" s="20" t="n">
        <v>100</v>
      </c>
      <c r="X121" s="20" t="n">
        <v>301</v>
      </c>
    </row>
    <row r="122">
      <c r="A122" s="43" t="inlineStr">
        <is>
          <t>YoY</t>
        </is>
      </c>
      <c r="B122" s="3" t="inlineStr">
        <is>
          <t>전년 같은 분기·전년 대비</t>
        </is>
      </c>
      <c r="G122" s="15">
        <f>IF(OR(G121="",C121=""),"",IF(G121*C121&lt;=0,"",IFERROR(G121/C121-1,"")))</f>
        <v/>
      </c>
      <c r="H122" s="15">
        <f>IF(OR(H121="",D121=""),"",IF(H121*D121&lt;=0,"",IFERROR(H121/D121-1,"")))</f>
        <v/>
      </c>
      <c r="I122" s="15">
        <f>IF(OR(I121="",E121=""),"",IF(I121*E121&lt;=0,"",IFERROR(I121/E121-1,"")))</f>
        <v/>
      </c>
      <c r="J122" s="15">
        <f>IF(OR(J121="",F121=""),"",IF(J121*F121&lt;=0,"",IFERROR(J121/F121-1,"")))</f>
        <v/>
      </c>
      <c r="K122" s="15">
        <f>IF(OR(K121="",G121=""),"",IF(K121*G121&lt;=0,"",IFERROR(K121/G121-1,"")))</f>
        <v/>
      </c>
      <c r="L122" s="15">
        <f>IF(OR(L121="",H121=""),"",IF(L121*H121&lt;=0,"",IFERROR(L121/H121-1,"")))</f>
        <v/>
      </c>
      <c r="M122" s="15">
        <f>IF(OR(M121="",I121=""),"",IF(M121*I121&lt;=0,"",IFERROR(M121/I121-1,"")))</f>
        <v/>
      </c>
      <c r="N122" s="15">
        <f>IF(OR(N121="",J121=""),"",IF(N121*J121&lt;=0,"",IFERROR(N121/J121-1,"")))</f>
        <v/>
      </c>
      <c r="T122" s="15">
        <f>IF(OR(T121="",S121=""),"",IF(T121*S121&lt;=0,"",IFERROR(T121/S121-1,"")))</f>
        <v/>
      </c>
      <c r="U122" s="15">
        <f>IF(OR(U121="",T121=""),"",IF(U121*T121&lt;=0,"",IFERROR(U121/T121-1,"")))</f>
        <v/>
      </c>
      <c r="V122" s="15">
        <f>IF(OR(V121="",U121=""),"",IF(V121*U121&lt;=0,"",IFERROR(V121/U121-1,"")))</f>
        <v/>
      </c>
      <c r="W122" s="15">
        <f>IF(OR(W121="",V121=""),"",IF(W121*V121&lt;=0,"",IFERROR(W121/V121-1,"")))</f>
        <v/>
      </c>
      <c r="X122" s="15">
        <f>IF(OR(X121="",W121=""),"",IF(X121*W121&lt;=0,"",IFERROR(X121/W121-1,"")))</f>
        <v/>
      </c>
    </row>
    <row r="123">
      <c r="A123" s="18" t="inlineStr">
        <is>
          <t>이자비용</t>
        </is>
      </c>
      <c r="C123" s="20" t="n">
        <v>18</v>
      </c>
      <c r="D123" s="20" t="n">
        <v>38</v>
      </c>
      <c r="E123" s="20" t="n">
        <v>13</v>
      </c>
      <c r="F123" s="20" t="n">
        <v>17</v>
      </c>
      <c r="G123" s="20" t="n">
        <v>65</v>
      </c>
      <c r="H123" s="20" t="n">
        <v>73</v>
      </c>
      <c r="I123" s="20" t="n">
        <v>96</v>
      </c>
      <c r="J123" s="20" t="n">
        <v>97</v>
      </c>
      <c r="K123" s="20" t="n">
        <v>101</v>
      </c>
      <c r="L123" s="20" t="n">
        <v>122</v>
      </c>
      <c r="M123" s="20" t="n">
        <v>128</v>
      </c>
      <c r="N123" s="20" t="n">
        <v>146</v>
      </c>
      <c r="T123" s="20" t="n">
        <v>19</v>
      </c>
      <c r="U123" s="20" t="n">
        <v>14</v>
      </c>
      <c r="V123" s="20" t="n">
        <v>38</v>
      </c>
      <c r="W123" s="20" t="n">
        <v>73</v>
      </c>
      <c r="X123" s="20" t="n">
        <v>122</v>
      </c>
    </row>
    <row r="124">
      <c r="A124" s="18" t="inlineStr">
        <is>
          <t>지분법손실</t>
        </is>
      </c>
      <c r="D124" s="20" t="n">
        <v>0</v>
      </c>
      <c r="T124" s="20" t="n">
        <v>672</v>
      </c>
      <c r="U124" s="20" t="n">
        <v>224</v>
      </c>
      <c r="V124" s="20" t="n">
        <v>0</v>
      </c>
    </row>
    <row r="125">
      <c r="A125" s="18" t="inlineStr">
        <is>
          <t>Lease Cost System Equipment NOE</t>
        </is>
      </c>
      <c r="C125" s="20" t="n">
        <v>213</v>
      </c>
      <c r="D125" s="20" t="n">
        <v>201</v>
      </c>
      <c r="E125" s="20" t="n">
        <v>247</v>
      </c>
      <c r="F125" s="20" t="n">
        <v>179</v>
      </c>
      <c r="G125" s="20" t="n">
        <v>185</v>
      </c>
      <c r="H125" s="20" t="n">
        <v>183</v>
      </c>
      <c r="I125" s="20" t="n">
        <v>110</v>
      </c>
      <c r="J125" s="20" t="n">
        <v>98</v>
      </c>
      <c r="K125" s="20" t="n">
        <v>97</v>
      </c>
      <c r="L125" s="20" t="n">
        <v>97</v>
      </c>
      <c r="M125" s="20" t="n">
        <v>121</v>
      </c>
      <c r="N125" s="20" t="n">
        <v>121</v>
      </c>
      <c r="T125" s="20" t="n">
        <v>143</v>
      </c>
      <c r="U125" s="20" t="n">
        <v>157</v>
      </c>
      <c r="V125" s="20" t="n">
        <v>201</v>
      </c>
      <c r="W125" s="20" t="n">
        <v>183</v>
      </c>
      <c r="X125" s="20" t="n">
        <v>97</v>
      </c>
    </row>
    <row r="126">
      <c r="A126" s="18" t="inlineStr">
        <is>
          <t>고정자산 제각손실</t>
        </is>
      </c>
      <c r="C126" s="20" t="n">
        <v>17</v>
      </c>
      <c r="D126" s="20" t="n">
        <v>11</v>
      </c>
      <c r="E126" s="20" t="n">
        <v>15</v>
      </c>
      <c r="F126" s="20" t="n">
        <v>16</v>
      </c>
      <c r="G126" s="20" t="n">
        <v>8</v>
      </c>
      <c r="H126" s="20" t="n">
        <v>31</v>
      </c>
      <c r="I126" s="20" t="n">
        <v>6</v>
      </c>
      <c r="J126" s="20" t="n">
        <v>8</v>
      </c>
      <c r="K126" s="20" t="n">
        <v>31</v>
      </c>
      <c r="L126" s="20" t="n">
        <v>22</v>
      </c>
      <c r="M126" s="20" t="n">
        <v>9</v>
      </c>
      <c r="N126" s="20" t="n">
        <v>28</v>
      </c>
      <c r="T126" s="20" t="n">
        <v>56</v>
      </c>
      <c r="U126" s="20" t="n">
        <v>90</v>
      </c>
      <c r="V126" s="20" t="n">
        <v>11</v>
      </c>
      <c r="W126" s="20" t="n">
        <v>31</v>
      </c>
      <c r="X126" s="20" t="n">
        <v>22</v>
      </c>
    </row>
    <row r="127">
      <c r="A127" s="18" t="inlineStr">
        <is>
          <t>기타</t>
        </is>
      </c>
      <c r="C127" s="20" t="n">
        <v>149</v>
      </c>
      <c r="D127" s="20" t="n">
        <v>142</v>
      </c>
      <c r="E127" s="20" t="n">
        <v>209</v>
      </c>
      <c r="F127" s="20" t="n">
        <v>173</v>
      </c>
      <c r="G127" s="20" t="n">
        <v>121</v>
      </c>
      <c r="H127" s="20" t="n">
        <v>247</v>
      </c>
      <c r="I127" s="20" t="n">
        <v>97</v>
      </c>
      <c r="J127" s="20" t="n">
        <v>159</v>
      </c>
      <c r="K127" s="20" t="n">
        <v>145</v>
      </c>
      <c r="L127" s="20" t="n">
        <v>202</v>
      </c>
      <c r="M127" s="20" t="n">
        <v>116</v>
      </c>
      <c r="N127" s="20" t="n">
        <v>159</v>
      </c>
      <c r="T127" s="20" t="n">
        <v>223</v>
      </c>
      <c r="U127" s="20" t="n">
        <v>167</v>
      </c>
      <c r="V127" s="20" t="n">
        <v>142</v>
      </c>
      <c r="W127" s="20" t="n">
        <v>247</v>
      </c>
      <c r="X127" s="20" t="n">
        <v>202</v>
      </c>
    </row>
    <row r="128">
      <c r="A128" s="18" t="inlineStr">
        <is>
          <t>영업외비용 합계</t>
        </is>
      </c>
      <c r="C128" s="20" t="n">
        <v>398</v>
      </c>
      <c r="D128" s="20" t="n">
        <v>391</v>
      </c>
      <c r="E128" s="20" t="n">
        <v>485</v>
      </c>
      <c r="F128" s="20" t="n">
        <v>385</v>
      </c>
      <c r="G128" s="20" t="n">
        <v>379</v>
      </c>
      <c r="H128" s="20" t="n">
        <v>535</v>
      </c>
      <c r="I128" s="20" t="n">
        <v>310</v>
      </c>
      <c r="J128" s="20" t="n">
        <v>363</v>
      </c>
      <c r="K128" s="20" t="n">
        <v>373</v>
      </c>
      <c r="L128" s="20" t="n">
        <v>444</v>
      </c>
      <c r="M128" s="20" t="n">
        <v>375</v>
      </c>
      <c r="N128" s="20" t="n">
        <v>935</v>
      </c>
      <c r="T128" s="20" t="n">
        <v>1114</v>
      </c>
      <c r="U128" s="20" t="n">
        <v>653</v>
      </c>
      <c r="V128" s="20" t="n">
        <v>391</v>
      </c>
      <c r="W128" s="20" t="n">
        <v>535</v>
      </c>
      <c r="X128" s="20" t="n">
        <v>444</v>
      </c>
    </row>
    <row r="129">
      <c r="A129" s="43" t="inlineStr">
        <is>
          <t>YoY</t>
        </is>
      </c>
      <c r="B129" s="3" t="inlineStr">
        <is>
          <t>전년 같은 분기·전년 대비</t>
        </is>
      </c>
      <c r="G129" s="15">
        <f>IF(OR(G128="",C128=""),"",IF(G128*C128&lt;=0,"",IFERROR(G128/C128-1,"")))</f>
        <v/>
      </c>
      <c r="H129" s="15">
        <f>IF(OR(H128="",D128=""),"",IF(H128*D128&lt;=0,"",IFERROR(H128/D128-1,"")))</f>
        <v/>
      </c>
      <c r="I129" s="15">
        <f>IF(OR(I128="",E128=""),"",IF(I128*E128&lt;=0,"",IFERROR(I128/E128-1,"")))</f>
        <v/>
      </c>
      <c r="J129" s="15">
        <f>IF(OR(J128="",F128=""),"",IF(J128*F128&lt;=0,"",IFERROR(J128/F128-1,"")))</f>
        <v/>
      </c>
      <c r="K129" s="15">
        <f>IF(OR(K128="",G128=""),"",IF(K128*G128&lt;=0,"",IFERROR(K128/G128-1,"")))</f>
        <v/>
      </c>
      <c r="L129" s="15">
        <f>IF(OR(L128="",H128=""),"",IF(L128*H128&lt;=0,"",IFERROR(L128/H128-1,"")))</f>
        <v/>
      </c>
      <c r="M129" s="15">
        <f>IF(OR(M128="",I128=""),"",IF(M128*I128&lt;=0,"",IFERROR(M128/I128-1,"")))</f>
        <v/>
      </c>
      <c r="N129" s="15">
        <f>IF(OR(N128="",J128=""),"",IF(N128*J128&lt;=0,"",IFERROR(N128/J128-1,"")))</f>
        <v/>
      </c>
      <c r="T129" s="15">
        <f>IF(OR(T128="",S128=""),"",IF(T128*S128&lt;=0,"",IFERROR(T128/S128-1,"")))</f>
        <v/>
      </c>
      <c r="U129" s="15">
        <f>IF(OR(U128="",T128=""),"",IF(U128*T128&lt;=0,"",IFERROR(U128/T128-1,"")))</f>
        <v/>
      </c>
      <c r="V129" s="15">
        <f>IF(OR(V128="",U128=""),"",IF(V128*U128&lt;=0,"",IFERROR(V128/U128-1,"")))</f>
        <v/>
      </c>
      <c r="W129" s="15">
        <f>IF(OR(W128="",V128=""),"",IF(W128*V128&lt;=0,"",IFERROR(W128/V128-1,"")))</f>
        <v/>
      </c>
      <c r="X129" s="15">
        <f>IF(OR(X128="",W128=""),"",IF(X128*W128&lt;=0,"",IFERROR(X128/W128-1,"")))</f>
        <v/>
      </c>
    </row>
    <row r="130">
      <c r="A130" s="9" t="inlineStr">
        <is>
          <t>경상이익</t>
        </is>
      </c>
      <c r="C130" s="12" t="n">
        <v>5913</v>
      </c>
      <c r="D130" s="12" t="n">
        <v>-1218</v>
      </c>
      <c r="E130" s="12" t="n">
        <v>1356</v>
      </c>
      <c r="F130" s="12" t="n">
        <v>1350</v>
      </c>
      <c r="G130" s="12" t="n">
        <v>8063</v>
      </c>
      <c r="H130" s="12" t="n">
        <v>1747</v>
      </c>
      <c r="I130" s="12" t="n">
        <v>3049</v>
      </c>
      <c r="J130" s="12" t="n">
        <v>2432</v>
      </c>
      <c r="K130" s="12" t="n">
        <v>7940</v>
      </c>
      <c r="L130" s="12" t="n">
        <v>1204</v>
      </c>
      <c r="M130" s="12" t="n">
        <v>2677</v>
      </c>
      <c r="N130" s="12" t="n">
        <v>2247</v>
      </c>
      <c r="T130" s="12" t="n">
        <v>1803</v>
      </c>
      <c r="U130" s="12" t="n">
        <v>1705</v>
      </c>
      <c r="V130" s="12" t="n">
        <v>-1218</v>
      </c>
      <c r="W130" s="12" t="n">
        <v>1747</v>
      </c>
      <c r="X130" s="12" t="n">
        <v>1204</v>
      </c>
    </row>
    <row r="131">
      <c r="A131" s="43" t="inlineStr">
        <is>
          <t>YoY</t>
        </is>
      </c>
      <c r="B131" s="3" t="inlineStr">
        <is>
          <t>전년 같은 분기·전년 대비</t>
        </is>
      </c>
      <c r="G131" s="15">
        <f>IF(OR(G130="",C130=""),"",IF(C130&lt;=0,"",IFERROR(G130/C130-1,"")))</f>
        <v/>
      </c>
      <c r="H131" s="15">
        <f>IF(OR(H130="",D130=""),"",IF(D130&lt;=0,"",IFERROR(H130/D130-1,"")))</f>
        <v/>
      </c>
      <c r="I131" s="15">
        <f>IF(OR(I130="",E130=""),"",IF(E130&lt;=0,"",IFERROR(I130/E130-1,"")))</f>
        <v/>
      </c>
      <c r="J131" s="15">
        <f>IF(OR(J130="",F130=""),"",IF(F130&lt;=0,"",IFERROR(J130/F130-1,"")))</f>
        <v/>
      </c>
      <c r="K131" s="15">
        <f>IF(OR(K130="",G130=""),"",IF(G130&lt;=0,"",IFERROR(K130/G130-1,"")))</f>
        <v/>
      </c>
      <c r="L131" s="15">
        <f>IF(OR(L130="",H130=""),"",IF(H130&lt;=0,"",IFERROR(L130/H130-1,"")))</f>
        <v/>
      </c>
      <c r="M131" s="15">
        <f>IF(OR(M130="",I130=""),"",IF(I130&lt;=0,"",IFERROR(M130/I130-1,"")))</f>
        <v/>
      </c>
      <c r="N131" s="15">
        <f>IF(OR(N130="",J130=""),"",IF(J130&lt;=0,"",IFERROR(N130/J130-1,"")))</f>
        <v/>
      </c>
      <c r="T131" s="15">
        <f>IF(OR(T130="",S130=""),"",IF(S130&lt;=0,"",IFERROR(T130/S130-1,"")))</f>
        <v/>
      </c>
      <c r="U131" s="15">
        <f>IF(OR(U130="",T130=""),"",IF(T130&lt;=0,"",IFERROR(U130/T130-1,"")))</f>
        <v/>
      </c>
      <c r="V131" s="15">
        <f>IF(OR(V130="",U130=""),"",IF(U130&lt;=0,"",IFERROR(V130/U130-1,"")))</f>
        <v/>
      </c>
      <c r="W131" s="15">
        <f>IF(OR(W130="",V130=""),"",IF(V130&lt;=0,"",IFERROR(W130/V130-1,"")))</f>
        <v/>
      </c>
      <c r="X131" s="15">
        <f>IF(OR(X130="",W130=""),"",IF(W130&lt;=0,"",IFERROR(X130/W130-1,"")))</f>
        <v/>
      </c>
    </row>
    <row r="132">
      <c r="A132" s="18" t="inlineStr">
        <is>
          <t>사업 양도 이익</t>
        </is>
      </c>
      <c r="C132" s="20" t="n">
        <v>0</v>
      </c>
      <c r="D132" s="20" t="n">
        <v>0</v>
      </c>
      <c r="G132" s="20" t="n">
        <v>0</v>
      </c>
      <c r="H132" s="20" t="n">
        <v>0</v>
      </c>
      <c r="U132" s="20" t="n">
        <v>0</v>
      </c>
      <c r="V132" s="20" t="n">
        <v>0</v>
      </c>
      <c r="W132" s="20" t="n">
        <v>0</v>
      </c>
    </row>
    <row r="133">
      <c r="A133" s="18" t="inlineStr">
        <is>
          <t>이전 보상금</t>
        </is>
      </c>
      <c r="C133" s="20" t="n">
        <v>0</v>
      </c>
      <c r="D133" s="20" t="n">
        <v>0</v>
      </c>
      <c r="T133" s="20" t="n">
        <v>0</v>
      </c>
      <c r="U133" s="20" t="n">
        <v>0</v>
      </c>
      <c r="V133" s="20" t="n">
        <v>0</v>
      </c>
    </row>
    <row r="134">
      <c r="A134" s="18" t="inlineStr">
        <is>
          <t>퇴직급여제도 종료이익</t>
        </is>
      </c>
      <c r="C134" s="20" t="n">
        <v>0</v>
      </c>
      <c r="D134" s="20" t="n">
        <v>0</v>
      </c>
      <c r="T134" s="20" t="n">
        <v>0</v>
      </c>
      <c r="U134" s="20" t="n">
        <v>0</v>
      </c>
      <c r="V134" s="20" t="n">
        <v>0</v>
      </c>
    </row>
    <row r="135">
      <c r="A135" s="18" t="inlineStr">
        <is>
          <t>부의 영업권 발생이익</t>
        </is>
      </c>
      <c r="C135" s="20" t="n">
        <v>0</v>
      </c>
      <c r="G135" s="20" t="n">
        <v>569</v>
      </c>
      <c r="H135" s="20" t="n">
        <v>0</v>
      </c>
      <c r="K135" s="20" t="n">
        <v>0</v>
      </c>
      <c r="L135" s="20" t="n">
        <v>0</v>
      </c>
      <c r="W135" s="20" t="n">
        <v>0</v>
      </c>
      <c r="X135" s="20" t="n">
        <v>0</v>
      </c>
    </row>
    <row r="136">
      <c r="A136" s="18" t="inlineStr">
        <is>
          <t>특별이익 합계</t>
        </is>
      </c>
      <c r="C136" s="20" t="n">
        <v>0</v>
      </c>
      <c r="D136" s="20" t="n">
        <v>0</v>
      </c>
      <c r="G136" s="20" t="n">
        <v>569</v>
      </c>
      <c r="H136" s="20" t="n">
        <v>0</v>
      </c>
      <c r="K136" s="20" t="n">
        <v>0</v>
      </c>
      <c r="L136" s="20" t="n">
        <v>1269</v>
      </c>
      <c r="T136" s="20" t="n">
        <v>0</v>
      </c>
      <c r="U136" s="20" t="n">
        <v>0</v>
      </c>
      <c r="V136" s="20" t="n">
        <v>0</v>
      </c>
      <c r="W136" s="20" t="n">
        <v>0</v>
      </c>
      <c r="X136" s="20" t="n">
        <v>1269</v>
      </c>
    </row>
    <row r="137">
      <c r="A137" s="43" t="inlineStr">
        <is>
          <t>YoY</t>
        </is>
      </c>
      <c r="B137" s="3" t="inlineStr">
        <is>
          <t>전년 같은 분기·전년 대비</t>
        </is>
      </c>
      <c r="G137" s="15">
        <f>IF(OR(G136="",C136=""),"",IF(G136*C136&lt;=0,"",IFERROR(G136/C136-1,"")))</f>
        <v/>
      </c>
      <c r="H137" s="15">
        <f>IF(OR(H136="",D136=""),"",IF(H136*D136&lt;=0,"",IFERROR(H136/D136-1,"")))</f>
        <v/>
      </c>
      <c r="K137" s="15">
        <f>IF(OR(K136="",G136=""),"",IF(K136*G136&lt;=0,"",IFERROR(K136/G136-1,"")))</f>
        <v/>
      </c>
      <c r="L137" s="15">
        <f>IF(OR(L136="",H136=""),"",IF(L136*H136&lt;=0,"",IFERROR(L136/H136-1,"")))</f>
        <v/>
      </c>
      <c r="T137" s="15">
        <f>IF(OR(T136="",S136=""),"",IF(T136*S136&lt;=0,"",IFERROR(T136/S136-1,"")))</f>
        <v/>
      </c>
      <c r="U137" s="15">
        <f>IF(OR(U136="",T136=""),"",IF(U136*T136&lt;=0,"",IFERROR(U136/T136-1,"")))</f>
        <v/>
      </c>
      <c r="V137" s="15">
        <f>IF(OR(V136="",U136=""),"",IF(V136*U136&lt;=0,"",IFERROR(V136/U136-1,"")))</f>
        <v/>
      </c>
      <c r="W137" s="15">
        <f>IF(OR(W136="",V136=""),"",IF(W136*V136&lt;=0,"",IFERROR(W136/V136-1,"")))</f>
        <v/>
      </c>
      <c r="X137" s="15">
        <f>IF(OR(X136="",W136=""),"",IF(X136*W136&lt;=0,"",IFERROR(X136/W136-1,"")))</f>
        <v/>
      </c>
    </row>
    <row r="138">
      <c r="A138" s="18" t="inlineStr">
        <is>
          <t>손상차손</t>
        </is>
      </c>
      <c r="C138" s="20" t="n">
        <v>1</v>
      </c>
      <c r="D138" s="20" t="n">
        <v>444</v>
      </c>
      <c r="G138" s="20" t="n">
        <v>0</v>
      </c>
      <c r="H138" s="20" t="n">
        <v>388</v>
      </c>
      <c r="K138" s="20" t="n">
        <v>0</v>
      </c>
      <c r="L138" s="20" t="n">
        <v>1188</v>
      </c>
      <c r="U138" s="20" t="n">
        <v>897</v>
      </c>
      <c r="V138" s="20" t="n">
        <v>444</v>
      </c>
      <c r="W138" s="20" t="n">
        <v>388</v>
      </c>
      <c r="X138" s="20" t="n">
        <v>1188</v>
      </c>
    </row>
    <row r="139">
      <c r="A139" s="18" t="inlineStr">
        <is>
          <t>단계적 취득 차손</t>
        </is>
      </c>
      <c r="C139" s="20" t="n">
        <v>0</v>
      </c>
      <c r="G139" s="20" t="n">
        <v>0</v>
      </c>
      <c r="H139" s="20" t="n">
        <v>0</v>
      </c>
      <c r="K139" s="20" t="n">
        <v>0</v>
      </c>
      <c r="L139" s="20" t="n">
        <v>0</v>
      </c>
      <c r="W139" s="20" t="n">
        <v>0</v>
      </c>
      <c r="X139" s="20" t="n">
        <v>0</v>
      </c>
    </row>
    <row r="140">
      <c r="A140" s="18" t="inlineStr">
        <is>
          <t>특별손실 합계</t>
        </is>
      </c>
      <c r="C140" s="20" t="n">
        <v>1</v>
      </c>
      <c r="D140" s="20" t="n">
        <v>1691</v>
      </c>
      <c r="G140" s="20" t="n">
        <v>0</v>
      </c>
      <c r="H140" s="20" t="n">
        <v>387</v>
      </c>
      <c r="K140" s="20" t="n">
        <v>0</v>
      </c>
      <c r="L140" s="20" t="n">
        <v>1526</v>
      </c>
      <c r="U140" s="20" t="n">
        <v>897</v>
      </c>
      <c r="V140" s="20" t="n">
        <v>1691</v>
      </c>
      <c r="W140" s="20" t="n">
        <v>387</v>
      </c>
      <c r="X140" s="20" t="n">
        <v>1526</v>
      </c>
    </row>
    <row r="141">
      <c r="A141" s="43" t="inlineStr">
        <is>
          <t>YoY</t>
        </is>
      </c>
      <c r="B141" s="3" t="inlineStr">
        <is>
          <t>전년 같은 분기·전년 대비</t>
        </is>
      </c>
      <c r="G141" s="15">
        <f>IF(OR(G140="",C140=""),"",IF(G140*C140&lt;=0,"",IFERROR(G140/C140-1,"")))</f>
        <v/>
      </c>
      <c r="H141" s="15">
        <f>IF(OR(H140="",D140=""),"",IF(H140*D140&lt;=0,"",IFERROR(H140/D140-1,"")))</f>
        <v/>
      </c>
      <c r="K141" s="15">
        <f>IF(OR(K140="",G140=""),"",IF(K140*G140&lt;=0,"",IFERROR(K140/G140-1,"")))</f>
        <v/>
      </c>
      <c r="L141" s="15">
        <f>IF(OR(L140="",H140=""),"",IF(L140*H140&lt;=0,"",IFERROR(L140/H140-1,"")))</f>
        <v/>
      </c>
      <c r="U141" s="15">
        <f>IF(OR(U140="",T140=""),"",IF(U140*T140&lt;=0,"",IFERROR(U140/T140-1,"")))</f>
        <v/>
      </c>
      <c r="V141" s="15">
        <f>IF(OR(V140="",U140=""),"",IF(V140*U140&lt;=0,"",IFERROR(V140/U140-1,"")))</f>
        <v/>
      </c>
      <c r="W141" s="15">
        <f>IF(OR(W140="",V140=""),"",IF(W140*V140&lt;=0,"",IFERROR(W140/V140-1,"")))</f>
        <v/>
      </c>
      <c r="X141" s="15">
        <f>IF(OR(X140="",W140=""),"",IF(X140*W140&lt;=0,"",IFERROR(X140/W140-1,"")))</f>
        <v/>
      </c>
    </row>
    <row r="142">
      <c r="A142" s="9" t="inlineStr">
        <is>
          <t>법인세차감전 순이익</t>
        </is>
      </c>
      <c r="C142" s="12" t="n">
        <v>5912</v>
      </c>
      <c r="D142" s="12" t="n">
        <v>-2909</v>
      </c>
      <c r="E142" s="12" t="n">
        <v>1356</v>
      </c>
      <c r="F142" s="12" t="n">
        <v>1605</v>
      </c>
      <c r="G142" s="12" t="n">
        <v>8631</v>
      </c>
      <c r="H142" s="12" t="n">
        <v>1359</v>
      </c>
      <c r="I142" s="12" t="n">
        <v>3049</v>
      </c>
      <c r="J142" s="12" t="n">
        <v>2432</v>
      </c>
      <c r="K142" s="12" t="n">
        <v>7940</v>
      </c>
      <c r="L142" s="12" t="n">
        <v>947</v>
      </c>
      <c r="M142" s="12" t="n">
        <v>2677</v>
      </c>
      <c r="N142" s="12" t="n">
        <v>2247</v>
      </c>
      <c r="T142" s="12" t="n">
        <v>1565</v>
      </c>
      <c r="U142" s="12" t="n">
        <v>808</v>
      </c>
      <c r="V142" s="12" t="n">
        <v>-2909</v>
      </c>
      <c r="W142" s="12" t="n">
        <v>1359</v>
      </c>
      <c r="X142" s="12" t="n">
        <v>947</v>
      </c>
    </row>
    <row r="143">
      <c r="A143" s="43" t="inlineStr">
        <is>
          <t>YoY</t>
        </is>
      </c>
      <c r="B143" s="3" t="inlineStr">
        <is>
          <t>전년 같은 분기·전년 대비</t>
        </is>
      </c>
      <c r="G143" s="15">
        <f>IF(OR(G142="",C142=""),"",IF(C142&lt;=0,"",IFERROR(G142/C142-1,"")))</f>
        <v/>
      </c>
      <c r="H143" s="15">
        <f>IF(OR(H142="",D142=""),"",IF(D142&lt;=0,"",IFERROR(H142/D142-1,"")))</f>
        <v/>
      </c>
      <c r="I143" s="15">
        <f>IF(OR(I142="",E142=""),"",IF(E142&lt;=0,"",IFERROR(I142/E142-1,"")))</f>
        <v/>
      </c>
      <c r="J143" s="15">
        <f>IF(OR(J142="",F142=""),"",IF(F142&lt;=0,"",IFERROR(J142/F142-1,"")))</f>
        <v/>
      </c>
      <c r="K143" s="15">
        <f>IF(OR(K142="",G142=""),"",IF(G142&lt;=0,"",IFERROR(K142/G142-1,"")))</f>
        <v/>
      </c>
      <c r="L143" s="15">
        <f>IF(OR(L142="",H142=""),"",IF(H142&lt;=0,"",IFERROR(L142/H142-1,"")))</f>
        <v/>
      </c>
      <c r="M143" s="15">
        <f>IF(OR(M142="",I142=""),"",IF(I142&lt;=0,"",IFERROR(M142/I142-1,"")))</f>
        <v/>
      </c>
      <c r="N143" s="15">
        <f>IF(OR(N142="",J142=""),"",IF(J142&lt;=0,"",IFERROR(N142/J142-1,"")))</f>
        <v/>
      </c>
      <c r="T143" s="15">
        <f>IF(OR(T142="",S142=""),"",IF(S142&lt;=0,"",IFERROR(T142/S142-1,"")))</f>
        <v/>
      </c>
      <c r="U143" s="15">
        <f>IF(OR(U142="",T142=""),"",IF(T142&lt;=0,"",IFERROR(U142/T142-1,"")))</f>
        <v/>
      </c>
      <c r="V143" s="15">
        <f>IF(OR(V142="",U142=""),"",IF(U142&lt;=0,"",IFERROR(V142/U142-1,"")))</f>
        <v/>
      </c>
      <c r="W143" s="15">
        <f>IF(OR(W142="",V142=""),"",IF(V142&lt;=0,"",IFERROR(W142/V142-1,"")))</f>
        <v/>
      </c>
      <c r="X143" s="15">
        <f>IF(OR(X142="",W142=""),"",IF(W142&lt;=0,"",IFERROR(X142/W142-1,"")))</f>
        <v/>
      </c>
    </row>
    <row r="144">
      <c r="A144" s="18" t="inlineStr">
        <is>
          <t>법인세·주민세·사업세</t>
        </is>
      </c>
      <c r="C144" s="20" t="n">
        <v>2073</v>
      </c>
      <c r="D144" s="20" t="n">
        <v>345</v>
      </c>
      <c r="E144" s="20" t="n">
        <v>199</v>
      </c>
      <c r="F144" s="20" t="n">
        <v>247</v>
      </c>
      <c r="G144" s="20" t="n">
        <v>2671</v>
      </c>
      <c r="H144" s="20" t="n">
        <v>1076</v>
      </c>
      <c r="I144" s="20" t="n">
        <v>1088</v>
      </c>
      <c r="J144" s="20" t="n">
        <v>1047</v>
      </c>
      <c r="K144" s="20" t="n">
        <v>3079</v>
      </c>
      <c r="L144" s="20" t="n">
        <v>1536</v>
      </c>
      <c r="M144" s="20" t="n">
        <v>1075</v>
      </c>
      <c r="N144" s="20" t="n">
        <v>1121</v>
      </c>
      <c r="T144" s="20" t="n">
        <v>1147</v>
      </c>
      <c r="U144" s="20" t="n">
        <v>908</v>
      </c>
      <c r="V144" s="20" t="n">
        <v>345</v>
      </c>
      <c r="W144" s="20" t="n">
        <v>1076</v>
      </c>
      <c r="X144" s="20" t="n">
        <v>1536</v>
      </c>
    </row>
    <row r="145">
      <c r="A145" s="18" t="inlineStr">
        <is>
          <t>법인세 조정액</t>
        </is>
      </c>
      <c r="C145" s="20" t="n">
        <v>-137</v>
      </c>
      <c r="D145" s="20" t="n">
        <v>-505</v>
      </c>
      <c r="E145" s="20" t="n">
        <v>423</v>
      </c>
      <c r="F145" s="20" t="n">
        <v>448</v>
      </c>
      <c r="G145" s="20" t="n">
        <v>-60</v>
      </c>
      <c r="H145" s="20" t="n">
        <v>-202</v>
      </c>
      <c r="I145" s="20" t="n">
        <v>-79</v>
      </c>
      <c r="J145" s="20" t="n">
        <v>-101</v>
      </c>
      <c r="K145" s="20" t="n">
        <v>-342</v>
      </c>
      <c r="L145" s="20" t="n">
        <v>-236</v>
      </c>
      <c r="M145" s="20" t="n">
        <v>70</v>
      </c>
      <c r="N145" s="20" t="n">
        <v>-4381</v>
      </c>
      <c r="T145" s="20" t="n">
        <v>-432</v>
      </c>
      <c r="U145" s="20" t="n">
        <v>-270</v>
      </c>
      <c r="V145" s="20" t="n">
        <v>-505</v>
      </c>
      <c r="W145" s="20" t="n">
        <v>-202</v>
      </c>
      <c r="X145" s="20" t="n">
        <v>-236</v>
      </c>
    </row>
    <row r="146">
      <c r="A146" s="18" t="inlineStr">
        <is>
          <t>법인세 등 합계</t>
        </is>
      </c>
      <c r="C146" s="20" t="n">
        <v>1937</v>
      </c>
      <c r="D146" s="20" t="n">
        <v>-161</v>
      </c>
      <c r="E146" s="20" t="n">
        <v>622</v>
      </c>
      <c r="F146" s="20" t="n">
        <v>695</v>
      </c>
      <c r="G146" s="20" t="n">
        <v>2612</v>
      </c>
      <c r="H146" s="20" t="n">
        <v>874</v>
      </c>
      <c r="I146" s="20" t="n">
        <v>1009</v>
      </c>
      <c r="J146" s="20" t="n">
        <v>945</v>
      </c>
      <c r="K146" s="20" t="n">
        <v>2737</v>
      </c>
      <c r="L146" s="20" t="n">
        <v>1300</v>
      </c>
      <c r="M146" s="20" t="n">
        <v>1145</v>
      </c>
      <c r="N146" s="20" t="n">
        <v>-3259</v>
      </c>
      <c r="T146" s="20" t="n">
        <v>714</v>
      </c>
      <c r="U146" s="20" t="n">
        <v>638</v>
      </c>
      <c r="V146" s="20" t="n">
        <v>-161</v>
      </c>
      <c r="W146" s="20" t="n">
        <v>874</v>
      </c>
      <c r="X146" s="20" t="n">
        <v>1300</v>
      </c>
    </row>
    <row r="147">
      <c r="A147" s="43" t="inlineStr">
        <is>
          <t>YoY</t>
        </is>
      </c>
      <c r="B147" s="3" t="inlineStr">
        <is>
          <t>전년 같은 분기·전년 대비</t>
        </is>
      </c>
      <c r="G147" s="15">
        <f>IF(OR(G146="",C146=""),"",IF(G146*C146&lt;=0,"",IFERROR(G146/C146-1,"")))</f>
        <v/>
      </c>
      <c r="H147" s="15">
        <f>IF(OR(H146="",D146=""),"",IF(H146*D146&lt;=0,"",IFERROR(H146/D146-1,"")))</f>
        <v/>
      </c>
      <c r="I147" s="15">
        <f>IF(OR(I146="",E146=""),"",IF(I146*E146&lt;=0,"",IFERROR(I146/E146-1,"")))</f>
        <v/>
      </c>
      <c r="J147" s="15">
        <f>IF(OR(J146="",F146=""),"",IF(J146*F146&lt;=0,"",IFERROR(J146/F146-1,"")))</f>
        <v/>
      </c>
      <c r="K147" s="15">
        <f>IF(OR(K146="",G146=""),"",IF(K146*G146&lt;=0,"",IFERROR(K146/G146-1,"")))</f>
        <v/>
      </c>
      <c r="L147" s="15">
        <f>IF(OR(L146="",H146=""),"",IF(L146*H146&lt;=0,"",IFERROR(L146/H146-1,"")))</f>
        <v/>
      </c>
      <c r="M147" s="15">
        <f>IF(OR(M146="",I146=""),"",IF(M146*I146&lt;=0,"",IFERROR(M146/I146-1,"")))</f>
        <v/>
      </c>
      <c r="N147" s="15">
        <f>IF(OR(N146="",J146=""),"",IF(N146*J146&lt;=0,"",IFERROR(N146/J146-1,"")))</f>
        <v/>
      </c>
      <c r="T147" s="15">
        <f>IF(OR(T146="",S146=""),"",IF(T146*S146&lt;=0,"",IFERROR(T146/S146-1,"")))</f>
        <v/>
      </c>
      <c r="U147" s="15">
        <f>IF(OR(U146="",T146=""),"",IF(U146*T146&lt;=0,"",IFERROR(U146/T146-1,"")))</f>
        <v/>
      </c>
      <c r="V147" s="15">
        <f>IF(OR(V146="",U146=""),"",IF(V146*U146&lt;=0,"",IFERROR(V146/U146-1,"")))</f>
        <v/>
      </c>
      <c r="W147" s="15">
        <f>IF(OR(W146="",V146=""),"",IF(W146*V146&lt;=0,"",IFERROR(W146/V146-1,"")))</f>
        <v/>
      </c>
      <c r="X147" s="15">
        <f>IF(OR(X146="",W146=""),"",IF(X146*W146&lt;=0,"",IFERROR(X146/W146-1,"")))</f>
        <v/>
      </c>
    </row>
    <row r="148">
      <c r="A148" s="9" t="inlineStr">
        <is>
          <t>순이익</t>
        </is>
      </c>
      <c r="C148" s="12" t="n">
        <v>3975</v>
      </c>
      <c r="D148" s="12" t="n">
        <v>-2748</v>
      </c>
      <c r="E148" s="12" t="n">
        <v>733</v>
      </c>
      <c r="F148" s="12" t="n">
        <v>910</v>
      </c>
      <c r="G148" s="12" t="n">
        <v>6020</v>
      </c>
      <c r="H148" s="12" t="n">
        <v>485</v>
      </c>
      <c r="I148" s="12" t="n">
        <v>2040</v>
      </c>
      <c r="J148" s="12" t="n">
        <v>1487</v>
      </c>
      <c r="K148" s="12" t="n">
        <v>5203</v>
      </c>
      <c r="L148" s="12" t="n">
        <v>-353</v>
      </c>
      <c r="M148" s="12" t="n">
        <v>1532</v>
      </c>
      <c r="N148" s="12" t="n">
        <v>5506</v>
      </c>
      <c r="T148" s="12" t="n">
        <v>852</v>
      </c>
      <c r="U148" s="12" t="n">
        <v>170</v>
      </c>
      <c r="V148" s="12" t="n">
        <v>-2748</v>
      </c>
      <c r="W148" s="12" t="n">
        <v>485</v>
      </c>
      <c r="X148" s="12" t="n">
        <v>-353</v>
      </c>
    </row>
    <row r="149">
      <c r="A149" s="43" t="inlineStr">
        <is>
          <t>YoY</t>
        </is>
      </c>
      <c r="B149" s="3" t="inlineStr">
        <is>
          <t>전년 같은 분기·전년 대비</t>
        </is>
      </c>
      <c r="G149" s="15">
        <f>IF(OR(G148="",C148=""),"",IF(C148&lt;=0,"",IFERROR(G148/C148-1,"")))</f>
        <v/>
      </c>
      <c r="H149" s="15">
        <f>IF(OR(H148="",D148=""),"",IF(D148&lt;=0,"",IFERROR(H148/D148-1,"")))</f>
        <v/>
      </c>
      <c r="I149" s="15">
        <f>IF(OR(I148="",E148=""),"",IF(E148&lt;=0,"",IFERROR(I148/E148-1,"")))</f>
        <v/>
      </c>
      <c r="J149" s="15">
        <f>IF(OR(J148="",F148=""),"",IF(F148&lt;=0,"",IFERROR(J148/F148-1,"")))</f>
        <v/>
      </c>
      <c r="K149" s="15">
        <f>IF(OR(K148="",G148=""),"",IF(G148&lt;=0,"",IFERROR(K148/G148-1,"")))</f>
        <v/>
      </c>
      <c r="L149" s="15">
        <f>IF(OR(L148="",H148=""),"",IF(H148&lt;=0,"",IFERROR(L148/H148-1,"")))</f>
        <v/>
      </c>
      <c r="M149" s="15">
        <f>IF(OR(M148="",I148=""),"",IF(I148&lt;=0,"",IFERROR(M148/I148-1,"")))</f>
        <v/>
      </c>
      <c r="N149" s="15">
        <f>IF(OR(N148="",J148=""),"",IF(J148&lt;=0,"",IFERROR(N148/J148-1,"")))</f>
        <v/>
      </c>
      <c r="T149" s="15">
        <f>IF(OR(T148="",S148=""),"",IF(S148&lt;=0,"",IFERROR(T148/S148-1,"")))</f>
        <v/>
      </c>
      <c r="U149" s="15">
        <f>IF(OR(U148="",T148=""),"",IF(T148&lt;=0,"",IFERROR(U148/T148-1,"")))</f>
        <v/>
      </c>
      <c r="V149" s="15">
        <f>IF(OR(V148="",U148=""),"",IF(U148&lt;=0,"",IFERROR(V148/U148-1,"")))</f>
        <v/>
      </c>
      <c r="W149" s="15">
        <f>IF(OR(W148="",V148=""),"",IF(V148&lt;=0,"",IFERROR(W148/V148-1,"")))</f>
        <v/>
      </c>
      <c r="X149" s="15">
        <f>IF(OR(X148="",W148=""),"",IF(W148&lt;=0,"",IFERROR(X148/W148-1,"")))</f>
        <v/>
      </c>
    </row>
    <row r="150">
      <c r="A150" s="9" t="inlineStr">
        <is>
          <t>지배주주 순이익</t>
        </is>
      </c>
      <c r="C150" s="12" t="n">
        <v>3967</v>
      </c>
      <c r="D150" s="12" t="n">
        <v>-2751</v>
      </c>
      <c r="E150" s="12" t="n">
        <v>730</v>
      </c>
      <c r="F150" s="12" t="n">
        <v>908</v>
      </c>
      <c r="G150" s="12" t="n">
        <v>6001</v>
      </c>
      <c r="H150" s="12" t="n">
        <v>493</v>
      </c>
      <c r="I150" s="12" t="n">
        <v>2000</v>
      </c>
      <c r="J150" s="12" t="n">
        <v>1500</v>
      </c>
      <c r="K150" s="12" t="n">
        <v>5216</v>
      </c>
      <c r="L150" s="12" t="n">
        <v>-364</v>
      </c>
      <c r="M150" s="12" t="n">
        <v>1480</v>
      </c>
      <c r="N150" s="12" t="n">
        <v>5507</v>
      </c>
      <c r="T150" s="12" t="n">
        <v>852</v>
      </c>
      <c r="U150" s="12" t="n">
        <v>201</v>
      </c>
      <c r="V150" s="12" t="n">
        <v>-2751</v>
      </c>
      <c r="W150" s="12" t="n">
        <v>493</v>
      </c>
      <c r="X150" s="12" t="n">
        <v>-364</v>
      </c>
    </row>
    <row r="151">
      <c r="A151" s="43" t="inlineStr">
        <is>
          <t>YoY</t>
        </is>
      </c>
      <c r="B151" s="3" t="inlineStr">
        <is>
          <t>전년 같은 분기·전년 대비</t>
        </is>
      </c>
      <c r="G151" s="15">
        <f>IF(OR(G150="",C150=""),"",IF(C150&lt;=0,"",IFERROR(G150/C150-1,"")))</f>
        <v/>
      </c>
      <c r="H151" s="15">
        <f>IF(OR(H150="",D150=""),"",IF(D150&lt;=0,"",IFERROR(H150/D150-1,"")))</f>
        <v/>
      </c>
      <c r="I151" s="15">
        <f>IF(OR(I150="",E150=""),"",IF(E150&lt;=0,"",IFERROR(I150/E150-1,"")))</f>
        <v/>
      </c>
      <c r="J151" s="15">
        <f>IF(OR(J150="",F150=""),"",IF(F150&lt;=0,"",IFERROR(J150/F150-1,"")))</f>
        <v/>
      </c>
      <c r="K151" s="15">
        <f>IF(OR(K150="",G150=""),"",IF(G150&lt;=0,"",IFERROR(K150/G150-1,"")))</f>
        <v/>
      </c>
      <c r="L151" s="15">
        <f>IF(OR(L150="",H150=""),"",IF(H150&lt;=0,"",IFERROR(L150/H150-1,"")))</f>
        <v/>
      </c>
      <c r="M151" s="15">
        <f>IF(OR(M150="",I150=""),"",IF(I150&lt;=0,"",IFERROR(M150/I150-1,"")))</f>
        <v/>
      </c>
      <c r="N151" s="15">
        <f>IF(OR(N150="",J150=""),"",IF(J150&lt;=0,"",IFERROR(N150/J150-1,"")))</f>
        <v/>
      </c>
      <c r="T151" s="15">
        <f>IF(OR(T150="",S150=""),"",IF(S150&lt;=0,"",IFERROR(T150/S150-1,"")))</f>
        <v/>
      </c>
      <c r="U151" s="15">
        <f>IF(OR(U150="",T150=""),"",IF(T150&lt;=0,"",IFERROR(U150/T150-1,"")))</f>
        <v/>
      </c>
      <c r="V151" s="15">
        <f>IF(OR(V150="",U150=""),"",IF(U150&lt;=0,"",IFERROR(V150/U150-1,"")))</f>
        <v/>
      </c>
      <c r="W151" s="15">
        <f>IF(OR(W150="",V150=""),"",IF(V150&lt;=0,"",IFERROR(W150/V150-1,"")))</f>
        <v/>
      </c>
      <c r="X151" s="15">
        <f>IF(OR(X150="",W150=""),"",IF(W150&lt;=0,"",IFERROR(X150/W150-1,"")))</f>
        <v/>
      </c>
    </row>
    <row r="152">
      <c r="A152" s="9" t="inlineStr">
        <is>
          <t>비지배주주 순이익</t>
        </is>
      </c>
      <c r="C152" s="12" t="n">
        <v>8</v>
      </c>
      <c r="D152" s="12" t="n">
        <v>4</v>
      </c>
      <c r="E152" s="12" t="n">
        <v>2</v>
      </c>
      <c r="F152" s="12" t="n">
        <v>3</v>
      </c>
      <c r="G152" s="12" t="n">
        <v>18</v>
      </c>
      <c r="H152" s="12" t="n">
        <v>-7</v>
      </c>
      <c r="I152" s="12" t="n">
        <v>39</v>
      </c>
      <c r="J152" s="12" t="n">
        <v>-12</v>
      </c>
      <c r="K152" s="12" t="n">
        <v>-13</v>
      </c>
      <c r="L152" s="12" t="n">
        <v>10</v>
      </c>
      <c r="M152" s="12" t="n">
        <v>51</v>
      </c>
      <c r="N152" s="12" t="n">
        <v>0</v>
      </c>
      <c r="T152" s="12" t="n">
        <v>-1</v>
      </c>
      <c r="U152" s="12" t="n">
        <v>-30</v>
      </c>
      <c r="V152" s="12" t="n">
        <v>4</v>
      </c>
      <c r="W152" s="12" t="n">
        <v>-7</v>
      </c>
      <c r="X152" s="12" t="n">
        <v>10</v>
      </c>
    </row>
    <row r="153">
      <c r="A153" s="18" t="inlineStr">
        <is>
          <t>기타유가증권 평가차액</t>
        </is>
      </c>
      <c r="C153" s="20" t="n">
        <v>-73</v>
      </c>
      <c r="D153" s="20" t="n">
        <v>488</v>
      </c>
      <c r="E153" s="20" t="n">
        <v>228</v>
      </c>
      <c r="F153" s="20" t="n">
        <v>-73</v>
      </c>
      <c r="G153" s="20" t="n">
        <v>-281</v>
      </c>
      <c r="H153" s="20" t="n">
        <v>-261</v>
      </c>
      <c r="I153" s="20" t="n">
        <v>-42</v>
      </c>
      <c r="J153" s="20" t="n">
        <v>330</v>
      </c>
      <c r="K153" s="20" t="n">
        <v>329</v>
      </c>
      <c r="L153" s="20" t="n">
        <v>-565</v>
      </c>
      <c r="M153" s="20" t="n">
        <v>79</v>
      </c>
      <c r="N153" s="20" t="n">
        <v>134</v>
      </c>
      <c r="T153" s="20" t="n">
        <v>-212</v>
      </c>
      <c r="U153" s="20" t="n">
        <v>-130</v>
      </c>
      <c r="V153" s="20" t="n">
        <v>488</v>
      </c>
      <c r="W153" s="20" t="n">
        <v>-261</v>
      </c>
      <c r="X153" s="20" t="n">
        <v>-565</v>
      </c>
    </row>
    <row r="154">
      <c r="A154" s="18" t="inlineStr">
        <is>
          <t>해외사업환산조정</t>
        </is>
      </c>
      <c r="C154" s="20" t="n">
        <v>-48</v>
      </c>
      <c r="D154" s="20" t="n">
        <v>101</v>
      </c>
      <c r="E154" s="20" t="n">
        <v>263</v>
      </c>
      <c r="F154" s="20" t="n">
        <v>-235</v>
      </c>
      <c r="G154" s="20" t="n">
        <v>122</v>
      </c>
      <c r="H154" s="20" t="n">
        <v>-207</v>
      </c>
      <c r="I154" s="20" t="n">
        <v>19</v>
      </c>
      <c r="J154" s="20" t="n">
        <v>92</v>
      </c>
      <c r="K154" s="20" t="n">
        <v>264</v>
      </c>
      <c r="L154" s="20" t="n">
        <v>80</v>
      </c>
      <c r="M154" s="20" t="n">
        <v>73</v>
      </c>
      <c r="N154" s="20" t="n">
        <v>-31</v>
      </c>
      <c r="T154" s="20" t="n">
        <v>294</v>
      </c>
      <c r="U154" s="20" t="n">
        <v>55</v>
      </c>
      <c r="V154" s="20" t="n">
        <v>101</v>
      </c>
      <c r="W154" s="20" t="n">
        <v>-207</v>
      </c>
      <c r="X154" s="20" t="n">
        <v>80</v>
      </c>
    </row>
    <row r="155">
      <c r="A155" s="18" t="inlineStr">
        <is>
          <t>퇴직급여 조정액</t>
        </is>
      </c>
      <c r="C155" s="20" t="n">
        <v>0</v>
      </c>
      <c r="D155" s="20" t="n">
        <v>0</v>
      </c>
      <c r="T155" s="20" t="n">
        <v>20</v>
      </c>
      <c r="U155" s="20" t="n">
        <v>0</v>
      </c>
      <c r="V155" s="20" t="n">
        <v>0</v>
      </c>
    </row>
    <row r="156">
      <c r="A156" s="18" t="inlineStr">
        <is>
          <t>지분법 적용회사 지분 해당액</t>
        </is>
      </c>
      <c r="C156" s="20" t="n">
        <v>-35</v>
      </c>
      <c r="D156" s="20" t="n">
        <v>50</v>
      </c>
      <c r="E156" s="20" t="n">
        <v>65</v>
      </c>
      <c r="F156" s="20" t="n">
        <v>-57</v>
      </c>
      <c r="G156" s="20" t="n">
        <v>58</v>
      </c>
      <c r="H156" s="20" t="n">
        <v>-64</v>
      </c>
      <c r="I156" s="20" t="n">
        <v>-16</v>
      </c>
      <c r="J156" s="20" t="n">
        <v>44</v>
      </c>
      <c r="K156" s="20" t="n">
        <v>222</v>
      </c>
      <c r="L156" s="20" t="n">
        <v>28</v>
      </c>
      <c r="M156" s="20" t="n">
        <v>80</v>
      </c>
      <c r="N156" s="20" t="n">
        <v>29</v>
      </c>
      <c r="T156" s="20" t="n">
        <v>61</v>
      </c>
      <c r="U156" s="20" t="n">
        <v>25</v>
      </c>
      <c r="V156" s="20" t="n">
        <v>50</v>
      </c>
      <c r="W156" s="20" t="n">
        <v>-64</v>
      </c>
      <c r="X156" s="20" t="n">
        <v>28</v>
      </c>
    </row>
    <row r="157">
      <c r="A157" s="18" t="inlineStr">
        <is>
          <t>기타포괄손익 합계</t>
        </is>
      </c>
      <c r="C157" s="20" t="n">
        <v>-155</v>
      </c>
      <c r="D157" s="20" t="n">
        <v>638</v>
      </c>
      <c r="E157" s="20" t="n">
        <v>557</v>
      </c>
      <c r="F157" s="20" t="n">
        <v>-366</v>
      </c>
      <c r="G157" s="20" t="n">
        <v>-101</v>
      </c>
      <c r="H157" s="20" t="n">
        <v>-533</v>
      </c>
      <c r="I157" s="20" t="n">
        <v>-39</v>
      </c>
      <c r="J157" s="20" t="n">
        <v>467</v>
      </c>
      <c r="K157" s="20" t="n">
        <v>815</v>
      </c>
      <c r="L157" s="20" t="n">
        <v>-456</v>
      </c>
      <c r="M157" s="20" t="n">
        <v>233</v>
      </c>
      <c r="N157" s="20" t="n">
        <v>133</v>
      </c>
      <c r="T157" s="20" t="n">
        <v>161</v>
      </c>
      <c r="U157" s="20" t="n">
        <v>-49</v>
      </c>
      <c r="V157" s="20" t="n">
        <v>638</v>
      </c>
      <c r="W157" s="20" t="n">
        <v>-533</v>
      </c>
      <c r="X157" s="20" t="n">
        <v>-456</v>
      </c>
    </row>
    <row r="158">
      <c r="A158" s="9" t="inlineStr">
        <is>
          <t>포괄이익</t>
        </is>
      </c>
      <c r="C158" s="12" t="n">
        <v>3819</v>
      </c>
      <c r="D158" s="12" t="n">
        <v>-2108</v>
      </c>
      <c r="E158" s="12" t="n">
        <v>1290</v>
      </c>
      <c r="F158" s="12" t="n">
        <v>544</v>
      </c>
      <c r="G158" s="12" t="n">
        <v>5919</v>
      </c>
      <c r="H158" s="12" t="n">
        <v>-48</v>
      </c>
      <c r="I158" s="12" t="n">
        <v>2001</v>
      </c>
      <c r="J158" s="12" t="n">
        <v>1954</v>
      </c>
      <c r="K158" s="12" t="n">
        <v>6018</v>
      </c>
      <c r="L158" s="12" t="n">
        <v>-809</v>
      </c>
      <c r="M158" s="12" t="n">
        <v>1766</v>
      </c>
      <c r="N158" s="12" t="n">
        <v>5638</v>
      </c>
      <c r="T158" s="12" t="n">
        <v>1013</v>
      </c>
      <c r="U158" s="12" t="n">
        <v>122</v>
      </c>
      <c r="V158" s="12" t="n">
        <v>-2108</v>
      </c>
      <c r="W158" s="12" t="n">
        <v>-48</v>
      </c>
      <c r="X158" s="12" t="n">
        <v>-809</v>
      </c>
    </row>
    <row r="159">
      <c r="A159" s="9" t="inlineStr">
        <is>
          <t>지배주주 포괄이익</t>
        </is>
      </c>
      <c r="C159" s="12" t="n">
        <v>3814</v>
      </c>
      <c r="D159" s="12" t="n">
        <v>-2118</v>
      </c>
      <c r="E159" s="12" t="n">
        <v>1287</v>
      </c>
      <c r="F159" s="12" t="n">
        <v>542</v>
      </c>
      <c r="G159" s="12" t="n">
        <v>5900</v>
      </c>
      <c r="H159" s="12" t="n">
        <v>-40</v>
      </c>
      <c r="I159" s="12" t="n">
        <v>1959</v>
      </c>
      <c r="J159" s="12" t="n">
        <v>1963</v>
      </c>
      <c r="K159" s="12" t="n">
        <v>6027</v>
      </c>
      <c r="L159" s="12" t="n">
        <v>-813</v>
      </c>
      <c r="M159" s="12" t="n">
        <v>1713</v>
      </c>
      <c r="N159" s="12" t="n">
        <v>5640</v>
      </c>
      <c r="T159" s="12" t="n">
        <v>1000</v>
      </c>
      <c r="U159" s="12" t="n">
        <v>148</v>
      </c>
      <c r="V159" s="12" t="n">
        <v>-2118</v>
      </c>
      <c r="W159" s="12" t="n">
        <v>-40</v>
      </c>
      <c r="X159" s="12" t="n">
        <v>-813</v>
      </c>
    </row>
    <row r="160">
      <c r="A160" s="9" t="inlineStr">
        <is>
          <t>비지배주주 포괄이익</t>
        </is>
      </c>
      <c r="C160" s="12" t="n">
        <v>5</v>
      </c>
      <c r="D160" s="12" t="n">
        <v>9</v>
      </c>
      <c r="E160" s="12" t="n">
        <v>3</v>
      </c>
      <c r="F160" s="12" t="n">
        <v>2</v>
      </c>
      <c r="G160" s="12" t="n">
        <v>19</v>
      </c>
      <c r="H160" s="12" t="n">
        <v>-8</v>
      </c>
      <c r="I160" s="12" t="n">
        <v>41</v>
      </c>
      <c r="J160" s="12" t="n">
        <v>-9</v>
      </c>
      <c r="K160" s="12" t="n">
        <v>-9</v>
      </c>
      <c r="L160" s="12" t="n">
        <v>5</v>
      </c>
      <c r="M160" s="12" t="n">
        <v>52</v>
      </c>
      <c r="N160" s="12" t="n">
        <v>-1</v>
      </c>
      <c r="T160" s="12" t="n">
        <v>13</v>
      </c>
      <c r="U160" s="12" t="n">
        <v>-26</v>
      </c>
      <c r="V160" s="12" t="n">
        <v>9</v>
      </c>
      <c r="W160" s="12" t="n">
        <v>-8</v>
      </c>
      <c r="X160" s="12" t="n">
        <v>5</v>
      </c>
    </row>
    <row r="162">
      <c r="A162" s="16" t="inlineStr">
        <is>
          <t>부문 · 전 항목</t>
        </is>
      </c>
      <c r="B162" s="42" t="inlineStr">
        <is>
          <t>부문 · 항목</t>
        </is>
      </c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</row>
    <row r="163">
      <c r="A163" s="5" t="inlineStr">
        <is>
          <t>항목</t>
        </is>
      </c>
      <c r="B163" s="5" t="inlineStr">
        <is>
          <t>참고</t>
        </is>
      </c>
      <c r="C163" s="5" t="inlineStr">
        <is>
          <t>2024.3Q</t>
        </is>
      </c>
      <c r="D163" s="5" t="inlineStr">
        <is>
          <t>2024.4Q</t>
        </is>
      </c>
      <c r="E163" s="5" t="inlineStr">
        <is>
          <t>2025.1Q</t>
        </is>
      </c>
      <c r="F163" s="5" t="inlineStr">
        <is>
          <t>2025.2Q</t>
        </is>
      </c>
      <c r="G163" s="5" t="inlineStr">
        <is>
          <t>2025.3Q</t>
        </is>
      </c>
      <c r="H163" s="5" t="inlineStr">
        <is>
          <t>2025.4Q</t>
        </is>
      </c>
      <c r="I163" s="5" t="inlineStr">
        <is>
          <t>2026.1Q</t>
        </is>
      </c>
      <c r="J163" s="5" t="inlineStr">
        <is>
          <t>2026.2Q</t>
        </is>
      </c>
      <c r="K163" s="5" t="inlineStr">
        <is>
          <t>2026.3Q</t>
        </is>
      </c>
      <c r="L163" s="5" t="inlineStr">
        <is>
          <t>2026.4Q</t>
        </is>
      </c>
      <c r="M163" s="5" t="inlineStr">
        <is>
          <t>2027.1Q</t>
        </is>
      </c>
      <c r="N163" s="5" t="inlineStr">
        <is>
          <t>2027.2Q</t>
        </is>
      </c>
      <c r="O163" s="5" t="inlineStr">
        <is>
          <t>2017</t>
        </is>
      </c>
      <c r="P163" s="5" t="inlineStr">
        <is>
          <t>2018</t>
        </is>
      </c>
      <c r="Q163" s="5" t="inlineStr">
        <is>
          <t>2019</t>
        </is>
      </c>
      <c r="R163" s="5" t="inlineStr">
        <is>
          <t>2020</t>
        </is>
      </c>
      <c r="S163" s="5" t="inlineStr">
        <is>
          <t>2021</t>
        </is>
      </c>
      <c r="T163" s="5" t="inlineStr">
        <is>
          <t>2022</t>
        </is>
      </c>
      <c r="U163" s="5" t="inlineStr">
        <is>
          <t>2023</t>
        </is>
      </c>
      <c r="V163" s="5" t="inlineStr">
        <is>
          <t>2024</t>
        </is>
      </c>
      <c r="W163" s="5" t="inlineStr">
        <is>
          <t>2025</t>
        </is>
      </c>
      <c r="X163" s="5" t="inlineStr">
        <is>
          <t>2026</t>
        </is>
      </c>
      <c r="Y163" s="5" t="inlineStr">
        <is>
          <t>2027(MW)</t>
        </is>
      </c>
      <c r="Z163" s="5" t="inlineStr">
        <is>
          <t>2028(MW)</t>
        </is>
      </c>
      <c r="AA163" s="5" t="inlineStr">
        <is>
          <t>2029(MW)</t>
        </is>
      </c>
      <c r="AB163" s="5" t="inlineStr">
        <is>
          <t>2030(MW)</t>
        </is>
      </c>
      <c r="AC163" s="5" t="inlineStr">
        <is>
          <t>2031(MW)</t>
        </is>
      </c>
    </row>
    <row r="164">
      <c r="A164" s="18" t="inlineStr">
        <is>
          <t>부문 · 외부 고객 매출</t>
        </is>
      </c>
      <c r="C164" s="20" t="n">
        <v>54269</v>
      </c>
      <c r="E164" s="20" t="n">
        <v>42611</v>
      </c>
      <c r="F164" s="20" t="n">
        <v>44311</v>
      </c>
      <c r="G164" s="20" t="n">
        <v>59875</v>
      </c>
      <c r="H164" s="20" t="n">
        <v>45333</v>
      </c>
      <c r="I164" s="20" t="n">
        <v>45195</v>
      </c>
      <c r="J164" s="20" t="n">
        <v>45797</v>
      </c>
      <c r="K164" s="20" t="n">
        <v>61117</v>
      </c>
      <c r="L164" s="20" t="n">
        <v>46676</v>
      </c>
      <c r="M164" s="20" t="n">
        <v>46829</v>
      </c>
      <c r="N164" s="20" t="n">
        <v>48383</v>
      </c>
      <c r="W164" s="20" t="n">
        <v>45333</v>
      </c>
      <c r="X164" s="20" t="n">
        <v>46676</v>
      </c>
    </row>
    <row r="165">
      <c r="A165" s="43" t="inlineStr">
        <is>
          <t>YoY</t>
        </is>
      </c>
      <c r="B165" s="3" t="inlineStr">
        <is>
          <t>전년 같은 분기·전년 대비</t>
        </is>
      </c>
      <c r="G165" s="15">
        <f>IF(OR(G164="",C164=""),"",IF(C164&lt;=0,"",IFERROR(G164/C164-1,"")))</f>
        <v/>
      </c>
      <c r="H165" s="15">
        <f>IF(OR(H164="",D164=""),"",IF(D164&lt;=0,"",IFERROR(H164/D164-1,"")))</f>
        <v/>
      </c>
      <c r="I165" s="15">
        <f>IF(OR(I164="",E164=""),"",IF(E164&lt;=0,"",IFERROR(I164/E164-1,"")))</f>
        <v/>
      </c>
      <c r="J165" s="15">
        <f>IF(OR(J164="",F164=""),"",IF(F164&lt;=0,"",IFERROR(J164/F164-1,"")))</f>
        <v/>
      </c>
      <c r="K165" s="15">
        <f>IF(OR(K164="",G164=""),"",IF(G164&lt;=0,"",IFERROR(K164/G164-1,"")))</f>
        <v/>
      </c>
      <c r="L165" s="15">
        <f>IF(OR(L164="",H164=""),"",IF(H164&lt;=0,"",IFERROR(L164/H164-1,"")))</f>
        <v/>
      </c>
      <c r="M165" s="15">
        <f>IF(OR(M164="",I164=""),"",IF(I164&lt;=0,"",IFERROR(M164/I164-1,"")))</f>
        <v/>
      </c>
      <c r="N165" s="15">
        <f>IF(OR(N164="",J164=""),"",IF(J164&lt;=0,"",IFERROR(N164/J164-1,"")))</f>
        <v/>
      </c>
      <c r="W165" s="15">
        <f>IF(OR(W164="",V164=""),"",IF(V164&lt;=0,"",IFERROR(W164/V164-1,"")))</f>
        <v/>
      </c>
      <c r="X165" s="15">
        <f>IF(OR(X164="",W164=""),"",IF(W164&lt;=0,"",IFERROR(X164/W164-1,"")))</f>
        <v/>
      </c>
    </row>
    <row r="166">
      <c r="A166" s="18" t="inlineStr">
        <is>
          <t>부문 · 외부 고객 매출</t>
        </is>
      </c>
      <c r="C166" s="20" t="n">
        <v>5032</v>
      </c>
      <c r="E166" s="20" t="n">
        <v>4884</v>
      </c>
      <c r="F166" s="20" t="n">
        <v>5280</v>
      </c>
      <c r="G166" s="20" t="n">
        <v>9701</v>
      </c>
      <c r="H166" s="20" t="n">
        <v>9174</v>
      </c>
      <c r="I166" s="20" t="n">
        <v>12126</v>
      </c>
      <c r="J166" s="20" t="n">
        <v>12286</v>
      </c>
      <c r="K166" s="20" t="n">
        <v>13969</v>
      </c>
      <c r="L166" s="20" t="n">
        <v>14244</v>
      </c>
      <c r="M166" s="20" t="n">
        <v>14485</v>
      </c>
      <c r="N166" s="20" t="n">
        <v>17100</v>
      </c>
      <c r="W166" s="20" t="n">
        <v>9174</v>
      </c>
      <c r="X166" s="20" t="n">
        <v>14244</v>
      </c>
    </row>
    <row r="167">
      <c r="A167" s="43" t="inlineStr">
        <is>
          <t>YoY</t>
        </is>
      </c>
      <c r="B167" s="3" t="inlineStr">
        <is>
          <t>전년 같은 분기·전년 대비</t>
        </is>
      </c>
      <c r="G167" s="15">
        <f>IF(OR(G166="",C166=""),"",IF(C166&lt;=0,"",IFERROR(G166/C166-1,"")))</f>
        <v/>
      </c>
      <c r="H167" s="15">
        <f>IF(OR(H166="",D166=""),"",IF(D166&lt;=0,"",IFERROR(H166/D166-1,"")))</f>
        <v/>
      </c>
      <c r="I167" s="15">
        <f>IF(OR(I166="",E166=""),"",IF(E166&lt;=0,"",IFERROR(I166/E166-1,"")))</f>
        <v/>
      </c>
      <c r="J167" s="15">
        <f>IF(OR(J166="",F166=""),"",IF(F166&lt;=0,"",IFERROR(J166/F166-1,"")))</f>
        <v/>
      </c>
      <c r="K167" s="15">
        <f>IF(OR(K166="",G166=""),"",IF(G166&lt;=0,"",IFERROR(K166/G166-1,"")))</f>
        <v/>
      </c>
      <c r="L167" s="15">
        <f>IF(OR(L166="",H166=""),"",IF(H166&lt;=0,"",IFERROR(L166/H166-1,"")))</f>
        <v/>
      </c>
      <c r="M167" s="15">
        <f>IF(OR(M166="",I166=""),"",IF(I166&lt;=0,"",IFERROR(M166/I166-1,"")))</f>
        <v/>
      </c>
      <c r="N167" s="15">
        <f>IF(OR(N166="",J166=""),"",IF(J166&lt;=0,"",IFERROR(N166/J166-1,"")))</f>
        <v/>
      </c>
      <c r="W167" s="15">
        <f>IF(OR(W166="",V166=""),"",IF(V166&lt;=0,"",IFERROR(W166/V166-1,"")))</f>
        <v/>
      </c>
      <c r="X167" s="15">
        <f>IF(OR(X166="",W166=""),"",IF(W166&lt;=0,"",IFERROR(X166/W166-1,"")))</f>
        <v/>
      </c>
    </row>
    <row r="168">
      <c r="A168" s="18" t="inlineStr">
        <is>
          <t>부문 · 외부 고객 매출</t>
        </is>
      </c>
      <c r="C168" s="20" t="n">
        <v>7501</v>
      </c>
      <c r="E168" s="20" t="n">
        <v>5593</v>
      </c>
      <c r="F168" s="20" t="n">
        <v>5727</v>
      </c>
      <c r="G168" s="20" t="n">
        <v>7259</v>
      </c>
      <c r="H168" s="20" t="n">
        <v>5915</v>
      </c>
      <c r="I168" s="20" t="n">
        <v>5622</v>
      </c>
      <c r="J168" s="20" t="n">
        <v>5415</v>
      </c>
      <c r="K168" s="20" t="n">
        <v>6898</v>
      </c>
      <c r="L168" s="20" t="n">
        <v>5998</v>
      </c>
      <c r="M168" s="20" t="n">
        <v>5968</v>
      </c>
      <c r="N168" s="20" t="n">
        <v>5558</v>
      </c>
      <c r="W168" s="20" t="n">
        <v>5915</v>
      </c>
      <c r="X168" s="20" t="n">
        <v>5998</v>
      </c>
    </row>
    <row r="169">
      <c r="A169" s="43" t="inlineStr">
        <is>
          <t>YoY</t>
        </is>
      </c>
      <c r="B169" s="3" t="inlineStr">
        <is>
          <t>전년 같은 분기·전년 대비</t>
        </is>
      </c>
      <c r="G169" s="15">
        <f>IF(OR(G168="",C168=""),"",IF(C168&lt;=0,"",IFERROR(G168/C168-1,"")))</f>
        <v/>
      </c>
      <c r="H169" s="15">
        <f>IF(OR(H168="",D168=""),"",IF(D168&lt;=0,"",IFERROR(H168/D168-1,"")))</f>
        <v/>
      </c>
      <c r="I169" s="15">
        <f>IF(OR(I168="",E168=""),"",IF(E168&lt;=0,"",IFERROR(I168/E168-1,"")))</f>
        <v/>
      </c>
      <c r="J169" s="15">
        <f>IF(OR(J168="",F168=""),"",IF(F168&lt;=0,"",IFERROR(J168/F168-1,"")))</f>
        <v/>
      </c>
      <c r="K169" s="15">
        <f>IF(OR(K168="",G168=""),"",IF(G168&lt;=0,"",IFERROR(K168/G168-1,"")))</f>
        <v/>
      </c>
      <c r="L169" s="15">
        <f>IF(OR(L168="",H168=""),"",IF(H168&lt;=0,"",IFERROR(L168/H168-1,"")))</f>
        <v/>
      </c>
      <c r="M169" s="15">
        <f>IF(OR(M168="",I168=""),"",IF(I168&lt;=0,"",IFERROR(M168/I168-1,"")))</f>
        <v/>
      </c>
      <c r="N169" s="15">
        <f>IF(OR(N168="",J168=""),"",IF(J168&lt;=0,"",IFERROR(N168/J168-1,"")))</f>
        <v/>
      </c>
      <c r="W169" s="15">
        <f>IF(OR(W168="",V168=""),"",IF(V168&lt;=0,"",IFERROR(W168/V168-1,"")))</f>
        <v/>
      </c>
      <c r="X169" s="15">
        <f>IF(OR(X168="",W168=""),"",IF(W168&lt;=0,"",IFERROR(X168/W168-1,"")))</f>
        <v/>
      </c>
    </row>
    <row r="170">
      <c r="A170" s="18" t="inlineStr">
        <is>
          <t>부문 · 외부 고객 매출</t>
        </is>
      </c>
      <c r="C170" s="20" t="n">
        <v>956</v>
      </c>
      <c r="E170" s="20" t="n">
        <v>921</v>
      </c>
      <c r="F170" s="20" t="n">
        <v>971</v>
      </c>
      <c r="G170" s="20" t="n">
        <v>1082</v>
      </c>
      <c r="H170" s="20" t="n">
        <v>887</v>
      </c>
      <c r="I170" s="20" t="n">
        <v>1279</v>
      </c>
      <c r="J170" s="20" t="n">
        <v>1117</v>
      </c>
      <c r="K170" s="20" t="n">
        <v>1139</v>
      </c>
      <c r="L170" s="20" t="n">
        <v>1175</v>
      </c>
      <c r="M170" s="20" t="n">
        <v>1531</v>
      </c>
      <c r="N170" s="20" t="n">
        <v>1336</v>
      </c>
      <c r="W170" s="20" t="n">
        <v>887</v>
      </c>
      <c r="X170" s="20" t="n">
        <v>1175</v>
      </c>
    </row>
    <row r="171">
      <c r="A171" s="43" t="inlineStr">
        <is>
          <t>YoY</t>
        </is>
      </c>
      <c r="B171" s="3" t="inlineStr">
        <is>
          <t>전년 같은 분기·전년 대비</t>
        </is>
      </c>
      <c r="G171" s="15">
        <f>IF(OR(G170="",C170=""),"",IF(C170&lt;=0,"",IFERROR(G170/C170-1,"")))</f>
        <v/>
      </c>
      <c r="H171" s="15">
        <f>IF(OR(H170="",D170=""),"",IF(D170&lt;=0,"",IFERROR(H170/D170-1,"")))</f>
        <v/>
      </c>
      <c r="I171" s="15">
        <f>IF(OR(I170="",E170=""),"",IF(E170&lt;=0,"",IFERROR(I170/E170-1,"")))</f>
        <v/>
      </c>
      <c r="J171" s="15">
        <f>IF(OR(J170="",F170=""),"",IF(F170&lt;=0,"",IFERROR(J170/F170-1,"")))</f>
        <v/>
      </c>
      <c r="K171" s="15">
        <f>IF(OR(K170="",G170=""),"",IF(G170&lt;=0,"",IFERROR(K170/G170-1,"")))</f>
        <v/>
      </c>
      <c r="L171" s="15">
        <f>IF(OR(L170="",H170=""),"",IF(H170&lt;=0,"",IFERROR(L170/H170-1,"")))</f>
        <v/>
      </c>
      <c r="M171" s="15">
        <f>IF(OR(M170="",I170=""),"",IF(I170&lt;=0,"",IFERROR(M170/I170-1,"")))</f>
        <v/>
      </c>
      <c r="N171" s="15">
        <f>IF(OR(N170="",J170=""),"",IF(J170&lt;=0,"",IFERROR(N170/J170-1,"")))</f>
        <v/>
      </c>
      <c r="W171" s="15">
        <f>IF(OR(W170="",V170=""),"",IF(V170&lt;=0,"",IFERROR(W170/V170-1,"")))</f>
        <v/>
      </c>
      <c r="X171" s="15">
        <f>IF(OR(X170="",W170=""),"",IF(W170&lt;=0,"",IFERROR(X170/W170-1,"")))</f>
        <v/>
      </c>
    </row>
    <row r="172">
      <c r="A172" s="18" t="inlineStr">
        <is>
          <t>보고부문 합계 · 외부 고객 매출</t>
        </is>
      </c>
      <c r="C172" s="20" t="n">
        <v>67757</v>
      </c>
      <c r="E172" s="20" t="n">
        <v>54011</v>
      </c>
      <c r="F172" s="20" t="n">
        <v>56288</v>
      </c>
      <c r="G172" s="20" t="n">
        <v>77917</v>
      </c>
      <c r="H172" s="20" t="n">
        <v>61309</v>
      </c>
      <c r="I172" s="20" t="n">
        <v>64223</v>
      </c>
      <c r="J172" s="20" t="n">
        <v>64615</v>
      </c>
      <c r="K172" s="20" t="n">
        <v>83123</v>
      </c>
      <c r="L172" s="20" t="n">
        <v>68094</v>
      </c>
      <c r="M172" s="20" t="n">
        <v>68815</v>
      </c>
      <c r="N172" s="20" t="n">
        <v>72376</v>
      </c>
      <c r="W172" s="20" t="n">
        <v>61309</v>
      </c>
      <c r="X172" s="20" t="n">
        <v>68094</v>
      </c>
    </row>
    <row r="173">
      <c r="A173" s="43" t="inlineStr">
        <is>
          <t>YoY</t>
        </is>
      </c>
      <c r="B173" s="3" t="inlineStr">
        <is>
          <t>전년 같은 분기·전년 대비</t>
        </is>
      </c>
      <c r="G173" s="15">
        <f>IF(OR(G172="",C172=""),"",IF(C172&lt;=0,"",IFERROR(G172/C172-1,"")))</f>
        <v/>
      </c>
      <c r="H173" s="15">
        <f>IF(OR(H172="",D172=""),"",IF(D172&lt;=0,"",IFERROR(H172/D172-1,"")))</f>
        <v/>
      </c>
      <c r="I173" s="15">
        <f>IF(OR(I172="",E172=""),"",IF(E172&lt;=0,"",IFERROR(I172/E172-1,"")))</f>
        <v/>
      </c>
      <c r="J173" s="15">
        <f>IF(OR(J172="",F172=""),"",IF(F172&lt;=0,"",IFERROR(J172/F172-1,"")))</f>
        <v/>
      </c>
      <c r="K173" s="15">
        <f>IF(OR(K172="",G172=""),"",IF(G172&lt;=0,"",IFERROR(K172/G172-1,"")))</f>
        <v/>
      </c>
      <c r="L173" s="15">
        <f>IF(OR(L172="",H172=""),"",IF(H172&lt;=0,"",IFERROR(L172/H172-1,"")))</f>
        <v/>
      </c>
      <c r="M173" s="15">
        <f>IF(OR(M172="",I172=""),"",IF(I172&lt;=0,"",IFERROR(M172/I172-1,"")))</f>
        <v/>
      </c>
      <c r="N173" s="15">
        <f>IF(OR(N172="",J172=""),"",IF(J172&lt;=0,"",IFERROR(N172/J172-1,"")))</f>
        <v/>
      </c>
      <c r="W173" s="15">
        <f>IF(OR(W172="",V172=""),"",IF(V172&lt;=0,"",IFERROR(W172/V172-1,"")))</f>
        <v/>
      </c>
      <c r="X173" s="15">
        <f>IF(OR(X172="",W172=""),"",IF(W172&lt;=0,"",IFERROR(X172/W172-1,"")))</f>
        <v/>
      </c>
    </row>
    <row r="174">
      <c r="A174" s="18" t="inlineStr">
        <is>
          <t>조정액 · 외부 고객 매출</t>
        </is>
      </c>
      <c r="C174" s="20" t="n">
        <v>0</v>
      </c>
      <c r="E174" s="20" t="n">
        <v>0</v>
      </c>
      <c r="F174" s="20" t="n">
        <v>0</v>
      </c>
      <c r="G174" s="20" t="n">
        <v>0</v>
      </c>
      <c r="H174" s="20" t="n">
        <v>0</v>
      </c>
      <c r="I174" s="20" t="n">
        <v>0</v>
      </c>
      <c r="J174" s="20" t="n">
        <v>0</v>
      </c>
      <c r="K174" s="20" t="n">
        <v>0</v>
      </c>
      <c r="L174" s="20" t="n">
        <v>0</v>
      </c>
      <c r="M174" s="20" t="n">
        <v>0</v>
      </c>
      <c r="N174" s="20" t="n">
        <v>0</v>
      </c>
      <c r="W174" s="20" t="n">
        <v>0</v>
      </c>
      <c r="X174" s="20" t="n">
        <v>0</v>
      </c>
    </row>
    <row r="175">
      <c r="A175" s="9" t="inlineStr">
        <is>
          <t>외부 고객 매출</t>
        </is>
      </c>
      <c r="C175" s="12" t="n">
        <v>67757</v>
      </c>
      <c r="E175" s="12" t="n">
        <v>54011</v>
      </c>
      <c r="F175" s="12" t="n">
        <v>56288</v>
      </c>
      <c r="G175" s="12" t="n">
        <v>77917</v>
      </c>
      <c r="H175" s="12" t="n">
        <v>61309</v>
      </c>
      <c r="I175" s="12" t="n">
        <v>64223</v>
      </c>
      <c r="J175" s="12" t="n">
        <v>64615</v>
      </c>
      <c r="K175" s="12" t="n">
        <v>83123</v>
      </c>
      <c r="L175" s="12" t="n">
        <v>68094</v>
      </c>
      <c r="M175" s="12" t="n">
        <v>68815</v>
      </c>
      <c r="N175" s="12" t="n">
        <v>72376</v>
      </c>
      <c r="W175" s="12" t="n">
        <v>61309</v>
      </c>
      <c r="X175" s="12" t="n">
        <v>68094</v>
      </c>
    </row>
    <row r="176">
      <c r="A176" s="43" t="inlineStr">
        <is>
          <t>YoY</t>
        </is>
      </c>
      <c r="B176" s="3" t="inlineStr">
        <is>
          <t>전년 같은 분기·전년 대비</t>
        </is>
      </c>
      <c r="G176" s="15">
        <f>IF(OR(G175="",C175=""),"",IF(C175&lt;=0,"",IFERROR(G175/C175-1,"")))</f>
        <v/>
      </c>
      <c r="H176" s="15">
        <f>IF(OR(H175="",D175=""),"",IF(D175&lt;=0,"",IFERROR(H175/D175-1,"")))</f>
        <v/>
      </c>
      <c r="I176" s="15">
        <f>IF(OR(I175="",E175=""),"",IF(E175&lt;=0,"",IFERROR(I175/E175-1,"")))</f>
        <v/>
      </c>
      <c r="J176" s="15">
        <f>IF(OR(J175="",F175=""),"",IF(F175&lt;=0,"",IFERROR(J175/F175-1,"")))</f>
        <v/>
      </c>
      <c r="K176" s="15">
        <f>IF(OR(K175="",G175=""),"",IF(G175&lt;=0,"",IFERROR(K175/G175-1,"")))</f>
        <v/>
      </c>
      <c r="L176" s="15">
        <f>IF(OR(L175="",H175=""),"",IF(H175&lt;=0,"",IFERROR(L175/H175-1,"")))</f>
        <v/>
      </c>
      <c r="M176" s="15">
        <f>IF(OR(M175="",I175=""),"",IF(I175&lt;=0,"",IFERROR(M175/I175-1,"")))</f>
        <v/>
      </c>
      <c r="N176" s="15">
        <f>IF(OR(N175="",J175=""),"",IF(J175&lt;=0,"",IFERROR(N175/J175-1,"")))</f>
        <v/>
      </c>
      <c r="W176" s="15">
        <f>IF(OR(W175="",V175=""),"",IF(V175&lt;=0,"",IFERROR(W175/V175-1,"")))</f>
        <v/>
      </c>
      <c r="X176" s="15">
        <f>IF(OR(X175="",W175=""),"",IF(W175&lt;=0,"",IFERROR(X175/W175-1,"")))</f>
        <v/>
      </c>
    </row>
    <row r="177">
      <c r="A177" s="18" t="inlineStr">
        <is>
          <t>부문 · 부문 간 내부매출·대체</t>
        </is>
      </c>
      <c r="E177" s="20" t="n">
        <v>1154</v>
      </c>
    </row>
    <row r="178">
      <c r="A178" s="18" t="inlineStr">
        <is>
          <t>해외 사업 · 부문 간 내부매출·대체</t>
        </is>
      </c>
      <c r="E178" s="20" t="n">
        <v>148</v>
      </c>
    </row>
    <row r="179">
      <c r="A179" s="18" t="inlineStr">
        <is>
          <t>BtoB · 부문 간 내부매출·대체</t>
        </is>
      </c>
      <c r="E179" s="20" t="n">
        <v>1729</v>
      </c>
    </row>
    <row r="180">
      <c r="A180" s="18" t="inlineStr">
        <is>
          <t>OtherReportableSegmentsMember · 부문 간 내부매출·대체</t>
        </is>
      </c>
      <c r="E180" s="20" t="n">
        <v>1443</v>
      </c>
    </row>
    <row r="181">
      <c r="A181" s="18" t="inlineStr">
        <is>
          <t>부문 · 부문 간 내부매출·대체</t>
        </is>
      </c>
      <c r="C181" s="20" t="n">
        <v>1621</v>
      </c>
      <c r="E181" s="20" t="n">
        <v>1154</v>
      </c>
      <c r="F181" s="20" t="n">
        <v>1213</v>
      </c>
      <c r="G181" s="20" t="n">
        <v>1537</v>
      </c>
      <c r="H181" s="20" t="n">
        <v>1066</v>
      </c>
      <c r="I181" s="20" t="n">
        <v>1312</v>
      </c>
      <c r="J181" s="20" t="n">
        <v>1861</v>
      </c>
      <c r="K181" s="20" t="n">
        <v>2509</v>
      </c>
      <c r="L181" s="20" t="n">
        <v>1895</v>
      </c>
      <c r="M181" s="20" t="n">
        <v>2164</v>
      </c>
      <c r="N181" s="20" t="n">
        <v>2131</v>
      </c>
      <c r="W181" s="20" t="n">
        <v>1066</v>
      </c>
      <c r="X181" s="20" t="n">
        <v>1895</v>
      </c>
    </row>
    <row r="182">
      <c r="A182" s="18" t="inlineStr">
        <is>
          <t>부문 · 부문 간 내부매출·대체</t>
        </is>
      </c>
      <c r="C182" s="20" t="n">
        <v>29</v>
      </c>
      <c r="E182" s="20" t="n">
        <v>23</v>
      </c>
      <c r="F182" s="20" t="n">
        <v>36</v>
      </c>
      <c r="G182" s="20" t="n">
        <v>94</v>
      </c>
      <c r="H182" s="20" t="n">
        <v>116</v>
      </c>
      <c r="I182" s="20" t="n">
        <v>67</v>
      </c>
      <c r="J182" s="20" t="n">
        <v>49</v>
      </c>
      <c r="K182" s="20" t="n">
        <v>46</v>
      </c>
      <c r="L182" s="20" t="n">
        <v>51</v>
      </c>
      <c r="M182" s="20" t="n">
        <v>77</v>
      </c>
      <c r="N182" s="20" t="n">
        <v>55</v>
      </c>
      <c r="W182" s="20" t="n">
        <v>116</v>
      </c>
      <c r="X182" s="20" t="n">
        <v>51</v>
      </c>
    </row>
    <row r="183">
      <c r="A183" s="18" t="inlineStr">
        <is>
          <t>부문 · 부문 간 내부매출·대체</t>
        </is>
      </c>
      <c r="C183" s="20" t="n">
        <v>3638</v>
      </c>
      <c r="E183" s="20" t="n">
        <v>2029</v>
      </c>
      <c r="F183" s="20" t="n">
        <v>2720</v>
      </c>
      <c r="G183" s="20" t="n">
        <v>3907</v>
      </c>
      <c r="H183" s="20" t="n">
        <v>2397</v>
      </c>
      <c r="I183" s="20" t="n">
        <v>2423</v>
      </c>
      <c r="J183" s="20" t="n">
        <v>2389</v>
      </c>
      <c r="K183" s="20" t="n">
        <v>3123</v>
      </c>
      <c r="L183" s="20" t="n">
        <v>1642</v>
      </c>
      <c r="M183" s="20" t="n">
        <v>2412</v>
      </c>
      <c r="N183" s="20" t="n">
        <v>3031</v>
      </c>
      <c r="W183" s="20" t="n">
        <v>2397</v>
      </c>
      <c r="X183" s="20" t="n">
        <v>1642</v>
      </c>
    </row>
    <row r="184">
      <c r="A184" s="18" t="inlineStr">
        <is>
          <t>부문 · 부문 간 내부매출·대체</t>
        </is>
      </c>
      <c r="C184" s="20" t="n">
        <v>1145</v>
      </c>
      <c r="E184" s="20" t="n">
        <v>1280</v>
      </c>
      <c r="F184" s="20" t="n">
        <v>1292</v>
      </c>
      <c r="G184" s="20" t="n">
        <v>1335</v>
      </c>
      <c r="H184" s="20" t="n">
        <v>1339</v>
      </c>
      <c r="I184" s="20" t="n">
        <v>1427</v>
      </c>
      <c r="J184" s="20" t="n">
        <v>1440</v>
      </c>
      <c r="K184" s="20" t="n">
        <v>1590</v>
      </c>
      <c r="L184" s="20" t="n">
        <v>1548</v>
      </c>
      <c r="M184" s="20" t="n">
        <v>1672</v>
      </c>
      <c r="N184" s="20" t="n">
        <v>1659</v>
      </c>
      <c r="W184" s="20" t="n">
        <v>1339</v>
      </c>
      <c r="X184" s="20" t="n">
        <v>1548</v>
      </c>
    </row>
    <row r="185">
      <c r="A185" s="18" t="inlineStr">
        <is>
          <t>보고부문 합계 · 부문 간 내부매출·대체</t>
        </is>
      </c>
      <c r="C185" s="20" t="n">
        <v>6433</v>
      </c>
      <c r="E185" s="20" t="n">
        <v>4488</v>
      </c>
      <c r="F185" s="20" t="n">
        <v>5260</v>
      </c>
      <c r="G185" s="20" t="n">
        <v>6874</v>
      </c>
      <c r="H185" s="20" t="n">
        <v>4918</v>
      </c>
      <c r="I185" s="20" t="n">
        <v>5231</v>
      </c>
      <c r="J185" s="20" t="n">
        <v>5738</v>
      </c>
      <c r="K185" s="20" t="n">
        <v>7268</v>
      </c>
      <c r="L185" s="20" t="n">
        <v>5138</v>
      </c>
      <c r="M185" s="20" t="n">
        <v>6327</v>
      </c>
      <c r="N185" s="20" t="n">
        <v>6876</v>
      </c>
      <c r="W185" s="20" t="n">
        <v>4918</v>
      </c>
      <c r="X185" s="20" t="n">
        <v>5138</v>
      </c>
    </row>
    <row r="186">
      <c r="A186" s="18" t="inlineStr">
        <is>
          <t>조정액 · 부문 간 내부매출·대체</t>
        </is>
      </c>
      <c r="C186" s="20" t="n">
        <v>-6433</v>
      </c>
      <c r="E186" s="20" t="n">
        <v>-4488</v>
      </c>
      <c r="F186" s="20" t="n">
        <v>-5260</v>
      </c>
      <c r="G186" s="20" t="n">
        <v>-6874</v>
      </c>
      <c r="H186" s="20" t="n">
        <v>-4918</v>
      </c>
      <c r="I186" s="20" t="n">
        <v>-5231</v>
      </c>
      <c r="J186" s="20" t="n">
        <v>-5738</v>
      </c>
      <c r="K186" s="20" t="n">
        <v>-7268</v>
      </c>
      <c r="L186" s="20" t="n">
        <v>-5138</v>
      </c>
      <c r="M186" s="20" t="n">
        <v>-6327</v>
      </c>
      <c r="N186" s="20" t="n">
        <v>-6876</v>
      </c>
      <c r="W186" s="20" t="n">
        <v>-4918</v>
      </c>
      <c r="X186" s="20" t="n">
        <v>-5138</v>
      </c>
    </row>
    <row r="187">
      <c r="A187" s="18" t="inlineStr">
        <is>
          <t>부문 간 내부매출·대체</t>
        </is>
      </c>
      <c r="C187" s="20" t="n">
        <v>0</v>
      </c>
      <c r="E187" s="20" t="n">
        <v>0</v>
      </c>
      <c r="F187" s="20" t="n">
        <v>0</v>
      </c>
      <c r="G187" s="20" t="n">
        <v>0</v>
      </c>
      <c r="H187" s="20" t="n">
        <v>0</v>
      </c>
      <c r="I187" s="20" t="n">
        <v>0</v>
      </c>
      <c r="J187" s="20" t="n">
        <v>0</v>
      </c>
      <c r="K187" s="20" t="n">
        <v>0</v>
      </c>
      <c r="L187" s="20" t="n">
        <v>0</v>
      </c>
      <c r="M187" s="20" t="n">
        <v>0</v>
      </c>
      <c r="N187" s="20" t="n">
        <v>0</v>
      </c>
      <c r="W187" s="20" t="n">
        <v>0</v>
      </c>
      <c r="X187" s="20" t="n">
        <v>0</v>
      </c>
    </row>
    <row r="188">
      <c r="A188" s="18" t="inlineStr">
        <is>
          <t>부문 · 계</t>
        </is>
      </c>
      <c r="E188" s="20" t="n">
        <v>41175</v>
      </c>
    </row>
    <row r="189">
      <c r="A189" s="43" t="inlineStr">
        <is>
          <t>YoY</t>
        </is>
      </c>
      <c r="B189" s="3" t="inlineStr">
        <is>
          <t>전년 같은 분기·전년 대비</t>
        </is>
      </c>
    </row>
    <row r="190">
      <c r="A190" s="18" t="inlineStr">
        <is>
          <t>해외 사업 · 계</t>
        </is>
      </c>
      <c r="E190" s="20" t="n">
        <v>3438</v>
      </c>
    </row>
    <row r="191">
      <c r="A191" s="43" t="inlineStr">
        <is>
          <t>YoY</t>
        </is>
      </c>
      <c r="B191" s="3" t="inlineStr">
        <is>
          <t>전년 같은 분기·전년 대비</t>
        </is>
      </c>
    </row>
    <row r="192">
      <c r="A192" s="18" t="inlineStr">
        <is>
          <t>BtoB · 계</t>
        </is>
      </c>
      <c r="E192" s="20" t="n">
        <v>9281</v>
      </c>
    </row>
    <row r="193">
      <c r="A193" s="43" t="inlineStr">
        <is>
          <t>YoY</t>
        </is>
      </c>
      <c r="B193" s="3" t="inlineStr">
        <is>
          <t>전년 같은 분기·전년 대비</t>
        </is>
      </c>
    </row>
    <row r="194">
      <c r="A194" s="18" t="inlineStr">
        <is>
          <t>OtherReportableSegmentsMember · 계</t>
        </is>
      </c>
      <c r="E194" s="20" t="n">
        <v>4592</v>
      </c>
    </row>
    <row r="195">
      <c r="A195" s="43" t="inlineStr">
        <is>
          <t>YoY</t>
        </is>
      </c>
      <c r="B195" s="3" t="inlineStr">
        <is>
          <t>전년 같은 분기·전년 대비</t>
        </is>
      </c>
    </row>
    <row r="196">
      <c r="A196" s="18" t="inlineStr">
        <is>
          <t>부문 · 계</t>
        </is>
      </c>
      <c r="C196" s="20" t="n">
        <v>55889</v>
      </c>
      <c r="E196" s="20" t="n">
        <v>43766</v>
      </c>
      <c r="F196" s="20" t="n">
        <v>45524</v>
      </c>
      <c r="G196" s="20" t="n">
        <v>61412</v>
      </c>
      <c r="H196" s="20" t="n">
        <v>46398</v>
      </c>
      <c r="I196" s="20" t="n">
        <v>46508</v>
      </c>
      <c r="J196" s="20" t="n">
        <v>47658</v>
      </c>
      <c r="K196" s="20" t="n">
        <v>63625</v>
      </c>
      <c r="L196" s="20" t="n">
        <v>48572</v>
      </c>
      <c r="M196" s="20" t="n">
        <v>48994</v>
      </c>
      <c r="N196" s="20" t="n">
        <v>50514</v>
      </c>
      <c r="W196" s="20" t="n">
        <v>46398</v>
      </c>
      <c r="X196" s="20" t="n">
        <v>48572</v>
      </c>
    </row>
    <row r="197">
      <c r="A197" s="43" t="inlineStr">
        <is>
          <t>YoY</t>
        </is>
      </c>
      <c r="B197" s="3" t="inlineStr">
        <is>
          <t>전년 같은 분기·전년 대비</t>
        </is>
      </c>
      <c r="G197" s="15">
        <f>IF(OR(G196="",C196=""),"",IF(C196&lt;=0,"",IFERROR(G196/C196-1,"")))</f>
        <v/>
      </c>
      <c r="H197" s="15">
        <f>IF(OR(H196="",D196=""),"",IF(D196&lt;=0,"",IFERROR(H196/D196-1,"")))</f>
        <v/>
      </c>
      <c r="I197" s="15">
        <f>IF(OR(I196="",E196=""),"",IF(E196&lt;=0,"",IFERROR(I196/E196-1,"")))</f>
        <v/>
      </c>
      <c r="J197" s="15">
        <f>IF(OR(J196="",F196=""),"",IF(F196&lt;=0,"",IFERROR(J196/F196-1,"")))</f>
        <v/>
      </c>
      <c r="K197" s="15">
        <f>IF(OR(K196="",G196=""),"",IF(G196&lt;=0,"",IFERROR(K196/G196-1,"")))</f>
        <v/>
      </c>
      <c r="L197" s="15">
        <f>IF(OR(L196="",H196=""),"",IF(H196&lt;=0,"",IFERROR(L196/H196-1,"")))</f>
        <v/>
      </c>
      <c r="M197" s="15">
        <f>IF(OR(M196="",I196=""),"",IF(I196&lt;=0,"",IFERROR(M196/I196-1,"")))</f>
        <v/>
      </c>
      <c r="N197" s="15">
        <f>IF(OR(N196="",J196=""),"",IF(J196&lt;=0,"",IFERROR(N196/J196-1,"")))</f>
        <v/>
      </c>
      <c r="W197" s="15">
        <f>IF(OR(W196="",V196=""),"",IF(V196&lt;=0,"",IFERROR(W196/V196-1,"")))</f>
        <v/>
      </c>
      <c r="X197" s="15">
        <f>IF(OR(X196="",W196=""),"",IF(W196&lt;=0,"",IFERROR(X196/W196-1,"")))</f>
        <v/>
      </c>
    </row>
    <row r="198">
      <c r="A198" s="18" t="inlineStr">
        <is>
          <t>부문 · 계</t>
        </is>
      </c>
      <c r="C198" s="20" t="n">
        <v>5060</v>
      </c>
      <c r="E198" s="20" t="n">
        <v>4907</v>
      </c>
      <c r="F198" s="20" t="n">
        <v>5316</v>
      </c>
      <c r="G198" s="20" t="n">
        <v>9795</v>
      </c>
      <c r="H198" s="20" t="n">
        <v>9290</v>
      </c>
      <c r="I198" s="20" t="n">
        <v>12193</v>
      </c>
      <c r="J198" s="20" t="n">
        <v>12335</v>
      </c>
      <c r="K198" s="20" t="n">
        <v>14015</v>
      </c>
      <c r="L198" s="20" t="n">
        <v>14295</v>
      </c>
      <c r="M198" s="20" t="n">
        <v>14563</v>
      </c>
      <c r="N198" s="20" t="n">
        <v>17154</v>
      </c>
      <c r="W198" s="20" t="n">
        <v>9290</v>
      </c>
      <c r="X198" s="20" t="n">
        <v>14295</v>
      </c>
    </row>
    <row r="199">
      <c r="A199" s="43" t="inlineStr">
        <is>
          <t>YoY</t>
        </is>
      </c>
      <c r="B199" s="3" t="inlineStr">
        <is>
          <t>전년 같은 분기·전년 대비</t>
        </is>
      </c>
      <c r="G199" s="15">
        <f>IF(OR(G198="",C198=""),"",IF(C198&lt;=0,"",IFERROR(G198/C198-1,"")))</f>
        <v/>
      </c>
      <c r="H199" s="15">
        <f>IF(OR(H198="",D198=""),"",IF(D198&lt;=0,"",IFERROR(H198/D198-1,"")))</f>
        <v/>
      </c>
      <c r="I199" s="15">
        <f>IF(OR(I198="",E198=""),"",IF(E198&lt;=0,"",IFERROR(I198/E198-1,"")))</f>
        <v/>
      </c>
      <c r="J199" s="15">
        <f>IF(OR(J198="",F198=""),"",IF(F198&lt;=0,"",IFERROR(J198/F198-1,"")))</f>
        <v/>
      </c>
      <c r="K199" s="15">
        <f>IF(OR(K198="",G198=""),"",IF(G198&lt;=0,"",IFERROR(K198/G198-1,"")))</f>
        <v/>
      </c>
      <c r="L199" s="15">
        <f>IF(OR(L198="",H198=""),"",IF(H198&lt;=0,"",IFERROR(L198/H198-1,"")))</f>
        <v/>
      </c>
      <c r="M199" s="15">
        <f>IF(OR(M198="",I198=""),"",IF(I198&lt;=0,"",IFERROR(M198/I198-1,"")))</f>
        <v/>
      </c>
      <c r="N199" s="15">
        <f>IF(OR(N198="",J198=""),"",IF(J198&lt;=0,"",IFERROR(N198/J198-1,"")))</f>
        <v/>
      </c>
      <c r="W199" s="15">
        <f>IF(OR(W198="",V198=""),"",IF(V198&lt;=0,"",IFERROR(W198/V198-1,"")))</f>
        <v/>
      </c>
      <c r="X199" s="15">
        <f>IF(OR(X198="",W198=""),"",IF(W198&lt;=0,"",IFERROR(X198/W198-1,"")))</f>
        <v/>
      </c>
    </row>
    <row r="200">
      <c r="A200" s="18" t="inlineStr">
        <is>
          <t>부문 · 계</t>
        </is>
      </c>
      <c r="C200" s="20" t="n">
        <v>11140</v>
      </c>
      <c r="E200" s="20" t="n">
        <v>7623</v>
      </c>
      <c r="F200" s="20" t="n">
        <v>8447</v>
      </c>
      <c r="G200" s="20" t="n">
        <v>11165</v>
      </c>
      <c r="H200" s="20" t="n">
        <v>8313</v>
      </c>
      <c r="I200" s="20" t="n">
        <v>8046</v>
      </c>
      <c r="J200" s="20" t="n">
        <v>7803</v>
      </c>
      <c r="K200" s="20" t="n">
        <v>10021</v>
      </c>
      <c r="L200" s="20" t="n">
        <v>7641</v>
      </c>
      <c r="M200" s="20" t="n">
        <v>8381</v>
      </c>
      <c r="N200" s="20" t="n">
        <v>8589</v>
      </c>
      <c r="W200" s="20" t="n">
        <v>8313</v>
      </c>
      <c r="X200" s="20" t="n">
        <v>7641</v>
      </c>
    </row>
    <row r="201">
      <c r="A201" s="43" t="inlineStr">
        <is>
          <t>YoY</t>
        </is>
      </c>
      <c r="B201" s="3" t="inlineStr">
        <is>
          <t>전년 같은 분기·전년 대비</t>
        </is>
      </c>
      <c r="G201" s="15">
        <f>IF(OR(G200="",C200=""),"",IF(C200&lt;=0,"",IFERROR(G200/C200-1,"")))</f>
        <v/>
      </c>
      <c r="H201" s="15">
        <f>IF(OR(H200="",D200=""),"",IF(D200&lt;=0,"",IFERROR(H200/D200-1,"")))</f>
        <v/>
      </c>
      <c r="I201" s="15">
        <f>IF(OR(I200="",E200=""),"",IF(E200&lt;=0,"",IFERROR(I200/E200-1,"")))</f>
        <v/>
      </c>
      <c r="J201" s="15">
        <f>IF(OR(J200="",F200=""),"",IF(F200&lt;=0,"",IFERROR(J200/F200-1,"")))</f>
        <v/>
      </c>
      <c r="K201" s="15">
        <f>IF(OR(K200="",G200=""),"",IF(G200&lt;=0,"",IFERROR(K200/G200-1,"")))</f>
        <v/>
      </c>
      <c r="L201" s="15">
        <f>IF(OR(L200="",H200=""),"",IF(H200&lt;=0,"",IFERROR(L200/H200-1,"")))</f>
        <v/>
      </c>
      <c r="M201" s="15">
        <f>IF(OR(M200="",I200=""),"",IF(I200&lt;=0,"",IFERROR(M200/I200-1,"")))</f>
        <v/>
      </c>
      <c r="N201" s="15">
        <f>IF(OR(N200="",J200=""),"",IF(J200&lt;=0,"",IFERROR(N200/J200-1,"")))</f>
        <v/>
      </c>
      <c r="W201" s="15">
        <f>IF(OR(W200="",V200=""),"",IF(V200&lt;=0,"",IFERROR(W200/V200-1,"")))</f>
        <v/>
      </c>
      <c r="X201" s="15">
        <f>IF(OR(X200="",W200=""),"",IF(W200&lt;=0,"",IFERROR(X200/W200-1,"")))</f>
        <v/>
      </c>
    </row>
    <row r="202">
      <c r="A202" s="18" t="inlineStr">
        <is>
          <t>부문 · 계</t>
        </is>
      </c>
      <c r="C202" s="20" t="n">
        <v>2102</v>
      </c>
      <c r="E202" s="20" t="n">
        <v>2201</v>
      </c>
      <c r="F202" s="20" t="n">
        <v>2263</v>
      </c>
      <c r="G202" s="20" t="n">
        <v>2418</v>
      </c>
      <c r="H202" s="20" t="n">
        <v>2226</v>
      </c>
      <c r="I202" s="20" t="n">
        <v>2706</v>
      </c>
      <c r="J202" s="20" t="n">
        <v>2557</v>
      </c>
      <c r="K202" s="20" t="n">
        <v>2730</v>
      </c>
      <c r="L202" s="20" t="n">
        <v>2723</v>
      </c>
      <c r="M202" s="20" t="n">
        <v>3204</v>
      </c>
      <c r="N202" s="20" t="n">
        <v>2995</v>
      </c>
      <c r="W202" s="20" t="n">
        <v>2226</v>
      </c>
      <c r="X202" s="20" t="n">
        <v>2723</v>
      </c>
    </row>
    <row r="203">
      <c r="A203" s="43" t="inlineStr">
        <is>
          <t>YoY</t>
        </is>
      </c>
      <c r="B203" s="3" t="inlineStr">
        <is>
          <t>전년 같은 분기·전년 대비</t>
        </is>
      </c>
      <c r="G203" s="15">
        <f>IF(OR(G202="",C202=""),"",IF(C202&lt;=0,"",IFERROR(G202/C202-1,"")))</f>
        <v/>
      </c>
      <c r="H203" s="15">
        <f>IF(OR(H202="",D202=""),"",IF(D202&lt;=0,"",IFERROR(H202/D202-1,"")))</f>
        <v/>
      </c>
      <c r="I203" s="15">
        <f>IF(OR(I202="",E202=""),"",IF(E202&lt;=0,"",IFERROR(I202/E202-1,"")))</f>
        <v/>
      </c>
      <c r="J203" s="15">
        <f>IF(OR(J202="",F202=""),"",IF(F202&lt;=0,"",IFERROR(J202/F202-1,"")))</f>
        <v/>
      </c>
      <c r="K203" s="15">
        <f>IF(OR(K202="",G202=""),"",IF(G202&lt;=0,"",IFERROR(K202/G202-1,"")))</f>
        <v/>
      </c>
      <c r="L203" s="15">
        <f>IF(OR(L202="",H202=""),"",IF(H202&lt;=0,"",IFERROR(L202/H202-1,"")))</f>
        <v/>
      </c>
      <c r="M203" s="15">
        <f>IF(OR(M202="",I202=""),"",IF(I202&lt;=0,"",IFERROR(M202/I202-1,"")))</f>
        <v/>
      </c>
      <c r="N203" s="15">
        <f>IF(OR(N202="",J202=""),"",IF(J202&lt;=0,"",IFERROR(N202/J202-1,"")))</f>
        <v/>
      </c>
      <c r="W203" s="15">
        <f>IF(OR(W202="",V202=""),"",IF(V202&lt;=0,"",IFERROR(W202/V202-1,"")))</f>
        <v/>
      </c>
      <c r="X203" s="15">
        <f>IF(OR(X202="",W202=""),"",IF(W202&lt;=0,"",IFERROR(X202/W202-1,"")))</f>
        <v/>
      </c>
    </row>
    <row r="204">
      <c r="A204" s="18" t="inlineStr">
        <is>
          <t>보고부문 합계 · 계</t>
        </is>
      </c>
      <c r="C204" s="20" t="n">
        <v>74190</v>
      </c>
      <c r="E204" s="20" t="n">
        <v>58499</v>
      </c>
      <c r="F204" s="20" t="n">
        <v>61549</v>
      </c>
      <c r="G204" s="20" t="n">
        <v>84791</v>
      </c>
      <c r="H204" s="20" t="n">
        <v>66226</v>
      </c>
      <c r="I204" s="20" t="n">
        <v>69454</v>
      </c>
      <c r="J204" s="20" t="n">
        <v>70353</v>
      </c>
      <c r="K204" s="20" t="n">
        <v>90392</v>
      </c>
      <c r="L204" s="20" t="n">
        <v>73231</v>
      </c>
      <c r="M204" s="20" t="n">
        <v>75143</v>
      </c>
      <c r="N204" s="20" t="n">
        <v>79252</v>
      </c>
      <c r="W204" s="20" t="n">
        <v>66226</v>
      </c>
      <c r="X204" s="20" t="n">
        <v>73231</v>
      </c>
    </row>
    <row r="205">
      <c r="A205" s="43" t="inlineStr">
        <is>
          <t>YoY</t>
        </is>
      </c>
      <c r="B205" s="3" t="inlineStr">
        <is>
          <t>전년 같은 분기·전년 대비</t>
        </is>
      </c>
      <c r="G205" s="15">
        <f>IF(OR(G204="",C204=""),"",IF(C204&lt;=0,"",IFERROR(G204/C204-1,"")))</f>
        <v/>
      </c>
      <c r="H205" s="15">
        <f>IF(OR(H204="",D204=""),"",IF(D204&lt;=0,"",IFERROR(H204/D204-1,"")))</f>
        <v/>
      </c>
      <c r="I205" s="15">
        <f>IF(OR(I204="",E204=""),"",IF(E204&lt;=0,"",IFERROR(I204/E204-1,"")))</f>
        <v/>
      </c>
      <c r="J205" s="15">
        <f>IF(OR(J204="",F204=""),"",IF(F204&lt;=0,"",IFERROR(J204/F204-1,"")))</f>
        <v/>
      </c>
      <c r="K205" s="15">
        <f>IF(OR(K204="",G204=""),"",IF(G204&lt;=0,"",IFERROR(K204/G204-1,"")))</f>
        <v/>
      </c>
      <c r="L205" s="15">
        <f>IF(OR(L204="",H204=""),"",IF(H204&lt;=0,"",IFERROR(L204/H204-1,"")))</f>
        <v/>
      </c>
      <c r="M205" s="15">
        <f>IF(OR(M204="",I204=""),"",IF(I204&lt;=0,"",IFERROR(M204/I204-1,"")))</f>
        <v/>
      </c>
      <c r="N205" s="15">
        <f>IF(OR(N204="",J204=""),"",IF(J204&lt;=0,"",IFERROR(N204/J204-1,"")))</f>
        <v/>
      </c>
      <c r="W205" s="15">
        <f>IF(OR(W204="",V204=""),"",IF(V204&lt;=0,"",IFERROR(W204/V204-1,"")))</f>
        <v/>
      </c>
      <c r="X205" s="15">
        <f>IF(OR(X204="",W204=""),"",IF(W204&lt;=0,"",IFERROR(X204/W204-1,"")))</f>
        <v/>
      </c>
    </row>
    <row r="206">
      <c r="A206" s="18" t="inlineStr">
        <is>
          <t>조정액 · 계</t>
        </is>
      </c>
      <c r="C206" s="20" t="n">
        <v>-6433</v>
      </c>
      <c r="E206" s="20" t="n">
        <v>-4488</v>
      </c>
      <c r="F206" s="20" t="n">
        <v>-5260</v>
      </c>
      <c r="G206" s="20" t="n">
        <v>-6874</v>
      </c>
      <c r="H206" s="20" t="n">
        <v>-4918</v>
      </c>
      <c r="I206" s="20" t="n">
        <v>-5231</v>
      </c>
      <c r="J206" s="20" t="n">
        <v>-5738</v>
      </c>
      <c r="K206" s="20" t="n">
        <v>-7268</v>
      </c>
      <c r="L206" s="20" t="n">
        <v>-5138</v>
      </c>
      <c r="M206" s="20" t="n">
        <v>-6327</v>
      </c>
      <c r="N206" s="20" t="n">
        <v>-6876</v>
      </c>
      <c r="W206" s="20" t="n">
        <v>-4918</v>
      </c>
      <c r="X206" s="20" t="n">
        <v>-5138</v>
      </c>
    </row>
    <row r="207">
      <c r="A207" s="9" t="inlineStr">
        <is>
          <t>계</t>
        </is>
      </c>
      <c r="C207" s="12" t="n">
        <v>67757</v>
      </c>
      <c r="E207" s="12" t="n">
        <v>54011</v>
      </c>
      <c r="F207" s="12" t="n">
        <v>56288</v>
      </c>
      <c r="G207" s="12" t="n">
        <v>77917</v>
      </c>
      <c r="H207" s="12" t="n">
        <v>61309</v>
      </c>
      <c r="I207" s="12" t="n">
        <v>64223</v>
      </c>
      <c r="J207" s="12" t="n">
        <v>64615</v>
      </c>
      <c r="K207" s="12" t="n">
        <v>83123</v>
      </c>
      <c r="L207" s="12" t="n">
        <v>68094</v>
      </c>
      <c r="M207" s="12" t="n">
        <v>68815</v>
      </c>
      <c r="N207" s="12" t="n">
        <v>72376</v>
      </c>
      <c r="W207" s="12" t="n">
        <v>61309</v>
      </c>
      <c r="X207" s="12" t="n">
        <v>68094</v>
      </c>
    </row>
    <row r="208">
      <c r="A208" s="43" t="inlineStr">
        <is>
          <t>YoY</t>
        </is>
      </c>
      <c r="B208" s="3" t="inlineStr">
        <is>
          <t>전년 같은 분기·전년 대비</t>
        </is>
      </c>
      <c r="G208" s="15">
        <f>IF(OR(G207="",C207=""),"",IF(C207&lt;=0,"",IFERROR(G207/C207-1,"")))</f>
        <v/>
      </c>
      <c r="H208" s="15">
        <f>IF(OR(H207="",D207=""),"",IF(D207&lt;=0,"",IFERROR(H207/D207-1,"")))</f>
        <v/>
      </c>
      <c r="I208" s="15">
        <f>IF(OR(I207="",E207=""),"",IF(E207&lt;=0,"",IFERROR(I207/E207-1,"")))</f>
        <v/>
      </c>
      <c r="J208" s="15">
        <f>IF(OR(J207="",F207=""),"",IF(F207&lt;=0,"",IFERROR(J207/F207-1,"")))</f>
        <v/>
      </c>
      <c r="K208" s="15">
        <f>IF(OR(K207="",G207=""),"",IF(G207&lt;=0,"",IFERROR(K207/G207-1,"")))</f>
        <v/>
      </c>
      <c r="L208" s="15">
        <f>IF(OR(L207="",H207=""),"",IF(H207&lt;=0,"",IFERROR(L207/H207-1,"")))</f>
        <v/>
      </c>
      <c r="M208" s="15">
        <f>IF(OR(M207="",I207=""),"",IF(I207&lt;=0,"",IFERROR(M207/I207-1,"")))</f>
        <v/>
      </c>
      <c r="N208" s="15">
        <f>IF(OR(N207="",J207=""),"",IF(J207&lt;=0,"",IFERROR(N207/J207-1,"")))</f>
        <v/>
      </c>
      <c r="W208" s="15">
        <f>IF(OR(W207="",V207=""),"",IF(V207&lt;=0,"",IFERROR(W207/V207-1,"")))</f>
        <v/>
      </c>
      <c r="X208" s="15">
        <f>IF(OR(X207="",W207=""),"",IF(W207&lt;=0,"",IFERROR(X207/W207-1,"")))</f>
        <v/>
      </c>
    </row>
    <row r="209">
      <c r="A209" s="18" t="inlineStr">
        <is>
          <t>부문 · 부문 이익(손실)</t>
        </is>
      </c>
      <c r="E209" s="20" t="n">
        <v>3622</v>
      </c>
    </row>
    <row r="210">
      <c r="A210" s="43" t="inlineStr">
        <is>
          <t>OPM</t>
        </is>
      </c>
      <c r="B210" s="3" t="inlineStr">
        <is>
          <t>영업이익 ÷ 매출</t>
        </is>
      </c>
      <c r="E210" s="15">
        <f>IF(OR(E209="",E188=""),"",IF(E188&lt;=0,"",IFERROR(E209/E188,"")))</f>
        <v/>
      </c>
    </row>
    <row r="211">
      <c r="A211" s="43" t="inlineStr">
        <is>
          <t>YoY</t>
        </is>
      </c>
      <c r="B211" s="3" t="inlineStr">
        <is>
          <t>전년 같은 분기·전년 대비</t>
        </is>
      </c>
    </row>
    <row r="212">
      <c r="A212" s="18" t="inlineStr">
        <is>
          <t>해외 사업 · 부문 이익(손실)</t>
        </is>
      </c>
      <c r="E212" s="20" t="n">
        <v>-190</v>
      </c>
    </row>
    <row r="213">
      <c r="A213" s="43" t="inlineStr">
        <is>
          <t>OPM</t>
        </is>
      </c>
      <c r="B213" s="3" t="inlineStr">
        <is>
          <t>영업이익 ÷ 매출</t>
        </is>
      </c>
      <c r="E213" s="15">
        <f>IF(OR(E212="",E190=""),"",IF(E190&lt;=0,"",IFERROR(E212/E190,"")))</f>
        <v/>
      </c>
    </row>
    <row r="214">
      <c r="A214" s="43" t="inlineStr">
        <is>
          <t>YoY</t>
        </is>
      </c>
      <c r="B214" s="3" t="inlineStr">
        <is>
          <t>전년 같은 분기·전년 대비</t>
        </is>
      </c>
    </row>
    <row r="215">
      <c r="A215" s="18" t="inlineStr">
        <is>
          <t>BtoB · 부문 이익(손실)</t>
        </is>
      </c>
      <c r="E215" s="20" t="n">
        <v>-210</v>
      </c>
    </row>
    <row r="216">
      <c r="A216" s="43" t="inlineStr">
        <is>
          <t>OPM</t>
        </is>
      </c>
      <c r="B216" s="3" t="inlineStr">
        <is>
          <t>영업이익 ÷ 매출</t>
        </is>
      </c>
      <c r="E216" s="15">
        <f>IF(OR(E215="",E192=""),"",IF(E192&lt;=0,"",IFERROR(E215/E192,"")))</f>
        <v/>
      </c>
    </row>
    <row r="217">
      <c r="A217" s="43" t="inlineStr">
        <is>
          <t>YoY</t>
        </is>
      </c>
      <c r="B217" s="3" t="inlineStr">
        <is>
          <t>전년 같은 분기·전년 대비</t>
        </is>
      </c>
    </row>
    <row r="218">
      <c r="A218" s="18" t="inlineStr">
        <is>
          <t>OtherReportableSegmentsMember · 부문 이익(손실)</t>
        </is>
      </c>
      <c r="E218" s="20" t="n">
        <v>-11</v>
      </c>
    </row>
    <row r="219">
      <c r="A219" s="43" t="inlineStr">
        <is>
          <t>OPM</t>
        </is>
      </c>
      <c r="B219" s="3" t="inlineStr">
        <is>
          <t>영업이익 ÷ 매출</t>
        </is>
      </c>
      <c r="E219" s="15">
        <f>IF(OR(E218="",E194=""),"",IF(E194&lt;=0,"",IFERROR(E218/E194,"")))</f>
        <v/>
      </c>
    </row>
    <row r="220">
      <c r="A220" s="43" t="inlineStr">
        <is>
          <t>YoY</t>
        </is>
      </c>
      <c r="B220" s="3" t="inlineStr">
        <is>
          <t>전년 같은 분기·전년 대비</t>
        </is>
      </c>
    </row>
    <row r="221">
      <c r="A221" s="18" t="inlineStr">
        <is>
          <t>부문 · 부문 이익</t>
        </is>
      </c>
      <c r="C221" s="20" t="n">
        <v>7251</v>
      </c>
      <c r="E221" s="20" t="n">
        <v>3497</v>
      </c>
      <c r="F221" s="20" t="n">
        <v>4383</v>
      </c>
      <c r="G221" s="20" t="n">
        <v>9064</v>
      </c>
      <c r="H221" s="20" t="n">
        <v>5106</v>
      </c>
      <c r="I221" s="20" t="n">
        <v>4628</v>
      </c>
      <c r="J221" s="20" t="n">
        <v>4391</v>
      </c>
      <c r="K221" s="20" t="n">
        <v>8768</v>
      </c>
      <c r="L221" s="20" t="n">
        <v>4615</v>
      </c>
      <c r="M221" s="20" t="n">
        <v>4604</v>
      </c>
      <c r="N221" s="20" t="n">
        <v>4883</v>
      </c>
      <c r="W221" s="20" t="n">
        <v>5106</v>
      </c>
      <c r="X221" s="20" t="n">
        <v>4615</v>
      </c>
    </row>
    <row r="222">
      <c r="A222" s="43" t="inlineStr">
        <is>
          <t>OPM</t>
        </is>
      </c>
      <c r="B222" s="3" t="inlineStr">
        <is>
          <t>영업이익 ÷ 매출</t>
        </is>
      </c>
      <c r="C222" s="15">
        <f>IF(OR(C221="",C196=""),"",IF(C196&lt;=0,"",IFERROR(C221/C196,"")))</f>
        <v/>
      </c>
      <c r="E222" s="15">
        <f>IF(OR(E221="",E196=""),"",IF(E196&lt;=0,"",IFERROR(E221/E196,"")))</f>
        <v/>
      </c>
      <c r="F222" s="15">
        <f>IF(OR(F221="",F196=""),"",IF(F196&lt;=0,"",IFERROR(F221/F196,"")))</f>
        <v/>
      </c>
      <c r="G222" s="15">
        <f>IF(OR(G221="",G196=""),"",IF(G196&lt;=0,"",IFERROR(G221/G196,"")))</f>
        <v/>
      </c>
      <c r="H222" s="15">
        <f>IF(OR(H221="",H196=""),"",IF(H196&lt;=0,"",IFERROR(H221/H196,"")))</f>
        <v/>
      </c>
      <c r="I222" s="15">
        <f>IF(OR(I221="",I196=""),"",IF(I196&lt;=0,"",IFERROR(I221/I196,"")))</f>
        <v/>
      </c>
      <c r="J222" s="15">
        <f>IF(OR(J221="",J196=""),"",IF(J196&lt;=0,"",IFERROR(J221/J196,"")))</f>
        <v/>
      </c>
      <c r="K222" s="15">
        <f>IF(OR(K221="",K196=""),"",IF(K196&lt;=0,"",IFERROR(K221/K196,"")))</f>
        <v/>
      </c>
      <c r="L222" s="15">
        <f>IF(OR(L221="",L196=""),"",IF(L196&lt;=0,"",IFERROR(L221/L196,"")))</f>
        <v/>
      </c>
      <c r="M222" s="15">
        <f>IF(OR(M221="",M196=""),"",IF(M196&lt;=0,"",IFERROR(M221/M196,"")))</f>
        <v/>
      </c>
      <c r="N222" s="15">
        <f>IF(OR(N221="",N196=""),"",IF(N196&lt;=0,"",IFERROR(N221/N196,"")))</f>
        <v/>
      </c>
      <c r="W222" s="15">
        <f>IF(OR(W221="",W196=""),"",IF(W196&lt;=0,"",IFERROR(W221/W196,"")))</f>
        <v/>
      </c>
      <c r="X222" s="15">
        <f>IF(OR(X221="",X196=""),"",IF(X196&lt;=0,"",IFERROR(X221/X196,"")))</f>
        <v/>
      </c>
    </row>
    <row r="223">
      <c r="A223" s="43" t="inlineStr">
        <is>
          <t>YoY</t>
        </is>
      </c>
      <c r="B223" s="3" t="inlineStr">
        <is>
          <t>전년 같은 분기·전년 대비</t>
        </is>
      </c>
      <c r="G223" s="15">
        <f>IF(OR(G221="",C221=""),"",IF(C221&lt;=0,"",IFERROR(G221/C221-1,"")))</f>
        <v/>
      </c>
      <c r="H223" s="15">
        <f>IF(OR(H221="",D221=""),"",IF(D221&lt;=0,"",IFERROR(H221/D221-1,"")))</f>
        <v/>
      </c>
      <c r="I223" s="15">
        <f>IF(OR(I221="",E221=""),"",IF(E221&lt;=0,"",IFERROR(I221/E221-1,"")))</f>
        <v/>
      </c>
      <c r="J223" s="15">
        <f>IF(OR(J221="",F221=""),"",IF(F221&lt;=0,"",IFERROR(J221/F221-1,"")))</f>
        <v/>
      </c>
      <c r="K223" s="15">
        <f>IF(OR(K221="",G221=""),"",IF(G221&lt;=0,"",IFERROR(K221/G221-1,"")))</f>
        <v/>
      </c>
      <c r="L223" s="15">
        <f>IF(OR(L221="",H221=""),"",IF(H221&lt;=0,"",IFERROR(L221/H221-1,"")))</f>
        <v/>
      </c>
      <c r="M223" s="15">
        <f>IF(OR(M221="",I221=""),"",IF(I221&lt;=0,"",IFERROR(M221/I221-1,"")))</f>
        <v/>
      </c>
      <c r="N223" s="15">
        <f>IF(OR(N221="",J221=""),"",IF(J221&lt;=0,"",IFERROR(N221/J221-1,"")))</f>
        <v/>
      </c>
      <c r="W223" s="15">
        <f>IF(OR(W221="",V221=""),"",IF(V221&lt;=0,"",IFERROR(W221/V221-1,"")))</f>
        <v/>
      </c>
      <c r="X223" s="15">
        <f>IF(OR(X221="",W221=""),"",IF(W221&lt;=0,"",IFERROR(X221/W221-1,"")))</f>
        <v/>
      </c>
    </row>
    <row r="224">
      <c r="A224" s="18" t="inlineStr">
        <is>
          <t>부문 · 부문 이익</t>
        </is>
      </c>
      <c r="C224" s="20" t="n">
        <v>-308</v>
      </c>
      <c r="E224" s="20" t="n">
        <v>-285</v>
      </c>
      <c r="F224" s="20" t="n">
        <v>-548</v>
      </c>
      <c r="G224" s="20" t="n">
        <v>6</v>
      </c>
      <c r="H224" s="20" t="n">
        <v>-20</v>
      </c>
      <c r="I224" s="20" t="n">
        <v>-43</v>
      </c>
      <c r="J224" s="20" t="n">
        <v>151</v>
      </c>
      <c r="K224" s="20" t="n">
        <v>459</v>
      </c>
      <c r="L224" s="20" t="n">
        <v>-48</v>
      </c>
      <c r="M224" s="20" t="n">
        <v>419</v>
      </c>
      <c r="N224" s="20" t="n">
        <v>360</v>
      </c>
      <c r="W224" s="20" t="n">
        <v>-20</v>
      </c>
      <c r="X224" s="20" t="n">
        <v>-48</v>
      </c>
    </row>
    <row r="225">
      <c r="A225" s="43" t="inlineStr">
        <is>
          <t>OPM</t>
        </is>
      </c>
      <c r="B225" s="3" t="inlineStr">
        <is>
          <t>영업이익 ÷ 매출</t>
        </is>
      </c>
      <c r="C225" s="15">
        <f>IF(OR(C224="",C198=""),"",IF(C198&lt;=0,"",IFERROR(C224/C198,"")))</f>
        <v/>
      </c>
      <c r="E225" s="15">
        <f>IF(OR(E224="",E198=""),"",IF(E198&lt;=0,"",IFERROR(E224/E198,"")))</f>
        <v/>
      </c>
      <c r="F225" s="15">
        <f>IF(OR(F224="",F198=""),"",IF(F198&lt;=0,"",IFERROR(F224/F198,"")))</f>
        <v/>
      </c>
      <c r="G225" s="15">
        <f>IF(OR(G224="",G198=""),"",IF(G198&lt;=0,"",IFERROR(G224/G198,"")))</f>
        <v/>
      </c>
      <c r="H225" s="15">
        <f>IF(OR(H224="",H198=""),"",IF(H198&lt;=0,"",IFERROR(H224/H198,"")))</f>
        <v/>
      </c>
      <c r="I225" s="15">
        <f>IF(OR(I224="",I198=""),"",IF(I198&lt;=0,"",IFERROR(I224/I198,"")))</f>
        <v/>
      </c>
      <c r="J225" s="15">
        <f>IF(OR(J224="",J198=""),"",IF(J198&lt;=0,"",IFERROR(J224/J198,"")))</f>
        <v/>
      </c>
      <c r="K225" s="15">
        <f>IF(OR(K224="",K198=""),"",IF(K198&lt;=0,"",IFERROR(K224/K198,"")))</f>
        <v/>
      </c>
      <c r="L225" s="15">
        <f>IF(OR(L224="",L198=""),"",IF(L198&lt;=0,"",IFERROR(L224/L198,"")))</f>
        <v/>
      </c>
      <c r="M225" s="15">
        <f>IF(OR(M224="",M198=""),"",IF(M198&lt;=0,"",IFERROR(M224/M198,"")))</f>
        <v/>
      </c>
      <c r="N225" s="15">
        <f>IF(OR(N224="",N198=""),"",IF(N198&lt;=0,"",IFERROR(N224/N198,"")))</f>
        <v/>
      </c>
      <c r="W225" s="15">
        <f>IF(OR(W224="",W198=""),"",IF(W198&lt;=0,"",IFERROR(W224/W198,"")))</f>
        <v/>
      </c>
      <c r="X225" s="15">
        <f>IF(OR(X224="",X198=""),"",IF(X198&lt;=0,"",IFERROR(X224/X198,"")))</f>
        <v/>
      </c>
    </row>
    <row r="226">
      <c r="A226" s="43" t="inlineStr">
        <is>
          <t>YoY</t>
        </is>
      </c>
      <c r="B226" s="3" t="inlineStr">
        <is>
          <t>전년 같은 분기·전년 대비</t>
        </is>
      </c>
      <c r="G226" s="15">
        <f>IF(OR(G224="",C224=""),"",IF(C224&lt;=0,"",IFERROR(G224/C224-1,"")))</f>
        <v/>
      </c>
      <c r="H226" s="15">
        <f>IF(OR(H224="",D224=""),"",IF(D224&lt;=0,"",IFERROR(H224/D224-1,"")))</f>
        <v/>
      </c>
      <c r="I226" s="15">
        <f>IF(OR(I224="",E224=""),"",IF(E224&lt;=0,"",IFERROR(I224/E224-1,"")))</f>
        <v/>
      </c>
      <c r="J226" s="15">
        <f>IF(OR(J224="",F224=""),"",IF(F224&lt;=0,"",IFERROR(J224/F224-1,"")))</f>
        <v/>
      </c>
      <c r="K226" s="15">
        <f>IF(OR(K224="",G224=""),"",IF(G224&lt;=0,"",IFERROR(K224/G224-1,"")))</f>
        <v/>
      </c>
      <c r="L226" s="15">
        <f>IF(OR(L224="",H224=""),"",IF(H224&lt;=0,"",IFERROR(L224/H224-1,"")))</f>
        <v/>
      </c>
      <c r="M226" s="15">
        <f>IF(OR(M224="",I224=""),"",IF(I224&lt;=0,"",IFERROR(M224/I224-1,"")))</f>
        <v/>
      </c>
      <c r="N226" s="15">
        <f>IF(OR(N224="",J224=""),"",IF(J224&lt;=0,"",IFERROR(N224/J224-1,"")))</f>
        <v/>
      </c>
      <c r="W226" s="15">
        <f>IF(OR(W224="",V224=""),"",IF(V224&lt;=0,"",IFERROR(W224/V224-1,"")))</f>
        <v/>
      </c>
      <c r="X226" s="15">
        <f>IF(OR(X224="",W224=""),"",IF(W224&lt;=0,"",IFERROR(X224/W224-1,"")))</f>
        <v/>
      </c>
    </row>
    <row r="227">
      <c r="A227" s="18" t="inlineStr">
        <is>
          <t>부문 · 부문 이익</t>
        </is>
      </c>
      <c r="C227" s="20" t="n">
        <v>505</v>
      </c>
      <c r="E227" s="20" t="n">
        <v>-169</v>
      </c>
      <c r="F227" s="20" t="n">
        <v>63</v>
      </c>
      <c r="G227" s="20" t="n">
        <v>584</v>
      </c>
      <c r="H227" s="20" t="n">
        <v>39</v>
      </c>
      <c r="I227" s="20" t="n">
        <v>139</v>
      </c>
      <c r="J227" s="20" t="n">
        <v>98</v>
      </c>
      <c r="K227" s="20" t="n">
        <v>646</v>
      </c>
      <c r="L227" s="20" t="n">
        <v>58</v>
      </c>
      <c r="M227" s="20" t="n">
        <v>148</v>
      </c>
      <c r="N227" s="20" t="n">
        <v>129</v>
      </c>
      <c r="W227" s="20" t="n">
        <v>39</v>
      </c>
      <c r="X227" s="20" t="n">
        <v>58</v>
      </c>
    </row>
    <row r="228">
      <c r="A228" s="43" t="inlineStr">
        <is>
          <t>OPM</t>
        </is>
      </c>
      <c r="B228" s="3" t="inlineStr">
        <is>
          <t>영업이익 ÷ 매출</t>
        </is>
      </c>
      <c r="C228" s="15">
        <f>IF(OR(C227="",C200=""),"",IF(C200&lt;=0,"",IFERROR(C227/C200,"")))</f>
        <v/>
      </c>
      <c r="E228" s="15">
        <f>IF(OR(E227="",E200=""),"",IF(E200&lt;=0,"",IFERROR(E227/E200,"")))</f>
        <v/>
      </c>
      <c r="F228" s="15">
        <f>IF(OR(F227="",F200=""),"",IF(F200&lt;=0,"",IFERROR(F227/F200,"")))</f>
        <v/>
      </c>
      <c r="G228" s="15">
        <f>IF(OR(G227="",G200=""),"",IF(G200&lt;=0,"",IFERROR(G227/G200,"")))</f>
        <v/>
      </c>
      <c r="H228" s="15">
        <f>IF(OR(H227="",H200=""),"",IF(H200&lt;=0,"",IFERROR(H227/H200,"")))</f>
        <v/>
      </c>
      <c r="I228" s="15">
        <f>IF(OR(I227="",I200=""),"",IF(I200&lt;=0,"",IFERROR(I227/I200,"")))</f>
        <v/>
      </c>
      <c r="J228" s="15">
        <f>IF(OR(J227="",J200=""),"",IF(J200&lt;=0,"",IFERROR(J227/J200,"")))</f>
        <v/>
      </c>
      <c r="K228" s="15">
        <f>IF(OR(K227="",K200=""),"",IF(K200&lt;=0,"",IFERROR(K227/K200,"")))</f>
        <v/>
      </c>
      <c r="L228" s="15">
        <f>IF(OR(L227="",L200=""),"",IF(L200&lt;=0,"",IFERROR(L227/L200,"")))</f>
        <v/>
      </c>
      <c r="M228" s="15">
        <f>IF(OR(M227="",M200=""),"",IF(M200&lt;=0,"",IFERROR(M227/M200,"")))</f>
        <v/>
      </c>
      <c r="N228" s="15">
        <f>IF(OR(N227="",N200=""),"",IF(N200&lt;=0,"",IFERROR(N227/N200,"")))</f>
        <v/>
      </c>
      <c r="W228" s="15">
        <f>IF(OR(W227="",W200=""),"",IF(W200&lt;=0,"",IFERROR(W227/W200,"")))</f>
        <v/>
      </c>
      <c r="X228" s="15">
        <f>IF(OR(X227="",X200=""),"",IF(X200&lt;=0,"",IFERROR(X227/X200,"")))</f>
        <v/>
      </c>
    </row>
    <row r="229">
      <c r="A229" s="43" t="inlineStr">
        <is>
          <t>YoY</t>
        </is>
      </c>
      <c r="B229" s="3" t="inlineStr">
        <is>
          <t>전년 같은 분기·전년 대비</t>
        </is>
      </c>
      <c r="G229" s="15">
        <f>IF(OR(G227="",C227=""),"",IF(C227&lt;=0,"",IFERROR(G227/C227-1,"")))</f>
        <v/>
      </c>
      <c r="H229" s="15">
        <f>IF(OR(H227="",D227=""),"",IF(D227&lt;=0,"",IFERROR(H227/D227-1,"")))</f>
        <v/>
      </c>
      <c r="I229" s="15">
        <f>IF(OR(I227="",E227=""),"",IF(E227&lt;=0,"",IFERROR(I227/E227-1,"")))</f>
        <v/>
      </c>
      <c r="J229" s="15">
        <f>IF(OR(J227="",F227=""),"",IF(F227&lt;=0,"",IFERROR(J227/F227-1,"")))</f>
        <v/>
      </c>
      <c r="K229" s="15">
        <f>IF(OR(K227="",G227=""),"",IF(G227&lt;=0,"",IFERROR(K227/G227-1,"")))</f>
        <v/>
      </c>
      <c r="L229" s="15">
        <f>IF(OR(L227="",H227=""),"",IF(H227&lt;=0,"",IFERROR(L227/H227-1,"")))</f>
        <v/>
      </c>
      <c r="M229" s="15">
        <f>IF(OR(M227="",I227=""),"",IF(I227&lt;=0,"",IFERROR(M227/I227-1,"")))</f>
        <v/>
      </c>
      <c r="N229" s="15">
        <f>IF(OR(N227="",J227=""),"",IF(J227&lt;=0,"",IFERROR(N227/J227-1,"")))</f>
        <v/>
      </c>
      <c r="W229" s="15">
        <f>IF(OR(W227="",V227=""),"",IF(V227&lt;=0,"",IFERROR(W227/V227-1,"")))</f>
        <v/>
      </c>
      <c r="X229" s="15">
        <f>IF(OR(X227="",W227=""),"",IF(W227&lt;=0,"",IFERROR(X227/W227-1,"")))</f>
        <v/>
      </c>
    </row>
    <row r="230">
      <c r="A230" s="18" t="inlineStr">
        <is>
          <t>부문 · 부문 이익</t>
        </is>
      </c>
      <c r="C230" s="20" t="n">
        <v>23</v>
      </c>
      <c r="E230" s="20" t="n">
        <v>167</v>
      </c>
      <c r="F230" s="20" t="n">
        <v>137</v>
      </c>
      <c r="G230" s="20" t="n">
        <v>104</v>
      </c>
      <c r="H230" s="20" t="n">
        <v>68</v>
      </c>
      <c r="I230" s="20" t="n">
        <v>297</v>
      </c>
      <c r="J230" s="20" t="n">
        <v>294</v>
      </c>
      <c r="K230" s="20" t="n">
        <v>105</v>
      </c>
      <c r="L230" s="20" t="n">
        <v>68</v>
      </c>
      <c r="M230" s="20" t="n">
        <v>354</v>
      </c>
      <c r="N230" s="20" t="n">
        <v>277</v>
      </c>
      <c r="W230" s="20" t="n">
        <v>68</v>
      </c>
      <c r="X230" s="20" t="n">
        <v>68</v>
      </c>
    </row>
    <row r="231">
      <c r="A231" s="43" t="inlineStr">
        <is>
          <t>OPM</t>
        </is>
      </c>
      <c r="B231" s="3" t="inlineStr">
        <is>
          <t>영업이익 ÷ 매출</t>
        </is>
      </c>
      <c r="C231" s="15">
        <f>IF(OR(C230="",C202=""),"",IF(C202&lt;=0,"",IFERROR(C230/C202,"")))</f>
        <v/>
      </c>
      <c r="E231" s="15">
        <f>IF(OR(E230="",E202=""),"",IF(E202&lt;=0,"",IFERROR(E230/E202,"")))</f>
        <v/>
      </c>
      <c r="F231" s="15">
        <f>IF(OR(F230="",F202=""),"",IF(F202&lt;=0,"",IFERROR(F230/F202,"")))</f>
        <v/>
      </c>
      <c r="G231" s="15">
        <f>IF(OR(G230="",G202=""),"",IF(G202&lt;=0,"",IFERROR(G230/G202,"")))</f>
        <v/>
      </c>
      <c r="H231" s="15">
        <f>IF(OR(H230="",H202=""),"",IF(H202&lt;=0,"",IFERROR(H230/H202,"")))</f>
        <v/>
      </c>
      <c r="I231" s="15">
        <f>IF(OR(I230="",I202=""),"",IF(I202&lt;=0,"",IFERROR(I230/I202,"")))</f>
        <v/>
      </c>
      <c r="J231" s="15">
        <f>IF(OR(J230="",J202=""),"",IF(J202&lt;=0,"",IFERROR(J230/J202,"")))</f>
        <v/>
      </c>
      <c r="K231" s="15">
        <f>IF(OR(K230="",K202=""),"",IF(K202&lt;=0,"",IFERROR(K230/K202,"")))</f>
        <v/>
      </c>
      <c r="L231" s="15">
        <f>IF(OR(L230="",L202=""),"",IF(L202&lt;=0,"",IFERROR(L230/L202,"")))</f>
        <v/>
      </c>
      <c r="M231" s="15">
        <f>IF(OR(M230="",M202=""),"",IF(M202&lt;=0,"",IFERROR(M230/M202,"")))</f>
        <v/>
      </c>
      <c r="N231" s="15">
        <f>IF(OR(N230="",N202=""),"",IF(N202&lt;=0,"",IFERROR(N230/N202,"")))</f>
        <v/>
      </c>
      <c r="W231" s="15">
        <f>IF(OR(W230="",W202=""),"",IF(W202&lt;=0,"",IFERROR(W230/W202,"")))</f>
        <v/>
      </c>
      <c r="X231" s="15">
        <f>IF(OR(X230="",X202=""),"",IF(X202&lt;=0,"",IFERROR(X230/X202,"")))</f>
        <v/>
      </c>
    </row>
    <row r="232">
      <c r="A232" s="43" t="inlineStr">
        <is>
          <t>YoY</t>
        </is>
      </c>
      <c r="B232" s="3" t="inlineStr">
        <is>
          <t>전년 같은 분기·전년 대비</t>
        </is>
      </c>
      <c r="G232" s="15">
        <f>IF(OR(G230="",C230=""),"",IF(C230&lt;=0,"",IFERROR(G230/C230-1,"")))</f>
        <v/>
      </c>
      <c r="H232" s="15">
        <f>IF(OR(H230="",D230=""),"",IF(D230&lt;=0,"",IFERROR(H230/D230-1,"")))</f>
        <v/>
      </c>
      <c r="I232" s="15">
        <f>IF(OR(I230="",E230=""),"",IF(E230&lt;=0,"",IFERROR(I230/E230-1,"")))</f>
        <v/>
      </c>
      <c r="J232" s="15">
        <f>IF(OR(J230="",F230=""),"",IF(F230&lt;=0,"",IFERROR(J230/F230-1,"")))</f>
        <v/>
      </c>
      <c r="K232" s="15">
        <f>IF(OR(K230="",G230=""),"",IF(G230&lt;=0,"",IFERROR(K230/G230-1,"")))</f>
        <v/>
      </c>
      <c r="L232" s="15">
        <f>IF(OR(L230="",H230=""),"",IF(H230&lt;=0,"",IFERROR(L230/H230-1,"")))</f>
        <v/>
      </c>
      <c r="M232" s="15">
        <f>IF(OR(M230="",I230=""),"",IF(I230&lt;=0,"",IFERROR(M230/I230-1,"")))</f>
        <v/>
      </c>
      <c r="N232" s="15">
        <f>IF(OR(N230="",J230=""),"",IF(J230&lt;=0,"",IFERROR(N230/J230-1,"")))</f>
        <v/>
      </c>
      <c r="W232" s="15">
        <f>IF(OR(W230="",V230=""),"",IF(V230&lt;=0,"",IFERROR(W230/V230-1,"")))</f>
        <v/>
      </c>
      <c r="X232" s="15">
        <f>IF(OR(X230="",W230=""),"",IF(W230&lt;=0,"",IFERROR(X230/W230-1,"")))</f>
        <v/>
      </c>
    </row>
    <row r="233">
      <c r="A233" s="18" t="inlineStr">
        <is>
          <t>보고부문 합계 · 부문 이익</t>
        </is>
      </c>
      <c r="C233" s="20" t="n">
        <v>7472</v>
      </c>
      <c r="E233" s="20" t="n">
        <v>3210</v>
      </c>
      <c r="F233" s="20" t="n">
        <v>4035</v>
      </c>
      <c r="G233" s="20" t="n">
        <v>9758</v>
      </c>
      <c r="H233" s="20" t="n">
        <v>5193</v>
      </c>
      <c r="I233" s="20" t="n">
        <v>5021</v>
      </c>
      <c r="J233" s="20" t="n">
        <v>4935</v>
      </c>
      <c r="K233" s="20" t="n">
        <v>9978</v>
      </c>
      <c r="L233" s="20" t="n">
        <v>4693</v>
      </c>
      <c r="M233" s="20" t="n">
        <v>5525</v>
      </c>
      <c r="N233" s="20" t="n">
        <v>5650</v>
      </c>
      <c r="W233" s="20" t="n">
        <v>5193</v>
      </c>
      <c r="X233" s="20" t="n">
        <v>4693</v>
      </c>
    </row>
    <row r="234">
      <c r="A234" s="43" t="inlineStr">
        <is>
          <t>OPM</t>
        </is>
      </c>
      <c r="B234" s="3" t="inlineStr">
        <is>
          <t>영업이익 ÷ 매출</t>
        </is>
      </c>
      <c r="C234" s="15">
        <f>IF(OR(C233="",C204=""),"",IF(C204&lt;=0,"",IFERROR(C233/C204,"")))</f>
        <v/>
      </c>
      <c r="E234" s="15">
        <f>IF(OR(E233="",E204=""),"",IF(E204&lt;=0,"",IFERROR(E233/E204,"")))</f>
        <v/>
      </c>
      <c r="F234" s="15">
        <f>IF(OR(F233="",F204=""),"",IF(F204&lt;=0,"",IFERROR(F233/F204,"")))</f>
        <v/>
      </c>
      <c r="G234" s="15">
        <f>IF(OR(G233="",G204=""),"",IF(G204&lt;=0,"",IFERROR(G233/G204,"")))</f>
        <v/>
      </c>
      <c r="H234" s="15">
        <f>IF(OR(H233="",H204=""),"",IF(H204&lt;=0,"",IFERROR(H233/H204,"")))</f>
        <v/>
      </c>
      <c r="I234" s="15">
        <f>IF(OR(I233="",I204=""),"",IF(I204&lt;=0,"",IFERROR(I233/I204,"")))</f>
        <v/>
      </c>
      <c r="J234" s="15">
        <f>IF(OR(J233="",J204=""),"",IF(J204&lt;=0,"",IFERROR(J233/J204,"")))</f>
        <v/>
      </c>
      <c r="K234" s="15">
        <f>IF(OR(K233="",K204=""),"",IF(K204&lt;=0,"",IFERROR(K233/K204,"")))</f>
        <v/>
      </c>
      <c r="L234" s="15">
        <f>IF(OR(L233="",L204=""),"",IF(L204&lt;=0,"",IFERROR(L233/L204,"")))</f>
        <v/>
      </c>
      <c r="M234" s="15">
        <f>IF(OR(M233="",M204=""),"",IF(M204&lt;=0,"",IFERROR(M233/M204,"")))</f>
        <v/>
      </c>
      <c r="N234" s="15">
        <f>IF(OR(N233="",N204=""),"",IF(N204&lt;=0,"",IFERROR(N233/N204,"")))</f>
        <v/>
      </c>
      <c r="W234" s="15">
        <f>IF(OR(W233="",W204=""),"",IF(W204&lt;=0,"",IFERROR(W233/W204,"")))</f>
        <v/>
      </c>
      <c r="X234" s="15">
        <f>IF(OR(X233="",X204=""),"",IF(X204&lt;=0,"",IFERROR(X233/X204,"")))</f>
        <v/>
      </c>
    </row>
    <row r="235">
      <c r="A235" s="43" t="inlineStr">
        <is>
          <t>YoY</t>
        </is>
      </c>
      <c r="B235" s="3" t="inlineStr">
        <is>
          <t>전년 같은 분기·전년 대비</t>
        </is>
      </c>
      <c r="G235" s="15">
        <f>IF(OR(G233="",C233=""),"",IF(C233&lt;=0,"",IFERROR(G233/C233-1,"")))</f>
        <v/>
      </c>
      <c r="H235" s="15">
        <f>IF(OR(H233="",D233=""),"",IF(D233&lt;=0,"",IFERROR(H233/D233-1,"")))</f>
        <v/>
      </c>
      <c r="I235" s="15">
        <f>IF(OR(I233="",E233=""),"",IF(E233&lt;=0,"",IFERROR(I233/E233-1,"")))</f>
        <v/>
      </c>
      <c r="J235" s="15">
        <f>IF(OR(J233="",F233=""),"",IF(F233&lt;=0,"",IFERROR(J233/F233-1,"")))</f>
        <v/>
      </c>
      <c r="K235" s="15">
        <f>IF(OR(K233="",G233=""),"",IF(G233&lt;=0,"",IFERROR(K233/G233-1,"")))</f>
        <v/>
      </c>
      <c r="L235" s="15">
        <f>IF(OR(L233="",H233=""),"",IF(H233&lt;=0,"",IFERROR(L233/H233-1,"")))</f>
        <v/>
      </c>
      <c r="M235" s="15">
        <f>IF(OR(M233="",I233=""),"",IF(I233&lt;=0,"",IFERROR(M233/I233-1,"")))</f>
        <v/>
      </c>
      <c r="N235" s="15">
        <f>IF(OR(N233="",J233=""),"",IF(J233&lt;=0,"",IFERROR(N233/J233-1,"")))</f>
        <v/>
      </c>
      <c r="W235" s="15">
        <f>IF(OR(W233="",V233=""),"",IF(V233&lt;=0,"",IFERROR(W233/V233-1,"")))</f>
        <v/>
      </c>
      <c r="X235" s="15">
        <f>IF(OR(X233="",W233=""),"",IF(W233&lt;=0,"",IFERROR(X233/W233-1,"")))</f>
        <v/>
      </c>
    </row>
    <row r="236">
      <c r="A236" s="18" t="inlineStr">
        <is>
          <t>조정액 · 부문 이익</t>
        </is>
      </c>
      <c r="C236" s="20" t="n">
        <v>-1932</v>
      </c>
      <c r="E236" s="20" t="n">
        <v>-2153</v>
      </c>
      <c r="F236" s="20" t="n">
        <v>-2581</v>
      </c>
      <c r="G236" s="20" t="n">
        <v>-2324</v>
      </c>
      <c r="H236" s="20" t="n">
        <v>-3012</v>
      </c>
      <c r="I236" s="20" t="n">
        <v>-2335</v>
      </c>
      <c r="J236" s="20" t="n">
        <v>-2538</v>
      </c>
      <c r="K236" s="20" t="n">
        <v>-2611</v>
      </c>
      <c r="L236" s="20" t="n">
        <v>-3348</v>
      </c>
      <c r="M236" s="20" t="n">
        <v>-3192</v>
      </c>
      <c r="N236" s="20" t="n">
        <v>-2925</v>
      </c>
      <c r="W236" s="20" t="n">
        <v>-3012</v>
      </c>
      <c r="X236" s="20" t="n">
        <v>-3348</v>
      </c>
    </row>
    <row r="237">
      <c r="A237" s="9" t="inlineStr">
        <is>
          <t>부문 이익</t>
        </is>
      </c>
      <c r="C237" s="12" t="n">
        <v>5539</v>
      </c>
      <c r="E237" s="12" t="n">
        <v>1057</v>
      </c>
      <c r="F237" s="12" t="n">
        <v>1453</v>
      </c>
      <c r="G237" s="12" t="n">
        <v>7435</v>
      </c>
      <c r="H237" s="12" t="n">
        <v>2181</v>
      </c>
      <c r="I237" s="12" t="n">
        <v>2686</v>
      </c>
      <c r="J237" s="12" t="n">
        <v>2397</v>
      </c>
      <c r="K237" s="12" t="n">
        <v>7366</v>
      </c>
      <c r="L237" s="12" t="n">
        <v>1346</v>
      </c>
      <c r="M237" s="12" t="n">
        <v>2333</v>
      </c>
      <c r="N237" s="12" t="n">
        <v>2725</v>
      </c>
      <c r="W237" s="12" t="n">
        <v>2181</v>
      </c>
      <c r="X237" s="12" t="n">
        <v>1346</v>
      </c>
    </row>
    <row r="238">
      <c r="A238" s="43" t="inlineStr">
        <is>
          <t>OPM</t>
        </is>
      </c>
      <c r="B238" s="3" t="inlineStr">
        <is>
          <t>영업이익 ÷ 매출</t>
        </is>
      </c>
      <c r="C238" s="15">
        <f>IF(OR(C237="",C175=""),"",IF(C175&lt;=0,"",IFERROR(C237/C175,"")))</f>
        <v/>
      </c>
      <c r="E238" s="15">
        <f>IF(OR(E237="",E175=""),"",IF(E175&lt;=0,"",IFERROR(E237/E175,"")))</f>
        <v/>
      </c>
      <c r="F238" s="15">
        <f>IF(OR(F237="",F175=""),"",IF(F175&lt;=0,"",IFERROR(F237/F175,"")))</f>
        <v/>
      </c>
      <c r="G238" s="15">
        <f>IF(OR(G237="",G175=""),"",IF(G175&lt;=0,"",IFERROR(G237/G175,"")))</f>
        <v/>
      </c>
      <c r="H238" s="15">
        <f>IF(OR(H237="",H175=""),"",IF(H175&lt;=0,"",IFERROR(H237/H175,"")))</f>
        <v/>
      </c>
      <c r="I238" s="15">
        <f>IF(OR(I237="",I175=""),"",IF(I175&lt;=0,"",IFERROR(I237/I175,"")))</f>
        <v/>
      </c>
      <c r="J238" s="15">
        <f>IF(OR(J237="",J175=""),"",IF(J175&lt;=0,"",IFERROR(J237/J175,"")))</f>
        <v/>
      </c>
      <c r="K238" s="15">
        <f>IF(OR(K237="",K175=""),"",IF(K175&lt;=0,"",IFERROR(K237/K175,"")))</f>
        <v/>
      </c>
      <c r="L238" s="15">
        <f>IF(OR(L237="",L175=""),"",IF(L175&lt;=0,"",IFERROR(L237/L175,"")))</f>
        <v/>
      </c>
      <c r="M238" s="15">
        <f>IF(OR(M237="",M175=""),"",IF(M175&lt;=0,"",IFERROR(M237/M175,"")))</f>
        <v/>
      </c>
      <c r="N238" s="15">
        <f>IF(OR(N237="",N175=""),"",IF(N175&lt;=0,"",IFERROR(N237/N175,"")))</f>
        <v/>
      </c>
      <c r="W238" s="15">
        <f>IF(OR(W237="",W175=""),"",IF(W175&lt;=0,"",IFERROR(W237/W175,"")))</f>
        <v/>
      </c>
      <c r="X238" s="15">
        <f>IF(OR(X237="",X175=""),"",IF(X175&lt;=0,"",IFERROR(X237/X175,"")))</f>
        <v/>
      </c>
    </row>
    <row r="239">
      <c r="A239" s="43" t="inlineStr">
        <is>
          <t>YoY</t>
        </is>
      </c>
      <c r="B239" s="3" t="inlineStr">
        <is>
          <t>전년 같은 분기·전년 대비</t>
        </is>
      </c>
      <c r="G239" s="15">
        <f>IF(OR(G237="",C237=""),"",IF(C237&lt;=0,"",IFERROR(G237/C237-1,"")))</f>
        <v/>
      </c>
      <c r="H239" s="15">
        <f>IF(OR(H237="",D237=""),"",IF(D237&lt;=0,"",IFERROR(H237/D237-1,"")))</f>
        <v/>
      </c>
      <c r="I239" s="15">
        <f>IF(OR(I237="",E237=""),"",IF(E237&lt;=0,"",IFERROR(I237/E237-1,"")))</f>
        <v/>
      </c>
      <c r="J239" s="15">
        <f>IF(OR(J237="",F237=""),"",IF(F237&lt;=0,"",IFERROR(J237/F237-1,"")))</f>
        <v/>
      </c>
      <c r="K239" s="15">
        <f>IF(OR(K237="",G237=""),"",IF(G237&lt;=0,"",IFERROR(K237/G237-1,"")))</f>
        <v/>
      </c>
      <c r="L239" s="15">
        <f>IF(OR(L237="",H237=""),"",IF(H237&lt;=0,"",IFERROR(L237/H237-1,"")))</f>
        <v/>
      </c>
      <c r="M239" s="15">
        <f>IF(OR(M237="",I237=""),"",IF(I237&lt;=0,"",IFERROR(M237/I237-1,"")))</f>
        <v/>
      </c>
      <c r="N239" s="15">
        <f>IF(OR(N237="",J237=""),"",IF(J237&lt;=0,"",IFERROR(N237/J237-1,"")))</f>
        <v/>
      </c>
      <c r="W239" s="15">
        <f>IF(OR(W237="",V237=""),"",IF(V237&lt;=0,"",IFERROR(W237/V237-1,"")))</f>
        <v/>
      </c>
      <c r="X239" s="15">
        <f>IF(OR(X237="",W237=""),"",IF(W237&lt;=0,"",IFERROR(X237/W237-1,"")))</f>
        <v/>
      </c>
    </row>
    <row r="240">
      <c r="A240" s="18" t="inlineStr">
        <is>
          <t>부문 · 외부 고객 매출</t>
        </is>
      </c>
      <c r="E240" s="20" t="n">
        <v>40020</v>
      </c>
    </row>
    <row r="241">
      <c r="A241" s="43" t="inlineStr">
        <is>
          <t>YoY</t>
        </is>
      </c>
      <c r="B241" s="3" t="inlineStr">
        <is>
          <t>전년 같은 분기·전년 대비</t>
        </is>
      </c>
    </row>
    <row r="242">
      <c r="A242" s="18" t="inlineStr">
        <is>
          <t>해외 사업 · 외부 고객 매출</t>
        </is>
      </c>
      <c r="E242" s="20" t="n">
        <v>3289</v>
      </c>
    </row>
    <row r="243">
      <c r="A243" s="43" t="inlineStr">
        <is>
          <t>YoY</t>
        </is>
      </c>
      <c r="B243" s="3" t="inlineStr">
        <is>
          <t>전년 같은 분기·전년 대비</t>
        </is>
      </c>
    </row>
    <row r="244">
      <c r="A244" s="18" t="inlineStr">
        <is>
          <t>BtoB · 외부 고객 매출</t>
        </is>
      </c>
      <c r="E244" s="20" t="n">
        <v>7552</v>
      </c>
    </row>
    <row r="245">
      <c r="A245" s="43" t="inlineStr">
        <is>
          <t>YoY</t>
        </is>
      </c>
      <c r="B245" s="3" t="inlineStr">
        <is>
          <t>전년 같은 분기·전년 대비</t>
        </is>
      </c>
    </row>
    <row r="246">
      <c r="A246" s="18" t="inlineStr">
        <is>
          <t>OtherReportableSegmentsMember · 외부 고객 매출</t>
        </is>
      </c>
      <c r="E246" s="20" t="n">
        <v>3149</v>
      </c>
    </row>
    <row r="247">
      <c r="A247" s="43" t="inlineStr">
        <is>
          <t>YoY</t>
        </is>
      </c>
      <c r="B247" s="3" t="inlineStr">
        <is>
          <t>전년 같은 분기·전년 대비</t>
        </is>
      </c>
    </row>
    <row r="249">
      <c r="A249" s="16" t="inlineStr">
        <is>
          <t>현금흐름표 · 전 항목</t>
        </is>
      </c>
      <c r="B249" s="42" t="inlineStr">
        <is>
          <t>분기 = 결산기 첫날부터 누계(공시 그대로)</t>
        </is>
      </c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  <c r="AA249" s="16" t="n"/>
      <c r="AB249" s="16" t="n"/>
      <c r="AC249" s="16" t="n"/>
    </row>
    <row r="250">
      <c r="A250" s="5" t="inlineStr">
        <is>
          <t>항목</t>
        </is>
      </c>
      <c r="B250" s="5" t="inlineStr">
        <is>
          <t>참고</t>
        </is>
      </c>
      <c r="C250" s="5" t="inlineStr">
        <is>
          <t>2024.3Q</t>
        </is>
      </c>
      <c r="D250" s="5" t="inlineStr">
        <is>
          <t>2024.4Q</t>
        </is>
      </c>
      <c r="E250" s="5" t="inlineStr">
        <is>
          <t>2025.1Q</t>
        </is>
      </c>
      <c r="F250" s="5" t="inlineStr">
        <is>
          <t>2025.2Q</t>
        </is>
      </c>
      <c r="G250" s="5" t="inlineStr">
        <is>
          <t>2025.3Q</t>
        </is>
      </c>
      <c r="H250" s="5" t="inlineStr">
        <is>
          <t>2025.4Q</t>
        </is>
      </c>
      <c r="I250" s="5" t="inlineStr">
        <is>
          <t>2026.1Q</t>
        </is>
      </c>
      <c r="J250" s="5" t="inlineStr">
        <is>
          <t>2026.2Q</t>
        </is>
      </c>
      <c r="K250" s="5" t="inlineStr">
        <is>
          <t>2026.3Q</t>
        </is>
      </c>
      <c r="L250" s="5" t="inlineStr">
        <is>
          <t>2026.4Q</t>
        </is>
      </c>
      <c r="M250" s="5" t="inlineStr">
        <is>
          <t>2027.1Q</t>
        </is>
      </c>
      <c r="N250" s="5" t="inlineStr">
        <is>
          <t>2027.2Q</t>
        </is>
      </c>
      <c r="O250" s="5" t="inlineStr">
        <is>
          <t>2017</t>
        </is>
      </c>
      <c r="P250" s="5" t="inlineStr">
        <is>
          <t>2018</t>
        </is>
      </c>
      <c r="Q250" s="5" t="inlineStr">
        <is>
          <t>2019</t>
        </is>
      </c>
      <c r="R250" s="5" t="inlineStr">
        <is>
          <t>2020</t>
        </is>
      </c>
      <c r="S250" s="5" t="inlineStr">
        <is>
          <t>2021</t>
        </is>
      </c>
      <c r="T250" s="5" t="inlineStr">
        <is>
          <t>2022</t>
        </is>
      </c>
      <c r="U250" s="5" t="inlineStr">
        <is>
          <t>2023</t>
        </is>
      </c>
      <c r="V250" s="5" t="inlineStr">
        <is>
          <t>2024</t>
        </is>
      </c>
      <c r="W250" s="5" t="inlineStr">
        <is>
          <t>2025</t>
        </is>
      </c>
      <c r="X250" s="5" t="inlineStr">
        <is>
          <t>2026</t>
        </is>
      </c>
      <c r="Y250" s="5" t="inlineStr">
        <is>
          <t>2027(MW)</t>
        </is>
      </c>
      <c r="Z250" s="5" t="inlineStr">
        <is>
          <t>2028(MW)</t>
        </is>
      </c>
      <c r="AA250" s="5" t="inlineStr">
        <is>
          <t>2029(MW)</t>
        </is>
      </c>
      <c r="AB250" s="5" t="inlineStr">
        <is>
          <t>2030(MW)</t>
        </is>
      </c>
      <c r="AC250" s="5" t="inlineStr">
        <is>
          <t>2031(MW)</t>
        </is>
      </c>
    </row>
    <row r="251">
      <c r="A251" s="9" t="inlineStr">
        <is>
          <t>법인세차감전 순이익</t>
        </is>
      </c>
      <c r="D251" s="12" t="n">
        <v>10283</v>
      </c>
      <c r="H251" s="12" t="n">
        <v>12951</v>
      </c>
      <c r="L251" s="12" t="n">
        <v>14368</v>
      </c>
      <c r="O251" s="12" t="n">
        <v>4474</v>
      </c>
      <c r="P251" s="12" t="n">
        <v>8255</v>
      </c>
      <c r="Q251" s="12" t="n">
        <v>7754</v>
      </c>
      <c r="R251" s="12" t="n">
        <v>5905</v>
      </c>
      <c r="S251" s="12" t="n">
        <v>10801</v>
      </c>
      <c r="T251" s="12" t="n">
        <v>11008</v>
      </c>
      <c r="U251" s="12" t="n">
        <v>11854</v>
      </c>
      <c r="V251" s="12" t="n">
        <v>10283</v>
      </c>
      <c r="W251" s="12" t="n">
        <v>12951</v>
      </c>
      <c r="X251" s="12" t="n">
        <v>14368</v>
      </c>
    </row>
    <row r="252">
      <c r="A252" s="18" t="inlineStr">
        <is>
          <t>감가상각비</t>
        </is>
      </c>
      <c r="D252" s="20" t="n">
        <v>4962</v>
      </c>
      <c r="H252" s="20" t="n">
        <v>5648</v>
      </c>
      <c r="L252" s="20" t="n">
        <v>6389</v>
      </c>
      <c r="O252" s="20" t="n">
        <v>4167</v>
      </c>
      <c r="P252" s="20" t="n">
        <v>4031</v>
      </c>
      <c r="Q252" s="20" t="n">
        <v>3726</v>
      </c>
      <c r="R252" s="20" t="n">
        <v>4415</v>
      </c>
      <c r="S252" s="20" t="n">
        <v>3859</v>
      </c>
      <c r="T252" s="20" t="n">
        <v>4160</v>
      </c>
      <c r="U252" s="20" t="n">
        <v>4305</v>
      </c>
      <c r="V252" s="20" t="n">
        <v>4962</v>
      </c>
      <c r="W252" s="20" t="n">
        <v>5648</v>
      </c>
      <c r="X252" s="20" t="n">
        <v>6389</v>
      </c>
    </row>
    <row r="253">
      <c r="A253" s="18" t="inlineStr">
        <is>
          <t>손상차손</t>
        </is>
      </c>
      <c r="D253" s="20" t="n">
        <v>534</v>
      </c>
      <c r="H253" s="20" t="n">
        <v>462</v>
      </c>
      <c r="L253" s="20" t="n">
        <v>1188</v>
      </c>
      <c r="O253" s="20" t="n">
        <v>2161</v>
      </c>
      <c r="P253" s="20" t="n">
        <v>480</v>
      </c>
      <c r="Q253" s="20" t="n">
        <v>215</v>
      </c>
      <c r="R253" s="20" t="n">
        <v>1950</v>
      </c>
      <c r="S253" s="20" t="n">
        <v>418</v>
      </c>
      <c r="T253" s="20" t="n">
        <v>238</v>
      </c>
      <c r="U253" s="20" t="n">
        <v>897</v>
      </c>
      <c r="V253" s="20" t="n">
        <v>534</v>
      </c>
      <c r="W253" s="20" t="n">
        <v>462</v>
      </c>
      <c r="X253" s="20" t="n">
        <v>1188</v>
      </c>
    </row>
    <row r="254">
      <c r="A254" s="18" t="inlineStr">
        <is>
          <t>영업권 상각</t>
        </is>
      </c>
      <c r="D254" s="20" t="n">
        <v>321</v>
      </c>
      <c r="H254" s="20" t="n">
        <v>366</v>
      </c>
      <c r="L254" s="20" t="n">
        <v>968</v>
      </c>
      <c r="O254" s="20" t="n">
        <v>217</v>
      </c>
      <c r="P254" s="20" t="n">
        <v>100</v>
      </c>
      <c r="Q254" s="20" t="n">
        <v>319</v>
      </c>
      <c r="R254" s="20" t="n">
        <v>250</v>
      </c>
      <c r="S254" s="20" t="n">
        <v>295</v>
      </c>
      <c r="T254" s="20" t="n">
        <v>394</v>
      </c>
      <c r="U254" s="20" t="n">
        <v>381</v>
      </c>
      <c r="V254" s="20" t="n">
        <v>321</v>
      </c>
      <c r="W254" s="20" t="n">
        <v>366</v>
      </c>
      <c r="X254" s="20" t="n">
        <v>968</v>
      </c>
    </row>
    <row r="255">
      <c r="A255" s="18" t="inlineStr">
        <is>
          <t>Provision For Business Restructuring Ope CF</t>
        </is>
      </c>
      <c r="O255" s="20" t="n">
        <v>-76</v>
      </c>
      <c r="P255" s="20" t="n">
        <v>0</v>
      </c>
    </row>
    <row r="256">
      <c r="A256" s="18" t="inlineStr">
        <is>
          <t>대손충당금 증감</t>
        </is>
      </c>
      <c r="D256" s="20" t="n">
        <v>-57</v>
      </c>
      <c r="H256" s="20" t="n">
        <v>10</v>
      </c>
      <c r="L256" s="20" t="n">
        <v>17</v>
      </c>
      <c r="O256" s="20" t="n">
        <v>-251</v>
      </c>
      <c r="P256" s="20" t="n">
        <v>3</v>
      </c>
      <c r="Q256" s="20" t="n">
        <v>-7</v>
      </c>
      <c r="R256" s="20" t="n">
        <v>-52</v>
      </c>
      <c r="S256" s="20" t="n">
        <v>-205</v>
      </c>
      <c r="T256" s="20" t="n">
        <v>-43</v>
      </c>
      <c r="U256" s="20" t="n">
        <v>44</v>
      </c>
      <c r="V256" s="20" t="n">
        <v>-57</v>
      </c>
      <c r="W256" s="20" t="n">
        <v>10</v>
      </c>
      <c r="X256" s="20" t="n">
        <v>17</v>
      </c>
    </row>
    <row r="257">
      <c r="A257" s="18" t="inlineStr">
        <is>
          <t>임원 퇴직위로 충당금 증감</t>
        </is>
      </c>
      <c r="O257" s="20" t="n">
        <v>10</v>
      </c>
      <c r="P257" s="20" t="n">
        <v>-21</v>
      </c>
      <c r="Q257" s="20" t="n">
        <v>-41</v>
      </c>
      <c r="R257" s="20" t="n">
        <v>0</v>
      </c>
    </row>
    <row r="258">
      <c r="A258" s="18" t="inlineStr">
        <is>
          <t>퇴직급여부채 증감</t>
        </is>
      </c>
      <c r="D258" s="20" t="n">
        <v>16</v>
      </c>
      <c r="H258" s="20" t="n">
        <v>0</v>
      </c>
      <c r="L258" s="20" t="n">
        <v>19</v>
      </c>
      <c r="O258" s="20" t="n">
        <v>10</v>
      </c>
      <c r="P258" s="20" t="n">
        <v>-77</v>
      </c>
      <c r="Q258" s="20" t="n">
        <v>-74</v>
      </c>
      <c r="R258" s="20" t="n">
        <v>326</v>
      </c>
      <c r="S258" s="20" t="n">
        <v>396</v>
      </c>
      <c r="T258" s="20" t="n">
        <v>324</v>
      </c>
      <c r="U258" s="20" t="n">
        <v>19</v>
      </c>
      <c r="V258" s="20" t="n">
        <v>16</v>
      </c>
      <c r="W258" s="20" t="n">
        <v>0</v>
      </c>
      <c r="X258" s="20" t="n">
        <v>19</v>
      </c>
    </row>
    <row r="259">
      <c r="A259" s="18" t="inlineStr">
        <is>
          <t>특별퇴직금</t>
        </is>
      </c>
      <c r="P259" s="20" t="n">
        <v>0</v>
      </c>
      <c r="Q259" s="20" t="n">
        <v>272</v>
      </c>
      <c r="R259" s="20" t="n">
        <v>0</v>
      </c>
    </row>
    <row r="260">
      <c r="A260" s="18" t="inlineStr">
        <is>
          <t>이자·배당금 수익</t>
        </is>
      </c>
      <c r="D260" s="20" t="n">
        <v>-211</v>
      </c>
      <c r="H260" s="20" t="n">
        <v>-252</v>
      </c>
      <c r="L260" s="20" t="n">
        <v>-209</v>
      </c>
      <c r="O260" s="20" t="n">
        <v>-163</v>
      </c>
      <c r="P260" s="20" t="n">
        <v>-182</v>
      </c>
      <c r="Q260" s="20" t="n">
        <v>-141</v>
      </c>
      <c r="R260" s="20" t="n">
        <v>-129</v>
      </c>
      <c r="S260" s="20" t="n">
        <v>-107</v>
      </c>
      <c r="T260" s="20" t="n">
        <v>-130</v>
      </c>
      <c r="U260" s="20" t="n">
        <v>-148</v>
      </c>
      <c r="V260" s="20" t="n">
        <v>-211</v>
      </c>
      <c r="W260" s="20" t="n">
        <v>-252</v>
      </c>
      <c r="X260" s="20" t="n">
        <v>-209</v>
      </c>
    </row>
    <row r="261">
      <c r="A261" s="18" t="inlineStr">
        <is>
          <t>보험금 수익</t>
        </is>
      </c>
      <c r="O261" s="20" t="n">
        <v>-92</v>
      </c>
      <c r="P261" s="20" t="n">
        <v>-130</v>
      </c>
      <c r="Q261" s="20" t="n">
        <v>-1088</v>
      </c>
      <c r="R261" s="20" t="n">
        <v>-114</v>
      </c>
      <c r="S261" s="20" t="n">
        <v>0</v>
      </c>
    </row>
    <row r="262">
      <c r="A262" s="18" t="inlineStr">
        <is>
          <t>이자비용</t>
        </is>
      </c>
      <c r="D262" s="20" t="n">
        <v>91</v>
      </c>
      <c r="H262" s="20" t="n">
        <v>168</v>
      </c>
      <c r="L262" s="20" t="n">
        <v>416</v>
      </c>
      <c r="O262" s="20" t="n">
        <v>35</v>
      </c>
      <c r="P262" s="20" t="n">
        <v>40</v>
      </c>
      <c r="Q262" s="20" t="n">
        <v>27</v>
      </c>
      <c r="R262" s="20" t="n">
        <v>74</v>
      </c>
      <c r="S262" s="20" t="n">
        <v>65</v>
      </c>
      <c r="T262" s="20" t="n">
        <v>76</v>
      </c>
      <c r="U262" s="20" t="n">
        <v>69</v>
      </c>
      <c r="V262" s="20" t="n">
        <v>91</v>
      </c>
      <c r="W262" s="20" t="n">
        <v>168</v>
      </c>
      <c r="X262" s="20" t="n">
        <v>416</v>
      </c>
    </row>
    <row r="263">
      <c r="A263" s="18" t="inlineStr">
        <is>
          <t>지분법손익</t>
        </is>
      </c>
      <c r="D263" s="20" t="n">
        <v>-99</v>
      </c>
      <c r="H263" s="20" t="n">
        <v>-433</v>
      </c>
      <c r="L263" s="20" t="n">
        <v>-292</v>
      </c>
      <c r="O263" s="20" t="n">
        <v>-7</v>
      </c>
      <c r="P263" s="20" t="n">
        <v>-148</v>
      </c>
      <c r="Q263" s="20" t="n">
        <v>-365</v>
      </c>
      <c r="R263" s="20" t="n">
        <v>-267</v>
      </c>
      <c r="S263" s="20" t="n">
        <v>-70</v>
      </c>
      <c r="T263" s="20" t="n">
        <v>672</v>
      </c>
      <c r="U263" s="20" t="n">
        <v>509</v>
      </c>
      <c r="V263" s="20" t="n">
        <v>-99</v>
      </c>
      <c r="W263" s="20" t="n">
        <v>-433</v>
      </c>
      <c r="X263" s="20" t="n">
        <v>-292</v>
      </c>
    </row>
    <row r="264">
      <c r="A264" s="18" t="inlineStr">
        <is>
          <t>고정자산 제각·매각손익</t>
        </is>
      </c>
      <c r="D264" s="20" t="n">
        <v>2</v>
      </c>
      <c r="H264" s="20" t="n">
        <v>30</v>
      </c>
      <c r="L264" s="20" t="n">
        <v>8</v>
      </c>
      <c r="O264" s="20" t="n">
        <v>354</v>
      </c>
      <c r="P264" s="20" t="n">
        <v>248</v>
      </c>
      <c r="Q264" s="20" t="n">
        <v>96</v>
      </c>
      <c r="R264" s="20" t="n">
        <v>249</v>
      </c>
      <c r="S264" s="20" t="n">
        <v>110</v>
      </c>
      <c r="T264" s="20" t="n">
        <v>101</v>
      </c>
      <c r="U264" s="20" t="n">
        <v>68</v>
      </c>
      <c r="V264" s="20" t="n">
        <v>2</v>
      </c>
      <c r="W264" s="20" t="n">
        <v>30</v>
      </c>
      <c r="X264" s="20" t="n">
        <v>8</v>
      </c>
    </row>
    <row r="265">
      <c r="A265" s="18" t="inlineStr">
        <is>
          <t>투자유가증권 매각손익</t>
        </is>
      </c>
      <c r="H265" s="20" t="n">
        <v>0</v>
      </c>
      <c r="L265" s="20" t="n">
        <v>-714</v>
      </c>
      <c r="O265" s="20" t="n">
        <v>-0</v>
      </c>
      <c r="P265" s="20" t="n">
        <v>-1477</v>
      </c>
      <c r="Q265" s="20" t="n">
        <v>-485</v>
      </c>
      <c r="R265" s="20" t="n">
        <v>-0</v>
      </c>
      <c r="S265" s="20" t="n">
        <v>8</v>
      </c>
      <c r="T265" s="20" t="n">
        <v>0</v>
      </c>
      <c r="W265" s="20" t="n">
        <v>0</v>
      </c>
      <c r="X265" s="20" t="n">
        <v>-714</v>
      </c>
    </row>
    <row r="266">
      <c r="A266" s="18" t="inlineStr">
        <is>
          <t>자회사 주식 매각손익</t>
        </is>
      </c>
      <c r="O266" s="20" t="n">
        <v>274</v>
      </c>
      <c r="P266" s="20" t="n">
        <v>0</v>
      </c>
    </row>
    <row r="267">
      <c r="A267" s="18" t="inlineStr">
        <is>
          <t>관계회사 정리손실</t>
        </is>
      </c>
      <c r="O267" s="20" t="n">
        <v>0</v>
      </c>
      <c r="P267" s="20" t="n">
        <v>835</v>
      </c>
      <c r="Q267" s="20" t="n">
        <v>0</v>
      </c>
    </row>
    <row r="268">
      <c r="A268" s="18" t="inlineStr">
        <is>
          <t>투자유가증권 평가손익</t>
        </is>
      </c>
      <c r="D268" s="20" t="n">
        <v>351</v>
      </c>
      <c r="H268" s="20" t="n">
        <v>9</v>
      </c>
      <c r="L268" s="20" t="n">
        <v>338</v>
      </c>
      <c r="O268" s="20" t="n">
        <v>0</v>
      </c>
      <c r="P268" s="20" t="n">
        <v>133</v>
      </c>
      <c r="Q268" s="20" t="n">
        <v>3</v>
      </c>
      <c r="R268" s="20" t="n">
        <v>16</v>
      </c>
      <c r="S268" s="20" t="n">
        <v>82</v>
      </c>
      <c r="T268" s="20" t="n">
        <v>8</v>
      </c>
      <c r="U268" s="20" t="n">
        <v>4</v>
      </c>
      <c r="V268" s="20" t="n">
        <v>351</v>
      </c>
      <c r="W268" s="20" t="n">
        <v>9</v>
      </c>
      <c r="X268" s="20" t="n">
        <v>338</v>
      </c>
    </row>
    <row r="269">
      <c r="A269" s="18" t="inlineStr">
        <is>
          <t>재해 손실</t>
        </is>
      </c>
      <c r="P269" s="20" t="n">
        <v>0</v>
      </c>
      <c r="Q269" s="20" t="n">
        <v>973</v>
      </c>
    </row>
    <row r="270">
      <c r="A270" s="18" t="inlineStr">
        <is>
          <t>재해 손실</t>
        </is>
      </c>
      <c r="Q270" s="20" t="n">
        <v>973</v>
      </c>
      <c r="R270" s="20" t="n">
        <v>0</v>
      </c>
    </row>
    <row r="271">
      <c r="A271" s="18" t="inlineStr">
        <is>
          <t>Loss On Arrangement Of Stores Ope CF</t>
        </is>
      </c>
      <c r="P271" s="20" t="n">
        <v>0</v>
      </c>
      <c r="Q271" s="20" t="n">
        <v>201</v>
      </c>
      <c r="R271" s="20" t="n">
        <v>0</v>
      </c>
    </row>
    <row r="272">
      <c r="A272" s="18" t="inlineStr">
        <is>
          <t>Loss On Arrangement Of Stores</t>
        </is>
      </c>
      <c r="D272" s="20" t="n">
        <v>708</v>
      </c>
      <c r="U272" s="20" t="n">
        <v>0</v>
      </c>
      <c r="V272" s="20" t="n">
        <v>708</v>
      </c>
    </row>
    <row r="273">
      <c r="A273" s="18" t="inlineStr">
        <is>
          <t>매출채권 증감</t>
        </is>
      </c>
      <c r="D273" s="20" t="n">
        <v>5743</v>
      </c>
      <c r="H273" s="20" t="n">
        <v>-3402</v>
      </c>
      <c r="L273" s="20" t="n">
        <v>-3662</v>
      </c>
      <c r="O273" s="20" t="n">
        <v>-2129</v>
      </c>
      <c r="P273" s="20" t="n">
        <v>-4796</v>
      </c>
      <c r="Q273" s="20" t="n">
        <v>-1002</v>
      </c>
      <c r="R273" s="20" t="n">
        <v>8044</v>
      </c>
      <c r="S273" s="20" t="n">
        <v>-4231</v>
      </c>
      <c r="T273" s="20" t="n">
        <v>-5652</v>
      </c>
      <c r="U273" s="20" t="n">
        <v>-1529</v>
      </c>
      <c r="V273" s="20" t="n">
        <v>5743</v>
      </c>
      <c r="W273" s="20" t="n">
        <v>-3402</v>
      </c>
      <c r="X273" s="20" t="n">
        <v>-3662</v>
      </c>
    </row>
    <row r="274">
      <c r="A274" s="18" t="inlineStr">
        <is>
          <t>Decrease Increase In Lease Investment Assets Ope CF</t>
        </is>
      </c>
      <c r="D274" s="20" t="n">
        <v>-346</v>
      </c>
      <c r="H274" s="20" t="n">
        <v>756</v>
      </c>
      <c r="L274" s="20" t="n">
        <v>-149</v>
      </c>
      <c r="O274" s="20" t="n">
        <v>458</v>
      </c>
      <c r="P274" s="20" t="n">
        <v>653</v>
      </c>
      <c r="Q274" s="20" t="n">
        <v>1268</v>
      </c>
      <c r="R274" s="20" t="n">
        <v>1066</v>
      </c>
      <c r="S274" s="20" t="n">
        <v>545</v>
      </c>
      <c r="T274" s="20" t="n">
        <v>497</v>
      </c>
      <c r="U274" s="20" t="n">
        <v>506</v>
      </c>
      <c r="V274" s="20" t="n">
        <v>-346</v>
      </c>
      <c r="W274" s="20" t="n">
        <v>756</v>
      </c>
      <c r="X274" s="20" t="n">
        <v>-149</v>
      </c>
    </row>
    <row r="275">
      <c r="A275" s="18" t="inlineStr">
        <is>
          <t>재고자산 증감</t>
        </is>
      </c>
      <c r="D275" s="20" t="n">
        <v>-1280</v>
      </c>
      <c r="H275" s="20" t="n">
        <v>-1745</v>
      </c>
      <c r="L275" s="20" t="n">
        <v>-1657</v>
      </c>
      <c r="O275" s="20" t="n">
        <v>1433</v>
      </c>
      <c r="P275" s="20" t="n">
        <v>-1847</v>
      </c>
      <c r="Q275" s="20" t="n">
        <v>-2513</v>
      </c>
      <c r="R275" s="20" t="n">
        <v>-138</v>
      </c>
      <c r="S275" s="20" t="n">
        <v>2574</v>
      </c>
      <c r="T275" s="20" t="n">
        <v>-2311</v>
      </c>
      <c r="U275" s="20" t="n">
        <v>-2286</v>
      </c>
      <c r="V275" s="20" t="n">
        <v>-1280</v>
      </c>
      <c r="W275" s="20" t="n">
        <v>-1745</v>
      </c>
      <c r="X275" s="20" t="n">
        <v>-1657</v>
      </c>
    </row>
    <row r="276">
      <c r="A276" s="18" t="inlineStr">
        <is>
          <t>매입채무 증감</t>
        </is>
      </c>
      <c r="D276" s="20" t="n">
        <v>4090</v>
      </c>
      <c r="H276" s="20" t="n">
        <v>-7375</v>
      </c>
      <c r="L276" s="20" t="n">
        <v>905</v>
      </c>
      <c r="O276" s="20" t="n">
        <v>-178</v>
      </c>
      <c r="P276" s="20" t="n">
        <v>7795</v>
      </c>
      <c r="Q276" s="20" t="n">
        <v>334</v>
      </c>
      <c r="R276" s="20" t="n">
        <v>-9500</v>
      </c>
      <c r="S276" s="20" t="n">
        <v>1351</v>
      </c>
      <c r="T276" s="20" t="n">
        <v>3440</v>
      </c>
      <c r="U276" s="20" t="n">
        <v>-186</v>
      </c>
      <c r="V276" s="20" t="n">
        <v>4090</v>
      </c>
      <c r="W276" s="20" t="n">
        <v>-7375</v>
      </c>
      <c r="X276" s="20" t="n">
        <v>905</v>
      </c>
    </row>
    <row r="277">
      <c r="A277" s="18" t="inlineStr">
        <is>
          <t>부의 영업권 발생이익</t>
        </is>
      </c>
      <c r="H277" s="20" t="n">
        <v>-1030</v>
      </c>
      <c r="L277" s="20" t="n">
        <v>0</v>
      </c>
      <c r="W277" s="20" t="n">
        <v>-1030</v>
      </c>
      <c r="X277" s="20" t="n">
        <v>0</v>
      </c>
    </row>
    <row r="278">
      <c r="A278" s="18" t="inlineStr">
        <is>
          <t>사업양도 손익</t>
        </is>
      </c>
      <c r="D278" s="20" t="n">
        <v>-3971</v>
      </c>
      <c r="H278" s="20" t="n">
        <v>0</v>
      </c>
      <c r="L278" s="20" t="n">
        <v>-533</v>
      </c>
      <c r="U278" s="20" t="n">
        <v>0</v>
      </c>
      <c r="V278" s="20" t="n">
        <v>-3971</v>
      </c>
      <c r="W278" s="20" t="n">
        <v>0</v>
      </c>
      <c r="X278" s="20" t="n">
        <v>-533</v>
      </c>
    </row>
    <row r="279">
      <c r="A279" s="18" t="inlineStr">
        <is>
          <t>퇴직급여제도 종료이익</t>
        </is>
      </c>
      <c r="D279" s="20" t="n">
        <v>0</v>
      </c>
      <c r="T279" s="20" t="n">
        <v>0</v>
      </c>
      <c r="U279" s="20" t="n">
        <v>-891</v>
      </c>
      <c r="V279" s="20" t="n">
        <v>0</v>
      </c>
    </row>
    <row r="280">
      <c r="A280" s="18" t="inlineStr">
        <is>
          <t>조기 특별퇴직금</t>
        </is>
      </c>
      <c r="D280" s="20" t="n">
        <v>188</v>
      </c>
      <c r="U280" s="20" t="n">
        <v>0</v>
      </c>
      <c r="V280" s="20" t="n">
        <v>188</v>
      </c>
    </row>
    <row r="281">
      <c r="A281" s="18" t="inlineStr">
        <is>
          <t>단계적 취득 차손익</t>
        </is>
      </c>
      <c r="H281" s="20" t="n">
        <v>132</v>
      </c>
      <c r="L281" s="20" t="n">
        <v>-21</v>
      </c>
      <c r="Q281" s="20" t="n">
        <v>0</v>
      </c>
      <c r="R281" s="20" t="n">
        <v>-93</v>
      </c>
      <c r="S281" s="20" t="n">
        <v>0</v>
      </c>
      <c r="W281" s="20" t="n">
        <v>132</v>
      </c>
      <c r="X281" s="20" t="n">
        <v>-21</v>
      </c>
    </row>
    <row r="282">
      <c r="A282" s="18" t="inlineStr">
        <is>
          <t>Voluntary Product Recall Related Loss Ope CF</t>
        </is>
      </c>
      <c r="Q282" s="20" t="n">
        <v>0</v>
      </c>
      <c r="R282" s="20" t="n">
        <v>141</v>
      </c>
      <c r="S282" s="20" t="n">
        <v>0</v>
      </c>
    </row>
    <row r="283">
      <c r="A283" s="18" t="inlineStr">
        <is>
          <t>기타</t>
        </is>
      </c>
      <c r="D283" s="20" t="n">
        <v>-2022</v>
      </c>
      <c r="H283" s="20" t="n">
        <v>1575</v>
      </c>
      <c r="L283" s="20" t="n">
        <v>1548</v>
      </c>
      <c r="O283" s="20" t="n">
        <v>1700</v>
      </c>
      <c r="P283" s="20" t="n">
        <v>2851</v>
      </c>
      <c r="Q283" s="20" t="n">
        <v>-37</v>
      </c>
      <c r="R283" s="20" t="n">
        <v>-490</v>
      </c>
      <c r="S283" s="20" t="n">
        <v>3514</v>
      </c>
      <c r="T283" s="20" t="n">
        <v>-1571</v>
      </c>
      <c r="U283" s="20" t="n">
        <v>789</v>
      </c>
      <c r="V283" s="20" t="n">
        <v>-2022</v>
      </c>
      <c r="W283" s="20" t="n">
        <v>1575</v>
      </c>
      <c r="X283" s="20" t="n">
        <v>1548</v>
      </c>
    </row>
    <row r="284">
      <c r="A284" s="18" t="inlineStr">
        <is>
          <t>소계</t>
        </is>
      </c>
      <c r="D284" s="20" t="n">
        <v>19303</v>
      </c>
      <c r="H284" s="20" t="n">
        <v>7872</v>
      </c>
      <c r="L284" s="20" t="n">
        <v>18928</v>
      </c>
      <c r="O284" s="20" t="n">
        <v>12399</v>
      </c>
      <c r="P284" s="20" t="n">
        <v>16746</v>
      </c>
      <c r="Q284" s="20" t="n">
        <v>9435</v>
      </c>
      <c r="R284" s="20" t="n">
        <v>11654</v>
      </c>
      <c r="S284" s="20" t="n">
        <v>19408</v>
      </c>
      <c r="T284" s="20" t="n">
        <v>11212</v>
      </c>
      <c r="U284" s="20" t="n">
        <v>14408</v>
      </c>
      <c r="V284" s="20" t="n">
        <v>19303</v>
      </c>
      <c r="W284" s="20" t="n">
        <v>7872</v>
      </c>
      <c r="X284" s="20" t="n">
        <v>18928</v>
      </c>
    </row>
    <row r="285">
      <c r="A285" s="18" t="inlineStr">
        <is>
          <t>이자·배당금 수취</t>
        </is>
      </c>
      <c r="D285" s="20" t="n">
        <v>227</v>
      </c>
      <c r="H285" s="20" t="n">
        <v>304</v>
      </c>
      <c r="L285" s="20" t="n">
        <v>310</v>
      </c>
      <c r="O285" s="20" t="n">
        <v>180</v>
      </c>
      <c r="P285" s="20" t="n">
        <v>203</v>
      </c>
      <c r="Q285" s="20" t="n">
        <v>147</v>
      </c>
      <c r="R285" s="20" t="n">
        <v>144</v>
      </c>
      <c r="S285" s="20" t="n">
        <v>128</v>
      </c>
      <c r="T285" s="20" t="n">
        <v>145</v>
      </c>
      <c r="U285" s="20" t="n">
        <v>206</v>
      </c>
      <c r="V285" s="20" t="n">
        <v>227</v>
      </c>
      <c r="W285" s="20" t="n">
        <v>304</v>
      </c>
      <c r="X285" s="20" t="n">
        <v>310</v>
      </c>
    </row>
    <row r="286">
      <c r="A286" s="18" t="inlineStr">
        <is>
          <t>이자 지급</t>
        </is>
      </c>
      <c r="D286" s="20" t="n">
        <v>-97</v>
      </c>
      <c r="H286" s="20" t="n">
        <v>-155</v>
      </c>
      <c r="L286" s="20" t="n">
        <v>-392</v>
      </c>
      <c r="O286" s="20" t="n">
        <v>-36</v>
      </c>
      <c r="P286" s="20" t="n">
        <v>-41</v>
      </c>
      <c r="Q286" s="20" t="n">
        <v>-27</v>
      </c>
      <c r="R286" s="20" t="n">
        <v>-74</v>
      </c>
      <c r="S286" s="20" t="n">
        <v>-53</v>
      </c>
      <c r="T286" s="20" t="n">
        <v>-80</v>
      </c>
      <c r="U286" s="20" t="n">
        <v>-70</v>
      </c>
      <c r="V286" s="20" t="n">
        <v>-97</v>
      </c>
      <c r="W286" s="20" t="n">
        <v>-155</v>
      </c>
      <c r="X286" s="20" t="n">
        <v>-392</v>
      </c>
    </row>
    <row r="287">
      <c r="A287" s="18" t="inlineStr">
        <is>
          <t>보험금 수취</t>
        </is>
      </c>
      <c r="O287" s="20" t="n">
        <v>92</v>
      </c>
      <c r="P287" s="20" t="n">
        <v>130</v>
      </c>
      <c r="Q287" s="20" t="n">
        <v>346</v>
      </c>
      <c r="R287" s="20" t="n">
        <v>114</v>
      </c>
      <c r="S287" s="20" t="n">
        <v>0</v>
      </c>
    </row>
    <row r="288">
      <c r="A288" s="18" t="inlineStr">
        <is>
          <t>특별퇴직금 지급액</t>
        </is>
      </c>
      <c r="P288" s="20" t="n">
        <v>0</v>
      </c>
      <c r="Q288" s="20" t="n">
        <v>-272</v>
      </c>
      <c r="R288" s="20" t="n">
        <v>0</v>
      </c>
    </row>
    <row r="289">
      <c r="A289" s="18" t="inlineStr">
        <is>
          <t>재해 손실 지급액</t>
        </is>
      </c>
      <c r="P289" s="20" t="n">
        <v>0</v>
      </c>
      <c r="Q289" s="20" t="n">
        <v>-749</v>
      </c>
    </row>
    <row r="290">
      <c r="A290" s="18" t="inlineStr">
        <is>
          <t>재해 손실 지급액</t>
        </is>
      </c>
      <c r="Q290" s="20" t="n">
        <v>-749</v>
      </c>
      <c r="R290" s="20" t="n">
        <v>0</v>
      </c>
    </row>
    <row r="291">
      <c r="A291" s="18" t="inlineStr">
        <is>
          <t>법인세 납부</t>
        </is>
      </c>
      <c r="D291" s="20" t="n">
        <v>-5000</v>
      </c>
      <c r="H291" s="20" t="n">
        <v>-4077</v>
      </c>
      <c r="L291" s="20" t="n">
        <v>-4261</v>
      </c>
      <c r="O291" s="20" t="n">
        <v>-3147</v>
      </c>
      <c r="P291" s="20" t="n">
        <v>-643</v>
      </c>
      <c r="Q291" s="20" t="n">
        <v>-4432</v>
      </c>
      <c r="R291" s="20" t="n">
        <v>-1235</v>
      </c>
      <c r="S291" s="20" t="n">
        <v>-2319</v>
      </c>
      <c r="T291" s="20" t="n">
        <v>-5565</v>
      </c>
      <c r="U291" s="20" t="n">
        <v>-3856</v>
      </c>
      <c r="V291" s="20" t="n">
        <v>-5000</v>
      </c>
      <c r="W291" s="20" t="n">
        <v>-4077</v>
      </c>
      <c r="X291" s="20" t="n">
        <v>-4261</v>
      </c>
    </row>
    <row r="292">
      <c r="A292" s="9" t="inlineStr">
        <is>
          <t>영업활동 현금흐름</t>
        </is>
      </c>
      <c r="D292" s="12" t="n">
        <v>14431</v>
      </c>
      <c r="H292" s="12" t="n">
        <v>3944</v>
      </c>
      <c r="L292" s="12" t="n">
        <v>14585</v>
      </c>
      <c r="O292" s="12" t="n">
        <v>9488</v>
      </c>
      <c r="P292" s="12" t="n">
        <v>16394</v>
      </c>
      <c r="Q292" s="12" t="n">
        <v>4447</v>
      </c>
      <c r="R292" s="12" t="n">
        <v>10603</v>
      </c>
      <c r="S292" s="12" t="n">
        <v>17163</v>
      </c>
      <c r="T292" s="12" t="n">
        <v>5712</v>
      </c>
      <c r="U292" s="12" t="n">
        <v>10687</v>
      </c>
      <c r="V292" s="12" t="n">
        <v>14431</v>
      </c>
      <c r="W292" s="12" t="n">
        <v>3944</v>
      </c>
      <c r="X292" s="12" t="n">
        <v>14585</v>
      </c>
    </row>
    <row r="293">
      <c r="A293" s="18" t="inlineStr">
        <is>
          <t>정기예금 예입</t>
        </is>
      </c>
      <c r="D293" s="20" t="n">
        <v>-24</v>
      </c>
      <c r="H293" s="20" t="n">
        <v>-504</v>
      </c>
      <c r="L293" s="20" t="n">
        <v>-305</v>
      </c>
      <c r="O293" s="20" t="n">
        <v>-306</v>
      </c>
      <c r="P293" s="20" t="n">
        <v>-85</v>
      </c>
      <c r="Q293" s="20" t="n">
        <v>-146</v>
      </c>
      <c r="R293" s="20" t="n">
        <v>-113</v>
      </c>
      <c r="S293" s="20" t="n">
        <v>-12</v>
      </c>
      <c r="T293" s="20" t="n">
        <v>-12</v>
      </c>
      <c r="U293" s="20" t="n">
        <v>-13</v>
      </c>
      <c r="V293" s="20" t="n">
        <v>-24</v>
      </c>
      <c r="W293" s="20" t="n">
        <v>-504</v>
      </c>
      <c r="X293" s="20" t="n">
        <v>-305</v>
      </c>
    </row>
    <row r="294">
      <c r="A294" s="18" t="inlineStr">
        <is>
          <t>정기예금 인출</t>
        </is>
      </c>
      <c r="D294" s="20" t="n">
        <v>72</v>
      </c>
      <c r="H294" s="20" t="n">
        <v>513</v>
      </c>
      <c r="L294" s="20" t="n">
        <v>74</v>
      </c>
      <c r="O294" s="20" t="n">
        <v>619</v>
      </c>
      <c r="P294" s="20" t="n">
        <v>201</v>
      </c>
      <c r="Q294" s="20" t="n">
        <v>16</v>
      </c>
      <c r="R294" s="20" t="n">
        <v>279</v>
      </c>
      <c r="S294" s="20" t="n">
        <v>164</v>
      </c>
      <c r="T294" s="20" t="n">
        <v>0</v>
      </c>
      <c r="U294" s="20" t="n">
        <v>0</v>
      </c>
      <c r="V294" s="20" t="n">
        <v>72</v>
      </c>
      <c r="W294" s="20" t="n">
        <v>513</v>
      </c>
      <c r="X294" s="20" t="n">
        <v>74</v>
      </c>
    </row>
    <row r="295">
      <c r="A295" s="18" t="inlineStr">
        <is>
          <t>유·무형자산 취득 지출</t>
        </is>
      </c>
      <c r="D295" s="20" t="n">
        <v>-9149</v>
      </c>
      <c r="H295" s="20" t="n">
        <v>-8926</v>
      </c>
      <c r="L295" s="20" t="n">
        <v>-17008</v>
      </c>
      <c r="O295" s="20" t="n">
        <v>-4842</v>
      </c>
      <c r="P295" s="20" t="n">
        <v>-3587</v>
      </c>
      <c r="Q295" s="20" t="n">
        <v>-4618</v>
      </c>
      <c r="R295" s="20" t="n">
        <v>-3429</v>
      </c>
      <c r="S295" s="20" t="n">
        <v>-3996</v>
      </c>
      <c r="T295" s="20" t="n">
        <v>-6300</v>
      </c>
      <c r="U295" s="20" t="n">
        <v>-7182</v>
      </c>
      <c r="V295" s="20" t="n">
        <v>-9149</v>
      </c>
      <c r="W295" s="20" t="n">
        <v>-8926</v>
      </c>
      <c r="X295" s="20" t="n">
        <v>-17008</v>
      </c>
    </row>
    <row r="296">
      <c r="A296" s="18" t="inlineStr">
        <is>
          <t>유·무형자산 매각 수입</t>
        </is>
      </c>
      <c r="D296" s="20" t="n">
        <v>102</v>
      </c>
      <c r="H296" s="20" t="n">
        <v>161</v>
      </c>
      <c r="L296" s="20" t="n">
        <v>141</v>
      </c>
      <c r="O296" s="20" t="n">
        <v>53</v>
      </c>
      <c r="P296" s="20" t="n">
        <v>23</v>
      </c>
      <c r="Q296" s="20" t="n">
        <v>1484</v>
      </c>
      <c r="R296" s="20" t="n">
        <v>567</v>
      </c>
      <c r="S296" s="20" t="n">
        <v>31</v>
      </c>
      <c r="T296" s="20" t="n">
        <v>65</v>
      </c>
      <c r="U296" s="20" t="n">
        <v>334</v>
      </c>
      <c r="V296" s="20" t="n">
        <v>102</v>
      </c>
      <c r="W296" s="20" t="n">
        <v>161</v>
      </c>
      <c r="X296" s="20" t="n">
        <v>141</v>
      </c>
    </row>
    <row r="297">
      <c r="A297" s="18" t="inlineStr">
        <is>
          <t>투자유가증권 취득</t>
        </is>
      </c>
      <c r="D297" s="20" t="n">
        <v>-310</v>
      </c>
      <c r="H297" s="20" t="n">
        <v>-0</v>
      </c>
      <c r="L297" s="20" t="n">
        <v>-1</v>
      </c>
      <c r="O297" s="20" t="n">
        <v>-194</v>
      </c>
      <c r="P297" s="20" t="n">
        <v>-578</v>
      </c>
      <c r="Q297" s="20" t="n">
        <v>-0</v>
      </c>
      <c r="R297" s="20" t="n">
        <v>0</v>
      </c>
      <c r="S297" s="20" t="n">
        <v>-35</v>
      </c>
      <c r="T297" s="20" t="n">
        <v>-403</v>
      </c>
      <c r="U297" s="20" t="n">
        <v>-1303</v>
      </c>
      <c r="V297" s="20" t="n">
        <v>-310</v>
      </c>
      <c r="W297" s="20" t="n">
        <v>-0</v>
      </c>
      <c r="X297" s="20" t="n">
        <v>-1</v>
      </c>
    </row>
    <row r="298">
      <c r="A298" s="18" t="inlineStr">
        <is>
          <t>투자유가증권 매각·상환 수입</t>
        </is>
      </c>
      <c r="H298" s="20" t="n">
        <v>0</v>
      </c>
      <c r="L298" s="20" t="n">
        <v>899</v>
      </c>
      <c r="O298" s="20" t="n">
        <v>0</v>
      </c>
      <c r="P298" s="20" t="n">
        <v>2572</v>
      </c>
      <c r="Q298" s="20" t="n">
        <v>742</v>
      </c>
      <c r="R298" s="20" t="n">
        <v>4</v>
      </c>
      <c r="S298" s="20" t="n">
        <v>9</v>
      </c>
      <c r="T298" s="20" t="n">
        <v>0</v>
      </c>
      <c r="W298" s="20" t="n">
        <v>0</v>
      </c>
      <c r="X298" s="20" t="n">
        <v>899</v>
      </c>
    </row>
    <row r="299">
      <c r="A299" s="18" t="inlineStr">
        <is>
          <t>사업양수 지출</t>
        </is>
      </c>
      <c r="O299" s="20" t="n">
        <v>0</v>
      </c>
      <c r="P299" s="20" t="n">
        <v>-445</v>
      </c>
      <c r="Q299" s="20" t="n">
        <v>-109</v>
      </c>
      <c r="R299" s="20" t="n">
        <v>0</v>
      </c>
    </row>
    <row r="300">
      <c r="A300" s="18" t="inlineStr">
        <is>
          <t>사업양도 수입</t>
        </is>
      </c>
      <c r="O300" s="20" t="n">
        <v>0</v>
      </c>
      <c r="P300" s="20" t="n">
        <v>145</v>
      </c>
      <c r="Q300" s="20" t="n">
        <v>0</v>
      </c>
    </row>
    <row r="301">
      <c r="A301" s="18" t="inlineStr">
        <is>
          <t>연결범위 변경 자회사 주식 취득</t>
        </is>
      </c>
      <c r="D301" s="20" t="n">
        <v>-43</v>
      </c>
      <c r="H301" s="20" t="n">
        <v>-5929</v>
      </c>
      <c r="L301" s="20" t="n">
        <v>-963</v>
      </c>
      <c r="O301" s="20" t="n">
        <v>-1603</v>
      </c>
      <c r="P301" s="20" t="n">
        <v>-291</v>
      </c>
      <c r="Q301" s="20" t="n">
        <v>-1171</v>
      </c>
      <c r="R301" s="20" t="n">
        <v>-577</v>
      </c>
      <c r="S301" s="20" t="n">
        <v>-174</v>
      </c>
      <c r="T301" s="20" t="n">
        <v>-1078</v>
      </c>
      <c r="U301" s="20" t="n">
        <v>0</v>
      </c>
      <c r="V301" s="20" t="n">
        <v>-43</v>
      </c>
      <c r="W301" s="20" t="n">
        <v>-5929</v>
      </c>
      <c r="X301" s="20" t="n">
        <v>-963</v>
      </c>
    </row>
    <row r="302">
      <c r="A302" s="18" t="inlineStr">
        <is>
          <t>연결범위 변경 자회사 주식 매각(지출)</t>
        </is>
      </c>
      <c r="O302" s="20" t="n">
        <v>-42</v>
      </c>
      <c r="P302" s="20" t="n">
        <v>-68</v>
      </c>
      <c r="Q302" s="20" t="n">
        <v>0</v>
      </c>
      <c r="R302" s="20" t="n">
        <v>0</v>
      </c>
      <c r="S302" s="20" t="n">
        <v>-141</v>
      </c>
      <c r="T302" s="20" t="n">
        <v>0</v>
      </c>
    </row>
    <row r="303">
      <c r="A303" s="18" t="inlineStr">
        <is>
          <t>연결범위 변경 자회사 주식 매각</t>
        </is>
      </c>
      <c r="D303" s="20" t="n">
        <v>5098</v>
      </c>
      <c r="U303" s="20" t="n">
        <v>0</v>
      </c>
      <c r="V303" s="20" t="n">
        <v>5098</v>
      </c>
    </row>
    <row r="304">
      <c r="A304" s="18" t="inlineStr">
        <is>
          <t>연결범위 변경 자회사 주식 취득(수입)</t>
        </is>
      </c>
      <c r="D304" s="20" t="n">
        <v>0</v>
      </c>
      <c r="H304" s="20" t="n">
        <v>966</v>
      </c>
      <c r="L304" s="20" t="n">
        <v>37</v>
      </c>
      <c r="O304" s="20" t="n">
        <v>0</v>
      </c>
      <c r="Q304" s="20" t="n">
        <v>0</v>
      </c>
      <c r="R304" s="20" t="n">
        <v>386</v>
      </c>
      <c r="S304" s="20" t="n">
        <v>0</v>
      </c>
      <c r="T304" s="20" t="n">
        <v>0</v>
      </c>
      <c r="U304" s="20" t="n">
        <v>51</v>
      </c>
      <c r="V304" s="20" t="n">
        <v>0</v>
      </c>
      <c r="W304" s="20" t="n">
        <v>966</v>
      </c>
      <c r="X304" s="20" t="n">
        <v>37</v>
      </c>
    </row>
    <row r="305">
      <c r="A305" s="18" t="inlineStr">
        <is>
          <t>관계회사 주식 매각</t>
        </is>
      </c>
      <c r="D305" s="20" t="n">
        <v>71</v>
      </c>
      <c r="U305" s="20" t="n">
        <v>0</v>
      </c>
      <c r="V305" s="20" t="n">
        <v>71</v>
      </c>
    </row>
    <row r="306">
      <c r="A306" s="18" t="inlineStr">
        <is>
          <t>관계회사 주식 취득</t>
        </is>
      </c>
      <c r="H306" s="20" t="n">
        <v>-447</v>
      </c>
      <c r="L306" s="20" t="n">
        <v>-4957</v>
      </c>
      <c r="O306" s="20" t="n">
        <v>-334</v>
      </c>
      <c r="P306" s="20" t="n">
        <v>-1907</v>
      </c>
      <c r="Q306" s="20" t="n">
        <v>0</v>
      </c>
      <c r="R306" s="20" t="n">
        <v>-618</v>
      </c>
      <c r="S306" s="20" t="n">
        <v>-1079</v>
      </c>
      <c r="T306" s="20" t="n">
        <v>-24</v>
      </c>
      <c r="U306" s="20" t="n">
        <v>0</v>
      </c>
      <c r="W306" s="20" t="n">
        <v>-447</v>
      </c>
      <c r="X306" s="20" t="n">
        <v>-4957</v>
      </c>
    </row>
    <row r="307">
      <c r="A307" s="18" t="inlineStr">
        <is>
          <t>대여</t>
        </is>
      </c>
      <c r="D307" s="20" t="n">
        <v>0</v>
      </c>
      <c r="H307" s="20" t="n">
        <v>-3369</v>
      </c>
      <c r="L307" s="20" t="n">
        <v>-350</v>
      </c>
      <c r="O307" s="20" t="n">
        <v>-1000</v>
      </c>
      <c r="P307" s="20" t="n">
        <v>-8</v>
      </c>
      <c r="Q307" s="20" t="n">
        <v>-0</v>
      </c>
      <c r="R307" s="20" t="n">
        <v>0</v>
      </c>
      <c r="S307" s="20" t="n">
        <v>-326</v>
      </c>
      <c r="T307" s="20" t="n">
        <v>-100</v>
      </c>
      <c r="U307" s="20" t="n">
        <v>-0</v>
      </c>
      <c r="V307" s="20" t="n">
        <v>0</v>
      </c>
      <c r="W307" s="20" t="n">
        <v>-3369</v>
      </c>
      <c r="X307" s="20" t="n">
        <v>-350</v>
      </c>
    </row>
    <row r="308">
      <c r="A308" s="18" t="inlineStr">
        <is>
          <t>대여금 회수</t>
        </is>
      </c>
      <c r="D308" s="20" t="n">
        <v>3896</v>
      </c>
      <c r="H308" s="20" t="n">
        <v>0</v>
      </c>
      <c r="L308" s="20" t="n">
        <v>322</v>
      </c>
      <c r="O308" s="20" t="n">
        <v>63</v>
      </c>
      <c r="P308" s="20" t="n">
        <v>601</v>
      </c>
      <c r="Q308" s="20" t="n">
        <v>761</v>
      </c>
      <c r="R308" s="20" t="n">
        <v>12</v>
      </c>
      <c r="S308" s="20" t="n">
        <v>13</v>
      </c>
      <c r="T308" s="20" t="n">
        <v>163</v>
      </c>
      <c r="U308" s="20" t="n">
        <v>164</v>
      </c>
      <c r="V308" s="20" t="n">
        <v>3896</v>
      </c>
      <c r="W308" s="20" t="n">
        <v>0</v>
      </c>
      <c r="X308" s="20" t="n">
        <v>322</v>
      </c>
    </row>
    <row r="309">
      <c r="A309" s="18" t="inlineStr">
        <is>
          <t>보증금 납입</t>
        </is>
      </c>
      <c r="D309" s="20" t="n">
        <v>-324</v>
      </c>
      <c r="H309" s="20" t="n">
        <v>-531</v>
      </c>
      <c r="L309" s="20" t="n">
        <v>-1747</v>
      </c>
      <c r="O309" s="20" t="n">
        <v>-358</v>
      </c>
      <c r="P309" s="20" t="n">
        <v>-194</v>
      </c>
      <c r="Q309" s="20" t="n">
        <v>-905</v>
      </c>
      <c r="R309" s="20" t="n">
        <v>-278</v>
      </c>
      <c r="S309" s="20" t="n">
        <v>-387</v>
      </c>
      <c r="T309" s="20" t="n">
        <v>-288</v>
      </c>
      <c r="U309" s="20" t="n">
        <v>-209</v>
      </c>
      <c r="V309" s="20" t="n">
        <v>-324</v>
      </c>
      <c r="W309" s="20" t="n">
        <v>-531</v>
      </c>
      <c r="X309" s="20" t="n">
        <v>-1747</v>
      </c>
    </row>
    <row r="310">
      <c r="A310" s="18" t="inlineStr">
        <is>
          <t>보증금 회수</t>
        </is>
      </c>
      <c r="D310" s="20" t="n">
        <v>300</v>
      </c>
      <c r="H310" s="20" t="n">
        <v>186</v>
      </c>
      <c r="L310" s="20" t="n">
        <v>165</v>
      </c>
      <c r="O310" s="20" t="n">
        <v>638</v>
      </c>
      <c r="P310" s="20" t="n">
        <v>933</v>
      </c>
      <c r="Q310" s="20" t="n">
        <v>974</v>
      </c>
      <c r="R310" s="20" t="n">
        <v>320</v>
      </c>
      <c r="S310" s="20" t="n">
        <v>233</v>
      </c>
      <c r="T310" s="20" t="n">
        <v>321</v>
      </c>
      <c r="U310" s="20" t="n">
        <v>572</v>
      </c>
      <c r="V310" s="20" t="n">
        <v>300</v>
      </c>
      <c r="W310" s="20" t="n">
        <v>186</v>
      </c>
      <c r="X310" s="20" t="n">
        <v>165</v>
      </c>
    </row>
    <row r="311">
      <c r="A311" s="18" t="inlineStr">
        <is>
          <t>기타</t>
        </is>
      </c>
      <c r="D311" s="20" t="n">
        <v>-138</v>
      </c>
      <c r="H311" s="20" t="n">
        <v>-139</v>
      </c>
      <c r="L311" s="20" t="n">
        <v>511</v>
      </c>
      <c r="O311" s="20" t="n">
        <v>160</v>
      </c>
      <c r="P311" s="20" t="n">
        <v>-224</v>
      </c>
      <c r="Q311" s="20" t="n">
        <v>-104</v>
      </c>
      <c r="R311" s="20" t="n">
        <v>76</v>
      </c>
      <c r="S311" s="20" t="n">
        <v>-384</v>
      </c>
      <c r="T311" s="20" t="n">
        <v>-51</v>
      </c>
      <c r="U311" s="20" t="n">
        <v>-67</v>
      </c>
      <c r="V311" s="20" t="n">
        <v>-138</v>
      </c>
      <c r="W311" s="20" t="n">
        <v>-139</v>
      </c>
      <c r="X311" s="20" t="n">
        <v>511</v>
      </c>
    </row>
    <row r="312">
      <c r="A312" s="9" t="inlineStr">
        <is>
          <t>투자활동 현금흐름</t>
        </is>
      </c>
      <c r="D312" s="12" t="n">
        <v>-449</v>
      </c>
      <c r="H312" s="12" t="n">
        <v>-18020</v>
      </c>
      <c r="L312" s="12" t="n">
        <v>-23181</v>
      </c>
      <c r="O312" s="12" t="n">
        <v>-7147</v>
      </c>
      <c r="P312" s="12" t="n">
        <v>-2915</v>
      </c>
      <c r="Q312" s="12" t="n">
        <v>-3078</v>
      </c>
      <c r="R312" s="12" t="n">
        <v>-3370</v>
      </c>
      <c r="S312" s="12" t="n">
        <v>-6085</v>
      </c>
      <c r="T312" s="12" t="n">
        <v>-7710</v>
      </c>
      <c r="U312" s="12" t="n">
        <v>-7652</v>
      </c>
      <c r="V312" s="12" t="n">
        <v>-449</v>
      </c>
      <c r="W312" s="12" t="n">
        <v>-18020</v>
      </c>
      <c r="X312" s="12" t="n">
        <v>-23181</v>
      </c>
    </row>
    <row r="313">
      <c r="A313" s="18" t="inlineStr">
        <is>
          <t>단기차입금 순증감</t>
        </is>
      </c>
      <c r="D313" s="20" t="n">
        <v>-126</v>
      </c>
      <c r="H313" s="20" t="n">
        <v>-698</v>
      </c>
      <c r="L313" s="20" t="n">
        <v>-347</v>
      </c>
      <c r="O313" s="20" t="n">
        <v>610</v>
      </c>
      <c r="P313" s="20" t="n">
        <v>-754</v>
      </c>
      <c r="Q313" s="20" t="n">
        <v>-839</v>
      </c>
      <c r="R313" s="20" t="n">
        <v>-2308</v>
      </c>
      <c r="S313" s="20" t="n">
        <v>4830</v>
      </c>
      <c r="T313" s="20" t="n">
        <v>-5356</v>
      </c>
      <c r="U313" s="20" t="n">
        <v>-119</v>
      </c>
      <c r="V313" s="20" t="n">
        <v>-126</v>
      </c>
      <c r="W313" s="20" t="n">
        <v>-698</v>
      </c>
      <c r="X313" s="20" t="n">
        <v>-347</v>
      </c>
    </row>
    <row r="314">
      <c r="A314" s="18" t="inlineStr">
        <is>
          <t>장기차입</t>
        </is>
      </c>
      <c r="D314" s="20" t="n">
        <v>0</v>
      </c>
      <c r="H314" s="20" t="n">
        <v>22470</v>
      </c>
      <c r="L314" s="20" t="n">
        <v>7000</v>
      </c>
      <c r="O314" s="20" t="n">
        <v>340</v>
      </c>
      <c r="P314" s="20" t="n">
        <v>2100</v>
      </c>
      <c r="Q314" s="20" t="n">
        <v>0</v>
      </c>
      <c r="R314" s="20" t="n">
        <v>636</v>
      </c>
      <c r="S314" s="20" t="n">
        <v>2064</v>
      </c>
      <c r="T314" s="20" t="n">
        <v>3206</v>
      </c>
      <c r="U314" s="20" t="n">
        <v>3000</v>
      </c>
      <c r="V314" s="20" t="n">
        <v>0</v>
      </c>
      <c r="W314" s="20" t="n">
        <v>22470</v>
      </c>
      <c r="X314" s="20" t="n">
        <v>7000</v>
      </c>
    </row>
    <row r="315">
      <c r="A315" s="18" t="inlineStr">
        <is>
          <t>장기차입금 상환</t>
        </is>
      </c>
      <c r="D315" s="20" t="n">
        <v>-1958</v>
      </c>
      <c r="H315" s="20" t="n">
        <v>-1360</v>
      </c>
      <c r="L315" s="20" t="n">
        <v>-3807</v>
      </c>
      <c r="O315" s="20" t="n">
        <v>-883</v>
      </c>
      <c r="P315" s="20" t="n">
        <v>-2392</v>
      </c>
      <c r="Q315" s="20" t="n">
        <v>-1123</v>
      </c>
      <c r="R315" s="20" t="n">
        <v>-540</v>
      </c>
      <c r="S315" s="20" t="n">
        <v>-1473</v>
      </c>
      <c r="T315" s="20" t="n">
        <v>-1161</v>
      </c>
      <c r="U315" s="20" t="n">
        <v>-1078</v>
      </c>
      <c r="V315" s="20" t="n">
        <v>-1958</v>
      </c>
      <c r="W315" s="20" t="n">
        <v>-1360</v>
      </c>
      <c r="X315" s="20" t="n">
        <v>-3807</v>
      </c>
    </row>
    <row r="316">
      <c r="A316" s="18" t="inlineStr">
        <is>
          <t>자기주식 취득</t>
        </is>
      </c>
      <c r="D316" s="20" t="n">
        <v>-0</v>
      </c>
      <c r="H316" s="20" t="n">
        <v>-0</v>
      </c>
      <c r="L316" s="20" t="n">
        <v>-0</v>
      </c>
      <c r="O316" s="20" t="n">
        <v>-2712</v>
      </c>
      <c r="P316" s="20" t="n">
        <v>-1</v>
      </c>
      <c r="Q316" s="20" t="n">
        <v>-2916</v>
      </c>
      <c r="R316" s="20" t="n">
        <v>-2088</v>
      </c>
      <c r="S316" s="20" t="n">
        <v>-0</v>
      </c>
      <c r="T316" s="20" t="n">
        <v>-3000</v>
      </c>
      <c r="U316" s="20" t="n">
        <v>-0</v>
      </c>
      <c r="V316" s="20" t="n">
        <v>-0</v>
      </c>
      <c r="W316" s="20" t="n">
        <v>-0</v>
      </c>
      <c r="X316" s="20" t="n">
        <v>-0</v>
      </c>
    </row>
    <row r="317">
      <c r="A317" s="18" t="inlineStr">
        <is>
          <t>자기주식 매각</t>
        </is>
      </c>
      <c r="H317" s="20" t="n">
        <v>205</v>
      </c>
      <c r="L317" s="20" t="n">
        <v>0</v>
      </c>
      <c r="W317" s="20" t="n">
        <v>205</v>
      </c>
      <c r="X317" s="20" t="n">
        <v>0</v>
      </c>
    </row>
    <row r="318">
      <c r="A318" s="18" t="inlineStr">
        <is>
          <t>연결범위 변경 없는 자회사 주식 취득</t>
        </is>
      </c>
      <c r="D318" s="20" t="n">
        <v>-0</v>
      </c>
      <c r="H318" s="20" t="n">
        <v>-247</v>
      </c>
      <c r="L318" s="20" t="n">
        <v>-26</v>
      </c>
      <c r="O318" s="20" t="n">
        <v>-1</v>
      </c>
      <c r="P318" s="20" t="n">
        <v>-25</v>
      </c>
      <c r="Q318" s="20" t="n">
        <v>0</v>
      </c>
      <c r="R318" s="20" t="n">
        <v>-3</v>
      </c>
      <c r="S318" s="20" t="n">
        <v>-378</v>
      </c>
      <c r="T318" s="20" t="n">
        <v>-690</v>
      </c>
      <c r="U318" s="20" t="n">
        <v>-7</v>
      </c>
      <c r="V318" s="20" t="n">
        <v>-0</v>
      </c>
      <c r="W318" s="20" t="n">
        <v>-247</v>
      </c>
      <c r="X318" s="20" t="n">
        <v>-26</v>
      </c>
    </row>
    <row r="319">
      <c r="A319" s="18" t="inlineStr">
        <is>
          <t>연결범위 변동 없는 자회사 주식 매각 수입</t>
        </is>
      </c>
      <c r="O319" s="20" t="n">
        <v>0</v>
      </c>
    </row>
    <row r="320">
      <c r="A320" s="18" t="inlineStr">
        <is>
          <t>배당금 지급</t>
        </is>
      </c>
      <c r="D320" s="20" t="n">
        <v>-4681</v>
      </c>
      <c r="H320" s="20" t="n">
        <v>-5471</v>
      </c>
      <c r="L320" s="20" t="n">
        <v>-4711</v>
      </c>
      <c r="O320" s="20" t="n">
        <v>-5041</v>
      </c>
      <c r="P320" s="20" t="n">
        <v>-4952</v>
      </c>
      <c r="Q320" s="20" t="n">
        <v>-4952</v>
      </c>
      <c r="R320" s="20" t="n">
        <v>-4827</v>
      </c>
      <c r="S320" s="20" t="n">
        <v>-4793</v>
      </c>
      <c r="T320" s="20" t="n">
        <v>-4734</v>
      </c>
      <c r="U320" s="20" t="n">
        <v>-4674</v>
      </c>
      <c r="V320" s="20" t="n">
        <v>-4681</v>
      </c>
      <c r="W320" s="20" t="n">
        <v>-5471</v>
      </c>
      <c r="X320" s="20" t="n">
        <v>-4711</v>
      </c>
    </row>
    <row r="321">
      <c r="A321" s="18" t="inlineStr">
        <is>
          <t>기타</t>
        </is>
      </c>
      <c r="D321" s="20" t="n">
        <v>-645</v>
      </c>
      <c r="H321" s="20" t="n">
        <v>-923</v>
      </c>
      <c r="L321" s="20" t="n">
        <v>-810</v>
      </c>
      <c r="O321" s="20" t="n">
        <v>231</v>
      </c>
      <c r="P321" s="20" t="n">
        <v>186</v>
      </c>
      <c r="Q321" s="20" t="n">
        <v>-44</v>
      </c>
      <c r="R321" s="20" t="n">
        <v>-552</v>
      </c>
      <c r="S321" s="20" t="n">
        <v>-557</v>
      </c>
      <c r="T321" s="20" t="n">
        <v>-563</v>
      </c>
      <c r="U321" s="20" t="n">
        <v>-615</v>
      </c>
      <c r="V321" s="20" t="n">
        <v>-645</v>
      </c>
      <c r="W321" s="20" t="n">
        <v>-923</v>
      </c>
      <c r="X321" s="20" t="n">
        <v>-810</v>
      </c>
    </row>
    <row r="322">
      <c r="A322" s="9" t="inlineStr">
        <is>
          <t>재무활동 현금흐름</t>
        </is>
      </c>
      <c r="D322" s="12" t="n">
        <v>-7413</v>
      </c>
      <c r="H322" s="12" t="n">
        <v>13973</v>
      </c>
      <c r="L322" s="12" t="n">
        <v>-2704</v>
      </c>
      <c r="O322" s="12" t="n">
        <v>-7457</v>
      </c>
      <c r="P322" s="12" t="n">
        <v>-5840</v>
      </c>
      <c r="Q322" s="12" t="n">
        <v>-9876</v>
      </c>
      <c r="R322" s="12" t="n">
        <v>-9684</v>
      </c>
      <c r="S322" s="12" t="n">
        <v>-309</v>
      </c>
      <c r="T322" s="12" t="n">
        <v>-12300</v>
      </c>
      <c r="U322" s="12" t="n">
        <v>-3495</v>
      </c>
      <c r="V322" s="12" t="n">
        <v>-7413</v>
      </c>
      <c r="W322" s="12" t="n">
        <v>13973</v>
      </c>
      <c r="X322" s="12" t="n">
        <v>-2704</v>
      </c>
    </row>
    <row r="323">
      <c r="A323" s="18" t="inlineStr">
        <is>
          <t>현금성자산 환산차이</t>
        </is>
      </c>
      <c r="D323" s="20" t="n">
        <v>206</v>
      </c>
      <c r="H323" s="20" t="n">
        <v>5</v>
      </c>
      <c r="L323" s="20" t="n">
        <v>48</v>
      </c>
      <c r="O323" s="20" t="n">
        <v>-73</v>
      </c>
      <c r="P323" s="20" t="n">
        <v>23</v>
      </c>
      <c r="Q323" s="20" t="n">
        <v>-11</v>
      </c>
      <c r="R323" s="20" t="n">
        <v>-28</v>
      </c>
      <c r="S323" s="20" t="n">
        <v>82</v>
      </c>
      <c r="T323" s="20" t="n">
        <v>145</v>
      </c>
      <c r="U323" s="20" t="n">
        <v>212</v>
      </c>
      <c r="V323" s="20" t="n">
        <v>206</v>
      </c>
      <c r="W323" s="20" t="n">
        <v>5</v>
      </c>
      <c r="X323" s="20" t="n">
        <v>48</v>
      </c>
    </row>
    <row r="324">
      <c r="A324" s="18" t="inlineStr">
        <is>
          <t>현금성자산 증감</t>
        </is>
      </c>
      <c r="D324" s="20" t="n">
        <v>6775</v>
      </c>
      <c r="H324" s="20" t="n">
        <v>-96</v>
      </c>
      <c r="L324" s="20" t="n">
        <v>-11252</v>
      </c>
      <c r="O324" s="20" t="n">
        <v>-5190</v>
      </c>
      <c r="P324" s="20" t="n">
        <v>7661</v>
      </c>
      <c r="Q324" s="20" t="n">
        <v>-8518</v>
      </c>
      <c r="R324" s="20" t="n">
        <v>-2480</v>
      </c>
      <c r="S324" s="20" t="n">
        <v>10851</v>
      </c>
      <c r="T324" s="20" t="n">
        <v>-14152</v>
      </c>
      <c r="U324" s="20" t="n">
        <v>-247</v>
      </c>
      <c r="V324" s="20" t="n">
        <v>6775</v>
      </c>
      <c r="W324" s="20" t="n">
        <v>-96</v>
      </c>
      <c r="X324" s="20" t="n">
        <v>-11252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9832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116246</v>
      </c>
      <c r="D5" s="12" t="n">
        <v>155308</v>
      </c>
      <c r="E5" s="12" t="n">
        <v>121849</v>
      </c>
      <c r="F5" s="12" t="n">
        <v>115591</v>
      </c>
      <c r="G5" s="12" t="n">
        <v>124162</v>
      </c>
      <c r="H5" s="11" t="n">
        <v>107917</v>
      </c>
      <c r="I5" s="12" t="n">
        <v>111341</v>
      </c>
      <c r="J5" s="12" t="n">
        <v>112191</v>
      </c>
      <c r="K5" s="12" t="n">
        <v>127028</v>
      </c>
      <c r="L5" s="12" t="n">
        <v>121849</v>
      </c>
    </row>
    <row r="6">
      <c r="A6" s="18" t="inlineStr">
        <is>
          <t>현금및현금성자산</t>
        </is>
      </c>
      <c r="B6" s="10" t="n"/>
      <c r="C6" s="19" t="n">
        <v>19704</v>
      </c>
      <c r="D6" s="20" t="n">
        <v>30727</v>
      </c>
      <c r="E6" s="20" t="n">
        <v>20289</v>
      </c>
      <c r="F6" s="20" t="n">
        <v>16795</v>
      </c>
      <c r="G6" s="20" t="n">
        <v>18464</v>
      </c>
      <c r="H6" s="19" t="n">
        <v>24800</v>
      </c>
      <c r="I6" s="20" t="n">
        <v>24570</v>
      </c>
      <c r="J6" s="20" t="n">
        <v>31297</v>
      </c>
      <c r="K6" s="20" t="n">
        <v>31292</v>
      </c>
      <c r="L6" s="20" t="n">
        <v>20289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31559</v>
      </c>
      <c r="D8" s="20" t="n">
        <v>43178</v>
      </c>
      <c r="E8" s="20" t="n">
        <v>33617</v>
      </c>
      <c r="F8" s="20" t="n">
        <v>34205</v>
      </c>
      <c r="G8" s="20" t="n">
        <v>33562</v>
      </c>
      <c r="H8" s="19" t="n">
        <v>25842</v>
      </c>
      <c r="I8" s="20" t="n">
        <v>26149</v>
      </c>
      <c r="J8" s="20" t="n">
        <v>22383</v>
      </c>
      <c r="K8" s="20" t="n">
        <v>29602</v>
      </c>
      <c r="L8" s="20" t="n">
        <v>33617</v>
      </c>
    </row>
    <row r="9">
      <c r="A9" s="18" t="inlineStr">
        <is>
          <t>재고자산</t>
        </is>
      </c>
      <c r="B9" s="10" t="n"/>
      <c r="C9" s="19" t="n">
        <v>31133</v>
      </c>
      <c r="D9" s="20" t="n">
        <v>31083</v>
      </c>
      <c r="E9" s="20" t="n">
        <v>29991</v>
      </c>
      <c r="F9" s="20" t="n">
        <v>32443</v>
      </c>
      <c r="G9" s="20" t="n">
        <v>37029</v>
      </c>
      <c r="H9" s="19" t="n">
        <v>21516</v>
      </c>
      <c r="I9" s="20" t="n">
        <v>23899</v>
      </c>
      <c r="J9" s="20" t="n">
        <v>22635</v>
      </c>
      <c r="K9" s="20" t="n">
        <v>27649</v>
      </c>
      <c r="L9" s="20" t="n">
        <v>29991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110384</v>
      </c>
      <c r="D11" s="12" t="n">
        <v>114368</v>
      </c>
      <c r="E11" s="12" t="n">
        <v>118052</v>
      </c>
      <c r="F11" s="12" t="n">
        <v>120667</v>
      </c>
      <c r="G11" s="12" t="n">
        <v>129052</v>
      </c>
      <c r="H11" s="11" t="n">
        <v>81993</v>
      </c>
      <c r="I11" s="12" t="n">
        <v>82986</v>
      </c>
      <c r="J11" s="12" t="n">
        <v>82757</v>
      </c>
      <c r="K11" s="12" t="n">
        <v>101142</v>
      </c>
      <c r="L11" s="12" t="n">
        <v>118052</v>
      </c>
    </row>
    <row r="12">
      <c r="A12" s="18" t="inlineStr">
        <is>
          <t>유형자산</t>
        </is>
      </c>
      <c r="B12" s="10" t="n"/>
      <c r="C12" s="19" t="n">
        <v>62298</v>
      </c>
      <c r="D12" s="20" t="n">
        <v>65262</v>
      </c>
      <c r="E12" s="20" t="n">
        <v>67331</v>
      </c>
      <c r="F12" s="20" t="n">
        <v>68968</v>
      </c>
      <c r="G12" s="20" t="n">
        <v>71722</v>
      </c>
      <c r="H12" s="19" t="n">
        <v>45268</v>
      </c>
      <c r="I12" s="20" t="n">
        <v>46757</v>
      </c>
      <c r="J12" s="20" t="n">
        <v>48252</v>
      </c>
      <c r="K12" s="20" t="n">
        <v>56757</v>
      </c>
      <c r="L12" s="20" t="n">
        <v>67331</v>
      </c>
    </row>
    <row r="13">
      <c r="A13" s="18" t="inlineStr">
        <is>
          <t>무형자산</t>
        </is>
      </c>
      <c r="B13" s="10" t="n"/>
      <c r="C13" s="19" t="n">
        <v>16943</v>
      </c>
      <c r="D13" s="20" t="n">
        <v>16908</v>
      </c>
      <c r="E13" s="20" t="n">
        <v>16639</v>
      </c>
      <c r="F13" s="20" t="n">
        <v>16924</v>
      </c>
      <c r="G13" s="20" t="n">
        <v>17171</v>
      </c>
      <c r="H13" s="19" t="n">
        <v>8951</v>
      </c>
      <c r="I13" s="20" t="n">
        <v>9392</v>
      </c>
      <c r="J13" s="20" t="n">
        <v>7763</v>
      </c>
      <c r="K13" s="20" t="n">
        <v>17370</v>
      </c>
      <c r="L13" s="20" t="n">
        <v>16639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226631</v>
      </c>
      <c r="D16" s="12" t="n">
        <v>269677</v>
      </c>
      <c r="E16" s="12" t="n">
        <v>239901</v>
      </c>
      <c r="F16" s="12" t="n">
        <v>236258</v>
      </c>
      <c r="G16" s="12" t="n">
        <v>253215</v>
      </c>
      <c r="H16" s="11" t="n">
        <v>189910</v>
      </c>
      <c r="I16" s="12" t="n">
        <v>194327</v>
      </c>
      <c r="J16" s="12" t="n">
        <v>194948</v>
      </c>
      <c r="K16" s="12" t="n">
        <v>228170</v>
      </c>
      <c r="L16" s="12" t="n">
        <v>239901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55448</v>
      </c>
      <c r="D18" s="12" t="n">
        <v>87723</v>
      </c>
      <c r="E18" s="12" t="n">
        <v>62045</v>
      </c>
      <c r="F18" s="12" t="n">
        <v>58244</v>
      </c>
      <c r="G18" s="12" t="n">
        <v>69114</v>
      </c>
      <c r="H18" s="11" t="n">
        <v>46795</v>
      </c>
      <c r="I18" s="12" t="n">
        <v>48906</v>
      </c>
      <c r="J18" s="12" t="n">
        <v>48984</v>
      </c>
      <c r="K18" s="12" t="n">
        <v>58432</v>
      </c>
      <c r="L18" s="12" t="n">
        <v>62045</v>
      </c>
    </row>
    <row r="19">
      <c r="A19" s="18" t="inlineStr">
        <is>
          <t>매입채무</t>
        </is>
      </c>
      <c r="B19" s="10" t="n"/>
      <c r="C19" s="19" t="n">
        <v>18120</v>
      </c>
      <c r="D19" s="20" t="n">
        <v>37563</v>
      </c>
      <c r="E19" s="20" t="n">
        <v>17351</v>
      </c>
      <c r="F19" s="20" t="n">
        <v>16881</v>
      </c>
      <c r="G19" s="20" t="n">
        <v>18648</v>
      </c>
      <c r="H19" s="19" t="n">
        <v>17702</v>
      </c>
      <c r="I19" s="20" t="n">
        <v>17629</v>
      </c>
      <c r="J19" s="20" t="n">
        <v>22050</v>
      </c>
      <c r="K19" s="20" t="n">
        <v>16157</v>
      </c>
      <c r="L19" s="20" t="n">
        <v>17351</v>
      </c>
    </row>
    <row r="20">
      <c r="A20" s="18" t="inlineStr">
        <is>
          <t>단기차입금</t>
        </is>
      </c>
      <c r="B20" s="10" t="n"/>
      <c r="C20" s="19" t="n">
        <v>7057</v>
      </c>
      <c r="D20" s="20" t="n">
        <v>7056</v>
      </c>
      <c r="E20" s="20" t="n">
        <v>8355</v>
      </c>
      <c r="F20" s="20" t="n">
        <v>8619</v>
      </c>
      <c r="G20" s="20" t="n">
        <v>18117</v>
      </c>
      <c r="H20" s="19" t="n">
        <v>1724</v>
      </c>
      <c r="I20" s="20" t="n">
        <v>1847</v>
      </c>
      <c r="J20" s="20" t="n">
        <v>11</v>
      </c>
      <c r="K20" s="20" t="n">
        <v>8514</v>
      </c>
      <c r="L20" s="20" t="n">
        <v>8355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>
        <v>100</v>
      </c>
      <c r="F21" s="20" t="n"/>
      <c r="G21" s="20" t="n"/>
      <c r="H21" s="19" t="n"/>
      <c r="I21" s="20" t="n"/>
      <c r="J21" s="20" t="n"/>
      <c r="K21" s="20" t="n">
        <v>0</v>
      </c>
      <c r="L21" s="20" t="n">
        <v>100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37413</v>
      </c>
      <c r="D23" s="12" t="n">
        <v>44523</v>
      </c>
      <c r="E23" s="12" t="n">
        <v>41235</v>
      </c>
      <c r="F23" s="12" t="n">
        <v>41993</v>
      </c>
      <c r="G23" s="12" t="n">
        <v>42385</v>
      </c>
      <c r="H23" s="11" t="n">
        <v>20223</v>
      </c>
      <c r="I23" s="12" t="n">
        <v>18458</v>
      </c>
      <c r="J23" s="12" t="n">
        <v>16812</v>
      </c>
      <c r="K23" s="12" t="n">
        <v>37774</v>
      </c>
      <c r="L23" s="12" t="n">
        <v>41235</v>
      </c>
    </row>
    <row r="24">
      <c r="A24" s="18" t="inlineStr">
        <is>
          <t>장기차입금</t>
        </is>
      </c>
      <c r="B24" s="10" t="n"/>
      <c r="C24" s="19" t="n">
        <v>26158</v>
      </c>
      <c r="D24" s="20" t="n">
        <v>33072</v>
      </c>
      <c r="E24" s="20" t="n">
        <v>30113</v>
      </c>
      <c r="F24" s="20" t="n">
        <v>30814</v>
      </c>
      <c r="G24" s="20" t="n">
        <v>31603</v>
      </c>
      <c r="H24" s="19" t="n">
        <v>4917</v>
      </c>
      <c r="I24" s="20" t="n">
        <v>6699</v>
      </c>
      <c r="J24" s="20" t="n">
        <v>6023</v>
      </c>
      <c r="K24" s="20" t="n">
        <v>26263</v>
      </c>
      <c r="L24" s="20" t="n">
        <v>30113</v>
      </c>
    </row>
    <row r="25">
      <c r="A25" s="18" t="inlineStr">
        <is>
          <t>사채</t>
        </is>
      </c>
      <c r="B25" s="10" t="n"/>
      <c r="C25" s="19" t="n">
        <v>200</v>
      </c>
      <c r="D25" s="20" t="n">
        <v>200</v>
      </c>
      <c r="E25" s="20" t="n">
        <v>100</v>
      </c>
      <c r="F25" s="20" t="n">
        <v>259</v>
      </c>
      <c r="G25" s="20" t="n">
        <v>154</v>
      </c>
      <c r="H25" s="19" t="n"/>
      <c r="I25" s="20" t="n"/>
      <c r="J25" s="20" t="n">
        <v>0</v>
      </c>
      <c r="K25" s="20" t="n">
        <v>200</v>
      </c>
      <c r="L25" s="20" t="n">
        <v>100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92862</v>
      </c>
      <c r="D27" s="12" t="n">
        <v>132246</v>
      </c>
      <c r="E27" s="12" t="n">
        <v>103280</v>
      </c>
      <c r="F27" s="12" t="n">
        <v>100237</v>
      </c>
      <c r="G27" s="12" t="n">
        <v>111500</v>
      </c>
      <c r="H27" s="11" t="n">
        <v>67018</v>
      </c>
      <c r="I27" s="12" t="n">
        <v>67364</v>
      </c>
      <c r="J27" s="12" t="n">
        <v>65796</v>
      </c>
      <c r="K27" s="12" t="n">
        <v>96206</v>
      </c>
      <c r="L27" s="12" t="n">
        <v>103280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133391</v>
      </c>
      <c r="D31" s="12" t="n">
        <v>137062</v>
      </c>
      <c r="E31" s="12" t="n">
        <v>136249</v>
      </c>
      <c r="F31" s="12" t="n">
        <v>135601</v>
      </c>
      <c r="G31" s="12" t="n">
        <v>141297</v>
      </c>
      <c r="H31" s="11" t="n">
        <v>122550</v>
      </c>
      <c r="I31" s="12" t="n">
        <v>126623</v>
      </c>
      <c r="J31" s="12" t="n">
        <v>128845</v>
      </c>
      <c r="K31" s="12" t="n">
        <v>131808</v>
      </c>
      <c r="L31" s="12" t="n">
        <v>136249</v>
      </c>
    </row>
    <row r="32">
      <c r="A32" s="18" t="inlineStr">
        <is>
          <t>자본금</t>
        </is>
      </c>
      <c r="B32" s="10" t="n"/>
      <c r="C32" s="19" t="n">
        <v>33998</v>
      </c>
      <c r="D32" s="20" t="n">
        <v>33998</v>
      </c>
      <c r="E32" s="20" t="n">
        <v>33998</v>
      </c>
      <c r="F32" s="20" t="n">
        <v>33998</v>
      </c>
      <c r="G32" s="20" t="n">
        <v>33998</v>
      </c>
      <c r="H32" s="19" t="n">
        <v>33998</v>
      </c>
      <c r="I32" s="20" t="n">
        <v>33998</v>
      </c>
      <c r="J32" s="20" t="n">
        <v>33998</v>
      </c>
      <c r="K32" s="20" t="n">
        <v>33998</v>
      </c>
      <c r="L32" s="20" t="n">
        <v>33998</v>
      </c>
    </row>
    <row r="33">
      <c r="A33" s="18" t="inlineStr">
        <is>
          <t>이익잉여금</t>
        </is>
      </c>
      <c r="B33" s="10" t="n"/>
      <c r="C33" s="19" t="n">
        <v>67380</v>
      </c>
      <c r="D33" s="20" t="n">
        <v>70240</v>
      </c>
      <c r="E33" s="20" t="n">
        <v>69877</v>
      </c>
      <c r="F33" s="20" t="n">
        <v>69002</v>
      </c>
      <c r="G33" s="20" t="n">
        <v>74500</v>
      </c>
      <c r="H33" s="19" t="n">
        <v>59442</v>
      </c>
      <c r="I33" s="20" t="n">
        <v>61997</v>
      </c>
      <c r="J33" s="20" t="n">
        <v>63670</v>
      </c>
      <c r="K33" s="20" t="n">
        <v>66246</v>
      </c>
      <c r="L33" s="20" t="n">
        <v>69877</v>
      </c>
    </row>
    <row r="34">
      <c r="A34" s="18" t="inlineStr">
        <is>
          <t>비지배지분</t>
        </is>
      </c>
      <c r="B34" s="10" t="n"/>
      <c r="C34" s="19" t="n">
        <v>377</v>
      </c>
      <c r="D34" s="20" t="n">
        <v>368</v>
      </c>
      <c r="E34" s="20" t="n">
        <v>372</v>
      </c>
      <c r="F34" s="20" t="n">
        <v>419</v>
      </c>
      <c r="G34" s="20" t="n">
        <v>418</v>
      </c>
      <c r="H34" s="19" t="n">
        <v>342</v>
      </c>
      <c r="I34" s="20" t="n">
        <v>340</v>
      </c>
      <c r="J34" s="20" t="n">
        <v>307</v>
      </c>
      <c r="K34" s="20" t="n">
        <v>155</v>
      </c>
      <c r="L34" s="20" t="n">
        <v>372</v>
      </c>
    </row>
    <row r="35">
      <c r="A35" s="9" t="inlineStr">
        <is>
          <t>자본총계</t>
        </is>
      </c>
      <c r="B35" s="10" t="n"/>
      <c r="C35" s="11" t="n">
        <v>133768</v>
      </c>
      <c r="D35" s="12" t="n">
        <v>137430</v>
      </c>
      <c r="E35" s="12" t="n">
        <v>136621</v>
      </c>
      <c r="F35" s="12" t="n">
        <v>136020</v>
      </c>
      <c r="G35" s="12" t="n">
        <v>141715</v>
      </c>
      <c r="H35" s="11" t="n">
        <v>122892</v>
      </c>
      <c r="I35" s="12" t="n">
        <v>126963</v>
      </c>
      <c r="J35" s="12" t="n">
        <v>129152</v>
      </c>
      <c r="K35" s="12" t="n">
        <v>131963</v>
      </c>
      <c r="L35" s="12" t="n">
        <v>136621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>
        <v>14585</v>
      </c>
      <c r="F37" s="12" t="n"/>
      <c r="G37" s="12" t="n"/>
      <c r="H37" s="11" t="n">
        <v>5712</v>
      </c>
      <c r="I37" s="12" t="n">
        <v>10687</v>
      </c>
      <c r="J37" s="12" t="n">
        <v>14431</v>
      </c>
      <c r="K37" s="12" t="n">
        <v>3944</v>
      </c>
      <c r="L37" s="12" t="n">
        <v>14585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/>
      <c r="F38" s="20" t="n"/>
      <c r="G38" s="20" t="n"/>
      <c r="H38" s="19" t="n"/>
      <c r="I38" s="20" t="n"/>
      <c r="J38" s="20" t="n"/>
      <c r="K38" s="20" t="n"/>
      <c r="L38" s="20" t="n"/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>
        <v>4711</v>
      </c>
      <c r="F40" s="20" t="n"/>
      <c r="G40" s="20" t="n"/>
      <c r="H40" s="19" t="n">
        <v>4734</v>
      </c>
      <c r="I40" s="20" t="n">
        <v>4674</v>
      </c>
      <c r="J40" s="20" t="n">
        <v>4681</v>
      </c>
      <c r="K40" s="20" t="n">
        <v>5471</v>
      </c>
      <c r="L40" s="20" t="n">
        <v>4711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IFERROR((IF(COUNT('연간'!G40:J40)&lt;4,"",SUM('연간'!G40:J40)))/(IF(COUNT('연간'!G62:J62)&lt;4,"",SUM('연간'!G62:J62))),"")</f>
        <v/>
      </c>
      <c r="D48" s="31">
        <f>IFERROR((IF(COUNT('연간'!H40:K40)&lt;4,"",SUM('연간'!H40:K40)))/(IF(COUNT('연간'!H62:K62)&lt;4,"",SUM('연간'!H62:K62))),"")</f>
        <v/>
      </c>
      <c r="E48" s="31">
        <f>IFERROR((IF(COUNT('연간'!I40:L40)&lt;4,"",SUM('연간'!I40:L40)))/(IF(COUNT('연간'!I62:L62)&lt;4,"",SUM('연간'!I62:L62))),"")</f>
        <v/>
      </c>
      <c r="F48" s="31">
        <f>IFERROR((IF(COUNT('연간'!J40:M40)&lt;4,"",SUM('연간'!J40:M40)))/(IF(COUNT('연간'!J62:M62)&lt;4,"",SUM('연간'!J62:M62))),"")</f>
        <v/>
      </c>
      <c r="G48" s="31">
        <f>IFERROR((IF(COUNT('연간'!K40:N40)&lt;4,"",SUM('연간'!K40:N40)))/(IF(COUNT('연간'!K62:N62)&lt;4,"",SUM('연간'!K62:N62))),"")</f>
        <v/>
      </c>
      <c r="H48" s="30">
        <f>IFERROR(('연간'!T40)/('연간'!T62),"")</f>
        <v/>
      </c>
      <c r="I48" s="31">
        <f>IFERROR(('연간'!U40)/('연간'!U62),"")</f>
        <v/>
      </c>
      <c r="J48" s="31">
        <f>IFERROR(('연간'!V40)/('연간'!V62),"")</f>
        <v/>
      </c>
      <c r="K48" s="31">
        <f>IFERROR(('연간'!W40)/('연간'!W62),"")</f>
        <v/>
      </c>
      <c r="L48" s="31">
        <f>IFERROR(('연간'!X40)/('연간'!X62),"")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IFERROR(IF((IF(COUNT('연간'!G70:J70)&lt;4,"",SUM('연간'!G70:J70)))&lt;=0,"적자",C28/(IF(COUNT('연간'!G70:J70)&lt;4,"",SUM('연간'!G70:J70)))),"")</f>
        <v/>
      </c>
      <c r="D49" s="47">
        <f>IFERROR(IF((IF(COUNT('연간'!H70:K70)&lt;4,"",SUM('연간'!H70:K70)))&lt;=0,"적자",D28/(IF(COUNT('연간'!H70:K70)&lt;4,"",SUM('연간'!H70:K70)))),"")</f>
        <v/>
      </c>
      <c r="E49" s="47">
        <f>IFERROR(IF((IF(COUNT('연간'!I70:L70)&lt;4,"",SUM('연간'!I70:L70)))&lt;=0,"적자",E28/(IF(COUNT('연간'!I70:L70)&lt;4,"",SUM('연간'!I70:L70)))),"")</f>
        <v/>
      </c>
      <c r="F49" s="47">
        <f>IFERROR(IF((IF(COUNT('연간'!J70:M70)&lt;4,"",SUM('연간'!J70:M70)))&lt;=0,"적자",F28/(IF(COUNT('연간'!J70:M70)&lt;4,"",SUM('연간'!J70:M70)))),"")</f>
        <v/>
      </c>
      <c r="G49" s="47">
        <f>IFERROR(IF((IF(COUNT('연간'!K70:N70)&lt;4,"",SUM('연간'!K70:N70)))&lt;=0,"적자",G28/(IF(COUNT('연간'!K70:N70)&lt;4,"",SUM('연간'!K70:N70)))),"")</f>
        <v/>
      </c>
      <c r="H49" s="46">
        <f>IFERROR(IF(('연간'!T70)&lt;=0,"적자",H28/('연간'!T70)),"")</f>
        <v/>
      </c>
      <c r="I49" s="47">
        <f>IFERROR(IF(('연간'!U70)&lt;=0,"적자",I28/('연간'!U70)),"")</f>
        <v/>
      </c>
      <c r="J49" s="47">
        <f>IFERROR(IF(('연간'!V70)&lt;=0,"적자",J28/('연간'!V70)),"")</f>
        <v/>
      </c>
      <c r="K49" s="47">
        <f>IFERROR(IF(('연간'!W70)&lt;=0,"적자",K28/('연간'!W70)),"")</f>
        <v/>
      </c>
      <c r="L49" s="47">
        <f>IFERROR(IF(('연간'!X70)&lt;=0,"적자",L28/('연간'!X70)),"")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IFERROR((IF(COUNT('연간'!G70:J70)&lt;4,"",SUM('연간'!G70:J70)))/C31,"")</f>
        <v/>
      </c>
      <c r="D51" s="36">
        <f>IFERROR((IF(COUNT('연간'!H70:K70)&lt;4,"",SUM('연간'!H70:K70)))/D31,"")</f>
        <v/>
      </c>
      <c r="E51" s="36">
        <f>IFERROR((IF(COUNT('연간'!I70:L70)&lt;4,"",SUM('연간'!I70:L70)))/E31,"")</f>
        <v/>
      </c>
      <c r="F51" s="36">
        <f>IFERROR((IF(COUNT('연간'!J70:M70)&lt;4,"",SUM('연간'!J70:M70)))/F31,"")</f>
        <v/>
      </c>
      <c r="G51" s="36">
        <f>IFERROR((IF(COUNT('연간'!K70:N70)&lt;4,"",SUM('연간'!K70:N70)))/G31,"")</f>
        <v/>
      </c>
      <c r="H51" s="35">
        <f>IFERROR(('연간'!T70)/H31,"")</f>
        <v/>
      </c>
      <c r="I51" s="36">
        <f>IFERROR(('연간'!U70)/I31,"")</f>
        <v/>
      </c>
      <c r="J51" s="36">
        <f>IFERROR(('연간'!V70)/J31,"")</f>
        <v/>
      </c>
      <c r="K51" s="36">
        <f>IFERROR(('연간'!W70)/K31,"")</f>
        <v/>
      </c>
      <c r="L51" s="36">
        <f>IFERROR(('연간'!X70)/L31,"")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IFERROR((IF(COUNT('연간'!G68:J68)&lt;4,"",SUM('연간'!G68:J68)))/C16,"")</f>
        <v/>
      </c>
      <c r="D52" s="36">
        <f>IFERROR((IF(COUNT('연간'!H68:K68)&lt;4,"",SUM('연간'!H68:K68)))/D16,"")</f>
        <v/>
      </c>
      <c r="E52" s="36">
        <f>IFERROR((IF(COUNT('연간'!I68:L68)&lt;4,"",SUM('연간'!I68:L68)))/E16,"")</f>
        <v/>
      </c>
      <c r="F52" s="36">
        <f>IFERROR((IF(COUNT('연간'!J68:M68)&lt;4,"",SUM('연간'!J68:M68)))/F16,"")</f>
        <v/>
      </c>
      <c r="G52" s="36">
        <f>IFERROR((IF(COUNT('연간'!K68:N68)&lt;4,"",SUM('연간'!K68:N68)))/G16,"")</f>
        <v/>
      </c>
      <c r="H52" s="35">
        <f>IFERROR(('연간'!T68)/H16,"")</f>
        <v/>
      </c>
      <c r="I52" s="36">
        <f>IFERROR(('연간'!U68)/I16,"")</f>
        <v/>
      </c>
      <c r="J52" s="36">
        <f>IFERROR(('연간'!V68)/J16,"")</f>
        <v/>
      </c>
      <c r="K52" s="36">
        <f>IFERROR(('연간'!W68)/K16,"")</f>
        <v/>
      </c>
      <c r="L52" s="36">
        <f>IFERROR(('연간'!X68)/L16,"")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IFERROR((IF(COUNT('연간'!G40:J40)&lt;4,"",SUM('연간'!G40:J40)))*(1-0.3)/(C35+C29),"")</f>
        <v/>
      </c>
      <c r="D53" s="36">
        <f>IFERROR((IF(COUNT('연간'!H40:K40)&lt;4,"",SUM('연간'!H40:K40)))*(1-0.3)/(D35+D29),"")</f>
        <v/>
      </c>
      <c r="E53" s="36">
        <f>IFERROR((IF(COUNT('연간'!I40:L40)&lt;4,"",SUM('연간'!I40:L40)))*(1-0.3)/(E35+E29),"")</f>
        <v/>
      </c>
      <c r="F53" s="36">
        <f>IFERROR((IF(COUNT('연간'!J40:M40)&lt;4,"",SUM('연간'!J40:M40)))*(1-0.3)/(F35+F29),"")</f>
        <v/>
      </c>
      <c r="G53" s="36">
        <f>IFERROR((IF(COUNT('연간'!K40:N40)&lt;4,"",SUM('연간'!K40:N40)))*(1-0.3)/(G35+G29),"")</f>
        <v/>
      </c>
      <c r="H53" s="35">
        <f>IFERROR(('연간'!T40)*(1-0.3)/(H35+H29),"")</f>
        <v/>
      </c>
      <c r="I53" s="36">
        <f>IFERROR(('연간'!U40)*(1-0.3)/(I35+I29),"")</f>
        <v/>
      </c>
      <c r="J53" s="36">
        <f>IFERROR(('연간'!V40)*(1-0.3)/(J35+J29),"")</f>
        <v/>
      </c>
      <c r="K53" s="36">
        <f>IFERROR(('연간'!W40)*(1-0.3)/(K35+K29),"")</f>
        <v/>
      </c>
      <c r="L53" s="36">
        <f>IFERROR(('연간'!X40)*(1-0.3)/(L35+L29),"")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IFERROR((IF(COUNT('연간'!G34:J34)&lt;4,"",SUM('연간'!G34:J34)))/(IF(COUNT('연간'!G4:J4)&lt;4,"",SUM('연간'!G4:J4))),"")</f>
        <v/>
      </c>
      <c r="D54" s="36">
        <f>IFERROR((IF(COUNT('연간'!H34:K34)&lt;4,"",SUM('연간'!H34:K34)))/(IF(COUNT('연간'!H4:K4)&lt;4,"",SUM('연간'!H4:K4))),"")</f>
        <v/>
      </c>
      <c r="E54" s="36">
        <f>IFERROR((IF(COUNT('연간'!I34:L34)&lt;4,"",SUM('연간'!I34:L34)))/(IF(COUNT('연간'!I4:L4)&lt;4,"",SUM('연간'!I4:L4))),"")</f>
        <v/>
      </c>
      <c r="F54" s="36">
        <f>IFERROR((IF(COUNT('연간'!J34:M34)&lt;4,"",SUM('연간'!J34:M34)))/(IF(COUNT('연간'!J4:M4)&lt;4,"",SUM('연간'!J4:M4))),"")</f>
        <v/>
      </c>
      <c r="G54" s="36">
        <f>IFERROR((IF(COUNT('연간'!K34:N34)&lt;4,"",SUM('연간'!K34:N34)))/(IF(COUNT('연간'!K4:N4)&lt;4,"",SUM('연간'!K4:N4))),"")</f>
        <v/>
      </c>
      <c r="H54" s="35">
        <f>IFERROR(('연간'!T34)/('연간'!T4),"")</f>
        <v/>
      </c>
      <c r="I54" s="36">
        <f>IFERROR(('연간'!U34)/('연간'!U4),"")</f>
        <v/>
      </c>
      <c r="J54" s="36">
        <f>IFERROR(('연간'!V34)/('연간'!V4),"")</f>
        <v/>
      </c>
      <c r="K54" s="36">
        <f>IFERROR(('연간'!W34)/('연간'!W4),"")</f>
        <v/>
      </c>
      <c r="L54" s="36">
        <f>IFERROR(('연간'!X34)/('연간'!X4),"")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IFERROR((IF(COUNT('연간'!G40:J40)&lt;4,"",SUM('연간'!G40:J40)))/(IF(COUNT('연간'!G4:J4)&lt;4,"",SUM('연간'!G4:J4))),"")</f>
        <v/>
      </c>
      <c r="D55" s="36">
        <f>IFERROR((IF(COUNT('연간'!H40:K40)&lt;4,"",SUM('연간'!H40:K40)))/(IF(COUNT('연간'!H4:K4)&lt;4,"",SUM('연간'!H4:K4))),"")</f>
        <v/>
      </c>
      <c r="E55" s="36">
        <f>IFERROR((IF(COUNT('연간'!I40:L40)&lt;4,"",SUM('연간'!I40:L40)))/(IF(COUNT('연간'!I4:L4)&lt;4,"",SUM('연간'!I4:L4))),"")</f>
        <v/>
      </c>
      <c r="F55" s="36">
        <f>IFERROR((IF(COUNT('연간'!J40:M40)&lt;4,"",SUM('연간'!J40:M40)))/(IF(COUNT('연간'!J4:M4)&lt;4,"",SUM('연간'!J4:M4))),"")</f>
        <v/>
      </c>
      <c r="G55" s="36">
        <f>IFERROR((IF(COUNT('연간'!K40:N40)&lt;4,"",SUM('연간'!K40:N40)))/(IF(COUNT('연간'!K4:N4)&lt;4,"",SUM('연간'!K4:N4))),"")</f>
        <v/>
      </c>
      <c r="H55" s="35">
        <f>IFERROR(('연간'!T40)/('연간'!T4),"")</f>
        <v/>
      </c>
      <c r="I55" s="36">
        <f>IFERROR(('연간'!U40)/('연간'!U4),"")</f>
        <v/>
      </c>
      <c r="J55" s="36">
        <f>IFERROR(('연간'!V40)/('연간'!V4),"")</f>
        <v/>
      </c>
      <c r="K55" s="36">
        <f>IFERROR(('연간'!W40)/('연간'!W4),"")</f>
        <v/>
      </c>
      <c r="L55" s="36">
        <f>IFERROR(('연간'!X40)/('연간'!X4),"")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IFERROR((IF(COUNT('연간'!G68:J68)&lt;4,"",SUM('연간'!G68:J68)))/(IF(COUNT('연간'!G4:J4)&lt;4,"",SUM('연간'!G4:J4))),"")</f>
        <v/>
      </c>
      <c r="D56" s="36">
        <f>IFERROR((IF(COUNT('연간'!H68:K68)&lt;4,"",SUM('연간'!H68:K68)))/(IF(COUNT('연간'!H4:K4)&lt;4,"",SUM('연간'!H4:K4))),"")</f>
        <v/>
      </c>
      <c r="E56" s="36">
        <f>IFERROR((IF(COUNT('연간'!I68:L68)&lt;4,"",SUM('연간'!I68:L68)))/(IF(COUNT('연간'!I4:L4)&lt;4,"",SUM('연간'!I4:L4))),"")</f>
        <v/>
      </c>
      <c r="F56" s="36">
        <f>IFERROR((IF(COUNT('연간'!J68:M68)&lt;4,"",SUM('연간'!J68:M68)))/(IF(COUNT('연간'!J4:M4)&lt;4,"",SUM('연간'!J4:M4))),"")</f>
        <v/>
      </c>
      <c r="G56" s="36">
        <f>IFERROR((IF(COUNT('연간'!K68:N68)&lt;4,"",SUM('연간'!K68:N68)))/(IF(COUNT('연간'!K4:N4)&lt;4,"",SUM('연간'!K4:N4))),"")</f>
        <v/>
      </c>
      <c r="H56" s="35">
        <f>IFERROR(('연간'!T68)/('연간'!T4),"")</f>
        <v/>
      </c>
      <c r="I56" s="36">
        <f>IFERROR(('연간'!U68)/('연간'!U4),"")</f>
        <v/>
      </c>
      <c r="J56" s="36">
        <f>IFERROR(('연간'!V68)/('연간'!V4),"")</f>
        <v/>
      </c>
      <c r="K56" s="36">
        <f>IFERROR(('연간'!W68)/('연간'!W4),"")</f>
        <v/>
      </c>
      <c r="L56" s="36">
        <f>IFERROR(('연간'!X68)/('연간'!X4),"")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IFERROR(C9/(IF(COUNT('연간'!G32:J32)&lt;4,"",SUM('연간'!G32:J32)))*365,"")</f>
        <v/>
      </c>
      <c r="D60" s="49">
        <f>IFERROR(D9/(IF(COUNT('연간'!H32:K32)&lt;4,"",SUM('연간'!H32:K32)))*365,"")</f>
        <v/>
      </c>
      <c r="E60" s="49">
        <f>IFERROR(E9/(IF(COUNT('연간'!I32:L32)&lt;4,"",SUM('연간'!I32:L32)))*365,"")</f>
        <v/>
      </c>
      <c r="F60" s="49">
        <f>IFERROR(F9/(IF(COUNT('연간'!J32:M32)&lt;4,"",SUM('연간'!J32:M32)))*365,"")</f>
        <v/>
      </c>
      <c r="G60" s="49">
        <f>IFERROR(G9/(IF(COUNT('연간'!K32:N32)&lt;4,"",SUM('연간'!K32:N32)))*365,"")</f>
        <v/>
      </c>
      <c r="H60" s="48">
        <f>IFERROR(H9/('연간'!T32)*365,"")</f>
        <v/>
      </c>
      <c r="I60" s="49">
        <f>IFERROR(I9/('연간'!U32)*365,"")</f>
        <v/>
      </c>
      <c r="J60" s="49">
        <f>IFERROR(J9/('연간'!V32)*365,"")</f>
        <v/>
      </c>
      <c r="K60" s="49">
        <f>IFERROR(K9/('연간'!W32)*365,"")</f>
        <v/>
      </c>
      <c r="L60" s="49">
        <f>IFERROR(L9/('연간'!X32)*365,"")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IFERROR(C19/(IF(COUNT('연간'!G32:J32)&lt;4,"",SUM('연간'!G32:J32)))*365,"")</f>
        <v/>
      </c>
      <c r="D61" s="49">
        <f>IFERROR(D19/(IF(COUNT('연간'!H32:K32)&lt;4,"",SUM('연간'!H32:K32)))*365,"")</f>
        <v/>
      </c>
      <c r="E61" s="49">
        <f>IFERROR(E19/(IF(COUNT('연간'!I32:L32)&lt;4,"",SUM('연간'!I32:L32)))*365,"")</f>
        <v/>
      </c>
      <c r="F61" s="49">
        <f>IFERROR(F19/(IF(COUNT('연간'!J32:M32)&lt;4,"",SUM('연간'!J32:M32)))*365,"")</f>
        <v/>
      </c>
      <c r="G61" s="49">
        <f>IFERROR(G19/(IF(COUNT('연간'!K32:N32)&lt;4,"",SUM('연간'!K32:N32)))*365,"")</f>
        <v/>
      </c>
      <c r="H61" s="48">
        <f>IFERROR(H19/('연간'!T32)*365,"")</f>
        <v/>
      </c>
      <c r="I61" s="49">
        <f>IFERROR(I19/('연간'!U32)*365,"")</f>
        <v/>
      </c>
      <c r="J61" s="49">
        <f>IFERROR(J19/('연간'!V32)*365,"")</f>
        <v/>
      </c>
      <c r="K61" s="49">
        <f>IFERROR(K19/('연간'!W32)*365,"")</f>
        <v/>
      </c>
      <c r="L61" s="49">
        <f>IFERROR(L19/('연간'!X32)*365,"")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IF(C37="","",IFERROR(C37/(IF(COUNT('연간'!G68:J68)&lt;4,"",SUM('연간'!G68:J68))),""))</f>
        <v/>
      </c>
      <c r="D64" s="31">
        <f>IF(D37="","",IFERROR(D37/(IF(COUNT('연간'!H68:K68)&lt;4,"",SUM('연간'!H68:K68))),""))</f>
        <v/>
      </c>
      <c r="E64" s="31">
        <f>IF(E37="","",IFERROR(E37/(IF(COUNT('연간'!I68:L68)&lt;4,"",SUM('연간'!I68:L68))),""))</f>
        <v/>
      </c>
      <c r="F64" s="31">
        <f>IF(F37="","",IFERROR(F37/(IF(COUNT('연간'!J68:M68)&lt;4,"",SUM('연간'!J68:M68))),""))</f>
        <v/>
      </c>
      <c r="G64" s="31">
        <f>IF(G37="","",IFERROR(G37/(IF(COUNT('연간'!K68:N68)&lt;4,"",SUM('연간'!K68:N68))),""))</f>
        <v/>
      </c>
      <c r="H64" s="30">
        <f>IF(H37="","",IFERROR(H37/('연간'!T68),""))</f>
        <v/>
      </c>
      <c r="I64" s="31">
        <f>IF(I37="","",IFERROR(I37/('연간'!U68),""))</f>
        <v/>
      </c>
      <c r="J64" s="31">
        <f>IF(J37="","",IFERROR(J37/('연간'!V68),""))</f>
        <v/>
      </c>
      <c r="K64" s="31">
        <f>IF(K37="","",IFERROR(K37/('연간'!W68),""))</f>
        <v/>
      </c>
      <c r="L64" s="31">
        <f>IF(L37="","",IFERROR(L37/('연간'!X68),""))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IF(C40="","",IFERROR(C40/(IF(COUNT('연간'!G70:J70)&lt;4,"",SUM('연간'!G70:J70))),""))</f>
        <v/>
      </c>
      <c r="D67" s="36">
        <f>IF(D40="","",IFERROR(D40/(IF(COUNT('연간'!H70:K70)&lt;4,"",SUM('연간'!H70:K70))),""))</f>
        <v/>
      </c>
      <c r="E67" s="36">
        <f>IF(E40="","",IFERROR(E40/(IF(COUNT('연간'!I70:L70)&lt;4,"",SUM('연간'!I70:L70))),""))</f>
        <v/>
      </c>
      <c r="F67" s="36">
        <f>IF(F40="","",IFERROR(F40/(IF(COUNT('연간'!J70:M70)&lt;4,"",SUM('연간'!J70:M70))),""))</f>
        <v/>
      </c>
      <c r="G67" s="36">
        <f>IF(G40="","",IFERROR(G40/(IF(COUNT('연간'!K70:N70)&lt;4,"",SUM('연간'!K70:N70))),""))</f>
        <v/>
      </c>
      <c r="H67" s="35">
        <f>IF(H40="","",IFERROR(H40/('연간'!T70),""))</f>
        <v/>
      </c>
      <c r="I67" s="36">
        <f>IF(I40="","",IFERROR(I40/('연간'!U70),""))</f>
        <v/>
      </c>
      <c r="J67" s="36">
        <f>IF(J40="","",IFERROR(J40/('연간'!V70),""))</f>
        <v/>
      </c>
      <c r="K67" s="36">
        <f>IF(K40="","",IFERROR(K40/('연간'!W70),""))</f>
        <v/>
      </c>
      <c r="L67" s="36">
        <f>IF(L40="","",IFERROR(L40/('연간'!X70),""))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19704</v>
      </c>
      <c r="D71" s="20" t="n">
        <v>30727</v>
      </c>
      <c r="E71" s="20" t="n">
        <v>20289</v>
      </c>
      <c r="F71" s="20" t="n">
        <v>16795</v>
      </c>
      <c r="G71" s="20" t="n">
        <v>18464</v>
      </c>
      <c r="H71" s="20" t="n">
        <v>24800</v>
      </c>
      <c r="I71" s="20" t="n">
        <v>24570</v>
      </c>
      <c r="J71" s="20" t="n">
        <v>31297</v>
      </c>
      <c r="K71" s="20" t="n">
        <v>31292</v>
      </c>
      <c r="L71" s="20" t="n">
        <v>20289</v>
      </c>
    </row>
    <row r="72">
      <c r="A72" s="18" t="inlineStr">
        <is>
          <t>받을어음</t>
        </is>
      </c>
      <c r="E72" s="20" t="n">
        <v>736</v>
      </c>
      <c r="H72" s="20" t="n">
        <v>410</v>
      </c>
      <c r="I72" s="20" t="n">
        <v>409</v>
      </c>
      <c r="J72" s="20" t="n">
        <v>539</v>
      </c>
      <c r="K72" s="20" t="n">
        <v>1018</v>
      </c>
      <c r="L72" s="20" t="n">
        <v>736</v>
      </c>
    </row>
    <row r="73">
      <c r="A73" s="18" t="inlineStr">
        <is>
          <t>매출채권</t>
        </is>
      </c>
      <c r="E73" s="20" t="n">
        <v>32880</v>
      </c>
      <c r="H73" s="20" t="n">
        <v>25432</v>
      </c>
      <c r="I73" s="20" t="n">
        <v>25740</v>
      </c>
      <c r="J73" s="20" t="n">
        <v>21843</v>
      </c>
      <c r="K73" s="20" t="n">
        <v>28583</v>
      </c>
      <c r="L73" s="20" t="n">
        <v>32880</v>
      </c>
    </row>
    <row r="74">
      <c r="A74" s="18" t="inlineStr">
        <is>
          <t>리스투자자산</t>
        </is>
      </c>
      <c r="E74" s="20" t="n">
        <v>3151</v>
      </c>
      <c r="H74" s="20" t="n">
        <v>4270</v>
      </c>
      <c r="I74" s="20" t="n">
        <v>3645</v>
      </c>
      <c r="J74" s="20" t="n">
        <v>3882</v>
      </c>
      <c r="K74" s="20" t="n">
        <v>3056</v>
      </c>
      <c r="L74" s="20" t="n">
        <v>3151</v>
      </c>
    </row>
    <row r="75">
      <c r="A75" s="18" t="inlineStr">
        <is>
          <t>받을어음·매출채권</t>
        </is>
      </c>
      <c r="C75" s="20" t="n">
        <v>31559</v>
      </c>
      <c r="D75" s="20" t="n">
        <v>43178</v>
      </c>
      <c r="E75" s="20" t="n">
        <v>33617</v>
      </c>
      <c r="F75" s="20" t="n">
        <v>34205</v>
      </c>
      <c r="G75" s="20" t="n">
        <v>33562</v>
      </c>
      <c r="H75" s="20" t="n">
        <v>25842</v>
      </c>
      <c r="I75" s="20" t="n">
        <v>26149</v>
      </c>
      <c r="J75" s="20" t="n">
        <v>22383</v>
      </c>
      <c r="K75" s="20" t="n">
        <v>29602</v>
      </c>
      <c r="L75" s="20" t="n">
        <v>33617</v>
      </c>
    </row>
    <row r="76">
      <c r="A76" s="18" t="inlineStr">
        <is>
          <t>상품</t>
        </is>
      </c>
      <c r="C76" s="20" t="n">
        <v>31133</v>
      </c>
      <c r="D76" s="20" t="n">
        <v>31083</v>
      </c>
      <c r="E76" s="20" t="n">
        <v>29991</v>
      </c>
      <c r="F76" s="20" t="n">
        <v>32443</v>
      </c>
      <c r="G76" s="20" t="n">
        <v>37029</v>
      </c>
      <c r="H76" s="20" t="n">
        <v>21516</v>
      </c>
      <c r="I76" s="20" t="n">
        <v>23899</v>
      </c>
      <c r="J76" s="20" t="n">
        <v>22635</v>
      </c>
      <c r="K76" s="20" t="n">
        <v>27649</v>
      </c>
      <c r="L76" s="20" t="n">
        <v>29991</v>
      </c>
    </row>
    <row r="77">
      <c r="A77" s="18" t="inlineStr">
        <is>
          <t>단기대여금</t>
        </is>
      </c>
      <c r="E77" s="20" t="n">
        <v>392</v>
      </c>
      <c r="H77" s="20" t="n">
        <v>263</v>
      </c>
      <c r="I77" s="20" t="n">
        <v>100</v>
      </c>
      <c r="J77" s="20" t="n">
        <v>100</v>
      </c>
      <c r="K77" s="20" t="n">
        <v>346</v>
      </c>
      <c r="L77" s="20" t="n">
        <v>392</v>
      </c>
    </row>
    <row r="78">
      <c r="A78" s="18" t="inlineStr">
        <is>
          <t>미수금</t>
        </is>
      </c>
      <c r="C78" s="20" t="n">
        <v>22035</v>
      </c>
      <c r="D78" s="20" t="n">
        <v>36300</v>
      </c>
      <c r="E78" s="20" t="n">
        <v>28143</v>
      </c>
      <c r="F78" s="20" t="n">
        <v>21192</v>
      </c>
      <c r="G78" s="20" t="n">
        <v>23583</v>
      </c>
      <c r="H78" s="20" t="n">
        <v>25778</v>
      </c>
      <c r="I78" s="20" t="n">
        <v>27102</v>
      </c>
      <c r="J78" s="20" t="n">
        <v>26047</v>
      </c>
      <c r="K78" s="20" t="n">
        <v>27902</v>
      </c>
      <c r="L78" s="20" t="n">
        <v>28143</v>
      </c>
    </row>
    <row r="79">
      <c r="A79" s="18" t="inlineStr">
        <is>
          <t>기타</t>
        </is>
      </c>
      <c r="C79" s="20" t="n">
        <v>11893</v>
      </c>
      <c r="D79" s="20" t="n">
        <v>14099</v>
      </c>
      <c r="E79" s="20" t="n">
        <v>9894</v>
      </c>
      <c r="F79" s="20" t="n">
        <v>11051</v>
      </c>
      <c r="G79" s="20" t="n">
        <v>11646</v>
      </c>
      <c r="H79" s="20" t="n">
        <v>5500</v>
      </c>
      <c r="I79" s="20" t="n">
        <v>5957</v>
      </c>
      <c r="J79" s="20" t="n">
        <v>9859</v>
      </c>
      <c r="K79" s="20" t="n">
        <v>7243</v>
      </c>
      <c r="L79" s="20" t="n">
        <v>9894</v>
      </c>
    </row>
    <row r="80">
      <c r="A80" s="18" t="inlineStr">
        <is>
          <t>대손충당금</t>
        </is>
      </c>
      <c r="C80" s="20" t="n">
        <v>-79</v>
      </c>
      <c r="D80" s="20" t="n">
        <v>-80</v>
      </c>
      <c r="E80" s="20" t="n">
        <v>-85</v>
      </c>
      <c r="F80" s="20" t="n">
        <v>-96</v>
      </c>
      <c r="G80" s="20" t="n">
        <v>-123</v>
      </c>
      <c r="H80" s="20" t="n">
        <v>-54</v>
      </c>
      <c r="I80" s="20" t="n">
        <v>-83</v>
      </c>
      <c r="J80" s="20" t="n">
        <v>-31</v>
      </c>
      <c r="K80" s="20" t="n">
        <v>-64</v>
      </c>
      <c r="L80" s="20" t="n">
        <v>-85</v>
      </c>
    </row>
    <row r="81">
      <c r="A81" s="9" t="inlineStr">
        <is>
          <t>유동자산 합계</t>
        </is>
      </c>
      <c r="C81" s="12" t="n">
        <v>116246</v>
      </c>
      <c r="D81" s="12" t="n">
        <v>155308</v>
      </c>
      <c r="E81" s="12" t="n">
        <v>121849</v>
      </c>
      <c r="F81" s="12" t="n">
        <v>115591</v>
      </c>
      <c r="G81" s="12" t="n">
        <v>124162</v>
      </c>
      <c r="H81" s="12" t="n">
        <v>107917</v>
      </c>
      <c r="I81" s="12" t="n">
        <v>111341</v>
      </c>
      <c r="J81" s="12" t="n">
        <v>112191</v>
      </c>
      <c r="K81" s="12" t="n">
        <v>127028</v>
      </c>
      <c r="L81" s="12" t="n">
        <v>121849</v>
      </c>
    </row>
    <row r="82">
      <c r="A82" s="18" t="inlineStr">
        <is>
          <t>건물·구축물</t>
        </is>
      </c>
      <c r="E82" s="20" t="n">
        <v>62883</v>
      </c>
      <c r="H82" s="20" t="n">
        <v>45079</v>
      </c>
      <c r="I82" s="20" t="n">
        <v>46054</v>
      </c>
      <c r="J82" s="20" t="n">
        <v>48238</v>
      </c>
      <c r="K82" s="20" t="n">
        <v>57617</v>
      </c>
      <c r="L82" s="20" t="n">
        <v>62883</v>
      </c>
    </row>
    <row r="83">
      <c r="A83" s="18" t="inlineStr">
        <is>
          <t>감가상각누계액</t>
        </is>
      </c>
      <c r="E83" s="20" t="n">
        <v>-41299</v>
      </c>
      <c r="H83" s="20" t="n">
        <v>-32493</v>
      </c>
      <c r="I83" s="20" t="n">
        <v>-33185</v>
      </c>
      <c r="J83" s="20" t="n">
        <v>-34080</v>
      </c>
      <c r="K83" s="20" t="n">
        <v>-39423</v>
      </c>
      <c r="L83" s="20" t="n">
        <v>-41299</v>
      </c>
    </row>
    <row r="84">
      <c r="A84" s="18" t="inlineStr">
        <is>
          <t>건물·구축물(순액)</t>
        </is>
      </c>
      <c r="E84" s="20" t="n">
        <v>21583</v>
      </c>
      <c r="H84" s="20" t="n">
        <v>12585</v>
      </c>
      <c r="I84" s="20" t="n">
        <v>12868</v>
      </c>
      <c r="J84" s="20" t="n">
        <v>14157</v>
      </c>
      <c r="K84" s="20" t="n">
        <v>18193</v>
      </c>
      <c r="L84" s="20" t="n">
        <v>21583</v>
      </c>
    </row>
    <row r="85">
      <c r="A85" s="18" t="inlineStr">
        <is>
          <t>기계장치·운반구</t>
        </is>
      </c>
      <c r="E85" s="20" t="n">
        <v>11397</v>
      </c>
      <c r="H85" s="20" t="n">
        <v>8332</v>
      </c>
      <c r="I85" s="20" t="n">
        <v>8653</v>
      </c>
      <c r="J85" s="20" t="n">
        <v>8846</v>
      </c>
      <c r="K85" s="20" t="n">
        <v>10329</v>
      </c>
      <c r="L85" s="20" t="n">
        <v>11397</v>
      </c>
    </row>
    <row r="86">
      <c r="A86" s="18" t="inlineStr">
        <is>
          <t>감가상각누계액</t>
        </is>
      </c>
      <c r="E86" s="20" t="n">
        <v>-7501</v>
      </c>
      <c r="H86" s="20" t="n">
        <v>-5145</v>
      </c>
      <c r="I86" s="20" t="n">
        <v>-5550</v>
      </c>
      <c r="J86" s="20" t="n">
        <v>-5896</v>
      </c>
      <c r="K86" s="20" t="n">
        <v>-6919</v>
      </c>
      <c r="L86" s="20" t="n">
        <v>-7501</v>
      </c>
    </row>
    <row r="87">
      <c r="A87" s="18" t="inlineStr">
        <is>
          <t>기계장치·운반구(순액)</t>
        </is>
      </c>
      <c r="E87" s="20" t="n">
        <v>3895</v>
      </c>
      <c r="H87" s="20" t="n">
        <v>3187</v>
      </c>
      <c r="I87" s="20" t="n">
        <v>3102</v>
      </c>
      <c r="J87" s="20" t="n">
        <v>2950</v>
      </c>
      <c r="K87" s="20" t="n">
        <v>3410</v>
      </c>
      <c r="L87" s="20" t="n">
        <v>3895</v>
      </c>
    </row>
    <row r="88">
      <c r="A88" s="18" t="inlineStr">
        <is>
          <t>공구·기구·비품</t>
        </is>
      </c>
      <c r="E88" s="20" t="n">
        <v>18223</v>
      </c>
      <c r="H88" s="20" t="n">
        <v>11527</v>
      </c>
      <c r="I88" s="20" t="n">
        <v>12607</v>
      </c>
      <c r="J88" s="20" t="n">
        <v>13309</v>
      </c>
      <c r="K88" s="20" t="n">
        <v>14678</v>
      </c>
      <c r="L88" s="20" t="n">
        <v>18223</v>
      </c>
    </row>
    <row r="89">
      <c r="A89" s="18" t="inlineStr">
        <is>
          <t>감가상각누계액</t>
        </is>
      </c>
      <c r="E89" s="20" t="n">
        <v>-12378</v>
      </c>
      <c r="H89" s="20" t="n">
        <v>-9710</v>
      </c>
      <c r="I89" s="20" t="n">
        <v>-10285</v>
      </c>
      <c r="J89" s="20" t="n">
        <v>-10710</v>
      </c>
      <c r="K89" s="20" t="n">
        <v>-11659</v>
      </c>
      <c r="L89" s="20" t="n">
        <v>-12378</v>
      </c>
    </row>
    <row r="90">
      <c r="A90" s="18" t="inlineStr">
        <is>
          <t>공구·기구·비품(순액)</t>
        </is>
      </c>
      <c r="E90" s="20" t="n">
        <v>5845</v>
      </c>
      <c r="H90" s="20" t="n">
        <v>1816</v>
      </c>
      <c r="I90" s="20" t="n">
        <v>2321</v>
      </c>
      <c r="J90" s="20" t="n">
        <v>2598</v>
      </c>
      <c r="K90" s="20" t="n">
        <v>3018</v>
      </c>
      <c r="L90" s="20" t="n">
        <v>5845</v>
      </c>
    </row>
    <row r="91">
      <c r="A91" s="18" t="inlineStr">
        <is>
          <t>토지</t>
        </is>
      </c>
      <c r="C91" s="20" t="n">
        <v>31050</v>
      </c>
      <c r="D91" s="20" t="n">
        <v>31239</v>
      </c>
      <c r="E91" s="20" t="n">
        <v>32499</v>
      </c>
      <c r="F91" s="20" t="n">
        <v>33045</v>
      </c>
      <c r="G91" s="20" t="n">
        <v>33592</v>
      </c>
      <c r="H91" s="20" t="n">
        <v>24529</v>
      </c>
      <c r="I91" s="20" t="n">
        <v>24735</v>
      </c>
      <c r="J91" s="20" t="n">
        <v>24576</v>
      </c>
      <c r="K91" s="20" t="n">
        <v>29421</v>
      </c>
      <c r="L91" s="20" t="n">
        <v>32499</v>
      </c>
    </row>
    <row r="92">
      <c r="A92" s="18" t="inlineStr">
        <is>
          <t>리스자산</t>
        </is>
      </c>
      <c r="E92" s="20" t="n">
        <v>1094</v>
      </c>
      <c r="H92" s="20" t="n">
        <v>857</v>
      </c>
      <c r="I92" s="20" t="n">
        <v>913</v>
      </c>
      <c r="J92" s="20" t="n">
        <v>962</v>
      </c>
      <c r="K92" s="20" t="n">
        <v>1096</v>
      </c>
      <c r="L92" s="20" t="n">
        <v>1094</v>
      </c>
    </row>
    <row r="93">
      <c r="A93" s="18" t="inlineStr">
        <is>
          <t>감가상각누계액</t>
        </is>
      </c>
      <c r="E93" s="20" t="n">
        <v>-426</v>
      </c>
      <c r="H93" s="20" t="n">
        <v>-231</v>
      </c>
      <c r="I93" s="20" t="n">
        <v>-278</v>
      </c>
      <c r="J93" s="20" t="n">
        <v>-332</v>
      </c>
      <c r="K93" s="20" t="n">
        <v>-436</v>
      </c>
      <c r="L93" s="20" t="n">
        <v>-426</v>
      </c>
    </row>
    <row r="94">
      <c r="A94" s="18" t="inlineStr">
        <is>
          <t>리스자산(순액)</t>
        </is>
      </c>
      <c r="E94" s="20" t="n">
        <v>667</v>
      </c>
      <c r="H94" s="20" t="n">
        <v>626</v>
      </c>
      <c r="I94" s="20" t="n">
        <v>635</v>
      </c>
      <c r="J94" s="20" t="n">
        <v>630</v>
      </c>
      <c r="K94" s="20" t="n">
        <v>660</v>
      </c>
      <c r="L94" s="20" t="n">
        <v>667</v>
      </c>
    </row>
    <row r="95">
      <c r="A95" s="18" t="inlineStr">
        <is>
          <t>사용권자산</t>
        </is>
      </c>
      <c r="H95" s="20" t="n">
        <v>3577</v>
      </c>
      <c r="I95" s="20" t="n">
        <v>3716</v>
      </c>
      <c r="J95" s="20" t="n">
        <v>4017</v>
      </c>
    </row>
    <row r="96">
      <c r="A96" s="18" t="inlineStr">
        <is>
          <t>감가상각누계액</t>
        </is>
      </c>
      <c r="H96" s="20" t="n">
        <v>-1253</v>
      </c>
      <c r="I96" s="20" t="n">
        <v>-1654</v>
      </c>
      <c r="J96" s="20" t="n">
        <v>-2233</v>
      </c>
    </row>
    <row r="97">
      <c r="A97" s="18" t="inlineStr">
        <is>
          <t>사용권자산(순액)</t>
        </is>
      </c>
      <c r="H97" s="20" t="n">
        <v>2323</v>
      </c>
      <c r="I97" s="20" t="n">
        <v>2062</v>
      </c>
      <c r="J97" s="20" t="n">
        <v>1784</v>
      </c>
    </row>
    <row r="98">
      <c r="A98" s="18" t="inlineStr">
        <is>
          <t>사용권자산</t>
        </is>
      </c>
      <c r="E98" s="20" t="n">
        <v>3921</v>
      </c>
      <c r="K98" s="20" t="n">
        <v>4029</v>
      </c>
      <c r="L98" s="20" t="n">
        <v>3921</v>
      </c>
    </row>
    <row r="99">
      <c r="A99" s="18" t="inlineStr">
        <is>
          <t>감가상각누계액</t>
        </is>
      </c>
      <c r="E99" s="20" t="n">
        <v>-3474</v>
      </c>
      <c r="K99" s="20" t="n">
        <v>-2675</v>
      </c>
      <c r="L99" s="20" t="n">
        <v>-3474</v>
      </c>
    </row>
    <row r="100">
      <c r="A100" s="18" t="inlineStr">
        <is>
          <t>사용권자산(순액)</t>
        </is>
      </c>
      <c r="E100" s="20" t="n">
        <v>447</v>
      </c>
      <c r="K100" s="20" t="n">
        <v>1354</v>
      </c>
      <c r="L100" s="20" t="n">
        <v>447</v>
      </c>
    </row>
    <row r="101">
      <c r="A101" s="18" t="inlineStr">
        <is>
          <t>건설중인자산</t>
        </is>
      </c>
      <c r="E101" s="20" t="n">
        <v>2392</v>
      </c>
      <c r="H101" s="20" t="n">
        <v>199</v>
      </c>
      <c r="I101" s="20" t="n">
        <v>1032</v>
      </c>
      <c r="J101" s="20" t="n">
        <v>1555</v>
      </c>
      <c r="K101" s="20" t="n">
        <v>698</v>
      </c>
      <c r="L101" s="20" t="n">
        <v>2392</v>
      </c>
    </row>
    <row r="102">
      <c r="A102" s="18" t="inlineStr">
        <is>
          <t>기타(순액)</t>
        </is>
      </c>
      <c r="C102" s="20" t="n">
        <v>31248</v>
      </c>
      <c r="D102" s="20" t="n">
        <v>34022</v>
      </c>
      <c r="E102" s="20" t="n">
        <v>34831</v>
      </c>
      <c r="F102" s="20" t="n">
        <v>35923</v>
      </c>
      <c r="G102" s="20" t="n">
        <v>38129</v>
      </c>
      <c r="H102" s="20" t="n">
        <v>20738</v>
      </c>
      <c r="I102" s="20" t="n">
        <v>22022</v>
      </c>
      <c r="J102" s="20" t="n">
        <v>23676</v>
      </c>
      <c r="K102" s="20" t="n">
        <v>27336</v>
      </c>
      <c r="L102" s="20" t="n">
        <v>34831</v>
      </c>
    </row>
    <row r="103">
      <c r="A103" s="18" t="inlineStr">
        <is>
          <t>유형자산 합계</t>
        </is>
      </c>
      <c r="C103" s="20" t="n">
        <v>62298</v>
      </c>
      <c r="D103" s="20" t="n">
        <v>65262</v>
      </c>
      <c r="E103" s="20" t="n">
        <v>67331</v>
      </c>
      <c r="F103" s="20" t="n">
        <v>68968</v>
      </c>
      <c r="G103" s="20" t="n">
        <v>71722</v>
      </c>
      <c r="H103" s="20" t="n">
        <v>45268</v>
      </c>
      <c r="I103" s="20" t="n">
        <v>46757</v>
      </c>
      <c r="J103" s="20" t="n">
        <v>48252</v>
      </c>
      <c r="K103" s="20" t="n">
        <v>56757</v>
      </c>
      <c r="L103" s="20" t="n">
        <v>67331</v>
      </c>
    </row>
    <row r="104">
      <c r="A104" s="18" t="inlineStr">
        <is>
          <t>영업권</t>
        </is>
      </c>
      <c r="C104" s="20" t="n">
        <v>8554</v>
      </c>
      <c r="D104" s="20" t="n">
        <v>8389</v>
      </c>
      <c r="E104" s="20" t="n">
        <v>8225</v>
      </c>
      <c r="F104" s="20" t="n">
        <v>8682</v>
      </c>
      <c r="G104" s="20" t="n">
        <v>8922</v>
      </c>
      <c r="H104" s="20" t="n">
        <v>2215</v>
      </c>
      <c r="I104" s="20" t="n">
        <v>1386</v>
      </c>
      <c r="J104" s="20" t="n">
        <v>1080</v>
      </c>
      <c r="K104" s="20" t="n">
        <v>8694</v>
      </c>
      <c r="L104" s="20" t="n">
        <v>8225</v>
      </c>
    </row>
    <row r="105">
      <c r="A105" s="18" t="inlineStr">
        <is>
          <t>소프트웨어</t>
        </is>
      </c>
      <c r="E105" s="20" t="n">
        <v>4827</v>
      </c>
      <c r="H105" s="20" t="n">
        <v>4080</v>
      </c>
      <c r="I105" s="20" t="n">
        <v>5494</v>
      </c>
      <c r="J105" s="20" t="n">
        <v>5217</v>
      </c>
      <c r="K105" s="20" t="n">
        <v>4870</v>
      </c>
      <c r="L105" s="20" t="n">
        <v>4827</v>
      </c>
    </row>
    <row r="106">
      <c r="A106" s="18" t="inlineStr">
        <is>
          <t>기타</t>
        </is>
      </c>
      <c r="C106" s="20" t="n">
        <v>8389</v>
      </c>
      <c r="D106" s="20" t="n">
        <v>8519</v>
      </c>
      <c r="E106" s="20" t="n">
        <v>8414</v>
      </c>
      <c r="F106" s="20" t="n">
        <v>8242</v>
      </c>
      <c r="G106" s="20" t="n">
        <v>8249</v>
      </c>
      <c r="H106" s="20" t="n">
        <v>2654</v>
      </c>
      <c r="I106" s="20" t="n">
        <v>2511</v>
      </c>
      <c r="J106" s="20" t="n">
        <v>6683</v>
      </c>
      <c r="K106" s="20" t="n">
        <v>3805</v>
      </c>
      <c r="L106" s="20" t="n">
        <v>8414</v>
      </c>
    </row>
    <row r="107">
      <c r="A107" s="18" t="inlineStr">
        <is>
          <t>무형자산 합계</t>
        </is>
      </c>
      <c r="C107" s="20" t="n">
        <v>16943</v>
      </c>
      <c r="D107" s="20" t="n">
        <v>16908</v>
      </c>
      <c r="E107" s="20" t="n">
        <v>16639</v>
      </c>
      <c r="F107" s="20" t="n">
        <v>16924</v>
      </c>
      <c r="G107" s="20" t="n">
        <v>17171</v>
      </c>
      <c r="H107" s="20" t="n">
        <v>8951</v>
      </c>
      <c r="I107" s="20" t="n">
        <v>9392</v>
      </c>
      <c r="J107" s="20" t="n">
        <v>7763</v>
      </c>
      <c r="K107" s="20" t="n">
        <v>17370</v>
      </c>
      <c r="L107" s="20" t="n">
        <v>16639</v>
      </c>
    </row>
    <row r="108">
      <c r="A108" s="18" t="inlineStr">
        <is>
          <t>투자유가증권</t>
        </is>
      </c>
      <c r="E108" s="20" t="n">
        <v>14301</v>
      </c>
      <c r="H108" s="20" t="n">
        <v>8710</v>
      </c>
      <c r="I108" s="20" t="n">
        <v>9078</v>
      </c>
      <c r="J108" s="20" t="n">
        <v>9065</v>
      </c>
      <c r="K108" s="20" t="n">
        <v>9145</v>
      </c>
      <c r="L108" s="20" t="n">
        <v>14301</v>
      </c>
    </row>
    <row r="109">
      <c r="A109" s="18" t="inlineStr">
        <is>
          <t>장기대여금</t>
        </is>
      </c>
      <c r="E109" s="20" t="n">
        <v>0</v>
      </c>
      <c r="H109" s="20" t="n">
        <v>44</v>
      </c>
      <c r="I109" s="20" t="n">
        <v>46</v>
      </c>
      <c r="J109" s="20" t="n">
        <v>49</v>
      </c>
      <c r="K109" s="20" t="n">
        <v>18</v>
      </c>
      <c r="L109" s="20" t="n">
        <v>0</v>
      </c>
    </row>
    <row r="110">
      <c r="A110" s="18" t="inlineStr">
        <is>
          <t>이연법인세자산</t>
        </is>
      </c>
      <c r="E110" s="20" t="n">
        <v>5167</v>
      </c>
      <c r="H110" s="20" t="n">
        <v>5238</v>
      </c>
      <c r="I110" s="20" t="n">
        <v>4594</v>
      </c>
      <c r="J110" s="20" t="n">
        <v>5008</v>
      </c>
      <c r="K110" s="20" t="n">
        <v>4639</v>
      </c>
      <c r="L110" s="20" t="n">
        <v>5167</v>
      </c>
    </row>
    <row r="111">
      <c r="A111" s="18" t="inlineStr">
        <is>
          <t>보증금</t>
        </is>
      </c>
      <c r="C111" s="20" t="n">
        <v>12932</v>
      </c>
      <c r="D111" s="20" t="n">
        <v>12876</v>
      </c>
      <c r="E111" s="20" t="n">
        <v>13367</v>
      </c>
      <c r="F111" s="20" t="n">
        <v>13592</v>
      </c>
      <c r="G111" s="20" t="n">
        <v>14336</v>
      </c>
      <c r="H111" s="20" t="n">
        <v>12744</v>
      </c>
      <c r="I111" s="20" t="n">
        <v>12128</v>
      </c>
      <c r="J111" s="20" t="n">
        <v>11638</v>
      </c>
      <c r="K111" s="20" t="n">
        <v>11998</v>
      </c>
      <c r="L111" s="20" t="n">
        <v>13367</v>
      </c>
    </row>
    <row r="112">
      <c r="A112" s="18" t="inlineStr">
        <is>
          <t>기타</t>
        </is>
      </c>
      <c r="C112" s="20" t="n">
        <v>18236</v>
      </c>
      <c r="D112" s="20" t="n">
        <v>19348</v>
      </c>
      <c r="E112" s="20" t="n">
        <v>20740</v>
      </c>
      <c r="F112" s="20" t="n">
        <v>21209</v>
      </c>
      <c r="G112" s="20" t="n">
        <v>25870</v>
      </c>
      <c r="H112" s="20" t="n">
        <v>1053</v>
      </c>
      <c r="I112" s="20" t="n">
        <v>1005</v>
      </c>
      <c r="J112" s="20" t="n">
        <v>15116</v>
      </c>
      <c r="K112" s="20" t="n">
        <v>1241</v>
      </c>
      <c r="L112" s="20" t="n">
        <v>20740</v>
      </c>
    </row>
    <row r="113">
      <c r="A113" s="18" t="inlineStr">
        <is>
          <t>대손충당금</t>
        </is>
      </c>
      <c r="C113" s="20" t="n">
        <v>-27</v>
      </c>
      <c r="D113" s="20" t="n">
        <v>-27</v>
      </c>
      <c r="E113" s="20" t="n">
        <v>-27</v>
      </c>
      <c r="F113" s="20" t="n">
        <v>-27</v>
      </c>
      <c r="G113" s="20" t="n">
        <v>-48</v>
      </c>
      <c r="H113" s="20" t="n">
        <v>-16</v>
      </c>
      <c r="I113" s="20" t="n">
        <v>-16</v>
      </c>
      <c r="J113" s="20" t="n">
        <v>-13</v>
      </c>
      <c r="K113" s="20" t="n">
        <v>-28</v>
      </c>
      <c r="L113" s="20" t="n">
        <v>-27</v>
      </c>
    </row>
    <row r="114">
      <c r="A114" s="18" t="inlineStr">
        <is>
          <t>투자 및 기타자산 합계</t>
        </is>
      </c>
      <c r="C114" s="20" t="n">
        <v>31141</v>
      </c>
      <c r="D114" s="20" t="n">
        <v>32197</v>
      </c>
      <c r="E114" s="20" t="n">
        <v>34080</v>
      </c>
      <c r="F114" s="20" t="n">
        <v>34773</v>
      </c>
      <c r="G114" s="20" t="n">
        <v>40159</v>
      </c>
      <c r="H114" s="20" t="n">
        <v>27773</v>
      </c>
      <c r="I114" s="20" t="n">
        <v>26836</v>
      </c>
      <c r="J114" s="20" t="n">
        <v>26741</v>
      </c>
      <c r="K114" s="20" t="n">
        <v>27014</v>
      </c>
      <c r="L114" s="20" t="n">
        <v>34080</v>
      </c>
    </row>
    <row r="115">
      <c r="A115" s="9" t="inlineStr">
        <is>
          <t>비유동자산 합계</t>
        </is>
      </c>
      <c r="C115" s="12" t="n">
        <v>110384</v>
      </c>
      <c r="D115" s="12" t="n">
        <v>114368</v>
      </c>
      <c r="E115" s="12" t="n">
        <v>118052</v>
      </c>
      <c r="F115" s="12" t="n">
        <v>120667</v>
      </c>
      <c r="G115" s="12" t="n">
        <v>129052</v>
      </c>
      <c r="H115" s="12" t="n">
        <v>81993</v>
      </c>
      <c r="I115" s="12" t="n">
        <v>82986</v>
      </c>
      <c r="J115" s="12" t="n">
        <v>82757</v>
      </c>
      <c r="K115" s="12" t="n">
        <v>101142</v>
      </c>
      <c r="L115" s="12" t="n">
        <v>118052</v>
      </c>
    </row>
    <row r="116">
      <c r="A116" s="9" t="inlineStr">
        <is>
          <t>자산 합계</t>
        </is>
      </c>
      <c r="C116" s="12" t="n">
        <v>226631</v>
      </c>
      <c r="D116" s="12" t="n">
        <v>269677</v>
      </c>
      <c r="E116" s="12" t="n">
        <v>239901</v>
      </c>
      <c r="F116" s="12" t="n">
        <v>236258</v>
      </c>
      <c r="G116" s="12" t="n">
        <v>253215</v>
      </c>
      <c r="H116" s="12" t="n">
        <v>189910</v>
      </c>
      <c r="I116" s="12" t="n">
        <v>194327</v>
      </c>
      <c r="J116" s="12" t="n">
        <v>194948</v>
      </c>
      <c r="K116" s="12" t="n">
        <v>228170</v>
      </c>
      <c r="L116" s="12" t="n">
        <v>239901</v>
      </c>
    </row>
    <row r="117">
      <c r="A117" s="18" t="inlineStr">
        <is>
          <t>지급어음·매입채무</t>
        </is>
      </c>
      <c r="C117" s="20" t="n">
        <v>18120</v>
      </c>
      <c r="D117" s="20" t="n">
        <v>37563</v>
      </c>
      <c r="E117" s="20" t="n">
        <v>17351</v>
      </c>
      <c r="F117" s="20" t="n">
        <v>16881</v>
      </c>
      <c r="G117" s="20" t="n">
        <v>18648</v>
      </c>
      <c r="H117" s="20" t="n">
        <v>17702</v>
      </c>
      <c r="I117" s="20" t="n">
        <v>17629</v>
      </c>
      <c r="J117" s="20" t="n">
        <v>22050</v>
      </c>
      <c r="K117" s="20" t="n">
        <v>16157</v>
      </c>
      <c r="L117" s="20" t="n">
        <v>17351</v>
      </c>
    </row>
    <row r="118">
      <c r="A118" s="18" t="inlineStr">
        <is>
          <t>단기차입금</t>
        </is>
      </c>
      <c r="C118" s="20" t="n">
        <v>7057</v>
      </c>
      <c r="D118" s="20" t="n">
        <v>7056</v>
      </c>
      <c r="E118" s="20" t="n">
        <v>8355</v>
      </c>
      <c r="F118" s="20" t="n">
        <v>8619</v>
      </c>
      <c r="G118" s="20" t="n">
        <v>18117</v>
      </c>
      <c r="H118" s="20" t="n">
        <v>1724</v>
      </c>
      <c r="I118" s="20" t="n">
        <v>1847</v>
      </c>
      <c r="J118" s="20" t="n">
        <v>11</v>
      </c>
      <c r="K118" s="20" t="n">
        <v>8514</v>
      </c>
      <c r="L118" s="20" t="n">
        <v>8355</v>
      </c>
    </row>
    <row r="119">
      <c r="A119" s="18" t="inlineStr">
        <is>
          <t>1년 내 상환 사채</t>
        </is>
      </c>
      <c r="E119" s="20" t="n">
        <v>100</v>
      </c>
      <c r="K119" s="20" t="n">
        <v>0</v>
      </c>
      <c r="L119" s="20" t="n">
        <v>100</v>
      </c>
    </row>
    <row r="120">
      <c r="A120" s="18" t="inlineStr">
        <is>
          <t>리스부채</t>
        </is>
      </c>
      <c r="E120" s="20" t="n">
        <v>789</v>
      </c>
      <c r="H120" s="20" t="n">
        <v>692</v>
      </c>
      <c r="I120" s="20" t="n">
        <v>701</v>
      </c>
      <c r="J120" s="20" t="n">
        <v>740</v>
      </c>
      <c r="K120" s="20" t="n">
        <v>739</v>
      </c>
      <c r="L120" s="20" t="n">
        <v>789</v>
      </c>
    </row>
    <row r="121">
      <c r="A121" s="18" t="inlineStr">
        <is>
          <t>미지급금</t>
        </is>
      </c>
      <c r="C121" s="20" t="n">
        <v>14333</v>
      </c>
      <c r="D121" s="20" t="n">
        <v>22196</v>
      </c>
      <c r="E121" s="20" t="n">
        <v>16796</v>
      </c>
      <c r="F121" s="20" t="n">
        <v>14913</v>
      </c>
      <c r="G121" s="20" t="n">
        <v>14463</v>
      </c>
      <c r="H121" s="20" t="n">
        <v>14480</v>
      </c>
      <c r="I121" s="20" t="n">
        <v>15746</v>
      </c>
      <c r="J121" s="20" t="n">
        <v>15200</v>
      </c>
      <c r="K121" s="20" t="n">
        <v>18015</v>
      </c>
      <c r="L121" s="20" t="n">
        <v>16796</v>
      </c>
    </row>
    <row r="122">
      <c r="A122" s="18" t="inlineStr">
        <is>
          <t>미지급법인세</t>
        </is>
      </c>
      <c r="C122" s="20" t="n">
        <v>2573</v>
      </c>
      <c r="D122" s="20" t="n">
        <v>3409</v>
      </c>
      <c r="E122" s="20" t="n">
        <v>4946</v>
      </c>
      <c r="F122" s="20" t="n">
        <v>1319</v>
      </c>
      <c r="G122" s="20" t="n">
        <v>2574</v>
      </c>
      <c r="H122" s="20" t="n">
        <v>1987</v>
      </c>
      <c r="I122" s="20" t="n">
        <v>2726</v>
      </c>
      <c r="J122" s="20" t="n">
        <v>2109</v>
      </c>
      <c r="K122" s="20" t="n">
        <v>2781</v>
      </c>
      <c r="L122" s="20" t="n">
        <v>4946</v>
      </c>
    </row>
    <row r="123">
      <c r="A123" s="18" t="inlineStr">
        <is>
          <t>계약부채</t>
        </is>
      </c>
      <c r="E123" s="20" t="n">
        <v>2905</v>
      </c>
      <c r="H123" s="20" t="n">
        <v>1389</v>
      </c>
      <c r="I123" s="20" t="n">
        <v>1273</v>
      </c>
      <c r="J123" s="20" t="n">
        <v>891</v>
      </c>
      <c r="K123" s="20" t="n">
        <v>2040</v>
      </c>
      <c r="L123" s="20" t="n">
        <v>2905</v>
      </c>
    </row>
    <row r="124">
      <c r="A124" s="18" t="inlineStr">
        <is>
          <t>기타</t>
        </is>
      </c>
      <c r="C124" s="20" t="n">
        <v>13363</v>
      </c>
      <c r="D124" s="20" t="n">
        <v>17497</v>
      </c>
      <c r="E124" s="20" t="n">
        <v>14594</v>
      </c>
      <c r="F124" s="20" t="n">
        <v>16511</v>
      </c>
      <c r="G124" s="20" t="n">
        <v>15310</v>
      </c>
      <c r="H124" s="20" t="n">
        <v>8818</v>
      </c>
      <c r="I124" s="20" t="n">
        <v>8980</v>
      </c>
      <c r="J124" s="20" t="n">
        <v>9612</v>
      </c>
      <c r="K124" s="20" t="n">
        <v>10182</v>
      </c>
      <c r="L124" s="20" t="n">
        <v>14594</v>
      </c>
    </row>
    <row r="125">
      <c r="A125" s="9" t="inlineStr">
        <is>
          <t>유동부채 합계</t>
        </is>
      </c>
      <c r="C125" s="12" t="n">
        <v>55448</v>
      </c>
      <c r="D125" s="12" t="n">
        <v>87723</v>
      </c>
      <c r="E125" s="12" t="n">
        <v>62045</v>
      </c>
      <c r="F125" s="12" t="n">
        <v>58244</v>
      </c>
      <c r="G125" s="12" t="n">
        <v>69114</v>
      </c>
      <c r="H125" s="12" t="n">
        <v>46795</v>
      </c>
      <c r="I125" s="12" t="n">
        <v>48906</v>
      </c>
      <c r="J125" s="12" t="n">
        <v>48984</v>
      </c>
      <c r="K125" s="12" t="n">
        <v>58432</v>
      </c>
      <c r="L125" s="12" t="n">
        <v>62045</v>
      </c>
    </row>
    <row r="126">
      <c r="A126" s="18" t="inlineStr">
        <is>
          <t>사채</t>
        </is>
      </c>
      <c r="C126" s="20" t="n">
        <v>200</v>
      </c>
      <c r="D126" s="20" t="n">
        <v>200</v>
      </c>
      <c r="E126" s="20" t="n">
        <v>100</v>
      </c>
      <c r="F126" s="20" t="n">
        <v>259</v>
      </c>
      <c r="G126" s="20" t="n">
        <v>154</v>
      </c>
      <c r="J126" s="20" t="n">
        <v>0</v>
      </c>
      <c r="K126" s="20" t="n">
        <v>200</v>
      </c>
      <c r="L126" s="20" t="n">
        <v>100</v>
      </c>
    </row>
    <row r="127">
      <c r="A127" s="18" t="inlineStr">
        <is>
          <t>장기차입금</t>
        </is>
      </c>
      <c r="C127" s="20" t="n">
        <v>26158</v>
      </c>
      <c r="D127" s="20" t="n">
        <v>33072</v>
      </c>
      <c r="E127" s="20" t="n">
        <v>30113</v>
      </c>
      <c r="F127" s="20" t="n">
        <v>30814</v>
      </c>
      <c r="G127" s="20" t="n">
        <v>31603</v>
      </c>
      <c r="H127" s="20" t="n">
        <v>4917</v>
      </c>
      <c r="I127" s="20" t="n">
        <v>6699</v>
      </c>
      <c r="J127" s="20" t="n">
        <v>6023</v>
      </c>
      <c r="K127" s="20" t="n">
        <v>26263</v>
      </c>
      <c r="L127" s="20" t="n">
        <v>30113</v>
      </c>
    </row>
    <row r="128">
      <c r="A128" s="18" t="inlineStr">
        <is>
          <t>리스부채</t>
        </is>
      </c>
      <c r="E128" s="20" t="n">
        <v>1854</v>
      </c>
      <c r="H128" s="20" t="n">
        <v>3429</v>
      </c>
      <c r="I128" s="20" t="n">
        <v>2946</v>
      </c>
      <c r="J128" s="20" t="n">
        <v>2545</v>
      </c>
      <c r="K128" s="20" t="n">
        <v>2102</v>
      </c>
      <c r="L128" s="20" t="n">
        <v>1854</v>
      </c>
    </row>
    <row r="129">
      <c r="A129" s="18" t="inlineStr">
        <is>
          <t>이연법인세부채</t>
        </is>
      </c>
      <c r="E129" s="20" t="n">
        <v>605</v>
      </c>
      <c r="H129" s="20" t="n">
        <v>562</v>
      </c>
      <c r="I129" s="20" t="n">
        <v>516</v>
      </c>
      <c r="J129" s="20" t="n">
        <v>225</v>
      </c>
      <c r="K129" s="20" t="n">
        <v>707</v>
      </c>
      <c r="L129" s="20" t="n">
        <v>605</v>
      </c>
    </row>
    <row r="130">
      <c r="A130" s="18" t="inlineStr">
        <is>
          <t>임원 퇴직위로 충당금</t>
        </is>
      </c>
      <c r="E130" s="20" t="n">
        <v>8</v>
      </c>
      <c r="H130" s="20" t="n">
        <v>19</v>
      </c>
      <c r="I130" s="20" t="n">
        <v>7</v>
      </c>
      <c r="J130" s="20" t="n">
        <v>7</v>
      </c>
      <c r="K130" s="20" t="n">
        <v>7</v>
      </c>
      <c r="L130" s="20" t="n">
        <v>8</v>
      </c>
    </row>
    <row r="131">
      <c r="A131" s="18" t="inlineStr">
        <is>
          <t>충당금</t>
        </is>
      </c>
      <c r="C131" s="20" t="n">
        <v>8</v>
      </c>
      <c r="D131" s="20" t="n">
        <v>8</v>
      </c>
      <c r="E131" s="20" t="n">
        <v>8</v>
      </c>
      <c r="F131" s="20" t="n">
        <v>7</v>
      </c>
      <c r="G131" s="20" t="n">
        <v>7</v>
      </c>
      <c r="H131" s="20" t="n">
        <v>19</v>
      </c>
      <c r="I131" s="20" t="n">
        <v>7</v>
      </c>
      <c r="J131" s="20" t="n">
        <v>7</v>
      </c>
      <c r="K131" s="20" t="n">
        <v>7</v>
      </c>
      <c r="L131" s="20" t="n">
        <v>8</v>
      </c>
    </row>
    <row r="132">
      <c r="A132" s="18" t="inlineStr">
        <is>
          <t>퇴직급여부채</t>
        </is>
      </c>
      <c r="C132" s="20" t="n">
        <v>284</v>
      </c>
      <c r="D132" s="20" t="n">
        <v>286</v>
      </c>
      <c r="E132" s="20" t="n">
        <v>293</v>
      </c>
      <c r="F132" s="20" t="n">
        <v>309</v>
      </c>
      <c r="G132" s="20" t="n">
        <v>366</v>
      </c>
      <c r="H132" s="20" t="n">
        <v>3233</v>
      </c>
      <c r="I132" s="20" t="n">
        <v>341</v>
      </c>
      <c r="J132" s="20" t="n">
        <v>256</v>
      </c>
      <c r="K132" s="20" t="n">
        <v>266</v>
      </c>
      <c r="L132" s="20" t="n">
        <v>293</v>
      </c>
    </row>
    <row r="133">
      <c r="A133" s="18" t="inlineStr">
        <is>
          <t>자산복구부채</t>
        </is>
      </c>
      <c r="C133" s="20" t="n">
        <v>3497</v>
      </c>
      <c r="D133" s="20" t="n">
        <v>3589</v>
      </c>
      <c r="E133" s="20" t="n">
        <v>3618</v>
      </c>
      <c r="F133" s="20" t="n">
        <v>3678</v>
      </c>
      <c r="G133" s="20" t="n">
        <v>3703</v>
      </c>
      <c r="H133" s="20" t="n">
        <v>2675</v>
      </c>
      <c r="I133" s="20" t="n">
        <v>2741</v>
      </c>
      <c r="J133" s="20" t="n">
        <v>2691</v>
      </c>
      <c r="K133" s="20" t="n">
        <v>3398</v>
      </c>
      <c r="L133" s="20" t="n">
        <v>3618</v>
      </c>
    </row>
    <row r="134">
      <c r="A134" s="18" t="inlineStr">
        <is>
          <t>기타</t>
        </is>
      </c>
      <c r="C134" s="20" t="n">
        <v>7265</v>
      </c>
      <c r="D134" s="20" t="n">
        <v>7366</v>
      </c>
      <c r="E134" s="20" t="n">
        <v>7100</v>
      </c>
      <c r="F134" s="20" t="n">
        <v>6924</v>
      </c>
      <c r="G134" s="20" t="n">
        <v>6550</v>
      </c>
      <c r="H134" s="20" t="n">
        <v>5385</v>
      </c>
      <c r="I134" s="20" t="n">
        <v>5204</v>
      </c>
      <c r="J134" s="20" t="n">
        <v>7832</v>
      </c>
      <c r="K134" s="20" t="n">
        <v>4828</v>
      </c>
      <c r="L134" s="20" t="n">
        <v>7100</v>
      </c>
    </row>
    <row r="135">
      <c r="A135" s="9" t="inlineStr">
        <is>
          <t>비유동부채 합계</t>
        </is>
      </c>
      <c r="C135" s="12" t="n">
        <v>37413</v>
      </c>
      <c r="D135" s="12" t="n">
        <v>44523</v>
      </c>
      <c r="E135" s="12" t="n">
        <v>41235</v>
      </c>
      <c r="F135" s="12" t="n">
        <v>41993</v>
      </c>
      <c r="G135" s="12" t="n">
        <v>42385</v>
      </c>
      <c r="H135" s="12" t="n">
        <v>20223</v>
      </c>
      <c r="I135" s="12" t="n">
        <v>18458</v>
      </c>
      <c r="J135" s="12" t="n">
        <v>16812</v>
      </c>
      <c r="K135" s="12" t="n">
        <v>37774</v>
      </c>
      <c r="L135" s="12" t="n">
        <v>41235</v>
      </c>
    </row>
    <row r="136">
      <c r="A136" s="9" t="inlineStr">
        <is>
          <t>부채 합계</t>
        </is>
      </c>
      <c r="C136" s="12" t="n">
        <v>92862</v>
      </c>
      <c r="D136" s="12" t="n">
        <v>132246</v>
      </c>
      <c r="E136" s="12" t="n">
        <v>103280</v>
      </c>
      <c r="F136" s="12" t="n">
        <v>100237</v>
      </c>
      <c r="G136" s="12" t="n">
        <v>111500</v>
      </c>
      <c r="H136" s="12" t="n">
        <v>67018</v>
      </c>
      <c r="I136" s="12" t="n">
        <v>67364</v>
      </c>
      <c r="J136" s="12" t="n">
        <v>65796</v>
      </c>
      <c r="K136" s="12" t="n">
        <v>96206</v>
      </c>
      <c r="L136" s="12" t="n">
        <v>103280</v>
      </c>
    </row>
    <row r="137">
      <c r="A137" s="18" t="inlineStr">
        <is>
          <t>자본금</t>
        </is>
      </c>
      <c r="C137" s="20" t="n">
        <v>33998</v>
      </c>
      <c r="D137" s="20" t="n">
        <v>33998</v>
      </c>
      <c r="E137" s="20" t="n">
        <v>33998</v>
      </c>
      <c r="F137" s="20" t="n">
        <v>33998</v>
      </c>
      <c r="G137" s="20" t="n">
        <v>33998</v>
      </c>
      <c r="H137" s="20" t="n">
        <v>33998</v>
      </c>
      <c r="I137" s="20" t="n">
        <v>33998</v>
      </c>
      <c r="J137" s="20" t="n">
        <v>33998</v>
      </c>
      <c r="K137" s="20" t="n">
        <v>33998</v>
      </c>
      <c r="L137" s="20" t="n">
        <v>33998</v>
      </c>
    </row>
    <row r="138">
      <c r="A138" s="18" t="inlineStr">
        <is>
          <t>자본잉여금</t>
        </is>
      </c>
      <c r="C138" s="20" t="n">
        <v>34092</v>
      </c>
      <c r="D138" s="20" t="n">
        <v>34092</v>
      </c>
      <c r="E138" s="20" t="n">
        <v>34092</v>
      </c>
      <c r="F138" s="20" t="n">
        <v>34092</v>
      </c>
      <c r="G138" s="20" t="n">
        <v>34092</v>
      </c>
      <c r="H138" s="20" t="n">
        <v>34156</v>
      </c>
      <c r="I138" s="20" t="n">
        <v>34156</v>
      </c>
      <c r="J138" s="20" t="n">
        <v>34218</v>
      </c>
      <c r="K138" s="20" t="n">
        <v>34138</v>
      </c>
      <c r="L138" s="20" t="n">
        <v>34092</v>
      </c>
    </row>
    <row r="139">
      <c r="A139" s="18" t="inlineStr">
        <is>
          <t>이익잉여금</t>
        </is>
      </c>
      <c r="C139" s="20" t="n">
        <v>67380</v>
      </c>
      <c r="D139" s="20" t="n">
        <v>70240</v>
      </c>
      <c r="E139" s="20" t="n">
        <v>69877</v>
      </c>
      <c r="F139" s="20" t="n">
        <v>69002</v>
      </c>
      <c r="G139" s="20" t="n">
        <v>74500</v>
      </c>
      <c r="H139" s="20" t="n">
        <v>59442</v>
      </c>
      <c r="I139" s="20" t="n">
        <v>61997</v>
      </c>
      <c r="J139" s="20" t="n">
        <v>63670</v>
      </c>
      <c r="K139" s="20" t="n">
        <v>66246</v>
      </c>
      <c r="L139" s="20" t="n">
        <v>69877</v>
      </c>
    </row>
    <row r="140">
      <c r="A140" s="18" t="inlineStr">
        <is>
          <t>자기주식</t>
        </is>
      </c>
      <c r="C140" s="20" t="n">
        <v>-5988</v>
      </c>
      <c r="D140" s="20" t="n">
        <v>-5988</v>
      </c>
      <c r="E140" s="20" t="n">
        <v>-5988</v>
      </c>
      <c r="F140" s="20" t="n">
        <v>-5993</v>
      </c>
      <c r="G140" s="20" t="n">
        <v>-5928</v>
      </c>
      <c r="H140" s="20" t="n">
        <v>-7016</v>
      </c>
      <c r="I140" s="20" t="n">
        <v>-6990</v>
      </c>
      <c r="J140" s="20" t="n">
        <v>-6970</v>
      </c>
      <c r="K140" s="20" t="n">
        <v>-6060</v>
      </c>
      <c r="L140" s="20" t="n">
        <v>-5988</v>
      </c>
    </row>
    <row r="141">
      <c r="A141" s="9" t="inlineStr">
        <is>
          <t>주주자본 합계</t>
        </is>
      </c>
      <c r="C141" s="12" t="n">
        <v>129483</v>
      </c>
      <c r="D141" s="12" t="n">
        <v>132343</v>
      </c>
      <c r="E141" s="12" t="n">
        <v>131980</v>
      </c>
      <c r="F141" s="12" t="n">
        <v>131099</v>
      </c>
      <c r="G141" s="12" t="n">
        <v>136663</v>
      </c>
      <c r="H141" s="12" t="n">
        <v>120581</v>
      </c>
      <c r="I141" s="12" t="n">
        <v>123162</v>
      </c>
      <c r="J141" s="12" t="n">
        <v>124917</v>
      </c>
      <c r="K141" s="12" t="n">
        <v>128323</v>
      </c>
      <c r="L141" s="12" t="n">
        <v>131980</v>
      </c>
    </row>
    <row r="142">
      <c r="A142" s="18" t="inlineStr">
        <is>
          <t>기타유가증권 평가차액</t>
        </is>
      </c>
      <c r="C142" s="20" t="n">
        <v>2019</v>
      </c>
      <c r="D142" s="20" t="n">
        <v>2345</v>
      </c>
      <c r="E142" s="20" t="n">
        <v>1786</v>
      </c>
      <c r="F142" s="20" t="n">
        <v>1866</v>
      </c>
      <c r="G142" s="20" t="n">
        <v>2000</v>
      </c>
      <c r="H142" s="20" t="n">
        <v>2308</v>
      </c>
      <c r="I142" s="20" t="n">
        <v>2077</v>
      </c>
      <c r="J142" s="20" t="n">
        <v>2124</v>
      </c>
      <c r="K142" s="20" t="n">
        <v>1736</v>
      </c>
      <c r="L142" s="20" t="n">
        <v>1786</v>
      </c>
    </row>
    <row r="143">
      <c r="A143" s="18" t="inlineStr">
        <is>
          <t>해외사업환산조정</t>
        </is>
      </c>
      <c r="C143" s="20" t="n">
        <v>1888</v>
      </c>
      <c r="D143" s="20" t="n">
        <v>2373</v>
      </c>
      <c r="E143" s="20" t="n">
        <v>2481</v>
      </c>
      <c r="F143" s="20" t="n">
        <v>2634</v>
      </c>
      <c r="G143" s="20" t="n">
        <v>2633</v>
      </c>
      <c r="H143" s="20" t="n">
        <v>1065</v>
      </c>
      <c r="I143" s="20" t="n">
        <v>1382</v>
      </c>
      <c r="J143" s="20" t="n">
        <v>1803</v>
      </c>
      <c r="K143" s="20" t="n">
        <v>1748</v>
      </c>
      <c r="L143" s="20" t="n">
        <v>2481</v>
      </c>
    </row>
    <row r="144">
      <c r="A144" s="18" t="inlineStr">
        <is>
          <t>퇴직급여 조정누계액</t>
        </is>
      </c>
      <c r="H144" s="20" t="n">
        <v>-1406</v>
      </c>
      <c r="I144" s="20" t="n">
        <v>0</v>
      </c>
    </row>
    <row r="145">
      <c r="A145" s="18" t="inlineStr">
        <is>
          <t>기타포괄손익누계액 합계</t>
        </is>
      </c>
      <c r="C145" s="20" t="n">
        <v>3907</v>
      </c>
      <c r="D145" s="20" t="n">
        <v>4718</v>
      </c>
      <c r="E145" s="20" t="n">
        <v>4267</v>
      </c>
      <c r="F145" s="20" t="n">
        <v>4501</v>
      </c>
      <c r="G145" s="20" t="n">
        <v>4633</v>
      </c>
      <c r="H145" s="20" t="n">
        <v>1967</v>
      </c>
      <c r="I145" s="20" t="n">
        <v>3460</v>
      </c>
      <c r="J145" s="20" t="n">
        <v>3928</v>
      </c>
      <c r="K145" s="20" t="n">
        <v>3484</v>
      </c>
      <c r="L145" s="20" t="n">
        <v>4267</v>
      </c>
    </row>
    <row r="146">
      <c r="A146" s="18" t="inlineStr">
        <is>
          <t>비지배지분</t>
        </is>
      </c>
      <c r="C146" s="20" t="n">
        <v>377</v>
      </c>
      <c r="D146" s="20" t="n">
        <v>368</v>
      </c>
      <c r="E146" s="20" t="n">
        <v>372</v>
      </c>
      <c r="F146" s="20" t="n">
        <v>419</v>
      </c>
      <c r="G146" s="20" t="n">
        <v>418</v>
      </c>
      <c r="H146" s="20" t="n">
        <v>342</v>
      </c>
      <c r="I146" s="20" t="n">
        <v>340</v>
      </c>
      <c r="J146" s="20" t="n">
        <v>307</v>
      </c>
      <c r="K146" s="20" t="n">
        <v>155</v>
      </c>
      <c r="L146" s="20" t="n">
        <v>372</v>
      </c>
    </row>
    <row r="147">
      <c r="A147" s="9" t="inlineStr">
        <is>
          <t>순자산 합계</t>
        </is>
      </c>
      <c r="C147" s="12" t="n">
        <v>133768</v>
      </c>
      <c r="D147" s="12" t="n">
        <v>137430</v>
      </c>
      <c r="E147" s="12" t="n">
        <v>136621</v>
      </c>
      <c r="F147" s="12" t="n">
        <v>136020</v>
      </c>
      <c r="G147" s="12" t="n">
        <v>141715</v>
      </c>
      <c r="H147" s="12" t="n">
        <v>122892</v>
      </c>
      <c r="I147" s="12" t="n">
        <v>126963</v>
      </c>
      <c r="J147" s="12" t="n">
        <v>129152</v>
      </c>
      <c r="K147" s="12" t="n">
        <v>131963</v>
      </c>
      <c r="L147" s="12" t="n">
        <v>136621</v>
      </c>
    </row>
    <row r="148">
      <c r="A148" s="9" t="inlineStr">
        <is>
          <t>부채·순자산 합계</t>
        </is>
      </c>
      <c r="C148" s="12" t="n">
        <v>226631</v>
      </c>
      <c r="D148" s="12" t="n">
        <v>269677</v>
      </c>
      <c r="E148" s="12" t="n">
        <v>239901</v>
      </c>
      <c r="F148" s="12" t="n">
        <v>236258</v>
      </c>
      <c r="G148" s="12" t="n">
        <v>253215</v>
      </c>
      <c r="H148" s="12" t="n">
        <v>189910</v>
      </c>
      <c r="I148" s="12" t="n">
        <v>194327</v>
      </c>
      <c r="J148" s="12" t="n">
        <v>194948</v>
      </c>
      <c r="K148" s="12" t="n">
        <v>228170</v>
      </c>
      <c r="L148" s="12" t="n">
        <v>239901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44" customWidth="1" min="7" max="7"/>
  </cols>
  <sheetData>
    <row r="1">
      <c r="A1" s="50" t="inlineStr">
        <is>
          <t>9832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bs annual</t>
        </is>
      </c>
      <c r="B4" s="52" t="n"/>
      <c r="C4" s="52" t="n"/>
      <c r="D4" s="52" t="n"/>
      <c r="E4" s="52" t="n"/>
      <c r="F4" s="52" t="n"/>
      <c r="G4" s="52" t="n"/>
    </row>
    <row r="5">
      <c r="A5" s="53" t="inlineStr">
        <is>
          <t>항목</t>
        </is>
      </c>
      <c r="B5" s="53" t="inlineStr">
        <is>
          <t>2022</t>
        </is>
      </c>
      <c r="C5" s="53" t="inlineStr">
        <is>
          <t>2023</t>
        </is>
      </c>
      <c r="D5" s="53" t="inlineStr">
        <is>
          <t>2024</t>
        </is>
      </c>
      <c r="E5" s="53" t="inlineStr">
        <is>
          <t>2025</t>
        </is>
      </c>
      <c r="F5" s="53" t="inlineStr">
        <is>
          <t>2026</t>
        </is>
      </c>
      <c r="G5" s="53" t="inlineStr">
        <is>
          <t>출처</t>
        </is>
      </c>
    </row>
    <row r="6">
      <c r="A6" s="54" t="inlineStr">
        <is>
          <t>labels</t>
        </is>
      </c>
      <c r="B6" s="55" t="n">
        <v>2022</v>
      </c>
      <c r="C6" s="55" t="n">
        <v>2023</v>
      </c>
      <c r="D6" s="55" t="n">
        <v>2024</v>
      </c>
      <c r="E6" s="55" t="n">
        <v>2025</v>
      </c>
      <c r="F6" s="55" t="n">
        <v>2026</v>
      </c>
      <c r="G6" s="56" t="inlineStr">
        <is>
          <t>2단계 보고서 자료(회사 설명회 자료·공시)</t>
        </is>
      </c>
    </row>
    <row r="7">
      <c r="A7" s="54" t="inlineStr">
        <is>
          <t>current assets</t>
        </is>
      </c>
      <c r="B7" s="57" t="n">
        <v>1079.2</v>
      </c>
      <c r="C7" s="57" t="n">
        <v>1113.4</v>
      </c>
      <c r="D7" s="57" t="n">
        <v>1121.9</v>
      </c>
      <c r="E7" s="57" t="n">
        <v>1270.3</v>
      </c>
      <c r="F7" s="57" t="n">
        <v>1218.5</v>
      </c>
    </row>
    <row r="8">
      <c r="A8" s="54" t="inlineStr">
        <is>
          <t>cash</t>
        </is>
      </c>
      <c r="B8" s="57" t="n">
        <v>248</v>
      </c>
      <c r="C8" s="57" t="n">
        <v>245.7</v>
      </c>
      <c r="D8" s="57" t="n">
        <v>313</v>
      </c>
      <c r="E8" s="57" t="n">
        <v>312.9</v>
      </c>
      <c r="F8" s="57" t="n">
        <v>202.9</v>
      </c>
    </row>
    <row r="9">
      <c r="A9" s="54" t="inlineStr">
        <is>
          <t>st fin</t>
        </is>
      </c>
      <c r="B9" s="58" t="n"/>
      <c r="C9" s="58" t="n"/>
      <c r="D9" s="58" t="n"/>
      <c r="E9" s="58" t="n"/>
      <c r="F9" s="58" t="n"/>
    </row>
    <row r="10">
      <c r="A10" s="54" t="inlineStr">
        <is>
          <t>receivables</t>
        </is>
      </c>
      <c r="B10" s="57" t="n">
        <v>258.4</v>
      </c>
      <c r="C10" s="57" t="n">
        <v>261.5</v>
      </c>
      <c r="D10" s="57" t="n">
        <v>223.8</v>
      </c>
      <c r="E10" s="57" t="n">
        <v>296</v>
      </c>
      <c r="F10" s="57" t="n">
        <v>336.2</v>
      </c>
    </row>
    <row r="11">
      <c r="A11" s="54" t="inlineStr">
        <is>
          <t>inventory</t>
        </is>
      </c>
      <c r="B11" s="57" t="n">
        <v>215.2</v>
      </c>
      <c r="C11" s="57" t="n">
        <v>239</v>
      </c>
      <c r="D11" s="57" t="n">
        <v>226.3</v>
      </c>
      <c r="E11" s="57" t="n">
        <v>276.5</v>
      </c>
      <c r="F11" s="57" t="n">
        <v>299.9</v>
      </c>
    </row>
    <row r="12">
      <c r="A12" s="54" t="inlineStr">
        <is>
          <t>noncurrent assets</t>
        </is>
      </c>
      <c r="B12" s="57" t="n">
        <v>819.9</v>
      </c>
      <c r="C12" s="57" t="n">
        <v>829.9</v>
      </c>
      <c r="D12" s="57" t="n">
        <v>827.6</v>
      </c>
      <c r="E12" s="57" t="n">
        <v>1011.4</v>
      </c>
      <c r="F12" s="57" t="n">
        <v>1180.5</v>
      </c>
    </row>
    <row r="13">
      <c r="A13" s="54" t="inlineStr">
        <is>
          <t>ppe</t>
        </is>
      </c>
      <c r="B13" s="57" t="n">
        <v>452.7</v>
      </c>
      <c r="C13" s="57" t="n">
        <v>467.6</v>
      </c>
      <c r="D13" s="57" t="n">
        <v>482.5</v>
      </c>
      <c r="E13" s="57" t="n">
        <v>567.6</v>
      </c>
      <c r="F13" s="57" t="n">
        <v>673.3</v>
      </c>
    </row>
    <row r="14">
      <c r="A14" s="54" t="inlineStr">
        <is>
          <t>intangibles</t>
        </is>
      </c>
      <c r="B14" s="57" t="n">
        <v>89.5</v>
      </c>
      <c r="C14" s="57" t="n">
        <v>93.90000000000001</v>
      </c>
      <c r="D14" s="57" t="n">
        <v>77.59999999999999</v>
      </c>
      <c r="E14" s="57" t="n">
        <v>173.7</v>
      </c>
      <c r="F14" s="57" t="n">
        <v>166.4</v>
      </c>
    </row>
    <row r="15">
      <c r="A15" s="54" t="inlineStr">
        <is>
          <t>inv property</t>
        </is>
      </c>
      <c r="B15" s="58" t="n"/>
      <c r="C15" s="58" t="n"/>
      <c r="D15" s="58" t="n"/>
      <c r="E15" s="58" t="n"/>
      <c r="F15" s="58" t="n"/>
    </row>
    <row r="16">
      <c r="A16" s="54" t="inlineStr">
        <is>
          <t>합계 assets</t>
        </is>
      </c>
      <c r="B16" s="57" t="n">
        <v>1899.1</v>
      </c>
      <c r="C16" s="57" t="n">
        <v>1943.3</v>
      </c>
      <c r="D16" s="57" t="n">
        <v>1949.5</v>
      </c>
      <c r="E16" s="57" t="n">
        <v>2281.7</v>
      </c>
      <c r="F16" s="57" t="n">
        <v>2399</v>
      </c>
    </row>
    <row r="17">
      <c r="A17" s="54" t="inlineStr">
        <is>
          <t>current liab</t>
        </is>
      </c>
      <c r="B17" s="57" t="n">
        <v>467.9</v>
      </c>
      <c r="C17" s="57" t="n">
        <v>489.1</v>
      </c>
      <c r="D17" s="57" t="n">
        <v>489.8</v>
      </c>
      <c r="E17" s="57" t="n">
        <v>584.3</v>
      </c>
      <c r="F17" s="57" t="n">
        <v>620.5</v>
      </c>
    </row>
    <row r="18">
      <c r="A18" s="54" t="inlineStr">
        <is>
          <t>payables</t>
        </is>
      </c>
      <c r="B18" s="57" t="n">
        <v>177</v>
      </c>
      <c r="C18" s="57" t="n">
        <v>176.3</v>
      </c>
      <c r="D18" s="57" t="n">
        <v>220.5</v>
      </c>
      <c r="E18" s="57" t="n">
        <v>161.6</v>
      </c>
      <c r="F18" s="57" t="n">
        <v>173.5</v>
      </c>
    </row>
    <row r="19">
      <c r="A19" s="54" t="inlineStr">
        <is>
          <t>st debt</t>
        </is>
      </c>
      <c r="B19" s="57" t="n">
        <v>17.2</v>
      </c>
      <c r="C19" s="57" t="n">
        <v>18.5</v>
      </c>
      <c r="D19" s="57" t="n">
        <v>0.1</v>
      </c>
      <c r="E19" s="57" t="n">
        <v>85.09999999999999</v>
      </c>
      <c r="F19" s="57" t="n">
        <v>83.5</v>
      </c>
    </row>
    <row r="20">
      <c r="A20" s="54" t="inlineStr">
        <is>
          <t>noncurrent liab</t>
        </is>
      </c>
      <c r="B20" s="57" t="n">
        <v>202.2</v>
      </c>
      <c r="C20" s="57" t="n">
        <v>184.6</v>
      </c>
      <c r="D20" s="57" t="n">
        <v>168.1</v>
      </c>
      <c r="E20" s="57" t="n">
        <v>377.7</v>
      </c>
      <c r="F20" s="57" t="n">
        <v>412.4</v>
      </c>
    </row>
    <row r="21">
      <c r="A21" s="54" t="inlineStr">
        <is>
          <t>lt debt</t>
        </is>
      </c>
      <c r="B21" s="57" t="n">
        <v>49.2</v>
      </c>
      <c r="C21" s="57" t="n">
        <v>67</v>
      </c>
      <c r="D21" s="57" t="n">
        <v>60.2</v>
      </c>
      <c r="E21" s="57" t="n">
        <v>262.6</v>
      </c>
      <c r="F21" s="57" t="n">
        <v>301.1</v>
      </c>
    </row>
    <row r="22">
      <c r="A22" s="54" t="inlineStr">
        <is>
          <t>bonds</t>
        </is>
      </c>
      <c r="B22" s="58" t="n"/>
      <c r="C22" s="58" t="n"/>
      <c r="D22" s="57" t="n">
        <v>0</v>
      </c>
      <c r="E22" s="57" t="n">
        <v>2</v>
      </c>
      <c r="F22" s="57" t="n">
        <v>1</v>
      </c>
    </row>
    <row r="23">
      <c r="A23" s="54" t="inlineStr">
        <is>
          <t>합계 liab</t>
        </is>
      </c>
      <c r="B23" s="57" t="n">
        <v>670.2</v>
      </c>
      <c r="C23" s="57" t="n">
        <v>673.6</v>
      </c>
      <c r="D23" s="57" t="n">
        <v>658</v>
      </c>
      <c r="E23" s="57" t="n">
        <v>962.1</v>
      </c>
      <c r="F23" s="57" t="n">
        <v>1032.8</v>
      </c>
    </row>
    <row r="24">
      <c r="A24" s="54" t="inlineStr">
        <is>
          <t>capital stock</t>
        </is>
      </c>
      <c r="B24" s="57" t="n">
        <v>340</v>
      </c>
      <c r="C24" s="57" t="n">
        <v>340</v>
      </c>
      <c r="D24" s="57" t="n">
        <v>340</v>
      </c>
      <c r="E24" s="57" t="n">
        <v>340</v>
      </c>
      <c r="F24" s="57" t="n">
        <v>340</v>
      </c>
    </row>
    <row r="25">
      <c r="A25" s="54" t="inlineStr">
        <is>
          <t>retained</t>
        </is>
      </c>
      <c r="B25" s="57" t="n">
        <v>594.4</v>
      </c>
      <c r="C25" s="57" t="n">
        <v>620</v>
      </c>
      <c r="D25" s="57" t="n">
        <v>636.7</v>
      </c>
      <c r="E25" s="57" t="n">
        <v>662.5</v>
      </c>
      <c r="F25" s="57" t="n">
        <v>698.8</v>
      </c>
    </row>
    <row r="26">
      <c r="A26" s="54" t="inlineStr">
        <is>
          <t>nci</t>
        </is>
      </c>
      <c r="B26" s="57" t="n">
        <v>3.4</v>
      </c>
      <c r="C26" s="57" t="n">
        <v>3.4</v>
      </c>
      <c r="D26" s="57" t="n">
        <v>3.1</v>
      </c>
      <c r="E26" s="57" t="n">
        <v>1.6</v>
      </c>
      <c r="F26" s="57" t="n">
        <v>3.7</v>
      </c>
    </row>
    <row r="27">
      <c r="A27" s="54" t="inlineStr">
        <is>
          <t>합계 equity</t>
        </is>
      </c>
      <c r="B27" s="57" t="n">
        <v>1228.9</v>
      </c>
      <c r="C27" s="57" t="n">
        <v>1269.6</v>
      </c>
      <c r="D27" s="57" t="n">
        <v>1291.5</v>
      </c>
      <c r="E27" s="57" t="n">
        <v>1319.6</v>
      </c>
      <c r="F27" s="57" t="n">
        <v>1366.2</v>
      </c>
    </row>
    <row r="28">
      <c r="A28" s="54" t="inlineStr">
        <is>
          <t>current ltd</t>
        </is>
      </c>
      <c r="B28" s="58" t="n"/>
      <c r="C28" s="58" t="n"/>
      <c r="D28" s="58" t="n"/>
      <c r="E28" s="57" t="n">
        <v>0</v>
      </c>
      <c r="F28" s="57" t="n">
        <v>1</v>
      </c>
    </row>
    <row r="29">
      <c r="A29" s="54" t="inlineStr">
        <is>
          <t>equity owner</t>
        </is>
      </c>
      <c r="B29" s="57" t="n">
        <v>1225.5</v>
      </c>
      <c r="C29" s="57" t="n">
        <v>1266.2</v>
      </c>
      <c r="D29" s="57" t="n">
        <v>1288.5</v>
      </c>
      <c r="E29" s="57" t="n">
        <v>1318.1</v>
      </c>
      <c r="F29" s="57" t="n">
        <v>1362.5</v>
      </c>
    </row>
    <row r="31">
      <c r="A31" s="52" t="inlineStr">
        <is>
          <t>cf annual</t>
        </is>
      </c>
      <c r="B31" s="52" t="n"/>
      <c r="C31" s="52" t="n"/>
      <c r="D31" s="52" t="n"/>
      <c r="E31" s="52" t="n"/>
      <c r="F31" s="52" t="n"/>
      <c r="G31" s="52" t="n"/>
    </row>
    <row r="32">
      <c r="A32" s="53" t="inlineStr">
        <is>
          <t>항목</t>
        </is>
      </c>
      <c r="B32" s="53" t="inlineStr">
        <is>
          <t>2022</t>
        </is>
      </c>
      <c r="C32" s="53" t="inlineStr">
        <is>
          <t>2023</t>
        </is>
      </c>
      <c r="D32" s="53" t="inlineStr">
        <is>
          <t>2024</t>
        </is>
      </c>
      <c r="E32" s="53" t="inlineStr">
        <is>
          <t>2025</t>
        </is>
      </c>
      <c r="F32" s="53" t="inlineStr">
        <is>
          <t>2026</t>
        </is>
      </c>
      <c r="G32" s="53" t="inlineStr">
        <is>
          <t>출처</t>
        </is>
      </c>
    </row>
    <row r="33">
      <c r="A33" s="54" t="inlineStr">
        <is>
          <t>labels</t>
        </is>
      </c>
      <c r="B33" s="55" t="n">
        <v>2022</v>
      </c>
      <c r="C33" s="55" t="n">
        <v>2023</v>
      </c>
      <c r="D33" s="55" t="n">
        <v>2024</v>
      </c>
      <c r="E33" s="55" t="n">
        <v>2025</v>
      </c>
      <c r="F33" s="55" t="n">
        <v>2026</v>
      </c>
      <c r="G33" s="56" t="inlineStr">
        <is>
          <t>2단계 보고서 자료(회사 설명회 자료·공시)</t>
        </is>
      </c>
    </row>
    <row r="34">
      <c r="A34" s="54" t="inlineStr">
        <is>
          <t>ocf</t>
        </is>
      </c>
      <c r="B34" s="57" t="n">
        <v>57.1</v>
      </c>
      <c r="C34" s="57" t="n">
        <v>106.9</v>
      </c>
      <c r="D34" s="57" t="n">
        <v>144.3</v>
      </c>
      <c r="E34" s="57" t="n">
        <v>39.4</v>
      </c>
      <c r="F34" s="57" t="n">
        <v>145.8</v>
      </c>
    </row>
    <row r="35">
      <c r="A35" s="54" t="inlineStr">
        <is>
          <t>설비투자</t>
        </is>
      </c>
      <c r="B35" s="58" t="n"/>
      <c r="C35" s="58" t="n"/>
      <c r="D35" s="58" t="n"/>
      <c r="E35" s="58" t="n"/>
      <c r="F35" s="58" t="n"/>
    </row>
    <row r="36">
      <c r="A36" s="54" t="inlineStr">
        <is>
          <t>dividends</t>
        </is>
      </c>
      <c r="B36" s="57" t="n">
        <v>47.3</v>
      </c>
      <c r="C36" s="57" t="n">
        <v>46.7</v>
      </c>
      <c r="D36" s="57" t="n">
        <v>46.8</v>
      </c>
      <c r="E36" s="57" t="n">
        <v>54.7</v>
      </c>
      <c r="F36" s="57" t="n">
        <v>47.1</v>
      </c>
    </row>
    <row r="38">
      <c r="A38" s="52" t="inlineStr">
        <is>
          <t>this quarter · 상반기</t>
        </is>
      </c>
      <c r="B38" s="52" t="n"/>
      <c r="C38" s="52" t="n"/>
      <c r="D38" s="52" t="n"/>
      <c r="E38" s="52" t="n"/>
      <c r="F38" s="52" t="n"/>
      <c r="G38" s="52" t="n"/>
    </row>
    <row r="39">
      <c r="A39" s="53" t="inlineStr">
        <is>
          <t>항목</t>
        </is>
      </c>
      <c r="B39" s="53" t="inlineStr">
        <is>
          <t>값</t>
        </is>
      </c>
      <c r="G39" s="53" t="inlineStr">
        <is>
          <t>출처</t>
        </is>
      </c>
    </row>
    <row r="40">
      <c r="A40" s="54" t="inlineStr">
        <is>
          <t>매출</t>
        </is>
      </c>
      <c r="B40" s="57" t="n">
        <v>1411.91</v>
      </c>
      <c r="G40" s="56" t="inlineStr">
        <is>
          <t>2단계 보고서 자료(회사 설명회 자료·공시)</t>
        </is>
      </c>
    </row>
    <row r="41">
      <c r="A41" s="54" t="inlineStr">
        <is>
          <t>gp</t>
        </is>
      </c>
      <c r="B41" s="57" t="n">
        <v>515.85</v>
      </c>
    </row>
    <row r="42">
      <c r="A42" s="54" t="inlineStr">
        <is>
          <t>sga</t>
        </is>
      </c>
      <c r="B42" s="57" t="n">
        <v>465.26</v>
      </c>
    </row>
    <row r="43">
      <c r="A43" s="54" t="inlineStr">
        <is>
          <t>영업이익</t>
        </is>
      </c>
      <c r="B43" s="57" t="n">
        <v>50.58</v>
      </c>
    </row>
    <row r="44">
      <c r="A44" s="54" t="inlineStr">
        <is>
          <t>ord</t>
        </is>
      </c>
      <c r="B44" s="57" t="n">
        <v>49.24</v>
      </c>
    </row>
    <row r="45">
      <c r="A45" s="54" t="inlineStr">
        <is>
          <t>pbt</t>
        </is>
      </c>
      <c r="B45" s="57" t="n">
        <v>49.24</v>
      </c>
    </row>
    <row r="46">
      <c r="A46" s="54" t="inlineStr">
        <is>
          <t>tax cur</t>
        </is>
      </c>
      <c r="B46" s="57" t="n">
        <v>21.96</v>
      </c>
    </row>
    <row r="47">
      <c r="A47" s="54" t="inlineStr">
        <is>
          <t>tax def</t>
        </is>
      </c>
      <c r="B47" s="57" t="n">
        <v>-43.11</v>
      </c>
    </row>
    <row r="48">
      <c r="A48" s="54" t="inlineStr">
        <is>
          <t>순이익</t>
        </is>
      </c>
      <c r="B48" s="57" t="n">
        <v>69.87</v>
      </c>
    </row>
    <row r="49">
      <c r="A49" s="54" t="inlineStr">
        <is>
          <t>EPS</t>
        </is>
      </c>
      <c r="B49" s="57" t="n">
        <v>88.98</v>
      </c>
    </row>
    <row r="51">
      <c r="A51" s="52" t="inlineStr">
        <is>
          <t>this quarter · 상반기 직전</t>
        </is>
      </c>
      <c r="B51" s="52" t="n"/>
      <c r="C51" s="52" t="n"/>
      <c r="D51" s="52" t="n"/>
      <c r="E51" s="52" t="n"/>
      <c r="F51" s="52" t="n"/>
      <c r="G51" s="52" t="n"/>
    </row>
    <row r="52">
      <c r="A52" s="53" t="inlineStr">
        <is>
          <t>항목</t>
        </is>
      </c>
      <c r="B52" s="53" t="inlineStr">
        <is>
          <t>값</t>
        </is>
      </c>
      <c r="G52" s="53" t="inlineStr">
        <is>
          <t>출처</t>
        </is>
      </c>
    </row>
    <row r="53">
      <c r="A53" s="54" t="inlineStr">
        <is>
          <t>매출</t>
        </is>
      </c>
      <c r="B53" s="57" t="n">
        <v>1288.38</v>
      </c>
      <c r="G53" s="56" t="inlineStr">
        <is>
          <t>2단계 보고서 자료(회사 설명회 자료·공시)</t>
        </is>
      </c>
    </row>
    <row r="54">
      <c r="A54" s="54" t="inlineStr">
        <is>
          <t>gp</t>
        </is>
      </c>
      <c r="B54" s="57" t="n">
        <v>462.54</v>
      </c>
    </row>
    <row r="55">
      <c r="A55" s="54" t="inlineStr">
        <is>
          <t>sga</t>
        </is>
      </c>
      <c r="B55" s="57" t="n">
        <v>411.71</v>
      </c>
    </row>
    <row r="56">
      <c r="A56" s="54" t="inlineStr">
        <is>
          <t>영업이익</t>
        </is>
      </c>
      <c r="B56" s="57" t="n">
        <v>50.83</v>
      </c>
    </row>
    <row r="57">
      <c r="A57" s="54" t="inlineStr">
        <is>
          <t>ord</t>
        </is>
      </c>
      <c r="B57" s="57" t="n">
        <v>54.81</v>
      </c>
    </row>
    <row r="58">
      <c r="A58" s="54" t="inlineStr">
        <is>
          <t>순이익</t>
        </is>
      </c>
      <c r="B58" s="57" t="n">
        <v>35</v>
      </c>
    </row>
    <row r="59">
      <c r="A59" s="54" t="inlineStr">
        <is>
          <t>EPS</t>
        </is>
      </c>
      <c r="B59" s="57" t="n">
        <v>44.59</v>
      </c>
    </row>
    <row r="61">
      <c r="A61" s="52" t="inlineStr">
        <is>
          <t>this quarter · nonop 상반기</t>
        </is>
      </c>
      <c r="B61" s="52" t="n"/>
      <c r="C61" s="52" t="n"/>
      <c r="D61" s="52" t="n"/>
      <c r="E61" s="52" t="n"/>
      <c r="F61" s="52" t="n"/>
      <c r="G61" s="52" t="n"/>
    </row>
    <row r="62">
      <c r="A62" s="53" t="inlineStr">
        <is>
          <t>항목</t>
        </is>
      </c>
      <c r="B62" s="53" t="inlineStr">
        <is>
          <t>값</t>
        </is>
      </c>
      <c r="G62" s="53" t="inlineStr">
        <is>
          <t>출처</t>
        </is>
      </c>
    </row>
    <row r="63">
      <c r="A63" s="54" t="inlineStr">
        <is>
          <t>영업외수익</t>
        </is>
      </c>
      <c r="B63" s="57" t="n">
        <v>11.76</v>
      </c>
      <c r="G63" s="56" t="inlineStr">
        <is>
          <t>2단계 보고서 자료(회사 설명회 자료·공시)</t>
        </is>
      </c>
    </row>
    <row r="64">
      <c r="A64" s="54" t="inlineStr">
        <is>
          <t>이자수익</t>
        </is>
      </c>
      <c r="B64" s="57" t="n">
        <v>0.44</v>
      </c>
    </row>
    <row r="65">
      <c r="A65" s="54" t="inlineStr">
        <is>
          <t>배당수익</t>
        </is>
      </c>
      <c r="B65" s="57" t="n">
        <v>1.3</v>
      </c>
    </row>
    <row r="66">
      <c r="A66" s="54" t="inlineStr">
        <is>
          <t>지분법이익</t>
        </is>
      </c>
      <c r="B66" s="55" t="n">
        <v>0</v>
      </c>
    </row>
    <row r="67">
      <c r="A67" s="54" t="inlineStr">
        <is>
          <t>정보기기임대료</t>
        </is>
      </c>
      <c r="B67" s="57" t="n">
        <v>1.63</v>
      </c>
    </row>
    <row r="68">
      <c r="A68" s="54" t="inlineStr">
        <is>
          <t>기타</t>
        </is>
      </c>
      <c r="B68" s="57" t="n">
        <v>8.369999999999999</v>
      </c>
    </row>
    <row r="69">
      <c r="A69" s="54" t="inlineStr">
        <is>
          <t>영업외비용</t>
        </is>
      </c>
      <c r="B69" s="57" t="n">
        <v>13.1</v>
      </c>
    </row>
    <row r="70">
      <c r="A70" s="54" t="inlineStr">
        <is>
          <t>이자비용</t>
        </is>
      </c>
      <c r="B70" s="57" t="n">
        <v>2.74</v>
      </c>
    </row>
    <row r="71">
      <c r="A71" s="54" t="inlineStr">
        <is>
          <t>지분법손실</t>
        </is>
      </c>
      <c r="B71" s="57" t="n">
        <v>4.8</v>
      </c>
    </row>
    <row r="72">
      <c r="A72" s="54" t="inlineStr">
        <is>
          <t>정보기기임대비용</t>
        </is>
      </c>
      <c r="B72" s="57" t="n">
        <v>2.42</v>
      </c>
    </row>
    <row r="73">
      <c r="A73" s="54" t="inlineStr">
        <is>
          <t>고정자산제각손</t>
        </is>
      </c>
      <c r="B73" s="57" t="n">
        <v>0.37</v>
      </c>
    </row>
    <row r="74">
      <c r="A74" s="54" t="inlineStr">
        <is>
          <t>기타비용</t>
        </is>
      </c>
      <c r="B74" s="57" t="n">
        <v>2.75</v>
      </c>
    </row>
    <row r="76">
      <c r="A76" s="52" t="inlineStr">
        <is>
          <t>this quarter · nonop 상반기 직전</t>
        </is>
      </c>
      <c r="B76" s="52" t="n"/>
      <c r="C76" s="52" t="n"/>
      <c r="D76" s="52" t="n"/>
      <c r="E76" s="52" t="n"/>
      <c r="F76" s="52" t="n"/>
      <c r="G76" s="52" t="n"/>
    </row>
    <row r="77">
      <c r="A77" s="53" t="inlineStr">
        <is>
          <t>항목</t>
        </is>
      </c>
      <c r="B77" s="53" t="inlineStr">
        <is>
          <t>값</t>
        </is>
      </c>
      <c r="G77" s="53" t="inlineStr">
        <is>
          <t>출처</t>
        </is>
      </c>
    </row>
    <row r="78">
      <c r="A78" s="54" t="inlineStr">
        <is>
          <t>영업외수익</t>
        </is>
      </c>
      <c r="B78" s="57" t="n">
        <v>10.71</v>
      </c>
      <c r="G78" s="56" t="inlineStr">
        <is>
          <t>2단계 보고서 자료(회사 설명회 자료·공시)</t>
        </is>
      </c>
    </row>
    <row r="79">
      <c r="A79" s="54" t="inlineStr">
        <is>
          <t>이자수익</t>
        </is>
      </c>
      <c r="B79" s="57" t="n">
        <v>0.47</v>
      </c>
    </row>
    <row r="80">
      <c r="A80" s="54" t="inlineStr">
        <is>
          <t>배당수익</t>
        </is>
      </c>
      <c r="B80" s="57" t="n">
        <v>0.66</v>
      </c>
    </row>
    <row r="81">
      <c r="A81" s="54" t="inlineStr">
        <is>
          <t>지분법이익</t>
        </is>
      </c>
      <c r="B81" s="57" t="n">
        <v>1.92</v>
      </c>
    </row>
    <row r="82">
      <c r="A82" s="54" t="inlineStr">
        <is>
          <t>정보기기임대료</t>
        </is>
      </c>
      <c r="B82" s="57" t="n">
        <v>1.66</v>
      </c>
    </row>
    <row r="83">
      <c r="A83" s="54" t="inlineStr">
        <is>
          <t>기타</t>
        </is>
      </c>
      <c r="B83" s="57" t="n">
        <v>5.99</v>
      </c>
    </row>
    <row r="84">
      <c r="A84" s="54" t="inlineStr">
        <is>
          <t>영업외비용</t>
        </is>
      </c>
      <c r="B84" s="57" t="n">
        <v>6.73</v>
      </c>
    </row>
    <row r="85">
      <c r="A85" s="54" t="inlineStr">
        <is>
          <t>이자비용</t>
        </is>
      </c>
      <c r="B85" s="57" t="n">
        <v>1.93</v>
      </c>
    </row>
    <row r="86">
      <c r="A86" s="54" t="inlineStr">
        <is>
          <t>지분법손실</t>
        </is>
      </c>
      <c r="B86" s="55" t="n">
        <v>0</v>
      </c>
    </row>
    <row r="87">
      <c r="A87" s="54" t="inlineStr">
        <is>
          <t>정보기기임대비용</t>
        </is>
      </c>
      <c r="B87" s="57" t="n">
        <v>2.08</v>
      </c>
    </row>
    <row r="88">
      <c r="A88" s="54" t="inlineStr">
        <is>
          <t>고정자산제각손</t>
        </is>
      </c>
      <c r="B88" s="57" t="n">
        <v>0.14</v>
      </c>
    </row>
    <row r="89">
      <c r="A89" s="54" t="inlineStr">
        <is>
          <t>기타비용</t>
        </is>
      </c>
      <c r="B89" s="57" t="n">
        <v>2.56</v>
      </c>
    </row>
    <row r="91">
      <c r="A91" s="52" t="inlineStr">
        <is>
          <t>this quarter · guide</t>
        </is>
      </c>
      <c r="B91" s="52" t="n"/>
      <c r="C91" s="52" t="n"/>
      <c r="D91" s="52" t="n"/>
      <c r="E91" s="52" t="n"/>
      <c r="F91" s="52" t="n"/>
      <c r="G91" s="52" t="n"/>
    </row>
    <row r="92">
      <c r="A92" s="53" t="inlineStr">
        <is>
          <t>항목</t>
        </is>
      </c>
      <c r="B92" s="53" t="inlineStr">
        <is>
          <t>값</t>
        </is>
      </c>
      <c r="G92" s="53" t="inlineStr">
        <is>
          <t>출처</t>
        </is>
      </c>
    </row>
    <row r="93">
      <c r="A93" s="54" t="inlineStr">
        <is>
          <t>매출</t>
        </is>
      </c>
      <c r="B93" s="55" t="n">
        <v>3000</v>
      </c>
      <c r="G93" s="56" t="inlineStr">
        <is>
          <t>2단계 보고서 자료(회사 설명회 자료·공시)</t>
        </is>
      </c>
    </row>
    <row r="94">
      <c r="A94" s="54" t="inlineStr">
        <is>
          <t>영업이익</t>
        </is>
      </c>
      <c r="B94" s="55" t="n">
        <v>150</v>
      </c>
    </row>
    <row r="95">
      <c r="A95" s="54" t="inlineStr">
        <is>
          <t>ord</t>
        </is>
      </c>
      <c r="B95" s="55" t="n">
        <v>150</v>
      </c>
    </row>
    <row r="96">
      <c r="A96" s="54" t="inlineStr">
        <is>
          <t>순이익</t>
        </is>
      </c>
      <c r="B96" s="55" t="n">
        <v>112</v>
      </c>
    </row>
    <row r="97">
      <c r="A97" s="54" t="inlineStr">
        <is>
          <t>EPS</t>
        </is>
      </c>
      <c r="B97" s="57" t="n">
        <v>144.44</v>
      </c>
    </row>
    <row r="98">
      <c r="A98" s="54" t="inlineStr">
        <is>
          <t>dps</t>
        </is>
      </c>
      <c r="B98" s="55" t="n">
        <v>60</v>
      </c>
    </row>
    <row r="100">
      <c r="A100" s="52" t="inlineStr">
        <is>
          <t>this quarter · bs</t>
        </is>
      </c>
      <c r="B100" s="52" t="n"/>
      <c r="C100" s="52" t="n"/>
      <c r="D100" s="52" t="n"/>
      <c r="E100" s="52" t="n"/>
      <c r="F100" s="52" t="n"/>
      <c r="G100" s="52" t="n"/>
    </row>
    <row r="101">
      <c r="A101" s="53" t="inlineStr">
        <is>
          <t>항목</t>
        </is>
      </c>
      <c r="B101" s="53" t="inlineStr">
        <is>
          <t>값</t>
        </is>
      </c>
      <c r="G101" s="53" t="inlineStr">
        <is>
          <t>출처</t>
        </is>
      </c>
    </row>
    <row r="102">
      <c r="A102" s="54" t="inlineStr">
        <is>
          <t>cash</t>
        </is>
      </c>
      <c r="B102" s="57" t="n">
        <v>184.64</v>
      </c>
      <c r="G102" s="56" t="inlineStr">
        <is>
          <t>2단계 보고서 자료(회사 설명회 자료·공시)</t>
        </is>
      </c>
    </row>
    <row r="103">
      <c r="A103" s="54" t="inlineStr">
        <is>
          <t>inventory</t>
        </is>
      </c>
      <c r="B103" s="57" t="n">
        <v>370.29</v>
      </c>
    </row>
    <row r="104">
      <c r="A104" s="54" t="inlineStr">
        <is>
          <t>inventory 직전</t>
        </is>
      </c>
      <c r="B104" s="57" t="n">
        <v>299.91</v>
      </c>
    </row>
    <row r="105">
      <c r="A105" s="54" t="inlineStr">
        <is>
          <t>st debt</t>
        </is>
      </c>
      <c r="B105" s="57" t="n">
        <v>181.17</v>
      </c>
    </row>
    <row r="106">
      <c r="A106" s="54" t="inlineStr">
        <is>
          <t>st debt 직전</t>
        </is>
      </c>
      <c r="B106" s="57" t="n">
        <v>83.55</v>
      </c>
    </row>
    <row r="107">
      <c r="A107" s="54" t="inlineStr">
        <is>
          <t>lt debt</t>
        </is>
      </c>
      <c r="B107" s="57" t="n">
        <v>316.03</v>
      </c>
    </row>
    <row r="108">
      <c r="A108" s="54" t="inlineStr">
        <is>
          <t>합계 assets</t>
        </is>
      </c>
      <c r="B108" s="57" t="n">
        <v>2532.15</v>
      </c>
    </row>
    <row r="109">
      <c r="A109" s="54" t="inlineStr">
        <is>
          <t>equity</t>
        </is>
      </c>
      <c r="B109" s="57" t="n">
        <v>1417.15</v>
      </c>
    </row>
    <row r="110">
      <c r="A110" s="54" t="inlineStr">
        <is>
          <t>equity ratio</t>
        </is>
      </c>
      <c r="B110" s="57" t="n">
        <v>55.8</v>
      </c>
    </row>
    <row r="111">
      <c r="A111" s="54" t="inlineStr">
        <is>
          <t>bps</t>
        </is>
      </c>
      <c r="B111" s="57" t="n">
        <v>1798.67</v>
      </c>
    </row>
    <row r="113">
      <c r="A113" s="52" t="inlineStr">
        <is>
          <t>this quarter · buyback</t>
        </is>
      </c>
      <c r="B113" s="52" t="n"/>
      <c r="C113" s="52" t="n"/>
      <c r="D113" s="52" t="n"/>
      <c r="E113" s="52" t="n"/>
      <c r="F113" s="52" t="n"/>
      <c r="G113" s="52" t="n"/>
    </row>
    <row r="114">
      <c r="A114" s="53" t="inlineStr">
        <is>
          <t>항목</t>
        </is>
      </c>
      <c r="B114" s="53" t="inlineStr">
        <is>
          <t>값</t>
        </is>
      </c>
      <c r="G114" s="53" t="inlineStr">
        <is>
          <t>출처</t>
        </is>
      </c>
    </row>
    <row r="115">
      <c r="A115" s="54" t="inlineStr">
        <is>
          <t>max shares</t>
        </is>
      </c>
      <c r="B115" s="55" t="n">
        <v>2000000</v>
      </c>
      <c r="G115" s="56" t="inlineStr">
        <is>
          <t>2단계 보고서 자료(회사 설명회 자료·공시)</t>
        </is>
      </c>
    </row>
    <row r="116">
      <c r="A116" s="54" t="inlineStr">
        <is>
          <t>%</t>
        </is>
      </c>
      <c r="B116" s="57" t="n">
        <v>2.55</v>
      </c>
    </row>
    <row r="117">
      <c r="A117" s="54" t="inlineStr">
        <is>
          <t>max oku</t>
        </is>
      </c>
      <c r="B117" s="55" t="n">
        <v>36</v>
      </c>
    </row>
    <row r="119">
      <c r="A119" s="52" t="inlineStr">
        <is>
          <t>this quarter · shares</t>
        </is>
      </c>
      <c r="B119" s="52" t="n"/>
      <c r="C119" s="52" t="n"/>
      <c r="D119" s="52" t="n"/>
      <c r="E119" s="52" t="n"/>
      <c r="F119" s="52" t="n"/>
      <c r="G119" s="52" t="n"/>
    </row>
    <row r="120">
      <c r="A120" s="53" t="inlineStr">
        <is>
          <t>항목</t>
        </is>
      </c>
      <c r="B120" s="53" t="inlineStr">
        <is>
          <t>값</t>
        </is>
      </c>
      <c r="G120" s="53" t="inlineStr">
        <is>
          <t>출처</t>
        </is>
      </c>
    </row>
    <row r="121">
      <c r="A121" s="54" t="inlineStr">
        <is>
          <t>issued</t>
        </is>
      </c>
      <c r="B121" s="55" t="n">
        <v>82050105</v>
      </c>
      <c r="G121" s="56" t="inlineStr">
        <is>
          <t>2단계 보고서 자료(회사 설명회 자료·공시)</t>
        </is>
      </c>
    </row>
    <row r="122">
      <c r="A122" s="54" t="inlineStr">
        <is>
          <t>treasury</t>
        </is>
      </c>
      <c r="B122" s="55" t="n">
        <v>3485810</v>
      </c>
    </row>
    <row r="123">
      <c r="A123" s="54" t="inlineStr">
        <is>
          <t>ex treasury</t>
        </is>
      </c>
      <c r="B123" s="55" t="n">
        <v>78564295</v>
      </c>
    </row>
    <row r="125">
      <c r="A125" s="52" t="inlineStr">
        <is>
          <t>this quarter · france</t>
        </is>
      </c>
      <c r="B125" s="52" t="n"/>
      <c r="C125" s="52" t="n"/>
      <c r="D125" s="52" t="n"/>
      <c r="E125" s="52" t="n"/>
      <c r="F125" s="52" t="n"/>
      <c r="G125" s="52" t="n"/>
    </row>
    <row r="126">
      <c r="A126" s="53" t="inlineStr">
        <is>
          <t>항목</t>
        </is>
      </c>
      <c r="B126" s="53" t="inlineStr">
        <is>
          <t>값</t>
        </is>
      </c>
      <c r="G126" s="53" t="inlineStr">
        <is>
          <t>출처</t>
        </is>
      </c>
    </row>
    <row r="127">
      <c r="A127" s="54" t="inlineStr">
        <is>
          <t>점포</t>
        </is>
      </c>
      <c r="B127" s="55" t="n">
        <v>8</v>
      </c>
      <c r="G127" s="56" t="inlineStr">
        <is>
          <t>2단계 보고서 자료(회사 설명회 자료·공시)</t>
        </is>
      </c>
    </row>
    <row r="128">
      <c r="A128" s="54" t="inlineStr">
        <is>
          <t>tax gain</t>
        </is>
      </c>
      <c r="B128" s="55" t="n">
        <v>45</v>
      </c>
    </row>
    <row r="129">
      <c r="A129" s="54" t="inlineStr">
        <is>
          <t>special loss 3Q</t>
        </is>
      </c>
      <c r="B129" s="55" t="n">
        <v>23</v>
      </c>
    </row>
    <row r="131">
      <c r="A131" s="52" t="inlineStr">
        <is>
          <t>segments_cum · 오토박스_ext</t>
        </is>
      </c>
      <c r="B131" s="52" t="n"/>
      <c r="C131" s="52" t="n"/>
      <c r="D131" s="52" t="n"/>
      <c r="E131" s="52" t="n"/>
      <c r="F131" s="52" t="n"/>
      <c r="G131" s="52" t="n"/>
    </row>
    <row r="132">
      <c r="A132" s="53" t="inlineStr">
        <is>
          <t>항목</t>
        </is>
      </c>
      <c r="B132" s="53" t="inlineStr">
        <is>
          <t>값</t>
        </is>
      </c>
      <c r="G132" s="53" t="inlineStr">
        <is>
          <t>출처</t>
        </is>
      </c>
    </row>
    <row r="133">
      <c r="A133" s="54" t="inlineStr">
        <is>
          <t>25Q1</t>
        </is>
      </c>
      <c r="B133" s="57" t="n">
        <v>426.11</v>
      </c>
      <c r="G133" s="56" t="inlineStr">
        <is>
          <t>누계·연간 원자료(억 엔). c=누계. 분기 단독은 차분 계산. 외부 매출·세그먼트 이익</t>
        </is>
      </c>
    </row>
    <row r="134">
      <c r="A134" s="54" t="inlineStr">
        <is>
          <t>25Q2c</t>
        </is>
      </c>
      <c r="B134" s="57" t="n">
        <v>869.22</v>
      </c>
    </row>
    <row r="135">
      <c r="A135" s="54" t="inlineStr">
        <is>
          <t>25Q3c</t>
        </is>
      </c>
      <c r="B135" s="57" t="n">
        <v>1467.97</v>
      </c>
    </row>
    <row r="136">
      <c r="A136" s="54" t="inlineStr">
        <is>
          <t>25FY</t>
        </is>
      </c>
      <c r="B136" s="57" t="n">
        <v>1921.3</v>
      </c>
    </row>
    <row r="137">
      <c r="A137" s="54" t="inlineStr">
        <is>
          <t>26Q1</t>
        </is>
      </c>
      <c r="B137" s="57" t="n">
        <v>451.95</v>
      </c>
    </row>
    <row r="138">
      <c r="A138" s="54" t="inlineStr">
        <is>
          <t>26Q2c</t>
        </is>
      </c>
      <c r="B138" s="57" t="n">
        <v>909.92</v>
      </c>
    </row>
    <row r="139">
      <c r="A139" s="54" t="inlineStr">
        <is>
          <t>26Q3c</t>
        </is>
      </c>
      <c r="B139" s="57" t="n">
        <v>1521.09</v>
      </c>
    </row>
    <row r="140">
      <c r="A140" s="54" t="inlineStr">
        <is>
          <t>26FY</t>
        </is>
      </c>
      <c r="B140" s="57" t="n">
        <v>1987.85</v>
      </c>
    </row>
    <row r="141">
      <c r="A141" s="54" t="inlineStr">
        <is>
          <t>27Q1</t>
        </is>
      </c>
      <c r="B141" s="57" t="n">
        <v>468.29</v>
      </c>
    </row>
    <row r="142">
      <c r="A142" s="54" t="inlineStr">
        <is>
          <t>27Q2c</t>
        </is>
      </c>
      <c r="B142" s="57" t="n">
        <v>952.12</v>
      </c>
    </row>
    <row r="144">
      <c r="A144" s="52" t="inlineStr">
        <is>
          <t>segments_cum · 컨슈머_ext</t>
        </is>
      </c>
      <c r="B144" s="52" t="n"/>
      <c r="C144" s="52" t="n"/>
      <c r="D144" s="52" t="n"/>
      <c r="E144" s="52" t="n"/>
      <c r="F144" s="52" t="n"/>
      <c r="G144" s="52" t="n"/>
    </row>
    <row r="145">
      <c r="A145" s="53" t="inlineStr">
        <is>
          <t>항목</t>
        </is>
      </c>
      <c r="B145" s="53" t="inlineStr">
        <is>
          <t>값</t>
        </is>
      </c>
      <c r="G145" s="53" t="inlineStr">
        <is>
          <t>출처</t>
        </is>
      </c>
    </row>
    <row r="146">
      <c r="A146" s="54" t="inlineStr">
        <is>
          <t>25Q1</t>
        </is>
      </c>
      <c r="B146" s="57" t="n">
        <v>48.84</v>
      </c>
      <c r="G146" s="56" t="inlineStr">
        <is>
          <t>누계·연간 원자료(억 엔). c=누계. 분기 단독은 차분 계산. 외부 매출·세그먼트 이익</t>
        </is>
      </c>
    </row>
    <row r="147">
      <c r="A147" s="54" t="inlineStr">
        <is>
          <t>25Q2c</t>
        </is>
      </c>
      <c r="B147" s="57" t="n">
        <v>101.64</v>
      </c>
    </row>
    <row r="148">
      <c r="A148" s="54" t="inlineStr">
        <is>
          <t>25Q3c</t>
        </is>
      </c>
      <c r="B148" s="57" t="n">
        <v>198.65</v>
      </c>
    </row>
    <row r="149">
      <c r="A149" s="54" t="inlineStr">
        <is>
          <t>25FY</t>
        </is>
      </c>
      <c r="B149" s="57" t="n">
        <v>290.39</v>
      </c>
    </row>
    <row r="150">
      <c r="A150" s="54" t="inlineStr">
        <is>
          <t>26Q1</t>
        </is>
      </c>
      <c r="B150" s="57" t="n">
        <v>121.26</v>
      </c>
    </row>
    <row r="151">
      <c r="A151" s="54" t="inlineStr">
        <is>
          <t>26Q2c</t>
        </is>
      </c>
      <c r="B151" s="57" t="n">
        <v>244.12</v>
      </c>
    </row>
    <row r="152">
      <c r="A152" s="54" t="inlineStr">
        <is>
          <t>26Q3c</t>
        </is>
      </c>
      <c r="B152" s="57" t="n">
        <v>383.81</v>
      </c>
    </row>
    <row r="153">
      <c r="A153" s="54" t="inlineStr">
        <is>
          <t>26FY</t>
        </is>
      </c>
      <c r="B153" s="57" t="n">
        <v>526.25</v>
      </c>
    </row>
    <row r="154">
      <c r="A154" s="54" t="inlineStr">
        <is>
          <t>27Q1</t>
        </is>
      </c>
      <c r="B154" s="57" t="n">
        <v>144.85</v>
      </c>
    </row>
    <row r="155">
      <c r="A155" s="54" t="inlineStr">
        <is>
          <t>27Q2c</t>
        </is>
      </c>
      <c r="B155" s="57" t="n">
        <v>315.85</v>
      </c>
    </row>
    <row r="157">
      <c r="A157" s="52" t="inlineStr">
        <is>
          <t>segments_cum · 도매_ext</t>
        </is>
      </c>
      <c r="B157" s="52" t="n"/>
      <c r="C157" s="52" t="n"/>
      <c r="D157" s="52" t="n"/>
      <c r="E157" s="52" t="n"/>
      <c r="F157" s="52" t="n"/>
      <c r="G157" s="52" t="n"/>
    </row>
    <row r="158">
      <c r="A158" s="53" t="inlineStr">
        <is>
          <t>항목</t>
        </is>
      </c>
      <c r="B158" s="53" t="inlineStr">
        <is>
          <t>값</t>
        </is>
      </c>
      <c r="G158" s="53" t="inlineStr">
        <is>
          <t>출처</t>
        </is>
      </c>
    </row>
    <row r="159">
      <c r="A159" s="54" t="inlineStr">
        <is>
          <t>25Q1</t>
        </is>
      </c>
      <c r="B159" s="57" t="n">
        <v>55.93</v>
      </c>
      <c r="G159" s="56" t="inlineStr">
        <is>
          <t>누계·연간 원자료(억 엔). c=누계. 분기 단독은 차분 계산. 외부 매출·세그먼트 이익</t>
        </is>
      </c>
    </row>
    <row r="160">
      <c r="A160" s="54" t="inlineStr">
        <is>
          <t>25Q2c</t>
        </is>
      </c>
      <c r="B160" s="57" t="n">
        <v>113.2</v>
      </c>
    </row>
    <row r="161">
      <c r="A161" s="54" t="inlineStr">
        <is>
          <t>25Q3c</t>
        </is>
      </c>
      <c r="B161" s="57" t="n">
        <v>185.79</v>
      </c>
    </row>
    <row r="162">
      <c r="A162" s="54" t="inlineStr">
        <is>
          <t>25FY</t>
        </is>
      </c>
      <c r="B162" s="57" t="n">
        <v>244.94</v>
      </c>
    </row>
    <row r="163">
      <c r="A163" s="54" t="inlineStr">
        <is>
          <t>26Q1</t>
        </is>
      </c>
      <c r="B163" s="57" t="n">
        <v>56.22</v>
      </c>
    </row>
    <row r="164">
      <c r="A164" s="54" t="inlineStr">
        <is>
          <t>26Q2c</t>
        </is>
      </c>
      <c r="B164" s="57" t="n">
        <v>110.37</v>
      </c>
    </row>
    <row r="165">
      <c r="A165" s="54" t="inlineStr">
        <is>
          <t>26Q3c</t>
        </is>
      </c>
      <c r="B165" s="57" t="n">
        <v>179.35</v>
      </c>
    </row>
    <row r="166">
      <c r="A166" s="54" t="inlineStr">
        <is>
          <t>26FY</t>
        </is>
      </c>
      <c r="B166" s="57" t="n">
        <v>239.33</v>
      </c>
    </row>
    <row r="167">
      <c r="A167" s="54" t="inlineStr">
        <is>
          <t>27Q1</t>
        </is>
      </c>
      <c r="B167" s="57" t="n">
        <v>59.68</v>
      </c>
    </row>
    <row r="168">
      <c r="A168" s="54" t="inlineStr">
        <is>
          <t>27Q2c</t>
        </is>
      </c>
      <c r="B168" s="57" t="n">
        <v>115.26</v>
      </c>
    </row>
    <row r="170">
      <c r="A170" s="52" t="inlineStr">
        <is>
          <t>segments_cum · 확장_ext</t>
        </is>
      </c>
      <c r="B170" s="52" t="n"/>
      <c r="C170" s="52" t="n"/>
      <c r="D170" s="52" t="n"/>
      <c r="E170" s="52" t="n"/>
      <c r="F170" s="52" t="n"/>
      <c r="G170" s="52" t="n"/>
    </row>
    <row r="171">
      <c r="A171" s="53" t="inlineStr">
        <is>
          <t>항목</t>
        </is>
      </c>
      <c r="B171" s="53" t="inlineStr">
        <is>
          <t>값</t>
        </is>
      </c>
      <c r="G171" s="53" t="inlineStr">
        <is>
          <t>출처</t>
        </is>
      </c>
    </row>
    <row r="172">
      <c r="A172" s="54" t="inlineStr">
        <is>
          <t>25Q1</t>
        </is>
      </c>
      <c r="B172" s="57" t="n">
        <v>9.210000000000001</v>
      </c>
      <c r="G172" s="56" t="inlineStr">
        <is>
          <t>누계·연간 원자료(억 엔). c=누계. 분기 단독은 차분 계산. 외부 매출·세그먼트 이익</t>
        </is>
      </c>
    </row>
    <row r="173">
      <c r="A173" s="54" t="inlineStr">
        <is>
          <t>25Q2c</t>
        </is>
      </c>
      <c r="B173" s="57" t="n">
        <v>18.92</v>
      </c>
    </row>
    <row r="174">
      <c r="A174" s="54" t="inlineStr">
        <is>
          <t>25Q3c</t>
        </is>
      </c>
      <c r="B174" s="57" t="n">
        <v>29.74</v>
      </c>
    </row>
    <row r="175">
      <c r="A175" s="54" t="inlineStr">
        <is>
          <t>25FY</t>
        </is>
      </c>
      <c r="B175" s="57" t="n">
        <v>38.61</v>
      </c>
    </row>
    <row r="176">
      <c r="A176" s="54" t="inlineStr">
        <is>
          <t>26Q1</t>
        </is>
      </c>
      <c r="B176" s="57" t="n">
        <v>12.79</v>
      </c>
    </row>
    <row r="177">
      <c r="A177" s="54" t="inlineStr">
        <is>
          <t>26Q2c</t>
        </is>
      </c>
      <c r="B177" s="57" t="n">
        <v>23.96</v>
      </c>
    </row>
    <row r="178">
      <c r="A178" s="54" t="inlineStr">
        <is>
          <t>26Q3c</t>
        </is>
      </c>
      <c r="B178" s="57" t="n">
        <v>35.35</v>
      </c>
    </row>
    <row r="179">
      <c r="A179" s="54" t="inlineStr">
        <is>
          <t>26FY</t>
        </is>
      </c>
      <c r="B179" s="57" t="n">
        <v>47.1</v>
      </c>
    </row>
    <row r="180">
      <c r="A180" s="54" t="inlineStr">
        <is>
          <t>27Q1</t>
        </is>
      </c>
      <c r="B180" s="57" t="n">
        <v>15.31</v>
      </c>
    </row>
    <row r="181">
      <c r="A181" s="54" t="inlineStr">
        <is>
          <t>27Q2c</t>
        </is>
      </c>
      <c r="B181" s="57" t="n">
        <v>28.67</v>
      </c>
    </row>
    <row r="183">
      <c r="A183" s="52" t="inlineStr">
        <is>
          <t>segments_cum · 오토박스_op</t>
        </is>
      </c>
      <c r="B183" s="52" t="n"/>
      <c r="C183" s="52" t="n"/>
      <c r="D183" s="52" t="n"/>
      <c r="E183" s="52" t="n"/>
      <c r="F183" s="52" t="n"/>
      <c r="G183" s="52" t="n"/>
    </row>
    <row r="184">
      <c r="A184" s="53" t="inlineStr">
        <is>
          <t>항목</t>
        </is>
      </c>
      <c r="B184" s="53" t="inlineStr">
        <is>
          <t>값</t>
        </is>
      </c>
      <c r="G184" s="53" t="inlineStr">
        <is>
          <t>출처</t>
        </is>
      </c>
    </row>
    <row r="185">
      <c r="A185" s="54" t="inlineStr">
        <is>
          <t>25Q1</t>
        </is>
      </c>
      <c r="B185" s="57" t="n">
        <v>34.97</v>
      </c>
      <c r="G185" s="56" t="inlineStr">
        <is>
          <t>누계·연간 원자료(억 엔). c=누계. 분기 단독은 차분 계산. 외부 매출·세그먼트 이익</t>
        </is>
      </c>
    </row>
    <row r="186">
      <c r="A186" s="54" t="inlineStr">
        <is>
          <t>25Q2c</t>
        </is>
      </c>
      <c r="B186" s="57" t="n">
        <v>78.8</v>
      </c>
    </row>
    <row r="187">
      <c r="A187" s="54" t="inlineStr">
        <is>
          <t>25Q3c</t>
        </is>
      </c>
      <c r="B187" s="57" t="n">
        <v>169.44</v>
      </c>
    </row>
    <row r="188">
      <c r="A188" s="54" t="inlineStr">
        <is>
          <t>25FY</t>
        </is>
      </c>
      <c r="B188" s="57" t="n">
        <v>220.5</v>
      </c>
    </row>
    <row r="189">
      <c r="A189" s="54" t="inlineStr">
        <is>
          <t>26Q1</t>
        </is>
      </c>
      <c r="B189" s="57" t="n">
        <v>46.28</v>
      </c>
    </row>
    <row r="190">
      <c r="A190" s="54" t="inlineStr">
        <is>
          <t>26Q2c</t>
        </is>
      </c>
      <c r="B190" s="57" t="n">
        <v>90.19</v>
      </c>
    </row>
    <row r="191">
      <c r="A191" s="54" t="inlineStr">
        <is>
          <t>26Q3c</t>
        </is>
      </c>
      <c r="B191" s="57" t="n">
        <v>177.87</v>
      </c>
    </row>
    <row r="192">
      <c r="A192" s="54" t="inlineStr">
        <is>
          <t>26FY</t>
        </is>
      </c>
      <c r="B192" s="57" t="n">
        <v>224.02</v>
      </c>
    </row>
    <row r="193">
      <c r="A193" s="54" t="inlineStr">
        <is>
          <t>27Q1</t>
        </is>
      </c>
      <c r="B193" s="57" t="n">
        <v>46.04</v>
      </c>
    </row>
    <row r="194">
      <c r="A194" s="54" t="inlineStr">
        <is>
          <t>27Q2c</t>
        </is>
      </c>
      <c r="B194" s="57" t="n">
        <v>94.87</v>
      </c>
    </row>
    <row r="196">
      <c r="A196" s="52" t="inlineStr">
        <is>
          <t>segments_cum · 컨슈머_op</t>
        </is>
      </c>
      <c r="B196" s="52" t="n"/>
      <c r="C196" s="52" t="n"/>
      <c r="D196" s="52" t="n"/>
      <c r="E196" s="52" t="n"/>
      <c r="F196" s="52" t="n"/>
      <c r="G196" s="52" t="n"/>
    </row>
    <row r="197">
      <c r="A197" s="53" t="inlineStr">
        <is>
          <t>항목</t>
        </is>
      </c>
      <c r="B197" s="53" t="inlineStr">
        <is>
          <t>값</t>
        </is>
      </c>
      <c r="G197" s="53" t="inlineStr">
        <is>
          <t>출처</t>
        </is>
      </c>
    </row>
    <row r="198">
      <c r="A198" s="54" t="inlineStr">
        <is>
          <t>25Q1</t>
        </is>
      </c>
      <c r="B198" s="57" t="n">
        <v>-2.85</v>
      </c>
      <c r="G198" s="56" t="inlineStr">
        <is>
          <t>누계·연간 원자료(억 엔). c=누계. 분기 단독은 차분 계산. 외부 매출·세그먼트 이익</t>
        </is>
      </c>
    </row>
    <row r="199">
      <c r="A199" s="54" t="inlineStr">
        <is>
          <t>25Q2c</t>
        </is>
      </c>
      <c r="B199" s="57" t="n">
        <v>-8.33</v>
      </c>
    </row>
    <row r="200">
      <c r="A200" s="54" t="inlineStr">
        <is>
          <t>25Q3c</t>
        </is>
      </c>
      <c r="B200" s="57" t="n">
        <v>-8.27</v>
      </c>
    </row>
    <row r="201">
      <c r="A201" s="54" t="inlineStr">
        <is>
          <t>25FY</t>
        </is>
      </c>
      <c r="B201" s="57" t="n">
        <v>-8.470000000000001</v>
      </c>
    </row>
    <row r="202">
      <c r="A202" s="54" t="inlineStr">
        <is>
          <t>26Q1</t>
        </is>
      </c>
      <c r="B202" s="57" t="n">
        <v>-0.43</v>
      </c>
    </row>
    <row r="203">
      <c r="A203" s="54" t="inlineStr">
        <is>
          <t>26Q2c</t>
        </is>
      </c>
      <c r="B203" s="57" t="n">
        <v>1.08</v>
      </c>
    </row>
    <row r="204">
      <c r="A204" s="54" t="inlineStr">
        <is>
          <t>26Q3c</t>
        </is>
      </c>
      <c r="B204" s="57" t="n">
        <v>5.67</v>
      </c>
    </row>
    <row r="205">
      <c r="A205" s="54" t="inlineStr">
        <is>
          <t>26FY</t>
        </is>
      </c>
      <c r="B205" s="57" t="n">
        <v>5.19</v>
      </c>
    </row>
    <row r="206">
      <c r="A206" s="54" t="inlineStr">
        <is>
          <t>27Q1</t>
        </is>
      </c>
      <c r="B206" s="57" t="n">
        <v>4.19</v>
      </c>
    </row>
    <row r="207">
      <c r="A207" s="54" t="inlineStr">
        <is>
          <t>27Q2c</t>
        </is>
      </c>
      <c r="B207" s="57" t="n">
        <v>7.79</v>
      </c>
    </row>
    <row r="209">
      <c r="A209" s="52" t="inlineStr">
        <is>
          <t>segments_cum · 도매_op</t>
        </is>
      </c>
      <c r="B209" s="52" t="n"/>
      <c r="C209" s="52" t="n"/>
      <c r="D209" s="52" t="n"/>
      <c r="E209" s="52" t="n"/>
      <c r="F209" s="52" t="n"/>
      <c r="G209" s="52" t="n"/>
    </row>
    <row r="210">
      <c r="A210" s="53" t="inlineStr">
        <is>
          <t>항목</t>
        </is>
      </c>
      <c r="B210" s="53" t="inlineStr">
        <is>
          <t>값</t>
        </is>
      </c>
      <c r="G210" s="53" t="inlineStr">
        <is>
          <t>출처</t>
        </is>
      </c>
    </row>
    <row r="211">
      <c r="A211" s="54" t="inlineStr">
        <is>
          <t>25Q1</t>
        </is>
      </c>
      <c r="B211" s="57" t="n">
        <v>-1.69</v>
      </c>
      <c r="G211" s="56" t="inlineStr">
        <is>
          <t>누계·연간 원자료(억 엔). c=누계. 분기 단독은 차분 계산. 외부 매출·세그먼트 이익</t>
        </is>
      </c>
    </row>
    <row r="212">
      <c r="A212" s="54" t="inlineStr">
        <is>
          <t>25Q2c</t>
        </is>
      </c>
      <c r="B212" s="57" t="n">
        <v>-1.06</v>
      </c>
    </row>
    <row r="213">
      <c r="A213" s="54" t="inlineStr">
        <is>
          <t>25Q3c</t>
        </is>
      </c>
      <c r="B213" s="57" t="n">
        <v>4.78</v>
      </c>
    </row>
    <row r="214">
      <c r="A214" s="54" t="inlineStr">
        <is>
          <t>25FY</t>
        </is>
      </c>
      <c r="B214" s="57" t="n">
        <v>5.17</v>
      </c>
    </row>
    <row r="215">
      <c r="A215" s="54" t="inlineStr">
        <is>
          <t>26Q1</t>
        </is>
      </c>
      <c r="B215" s="57" t="n">
        <v>1.39</v>
      </c>
    </row>
    <row r="216">
      <c r="A216" s="54" t="inlineStr">
        <is>
          <t>26Q2c</t>
        </is>
      </c>
      <c r="B216" s="57" t="n">
        <v>2.37</v>
      </c>
    </row>
    <row r="217">
      <c r="A217" s="54" t="inlineStr">
        <is>
          <t>26Q3c</t>
        </is>
      </c>
      <c r="B217" s="57" t="n">
        <v>8.83</v>
      </c>
    </row>
    <row r="218">
      <c r="A218" s="54" t="inlineStr">
        <is>
          <t>26FY</t>
        </is>
      </c>
      <c r="B218" s="57" t="n">
        <v>9.41</v>
      </c>
    </row>
    <row r="219">
      <c r="A219" s="54" t="inlineStr">
        <is>
          <t>27Q1</t>
        </is>
      </c>
      <c r="B219" s="57" t="n">
        <v>1.48</v>
      </c>
    </row>
    <row r="220">
      <c r="A220" s="54" t="inlineStr">
        <is>
          <t>27Q2c</t>
        </is>
      </c>
      <c r="B220" s="57" t="n">
        <v>2.77</v>
      </c>
    </row>
    <row r="222">
      <c r="A222" s="52" t="inlineStr">
        <is>
          <t>segments_cum · 확장_op</t>
        </is>
      </c>
      <c r="B222" s="52" t="n"/>
      <c r="C222" s="52" t="n"/>
      <c r="D222" s="52" t="n"/>
      <c r="E222" s="52" t="n"/>
      <c r="F222" s="52" t="n"/>
      <c r="G222" s="52" t="n"/>
    </row>
    <row r="223">
      <c r="A223" s="53" t="inlineStr">
        <is>
          <t>항목</t>
        </is>
      </c>
      <c r="B223" s="53" t="inlineStr">
        <is>
          <t>값</t>
        </is>
      </c>
      <c r="G223" s="53" t="inlineStr">
        <is>
          <t>출처</t>
        </is>
      </c>
    </row>
    <row r="224">
      <c r="A224" s="54" t="inlineStr">
        <is>
          <t>25Q1</t>
        </is>
      </c>
      <c r="B224" s="57" t="n">
        <v>1.67</v>
      </c>
      <c r="G224" s="56" t="inlineStr">
        <is>
          <t>누계·연간 원자료(억 엔). c=누계. 분기 단독은 차분 계산. 외부 매출·세그먼트 이익</t>
        </is>
      </c>
    </row>
    <row r="225">
      <c r="A225" s="54" t="inlineStr">
        <is>
          <t>25Q2c</t>
        </is>
      </c>
      <c r="B225" s="57" t="n">
        <v>3.04</v>
      </c>
    </row>
    <row r="226">
      <c r="A226" s="54" t="inlineStr">
        <is>
          <t>25Q3c</t>
        </is>
      </c>
      <c r="B226" s="57" t="n">
        <v>4.08</v>
      </c>
    </row>
    <row r="227">
      <c r="A227" s="54" t="inlineStr">
        <is>
          <t>25FY</t>
        </is>
      </c>
      <c r="B227" s="57" t="n">
        <v>4.76</v>
      </c>
    </row>
    <row r="228">
      <c r="A228" s="54" t="inlineStr">
        <is>
          <t>26Q1</t>
        </is>
      </c>
      <c r="B228" s="57" t="n">
        <v>2.97</v>
      </c>
    </row>
    <row r="229">
      <c r="A229" s="54" t="inlineStr">
        <is>
          <t>26Q2c</t>
        </is>
      </c>
      <c r="B229" s="57" t="n">
        <v>5.91</v>
      </c>
    </row>
    <row r="230">
      <c r="A230" s="54" t="inlineStr">
        <is>
          <t>26Q3c</t>
        </is>
      </c>
      <c r="B230" s="57" t="n">
        <v>6.96</v>
      </c>
    </row>
    <row r="231">
      <c r="A231" s="54" t="inlineStr">
        <is>
          <t>26FY</t>
        </is>
      </c>
      <c r="B231" s="57" t="n">
        <v>7.64</v>
      </c>
    </row>
    <row r="232">
      <c r="A232" s="54" t="inlineStr">
        <is>
          <t>27Q1</t>
        </is>
      </c>
      <c r="B232" s="57" t="n">
        <v>3.54</v>
      </c>
    </row>
    <row r="233">
      <c r="A233" s="54" t="inlineStr">
        <is>
          <t>27Q2c</t>
        </is>
      </c>
      <c r="B233" s="57" t="n">
        <v>6.31</v>
      </c>
    </row>
    <row r="235">
      <c r="A235" s="52" t="inlineStr">
        <is>
          <t>segments_cum · 조정_op</t>
        </is>
      </c>
      <c r="B235" s="52" t="n"/>
      <c r="C235" s="52" t="n"/>
      <c r="D235" s="52" t="n"/>
      <c r="E235" s="52" t="n"/>
      <c r="F235" s="52" t="n"/>
      <c r="G235" s="52" t="n"/>
    </row>
    <row r="236">
      <c r="A236" s="53" t="inlineStr">
        <is>
          <t>항목</t>
        </is>
      </c>
      <c r="B236" s="53" t="inlineStr">
        <is>
          <t>값</t>
        </is>
      </c>
      <c r="G236" s="53" t="inlineStr">
        <is>
          <t>출처</t>
        </is>
      </c>
    </row>
    <row r="237">
      <c r="A237" s="54" t="inlineStr">
        <is>
          <t>25Q1</t>
        </is>
      </c>
      <c r="B237" s="57" t="n">
        <v>-21.53</v>
      </c>
      <c r="G237" s="56" t="inlineStr">
        <is>
          <t>누계·연간 원자료(억 엔). c=누계. 분기 단독은 차분 계산. 외부 매출·세그먼트 이익</t>
        </is>
      </c>
    </row>
    <row r="238">
      <c r="A238" s="54" t="inlineStr">
        <is>
          <t>25Q2c</t>
        </is>
      </c>
      <c r="B238" s="57" t="n">
        <v>-47.34</v>
      </c>
    </row>
    <row r="239">
      <c r="A239" s="54" t="inlineStr">
        <is>
          <t>25Q3c</t>
        </is>
      </c>
      <c r="B239" s="57" t="n">
        <v>-70.58</v>
      </c>
    </row>
    <row r="240">
      <c r="A240" s="54" t="inlineStr">
        <is>
          <t>25FY</t>
        </is>
      </c>
      <c r="B240" s="57" t="n">
        <v>-100.7</v>
      </c>
    </row>
    <row r="241">
      <c r="A241" s="54" t="inlineStr">
        <is>
          <t>26Q1</t>
        </is>
      </c>
      <c r="B241" s="57" t="n">
        <v>-23.35</v>
      </c>
    </row>
    <row r="242">
      <c r="A242" s="54" t="inlineStr">
        <is>
          <t>26Q2c</t>
        </is>
      </c>
      <c r="B242" s="57" t="n">
        <v>-48.73</v>
      </c>
    </row>
    <row r="243">
      <c r="A243" s="54" t="inlineStr">
        <is>
          <t>26Q3c</t>
        </is>
      </c>
      <c r="B243" s="57" t="n">
        <v>-74.84</v>
      </c>
    </row>
    <row r="244">
      <c r="A244" s="54" t="inlineStr">
        <is>
          <t>26FY</t>
        </is>
      </c>
      <c r="B244" s="57" t="n">
        <v>-108.32</v>
      </c>
    </row>
    <row r="245">
      <c r="A245" s="54" t="inlineStr">
        <is>
          <t>27Q1</t>
        </is>
      </c>
      <c r="B245" s="57" t="n">
        <v>-31.92</v>
      </c>
    </row>
    <row r="246">
      <c r="A246" s="54" t="inlineStr">
        <is>
          <t>27Q2c</t>
        </is>
      </c>
      <c r="B246" s="57" t="n">
        <v>-61.17</v>
      </c>
    </row>
    <row r="248">
      <c r="A248" s="52" t="inlineStr">
        <is>
          <t>컨센서스 · FY27</t>
        </is>
      </c>
      <c r="B248" s="52" t="n"/>
      <c r="C248" s="52" t="n"/>
      <c r="D248" s="52" t="n"/>
      <c r="E248" s="52" t="n"/>
      <c r="F248" s="52" t="n"/>
      <c r="G248" s="52" t="n"/>
    </row>
    <row r="249">
      <c r="A249" s="53" t="inlineStr">
        <is>
          <t>항목</t>
        </is>
      </c>
      <c r="B249" s="53" t="inlineStr">
        <is>
          <t>값</t>
        </is>
      </c>
      <c r="G249" s="53" t="inlineStr">
        <is>
          <t>출처</t>
        </is>
      </c>
    </row>
    <row r="250">
      <c r="A250" s="54" t="inlineStr">
        <is>
          <t>EPS</t>
        </is>
      </c>
      <c r="B250" s="57" t="n">
        <v>115.9</v>
      </c>
      <c r="G250" s="56" t="inlineStr">
        <is>
          <t>애널리스트 1명 — 컨센 아님, "애널리스트 1명 추정"으로만 표기. 목표주가 없음</t>
        </is>
      </c>
    </row>
    <row r="251">
      <c r="A251" s="54" t="inlineStr">
        <is>
          <t>매출</t>
        </is>
      </c>
      <c r="B251" s="55" t="n">
        <v>2851</v>
      </c>
    </row>
    <row r="253">
      <c r="A253" s="52" t="inlineStr">
        <is>
          <t>컨센서스 · FY28</t>
        </is>
      </c>
      <c r="B253" s="52" t="n"/>
      <c r="C253" s="52" t="n"/>
      <c r="D253" s="52" t="n"/>
      <c r="E253" s="52" t="n"/>
      <c r="F253" s="52" t="n"/>
      <c r="G253" s="52" t="n"/>
    </row>
    <row r="254">
      <c r="A254" s="53" t="inlineStr">
        <is>
          <t>항목</t>
        </is>
      </c>
      <c r="B254" s="53" t="inlineStr">
        <is>
          <t>값</t>
        </is>
      </c>
      <c r="G254" s="53" t="inlineStr">
        <is>
          <t>출처</t>
        </is>
      </c>
    </row>
    <row r="255">
      <c r="A255" s="54" t="inlineStr">
        <is>
          <t>EPS</t>
        </is>
      </c>
      <c r="B255" s="57" t="n">
        <v>123.6</v>
      </c>
      <c r="G255" s="56" t="inlineStr">
        <is>
          <t>애널리스트 1명 — 컨센 아님, "애널리스트 1명 추정"으로만 표기. 목표주가 없음</t>
        </is>
      </c>
    </row>
    <row r="256">
      <c r="A256" s="54" t="inlineStr">
        <is>
          <t>매출</t>
        </is>
      </c>
      <c r="B256" s="55" t="n">
        <v>2915</v>
      </c>
    </row>
    <row r="258">
      <c r="A258" s="52" t="inlineStr">
        <is>
          <t>월차 · sep26</t>
        </is>
      </c>
      <c r="B258" s="52" t="n"/>
      <c r="C258" s="52" t="n"/>
      <c r="D258" s="52" t="n"/>
      <c r="E258" s="52" t="n"/>
      <c r="F258" s="52" t="n"/>
      <c r="G258" s="52" t="n"/>
    </row>
    <row r="259">
      <c r="A259" s="53" t="inlineStr">
        <is>
          <t>항목</t>
        </is>
      </c>
      <c r="B259" s="53" t="inlineStr">
        <is>
          <t>값</t>
        </is>
      </c>
      <c r="G259" s="53" t="inlineStr">
        <is>
          <t>출처</t>
        </is>
      </c>
    </row>
    <row r="260">
      <c r="A260" s="54" t="inlineStr">
        <is>
          <t>기존점</t>
        </is>
      </c>
      <c r="B260" s="57" t="n">
        <v>1.5</v>
      </c>
      <c r="G260" s="56" t="inlineStr">
        <is>
          <t>jp_monthly 9832 + 9월 월차 doc 140120261007547117</t>
        </is>
      </c>
    </row>
    <row r="261">
      <c r="A261" s="54" t="inlineStr">
        <is>
          <t>전점</t>
        </is>
      </c>
      <c r="B261" s="57" t="n">
        <v>1.1</v>
      </c>
    </row>
    <row r="262">
      <c r="A262" s="54" t="inlineStr">
        <is>
          <t>객수기존</t>
        </is>
      </c>
      <c r="B262" s="57" t="n">
        <v>-3.2</v>
      </c>
    </row>
    <row r="263">
      <c r="A263" s="54" t="inlineStr">
        <is>
          <t>객단가기존</t>
        </is>
      </c>
      <c r="B263" s="57" t="n">
        <v>4.7</v>
      </c>
    </row>
    <row r="264">
      <c r="A264" s="54" t="inlineStr">
        <is>
          <t>1Q기존</t>
        </is>
      </c>
      <c r="B264" s="57" t="n">
        <v>2.9</v>
      </c>
    </row>
    <row r="265">
      <c r="A265" s="54" t="inlineStr">
        <is>
          <t>2Q기존</t>
        </is>
      </c>
      <c r="B265" s="57" t="n">
        <v>4.5</v>
      </c>
    </row>
    <row r="266">
      <c r="A266" s="54" t="inlineStr">
        <is>
          <t>상반기기존</t>
        </is>
      </c>
      <c r="B266" s="57" t="n">
        <v>3.7</v>
      </c>
    </row>
    <row r="267">
      <c r="A267" s="54" t="inlineStr">
        <is>
          <t>상반기전점</t>
        </is>
      </c>
      <c r="B267" s="57" t="n">
        <v>4</v>
      </c>
    </row>
    <row r="268">
      <c r="A268" s="54" t="inlineStr">
        <is>
          <t>1Q전점</t>
        </is>
      </c>
      <c r="B268" s="57" t="n">
        <v>3.6</v>
      </c>
    </row>
    <row r="269">
      <c r="A269" s="54" t="inlineStr">
        <is>
          <t>2Q전점</t>
        </is>
      </c>
      <c r="B269" s="57" t="n">
        <v>4.5</v>
      </c>
    </row>
    <row r="271">
      <c r="A271" s="52" t="inlineStr">
        <is>
          <t>peers · 옐로햇</t>
        </is>
      </c>
      <c r="B271" s="52" t="n"/>
      <c r="C271" s="52" t="n"/>
      <c r="D271" s="52" t="n"/>
      <c r="E271" s="52" t="n"/>
      <c r="F271" s="52" t="n"/>
      <c r="G271" s="52" t="n"/>
    </row>
    <row r="272">
      <c r="A272" s="53" t="inlineStr">
        <is>
          <t>항목</t>
        </is>
      </c>
      <c r="B272" s="53" t="inlineStr">
        <is>
          <t>값</t>
        </is>
      </c>
      <c r="G272" s="53" t="inlineStr">
        <is>
          <t>출처</t>
        </is>
      </c>
    </row>
    <row r="273">
      <c r="A273" s="54" t="inlineStr">
        <is>
          <t>가격</t>
        </is>
      </c>
      <c r="B273" s="55" t="n">
        <v>1600</v>
      </c>
      <c r="G273" s="56" t="inlineStr">
        <is>
          <t>억 엔 [기간, 매출, 영업이익]. 옐로햇·G-7 3월 결산, 넥스테이지 11월, IDOM 2월. 시총·주가 26.10.30</t>
        </is>
      </c>
    </row>
    <row r="274">
      <c r="A274" s="54" t="inlineStr">
        <is>
          <t>mcap</t>
        </is>
      </c>
      <c r="B274" s="55" t="n">
        <v>1337</v>
      </c>
    </row>
    <row r="276">
      <c r="A276" s="52" t="inlineStr">
        <is>
          <t>비교 기업 · G-7</t>
        </is>
      </c>
      <c r="B276" s="52" t="n"/>
      <c r="C276" s="52" t="n"/>
      <c r="D276" s="52" t="n"/>
      <c r="E276" s="52" t="n"/>
      <c r="F276" s="52" t="n"/>
      <c r="G276" s="52" t="n"/>
    </row>
    <row r="277">
      <c r="A277" s="53" t="inlineStr">
        <is>
          <t>항목</t>
        </is>
      </c>
      <c r="B277" s="53" t="inlineStr">
        <is>
          <t>값</t>
        </is>
      </c>
      <c r="G277" s="53" t="inlineStr">
        <is>
          <t>출처</t>
        </is>
      </c>
    </row>
    <row r="278">
      <c r="A278" s="54" t="inlineStr">
        <is>
          <t>가격</t>
        </is>
      </c>
      <c r="B278" s="55" t="n">
        <v>1341</v>
      </c>
      <c r="G278" s="56" t="inlineStr">
        <is>
          <t>억 엔 [기간, 매출, 영업이익]. 옐로햇·G-7 3월 결산, 넥스테이지 11월, IDOM 2월. 시총·주가 26.10.30</t>
        </is>
      </c>
    </row>
    <row r="279">
      <c r="A279" s="54" t="inlineStr">
        <is>
          <t>mcap</t>
        </is>
      </c>
      <c r="B279" s="55" t="n">
        <v>587</v>
      </c>
    </row>
    <row r="281">
      <c r="A281" s="52" t="inlineStr">
        <is>
          <t>peers · 넥스테이지</t>
        </is>
      </c>
      <c r="B281" s="52" t="n"/>
      <c r="C281" s="52" t="n"/>
      <c r="D281" s="52" t="n"/>
      <c r="E281" s="52" t="n"/>
      <c r="F281" s="52" t="n"/>
      <c r="G281" s="52" t="n"/>
    </row>
    <row r="282">
      <c r="A282" s="53" t="inlineStr">
        <is>
          <t>항목</t>
        </is>
      </c>
      <c r="B282" s="53" t="inlineStr">
        <is>
          <t>값</t>
        </is>
      </c>
      <c r="G282" s="53" t="inlineStr">
        <is>
          <t>출처</t>
        </is>
      </c>
    </row>
    <row r="283">
      <c r="A283" s="54" t="inlineStr">
        <is>
          <t>가격</t>
        </is>
      </c>
      <c r="B283" s="55" t="n">
        <v>2455</v>
      </c>
      <c r="G283" s="56" t="inlineStr">
        <is>
          <t>억 엔 [기간, 매출, 영업이익]. 옐로햇·G-7 3월 결산, 넥스테이지 11월, IDOM 2월. 시총·주가 26.10.30</t>
        </is>
      </c>
    </row>
    <row r="284">
      <c r="A284" s="54" t="inlineStr">
        <is>
          <t>mcap</t>
        </is>
      </c>
      <c r="B284" s="55" t="n">
        <v>1925</v>
      </c>
    </row>
    <row r="286">
      <c r="A286" s="52" t="inlineStr">
        <is>
          <t>비교 기업 · IDOM</t>
        </is>
      </c>
      <c r="B286" s="52" t="n"/>
      <c r="C286" s="52" t="n"/>
      <c r="D286" s="52" t="n"/>
      <c r="E286" s="52" t="n"/>
      <c r="F286" s="52" t="n"/>
      <c r="G286" s="52" t="n"/>
    </row>
    <row r="287">
      <c r="A287" s="53" t="inlineStr">
        <is>
          <t>항목</t>
        </is>
      </c>
      <c r="B287" s="53" t="inlineStr">
        <is>
          <t>값</t>
        </is>
      </c>
      <c r="G287" s="53" t="inlineStr">
        <is>
          <t>출처</t>
        </is>
      </c>
    </row>
    <row r="288">
      <c r="A288" s="54" t="inlineStr">
        <is>
          <t>가격</t>
        </is>
      </c>
      <c r="B288" s="55" t="n">
        <v>958</v>
      </c>
      <c r="G288" s="56" t="inlineStr">
        <is>
          <t>억 엔 [기간, 매출, 영업이익]. 옐로햇·G-7 3월 결산, 넥스테이지 11월, IDOM 2월. 시총·주가 26.10.30</t>
        </is>
      </c>
    </row>
    <row r="289">
      <c r="A289" s="54" t="inlineStr">
        <is>
          <t>mcap</t>
        </is>
      </c>
      <c r="B289" s="55" t="n">
        <v>962</v>
      </c>
    </row>
    <row r="291">
      <c r="A291" s="52" t="inlineStr">
        <is>
          <t>filings</t>
        </is>
      </c>
      <c r="B291" s="52" t="n"/>
      <c r="C291" s="52" t="n"/>
      <c r="D291" s="52" t="n"/>
      <c r="E291" s="52" t="n"/>
      <c r="F291" s="52" t="n"/>
      <c r="G291" s="52" t="n"/>
    </row>
    <row r="292">
      <c r="A292" s="53" t="inlineStr">
        <is>
          <t>항목</t>
        </is>
      </c>
      <c r="B292" s="53" t="inlineStr">
        <is>
          <t>title</t>
        </is>
      </c>
      <c r="C292" s="53" t="inlineStr">
        <is>
          <t>doc</t>
        </is>
      </c>
      <c r="G292" s="53" t="inlineStr">
        <is>
          <t>출처</t>
        </is>
      </c>
    </row>
    <row r="293">
      <c r="A293" s="54" t="inlineStr">
        <is>
          <t>2026-10-30</t>
        </is>
      </c>
      <c r="B293" s="58" t="inlineStr">
        <is>
          <t>2027年３月期 第２四半期（中間期）決算短信〔日本基準〕（連結）</t>
        </is>
      </c>
      <c r="C293" s="58" t="inlineStr">
        <is>
          <t>140120261030560974</t>
        </is>
      </c>
      <c r="G293" s="56" t="inlineStr">
        <is>
          <t>2단계 보고서 자료(회사 설명회 자료·공시)</t>
        </is>
      </c>
    </row>
    <row r="294">
      <c r="A294" s="54" t="inlineStr">
        <is>
          <t>2026-07-31</t>
        </is>
      </c>
      <c r="B294" s="58" t="inlineStr">
        <is>
          <t>2027年３月期 第１四半期決算短信〔日本基準〕（連結）</t>
        </is>
      </c>
      <c r="C294" s="58" t="inlineStr">
        <is>
          <t>140120260731504802</t>
        </is>
      </c>
    </row>
    <row r="295">
      <c r="A295" s="54" t="inlineStr">
        <is>
          <t>2026-05-11</t>
        </is>
      </c>
      <c r="B295" s="58" t="inlineStr">
        <is>
          <t>2026年３月期 決算短信〔日本基準〕（連結）</t>
        </is>
      </c>
      <c r="C295" s="58" t="inlineStr">
        <is>
          <t>140120260511522278</t>
        </is>
      </c>
    </row>
    <row r="296">
      <c r="A296" s="54" t="inlineStr">
        <is>
          <t>2026-01-30</t>
        </is>
      </c>
      <c r="B296" s="58" t="inlineStr">
        <is>
          <t>2026年３月期 第３四半期決算短信〔日本基準〕（連結）</t>
        </is>
      </c>
      <c r="C296" s="58" t="inlineStr">
        <is>
          <t>140120260130542952</t>
        </is>
      </c>
    </row>
    <row r="297">
      <c r="A297" s="54" t="inlineStr">
        <is>
          <t>2025-10-31</t>
        </is>
      </c>
      <c r="B297" s="58" t="inlineStr">
        <is>
          <t>2026年３月期 第２四半期（中間期）決算短信〔日本基準〕（連結）</t>
        </is>
      </c>
      <c r="C297" s="58" t="inlineStr">
        <is>
          <t>140120251031584424</t>
        </is>
      </c>
    </row>
    <row r="298">
      <c r="A298" s="54" t="inlineStr">
        <is>
          <t>2025-07-31</t>
        </is>
      </c>
      <c r="B298" s="58" t="inlineStr">
        <is>
          <t>2026年３月期 第１四半期決算短信〔日本基準〕（連結）</t>
        </is>
      </c>
      <c r="C298" s="58" t="inlineStr">
        <is>
          <t>140120250731525377</t>
        </is>
      </c>
    </row>
    <row r="299">
      <c r="A299" s="54" t="inlineStr">
        <is>
          <t>2025-01-31</t>
        </is>
      </c>
      <c r="B299" s="58" t="inlineStr">
        <is>
          <t>2025年３月期 第３四半期決算短信〔日本基準〕（連結）</t>
        </is>
      </c>
      <c r="C299" s="58" t="inlineStr">
        <is>
          <t>140120250131559608</t>
        </is>
      </c>
    </row>
    <row r="300">
      <c r="A300" s="54" t="inlineStr">
        <is>
          <t>2024-10-31</t>
        </is>
      </c>
      <c r="B300" s="58" t="inlineStr">
        <is>
          <t>2025年３月期 第２四半期（中間期）決算短信〔日本基準〕（連結）</t>
        </is>
      </c>
      <c r="C300" s="58" t="inlineStr">
        <is>
          <t>140120241031507517</t>
        </is>
      </c>
    </row>
    <row r="301">
      <c r="A301" s="54" t="inlineStr">
        <is>
          <t>2024-07-31</t>
        </is>
      </c>
      <c r="B301" s="58" t="inlineStr">
        <is>
          <t>2025年３月期 第１四半期決算短信〔日本基準〕（連結）</t>
        </is>
      </c>
      <c r="C301" s="58" t="inlineStr">
        <is>
          <t>140120240731558939</t>
        </is>
      </c>
    </row>
    <row r="302">
      <c r="A302" s="54" t="inlineStr">
        <is>
          <t>2024-05-10</t>
        </is>
      </c>
      <c r="B302" s="58" t="inlineStr">
        <is>
          <t>2024年３月期 決算短信〔日本基準〕（連結）</t>
        </is>
      </c>
      <c r="C302" s="58" t="inlineStr">
        <is>
          <t>140120240510589042</t>
        </is>
      </c>
    </row>
    <row r="303">
      <c r="A303" s="54" t="inlineStr">
        <is>
          <t>2024-01-31</t>
        </is>
      </c>
      <c r="B303" s="58" t="inlineStr">
        <is>
          <t>2024年３月期 第３四半期決算短信〔日本基準〕（連結）</t>
        </is>
      </c>
      <c r="C303" s="58" t="inlineStr">
        <is>
          <t>140120240131522974</t>
        </is>
      </c>
    </row>
    <row r="304">
      <c r="A304" s="54" t="inlineStr">
        <is>
          <t>2023-10-31</t>
        </is>
      </c>
      <c r="B304" s="58" t="inlineStr">
        <is>
          <t>2024年３月期 第２四半期決算短信〔日本基準〕（連結）</t>
        </is>
      </c>
      <c r="C304" s="58" t="inlineStr">
        <is>
          <t>140120231031575799</t>
        </is>
      </c>
    </row>
    <row r="305">
      <c r="A305" s="54" t="inlineStr">
        <is>
          <t>2023-07-31</t>
        </is>
      </c>
      <c r="B305" s="58" t="inlineStr">
        <is>
          <t>2024年３月期 第１四半期決算短信〔日本基準〕（連結）</t>
        </is>
      </c>
      <c r="C305" s="58" t="inlineStr">
        <is>
          <t>140120230731530323</t>
        </is>
      </c>
    </row>
    <row r="306">
      <c r="A306" s="54" t="inlineStr">
        <is>
          <t>2023-05-09</t>
        </is>
      </c>
      <c r="B306" s="58" t="inlineStr">
        <is>
          <t>2023年３月期 決算短信〔日本基準〕（連結）</t>
        </is>
      </c>
      <c r="C306" s="58" t="inlineStr">
        <is>
          <t>140120230509560864</t>
        </is>
      </c>
    </row>
    <row r="307">
      <c r="A307" s="54" t="inlineStr">
        <is>
          <t>2023-01-31</t>
        </is>
      </c>
      <c r="B307" s="58" t="inlineStr">
        <is>
          <t>2023年３月期 第３四半期決算短信〔日本基準〕（連結）</t>
        </is>
      </c>
      <c r="C307" s="58" t="inlineStr">
        <is>
          <t>140120230131597021</t>
        </is>
      </c>
    </row>
    <row r="308">
      <c r="A308" s="54" t="inlineStr">
        <is>
          <t>2022-10-31</t>
        </is>
      </c>
      <c r="B308" s="58" t="inlineStr">
        <is>
          <t>2023年３月期 第２四半期決算短信〔日本基準〕（連結）</t>
        </is>
      </c>
      <c r="C308" s="58" t="inlineStr">
        <is>
          <t>140120221031553243</t>
        </is>
      </c>
    </row>
    <row r="309">
      <c r="A309" s="54" t="inlineStr">
        <is>
          <t>2022-05-10</t>
        </is>
      </c>
      <c r="B309" s="58" t="inlineStr">
        <is>
          <t>2022年３月期 決算短信〔日本基準〕（連結）</t>
        </is>
      </c>
      <c r="C309" s="58" t="inlineStr">
        <is>
          <t>140120220510536929</t>
        </is>
      </c>
    </row>
    <row r="310">
      <c r="A310" s="54" t="inlineStr">
        <is>
          <t>2021-05-10</t>
        </is>
      </c>
      <c r="B310" s="58" t="inlineStr">
        <is>
          <t>2021年３月期　決算短信〔日本基準〕（連結）</t>
        </is>
      </c>
      <c r="C310" s="58" t="inlineStr">
        <is>
          <t>140120210510409018</t>
        </is>
      </c>
    </row>
    <row r="311">
      <c r="A311" s="54" t="inlineStr">
        <is>
          <t>2020-05-20</t>
        </is>
      </c>
      <c r="B311" s="58" t="inlineStr">
        <is>
          <t>2020年３月期　決算短信〔日本基準〕（連結）</t>
        </is>
      </c>
      <c r="C311" s="58" t="inlineStr">
        <is>
          <t>140120200520419157</t>
        </is>
      </c>
    </row>
    <row r="312">
      <c r="A312" s="54" t="inlineStr">
        <is>
          <t>2019-05-08</t>
        </is>
      </c>
      <c r="B312" s="58" t="inlineStr">
        <is>
          <t>2019年３月期　決算短信〔日本基準〕（連結）</t>
        </is>
      </c>
      <c r="C312" s="58" t="inlineStr">
        <is>
          <t>140120190508417009</t>
        </is>
      </c>
    </row>
    <row r="313">
      <c r="A313" s="54" t="inlineStr">
        <is>
          <t>2018-05-02</t>
        </is>
      </c>
      <c r="B313" s="58" t="inlineStr">
        <is>
          <t>2018年３月期　決算短信〔日本基準〕（連結）</t>
        </is>
      </c>
      <c r="C313" s="58" t="inlineStr">
        <is>
          <t>140120180502426686</t>
        </is>
      </c>
    </row>
    <row r="314">
      <c r="A314" s="54" t="inlineStr">
        <is>
          <t>2017-05-09</t>
        </is>
      </c>
      <c r="B314" s="58" t="inlineStr">
        <is>
          <t>平成29年3月期 決算短信〔日本基準〕（連結）</t>
        </is>
      </c>
      <c r="C314" s="58" t="inlineStr">
        <is>
          <t>140120170509462470</t>
        </is>
      </c>
    </row>
    <row r="316">
      <c r="A316" s="52" t="inlineStr">
        <is>
          <t>reactions</t>
        </is>
      </c>
      <c r="B316" s="52" t="n"/>
      <c r="C316" s="52" t="n"/>
      <c r="D316" s="52" t="n"/>
      <c r="E316" s="52" t="n"/>
      <c r="F316" s="52" t="n"/>
      <c r="G316" s="52" t="n"/>
    </row>
    <row r="317">
      <c r="A317" s="53" t="inlineStr">
        <is>
          <t>항목</t>
        </is>
      </c>
      <c r="B317" s="53" t="inlineStr">
        <is>
          <t>기준일</t>
        </is>
      </c>
      <c r="C317" s="53" t="inlineStr">
        <is>
          <t>다음날</t>
        </is>
      </c>
      <c r="D317" s="53" t="inlineStr">
        <is>
          <t>등락%</t>
        </is>
      </c>
      <c r="G317" s="53" t="inlineStr">
        <is>
          <t>출처</t>
        </is>
      </c>
    </row>
    <row r="318">
      <c r="A318" s="54" t="inlineStr">
        <is>
          <t>2024-10-31</t>
        </is>
      </c>
      <c r="B318" s="58" t="inlineStr">
        <is>
          <t>2024-10-31</t>
        </is>
      </c>
      <c r="C318" s="58" t="inlineStr">
        <is>
          <t>2024-11-01</t>
        </is>
      </c>
      <c r="D318" s="57" t="n">
        <v>-0.1</v>
      </c>
      <c r="G318" s="56" t="inlineStr">
        <is>
          <t>2단계 보고서 자료(회사 설명회 자료·공시)</t>
        </is>
      </c>
    </row>
    <row r="319">
      <c r="A319" s="54" t="inlineStr">
        <is>
          <t>2025-01-31</t>
        </is>
      </c>
      <c r="B319" s="58" t="inlineStr">
        <is>
          <t>2025-01-31</t>
        </is>
      </c>
      <c r="C319" s="58" t="inlineStr">
        <is>
          <t>2025-02-03</t>
        </is>
      </c>
      <c r="D319" s="57" t="n">
        <v>-0.7</v>
      </c>
    </row>
    <row r="320">
      <c r="A320" s="54" t="inlineStr">
        <is>
          <t>2025-07-31</t>
        </is>
      </c>
      <c r="B320" s="58" t="inlineStr">
        <is>
          <t>2025-07-31</t>
        </is>
      </c>
      <c r="C320" s="58" t="inlineStr">
        <is>
          <t>2025-08-01</t>
        </is>
      </c>
      <c r="D320" s="57" t="n">
        <v>0.3</v>
      </c>
    </row>
    <row r="321">
      <c r="A321" s="54" t="inlineStr">
        <is>
          <t>2025-10-31</t>
        </is>
      </c>
      <c r="B321" s="58" t="inlineStr">
        <is>
          <t>2025-10-31</t>
        </is>
      </c>
      <c r="C321" s="58" t="inlineStr">
        <is>
          <t>2025-11-04</t>
        </is>
      </c>
      <c r="D321" s="57" t="n">
        <v>-1.6</v>
      </c>
    </row>
    <row r="322">
      <c r="A322" s="54" t="inlineStr">
        <is>
          <t>2026-01-30</t>
        </is>
      </c>
      <c r="B322" s="58" t="inlineStr">
        <is>
          <t>2026-01-30</t>
        </is>
      </c>
      <c r="C322" s="58" t="inlineStr">
        <is>
          <t>2026-02-02</t>
        </is>
      </c>
      <c r="D322" s="57" t="n">
        <v>-1.9</v>
      </c>
    </row>
    <row r="323">
      <c r="A323" s="54" t="inlineStr">
        <is>
          <t>2026-05-11</t>
        </is>
      </c>
      <c r="B323" s="58" t="inlineStr">
        <is>
          <t>2026-05-11</t>
        </is>
      </c>
      <c r="C323" s="58" t="inlineStr">
        <is>
          <t>2026-05-12</t>
        </is>
      </c>
      <c r="D323" s="57" t="n">
        <v>-0.6</v>
      </c>
    </row>
    <row r="324">
      <c r="A324" s="54" t="inlineStr">
        <is>
          <t>2026-07-31</t>
        </is>
      </c>
      <c r="B324" s="58" t="inlineStr">
        <is>
          <t>2026-07-31</t>
        </is>
      </c>
      <c r="C324" s="58" t="inlineStr">
        <is>
          <t>2026-08-03</t>
        </is>
      </c>
      <c r="D324" s="57" t="n">
        <v>-3.2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２분기 결산단신</t>
        </is>
      </c>
      <c r="C4" t="inlineStr">
        <is>
          <t>https://www2.jpx.co.jp/disc/98320/140120261030560974.pdf</t>
        </is>
      </c>
    </row>
    <row r="5">
      <c r="A5" t="inlineStr">
        <is>
          <t>2026-07-31</t>
        </is>
      </c>
      <c r="B5" t="inlineStr">
        <is>
          <t>2027년 3월 결산기 １분기 결산단신</t>
        </is>
      </c>
      <c r="C5" t="inlineStr">
        <is>
          <t>https://www2.jpx.co.jp/disc/98320/140120260731504802.pdf</t>
        </is>
      </c>
    </row>
    <row r="6">
      <c r="A6" t="inlineStr">
        <is>
          <t>2026-05-11</t>
        </is>
      </c>
      <c r="B6" t="inlineStr">
        <is>
          <t>2026년 3월 결산기 연간 결산단신</t>
        </is>
      </c>
      <c r="C6" t="inlineStr">
        <is>
          <t>https://www2.jpx.co.jp/disc/98320/140120260511522278.pdf</t>
        </is>
      </c>
    </row>
    <row r="7">
      <c r="A7" t="inlineStr">
        <is>
          <t>2026-01-30</t>
        </is>
      </c>
      <c r="B7" t="inlineStr">
        <is>
          <t>2026년 3월 결산기 ３분기 결산단신</t>
        </is>
      </c>
      <c r="C7" t="inlineStr">
        <is>
          <t>https://www2.jpx.co.jp/disc/98320/140120260130542952.pdf</t>
        </is>
      </c>
    </row>
    <row r="8">
      <c r="A8" t="inlineStr">
        <is>
          <t>2025-10-31</t>
        </is>
      </c>
      <c r="B8" t="inlineStr">
        <is>
          <t>2026년 3월 결산기 ２분기 결산단신</t>
        </is>
      </c>
      <c r="C8" t="inlineStr">
        <is>
          <t>https://www2.jpx.co.jp/disc/98320/140120251031584424.pdf</t>
        </is>
      </c>
    </row>
    <row r="9">
      <c r="A9" t="inlineStr">
        <is>
          <t>2025-07-31</t>
        </is>
      </c>
      <c r="B9" t="inlineStr">
        <is>
          <t>2026년 3월 결산기 １분기 결산단신</t>
        </is>
      </c>
      <c r="C9" t="inlineStr">
        <is>
          <t>https://www2.jpx.co.jp/disc/98320/140120250731525377.pdf</t>
        </is>
      </c>
    </row>
    <row r="10">
      <c r="A10" t="inlineStr">
        <is>
          <t>2025-01-31</t>
        </is>
      </c>
      <c r="B10" t="inlineStr">
        <is>
          <t>2025년 3월 결산기 ３분기 결산단신</t>
        </is>
      </c>
      <c r="C10" t="inlineStr">
        <is>
          <t>https://www2.jpx.co.jp/disc/98320/140120250131559608.pdf</t>
        </is>
      </c>
    </row>
    <row r="11">
      <c r="A11" t="inlineStr">
        <is>
          <t>2024-10-31</t>
        </is>
      </c>
      <c r="B11" t="inlineStr">
        <is>
          <t>2025년 3월 결산기 ２분기 결산단신</t>
        </is>
      </c>
      <c r="C11" t="inlineStr">
        <is>
          <t>https://www2.jpx.co.jp/disc/98320/140120241031507517.pdf</t>
        </is>
      </c>
    </row>
    <row r="12">
      <c r="A12" t="inlineStr">
        <is>
          <t>2024-07-31</t>
        </is>
      </c>
      <c r="B12" t="inlineStr">
        <is>
          <t>2025년 3월 결산기 １분기 결산단신</t>
        </is>
      </c>
      <c r="C12" t="inlineStr">
        <is>
          <t>https://www2.jpx.co.jp/disc/98320/140120240731558939.pdf</t>
        </is>
      </c>
    </row>
    <row r="13">
      <c r="A13" t="inlineStr">
        <is>
          <t>2024-05-10</t>
        </is>
      </c>
      <c r="B13" t="inlineStr">
        <is>
          <t>2024년 3월 결산기 연간 결산단신</t>
        </is>
      </c>
      <c r="C13" t="inlineStr">
        <is>
          <t>https://www2.jpx.co.jp/disc/98320/140120240510589042.pdf</t>
        </is>
      </c>
    </row>
    <row r="14">
      <c r="A14" t="inlineStr">
        <is>
          <t>2024-01-31</t>
        </is>
      </c>
      <c r="B14" t="inlineStr">
        <is>
          <t>2024년 3월 결산기 ３분기 결산단신</t>
        </is>
      </c>
      <c r="C14" t="inlineStr">
        <is>
          <t>https://www2.jpx.co.jp/disc/98320/140120240131522974.pdf</t>
        </is>
      </c>
    </row>
    <row r="15">
      <c r="A15" t="inlineStr">
        <is>
          <t>2023-10-31</t>
        </is>
      </c>
      <c r="B15" t="inlineStr">
        <is>
          <t>2024년 3월 결산기 ２분기 결산단신</t>
        </is>
      </c>
      <c r="C15" t="inlineStr">
        <is>
          <t>https://www2.jpx.co.jp/disc/98320/140120231031575799.pdf</t>
        </is>
      </c>
    </row>
    <row r="16">
      <c r="A16" t="inlineStr">
        <is>
          <t>2023-07-31</t>
        </is>
      </c>
      <c r="B16" t="inlineStr">
        <is>
          <t>2024년 3월 결산기 １분기 결산단신</t>
        </is>
      </c>
      <c r="C16" t="inlineStr">
        <is>
          <t>https://www2.jpx.co.jp/disc/98320/140120230731530323.pdf</t>
        </is>
      </c>
    </row>
    <row r="17">
      <c r="A17" t="inlineStr">
        <is>
          <t>2023-05-09</t>
        </is>
      </c>
      <c r="B17" t="inlineStr">
        <is>
          <t>2023년 3월 결산기 연간 결산단신</t>
        </is>
      </c>
      <c r="C17" t="inlineStr">
        <is>
          <t>https://www2.jpx.co.jp/disc/98320/140120230509560864.pdf</t>
        </is>
      </c>
    </row>
    <row r="18">
      <c r="A18" t="inlineStr">
        <is>
          <t>2023-01-31</t>
        </is>
      </c>
      <c r="B18" t="inlineStr">
        <is>
          <t>2023년 3월 결산기 ３분기 결산단신</t>
        </is>
      </c>
      <c r="C18" t="inlineStr">
        <is>
          <t>https://www2.jpx.co.jp/disc/98320/140120230131597021.pdf</t>
        </is>
      </c>
    </row>
    <row r="19">
      <c r="A19" t="inlineStr">
        <is>
          <t>2022-10-31</t>
        </is>
      </c>
      <c r="B19" t="inlineStr">
        <is>
          <t>2023년 3월 결산기 ２분기 결산단신</t>
        </is>
      </c>
      <c r="C19" t="inlineStr">
        <is>
          <t>https://www2.jpx.co.jp/disc/98320/140120221031553243.pdf</t>
        </is>
      </c>
    </row>
    <row r="20">
      <c r="A20" t="inlineStr">
        <is>
          <t>2022-05-10</t>
        </is>
      </c>
      <c r="B20" t="inlineStr">
        <is>
          <t>2022년 3월 결산기 연간 결산단신</t>
        </is>
      </c>
      <c r="C20" t="inlineStr">
        <is>
          <t>https://www2.jpx.co.jp/disc/98320/140120220510536929.pdf</t>
        </is>
      </c>
    </row>
    <row r="21">
      <c r="A21" t="inlineStr">
        <is>
          <t>2021-05-10</t>
        </is>
      </c>
      <c r="B21" t="inlineStr">
        <is>
          <t>2021년 3월 결산기 연간 결산단신</t>
        </is>
      </c>
      <c r="C21" t="inlineStr">
        <is>
          <t>https://www2.jpx.co.jp/disc/98320/140120210510409018.pdf</t>
        </is>
      </c>
    </row>
    <row r="22">
      <c r="A22" t="inlineStr">
        <is>
          <t>2020-05-20</t>
        </is>
      </c>
      <c r="B22" t="inlineStr">
        <is>
          <t>2020년 3월 결산기 연간 결산단신</t>
        </is>
      </c>
      <c r="C22" t="inlineStr">
        <is>
          <t>https://www2.jpx.co.jp/disc/98320/140120200520419157.pdf</t>
        </is>
      </c>
    </row>
    <row r="23">
      <c r="A23" t="inlineStr">
        <is>
          <t>2019-05-08</t>
        </is>
      </c>
      <c r="B23" t="inlineStr">
        <is>
          <t>2019년 3월 결산기 연간 결산단신</t>
        </is>
      </c>
      <c r="C23" t="inlineStr">
        <is>
          <t>https://www2.jpx.co.jp/disc/98320/140120190508417009.pdf</t>
        </is>
      </c>
    </row>
    <row r="24">
      <c r="A24" t="inlineStr">
        <is>
          <t>2018-05-02</t>
        </is>
      </c>
      <c r="B24" t="inlineStr">
        <is>
          <t>2018년 3월 결산기 연간 결산단신</t>
        </is>
      </c>
      <c r="C24" t="inlineStr">
        <is>
          <t>https://www2.jpx.co.jp/disc/98320/140120180502426686.pdf</t>
        </is>
      </c>
    </row>
    <row r="25">
      <c r="A25" t="inlineStr">
        <is>
          <t>2017-05-09</t>
        </is>
      </c>
      <c r="B25" t="inlineStr">
        <is>
          <t>연간 결산단신</t>
        </is>
      </c>
      <c r="C25" t="inlineStr">
        <is>
          <t>https://www2.jpx.co.jp/disc/98320/140120170509462470.pdf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0" t="inlineStr">
        <is>
          <t>9832 재무제표 한눈에 보기 — 최근 40개 분기(달력 분기, 3Q26 = 26.7~9) · 단위 억 엔</t>
        </is>
      </c>
    </row>
    <row r="2">
      <c r="A2" s="61" t="inlineStr">
        <is>
          <t>출처: 매출·영업이익 결산단신 XBRL · 재무상태표 등 결산단신 XBRL 36건(2017-10-31~2026-10-30). 부문·지역·수주·수출은 있을 때만(출처는 줄 끝). 총 차입금 = 이자 붙는 부채 전부(단기·장기 차입금, CP, 사채·전환사채, 리스부채)</t>
        </is>
      </c>
    </row>
    <row r="4">
      <c r="A4" s="62" t="inlineStr">
        <is>
          <t>항목</t>
        </is>
      </c>
      <c r="B4" s="63" t="inlineStr">
        <is>
          <t>4Q16</t>
        </is>
      </c>
      <c r="C4" s="63" t="inlineStr">
        <is>
          <t>1Q17</t>
        </is>
      </c>
      <c r="D4" s="63" t="inlineStr">
        <is>
          <t>2Q17</t>
        </is>
      </c>
      <c r="E4" s="63" t="inlineStr">
        <is>
          <t>3Q17</t>
        </is>
      </c>
      <c r="F4" s="63" t="inlineStr">
        <is>
          <t>4Q17</t>
        </is>
      </c>
      <c r="G4" s="63" t="inlineStr">
        <is>
          <t>1Q18</t>
        </is>
      </c>
      <c r="H4" s="63" t="inlineStr">
        <is>
          <t>2Q18</t>
        </is>
      </c>
      <c r="I4" s="63" t="inlineStr">
        <is>
          <t>3Q18</t>
        </is>
      </c>
      <c r="J4" s="63" t="inlineStr">
        <is>
          <t>4Q18</t>
        </is>
      </c>
      <c r="K4" s="63" t="inlineStr">
        <is>
          <t>1Q19</t>
        </is>
      </c>
      <c r="L4" s="63" t="inlineStr">
        <is>
          <t>2Q19</t>
        </is>
      </c>
      <c r="M4" s="63" t="inlineStr">
        <is>
          <t>3Q19</t>
        </is>
      </c>
      <c r="N4" s="63" t="inlineStr">
        <is>
          <t>4Q19</t>
        </is>
      </c>
      <c r="O4" s="63" t="inlineStr">
        <is>
          <t>1Q20</t>
        </is>
      </c>
      <c r="P4" s="63" t="inlineStr">
        <is>
          <t>2Q20</t>
        </is>
      </c>
      <c r="Q4" s="63" t="inlineStr">
        <is>
          <t>3Q20</t>
        </is>
      </c>
      <c r="R4" s="63" t="inlineStr">
        <is>
          <t>4Q20</t>
        </is>
      </c>
      <c r="S4" s="63" t="inlineStr">
        <is>
          <t>1Q21</t>
        </is>
      </c>
      <c r="T4" s="63" t="inlineStr">
        <is>
          <t>2Q21</t>
        </is>
      </c>
      <c r="U4" s="63" t="inlineStr">
        <is>
          <t>3Q21</t>
        </is>
      </c>
      <c r="V4" s="63" t="inlineStr">
        <is>
          <t>4Q21</t>
        </is>
      </c>
      <c r="W4" s="63" t="inlineStr">
        <is>
          <t>1Q22</t>
        </is>
      </c>
      <c r="X4" s="63" t="inlineStr">
        <is>
          <t>2Q22</t>
        </is>
      </c>
      <c r="Y4" s="63" t="inlineStr">
        <is>
          <t>3Q22</t>
        </is>
      </c>
      <c r="Z4" s="63" t="inlineStr">
        <is>
          <t>4Q22</t>
        </is>
      </c>
      <c r="AA4" s="63" t="inlineStr">
        <is>
          <t>1Q23</t>
        </is>
      </c>
      <c r="AB4" s="63" t="inlineStr">
        <is>
          <t>2Q23</t>
        </is>
      </c>
      <c r="AC4" s="63" t="inlineStr">
        <is>
          <t>3Q23</t>
        </is>
      </c>
      <c r="AD4" s="63" t="inlineStr">
        <is>
          <t>4Q23</t>
        </is>
      </c>
      <c r="AE4" s="63" t="inlineStr">
        <is>
          <t>1Q24</t>
        </is>
      </c>
      <c r="AF4" s="63" t="inlineStr">
        <is>
          <t>2Q24</t>
        </is>
      </c>
      <c r="AG4" s="63" t="inlineStr">
        <is>
          <t>3Q24</t>
        </is>
      </c>
      <c r="AH4" s="63" t="inlineStr">
        <is>
          <t>4Q24</t>
        </is>
      </c>
      <c r="AI4" s="63" t="inlineStr">
        <is>
          <t>1Q25</t>
        </is>
      </c>
      <c r="AJ4" s="63" t="inlineStr">
        <is>
          <t>2Q25</t>
        </is>
      </c>
      <c r="AK4" s="63" t="inlineStr">
        <is>
          <t>3Q25</t>
        </is>
      </c>
      <c r="AL4" s="63" t="inlineStr">
        <is>
          <t>4Q25</t>
        </is>
      </c>
      <c r="AM4" s="63" t="inlineStr">
        <is>
          <t>1Q26</t>
        </is>
      </c>
      <c r="AN4" s="63" t="inlineStr">
        <is>
          <t>2Q26</t>
        </is>
      </c>
      <c r="AO4" s="63" t="inlineStr">
        <is>
          <t>3Q26</t>
        </is>
      </c>
      <c r="AP4" s="62" t="inlineStr">
        <is>
          <t>출처</t>
        </is>
      </c>
    </row>
    <row r="5">
      <c r="A5" s="64" t="inlineStr">
        <is>
          <t>매출액</t>
        </is>
      </c>
      <c r="B5" s="65" t="n">
        <v>658.7</v>
      </c>
      <c r="C5" s="65" t="n">
        <v>433.5</v>
      </c>
      <c r="D5" s="65" t="n">
        <v>501.7</v>
      </c>
      <c r="E5" s="65" t="n">
        <v>483</v>
      </c>
      <c r="F5" s="65" t="n">
        <v>666.8</v>
      </c>
      <c r="G5" s="65" t="n">
        <v>471.7</v>
      </c>
      <c r="H5" s="65" t="n">
        <v>490.7</v>
      </c>
      <c r="I5" s="65" t="n">
        <v>484.7</v>
      </c>
      <c r="J5" s="65" t="n">
        <v>683.7</v>
      </c>
      <c r="K5" s="65" t="n">
        <v>479.4</v>
      </c>
      <c r="L5" s="65" t="n">
        <v>505.2</v>
      </c>
      <c r="M5" s="65" t="n">
        <v>605.1</v>
      </c>
      <c r="N5" s="65" t="n">
        <v>656.1</v>
      </c>
      <c r="O5" s="65" t="n">
        <v>447.6</v>
      </c>
      <c r="P5" s="65" t="n">
        <v>450.3</v>
      </c>
      <c r="Q5" s="65" t="n">
        <v>546.9</v>
      </c>
      <c r="R5" s="65" t="n">
        <v>717.2</v>
      </c>
      <c r="S5" s="65" t="n">
        <v>490.1</v>
      </c>
      <c r="T5" s="65" t="n">
        <v>522.8</v>
      </c>
      <c r="U5" s="65" t="n">
        <v>512.7</v>
      </c>
      <c r="V5" s="65" t="n">
        <v>683.9</v>
      </c>
      <c r="W5" s="65" t="n">
        <v>566.5</v>
      </c>
      <c r="X5" s="65" t="n">
        <v>528.5</v>
      </c>
      <c r="Y5" s="65" t="n">
        <v>542.4</v>
      </c>
      <c r="Z5" s="65" t="n">
        <v>710.5</v>
      </c>
      <c r="AA5" s="65" t="n">
        <v>580.9</v>
      </c>
      <c r="AB5" s="65" t="n">
        <v>576.7</v>
      </c>
      <c r="AC5" s="65" t="n">
        <v>542.1</v>
      </c>
      <c r="AD5" s="65" t="n">
        <v>677.6</v>
      </c>
      <c r="AE5" s="65" t="n">
        <v>502.2</v>
      </c>
      <c r="AF5" s="65" t="n">
        <v>540.1</v>
      </c>
      <c r="AG5" s="65" t="n">
        <v>562.9</v>
      </c>
      <c r="AH5" s="65" t="n">
        <v>779.2</v>
      </c>
      <c r="AI5" s="65" t="n">
        <v>613.1</v>
      </c>
      <c r="AJ5" s="65" t="n">
        <v>642.2</v>
      </c>
      <c r="AK5" s="65" t="n">
        <v>646.1</v>
      </c>
      <c r="AL5" s="65" t="n">
        <v>831.2</v>
      </c>
      <c r="AM5" s="65" t="n">
        <v>680.9</v>
      </c>
      <c r="AN5" s="65" t="n">
        <v>688.1</v>
      </c>
      <c r="AO5" s="65" t="n">
        <v>723.8</v>
      </c>
    </row>
    <row r="6">
      <c r="A6" s="64" t="inlineStr">
        <is>
          <t>매출액 YoY</t>
        </is>
      </c>
      <c r="B6" s="66" t="n"/>
      <c r="C6" s="66" t="n"/>
      <c r="D6" s="66" t="n"/>
      <c r="E6" s="66" t="n"/>
      <c r="F6" s="66" t="n">
        <v>1.2</v>
      </c>
      <c r="G6" s="66" t="n">
        <v>8.800000000000001</v>
      </c>
      <c r="H6" s="66" t="n">
        <v>-2.2</v>
      </c>
      <c r="I6" s="66" t="n">
        <v>0.4</v>
      </c>
      <c r="J6" s="66" t="n">
        <v>2.5</v>
      </c>
      <c r="K6" s="66" t="n">
        <v>1.6</v>
      </c>
      <c r="L6" s="66" t="n">
        <v>3</v>
      </c>
      <c r="M6" s="66" t="n">
        <v>24.8</v>
      </c>
      <c r="N6" s="66" t="n">
        <v>-4</v>
      </c>
      <c r="O6" s="66" t="n">
        <v>-6.6</v>
      </c>
      <c r="P6" s="66" t="n">
        <v>-10.9</v>
      </c>
      <c r="Q6" s="66" t="n">
        <v>-9.6</v>
      </c>
      <c r="R6" s="66" t="n">
        <v>9.300000000000001</v>
      </c>
      <c r="S6" s="66" t="n">
        <v>9.5</v>
      </c>
      <c r="T6" s="66" t="n">
        <v>16.1</v>
      </c>
      <c r="U6" s="66" t="n">
        <v>-6.3</v>
      </c>
      <c r="V6" s="66" t="n">
        <v>-4.6</v>
      </c>
      <c r="W6" s="66" t="n">
        <v>15.6</v>
      </c>
      <c r="X6" s="66" t="n">
        <v>1.1</v>
      </c>
      <c r="Y6" s="66" t="n">
        <v>5.8</v>
      </c>
      <c r="Z6" s="66" t="n">
        <v>3.9</v>
      </c>
      <c r="AA6" s="66" t="n">
        <v>2.5</v>
      </c>
      <c r="AB6" s="66" t="n">
        <v>9.1</v>
      </c>
      <c r="AC6" s="66" t="n">
        <v>-0.1</v>
      </c>
      <c r="AD6" s="66" t="n">
        <v>-4.6</v>
      </c>
      <c r="AE6" s="66" t="n">
        <v>-13.5</v>
      </c>
      <c r="AF6" s="66" t="n">
        <v>-6.3</v>
      </c>
      <c r="AG6" s="66" t="n">
        <v>3.8</v>
      </c>
      <c r="AH6" s="66" t="n">
        <v>15</v>
      </c>
      <c r="AI6" s="66" t="n">
        <v>22.1</v>
      </c>
      <c r="AJ6" s="66" t="n">
        <v>18.9</v>
      </c>
      <c r="AK6" s="66" t="n">
        <v>14.8</v>
      </c>
      <c r="AL6" s="66" t="n">
        <v>6.7</v>
      </c>
      <c r="AM6" s="66" t="n">
        <v>11.1</v>
      </c>
      <c r="AN6" s="66" t="n">
        <v>7.1</v>
      </c>
      <c r="AO6" s="66" t="n">
        <v>12</v>
      </c>
    </row>
    <row r="7">
      <c r="A7" s="64" t="inlineStr">
        <is>
          <t>영업이익</t>
        </is>
      </c>
      <c r="B7" s="65" t="n">
        <v>51.7</v>
      </c>
      <c r="C7" s="65" t="n">
        <v>-3.3</v>
      </c>
      <c r="D7" s="65" t="n">
        <v>5.4</v>
      </c>
      <c r="E7" s="65" t="n">
        <v>16.9</v>
      </c>
      <c r="F7" s="65" t="n">
        <v>57.1</v>
      </c>
      <c r="G7" s="65" t="n">
        <v>-1.5</v>
      </c>
      <c r="H7" s="65" t="n">
        <v>2.9</v>
      </c>
      <c r="I7" s="65" t="n">
        <v>12.2</v>
      </c>
      <c r="J7" s="65" t="n">
        <v>56.3</v>
      </c>
      <c r="K7" s="65" t="n">
        <v>3.4</v>
      </c>
      <c r="L7" s="65" t="n">
        <v>12.1</v>
      </c>
      <c r="M7" s="65" t="n">
        <v>32.3</v>
      </c>
      <c r="N7" s="65" t="n">
        <v>44.2</v>
      </c>
      <c r="O7" s="65" t="n">
        <v>-12.9</v>
      </c>
      <c r="P7" s="65" t="n">
        <v>4.6</v>
      </c>
      <c r="Q7" s="65" t="n">
        <v>31.2</v>
      </c>
      <c r="R7" s="65" t="n">
        <v>68.8</v>
      </c>
      <c r="S7" s="65" t="n">
        <v>1.1</v>
      </c>
      <c r="T7" s="65" t="n">
        <v>15.2</v>
      </c>
      <c r="U7" s="65" t="n">
        <v>14</v>
      </c>
      <c r="V7" s="65" t="n">
        <v>58.9</v>
      </c>
      <c r="W7" s="65" t="n">
        <v>27.5</v>
      </c>
      <c r="X7" s="65" t="n">
        <v>15.6</v>
      </c>
      <c r="Y7" s="65" t="n">
        <v>19.4</v>
      </c>
      <c r="Z7" s="65" t="n">
        <v>63.1</v>
      </c>
      <c r="AA7" s="65" t="n">
        <v>19.1</v>
      </c>
      <c r="AB7" s="65" t="n">
        <v>20.3</v>
      </c>
      <c r="AC7" s="65" t="n">
        <v>14.2</v>
      </c>
      <c r="AD7" s="65" t="n">
        <v>55.4</v>
      </c>
      <c r="AE7" s="65" t="n">
        <v>-9.800000000000001</v>
      </c>
      <c r="AF7" s="65" t="n">
        <v>10.6</v>
      </c>
      <c r="AG7" s="65" t="n">
        <v>14.5</v>
      </c>
      <c r="AH7" s="65" t="n">
        <v>74.3</v>
      </c>
      <c r="AI7" s="65" t="n">
        <v>21.8</v>
      </c>
      <c r="AJ7" s="65" t="n">
        <v>26.9</v>
      </c>
      <c r="AK7" s="65" t="n">
        <v>24</v>
      </c>
      <c r="AL7" s="65" t="n">
        <v>73.7</v>
      </c>
      <c r="AM7" s="65" t="n">
        <v>13.5</v>
      </c>
      <c r="AN7" s="65" t="n">
        <v>23.3</v>
      </c>
      <c r="AO7" s="65" t="n">
        <v>27.2</v>
      </c>
    </row>
    <row r="8">
      <c r="A8" s="64" t="inlineStr">
        <is>
          <t>영업이익률</t>
        </is>
      </c>
      <c r="B8" s="66" t="n">
        <v>7.8</v>
      </c>
      <c r="C8" s="66" t="n">
        <v>-0.8</v>
      </c>
      <c r="D8" s="66" t="n">
        <v>1.1</v>
      </c>
      <c r="E8" s="66" t="n">
        <v>3.5</v>
      </c>
      <c r="F8" s="66" t="n">
        <v>8.6</v>
      </c>
      <c r="G8" s="66" t="n">
        <v>-0.3</v>
      </c>
      <c r="H8" s="66" t="n">
        <v>0.6</v>
      </c>
      <c r="I8" s="66" t="n">
        <v>2.5</v>
      </c>
      <c r="J8" s="66" t="n">
        <v>8.199999999999999</v>
      </c>
      <c r="K8" s="66" t="n">
        <v>0.7</v>
      </c>
      <c r="L8" s="66" t="n">
        <v>2.4</v>
      </c>
      <c r="M8" s="66" t="n">
        <v>5.3</v>
      </c>
      <c r="N8" s="66" t="n">
        <v>6.7</v>
      </c>
      <c r="O8" s="66" t="n">
        <v>-2.9</v>
      </c>
      <c r="P8" s="66" t="n">
        <v>1</v>
      </c>
      <c r="Q8" s="66" t="n">
        <v>5.7</v>
      </c>
      <c r="R8" s="66" t="n">
        <v>9.6</v>
      </c>
      <c r="S8" s="66" t="n">
        <v>0.2</v>
      </c>
      <c r="T8" s="66" t="n">
        <v>2.9</v>
      </c>
      <c r="U8" s="66" t="n">
        <v>2.7</v>
      </c>
      <c r="V8" s="66" t="n">
        <v>8.6</v>
      </c>
      <c r="W8" s="66" t="n">
        <v>4.9</v>
      </c>
      <c r="X8" s="66" t="n">
        <v>3</v>
      </c>
      <c r="Y8" s="66" t="n">
        <v>3.6</v>
      </c>
      <c r="Z8" s="66" t="n">
        <v>8.9</v>
      </c>
      <c r="AA8" s="66" t="n">
        <v>3.3</v>
      </c>
      <c r="AB8" s="66" t="n">
        <v>3.5</v>
      </c>
      <c r="AC8" s="66" t="n">
        <v>2.6</v>
      </c>
      <c r="AD8" s="66" t="n">
        <v>8.199999999999999</v>
      </c>
      <c r="AE8" s="66" t="n">
        <v>-2</v>
      </c>
      <c r="AF8" s="66" t="n">
        <v>2</v>
      </c>
      <c r="AG8" s="66" t="n">
        <v>2.6</v>
      </c>
      <c r="AH8" s="66" t="n">
        <v>9.5</v>
      </c>
      <c r="AI8" s="66" t="n">
        <v>3.6</v>
      </c>
      <c r="AJ8" s="66" t="n">
        <v>4.2</v>
      </c>
      <c r="AK8" s="66" t="n">
        <v>3.7</v>
      </c>
      <c r="AL8" s="66" t="n">
        <v>8.9</v>
      </c>
      <c r="AM8" s="66" t="n">
        <v>2</v>
      </c>
      <c r="AN8" s="66" t="n">
        <v>3.4</v>
      </c>
      <c r="AO8" s="66" t="n">
        <v>3.8</v>
      </c>
    </row>
    <row r="9">
      <c r="A9" s="64" t="inlineStr">
        <is>
          <t>영업이익 YoY</t>
        </is>
      </c>
      <c r="B9" s="66" t="n"/>
      <c r="C9" s="66" t="n"/>
      <c r="D9" s="66" t="n"/>
      <c r="E9" s="66" t="n"/>
      <c r="F9" s="66" t="n">
        <v>10.4</v>
      </c>
      <c r="G9" s="66" t="n"/>
      <c r="H9" s="66" t="n">
        <v>-46.3</v>
      </c>
      <c r="I9" s="66" t="n">
        <v>-27.8</v>
      </c>
      <c r="J9" s="66" t="n">
        <v>-1.4</v>
      </c>
      <c r="K9" s="66" t="n"/>
      <c r="L9" s="66" t="n">
        <v>317.2</v>
      </c>
      <c r="M9" s="66" t="n">
        <v>164.8</v>
      </c>
      <c r="N9" s="66" t="n">
        <v>-21.5</v>
      </c>
      <c r="O9" s="66" t="n">
        <v>-479.4</v>
      </c>
      <c r="P9" s="66" t="n">
        <v>-62</v>
      </c>
      <c r="Q9" s="66" t="n">
        <v>-3.4</v>
      </c>
      <c r="R9" s="66" t="n">
        <v>55.7</v>
      </c>
      <c r="S9" s="66" t="n"/>
      <c r="T9" s="66" t="n">
        <v>230.4</v>
      </c>
      <c r="U9" s="66" t="n">
        <v>-55.1</v>
      </c>
      <c r="V9" s="66" t="n">
        <v>-14.4</v>
      </c>
      <c r="W9" s="66" t="n">
        <v>2400</v>
      </c>
      <c r="X9" s="66" t="n">
        <v>2.6</v>
      </c>
      <c r="Y9" s="66" t="n">
        <v>38.6</v>
      </c>
      <c r="Z9" s="66" t="n">
        <v>7.1</v>
      </c>
      <c r="AA9" s="66" t="n">
        <v>-30.5</v>
      </c>
      <c r="AB9" s="66" t="n">
        <v>30.1</v>
      </c>
      <c r="AC9" s="66" t="n">
        <v>-26.8</v>
      </c>
      <c r="AD9" s="66" t="n">
        <v>-12.2</v>
      </c>
      <c r="AE9" s="66" t="n">
        <v>-151.3</v>
      </c>
      <c r="AF9" s="66" t="n">
        <v>-47.8</v>
      </c>
      <c r="AG9" s="66" t="n">
        <v>2.1</v>
      </c>
      <c r="AH9" s="66" t="n">
        <v>34.1</v>
      </c>
      <c r="AI9" s="66" t="n"/>
      <c r="AJ9" s="66" t="n">
        <v>153.8</v>
      </c>
      <c r="AK9" s="66" t="n">
        <v>65.5</v>
      </c>
      <c r="AL9" s="66" t="n">
        <v>-0.8</v>
      </c>
      <c r="AM9" s="66" t="n">
        <v>-38.1</v>
      </c>
      <c r="AN9" s="66" t="n">
        <v>-13.4</v>
      </c>
      <c r="AO9" s="66" t="n">
        <v>13.3</v>
      </c>
    </row>
    <row r="10">
      <c r="A10" s="64" t="inlineStr">
        <is>
          <t>유동자산</t>
        </is>
      </c>
      <c r="B10" s="65" t="n"/>
      <c r="C10" s="65" t="n">
        <v>1021.6</v>
      </c>
      <c r="D10" s="65" t="n"/>
      <c r="E10" s="65" t="n">
        <v>1117.2</v>
      </c>
      <c r="F10" s="65" t="n">
        <v>1312.2</v>
      </c>
      <c r="G10" s="65" t="n">
        <v>1117</v>
      </c>
      <c r="H10" s="65" t="n">
        <v>1094.6</v>
      </c>
      <c r="I10" s="65" t="n">
        <v>1090.3</v>
      </c>
      <c r="J10" s="65" t="n">
        <v>1276.1</v>
      </c>
      <c r="K10" s="65" t="n">
        <v>1078.6</v>
      </c>
      <c r="L10" s="65" t="n">
        <v>1016.4</v>
      </c>
      <c r="M10" s="65" t="n">
        <v>1100.7</v>
      </c>
      <c r="N10" s="65" t="n">
        <v>1227.7</v>
      </c>
      <c r="O10" s="65" t="n">
        <v>982.3</v>
      </c>
      <c r="P10" s="65" t="n">
        <v>1000.8</v>
      </c>
      <c r="Q10" s="65" t="n">
        <v>1046.8</v>
      </c>
      <c r="R10" s="65" t="n">
        <v>1330.7</v>
      </c>
      <c r="S10" s="65" t="n">
        <v>1105.8</v>
      </c>
      <c r="T10" s="65" t="n">
        <v>993.9</v>
      </c>
      <c r="U10" s="65" t="n">
        <v>964.7</v>
      </c>
      <c r="V10" s="65" t="n">
        <v>1330.8</v>
      </c>
      <c r="W10" s="65" t="n">
        <v>1079.2</v>
      </c>
      <c r="X10" s="65" t="n">
        <v>1028</v>
      </c>
      <c r="Y10" s="65" t="n">
        <v>1012.1</v>
      </c>
      <c r="Z10" s="65" t="n">
        <v>1388.5</v>
      </c>
      <c r="AA10" s="65" t="n">
        <v>1113.4</v>
      </c>
      <c r="AB10" s="65" t="n">
        <v>1065</v>
      </c>
      <c r="AC10" s="65" t="n">
        <v>1161.4</v>
      </c>
      <c r="AD10" s="65" t="n">
        <v>1361.3</v>
      </c>
      <c r="AE10" s="65" t="n">
        <v>1121.9</v>
      </c>
      <c r="AF10" s="65" t="n">
        <v>1071.4</v>
      </c>
      <c r="AG10" s="65" t="n">
        <v>1177</v>
      </c>
      <c r="AH10" s="65" t="n">
        <v>1508</v>
      </c>
      <c r="AI10" s="65" t="n">
        <v>1270.3</v>
      </c>
      <c r="AJ10" s="65" t="n">
        <v>1206</v>
      </c>
      <c r="AK10" s="65" t="n">
        <v>1162.5</v>
      </c>
      <c r="AL10" s="65" t="n">
        <v>1553.1</v>
      </c>
      <c r="AM10" s="65" t="n">
        <v>1218.5</v>
      </c>
      <c r="AN10" s="65" t="n">
        <v>1155.9</v>
      </c>
      <c r="AO10" s="65" t="n">
        <v>1241.6</v>
      </c>
    </row>
    <row r="11">
      <c r="A11" s="64" t="inlineStr">
        <is>
          <t>유동부채</t>
        </is>
      </c>
      <c r="B11" s="65" t="n"/>
      <c r="C11" s="65" t="n">
        <v>372.6</v>
      </c>
      <c r="D11" s="65" t="n"/>
      <c r="E11" s="65" t="n">
        <v>475.4</v>
      </c>
      <c r="F11" s="65" t="n">
        <v>650.3</v>
      </c>
      <c r="G11" s="65" t="n">
        <v>464.2</v>
      </c>
      <c r="H11" s="65" t="n">
        <v>444.9</v>
      </c>
      <c r="I11" s="65" t="n">
        <v>444.3</v>
      </c>
      <c r="J11" s="65" t="n">
        <v>629.6</v>
      </c>
      <c r="K11" s="65" t="n">
        <v>444</v>
      </c>
      <c r="L11" s="65" t="n">
        <v>415.9</v>
      </c>
      <c r="M11" s="65" t="n">
        <v>461.9</v>
      </c>
      <c r="N11" s="65" t="n">
        <v>601.4</v>
      </c>
      <c r="O11" s="65" t="n">
        <v>361.3</v>
      </c>
      <c r="P11" s="65" t="n">
        <v>399.7</v>
      </c>
      <c r="Q11" s="65" t="n">
        <v>425.6</v>
      </c>
      <c r="R11" s="65" t="n">
        <v>679.8</v>
      </c>
      <c r="S11" s="65" t="n">
        <v>465.8</v>
      </c>
      <c r="T11" s="65" t="n">
        <v>391.8</v>
      </c>
      <c r="U11" s="65" t="n">
        <v>388.3</v>
      </c>
      <c r="V11" s="65" t="n">
        <v>757.9</v>
      </c>
      <c r="W11" s="65" t="n">
        <v>467.9</v>
      </c>
      <c r="X11" s="65" t="n">
        <v>419.9</v>
      </c>
      <c r="Y11" s="65" t="n">
        <v>400.5</v>
      </c>
      <c r="Z11" s="65" t="n">
        <v>784</v>
      </c>
      <c r="AA11" s="65" t="n">
        <v>489.1</v>
      </c>
      <c r="AB11" s="65" t="n">
        <v>466.9</v>
      </c>
      <c r="AC11" s="65" t="n">
        <v>497.8</v>
      </c>
      <c r="AD11" s="65" t="n">
        <v>696.2</v>
      </c>
      <c r="AE11" s="65" t="n">
        <v>489.8</v>
      </c>
      <c r="AF11" s="65" t="n">
        <v>477.2</v>
      </c>
      <c r="AG11" s="65" t="n">
        <v>501.8</v>
      </c>
      <c r="AH11" s="65" t="n">
        <v>864.9</v>
      </c>
      <c r="AI11" s="65" t="n">
        <v>584.3</v>
      </c>
      <c r="AJ11" s="65" t="n">
        <v>538.1</v>
      </c>
      <c r="AK11" s="65" t="n">
        <v>554.5</v>
      </c>
      <c r="AL11" s="65" t="n">
        <v>877.2</v>
      </c>
      <c r="AM11" s="65" t="n">
        <v>620.5</v>
      </c>
      <c r="AN11" s="65" t="n">
        <v>582.4</v>
      </c>
      <c r="AO11" s="65" t="n">
        <v>691.1</v>
      </c>
    </row>
    <row r="12">
      <c r="A12" s="64" t="inlineStr">
        <is>
          <t>부채총계</t>
        </is>
      </c>
      <c r="B12" s="65" t="n"/>
      <c r="C12" s="65" t="n">
        <v>493.1</v>
      </c>
      <c r="D12" s="65" t="n"/>
      <c r="E12" s="65" t="n">
        <v>594.2</v>
      </c>
      <c r="F12" s="65" t="n">
        <v>780.9</v>
      </c>
      <c r="G12" s="65" t="n">
        <v>600</v>
      </c>
      <c r="H12" s="65" t="n">
        <v>578</v>
      </c>
      <c r="I12" s="65" t="n">
        <v>569.4</v>
      </c>
      <c r="J12" s="65" t="n">
        <v>753.4</v>
      </c>
      <c r="K12" s="65" t="n">
        <v>572</v>
      </c>
      <c r="L12" s="65" t="n">
        <v>579.2</v>
      </c>
      <c r="M12" s="65" t="n">
        <v>627.4</v>
      </c>
      <c r="N12" s="65" t="n">
        <v>756.7</v>
      </c>
      <c r="O12" s="65" t="n">
        <v>528.3</v>
      </c>
      <c r="P12" s="65" t="n">
        <v>576.5</v>
      </c>
      <c r="Q12" s="65" t="n">
        <v>598</v>
      </c>
      <c r="R12" s="65" t="n">
        <v>861.1</v>
      </c>
      <c r="S12" s="65" t="n">
        <v>640.8</v>
      </c>
      <c r="T12" s="65" t="n">
        <v>575.2</v>
      </c>
      <c r="U12" s="65" t="n">
        <v>560.1</v>
      </c>
      <c r="V12" s="65" t="n">
        <v>928.7</v>
      </c>
      <c r="W12" s="65" t="n">
        <v>670.2</v>
      </c>
      <c r="X12" s="65" t="n">
        <v>596</v>
      </c>
      <c r="Y12" s="65" t="n">
        <v>578.8</v>
      </c>
      <c r="Z12" s="65" t="n">
        <v>949.8</v>
      </c>
      <c r="AA12" s="65" t="n">
        <v>673.6</v>
      </c>
      <c r="AB12" s="65" t="n">
        <v>649.4</v>
      </c>
      <c r="AC12" s="65" t="n">
        <v>674.9</v>
      </c>
      <c r="AD12" s="65" t="n">
        <v>866.6</v>
      </c>
      <c r="AE12" s="65" t="n">
        <v>658</v>
      </c>
      <c r="AF12" s="65" t="n">
        <v>644.1</v>
      </c>
      <c r="AG12" s="65" t="n">
        <v>775.1</v>
      </c>
      <c r="AH12" s="65" t="n">
        <v>1140.6</v>
      </c>
      <c r="AI12" s="65" t="n">
        <v>962.1</v>
      </c>
      <c r="AJ12" s="65" t="n">
        <v>914.3</v>
      </c>
      <c r="AK12" s="65" t="n">
        <v>928.6</v>
      </c>
      <c r="AL12" s="65" t="n">
        <v>1322.5</v>
      </c>
      <c r="AM12" s="65" t="n">
        <v>1032.8</v>
      </c>
      <c r="AN12" s="65" t="n">
        <v>1002.4</v>
      </c>
      <c r="AO12" s="65" t="n">
        <v>1115</v>
      </c>
    </row>
    <row r="13">
      <c r="A13" s="64" t="inlineStr">
        <is>
          <t>자기자본</t>
        </is>
      </c>
      <c r="B13" s="66" t="n"/>
      <c r="C13" s="66" t="n">
        <v>1273.9</v>
      </c>
      <c r="D13" s="66" t="n"/>
      <c r="E13" s="66" t="n">
        <v>1271.6</v>
      </c>
      <c r="F13" s="66" t="n">
        <v>1290.6</v>
      </c>
      <c r="G13" s="66" t="n">
        <v>1273.5</v>
      </c>
      <c r="H13" s="66" t="n">
        <v>1252.5</v>
      </c>
      <c r="I13" s="66" t="n">
        <v>1257.7</v>
      </c>
      <c r="J13" s="66" t="n">
        <v>1267.6</v>
      </c>
      <c r="K13" s="66" t="n">
        <v>1241.9</v>
      </c>
      <c r="L13" s="66" t="n">
        <v>1204.6</v>
      </c>
      <c r="M13" s="66" t="n">
        <v>1223.3</v>
      </c>
      <c r="N13" s="66" t="n">
        <v>1240.9</v>
      </c>
      <c r="O13" s="66" t="n">
        <v>1199.7</v>
      </c>
      <c r="P13" s="66" t="n">
        <v>1182.7</v>
      </c>
      <c r="Q13" s="66" t="n">
        <v>1207.1</v>
      </c>
      <c r="R13" s="66" t="n">
        <v>1236.9</v>
      </c>
      <c r="S13" s="66" t="n">
        <v>1238.3</v>
      </c>
      <c r="T13" s="66" t="n">
        <v>1222.8</v>
      </c>
      <c r="U13" s="66" t="n">
        <v>1205.8</v>
      </c>
      <c r="V13" s="66" t="n">
        <v>1221.2</v>
      </c>
      <c r="W13" s="66" t="n">
        <v>1228.9</v>
      </c>
      <c r="X13" s="66" t="n">
        <v>1237.7</v>
      </c>
      <c r="Y13" s="66" t="n">
        <v>1252.5</v>
      </c>
      <c r="Z13" s="66" t="n">
        <v>1268.5</v>
      </c>
      <c r="AA13" s="66" t="n">
        <v>1269.6</v>
      </c>
      <c r="AB13" s="66" t="n">
        <v>1260.7</v>
      </c>
      <c r="AC13" s="66" t="n">
        <v>1297.8</v>
      </c>
      <c r="AD13" s="66" t="n">
        <v>1312.6</v>
      </c>
      <c r="AE13" s="66" t="n">
        <v>1291.5</v>
      </c>
      <c r="AF13" s="66" t="n">
        <v>1270.6</v>
      </c>
      <c r="AG13" s="66" t="n">
        <v>1282.9</v>
      </c>
      <c r="AH13" s="66" t="n">
        <v>1320.1</v>
      </c>
      <c r="AI13" s="66" t="n">
        <v>1319.6</v>
      </c>
      <c r="AJ13" s="66" t="n">
        <v>1318</v>
      </c>
      <c r="AK13" s="66" t="n">
        <v>1337.7</v>
      </c>
      <c r="AL13" s="66" t="n">
        <v>1374.3</v>
      </c>
      <c r="AM13" s="66" t="n">
        <v>1366.2</v>
      </c>
      <c r="AN13" s="66" t="n">
        <v>1360.2</v>
      </c>
      <c r="AO13" s="66" t="n">
        <v>1417.2</v>
      </c>
    </row>
    <row r="14">
      <c r="A14" s="64" t="inlineStr">
        <is>
          <t>유동비율</t>
        </is>
      </c>
      <c r="B14" s="66" t="n"/>
      <c r="C14" s="66" t="n">
        <v>274.2</v>
      </c>
      <c r="D14" s="66" t="n"/>
      <c r="E14" s="66" t="n">
        <v>235</v>
      </c>
      <c r="F14" s="66" t="n">
        <v>201.8</v>
      </c>
      <c r="G14" s="66" t="n">
        <v>240.6</v>
      </c>
      <c r="H14" s="66" t="n">
        <v>246</v>
      </c>
      <c r="I14" s="66" t="n">
        <v>245.4</v>
      </c>
      <c r="J14" s="66" t="n">
        <v>202.7</v>
      </c>
      <c r="K14" s="66" t="n">
        <v>242.9</v>
      </c>
      <c r="L14" s="66" t="n">
        <v>244.4</v>
      </c>
      <c r="M14" s="66" t="n">
        <v>238.3</v>
      </c>
      <c r="N14" s="66" t="n">
        <v>204.1</v>
      </c>
      <c r="O14" s="66" t="n">
        <v>271.9</v>
      </c>
      <c r="P14" s="66" t="n">
        <v>250.4</v>
      </c>
      <c r="Q14" s="66" t="n">
        <v>246</v>
      </c>
      <c r="R14" s="66" t="n">
        <v>195.7</v>
      </c>
      <c r="S14" s="66" t="n">
        <v>237.4</v>
      </c>
      <c r="T14" s="66" t="n">
        <v>253.7</v>
      </c>
      <c r="U14" s="66" t="n">
        <v>248.4</v>
      </c>
      <c r="V14" s="66" t="n">
        <v>175.6</v>
      </c>
      <c r="W14" s="66" t="n">
        <v>230.6</v>
      </c>
      <c r="X14" s="66" t="n">
        <v>244.8</v>
      </c>
      <c r="Y14" s="66" t="n">
        <v>252.7</v>
      </c>
      <c r="Z14" s="66" t="n">
        <v>177.1</v>
      </c>
      <c r="AA14" s="66" t="n">
        <v>227.6</v>
      </c>
      <c r="AB14" s="66" t="n">
        <v>228.1</v>
      </c>
      <c r="AC14" s="66" t="n">
        <v>233.3</v>
      </c>
      <c r="AD14" s="66" t="n">
        <v>195.5</v>
      </c>
      <c r="AE14" s="66" t="n">
        <v>229.1</v>
      </c>
      <c r="AF14" s="66" t="n">
        <v>224.5</v>
      </c>
      <c r="AG14" s="66" t="n">
        <v>234.6</v>
      </c>
      <c r="AH14" s="66" t="n">
        <v>174.4</v>
      </c>
      <c r="AI14" s="66" t="n">
        <v>217.4</v>
      </c>
      <c r="AJ14" s="66" t="n">
        <v>224.1</v>
      </c>
      <c r="AK14" s="66" t="n">
        <v>209.6</v>
      </c>
      <c r="AL14" s="66" t="n">
        <v>177.1</v>
      </c>
      <c r="AM14" s="66" t="n">
        <v>196.4</v>
      </c>
      <c r="AN14" s="66" t="n">
        <v>198.5</v>
      </c>
      <c r="AO14" s="66" t="n">
        <v>179.7</v>
      </c>
    </row>
    <row r="15">
      <c r="A15" s="64" t="inlineStr">
        <is>
          <t>부채비율</t>
        </is>
      </c>
      <c r="B15" s="66" t="n"/>
      <c r="C15" s="66" t="n">
        <v>38.7</v>
      </c>
      <c r="D15" s="66" t="n"/>
      <c r="E15" s="66" t="n">
        <v>46.7</v>
      </c>
      <c r="F15" s="66" t="n">
        <v>60.5</v>
      </c>
      <c r="G15" s="66" t="n">
        <v>47.1</v>
      </c>
      <c r="H15" s="66" t="n">
        <v>46.1</v>
      </c>
      <c r="I15" s="66" t="n">
        <v>45.3</v>
      </c>
      <c r="J15" s="66" t="n">
        <v>59.4</v>
      </c>
      <c r="K15" s="66" t="n">
        <v>46.1</v>
      </c>
      <c r="L15" s="66" t="n">
        <v>48.1</v>
      </c>
      <c r="M15" s="66" t="n">
        <v>51.3</v>
      </c>
      <c r="N15" s="66" t="n">
        <v>61</v>
      </c>
      <c r="O15" s="66" t="n">
        <v>44</v>
      </c>
      <c r="P15" s="66" t="n">
        <v>48.7</v>
      </c>
      <c r="Q15" s="66" t="n">
        <v>49.5</v>
      </c>
      <c r="R15" s="66" t="n">
        <v>69.59999999999999</v>
      </c>
      <c r="S15" s="66" t="n">
        <v>51.7</v>
      </c>
      <c r="T15" s="66" t="n">
        <v>47</v>
      </c>
      <c r="U15" s="66" t="n">
        <v>46.5</v>
      </c>
      <c r="V15" s="66" t="n">
        <v>76</v>
      </c>
      <c r="W15" s="66" t="n">
        <v>54.5</v>
      </c>
      <c r="X15" s="66" t="n">
        <v>48.2</v>
      </c>
      <c r="Y15" s="66" t="n">
        <v>46.2</v>
      </c>
      <c r="Z15" s="66" t="n">
        <v>74.90000000000001</v>
      </c>
      <c r="AA15" s="66" t="n">
        <v>53.1</v>
      </c>
      <c r="AB15" s="66" t="n">
        <v>51.5</v>
      </c>
      <c r="AC15" s="66" t="n">
        <v>52</v>
      </c>
      <c r="AD15" s="66" t="n">
        <v>66</v>
      </c>
      <c r="AE15" s="66" t="n">
        <v>50.9</v>
      </c>
      <c r="AF15" s="66" t="n">
        <v>50.7</v>
      </c>
      <c r="AG15" s="66" t="n">
        <v>60.4</v>
      </c>
      <c r="AH15" s="66" t="n">
        <v>86.40000000000001</v>
      </c>
      <c r="AI15" s="66" t="n">
        <v>72.90000000000001</v>
      </c>
      <c r="AJ15" s="66" t="n">
        <v>69.40000000000001</v>
      </c>
      <c r="AK15" s="66" t="n">
        <v>69.40000000000001</v>
      </c>
      <c r="AL15" s="66" t="n">
        <v>96.2</v>
      </c>
      <c r="AM15" s="66" t="n">
        <v>75.59999999999999</v>
      </c>
      <c r="AN15" s="66" t="n">
        <v>73.7</v>
      </c>
      <c r="AO15" s="66" t="n">
        <v>78.7</v>
      </c>
    </row>
    <row r="16">
      <c r="A16" s="64" t="inlineStr">
        <is>
          <t>순차입금/자기자본</t>
        </is>
      </c>
      <c r="B16" s="66" t="n"/>
      <c r="C16" s="66" t="n">
        <v>-18.2</v>
      </c>
      <c r="D16" s="66" t="n"/>
      <c r="E16" s="66" t="n">
        <v>-24</v>
      </c>
      <c r="F16" s="66" t="n">
        <v>-21.9</v>
      </c>
      <c r="G16" s="66" t="n">
        <v>-25.3</v>
      </c>
      <c r="H16" s="66" t="n">
        <v>-27.4</v>
      </c>
      <c r="I16" s="66" t="n">
        <v>-26</v>
      </c>
      <c r="J16" s="66" t="n">
        <v>-20.5</v>
      </c>
      <c r="K16" s="66" t="n">
        <v>-20.7</v>
      </c>
      <c r="L16" s="66" t="n">
        <v>-23.5</v>
      </c>
      <c r="M16" s="66" t="n">
        <v>-18.5</v>
      </c>
      <c r="N16" s="66" t="n">
        <v>-19.2</v>
      </c>
      <c r="O16" s="66" t="n">
        <v>-17.4</v>
      </c>
      <c r="P16" s="66" t="n">
        <v>-17.2</v>
      </c>
      <c r="Q16" s="66" t="n">
        <v>-22.1</v>
      </c>
      <c r="R16" s="66" t="n">
        <v>-22.2</v>
      </c>
      <c r="S16" s="66" t="n">
        <v>-21.2</v>
      </c>
      <c r="T16" s="66" t="n">
        <v>-21.3</v>
      </c>
      <c r="U16" s="66" t="n">
        <v>-17.1</v>
      </c>
      <c r="V16" s="66" t="n">
        <v>-16.4</v>
      </c>
      <c r="W16" s="66" t="n">
        <v>-11.4</v>
      </c>
      <c r="X16" s="66" t="n">
        <v>-17.9</v>
      </c>
      <c r="Y16" s="66" t="n">
        <v>-12.7</v>
      </c>
      <c r="Z16" s="66" t="n">
        <v>-13.8</v>
      </c>
      <c r="AA16" s="66" t="n">
        <v>-9.699999999999999</v>
      </c>
      <c r="AB16" s="66" t="n">
        <v>-13.4</v>
      </c>
      <c r="AC16" s="66" t="n">
        <v>-21</v>
      </c>
      <c r="AD16" s="66" t="n">
        <v>-20.3</v>
      </c>
      <c r="AE16" s="66" t="n">
        <v>-17</v>
      </c>
      <c r="AF16" s="66" t="n">
        <v>-18.6</v>
      </c>
      <c r="AG16" s="66" t="n">
        <v>-8.1</v>
      </c>
      <c r="AH16" s="66" t="n">
        <v>-7.6</v>
      </c>
      <c r="AI16" s="66" t="n">
        <v>4.9</v>
      </c>
      <c r="AJ16" s="66" t="n">
        <v>2.6</v>
      </c>
      <c r="AK16" s="66" t="n">
        <v>10.3</v>
      </c>
      <c r="AL16" s="66" t="n">
        <v>7</v>
      </c>
      <c r="AM16" s="66" t="n">
        <v>15.4</v>
      </c>
      <c r="AN16" s="66" t="n">
        <v>16.8</v>
      </c>
      <c r="AO16" s="66" t="n">
        <v>22.2</v>
      </c>
    </row>
    <row r="17">
      <c r="A17" s="64" t="inlineStr">
        <is>
          <t>재고자산</t>
        </is>
      </c>
      <c r="B17" s="65" t="n"/>
      <c r="C17" s="65" t="n">
        <v>153.2</v>
      </c>
      <c r="D17" s="65" t="n"/>
      <c r="E17" s="65" t="n">
        <v>163.1</v>
      </c>
      <c r="F17" s="65" t="n">
        <v>186.7</v>
      </c>
      <c r="G17" s="65" t="n">
        <v>164.2</v>
      </c>
      <c r="H17" s="65" t="n">
        <v>175.5</v>
      </c>
      <c r="I17" s="65" t="n">
        <v>186</v>
      </c>
      <c r="J17" s="65" t="n">
        <v>219.8</v>
      </c>
      <c r="K17" s="65" t="n">
        <v>196.4</v>
      </c>
      <c r="L17" s="65" t="n">
        <v>205.5</v>
      </c>
      <c r="M17" s="65" t="n">
        <v>216.8</v>
      </c>
      <c r="N17" s="65" t="n">
        <v>237.1</v>
      </c>
      <c r="O17" s="65" t="n">
        <v>207.7</v>
      </c>
      <c r="P17" s="65" t="n">
        <v>202.3</v>
      </c>
      <c r="Q17" s="65" t="n">
        <v>201.2</v>
      </c>
      <c r="R17" s="65" t="n">
        <v>206.5</v>
      </c>
      <c r="S17" s="65" t="n">
        <v>183.3</v>
      </c>
      <c r="T17" s="65" t="n">
        <v>203.1</v>
      </c>
      <c r="U17" s="65" t="n">
        <v>213.8</v>
      </c>
      <c r="V17" s="65" t="n">
        <v>217.5</v>
      </c>
      <c r="W17" s="65" t="n">
        <v>215.2</v>
      </c>
      <c r="X17" s="65" t="n">
        <v>231.3</v>
      </c>
      <c r="Y17" s="65" t="n">
        <v>256.4</v>
      </c>
      <c r="Z17" s="65" t="n">
        <v>261.6</v>
      </c>
      <c r="AA17" s="65" t="n">
        <v>239</v>
      </c>
      <c r="AB17" s="65" t="n">
        <v>258</v>
      </c>
      <c r="AC17" s="65" t="n">
        <v>243.1</v>
      </c>
      <c r="AD17" s="65" t="n">
        <v>246.7</v>
      </c>
      <c r="AE17" s="65" t="n">
        <v>226.3</v>
      </c>
      <c r="AF17" s="65" t="n">
        <v>231.8</v>
      </c>
      <c r="AG17" s="65" t="n">
        <v>262.1</v>
      </c>
      <c r="AH17" s="65" t="n">
        <v>282.8</v>
      </c>
      <c r="AI17" s="65" t="n">
        <v>276.5</v>
      </c>
      <c r="AJ17" s="65" t="n">
        <v>288.7</v>
      </c>
      <c r="AK17" s="65" t="n">
        <v>311.3</v>
      </c>
      <c r="AL17" s="65" t="n">
        <v>310.8</v>
      </c>
      <c r="AM17" s="65" t="n">
        <v>299.9</v>
      </c>
      <c r="AN17" s="65" t="n">
        <v>324.4</v>
      </c>
      <c r="AO17" s="65" t="n">
        <v>370.3</v>
      </c>
    </row>
    <row r="18">
      <c r="A18" s="64" t="inlineStr">
        <is>
          <t>재고자산 회전일수</t>
        </is>
      </c>
      <c r="B18" s="65" t="n"/>
      <c r="C18" s="65" t="n">
        <v>49</v>
      </c>
      <c r="D18" s="65" t="n"/>
      <c r="E18" s="65" t="n">
        <v>47</v>
      </c>
      <c r="F18" s="65" t="n">
        <v>37</v>
      </c>
      <c r="G18" s="65" t="n">
        <v>47</v>
      </c>
      <c r="H18" s="65" t="n">
        <v>46</v>
      </c>
      <c r="I18" s="65" t="n">
        <v>52</v>
      </c>
      <c r="J18" s="65" t="n">
        <v>42</v>
      </c>
      <c r="K18" s="65" t="n">
        <v>56</v>
      </c>
      <c r="L18" s="65" t="n">
        <v>55</v>
      </c>
      <c r="M18" s="65" t="n">
        <v>48</v>
      </c>
      <c r="N18" s="65" t="n">
        <v>48</v>
      </c>
      <c r="O18" s="65" t="n">
        <v>63</v>
      </c>
      <c r="P18" s="65" t="n">
        <v>61</v>
      </c>
      <c r="Q18" s="65" t="n">
        <v>50</v>
      </c>
      <c r="R18" s="65" t="n">
        <v>39</v>
      </c>
      <c r="S18" s="65" t="n">
        <v>52</v>
      </c>
      <c r="T18" s="65" t="n">
        <v>53</v>
      </c>
      <c r="U18" s="65" t="n">
        <v>57</v>
      </c>
      <c r="V18" s="65" t="n">
        <v>43</v>
      </c>
      <c r="W18" s="65" t="n">
        <v>53</v>
      </c>
      <c r="X18" s="65" t="n">
        <v>60</v>
      </c>
      <c r="Y18" s="65" t="n">
        <v>65</v>
      </c>
      <c r="Z18" s="65" t="n">
        <v>50</v>
      </c>
      <c r="AA18" s="65" t="n">
        <v>57</v>
      </c>
      <c r="AB18" s="65" t="n">
        <v>61</v>
      </c>
      <c r="AC18" s="65" t="n">
        <v>61</v>
      </c>
      <c r="AD18" s="65" t="n">
        <v>50</v>
      </c>
      <c r="AE18" s="65" t="n">
        <v>59</v>
      </c>
      <c r="AF18" s="65" t="n">
        <v>59</v>
      </c>
      <c r="AG18" s="65" t="n">
        <v>66</v>
      </c>
      <c r="AH18" s="65" t="n">
        <v>51</v>
      </c>
      <c r="AI18" s="65" t="n">
        <v>65</v>
      </c>
      <c r="AJ18" s="65" t="n">
        <v>64</v>
      </c>
      <c r="AK18" s="65" t="n">
        <v>69</v>
      </c>
      <c r="AL18" s="65" t="n">
        <v>53</v>
      </c>
      <c r="AM18" s="65" t="n">
        <v>63</v>
      </c>
      <c r="AN18" s="65" t="n">
        <v>68</v>
      </c>
      <c r="AO18" s="65" t="n">
        <v>73</v>
      </c>
    </row>
    <row r="19">
      <c r="A19" s="64" t="inlineStr">
        <is>
          <t>매출채권 회전일수</t>
        </is>
      </c>
      <c r="B19" s="65" t="n"/>
      <c r="C19" s="65" t="n">
        <v>42</v>
      </c>
      <c r="D19" s="65" t="n"/>
      <c r="E19" s="65" t="n">
        <v>53</v>
      </c>
      <c r="F19" s="65" t="n">
        <v>49</v>
      </c>
      <c r="G19" s="65" t="n">
        <v>46</v>
      </c>
      <c r="H19" s="65" t="n">
        <v>48</v>
      </c>
      <c r="I19" s="65" t="n">
        <v>49</v>
      </c>
      <c r="J19" s="65" t="n">
        <v>47</v>
      </c>
      <c r="K19" s="65" t="n">
        <v>48</v>
      </c>
      <c r="L19" s="65" t="n">
        <v>45</v>
      </c>
      <c r="M19" s="65" t="n">
        <v>43</v>
      </c>
      <c r="N19" s="65" t="n">
        <v>51</v>
      </c>
      <c r="O19" s="65" t="n">
        <v>45</v>
      </c>
      <c r="P19" s="65" t="n">
        <v>57</v>
      </c>
      <c r="Q19" s="65" t="n">
        <v>41</v>
      </c>
      <c r="R19" s="65" t="n">
        <v>49</v>
      </c>
      <c r="S19" s="65" t="n">
        <v>44</v>
      </c>
      <c r="T19" s="65" t="n">
        <v>41</v>
      </c>
      <c r="U19" s="65" t="n">
        <v>43</v>
      </c>
      <c r="V19" s="65" t="n">
        <v>50</v>
      </c>
      <c r="W19" s="65" t="n">
        <v>42</v>
      </c>
      <c r="X19" s="65" t="n">
        <v>42</v>
      </c>
      <c r="Y19" s="65" t="n">
        <v>39</v>
      </c>
      <c r="Z19" s="65" t="n">
        <v>46</v>
      </c>
      <c r="AA19" s="65" t="n">
        <v>41</v>
      </c>
      <c r="AB19" s="65" t="n">
        <v>41</v>
      </c>
      <c r="AC19" s="65" t="n">
        <v>45</v>
      </c>
      <c r="AD19" s="65" t="n">
        <v>43</v>
      </c>
      <c r="AE19" s="65" t="n">
        <v>41</v>
      </c>
      <c r="AF19" s="65" t="n">
        <v>42</v>
      </c>
      <c r="AG19" s="65" t="n">
        <v>46</v>
      </c>
      <c r="AH19" s="65" t="n">
        <v>46</v>
      </c>
      <c r="AI19" s="65" t="n">
        <v>44</v>
      </c>
      <c r="AJ19" s="65" t="n">
        <v>42</v>
      </c>
      <c r="AK19" s="65" t="n">
        <v>44</v>
      </c>
      <c r="AL19" s="65" t="n">
        <v>47</v>
      </c>
      <c r="AM19" s="65" t="n">
        <v>45</v>
      </c>
      <c r="AN19" s="65" t="n">
        <v>45</v>
      </c>
      <c r="AO19" s="65" t="n">
        <v>42</v>
      </c>
    </row>
    <row r="20">
      <c r="A20" s="64" t="inlineStr">
        <is>
          <t>매입채무 회전일수</t>
        </is>
      </c>
      <c r="B20" s="65" t="n"/>
      <c r="C20" s="65" t="n">
        <v>41</v>
      </c>
      <c r="D20" s="65" t="n"/>
      <c r="E20" s="65" t="n">
        <v>75</v>
      </c>
      <c r="F20" s="65" t="n">
        <v>72</v>
      </c>
      <c r="G20" s="65" t="n">
        <v>59</v>
      </c>
      <c r="H20" s="65" t="n">
        <v>59</v>
      </c>
      <c r="I20" s="65" t="n">
        <v>66</v>
      </c>
      <c r="J20" s="65" t="n">
        <v>67</v>
      </c>
      <c r="K20" s="65" t="n">
        <v>60</v>
      </c>
      <c r="L20" s="65" t="n">
        <v>54</v>
      </c>
      <c r="M20" s="65" t="n">
        <v>47</v>
      </c>
      <c r="N20" s="65" t="n">
        <v>65</v>
      </c>
      <c r="O20" s="65" t="n">
        <v>37</v>
      </c>
      <c r="P20" s="65" t="n">
        <v>40</v>
      </c>
      <c r="Q20" s="65" t="n">
        <v>38</v>
      </c>
      <c r="R20" s="65" t="n">
        <v>61</v>
      </c>
      <c r="S20" s="65" t="n">
        <v>40</v>
      </c>
      <c r="T20" s="65" t="n">
        <v>37</v>
      </c>
      <c r="U20" s="65" t="n">
        <v>42</v>
      </c>
      <c r="V20" s="65" t="n">
        <v>68</v>
      </c>
      <c r="W20" s="65" t="n">
        <v>44</v>
      </c>
      <c r="X20" s="65" t="n">
        <v>40</v>
      </c>
      <c r="Y20" s="65" t="n">
        <v>37</v>
      </c>
      <c r="Z20" s="65" t="n">
        <v>67</v>
      </c>
      <c r="AA20" s="65" t="n">
        <v>42</v>
      </c>
      <c r="AB20" s="65" t="n">
        <v>45</v>
      </c>
      <c r="AC20" s="65" t="n">
        <v>63</v>
      </c>
      <c r="AD20" s="65" t="n">
        <v>70</v>
      </c>
      <c r="AE20" s="65" t="n">
        <v>58</v>
      </c>
      <c r="AF20" s="65" t="n">
        <v>58</v>
      </c>
      <c r="AG20" s="65" t="n">
        <v>45</v>
      </c>
      <c r="AH20" s="65" t="n">
        <v>69</v>
      </c>
      <c r="AI20" s="65" t="n">
        <v>38</v>
      </c>
      <c r="AJ20" s="65" t="n">
        <v>33</v>
      </c>
      <c r="AK20" s="65" t="n">
        <v>40</v>
      </c>
      <c r="AL20" s="65" t="n">
        <v>64</v>
      </c>
      <c r="AM20" s="65" t="n">
        <v>36</v>
      </c>
      <c r="AN20" s="65" t="n">
        <v>35</v>
      </c>
      <c r="AO20" s="65" t="n">
        <v>37</v>
      </c>
    </row>
    <row r="21">
      <c r="A21" s="64" t="inlineStr">
        <is>
          <t>현금전환주기(CCC)</t>
        </is>
      </c>
      <c r="B21" s="65" t="n"/>
      <c r="C21" s="65" t="n">
        <v>50</v>
      </c>
      <c r="D21" s="65" t="n"/>
      <c r="E21" s="65" t="n">
        <v>25</v>
      </c>
      <c r="F21" s="65" t="n">
        <v>14</v>
      </c>
      <c r="G21" s="65" t="n">
        <v>34</v>
      </c>
      <c r="H21" s="65" t="n">
        <v>35</v>
      </c>
      <c r="I21" s="65" t="n">
        <v>35</v>
      </c>
      <c r="J21" s="65" t="n">
        <v>22</v>
      </c>
      <c r="K21" s="65" t="n">
        <v>44</v>
      </c>
      <c r="L21" s="65" t="n">
        <v>46</v>
      </c>
      <c r="M21" s="65" t="n">
        <v>44</v>
      </c>
      <c r="N21" s="65" t="n">
        <v>34</v>
      </c>
      <c r="O21" s="65" t="n">
        <v>71</v>
      </c>
      <c r="P21" s="65" t="n">
        <v>78</v>
      </c>
      <c r="Q21" s="65" t="n">
        <v>53</v>
      </c>
      <c r="R21" s="65" t="n">
        <v>27</v>
      </c>
      <c r="S21" s="65" t="n">
        <v>56</v>
      </c>
      <c r="T21" s="65" t="n">
        <v>57</v>
      </c>
      <c r="U21" s="65" t="n">
        <v>58</v>
      </c>
      <c r="V21" s="65" t="n">
        <v>25</v>
      </c>
      <c r="W21" s="65" t="n">
        <v>51</v>
      </c>
      <c r="X21" s="65" t="n">
        <v>62</v>
      </c>
      <c r="Y21" s="65" t="n">
        <v>67</v>
      </c>
      <c r="Z21" s="65" t="n">
        <v>29</v>
      </c>
      <c r="AA21" s="65" t="n">
        <v>56</v>
      </c>
      <c r="AB21" s="65" t="n">
        <v>57</v>
      </c>
      <c r="AC21" s="65" t="n">
        <v>43</v>
      </c>
      <c r="AD21" s="65" t="n">
        <v>23</v>
      </c>
      <c r="AE21" s="65" t="n">
        <v>42</v>
      </c>
      <c r="AF21" s="65" t="n">
        <v>43</v>
      </c>
      <c r="AG21" s="65" t="n">
        <v>67</v>
      </c>
      <c r="AH21" s="65" t="n">
        <v>28</v>
      </c>
      <c r="AI21" s="65" t="n">
        <v>71</v>
      </c>
      <c r="AJ21" s="65" t="n">
        <v>73</v>
      </c>
      <c r="AK21" s="65" t="n">
        <v>73</v>
      </c>
      <c r="AL21" s="65" t="n">
        <v>36</v>
      </c>
      <c r="AM21" s="65" t="n">
        <v>72</v>
      </c>
      <c r="AN21" s="65" t="n">
        <v>78</v>
      </c>
      <c r="AO21" s="65" t="n">
        <v>78</v>
      </c>
    </row>
    <row r="22">
      <c r="A22" s="64" t="inlineStr">
        <is>
          <t>총 차입금</t>
        </is>
      </c>
      <c r="B22" s="65" t="n"/>
      <c r="C22" s="65" t="n">
        <v>82.8</v>
      </c>
      <c r="D22" s="65" t="n"/>
      <c r="E22" s="65" t="n">
        <v>66</v>
      </c>
      <c r="F22" s="65" t="n">
        <v>69.8</v>
      </c>
      <c r="G22" s="65" t="n">
        <v>68.90000000000001</v>
      </c>
      <c r="H22" s="65" t="n">
        <v>64.8</v>
      </c>
      <c r="I22" s="65" t="n">
        <v>46.09999999999999</v>
      </c>
      <c r="J22" s="65" t="n">
        <v>44.59999999999999</v>
      </c>
      <c r="K22" s="65" t="n">
        <v>49.9</v>
      </c>
      <c r="L22" s="65" t="n">
        <v>30.4</v>
      </c>
      <c r="M22" s="65" t="n">
        <v>30.9</v>
      </c>
      <c r="N22" s="65" t="n">
        <v>37.9</v>
      </c>
      <c r="O22" s="65" t="n">
        <v>73</v>
      </c>
      <c r="P22" s="65" t="n">
        <v>84.40000000000001</v>
      </c>
      <c r="Q22" s="65" t="n">
        <v>82</v>
      </c>
      <c r="R22" s="65" t="n">
        <v>84.19999999999999</v>
      </c>
      <c r="S22" s="65" t="n">
        <v>126.7</v>
      </c>
      <c r="T22" s="65" t="n">
        <v>45.9</v>
      </c>
      <c r="U22" s="65" t="n">
        <v>34.8</v>
      </c>
      <c r="V22" s="65" t="n">
        <v>85.59999999999999</v>
      </c>
      <c r="W22" s="65" t="n">
        <v>107.6</v>
      </c>
      <c r="X22" s="65" t="n">
        <v>70.59999999999999</v>
      </c>
      <c r="Y22" s="65" t="n">
        <v>66.8</v>
      </c>
      <c r="Z22" s="65" t="n">
        <v>118.5</v>
      </c>
      <c r="AA22" s="65" t="n">
        <v>122</v>
      </c>
      <c r="AB22" s="65" t="n">
        <v>84.3</v>
      </c>
      <c r="AC22" s="65" t="n">
        <v>77.60000000000001</v>
      </c>
      <c r="AD22" s="65" t="n">
        <v>67.5</v>
      </c>
      <c r="AE22" s="65" t="n">
        <v>93.10000000000001</v>
      </c>
      <c r="AF22" s="65" t="n">
        <v>62.9</v>
      </c>
      <c r="AG22" s="65" t="n">
        <v>229.1</v>
      </c>
      <c r="AH22" s="65" t="n">
        <v>234.2</v>
      </c>
      <c r="AI22" s="65" t="n">
        <v>378.1</v>
      </c>
      <c r="AJ22" s="65" t="n">
        <v>345.6</v>
      </c>
      <c r="AK22" s="65" t="n">
        <v>334.2</v>
      </c>
      <c r="AL22" s="65" t="n">
        <v>403.3</v>
      </c>
      <c r="AM22" s="65" t="n">
        <v>413</v>
      </c>
      <c r="AN22" s="65" t="n">
        <v>396.9</v>
      </c>
      <c r="AO22" s="65" t="n">
        <v>498.7</v>
      </c>
    </row>
    <row r="23">
      <c r="A23" s="64" t="inlineStr">
        <is>
          <t>현금</t>
        </is>
      </c>
      <c r="B23" s="65" t="n"/>
      <c r="C23" s="65" t="n">
        <v>315.2</v>
      </c>
      <c r="D23" s="65" t="n"/>
      <c r="E23" s="65" t="n">
        <v>370.9</v>
      </c>
      <c r="F23" s="65" t="n">
        <v>352.1</v>
      </c>
      <c r="G23" s="65" t="n">
        <v>390.7</v>
      </c>
      <c r="H23" s="65" t="n">
        <v>408.1</v>
      </c>
      <c r="I23" s="65" t="n">
        <v>373.6</v>
      </c>
      <c r="J23" s="65" t="n">
        <v>304.4</v>
      </c>
      <c r="K23" s="65" t="n">
        <v>306.8</v>
      </c>
      <c r="L23" s="65" t="n">
        <v>313.6</v>
      </c>
      <c r="M23" s="65" t="n">
        <v>257.4</v>
      </c>
      <c r="N23" s="65" t="n">
        <v>276.1</v>
      </c>
      <c r="O23" s="65" t="n">
        <v>282.3</v>
      </c>
      <c r="P23" s="65" t="n">
        <v>287.3</v>
      </c>
      <c r="Q23" s="65" t="n">
        <v>349.2</v>
      </c>
      <c r="R23" s="65" t="n">
        <v>358.5</v>
      </c>
      <c r="S23" s="65" t="n">
        <v>389.4</v>
      </c>
      <c r="T23" s="65" t="n">
        <v>306.5</v>
      </c>
      <c r="U23" s="65" t="n">
        <v>241</v>
      </c>
      <c r="V23" s="65" t="n">
        <v>285.3</v>
      </c>
      <c r="W23" s="65" t="n">
        <v>248</v>
      </c>
      <c r="X23" s="65" t="n">
        <v>291.7</v>
      </c>
      <c r="Y23" s="65" t="n">
        <v>225.8</v>
      </c>
      <c r="Z23" s="65" t="n">
        <v>293.4</v>
      </c>
      <c r="AA23" s="65" t="n">
        <v>245.7</v>
      </c>
      <c r="AB23" s="65" t="n">
        <v>253.8</v>
      </c>
      <c r="AC23" s="65" t="n">
        <v>350.4</v>
      </c>
      <c r="AD23" s="65" t="n">
        <v>334.5</v>
      </c>
      <c r="AE23" s="65" t="n">
        <v>313</v>
      </c>
      <c r="AF23" s="65" t="n">
        <v>298.6</v>
      </c>
      <c r="AG23" s="65" t="n">
        <v>332.5</v>
      </c>
      <c r="AH23" s="65" t="n">
        <v>333.9</v>
      </c>
      <c r="AI23" s="65" t="n">
        <v>312.9</v>
      </c>
      <c r="AJ23" s="65" t="n">
        <v>311.2</v>
      </c>
      <c r="AK23" s="65" t="n">
        <v>197</v>
      </c>
      <c r="AL23" s="65" t="n">
        <v>307.3</v>
      </c>
      <c r="AM23" s="65" t="n">
        <v>202.9</v>
      </c>
      <c r="AN23" s="65" t="n">
        <v>167.9</v>
      </c>
      <c r="AO23" s="65" t="n">
        <v>184.6</v>
      </c>
    </row>
    <row r="24">
      <c r="A24" s="64" t="inlineStr">
        <is>
          <t>부문별 매출 · オートバックス事業、報告セグメント[メンバー]</t>
        </is>
      </c>
      <c r="B24" s="65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  <c r="Z24" s="65" t="n"/>
      <c r="AA24" s="65" t="n"/>
      <c r="AB24" s="65" t="n"/>
      <c r="AC24" s="65" t="n"/>
      <c r="AD24" s="65" t="n">
        <v>542.7</v>
      </c>
      <c r="AE24" s="65" t="n"/>
      <c r="AF24" s="65" t="n">
        <v>426.1</v>
      </c>
      <c r="AG24" s="65" t="n">
        <v>443.1</v>
      </c>
      <c r="AH24" s="65" t="n">
        <v>598.8</v>
      </c>
      <c r="AI24" s="65" t="n">
        <v>453.3</v>
      </c>
      <c r="AJ24" s="65" t="n">
        <v>451.9</v>
      </c>
      <c r="AK24" s="65" t="n">
        <v>458</v>
      </c>
      <c r="AL24" s="65" t="n">
        <v>611.2</v>
      </c>
      <c r="AM24" s="65" t="n">
        <v>466.8</v>
      </c>
      <c r="AN24" s="65" t="n">
        <v>468.3</v>
      </c>
      <c r="AO24" s="65" t="n">
        <v>483.8</v>
      </c>
      <c r="AP24" s="61" t="inlineStr">
        <is>
          <t>결산단신 부문 정보(외부 고객 매출)</t>
        </is>
      </c>
    </row>
    <row r="25">
      <c r="A25" s="64" t="inlineStr">
        <is>
          <t>부문별 매출 · コンシューマ事業、報告セグメント [メンバー]</t>
        </is>
      </c>
      <c r="B25" s="65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65" t="n"/>
      <c r="X25" s="65" t="n"/>
      <c r="Y25" s="65" t="n"/>
      <c r="Z25" s="65" t="n"/>
      <c r="AA25" s="65" t="n"/>
      <c r="AB25" s="65" t="n"/>
      <c r="AC25" s="65" t="n"/>
      <c r="AD25" s="65" t="n">
        <v>50.3</v>
      </c>
      <c r="AE25" s="65" t="n"/>
      <c r="AF25" s="65" t="n">
        <v>48.8</v>
      </c>
      <c r="AG25" s="65" t="n">
        <v>52.8</v>
      </c>
      <c r="AH25" s="65" t="n">
        <v>97</v>
      </c>
      <c r="AI25" s="65" t="n">
        <v>91.7</v>
      </c>
      <c r="AJ25" s="65" t="n">
        <v>121.3</v>
      </c>
      <c r="AK25" s="65" t="n">
        <v>122.9</v>
      </c>
      <c r="AL25" s="65" t="n">
        <v>139.7</v>
      </c>
      <c r="AM25" s="65" t="n">
        <v>142.4</v>
      </c>
      <c r="AN25" s="65" t="n">
        <v>144.8</v>
      </c>
      <c r="AO25" s="65" t="n">
        <v>171</v>
      </c>
      <c r="AP25" s="61" t="inlineStr">
        <is>
          <t>결산단신 부문 정보(외부 고객 매출)</t>
        </is>
      </c>
    </row>
    <row r="26">
      <c r="A26" s="64" t="inlineStr">
        <is>
          <t>부문별 매출 · ホールセール事業 、報告セグメント [メンバー]</t>
        </is>
      </c>
      <c r="B26" s="65" t="n"/>
      <c r="C26" s="65" t="n"/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  <c r="W26" s="65" t="n"/>
      <c r="X26" s="65" t="n"/>
      <c r="Y26" s="65" t="n"/>
      <c r="Z26" s="65" t="n"/>
      <c r="AA26" s="65" t="n"/>
      <c r="AB26" s="65" t="n"/>
      <c r="AC26" s="65" t="n"/>
      <c r="AD26" s="65" t="n">
        <v>75</v>
      </c>
      <c r="AE26" s="65" t="n"/>
      <c r="AF26" s="65" t="n">
        <v>55.9</v>
      </c>
      <c r="AG26" s="65" t="n">
        <v>57.3</v>
      </c>
      <c r="AH26" s="65" t="n">
        <v>72.59999999999999</v>
      </c>
      <c r="AI26" s="65" t="n">
        <v>59.1</v>
      </c>
      <c r="AJ26" s="65" t="n">
        <v>56.2</v>
      </c>
      <c r="AK26" s="65" t="n">
        <v>54.1</v>
      </c>
      <c r="AL26" s="65" t="n">
        <v>69</v>
      </c>
      <c r="AM26" s="65" t="n">
        <v>60</v>
      </c>
      <c r="AN26" s="65" t="n">
        <v>59.7</v>
      </c>
      <c r="AO26" s="65" t="n">
        <v>55.6</v>
      </c>
      <c r="AP26" s="61" t="inlineStr">
        <is>
          <t>결산단신 부문 정보(외부 고객 매출)</t>
        </is>
      </c>
    </row>
    <row r="27">
      <c r="A27" s="64" t="inlineStr">
        <is>
          <t>부문별 매출 · 拡張事業 、報告セグメント [メンバー]</t>
        </is>
      </c>
      <c r="B27" s="65" t="n"/>
      <c r="C27" s="65" t="n"/>
      <c r="D27" s="65" t="n"/>
      <c r="E27" s="65" t="n"/>
      <c r="F27" s="65" t="n"/>
      <c r="G27" s="65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  <c r="Q27" s="65" t="n"/>
      <c r="R27" s="65" t="n"/>
      <c r="S27" s="65" t="n"/>
      <c r="T27" s="65" t="n"/>
      <c r="U27" s="65" t="n"/>
      <c r="V27" s="65" t="n"/>
      <c r="W27" s="65" t="n"/>
      <c r="X27" s="65" t="n"/>
      <c r="Y27" s="65" t="n"/>
      <c r="Z27" s="65" t="n"/>
      <c r="AA27" s="65" t="n"/>
      <c r="AB27" s="65" t="n"/>
      <c r="AC27" s="65" t="n"/>
      <c r="AD27" s="65" t="n">
        <v>9.6</v>
      </c>
      <c r="AE27" s="65" t="n"/>
      <c r="AF27" s="65" t="n">
        <v>9.199999999999999</v>
      </c>
      <c r="AG27" s="65" t="n">
        <v>9.699999999999999</v>
      </c>
      <c r="AH27" s="65" t="n">
        <v>10.8</v>
      </c>
      <c r="AI27" s="65" t="n">
        <v>8.9</v>
      </c>
      <c r="AJ27" s="65" t="n">
        <v>12.8</v>
      </c>
      <c r="AK27" s="65" t="n">
        <v>11.2</v>
      </c>
      <c r="AL27" s="65" t="n">
        <v>11.4</v>
      </c>
      <c r="AM27" s="65" t="n">
        <v>11.8</v>
      </c>
      <c r="AN27" s="65" t="n">
        <v>15.3</v>
      </c>
      <c r="AO27" s="65" t="n">
        <v>13.4</v>
      </c>
      <c r="AP27" s="61" t="inlineStr">
        <is>
          <t>결산단신 부문 정보(외부 고객 매출)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2026-10-30T09:42:17Z</dcterms:created>
  <dcterms:modified xmlns:dcterms="http://purl.org/dc/terms/" xmlns:xsi="http://www.w3.org/2001/XMLSchema-instance" xsi:type="dcterms:W3CDTF">2026-10-30T09:43:25Z</dcterms:modified>
</cp:coreProperties>
</file>