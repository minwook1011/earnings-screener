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2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19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필컴퍼니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11월 결산 · 일본 기준 · 2026.3Q = 2026년 11월 결산기 3분기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2023.4Q</t>
        </is>
      </c>
      <c r="D3" s="5" t="inlineStr">
        <is>
          <t>2024.1Q</t>
        </is>
      </c>
      <c r="E3" s="5" t="inlineStr">
        <is>
          <t>2024.2Q</t>
        </is>
      </c>
      <c r="F3" s="5" t="inlineStr">
        <is>
          <t>2024.3Q</t>
        </is>
      </c>
      <c r="G3" s="5" t="inlineStr">
        <is>
          <t>2024.4Q</t>
        </is>
      </c>
      <c r="H3" s="5" t="inlineStr">
        <is>
          <t>2025.1Q</t>
        </is>
      </c>
      <c r="I3" s="5" t="inlineStr">
        <is>
          <t>2025.2Q</t>
        </is>
      </c>
      <c r="J3" s="5" t="inlineStr">
        <is>
          <t>2025.3Q</t>
        </is>
      </c>
      <c r="K3" s="5" t="inlineStr">
        <is>
          <t>2025.4Q</t>
        </is>
      </c>
      <c r="L3" s="5" t="inlineStr">
        <is>
          <t>2026.1Q</t>
        </is>
      </c>
      <c r="M3" s="5" t="inlineStr">
        <is>
          <t>2026.2Q</t>
        </is>
      </c>
      <c r="N3" s="5" t="inlineStr">
        <is>
          <t>2026.3Q</t>
        </is>
      </c>
      <c r="O3" s="6" t="inlineStr">
        <is>
          <t>2016</t>
        </is>
      </c>
      <c r="P3" s="5" t="inlineStr">
        <is>
          <t>2017</t>
        </is>
      </c>
      <c r="Q3" s="5" t="inlineStr">
        <is>
          <t>2018</t>
        </is>
      </c>
      <c r="R3" s="5" t="inlineStr">
        <is>
          <t>2019</t>
        </is>
      </c>
      <c r="S3" s="5" t="inlineStr">
        <is>
          <t>2020</t>
        </is>
      </c>
      <c r="T3" s="5" t="inlineStr">
        <is>
          <t>2021</t>
        </is>
      </c>
      <c r="U3" s="5" t="inlineStr">
        <is>
          <t>2022</t>
        </is>
      </c>
      <c r="V3" s="5" t="inlineStr">
        <is>
          <t>2023</t>
        </is>
      </c>
      <c r="W3" s="5" t="inlineStr">
        <is>
          <t>2024</t>
        </is>
      </c>
      <c r="X3" s="5" t="inlineStr">
        <is>
          <t>2025</t>
        </is>
      </c>
      <c r="Y3" s="7" t="inlineStr">
        <is>
          <t>2026(MW)</t>
        </is>
      </c>
      <c r="Z3" s="8" t="inlineStr">
        <is>
          <t>2027(MW)</t>
        </is>
      </c>
      <c r="AA3" s="8" t="inlineStr">
        <is>
          <t>2028(MW)</t>
        </is>
      </c>
      <c r="AB3" s="8" t="inlineStr">
        <is>
          <t>2029(MW)</t>
        </is>
      </c>
      <c r="AC3" s="8" t="inlineStr">
        <is>
          <t>2030(MW)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2927.053</v>
      </c>
      <c r="D4" s="12" t="n">
        <v>606.083</v>
      </c>
      <c r="E4" s="12" t="n">
        <v>720.626</v>
      </c>
      <c r="F4" s="12" t="n">
        <v>2538.831</v>
      </c>
      <c r="G4" s="12" t="n">
        <v>3319.417</v>
      </c>
      <c r="H4" s="12" t="n">
        <v>1772.464</v>
      </c>
      <c r="I4" s="12" t="n">
        <v>2171.803</v>
      </c>
      <c r="J4" s="12" t="n">
        <v>1684.552</v>
      </c>
      <c r="K4" s="12" t="n">
        <v>2604.686</v>
      </c>
      <c r="L4" s="12" t="n">
        <v>2043.037</v>
      </c>
      <c r="M4" s="12" t="n">
        <v>1209.707</v>
      </c>
      <c r="N4" s="12" t="n">
        <v>2843.707</v>
      </c>
      <c r="O4" s="11" t="n">
        <v>1668.312</v>
      </c>
      <c r="P4" s="12" t="n">
        <v>2950.117</v>
      </c>
      <c r="Q4" s="12" t="n">
        <v>4739.078</v>
      </c>
      <c r="R4" s="12" t="n">
        <v>7024.711</v>
      </c>
      <c r="S4" s="12" t="n">
        <v>3970.76</v>
      </c>
      <c r="T4" s="12" t="n">
        <v>5432.354</v>
      </c>
      <c r="U4" s="12" t="n">
        <v>4378.593</v>
      </c>
      <c r="V4" s="12" t="n">
        <v>5963.519</v>
      </c>
      <c r="W4" s="12" t="n">
        <v>7184.957</v>
      </c>
      <c r="X4" s="12" t="n">
        <v>8233.504999999999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2204.773</v>
      </c>
      <c r="D11" s="22" t="n">
        <v>398.395</v>
      </c>
      <c r="E11" s="22" t="n">
        <v>503.784</v>
      </c>
      <c r="F11" s="22" t="n">
        <v>1834.995</v>
      </c>
      <c r="G11" s="22" t="n">
        <v>2637.378</v>
      </c>
      <c r="H11" s="22" t="n">
        <v>1283.981</v>
      </c>
      <c r="I11" s="22" t="n">
        <v>1716.724</v>
      </c>
      <c r="J11" s="22" t="n">
        <v>1216.941</v>
      </c>
      <c r="K11" s="22" t="n">
        <v>1791.833</v>
      </c>
      <c r="L11" s="22" t="n">
        <v>1591.071</v>
      </c>
      <c r="M11" s="22" t="n">
        <v>924.2910000000001</v>
      </c>
      <c r="N11" s="22" t="n">
        <v>2015.685</v>
      </c>
      <c r="O11" s="21" t="n">
        <v>1215.858</v>
      </c>
      <c r="P11" s="22" t="n">
        <v>2303.501</v>
      </c>
      <c r="Q11" s="22" t="n">
        <v>3521.5</v>
      </c>
      <c r="R11" s="22" t="n">
        <v>5137.812</v>
      </c>
      <c r="S11" s="22" t="n">
        <v>3101.083</v>
      </c>
      <c r="T11" s="22" t="n">
        <v>3726.568</v>
      </c>
      <c r="U11" s="22" t="n">
        <v>3350.502</v>
      </c>
      <c r="V11" s="22" t="n">
        <v>4526.857</v>
      </c>
      <c r="W11" s="22" t="n">
        <v>5374.552</v>
      </c>
      <c r="X11" s="22" t="n">
        <v>6009.479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>
        <v>355.604</v>
      </c>
      <c r="D17" s="22" t="n">
        <v>296.342</v>
      </c>
      <c r="E17" s="22" t="n">
        <v>312.202</v>
      </c>
      <c r="F17" s="22" t="n">
        <v>365.879</v>
      </c>
      <c r="G17" s="22" t="n">
        <v>411.891</v>
      </c>
      <c r="H17" s="22" t="n">
        <v>360.576</v>
      </c>
      <c r="I17" s="22" t="n">
        <v>383.18</v>
      </c>
      <c r="J17" s="22" t="n">
        <v>406.022</v>
      </c>
      <c r="K17" s="22" t="n">
        <v>485.543</v>
      </c>
      <c r="L17" s="22" t="n">
        <v>427.669</v>
      </c>
      <c r="M17" s="22" t="n">
        <v>430.506</v>
      </c>
      <c r="N17" s="22" t="n">
        <v>436.903</v>
      </c>
      <c r="O17" s="21" t="n">
        <v>246.009</v>
      </c>
      <c r="P17" s="22" t="n">
        <v>350.217</v>
      </c>
      <c r="Q17" s="22" t="n">
        <v>580.449</v>
      </c>
      <c r="R17" s="22" t="n">
        <v>790.553</v>
      </c>
      <c r="S17" s="22" t="n">
        <v>739.42</v>
      </c>
      <c r="T17" s="22" t="n">
        <v>980.873</v>
      </c>
      <c r="U17" s="22" t="n">
        <v>858.25</v>
      </c>
      <c r="V17" s="22" t="n">
        <v>1221.847</v>
      </c>
      <c r="W17" s="22" t="n">
        <v>1386.314</v>
      </c>
      <c r="X17" s="22" t="n">
        <v>1635.321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366.675</v>
      </c>
      <c r="D19" s="12" t="n">
        <v>-88.654</v>
      </c>
      <c r="E19" s="12" t="n">
        <v>-95.36</v>
      </c>
      <c r="F19" s="12" t="n">
        <v>337.956</v>
      </c>
      <c r="G19" s="12" t="n">
        <v>270.149</v>
      </c>
      <c r="H19" s="12" t="n">
        <v>127.906</v>
      </c>
      <c r="I19" s="12" t="n">
        <v>71.898</v>
      </c>
      <c r="J19" s="12" t="n">
        <v>61.59</v>
      </c>
      <c r="K19" s="12" t="n">
        <v>327.311</v>
      </c>
      <c r="L19" s="12" t="n">
        <v>24.296</v>
      </c>
      <c r="M19" s="12" t="n">
        <v>-145.088</v>
      </c>
      <c r="N19" s="12" t="n">
        <v>391.116</v>
      </c>
      <c r="O19" s="11" t="n">
        <v>206.443</v>
      </c>
      <c r="P19" s="12" t="n">
        <v>296.398</v>
      </c>
      <c r="Q19" s="12" t="n">
        <v>637.128</v>
      </c>
      <c r="R19" s="12" t="n">
        <v>1096.344</v>
      </c>
      <c r="S19" s="12" t="n">
        <v>130.256</v>
      </c>
      <c r="T19" s="12" t="n">
        <v>724.912</v>
      </c>
      <c r="U19" s="12" t="n">
        <v>169.84</v>
      </c>
      <c r="V19" s="12" t="n">
        <v>214.815</v>
      </c>
      <c r="W19" s="12" t="n">
        <v>424.091</v>
      </c>
      <c r="X19" s="12" t="n">
        <v>588.705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>
        <v>58.048</v>
      </c>
      <c r="P24" s="22" t="n">
        <v>95.965</v>
      </c>
      <c r="Q24" s="22" t="n">
        <v>135.916</v>
      </c>
      <c r="R24" s="22" t="n"/>
      <c r="S24" s="22" t="n"/>
      <c r="T24" s="22" t="n"/>
      <c r="U24" s="22" t="n"/>
      <c r="V24" s="22" t="n"/>
      <c r="W24" s="22" t="n"/>
      <c r="X24" s="22" t="n"/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>
        <v>0</v>
      </c>
      <c r="D35" s="22" t="n"/>
      <c r="E35" s="22" t="n"/>
      <c r="F35" s="22" t="n"/>
      <c r="G35" s="22" t="n"/>
      <c r="H35" s="22" t="n"/>
      <c r="I35" s="22" t="n"/>
      <c r="J35" s="22" t="n">
        <v>0</v>
      </c>
      <c r="K35" s="22" t="n"/>
      <c r="L35" s="22" t="n"/>
      <c r="M35" s="22" t="n"/>
      <c r="N35" s="22" t="n">
        <v>0</v>
      </c>
      <c r="O35" s="21" t="n"/>
      <c r="P35" s="22" t="n"/>
      <c r="Q35" s="22" t="n"/>
      <c r="R35" s="22" t="n">
        <v>0</v>
      </c>
      <c r="S35" s="22" t="n">
        <v>0.15</v>
      </c>
      <c r="T35" s="22" t="n">
        <v>0</v>
      </c>
      <c r="U35" s="22" t="n">
        <v>21.525</v>
      </c>
      <c r="V35" s="22" t="n">
        <v>0</v>
      </c>
      <c r="W35" s="22" t="n"/>
      <c r="X35" s="22" t="n"/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/>
      <c r="D37" s="22" t="n"/>
      <c r="E37" s="22" t="n"/>
      <c r="F37" s="22" t="n"/>
      <c r="G37" s="22" t="n"/>
      <c r="H37" s="22" t="n"/>
      <c r="I37" s="22" t="n"/>
      <c r="J37" s="22" t="n">
        <v>0</v>
      </c>
      <c r="K37" s="22" t="n">
        <v>0</v>
      </c>
      <c r="L37" s="22" t="n"/>
      <c r="M37" s="22" t="n"/>
      <c r="N37" s="22" t="n">
        <v>0</v>
      </c>
      <c r="O37" s="21" t="n"/>
      <c r="P37" s="22" t="n"/>
      <c r="Q37" s="22" t="n">
        <v>0</v>
      </c>
      <c r="R37" s="22" t="n">
        <v>100.991</v>
      </c>
      <c r="S37" s="22" t="n">
        <v>33.328</v>
      </c>
      <c r="T37" s="22" t="n">
        <v>73.93300000000001</v>
      </c>
      <c r="U37" s="22" t="n">
        <v>0</v>
      </c>
      <c r="V37" s="22" t="n">
        <v>0</v>
      </c>
      <c r="W37" s="22" t="n">
        <v>2.516</v>
      </c>
      <c r="X37" s="22" t="n">
        <v>0</v>
      </c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>
        <v>0.198</v>
      </c>
      <c r="D39" s="22" t="n">
        <v>0.396</v>
      </c>
      <c r="E39" s="22" t="n">
        <v>2.478</v>
      </c>
      <c r="F39" s="22" t="n">
        <v>26.597</v>
      </c>
      <c r="G39" s="22" t="n">
        <v>2.974</v>
      </c>
      <c r="H39" s="22" t="n">
        <v>6.177</v>
      </c>
      <c r="I39" s="22" t="n">
        <v>10.584</v>
      </c>
      <c r="J39" s="22" t="n">
        <v>0.82</v>
      </c>
      <c r="K39" s="22" t="n">
        <v>2.874</v>
      </c>
      <c r="L39" s="22" t="n">
        <v>14.838</v>
      </c>
      <c r="M39" s="22" t="n">
        <v>7.619</v>
      </c>
      <c r="N39" s="22" t="n">
        <v>7.664</v>
      </c>
      <c r="O39" s="21" t="n">
        <v>27.905</v>
      </c>
      <c r="P39" s="22" t="n">
        <v>16.2</v>
      </c>
      <c r="Q39" s="22" t="n">
        <v>1.15</v>
      </c>
      <c r="R39" s="22" t="n">
        <v>3.391</v>
      </c>
      <c r="S39" s="22" t="n">
        <v>2.374</v>
      </c>
      <c r="T39" s="22" t="n">
        <v>3.409</v>
      </c>
      <c r="U39" s="22" t="n">
        <v>52.092</v>
      </c>
      <c r="V39" s="22" t="n">
        <v>3.808</v>
      </c>
      <c r="W39" s="22" t="n">
        <v>32.445</v>
      </c>
      <c r="X39" s="22" t="n">
        <v>20.455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>
        <v>6.556</v>
      </c>
      <c r="D41" s="22" t="n">
        <v>8.332000000000001</v>
      </c>
      <c r="E41" s="22" t="n">
        <v>7.596</v>
      </c>
      <c r="F41" s="22" t="n">
        <v>26.818</v>
      </c>
      <c r="G41" s="22" t="n">
        <v>5.015</v>
      </c>
      <c r="H41" s="22" t="n">
        <v>5.6</v>
      </c>
      <c r="I41" s="22" t="n">
        <v>6.037</v>
      </c>
      <c r="J41" s="22" t="n">
        <v>10.945</v>
      </c>
      <c r="K41" s="22" t="n">
        <v>17.091</v>
      </c>
      <c r="L41" s="22" t="n">
        <v>14.838</v>
      </c>
      <c r="M41" s="22" t="n">
        <v>26.607</v>
      </c>
      <c r="N41" s="22" t="n">
        <v>25.347</v>
      </c>
      <c r="O41" s="21" t="n">
        <v>5.917</v>
      </c>
      <c r="P41" s="22" t="n">
        <v>7.854</v>
      </c>
      <c r="Q41" s="22" t="n">
        <v>22.496</v>
      </c>
      <c r="R41" s="22" t="n">
        <v>23.131</v>
      </c>
      <c r="S41" s="22" t="n">
        <v>34.438</v>
      </c>
      <c r="T41" s="22" t="n">
        <v>15.045</v>
      </c>
      <c r="U41" s="22" t="n">
        <v>21.831</v>
      </c>
      <c r="V41" s="22" t="n">
        <v>82.807</v>
      </c>
      <c r="W41" s="22" t="n">
        <v>47.761</v>
      </c>
      <c r="X41" s="22" t="n">
        <v>39.673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360.317</v>
      </c>
      <c r="D43" s="12" t="n">
        <v>-96.589</v>
      </c>
      <c r="E43" s="12" t="n">
        <v>-100.479</v>
      </c>
      <c r="F43" s="12" t="n">
        <v>337.735</v>
      </c>
      <c r="G43" s="12" t="n">
        <v>265.591</v>
      </c>
      <c r="H43" s="12" t="n">
        <v>128.482</v>
      </c>
      <c r="I43" s="12" t="n">
        <v>76.447</v>
      </c>
      <c r="J43" s="12" t="n">
        <v>51.464</v>
      </c>
      <c r="K43" s="12" t="n">
        <v>313.094</v>
      </c>
      <c r="L43" s="12" t="n">
        <v>24.297</v>
      </c>
      <c r="M43" s="12" t="n">
        <v>-3.473</v>
      </c>
      <c r="N43" s="12" t="n">
        <v>373.435</v>
      </c>
      <c r="O43" s="11" t="n">
        <v>228.432</v>
      </c>
      <c r="P43" s="12" t="n">
        <v>304.744</v>
      </c>
      <c r="Q43" s="12" t="n">
        <v>615.782</v>
      </c>
      <c r="R43" s="12" t="n">
        <v>975.6130000000001</v>
      </c>
      <c r="S43" s="12" t="n">
        <v>65.014</v>
      </c>
      <c r="T43" s="12" t="n">
        <v>639.342</v>
      </c>
      <c r="U43" s="12" t="n">
        <v>221.626</v>
      </c>
      <c r="V43" s="12" t="n">
        <v>135.816</v>
      </c>
      <c r="W43" s="12" t="n">
        <v>406.258</v>
      </c>
      <c r="X43" s="12" t="n">
        <v>569.487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>
        <v>137.516</v>
      </c>
      <c r="D45" s="22" t="n">
        <v>-25.18</v>
      </c>
      <c r="E45" s="22" t="n">
        <v>-28.256</v>
      </c>
      <c r="F45" s="22" t="n">
        <v>107.1</v>
      </c>
      <c r="G45" s="22" t="n">
        <v>90.729</v>
      </c>
      <c r="H45" s="22" t="n">
        <v>46.434</v>
      </c>
      <c r="I45" s="22" t="n">
        <v>30.868</v>
      </c>
      <c r="J45" s="22" t="n">
        <v>24.159</v>
      </c>
      <c r="K45" s="22" t="n">
        <v>69.949</v>
      </c>
      <c r="L45" s="22" t="n">
        <v>12.94</v>
      </c>
      <c r="M45" s="22" t="n">
        <v>27.437</v>
      </c>
      <c r="N45" s="22" t="n">
        <v>126.275</v>
      </c>
      <c r="O45" s="21" t="n">
        <v>57.014</v>
      </c>
      <c r="P45" s="22" t="n">
        <v>117.085</v>
      </c>
      <c r="Q45" s="22" t="n">
        <v>200.705</v>
      </c>
      <c r="R45" s="22" t="n">
        <v>374.801</v>
      </c>
      <c r="S45" s="22" t="n">
        <v>45.353</v>
      </c>
      <c r="T45" s="22" t="n">
        <v>232.001</v>
      </c>
      <c r="U45" s="22" t="n">
        <v>79.607</v>
      </c>
      <c r="V45" s="22" t="n">
        <v>97.876</v>
      </c>
      <c r="W45" s="22" t="n">
        <v>144.393</v>
      </c>
      <c r="X45" s="22" t="n">
        <v>171.41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>
        <v>222.801</v>
      </c>
      <c r="D47" s="12" t="n">
        <v>-71.40900000000001</v>
      </c>
      <c r="E47" s="12" t="n">
        <v>-72.223</v>
      </c>
      <c r="F47" s="12" t="n">
        <v>230.635</v>
      </c>
      <c r="G47" s="12" t="n">
        <v>174.862</v>
      </c>
      <c r="H47" s="12" t="n">
        <v>82.047</v>
      </c>
      <c r="I47" s="12" t="n">
        <v>45.579</v>
      </c>
      <c r="J47" s="12" t="n">
        <v>27.306</v>
      </c>
      <c r="K47" s="12" t="n">
        <v>243.145</v>
      </c>
      <c r="L47" s="12" t="n">
        <v>11.356</v>
      </c>
      <c r="M47" s="12" t="n">
        <v>-30.908</v>
      </c>
      <c r="N47" s="12" t="n">
        <v>247.158</v>
      </c>
      <c r="O47" s="11" t="n">
        <v>171.417</v>
      </c>
      <c r="P47" s="12" t="n">
        <v>187.659</v>
      </c>
      <c r="Q47" s="12" t="n">
        <v>415.076</v>
      </c>
      <c r="R47" s="12" t="n">
        <v>600.812</v>
      </c>
      <c r="S47" s="12" t="n">
        <v>19.66</v>
      </c>
      <c r="T47" s="12" t="n">
        <v>407.341</v>
      </c>
      <c r="U47" s="12" t="n">
        <v>142.019</v>
      </c>
      <c r="V47" s="12" t="n">
        <v>37.94</v>
      </c>
      <c r="W47" s="12" t="n">
        <v>261.865</v>
      </c>
      <c r="X47" s="12" t="n">
        <v>398.077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>
        <v>222.803</v>
      </c>
      <c r="D49" s="12" t="n">
        <v>-71.40900000000001</v>
      </c>
      <c r="E49" s="12" t="n">
        <v>-72.223</v>
      </c>
      <c r="F49" s="12" t="n">
        <v>230.635</v>
      </c>
      <c r="G49" s="12" t="n">
        <v>174.862</v>
      </c>
      <c r="H49" s="12" t="n">
        <v>82.047</v>
      </c>
      <c r="I49" s="12" t="n">
        <v>45.579</v>
      </c>
      <c r="J49" s="12" t="n">
        <v>27.306</v>
      </c>
      <c r="K49" s="12" t="n">
        <v>243.145</v>
      </c>
      <c r="L49" s="12" t="n">
        <v>11.356</v>
      </c>
      <c r="M49" s="12" t="n">
        <v>-30.908</v>
      </c>
      <c r="N49" s="12" t="n">
        <v>247.158</v>
      </c>
      <c r="O49" s="11" t="n">
        <v>171.417</v>
      </c>
      <c r="P49" s="12" t="n">
        <v>187.659</v>
      </c>
      <c r="Q49" s="12" t="n">
        <v>415.076</v>
      </c>
      <c r="R49" s="12" t="n">
        <v>600.812</v>
      </c>
      <c r="S49" s="12" t="n">
        <v>19.66</v>
      </c>
      <c r="T49" s="12" t="n">
        <v>407.47</v>
      </c>
      <c r="U49" s="12" t="n">
        <v>142.103</v>
      </c>
      <c r="V49" s="12" t="n">
        <v>38.035</v>
      </c>
      <c r="W49" s="12" t="n">
        <v>261.865</v>
      </c>
      <c r="X49" s="12" t="n">
        <v>398.077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()</t>
        </is>
      </c>
      <c r="B53" s="29" t="n"/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/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2023.4Q</t>
        </is>
      </c>
      <c r="D83" s="5" t="inlineStr">
        <is>
          <t>2024.1Q</t>
        </is>
      </c>
      <c r="E83" s="5" t="inlineStr">
        <is>
          <t>2024.2Q</t>
        </is>
      </c>
      <c r="F83" s="5" t="inlineStr">
        <is>
          <t>2024.3Q</t>
        </is>
      </c>
      <c r="G83" s="5" t="inlineStr">
        <is>
          <t>2024.4Q</t>
        </is>
      </c>
      <c r="H83" s="5" t="inlineStr">
        <is>
          <t>2025.1Q</t>
        </is>
      </c>
      <c r="I83" s="5" t="inlineStr">
        <is>
          <t>2025.2Q</t>
        </is>
      </c>
      <c r="J83" s="5" t="inlineStr">
        <is>
          <t>2025.3Q</t>
        </is>
      </c>
      <c r="K83" s="5" t="inlineStr">
        <is>
          <t>2025.4Q</t>
        </is>
      </c>
      <c r="L83" s="5" t="inlineStr">
        <is>
          <t>2026.1Q</t>
        </is>
      </c>
      <c r="M83" s="5" t="inlineStr">
        <is>
          <t>2026.2Q</t>
        </is>
      </c>
      <c r="N83" s="5" t="inlineStr">
        <is>
          <t>2026.3Q</t>
        </is>
      </c>
      <c r="O83" s="5" t="inlineStr">
        <is>
          <t>2016</t>
        </is>
      </c>
      <c r="P83" s="5" t="inlineStr">
        <is>
          <t>2017</t>
        </is>
      </c>
      <c r="Q83" s="5" t="inlineStr">
        <is>
          <t>2018</t>
        </is>
      </c>
      <c r="R83" s="5" t="inlineStr">
        <is>
          <t>2019</t>
        </is>
      </c>
      <c r="S83" s="5" t="inlineStr">
        <is>
          <t>2020</t>
        </is>
      </c>
      <c r="T83" s="5" t="inlineStr">
        <is>
          <t>2021</t>
        </is>
      </c>
      <c r="U83" s="5" t="inlineStr">
        <is>
          <t>2022</t>
        </is>
      </c>
      <c r="V83" s="5" t="inlineStr">
        <is>
          <t>2023</t>
        </is>
      </c>
      <c r="W83" s="5" t="inlineStr">
        <is>
          <t>2024</t>
        </is>
      </c>
      <c r="X83" s="5" t="inlineStr">
        <is>
          <t>2025</t>
        </is>
      </c>
      <c r="Y83" s="5" t="inlineStr">
        <is>
          <t>2026(MW)</t>
        </is>
      </c>
      <c r="Z83" s="5" t="inlineStr">
        <is>
          <t>2027(MW)</t>
        </is>
      </c>
      <c r="AA83" s="5" t="inlineStr">
        <is>
          <t>2028(MW)</t>
        </is>
      </c>
      <c r="AB83" s="5" t="inlineStr">
        <is>
          <t>2029(MW)</t>
        </is>
      </c>
      <c r="AC83" s="5" t="inlineStr">
        <is>
          <t>2030(MW)</t>
        </is>
      </c>
    </row>
    <row r="84">
      <c r="A84" s="9" t="inlineStr">
        <is>
          <t>매출액</t>
        </is>
      </c>
      <c r="C84" s="12" t="n">
        <v>2927.053</v>
      </c>
      <c r="D84" s="12" t="n">
        <v>606.083</v>
      </c>
      <c r="E84" s="12" t="n">
        <v>720.626</v>
      </c>
      <c r="F84" s="12" t="n">
        <v>2538.831</v>
      </c>
      <c r="G84" s="12" t="n">
        <v>3319.417</v>
      </c>
      <c r="H84" s="12" t="n">
        <v>1772.464</v>
      </c>
      <c r="I84" s="12" t="n">
        <v>2171.803</v>
      </c>
      <c r="J84" s="12" t="n">
        <v>1684.552</v>
      </c>
      <c r="K84" s="12" t="n">
        <v>2604.686</v>
      </c>
      <c r="L84" s="12" t="n">
        <v>2043.037</v>
      </c>
      <c r="M84" s="12" t="n">
        <v>1209.707</v>
      </c>
      <c r="N84" s="12" t="n">
        <v>2843.707</v>
      </c>
      <c r="U84" s="12" t="n">
        <v>1913.902</v>
      </c>
      <c r="V84" s="12" t="n">
        <v>2927.053</v>
      </c>
      <c r="W84" s="12" t="n">
        <v>3319.417</v>
      </c>
      <c r="X84" s="12" t="n">
        <v>2604.686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U85" s="17">
        <f>IF(OR(U84="",T84=""),"",IF(T84&lt;=0,"",IFERROR(U84/T84-1,"")))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C86" s="22" t="n">
        <v>2204.773</v>
      </c>
      <c r="D86" s="22" t="n">
        <v>398.395</v>
      </c>
      <c r="E86" s="22" t="n">
        <v>503.784</v>
      </c>
      <c r="F86" s="22" t="n">
        <v>1834.995</v>
      </c>
      <c r="G86" s="22" t="n">
        <v>2637.378</v>
      </c>
      <c r="H86" s="22" t="n">
        <v>1283.981</v>
      </c>
      <c r="I86" s="22" t="n">
        <v>1716.724</v>
      </c>
      <c r="J86" s="22" t="n">
        <v>1216.941</v>
      </c>
      <c r="K86" s="22" t="n">
        <v>1791.833</v>
      </c>
      <c r="L86" s="22" t="n">
        <v>1591.071</v>
      </c>
      <c r="M86" s="22" t="n">
        <v>924.2910000000001</v>
      </c>
      <c r="N86" s="22" t="n">
        <v>2015.685</v>
      </c>
      <c r="U86" s="22" t="n">
        <v>1446.725</v>
      </c>
      <c r="V86" s="22" t="n">
        <v>2204.773</v>
      </c>
      <c r="W86" s="22" t="n">
        <v>2637.378</v>
      </c>
      <c r="X86" s="22" t="n">
        <v>1791.833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U87" s="17">
        <f>IF(OR(U86="",T86=""),"",IF(U86*T86&lt;=0,"",IFERROR(U86/T86-1,"")))</f>
        <v/>
      </c>
      <c r="V87" s="17">
        <f>IF(OR(V86="",U86=""),"",IF(V86*U86&lt;=0,"",IFERROR(V86/U86-1,"")))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C88" s="12" t="n">
        <v>722.28</v>
      </c>
      <c r="D88" s="12" t="n">
        <v>207.688</v>
      </c>
      <c r="E88" s="12" t="n">
        <v>216.842</v>
      </c>
      <c r="F88" s="12" t="n">
        <v>703.835</v>
      </c>
      <c r="G88" s="12" t="n">
        <v>682.04</v>
      </c>
      <c r="H88" s="12" t="n">
        <v>488.483</v>
      </c>
      <c r="I88" s="12" t="n">
        <v>455.078</v>
      </c>
      <c r="J88" s="12" t="n">
        <v>467.611</v>
      </c>
      <c r="K88" s="12" t="n">
        <v>812.854</v>
      </c>
      <c r="L88" s="12" t="n">
        <v>451.965</v>
      </c>
      <c r="M88" s="12" t="n">
        <v>285.417</v>
      </c>
      <c r="N88" s="12" t="n">
        <v>828.021</v>
      </c>
      <c r="U88" s="12" t="n">
        <v>467.176</v>
      </c>
      <c r="V88" s="12" t="n">
        <v>722.28</v>
      </c>
      <c r="W88" s="12" t="n">
        <v>682.04</v>
      </c>
      <c r="X88" s="12" t="n">
        <v>812.854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U89" s="17">
        <f>IF(OR(U88="",T88=""),"",IF(T88&lt;=0,"",IFERROR(U88/T88-1,"")))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판매비와 관리비</t>
        </is>
      </c>
      <c r="C90" s="22" t="n">
        <v>355.604</v>
      </c>
      <c r="D90" s="22" t="n">
        <v>296.342</v>
      </c>
      <c r="E90" s="22" t="n">
        <v>312.202</v>
      </c>
      <c r="F90" s="22" t="n">
        <v>365.879</v>
      </c>
      <c r="G90" s="22" t="n">
        <v>411.891</v>
      </c>
      <c r="H90" s="22" t="n">
        <v>360.576</v>
      </c>
      <c r="I90" s="22" t="n">
        <v>383.18</v>
      </c>
      <c r="J90" s="22" t="n">
        <v>406.022</v>
      </c>
      <c r="K90" s="22" t="n">
        <v>485.543</v>
      </c>
      <c r="L90" s="22" t="n">
        <v>427.669</v>
      </c>
      <c r="M90" s="22" t="n">
        <v>430.506</v>
      </c>
      <c r="N90" s="22" t="n">
        <v>436.903</v>
      </c>
      <c r="U90" s="22" t="n">
        <v>262.056</v>
      </c>
      <c r="V90" s="22" t="n">
        <v>355.604</v>
      </c>
      <c r="W90" s="22" t="n">
        <v>411.891</v>
      </c>
      <c r="X90" s="22" t="n">
        <v>485.543</v>
      </c>
    </row>
    <row r="91">
      <c r="A91" s="45" t="inlineStr">
        <is>
          <t>YoY</t>
        </is>
      </c>
      <c r="B91" s="3" t="inlineStr">
        <is>
          <t>전년 같은 분기·전년 대비</t>
        </is>
      </c>
      <c r="G91" s="17">
        <f>IF(OR(G90="",C90=""),"",IF(G90*C90&lt;=0,"",IFERROR(G90/C90-1,"")))</f>
        <v/>
      </c>
      <c r="H91" s="17">
        <f>IF(OR(H90="",D90=""),"",IF(H90*D90&lt;=0,"",IFERROR(H90/D90-1,"")))</f>
        <v/>
      </c>
      <c r="I91" s="17">
        <f>IF(OR(I90="",E90=""),"",IF(I90*E90&lt;=0,"",IFERROR(I90/E90-1,"")))</f>
        <v/>
      </c>
      <c r="J91" s="17">
        <f>IF(OR(J90="",F90=""),"",IF(J90*F90&lt;=0,"",IFERROR(J90/F90-1,"")))</f>
        <v/>
      </c>
      <c r="K91" s="17">
        <f>IF(OR(K90="",G90=""),"",IF(K90*G90&lt;=0,"",IFERROR(K90/G90-1,"")))</f>
        <v/>
      </c>
      <c r="L91" s="17">
        <f>IF(OR(L90="",H90=""),"",IF(L90*H90&lt;=0,"",IFERROR(L90/H90-1,"")))</f>
        <v/>
      </c>
      <c r="M91" s="17">
        <f>IF(OR(M90="",I90=""),"",IF(M90*I90&lt;=0,"",IFERROR(M90/I90-1,"")))</f>
        <v/>
      </c>
      <c r="N91" s="17">
        <f>IF(OR(N90="",J90=""),"",IF(N90*J90&lt;=0,"",IFERROR(N90/J90-1,"")))</f>
        <v/>
      </c>
      <c r="U91" s="17">
        <f>IF(OR(U90="",T90=""),"",IF(U90*T90&lt;=0,"",IFERROR(U90/T90-1,"")))</f>
        <v/>
      </c>
      <c r="V91" s="17">
        <f>IF(OR(V90="",U90=""),"",IF(V90*U90&lt;=0,"",IFERROR(V90/U90-1,"")))</f>
        <v/>
      </c>
      <c r="W91" s="17">
        <f>IF(OR(W90="",V90=""),"",IF(W90*V90&lt;=0,"",IFERROR(W90/V90-1,"")))</f>
        <v/>
      </c>
      <c r="X91" s="17">
        <f>IF(OR(X90="",W90=""),"",IF(X90*W90&lt;=0,"",IFERROR(X90/W90-1,"")))</f>
        <v/>
      </c>
    </row>
    <row r="92">
      <c r="A92" s="9" t="inlineStr">
        <is>
          <t>영업이익</t>
        </is>
      </c>
      <c r="C92" s="12" t="n">
        <v>366.675</v>
      </c>
      <c r="D92" s="12" t="n">
        <v>-88.654</v>
      </c>
      <c r="E92" s="12" t="n">
        <v>-95.36</v>
      </c>
      <c r="F92" s="12" t="n">
        <v>337.956</v>
      </c>
      <c r="G92" s="12" t="n">
        <v>270.149</v>
      </c>
      <c r="H92" s="12" t="n">
        <v>127.906</v>
      </c>
      <c r="I92" s="12" t="n">
        <v>71.898</v>
      </c>
      <c r="J92" s="12" t="n">
        <v>61.59</v>
      </c>
      <c r="K92" s="12" t="n">
        <v>327.311</v>
      </c>
      <c r="L92" s="12" t="n">
        <v>24.296</v>
      </c>
      <c r="M92" s="12" t="n">
        <v>-145.088</v>
      </c>
      <c r="N92" s="12" t="n">
        <v>391.116</v>
      </c>
      <c r="U92" s="12" t="n">
        <v>205.12</v>
      </c>
      <c r="V92" s="12" t="n">
        <v>366.675</v>
      </c>
      <c r="W92" s="12" t="n">
        <v>270.149</v>
      </c>
      <c r="X92" s="12" t="n">
        <v>327.311</v>
      </c>
    </row>
    <row r="93">
      <c r="A93" s="45" t="inlineStr">
        <is>
          <t>OPM</t>
        </is>
      </c>
      <c r="B93" s="3" t="inlineStr">
        <is>
          <t>영업이익 ÷ 매출</t>
        </is>
      </c>
      <c r="C93" s="17">
        <f>IF(OR(C92="",C84=""),"",IF(C84&lt;=0,"",IFERROR(C92/C84,"")))</f>
        <v/>
      </c>
      <c r="D93" s="17">
        <f>IF(OR(D92="",D84=""),"",IF(D84&lt;=0,"",IFERROR(D92/D84,"")))</f>
        <v/>
      </c>
      <c r="E93" s="17">
        <f>IF(OR(E92="",E84=""),"",IF(E84&lt;=0,"",IFERROR(E92/E84,"")))</f>
        <v/>
      </c>
      <c r="F93" s="17">
        <f>IF(OR(F92="",F84=""),"",IF(F84&lt;=0,"",IFERROR(F92/F84,"")))</f>
        <v/>
      </c>
      <c r="G93" s="17">
        <f>IF(OR(G92="",G84=""),"",IF(G84&lt;=0,"",IFERROR(G92/G84,"")))</f>
        <v/>
      </c>
      <c r="H93" s="17">
        <f>IF(OR(H92="",H84=""),"",IF(H84&lt;=0,"",IFERROR(H92/H84,"")))</f>
        <v/>
      </c>
      <c r="I93" s="17">
        <f>IF(OR(I92="",I84=""),"",IF(I84&lt;=0,"",IFERROR(I92/I84,"")))</f>
        <v/>
      </c>
      <c r="J93" s="17">
        <f>IF(OR(J92="",J84=""),"",IF(J84&lt;=0,"",IFERROR(J92/J84,"")))</f>
        <v/>
      </c>
      <c r="K93" s="17">
        <f>IF(OR(K92="",K84=""),"",IF(K84&lt;=0,"",IFERROR(K92/K84,"")))</f>
        <v/>
      </c>
      <c r="L93" s="17">
        <f>IF(OR(L92="",L84=""),"",IF(L84&lt;=0,"",IFERROR(L92/L84,"")))</f>
        <v/>
      </c>
      <c r="M93" s="17">
        <f>IF(OR(M92="",M84=""),"",IF(M84&lt;=0,"",IFERROR(M92/M84,"")))</f>
        <v/>
      </c>
      <c r="N93" s="17">
        <f>IF(OR(N92="",N84=""),"",IF(N84&lt;=0,"",IFERROR(N92/N84,"")))</f>
        <v/>
      </c>
      <c r="U93" s="17">
        <f>IF(OR(U92="",U84=""),"",IF(U84&lt;=0,"",IFERROR(U92/U84,"")))</f>
        <v/>
      </c>
      <c r="V93" s="17">
        <f>IF(OR(V92="",V84=""),"",IF(V84&lt;=0,"",IFERROR(V92/V84,"")))</f>
        <v/>
      </c>
      <c r="W93" s="17">
        <f>IF(OR(W92="",W84=""),"",IF(W84&lt;=0,"",IFERROR(W92/W84,"")))</f>
        <v/>
      </c>
      <c r="X93" s="17">
        <f>IF(OR(X92="",X84=""),"",IF(X84&lt;=0,"",IFERROR(X92/X84,"")))</f>
        <v/>
      </c>
    </row>
    <row r="94">
      <c r="A94" s="45" t="inlineStr">
        <is>
          <t>YoY</t>
        </is>
      </c>
      <c r="B94" s="3" t="inlineStr">
        <is>
          <t>전년 같은 분기·전년 대비</t>
        </is>
      </c>
      <c r="G94" s="17">
        <f>IF(OR(G92="",C92=""),"",IF(C92&lt;=0,"",IFERROR(G92/C92-1,"")))</f>
        <v/>
      </c>
      <c r="H94" s="17">
        <f>IF(OR(H92="",D92=""),"",IF(D92&lt;=0,"",IFERROR(H92/D92-1,"")))</f>
        <v/>
      </c>
      <c r="I94" s="17">
        <f>IF(OR(I92="",E92=""),"",IF(E92&lt;=0,"",IFERROR(I92/E92-1,"")))</f>
        <v/>
      </c>
      <c r="J94" s="17">
        <f>IF(OR(J92="",F92=""),"",IF(F92&lt;=0,"",IFERROR(J92/F92-1,"")))</f>
        <v/>
      </c>
      <c r="K94" s="17">
        <f>IF(OR(K92="",G92=""),"",IF(G92&lt;=0,"",IFERROR(K92/G92-1,"")))</f>
        <v/>
      </c>
      <c r="L94" s="17">
        <f>IF(OR(L92="",H92=""),"",IF(H92&lt;=0,"",IFERROR(L92/H92-1,"")))</f>
        <v/>
      </c>
      <c r="M94" s="17">
        <f>IF(OR(M92="",I92=""),"",IF(I92&lt;=0,"",IFERROR(M92/I92-1,"")))</f>
        <v/>
      </c>
      <c r="N94" s="17">
        <f>IF(OR(N92="",J92=""),"",IF(J92&lt;=0,"",IFERROR(N92/J92-1,"")))</f>
        <v/>
      </c>
      <c r="U94" s="17">
        <f>IF(OR(U92="",T92=""),"",IF(T92&lt;=0,"",IFERROR(U92/T92-1,"")))</f>
        <v/>
      </c>
      <c r="V94" s="17">
        <f>IF(OR(V92="",U92=""),"",IF(U92&lt;=0,"",IFERROR(V92/U92-1,"")))</f>
        <v/>
      </c>
      <c r="W94" s="17">
        <f>IF(OR(W92="",V92=""),"",IF(V92&lt;=0,"",IFERROR(W92/V92-1,"")))</f>
        <v/>
      </c>
      <c r="X94" s="17">
        <f>IF(OR(X92="",W92=""),"",IF(W92&lt;=0,"",IFERROR(X92/W92-1,"")))</f>
        <v/>
      </c>
    </row>
    <row r="95">
      <c r="A95" s="20" t="inlineStr">
        <is>
          <t>이자수익</t>
        </is>
      </c>
      <c r="C95" s="22" t="n">
        <v>0.196</v>
      </c>
      <c r="D95" s="22" t="n">
        <v>0.204</v>
      </c>
      <c r="E95" s="22" t="n">
        <v>0.203</v>
      </c>
      <c r="F95" s="22" t="n">
        <v>0.875</v>
      </c>
      <c r="G95" s="22" t="n">
        <v>0.068</v>
      </c>
      <c r="H95" s="22" t="n">
        <v>1.837</v>
      </c>
      <c r="I95" s="22" t="n">
        <v>0.07000000000000001</v>
      </c>
      <c r="J95" s="22" t="n">
        <v>4.847</v>
      </c>
      <c r="K95" s="22" t="n">
        <v>1.624</v>
      </c>
      <c r="L95" s="22" t="n">
        <v>7.982</v>
      </c>
      <c r="M95" s="22" t="n">
        <v>4.236</v>
      </c>
      <c r="N95" s="22" t="n">
        <v>6.897</v>
      </c>
      <c r="U95" s="22" t="n">
        <v>0.258</v>
      </c>
      <c r="V95" s="22" t="n">
        <v>0.196</v>
      </c>
      <c r="W95" s="22" t="n">
        <v>0.068</v>
      </c>
      <c r="X95" s="22" t="n">
        <v>1.624</v>
      </c>
    </row>
    <row r="96">
      <c r="A96" s="20" t="inlineStr">
        <is>
          <t>보험금 수익</t>
        </is>
      </c>
      <c r="D96" s="22" t="n">
        <v>0.186</v>
      </c>
      <c r="H96" s="22" t="n">
        <v>0</v>
      </c>
    </row>
    <row r="97">
      <c r="A97" s="20" t="inlineStr">
        <is>
          <t>배당금수익</t>
        </is>
      </c>
      <c r="C97" s="22" t="n">
        <v>0</v>
      </c>
      <c r="G97" s="22" t="n">
        <v>0</v>
      </c>
      <c r="K97" s="22" t="n">
        <v>0</v>
      </c>
      <c r="U97" s="22" t="n">
        <v>0</v>
      </c>
      <c r="V97" s="22" t="n">
        <v>0</v>
      </c>
      <c r="W97" s="22" t="n">
        <v>0</v>
      </c>
      <c r="X97" s="22" t="n">
        <v>0</v>
      </c>
    </row>
    <row r="98">
      <c r="A98" s="20" t="inlineStr">
        <is>
          <t>환급 가산금</t>
        </is>
      </c>
      <c r="C98" s="22" t="n">
        <v>0</v>
      </c>
      <c r="F98" s="22" t="n">
        <v>0</v>
      </c>
      <c r="G98" s="22" t="n">
        <v>0</v>
      </c>
      <c r="J98" s="22" t="n">
        <v>0</v>
      </c>
      <c r="K98" s="22" t="n">
        <v>0</v>
      </c>
      <c r="U98" s="22" t="n">
        <v>0</v>
      </c>
      <c r="V98" s="22" t="n">
        <v>0</v>
      </c>
      <c r="W98" s="22" t="n">
        <v>0</v>
      </c>
      <c r="X98" s="22" t="n">
        <v>0</v>
      </c>
    </row>
    <row r="99">
      <c r="A99" s="20" t="inlineStr">
        <is>
          <t>지분법이익</t>
        </is>
      </c>
      <c r="C99" s="22" t="n">
        <v>0</v>
      </c>
      <c r="D99" s="22" t="n">
        <v>0</v>
      </c>
      <c r="E99" s="22" t="n">
        <v>0</v>
      </c>
      <c r="H99" s="22" t="n">
        <v>4.339</v>
      </c>
      <c r="I99" s="22" t="n">
        <v>0.168</v>
      </c>
      <c r="J99" s="22" t="n">
        <v>-4.507</v>
      </c>
      <c r="K99" s="22" t="n">
        <v>0</v>
      </c>
      <c r="L99" s="22" t="n">
        <v>2.875</v>
      </c>
      <c r="M99" s="22" t="n">
        <v>1.49</v>
      </c>
      <c r="N99" s="22" t="n">
        <v>-1.894</v>
      </c>
      <c r="U99" s="22" t="n">
        <v>45.053</v>
      </c>
      <c r="V99" s="22" t="n">
        <v>0</v>
      </c>
      <c r="X99" s="22" t="n">
        <v>0</v>
      </c>
    </row>
    <row r="100">
      <c r="A100" s="20" t="inlineStr">
        <is>
          <t>보조금 수입</t>
        </is>
      </c>
      <c r="C100" s="22" t="n">
        <v>0</v>
      </c>
      <c r="F100" s="22" t="n">
        <v>0</v>
      </c>
      <c r="G100" s="22" t="n">
        <v>0</v>
      </c>
      <c r="J100" s="22" t="n">
        <v>0</v>
      </c>
      <c r="K100" s="22" t="n">
        <v>0</v>
      </c>
      <c r="N100" s="22" t="n">
        <v>0</v>
      </c>
      <c r="U100" s="22" t="n">
        <v>0</v>
      </c>
      <c r="V100" s="22" t="n">
        <v>0</v>
      </c>
      <c r="W100" s="22" t="n">
        <v>0</v>
      </c>
      <c r="X100" s="22" t="n">
        <v>0</v>
      </c>
    </row>
    <row r="101">
      <c r="A101" s="20" t="inlineStr">
        <is>
          <t>고정자산 매각이익</t>
        </is>
      </c>
      <c r="C101" s="22" t="n">
        <v>0</v>
      </c>
      <c r="F101" s="22" t="n">
        <v>0</v>
      </c>
      <c r="G101" s="22" t="n">
        <v>0</v>
      </c>
      <c r="J101" s="22" t="n">
        <v>0</v>
      </c>
      <c r="K101" s="22" t="n">
        <v>0</v>
      </c>
      <c r="V101" s="22" t="n">
        <v>0</v>
      </c>
      <c r="W101" s="22" t="n">
        <v>0</v>
      </c>
      <c r="X101" s="22" t="n">
        <v>0</v>
      </c>
    </row>
    <row r="102">
      <c r="A102" s="20" t="inlineStr">
        <is>
          <t>대손충당금 환입이익</t>
        </is>
      </c>
      <c r="H102" s="22" t="n">
        <v>0</v>
      </c>
      <c r="L102" s="22" t="n">
        <v>1.5</v>
      </c>
    </row>
    <row r="103">
      <c r="A103" s="20" t="inlineStr">
        <is>
          <t>기타</t>
        </is>
      </c>
      <c r="C103" s="22" t="n">
        <v>0.002</v>
      </c>
      <c r="D103" s="22" t="n">
        <v>0.005</v>
      </c>
      <c r="E103" s="22" t="n">
        <v>0.181</v>
      </c>
      <c r="F103" s="22" t="n">
        <v>1.926</v>
      </c>
      <c r="G103" s="22" t="n">
        <v>1.013</v>
      </c>
      <c r="H103" s="22" t="n">
        <v>0</v>
      </c>
      <c r="I103" s="22" t="n">
        <v>0.05</v>
      </c>
      <c r="J103" s="22" t="n">
        <v>0.39</v>
      </c>
      <c r="K103" s="22" t="n">
        <v>0.25</v>
      </c>
      <c r="L103" s="22" t="n">
        <v>2.479</v>
      </c>
      <c r="M103" s="22" t="n">
        <v>0.394</v>
      </c>
      <c r="N103" s="22" t="n">
        <v>1.04</v>
      </c>
      <c r="U103" s="22" t="n">
        <v>0.004</v>
      </c>
      <c r="V103" s="22" t="n">
        <v>0.002</v>
      </c>
      <c r="W103" s="22" t="n">
        <v>1.013</v>
      </c>
      <c r="X103" s="22" t="n">
        <v>0.25</v>
      </c>
    </row>
    <row r="104">
      <c r="A104" s="20" t="inlineStr">
        <is>
          <t>영업외수익 합계</t>
        </is>
      </c>
      <c r="C104" s="22" t="n">
        <v>0.198</v>
      </c>
      <c r="D104" s="22" t="n">
        <v>0.396</v>
      </c>
      <c r="E104" s="22" t="n">
        <v>2.478</v>
      </c>
      <c r="F104" s="22" t="n">
        <v>26.597</v>
      </c>
      <c r="G104" s="22" t="n">
        <v>2.974</v>
      </c>
      <c r="H104" s="22" t="n">
        <v>6.177</v>
      </c>
      <c r="I104" s="22" t="n">
        <v>10.584</v>
      </c>
      <c r="J104" s="22" t="n">
        <v>0.82</v>
      </c>
      <c r="K104" s="22" t="n">
        <v>2.874</v>
      </c>
      <c r="L104" s="22" t="n">
        <v>14.838</v>
      </c>
      <c r="M104" s="22" t="n">
        <v>7.619</v>
      </c>
      <c r="N104" s="22" t="n">
        <v>7.664</v>
      </c>
      <c r="U104" s="22" t="n">
        <v>45.316</v>
      </c>
      <c r="V104" s="22" t="n">
        <v>0.198</v>
      </c>
      <c r="W104" s="22" t="n">
        <v>2.974</v>
      </c>
      <c r="X104" s="22" t="n">
        <v>2.874</v>
      </c>
    </row>
    <row r="105">
      <c r="A105" s="45" t="inlineStr">
        <is>
          <t>YoY</t>
        </is>
      </c>
      <c r="B105" s="3" t="inlineStr">
        <is>
          <t>전년 같은 분기·전년 대비</t>
        </is>
      </c>
      <c r="G105" s="17">
        <f>IF(OR(G104="",C104=""),"",IF(G104*C104&lt;=0,"",IFERROR(G104/C104-1,"")))</f>
        <v/>
      </c>
      <c r="H105" s="17">
        <f>IF(OR(H104="",D104=""),"",IF(H104*D104&lt;=0,"",IFERROR(H104/D104-1,"")))</f>
        <v/>
      </c>
      <c r="I105" s="17">
        <f>IF(OR(I104="",E104=""),"",IF(I104*E104&lt;=0,"",IFERROR(I104/E104-1,"")))</f>
        <v/>
      </c>
      <c r="J105" s="17">
        <f>IF(OR(J104="",F104=""),"",IF(J104*F104&lt;=0,"",IFERROR(J104/F104-1,"")))</f>
        <v/>
      </c>
      <c r="K105" s="17">
        <f>IF(OR(K104="",G104=""),"",IF(K104*G104&lt;=0,"",IFERROR(K104/G104-1,"")))</f>
        <v/>
      </c>
      <c r="L105" s="17">
        <f>IF(OR(L104="",H104=""),"",IF(L104*H104&lt;=0,"",IFERROR(L104/H104-1,"")))</f>
        <v/>
      </c>
      <c r="M105" s="17">
        <f>IF(OR(M104="",I104=""),"",IF(M104*I104&lt;=0,"",IFERROR(M104/I104-1,"")))</f>
        <v/>
      </c>
      <c r="N105" s="17">
        <f>IF(OR(N104="",J104=""),"",IF(N104*J104&lt;=0,"",IFERROR(N104/J104-1,"")))</f>
        <v/>
      </c>
      <c r="U105" s="17">
        <f>IF(OR(U104="",T104=""),"",IF(U104*T104&lt;=0,"",IFERROR(U104/T104-1,"")))</f>
        <v/>
      </c>
      <c r="V105" s="17">
        <f>IF(OR(V104="",U104=""),"",IF(V104*U104&lt;=0,"",IFERROR(V104/U104-1,"")))</f>
        <v/>
      </c>
      <c r="W105" s="17">
        <f>IF(OR(W104="",V104=""),"",IF(W104*V104&lt;=0,"",IFERROR(W104/V104-1,"")))</f>
        <v/>
      </c>
      <c r="X105" s="17">
        <f>IF(OR(X104="",W104=""),"",IF(X104*W104&lt;=0,"",IFERROR(X104/W104-1,"")))</f>
        <v/>
      </c>
    </row>
    <row r="106">
      <c r="A106" s="20" t="inlineStr">
        <is>
          <t>이자비용</t>
        </is>
      </c>
      <c r="C106" s="22" t="n">
        <v>4.798</v>
      </c>
      <c r="D106" s="22" t="n">
        <v>5.878</v>
      </c>
      <c r="E106" s="22" t="n">
        <v>6.621</v>
      </c>
      <c r="F106" s="22" t="n">
        <v>6.617</v>
      </c>
      <c r="G106" s="22" t="n">
        <v>5.821</v>
      </c>
      <c r="H106" s="22" t="n">
        <v>5.507</v>
      </c>
      <c r="I106" s="22" t="n">
        <v>5.943</v>
      </c>
      <c r="J106" s="22" t="n">
        <v>7.048</v>
      </c>
      <c r="K106" s="22" t="n">
        <v>12.549</v>
      </c>
      <c r="L106" s="22" t="n">
        <v>14.124</v>
      </c>
      <c r="M106" s="22" t="n">
        <v>15.377</v>
      </c>
      <c r="N106" s="22" t="n">
        <v>16.812</v>
      </c>
      <c r="U106" s="22" t="n">
        <v>3.146</v>
      </c>
      <c r="V106" s="22" t="n">
        <v>4.798</v>
      </c>
      <c r="W106" s="22" t="n">
        <v>5.821</v>
      </c>
      <c r="X106" s="22" t="n">
        <v>12.549</v>
      </c>
    </row>
    <row r="107">
      <c r="A107" s="20" t="inlineStr">
        <is>
          <t>지급수수료</t>
        </is>
      </c>
      <c r="C107" s="22" t="n">
        <v>0</v>
      </c>
      <c r="D107" s="22" t="n">
        <v>0.864</v>
      </c>
      <c r="E107" s="22" t="n">
        <v>0.821</v>
      </c>
      <c r="F107" s="22" t="n">
        <v>0.031</v>
      </c>
      <c r="G107" s="22" t="n">
        <v>0.125</v>
      </c>
      <c r="H107" s="22" t="n">
        <v>0.093</v>
      </c>
      <c r="I107" s="22" t="n">
        <v>0.094</v>
      </c>
      <c r="J107" s="22" t="n">
        <v>0.093</v>
      </c>
      <c r="K107" s="22" t="n">
        <v>2.634</v>
      </c>
      <c r="L107" s="22" t="n">
        <v>0.713</v>
      </c>
      <c r="M107" s="22" t="n">
        <v>3.514</v>
      </c>
      <c r="N107" s="22" t="n">
        <v>0.093</v>
      </c>
      <c r="U107" s="22" t="n">
        <v>0</v>
      </c>
      <c r="V107" s="22" t="n">
        <v>0</v>
      </c>
      <c r="W107" s="22" t="n">
        <v>0.125</v>
      </c>
      <c r="X107" s="22" t="n">
        <v>2.634</v>
      </c>
    </row>
    <row r="108">
      <c r="A108" s="20" t="inlineStr">
        <is>
          <t>지분법손실</t>
        </is>
      </c>
      <c r="C108" s="22" t="n">
        <v>-0.642</v>
      </c>
      <c r="D108" s="22" t="n">
        <v>1.433</v>
      </c>
      <c r="E108" s="22" t="n">
        <v>0.155</v>
      </c>
      <c r="F108" s="22" t="n">
        <v>0.6889999999999999</v>
      </c>
      <c r="G108" s="22" t="n">
        <v>-2.277</v>
      </c>
      <c r="H108" s="22" t="n">
        <v>0</v>
      </c>
      <c r="I108" s="22" t="n">
        <v>0</v>
      </c>
      <c r="J108" s="22" t="n">
        <v>3.802</v>
      </c>
      <c r="K108" s="22" t="n">
        <v>-0.152</v>
      </c>
      <c r="U108" s="22" t="n">
        <v>0</v>
      </c>
      <c r="V108" s="22" t="n">
        <v>-0.642</v>
      </c>
      <c r="W108" s="22" t="n">
        <v>-2.277</v>
      </c>
      <c r="X108" s="22" t="n">
        <v>-0.152</v>
      </c>
    </row>
    <row r="109">
      <c r="A109" s="20" t="inlineStr">
        <is>
          <t>대손충당금 전입</t>
        </is>
      </c>
      <c r="C109" s="22" t="n">
        <v>2.4</v>
      </c>
      <c r="G109" s="22" t="n">
        <v>0</v>
      </c>
      <c r="K109" s="22" t="n">
        <v>0</v>
      </c>
      <c r="V109" s="22" t="n">
        <v>2.4</v>
      </c>
      <c r="W109" s="22" t="n">
        <v>0</v>
      </c>
      <c r="X109" s="22" t="n">
        <v>0</v>
      </c>
    </row>
    <row r="110">
      <c r="A110" s="20" t="inlineStr">
        <is>
          <t>투자유가증권 평가손실</t>
        </is>
      </c>
      <c r="J110" s="22" t="n">
        <v>0</v>
      </c>
      <c r="N110" s="22" t="n">
        <v>0</v>
      </c>
    </row>
    <row r="111">
      <c r="A111" s="20" t="inlineStr">
        <is>
          <t>기타</t>
        </is>
      </c>
      <c r="C111" s="22" t="n">
        <v>0</v>
      </c>
      <c r="D111" s="22" t="n">
        <v>0.156</v>
      </c>
      <c r="E111" s="22" t="n">
        <v>0</v>
      </c>
      <c r="F111" s="22" t="n">
        <v>2.4</v>
      </c>
      <c r="G111" s="22" t="n">
        <v>1.346</v>
      </c>
      <c r="H111" s="22" t="n">
        <v>0</v>
      </c>
      <c r="I111" s="22" t="n">
        <v>0</v>
      </c>
      <c r="J111" s="22" t="n">
        <v>0</v>
      </c>
      <c r="K111" s="22" t="n">
        <v>2.061</v>
      </c>
      <c r="L111" s="22" t="n">
        <v>0</v>
      </c>
      <c r="M111" s="22" t="n">
        <v>0</v>
      </c>
      <c r="N111" s="22" t="n">
        <v>8.44</v>
      </c>
      <c r="U111" s="22" t="n">
        <v>0</v>
      </c>
      <c r="V111" s="22" t="n">
        <v>0</v>
      </c>
      <c r="W111" s="22" t="n">
        <v>1.346</v>
      </c>
      <c r="X111" s="22" t="n">
        <v>2.061</v>
      </c>
    </row>
    <row r="112">
      <c r="A112" s="20" t="inlineStr">
        <is>
          <t>영업외비용 합계</t>
        </is>
      </c>
      <c r="C112" s="22" t="n">
        <v>6.556</v>
      </c>
      <c r="D112" s="22" t="n">
        <v>8.332000000000001</v>
      </c>
      <c r="E112" s="22" t="n">
        <v>7.596</v>
      </c>
      <c r="F112" s="22" t="n">
        <v>26.818</v>
      </c>
      <c r="G112" s="22" t="n">
        <v>5.015</v>
      </c>
      <c r="H112" s="22" t="n">
        <v>5.6</v>
      </c>
      <c r="I112" s="22" t="n">
        <v>6.037</v>
      </c>
      <c r="J112" s="22" t="n">
        <v>10.945</v>
      </c>
      <c r="K112" s="22" t="n">
        <v>17.091</v>
      </c>
      <c r="L112" s="22" t="n">
        <v>14.838</v>
      </c>
      <c r="M112" s="22" t="n">
        <v>26.607</v>
      </c>
      <c r="N112" s="22" t="n">
        <v>25.347</v>
      </c>
      <c r="U112" s="22" t="n">
        <v>14.455</v>
      </c>
      <c r="V112" s="22" t="n">
        <v>6.556</v>
      </c>
      <c r="W112" s="22" t="n">
        <v>5.015</v>
      </c>
      <c r="X112" s="22" t="n">
        <v>17.091</v>
      </c>
    </row>
    <row r="113">
      <c r="A113" s="45" t="inlineStr">
        <is>
          <t>YoY</t>
        </is>
      </c>
      <c r="B113" s="3" t="inlineStr">
        <is>
          <t>전년 같은 분기·전년 대비</t>
        </is>
      </c>
      <c r="G113" s="17">
        <f>IF(OR(G112="",C112=""),"",IF(G112*C112&lt;=0,"",IFERROR(G112/C112-1,"")))</f>
        <v/>
      </c>
      <c r="H113" s="17">
        <f>IF(OR(H112="",D112=""),"",IF(H112*D112&lt;=0,"",IFERROR(H112/D112-1,"")))</f>
        <v/>
      </c>
      <c r="I113" s="17">
        <f>IF(OR(I112="",E112=""),"",IF(I112*E112&lt;=0,"",IFERROR(I112/E112-1,"")))</f>
        <v/>
      </c>
      <c r="J113" s="17">
        <f>IF(OR(J112="",F112=""),"",IF(J112*F112&lt;=0,"",IFERROR(J112/F112-1,"")))</f>
        <v/>
      </c>
      <c r="K113" s="17">
        <f>IF(OR(K112="",G112=""),"",IF(K112*G112&lt;=0,"",IFERROR(K112/G112-1,"")))</f>
        <v/>
      </c>
      <c r="L113" s="17">
        <f>IF(OR(L112="",H112=""),"",IF(L112*H112&lt;=0,"",IFERROR(L112/H112-1,"")))</f>
        <v/>
      </c>
      <c r="M113" s="17">
        <f>IF(OR(M112="",I112=""),"",IF(M112*I112&lt;=0,"",IFERROR(M112/I112-1,"")))</f>
        <v/>
      </c>
      <c r="N113" s="17">
        <f>IF(OR(N112="",J112=""),"",IF(N112*J112&lt;=0,"",IFERROR(N112/J112-1,"")))</f>
        <v/>
      </c>
      <c r="U113" s="17">
        <f>IF(OR(U112="",T112=""),"",IF(U112*T112&lt;=0,"",IFERROR(U112/T112-1,"")))</f>
        <v/>
      </c>
      <c r="V113" s="17">
        <f>IF(OR(V112="",U112=""),"",IF(V112*U112&lt;=0,"",IFERROR(V112/U112-1,"")))</f>
        <v/>
      </c>
      <c r="W113" s="17">
        <f>IF(OR(W112="",V112=""),"",IF(W112*V112&lt;=0,"",IFERROR(W112/V112-1,"")))</f>
        <v/>
      </c>
      <c r="X113" s="17">
        <f>IF(OR(X112="",W112=""),"",IF(X112*W112&lt;=0,"",IFERROR(X112/W112-1,"")))</f>
        <v/>
      </c>
    </row>
    <row r="114">
      <c r="A114" s="9" t="inlineStr">
        <is>
          <t>경상이익</t>
        </is>
      </c>
      <c r="C114" s="12" t="n">
        <v>360.317</v>
      </c>
      <c r="D114" s="12" t="n">
        <v>-96.589</v>
      </c>
      <c r="E114" s="12" t="n">
        <v>-100.479</v>
      </c>
      <c r="F114" s="12" t="n">
        <v>337.735</v>
      </c>
      <c r="G114" s="12" t="n">
        <v>268.107</v>
      </c>
      <c r="H114" s="12" t="n">
        <v>128.482</v>
      </c>
      <c r="I114" s="12" t="n">
        <v>76.447</v>
      </c>
      <c r="J114" s="12" t="n">
        <v>51.464</v>
      </c>
      <c r="K114" s="12" t="n">
        <v>313.094</v>
      </c>
      <c r="L114" s="12" t="n">
        <v>24.297</v>
      </c>
      <c r="M114" s="12" t="n">
        <v>-164.077</v>
      </c>
      <c r="N114" s="12" t="n">
        <v>373.433</v>
      </c>
      <c r="U114" s="12" t="n">
        <v>235.981</v>
      </c>
      <c r="V114" s="12" t="n">
        <v>360.317</v>
      </c>
      <c r="W114" s="12" t="n">
        <v>268.107</v>
      </c>
      <c r="X114" s="12" t="n">
        <v>313.094</v>
      </c>
    </row>
    <row r="115">
      <c r="A115" s="45" t="inlineStr">
        <is>
          <t>YoY</t>
        </is>
      </c>
      <c r="B115" s="3" t="inlineStr">
        <is>
          <t>전년 같은 분기·전년 대비</t>
        </is>
      </c>
      <c r="G115" s="17">
        <f>IF(OR(G114="",C114=""),"",IF(C114&lt;=0,"",IFERROR(G114/C114-1,"")))</f>
        <v/>
      </c>
      <c r="H115" s="17">
        <f>IF(OR(H114="",D114=""),"",IF(D114&lt;=0,"",IFERROR(H114/D114-1,"")))</f>
        <v/>
      </c>
      <c r="I115" s="17">
        <f>IF(OR(I114="",E114=""),"",IF(E114&lt;=0,"",IFERROR(I114/E114-1,"")))</f>
        <v/>
      </c>
      <c r="J115" s="17">
        <f>IF(OR(J114="",F114=""),"",IF(F114&lt;=0,"",IFERROR(J114/F114-1,"")))</f>
        <v/>
      </c>
      <c r="K115" s="17">
        <f>IF(OR(K114="",G114=""),"",IF(G114&lt;=0,"",IFERROR(K114/G114-1,"")))</f>
        <v/>
      </c>
      <c r="L115" s="17">
        <f>IF(OR(L114="",H114=""),"",IF(H114&lt;=0,"",IFERROR(L114/H114-1,"")))</f>
        <v/>
      </c>
      <c r="M115" s="17">
        <f>IF(OR(M114="",I114=""),"",IF(I114&lt;=0,"",IFERROR(M114/I114-1,"")))</f>
        <v/>
      </c>
      <c r="N115" s="17">
        <f>IF(OR(N114="",J114=""),"",IF(J114&lt;=0,"",IFERROR(N114/J114-1,"")))</f>
        <v/>
      </c>
      <c r="U115" s="17">
        <f>IF(OR(U114="",T114=""),"",IF(T114&lt;=0,"",IFERROR(U114/T114-1,"")))</f>
        <v/>
      </c>
      <c r="V115" s="17">
        <f>IF(OR(V114="",U114=""),"",IF(U114&lt;=0,"",IFERROR(V114/U114-1,"")))</f>
        <v/>
      </c>
      <c r="W115" s="17">
        <f>IF(OR(W114="",V114=""),"",IF(V114&lt;=0,"",IFERROR(W114/V114-1,"")))</f>
        <v/>
      </c>
      <c r="X115" s="17">
        <f>IF(OR(X114="",W114=""),"",IF(W114&lt;=0,"",IFERROR(X114/W114-1,"")))</f>
        <v/>
      </c>
    </row>
    <row r="116">
      <c r="A116" s="20" t="inlineStr">
        <is>
          <t>투자유가증권 매각이익</t>
        </is>
      </c>
      <c r="C116" s="22" t="n">
        <v>0</v>
      </c>
      <c r="U116" s="22" t="n">
        <v>0</v>
      </c>
      <c r="V116" s="22" t="n">
        <v>0</v>
      </c>
    </row>
    <row r="117">
      <c r="A117" s="20" t="inlineStr">
        <is>
          <t>자산복구부채 환입이익</t>
        </is>
      </c>
      <c r="C117" s="22" t="n">
        <v>0</v>
      </c>
      <c r="U117" s="22" t="n">
        <v>0</v>
      </c>
      <c r="V117" s="22" t="n">
        <v>0</v>
      </c>
    </row>
    <row r="118">
      <c r="A118" s="20" t="inlineStr">
        <is>
          <t>고정자산 매각이익</t>
        </is>
      </c>
      <c r="J118" s="22" t="n">
        <v>0</v>
      </c>
      <c r="N118" s="22" t="n">
        <v>0</v>
      </c>
    </row>
    <row r="119">
      <c r="A119" s="20" t="inlineStr">
        <is>
          <t>보상금 수취</t>
        </is>
      </c>
      <c r="J119" s="22" t="n">
        <v>0</v>
      </c>
      <c r="N119" s="22" t="n">
        <v>0</v>
      </c>
    </row>
    <row r="120">
      <c r="A120" s="20" t="inlineStr">
        <is>
          <t>기타</t>
        </is>
      </c>
      <c r="J120" s="22" t="n">
        <v>0</v>
      </c>
      <c r="N120" s="22" t="n">
        <v>0</v>
      </c>
    </row>
    <row r="121">
      <c r="A121" s="20" t="inlineStr">
        <is>
          <t>특별이익 합계</t>
        </is>
      </c>
      <c r="C121" s="22" t="n">
        <v>0</v>
      </c>
      <c r="J121" s="22" t="n">
        <v>0</v>
      </c>
      <c r="N121" s="22" t="n">
        <v>0</v>
      </c>
      <c r="U121" s="22" t="n">
        <v>0</v>
      </c>
      <c r="V121" s="22" t="n">
        <v>0</v>
      </c>
    </row>
    <row r="122">
      <c r="A122" s="45" t="inlineStr">
        <is>
          <t>YoY</t>
        </is>
      </c>
      <c r="B122" s="3" t="inlineStr">
        <is>
          <t>전년 같은 분기·전년 대비</t>
        </is>
      </c>
      <c r="J122" s="17">
        <f>IF(OR(J121="",F121=""),"",IF(J121*F121&lt;=0,"",IFERROR(J121/F121-1,"")))</f>
        <v/>
      </c>
      <c r="N122" s="17">
        <f>IF(OR(N121="",J121=""),"",IF(N121*J121&lt;=0,"",IFERROR(N121/J121-1,"")))</f>
        <v/>
      </c>
      <c r="U122" s="17">
        <f>IF(OR(U121="",T121=""),"",IF(U121*T121&lt;=0,"",IFERROR(U121/T121-1,"")))</f>
        <v/>
      </c>
      <c r="V122" s="17">
        <f>IF(OR(V121="",U121=""),"",IF(V121*U121&lt;=0,"",IFERROR(V121/U121-1,"")))</f>
        <v/>
      </c>
    </row>
    <row r="123">
      <c r="A123" s="20" t="inlineStr">
        <is>
          <t>주식급부신탁 종료손실</t>
        </is>
      </c>
      <c r="J123" s="22" t="n">
        <v>0</v>
      </c>
      <c r="N123" s="22" t="n">
        <v>0</v>
      </c>
    </row>
    <row r="124">
      <c r="A124" s="20" t="inlineStr">
        <is>
          <t>특별손실 합계</t>
        </is>
      </c>
      <c r="J124" s="22" t="n">
        <v>0</v>
      </c>
      <c r="K124" s="22" t="n">
        <v>0</v>
      </c>
      <c r="N124" s="22" t="n">
        <v>0</v>
      </c>
      <c r="X124" s="22" t="n">
        <v>0</v>
      </c>
    </row>
    <row r="125">
      <c r="A125" s="45" t="inlineStr">
        <is>
          <t>YoY</t>
        </is>
      </c>
      <c r="B125" s="3" t="inlineStr">
        <is>
          <t>전년 같은 분기·전년 대비</t>
        </is>
      </c>
      <c r="J125" s="17">
        <f>IF(OR(J124="",F124=""),"",IF(J124*F124&lt;=0,"",IFERROR(J124/F124-1,"")))</f>
        <v/>
      </c>
      <c r="K125" s="17">
        <f>IF(OR(K124="",G124=""),"",IF(K124*G124&lt;=0,"",IFERROR(K124/G124-1,"")))</f>
        <v/>
      </c>
      <c r="N125" s="17">
        <f>IF(OR(N124="",J124=""),"",IF(N124*J124&lt;=0,"",IFERROR(N124/J124-1,"")))</f>
        <v/>
      </c>
      <c r="X125" s="17">
        <f>IF(OR(X124="",W124=""),"",IF(X124*W124&lt;=0,"",IFERROR(X124/W124-1,"")))</f>
        <v/>
      </c>
    </row>
    <row r="126">
      <c r="A126" s="9" t="inlineStr">
        <is>
          <t>법인세차감전 순이익</t>
        </is>
      </c>
      <c r="C126" s="12" t="n">
        <v>360.317</v>
      </c>
      <c r="D126" s="12" t="n">
        <v>-96.589</v>
      </c>
      <c r="E126" s="12" t="n">
        <v>-100.479</v>
      </c>
      <c r="F126" s="12" t="n">
        <v>337.735</v>
      </c>
      <c r="G126" s="12" t="n">
        <v>265.591</v>
      </c>
      <c r="H126" s="12" t="n">
        <v>128.482</v>
      </c>
      <c r="I126" s="12" t="n">
        <v>76.447</v>
      </c>
      <c r="J126" s="12" t="n">
        <v>51.464</v>
      </c>
      <c r="K126" s="12" t="n">
        <v>313.094</v>
      </c>
      <c r="L126" s="12" t="n">
        <v>24.297</v>
      </c>
      <c r="M126" s="12" t="n">
        <v>-3.473</v>
      </c>
      <c r="N126" s="12" t="n">
        <v>373.435</v>
      </c>
      <c r="U126" s="12" t="n">
        <v>235.981</v>
      </c>
      <c r="V126" s="12" t="n">
        <v>360.317</v>
      </c>
      <c r="W126" s="12" t="n">
        <v>265.591</v>
      </c>
      <c r="X126" s="12" t="n">
        <v>313.094</v>
      </c>
    </row>
    <row r="127">
      <c r="A127" s="45" t="inlineStr">
        <is>
          <t>YoY</t>
        </is>
      </c>
      <c r="B127" s="3" t="inlineStr">
        <is>
          <t>전년 같은 분기·전년 대비</t>
        </is>
      </c>
      <c r="G127" s="17">
        <f>IF(OR(G126="",C126=""),"",IF(C126&lt;=0,"",IFERROR(G126/C126-1,"")))</f>
        <v/>
      </c>
      <c r="H127" s="17">
        <f>IF(OR(H126="",D126=""),"",IF(D126&lt;=0,"",IFERROR(H126/D126-1,"")))</f>
        <v/>
      </c>
      <c r="I127" s="17">
        <f>IF(OR(I126="",E126=""),"",IF(E126&lt;=0,"",IFERROR(I126/E126-1,"")))</f>
        <v/>
      </c>
      <c r="J127" s="17">
        <f>IF(OR(J126="",F126=""),"",IF(F126&lt;=0,"",IFERROR(J126/F126-1,"")))</f>
        <v/>
      </c>
      <c r="K127" s="17">
        <f>IF(OR(K126="",G126=""),"",IF(G126&lt;=0,"",IFERROR(K126/G126-1,"")))</f>
        <v/>
      </c>
      <c r="L127" s="17">
        <f>IF(OR(L126="",H126=""),"",IF(H126&lt;=0,"",IFERROR(L126/H126-1,"")))</f>
        <v/>
      </c>
      <c r="M127" s="17">
        <f>IF(OR(M126="",I126=""),"",IF(I126&lt;=0,"",IFERROR(M126/I126-1,"")))</f>
        <v/>
      </c>
      <c r="N127" s="17">
        <f>IF(OR(N126="",J126=""),"",IF(J126&lt;=0,"",IFERROR(N126/J126-1,"")))</f>
        <v/>
      </c>
      <c r="U127" s="17">
        <f>IF(OR(U126="",T126=""),"",IF(T126&lt;=0,"",IFERROR(U126/T126-1,"")))</f>
        <v/>
      </c>
      <c r="V127" s="17">
        <f>IF(OR(V126="",U126=""),"",IF(U126&lt;=0,"",IFERROR(V126/U126-1,"")))</f>
        <v/>
      </c>
      <c r="W127" s="17">
        <f>IF(OR(W126="",V126=""),"",IF(V126&lt;=0,"",IFERROR(W126/V126-1,"")))</f>
        <v/>
      </c>
      <c r="X127" s="17">
        <f>IF(OR(X126="",W126=""),"",IF(W126&lt;=0,"",IFERROR(X126/W126-1,"")))</f>
        <v/>
      </c>
    </row>
    <row r="128">
      <c r="A128" s="20" t="inlineStr">
        <is>
          <t>법인세·주민세·사업세</t>
        </is>
      </c>
      <c r="C128" s="22" t="n">
        <v>59.813</v>
      </c>
      <c r="D128" s="22" t="n">
        <v>1.698</v>
      </c>
      <c r="E128" s="22" t="n">
        <v>1.612</v>
      </c>
      <c r="F128" s="22" t="n">
        <v>27.272</v>
      </c>
      <c r="G128" s="22" t="n">
        <v>76.19499999999999</v>
      </c>
      <c r="H128" s="22" t="n">
        <v>14.972</v>
      </c>
      <c r="I128" s="22" t="n">
        <v>18.123</v>
      </c>
      <c r="J128" s="22" t="n">
        <v>25.256</v>
      </c>
      <c r="K128" s="22" t="n">
        <v>136.372</v>
      </c>
      <c r="L128" s="22" t="n">
        <v>5.07</v>
      </c>
      <c r="M128" s="22" t="n">
        <v>4.16</v>
      </c>
      <c r="N128" s="22" t="n">
        <v>138.713</v>
      </c>
      <c r="U128" s="22" t="n">
        <v>58.43</v>
      </c>
      <c r="V128" s="22" t="n">
        <v>59.813</v>
      </c>
      <c r="W128" s="22" t="n">
        <v>76.19499999999999</v>
      </c>
      <c r="X128" s="22" t="n">
        <v>136.372</v>
      </c>
    </row>
    <row r="129">
      <c r="A129" s="20" t="inlineStr">
        <is>
          <t>법인세 조정액</t>
        </is>
      </c>
      <c r="C129" s="22" t="n">
        <v>77.70399999999999</v>
      </c>
      <c r="D129" s="22" t="n">
        <v>-26.879</v>
      </c>
      <c r="E129" s="22" t="n">
        <v>-29.868</v>
      </c>
      <c r="F129" s="22" t="n">
        <v>79.82899999999999</v>
      </c>
      <c r="G129" s="22" t="n">
        <v>14.533</v>
      </c>
      <c r="H129" s="22" t="n">
        <v>31.462</v>
      </c>
      <c r="I129" s="22" t="n">
        <v>12.745</v>
      </c>
      <c r="J129" s="22" t="n">
        <v>-1.097</v>
      </c>
      <c r="K129" s="22" t="n">
        <v>-66.423</v>
      </c>
      <c r="L129" s="22" t="n">
        <v>7.869</v>
      </c>
      <c r="M129" s="22" t="n">
        <v>23.278</v>
      </c>
      <c r="N129" s="22" t="n">
        <v>-12.439</v>
      </c>
      <c r="U129" s="22" t="n">
        <v>10.22</v>
      </c>
      <c r="V129" s="22" t="n">
        <v>77.70399999999999</v>
      </c>
      <c r="W129" s="22" t="n">
        <v>14.533</v>
      </c>
      <c r="X129" s="22" t="n">
        <v>-66.423</v>
      </c>
    </row>
    <row r="130">
      <c r="A130" s="20" t="inlineStr">
        <is>
          <t>법인세 등 합계</t>
        </is>
      </c>
      <c r="C130" s="22" t="n">
        <v>137.516</v>
      </c>
      <c r="D130" s="22" t="n">
        <v>-25.18</v>
      </c>
      <c r="E130" s="22" t="n">
        <v>-28.256</v>
      </c>
      <c r="F130" s="22" t="n">
        <v>107.1</v>
      </c>
      <c r="G130" s="22" t="n">
        <v>90.729</v>
      </c>
      <c r="H130" s="22" t="n">
        <v>46.434</v>
      </c>
      <c r="I130" s="22" t="n">
        <v>30.868</v>
      </c>
      <c r="J130" s="22" t="n">
        <v>24.159</v>
      </c>
      <c r="K130" s="22" t="n">
        <v>69.949</v>
      </c>
      <c r="L130" s="22" t="n">
        <v>12.94</v>
      </c>
      <c r="M130" s="22" t="n">
        <v>27.437</v>
      </c>
      <c r="N130" s="22" t="n">
        <v>126.275</v>
      </c>
      <c r="U130" s="22" t="n">
        <v>68.65000000000001</v>
      </c>
      <c r="V130" s="22" t="n">
        <v>137.516</v>
      </c>
      <c r="W130" s="22" t="n">
        <v>90.729</v>
      </c>
      <c r="X130" s="22" t="n">
        <v>69.949</v>
      </c>
    </row>
    <row r="131">
      <c r="A131" s="45" t="inlineStr">
        <is>
          <t>YoY</t>
        </is>
      </c>
      <c r="B131" s="3" t="inlineStr">
        <is>
          <t>전년 같은 분기·전년 대비</t>
        </is>
      </c>
      <c r="G131" s="17">
        <f>IF(OR(G130="",C130=""),"",IF(G130*C130&lt;=0,"",IFERROR(G130/C130-1,"")))</f>
        <v/>
      </c>
      <c r="H131" s="17">
        <f>IF(OR(H130="",D130=""),"",IF(H130*D130&lt;=0,"",IFERROR(H130/D130-1,"")))</f>
        <v/>
      </c>
      <c r="I131" s="17">
        <f>IF(OR(I130="",E130=""),"",IF(I130*E130&lt;=0,"",IFERROR(I130/E130-1,"")))</f>
        <v/>
      </c>
      <c r="J131" s="17">
        <f>IF(OR(J130="",F130=""),"",IF(J130*F130&lt;=0,"",IFERROR(J130/F130-1,"")))</f>
        <v/>
      </c>
      <c r="K131" s="17">
        <f>IF(OR(K130="",G130=""),"",IF(K130*G130&lt;=0,"",IFERROR(K130/G130-1,"")))</f>
        <v/>
      </c>
      <c r="L131" s="17">
        <f>IF(OR(L130="",H130=""),"",IF(L130*H130&lt;=0,"",IFERROR(L130/H130-1,"")))</f>
        <v/>
      </c>
      <c r="M131" s="17">
        <f>IF(OR(M130="",I130=""),"",IF(M130*I130&lt;=0,"",IFERROR(M130/I130-1,"")))</f>
        <v/>
      </c>
      <c r="N131" s="17">
        <f>IF(OR(N130="",J130=""),"",IF(N130*J130&lt;=0,"",IFERROR(N130/J130-1,"")))</f>
        <v/>
      </c>
      <c r="U131" s="17">
        <f>IF(OR(U130="",T130=""),"",IF(U130*T130&lt;=0,"",IFERROR(U130/T130-1,"")))</f>
        <v/>
      </c>
      <c r="V131" s="17">
        <f>IF(OR(V130="",U130=""),"",IF(V130*U130&lt;=0,"",IFERROR(V130/U130-1,"")))</f>
        <v/>
      </c>
      <c r="W131" s="17">
        <f>IF(OR(W130="",V130=""),"",IF(W130*V130&lt;=0,"",IFERROR(W130/V130-1,"")))</f>
        <v/>
      </c>
      <c r="X131" s="17">
        <f>IF(OR(X130="",W130=""),"",IF(X130*W130&lt;=0,"",IFERROR(X130/W130-1,"")))</f>
        <v/>
      </c>
    </row>
    <row r="132">
      <c r="A132" s="9" t="inlineStr">
        <is>
          <t>순이익</t>
        </is>
      </c>
      <c r="C132" s="12" t="n">
        <v>222.801</v>
      </c>
      <c r="D132" s="12" t="n">
        <v>-71.40900000000001</v>
      </c>
      <c r="E132" s="12" t="n">
        <v>-72.223</v>
      </c>
      <c r="F132" s="12" t="n">
        <v>230.635</v>
      </c>
      <c r="G132" s="12" t="n">
        <v>174.862</v>
      </c>
      <c r="H132" s="12" t="n">
        <v>82.047</v>
      </c>
      <c r="I132" s="12" t="n">
        <v>45.579</v>
      </c>
      <c r="J132" s="12" t="n">
        <v>27.306</v>
      </c>
      <c r="K132" s="12" t="n">
        <v>243.145</v>
      </c>
      <c r="L132" s="12" t="n">
        <v>11.356</v>
      </c>
      <c r="M132" s="12" t="n">
        <v>-30.908</v>
      </c>
      <c r="N132" s="12" t="n">
        <v>247.158</v>
      </c>
      <c r="U132" s="12" t="n">
        <v>167.331</v>
      </c>
      <c r="V132" s="12" t="n">
        <v>222.801</v>
      </c>
      <c r="W132" s="12" t="n">
        <v>174.862</v>
      </c>
      <c r="X132" s="12" t="n">
        <v>243.145</v>
      </c>
    </row>
    <row r="133">
      <c r="A133" s="45" t="inlineStr">
        <is>
          <t>YoY</t>
        </is>
      </c>
      <c r="B133" s="3" t="inlineStr">
        <is>
          <t>전년 같은 분기·전년 대비</t>
        </is>
      </c>
      <c r="G133" s="17">
        <f>IF(OR(G132="",C132=""),"",IF(C132&lt;=0,"",IFERROR(G132/C132-1,"")))</f>
        <v/>
      </c>
      <c r="H133" s="17">
        <f>IF(OR(H132="",D132=""),"",IF(D132&lt;=0,"",IFERROR(H132/D132-1,"")))</f>
        <v/>
      </c>
      <c r="I133" s="17">
        <f>IF(OR(I132="",E132=""),"",IF(E132&lt;=0,"",IFERROR(I132/E132-1,"")))</f>
        <v/>
      </c>
      <c r="J133" s="17">
        <f>IF(OR(J132="",F132=""),"",IF(F132&lt;=0,"",IFERROR(J132/F132-1,"")))</f>
        <v/>
      </c>
      <c r="K133" s="17">
        <f>IF(OR(K132="",G132=""),"",IF(G132&lt;=0,"",IFERROR(K132/G132-1,"")))</f>
        <v/>
      </c>
      <c r="L133" s="17">
        <f>IF(OR(L132="",H132=""),"",IF(H132&lt;=0,"",IFERROR(L132/H132-1,"")))</f>
        <v/>
      </c>
      <c r="M133" s="17">
        <f>IF(OR(M132="",I132=""),"",IF(I132&lt;=0,"",IFERROR(M132/I132-1,"")))</f>
        <v/>
      </c>
      <c r="N133" s="17">
        <f>IF(OR(N132="",J132=""),"",IF(J132&lt;=0,"",IFERROR(N132/J132-1,"")))</f>
        <v/>
      </c>
      <c r="U133" s="17">
        <f>IF(OR(U132="",T132=""),"",IF(T132&lt;=0,"",IFERROR(U132/T132-1,"")))</f>
        <v/>
      </c>
      <c r="V133" s="17">
        <f>IF(OR(V132="",U132=""),"",IF(U132&lt;=0,"",IFERROR(V132/U132-1,"")))</f>
        <v/>
      </c>
      <c r="W133" s="17">
        <f>IF(OR(W132="",V132=""),"",IF(V132&lt;=0,"",IFERROR(W132/V132-1,"")))</f>
        <v/>
      </c>
      <c r="X133" s="17">
        <f>IF(OR(X132="",W132=""),"",IF(W132&lt;=0,"",IFERROR(X132/W132-1,"")))</f>
        <v/>
      </c>
    </row>
    <row r="134">
      <c r="A134" s="9" t="inlineStr">
        <is>
          <t>비지배주주 당기순손실</t>
        </is>
      </c>
      <c r="C134" s="12" t="n">
        <v>-0.001</v>
      </c>
      <c r="D134" s="12" t="n">
        <v>0</v>
      </c>
      <c r="E134" s="12" t="n">
        <v>0</v>
      </c>
      <c r="F134" s="12" t="n">
        <v>0</v>
      </c>
      <c r="G134" s="12" t="n">
        <v>0</v>
      </c>
      <c r="U134" s="12" t="n">
        <v>-0.008</v>
      </c>
      <c r="V134" s="12" t="n">
        <v>-0.001</v>
      </c>
      <c r="W134" s="12" t="n">
        <v>0</v>
      </c>
    </row>
    <row r="135">
      <c r="A135" s="9" t="inlineStr">
        <is>
          <t>지배주주 순이익</t>
        </is>
      </c>
      <c r="C135" s="12" t="n">
        <v>222.803</v>
      </c>
      <c r="D135" s="12" t="n">
        <v>-71.40900000000001</v>
      </c>
      <c r="E135" s="12" t="n">
        <v>-72.223</v>
      </c>
      <c r="F135" s="12" t="n">
        <v>230.635</v>
      </c>
      <c r="G135" s="12" t="n">
        <v>174.862</v>
      </c>
      <c r="H135" s="12" t="n">
        <v>82.047</v>
      </c>
      <c r="I135" s="12" t="n">
        <v>45.579</v>
      </c>
      <c r="J135" s="12" t="n">
        <v>27.306</v>
      </c>
      <c r="K135" s="12" t="n">
        <v>243.145</v>
      </c>
      <c r="L135" s="12" t="n">
        <v>11.356</v>
      </c>
      <c r="M135" s="12" t="n">
        <v>-30.908</v>
      </c>
      <c r="N135" s="12" t="n">
        <v>247.158</v>
      </c>
      <c r="U135" s="12" t="n">
        <v>167.339</v>
      </c>
      <c r="V135" s="12" t="n">
        <v>222.803</v>
      </c>
      <c r="W135" s="12" t="n">
        <v>174.862</v>
      </c>
      <c r="X135" s="12" t="n">
        <v>243.145</v>
      </c>
    </row>
    <row r="136">
      <c r="A136" s="45" t="inlineStr">
        <is>
          <t>YoY</t>
        </is>
      </c>
      <c r="B136" s="3" t="inlineStr">
        <is>
          <t>전년 같은 분기·전년 대비</t>
        </is>
      </c>
      <c r="G136" s="17">
        <f>IF(OR(G135="",C135=""),"",IF(C135&lt;=0,"",IFERROR(G135/C135-1,"")))</f>
        <v/>
      </c>
      <c r="H136" s="17">
        <f>IF(OR(H135="",D135=""),"",IF(D135&lt;=0,"",IFERROR(H135/D135-1,"")))</f>
        <v/>
      </c>
      <c r="I136" s="17">
        <f>IF(OR(I135="",E135=""),"",IF(E135&lt;=0,"",IFERROR(I135/E135-1,"")))</f>
        <v/>
      </c>
      <c r="J136" s="17">
        <f>IF(OR(J135="",F135=""),"",IF(F135&lt;=0,"",IFERROR(J135/F135-1,"")))</f>
        <v/>
      </c>
      <c r="K136" s="17">
        <f>IF(OR(K135="",G135=""),"",IF(G135&lt;=0,"",IFERROR(K135/G135-1,"")))</f>
        <v/>
      </c>
      <c r="L136" s="17">
        <f>IF(OR(L135="",H135=""),"",IF(H135&lt;=0,"",IFERROR(L135/H135-1,"")))</f>
        <v/>
      </c>
      <c r="M136" s="17">
        <f>IF(OR(M135="",I135=""),"",IF(I135&lt;=0,"",IFERROR(M135/I135-1,"")))</f>
        <v/>
      </c>
      <c r="N136" s="17">
        <f>IF(OR(N135="",J135=""),"",IF(J135&lt;=0,"",IFERROR(N135/J135-1,"")))</f>
        <v/>
      </c>
      <c r="U136" s="17">
        <f>IF(OR(U135="",T135=""),"",IF(T135&lt;=0,"",IFERROR(U135/T135-1,"")))</f>
        <v/>
      </c>
      <c r="V136" s="17">
        <f>IF(OR(V135="",U135=""),"",IF(U135&lt;=0,"",IFERROR(V135/U135-1,"")))</f>
        <v/>
      </c>
      <c r="W136" s="17">
        <f>IF(OR(W135="",V135=""),"",IF(V135&lt;=0,"",IFERROR(W135/V135-1,"")))</f>
        <v/>
      </c>
      <c r="X136" s="17">
        <f>IF(OR(X135="",W135=""),"",IF(W135&lt;=0,"",IFERROR(X135/W135-1,"")))</f>
        <v/>
      </c>
    </row>
    <row r="138">
      <c r="A138" s="18" t="inlineStr">
        <is>
          <t>포괄손익 · 전 항목</t>
        </is>
      </c>
      <c r="B138" s="44" t="inlineStr">
        <is>
          <t>분기 = 3개월 단독</t>
        </is>
      </c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</row>
    <row r="139">
      <c r="A139" s="5" t="inlineStr">
        <is>
          <t>항목</t>
        </is>
      </c>
      <c r="B139" s="5" t="inlineStr">
        <is>
          <t>참고</t>
        </is>
      </c>
      <c r="C139" s="5" t="inlineStr">
        <is>
          <t>2023.4Q</t>
        </is>
      </c>
      <c r="D139" s="5" t="inlineStr">
        <is>
          <t>2024.1Q</t>
        </is>
      </c>
      <c r="E139" s="5" t="inlineStr">
        <is>
          <t>2024.2Q</t>
        </is>
      </c>
      <c r="F139" s="5" t="inlineStr">
        <is>
          <t>2024.3Q</t>
        </is>
      </c>
      <c r="G139" s="5" t="inlineStr">
        <is>
          <t>2024.4Q</t>
        </is>
      </c>
      <c r="H139" s="5" t="inlineStr">
        <is>
          <t>2025.1Q</t>
        </is>
      </c>
      <c r="I139" s="5" t="inlineStr">
        <is>
          <t>2025.2Q</t>
        </is>
      </c>
      <c r="J139" s="5" t="inlineStr">
        <is>
          <t>2025.3Q</t>
        </is>
      </c>
      <c r="K139" s="5" t="inlineStr">
        <is>
          <t>2025.4Q</t>
        </is>
      </c>
      <c r="L139" s="5" t="inlineStr">
        <is>
          <t>2026.1Q</t>
        </is>
      </c>
      <c r="M139" s="5" t="inlineStr">
        <is>
          <t>2026.2Q</t>
        </is>
      </c>
      <c r="N139" s="5" t="inlineStr">
        <is>
          <t>2026.3Q</t>
        </is>
      </c>
      <c r="O139" s="5" t="inlineStr">
        <is>
          <t>2016</t>
        </is>
      </c>
      <c r="P139" s="5" t="inlineStr">
        <is>
          <t>2017</t>
        </is>
      </c>
      <c r="Q139" s="5" t="inlineStr">
        <is>
          <t>2018</t>
        </is>
      </c>
      <c r="R139" s="5" t="inlineStr">
        <is>
          <t>2019</t>
        </is>
      </c>
      <c r="S139" s="5" t="inlineStr">
        <is>
          <t>2020</t>
        </is>
      </c>
      <c r="T139" s="5" t="inlineStr">
        <is>
          <t>2021</t>
        </is>
      </c>
      <c r="U139" s="5" t="inlineStr">
        <is>
          <t>2022</t>
        </is>
      </c>
      <c r="V139" s="5" t="inlineStr">
        <is>
          <t>2023</t>
        </is>
      </c>
      <c r="W139" s="5" t="inlineStr">
        <is>
          <t>2024</t>
        </is>
      </c>
      <c r="X139" s="5" t="inlineStr">
        <is>
          <t>2025</t>
        </is>
      </c>
      <c r="Y139" s="5" t="inlineStr">
        <is>
          <t>2026(MW)</t>
        </is>
      </c>
      <c r="Z139" s="5" t="inlineStr">
        <is>
          <t>2027(MW)</t>
        </is>
      </c>
      <c r="AA139" s="5" t="inlineStr">
        <is>
          <t>2028(MW)</t>
        </is>
      </c>
      <c r="AB139" s="5" t="inlineStr">
        <is>
          <t>2029(MW)</t>
        </is>
      </c>
      <c r="AC139" s="5" t="inlineStr">
        <is>
          <t>2030(MW)</t>
        </is>
      </c>
    </row>
    <row r="140">
      <c r="A140" s="9" t="inlineStr">
        <is>
          <t>순이익</t>
        </is>
      </c>
      <c r="C140" s="12" t="n">
        <v>222.801</v>
      </c>
      <c r="D140" s="12" t="n">
        <v>-71.40900000000001</v>
      </c>
      <c r="E140" s="12" t="n">
        <v>-72.223</v>
      </c>
      <c r="F140" s="12" t="n">
        <v>230.635</v>
      </c>
      <c r="G140" s="12" t="n">
        <v>174.862</v>
      </c>
      <c r="H140" s="12" t="n">
        <v>82.047</v>
      </c>
      <c r="I140" s="12" t="n">
        <v>45.579</v>
      </c>
      <c r="J140" s="12" t="n">
        <v>27.306</v>
      </c>
      <c r="K140" s="12" t="n">
        <v>243.145</v>
      </c>
      <c r="L140" s="12" t="n">
        <v>11.356</v>
      </c>
      <c r="M140" s="12" t="n">
        <v>-30.908</v>
      </c>
      <c r="N140" s="12" t="n">
        <v>247.158</v>
      </c>
      <c r="U140" s="12" t="n">
        <v>167.331</v>
      </c>
      <c r="V140" s="12" t="n">
        <v>222.801</v>
      </c>
      <c r="W140" s="12" t="n">
        <v>174.862</v>
      </c>
      <c r="X140" s="12" t="n">
        <v>243.145</v>
      </c>
    </row>
    <row r="141">
      <c r="A141" s="9" t="inlineStr">
        <is>
          <t>포괄이익</t>
        </is>
      </c>
      <c r="C141" s="12" t="n">
        <v>222.801</v>
      </c>
      <c r="D141" s="12" t="n">
        <v>-71.40900000000001</v>
      </c>
      <c r="E141" s="12" t="n">
        <v>-72.223</v>
      </c>
      <c r="F141" s="12" t="n">
        <v>230.635</v>
      </c>
      <c r="G141" s="12" t="n">
        <v>174.862</v>
      </c>
      <c r="H141" s="12" t="n">
        <v>82.047</v>
      </c>
      <c r="I141" s="12" t="n">
        <v>45.579</v>
      </c>
      <c r="J141" s="12" t="n">
        <v>27.306</v>
      </c>
      <c r="K141" s="12" t="n">
        <v>243.145</v>
      </c>
      <c r="L141" s="12" t="n">
        <v>11.356</v>
      </c>
      <c r="M141" s="12" t="n">
        <v>-30.908</v>
      </c>
      <c r="N141" s="12" t="n">
        <v>247.158</v>
      </c>
      <c r="U141" s="12" t="n">
        <v>167.331</v>
      </c>
      <c r="V141" s="12" t="n">
        <v>222.801</v>
      </c>
      <c r="W141" s="12" t="n">
        <v>174.862</v>
      </c>
      <c r="X141" s="12" t="n">
        <v>243.145</v>
      </c>
    </row>
    <row r="142">
      <c r="A142" s="9" t="inlineStr">
        <is>
          <t>지배주주 포괄이익</t>
        </is>
      </c>
      <c r="C142" s="12" t="n">
        <v>222.803</v>
      </c>
      <c r="D142" s="12" t="n">
        <v>-71.40900000000001</v>
      </c>
      <c r="E142" s="12" t="n">
        <v>-72.223</v>
      </c>
      <c r="F142" s="12" t="n">
        <v>230.635</v>
      </c>
      <c r="G142" s="12" t="n">
        <v>174.862</v>
      </c>
      <c r="H142" s="12" t="n">
        <v>82.047</v>
      </c>
      <c r="I142" s="12" t="n">
        <v>45.579</v>
      </c>
      <c r="J142" s="12" t="n">
        <v>27.306</v>
      </c>
      <c r="K142" s="12" t="n">
        <v>243.145</v>
      </c>
      <c r="L142" s="12" t="n">
        <v>11.356</v>
      </c>
      <c r="M142" s="12" t="n">
        <v>-30.908</v>
      </c>
      <c r="N142" s="12" t="n">
        <v>247.158</v>
      </c>
      <c r="U142" s="12" t="n">
        <v>167.339</v>
      </c>
      <c r="V142" s="12" t="n">
        <v>222.803</v>
      </c>
      <c r="W142" s="12" t="n">
        <v>174.862</v>
      </c>
      <c r="X142" s="12" t="n">
        <v>243.145</v>
      </c>
    </row>
    <row r="143">
      <c r="A143" s="9" t="inlineStr">
        <is>
          <t>비지배주주 포괄이익</t>
        </is>
      </c>
      <c r="C143" s="12" t="n">
        <v>-0.001</v>
      </c>
      <c r="D143" s="12" t="n">
        <v>0</v>
      </c>
      <c r="E143" s="12" t="n">
        <v>0</v>
      </c>
      <c r="F143" s="12" t="n">
        <v>0</v>
      </c>
      <c r="G143" s="12" t="n">
        <v>0</v>
      </c>
      <c r="U143" s="12" t="n">
        <v>-0.008</v>
      </c>
      <c r="V143" s="12" t="n">
        <v>-0.001</v>
      </c>
      <c r="W143" s="12" t="n">
        <v>0</v>
      </c>
    </row>
    <row r="145">
      <c r="A145" s="18" t="inlineStr">
        <is>
          <t>현금흐름표 · 전 항목</t>
        </is>
      </c>
      <c r="B145" s="44" t="inlineStr">
        <is>
          <t>분기 = 결산기 첫날부터 누계(공시 그대로)</t>
        </is>
      </c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</row>
    <row r="146">
      <c r="A146" s="5" t="inlineStr">
        <is>
          <t>항목</t>
        </is>
      </c>
      <c r="B146" s="5" t="inlineStr">
        <is>
          <t>참고</t>
        </is>
      </c>
      <c r="C146" s="5" t="inlineStr">
        <is>
          <t>2023.4Q</t>
        </is>
      </c>
      <c r="D146" s="5" t="inlineStr">
        <is>
          <t>2024.1Q</t>
        </is>
      </c>
      <c r="E146" s="5" t="inlineStr">
        <is>
          <t>2024.2Q</t>
        </is>
      </c>
      <c r="F146" s="5" t="inlineStr">
        <is>
          <t>2024.3Q</t>
        </is>
      </c>
      <c r="G146" s="5" t="inlineStr">
        <is>
          <t>2024.4Q</t>
        </is>
      </c>
      <c r="H146" s="5" t="inlineStr">
        <is>
          <t>2025.1Q</t>
        </is>
      </c>
      <c r="I146" s="5" t="inlineStr">
        <is>
          <t>2025.2Q</t>
        </is>
      </c>
      <c r="J146" s="5" t="inlineStr">
        <is>
          <t>2025.3Q</t>
        </is>
      </c>
      <c r="K146" s="5" t="inlineStr">
        <is>
          <t>2025.4Q</t>
        </is>
      </c>
      <c r="L146" s="5" t="inlineStr">
        <is>
          <t>2026.1Q</t>
        </is>
      </c>
      <c r="M146" s="5" t="inlineStr">
        <is>
          <t>2026.2Q</t>
        </is>
      </c>
      <c r="N146" s="5" t="inlineStr">
        <is>
          <t>2026.3Q</t>
        </is>
      </c>
      <c r="O146" s="5" t="inlineStr">
        <is>
          <t>2016</t>
        </is>
      </c>
      <c r="P146" s="5" t="inlineStr">
        <is>
          <t>2017</t>
        </is>
      </c>
      <c r="Q146" s="5" t="inlineStr">
        <is>
          <t>2018</t>
        </is>
      </c>
      <c r="R146" s="5" t="inlineStr">
        <is>
          <t>2019</t>
        </is>
      </c>
      <c r="S146" s="5" t="inlineStr">
        <is>
          <t>2020</t>
        </is>
      </c>
      <c r="T146" s="5" t="inlineStr">
        <is>
          <t>2021</t>
        </is>
      </c>
      <c r="U146" s="5" t="inlineStr">
        <is>
          <t>2022</t>
        </is>
      </c>
      <c r="V146" s="5" t="inlineStr">
        <is>
          <t>2023</t>
        </is>
      </c>
      <c r="W146" s="5" t="inlineStr">
        <is>
          <t>2024</t>
        </is>
      </c>
      <c r="X146" s="5" t="inlineStr">
        <is>
          <t>2025</t>
        </is>
      </c>
      <c r="Y146" s="5" t="inlineStr">
        <is>
          <t>2026(MW)</t>
        </is>
      </c>
      <c r="Z146" s="5" t="inlineStr">
        <is>
          <t>2027(MW)</t>
        </is>
      </c>
      <c r="AA146" s="5" t="inlineStr">
        <is>
          <t>2028(MW)</t>
        </is>
      </c>
      <c r="AB146" s="5" t="inlineStr">
        <is>
          <t>2029(MW)</t>
        </is>
      </c>
      <c r="AC146" s="5" t="inlineStr">
        <is>
          <t>2030(MW)</t>
        </is>
      </c>
    </row>
    <row r="147">
      <c r="A147" s="9" t="inlineStr">
        <is>
          <t>법인세차감전 순이익</t>
        </is>
      </c>
      <c r="C147" s="12" t="n">
        <v>135.816</v>
      </c>
      <c r="E147" s="12" t="n">
        <v>-197.068</v>
      </c>
      <c r="G147" s="12" t="n">
        <v>406.258</v>
      </c>
      <c r="I147" s="12" t="n">
        <v>204.929</v>
      </c>
      <c r="K147" s="12" t="n">
        <v>569.487</v>
      </c>
      <c r="M147" s="12" t="n">
        <v>20.824</v>
      </c>
      <c r="O147" s="12" t="n">
        <v>228.432</v>
      </c>
      <c r="P147" s="12" t="n">
        <v>304.744</v>
      </c>
      <c r="Q147" s="12" t="n">
        <v>615.782</v>
      </c>
      <c r="R147" s="12" t="n">
        <v>975.6130000000001</v>
      </c>
      <c r="S147" s="12" t="n">
        <v>65.014</v>
      </c>
      <c r="T147" s="12" t="n">
        <v>639.342</v>
      </c>
      <c r="U147" s="12" t="n">
        <v>221.626</v>
      </c>
      <c r="V147" s="12" t="n">
        <v>135.816</v>
      </c>
      <c r="W147" s="12" t="n">
        <v>406.258</v>
      </c>
      <c r="X147" s="12" t="n">
        <v>569.487</v>
      </c>
    </row>
    <row r="148">
      <c r="A148" s="20" t="inlineStr">
        <is>
          <t>감가상각비</t>
        </is>
      </c>
      <c r="C148" s="22" t="n">
        <v>45.376</v>
      </c>
      <c r="E148" s="22" t="n">
        <v>18.72</v>
      </c>
      <c r="G148" s="22" t="n">
        <v>46.835</v>
      </c>
      <c r="I148" s="22" t="n">
        <v>20.492</v>
      </c>
      <c r="K148" s="22" t="n">
        <v>42.007</v>
      </c>
      <c r="M148" s="22" t="n">
        <v>16.342</v>
      </c>
      <c r="O148" s="22" t="n">
        <v>13.025</v>
      </c>
      <c r="P148" s="22" t="n">
        <v>12.513</v>
      </c>
      <c r="Q148" s="22" t="n">
        <v>25.067</v>
      </c>
      <c r="R148" s="22" t="n">
        <v>32.34</v>
      </c>
      <c r="S148" s="22" t="n">
        <v>36.736</v>
      </c>
      <c r="T148" s="22" t="n">
        <v>37.827</v>
      </c>
      <c r="U148" s="22" t="n">
        <v>34.642</v>
      </c>
      <c r="V148" s="22" t="n">
        <v>45.376</v>
      </c>
      <c r="W148" s="22" t="n">
        <v>46.835</v>
      </c>
      <c r="X148" s="22" t="n">
        <v>42.007</v>
      </c>
    </row>
    <row r="149">
      <c r="A149" s="20" t="inlineStr">
        <is>
          <t>영업권 상각</t>
        </is>
      </c>
      <c r="C149" s="22" t="n">
        <v>26.176</v>
      </c>
      <c r="E149" s="22" t="n">
        <v>13.088</v>
      </c>
      <c r="G149" s="22" t="n">
        <v>26.176</v>
      </c>
      <c r="I149" s="22" t="n">
        <v>13.088</v>
      </c>
      <c r="K149" s="22" t="n">
        <v>26.176</v>
      </c>
      <c r="M149" s="22" t="n">
        <v>13.088</v>
      </c>
      <c r="Q149" s="22" t="n">
        <v>0</v>
      </c>
      <c r="R149" s="22" t="n">
        <v>21.814</v>
      </c>
      <c r="S149" s="22" t="n">
        <v>26.176</v>
      </c>
      <c r="T149" s="22" t="n">
        <v>26.176</v>
      </c>
      <c r="U149" s="22" t="n">
        <v>26.176</v>
      </c>
      <c r="V149" s="22" t="n">
        <v>26.176</v>
      </c>
      <c r="W149" s="22" t="n">
        <v>26.176</v>
      </c>
      <c r="X149" s="22" t="n">
        <v>26.176</v>
      </c>
    </row>
    <row r="150">
      <c r="A150" s="20" t="inlineStr">
        <is>
          <t>대손충당금 증감</t>
        </is>
      </c>
      <c r="C150" s="22" t="n">
        <v>60.9</v>
      </c>
      <c r="G150" s="22" t="n">
        <v>-30.283</v>
      </c>
      <c r="I150" s="22" t="n">
        <v>0</v>
      </c>
      <c r="K150" s="22" t="n">
        <v>-7.661</v>
      </c>
      <c r="M150" s="22" t="n">
        <v>-3</v>
      </c>
      <c r="O150" s="22" t="n">
        <v>-13.838</v>
      </c>
      <c r="P150" s="22" t="n">
        <v>0</v>
      </c>
      <c r="U150" s="22" t="n">
        <v>0</v>
      </c>
      <c r="V150" s="22" t="n">
        <v>60.9</v>
      </c>
      <c r="W150" s="22" t="n">
        <v>-30.283</v>
      </c>
      <c r="X150" s="22" t="n">
        <v>-7.661</v>
      </c>
    </row>
    <row r="151">
      <c r="A151" s="20" t="inlineStr">
        <is>
          <t>이자·배당금 수익</t>
        </is>
      </c>
      <c r="C151" s="22" t="n">
        <v>-2.951</v>
      </c>
      <c r="E151" s="22" t="n">
        <v>-0.407</v>
      </c>
      <c r="G151" s="22" t="n">
        <v>-1.44</v>
      </c>
      <c r="I151" s="22" t="n">
        <v>-1.907</v>
      </c>
      <c r="K151" s="22" t="n">
        <v>-8.468</v>
      </c>
      <c r="M151" s="22" t="n">
        <v>-12.218</v>
      </c>
      <c r="O151" s="22" t="n">
        <v>-0.293</v>
      </c>
      <c r="P151" s="22" t="n">
        <v>-0.495</v>
      </c>
      <c r="Q151" s="22" t="n">
        <v>-0.5570000000000001</v>
      </c>
      <c r="R151" s="22" t="n">
        <v>-0.517</v>
      </c>
      <c r="S151" s="22" t="n">
        <v>-0.501</v>
      </c>
      <c r="T151" s="22" t="n">
        <v>-0.472</v>
      </c>
      <c r="U151" s="22" t="n">
        <v>-0.632</v>
      </c>
      <c r="V151" s="22" t="n">
        <v>-2.951</v>
      </c>
      <c r="W151" s="22" t="n">
        <v>-1.44</v>
      </c>
      <c r="X151" s="22" t="n">
        <v>-8.468</v>
      </c>
    </row>
    <row r="152">
      <c r="A152" s="20" t="inlineStr">
        <is>
          <t>고정자산 수증이익</t>
        </is>
      </c>
      <c r="O152" s="22" t="n">
        <v>0</v>
      </c>
      <c r="P152" s="22" t="n">
        <v>-15.497</v>
      </c>
      <c r="Q152" s="22" t="n">
        <v>0</v>
      </c>
    </row>
    <row r="153">
      <c r="A153" s="20" t="inlineStr">
        <is>
          <t>이자비용</t>
        </is>
      </c>
      <c r="C153" s="22" t="n">
        <v>12.193</v>
      </c>
      <c r="E153" s="22" t="n">
        <v>12.499</v>
      </c>
      <c r="G153" s="22" t="n">
        <v>24.937</v>
      </c>
      <c r="I153" s="22" t="n">
        <v>11.45</v>
      </c>
      <c r="K153" s="22" t="n">
        <v>31.047</v>
      </c>
      <c r="M153" s="22" t="n">
        <v>29.501</v>
      </c>
      <c r="O153" s="22" t="n">
        <v>1.895</v>
      </c>
      <c r="P153" s="22" t="n">
        <v>5.445</v>
      </c>
      <c r="Q153" s="22" t="n">
        <v>11.466</v>
      </c>
      <c r="R153" s="22" t="n">
        <v>11.085</v>
      </c>
      <c r="S153" s="22" t="n">
        <v>10.258</v>
      </c>
      <c r="T153" s="22" t="n">
        <v>10.009</v>
      </c>
      <c r="U153" s="22" t="n">
        <v>9.273</v>
      </c>
      <c r="V153" s="22" t="n">
        <v>12.193</v>
      </c>
      <c r="W153" s="22" t="n">
        <v>24.937</v>
      </c>
      <c r="X153" s="22" t="n">
        <v>31.047</v>
      </c>
    </row>
    <row r="154">
      <c r="A154" s="20" t="inlineStr">
        <is>
          <t>주식교부비</t>
        </is>
      </c>
      <c r="O154" s="22" t="n">
        <v>4.021</v>
      </c>
      <c r="P154" s="22" t="n">
        <v>2.406</v>
      </c>
      <c r="Q154" s="22" t="n">
        <v>0.499</v>
      </c>
      <c r="R154" s="22" t="n">
        <v>0</v>
      </c>
    </row>
    <row r="155">
      <c r="A155" s="20" t="inlineStr">
        <is>
          <t>지분법손익</t>
        </is>
      </c>
      <c r="C155" s="22" t="n">
        <v>4.452</v>
      </c>
      <c r="E155" s="22" t="n">
        <v>1.588</v>
      </c>
      <c r="G155" s="22" t="n">
        <v>-1.893</v>
      </c>
      <c r="I155" s="22" t="n">
        <v>-4.507</v>
      </c>
      <c r="K155" s="22" t="n">
        <v>3.65</v>
      </c>
      <c r="M155" s="22" t="n">
        <v>-4.365</v>
      </c>
      <c r="Q155" s="22" t="n">
        <v>0</v>
      </c>
      <c r="R155" s="22" t="n">
        <v>12.045</v>
      </c>
      <c r="S155" s="22" t="n">
        <v>21.347</v>
      </c>
      <c r="T155" s="22" t="n">
        <v>1.229</v>
      </c>
      <c r="U155" s="22" t="n">
        <v>-47.764</v>
      </c>
      <c r="V155" s="22" t="n">
        <v>4.452</v>
      </c>
      <c r="W155" s="22" t="n">
        <v>-1.893</v>
      </c>
      <c r="X155" s="22" t="n">
        <v>3.65</v>
      </c>
    </row>
    <row r="156">
      <c r="A156" s="20" t="inlineStr">
        <is>
          <t>투자유가증권 매각손익</t>
        </is>
      </c>
      <c r="C156" s="22" t="n">
        <v>0</v>
      </c>
      <c r="T156" s="22" t="n">
        <v>0</v>
      </c>
      <c r="U156" s="22" t="n">
        <v>-18.953</v>
      </c>
      <c r="V156" s="22" t="n">
        <v>0</v>
      </c>
    </row>
    <row r="157">
      <c r="A157" s="20" t="inlineStr">
        <is>
          <t>자산복구부채 환입이익</t>
        </is>
      </c>
      <c r="C157" s="22" t="n">
        <v>0</v>
      </c>
      <c r="T157" s="22" t="n">
        <v>0</v>
      </c>
      <c r="U157" s="22" t="n">
        <v>-2.571</v>
      </c>
      <c r="V157" s="22" t="n">
        <v>0</v>
      </c>
    </row>
    <row r="158">
      <c r="A158" s="20" t="inlineStr">
        <is>
          <t>신주예약권 발행비</t>
        </is>
      </c>
      <c r="C158" s="22" t="n">
        <v>0</v>
      </c>
      <c r="T158" s="22" t="n">
        <v>0</v>
      </c>
      <c r="U158" s="22" t="n">
        <v>11.307</v>
      </c>
      <c r="V158" s="22" t="n">
        <v>0</v>
      </c>
    </row>
    <row r="159">
      <c r="A159" s="20" t="inlineStr">
        <is>
          <t>주식보상비용</t>
        </is>
      </c>
      <c r="C159" s="22" t="n">
        <v>0</v>
      </c>
      <c r="E159" s="22" t="n">
        <v>4.215</v>
      </c>
      <c r="G159" s="22" t="n">
        <v>16.863</v>
      </c>
      <c r="I159" s="22" t="n">
        <v>9.054</v>
      </c>
      <c r="K159" s="22" t="n">
        <v>19.446</v>
      </c>
      <c r="M159" s="22" t="n">
        <v>12.217</v>
      </c>
      <c r="V159" s="22" t="n">
        <v>0</v>
      </c>
      <c r="W159" s="22" t="n">
        <v>16.863</v>
      </c>
      <c r="X159" s="22" t="n">
        <v>19.446</v>
      </c>
    </row>
    <row r="160">
      <c r="A160" s="20" t="inlineStr">
        <is>
          <t>파산갱생채권 증감</t>
        </is>
      </c>
      <c r="C160" s="22" t="n">
        <v>0</v>
      </c>
      <c r="G160" s="22" t="n">
        <v>23.658</v>
      </c>
      <c r="K160" s="22" t="n">
        <v>0</v>
      </c>
      <c r="V160" s="22" t="n">
        <v>0</v>
      </c>
      <c r="W160" s="22" t="n">
        <v>23.658</v>
      </c>
      <c r="X160" s="22" t="n">
        <v>0</v>
      </c>
    </row>
    <row r="161">
      <c r="A161" s="20" t="inlineStr">
        <is>
          <t>손상차손</t>
        </is>
      </c>
      <c r="C161" s="22" t="n">
        <v>0</v>
      </c>
      <c r="G161" s="22" t="n">
        <v>2.516</v>
      </c>
      <c r="K161" s="22" t="n">
        <v>0</v>
      </c>
      <c r="R161" s="22" t="n">
        <v>0</v>
      </c>
      <c r="S161" s="22" t="n">
        <v>33.328</v>
      </c>
      <c r="T161" s="22" t="n">
        <v>18.138</v>
      </c>
      <c r="U161" s="22" t="n">
        <v>0</v>
      </c>
      <c r="V161" s="22" t="n">
        <v>0</v>
      </c>
      <c r="W161" s="22" t="n">
        <v>2.516</v>
      </c>
      <c r="X161" s="22" t="n">
        <v>0</v>
      </c>
    </row>
    <row r="162">
      <c r="A162" s="20" t="inlineStr">
        <is>
          <t>유형자산 매각손익</t>
        </is>
      </c>
      <c r="I162" s="22" t="n">
        <v>0</v>
      </c>
      <c r="M162" s="22" t="n">
        <v>-84.26000000000001</v>
      </c>
    </row>
    <row r="163">
      <c r="A163" s="20" t="inlineStr">
        <is>
          <t>매출채권 증감</t>
        </is>
      </c>
      <c r="C163" s="22" t="n">
        <v>-21.635</v>
      </c>
      <c r="E163" s="22" t="n">
        <v>19.03</v>
      </c>
      <c r="G163" s="22" t="n">
        <v>-145.688</v>
      </c>
      <c r="I163" s="22" t="n">
        <v>-220.886</v>
      </c>
      <c r="K163" s="22" t="n">
        <v>79.113</v>
      </c>
      <c r="M163" s="22" t="n">
        <v>-111.853</v>
      </c>
      <c r="O163" s="22" t="n">
        <v>19.204</v>
      </c>
      <c r="P163" s="22" t="n">
        <v>-23.328</v>
      </c>
      <c r="Q163" s="22" t="n">
        <v>39.95</v>
      </c>
      <c r="R163" s="22" t="n">
        <v>-3.472</v>
      </c>
      <c r="S163" s="22" t="n">
        <v>4.803</v>
      </c>
      <c r="T163" s="22" t="n">
        <v>-3.12</v>
      </c>
      <c r="U163" s="22" t="n">
        <v>-38.698</v>
      </c>
      <c r="V163" s="22" t="n">
        <v>-21.635</v>
      </c>
      <c r="W163" s="22" t="n">
        <v>-145.688</v>
      </c>
      <c r="X163" s="22" t="n">
        <v>79.113</v>
      </c>
    </row>
    <row r="164">
      <c r="A164" s="20" t="inlineStr">
        <is>
          <t>재고자산 증감</t>
        </is>
      </c>
      <c r="C164" s="22" t="n">
        <v>-490.391</v>
      </c>
      <c r="E164" s="22" t="n">
        <v>-1165.822</v>
      </c>
      <c r="G164" s="22" t="n">
        <v>278.171</v>
      </c>
      <c r="I164" s="22" t="n">
        <v>-74.40600000000001</v>
      </c>
      <c r="K164" s="22" t="n">
        <v>-1487.718</v>
      </c>
      <c r="M164" s="22" t="n">
        <v>-1247.292</v>
      </c>
      <c r="O164" s="22" t="n">
        <v>83.40900000000001</v>
      </c>
      <c r="P164" s="22" t="n">
        <v>-851.909</v>
      </c>
      <c r="Q164" s="22" t="n">
        <v>-131.352</v>
      </c>
      <c r="R164" s="22" t="n">
        <v>702.905</v>
      </c>
      <c r="S164" s="22" t="n">
        <v>-1518.497</v>
      </c>
      <c r="T164" s="22" t="n">
        <v>1542.654</v>
      </c>
      <c r="U164" s="22" t="n">
        <v>-1069.856</v>
      </c>
      <c r="V164" s="22" t="n">
        <v>-490.391</v>
      </c>
      <c r="W164" s="22" t="n">
        <v>278.171</v>
      </c>
      <c r="X164" s="22" t="n">
        <v>-1487.718</v>
      </c>
    </row>
    <row r="165">
      <c r="A165" s="20" t="inlineStr">
        <is>
          <t>매입채무 증감</t>
        </is>
      </c>
      <c r="C165" s="22" t="n">
        <v>-68.447</v>
      </c>
      <c r="E165" s="22" t="n">
        <v>-192.968</v>
      </c>
      <c r="G165" s="22" t="n">
        <v>480.803</v>
      </c>
      <c r="I165" s="22" t="n">
        <v>-400.143</v>
      </c>
      <c r="K165" s="22" t="n">
        <v>-137.069</v>
      </c>
      <c r="M165" s="22" t="n">
        <v>-304.375</v>
      </c>
      <c r="O165" s="22" t="n">
        <v>-7.75</v>
      </c>
      <c r="P165" s="22" t="n">
        <v>139.946</v>
      </c>
      <c r="Q165" s="22" t="n">
        <v>-13.06</v>
      </c>
      <c r="R165" s="22" t="n">
        <v>35.108</v>
      </c>
      <c r="S165" s="22" t="n">
        <v>1.557</v>
      </c>
      <c r="T165" s="22" t="n">
        <v>-37.586</v>
      </c>
      <c r="U165" s="22" t="n">
        <v>289.962</v>
      </c>
      <c r="V165" s="22" t="n">
        <v>-68.447</v>
      </c>
      <c r="W165" s="22" t="n">
        <v>480.803</v>
      </c>
      <c r="X165" s="22" t="n">
        <v>-137.069</v>
      </c>
    </row>
    <row r="166">
      <c r="A166" s="20" t="inlineStr">
        <is>
          <t>고정자산 매각이익</t>
        </is>
      </c>
      <c r="E166" s="22" t="n">
        <v>-1.999</v>
      </c>
      <c r="I166" s="22" t="n">
        <v>0</v>
      </c>
    </row>
    <row r="167">
      <c r="A167" s="20" t="inlineStr">
        <is>
          <t>주식급부신탁 종료손익</t>
        </is>
      </c>
      <c r="I167" s="22" t="n">
        <v>0</v>
      </c>
      <c r="M167" s="22" t="n">
        <v>97.248</v>
      </c>
    </row>
    <row r="168">
      <c r="A168" s="20" t="inlineStr">
        <is>
          <t>상여충당금 증감</t>
        </is>
      </c>
      <c r="G168" s="22" t="n">
        <v>0</v>
      </c>
      <c r="I168" s="22" t="n">
        <v>0</v>
      </c>
      <c r="K168" s="22" t="n">
        <v>72.215</v>
      </c>
      <c r="M168" s="22" t="n">
        <v>-72.215</v>
      </c>
      <c r="W168" s="22" t="n">
        <v>0</v>
      </c>
      <c r="X168" s="22" t="n">
        <v>72.215</v>
      </c>
    </row>
    <row r="169">
      <c r="A169" s="20" t="inlineStr">
        <is>
          <t>임원 상여충당금 증감</t>
        </is>
      </c>
      <c r="G169" s="22" t="n">
        <v>0</v>
      </c>
      <c r="I169" s="22" t="n">
        <v>0</v>
      </c>
      <c r="K169" s="22" t="n">
        <v>13.19</v>
      </c>
      <c r="M169" s="22" t="n">
        <v>-13.19</v>
      </c>
      <c r="W169" s="22" t="n">
        <v>0</v>
      </c>
      <c r="X169" s="22" t="n">
        <v>13.19</v>
      </c>
    </row>
    <row r="170">
      <c r="A170" s="20" t="inlineStr">
        <is>
          <t>투자유가증권 평가손익</t>
        </is>
      </c>
      <c r="I170" s="22" t="n">
        <v>0</v>
      </c>
      <c r="M170" s="22" t="n">
        <v>7.716</v>
      </c>
      <c r="Q170" s="22" t="n">
        <v>0</v>
      </c>
      <c r="R170" s="22" t="n">
        <v>100.991</v>
      </c>
      <c r="S170" s="22" t="n">
        <v>0</v>
      </c>
      <c r="T170" s="22" t="n">
        <v>55.794</v>
      </c>
      <c r="U170" s="22" t="n">
        <v>0</v>
      </c>
    </row>
    <row r="171">
      <c r="A171" s="20" t="inlineStr">
        <is>
          <t>보상금 수취</t>
        </is>
      </c>
      <c r="I171" s="22" t="n">
        <v>0</v>
      </c>
      <c r="M171" s="22" t="n">
        <v>-150</v>
      </c>
    </row>
    <row r="172">
      <c r="A172" s="20" t="inlineStr">
        <is>
          <t>보조금 수입</t>
        </is>
      </c>
      <c r="C172" s="22" t="n">
        <v>0</v>
      </c>
      <c r="E172" s="22" t="n">
        <v>0</v>
      </c>
      <c r="I172" s="22" t="n">
        <v>-10.296</v>
      </c>
      <c r="M172" s="22" t="n">
        <v>0</v>
      </c>
      <c r="T172" s="22" t="n">
        <v>0</v>
      </c>
      <c r="U172" s="22" t="n">
        <v>-2.5</v>
      </c>
      <c r="V172" s="22" t="n">
        <v>0</v>
      </c>
    </row>
    <row r="173">
      <c r="A173" s="20" t="inlineStr">
        <is>
          <t>선수금 증감</t>
        </is>
      </c>
      <c r="C173" s="22" t="n">
        <v>-245.86</v>
      </c>
      <c r="E173" s="22" t="n">
        <v>1208.091</v>
      </c>
      <c r="G173" s="22" t="n">
        <v>867.277</v>
      </c>
      <c r="I173" s="22" t="n">
        <v>-22.691</v>
      </c>
      <c r="K173" s="22" t="n">
        <v>575.292</v>
      </c>
      <c r="M173" s="22" t="n">
        <v>-810.5839999999999</v>
      </c>
      <c r="O173" s="22" t="n">
        <v>-99.008</v>
      </c>
      <c r="P173" s="22" t="n">
        <v>31.705</v>
      </c>
      <c r="Q173" s="22" t="n">
        <v>637.782</v>
      </c>
      <c r="R173" s="22" t="n">
        <v>10.72</v>
      </c>
      <c r="S173" s="22" t="n">
        <v>-416.139</v>
      </c>
      <c r="T173" s="22" t="n">
        <v>542.446</v>
      </c>
      <c r="U173" s="22" t="n">
        <v>-523.692</v>
      </c>
      <c r="V173" s="22" t="n">
        <v>-245.86</v>
      </c>
      <c r="W173" s="22" t="n">
        <v>867.277</v>
      </c>
      <c r="X173" s="22" t="n">
        <v>575.292</v>
      </c>
    </row>
    <row r="174">
      <c r="A174" s="20" t="inlineStr">
        <is>
          <t>예수금 증감</t>
        </is>
      </c>
      <c r="C174" s="22" t="n">
        <v>2.137</v>
      </c>
      <c r="E174" s="22" t="n">
        <v>2.519</v>
      </c>
      <c r="G174" s="22" t="n">
        <v>5.227</v>
      </c>
      <c r="I174" s="22" t="n">
        <v>18.377</v>
      </c>
      <c r="K174" s="22" t="n">
        <v>20.069</v>
      </c>
      <c r="M174" s="22" t="n">
        <v>25.252</v>
      </c>
      <c r="O174" s="22" t="n">
        <v>0</v>
      </c>
      <c r="P174" s="22" t="n">
        <v>-25.33</v>
      </c>
      <c r="Q174" s="22" t="n">
        <v>-67.90600000000001</v>
      </c>
      <c r="R174" s="22" t="n">
        <v>4.555</v>
      </c>
      <c r="S174" s="22" t="n">
        <v>-2.127</v>
      </c>
      <c r="T174" s="22" t="n">
        <v>-1.538</v>
      </c>
      <c r="U174" s="22" t="n">
        <v>3.259</v>
      </c>
      <c r="V174" s="22" t="n">
        <v>2.137</v>
      </c>
      <c r="W174" s="22" t="n">
        <v>5.227</v>
      </c>
      <c r="X174" s="22" t="n">
        <v>20.069</v>
      </c>
    </row>
    <row r="175">
      <c r="A175" s="20" t="inlineStr">
        <is>
          <t>차입보증금 증감액(△는 증가)</t>
        </is>
      </c>
      <c r="C175" s="22" t="n">
        <v>5.546</v>
      </c>
      <c r="E175" s="22" t="n">
        <v>-7.906</v>
      </c>
      <c r="G175" s="22" t="n">
        <v>-15.867</v>
      </c>
      <c r="I175" s="22" t="n">
        <v>2.778</v>
      </c>
      <c r="K175" s="22" t="n">
        <v>-37.719</v>
      </c>
      <c r="M175" s="22" t="n">
        <v>52.985</v>
      </c>
      <c r="O175" s="22" t="n">
        <v>-49.799</v>
      </c>
      <c r="P175" s="22" t="n">
        <v>-41.78</v>
      </c>
      <c r="Q175" s="22" t="n">
        <v>-11.414</v>
      </c>
      <c r="R175" s="22" t="n">
        <v>-4.917</v>
      </c>
      <c r="S175" s="22" t="n">
        <v>2.111</v>
      </c>
      <c r="T175" s="22" t="n">
        <v>-8.587999999999999</v>
      </c>
      <c r="U175" s="22" t="n">
        <v>4.182</v>
      </c>
      <c r="V175" s="22" t="n">
        <v>5.546</v>
      </c>
      <c r="W175" s="22" t="n">
        <v>-15.867</v>
      </c>
      <c r="X175" s="22" t="n">
        <v>-37.719</v>
      </c>
    </row>
    <row r="176">
      <c r="A176" s="20" t="inlineStr">
        <is>
          <t>장기 예수보증금 증감액</t>
        </is>
      </c>
      <c r="C176" s="22" t="n">
        <v>22.968</v>
      </c>
      <c r="E176" s="22" t="n">
        <v>2.858</v>
      </c>
      <c r="G176" s="22" t="n">
        <v>21.256</v>
      </c>
      <c r="I176" s="22" t="n">
        <v>16.881</v>
      </c>
      <c r="K176" s="22" t="n">
        <v>37.645</v>
      </c>
      <c r="M176" s="22" t="n">
        <v>25.329</v>
      </c>
      <c r="O176" s="22" t="n">
        <v>6.642</v>
      </c>
      <c r="P176" s="22" t="n">
        <v>15.936</v>
      </c>
      <c r="Q176" s="22" t="n">
        <v>28.813</v>
      </c>
      <c r="R176" s="22" t="n">
        <v>24.324</v>
      </c>
      <c r="S176" s="22" t="n">
        <v>19.605</v>
      </c>
      <c r="T176" s="22" t="n">
        <v>-9.191000000000001</v>
      </c>
      <c r="U176" s="22" t="n">
        <v>4.51</v>
      </c>
      <c r="V176" s="22" t="n">
        <v>22.968</v>
      </c>
      <c r="W176" s="22" t="n">
        <v>21.256</v>
      </c>
      <c r="X176" s="22" t="n">
        <v>37.645</v>
      </c>
    </row>
    <row r="177">
      <c r="A177" s="20" t="inlineStr">
        <is>
          <t>기타</t>
        </is>
      </c>
      <c r="C177" s="22" t="n">
        <v>44.905</v>
      </c>
      <c r="E177" s="22" t="n">
        <v>-20.213</v>
      </c>
      <c r="G177" s="22" t="n">
        <v>90.321</v>
      </c>
      <c r="I177" s="22" t="n">
        <v>-51.51</v>
      </c>
      <c r="K177" s="22" t="n">
        <v>-89.94</v>
      </c>
      <c r="M177" s="22" t="n">
        <v>-57.456</v>
      </c>
      <c r="O177" s="22" t="n">
        <v>68.455</v>
      </c>
      <c r="P177" s="22" t="n">
        <v>88.503</v>
      </c>
      <c r="Q177" s="22" t="n">
        <v>67.687</v>
      </c>
      <c r="R177" s="22" t="n">
        <v>36.621</v>
      </c>
      <c r="S177" s="22" t="n">
        <v>-214.647</v>
      </c>
      <c r="T177" s="22" t="n">
        <v>367.719</v>
      </c>
      <c r="U177" s="22" t="n">
        <v>-157.933</v>
      </c>
      <c r="V177" s="22" t="n">
        <v>44.905</v>
      </c>
      <c r="W177" s="22" t="n">
        <v>90.321</v>
      </c>
      <c r="X177" s="22" t="n">
        <v>-89.94</v>
      </c>
    </row>
    <row r="178">
      <c r="A178" s="20" t="inlineStr">
        <is>
          <t>소계</t>
        </is>
      </c>
      <c r="C178" s="22" t="n">
        <v>-468.812</v>
      </c>
      <c r="E178" s="22" t="n">
        <v>-303.775</v>
      </c>
      <c r="G178" s="22" t="n">
        <v>2095.131</v>
      </c>
      <c r="I178" s="22" t="n">
        <v>-489.298</v>
      </c>
      <c r="K178" s="22" t="n">
        <v>-279.238</v>
      </c>
      <c r="M178" s="22" t="n">
        <v>-2570.304</v>
      </c>
      <c r="O178" s="22" t="n">
        <v>254.395</v>
      </c>
      <c r="P178" s="22" t="n">
        <v>-357.14</v>
      </c>
      <c r="Q178" s="22" t="n">
        <v>1202.757</v>
      </c>
      <c r="R178" s="22" t="n">
        <v>1959.22</v>
      </c>
      <c r="S178" s="22" t="n">
        <v>-1930.972</v>
      </c>
      <c r="T178" s="22" t="n">
        <v>3180.843</v>
      </c>
      <c r="U178" s="22" t="n">
        <v>-1257.661</v>
      </c>
      <c r="V178" s="22" t="n">
        <v>-468.812</v>
      </c>
      <c r="W178" s="22" t="n">
        <v>2095.131</v>
      </c>
      <c r="X178" s="22" t="n">
        <v>-279.238</v>
      </c>
    </row>
    <row r="179">
      <c r="A179" s="20" t="inlineStr">
        <is>
          <t>이자·배당금 수취</t>
        </is>
      </c>
      <c r="C179" s="22" t="n">
        <v>0.109</v>
      </c>
      <c r="E179" s="22" t="n">
        <v>0.018</v>
      </c>
      <c r="G179" s="22" t="n">
        <v>1.621</v>
      </c>
      <c r="I179" s="22" t="n">
        <v>1.776</v>
      </c>
      <c r="K179" s="22" t="n">
        <v>8.243</v>
      </c>
      <c r="M179" s="22" t="n">
        <v>9.315</v>
      </c>
      <c r="O179" s="22" t="n">
        <v>0.293</v>
      </c>
      <c r="P179" s="22" t="n">
        <v>0.495</v>
      </c>
      <c r="Q179" s="22" t="n">
        <v>0.16</v>
      </c>
      <c r="R179" s="22" t="n">
        <v>0.14</v>
      </c>
      <c r="S179" s="22" t="n">
        <v>0.143</v>
      </c>
      <c r="T179" s="22" t="n">
        <v>0.135</v>
      </c>
      <c r="U179" s="22" t="n">
        <v>0.128</v>
      </c>
      <c r="V179" s="22" t="n">
        <v>0.109</v>
      </c>
      <c r="W179" s="22" t="n">
        <v>1.621</v>
      </c>
      <c r="X179" s="22" t="n">
        <v>8.243</v>
      </c>
    </row>
    <row r="180">
      <c r="A180" s="20" t="inlineStr">
        <is>
          <t>이자 지급</t>
        </is>
      </c>
      <c r="C180" s="22" t="n">
        <v>-13.855</v>
      </c>
      <c r="E180" s="22" t="n">
        <v>-12.291</v>
      </c>
      <c r="G180" s="22" t="n">
        <v>-24.73</v>
      </c>
      <c r="I180" s="22" t="n">
        <v>-15.297</v>
      </c>
      <c r="K180" s="22" t="n">
        <v>-32.503</v>
      </c>
      <c r="M180" s="22" t="n">
        <v>-29.983</v>
      </c>
      <c r="O180" s="22" t="n">
        <v>-1.895</v>
      </c>
      <c r="P180" s="22" t="n">
        <v>-6.365</v>
      </c>
      <c r="Q180" s="22" t="n">
        <v>-10.627</v>
      </c>
      <c r="R180" s="22" t="n">
        <v>-11.004</v>
      </c>
      <c r="S180" s="22" t="n">
        <v>-10.493</v>
      </c>
      <c r="T180" s="22" t="n">
        <v>-9.847</v>
      </c>
      <c r="U180" s="22" t="n">
        <v>-9.388999999999999</v>
      </c>
      <c r="V180" s="22" t="n">
        <v>-13.855</v>
      </c>
      <c r="W180" s="22" t="n">
        <v>-24.73</v>
      </c>
      <c r="X180" s="22" t="n">
        <v>-32.503</v>
      </c>
    </row>
    <row r="181">
      <c r="A181" s="20" t="inlineStr">
        <is>
          <t>법인세 납부</t>
        </is>
      </c>
      <c r="O181" s="22" t="n">
        <v>-8.132999999999999</v>
      </c>
      <c r="P181" s="22" t="n">
        <v>-85.322</v>
      </c>
      <c r="Q181" s="22" t="n">
        <v>-160.777</v>
      </c>
      <c r="R181" s="22" t="n">
        <v>-252.428</v>
      </c>
      <c r="S181" s="22" t="n">
        <v>-497.288</v>
      </c>
    </row>
    <row r="182">
      <c r="A182" s="20" t="inlineStr">
        <is>
          <t>법인세 납부·환급</t>
        </is>
      </c>
      <c r="C182" s="22" t="n">
        <v>-58.791</v>
      </c>
      <c r="E182" s="22" t="n">
        <v>21.631</v>
      </c>
      <c r="G182" s="22" t="n">
        <v>4.068</v>
      </c>
      <c r="I182" s="22" t="n">
        <v>-95.627</v>
      </c>
      <c r="K182" s="22" t="n">
        <v>-149.617</v>
      </c>
      <c r="M182" s="22" t="n">
        <v>-141.522</v>
      </c>
      <c r="S182" s="22" t="n">
        <v>-497.288</v>
      </c>
      <c r="T182" s="22" t="n">
        <v>119.983</v>
      </c>
      <c r="U182" s="22" t="n">
        <v>-398.961</v>
      </c>
      <c r="V182" s="22" t="n">
        <v>-58.791</v>
      </c>
      <c r="W182" s="22" t="n">
        <v>4.068</v>
      </c>
      <c r="X182" s="22" t="n">
        <v>-149.617</v>
      </c>
    </row>
    <row r="183">
      <c r="A183" s="20" t="inlineStr">
        <is>
          <t>보상금 수취</t>
        </is>
      </c>
      <c r="I183" s="22" t="n">
        <v>0</v>
      </c>
      <c r="M183" s="22" t="n">
        <v>50</v>
      </c>
    </row>
    <row r="184">
      <c r="A184" s="20" t="inlineStr">
        <is>
          <t>보조금 수취</t>
        </is>
      </c>
      <c r="C184" s="22" t="n">
        <v>0</v>
      </c>
      <c r="E184" s="22" t="n">
        <v>0</v>
      </c>
      <c r="G184" s="22" t="n">
        <v>0</v>
      </c>
      <c r="I184" s="22" t="n">
        <v>10.296</v>
      </c>
      <c r="K184" s="22" t="n">
        <v>10.296</v>
      </c>
      <c r="M184" s="22" t="n">
        <v>0</v>
      </c>
      <c r="T184" s="22" t="n">
        <v>0</v>
      </c>
      <c r="U184" s="22" t="n">
        <v>2.5</v>
      </c>
      <c r="V184" s="22" t="n">
        <v>0</v>
      </c>
      <c r="W184" s="22" t="n">
        <v>0</v>
      </c>
      <c r="X184" s="22" t="n">
        <v>10.296</v>
      </c>
    </row>
    <row r="185">
      <c r="A185" s="9" t="inlineStr">
        <is>
          <t>영업활동 현금흐름</t>
        </is>
      </c>
      <c r="C185" s="12" t="n">
        <v>-541.35</v>
      </c>
      <c r="E185" s="12" t="n">
        <v>-294.417</v>
      </c>
      <c r="G185" s="12" t="n">
        <v>2076.091</v>
      </c>
      <c r="I185" s="12" t="n">
        <v>-588.151</v>
      </c>
      <c r="K185" s="12" t="n">
        <v>-442.819</v>
      </c>
      <c r="M185" s="12" t="n">
        <v>-2682.495</v>
      </c>
      <c r="O185" s="12" t="n">
        <v>244.661</v>
      </c>
      <c r="P185" s="12" t="n">
        <v>-448.332</v>
      </c>
      <c r="Q185" s="12" t="n">
        <v>1031.513</v>
      </c>
      <c r="R185" s="12" t="n">
        <v>1695.928</v>
      </c>
      <c r="S185" s="12" t="n">
        <v>-2438.611</v>
      </c>
      <c r="T185" s="12" t="n">
        <v>3291.115</v>
      </c>
      <c r="U185" s="12" t="n">
        <v>-1663.383</v>
      </c>
      <c r="V185" s="12" t="n">
        <v>-541.35</v>
      </c>
      <c r="W185" s="12" t="n">
        <v>2076.091</v>
      </c>
      <c r="X185" s="12" t="n">
        <v>-442.819</v>
      </c>
    </row>
    <row r="186">
      <c r="A186" s="20" t="inlineStr">
        <is>
          <t>유형자산 취득(설비투자)</t>
        </is>
      </c>
      <c r="C186" s="22" t="n">
        <v>-100.33</v>
      </c>
      <c r="E186" s="22" t="n">
        <v>-3.3</v>
      </c>
      <c r="G186" s="22" t="n">
        <v>-17.683</v>
      </c>
      <c r="I186" s="22" t="n">
        <v>-36.003</v>
      </c>
      <c r="K186" s="22" t="n">
        <v>-39.728</v>
      </c>
      <c r="M186" s="22" t="n">
        <v>-119.423</v>
      </c>
      <c r="O186" s="22" t="n">
        <v>-36.049</v>
      </c>
      <c r="P186" s="22" t="n">
        <v>-44.64</v>
      </c>
      <c r="Q186" s="22" t="n">
        <v>-43.915</v>
      </c>
      <c r="R186" s="22" t="n">
        <v>-26.258</v>
      </c>
      <c r="S186" s="22" t="n">
        <v>-43.572</v>
      </c>
      <c r="T186" s="22" t="n">
        <v>-8.076000000000001</v>
      </c>
      <c r="U186" s="22" t="n">
        <v>-1.596</v>
      </c>
      <c r="V186" s="22" t="n">
        <v>-100.33</v>
      </c>
      <c r="W186" s="22" t="n">
        <v>-17.683</v>
      </c>
      <c r="X186" s="22" t="n">
        <v>-39.728</v>
      </c>
    </row>
    <row r="187">
      <c r="A187" s="20" t="inlineStr">
        <is>
          <t>유형자산 매각</t>
        </is>
      </c>
      <c r="C187" s="22" t="n">
        <v>0</v>
      </c>
      <c r="E187" s="22" t="n">
        <v>2</v>
      </c>
      <c r="G187" s="22" t="n">
        <v>2.263</v>
      </c>
      <c r="I187" s="22" t="n">
        <v>0</v>
      </c>
      <c r="K187" s="22" t="n">
        <v>0</v>
      </c>
      <c r="M187" s="22" t="n">
        <v>130</v>
      </c>
      <c r="V187" s="22" t="n">
        <v>0</v>
      </c>
      <c r="W187" s="22" t="n">
        <v>2.263</v>
      </c>
      <c r="X187" s="22" t="n">
        <v>0</v>
      </c>
    </row>
    <row r="188">
      <c r="A188" s="20" t="inlineStr">
        <is>
          <t>투자유가증권 취득</t>
        </is>
      </c>
      <c r="C188" s="22" t="n">
        <v>-7.18</v>
      </c>
      <c r="G188" s="22" t="n">
        <v>-10</v>
      </c>
      <c r="I188" s="22" t="n">
        <v>0</v>
      </c>
      <c r="K188" s="22" t="n">
        <v>-698.456</v>
      </c>
      <c r="M188" s="22" t="n">
        <v>-315.373</v>
      </c>
      <c r="P188" s="22" t="n">
        <v>0</v>
      </c>
      <c r="Q188" s="22" t="n">
        <v>-332.191</v>
      </c>
      <c r="R188" s="22" t="n">
        <v>0</v>
      </c>
      <c r="T188" s="22" t="n">
        <v>0</v>
      </c>
      <c r="U188" s="22" t="n">
        <v>-0</v>
      </c>
      <c r="V188" s="22" t="n">
        <v>-7.18</v>
      </c>
      <c r="W188" s="22" t="n">
        <v>-10</v>
      </c>
      <c r="X188" s="22" t="n">
        <v>-698.456</v>
      </c>
    </row>
    <row r="189">
      <c r="A189" s="20" t="inlineStr">
        <is>
          <t>대여금 회수</t>
        </is>
      </c>
      <c r="C189" s="22" t="n">
        <v>0</v>
      </c>
      <c r="G189" s="22" t="n">
        <v>23</v>
      </c>
      <c r="I189" s="22" t="n">
        <v>0</v>
      </c>
      <c r="K189" s="22" t="n">
        <v>1</v>
      </c>
      <c r="M189" s="22" t="n">
        <v>3</v>
      </c>
      <c r="O189" s="22" t="n">
        <v>13.838</v>
      </c>
      <c r="P189" s="22" t="n">
        <v>0</v>
      </c>
      <c r="V189" s="22" t="n">
        <v>0</v>
      </c>
      <c r="W189" s="22" t="n">
        <v>23</v>
      </c>
      <c r="X189" s="22" t="n">
        <v>1</v>
      </c>
    </row>
    <row r="190">
      <c r="A190" s="20" t="inlineStr">
        <is>
          <t>투자유가증권 상환</t>
        </is>
      </c>
      <c r="I190" s="22" t="n">
        <v>0</v>
      </c>
      <c r="M190" s="22" t="n">
        <v>300</v>
      </c>
    </row>
    <row r="191">
      <c r="A191" s="20" t="inlineStr">
        <is>
          <t>무형자산 취득</t>
        </is>
      </c>
      <c r="C191" s="22" t="n">
        <v>-31.631</v>
      </c>
      <c r="G191" s="22" t="n">
        <v>0</v>
      </c>
      <c r="I191" s="22" t="n">
        <v>0</v>
      </c>
      <c r="M191" s="22" t="n">
        <v>-0.98</v>
      </c>
      <c r="O191" s="22" t="n">
        <v>-3.845</v>
      </c>
      <c r="P191" s="22" t="n">
        <v>-2.1</v>
      </c>
      <c r="Q191" s="22" t="n">
        <v>-16.35</v>
      </c>
      <c r="R191" s="22" t="n">
        <v>-11.47</v>
      </c>
      <c r="S191" s="22" t="n">
        <v>0</v>
      </c>
      <c r="T191" s="22" t="n">
        <v>-0.26</v>
      </c>
      <c r="U191" s="22" t="n">
        <v>-5.607</v>
      </c>
      <c r="V191" s="22" t="n">
        <v>-31.631</v>
      </c>
      <c r="W191" s="22" t="n">
        <v>0</v>
      </c>
    </row>
    <row r="192">
      <c r="A192" s="20" t="inlineStr">
        <is>
          <t>연결범위 변경 자회사 주식 취득</t>
        </is>
      </c>
      <c r="Q192" s="22" t="n">
        <v>0</v>
      </c>
      <c r="R192" s="22" t="n">
        <v>-184.847</v>
      </c>
      <c r="S192" s="22" t="n">
        <v>0</v>
      </c>
    </row>
    <row r="193">
      <c r="A193" s="20" t="inlineStr">
        <is>
          <t>장기대여</t>
        </is>
      </c>
      <c r="C193" s="22" t="n">
        <v>-22</v>
      </c>
      <c r="G193" s="22" t="n">
        <v>0</v>
      </c>
      <c r="T193" s="22" t="n">
        <v>0</v>
      </c>
      <c r="U193" s="22" t="n">
        <v>-23</v>
      </c>
      <c r="V193" s="22" t="n">
        <v>-22</v>
      </c>
      <c r="W193" s="22" t="n">
        <v>0</v>
      </c>
    </row>
    <row r="194">
      <c r="A194" s="20" t="inlineStr">
        <is>
          <t>단기대여 지출</t>
        </is>
      </c>
      <c r="C194" s="22" t="n">
        <v>-30</v>
      </c>
      <c r="G194" s="22" t="n">
        <v>0</v>
      </c>
      <c r="U194" s="22" t="n">
        <v>0</v>
      </c>
      <c r="V194" s="22" t="n">
        <v>-30</v>
      </c>
      <c r="W194" s="22" t="n">
        <v>0</v>
      </c>
    </row>
    <row r="195">
      <c r="A195" s="20" t="inlineStr">
        <is>
          <t>투자유가증권 매각</t>
        </is>
      </c>
      <c r="C195" s="22" t="n">
        <v>0</v>
      </c>
      <c r="T195" s="22" t="n">
        <v>0</v>
      </c>
      <c r="U195" s="22" t="n">
        <v>53.795</v>
      </c>
      <c r="V195" s="22" t="n">
        <v>0</v>
      </c>
    </row>
    <row r="196">
      <c r="A196" s="20" t="inlineStr">
        <is>
          <t>연결범위 변경 자회사 주식 취득(수입)</t>
        </is>
      </c>
      <c r="S196" s="22" t="n">
        <v>0</v>
      </c>
      <c r="T196" s="22" t="n">
        <v>1.106</v>
      </c>
      <c r="U196" s="22" t="n">
        <v>0</v>
      </c>
    </row>
    <row r="197">
      <c r="A197" s="20" t="inlineStr">
        <is>
          <t>기타</t>
        </is>
      </c>
      <c r="O197" s="22" t="n">
        <v>-0.298</v>
      </c>
      <c r="P197" s="22" t="n">
        <v>-0.298</v>
      </c>
      <c r="Q197" s="22" t="n">
        <v>0.723</v>
      </c>
      <c r="R197" s="22" t="n">
        <v>0</v>
      </c>
      <c r="S197" s="22" t="n">
        <v>0.07000000000000001</v>
      </c>
      <c r="T197" s="22" t="n">
        <v>1</v>
      </c>
      <c r="U197" s="22" t="n">
        <v>0</v>
      </c>
    </row>
    <row r="198">
      <c r="A198" s="20" t="inlineStr">
        <is>
          <t>출자금 납입</t>
        </is>
      </c>
      <c r="C198" s="22" t="n">
        <v>0</v>
      </c>
      <c r="E198" s="22" t="n">
        <v>0</v>
      </c>
      <c r="G198" s="22" t="n">
        <v>-49.762</v>
      </c>
      <c r="I198" s="22" t="n">
        <v>-1.142</v>
      </c>
      <c r="K198" s="22" t="n">
        <v>-15.285</v>
      </c>
      <c r="M198" s="22" t="n">
        <v>0</v>
      </c>
      <c r="V198" s="22" t="n">
        <v>0</v>
      </c>
      <c r="W198" s="22" t="n">
        <v>-49.762</v>
      </c>
      <c r="X198" s="22" t="n">
        <v>-15.285</v>
      </c>
    </row>
    <row r="199">
      <c r="A199" s="20" t="inlineStr">
        <is>
          <t>자산복구부채 이행 지출</t>
        </is>
      </c>
      <c r="G199" s="22" t="n">
        <v>-2.79</v>
      </c>
      <c r="K199" s="22" t="n">
        <v>0</v>
      </c>
      <c r="O199" s="22" t="n">
        <v>0</v>
      </c>
      <c r="P199" s="22" t="n">
        <v>-10.906</v>
      </c>
      <c r="Q199" s="22" t="n">
        <v>0</v>
      </c>
      <c r="W199" s="22" t="n">
        <v>-2.79</v>
      </c>
      <c r="X199" s="22" t="n">
        <v>0</v>
      </c>
    </row>
    <row r="200">
      <c r="A200" s="20" t="inlineStr">
        <is>
          <t>정기예금 예입</t>
        </is>
      </c>
      <c r="C200" s="22" t="n">
        <v>-307</v>
      </c>
      <c r="G200" s="22" t="n">
        <v>0</v>
      </c>
      <c r="I200" s="22" t="n">
        <v>0</v>
      </c>
      <c r="K200" s="22" t="n">
        <v>-110</v>
      </c>
      <c r="M200" s="22" t="n">
        <v>-50</v>
      </c>
      <c r="U200" s="22" t="n">
        <v>0</v>
      </c>
      <c r="V200" s="22" t="n">
        <v>-307</v>
      </c>
      <c r="W200" s="22" t="n">
        <v>0</v>
      </c>
      <c r="X200" s="22" t="n">
        <v>-110</v>
      </c>
    </row>
    <row r="201">
      <c r="A201" s="20" t="inlineStr">
        <is>
          <t>정기예금 인출</t>
        </is>
      </c>
      <c r="C201" s="22" t="n">
        <v>0</v>
      </c>
      <c r="E201" s="22" t="n">
        <v>307</v>
      </c>
      <c r="G201" s="22" t="n">
        <v>307</v>
      </c>
      <c r="I201" s="22" t="n">
        <v>0</v>
      </c>
      <c r="K201" s="22" t="n">
        <v>0</v>
      </c>
      <c r="V201" s="22" t="n">
        <v>0</v>
      </c>
      <c r="W201" s="22" t="n">
        <v>307</v>
      </c>
      <c r="X201" s="22" t="n">
        <v>0</v>
      </c>
    </row>
    <row r="202">
      <c r="A202" s="20" t="inlineStr">
        <is>
          <t>관계회사 정리 수입</t>
        </is>
      </c>
      <c r="C202" s="22" t="n">
        <v>0</v>
      </c>
      <c r="G202" s="22" t="n">
        <v>102.201</v>
      </c>
      <c r="K202" s="22" t="n">
        <v>0</v>
      </c>
      <c r="V202" s="22" t="n">
        <v>0</v>
      </c>
      <c r="W202" s="22" t="n">
        <v>102.201</v>
      </c>
      <c r="X202" s="22" t="n">
        <v>0</v>
      </c>
    </row>
    <row r="203">
      <c r="A203" s="9" t="inlineStr">
        <is>
          <t>투자활동 현금흐름</t>
        </is>
      </c>
      <c r="C203" s="12" t="n">
        <v>-498.142</v>
      </c>
      <c r="E203" s="12" t="n">
        <v>305.7</v>
      </c>
      <c r="G203" s="12" t="n">
        <v>354.228</v>
      </c>
      <c r="I203" s="12" t="n">
        <v>-37.146</v>
      </c>
      <c r="K203" s="12" t="n">
        <v>-862.4690000000001</v>
      </c>
      <c r="M203" s="12" t="n">
        <v>-52.776</v>
      </c>
      <c r="O203" s="12" t="n">
        <v>-26.355</v>
      </c>
      <c r="P203" s="12" t="n">
        <v>-57.945</v>
      </c>
      <c r="Q203" s="12" t="n">
        <v>-391.733</v>
      </c>
      <c r="R203" s="12" t="n">
        <v>-222.575</v>
      </c>
      <c r="S203" s="12" t="n">
        <v>-43.502</v>
      </c>
      <c r="T203" s="12" t="n">
        <v>-6.229</v>
      </c>
      <c r="U203" s="12" t="n">
        <v>23.591</v>
      </c>
      <c r="V203" s="12" t="n">
        <v>-498.142</v>
      </c>
      <c r="W203" s="12" t="n">
        <v>354.228</v>
      </c>
      <c r="X203" s="12" t="n">
        <v>-862.4690000000001</v>
      </c>
    </row>
    <row r="204">
      <c r="A204" s="20" t="inlineStr">
        <is>
          <t>장기차입</t>
        </is>
      </c>
      <c r="C204" s="22" t="n">
        <v>1145.8</v>
      </c>
      <c r="E204" s="22" t="n">
        <v>684</v>
      </c>
      <c r="G204" s="22" t="n">
        <v>966.8</v>
      </c>
      <c r="I204" s="22" t="n">
        <v>322.589</v>
      </c>
      <c r="K204" s="22" t="n">
        <v>1490.589</v>
      </c>
      <c r="M204" s="22" t="n">
        <v>1209</v>
      </c>
      <c r="O204" s="22" t="n">
        <v>0</v>
      </c>
      <c r="P204" s="22" t="n">
        <v>200</v>
      </c>
      <c r="Q204" s="22" t="n">
        <v>0</v>
      </c>
      <c r="R204" s="22" t="n">
        <v>330</v>
      </c>
      <c r="S204" s="22" t="n">
        <v>610</v>
      </c>
      <c r="T204" s="22" t="n">
        <v>0</v>
      </c>
      <c r="U204" s="22" t="n">
        <v>340</v>
      </c>
      <c r="V204" s="22" t="n">
        <v>1145.8</v>
      </c>
      <c r="W204" s="22" t="n">
        <v>966.8</v>
      </c>
      <c r="X204" s="22" t="n">
        <v>1490.589</v>
      </c>
    </row>
    <row r="205">
      <c r="A205" s="20" t="inlineStr">
        <is>
          <t>단기차입금 순증감</t>
        </is>
      </c>
      <c r="C205" s="22" t="n">
        <v>437.5</v>
      </c>
      <c r="E205" s="22" t="n">
        <v>145</v>
      </c>
      <c r="G205" s="22" t="n">
        <v>-13.42</v>
      </c>
      <c r="I205" s="22" t="n">
        <v>-261.58</v>
      </c>
      <c r="K205" s="22" t="n">
        <v>495.92</v>
      </c>
      <c r="M205" s="22" t="n">
        <v>-110</v>
      </c>
      <c r="O205" s="22" t="n">
        <v>0</v>
      </c>
      <c r="P205" s="22" t="n">
        <v>357.5</v>
      </c>
      <c r="Q205" s="22" t="n">
        <v>-357.5</v>
      </c>
      <c r="R205" s="22" t="n">
        <v>20</v>
      </c>
      <c r="S205" s="22" t="n">
        <v>208</v>
      </c>
      <c r="T205" s="22" t="n">
        <v>-228</v>
      </c>
      <c r="U205" s="22" t="n">
        <v>0</v>
      </c>
      <c r="V205" s="22" t="n">
        <v>437.5</v>
      </c>
      <c r="W205" s="22" t="n">
        <v>-13.42</v>
      </c>
      <c r="X205" s="22" t="n">
        <v>495.92</v>
      </c>
    </row>
    <row r="206">
      <c r="A206" s="20" t="inlineStr">
        <is>
          <t>장기차입금 상환</t>
        </is>
      </c>
      <c r="C206" s="22" t="n">
        <v>-888.178</v>
      </c>
      <c r="E206" s="22" t="n">
        <v>-44.878</v>
      </c>
      <c r="G206" s="22" t="n">
        <v>-676.763</v>
      </c>
      <c r="I206" s="22" t="n">
        <v>-189.383</v>
      </c>
      <c r="K206" s="22" t="n">
        <v>-508.654</v>
      </c>
      <c r="M206" s="22" t="n">
        <v>-358.531</v>
      </c>
      <c r="O206" s="22" t="n">
        <v>-12.024</v>
      </c>
      <c r="P206" s="22" t="n">
        <v>-24.037</v>
      </c>
      <c r="Q206" s="22" t="n">
        <v>-63.36</v>
      </c>
      <c r="R206" s="22" t="n">
        <v>-325.183</v>
      </c>
      <c r="S206" s="22" t="n">
        <v>-106.231</v>
      </c>
      <c r="T206" s="22" t="n">
        <v>-435.506</v>
      </c>
      <c r="U206" s="22" t="n">
        <v>-70.616</v>
      </c>
      <c r="V206" s="22" t="n">
        <v>-888.178</v>
      </c>
      <c r="W206" s="22" t="n">
        <v>-676.763</v>
      </c>
      <c r="X206" s="22" t="n">
        <v>-508.654</v>
      </c>
    </row>
    <row r="207">
      <c r="A207" s="20" t="inlineStr">
        <is>
          <t>주식 발행</t>
        </is>
      </c>
      <c r="O207" s="22" t="n">
        <v>237.018</v>
      </c>
      <c r="P207" s="22" t="n">
        <v>676.407</v>
      </c>
      <c r="Q207" s="22" t="n">
        <v>0</v>
      </c>
    </row>
    <row r="208">
      <c r="A208" s="20" t="inlineStr">
        <is>
          <t>스톡옵션 행사 수입</t>
        </is>
      </c>
      <c r="O208" s="22" t="n">
        <v>0</v>
      </c>
      <c r="P208" s="22" t="n">
        <v>49.83</v>
      </c>
      <c r="Q208" s="22" t="n">
        <v>22.77</v>
      </c>
      <c r="R208" s="22" t="n">
        <v>387.53</v>
      </c>
      <c r="S208" s="22" t="n">
        <v>0</v>
      </c>
    </row>
    <row r="209">
      <c r="A209" s="20" t="inlineStr">
        <is>
          <t>신주예약권 발행 지출</t>
        </is>
      </c>
      <c r="C209" s="22" t="n">
        <v>0</v>
      </c>
      <c r="T209" s="22" t="n">
        <v>0</v>
      </c>
      <c r="U209" s="22" t="n">
        <v>-9.481</v>
      </c>
      <c r="V209" s="22" t="n">
        <v>0</v>
      </c>
    </row>
    <row r="210">
      <c r="A210" s="20" t="inlineStr">
        <is>
          <t>신주예약권 발행</t>
        </is>
      </c>
      <c r="C210" s="22" t="n">
        <v>0</v>
      </c>
      <c r="E210" s="22" t="n">
        <v>0.36</v>
      </c>
      <c r="G210" s="22" t="n">
        <v>0.36</v>
      </c>
      <c r="I210" s="22" t="n">
        <v>0.049</v>
      </c>
      <c r="K210" s="22" t="n">
        <v>0.049</v>
      </c>
      <c r="M210" s="22" t="n">
        <v>0</v>
      </c>
      <c r="O210" s="22" t="n">
        <v>0</v>
      </c>
      <c r="P210" s="22" t="n">
        <v>1.398</v>
      </c>
      <c r="Q210" s="22" t="n">
        <v>1.61</v>
      </c>
      <c r="R210" s="22" t="n">
        <v>0</v>
      </c>
      <c r="V210" s="22" t="n">
        <v>0</v>
      </c>
      <c r="W210" s="22" t="n">
        <v>0.36</v>
      </c>
      <c r="X210" s="22" t="n">
        <v>0.049</v>
      </c>
    </row>
    <row r="211">
      <c r="A211" s="20" t="inlineStr">
        <is>
          <t>자기주식 취득</t>
        </is>
      </c>
      <c r="C211" s="22" t="n">
        <v>0</v>
      </c>
      <c r="G211" s="22" t="n">
        <v>-0.027</v>
      </c>
      <c r="I211" s="22" t="n">
        <v>0</v>
      </c>
      <c r="K211" s="22" t="n">
        <v>-0.001</v>
      </c>
      <c r="M211" s="22" t="n">
        <v>-0.001</v>
      </c>
      <c r="O211" s="22" t="n">
        <v>0</v>
      </c>
      <c r="P211" s="22" t="n">
        <v>-0.334</v>
      </c>
      <c r="Q211" s="22" t="n">
        <v>-0.349</v>
      </c>
      <c r="R211" s="22" t="n">
        <v>-0.227</v>
      </c>
      <c r="S211" s="22" t="n">
        <v>-119.661</v>
      </c>
      <c r="T211" s="22" t="n">
        <v>-489.174</v>
      </c>
      <c r="U211" s="22" t="n">
        <v>-501.129</v>
      </c>
      <c r="V211" s="22" t="n">
        <v>0</v>
      </c>
      <c r="W211" s="22" t="n">
        <v>-0.027</v>
      </c>
      <c r="X211" s="22" t="n">
        <v>-0.001</v>
      </c>
    </row>
    <row r="212">
      <c r="A212" s="20" t="inlineStr">
        <is>
          <t>자기주식 매각</t>
        </is>
      </c>
      <c r="C212" s="22" t="n">
        <v>249.896</v>
      </c>
      <c r="G212" s="22" t="n">
        <v>0</v>
      </c>
      <c r="U212" s="22" t="n">
        <v>0</v>
      </c>
      <c r="V212" s="22" t="n">
        <v>249.896</v>
      </c>
      <c r="W212" s="22" t="n">
        <v>0</v>
      </c>
    </row>
    <row r="213">
      <c r="A213" s="20" t="inlineStr">
        <is>
          <t>배당금 지급</t>
        </is>
      </c>
      <c r="C213" s="22" t="n">
        <v>-0.023</v>
      </c>
      <c r="E213" s="22" t="n">
        <v>-26.91</v>
      </c>
      <c r="G213" s="22" t="n">
        <v>-26.94</v>
      </c>
      <c r="I213" s="22" t="n">
        <v>-53.856</v>
      </c>
      <c r="K213" s="22" t="n">
        <v>-53.9</v>
      </c>
      <c r="M213" s="22" t="n">
        <v>-107.582</v>
      </c>
      <c r="R213" s="22" t="n">
        <v>0</v>
      </c>
      <c r="S213" s="22" t="n">
        <v>-28.271</v>
      </c>
      <c r="T213" s="22" t="n">
        <v>-0.055</v>
      </c>
      <c r="U213" s="22" t="n">
        <v>-56.284</v>
      </c>
      <c r="V213" s="22" t="n">
        <v>-0.023</v>
      </c>
      <c r="W213" s="22" t="n">
        <v>-26.94</v>
      </c>
      <c r="X213" s="22" t="n">
        <v>-53.9</v>
      </c>
    </row>
    <row r="214">
      <c r="A214" s="20" t="inlineStr">
        <is>
          <t>리스부채 상환</t>
        </is>
      </c>
      <c r="C214" s="22" t="n">
        <v>-5.67</v>
      </c>
      <c r="E214" s="22" t="n">
        <v>-2.953</v>
      </c>
      <c r="G214" s="22" t="n">
        <v>-5.987</v>
      </c>
      <c r="I214" s="22" t="n">
        <v>-3.118</v>
      </c>
      <c r="K214" s="22" t="n">
        <v>-6.322</v>
      </c>
      <c r="M214" s="22" t="n">
        <v>-2.3</v>
      </c>
      <c r="O214" s="22" t="n">
        <v>0</v>
      </c>
      <c r="P214" s="22" t="n">
        <v>-3.753</v>
      </c>
      <c r="Q214" s="22" t="n">
        <v>-4.318</v>
      </c>
      <c r="R214" s="22" t="n">
        <v>-4.559</v>
      </c>
      <c r="S214" s="22" t="n">
        <v>-4.815</v>
      </c>
      <c r="T214" s="22" t="n">
        <v>-5.084</v>
      </c>
      <c r="U214" s="22" t="n">
        <v>-5.369</v>
      </c>
      <c r="V214" s="22" t="n">
        <v>-5.67</v>
      </c>
      <c r="W214" s="22" t="n">
        <v>-5.987</v>
      </c>
      <c r="X214" s="22" t="n">
        <v>-6.322</v>
      </c>
    </row>
    <row r="215">
      <c r="A215" s="20" t="inlineStr">
        <is>
          <t>연결범위 변경 없는 자회사 주식 취득</t>
        </is>
      </c>
      <c r="C215" s="22" t="n">
        <v>-1.106</v>
      </c>
      <c r="G215" s="22" t="n">
        <v>0</v>
      </c>
      <c r="U215" s="22" t="n">
        <v>0</v>
      </c>
      <c r="V215" s="22" t="n">
        <v>-1.106</v>
      </c>
      <c r="W215" s="22" t="n">
        <v>0</v>
      </c>
    </row>
    <row r="216">
      <c r="A216" s="20" t="inlineStr">
        <is>
          <t>기타</t>
        </is>
      </c>
      <c r="C216" s="22" t="n">
        <v>0</v>
      </c>
      <c r="E216" s="22" t="n">
        <v>-1.458</v>
      </c>
      <c r="G216" s="22" t="n">
        <v>-1.458</v>
      </c>
      <c r="I216" s="22" t="n">
        <v>0</v>
      </c>
      <c r="K216" s="22" t="n">
        <v>0</v>
      </c>
      <c r="V216" s="22" t="n">
        <v>0</v>
      </c>
      <c r="W216" s="22" t="n">
        <v>-1.458</v>
      </c>
      <c r="X216" s="22" t="n">
        <v>0</v>
      </c>
    </row>
    <row r="217">
      <c r="A217" s="9" t="inlineStr">
        <is>
          <t>재무활동 현금흐름</t>
        </is>
      </c>
      <c r="C217" s="12" t="n">
        <v>938.218</v>
      </c>
      <c r="E217" s="12" t="n">
        <v>753.1609999999999</v>
      </c>
      <c r="G217" s="12" t="n">
        <v>242.563</v>
      </c>
      <c r="I217" s="12" t="n">
        <v>-185.299</v>
      </c>
      <c r="K217" s="12" t="n">
        <v>1417.679</v>
      </c>
      <c r="M217" s="12" t="n">
        <v>630.5839999999999</v>
      </c>
      <c r="O217" s="12" t="n">
        <v>224.994</v>
      </c>
      <c r="P217" s="12" t="n">
        <v>1257.01</v>
      </c>
      <c r="Q217" s="12" t="n">
        <v>-401.148</v>
      </c>
      <c r="R217" s="12" t="n">
        <v>407.559</v>
      </c>
      <c r="S217" s="12" t="n">
        <v>559.021</v>
      </c>
      <c r="T217" s="12" t="n">
        <v>-1157.82</v>
      </c>
      <c r="U217" s="12" t="n">
        <v>-302.881</v>
      </c>
      <c r="V217" s="12" t="n">
        <v>938.218</v>
      </c>
      <c r="W217" s="12" t="n">
        <v>242.563</v>
      </c>
      <c r="X217" s="12" t="n">
        <v>1417.679</v>
      </c>
    </row>
    <row r="218">
      <c r="A218" s="20" t="inlineStr">
        <is>
          <t>현금성자산 환산차이</t>
        </is>
      </c>
      <c r="E218" s="22" t="n">
        <v>0</v>
      </c>
      <c r="I218" s="22" t="n">
        <v>0</v>
      </c>
      <c r="M218" s="22" t="n">
        <v>0</v>
      </c>
    </row>
    <row r="219">
      <c r="A219" s="20" t="inlineStr">
        <is>
          <t>현금성자산 증감</t>
        </is>
      </c>
      <c r="C219" s="22" t="n">
        <v>-101.273</v>
      </c>
      <c r="E219" s="22" t="n">
        <v>764.444</v>
      </c>
      <c r="G219" s="22" t="n">
        <v>2672.883</v>
      </c>
      <c r="I219" s="22" t="n">
        <v>-810.597</v>
      </c>
      <c r="K219" s="22" t="n">
        <v>112.389</v>
      </c>
      <c r="M219" s="22" t="n">
        <v>-2104.687</v>
      </c>
      <c r="O219" s="22" t="n">
        <v>443.3</v>
      </c>
      <c r="P219" s="22" t="n">
        <v>750.732</v>
      </c>
      <c r="Q219" s="22" t="n">
        <v>238.632</v>
      </c>
      <c r="R219" s="22" t="n">
        <v>1880.911</v>
      </c>
      <c r="S219" s="22" t="n">
        <v>-1923.092</v>
      </c>
      <c r="T219" s="22" t="n">
        <v>2127.064</v>
      </c>
      <c r="U219" s="22" t="n">
        <v>-1942.673</v>
      </c>
      <c r="V219" s="22" t="n">
        <v>-101.273</v>
      </c>
      <c r="W219" s="22" t="n">
        <v>2672.883</v>
      </c>
      <c r="X219" s="22" t="n">
        <v>112.389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필컴퍼니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2025.3Q</t>
        </is>
      </c>
      <c r="D3" s="5" t="inlineStr">
        <is>
          <t>2025.4Q</t>
        </is>
      </c>
      <c r="E3" s="5" t="inlineStr">
        <is>
          <t>2026.1Q</t>
        </is>
      </c>
      <c r="F3" s="5" t="inlineStr">
        <is>
          <t>2026.2Q</t>
        </is>
      </c>
      <c r="G3" s="5" t="inlineStr">
        <is>
          <t>2026.3Q</t>
        </is>
      </c>
      <c r="H3" s="6" t="inlineStr">
        <is>
          <t>2021</t>
        </is>
      </c>
      <c r="I3" s="5" t="inlineStr">
        <is>
          <t>2022</t>
        </is>
      </c>
      <c r="J3" s="5" t="inlineStr">
        <is>
          <t>2023</t>
        </is>
      </c>
      <c r="K3" s="5" t="inlineStr">
        <is>
          <t>2024</t>
        </is>
      </c>
      <c r="L3" s="5" t="inlineStr">
        <is>
          <t>2025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7352.005</v>
      </c>
      <c r="D5" s="12" t="n">
        <v>8728.144</v>
      </c>
      <c r="E5" s="12" t="n">
        <v>7499.756</v>
      </c>
      <c r="F5" s="12" t="n">
        <v>7990.829</v>
      </c>
      <c r="G5" s="12" t="n">
        <v>7798.13</v>
      </c>
      <c r="H5" s="11" t="n">
        <v>4575.914</v>
      </c>
      <c r="I5" s="12" t="n">
        <v>3886.695</v>
      </c>
      <c r="J5" s="12" t="n">
        <v>4433.676</v>
      </c>
      <c r="K5" s="12" t="n">
        <v>6616.406</v>
      </c>
      <c r="L5" s="12" t="n">
        <v>8728.144</v>
      </c>
    </row>
    <row r="6">
      <c r="A6" s="20" t="inlineStr">
        <is>
          <t>현금및현금성자산</t>
        </is>
      </c>
      <c r="B6" s="10" t="n"/>
      <c r="C6" s="21" t="n">
        <v>3970.53</v>
      </c>
      <c r="D6" s="22" t="n">
        <v>5044.657</v>
      </c>
      <c r="E6" s="22" t="n">
        <v>3529.309</v>
      </c>
      <c r="F6" s="22" t="n">
        <v>2989.969</v>
      </c>
      <c r="G6" s="22" t="n">
        <v>3393.185</v>
      </c>
      <c r="H6" s="21" t="n">
        <v>4193.33</v>
      </c>
      <c r="I6" s="22" t="n">
        <v>2250.657</v>
      </c>
      <c r="J6" s="22" t="n">
        <v>2456.383</v>
      </c>
      <c r="K6" s="22" t="n">
        <v>4822.267</v>
      </c>
      <c r="L6" s="22" t="n">
        <v>5044.657</v>
      </c>
    </row>
    <row r="7">
      <c r="A7" s="20" t="inlineStr">
        <is>
          <t>단기금융상품</t>
        </is>
      </c>
      <c r="B7" s="10" t="n"/>
      <c r="C7" s="21" t="n">
        <v>398.97</v>
      </c>
      <c r="D7" s="22" t="n">
        <v>399.276</v>
      </c>
      <c r="E7" s="22" t="n">
        <v>500.293</v>
      </c>
      <c r="F7" s="22" t="n">
        <v>400.206</v>
      </c>
      <c r="G7" s="22" t="n">
        <v>500.008</v>
      </c>
      <c r="H7" s="21" t="n"/>
      <c r="I7" s="22" t="n"/>
      <c r="J7" s="22" t="n"/>
      <c r="K7" s="22" t="n">
        <v>0</v>
      </c>
      <c r="L7" s="22" t="n">
        <v>399.276</v>
      </c>
    </row>
    <row r="8">
      <c r="A8" s="20" t="inlineStr">
        <is>
          <t>매출채권</t>
        </is>
      </c>
      <c r="B8" s="10" t="n"/>
      <c r="C8" s="21" t="n">
        <v>283.911</v>
      </c>
      <c r="D8" s="22" t="n">
        <v>132.036</v>
      </c>
      <c r="E8" s="22" t="n">
        <v>146.647</v>
      </c>
      <c r="F8" s="22" t="n">
        <v>243.89</v>
      </c>
      <c r="G8" s="22" t="n">
        <v>115.483</v>
      </c>
      <c r="H8" s="21" t="n">
        <v>5.127</v>
      </c>
      <c r="I8" s="22" t="n">
        <v>43.826</v>
      </c>
      <c r="J8" s="22" t="n">
        <v>65.461</v>
      </c>
      <c r="K8" s="22" t="n">
        <v>211.149</v>
      </c>
      <c r="L8" s="22" t="n">
        <v>132.036</v>
      </c>
    </row>
    <row r="9">
      <c r="A9" s="20" t="inlineStr">
        <is>
          <t>재고자산</t>
        </is>
      </c>
      <c r="B9" s="10" t="n"/>
      <c r="C9" s="21" t="n">
        <v>71.357</v>
      </c>
      <c r="D9" s="22" t="n">
        <v>802.073</v>
      </c>
      <c r="E9" s="22" t="n">
        <v>414.21</v>
      </c>
      <c r="F9" s="22" t="n">
        <v>482.064</v>
      </c>
      <c r="G9" s="22" t="n">
        <v>1265.245</v>
      </c>
      <c r="H9" s="21" t="n">
        <v>168.903</v>
      </c>
      <c r="I9" s="22" t="n">
        <v>616.347</v>
      </c>
      <c r="J9" s="22" t="n">
        <v>836.026</v>
      </c>
      <c r="K9" s="22" t="n">
        <v>246.578</v>
      </c>
      <c r="L9" s="22" t="n">
        <v>802.073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1108.247</v>
      </c>
      <c r="D11" s="12" t="n">
        <v>1211.99</v>
      </c>
      <c r="E11" s="12" t="n">
        <v>1196.803</v>
      </c>
      <c r="F11" s="12" t="n">
        <v>1110.499</v>
      </c>
      <c r="G11" s="12" t="n">
        <v>959.13</v>
      </c>
      <c r="H11" s="11" t="n">
        <v>874.397</v>
      </c>
      <c r="I11" s="12" t="n">
        <v>863.352</v>
      </c>
      <c r="J11" s="12" t="n">
        <v>1017.098</v>
      </c>
      <c r="K11" s="12" t="n">
        <v>879.933</v>
      </c>
      <c r="L11" s="12" t="n">
        <v>1211.99</v>
      </c>
    </row>
    <row r="12">
      <c r="A12" s="20" t="inlineStr">
        <is>
          <t>유형자산</t>
        </is>
      </c>
      <c r="B12" s="10" t="n"/>
      <c r="C12" s="21" t="n">
        <v>477.24</v>
      </c>
      <c r="D12" s="22" t="n">
        <v>477.785</v>
      </c>
      <c r="E12" s="22" t="n">
        <v>471.492</v>
      </c>
      <c r="F12" s="22" t="n">
        <v>468.801</v>
      </c>
      <c r="G12" s="22" t="n">
        <v>581.622</v>
      </c>
      <c r="H12" s="21" t="n">
        <v>329.756</v>
      </c>
      <c r="I12" s="22" t="n">
        <v>301.477</v>
      </c>
      <c r="J12" s="22" t="n">
        <v>504.647</v>
      </c>
      <c r="K12" s="22" t="n">
        <v>482.18</v>
      </c>
      <c r="L12" s="22" t="n">
        <v>477.785</v>
      </c>
    </row>
    <row r="13">
      <c r="A13" s="20" t="inlineStr">
        <is>
          <t>무형자산</t>
        </is>
      </c>
      <c r="B13" s="10" t="n"/>
      <c r="C13" s="21" t="n">
        <v>81.589</v>
      </c>
      <c r="D13" s="22" t="n">
        <v>73.17</v>
      </c>
      <c r="E13" s="22" t="n">
        <v>65.70699999999999</v>
      </c>
      <c r="F13" s="22" t="n">
        <v>57.248</v>
      </c>
      <c r="G13" s="22" t="n">
        <v>48.788</v>
      </c>
      <c r="H13" s="21" t="n">
        <v>168.771</v>
      </c>
      <c r="I13" s="22" t="n">
        <v>144.384</v>
      </c>
      <c r="J13" s="22" t="n">
        <v>141.881</v>
      </c>
      <c r="K13" s="22" t="n">
        <v>106.847</v>
      </c>
      <c r="L13" s="22" t="n">
        <v>73.17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8460.252</v>
      </c>
      <c r="D16" s="12" t="n">
        <v>9940.134</v>
      </c>
      <c r="E16" s="12" t="n">
        <v>8696.559999999999</v>
      </c>
      <c r="F16" s="12" t="n">
        <v>9101.328</v>
      </c>
      <c r="G16" s="12" t="n">
        <v>8757.26</v>
      </c>
      <c r="H16" s="11" t="n">
        <v>5450.312</v>
      </c>
      <c r="I16" s="12" t="n">
        <v>4750.048</v>
      </c>
      <c r="J16" s="12" t="n">
        <v>5450.775</v>
      </c>
      <c r="K16" s="12" t="n">
        <v>7496.339</v>
      </c>
      <c r="L16" s="12" t="n">
        <v>9940.134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4408.618</v>
      </c>
      <c r="D18" s="12" t="n">
        <v>4794.001</v>
      </c>
      <c r="E18" s="12" t="n">
        <v>3318.047</v>
      </c>
      <c r="F18" s="12" t="n">
        <v>3922.868</v>
      </c>
      <c r="G18" s="12" t="n">
        <v>3710.393</v>
      </c>
      <c r="H18" s="11" t="n">
        <v>2128.446</v>
      </c>
      <c r="I18" s="12" t="n">
        <v>1528.719</v>
      </c>
      <c r="J18" s="12" t="n">
        <v>1621.062</v>
      </c>
      <c r="K18" s="12" t="n">
        <v>3267.672</v>
      </c>
      <c r="L18" s="12" t="n">
        <v>4794.001</v>
      </c>
    </row>
    <row r="19">
      <c r="A19" s="20" t="inlineStr">
        <is>
          <t>매입채무</t>
        </is>
      </c>
      <c r="B19" s="10" t="n"/>
      <c r="C19" s="21" t="n">
        <v>587.268</v>
      </c>
      <c r="D19" s="22" t="n">
        <v>733.454</v>
      </c>
      <c r="E19" s="22" t="n">
        <v>479.54</v>
      </c>
      <c r="F19" s="22" t="n">
        <v>429.078</v>
      </c>
      <c r="G19" s="22" t="n">
        <v>526.376</v>
      </c>
      <c r="H19" s="21" t="n">
        <v>168.205</v>
      </c>
      <c r="I19" s="22" t="n">
        <v>458.167</v>
      </c>
      <c r="J19" s="22" t="n">
        <v>389.72</v>
      </c>
      <c r="K19" s="22" t="n">
        <v>870.523</v>
      </c>
      <c r="L19" s="22" t="n">
        <v>733.454</v>
      </c>
    </row>
    <row r="20">
      <c r="A20" s="20" t="inlineStr">
        <is>
          <t>단기차입금</t>
        </is>
      </c>
      <c r="B20" s="10" t="n"/>
      <c r="C20" s="21" t="n">
        <v>934.8579999999999</v>
      </c>
      <c r="D20" s="22" t="n">
        <v>920</v>
      </c>
      <c r="E20" s="22" t="n">
        <v>810</v>
      </c>
      <c r="F20" s="22" t="n">
        <v>810</v>
      </c>
      <c r="G20" s="22" t="n">
        <v>474.25</v>
      </c>
      <c r="H20" s="21" t="n">
        <v>0</v>
      </c>
      <c r="I20" s="22" t="n">
        <v>0</v>
      </c>
      <c r="J20" s="22" t="n">
        <v>437.5</v>
      </c>
      <c r="K20" s="22" t="n">
        <v>424.08</v>
      </c>
      <c r="L20" s="22" t="n">
        <v>920</v>
      </c>
    </row>
    <row r="21">
      <c r="A21" s="20" t="inlineStr">
        <is>
          <t>유동성장기부채</t>
        </is>
      </c>
      <c r="B21" s="10" t="n"/>
      <c r="C21" s="21" t="n">
        <v>867.533</v>
      </c>
      <c r="D21" s="22" t="n">
        <v>696.081</v>
      </c>
      <c r="E21" s="22" t="n">
        <v>436.081</v>
      </c>
      <c r="F21" s="22" t="n">
        <v>1384.081</v>
      </c>
      <c r="G21" s="22" t="n">
        <v>1055.063</v>
      </c>
      <c r="H21" s="21" t="n">
        <v>37.28</v>
      </c>
      <c r="I21" s="22" t="n">
        <v>70.236</v>
      </c>
      <c r="J21" s="22" t="n">
        <v>83.092</v>
      </c>
      <c r="K21" s="22" t="n">
        <v>230.984</v>
      </c>
      <c r="L21" s="22" t="n">
        <v>696.081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954.548</v>
      </c>
      <c r="D23" s="12" t="n">
        <v>1801.621</v>
      </c>
      <c r="E23" s="12" t="n">
        <v>2124.642</v>
      </c>
      <c r="F23" s="12" t="n">
        <v>1862.854</v>
      </c>
      <c r="G23" s="12" t="n">
        <v>1481.482</v>
      </c>
      <c r="H23" s="11" t="n">
        <v>547.75</v>
      </c>
      <c r="I23" s="12" t="n">
        <v>777.593</v>
      </c>
      <c r="J23" s="12" t="n">
        <v>1099.247</v>
      </c>
      <c r="K23" s="12" t="n">
        <v>1247.623</v>
      </c>
      <c r="L23" s="12" t="n">
        <v>1801.621</v>
      </c>
    </row>
    <row r="24">
      <c r="A24" s="20" t="inlineStr">
        <is>
          <t>장기차입금</t>
        </is>
      </c>
      <c r="B24" s="10" t="n"/>
      <c r="C24" s="21" t="n">
        <v>529.563</v>
      </c>
      <c r="D24" s="22" t="n">
        <v>1342.968</v>
      </c>
      <c r="E24" s="22" t="n">
        <v>1663.702</v>
      </c>
      <c r="F24" s="22" t="n">
        <v>1505.436</v>
      </c>
      <c r="G24" s="22" t="n">
        <v>1114.5</v>
      </c>
      <c r="H24" s="21" t="n">
        <v>202.792</v>
      </c>
      <c r="I24" s="22" t="n">
        <v>439.22</v>
      </c>
      <c r="J24" s="22" t="n">
        <v>683.986</v>
      </c>
      <c r="K24" s="22" t="n">
        <v>826.13</v>
      </c>
      <c r="L24" s="22" t="n">
        <v>1342.968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5363.166</v>
      </c>
      <c r="D27" s="12" t="n">
        <v>6595.622</v>
      </c>
      <c r="E27" s="12" t="n">
        <v>5442.689</v>
      </c>
      <c r="F27" s="12" t="n">
        <v>5785.722</v>
      </c>
      <c r="G27" s="12" t="n">
        <v>5191.876</v>
      </c>
      <c r="H27" s="11" t="n">
        <v>2676.197</v>
      </c>
      <c r="I27" s="12" t="n">
        <v>2306.313</v>
      </c>
      <c r="J27" s="12" t="n">
        <v>2720.309</v>
      </c>
      <c r="K27" s="12" t="n">
        <v>4515.296</v>
      </c>
      <c r="L27" s="12" t="n">
        <v>6595.622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3062.181</v>
      </c>
      <c r="D31" s="12" t="n">
        <v>3305.325</v>
      </c>
      <c r="E31" s="12" t="n">
        <v>3208.575</v>
      </c>
      <c r="F31" s="12" t="n">
        <v>3264.202</v>
      </c>
      <c r="G31" s="12" t="n">
        <v>3511.362</v>
      </c>
      <c r="H31" s="11" t="n">
        <v>2770.989</v>
      </c>
      <c r="I31" s="12" t="n">
        <v>2438.869</v>
      </c>
      <c r="J31" s="12" t="n">
        <v>2726.491</v>
      </c>
      <c r="K31" s="12" t="n">
        <v>2961.303</v>
      </c>
      <c r="L31" s="12" t="n">
        <v>3305.325</v>
      </c>
    </row>
    <row r="32">
      <c r="A32" s="20" t="inlineStr">
        <is>
          <t>자본금</t>
        </is>
      </c>
      <c r="B32" s="10" t="n"/>
      <c r="C32" s="21" t="n">
        <v>789.647</v>
      </c>
      <c r="D32" s="22" t="n">
        <v>789.647</v>
      </c>
      <c r="E32" s="22" t="n">
        <v>789.647</v>
      </c>
      <c r="F32" s="22" t="n">
        <v>789.647</v>
      </c>
      <c r="G32" s="22" t="n">
        <v>789.647</v>
      </c>
      <c r="H32" s="21" t="n">
        <v>789.647</v>
      </c>
      <c r="I32" s="22" t="n">
        <v>789.647</v>
      </c>
      <c r="J32" s="22" t="n">
        <v>789.647</v>
      </c>
      <c r="K32" s="22" t="n">
        <v>789.647</v>
      </c>
      <c r="L32" s="22" t="n">
        <v>789.647</v>
      </c>
    </row>
    <row r="33">
      <c r="A33" s="20" t="inlineStr">
        <is>
          <t>이익잉여금</t>
        </is>
      </c>
      <c r="B33" s="10" t="n"/>
      <c r="C33" s="21" t="n">
        <v>2183.866</v>
      </c>
      <c r="D33" s="22" t="n">
        <v>2427.011</v>
      </c>
      <c r="E33" s="22" t="n">
        <v>2330.262</v>
      </c>
      <c r="F33" s="22" t="n">
        <v>2299.353</v>
      </c>
      <c r="G33" s="22" t="n">
        <v>2546.513</v>
      </c>
      <c r="H33" s="21" t="n">
        <v>1801.442</v>
      </c>
      <c r="I33" s="22" t="n">
        <v>1936.076</v>
      </c>
      <c r="J33" s="22" t="n">
        <v>1848.148</v>
      </c>
      <c r="K33" s="22" t="n">
        <v>2082.987</v>
      </c>
      <c r="L33" s="22" t="n">
        <v>2427.011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>
        <v>0.977</v>
      </c>
      <c r="I34" s="22" t="n">
        <v>0.892</v>
      </c>
      <c r="J34" s="22" t="n">
        <v>0</v>
      </c>
      <c r="K34" s="22" t="n"/>
      <c r="L34" s="22" t="n"/>
    </row>
    <row r="35">
      <c r="A35" s="9" t="inlineStr">
        <is>
          <t>자본총계</t>
        </is>
      </c>
      <c r="B35" s="10" t="n"/>
      <c r="C35" s="11" t="n">
        <v>3097.085</v>
      </c>
      <c r="D35" s="12" t="n">
        <v>3344.511</v>
      </c>
      <c r="E35" s="12" t="n">
        <v>3253.87</v>
      </c>
      <c r="F35" s="12" t="n">
        <v>3315.606</v>
      </c>
      <c r="G35" s="12" t="n">
        <v>3565.384</v>
      </c>
      <c r="H35" s="11" t="n">
        <v>2774.114</v>
      </c>
      <c r="I35" s="12" t="n">
        <v>2443.735</v>
      </c>
      <c r="J35" s="12" t="n">
        <v>2730.465</v>
      </c>
      <c r="K35" s="12" t="n">
        <v>2981.043</v>
      </c>
      <c r="L35" s="12" t="n">
        <v>3344.511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>
        <v>-442.819</v>
      </c>
      <c r="E37" s="12" t="n"/>
      <c r="F37" s="12" t="n">
        <v>-2537.163</v>
      </c>
      <c r="G37" s="12" t="n"/>
      <c r="H37" s="11" t="n">
        <v>3291.115</v>
      </c>
      <c r="I37" s="12" t="n">
        <v>-1663.383</v>
      </c>
      <c r="J37" s="12" t="n">
        <v>-541.35</v>
      </c>
      <c r="K37" s="12" t="n">
        <v>2076.091</v>
      </c>
      <c r="L37" s="12" t="n">
        <v>-442.819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>
        <v>39.728</v>
      </c>
      <c r="E38" s="22" t="n"/>
      <c r="F38" s="22" t="n">
        <v>123.148</v>
      </c>
      <c r="G38" s="22" t="n"/>
      <c r="H38" s="21" t="n">
        <v>8.336</v>
      </c>
      <c r="I38" s="22" t="n">
        <v>7.203</v>
      </c>
      <c r="J38" s="22" t="n">
        <v>131.961</v>
      </c>
      <c r="K38" s="22" t="n">
        <v>17.683</v>
      </c>
      <c r="L38" s="22" t="n">
        <v>39.728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>
        <v>53.9</v>
      </c>
      <c r="E40" s="22" t="n"/>
      <c r="F40" s="22" t="n">
        <v>107.626</v>
      </c>
      <c r="G40" s="22" t="n"/>
      <c r="H40" s="21" t="n">
        <v>0.055</v>
      </c>
      <c r="I40" s="22" t="n">
        <v>56.284</v>
      </c>
      <c r="J40" s="22" t="n">
        <v>0.023</v>
      </c>
      <c r="K40" s="22" t="n">
        <v>26.94</v>
      </c>
      <c r="L40" s="22" t="n">
        <v>53.9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IFERROR(('연간'!T19)/('연간'!T41),"")</f>
        <v/>
      </c>
      <c r="I48" s="33">
        <f>IFERROR(('연간'!U19)/('연간'!U41),"")</f>
        <v/>
      </c>
      <c r="J48" s="33">
        <f>IFERROR(('연간'!V19)/('연간'!V41),"")</f>
        <v/>
      </c>
      <c r="K48" s="33">
        <f>IFERROR(('연간'!W19)/('연간'!W41),"")</f>
        <v/>
      </c>
      <c r="L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IFERROR(IF(('연간'!T49)&lt;=0,"적자",H28/('연간'!T49)),"")</f>
        <v/>
      </c>
      <c r="I49" s="49">
        <f>IFERROR(IF(('연간'!U49)&lt;=0,"적자",I28/('연간'!U49)),"")</f>
        <v/>
      </c>
      <c r="J49" s="49">
        <f>IFERROR(IF(('연간'!V49)&lt;=0,"적자",J28/('연간'!V49)),"")</f>
        <v/>
      </c>
      <c r="K49" s="49">
        <f>IFERROR(IF(('연간'!W49)&lt;=0,"적자",K28/('연간'!W49)),"")</f>
        <v/>
      </c>
      <c r="L49" s="49">
        <f>IFERROR(IF(('연간'!X49)&lt;=0,"적자",L28/('연간'!X49)),"")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IFERROR(('연간'!T49)/H31,"")</f>
        <v/>
      </c>
      <c r="I51" s="38">
        <f>IFERROR(('연간'!U49)/I31,"")</f>
        <v/>
      </c>
      <c r="J51" s="38">
        <f>IFERROR(('연간'!V49)/J31,"")</f>
        <v/>
      </c>
      <c r="K51" s="38">
        <f>IFERROR(('연간'!W49)/K31,"")</f>
        <v/>
      </c>
      <c r="L51" s="38">
        <f>IFERROR(('연간'!X49)/L31,"")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IFERROR(('연간'!T47)/H16,"")</f>
        <v/>
      </c>
      <c r="I52" s="38">
        <f>IFERROR(('연간'!U47)/I16,"")</f>
        <v/>
      </c>
      <c r="J52" s="38">
        <f>IFERROR(('연간'!V47)/J16,"")</f>
        <v/>
      </c>
      <c r="K52" s="38">
        <f>IFERROR(('연간'!W47)/K16,"")</f>
        <v/>
      </c>
      <c r="L52" s="38">
        <f>IFERROR(('연간'!X47)/L16,"")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IFERROR(('연간'!T19)*(1-0.3)/(H35+H29),"")</f>
        <v/>
      </c>
      <c r="I53" s="38">
        <f>IFERROR(('연간'!U19)*(1-0.3)/(I35+I29),"")</f>
        <v/>
      </c>
      <c r="J53" s="38">
        <f>IFERROR(('연간'!V19)*(1-0.3)/(J35+J29),"")</f>
        <v/>
      </c>
      <c r="K53" s="38">
        <f>IFERROR(('연간'!W19)*(1-0.3)/(K35+K29),"")</f>
        <v/>
      </c>
      <c r="L53" s="38">
        <f>IFERROR(('연간'!X19)*(1-0.3)/(L35+L29),"")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IFERROR(('연간'!T13)/('연간'!T4),"")</f>
        <v/>
      </c>
      <c r="I54" s="38">
        <f>IFERROR(('연간'!U13)/('연간'!U4),"")</f>
        <v/>
      </c>
      <c r="J54" s="38">
        <f>IFERROR(('연간'!V13)/('연간'!V4),"")</f>
        <v/>
      </c>
      <c r="K54" s="38">
        <f>IFERROR(('연간'!W13)/('연간'!W4),"")</f>
        <v/>
      </c>
      <c r="L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IFERROR(('연간'!T19)/('연간'!T4),"")</f>
        <v/>
      </c>
      <c r="I55" s="38">
        <f>IFERROR(('연간'!U19)/('연간'!U4),"")</f>
        <v/>
      </c>
      <c r="J55" s="38">
        <f>IFERROR(('연간'!V19)/('연간'!V4),"")</f>
        <v/>
      </c>
      <c r="K55" s="38">
        <f>IFERROR(('연간'!W19)/('연간'!W4),"")</f>
        <v/>
      </c>
      <c r="L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IFERROR(('연간'!T47)/('연간'!T4),"")</f>
        <v/>
      </c>
      <c r="I56" s="38">
        <f>IFERROR(('연간'!U47)/('연간'!U4),"")</f>
        <v/>
      </c>
      <c r="J56" s="38">
        <f>IFERROR(('연간'!V47)/('연간'!V4),"")</f>
        <v/>
      </c>
      <c r="K56" s="38">
        <f>IFERROR(('연간'!W47)/('연간'!W4),"")</f>
        <v/>
      </c>
      <c r="L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IF(H37="","",IFERROR(H37/('연간'!T47),""))</f>
        <v/>
      </c>
      <c r="I64" s="33">
        <f>IF(I37="","",IFERROR(I37/('연간'!U47),""))</f>
        <v/>
      </c>
      <c r="J64" s="33">
        <f>IF(J37="","",IFERROR(J37/('연간'!V47),""))</f>
        <v/>
      </c>
      <c r="K64" s="33">
        <f>IF(K37="","",IFERROR(K37/('연간'!W47),""))</f>
        <v/>
      </c>
      <c r="L64" s="33">
        <f>IF(L37="","",IFERROR(L37/('연간'!X47),""))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IF(H40="","",IFERROR(H40/('연간'!T49),""))</f>
        <v/>
      </c>
      <c r="I67" s="38">
        <f>IF(I40="","",IFERROR(I40/('연간'!U49),""))</f>
        <v/>
      </c>
      <c r="J67" s="38">
        <f>IF(J40="","",IFERROR(J40/('연간'!V49),""))</f>
        <v/>
      </c>
      <c r="K67" s="38">
        <f>IF(K40="","",IFERROR(K40/('연간'!W49),""))</f>
        <v/>
      </c>
      <c r="L67" s="38">
        <f>IF(L40="","",IFERROR(L40/('연간'!X49),""))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2025.3Q</t>
        </is>
      </c>
      <c r="D70" s="5" t="inlineStr">
        <is>
          <t>2025.4Q</t>
        </is>
      </c>
      <c r="E70" s="5" t="inlineStr">
        <is>
          <t>2026.1Q</t>
        </is>
      </c>
      <c r="F70" s="5" t="inlineStr">
        <is>
          <t>2026.2Q</t>
        </is>
      </c>
      <c r="G70" s="5" t="inlineStr">
        <is>
          <t>2026.3Q</t>
        </is>
      </c>
      <c r="H70" s="5" t="inlineStr">
        <is>
          <t>2021</t>
        </is>
      </c>
      <c r="I70" s="5" t="inlineStr">
        <is>
          <t>2022</t>
        </is>
      </c>
      <c r="J70" s="5" t="inlineStr">
        <is>
          <t>2023</t>
        </is>
      </c>
      <c r="K70" s="5" t="inlineStr">
        <is>
          <t>2024</t>
        </is>
      </c>
      <c r="L70" s="5" t="inlineStr">
        <is>
          <t>2025</t>
        </is>
      </c>
    </row>
    <row r="71">
      <c r="A71" s="20" t="inlineStr">
        <is>
          <t>현금 및 예금</t>
        </is>
      </c>
      <c r="C71" s="22" t="n">
        <v>3970.53</v>
      </c>
      <c r="D71" s="22" t="n">
        <v>5044.657</v>
      </c>
      <c r="E71" s="22" t="n">
        <v>3529.309</v>
      </c>
      <c r="F71" s="22" t="n">
        <v>2989.969</v>
      </c>
      <c r="G71" s="22" t="n">
        <v>3393.185</v>
      </c>
      <c r="H71" s="22" t="n">
        <v>4193.33</v>
      </c>
      <c r="I71" s="22" t="n">
        <v>2250.657</v>
      </c>
      <c r="J71" s="22" t="n">
        <v>2456.383</v>
      </c>
      <c r="K71" s="22" t="n">
        <v>4822.267</v>
      </c>
      <c r="L71" s="22" t="n">
        <v>5044.657</v>
      </c>
    </row>
    <row r="72">
      <c r="A72" s="20" t="inlineStr">
        <is>
          <t>매출채권</t>
        </is>
      </c>
      <c r="C72" s="22" t="n">
        <v>283.911</v>
      </c>
      <c r="D72" s="22" t="n">
        <v>132.036</v>
      </c>
      <c r="E72" s="22" t="n">
        <v>146.647</v>
      </c>
      <c r="F72" s="22" t="n">
        <v>243.89</v>
      </c>
      <c r="G72" s="22" t="n">
        <v>115.483</v>
      </c>
      <c r="H72" s="22" t="n">
        <v>5.127</v>
      </c>
      <c r="I72" s="22" t="n">
        <v>43.826</v>
      </c>
      <c r="J72" s="22" t="n">
        <v>65.461</v>
      </c>
      <c r="K72" s="22" t="n">
        <v>211.149</v>
      </c>
      <c r="L72" s="22" t="n">
        <v>132.036</v>
      </c>
    </row>
    <row r="73">
      <c r="A73" s="20" t="inlineStr">
        <is>
          <t>유가증권</t>
        </is>
      </c>
      <c r="C73" s="22" t="n">
        <v>398.97</v>
      </c>
      <c r="D73" s="22" t="n">
        <v>399.276</v>
      </c>
      <c r="E73" s="22" t="n">
        <v>500.293</v>
      </c>
      <c r="F73" s="22" t="n">
        <v>400.206</v>
      </c>
      <c r="G73" s="22" t="n">
        <v>500.008</v>
      </c>
      <c r="K73" s="22" t="n">
        <v>0</v>
      </c>
      <c r="L73" s="22" t="n">
        <v>399.276</v>
      </c>
    </row>
    <row r="74">
      <c r="A74" s="20" t="inlineStr">
        <is>
          <t>판매용 부동산</t>
        </is>
      </c>
      <c r="C74" s="22" t="n">
        <v>71.357</v>
      </c>
      <c r="D74" s="22" t="n">
        <v>802.073</v>
      </c>
      <c r="E74" s="22" t="n">
        <v>414.21</v>
      </c>
      <c r="F74" s="22" t="n">
        <v>482.064</v>
      </c>
      <c r="G74" s="22" t="n">
        <v>1265.245</v>
      </c>
      <c r="H74" s="22" t="n">
        <v>168.903</v>
      </c>
      <c r="I74" s="22" t="n">
        <v>616.347</v>
      </c>
      <c r="J74" s="22" t="n">
        <v>836.026</v>
      </c>
      <c r="K74" s="22" t="n">
        <v>246.578</v>
      </c>
      <c r="L74" s="22" t="n">
        <v>802.073</v>
      </c>
    </row>
    <row r="75">
      <c r="A75" s="20" t="inlineStr">
        <is>
          <t>개발 중 판매용 부동산</t>
        </is>
      </c>
      <c r="C75" s="22" t="n">
        <v>2408.022</v>
      </c>
      <c r="D75" s="22" t="n">
        <v>2105.748</v>
      </c>
      <c r="E75" s="22" t="n">
        <v>2664.846</v>
      </c>
      <c r="F75" s="22" t="n">
        <v>3696.133</v>
      </c>
      <c r="G75" s="22" t="n">
        <v>2311.064</v>
      </c>
      <c r="H75" s="22" t="n">
        <v>95.76000000000001</v>
      </c>
      <c r="I75" s="22" t="n">
        <v>740.674</v>
      </c>
      <c r="J75" s="22" t="n">
        <v>925.864</v>
      </c>
      <c r="K75" s="22" t="n">
        <v>1225.684</v>
      </c>
      <c r="L75" s="22" t="n">
        <v>2105.748</v>
      </c>
    </row>
    <row r="76">
      <c r="A76" s="20" t="inlineStr">
        <is>
          <t>미성업무 지출금</t>
        </is>
      </c>
      <c r="C76" s="22" t="n">
        <v>36.486</v>
      </c>
      <c r="D76" s="22" t="n">
        <v>80.306</v>
      </c>
      <c r="E76" s="22" t="n">
        <v>61.15</v>
      </c>
      <c r="F76" s="22" t="n">
        <v>54.683</v>
      </c>
      <c r="G76" s="22" t="n">
        <v>37.423</v>
      </c>
      <c r="H76" s="22" t="n">
        <v>40.022</v>
      </c>
      <c r="I76" s="22" t="n">
        <v>14.562</v>
      </c>
      <c r="J76" s="22" t="n">
        <v>20.612</v>
      </c>
      <c r="K76" s="22" t="n">
        <v>25.925</v>
      </c>
      <c r="L76" s="22" t="n">
        <v>80.306</v>
      </c>
    </row>
    <row r="77">
      <c r="A77" s="20" t="inlineStr">
        <is>
          <t>단기대여금</t>
        </is>
      </c>
      <c r="C77" s="22" t="n">
        <v>0</v>
      </c>
      <c r="D77" s="22" t="n">
        <v>0</v>
      </c>
      <c r="I77" s="22" t="n">
        <v>0</v>
      </c>
      <c r="J77" s="22" t="n">
        <v>58.5</v>
      </c>
      <c r="K77" s="22" t="n">
        <v>52</v>
      </c>
      <c r="L77" s="22" t="n">
        <v>0</v>
      </c>
    </row>
    <row r="78">
      <c r="A78" s="20" t="inlineStr">
        <is>
          <t>미수 환급법인세</t>
        </is>
      </c>
      <c r="C78" s="22" t="n">
        <v>19.857</v>
      </c>
      <c r="D78" s="22" t="n">
        <v>22.04</v>
      </c>
      <c r="E78" s="22" t="n">
        <v>22.04</v>
      </c>
      <c r="F78" s="22" t="n">
        <v>0</v>
      </c>
      <c r="G78" s="22" t="n">
        <v>6.355</v>
      </c>
      <c r="H78" s="22" t="n">
        <v>0</v>
      </c>
      <c r="I78" s="22" t="n">
        <v>132.382</v>
      </c>
      <c r="J78" s="22" t="n">
        <v>49.269</v>
      </c>
      <c r="K78" s="22" t="n">
        <v>0.432</v>
      </c>
      <c r="L78" s="22" t="n">
        <v>22.04</v>
      </c>
    </row>
    <row r="79">
      <c r="A79" s="20" t="inlineStr">
        <is>
          <t>기타</t>
        </is>
      </c>
      <c r="C79" s="22" t="n">
        <v>162.869</v>
      </c>
      <c r="D79" s="22" t="n">
        <v>142.004</v>
      </c>
      <c r="E79" s="22" t="n">
        <v>161.257</v>
      </c>
      <c r="F79" s="22" t="n">
        <v>123.881</v>
      </c>
      <c r="G79" s="22" t="n">
        <v>169.365</v>
      </c>
      <c r="H79" s="22" t="n">
        <v>72.77</v>
      </c>
      <c r="I79" s="22" t="n">
        <v>88.245</v>
      </c>
      <c r="J79" s="22" t="n">
        <v>82.458</v>
      </c>
      <c r="K79" s="22" t="n">
        <v>86.642</v>
      </c>
      <c r="L79" s="22" t="n">
        <v>142.004</v>
      </c>
    </row>
    <row r="80">
      <c r="A80" s="20" t="inlineStr">
        <is>
          <t>대손충당금</t>
        </is>
      </c>
      <c r="C80" s="22" t="n">
        <v>0</v>
      </c>
      <c r="D80" s="22" t="n">
        <v>0</v>
      </c>
      <c r="I80" s="22" t="n">
        <v>0</v>
      </c>
      <c r="J80" s="22" t="n">
        <v>-60.9</v>
      </c>
      <c r="K80" s="22" t="n">
        <v>-54.275</v>
      </c>
      <c r="L80" s="22" t="n">
        <v>0</v>
      </c>
    </row>
    <row r="81">
      <c r="A81" s="9" t="inlineStr">
        <is>
          <t>유동자산 합계</t>
        </is>
      </c>
      <c r="C81" s="12" t="n">
        <v>7352.005</v>
      </c>
      <c r="D81" s="12" t="n">
        <v>8728.144</v>
      </c>
      <c r="E81" s="12" t="n">
        <v>7499.756</v>
      </c>
      <c r="F81" s="12" t="n">
        <v>7990.829</v>
      </c>
      <c r="G81" s="12" t="n">
        <v>7798.13</v>
      </c>
      <c r="H81" s="12" t="n">
        <v>4575.914</v>
      </c>
      <c r="I81" s="12" t="n">
        <v>3886.695</v>
      </c>
      <c r="J81" s="12" t="n">
        <v>4433.676</v>
      </c>
      <c r="K81" s="12" t="n">
        <v>6616.406</v>
      </c>
      <c r="L81" s="12" t="n">
        <v>8728.144</v>
      </c>
    </row>
    <row r="82">
      <c r="A82" s="20" t="inlineStr">
        <is>
          <t>건물·구축물(순액)</t>
        </is>
      </c>
      <c r="D82" s="22" t="n">
        <v>331.82</v>
      </c>
      <c r="H82" s="22" t="n">
        <v>216.911</v>
      </c>
      <c r="I82" s="22" t="n">
        <v>195.899</v>
      </c>
      <c r="J82" s="22" t="n">
        <v>347.123</v>
      </c>
      <c r="K82" s="22" t="n">
        <v>322.167</v>
      </c>
      <c r="L82" s="22" t="n">
        <v>331.82</v>
      </c>
    </row>
    <row r="83">
      <c r="A83" s="20" t="inlineStr">
        <is>
          <t>공구·기구·비품(순액)</t>
        </is>
      </c>
      <c r="D83" s="22" t="n">
        <v>11.133</v>
      </c>
      <c r="H83" s="22" t="n">
        <v>3.491</v>
      </c>
      <c r="I83" s="22" t="n">
        <v>3.203</v>
      </c>
      <c r="J83" s="22" t="n">
        <v>13.641</v>
      </c>
      <c r="K83" s="22" t="n">
        <v>10.795</v>
      </c>
      <c r="L83" s="22" t="n">
        <v>11.133</v>
      </c>
    </row>
    <row r="84">
      <c r="A84" s="20" t="inlineStr">
        <is>
          <t>토지</t>
        </is>
      </c>
      <c r="D84" s="22" t="n">
        <v>48.49</v>
      </c>
      <c r="I84" s="22" t="n">
        <v>0</v>
      </c>
      <c r="J84" s="22" t="n">
        <v>48.49</v>
      </c>
      <c r="K84" s="22" t="n">
        <v>48.49</v>
      </c>
      <c r="L84" s="22" t="n">
        <v>48.49</v>
      </c>
    </row>
    <row r="85">
      <c r="A85" s="20" t="inlineStr">
        <is>
          <t>리스자산(순액)</t>
        </is>
      </c>
      <c r="D85" s="22" t="n">
        <v>81.43300000000001</v>
      </c>
      <c r="H85" s="22" t="n">
        <v>109.353</v>
      </c>
      <c r="I85" s="22" t="n">
        <v>102.373</v>
      </c>
      <c r="J85" s="22" t="n">
        <v>95.393</v>
      </c>
      <c r="K85" s="22" t="n">
        <v>88.413</v>
      </c>
      <c r="L85" s="22" t="n">
        <v>81.43300000000001</v>
      </c>
    </row>
    <row r="86">
      <c r="A86" s="20" t="inlineStr">
        <is>
          <t>건설중인자산</t>
        </is>
      </c>
      <c r="D86" s="22" t="n">
        <v>4.907</v>
      </c>
      <c r="J86" s="22" t="n">
        <v>0</v>
      </c>
      <c r="K86" s="22" t="n">
        <v>12.313</v>
      </c>
      <c r="L86" s="22" t="n">
        <v>4.907</v>
      </c>
    </row>
    <row r="87">
      <c r="A87" s="20" t="inlineStr">
        <is>
          <t>유형자산</t>
        </is>
      </c>
      <c r="C87" s="22" t="n">
        <v>477.24</v>
      </c>
      <c r="D87" s="22" t="n">
        <v>477.785</v>
      </c>
      <c r="E87" s="22" t="n">
        <v>471.492</v>
      </c>
      <c r="F87" s="22" t="n">
        <v>468.801</v>
      </c>
      <c r="G87" s="22" t="n">
        <v>581.622</v>
      </c>
      <c r="H87" s="22" t="n">
        <v>329.756</v>
      </c>
      <c r="I87" s="22" t="n">
        <v>301.477</v>
      </c>
      <c r="J87" s="22" t="n">
        <v>504.647</v>
      </c>
      <c r="K87" s="22" t="n">
        <v>482.18</v>
      </c>
      <c r="L87" s="22" t="n">
        <v>477.785</v>
      </c>
    </row>
    <row r="88">
      <c r="A88" s="20" t="inlineStr">
        <is>
          <t>영업권</t>
        </is>
      </c>
      <c r="C88" s="22" t="n">
        <v>63.26</v>
      </c>
      <c r="D88" s="22" t="n">
        <v>56.716</v>
      </c>
      <c r="E88" s="22" t="n">
        <v>50.172</v>
      </c>
      <c r="F88" s="22" t="n">
        <v>43.628</v>
      </c>
      <c r="G88" s="22" t="n">
        <v>37.083</v>
      </c>
      <c r="H88" s="22" t="n">
        <v>161.423</v>
      </c>
      <c r="I88" s="22" t="n">
        <v>135.247</v>
      </c>
      <c r="J88" s="22" t="n">
        <v>109.07</v>
      </c>
      <c r="K88" s="22" t="n">
        <v>82.893</v>
      </c>
      <c r="L88" s="22" t="n">
        <v>56.716</v>
      </c>
    </row>
    <row r="89">
      <c r="A89" s="20" t="inlineStr">
        <is>
          <t>소프트웨어</t>
        </is>
      </c>
      <c r="D89" s="22" t="n">
        <v>16.454</v>
      </c>
      <c r="H89" s="22" t="n">
        <v>7.347</v>
      </c>
      <c r="I89" s="22" t="n">
        <v>9.137</v>
      </c>
      <c r="J89" s="22" t="n">
        <v>32.811</v>
      </c>
      <c r="K89" s="22" t="n">
        <v>23.954</v>
      </c>
      <c r="L89" s="22" t="n">
        <v>16.454</v>
      </c>
    </row>
    <row r="90">
      <c r="A90" s="20" t="inlineStr">
        <is>
          <t>기타</t>
        </is>
      </c>
      <c r="C90" s="22" t="n">
        <v>18.329</v>
      </c>
      <c r="D90" s="22" t="n">
        <v>16.454</v>
      </c>
      <c r="E90" s="22" t="n">
        <v>15.535</v>
      </c>
      <c r="F90" s="22" t="n">
        <v>13.619</v>
      </c>
      <c r="G90" s="22" t="n">
        <v>11.704</v>
      </c>
      <c r="I90" s="22" t="n">
        <v>9.137</v>
      </c>
      <c r="J90" s="22" t="n">
        <v>32.811</v>
      </c>
      <c r="K90" s="22" t="n">
        <v>23.954</v>
      </c>
      <c r="L90" s="22" t="n">
        <v>16.454</v>
      </c>
    </row>
    <row r="91">
      <c r="A91" s="20" t="inlineStr">
        <is>
          <t>무형자산 합계</t>
        </is>
      </c>
      <c r="C91" s="22" t="n">
        <v>81.589</v>
      </c>
      <c r="D91" s="22" t="n">
        <v>73.17</v>
      </c>
      <c r="E91" s="22" t="n">
        <v>65.70699999999999</v>
      </c>
      <c r="F91" s="22" t="n">
        <v>57.248</v>
      </c>
      <c r="G91" s="22" t="n">
        <v>48.788</v>
      </c>
      <c r="H91" s="22" t="n">
        <v>168.771</v>
      </c>
      <c r="I91" s="22" t="n">
        <v>144.384</v>
      </c>
      <c r="J91" s="22" t="n">
        <v>141.881</v>
      </c>
      <c r="K91" s="22" t="n">
        <v>106.847</v>
      </c>
      <c r="L91" s="22" t="n">
        <v>73.17</v>
      </c>
    </row>
    <row r="92">
      <c r="A92" s="20" t="inlineStr">
        <is>
          <t>투자유가증권</t>
        </is>
      </c>
      <c r="C92" s="22" t="n">
        <v>311.477</v>
      </c>
      <c r="D92" s="22" t="n">
        <v>311.674</v>
      </c>
      <c r="E92" s="22" t="n">
        <v>314.594</v>
      </c>
      <c r="F92" s="22" t="n">
        <v>323.41</v>
      </c>
      <c r="G92" s="22" t="n">
        <v>51.665</v>
      </c>
      <c r="H92" s="22" t="n">
        <v>90.581</v>
      </c>
      <c r="I92" s="22" t="n">
        <v>103.141</v>
      </c>
      <c r="J92" s="22" t="n">
        <v>105.869</v>
      </c>
      <c r="K92" s="22" t="n">
        <v>15.56</v>
      </c>
      <c r="L92" s="22" t="n">
        <v>311.674</v>
      </c>
    </row>
    <row r="93">
      <c r="A93" s="20" t="inlineStr">
        <is>
          <t>장기대여금</t>
        </is>
      </c>
      <c r="D93" s="22" t="n">
        <v>51</v>
      </c>
      <c r="H93" s="22" t="n">
        <v>5.042</v>
      </c>
      <c r="I93" s="22" t="n">
        <v>28.042</v>
      </c>
      <c r="J93" s="22" t="n">
        <v>21.542</v>
      </c>
      <c r="K93" s="22" t="n">
        <v>5.042</v>
      </c>
      <c r="L93" s="22" t="n">
        <v>51</v>
      </c>
    </row>
    <row r="94">
      <c r="A94" s="20" t="inlineStr">
        <is>
          <t>보증금</t>
        </is>
      </c>
      <c r="D94" s="22" t="n">
        <v>186.936</v>
      </c>
      <c r="H94" s="22" t="n">
        <v>143.078</v>
      </c>
      <c r="I94" s="22" t="n">
        <v>138.895</v>
      </c>
      <c r="J94" s="22" t="n">
        <v>133.349</v>
      </c>
      <c r="K94" s="22" t="n">
        <v>149.216</v>
      </c>
      <c r="L94" s="22" t="n">
        <v>186.936</v>
      </c>
    </row>
    <row r="95">
      <c r="A95" s="20" t="inlineStr">
        <is>
          <t>파산갱생채권 등</t>
        </is>
      </c>
      <c r="H95" s="22" t="n">
        <v>23.658</v>
      </c>
      <c r="I95" s="22" t="n">
        <v>23.658</v>
      </c>
      <c r="J95" s="22" t="n">
        <v>23.658</v>
      </c>
      <c r="K95" s="22" t="n">
        <v>0</v>
      </c>
    </row>
    <row r="96">
      <c r="A96" s="20" t="inlineStr">
        <is>
          <t>이연법인세자산</t>
        </is>
      </c>
      <c r="C96" s="22" t="n">
        <v>23.403</v>
      </c>
      <c r="D96" s="22" t="n">
        <v>89.27500000000001</v>
      </c>
      <c r="E96" s="22" t="n">
        <v>81.405</v>
      </c>
      <c r="F96" s="22" t="n">
        <v>58.127</v>
      </c>
      <c r="G96" s="22" t="n">
        <v>70.73099999999999</v>
      </c>
      <c r="H96" s="22" t="n">
        <v>128.719</v>
      </c>
      <c r="I96" s="22" t="n">
        <v>140.363</v>
      </c>
      <c r="J96" s="22" t="n">
        <v>103.577</v>
      </c>
      <c r="K96" s="22" t="n">
        <v>65.962</v>
      </c>
      <c r="L96" s="22" t="n">
        <v>89.27500000000001</v>
      </c>
    </row>
    <row r="97">
      <c r="A97" s="20" t="inlineStr">
        <is>
          <t>기타</t>
        </is>
      </c>
      <c r="C97" s="22" t="n">
        <v>273.855</v>
      </c>
      <c r="D97" s="22" t="n">
        <v>311.741</v>
      </c>
      <c r="E97" s="22" t="n">
        <v>313.76</v>
      </c>
      <c r="F97" s="22" t="n">
        <v>251.566</v>
      </c>
      <c r="G97" s="22" t="n">
        <v>253.478</v>
      </c>
      <c r="H97" s="22" t="n">
        <v>13.49</v>
      </c>
      <c r="I97" s="22" t="n">
        <v>12.09</v>
      </c>
      <c r="J97" s="22" t="n">
        <v>11.273</v>
      </c>
      <c r="K97" s="22" t="n">
        <v>60.166</v>
      </c>
      <c r="L97" s="22" t="n">
        <v>311.741</v>
      </c>
    </row>
    <row r="98">
      <c r="A98" s="20" t="inlineStr">
        <is>
          <t>대손충당금</t>
        </is>
      </c>
      <c r="C98" s="22" t="n">
        <v>-59.318</v>
      </c>
      <c r="D98" s="22" t="n">
        <v>-51.656</v>
      </c>
      <c r="E98" s="22" t="n">
        <v>-50.156</v>
      </c>
      <c r="F98" s="22" t="n">
        <v>-48.656</v>
      </c>
      <c r="G98" s="22" t="n">
        <v>-47.156</v>
      </c>
      <c r="H98" s="22" t="n">
        <v>-28.701</v>
      </c>
      <c r="I98" s="22" t="n">
        <v>-28.701</v>
      </c>
      <c r="J98" s="22" t="n">
        <v>-28.701</v>
      </c>
      <c r="K98" s="22" t="n">
        <v>-5.042</v>
      </c>
      <c r="L98" s="22" t="n">
        <v>-51.656</v>
      </c>
    </row>
    <row r="99">
      <c r="A99" s="20" t="inlineStr">
        <is>
          <t>투자 및 기타자산 합계</t>
        </is>
      </c>
      <c r="C99" s="22" t="n">
        <v>549.417</v>
      </c>
      <c r="D99" s="22" t="n">
        <v>661.034</v>
      </c>
      <c r="E99" s="22" t="n">
        <v>659.603</v>
      </c>
      <c r="F99" s="22" t="n">
        <v>584.449</v>
      </c>
      <c r="G99" s="22" t="n">
        <v>328.718</v>
      </c>
      <c r="H99" s="22" t="n">
        <v>375.869</v>
      </c>
      <c r="I99" s="22" t="n">
        <v>417.49</v>
      </c>
      <c r="J99" s="22" t="n">
        <v>370.569</v>
      </c>
      <c r="K99" s="22" t="n">
        <v>290.906</v>
      </c>
      <c r="L99" s="22" t="n">
        <v>661.034</v>
      </c>
    </row>
    <row r="100">
      <c r="A100" s="9" t="inlineStr">
        <is>
          <t>비유동자산 합계</t>
        </is>
      </c>
      <c r="C100" s="12" t="n">
        <v>1108.247</v>
      </c>
      <c r="D100" s="12" t="n">
        <v>1211.99</v>
      </c>
      <c r="E100" s="12" t="n">
        <v>1196.803</v>
      </c>
      <c r="F100" s="12" t="n">
        <v>1110.499</v>
      </c>
      <c r="G100" s="12" t="n">
        <v>959.13</v>
      </c>
      <c r="H100" s="12" t="n">
        <v>874.397</v>
      </c>
      <c r="I100" s="12" t="n">
        <v>863.352</v>
      </c>
      <c r="J100" s="12" t="n">
        <v>1017.098</v>
      </c>
      <c r="K100" s="12" t="n">
        <v>879.933</v>
      </c>
      <c r="L100" s="12" t="n">
        <v>1211.99</v>
      </c>
    </row>
    <row r="101">
      <c r="A101" s="9" t="inlineStr">
        <is>
          <t>자산 합계</t>
        </is>
      </c>
      <c r="C101" s="12" t="n">
        <v>8460.252</v>
      </c>
      <c r="D101" s="12" t="n">
        <v>9940.134</v>
      </c>
      <c r="E101" s="12" t="n">
        <v>8696.559999999999</v>
      </c>
      <c r="F101" s="12" t="n">
        <v>9101.328</v>
      </c>
      <c r="G101" s="12" t="n">
        <v>8757.26</v>
      </c>
      <c r="H101" s="12" t="n">
        <v>5450.312</v>
      </c>
      <c r="I101" s="12" t="n">
        <v>4750.048</v>
      </c>
      <c r="J101" s="12" t="n">
        <v>5450.775</v>
      </c>
      <c r="K101" s="12" t="n">
        <v>7496.339</v>
      </c>
      <c r="L101" s="12" t="n">
        <v>9940.134</v>
      </c>
    </row>
    <row r="102">
      <c r="A102" s="20" t="inlineStr">
        <is>
          <t>매입채무</t>
        </is>
      </c>
      <c r="C102" s="22" t="n">
        <v>587.268</v>
      </c>
      <c r="D102" s="22" t="n">
        <v>733.454</v>
      </c>
      <c r="E102" s="22" t="n">
        <v>479.54</v>
      </c>
      <c r="F102" s="22" t="n">
        <v>429.078</v>
      </c>
      <c r="G102" s="22" t="n">
        <v>526.376</v>
      </c>
      <c r="H102" s="22" t="n">
        <v>168.205</v>
      </c>
      <c r="I102" s="22" t="n">
        <v>458.167</v>
      </c>
      <c r="J102" s="22" t="n">
        <v>389.72</v>
      </c>
      <c r="K102" s="22" t="n">
        <v>870.523</v>
      </c>
      <c r="L102" s="22" t="n">
        <v>733.454</v>
      </c>
    </row>
    <row r="103">
      <c r="A103" s="20" t="inlineStr">
        <is>
          <t>단기차입금</t>
        </is>
      </c>
      <c r="C103" s="22" t="n">
        <v>934.8579999999999</v>
      </c>
      <c r="D103" s="22" t="n">
        <v>920</v>
      </c>
      <c r="E103" s="22" t="n">
        <v>810</v>
      </c>
      <c r="F103" s="22" t="n">
        <v>810</v>
      </c>
      <c r="G103" s="22" t="n">
        <v>474.25</v>
      </c>
      <c r="H103" s="22" t="n">
        <v>0</v>
      </c>
      <c r="I103" s="22" t="n">
        <v>0</v>
      </c>
      <c r="J103" s="22" t="n">
        <v>437.5</v>
      </c>
      <c r="K103" s="22" t="n">
        <v>424.08</v>
      </c>
      <c r="L103" s="22" t="n">
        <v>920</v>
      </c>
    </row>
    <row r="104">
      <c r="A104" s="20" t="inlineStr">
        <is>
          <t>1년 내 상환 장기차입금</t>
        </is>
      </c>
      <c r="C104" s="22" t="n">
        <v>867.533</v>
      </c>
      <c r="D104" s="22" t="n">
        <v>696.081</v>
      </c>
      <c r="E104" s="22" t="n">
        <v>436.081</v>
      </c>
      <c r="F104" s="22" t="n">
        <v>1384.081</v>
      </c>
      <c r="G104" s="22" t="n">
        <v>1055.063</v>
      </c>
      <c r="H104" s="22" t="n">
        <v>37.28</v>
      </c>
      <c r="I104" s="22" t="n">
        <v>70.236</v>
      </c>
      <c r="J104" s="22" t="n">
        <v>83.092</v>
      </c>
      <c r="K104" s="22" t="n">
        <v>230.984</v>
      </c>
      <c r="L104" s="22" t="n">
        <v>696.081</v>
      </c>
    </row>
    <row r="105">
      <c r="A105" s="20" t="inlineStr">
        <is>
          <t>리스부채</t>
        </is>
      </c>
      <c r="D105" s="22" t="n">
        <v>6.69</v>
      </c>
      <c r="H105" s="22" t="n">
        <v>5.369</v>
      </c>
      <c r="I105" s="22" t="n">
        <v>5.67</v>
      </c>
      <c r="J105" s="22" t="n">
        <v>5.987</v>
      </c>
      <c r="K105" s="22" t="n">
        <v>6.322</v>
      </c>
      <c r="L105" s="22" t="n">
        <v>6.69</v>
      </c>
    </row>
    <row r="106">
      <c r="A106" s="20" t="inlineStr">
        <is>
          <t>미지급법인세</t>
        </is>
      </c>
      <c r="C106" s="22" t="n">
        <v>29.179</v>
      </c>
      <c r="D106" s="22" t="n">
        <v>176.123</v>
      </c>
      <c r="E106" s="22" t="n">
        <v>7.493</v>
      </c>
      <c r="F106" s="22" t="n">
        <v>16.211</v>
      </c>
      <c r="G106" s="22" t="n">
        <v>61.467</v>
      </c>
      <c r="H106" s="22" t="n">
        <v>265.419</v>
      </c>
      <c r="I106" s="22" t="n">
        <v>94.65000000000001</v>
      </c>
      <c r="J106" s="22" t="n">
        <v>29.758</v>
      </c>
      <c r="K106" s="22" t="n">
        <v>103.526</v>
      </c>
      <c r="L106" s="22" t="n">
        <v>176.123</v>
      </c>
    </row>
    <row r="107">
      <c r="A107" s="20" t="inlineStr">
        <is>
          <t>선수금</t>
        </is>
      </c>
      <c r="C107" s="22" t="n">
        <v>1745.5</v>
      </c>
      <c r="D107" s="22" t="n">
        <v>1925.573</v>
      </c>
      <c r="E107" s="22" t="n">
        <v>1322.076</v>
      </c>
      <c r="F107" s="22" t="n">
        <v>1014.989</v>
      </c>
      <c r="G107" s="22" t="n">
        <v>1334.129</v>
      </c>
      <c r="H107" s="22" t="n">
        <v>1252.557</v>
      </c>
      <c r="I107" s="22" t="n">
        <v>728.864</v>
      </c>
      <c r="J107" s="22" t="n">
        <v>483.003</v>
      </c>
      <c r="K107" s="22" t="n">
        <v>1350.281</v>
      </c>
      <c r="L107" s="22" t="n">
        <v>1925.573</v>
      </c>
    </row>
    <row r="108">
      <c r="A108" s="20" t="inlineStr">
        <is>
          <t>상여충당금</t>
        </is>
      </c>
      <c r="C108" s="22" t="n">
        <v>19.709</v>
      </c>
      <c r="D108" s="22" t="n">
        <v>72.215</v>
      </c>
      <c r="E108" s="22" t="n">
        <v>20.856</v>
      </c>
      <c r="F108" s="22" t="n">
        <v>0</v>
      </c>
      <c r="G108" s="22" t="n">
        <v>21.336</v>
      </c>
      <c r="I108" s="22" t="n">
        <v>0</v>
      </c>
      <c r="J108" s="22" t="n">
        <v>0</v>
      </c>
      <c r="K108" s="22" t="n">
        <v>0</v>
      </c>
      <c r="L108" s="22" t="n">
        <v>72.215</v>
      </c>
    </row>
    <row r="109">
      <c r="A109" s="20" t="inlineStr">
        <is>
          <t>임원 상여충당금</t>
        </is>
      </c>
      <c r="D109" s="22" t="n">
        <v>13.19</v>
      </c>
      <c r="E109" s="22" t="n">
        <v>0</v>
      </c>
      <c r="F109" s="22" t="n">
        <v>0</v>
      </c>
      <c r="G109" s="22" t="n">
        <v>0</v>
      </c>
      <c r="K109" s="22" t="n">
        <v>0</v>
      </c>
      <c r="L109" s="22" t="n">
        <v>13.19</v>
      </c>
    </row>
    <row r="110">
      <c r="A110" s="20" t="inlineStr">
        <is>
          <t>예수금</t>
        </is>
      </c>
      <c r="C110" s="22" t="n">
        <v>49.43</v>
      </c>
      <c r="D110" s="22" t="n">
        <v>46.4</v>
      </c>
      <c r="E110" s="22" t="n">
        <v>63.559</v>
      </c>
      <c r="F110" s="22" t="n">
        <v>71.65300000000001</v>
      </c>
      <c r="G110" s="22" t="n">
        <v>62</v>
      </c>
      <c r="H110" s="22" t="n">
        <v>15.707</v>
      </c>
      <c r="I110" s="22" t="n">
        <v>18.967</v>
      </c>
      <c r="J110" s="22" t="n">
        <v>21.104</v>
      </c>
      <c r="K110" s="22" t="n">
        <v>26.331</v>
      </c>
      <c r="L110" s="22" t="n">
        <v>46.4</v>
      </c>
    </row>
    <row r="111">
      <c r="A111" s="20" t="inlineStr">
        <is>
          <t>주식급여 충당금</t>
        </is>
      </c>
      <c r="H111" s="22" t="n">
        <v>33.497</v>
      </c>
      <c r="I111" s="22" t="n">
        <v>0</v>
      </c>
    </row>
    <row r="112">
      <c r="A112" s="20" t="inlineStr">
        <is>
          <t>기타</t>
        </is>
      </c>
      <c r="C112" s="22" t="n">
        <v>175.138</v>
      </c>
      <c r="D112" s="22" t="n">
        <v>210.962</v>
      </c>
      <c r="E112" s="22" t="n">
        <v>178.438</v>
      </c>
      <c r="F112" s="22" t="n">
        <v>196.853</v>
      </c>
      <c r="G112" s="22" t="n">
        <v>175.77</v>
      </c>
      <c r="H112" s="22" t="n">
        <v>350.41</v>
      </c>
      <c r="I112" s="22" t="n">
        <v>152.164</v>
      </c>
      <c r="J112" s="22" t="n">
        <v>170.896</v>
      </c>
      <c r="K112" s="22" t="n">
        <v>255.622</v>
      </c>
      <c r="L112" s="22" t="n">
        <v>210.962</v>
      </c>
    </row>
    <row r="113">
      <c r="A113" s="9" t="inlineStr">
        <is>
          <t>유동부채 합계</t>
        </is>
      </c>
      <c r="C113" s="12" t="n">
        <v>4408.618</v>
      </c>
      <c r="D113" s="12" t="n">
        <v>4794.001</v>
      </c>
      <c r="E113" s="12" t="n">
        <v>3318.047</v>
      </c>
      <c r="F113" s="12" t="n">
        <v>3922.868</v>
      </c>
      <c r="G113" s="12" t="n">
        <v>3710.393</v>
      </c>
      <c r="H113" s="12" t="n">
        <v>2128.446</v>
      </c>
      <c r="I113" s="12" t="n">
        <v>1528.719</v>
      </c>
      <c r="J113" s="12" t="n">
        <v>1621.062</v>
      </c>
      <c r="K113" s="12" t="n">
        <v>3267.672</v>
      </c>
      <c r="L113" s="12" t="n">
        <v>4794.001</v>
      </c>
    </row>
    <row r="114">
      <c r="A114" s="20" t="inlineStr">
        <is>
          <t>장기차입금</t>
        </is>
      </c>
      <c r="C114" s="22" t="n">
        <v>529.563</v>
      </c>
      <c r="D114" s="22" t="n">
        <v>1342.968</v>
      </c>
      <c r="E114" s="22" t="n">
        <v>1663.702</v>
      </c>
      <c r="F114" s="22" t="n">
        <v>1505.436</v>
      </c>
      <c r="G114" s="22" t="n">
        <v>1114.5</v>
      </c>
      <c r="H114" s="22" t="n">
        <v>202.792</v>
      </c>
      <c r="I114" s="22" t="n">
        <v>439.22</v>
      </c>
      <c r="J114" s="22" t="n">
        <v>683.986</v>
      </c>
      <c r="K114" s="22" t="n">
        <v>826.13</v>
      </c>
      <c r="L114" s="22" t="n">
        <v>1342.968</v>
      </c>
    </row>
    <row r="115">
      <c r="A115" s="20" t="inlineStr">
        <is>
          <t>리스부채</t>
        </is>
      </c>
      <c r="C115" s="22" t="n">
        <v>99.913</v>
      </c>
      <c r="D115" s="22" t="n">
        <v>98.19499999999999</v>
      </c>
      <c r="E115" s="22" t="n">
        <v>96.468</v>
      </c>
      <c r="F115" s="22" t="n">
        <v>2.976</v>
      </c>
      <c r="G115" s="22" t="n">
        <v>2.797</v>
      </c>
      <c r="H115" s="22" t="n">
        <v>122.866</v>
      </c>
      <c r="I115" s="22" t="n">
        <v>117.196</v>
      </c>
      <c r="J115" s="22" t="n">
        <v>111.209</v>
      </c>
      <c r="K115" s="22" t="n">
        <v>104.886</v>
      </c>
      <c r="L115" s="22" t="n">
        <v>98.19499999999999</v>
      </c>
    </row>
    <row r="116">
      <c r="A116" s="20" t="inlineStr">
        <is>
          <t>자산복구부채</t>
        </is>
      </c>
      <c r="C116" s="22" t="n">
        <v>101.251</v>
      </c>
      <c r="D116" s="22" t="n">
        <v>108.222</v>
      </c>
      <c r="E116" s="22" t="n">
        <v>105.561</v>
      </c>
      <c r="F116" s="22" t="n">
        <v>100.688</v>
      </c>
      <c r="G116" s="22" t="n">
        <v>100.124</v>
      </c>
      <c r="H116" s="22" t="n">
        <v>52.374</v>
      </c>
      <c r="I116" s="22" t="n">
        <v>50.05</v>
      </c>
      <c r="J116" s="22" t="n">
        <v>112.33</v>
      </c>
      <c r="K116" s="22" t="n">
        <v>106.464</v>
      </c>
      <c r="L116" s="22" t="n">
        <v>108.222</v>
      </c>
    </row>
    <row r="117">
      <c r="A117" s="20" t="inlineStr">
        <is>
          <t>장기선수수익</t>
        </is>
      </c>
      <c r="D117" s="22" t="n">
        <v>22.629</v>
      </c>
      <c r="H117" s="22" t="n">
        <v>31.379</v>
      </c>
      <c r="I117" s="22" t="n">
        <v>29.037</v>
      </c>
      <c r="J117" s="22" t="n">
        <v>27.422</v>
      </c>
      <c r="K117" s="22" t="n">
        <v>25.163</v>
      </c>
      <c r="L117" s="22" t="n">
        <v>22.629</v>
      </c>
    </row>
    <row r="118">
      <c r="A118" s="20" t="inlineStr">
        <is>
          <t>장기 예수보증금</t>
        </is>
      </c>
      <c r="C118" s="22" t="n">
        <v>190.956</v>
      </c>
      <c r="D118" s="22" t="n">
        <v>222.624</v>
      </c>
      <c r="E118" s="22" t="n">
        <v>230.421</v>
      </c>
      <c r="F118" s="22" t="n">
        <v>247.954</v>
      </c>
      <c r="G118" s="22" t="n">
        <v>258.689</v>
      </c>
      <c r="H118" s="22" t="n">
        <v>136.243</v>
      </c>
      <c r="I118" s="22" t="n">
        <v>140.753</v>
      </c>
      <c r="J118" s="22" t="n">
        <v>163.722</v>
      </c>
      <c r="K118" s="22" t="n">
        <v>184.979</v>
      </c>
      <c r="L118" s="22" t="n">
        <v>222.624</v>
      </c>
    </row>
    <row r="119">
      <c r="A119" s="20" t="inlineStr">
        <is>
          <t>기타</t>
        </is>
      </c>
      <c r="C119" s="22" t="n">
        <v>32.862</v>
      </c>
      <c r="D119" s="22" t="n">
        <v>29.609</v>
      </c>
      <c r="E119" s="22" t="n">
        <v>28.487</v>
      </c>
      <c r="F119" s="22" t="n">
        <v>5.797</v>
      </c>
      <c r="G119" s="22" t="n">
        <v>5.371</v>
      </c>
      <c r="H119" s="22" t="n">
        <v>2.095</v>
      </c>
      <c r="I119" s="22" t="n">
        <v>1.335</v>
      </c>
      <c r="J119" s="22" t="n">
        <v>0.576</v>
      </c>
      <c r="K119" s="22" t="n">
        <v>0</v>
      </c>
      <c r="L119" s="22" t="n">
        <v>29.609</v>
      </c>
    </row>
    <row r="120">
      <c r="A120" s="9" t="inlineStr">
        <is>
          <t>비유동부채 합계</t>
        </is>
      </c>
      <c r="C120" s="12" t="n">
        <v>954.548</v>
      </c>
      <c r="D120" s="12" t="n">
        <v>1801.621</v>
      </c>
      <c r="E120" s="12" t="n">
        <v>2124.642</v>
      </c>
      <c r="F120" s="12" t="n">
        <v>1862.854</v>
      </c>
      <c r="G120" s="12" t="n">
        <v>1481.482</v>
      </c>
      <c r="H120" s="12" t="n">
        <v>547.75</v>
      </c>
      <c r="I120" s="12" t="n">
        <v>777.593</v>
      </c>
      <c r="J120" s="12" t="n">
        <v>1099.247</v>
      </c>
      <c r="K120" s="12" t="n">
        <v>1247.623</v>
      </c>
      <c r="L120" s="12" t="n">
        <v>1801.621</v>
      </c>
    </row>
    <row r="121">
      <c r="A121" s="9" t="inlineStr">
        <is>
          <t>부채 합계</t>
        </is>
      </c>
      <c r="C121" s="12" t="n">
        <v>5363.166</v>
      </c>
      <c r="D121" s="12" t="n">
        <v>6595.622</v>
      </c>
      <c r="E121" s="12" t="n">
        <v>5442.689</v>
      </c>
      <c r="F121" s="12" t="n">
        <v>5785.722</v>
      </c>
      <c r="G121" s="12" t="n">
        <v>5191.876</v>
      </c>
      <c r="H121" s="12" t="n">
        <v>2676.197</v>
      </c>
      <c r="I121" s="12" t="n">
        <v>2306.313</v>
      </c>
      <c r="J121" s="12" t="n">
        <v>2720.309</v>
      </c>
      <c r="K121" s="12" t="n">
        <v>4515.296</v>
      </c>
      <c r="L121" s="12" t="n">
        <v>6595.622</v>
      </c>
    </row>
    <row r="122">
      <c r="A122" s="20" t="inlineStr">
        <is>
          <t>자본금</t>
        </is>
      </c>
      <c r="C122" s="22" t="n">
        <v>789.647</v>
      </c>
      <c r="D122" s="22" t="n">
        <v>789.647</v>
      </c>
      <c r="E122" s="22" t="n">
        <v>789.647</v>
      </c>
      <c r="F122" s="22" t="n">
        <v>789.647</v>
      </c>
      <c r="G122" s="22" t="n">
        <v>789.647</v>
      </c>
      <c r="H122" s="22" t="n">
        <v>789.647</v>
      </c>
      <c r="I122" s="22" t="n">
        <v>789.647</v>
      </c>
      <c r="J122" s="22" t="n">
        <v>789.647</v>
      </c>
      <c r="K122" s="22" t="n">
        <v>789.647</v>
      </c>
      <c r="L122" s="22" t="n">
        <v>789.647</v>
      </c>
    </row>
    <row r="123">
      <c r="A123" s="20" t="inlineStr">
        <is>
          <t>자본잉여금</t>
        </is>
      </c>
      <c r="C123" s="22" t="n">
        <v>789.647</v>
      </c>
      <c r="D123" s="22" t="n">
        <v>789.647</v>
      </c>
      <c r="E123" s="22" t="n">
        <v>789.647</v>
      </c>
      <c r="F123" s="22" t="n">
        <v>789.647</v>
      </c>
      <c r="G123" s="22" t="n">
        <v>789.647</v>
      </c>
      <c r="H123" s="22" t="n">
        <v>789.647</v>
      </c>
      <c r="I123" s="22" t="n">
        <v>789.647</v>
      </c>
      <c r="J123" s="22" t="n">
        <v>789.647</v>
      </c>
      <c r="K123" s="22" t="n">
        <v>789.647</v>
      </c>
      <c r="L123" s="22" t="n">
        <v>789.647</v>
      </c>
    </row>
    <row r="124">
      <c r="A124" s="20" t="inlineStr">
        <is>
          <t>이익잉여금</t>
        </is>
      </c>
      <c r="C124" s="22" t="n">
        <v>2183.866</v>
      </c>
      <c r="D124" s="22" t="n">
        <v>2427.011</v>
      </c>
      <c r="E124" s="22" t="n">
        <v>2330.262</v>
      </c>
      <c r="F124" s="22" t="n">
        <v>2299.353</v>
      </c>
      <c r="G124" s="22" t="n">
        <v>2546.513</v>
      </c>
      <c r="H124" s="22" t="n">
        <v>1801.442</v>
      </c>
      <c r="I124" s="22" t="n">
        <v>1936.076</v>
      </c>
      <c r="J124" s="22" t="n">
        <v>1848.148</v>
      </c>
      <c r="K124" s="22" t="n">
        <v>2082.987</v>
      </c>
      <c r="L124" s="22" t="n">
        <v>2427.011</v>
      </c>
    </row>
    <row r="125">
      <c r="A125" s="20" t="inlineStr">
        <is>
          <t>자기주식</t>
        </is>
      </c>
      <c r="C125" s="22" t="n">
        <v>-700.978</v>
      </c>
      <c r="D125" s="22" t="n">
        <v>-700.98</v>
      </c>
      <c r="E125" s="22" t="n">
        <v>-700.981</v>
      </c>
      <c r="F125" s="22" t="n">
        <v>-614.4450000000001</v>
      </c>
      <c r="G125" s="22" t="n">
        <v>-614.4450000000001</v>
      </c>
      <c r="H125" s="22" t="n">
        <v>-609.747</v>
      </c>
      <c r="I125" s="22" t="n">
        <v>-1076.502</v>
      </c>
      <c r="J125" s="22" t="n">
        <v>-700.951</v>
      </c>
      <c r="K125" s="22" t="n">
        <v>-700.978</v>
      </c>
      <c r="L125" s="22" t="n">
        <v>-700.98</v>
      </c>
    </row>
    <row r="126">
      <c r="A126" s="9" t="inlineStr">
        <is>
          <t>주주자본 합계</t>
        </is>
      </c>
      <c r="C126" s="12" t="n">
        <v>3062.181</v>
      </c>
      <c r="D126" s="12" t="n">
        <v>3305.325</v>
      </c>
      <c r="E126" s="12" t="n">
        <v>3208.575</v>
      </c>
      <c r="F126" s="12" t="n">
        <v>3264.202</v>
      </c>
      <c r="G126" s="12" t="n">
        <v>3511.361</v>
      </c>
      <c r="H126" s="12" t="n">
        <v>2770.989</v>
      </c>
      <c r="I126" s="12" t="n">
        <v>2438.868</v>
      </c>
      <c r="J126" s="12" t="n">
        <v>2726.491</v>
      </c>
      <c r="K126" s="12" t="n">
        <v>2961.302</v>
      </c>
      <c r="L126" s="12" t="n">
        <v>3305.325</v>
      </c>
    </row>
    <row r="127">
      <c r="A127" s="20" t="inlineStr">
        <is>
          <t>신주예약권</t>
        </is>
      </c>
      <c r="C127" s="22" t="n">
        <v>34.904</v>
      </c>
      <c r="D127" s="22" t="n">
        <v>39.186</v>
      </c>
      <c r="E127" s="22" t="n">
        <v>45.295</v>
      </c>
      <c r="F127" s="22" t="n">
        <v>51.404</v>
      </c>
      <c r="G127" s="22" t="n">
        <v>54.022</v>
      </c>
      <c r="H127" s="22" t="n">
        <v>2.148</v>
      </c>
      <c r="I127" s="22" t="n">
        <v>3.974</v>
      </c>
      <c r="J127" s="22" t="n">
        <v>3.974</v>
      </c>
      <c r="K127" s="22" t="n">
        <v>19.74</v>
      </c>
      <c r="L127" s="22" t="n">
        <v>39.186</v>
      </c>
    </row>
    <row r="128">
      <c r="A128" s="20" t="inlineStr">
        <is>
          <t>비지배지분</t>
        </is>
      </c>
      <c r="H128" s="22" t="n">
        <v>0.977</v>
      </c>
      <c r="I128" s="22" t="n">
        <v>0.892</v>
      </c>
      <c r="J128" s="22" t="n">
        <v>0</v>
      </c>
    </row>
    <row r="129">
      <c r="A129" s="9" t="inlineStr">
        <is>
          <t>순자산 합계</t>
        </is>
      </c>
      <c r="C129" s="12" t="n">
        <v>3097.085</v>
      </c>
      <c r="D129" s="12" t="n">
        <v>3344.511</v>
      </c>
      <c r="E129" s="12" t="n">
        <v>3253.87</v>
      </c>
      <c r="F129" s="12" t="n">
        <v>3315.606</v>
      </c>
      <c r="G129" s="12" t="n">
        <v>3565.384</v>
      </c>
      <c r="H129" s="12" t="n">
        <v>2774.114</v>
      </c>
      <c r="I129" s="12" t="n">
        <v>2443.735</v>
      </c>
      <c r="J129" s="12" t="n">
        <v>2730.465</v>
      </c>
      <c r="K129" s="12" t="n">
        <v>2981.043</v>
      </c>
      <c r="L129" s="12" t="n">
        <v>3344.511</v>
      </c>
    </row>
    <row r="130">
      <c r="A130" s="9" t="inlineStr">
        <is>
          <t>부채·순자산 합계</t>
        </is>
      </c>
      <c r="C130" s="12" t="n">
        <v>8460.252</v>
      </c>
      <c r="D130" s="12" t="n">
        <v>9940.134</v>
      </c>
      <c r="E130" s="12" t="n">
        <v>8696.559999999999</v>
      </c>
      <c r="F130" s="12" t="n">
        <v>9101.328</v>
      </c>
      <c r="G130" s="12" t="n">
        <v>8757.26</v>
      </c>
      <c r="H130" s="12" t="n">
        <v>5450.312</v>
      </c>
      <c r="I130" s="12" t="n">
        <v>4750.048</v>
      </c>
      <c r="J130" s="12" t="n">
        <v>5450.775</v>
      </c>
      <c r="K130" s="12" t="n">
        <v>7496.339</v>
      </c>
      <c r="L130" s="12" t="n">
        <v>9940.134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44" customWidth="1" min="12" max="12"/>
  </cols>
  <sheetData>
    <row r="1">
      <c r="A1" s="52" t="inlineStr">
        <is>
          <t>필컴퍼니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this quarter · q single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</row>
    <row r="5">
      <c r="A5" s="55" t="inlineStr">
        <is>
          <t>항목</t>
        </is>
      </c>
      <c r="B5" s="55" t="inlineStr">
        <is>
          <t>값</t>
        </is>
      </c>
      <c r="L5" s="55" t="inlineStr">
        <is>
          <t>출처</t>
        </is>
      </c>
    </row>
    <row r="6">
      <c r="A6" s="56" t="inlineStr">
        <is>
          <t>매출</t>
        </is>
      </c>
      <c r="B6" s="57" t="n">
        <v>28.4</v>
      </c>
      <c r="L6" s="58" t="inlineStr">
        <is>
          <t>2단계 보고서 자료(회사 설명회 자료·공시)</t>
        </is>
      </c>
    </row>
    <row r="7">
      <c r="A7" s="56" t="inlineStr">
        <is>
          <t>gp</t>
        </is>
      </c>
      <c r="B7" s="57" t="n">
        <v>8.300000000000001</v>
      </c>
    </row>
    <row r="8">
      <c r="A8" s="56" t="inlineStr">
        <is>
          <t>매출총이익률 %</t>
        </is>
      </c>
      <c r="B8" s="57" t="n">
        <v>29.1</v>
      </c>
    </row>
    <row r="9">
      <c r="A9" s="56" t="inlineStr">
        <is>
          <t>sga</t>
        </is>
      </c>
      <c r="B9" s="57" t="n">
        <v>4.4</v>
      </c>
    </row>
    <row r="10">
      <c r="A10" s="56" t="inlineStr">
        <is>
          <t>영업이익</t>
        </is>
      </c>
      <c r="B10" s="57" t="n">
        <v>3.9</v>
      </c>
    </row>
    <row r="11">
      <c r="A11" s="56" t="inlineStr">
        <is>
          <t>ord</t>
        </is>
      </c>
      <c r="B11" s="57" t="n">
        <v>3.7</v>
      </c>
    </row>
    <row r="12">
      <c r="A12" s="56" t="inlineStr">
        <is>
          <t>순이익</t>
        </is>
      </c>
      <c r="B12" s="57" t="n">
        <v>2.5</v>
      </c>
    </row>
    <row r="13">
      <c r="A13" s="56" t="inlineStr">
        <is>
          <t>EPS approx</t>
        </is>
      </c>
      <c r="B13" s="57" t="n">
        <v>46.02</v>
      </c>
    </row>
    <row r="15">
      <c r="A15" s="54" t="inlineStr">
        <is>
          <t>this quarter · q single ly</t>
        </is>
      </c>
      <c r="B15" s="54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4" t="n"/>
    </row>
    <row r="16">
      <c r="A16" s="55" t="inlineStr">
        <is>
          <t>항목</t>
        </is>
      </c>
      <c r="B16" s="55" t="inlineStr">
        <is>
          <t>값</t>
        </is>
      </c>
      <c r="L16" s="55" t="inlineStr">
        <is>
          <t>출처</t>
        </is>
      </c>
    </row>
    <row r="17">
      <c r="A17" s="56" t="inlineStr">
        <is>
          <t>매출</t>
        </is>
      </c>
      <c r="B17" s="57" t="n">
        <v>16.8</v>
      </c>
      <c r="L17" s="58" t="inlineStr">
        <is>
          <t>2단계 보고서 자료(회사 설명회 자료·공시)</t>
        </is>
      </c>
    </row>
    <row r="18">
      <c r="A18" s="56" t="inlineStr">
        <is>
          <t>gp</t>
        </is>
      </c>
      <c r="B18" s="57" t="n">
        <v>4.7</v>
      </c>
    </row>
    <row r="19">
      <c r="A19" s="56" t="inlineStr">
        <is>
          <t>매출총이익률 %</t>
        </is>
      </c>
      <c r="B19" s="57" t="n">
        <v>27.8</v>
      </c>
    </row>
    <row r="20">
      <c r="A20" s="56" t="inlineStr">
        <is>
          <t>영업이익</t>
        </is>
      </c>
      <c r="B20" s="57" t="n">
        <v>0.6</v>
      </c>
    </row>
    <row r="21">
      <c r="A21" s="56" t="inlineStr">
        <is>
          <t>순이익</t>
        </is>
      </c>
      <c r="B21" s="57" t="n">
        <v>0.3</v>
      </c>
    </row>
    <row r="23">
      <c r="A23" s="54" t="inlineStr">
        <is>
          <t>this quarter · ytd 9m</t>
        </is>
      </c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</row>
    <row r="24">
      <c r="A24" s="55" t="inlineStr">
        <is>
          <t>항목</t>
        </is>
      </c>
      <c r="B24" s="55" t="inlineStr">
        <is>
          <t>값</t>
        </is>
      </c>
      <c r="L24" s="55" t="inlineStr">
        <is>
          <t>출처</t>
        </is>
      </c>
    </row>
    <row r="25">
      <c r="A25" s="56" t="inlineStr">
        <is>
          <t>매출</t>
        </is>
      </c>
      <c r="B25" s="57" t="n">
        <v>60.96</v>
      </c>
      <c r="L25" s="58" t="inlineStr">
        <is>
          <t>2단계 보고서 자료(회사 설명회 자료·공시)</t>
        </is>
      </c>
    </row>
    <row r="26">
      <c r="A26" s="56" t="inlineStr">
        <is>
          <t>매출 YoY %</t>
        </is>
      </c>
      <c r="B26" s="57" t="n">
        <v>8.300000000000001</v>
      </c>
    </row>
    <row r="27">
      <c r="A27" s="56" t="inlineStr">
        <is>
          <t>gp</t>
        </is>
      </c>
      <c r="B27" s="57" t="n">
        <v>15.65</v>
      </c>
    </row>
    <row r="28">
      <c r="A28" s="56" t="inlineStr">
        <is>
          <t>매출총이익률 %</t>
        </is>
      </c>
      <c r="B28" s="57" t="n">
        <v>25.7</v>
      </c>
    </row>
    <row r="29">
      <c r="A29" s="56" t="inlineStr">
        <is>
          <t>sga</t>
        </is>
      </c>
      <c r="B29" s="57" t="n">
        <v>12.95</v>
      </c>
    </row>
    <row r="30">
      <c r="A30" s="56" t="inlineStr">
        <is>
          <t>영업이익</t>
        </is>
      </c>
      <c r="B30" s="57" t="n">
        <v>2.7</v>
      </c>
    </row>
    <row r="31">
      <c r="A31" s="56" t="inlineStr">
        <is>
          <t>영업이익 YoY %</t>
        </is>
      </c>
      <c r="B31" s="57" t="n">
        <v>3.4</v>
      </c>
    </row>
    <row r="32">
      <c r="A32" s="56" t="inlineStr">
        <is>
          <t>ord</t>
        </is>
      </c>
      <c r="B32" s="57" t="n">
        <v>2.34</v>
      </c>
    </row>
    <row r="33">
      <c r="A33" s="56" t="inlineStr">
        <is>
          <t>ord YoY %</t>
        </is>
      </c>
      <c r="B33" s="57" t="n">
        <v>-8.9</v>
      </c>
    </row>
    <row r="34">
      <c r="A34" s="56" t="inlineStr">
        <is>
          <t>순이익</t>
        </is>
      </c>
      <c r="B34" s="57" t="n">
        <v>2.28</v>
      </c>
    </row>
    <row r="35">
      <c r="A35" s="56" t="inlineStr">
        <is>
          <t>순이익 YoY %</t>
        </is>
      </c>
      <c r="B35" s="57" t="n">
        <v>46.9</v>
      </c>
    </row>
    <row r="36">
      <c r="A36" s="56" t="inlineStr">
        <is>
          <t>EPS</t>
        </is>
      </c>
      <c r="B36" s="57" t="n">
        <v>42.38</v>
      </c>
    </row>
    <row r="38">
      <c r="A38" s="54" t="inlineStr">
        <is>
          <t>this quarter · ytd 9m ly</t>
        </is>
      </c>
      <c r="B38" s="54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4" t="n"/>
    </row>
    <row r="39">
      <c r="A39" s="55" t="inlineStr">
        <is>
          <t>항목</t>
        </is>
      </c>
      <c r="B39" s="55" t="inlineStr">
        <is>
          <t>값</t>
        </is>
      </c>
      <c r="L39" s="55" t="inlineStr">
        <is>
          <t>출처</t>
        </is>
      </c>
    </row>
    <row r="40">
      <c r="A40" s="56" t="inlineStr">
        <is>
          <t>매출</t>
        </is>
      </c>
      <c r="B40" s="57" t="n">
        <v>56.29</v>
      </c>
      <c r="L40" s="58" t="inlineStr">
        <is>
          <t>2단계 보고서 자료(회사 설명회 자료·공시)</t>
        </is>
      </c>
    </row>
    <row r="41">
      <c r="A41" s="56" t="inlineStr">
        <is>
          <t>gp</t>
        </is>
      </c>
      <c r="B41" s="57" t="n">
        <v>14.11</v>
      </c>
    </row>
    <row r="42">
      <c r="A42" s="56" t="inlineStr">
        <is>
          <t>매출총이익률 %</t>
        </is>
      </c>
      <c r="B42" s="57" t="n">
        <v>25.1</v>
      </c>
    </row>
    <row r="43">
      <c r="A43" s="56" t="inlineStr">
        <is>
          <t>sga</t>
        </is>
      </c>
      <c r="B43" s="57" t="n">
        <v>11.5</v>
      </c>
    </row>
    <row r="44">
      <c r="A44" s="56" t="inlineStr">
        <is>
          <t>영업이익</t>
        </is>
      </c>
      <c r="B44" s="57" t="n">
        <v>2.61</v>
      </c>
    </row>
    <row r="45">
      <c r="A45" s="56" t="inlineStr">
        <is>
          <t>ord</t>
        </is>
      </c>
      <c r="B45" s="57" t="n">
        <v>2.56</v>
      </c>
    </row>
    <row r="46">
      <c r="A46" s="56" t="inlineStr">
        <is>
          <t>순이익</t>
        </is>
      </c>
      <c r="B46" s="57" t="n">
        <v>1.55</v>
      </c>
    </row>
    <row r="47">
      <c r="A47" s="56" t="inlineStr">
        <is>
          <t>EPS</t>
        </is>
      </c>
      <c r="B47" s="57" t="n">
        <v>28.85</v>
      </c>
    </row>
    <row r="49">
      <c r="A49" s="54" t="inlineStr">
        <is>
          <t>this quarter · nonop 9m</t>
        </is>
      </c>
      <c r="B49" s="54" t="n"/>
      <c r="C49" s="54" t="n"/>
      <c r="D49" s="54" t="n"/>
      <c r="E49" s="54" t="n"/>
      <c r="F49" s="54" t="n"/>
      <c r="G49" s="54" t="n"/>
      <c r="H49" s="54" t="n"/>
      <c r="I49" s="54" t="n"/>
      <c r="J49" s="54" t="n"/>
      <c r="K49" s="54" t="n"/>
      <c r="L49" s="54" t="n"/>
    </row>
    <row r="50">
      <c r="A50" s="55" t="inlineStr">
        <is>
          <t>항목</t>
        </is>
      </c>
      <c r="B50" s="55" t="inlineStr">
        <is>
          <t>값</t>
        </is>
      </c>
      <c r="L50" s="55" t="inlineStr">
        <is>
          <t>출처</t>
        </is>
      </c>
    </row>
    <row r="51">
      <c r="A51" s="56" t="inlineStr">
        <is>
          <t>영업외수익</t>
        </is>
      </c>
      <c r="B51" s="57" t="n">
        <v>0.3</v>
      </c>
      <c r="L51" s="58" t="inlineStr">
        <is>
          <t>2단계 보고서 자료(회사 설명회 자료·공시)</t>
        </is>
      </c>
    </row>
    <row r="52">
      <c r="A52" s="56" t="inlineStr">
        <is>
          <t>이자수익</t>
        </is>
      </c>
      <c r="B52" s="57" t="n">
        <v>0.19</v>
      </c>
    </row>
    <row r="53">
      <c r="A53" s="56" t="inlineStr">
        <is>
          <t>영업외비용</t>
        </is>
      </c>
      <c r="B53" s="57" t="n">
        <v>0.67</v>
      </c>
    </row>
    <row r="54">
      <c r="A54" s="56" t="inlineStr">
        <is>
          <t>이자비용</t>
        </is>
      </c>
      <c r="B54" s="57" t="n">
        <v>0.46</v>
      </c>
    </row>
    <row r="55">
      <c r="A55" s="56" t="inlineStr">
        <is>
          <t>투자유가증권 평가손</t>
        </is>
      </c>
      <c r="B55" s="57" t="n">
        <v>0.08</v>
      </c>
    </row>
    <row r="56">
      <c r="A56" s="56" t="inlineStr">
        <is>
          <t>경상이익</t>
        </is>
      </c>
      <c r="B56" s="57" t="n">
        <v>2.34</v>
      </c>
    </row>
    <row r="57">
      <c r="A57" s="56" t="inlineStr">
        <is>
          <t>특별이익</t>
        </is>
      </c>
      <c r="B57" s="57" t="n">
        <v>2.58</v>
      </c>
    </row>
    <row r="58">
      <c r="A58" s="56" t="inlineStr">
        <is>
          <t>고정자산 매각익</t>
        </is>
      </c>
      <c r="B58" s="57" t="n">
        <v>0.84</v>
      </c>
    </row>
    <row r="59">
      <c r="A59" s="56" t="inlineStr">
        <is>
          <t>보상금 수령</t>
        </is>
      </c>
      <c r="B59" s="57" t="n">
        <v>1.5</v>
      </c>
    </row>
    <row r="60">
      <c r="A60" s="56" t="inlineStr">
        <is>
          <t>기타 특별이익</t>
        </is>
      </c>
      <c r="B60" s="57" t="n">
        <v>0.24</v>
      </c>
    </row>
    <row r="61">
      <c r="A61" s="56" t="inlineStr">
        <is>
          <t>특별손실</t>
        </is>
      </c>
      <c r="B61" s="57" t="n">
        <v>0.97</v>
      </c>
    </row>
    <row r="62">
      <c r="A62" s="56" t="inlineStr">
        <is>
          <t>주식급부신탁 종료손</t>
        </is>
      </c>
      <c r="B62" s="57" t="n">
        <v>0.97</v>
      </c>
    </row>
    <row r="63">
      <c r="A63" s="56" t="inlineStr">
        <is>
          <t>세전이익</t>
        </is>
      </c>
      <c r="B63" s="57" t="n">
        <v>3.94</v>
      </c>
    </row>
    <row r="64">
      <c r="A64" s="56" t="inlineStr">
        <is>
          <t>법인세 등</t>
        </is>
      </c>
      <c r="B64" s="57" t="n">
        <v>1.67</v>
      </c>
    </row>
    <row r="66">
      <c r="A66" s="54" t="inlineStr">
        <is>
          <t>this quarter · bs 3q</t>
        </is>
      </c>
      <c r="B66" s="54" t="n"/>
      <c r="C66" s="54" t="n"/>
      <c r="D66" s="54" t="n"/>
      <c r="E66" s="54" t="n"/>
      <c r="F66" s="54" t="n"/>
      <c r="G66" s="54" t="n"/>
      <c r="H66" s="54" t="n"/>
      <c r="I66" s="54" t="n"/>
      <c r="J66" s="54" t="n"/>
      <c r="K66" s="54" t="n"/>
      <c r="L66" s="54" t="n"/>
    </row>
    <row r="67">
      <c r="A67" s="55" t="inlineStr">
        <is>
          <t>항목</t>
        </is>
      </c>
      <c r="B67" s="55" t="inlineStr">
        <is>
          <t>값</t>
        </is>
      </c>
      <c r="L67" s="55" t="inlineStr">
        <is>
          <t>출처</t>
        </is>
      </c>
    </row>
    <row r="68">
      <c r="A68" s="56" t="inlineStr">
        <is>
          <t>총자산</t>
        </is>
      </c>
      <c r="B68" s="57" t="n">
        <v>87.59999999999999</v>
      </c>
      <c r="L68" s="58" t="inlineStr">
        <is>
          <t>2단계 보고서 자료(회사 설명회 자료·공시)</t>
        </is>
      </c>
    </row>
    <row r="69">
      <c r="A69" s="56" t="inlineStr">
        <is>
          <t>순자산</t>
        </is>
      </c>
      <c r="B69" s="57" t="n">
        <v>35.7</v>
      </c>
    </row>
    <row r="70">
      <c r="A70" s="56" t="inlineStr">
        <is>
          <t>자기자본비율_pct</t>
        </is>
      </c>
      <c r="B70" s="57" t="n">
        <v>40.1</v>
      </c>
    </row>
    <row r="71">
      <c r="A71" s="56" t="inlineStr">
        <is>
          <t>현금</t>
        </is>
      </c>
      <c r="B71" s="57" t="n">
        <v>33.9</v>
      </c>
    </row>
    <row r="72">
      <c r="A72" s="56" t="inlineStr">
        <is>
          <t>유가증권</t>
        </is>
      </c>
      <c r="B72" s="57" t="n">
        <v>5</v>
      </c>
    </row>
    <row r="73">
      <c r="A73" s="56" t="inlineStr">
        <is>
          <t>판매용 부동산</t>
        </is>
      </c>
      <c r="B73" s="57" t="n">
        <v>12.7</v>
      </c>
    </row>
    <row r="74">
      <c r="A74" s="56" t="inlineStr">
        <is>
          <t>개발 중 판매용 부동산</t>
        </is>
      </c>
      <c r="B74" s="57" t="n">
        <v>23.1</v>
      </c>
    </row>
    <row r="75">
      <c r="A75" s="56" t="inlineStr">
        <is>
          <t>단기차입</t>
        </is>
      </c>
      <c r="B75" s="57" t="n">
        <v>4.7</v>
      </c>
    </row>
    <row r="76">
      <c r="A76" s="56" t="inlineStr">
        <is>
          <t>1년내 장기차입</t>
        </is>
      </c>
      <c r="B76" s="57" t="n">
        <v>10.6</v>
      </c>
    </row>
    <row r="77">
      <c r="A77" s="56" t="inlineStr">
        <is>
          <t>선수금</t>
        </is>
      </c>
      <c r="B77" s="57" t="n">
        <v>13.3</v>
      </c>
    </row>
    <row r="79">
      <c r="A79" s="54" t="inlineStr">
        <is>
          <t>shares</t>
        </is>
      </c>
      <c r="B79" s="54" t="n"/>
      <c r="C79" s="54" t="n"/>
      <c r="D79" s="54" t="n"/>
      <c r="E79" s="54" t="n"/>
      <c r="F79" s="54" t="n"/>
      <c r="G79" s="54" t="n"/>
      <c r="H79" s="54" t="n"/>
      <c r="I79" s="54" t="n"/>
      <c r="J79" s="54" t="n"/>
      <c r="K79" s="54" t="n"/>
      <c r="L79" s="54" t="n"/>
    </row>
    <row r="80">
      <c r="A80" s="55" t="inlineStr">
        <is>
          <t>항목</t>
        </is>
      </c>
      <c r="B80" s="55" t="inlineStr">
        <is>
          <t>값</t>
        </is>
      </c>
      <c r="L80" s="55" t="inlineStr">
        <is>
          <t>출처</t>
        </is>
      </c>
    </row>
    <row r="81">
      <c r="A81" s="56" t="inlineStr">
        <is>
          <t>issued</t>
        </is>
      </c>
      <c r="B81" s="59" t="n">
        <v>5744900</v>
      </c>
      <c r="L81" s="58" t="inlineStr">
        <is>
          <t>2단계 보고서 자료(회사 설명회 자료·공시)</t>
        </is>
      </c>
    </row>
    <row r="82">
      <c r="A82" s="56" t="inlineStr">
        <is>
          <t>treasury</t>
        </is>
      </c>
      <c r="B82" s="59" t="n">
        <v>372724</v>
      </c>
    </row>
    <row r="83">
      <c r="A83" s="56" t="inlineStr">
        <is>
          <t>outstanding</t>
        </is>
      </c>
      <c r="B83" s="59" t="n">
        <v>5372176</v>
      </c>
    </row>
    <row r="85">
      <c r="A85" s="54" t="inlineStr">
        <is>
          <t>bs annual</t>
        </is>
      </c>
      <c r="B85" s="54" t="n"/>
      <c r="C85" s="54" t="n"/>
      <c r="D85" s="54" t="n"/>
      <c r="E85" s="54" t="n"/>
      <c r="F85" s="54" t="n"/>
      <c r="G85" s="54" t="n"/>
      <c r="H85" s="54" t="n"/>
      <c r="I85" s="54" t="n"/>
      <c r="J85" s="54" t="n"/>
      <c r="K85" s="54" t="n"/>
      <c r="L85" s="54" t="n"/>
    </row>
    <row r="86">
      <c r="A86" s="55" t="inlineStr">
        <is>
          <t>항목</t>
        </is>
      </c>
      <c r="B86" s="55" t="inlineStr">
        <is>
          <t>2021</t>
        </is>
      </c>
      <c r="C86" s="55" t="inlineStr">
        <is>
          <t>2022</t>
        </is>
      </c>
      <c r="D86" s="55" t="inlineStr">
        <is>
          <t>2023</t>
        </is>
      </c>
      <c r="E86" s="55" t="inlineStr">
        <is>
          <t>2024</t>
        </is>
      </c>
      <c r="F86" s="55" t="inlineStr">
        <is>
          <t>2025</t>
        </is>
      </c>
      <c r="L86" s="55" t="inlineStr">
        <is>
          <t>출처</t>
        </is>
      </c>
    </row>
    <row r="87">
      <c r="A87" s="56" t="inlineStr">
        <is>
          <t>labels</t>
        </is>
      </c>
      <c r="B87" s="59" t="n">
        <v>2021</v>
      </c>
      <c r="C87" s="59" t="n">
        <v>2022</v>
      </c>
      <c r="D87" s="59" t="n">
        <v>2023</v>
      </c>
      <c r="E87" s="59" t="n">
        <v>2024</v>
      </c>
      <c r="F87" s="59" t="n">
        <v>2025</v>
      </c>
      <c r="L87" s="58" t="inlineStr">
        <is>
          <t>2단계 보고서 자료(회사 설명회 자료·공시)</t>
        </is>
      </c>
    </row>
    <row r="88">
      <c r="A88" s="56" t="inlineStr">
        <is>
          <t>current assets</t>
        </is>
      </c>
      <c r="B88" s="57" t="n">
        <v>45.8</v>
      </c>
      <c r="C88" s="57" t="n">
        <v>38.9</v>
      </c>
      <c r="D88" s="57" t="n">
        <v>44.3</v>
      </c>
      <c r="E88" s="57" t="n">
        <v>66.2</v>
      </c>
      <c r="F88" s="57" t="n">
        <v>87.3</v>
      </c>
    </row>
    <row r="89">
      <c r="A89" s="56" t="inlineStr">
        <is>
          <t>cash</t>
        </is>
      </c>
      <c r="B89" s="57" t="n">
        <v>41.9</v>
      </c>
      <c r="C89" s="57" t="n">
        <v>22.5</v>
      </c>
      <c r="D89" s="57" t="n">
        <v>24.6</v>
      </c>
      <c r="E89" s="57" t="n">
        <v>48.2</v>
      </c>
      <c r="F89" s="57" t="n">
        <v>50.4</v>
      </c>
    </row>
    <row r="90">
      <c r="A90" s="56" t="inlineStr">
        <is>
          <t>st fin</t>
        </is>
      </c>
      <c r="B90" s="60" t="n"/>
      <c r="C90" s="60" t="n"/>
      <c r="D90" s="60" t="n"/>
      <c r="E90" s="57" t="n">
        <v>0</v>
      </c>
      <c r="F90" s="57" t="n">
        <v>4</v>
      </c>
    </row>
    <row r="91">
      <c r="A91" s="56" t="inlineStr">
        <is>
          <t>receivables</t>
        </is>
      </c>
      <c r="B91" s="57" t="n">
        <v>0.1</v>
      </c>
      <c r="C91" s="57" t="n">
        <v>0.4</v>
      </c>
      <c r="D91" s="57" t="n">
        <v>0.7</v>
      </c>
      <c r="E91" s="57" t="n">
        <v>2.1</v>
      </c>
      <c r="F91" s="57" t="n">
        <v>1.3</v>
      </c>
    </row>
    <row r="92">
      <c r="A92" s="56" t="inlineStr">
        <is>
          <t>inventory</t>
        </is>
      </c>
      <c r="B92" s="57" t="n">
        <v>1.7</v>
      </c>
      <c r="C92" s="57" t="n">
        <v>6.2</v>
      </c>
      <c r="D92" s="57" t="n">
        <v>8.4</v>
      </c>
      <c r="E92" s="57" t="n">
        <v>2.5</v>
      </c>
      <c r="F92" s="57" t="n">
        <v>8</v>
      </c>
    </row>
    <row r="93">
      <c r="A93" s="56" t="inlineStr">
        <is>
          <t>noncurrent assets</t>
        </is>
      </c>
      <c r="B93" s="57" t="n">
        <v>8.699999999999999</v>
      </c>
      <c r="C93" s="57" t="n">
        <v>8.6</v>
      </c>
      <c r="D93" s="57" t="n">
        <v>10.2</v>
      </c>
      <c r="E93" s="57" t="n">
        <v>8.800000000000001</v>
      </c>
      <c r="F93" s="57" t="n">
        <v>12.1</v>
      </c>
    </row>
    <row r="94">
      <c r="A94" s="56" t="inlineStr">
        <is>
          <t>ppe</t>
        </is>
      </c>
      <c r="B94" s="57" t="n">
        <v>3.3</v>
      </c>
      <c r="C94" s="57" t="n">
        <v>3</v>
      </c>
      <c r="D94" s="57" t="n">
        <v>5</v>
      </c>
      <c r="E94" s="57" t="n">
        <v>4.8</v>
      </c>
      <c r="F94" s="57" t="n">
        <v>4.8</v>
      </c>
    </row>
    <row r="95">
      <c r="A95" s="56" t="inlineStr">
        <is>
          <t>intangibles</t>
        </is>
      </c>
      <c r="B95" s="57" t="n">
        <v>1.7</v>
      </c>
      <c r="C95" s="57" t="n">
        <v>1.4</v>
      </c>
      <c r="D95" s="57" t="n">
        <v>1.4</v>
      </c>
      <c r="E95" s="57" t="n">
        <v>1.1</v>
      </c>
      <c r="F95" s="57" t="n">
        <v>0.7</v>
      </c>
    </row>
    <row r="96">
      <c r="A96" s="56" t="inlineStr">
        <is>
          <t>inv property</t>
        </is>
      </c>
      <c r="B96" s="60" t="n"/>
      <c r="C96" s="60" t="n"/>
      <c r="D96" s="60" t="n"/>
      <c r="E96" s="60" t="n"/>
      <c r="F96" s="60" t="n"/>
    </row>
    <row r="97">
      <c r="A97" s="56" t="inlineStr">
        <is>
          <t>합계 assets</t>
        </is>
      </c>
      <c r="B97" s="57" t="n">
        <v>54.5</v>
      </c>
      <c r="C97" s="57" t="n">
        <v>47.5</v>
      </c>
      <c r="D97" s="57" t="n">
        <v>54.5</v>
      </c>
      <c r="E97" s="57" t="n">
        <v>75</v>
      </c>
      <c r="F97" s="57" t="n">
        <v>99.40000000000001</v>
      </c>
    </row>
    <row r="98">
      <c r="A98" s="56" t="inlineStr">
        <is>
          <t>current liab</t>
        </is>
      </c>
      <c r="B98" s="57" t="n">
        <v>21.3</v>
      </c>
      <c r="C98" s="57" t="n">
        <v>15.3</v>
      </c>
      <c r="D98" s="57" t="n">
        <v>16.2</v>
      </c>
      <c r="E98" s="57" t="n">
        <v>32.7</v>
      </c>
      <c r="F98" s="57" t="n">
        <v>47.9</v>
      </c>
    </row>
    <row r="99">
      <c r="A99" s="56" t="inlineStr">
        <is>
          <t>payables</t>
        </is>
      </c>
      <c r="B99" s="57" t="n">
        <v>1.7</v>
      </c>
      <c r="C99" s="57" t="n">
        <v>4.6</v>
      </c>
      <c r="D99" s="57" t="n">
        <v>3.9</v>
      </c>
      <c r="E99" s="57" t="n">
        <v>8.699999999999999</v>
      </c>
      <c r="F99" s="57" t="n">
        <v>7.3</v>
      </c>
    </row>
    <row r="100">
      <c r="A100" s="56" t="inlineStr">
        <is>
          <t>st debt</t>
        </is>
      </c>
      <c r="B100" s="57" t="n">
        <v>0</v>
      </c>
      <c r="C100" s="57" t="n">
        <v>0</v>
      </c>
      <c r="D100" s="57" t="n">
        <v>4.4</v>
      </c>
      <c r="E100" s="57" t="n">
        <v>4.2</v>
      </c>
      <c r="F100" s="57" t="n">
        <v>9.199999999999999</v>
      </c>
    </row>
    <row r="101">
      <c r="A101" s="56" t="inlineStr">
        <is>
          <t>noncurrent liab</t>
        </is>
      </c>
      <c r="B101" s="57" t="n">
        <v>5.5</v>
      </c>
      <c r="C101" s="57" t="n">
        <v>7.8</v>
      </c>
      <c r="D101" s="57" t="n">
        <v>11</v>
      </c>
      <c r="E101" s="57" t="n">
        <v>12.5</v>
      </c>
      <c r="F101" s="57" t="n">
        <v>18</v>
      </c>
    </row>
    <row r="102">
      <c r="A102" s="56" t="inlineStr">
        <is>
          <t>lt debt</t>
        </is>
      </c>
      <c r="B102" s="57" t="n">
        <v>2</v>
      </c>
      <c r="C102" s="57" t="n">
        <v>4.4</v>
      </c>
      <c r="D102" s="57" t="n">
        <v>6.8</v>
      </c>
      <c r="E102" s="57" t="n">
        <v>8.300000000000001</v>
      </c>
      <c r="F102" s="57" t="n">
        <v>13.4</v>
      </c>
    </row>
    <row r="103">
      <c r="A103" s="56" t="inlineStr">
        <is>
          <t>bonds</t>
        </is>
      </c>
      <c r="B103" s="60" t="n"/>
      <c r="C103" s="60" t="n"/>
      <c r="D103" s="60" t="n"/>
      <c r="E103" s="60" t="n"/>
      <c r="F103" s="60" t="n"/>
    </row>
    <row r="104">
      <c r="A104" s="56" t="inlineStr">
        <is>
          <t>합계 liab</t>
        </is>
      </c>
      <c r="B104" s="57" t="n">
        <v>26.8</v>
      </c>
      <c r="C104" s="57" t="n">
        <v>23.1</v>
      </c>
      <c r="D104" s="57" t="n">
        <v>27.2</v>
      </c>
      <c r="E104" s="57" t="n">
        <v>45.2</v>
      </c>
      <c r="F104" s="57" t="n">
        <v>66</v>
      </c>
    </row>
    <row r="105">
      <c r="A105" s="56" t="inlineStr">
        <is>
          <t>capital stock</t>
        </is>
      </c>
      <c r="B105" s="57" t="n">
        <v>7.9</v>
      </c>
      <c r="C105" s="57" t="n">
        <v>7.9</v>
      </c>
      <c r="D105" s="57" t="n">
        <v>7.9</v>
      </c>
      <c r="E105" s="57" t="n">
        <v>7.9</v>
      </c>
      <c r="F105" s="57" t="n">
        <v>7.9</v>
      </c>
    </row>
    <row r="106">
      <c r="A106" s="56" t="inlineStr">
        <is>
          <t>retained</t>
        </is>
      </c>
      <c r="B106" s="57" t="n">
        <v>18</v>
      </c>
      <c r="C106" s="57" t="n">
        <v>19.4</v>
      </c>
      <c r="D106" s="57" t="n">
        <v>18.5</v>
      </c>
      <c r="E106" s="57" t="n">
        <v>20.8</v>
      </c>
      <c r="F106" s="57" t="n">
        <v>24.3</v>
      </c>
    </row>
    <row r="107">
      <c r="A107" s="56" t="inlineStr">
        <is>
          <t>nci</t>
        </is>
      </c>
      <c r="B107" s="57" t="n">
        <v>0</v>
      </c>
      <c r="C107" s="57" t="n">
        <v>0</v>
      </c>
      <c r="D107" s="57" t="n">
        <v>0</v>
      </c>
      <c r="E107" s="60" t="n"/>
      <c r="F107" s="60" t="n"/>
    </row>
    <row r="108">
      <c r="A108" s="56" t="inlineStr">
        <is>
          <t>합계 equity</t>
        </is>
      </c>
      <c r="B108" s="57" t="n">
        <v>27.7</v>
      </c>
      <c r="C108" s="57" t="n">
        <v>24.4</v>
      </c>
      <c r="D108" s="57" t="n">
        <v>27.3</v>
      </c>
      <c r="E108" s="57" t="n">
        <v>29.8</v>
      </c>
      <c r="F108" s="57" t="n">
        <v>33.4</v>
      </c>
    </row>
    <row r="109">
      <c r="A109" s="56" t="inlineStr">
        <is>
          <t>current ltd</t>
        </is>
      </c>
      <c r="B109" s="57" t="n">
        <v>0.4</v>
      </c>
      <c r="C109" s="57" t="n">
        <v>0.7</v>
      </c>
      <c r="D109" s="57" t="n">
        <v>0.8</v>
      </c>
      <c r="E109" s="57" t="n">
        <v>2.3</v>
      </c>
      <c r="F109" s="57" t="n">
        <v>7</v>
      </c>
    </row>
    <row r="110">
      <c r="A110" s="56" t="inlineStr">
        <is>
          <t>equity owner</t>
        </is>
      </c>
      <c r="B110" s="57" t="n">
        <v>27.7</v>
      </c>
      <c r="C110" s="57" t="n">
        <v>24.4</v>
      </c>
      <c r="D110" s="57" t="n">
        <v>27.3</v>
      </c>
      <c r="E110" s="57" t="n">
        <v>29.6</v>
      </c>
      <c r="F110" s="57" t="n">
        <v>33.1</v>
      </c>
    </row>
    <row r="112">
      <c r="A112" s="54" t="inlineStr">
        <is>
          <t>cf annual</t>
        </is>
      </c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4" t="n"/>
      <c r="K112" s="54" t="n"/>
      <c r="L112" s="54" t="n"/>
    </row>
    <row r="113">
      <c r="A113" s="55" t="inlineStr">
        <is>
          <t>항목</t>
        </is>
      </c>
      <c r="B113" s="55" t="inlineStr">
        <is>
          <t>2021</t>
        </is>
      </c>
      <c r="C113" s="55" t="inlineStr">
        <is>
          <t>2022</t>
        </is>
      </c>
      <c r="D113" s="55" t="inlineStr">
        <is>
          <t>2023</t>
        </is>
      </c>
      <c r="E113" s="55" t="inlineStr">
        <is>
          <t>2024</t>
        </is>
      </c>
      <c r="F113" s="55" t="inlineStr">
        <is>
          <t>2025</t>
        </is>
      </c>
      <c r="L113" s="55" t="inlineStr">
        <is>
          <t>출처</t>
        </is>
      </c>
    </row>
    <row r="114">
      <c r="A114" s="56" t="inlineStr">
        <is>
          <t>labels</t>
        </is>
      </c>
      <c r="B114" s="59" t="n">
        <v>2021</v>
      </c>
      <c r="C114" s="59" t="n">
        <v>2022</v>
      </c>
      <c r="D114" s="59" t="n">
        <v>2023</v>
      </c>
      <c r="E114" s="59" t="n">
        <v>2024</v>
      </c>
      <c r="F114" s="59" t="n">
        <v>2025</v>
      </c>
      <c r="L114" s="58" t="inlineStr">
        <is>
          <t>2단계 보고서 자료(회사 설명회 자료·공시)</t>
        </is>
      </c>
    </row>
    <row r="115">
      <c r="A115" s="56" t="inlineStr">
        <is>
          <t>ocf</t>
        </is>
      </c>
      <c r="B115" s="57" t="n">
        <v>32.9</v>
      </c>
      <c r="C115" s="57" t="n">
        <v>-16.6</v>
      </c>
      <c r="D115" s="57" t="n">
        <v>-5.4</v>
      </c>
      <c r="E115" s="57" t="n">
        <v>20.8</v>
      </c>
      <c r="F115" s="57" t="n">
        <v>-4.4</v>
      </c>
    </row>
    <row r="116">
      <c r="A116" s="56" t="inlineStr">
        <is>
          <t>설비투자</t>
        </is>
      </c>
      <c r="B116" s="57" t="n">
        <v>0.1</v>
      </c>
      <c r="C116" s="57" t="n">
        <v>0.1</v>
      </c>
      <c r="D116" s="57" t="n">
        <v>1.3</v>
      </c>
      <c r="E116" s="57" t="n">
        <v>0.2</v>
      </c>
      <c r="F116" s="57" t="n">
        <v>0.4</v>
      </c>
    </row>
    <row r="117">
      <c r="A117" s="56" t="inlineStr">
        <is>
          <t>dividends</t>
        </is>
      </c>
      <c r="B117" s="57" t="n">
        <v>0</v>
      </c>
      <c r="C117" s="57" t="n">
        <v>0.6</v>
      </c>
      <c r="D117" s="57" t="n">
        <v>0</v>
      </c>
      <c r="E117" s="57" t="n">
        <v>0.3</v>
      </c>
      <c r="F117" s="57" t="n">
        <v>0.5</v>
      </c>
    </row>
    <row r="119">
      <c r="A119" s="54" t="inlineStr">
        <is>
          <t>annual EPS dps</t>
        </is>
      </c>
      <c r="B119" s="54" t="n"/>
      <c r="C119" s="54" t="n"/>
      <c r="D119" s="54" t="n"/>
      <c r="E119" s="54" t="n"/>
      <c r="F119" s="54" t="n"/>
      <c r="G119" s="54" t="n"/>
      <c r="H119" s="54" t="n"/>
      <c r="I119" s="54" t="n"/>
      <c r="J119" s="54" t="n"/>
      <c r="K119" s="54" t="n"/>
      <c r="L119" s="54" t="n"/>
    </row>
    <row r="120">
      <c r="A120" s="55" t="inlineStr">
        <is>
          <t>항목</t>
        </is>
      </c>
      <c r="B120" s="55" t="inlineStr">
        <is>
          <t>2016</t>
        </is>
      </c>
      <c r="C120" s="55" t="inlineStr">
        <is>
          <t>2017</t>
        </is>
      </c>
      <c r="D120" s="55" t="inlineStr">
        <is>
          <t>2018</t>
        </is>
      </c>
      <c r="E120" s="55" t="inlineStr">
        <is>
          <t>2019</t>
        </is>
      </c>
      <c r="F120" s="55" t="inlineStr">
        <is>
          <t>2020</t>
        </is>
      </c>
      <c r="G120" s="55" t="inlineStr">
        <is>
          <t>2021</t>
        </is>
      </c>
      <c r="H120" s="55" t="inlineStr">
        <is>
          <t>2022</t>
        </is>
      </c>
      <c r="I120" s="55" t="inlineStr">
        <is>
          <t>2023</t>
        </is>
      </c>
      <c r="J120" s="55" t="inlineStr">
        <is>
          <t>2024</t>
        </is>
      </c>
      <c r="K120" s="55" t="inlineStr">
        <is>
          <t>2025</t>
        </is>
      </c>
      <c r="L120" s="55" t="inlineStr">
        <is>
          <t>출처</t>
        </is>
      </c>
    </row>
    <row r="121">
      <c r="A121" s="56" t="inlineStr">
        <is>
          <t>labels</t>
        </is>
      </c>
      <c r="B121" s="59" t="n">
        <v>2016</v>
      </c>
      <c r="C121" s="59" t="n">
        <v>2017</v>
      </c>
      <c r="D121" s="59" t="n">
        <v>2018</v>
      </c>
      <c r="E121" s="59" t="n">
        <v>2019</v>
      </c>
      <c r="F121" s="59" t="n">
        <v>2020</v>
      </c>
      <c r="G121" s="59" t="n">
        <v>2021</v>
      </c>
      <c r="H121" s="59" t="n">
        <v>2022</v>
      </c>
      <c r="I121" s="59" t="n">
        <v>2023</v>
      </c>
      <c r="J121" s="59" t="n">
        <v>2024</v>
      </c>
      <c r="K121" s="59" t="n">
        <v>2025</v>
      </c>
      <c r="L121" s="58" t="inlineStr">
        <is>
          <t>2단계 보고서 자료(회사 설명회 자료·공시)</t>
        </is>
      </c>
    </row>
    <row r="122">
      <c r="A122" s="56" t="inlineStr">
        <is>
          <t>EPS</t>
        </is>
      </c>
      <c r="B122" s="57" t="n">
        <v>79.84999999999999</v>
      </c>
      <c r="C122" s="57" t="n">
        <v>37.88</v>
      </c>
      <c r="D122" s="59" t="n">
        <v>75</v>
      </c>
      <c r="E122" s="57" t="n">
        <v>106.63</v>
      </c>
      <c r="F122" s="57" t="n">
        <v>3.42</v>
      </c>
      <c r="G122" s="57" t="n">
        <v>72.25</v>
      </c>
      <c r="H122" s="57" t="n">
        <v>27.22</v>
      </c>
      <c r="I122" s="57" t="n">
        <v>7.16</v>
      </c>
      <c r="J122" s="57" t="n">
        <v>48.77</v>
      </c>
      <c r="K122" s="57" t="n">
        <v>74.13</v>
      </c>
    </row>
    <row r="123">
      <c r="A123" s="56" t="inlineStr">
        <is>
          <t>dps</t>
        </is>
      </c>
      <c r="B123" s="59" t="n">
        <v>0</v>
      </c>
      <c r="C123" s="59" t="n">
        <v>0</v>
      </c>
      <c r="D123" s="59" t="n">
        <v>0</v>
      </c>
      <c r="E123" s="59" t="n">
        <v>5</v>
      </c>
      <c r="F123" s="59" t="n">
        <v>0</v>
      </c>
      <c r="G123" s="59" t="n">
        <v>10</v>
      </c>
      <c r="H123" s="59" t="n">
        <v>0</v>
      </c>
      <c r="I123" s="59" t="n">
        <v>5</v>
      </c>
      <c r="J123" s="59" t="n">
        <v>10</v>
      </c>
      <c r="K123" s="59" t="n">
        <v>20</v>
      </c>
    </row>
    <row r="125">
      <c r="A125" s="54" t="inlineStr">
        <is>
          <t>비교 기업 · peer 가격 20261028</t>
        </is>
      </c>
      <c r="B125" s="54" t="n"/>
      <c r="C125" s="54" t="n"/>
      <c r="D125" s="54" t="n"/>
      <c r="E125" s="54" t="n"/>
      <c r="F125" s="54" t="n"/>
      <c r="G125" s="54" t="n"/>
      <c r="H125" s="54" t="n"/>
      <c r="I125" s="54" t="n"/>
      <c r="J125" s="54" t="n"/>
      <c r="K125" s="54" t="n"/>
      <c r="L125" s="54" t="n"/>
    </row>
    <row r="126">
      <c r="A126" s="55" t="inlineStr">
        <is>
          <t>항목</t>
        </is>
      </c>
      <c r="B126" s="55" t="inlineStr">
        <is>
          <t>값</t>
        </is>
      </c>
      <c r="L126" s="55" t="inlineStr">
        <is>
          <t>출처</t>
        </is>
      </c>
    </row>
    <row r="127">
      <c r="A127" s="56" t="inlineStr">
        <is>
          <t>1766</t>
        </is>
      </c>
      <c r="B127" s="59" t="n">
        <v>12530</v>
      </c>
      <c r="L127" s="58" t="inlineStr">
        <is>
          <t>억 엔, 분기 단독(누계 차분). 결산월: 토켄코퍼레이션(1766) 4월·다이토켄타쿠(1878) 3월·일본주차장개발(2353) 7월·이노베이션홀딩스(3484) 3월</t>
        </is>
      </c>
    </row>
    <row r="128">
      <c r="A128" s="56" t="inlineStr">
        <is>
          <t>1878</t>
        </is>
      </c>
      <c r="B128" s="59" t="n">
        <v>3083</v>
      </c>
    </row>
    <row r="129">
      <c r="A129" s="56" t="inlineStr">
        <is>
          <t>2353</t>
        </is>
      </c>
      <c r="B129" s="59" t="n">
        <v>264</v>
      </c>
    </row>
    <row r="130">
      <c r="A130" s="56" t="inlineStr">
        <is>
          <t>3484</t>
        </is>
      </c>
      <c r="B130" s="59" t="n">
        <v>1237</v>
      </c>
    </row>
    <row r="132">
      <c r="A132" s="54" t="inlineStr">
        <is>
          <t>reactions</t>
        </is>
      </c>
      <c r="B132" s="54" t="n"/>
      <c r="C132" s="54" t="n"/>
      <c r="D132" s="54" t="n"/>
      <c r="E132" s="54" t="n"/>
      <c r="F132" s="54" t="n"/>
      <c r="G132" s="54" t="n"/>
      <c r="H132" s="54" t="n"/>
      <c r="I132" s="54" t="n"/>
      <c r="J132" s="54" t="n"/>
      <c r="K132" s="54" t="n"/>
      <c r="L132" s="54" t="n"/>
    </row>
    <row r="133">
      <c r="A133" s="55" t="inlineStr">
        <is>
          <t>항목</t>
        </is>
      </c>
      <c r="B133" s="55" t="inlineStr">
        <is>
          <t>기준일</t>
        </is>
      </c>
      <c r="C133" s="55" t="inlineStr">
        <is>
          <t>다음날</t>
        </is>
      </c>
      <c r="D133" s="55" t="inlineStr">
        <is>
          <t>등락%</t>
        </is>
      </c>
      <c r="L133" s="55" t="inlineStr">
        <is>
          <t>출처</t>
        </is>
      </c>
    </row>
    <row r="134">
      <c r="A134" s="56" t="inlineStr">
        <is>
          <t>2025-01-10</t>
        </is>
      </c>
      <c r="B134" s="60" t="inlineStr">
        <is>
          <t>2025-01-10</t>
        </is>
      </c>
      <c r="C134" s="60" t="inlineStr">
        <is>
          <t>2025-01-14</t>
        </is>
      </c>
      <c r="D134" s="57" t="n">
        <v>-16.7</v>
      </c>
      <c r="L134" s="58" t="inlineStr">
        <is>
          <t>2단계 보고서 자료(회사 설명회 자료·공시)</t>
        </is>
      </c>
    </row>
    <row r="135">
      <c r="A135" s="56" t="inlineStr">
        <is>
          <t>2025-04-11</t>
        </is>
      </c>
      <c r="B135" s="60" t="inlineStr">
        <is>
          <t>2025-04-11</t>
        </is>
      </c>
      <c r="C135" s="60" t="inlineStr">
        <is>
          <t>2025-04-14</t>
        </is>
      </c>
      <c r="D135" s="57" t="n">
        <v>3</v>
      </c>
    </row>
    <row r="136">
      <c r="A136" s="56" t="inlineStr">
        <is>
          <t>2025-07-11</t>
        </is>
      </c>
      <c r="B136" s="60" t="inlineStr">
        <is>
          <t>2025-07-11</t>
        </is>
      </c>
      <c r="C136" s="60" t="inlineStr">
        <is>
          <t>2025-07-14</t>
        </is>
      </c>
      <c r="D136" s="57" t="n">
        <v>-15.5</v>
      </c>
    </row>
    <row r="137">
      <c r="A137" s="56" t="inlineStr">
        <is>
          <t>2025-10-10</t>
        </is>
      </c>
      <c r="B137" s="60" t="inlineStr">
        <is>
          <t>2025-10-10</t>
        </is>
      </c>
      <c r="C137" s="60" t="inlineStr">
        <is>
          <t>2025-10-14</t>
        </is>
      </c>
      <c r="D137" s="57" t="n">
        <v>-5.6</v>
      </c>
    </row>
    <row r="138">
      <c r="A138" s="56" t="inlineStr">
        <is>
          <t>2026-01-14</t>
        </is>
      </c>
      <c r="B138" s="60" t="inlineStr">
        <is>
          <t>2026-01-14</t>
        </is>
      </c>
      <c r="C138" s="60" t="inlineStr">
        <is>
          <t>2026-01-15</t>
        </is>
      </c>
      <c r="D138" s="57" t="n">
        <v>5</v>
      </c>
    </row>
    <row r="139">
      <c r="A139" s="56" t="inlineStr">
        <is>
          <t>2026-04-14</t>
        </is>
      </c>
      <c r="B139" s="60" t="inlineStr">
        <is>
          <t>2026-04-14</t>
        </is>
      </c>
      <c r="C139" s="60" t="inlineStr">
        <is>
          <t>2026-04-15</t>
        </is>
      </c>
      <c r="D139" s="57" t="n">
        <v>-16.3</v>
      </c>
    </row>
    <row r="140">
      <c r="A140" s="56" t="inlineStr">
        <is>
          <t>2026-07-14</t>
        </is>
      </c>
      <c r="B140" s="60" t="inlineStr">
        <is>
          <t>2026-07-14</t>
        </is>
      </c>
      <c r="C140" s="60" t="inlineStr">
        <is>
          <t>2026-07-15</t>
        </is>
      </c>
      <c r="D140" s="57" t="n">
        <v>-9.199999999999999</v>
      </c>
    </row>
    <row r="141">
      <c r="A141" s="56" t="inlineStr">
        <is>
          <t>2026-10-13</t>
        </is>
      </c>
      <c r="B141" s="60" t="inlineStr">
        <is>
          <t>2026-10-13</t>
        </is>
      </c>
      <c r="C141" s="60" t="inlineStr">
        <is>
          <t>2026-10-14</t>
        </is>
      </c>
      <c r="D141" s="57" t="n">
        <v>2.8</v>
      </c>
    </row>
    <row r="143">
      <c r="A143" s="54" t="inlineStr">
        <is>
          <t>filings</t>
        </is>
      </c>
      <c r="B143" s="54" t="n"/>
      <c r="C143" s="54" t="n"/>
      <c r="D143" s="54" t="n"/>
      <c r="E143" s="54" t="n"/>
      <c r="F143" s="54" t="n"/>
      <c r="G143" s="54" t="n"/>
      <c r="H143" s="54" t="n"/>
      <c r="I143" s="54" t="n"/>
      <c r="J143" s="54" t="n"/>
      <c r="K143" s="54" t="n"/>
      <c r="L143" s="54" t="n"/>
    </row>
    <row r="144">
      <c r="A144" s="55" t="inlineStr">
        <is>
          <t>항목</t>
        </is>
      </c>
      <c r="B144" s="55" t="inlineStr">
        <is>
          <t>title</t>
        </is>
      </c>
      <c r="C144" s="55" t="inlineStr">
        <is>
          <t>doc</t>
        </is>
      </c>
      <c r="L144" s="55" t="inlineStr">
        <is>
          <t>출처</t>
        </is>
      </c>
    </row>
    <row r="145">
      <c r="A145" s="56" t="inlineStr">
        <is>
          <t>2026-10-13</t>
        </is>
      </c>
      <c r="B145" s="60" t="inlineStr">
        <is>
          <t>2026年11月期第３四半期決算短信[日本基準](連結)</t>
        </is>
      </c>
      <c r="C145" s="60" t="inlineStr">
        <is>
          <t>140120261012549072</t>
        </is>
      </c>
      <c r="L145" s="58" t="inlineStr">
        <is>
          <t>2단계 보고서 자료(회사 설명회 자료·공시)</t>
        </is>
      </c>
    </row>
    <row r="146">
      <c r="A146" s="56" t="inlineStr">
        <is>
          <t>2026-07-14</t>
        </is>
      </c>
      <c r="B146" s="60" t="inlineStr">
        <is>
          <t>2026年11月期第２四半期（中間期）決算短信[日本基準](連結)</t>
        </is>
      </c>
      <c r="C146" s="60" t="inlineStr">
        <is>
          <t>140120260701586068</t>
        </is>
      </c>
    </row>
    <row r="147">
      <c r="A147" s="56" t="inlineStr">
        <is>
          <t>2026-04-14</t>
        </is>
      </c>
      <c r="B147" s="60" t="inlineStr">
        <is>
          <t>2026年11月期 第１四半期決算短信[日本基準](連結)</t>
        </is>
      </c>
      <c r="C147" s="60" t="inlineStr">
        <is>
          <t>140120260413503112</t>
        </is>
      </c>
    </row>
    <row r="148">
      <c r="A148" s="56" t="inlineStr">
        <is>
          <t>2026-01-14</t>
        </is>
      </c>
      <c r="B148" s="60" t="inlineStr">
        <is>
          <t>2025年11月期 決算短信[日本基準](連結)</t>
        </is>
      </c>
      <c r="C148" s="60" t="inlineStr">
        <is>
          <t>140120260113533027</t>
        </is>
      </c>
    </row>
    <row r="149">
      <c r="A149" s="56" t="inlineStr">
        <is>
          <t>2025-10-10</t>
        </is>
      </c>
      <c r="B149" s="60" t="inlineStr">
        <is>
          <t>2025年11月期 第３四半期決算短信[日本基準](連結)</t>
        </is>
      </c>
      <c r="C149" s="60" t="inlineStr">
        <is>
          <t>140120251010571624</t>
        </is>
      </c>
    </row>
    <row r="150">
      <c r="A150" s="56" t="inlineStr">
        <is>
          <t>2025-07-11</t>
        </is>
      </c>
      <c r="B150" s="60" t="inlineStr">
        <is>
          <t>2025年11月期 第２四半期(中間期)決算短信[日本基準](連結)</t>
        </is>
      </c>
      <c r="C150" s="60" t="inlineStr">
        <is>
          <t>140120250710512001</t>
        </is>
      </c>
    </row>
    <row r="151">
      <c r="A151" s="56" t="inlineStr">
        <is>
          <t>2025-04-11</t>
        </is>
      </c>
      <c r="B151" s="60" t="inlineStr">
        <is>
          <t>2025年11月期 第１四半期決算短信[日本基準](連結)</t>
        </is>
      </c>
      <c r="C151" s="60" t="inlineStr">
        <is>
          <t>140120250411513226</t>
        </is>
      </c>
    </row>
    <row r="152">
      <c r="A152" s="56" t="inlineStr">
        <is>
          <t>2025-01-10</t>
        </is>
      </c>
      <c r="B152" s="60" t="inlineStr">
        <is>
          <t>2024年11月期 決算短信[日本基準](連結)</t>
        </is>
      </c>
      <c r="C152" s="60" t="inlineStr">
        <is>
          <t>140120250109548694</t>
        </is>
      </c>
    </row>
    <row r="153">
      <c r="A153" s="56" t="inlineStr">
        <is>
          <t>2024-10-10</t>
        </is>
      </c>
      <c r="B153" s="60" t="inlineStr">
        <is>
          <t>2024年11月期 第３四半期決算短信[日本基準](連結)</t>
        </is>
      </c>
      <c r="C153" s="60" t="inlineStr">
        <is>
          <t>140120241009595868</t>
        </is>
      </c>
    </row>
    <row r="154">
      <c r="A154" s="56" t="inlineStr">
        <is>
          <t>2024-07-11</t>
        </is>
      </c>
      <c r="B154" s="60" t="inlineStr">
        <is>
          <t>2024年11月期 第２四半期決算短信[日本基準](連結)</t>
        </is>
      </c>
      <c r="C154" s="60" t="inlineStr">
        <is>
          <t>140120240710547101</t>
        </is>
      </c>
    </row>
    <row r="155">
      <c r="A155" s="56" t="inlineStr">
        <is>
          <t>2024-04-11</t>
        </is>
      </c>
      <c r="B155" s="60" t="inlineStr">
        <is>
          <t>2024年11月期 第１四半期決算短信[日本基準](連結)</t>
        </is>
      </c>
      <c r="C155" s="60" t="inlineStr">
        <is>
          <t>140120240410568387</t>
        </is>
      </c>
    </row>
    <row r="156">
      <c r="A156" s="56" t="inlineStr">
        <is>
          <t>2024-01-12</t>
        </is>
      </c>
      <c r="B156" s="60" t="inlineStr">
        <is>
          <t>2023年11月期 決算短信[日本基準](連結)</t>
        </is>
      </c>
      <c r="C156" s="60" t="inlineStr">
        <is>
          <t>140120240111513688</t>
        </is>
      </c>
    </row>
    <row r="157">
      <c r="A157" s="56" t="inlineStr">
        <is>
          <t>2023-10-11</t>
        </is>
      </c>
      <c r="B157" s="60" t="inlineStr">
        <is>
          <t>2023年11月期 第３四半期決算短信[日本基準](連結)</t>
        </is>
      </c>
      <c r="C157" s="60" t="inlineStr">
        <is>
          <t>140120231011564806</t>
        </is>
      </c>
    </row>
    <row r="158">
      <c r="A158" s="56" t="inlineStr">
        <is>
          <t>2023-07-13</t>
        </is>
      </c>
      <c r="B158" s="60" t="inlineStr">
        <is>
          <t>2023年11月期 第２四半期決算短信[日本基準](連結)</t>
        </is>
      </c>
      <c r="C158" s="60" t="inlineStr">
        <is>
          <t>140120230712521335</t>
        </is>
      </c>
    </row>
    <row r="159">
      <c r="A159" s="56" t="inlineStr">
        <is>
          <t>2023-04-13</t>
        </is>
      </c>
      <c r="B159" s="60" t="inlineStr">
        <is>
          <t>2023年11月期 第１四半期決算短信[日本基準](連結)</t>
        </is>
      </c>
      <c r="C159" s="60" t="inlineStr">
        <is>
          <t>140120230412545944</t>
        </is>
      </c>
    </row>
    <row r="160">
      <c r="A160" s="56" t="inlineStr">
        <is>
          <t>2023-01-13</t>
        </is>
      </c>
      <c r="B160" s="60" t="inlineStr">
        <is>
          <t>2022年11月期 決算短信[日本基準](連結)</t>
        </is>
      </c>
      <c r="C160" s="60" t="inlineStr">
        <is>
          <t>140120230112588623</t>
        </is>
      </c>
    </row>
    <row r="161">
      <c r="A161" s="56" t="inlineStr">
        <is>
          <t>2022-01-14</t>
        </is>
      </c>
      <c r="B161" s="60" t="inlineStr">
        <is>
          <t>2021年11月期 決算短信[日本基準](連結)</t>
        </is>
      </c>
      <c r="C161" s="60" t="inlineStr">
        <is>
          <t>140120220112566853</t>
        </is>
      </c>
    </row>
    <row r="162">
      <c r="A162" s="56" t="inlineStr">
        <is>
          <t>2021-01-14</t>
        </is>
      </c>
      <c r="B162" s="60" t="inlineStr">
        <is>
          <t>2020年11月期 決算短信[日本基準](連結)</t>
        </is>
      </c>
      <c r="C162" s="60" t="inlineStr">
        <is>
          <t>140120210114444452</t>
        </is>
      </c>
    </row>
    <row r="163">
      <c r="A163" s="56" t="inlineStr">
        <is>
          <t>2020-01-10</t>
        </is>
      </c>
      <c r="B163" s="60" t="inlineStr">
        <is>
          <t>2019年11月期 決算短信[日本基準](連結)</t>
        </is>
      </c>
      <c r="C163" s="60" t="inlineStr">
        <is>
          <t>140120200109445132</t>
        </is>
      </c>
    </row>
    <row r="164">
      <c r="A164" s="56" t="inlineStr">
        <is>
          <t>2019-01-11</t>
        </is>
      </c>
      <c r="B164" s="60" t="inlineStr">
        <is>
          <t>平成30年11月期 決算短信〔日本基準〕(連結)</t>
        </is>
      </c>
      <c r="C164" s="60" t="inlineStr">
        <is>
          <t>140120190110458617</t>
        </is>
      </c>
    </row>
    <row r="165">
      <c r="A165" s="56" t="inlineStr">
        <is>
          <t>2018-01-12</t>
        </is>
      </c>
      <c r="B165" s="60" t="inlineStr">
        <is>
          <t>平成29年11月期 決算短信〔日本基準〕(連結)</t>
        </is>
      </c>
      <c r="C165" s="60" t="inlineStr">
        <is>
          <t>140120180112449908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1" t="inlineStr">
        <is>
          <t>공시일</t>
        </is>
      </c>
      <c r="B3" s="61" t="inlineStr">
        <is>
          <t>문서</t>
        </is>
      </c>
      <c r="C3" s="61" t="inlineStr">
        <is>
          <t>PDF</t>
        </is>
      </c>
    </row>
    <row r="4">
      <c r="A4" t="inlineStr">
        <is>
          <t>2026-10-13</t>
        </is>
      </c>
      <c r="B4" t="inlineStr">
        <is>
          <t>2026년 11월 결산기 ３분기 결산단신</t>
        </is>
      </c>
      <c r="C4" t="inlineStr">
        <is>
          <t>https://www2.jpx.co.jp/disc/32670/140120261012549072.pdf</t>
        </is>
      </c>
    </row>
    <row r="5">
      <c r="A5" t="inlineStr">
        <is>
          <t>2026-07-14</t>
        </is>
      </c>
      <c r="B5" t="inlineStr">
        <is>
          <t>2026년 11월 결산기 ２분기 결산단신</t>
        </is>
      </c>
      <c r="C5" t="inlineStr">
        <is>
          <t>https://www2.jpx.co.jp/disc/32670/140120260701586068.pdf</t>
        </is>
      </c>
    </row>
    <row r="6">
      <c r="A6" t="inlineStr">
        <is>
          <t>2026-04-14</t>
        </is>
      </c>
      <c r="B6" t="inlineStr">
        <is>
          <t>2026년 11월 결산기 １분기 결산단신</t>
        </is>
      </c>
      <c r="C6" t="inlineStr">
        <is>
          <t>https://www2.jpx.co.jp/disc/32670/140120260413503112.pdf</t>
        </is>
      </c>
    </row>
    <row r="7">
      <c r="A7" t="inlineStr">
        <is>
          <t>2026-01-14</t>
        </is>
      </c>
      <c r="B7" t="inlineStr">
        <is>
          <t>2025년 11월 결산기 연간 결산단신</t>
        </is>
      </c>
      <c r="C7" t="inlineStr">
        <is>
          <t>https://www2.jpx.co.jp/disc/32670/140120260113533027.pdf</t>
        </is>
      </c>
    </row>
    <row r="8">
      <c r="A8" t="inlineStr">
        <is>
          <t>2025-10-10</t>
        </is>
      </c>
      <c r="B8" t="inlineStr">
        <is>
          <t>2025년 11월 결산기 ３분기 결산단신</t>
        </is>
      </c>
      <c r="C8" t="inlineStr">
        <is>
          <t>https://www2.jpx.co.jp/disc/32670/140120251010571624.pdf</t>
        </is>
      </c>
    </row>
    <row r="9">
      <c r="A9" t="inlineStr">
        <is>
          <t>2025-07-11</t>
        </is>
      </c>
      <c r="B9" t="inlineStr">
        <is>
          <t>2025년 11월 결산기 ２분기 결산단신</t>
        </is>
      </c>
      <c r="C9" t="inlineStr">
        <is>
          <t>https://www2.jpx.co.jp/disc/32670/140120250710512001.pdf</t>
        </is>
      </c>
    </row>
    <row r="10">
      <c r="A10" t="inlineStr">
        <is>
          <t>2025-04-11</t>
        </is>
      </c>
      <c r="B10" t="inlineStr">
        <is>
          <t>2025년 11월 결산기 １분기 결산단신</t>
        </is>
      </c>
      <c r="C10" t="inlineStr">
        <is>
          <t>https://www2.jpx.co.jp/disc/32670/140120250411513226.pdf</t>
        </is>
      </c>
    </row>
    <row r="11">
      <c r="A11" t="inlineStr">
        <is>
          <t>2025-01-10</t>
        </is>
      </c>
      <c r="B11" t="inlineStr">
        <is>
          <t>2024년 11월 결산기 연간 결산단신</t>
        </is>
      </c>
      <c r="C11" t="inlineStr">
        <is>
          <t>https://www2.jpx.co.jp/disc/32670/140120250109548694.pdf</t>
        </is>
      </c>
    </row>
    <row r="12">
      <c r="A12" t="inlineStr">
        <is>
          <t>2024-10-10</t>
        </is>
      </c>
      <c r="B12" t="inlineStr">
        <is>
          <t>2024년 11월 결산기 ３분기 결산단신</t>
        </is>
      </c>
      <c r="C12" t="inlineStr">
        <is>
          <t>https://www2.jpx.co.jp/disc/32670/140120241009595868.pdf</t>
        </is>
      </c>
    </row>
    <row r="13">
      <c r="A13" t="inlineStr">
        <is>
          <t>2024-07-11</t>
        </is>
      </c>
      <c r="B13" t="inlineStr">
        <is>
          <t>2024년 11월 결산기 ２분기 결산단신</t>
        </is>
      </c>
      <c r="C13" t="inlineStr">
        <is>
          <t>https://www2.jpx.co.jp/disc/32670/140120240710547101.pdf</t>
        </is>
      </c>
    </row>
    <row r="14">
      <c r="A14" t="inlineStr">
        <is>
          <t>2024-04-11</t>
        </is>
      </c>
      <c r="B14" t="inlineStr">
        <is>
          <t>2024년 11월 결산기 １분기 결산단신</t>
        </is>
      </c>
      <c r="C14" t="inlineStr">
        <is>
          <t>https://www2.jpx.co.jp/disc/32670/140120240410568387.pdf</t>
        </is>
      </c>
    </row>
    <row r="15">
      <c r="A15" t="inlineStr">
        <is>
          <t>2024-01-12</t>
        </is>
      </c>
      <c r="B15" t="inlineStr">
        <is>
          <t>2023년 11월 결산기 연간 결산단신</t>
        </is>
      </c>
      <c r="C15" t="inlineStr">
        <is>
          <t>https://www2.jpx.co.jp/disc/32670/140120240111513688.pdf</t>
        </is>
      </c>
    </row>
    <row r="16">
      <c r="A16" t="inlineStr">
        <is>
          <t>2023-10-11</t>
        </is>
      </c>
      <c r="B16" t="inlineStr">
        <is>
          <t>2023년 11월 결산기 ３분기 결산단신</t>
        </is>
      </c>
      <c r="C16" t="inlineStr">
        <is>
          <t>https://www2.jpx.co.jp/disc/32670/140120231011564806.pdf</t>
        </is>
      </c>
    </row>
    <row r="17">
      <c r="A17" t="inlineStr">
        <is>
          <t>2023-07-13</t>
        </is>
      </c>
      <c r="B17" t="inlineStr">
        <is>
          <t>2023년 11월 결산기 ２분기 결산단신</t>
        </is>
      </c>
      <c r="C17" t="inlineStr">
        <is>
          <t>https://www2.jpx.co.jp/disc/32670/140120230712521335.pdf</t>
        </is>
      </c>
    </row>
    <row r="18">
      <c r="A18" t="inlineStr">
        <is>
          <t>2023-04-13</t>
        </is>
      </c>
      <c r="B18" t="inlineStr">
        <is>
          <t>2023년 11월 결산기 １분기 결산단신</t>
        </is>
      </c>
      <c r="C18" t="inlineStr">
        <is>
          <t>https://www2.jpx.co.jp/disc/32670/140120230412545944.pdf</t>
        </is>
      </c>
    </row>
    <row r="19">
      <c r="A19" t="inlineStr">
        <is>
          <t>2023-01-13</t>
        </is>
      </c>
      <c r="B19" t="inlineStr">
        <is>
          <t>2022년 11월 결산기 연간 결산단신</t>
        </is>
      </c>
      <c r="C19" t="inlineStr">
        <is>
          <t>https://www2.jpx.co.jp/disc/32670/140120230112588623.pdf</t>
        </is>
      </c>
    </row>
    <row r="20">
      <c r="A20" t="inlineStr">
        <is>
          <t>2022-01-14</t>
        </is>
      </c>
      <c r="B20" t="inlineStr">
        <is>
          <t>2021년 11월 결산기 연간 결산단신</t>
        </is>
      </c>
      <c r="C20" t="inlineStr">
        <is>
          <t>https://www2.jpx.co.jp/disc/32670/140120220112566853.pdf</t>
        </is>
      </c>
    </row>
    <row r="21">
      <c r="A21" t="inlineStr">
        <is>
          <t>2021-01-14</t>
        </is>
      </c>
      <c r="B21" t="inlineStr">
        <is>
          <t>2020년 11월 결산기 연간 결산단신</t>
        </is>
      </c>
      <c r="C21" t="inlineStr">
        <is>
          <t>https://www2.jpx.co.jp/disc/32670/140120210114444452.pdf</t>
        </is>
      </c>
    </row>
    <row r="22">
      <c r="A22" t="inlineStr">
        <is>
          <t>2020-01-10</t>
        </is>
      </c>
      <c r="B22" t="inlineStr">
        <is>
          <t>2019년 11월 결산기 연간 결산단신</t>
        </is>
      </c>
      <c r="C22" t="inlineStr">
        <is>
          <t>https://www2.jpx.co.jp/disc/32670/140120200109445132.pdf</t>
        </is>
      </c>
    </row>
    <row r="23">
      <c r="A23" t="inlineStr">
        <is>
          <t>2019-01-11</t>
        </is>
      </c>
      <c r="B23" t="inlineStr">
        <is>
          <t>연간 결산단신</t>
        </is>
      </c>
      <c r="C23" t="inlineStr">
        <is>
          <t>https://www2.jpx.co.jp/disc/32670/140120190110458617.pdf</t>
        </is>
      </c>
    </row>
    <row r="24">
      <c r="A24" t="inlineStr">
        <is>
          <t>2018-01-12</t>
        </is>
      </c>
      <c r="B24" t="inlineStr">
        <is>
          <t>연간 결산단신</t>
        </is>
      </c>
      <c r="C24" t="inlineStr">
        <is>
          <t>https://www2.jpx.co.jp/disc/32670/140120180112449908.pdf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2026-10-28T10:09:08Z</dcterms:created>
  <dcterms:modified xmlns:dcterms="http://purl.org/dc/terms/" xmlns:xsi="http://www.w3.org/2001/XMLSchema-instance" xsi:type="dcterms:W3CDTF">2026-10-28T10:09:09Z</dcterms:modified>
</cp:coreProperties>
</file>