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29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48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48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7735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124571</v>
      </c>
      <c r="D4" s="12" t="n">
        <v>157085</v>
      </c>
      <c r="E4" s="12" t="n">
        <v>134217</v>
      </c>
      <c r="F4" s="12" t="n">
        <v>143182</v>
      </c>
      <c r="G4" s="12" t="n">
        <v>182565</v>
      </c>
      <c r="H4" s="12" t="n">
        <v>165305</v>
      </c>
      <c r="I4" s="12" t="n">
        <v>135785</v>
      </c>
      <c r="J4" s="12" t="n">
        <v>138514</v>
      </c>
      <c r="K4" s="12" t="n">
        <v>151053</v>
      </c>
      <c r="L4" s="12" t="n">
        <v>180396</v>
      </c>
      <c r="M4" s="12" t="n">
        <v>121775</v>
      </c>
      <c r="N4" s="12" t="n">
        <v>186678</v>
      </c>
      <c r="O4" s="11" t="n">
        <v>300233</v>
      </c>
      <c r="P4" s="12" t="n">
        <v>339368</v>
      </c>
      <c r="Q4" s="12" t="n">
        <v>364234</v>
      </c>
      <c r="R4" s="12" t="n">
        <v>323249</v>
      </c>
      <c r="S4" s="12" t="n">
        <v>320322</v>
      </c>
      <c r="T4" s="12" t="n">
        <v>411865</v>
      </c>
      <c r="U4" s="12" t="n">
        <v>460834</v>
      </c>
      <c r="V4" s="12" t="n">
        <v>504916</v>
      </c>
      <c r="W4" s="12" t="n">
        <v>625269</v>
      </c>
      <c r="X4" s="12" t="n">
        <v>605748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ＳＰＥ</t>
        </is>
      </c>
      <c r="B7" s="10" t="n"/>
      <c r="C7" s="19" t="n">
        <v>101927</v>
      </c>
      <c r="D7" s="20" t="n">
        <v>129691</v>
      </c>
      <c r="E7" s="20" t="n">
        <v>112184</v>
      </c>
      <c r="F7" s="20" t="n">
        <v>116885</v>
      </c>
      <c r="G7" s="20" t="n">
        <v>154891</v>
      </c>
      <c r="H7" s="20" t="n">
        <v>135550</v>
      </c>
      <c r="I7" s="20" t="n">
        <v>109503</v>
      </c>
      <c r="J7" s="20" t="n">
        <v>109082</v>
      </c>
      <c r="K7" s="20" t="n">
        <v>119476</v>
      </c>
      <c r="L7" s="20" t="n">
        <v>147283</v>
      </c>
      <c r="M7" s="20" t="n">
        <v>93133</v>
      </c>
      <c r="N7" s="20" t="n">
        <v>158255</v>
      </c>
      <c r="O7" s="19" t="n"/>
      <c r="P7" s="20" t="n"/>
      <c r="Q7" s="20" t="n"/>
      <c r="R7" s="20" t="n"/>
      <c r="S7" s="20" t="n"/>
      <c r="T7" s="20" t="n"/>
      <c r="U7" s="20" t="n"/>
      <c r="V7" s="20" t="n">
        <v>417677</v>
      </c>
      <c r="W7" s="20" t="n">
        <v>519510</v>
      </c>
      <c r="X7" s="20" t="n">
        <v>485344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ＧＡ</t>
        </is>
      </c>
      <c r="B10" s="10" t="n"/>
      <c r="C10" s="19" t="n">
        <v>11958</v>
      </c>
      <c r="D10" s="20" t="n">
        <v>11748</v>
      </c>
      <c r="E10" s="20" t="n">
        <v>12311</v>
      </c>
      <c r="F10" s="20" t="n">
        <v>12831</v>
      </c>
      <c r="G10" s="20" t="n">
        <v>13744</v>
      </c>
      <c r="H10" s="20" t="n">
        <v>13966</v>
      </c>
      <c r="I10" s="20" t="n">
        <v>12836</v>
      </c>
      <c r="J10" s="20" t="n">
        <v>12914</v>
      </c>
      <c r="K10" s="20" t="n">
        <v>13663</v>
      </c>
      <c r="L10" s="20" t="n">
        <v>17934</v>
      </c>
      <c r="M10" s="20" t="n">
        <v>13785</v>
      </c>
      <c r="N10" s="20" t="n">
        <v>15206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47535</v>
      </c>
      <c r="W10" s="20" t="n">
        <v>52852</v>
      </c>
      <c r="X10" s="20" t="n">
        <v>57347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ＦＴ</t>
        </is>
      </c>
      <c r="B13" s="10" t="n"/>
      <c r="C13" s="19" t="n">
        <v>6708</v>
      </c>
      <c r="D13" s="20" t="n">
        <v>10501</v>
      </c>
      <c r="E13" s="20" t="n">
        <v>4440</v>
      </c>
      <c r="F13" s="20" t="n">
        <v>8592</v>
      </c>
      <c r="G13" s="20" t="n">
        <v>9870</v>
      </c>
      <c r="H13" s="20" t="n">
        <v>9911</v>
      </c>
      <c r="I13" s="20" t="n">
        <v>10008</v>
      </c>
      <c r="J13" s="20" t="n">
        <v>13440</v>
      </c>
      <c r="K13" s="20" t="n">
        <v>10319</v>
      </c>
      <c r="L13" s="20" t="n">
        <v>6704</v>
      </c>
      <c r="M13" s="20" t="n">
        <v>10850</v>
      </c>
      <c r="N13" s="20" t="n">
        <v>8187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22420</v>
      </c>
      <c r="W13" s="20" t="n">
        <v>32813</v>
      </c>
      <c r="X13" s="20" t="n">
        <v>40471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ＰＥ</t>
        </is>
      </c>
      <c r="B16" s="10" t="n"/>
      <c r="C16" s="19" t="n">
        <v>3204</v>
      </c>
      <c r="D16" s="20" t="n">
        <v>4118</v>
      </c>
      <c r="E16" s="20" t="n">
        <v>3903</v>
      </c>
      <c r="F16" s="20" t="n">
        <v>3029</v>
      </c>
      <c r="G16" s="20" t="n">
        <v>2628</v>
      </c>
      <c r="H16" s="20" t="n">
        <v>4531</v>
      </c>
      <c r="I16" s="20" t="n">
        <v>3050</v>
      </c>
      <c r="J16" s="20" t="n">
        <v>2467</v>
      </c>
      <c r="K16" s="20" t="n">
        <v>3353</v>
      </c>
      <c r="L16" s="20" t="n">
        <v>5595</v>
      </c>
      <c r="M16" s="20" t="n">
        <v>3113</v>
      </c>
      <c r="N16" s="20" t="n">
        <v>3946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14514</v>
      </c>
      <c r="W16" s="20" t="n">
        <v>14091</v>
      </c>
      <c r="X16" s="20" t="n">
        <v>14465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774</v>
      </c>
      <c r="D19" s="20" t="n">
        <v>1027</v>
      </c>
      <c r="E19" s="20" t="n">
        <v>1376</v>
      </c>
      <c r="F19" s="20" t="n">
        <v>1846</v>
      </c>
      <c r="G19" s="20" t="n">
        <v>1432</v>
      </c>
      <c r="H19" s="20" t="n">
        <v>1347</v>
      </c>
      <c r="I19" s="20" t="n">
        <v>386</v>
      </c>
      <c r="J19" s="20" t="n">
        <v>612</v>
      </c>
      <c r="K19" s="20" t="n">
        <v>4241</v>
      </c>
      <c r="L19" s="20" t="n">
        <v>2879</v>
      </c>
      <c r="M19" s="20" t="n">
        <v>892</v>
      </c>
      <c r="N19" s="20" t="n">
        <v>1084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2768</v>
      </c>
      <c r="W19" s="20" t="n">
        <v>6001</v>
      </c>
      <c r="X19" s="20" t="n">
        <v>8118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77178</v>
      </c>
      <c r="D23" s="20" t="n">
        <v>102525</v>
      </c>
      <c r="E23" s="20" t="n">
        <v>81669</v>
      </c>
      <c r="F23" s="20" t="n">
        <v>88775</v>
      </c>
      <c r="G23" s="20" t="n">
        <v>115974</v>
      </c>
      <c r="H23" s="20" t="n">
        <v>103553</v>
      </c>
      <c r="I23" s="20" t="n">
        <v>84658</v>
      </c>
      <c r="J23" s="20" t="n">
        <v>87738</v>
      </c>
      <c r="K23" s="20" t="n">
        <v>93346</v>
      </c>
      <c r="L23" s="20" t="n">
        <v>106831</v>
      </c>
      <c r="M23" s="20" t="n">
        <v>78485</v>
      </c>
      <c r="N23" s="20" t="n">
        <v>115223</v>
      </c>
      <c r="O23" s="19" t="n">
        <v>206686</v>
      </c>
      <c r="P23" s="20" t="n">
        <v>229837</v>
      </c>
      <c r="Q23" s="20" t="n">
        <v>263667</v>
      </c>
      <c r="R23" s="20" t="n">
        <v>246680</v>
      </c>
      <c r="S23" s="20" t="n">
        <v>232309</v>
      </c>
      <c r="T23" s="20" t="n">
        <v>277497</v>
      </c>
      <c r="U23" s="20" t="n">
        <v>305785</v>
      </c>
      <c r="V23" s="20" t="n">
        <v>322399</v>
      </c>
      <c r="W23" s="20" t="n">
        <v>389971</v>
      </c>
      <c r="X23" s="20" t="n">
        <v>372573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22252</v>
      </c>
      <c r="D29" s="20" t="n">
        <v>24088</v>
      </c>
      <c r="E29" s="20" t="n">
        <v>24778</v>
      </c>
      <c r="F29" s="20" t="n">
        <v>23945</v>
      </c>
      <c r="G29" s="20" t="n">
        <v>24202</v>
      </c>
      <c r="H29" s="20" t="n">
        <v>26689</v>
      </c>
      <c r="I29" s="20" t="n">
        <v>26740</v>
      </c>
      <c r="J29" s="20" t="n">
        <v>28708</v>
      </c>
      <c r="K29" s="20" t="n">
        <v>26721</v>
      </c>
      <c r="L29" s="20" t="n">
        <v>28483</v>
      </c>
      <c r="M29" s="20" t="n">
        <v>28921</v>
      </c>
      <c r="N29" s="20" t="n">
        <v>31301</v>
      </c>
      <c r="O29" s="19" t="n">
        <v>59815</v>
      </c>
      <c r="P29" s="20" t="n">
        <v>66806</v>
      </c>
      <c r="Q29" s="20" t="n">
        <v>70921</v>
      </c>
      <c r="R29" s="20" t="n">
        <v>64007</v>
      </c>
      <c r="S29" s="20" t="n">
        <v>63519</v>
      </c>
      <c r="T29" s="20" t="n">
        <v>73094</v>
      </c>
      <c r="U29" s="20" t="n">
        <v>78596</v>
      </c>
      <c r="V29" s="20" t="n">
        <v>88353</v>
      </c>
      <c r="W29" s="20" t="n">
        <v>99614</v>
      </c>
      <c r="X29" s="20" t="n">
        <v>110652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25141</v>
      </c>
      <c r="D31" s="12" t="n">
        <v>30473</v>
      </c>
      <c r="E31" s="12" t="n">
        <v>27768</v>
      </c>
      <c r="F31" s="12" t="n">
        <v>30463</v>
      </c>
      <c r="G31" s="12" t="n">
        <v>42388</v>
      </c>
      <c r="H31" s="12" t="n">
        <v>35064</v>
      </c>
      <c r="I31" s="12" t="n">
        <v>24386</v>
      </c>
      <c r="J31" s="12" t="n">
        <v>22068</v>
      </c>
      <c r="K31" s="12" t="n">
        <v>30985</v>
      </c>
      <c r="L31" s="12" t="n">
        <v>45083</v>
      </c>
      <c r="M31" s="12" t="n">
        <v>14368</v>
      </c>
      <c r="N31" s="12" t="n">
        <v>40155</v>
      </c>
      <c r="O31" s="11" t="n">
        <v>33731</v>
      </c>
      <c r="P31" s="12" t="n">
        <v>42725</v>
      </c>
      <c r="Q31" s="12" t="n">
        <v>29645</v>
      </c>
      <c r="R31" s="12" t="n">
        <v>12561</v>
      </c>
      <c r="S31" s="12" t="n">
        <v>24492</v>
      </c>
      <c r="T31" s="12" t="n">
        <v>61273</v>
      </c>
      <c r="U31" s="12" t="n">
        <v>76452</v>
      </c>
      <c r="V31" s="12" t="n">
        <v>94164</v>
      </c>
      <c r="W31" s="12" t="n">
        <v>135683</v>
      </c>
      <c r="X31" s="12" t="n">
        <v>122522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2108</v>
      </c>
      <c r="I47" s="20" t="n">
        <v>0</v>
      </c>
      <c r="J47" s="20" t="n">
        <v>1021</v>
      </c>
      <c r="K47" s="20" t="n">
        <v>1135</v>
      </c>
      <c r="L47" s="20" t="n">
        <v>962</v>
      </c>
      <c r="M47" s="20" t="n">
        <v>0</v>
      </c>
      <c r="N47" s="20" t="n">
        <v>0</v>
      </c>
      <c r="O47" s="19" t="n">
        <v>1064</v>
      </c>
      <c r="P47" s="20" t="n">
        <v>872</v>
      </c>
      <c r="Q47" s="20" t="n">
        <v>444</v>
      </c>
      <c r="R47" s="20" t="n">
        <v>332</v>
      </c>
      <c r="S47" s="20" t="n">
        <v>25</v>
      </c>
      <c r="T47" s="20" t="n">
        <v>57</v>
      </c>
      <c r="U47" s="20" t="n">
        <v>3182</v>
      </c>
      <c r="V47" s="20" t="n">
        <v>20</v>
      </c>
      <c r="W47" s="20" t="n">
        <v>2108</v>
      </c>
      <c r="X47" s="20" t="n">
        <v>3118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</v>
      </c>
      <c r="D49" s="20" t="n">
        <v>137</v>
      </c>
      <c r="E49" s="20" t="n">
        <v>2</v>
      </c>
      <c r="F49" s="20" t="n">
        <v>0</v>
      </c>
      <c r="G49" s="20" t="n">
        <v>0</v>
      </c>
      <c r="H49" s="20" t="n">
        <v>1365</v>
      </c>
      <c r="I49" s="20" t="n">
        <v>1</v>
      </c>
      <c r="J49" s="20" t="n">
        <v>0</v>
      </c>
      <c r="K49" s="20" t="n">
        <v>0</v>
      </c>
      <c r="L49" s="20" t="n">
        <v>697</v>
      </c>
      <c r="M49" s="20" t="n">
        <v>37</v>
      </c>
      <c r="N49" s="20" t="n">
        <v>0</v>
      </c>
      <c r="O49" s="19" t="n">
        <v>2029</v>
      </c>
      <c r="P49" s="20" t="n">
        <v>249</v>
      </c>
      <c r="Q49" s="20" t="n">
        <v>1993</v>
      </c>
      <c r="R49" s="20" t="n">
        <v>3390</v>
      </c>
      <c r="S49" s="20" t="n">
        <v>2072</v>
      </c>
      <c r="T49" s="20" t="n">
        <v>2725</v>
      </c>
      <c r="U49" s="20" t="n">
        <v>2060</v>
      </c>
      <c r="V49" s="20" t="n">
        <v>141</v>
      </c>
      <c r="W49" s="20" t="n">
        <v>1367</v>
      </c>
      <c r="X49" s="20" t="n">
        <v>698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1058</v>
      </c>
      <c r="D51" s="20" t="n">
        <v>360</v>
      </c>
      <c r="E51" s="20" t="n">
        <v>1034</v>
      </c>
      <c r="F51" s="20" t="n">
        <v>666</v>
      </c>
      <c r="G51" s="20" t="n">
        <v>1526</v>
      </c>
      <c r="H51" s="20" t="n">
        <v>1185</v>
      </c>
      <c r="I51" s="20" t="n">
        <v>1132</v>
      </c>
      <c r="J51" s="20" t="n">
        <v>1023</v>
      </c>
      <c r="K51" s="20" t="n">
        <v>1498</v>
      </c>
      <c r="L51" s="20" t="n">
        <v>1276</v>
      </c>
      <c r="M51" s="20" t="n">
        <v>1471</v>
      </c>
      <c r="N51" s="20" t="n">
        <v>909</v>
      </c>
      <c r="O51" s="19" t="n">
        <v>1296</v>
      </c>
      <c r="P51" s="20" t="n">
        <v>1106</v>
      </c>
      <c r="Q51" s="20" t="n">
        <v>2189</v>
      </c>
      <c r="R51" s="20" t="n">
        <v>1386</v>
      </c>
      <c r="S51" s="20" t="n">
        <v>1852</v>
      </c>
      <c r="T51" s="20" t="n">
        <v>1826</v>
      </c>
      <c r="U51" s="20" t="n">
        <v>2568</v>
      </c>
      <c r="V51" s="20" t="n">
        <v>3252</v>
      </c>
      <c r="W51" s="20" t="n">
        <v>4411</v>
      </c>
      <c r="X51" s="20" t="n">
        <v>4929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883</v>
      </c>
      <c r="D53" s="20" t="n">
        <v>1244</v>
      </c>
      <c r="E53" s="20" t="n">
        <v>909</v>
      </c>
      <c r="F53" s="20" t="n">
        <v>372</v>
      </c>
      <c r="G53" s="20" t="n">
        <v>223</v>
      </c>
      <c r="H53" s="20" t="n">
        <v>325</v>
      </c>
      <c r="I53" s="20" t="n">
        <v>949</v>
      </c>
      <c r="J53" s="20" t="n">
        <v>816</v>
      </c>
      <c r="K53" s="20" t="n">
        <v>480</v>
      </c>
      <c r="L53" s="20" t="n">
        <v>882</v>
      </c>
      <c r="M53" s="20" t="n">
        <v>420</v>
      </c>
      <c r="N53" s="20" t="n">
        <v>506</v>
      </c>
      <c r="O53" s="19" t="n">
        <v>3008</v>
      </c>
      <c r="P53" s="20" t="n">
        <v>2502</v>
      </c>
      <c r="Q53" s="20" t="n">
        <v>2555</v>
      </c>
      <c r="R53" s="20" t="n">
        <v>2311</v>
      </c>
      <c r="S53" s="20" t="n">
        <v>3624</v>
      </c>
      <c r="T53" s="20" t="n">
        <v>3660</v>
      </c>
      <c r="U53" s="20" t="n">
        <v>1627</v>
      </c>
      <c r="V53" s="20" t="n">
        <v>3137</v>
      </c>
      <c r="W53" s="20" t="n">
        <v>1829</v>
      </c>
      <c r="X53" s="20" t="n">
        <v>3127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25316</v>
      </c>
      <c r="D55" s="12" t="n">
        <v>29452</v>
      </c>
      <c r="E55" s="12" t="n">
        <v>27890</v>
      </c>
      <c r="F55" s="12" t="n">
        <v>30757</v>
      </c>
      <c r="G55" s="12" t="n">
        <v>43692</v>
      </c>
      <c r="H55" s="12" t="n">
        <v>36667</v>
      </c>
      <c r="I55" s="12" t="n">
        <v>24568</v>
      </c>
      <c r="J55" s="12" t="n">
        <v>23296</v>
      </c>
      <c r="K55" s="12" t="n">
        <v>33137</v>
      </c>
      <c r="L55" s="12" t="n">
        <v>45742</v>
      </c>
      <c r="M55" s="12" t="n">
        <v>15382</v>
      </c>
      <c r="N55" s="12" t="n">
        <v>40558</v>
      </c>
      <c r="O55" s="11" t="n">
        <v>31055</v>
      </c>
      <c r="P55" s="12" t="n">
        <v>41952</v>
      </c>
      <c r="Q55" s="12" t="n">
        <v>27730</v>
      </c>
      <c r="R55" s="12" t="n">
        <v>8579</v>
      </c>
      <c r="S55" s="12" t="n">
        <v>20673</v>
      </c>
      <c r="T55" s="12" t="n">
        <v>56771</v>
      </c>
      <c r="U55" s="12" t="n">
        <v>78515</v>
      </c>
      <c r="V55" s="12" t="n">
        <v>94158</v>
      </c>
      <c r="W55" s="12" t="n">
        <v>139006</v>
      </c>
      <c r="X55" s="12" t="n">
        <v>126743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7073</v>
      </c>
      <c r="D57" s="20" t="n">
        <v>3460</v>
      </c>
      <c r="E57" s="20" t="n">
        <v>9675</v>
      </c>
      <c r="F57" s="20" t="n">
        <v>10130</v>
      </c>
      <c r="G57" s="20" t="n">
        <v>13014</v>
      </c>
      <c r="H57" s="20" t="n">
        <v>6715</v>
      </c>
      <c r="I57" s="20" t="n">
        <v>7875</v>
      </c>
      <c r="J57" s="20" t="n">
        <v>8125</v>
      </c>
      <c r="K57" s="20" t="n">
        <v>10042</v>
      </c>
      <c r="L57" s="20" t="n">
        <v>8694</v>
      </c>
      <c r="M57" s="20" t="n">
        <v>4897</v>
      </c>
      <c r="N57" s="20" t="n">
        <v>13391</v>
      </c>
      <c r="O57" s="19" t="n">
        <v>6868</v>
      </c>
      <c r="P57" s="20" t="n">
        <v>13471</v>
      </c>
      <c r="Q57" s="20" t="n">
        <v>9677</v>
      </c>
      <c r="R57" s="20" t="n">
        <v>3595</v>
      </c>
      <c r="S57" s="20" t="n">
        <v>5541</v>
      </c>
      <c r="T57" s="20" t="n">
        <v>11389</v>
      </c>
      <c r="U57" s="20" t="n">
        <v>21059</v>
      </c>
      <c r="V57" s="20" t="n">
        <v>23574</v>
      </c>
      <c r="W57" s="20" t="n">
        <v>39534</v>
      </c>
      <c r="X57" s="20" t="n">
        <v>34736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18244</v>
      </c>
      <c r="D59" s="12" t="n">
        <v>25991</v>
      </c>
      <c r="E59" s="12" t="n">
        <v>18215</v>
      </c>
      <c r="F59" s="12" t="n">
        <v>20627</v>
      </c>
      <c r="G59" s="12" t="n">
        <v>30677</v>
      </c>
      <c r="H59" s="12" t="n">
        <v>29953</v>
      </c>
      <c r="I59" s="12" t="n">
        <v>16692</v>
      </c>
      <c r="J59" s="12" t="n">
        <v>15172</v>
      </c>
      <c r="K59" s="12" t="n">
        <v>23094</v>
      </c>
      <c r="L59" s="12" t="n">
        <v>37048</v>
      </c>
      <c r="M59" s="12" t="n">
        <v>10484</v>
      </c>
      <c r="N59" s="12" t="n">
        <v>27167</v>
      </c>
      <c r="O59" s="11" t="n">
        <v>24186</v>
      </c>
      <c r="P59" s="12" t="n">
        <v>28480</v>
      </c>
      <c r="Q59" s="12" t="n">
        <v>18052</v>
      </c>
      <c r="R59" s="12" t="n">
        <v>4983</v>
      </c>
      <c r="S59" s="12" t="n">
        <v>15131</v>
      </c>
      <c r="T59" s="12" t="n">
        <v>45382</v>
      </c>
      <c r="U59" s="12" t="n">
        <v>57456</v>
      </c>
      <c r="V59" s="12" t="n">
        <v>70583</v>
      </c>
      <c r="W59" s="12" t="n">
        <v>99472</v>
      </c>
      <c r="X59" s="12" t="n">
        <v>92006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18250</v>
      </c>
      <c r="D61" s="12" t="n">
        <v>25982</v>
      </c>
      <c r="E61" s="12" t="n">
        <v>18215</v>
      </c>
      <c r="F61" s="12" t="n">
        <v>20623</v>
      </c>
      <c r="G61" s="12" t="n">
        <v>30676</v>
      </c>
      <c r="H61" s="12" t="n">
        <v>29953</v>
      </c>
      <c r="I61" s="12" t="n">
        <v>16687</v>
      </c>
      <c r="J61" s="12" t="n">
        <v>15168</v>
      </c>
      <c r="K61" s="12" t="n">
        <v>23091</v>
      </c>
      <c r="L61" s="12" t="n">
        <v>37057</v>
      </c>
      <c r="M61" s="12" t="n">
        <v>10490</v>
      </c>
      <c r="N61" s="12" t="n">
        <v>27166</v>
      </c>
      <c r="O61" s="11" t="n">
        <v>24168</v>
      </c>
      <c r="P61" s="12" t="n">
        <v>28507</v>
      </c>
      <c r="Q61" s="12" t="n">
        <v>18059</v>
      </c>
      <c r="R61" s="12" t="n">
        <v>5010</v>
      </c>
      <c r="S61" s="12" t="n">
        <v>15164</v>
      </c>
      <c r="T61" s="12" t="n">
        <v>45481</v>
      </c>
      <c r="U61" s="12" t="n">
        <v>57491</v>
      </c>
      <c r="V61" s="12" t="n">
        <v>70579</v>
      </c>
      <c r="W61" s="12" t="n">
        <v>99467</v>
      </c>
      <c r="X61" s="12" t="n">
        <v>92003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124571</v>
      </c>
      <c r="D96" s="12" t="n">
        <v>157085</v>
      </c>
      <c r="E96" s="12" t="n">
        <v>134217</v>
      </c>
      <c r="F96" s="12" t="n">
        <v>143182</v>
      </c>
      <c r="G96" s="12" t="n">
        <v>182565</v>
      </c>
      <c r="H96" s="12" t="n">
        <v>165305</v>
      </c>
      <c r="I96" s="12" t="n">
        <v>135785</v>
      </c>
      <c r="J96" s="12" t="n">
        <v>138514</v>
      </c>
      <c r="K96" s="12" t="n">
        <v>151053</v>
      </c>
      <c r="L96" s="12" t="n">
        <v>180396</v>
      </c>
      <c r="M96" s="12" t="n">
        <v>121775</v>
      </c>
      <c r="N96" s="12" t="n">
        <v>186678</v>
      </c>
      <c r="V96" s="12" t="n">
        <v>157085</v>
      </c>
      <c r="W96" s="12" t="n">
        <v>165305</v>
      </c>
      <c r="X96" s="12" t="n">
        <v>180396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77178</v>
      </c>
      <c r="D98" s="20" t="n">
        <v>102525</v>
      </c>
      <c r="E98" s="20" t="n">
        <v>81669</v>
      </c>
      <c r="F98" s="20" t="n">
        <v>88775</v>
      </c>
      <c r="G98" s="20" t="n">
        <v>115974</v>
      </c>
      <c r="H98" s="20" t="n">
        <v>103553</v>
      </c>
      <c r="I98" s="20" t="n">
        <v>84658</v>
      </c>
      <c r="J98" s="20" t="n">
        <v>87738</v>
      </c>
      <c r="K98" s="20" t="n">
        <v>93346</v>
      </c>
      <c r="L98" s="20" t="n">
        <v>106831</v>
      </c>
      <c r="M98" s="20" t="n">
        <v>78485</v>
      </c>
      <c r="N98" s="20" t="n">
        <v>115223</v>
      </c>
      <c r="V98" s="20" t="n">
        <v>102525</v>
      </c>
      <c r="W98" s="20" t="n">
        <v>103553</v>
      </c>
      <c r="X98" s="20" t="n">
        <v>106831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47394</v>
      </c>
      <c r="D100" s="12" t="n">
        <v>54560</v>
      </c>
      <c r="E100" s="12" t="n">
        <v>52547</v>
      </c>
      <c r="F100" s="12" t="n">
        <v>54408</v>
      </c>
      <c r="G100" s="12" t="n">
        <v>66590</v>
      </c>
      <c r="H100" s="12" t="n">
        <v>61753</v>
      </c>
      <c r="I100" s="12" t="n">
        <v>51126</v>
      </c>
      <c r="J100" s="12" t="n">
        <v>50777</v>
      </c>
      <c r="K100" s="12" t="n">
        <v>57706</v>
      </c>
      <c r="L100" s="12" t="n">
        <v>73565</v>
      </c>
      <c r="M100" s="12" t="n">
        <v>43290</v>
      </c>
      <c r="N100" s="12" t="n">
        <v>71455</v>
      </c>
      <c r="V100" s="12" t="n">
        <v>54560</v>
      </c>
      <c r="W100" s="12" t="n">
        <v>61753</v>
      </c>
      <c r="X100" s="12" t="n">
        <v>73565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22252</v>
      </c>
      <c r="D102" s="20" t="n">
        <v>24088</v>
      </c>
      <c r="E102" s="20" t="n">
        <v>24778</v>
      </c>
      <c r="F102" s="20" t="n">
        <v>23945</v>
      </c>
      <c r="G102" s="20" t="n">
        <v>24202</v>
      </c>
      <c r="H102" s="20" t="n">
        <v>26689</v>
      </c>
      <c r="I102" s="20" t="n">
        <v>26740</v>
      </c>
      <c r="J102" s="20" t="n">
        <v>28708</v>
      </c>
      <c r="K102" s="20" t="n">
        <v>26721</v>
      </c>
      <c r="L102" s="20" t="n">
        <v>28483</v>
      </c>
      <c r="M102" s="20" t="n">
        <v>28921</v>
      </c>
      <c r="N102" s="20" t="n">
        <v>31301</v>
      </c>
      <c r="V102" s="20" t="n">
        <v>24088</v>
      </c>
      <c r="W102" s="20" t="n">
        <v>26689</v>
      </c>
      <c r="X102" s="20" t="n">
        <v>28483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25141</v>
      </c>
      <c r="D104" s="12" t="n">
        <v>30473</v>
      </c>
      <c r="E104" s="12" t="n">
        <v>27768</v>
      </c>
      <c r="F104" s="12" t="n">
        <v>30463</v>
      </c>
      <c r="G104" s="12" t="n">
        <v>42388</v>
      </c>
      <c r="H104" s="12" t="n">
        <v>35064</v>
      </c>
      <c r="I104" s="12" t="n">
        <v>24386</v>
      </c>
      <c r="J104" s="12" t="n">
        <v>22068</v>
      </c>
      <c r="K104" s="12" t="n">
        <v>30985</v>
      </c>
      <c r="L104" s="12" t="n">
        <v>45083</v>
      </c>
      <c r="M104" s="12" t="n">
        <v>14368</v>
      </c>
      <c r="N104" s="12" t="n">
        <v>40155</v>
      </c>
      <c r="V104" s="12" t="n">
        <v>30473</v>
      </c>
      <c r="W104" s="12" t="n">
        <v>35064</v>
      </c>
      <c r="X104" s="12" t="n">
        <v>45083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131</v>
      </c>
      <c r="D107" s="20" t="n">
        <v>123</v>
      </c>
      <c r="E107" s="20" t="n">
        <v>131</v>
      </c>
      <c r="F107" s="20" t="n">
        <v>151</v>
      </c>
      <c r="G107" s="20" t="n">
        <v>147</v>
      </c>
      <c r="H107" s="20" t="n">
        <v>290</v>
      </c>
      <c r="I107" s="20" t="n">
        <v>225</v>
      </c>
      <c r="J107" s="20" t="n">
        <v>324</v>
      </c>
      <c r="K107" s="20" t="n">
        <v>258</v>
      </c>
      <c r="L107" s="20" t="n">
        <v>359</v>
      </c>
      <c r="M107" s="20" t="n">
        <v>378</v>
      </c>
      <c r="N107" s="20" t="n">
        <v>539</v>
      </c>
      <c r="V107" s="20" t="n">
        <v>123</v>
      </c>
      <c r="W107" s="20" t="n">
        <v>290</v>
      </c>
      <c r="X107" s="20" t="n">
        <v>359</v>
      </c>
    </row>
    <row r="108">
      <c r="A108" s="18" t="inlineStr">
        <is>
          <t>배당금수익</t>
        </is>
      </c>
      <c r="C108" s="20" t="n">
        <v>380</v>
      </c>
      <c r="D108" s="20" t="n">
        <v>34</v>
      </c>
      <c r="E108" s="20" t="n">
        <v>487</v>
      </c>
      <c r="F108" s="20" t="n">
        <v>20</v>
      </c>
      <c r="G108" s="20" t="n">
        <v>422</v>
      </c>
      <c r="H108" s="20" t="n">
        <v>31</v>
      </c>
      <c r="I108" s="20" t="n">
        <v>516</v>
      </c>
      <c r="J108" s="20" t="n">
        <v>22</v>
      </c>
      <c r="K108" s="20" t="n">
        <v>387</v>
      </c>
      <c r="L108" s="20" t="n">
        <v>48</v>
      </c>
      <c r="M108" s="20" t="n">
        <v>694</v>
      </c>
      <c r="N108" s="20" t="n">
        <v>27</v>
      </c>
      <c r="V108" s="20" t="n">
        <v>34</v>
      </c>
      <c r="W108" s="20" t="n">
        <v>31</v>
      </c>
      <c r="X108" s="20" t="n">
        <v>48</v>
      </c>
    </row>
    <row r="109">
      <c r="A109" s="18" t="inlineStr">
        <is>
          <t>보조금 수입</t>
        </is>
      </c>
      <c r="D109" s="20" t="n">
        <v>115</v>
      </c>
      <c r="H109" s="20" t="n">
        <v>577</v>
      </c>
      <c r="L109" s="20" t="n">
        <v>317</v>
      </c>
      <c r="V109" s="20" t="n">
        <v>115</v>
      </c>
      <c r="W109" s="20" t="n">
        <v>577</v>
      </c>
      <c r="X109" s="20" t="n">
        <v>317</v>
      </c>
    </row>
    <row r="110">
      <c r="A110" s="18" t="inlineStr">
        <is>
          <t>지분법이익</t>
        </is>
      </c>
      <c r="C110" s="20" t="n">
        <v>0</v>
      </c>
      <c r="D110" s="20" t="n">
        <v>0</v>
      </c>
      <c r="E110" s="20" t="n">
        <v>55</v>
      </c>
      <c r="F110" s="20" t="n">
        <v>143</v>
      </c>
      <c r="G110" s="20" t="n">
        <v>106</v>
      </c>
      <c r="H110" s="20" t="n">
        <v>24</v>
      </c>
      <c r="I110" s="20" t="n">
        <v>58</v>
      </c>
      <c r="J110" s="20" t="n">
        <v>13</v>
      </c>
      <c r="K110" s="20" t="n">
        <v>24</v>
      </c>
      <c r="L110" s="20" t="n">
        <v>221</v>
      </c>
      <c r="M110" s="20" t="n">
        <v>0</v>
      </c>
      <c r="N110" s="20" t="n">
        <v>0</v>
      </c>
      <c r="V110" s="20" t="n">
        <v>0</v>
      </c>
      <c r="W110" s="20" t="n">
        <v>24</v>
      </c>
      <c r="X110" s="20" t="n">
        <v>221</v>
      </c>
    </row>
    <row r="111">
      <c r="A111" s="18" t="inlineStr">
        <is>
          <t>기타</t>
        </is>
      </c>
      <c r="C111" s="20" t="n">
        <v>28</v>
      </c>
      <c r="D111" s="20" t="n">
        <v>-24</v>
      </c>
      <c r="E111" s="20" t="n">
        <v>360</v>
      </c>
      <c r="F111" s="20" t="n">
        <v>351</v>
      </c>
      <c r="G111" s="20" t="n">
        <v>155</v>
      </c>
      <c r="H111" s="20" t="n">
        <v>-251</v>
      </c>
      <c r="I111" s="20" t="n">
        <v>331</v>
      </c>
      <c r="J111" s="20" t="n">
        <v>664</v>
      </c>
      <c r="K111" s="20" t="n">
        <v>-2</v>
      </c>
      <c r="L111" s="20" t="n">
        <v>-202</v>
      </c>
      <c r="M111" s="20" t="n">
        <v>399</v>
      </c>
      <c r="N111" s="20" t="n">
        <v>342</v>
      </c>
      <c r="V111" s="20" t="n">
        <v>-24</v>
      </c>
      <c r="W111" s="20" t="n">
        <v>-251</v>
      </c>
      <c r="X111" s="20" t="n">
        <v>-202</v>
      </c>
    </row>
    <row r="112">
      <c r="A112" s="18" t="inlineStr">
        <is>
          <t>영업외수익 합계</t>
        </is>
      </c>
      <c r="C112" s="20" t="n">
        <v>1058</v>
      </c>
      <c r="D112" s="20" t="n">
        <v>360</v>
      </c>
      <c r="E112" s="20" t="n">
        <v>1034</v>
      </c>
      <c r="F112" s="20" t="n">
        <v>666</v>
      </c>
      <c r="G112" s="20" t="n">
        <v>1526</v>
      </c>
      <c r="H112" s="20" t="n">
        <v>1185</v>
      </c>
      <c r="I112" s="20" t="n">
        <v>1132</v>
      </c>
      <c r="J112" s="20" t="n">
        <v>1023</v>
      </c>
      <c r="K112" s="20" t="n">
        <v>1498</v>
      </c>
      <c r="L112" s="20" t="n">
        <v>1276</v>
      </c>
      <c r="M112" s="20" t="n">
        <v>1471</v>
      </c>
      <c r="N112" s="20" t="n">
        <v>909</v>
      </c>
      <c r="V112" s="20" t="n">
        <v>360</v>
      </c>
      <c r="W112" s="20" t="n">
        <v>1185</v>
      </c>
      <c r="X112" s="20" t="n">
        <v>1276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이자비용</t>
        </is>
      </c>
      <c r="C114" s="20" t="n">
        <v>85</v>
      </c>
      <c r="D114" s="20" t="n">
        <v>23</v>
      </c>
      <c r="E114" s="20" t="n">
        <v>55</v>
      </c>
      <c r="F114" s="20" t="n">
        <v>28</v>
      </c>
      <c r="G114" s="20" t="n">
        <v>65</v>
      </c>
      <c r="H114" s="20" t="n">
        <v>-13</v>
      </c>
      <c r="I114" s="20" t="n">
        <v>48</v>
      </c>
      <c r="J114" s="20" t="n">
        <v>31</v>
      </c>
      <c r="K114" s="20" t="n">
        <v>35</v>
      </c>
      <c r="L114" s="20" t="n">
        <v>-34</v>
      </c>
      <c r="M114" s="20" t="n">
        <v>60</v>
      </c>
      <c r="N114" s="20" t="n">
        <v>35</v>
      </c>
      <c r="V114" s="20" t="n">
        <v>23</v>
      </c>
      <c r="W114" s="20" t="n">
        <v>-13</v>
      </c>
      <c r="X114" s="20" t="n">
        <v>-34</v>
      </c>
    </row>
    <row r="115">
      <c r="A115" s="18" t="inlineStr">
        <is>
          <t>외환차손</t>
        </is>
      </c>
      <c r="C115" s="20" t="n">
        <v>403</v>
      </c>
      <c r="D115" s="20" t="n">
        <v>254</v>
      </c>
      <c r="E115" s="20" t="n">
        <v>325</v>
      </c>
      <c r="F115" s="20" t="n">
        <v>67</v>
      </c>
      <c r="G115" s="20" t="n">
        <v>-57</v>
      </c>
      <c r="H115" s="20" t="n">
        <v>202</v>
      </c>
      <c r="I115" s="20" t="n">
        <v>655</v>
      </c>
      <c r="J115" s="20" t="n">
        <v>305</v>
      </c>
      <c r="K115" s="20" t="n">
        <v>147</v>
      </c>
      <c r="L115" s="20" t="n">
        <v>-27</v>
      </c>
      <c r="M115" s="20" t="n">
        <v>155</v>
      </c>
      <c r="N115" s="20" t="n">
        <v>196</v>
      </c>
      <c r="V115" s="20" t="n">
        <v>254</v>
      </c>
      <c r="W115" s="20" t="n">
        <v>202</v>
      </c>
      <c r="X115" s="20" t="n">
        <v>-27</v>
      </c>
    </row>
    <row r="116">
      <c r="A116" s="18" t="inlineStr">
        <is>
          <t>고정자산 제각손실</t>
        </is>
      </c>
      <c r="C116" s="20" t="n">
        <v>220</v>
      </c>
      <c r="D116" s="20" t="n">
        <v>58</v>
      </c>
      <c r="E116" s="20" t="n">
        <v>193</v>
      </c>
      <c r="F116" s="20" t="n">
        <v>54</v>
      </c>
      <c r="G116" s="20" t="n">
        <v>73</v>
      </c>
      <c r="H116" s="20" t="n">
        <v>123</v>
      </c>
      <c r="V116" s="20" t="n">
        <v>58</v>
      </c>
      <c r="W116" s="20" t="n">
        <v>123</v>
      </c>
    </row>
    <row r="117">
      <c r="A117" s="18" t="inlineStr">
        <is>
          <t>지분법손실</t>
        </is>
      </c>
      <c r="C117" s="20" t="n">
        <v>103</v>
      </c>
      <c r="D117" s="20" t="n">
        <v>805</v>
      </c>
      <c r="E117" s="20" t="n">
        <v>0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0</v>
      </c>
      <c r="M117" s="20" t="n">
        <v>149</v>
      </c>
      <c r="N117" s="20" t="n">
        <v>5</v>
      </c>
      <c r="V117" s="20" t="n">
        <v>805</v>
      </c>
      <c r="W117" s="20" t="n">
        <v>0</v>
      </c>
    </row>
    <row r="118">
      <c r="A118" s="18" t="inlineStr">
        <is>
          <t>기타</t>
        </is>
      </c>
      <c r="C118" s="20" t="n">
        <v>72</v>
      </c>
      <c r="D118" s="20" t="n">
        <v>103</v>
      </c>
      <c r="E118" s="20" t="n">
        <v>528</v>
      </c>
      <c r="F118" s="20" t="n">
        <v>277</v>
      </c>
      <c r="G118" s="20" t="n">
        <v>215</v>
      </c>
      <c r="H118" s="20" t="n">
        <v>-308</v>
      </c>
      <c r="I118" s="20" t="n">
        <v>245</v>
      </c>
      <c r="J118" s="20" t="n">
        <v>481</v>
      </c>
      <c r="K118" s="20" t="n">
        <v>298</v>
      </c>
      <c r="L118" s="20" t="n">
        <v>-110</v>
      </c>
      <c r="M118" s="20" t="n">
        <v>55</v>
      </c>
      <c r="N118" s="20" t="n">
        <v>270</v>
      </c>
      <c r="V118" s="20" t="n">
        <v>103</v>
      </c>
      <c r="W118" s="20" t="n">
        <v>-308</v>
      </c>
      <c r="X118" s="20" t="n">
        <v>-110</v>
      </c>
    </row>
    <row r="119">
      <c r="A119" s="18" t="inlineStr">
        <is>
          <t>영업외비용 합계</t>
        </is>
      </c>
      <c r="C119" s="20" t="n">
        <v>883</v>
      </c>
      <c r="D119" s="20" t="n">
        <v>1244</v>
      </c>
      <c r="E119" s="20" t="n">
        <v>909</v>
      </c>
      <c r="F119" s="20" t="n">
        <v>372</v>
      </c>
      <c r="G119" s="20" t="n">
        <v>223</v>
      </c>
      <c r="H119" s="20" t="n">
        <v>325</v>
      </c>
      <c r="I119" s="20" t="n">
        <v>949</v>
      </c>
      <c r="J119" s="20" t="n">
        <v>816</v>
      </c>
      <c r="K119" s="20" t="n">
        <v>480</v>
      </c>
      <c r="L119" s="20" t="n">
        <v>882</v>
      </c>
      <c r="M119" s="20" t="n">
        <v>420</v>
      </c>
      <c r="N119" s="20" t="n">
        <v>506</v>
      </c>
      <c r="V119" s="20" t="n">
        <v>1244</v>
      </c>
      <c r="W119" s="20" t="n">
        <v>325</v>
      </c>
      <c r="X119" s="20" t="n">
        <v>882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경상이익</t>
        </is>
      </c>
      <c r="C121" s="12" t="n">
        <v>25316</v>
      </c>
      <c r="D121" s="12" t="n">
        <v>29589</v>
      </c>
      <c r="E121" s="12" t="n">
        <v>27893</v>
      </c>
      <c r="F121" s="12" t="n">
        <v>30757</v>
      </c>
      <c r="G121" s="12" t="n">
        <v>43691</v>
      </c>
      <c r="H121" s="12" t="n">
        <v>35924</v>
      </c>
      <c r="I121" s="12" t="n">
        <v>24569</v>
      </c>
      <c r="J121" s="12" t="n">
        <v>22275</v>
      </c>
      <c r="K121" s="12" t="n">
        <v>32002</v>
      </c>
      <c r="L121" s="12" t="n">
        <v>45477</v>
      </c>
      <c r="M121" s="12" t="n">
        <v>15419</v>
      </c>
      <c r="N121" s="12" t="n">
        <v>40558</v>
      </c>
      <c r="V121" s="12" t="n">
        <v>29589</v>
      </c>
      <c r="W121" s="12" t="n">
        <v>35924</v>
      </c>
      <c r="X121" s="12" t="n">
        <v>45477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투자유가증권 매각이익</t>
        </is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953</v>
      </c>
      <c r="I123" s="20" t="n">
        <v>0</v>
      </c>
      <c r="J123" s="20" t="n">
        <v>1021</v>
      </c>
      <c r="K123" s="20" t="n">
        <v>1135</v>
      </c>
      <c r="L123" s="20" t="n">
        <v>962</v>
      </c>
      <c r="M123" s="20" t="n">
        <v>0</v>
      </c>
      <c r="N123" s="20" t="n">
        <v>0</v>
      </c>
      <c r="V123" s="20" t="n">
        <v>0</v>
      </c>
      <c r="W123" s="20" t="n">
        <v>953</v>
      </c>
      <c r="X123" s="20" t="n">
        <v>962</v>
      </c>
    </row>
    <row r="124">
      <c r="A124" s="18" t="inlineStr">
        <is>
          <t>특별이익 합계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2108</v>
      </c>
      <c r="I124" s="20" t="n">
        <v>0</v>
      </c>
      <c r="J124" s="20" t="n">
        <v>1021</v>
      </c>
      <c r="K124" s="20" t="n">
        <v>1135</v>
      </c>
      <c r="L124" s="20" t="n">
        <v>962</v>
      </c>
      <c r="M124" s="20" t="n">
        <v>0</v>
      </c>
      <c r="N124" s="20" t="n">
        <v>0</v>
      </c>
      <c r="V124" s="20" t="n">
        <v>0</v>
      </c>
      <c r="W124" s="20" t="n">
        <v>2108</v>
      </c>
      <c r="X124" s="20" t="n">
        <v>962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I125" s="15">
        <f>IF(OR(I124="",E124=""),"",IF(I124*E124&lt;=0,"",IFERROR(I124/E124-1,"")))</f>
        <v/>
      </c>
      <c r="J125" s="15">
        <f>IF(OR(J124="",F124=""),"",IF(J124*F124&lt;=0,"",IFERROR(J124/F124-1,"")))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M125" s="15">
        <f>IF(OR(M124="",I124=""),"",IF(M124*I124&lt;=0,"",IFERROR(M124/I124-1,"")))</f>
        <v/>
      </c>
      <c r="N125" s="15">
        <f>IF(OR(N124="",J124=""),"",IF(N124*J124&lt;=0,"",IFERROR(N124/J124-1,"")))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18" t="inlineStr">
        <is>
          <t>투자유가증권 평가손실</t>
        </is>
      </c>
      <c r="C126" s="20" t="n">
        <v>0</v>
      </c>
      <c r="D126" s="20" t="n">
        <v>6</v>
      </c>
      <c r="E126" s="20" t="n">
        <v>2</v>
      </c>
      <c r="F126" s="20" t="n">
        <v>0</v>
      </c>
      <c r="G126" s="20" t="n">
        <v>0</v>
      </c>
      <c r="H126" s="20" t="n">
        <v>0</v>
      </c>
      <c r="I126" s="20" t="n">
        <v>1</v>
      </c>
      <c r="J126" s="20" t="n">
        <v>0</v>
      </c>
      <c r="K126" s="20" t="n">
        <v>0</v>
      </c>
      <c r="M126" s="20" t="n">
        <v>37</v>
      </c>
      <c r="N126" s="20" t="n">
        <v>0</v>
      </c>
      <c r="V126" s="20" t="n">
        <v>6</v>
      </c>
      <c r="W126" s="20" t="n">
        <v>0</v>
      </c>
    </row>
    <row r="127">
      <c r="A127" s="18" t="inlineStr">
        <is>
          <t>특별손실 합계</t>
        </is>
      </c>
      <c r="C127" s="20" t="n">
        <v>0</v>
      </c>
      <c r="D127" s="20" t="n">
        <v>137</v>
      </c>
      <c r="E127" s="20" t="n">
        <v>2</v>
      </c>
      <c r="F127" s="20" t="n">
        <v>0</v>
      </c>
      <c r="G127" s="20" t="n">
        <v>0</v>
      </c>
      <c r="H127" s="20" t="n">
        <v>1365</v>
      </c>
      <c r="I127" s="20" t="n">
        <v>1</v>
      </c>
      <c r="J127" s="20" t="n">
        <v>0</v>
      </c>
      <c r="K127" s="20" t="n">
        <v>0</v>
      </c>
      <c r="L127" s="20" t="n">
        <v>697</v>
      </c>
      <c r="M127" s="20" t="n">
        <v>37</v>
      </c>
      <c r="N127" s="20" t="n">
        <v>0</v>
      </c>
      <c r="V127" s="20" t="n">
        <v>137</v>
      </c>
      <c r="W127" s="20" t="n">
        <v>1365</v>
      </c>
      <c r="X127" s="20" t="n">
        <v>697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법인세차감전 순이익</t>
        </is>
      </c>
      <c r="C129" s="12" t="n">
        <v>25316</v>
      </c>
      <c r="D129" s="12" t="n">
        <v>29452</v>
      </c>
      <c r="E129" s="12" t="n">
        <v>27890</v>
      </c>
      <c r="F129" s="12" t="n">
        <v>30757</v>
      </c>
      <c r="G129" s="12" t="n">
        <v>43692</v>
      </c>
      <c r="H129" s="12" t="n">
        <v>36667</v>
      </c>
      <c r="I129" s="12" t="n">
        <v>24568</v>
      </c>
      <c r="J129" s="12" t="n">
        <v>23296</v>
      </c>
      <c r="K129" s="12" t="n">
        <v>33137</v>
      </c>
      <c r="L129" s="12" t="n">
        <v>45742</v>
      </c>
      <c r="M129" s="12" t="n">
        <v>15382</v>
      </c>
      <c r="N129" s="12" t="n">
        <v>40558</v>
      </c>
      <c r="V129" s="12" t="n">
        <v>29452</v>
      </c>
      <c r="W129" s="12" t="n">
        <v>36667</v>
      </c>
      <c r="X129" s="12" t="n">
        <v>45742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18" t="inlineStr">
        <is>
          <t>법인세 등</t>
        </is>
      </c>
      <c r="C131" s="20" t="n">
        <v>7073</v>
      </c>
      <c r="D131" s="20" t="n">
        <v>3460</v>
      </c>
      <c r="E131" s="20" t="n">
        <v>9675</v>
      </c>
      <c r="F131" s="20" t="n">
        <v>10130</v>
      </c>
      <c r="G131" s="20" t="n">
        <v>13014</v>
      </c>
      <c r="H131" s="20" t="n">
        <v>6715</v>
      </c>
      <c r="I131" s="20" t="n">
        <v>7875</v>
      </c>
      <c r="J131" s="20" t="n">
        <v>8125</v>
      </c>
      <c r="K131" s="20" t="n">
        <v>10042</v>
      </c>
      <c r="L131" s="20" t="n">
        <v>8694</v>
      </c>
      <c r="M131" s="20" t="n">
        <v>4897</v>
      </c>
      <c r="N131" s="20" t="n">
        <v>13391</v>
      </c>
      <c r="V131" s="20" t="n">
        <v>3460</v>
      </c>
      <c r="W131" s="20" t="n">
        <v>6715</v>
      </c>
      <c r="X131" s="20" t="n">
        <v>8694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순이익</t>
        </is>
      </c>
      <c r="C133" s="12" t="n">
        <v>18244</v>
      </c>
      <c r="D133" s="12" t="n">
        <v>25991</v>
      </c>
      <c r="E133" s="12" t="n">
        <v>18215</v>
      </c>
      <c r="F133" s="12" t="n">
        <v>20627</v>
      </c>
      <c r="G133" s="12" t="n">
        <v>30677</v>
      </c>
      <c r="H133" s="12" t="n">
        <v>29953</v>
      </c>
      <c r="I133" s="12" t="n">
        <v>16692</v>
      </c>
      <c r="J133" s="12" t="n">
        <v>15172</v>
      </c>
      <c r="K133" s="12" t="n">
        <v>23094</v>
      </c>
      <c r="L133" s="12" t="n">
        <v>37048</v>
      </c>
      <c r="M133" s="12" t="n">
        <v>10484</v>
      </c>
      <c r="N133" s="12" t="n">
        <v>27167</v>
      </c>
      <c r="V133" s="12" t="n">
        <v>25991</v>
      </c>
      <c r="W133" s="12" t="n">
        <v>29953</v>
      </c>
      <c r="X133" s="12" t="n">
        <v>37048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9" t="inlineStr">
        <is>
          <t>비지배주주 순손익</t>
        </is>
      </c>
      <c r="C135" s="12" t="n">
        <v>-4</v>
      </c>
      <c r="D135" s="12" t="n">
        <v>7</v>
      </c>
      <c r="E135" s="12" t="n">
        <v>-0</v>
      </c>
      <c r="F135" s="12" t="n">
        <v>4</v>
      </c>
      <c r="G135" s="12" t="n">
        <v>0</v>
      </c>
      <c r="H135" s="12" t="n">
        <v>0</v>
      </c>
      <c r="I135" s="12" t="n">
        <v>5</v>
      </c>
      <c r="J135" s="12" t="n">
        <v>3</v>
      </c>
      <c r="K135" s="12" t="n">
        <v>4</v>
      </c>
      <c r="L135" s="12" t="n">
        <v>-10</v>
      </c>
      <c r="M135" s="12" t="n">
        <v>-5</v>
      </c>
      <c r="N135" s="12" t="n">
        <v>0</v>
      </c>
      <c r="V135" s="12" t="n">
        <v>7</v>
      </c>
      <c r="W135" s="12" t="n">
        <v>0</v>
      </c>
      <c r="X135" s="12" t="n">
        <v>-10</v>
      </c>
    </row>
    <row r="136">
      <c r="A136" s="9" t="inlineStr">
        <is>
          <t>지배주주 순이익</t>
        </is>
      </c>
      <c r="C136" s="12" t="n">
        <v>18250</v>
      </c>
      <c r="D136" s="12" t="n">
        <v>25982</v>
      </c>
      <c r="E136" s="12" t="n">
        <v>18215</v>
      </c>
      <c r="F136" s="12" t="n">
        <v>20623</v>
      </c>
      <c r="G136" s="12" t="n">
        <v>30676</v>
      </c>
      <c r="H136" s="12" t="n">
        <v>29953</v>
      </c>
      <c r="I136" s="12" t="n">
        <v>16687</v>
      </c>
      <c r="J136" s="12" t="n">
        <v>15168</v>
      </c>
      <c r="K136" s="12" t="n">
        <v>23091</v>
      </c>
      <c r="L136" s="12" t="n">
        <v>37057</v>
      </c>
      <c r="M136" s="12" t="n">
        <v>10490</v>
      </c>
      <c r="N136" s="12" t="n">
        <v>27166</v>
      </c>
      <c r="V136" s="12" t="n">
        <v>25982</v>
      </c>
      <c r="W136" s="12" t="n">
        <v>29953</v>
      </c>
      <c r="X136" s="12" t="n">
        <v>37057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9">
      <c r="A139" s="16" t="inlineStr">
        <is>
          <t>포괄손익 · 전 항목</t>
        </is>
      </c>
      <c r="B139" s="42" t="inlineStr">
        <is>
          <t>분기 = 3개월 단독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2024.3Q</t>
        </is>
      </c>
      <c r="D140" s="5" t="inlineStr">
        <is>
          <t>2024.4Q</t>
        </is>
      </c>
      <c r="E140" s="5" t="inlineStr">
        <is>
          <t>2025.1Q</t>
        </is>
      </c>
      <c r="F140" s="5" t="inlineStr">
        <is>
          <t>2025.2Q</t>
        </is>
      </c>
      <c r="G140" s="5" t="inlineStr">
        <is>
          <t>2025.3Q</t>
        </is>
      </c>
      <c r="H140" s="5" t="inlineStr">
        <is>
          <t>2025.4Q</t>
        </is>
      </c>
      <c r="I140" s="5" t="inlineStr">
        <is>
          <t>2026.1Q</t>
        </is>
      </c>
      <c r="J140" s="5" t="inlineStr">
        <is>
          <t>2026.2Q</t>
        </is>
      </c>
      <c r="K140" s="5" t="inlineStr">
        <is>
          <t>2026.3Q</t>
        </is>
      </c>
      <c r="L140" s="5" t="inlineStr">
        <is>
          <t>2026.4Q</t>
        </is>
      </c>
      <c r="M140" s="5" t="inlineStr">
        <is>
          <t>2027.1Q</t>
        </is>
      </c>
      <c r="N140" s="5" t="inlineStr">
        <is>
          <t>2027.2Q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9" t="inlineStr">
        <is>
          <t>순이익</t>
        </is>
      </c>
      <c r="C141" s="12" t="n">
        <v>18244</v>
      </c>
      <c r="D141" s="12" t="n">
        <v>25991</v>
      </c>
      <c r="E141" s="12" t="n">
        <v>18215</v>
      </c>
      <c r="F141" s="12" t="n">
        <v>20627</v>
      </c>
      <c r="G141" s="12" t="n">
        <v>30677</v>
      </c>
      <c r="H141" s="12" t="n">
        <v>29953</v>
      </c>
      <c r="I141" s="12" t="n">
        <v>16692</v>
      </c>
      <c r="J141" s="12" t="n">
        <v>15172</v>
      </c>
      <c r="K141" s="12" t="n">
        <v>23094</v>
      </c>
      <c r="L141" s="12" t="n">
        <v>37048</v>
      </c>
      <c r="M141" s="12" t="n">
        <v>10484</v>
      </c>
      <c r="N141" s="12" t="n">
        <v>27167</v>
      </c>
      <c r="V141" s="12" t="n">
        <v>25991</v>
      </c>
      <c r="W141" s="12" t="n">
        <v>29953</v>
      </c>
      <c r="X141" s="12" t="n">
        <v>37048</v>
      </c>
    </row>
    <row r="142">
      <c r="A142" s="18" t="inlineStr">
        <is>
          <t>기타유가증권 평가차액</t>
        </is>
      </c>
      <c r="C142" s="20" t="n">
        <v>-150</v>
      </c>
      <c r="D142" s="20" t="n">
        <v>3610</v>
      </c>
      <c r="E142" s="20" t="n">
        <v>2511</v>
      </c>
      <c r="F142" s="20" t="n">
        <v>-4391</v>
      </c>
      <c r="G142" s="20" t="n">
        <v>-600</v>
      </c>
      <c r="H142" s="20" t="n">
        <v>-2994</v>
      </c>
      <c r="I142" s="20" t="n">
        <v>2319</v>
      </c>
      <c r="J142" s="20" t="n">
        <v>1540</v>
      </c>
      <c r="K142" s="20" t="n">
        <v>-476</v>
      </c>
      <c r="L142" s="20" t="n">
        <v>1488</v>
      </c>
      <c r="M142" s="20" t="n">
        <v>14921</v>
      </c>
      <c r="N142" s="20" t="n">
        <v>-2764</v>
      </c>
      <c r="V142" s="20" t="n">
        <v>3610</v>
      </c>
      <c r="W142" s="20" t="n">
        <v>-2994</v>
      </c>
      <c r="X142" s="20" t="n">
        <v>1488</v>
      </c>
    </row>
    <row r="143">
      <c r="A143" s="18" t="inlineStr">
        <is>
          <t>해외사업환산조정</t>
        </is>
      </c>
      <c r="C143" s="20" t="n">
        <v>-772</v>
      </c>
      <c r="D143" s="20" t="n">
        <v>1692</v>
      </c>
      <c r="E143" s="20" t="n">
        <v>3275</v>
      </c>
      <c r="F143" s="20" t="n">
        <v>-4855</v>
      </c>
      <c r="G143" s="20" t="n">
        <v>2363</v>
      </c>
      <c r="H143" s="20" t="n">
        <v>-2335</v>
      </c>
      <c r="I143" s="20" t="n">
        <v>1004</v>
      </c>
      <c r="J143" s="20" t="n">
        <v>301</v>
      </c>
      <c r="K143" s="20" t="n">
        <v>2753</v>
      </c>
      <c r="L143" s="20" t="n">
        <v>926</v>
      </c>
      <c r="M143" s="20" t="n">
        <v>1289</v>
      </c>
      <c r="N143" s="20" t="n">
        <v>-440</v>
      </c>
      <c r="V143" s="20" t="n">
        <v>1692</v>
      </c>
      <c r="W143" s="20" t="n">
        <v>-2335</v>
      </c>
      <c r="X143" s="20" t="n">
        <v>926</v>
      </c>
    </row>
    <row r="144">
      <c r="A144" s="18" t="inlineStr">
        <is>
          <t>퇴직급여 조정액</t>
        </is>
      </c>
      <c r="C144" s="20" t="n">
        <v>17</v>
      </c>
      <c r="D144" s="20" t="n">
        <v>1633</v>
      </c>
      <c r="E144" s="20" t="n">
        <v>-32</v>
      </c>
      <c r="F144" s="20" t="n">
        <v>-33</v>
      </c>
      <c r="G144" s="20" t="n">
        <v>-33</v>
      </c>
      <c r="H144" s="20" t="n">
        <v>-931</v>
      </c>
      <c r="I144" s="20" t="n">
        <v>-25</v>
      </c>
      <c r="J144" s="20" t="n">
        <v>-25</v>
      </c>
      <c r="K144" s="20" t="n">
        <v>-25</v>
      </c>
      <c r="L144" s="20" t="n">
        <v>3944</v>
      </c>
      <c r="M144" s="20" t="n">
        <v>-80</v>
      </c>
      <c r="N144" s="20" t="n">
        <v>-80</v>
      </c>
      <c r="V144" s="20" t="n">
        <v>1633</v>
      </c>
      <c r="W144" s="20" t="n">
        <v>-931</v>
      </c>
      <c r="X144" s="20" t="n">
        <v>3944</v>
      </c>
    </row>
    <row r="145">
      <c r="A145" s="18" t="inlineStr">
        <is>
          <t>지분법 적용회사 지분 해당액</t>
        </is>
      </c>
      <c r="C145" s="20" t="n">
        <v>-1</v>
      </c>
      <c r="D145" s="20" t="n">
        <v>7</v>
      </c>
      <c r="E145" s="20" t="n">
        <v>10</v>
      </c>
      <c r="F145" s="20" t="n">
        <v>-14</v>
      </c>
      <c r="G145" s="20" t="n">
        <v>5</v>
      </c>
      <c r="H145" s="20" t="n">
        <v>-2</v>
      </c>
      <c r="I145" s="20" t="n">
        <v>0</v>
      </c>
      <c r="J145" s="20" t="n">
        <v>0</v>
      </c>
      <c r="K145" s="20" t="n">
        <v>0</v>
      </c>
      <c r="L145" s="20" t="n">
        <v>0</v>
      </c>
      <c r="V145" s="20" t="n">
        <v>7</v>
      </c>
      <c r="W145" s="20" t="n">
        <v>-2</v>
      </c>
      <c r="X145" s="20" t="n">
        <v>0</v>
      </c>
    </row>
    <row r="146">
      <c r="A146" s="18" t="inlineStr">
        <is>
          <t>기타포괄손익 합계</t>
        </is>
      </c>
      <c r="C146" s="20" t="n">
        <v>-905</v>
      </c>
      <c r="D146" s="20" t="n">
        <v>6942</v>
      </c>
      <c r="E146" s="20" t="n">
        <v>5763</v>
      </c>
      <c r="F146" s="20" t="n">
        <v>-9294</v>
      </c>
      <c r="G146" s="20" t="n">
        <v>1738</v>
      </c>
      <c r="H146" s="20" t="n">
        <v>-6266</v>
      </c>
      <c r="I146" s="20" t="n">
        <v>3298</v>
      </c>
      <c r="J146" s="20" t="n">
        <v>1817</v>
      </c>
      <c r="K146" s="20" t="n">
        <v>2251</v>
      </c>
      <c r="L146" s="20" t="n">
        <v>6359</v>
      </c>
      <c r="M146" s="20" t="n">
        <v>16130</v>
      </c>
      <c r="N146" s="20" t="n">
        <v>-3284</v>
      </c>
      <c r="V146" s="20" t="n">
        <v>6942</v>
      </c>
      <c r="W146" s="20" t="n">
        <v>-6266</v>
      </c>
      <c r="X146" s="20" t="n">
        <v>6359</v>
      </c>
    </row>
    <row r="147">
      <c r="A147" s="9" t="inlineStr">
        <is>
          <t>포괄이익</t>
        </is>
      </c>
      <c r="C147" s="12" t="n">
        <v>17339</v>
      </c>
      <c r="D147" s="12" t="n">
        <v>32933</v>
      </c>
      <c r="E147" s="12" t="n">
        <v>23979</v>
      </c>
      <c r="F147" s="12" t="n">
        <v>11331</v>
      </c>
      <c r="G147" s="12" t="n">
        <v>32415</v>
      </c>
      <c r="H147" s="12" t="n">
        <v>23687</v>
      </c>
      <c r="I147" s="12" t="n">
        <v>19991</v>
      </c>
      <c r="J147" s="12" t="n">
        <v>16988</v>
      </c>
      <c r="K147" s="12" t="n">
        <v>25346</v>
      </c>
      <c r="L147" s="12" t="n">
        <v>43406</v>
      </c>
      <c r="M147" s="12" t="n">
        <v>26615</v>
      </c>
      <c r="N147" s="12" t="n">
        <v>23882</v>
      </c>
      <c r="V147" s="12" t="n">
        <v>32933</v>
      </c>
      <c r="W147" s="12" t="n">
        <v>23687</v>
      </c>
      <c r="X147" s="12" t="n">
        <v>43406</v>
      </c>
    </row>
    <row r="148">
      <c r="A148" s="9" t="inlineStr">
        <is>
          <t>지배주주 포괄이익</t>
        </is>
      </c>
      <c r="C148" s="12" t="n">
        <v>17344</v>
      </c>
      <c r="D148" s="12" t="n">
        <v>32925</v>
      </c>
      <c r="E148" s="12" t="n">
        <v>23977</v>
      </c>
      <c r="F148" s="12" t="n">
        <v>11324</v>
      </c>
      <c r="G148" s="12" t="n">
        <v>32419</v>
      </c>
      <c r="H148" s="12" t="n">
        <v>23684</v>
      </c>
      <c r="I148" s="12" t="n">
        <v>19989</v>
      </c>
      <c r="J148" s="12" t="n">
        <v>16984</v>
      </c>
      <c r="K148" s="12" t="n">
        <v>25337</v>
      </c>
      <c r="L148" s="12" t="n">
        <v>43412</v>
      </c>
      <c r="M148" s="12" t="n">
        <v>26618</v>
      </c>
      <c r="N148" s="12" t="n">
        <v>23882</v>
      </c>
      <c r="V148" s="12" t="n">
        <v>32925</v>
      </c>
      <c r="W148" s="12" t="n">
        <v>23684</v>
      </c>
      <c r="X148" s="12" t="n">
        <v>43412</v>
      </c>
    </row>
    <row r="149">
      <c r="A149" s="9" t="inlineStr">
        <is>
          <t>비지배주주 포괄이익</t>
        </is>
      </c>
      <c r="C149" s="12" t="n">
        <v>-4</v>
      </c>
      <c r="D149" s="12" t="n">
        <v>6</v>
      </c>
      <c r="E149" s="12" t="n">
        <v>1</v>
      </c>
      <c r="F149" s="12" t="n">
        <v>7</v>
      </c>
      <c r="G149" s="12" t="n">
        <v>-3</v>
      </c>
      <c r="H149" s="12" t="n">
        <v>3</v>
      </c>
      <c r="I149" s="12" t="n">
        <v>2</v>
      </c>
      <c r="J149" s="12" t="n">
        <v>4</v>
      </c>
      <c r="K149" s="12" t="n">
        <v>9</v>
      </c>
      <c r="L149" s="12" t="n">
        <v>-6</v>
      </c>
      <c r="M149" s="12" t="n">
        <v>-2</v>
      </c>
      <c r="N149" s="12" t="n">
        <v>0</v>
      </c>
      <c r="V149" s="12" t="n">
        <v>6</v>
      </c>
      <c r="W149" s="12" t="n">
        <v>3</v>
      </c>
      <c r="X149" s="12" t="n">
        <v>-6</v>
      </c>
    </row>
    <row r="151">
      <c r="A151" s="16" t="inlineStr">
        <is>
          <t>부문 · 전 항목</t>
        </is>
      </c>
      <c r="B151" s="42" t="inlineStr">
        <is>
          <t>부문 · 항목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2024.3Q</t>
        </is>
      </c>
      <c r="D152" s="5" t="inlineStr">
        <is>
          <t>2024.4Q</t>
        </is>
      </c>
      <c r="E152" s="5" t="inlineStr">
        <is>
          <t>2025.1Q</t>
        </is>
      </c>
      <c r="F152" s="5" t="inlineStr">
        <is>
          <t>2025.2Q</t>
        </is>
      </c>
      <c r="G152" s="5" t="inlineStr">
        <is>
          <t>2025.3Q</t>
        </is>
      </c>
      <c r="H152" s="5" t="inlineStr">
        <is>
          <t>2025.4Q</t>
        </is>
      </c>
      <c r="I152" s="5" t="inlineStr">
        <is>
          <t>2026.1Q</t>
        </is>
      </c>
      <c r="J152" s="5" t="inlineStr">
        <is>
          <t>2026.2Q</t>
        </is>
      </c>
      <c r="K152" s="5" t="inlineStr">
        <is>
          <t>2026.3Q</t>
        </is>
      </c>
      <c r="L152" s="5" t="inlineStr">
        <is>
          <t>2026.4Q</t>
        </is>
      </c>
      <c r="M152" s="5" t="inlineStr">
        <is>
          <t>2027.1Q</t>
        </is>
      </c>
      <c r="N152" s="5" t="inlineStr">
        <is>
          <t>2027.2Q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18" t="inlineStr">
        <is>
          <t>ＳＰＥ · 외부 고객 매출</t>
        </is>
      </c>
      <c r="C153" s="20" t="n">
        <v>101927</v>
      </c>
      <c r="D153" s="20" t="n">
        <v>129691</v>
      </c>
      <c r="E153" s="20" t="n">
        <v>112184</v>
      </c>
      <c r="F153" s="20" t="n">
        <v>116885</v>
      </c>
      <c r="G153" s="20" t="n">
        <v>154891</v>
      </c>
      <c r="H153" s="20" t="n">
        <v>135550</v>
      </c>
      <c r="I153" s="20" t="n">
        <v>109503</v>
      </c>
      <c r="J153" s="20" t="n">
        <v>109082</v>
      </c>
      <c r="K153" s="20" t="n">
        <v>119476</v>
      </c>
      <c r="L153" s="20" t="n">
        <v>147283</v>
      </c>
      <c r="M153" s="20" t="n">
        <v>93133</v>
      </c>
      <c r="N153" s="20" t="n">
        <v>158255</v>
      </c>
      <c r="V153" s="20" t="n">
        <v>129691</v>
      </c>
      <c r="W153" s="20" t="n">
        <v>135550</v>
      </c>
      <c r="X153" s="20" t="n">
        <v>147283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ＧＡ · 외부 고객 매출</t>
        </is>
      </c>
      <c r="C155" s="20" t="n">
        <v>11958</v>
      </c>
      <c r="D155" s="20" t="n">
        <v>11748</v>
      </c>
      <c r="E155" s="20" t="n">
        <v>12311</v>
      </c>
      <c r="F155" s="20" t="n">
        <v>12831</v>
      </c>
      <c r="G155" s="20" t="n">
        <v>13744</v>
      </c>
      <c r="H155" s="20" t="n">
        <v>13966</v>
      </c>
      <c r="I155" s="20" t="n">
        <v>12836</v>
      </c>
      <c r="J155" s="20" t="n">
        <v>12914</v>
      </c>
      <c r="K155" s="20" t="n">
        <v>13663</v>
      </c>
      <c r="L155" s="20" t="n">
        <v>17934</v>
      </c>
      <c r="M155" s="20" t="n">
        <v>13785</v>
      </c>
      <c r="N155" s="20" t="n">
        <v>15206</v>
      </c>
      <c r="V155" s="20" t="n">
        <v>11748</v>
      </c>
      <c r="W155" s="20" t="n">
        <v>13966</v>
      </c>
      <c r="X155" s="20" t="n">
        <v>17934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ＦＴ · 외부 고객 매출</t>
        </is>
      </c>
      <c r="C157" s="20" t="n">
        <v>6708</v>
      </c>
      <c r="D157" s="20" t="n">
        <v>10501</v>
      </c>
      <c r="E157" s="20" t="n">
        <v>4440</v>
      </c>
      <c r="F157" s="20" t="n">
        <v>8592</v>
      </c>
      <c r="G157" s="20" t="n">
        <v>9870</v>
      </c>
      <c r="H157" s="20" t="n">
        <v>9911</v>
      </c>
      <c r="I157" s="20" t="n">
        <v>10008</v>
      </c>
      <c r="J157" s="20" t="n">
        <v>13440</v>
      </c>
      <c r="K157" s="20" t="n">
        <v>10319</v>
      </c>
      <c r="L157" s="20" t="n">
        <v>6704</v>
      </c>
      <c r="M157" s="20" t="n">
        <v>10850</v>
      </c>
      <c r="N157" s="20" t="n">
        <v>8187</v>
      </c>
      <c r="V157" s="20" t="n">
        <v>10501</v>
      </c>
      <c r="W157" s="20" t="n">
        <v>9911</v>
      </c>
      <c r="X157" s="20" t="n">
        <v>6704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ＰＥ · 외부 고객 매출</t>
        </is>
      </c>
      <c r="C159" s="20" t="n">
        <v>3204</v>
      </c>
      <c r="D159" s="20" t="n">
        <v>4118</v>
      </c>
      <c r="E159" s="20" t="n">
        <v>3903</v>
      </c>
      <c r="F159" s="20" t="n">
        <v>3029</v>
      </c>
      <c r="G159" s="20" t="n">
        <v>2628</v>
      </c>
      <c r="H159" s="20" t="n">
        <v>4531</v>
      </c>
      <c r="I159" s="20" t="n">
        <v>3050</v>
      </c>
      <c r="J159" s="20" t="n">
        <v>2467</v>
      </c>
      <c r="K159" s="20" t="n">
        <v>3353</v>
      </c>
      <c r="L159" s="20" t="n">
        <v>5595</v>
      </c>
      <c r="M159" s="20" t="n">
        <v>3113</v>
      </c>
      <c r="N159" s="20" t="n">
        <v>3946</v>
      </c>
      <c r="V159" s="20" t="n">
        <v>4118</v>
      </c>
      <c r="W159" s="20" t="n">
        <v>4531</v>
      </c>
      <c r="X159" s="20" t="n">
        <v>5595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보고부문 합계 · 외부 고객 매출</t>
        </is>
      </c>
      <c r="C161" s="20" t="n">
        <v>123796</v>
      </c>
      <c r="D161" s="20" t="n">
        <v>156059</v>
      </c>
      <c r="E161" s="20" t="n">
        <v>132840</v>
      </c>
      <c r="F161" s="20" t="n">
        <v>141337</v>
      </c>
      <c r="G161" s="20" t="n">
        <v>181133</v>
      </c>
      <c r="H161" s="20" t="n">
        <v>163957</v>
      </c>
      <c r="I161" s="20" t="n">
        <v>135398</v>
      </c>
      <c r="J161" s="20" t="n">
        <v>137903</v>
      </c>
      <c r="K161" s="20" t="n">
        <v>146812</v>
      </c>
      <c r="L161" s="20" t="n">
        <v>177517</v>
      </c>
      <c r="M161" s="20" t="n">
        <v>120883</v>
      </c>
      <c r="N161" s="20" t="n">
        <v>185594</v>
      </c>
      <c r="V161" s="20" t="n">
        <v>156059</v>
      </c>
      <c r="W161" s="20" t="n">
        <v>163957</v>
      </c>
      <c r="X161" s="20" t="n">
        <v>177517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기타 · 외부 고객 매출</t>
        </is>
      </c>
      <c r="C163" s="20" t="n">
        <v>774</v>
      </c>
      <c r="D163" s="20" t="n">
        <v>1027</v>
      </c>
      <c r="E163" s="20" t="n">
        <v>1376</v>
      </c>
      <c r="F163" s="20" t="n">
        <v>1846</v>
      </c>
      <c r="G163" s="20" t="n">
        <v>1432</v>
      </c>
      <c r="H163" s="20" t="n">
        <v>1347</v>
      </c>
      <c r="I163" s="20" t="n">
        <v>386</v>
      </c>
      <c r="J163" s="20" t="n">
        <v>612</v>
      </c>
      <c r="K163" s="20" t="n">
        <v>4241</v>
      </c>
      <c r="L163" s="20" t="n">
        <v>2879</v>
      </c>
      <c r="M163" s="20" t="n">
        <v>892</v>
      </c>
      <c r="N163" s="20" t="n">
        <v>1084</v>
      </c>
      <c r="V163" s="20" t="n">
        <v>1027</v>
      </c>
      <c r="W163" s="20" t="n">
        <v>1347</v>
      </c>
      <c r="X163" s="20" t="n">
        <v>2879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합계 · 외부 고객 매출</t>
        </is>
      </c>
      <c r="C165" s="20" t="n">
        <v>124571</v>
      </c>
      <c r="D165" s="20" t="n">
        <v>157085</v>
      </c>
      <c r="E165" s="20" t="n">
        <v>134217</v>
      </c>
      <c r="F165" s="20" t="n">
        <v>143182</v>
      </c>
      <c r="G165" s="20" t="n">
        <v>182565</v>
      </c>
      <c r="H165" s="20" t="n">
        <v>165305</v>
      </c>
      <c r="I165" s="20" t="n">
        <v>135785</v>
      </c>
      <c r="J165" s="20" t="n">
        <v>138514</v>
      </c>
      <c r="K165" s="20" t="n">
        <v>151053</v>
      </c>
      <c r="L165" s="20" t="n">
        <v>180396</v>
      </c>
      <c r="M165" s="20" t="n">
        <v>121775</v>
      </c>
      <c r="N165" s="20" t="n">
        <v>186678</v>
      </c>
      <c r="V165" s="20" t="n">
        <v>157085</v>
      </c>
      <c r="W165" s="20" t="n">
        <v>165305</v>
      </c>
      <c r="X165" s="20" t="n">
        <v>180396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조정액 · 외부 고객 매출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9" t="inlineStr">
        <is>
          <t>외부 고객 매출</t>
        </is>
      </c>
      <c r="C168" s="12" t="n">
        <v>124571</v>
      </c>
      <c r="D168" s="12" t="n">
        <v>157085</v>
      </c>
      <c r="E168" s="12" t="n">
        <v>134217</v>
      </c>
      <c r="F168" s="12" t="n">
        <v>143182</v>
      </c>
      <c r="G168" s="12" t="n">
        <v>182565</v>
      </c>
      <c r="H168" s="12" t="n">
        <v>165305</v>
      </c>
      <c r="I168" s="12" t="n">
        <v>135785</v>
      </c>
      <c r="J168" s="12" t="n">
        <v>138514</v>
      </c>
      <c r="K168" s="12" t="n">
        <v>151053</v>
      </c>
      <c r="L168" s="12" t="n">
        <v>180396</v>
      </c>
      <c r="M168" s="12" t="n">
        <v>121775</v>
      </c>
      <c r="N168" s="12" t="n">
        <v>186678</v>
      </c>
      <c r="V168" s="12" t="n">
        <v>157085</v>
      </c>
      <c r="W168" s="12" t="n">
        <v>165305</v>
      </c>
      <c r="X168" s="12" t="n">
        <v>180396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ＳＰＥ · 부문 간 내부매출·대체</t>
        </is>
      </c>
      <c r="C170" s="20" t="n">
        <v>0</v>
      </c>
      <c r="D170" s="20" t="n">
        <v>0</v>
      </c>
      <c r="E170" s="20" t="n">
        <v>0</v>
      </c>
      <c r="F170" s="20" t="n">
        <v>1</v>
      </c>
      <c r="G170" s="20" t="n">
        <v>0</v>
      </c>
      <c r="H170" s="20" t="n">
        <v>0</v>
      </c>
      <c r="I170" s="20" t="n">
        <v>11</v>
      </c>
      <c r="J170" s="20" t="n">
        <v>0</v>
      </c>
      <c r="K170" s="20" t="n">
        <v>597</v>
      </c>
      <c r="L170" s="20" t="n">
        <v>29</v>
      </c>
      <c r="M170" s="20" t="n">
        <v>0</v>
      </c>
      <c r="N170" s="20" t="n">
        <v>9</v>
      </c>
      <c r="V170" s="20" t="n">
        <v>0</v>
      </c>
      <c r="W170" s="20" t="n">
        <v>0</v>
      </c>
      <c r="X170" s="20" t="n">
        <v>29</v>
      </c>
    </row>
    <row r="171">
      <c r="A171" s="18" t="inlineStr">
        <is>
          <t>ＧＡ · 부문 간 내부매출·대체</t>
        </is>
      </c>
      <c r="C171" s="20" t="n">
        <v>66</v>
      </c>
      <c r="D171" s="20" t="n">
        <v>24</v>
      </c>
      <c r="E171" s="20" t="n">
        <v>70</v>
      </c>
      <c r="F171" s="20" t="n">
        <v>8</v>
      </c>
      <c r="G171" s="20" t="n">
        <v>50</v>
      </c>
      <c r="H171" s="20" t="n">
        <v>30</v>
      </c>
      <c r="I171" s="20" t="n">
        <v>83</v>
      </c>
      <c r="J171" s="20" t="n">
        <v>-25</v>
      </c>
      <c r="K171" s="20" t="n">
        <v>44</v>
      </c>
      <c r="L171" s="20" t="n">
        <v>45</v>
      </c>
      <c r="M171" s="20" t="n">
        <v>46</v>
      </c>
      <c r="N171" s="20" t="n">
        <v>73</v>
      </c>
      <c r="V171" s="20" t="n">
        <v>24</v>
      </c>
      <c r="W171" s="20" t="n">
        <v>30</v>
      </c>
      <c r="X171" s="20" t="n">
        <v>45</v>
      </c>
    </row>
    <row r="172">
      <c r="A172" s="18" t="inlineStr">
        <is>
          <t>ＦＴ · 부문 간 내부매출·대체</t>
        </is>
      </c>
      <c r="C172" s="20" t="n">
        <v>27</v>
      </c>
      <c r="D172" s="20" t="n">
        <v>228</v>
      </c>
      <c r="E172" s="20" t="n">
        <v>771</v>
      </c>
      <c r="F172" s="20" t="n">
        <v>786</v>
      </c>
      <c r="G172" s="20" t="n">
        <v>366</v>
      </c>
      <c r="H172" s="20" t="n">
        <v>1092</v>
      </c>
      <c r="I172" s="20" t="n">
        <v>46</v>
      </c>
      <c r="J172" s="20" t="n">
        <v>14</v>
      </c>
      <c r="K172" s="20" t="n">
        <v>2041</v>
      </c>
      <c r="L172" s="20" t="n">
        <v>2182</v>
      </c>
      <c r="M172" s="20" t="n">
        <v>6</v>
      </c>
      <c r="N172" s="20" t="n">
        <v>13</v>
      </c>
      <c r="V172" s="20" t="n">
        <v>228</v>
      </c>
      <c r="W172" s="20" t="n">
        <v>1092</v>
      </c>
      <c r="X172" s="20" t="n">
        <v>2182</v>
      </c>
    </row>
    <row r="173">
      <c r="A173" s="18" t="inlineStr">
        <is>
          <t>ＰＥ · 부문 간 내부매출·대체</t>
        </is>
      </c>
      <c r="C173" s="20" t="n">
        <v>25</v>
      </c>
      <c r="D173" s="20" t="n">
        <v>74</v>
      </c>
      <c r="E173" s="20" t="n">
        <v>21</v>
      </c>
      <c r="F173" s="20" t="n">
        <v>17</v>
      </c>
      <c r="G173" s="20" t="n">
        <v>24</v>
      </c>
      <c r="H173" s="20" t="n">
        <v>20</v>
      </c>
      <c r="I173" s="20" t="n">
        <v>21</v>
      </c>
      <c r="J173" s="20" t="n">
        <v>15</v>
      </c>
      <c r="K173" s="20" t="n">
        <v>17</v>
      </c>
      <c r="L173" s="20" t="n">
        <v>26</v>
      </c>
      <c r="M173" s="20" t="n">
        <v>19</v>
      </c>
      <c r="N173" s="20" t="n">
        <v>10</v>
      </c>
      <c r="V173" s="20" t="n">
        <v>74</v>
      </c>
      <c r="W173" s="20" t="n">
        <v>20</v>
      </c>
      <c r="X173" s="20" t="n">
        <v>26</v>
      </c>
    </row>
    <row r="174">
      <c r="A174" s="18" t="inlineStr">
        <is>
          <t>보고부문 합계 · 부문 간 내부매출·대체</t>
        </is>
      </c>
      <c r="C174" s="20" t="n">
        <v>117</v>
      </c>
      <c r="D174" s="20" t="n">
        <v>326</v>
      </c>
      <c r="E174" s="20" t="n">
        <v>863</v>
      </c>
      <c r="F174" s="20" t="n">
        <v>813</v>
      </c>
      <c r="G174" s="20" t="n">
        <v>440</v>
      </c>
      <c r="H174" s="20" t="n">
        <v>1141</v>
      </c>
      <c r="I174" s="20" t="n">
        <v>161</v>
      </c>
      <c r="J174" s="20" t="n">
        <v>7</v>
      </c>
      <c r="K174" s="20" t="n">
        <v>2697</v>
      </c>
      <c r="L174" s="20" t="n">
        <v>2282</v>
      </c>
      <c r="M174" s="20" t="n">
        <v>72</v>
      </c>
      <c r="N174" s="20" t="n">
        <v>106</v>
      </c>
      <c r="V174" s="20" t="n">
        <v>326</v>
      </c>
      <c r="W174" s="20" t="n">
        <v>1141</v>
      </c>
      <c r="X174" s="20" t="n">
        <v>2282</v>
      </c>
    </row>
    <row r="175">
      <c r="A175" s="18" t="inlineStr">
        <is>
          <t>기타 · 부문 간 내부매출·대체</t>
        </is>
      </c>
      <c r="C175" s="20" t="n">
        <v>4580</v>
      </c>
      <c r="D175" s="20" t="n">
        <v>5056</v>
      </c>
      <c r="E175" s="20" t="n">
        <v>4486</v>
      </c>
      <c r="F175" s="20" t="n">
        <v>5085</v>
      </c>
      <c r="G175" s="20" t="n">
        <v>4773</v>
      </c>
      <c r="H175" s="20" t="n">
        <v>5757</v>
      </c>
      <c r="I175" s="20" t="n">
        <v>4412</v>
      </c>
      <c r="J175" s="20" t="n">
        <v>4891</v>
      </c>
      <c r="K175" s="20" t="n">
        <v>4824</v>
      </c>
      <c r="L175" s="20" t="n">
        <v>5703</v>
      </c>
      <c r="M175" s="20" t="n">
        <v>4884</v>
      </c>
      <c r="N175" s="20" t="n">
        <v>5443</v>
      </c>
      <c r="V175" s="20" t="n">
        <v>5056</v>
      </c>
      <c r="W175" s="20" t="n">
        <v>5757</v>
      </c>
      <c r="X175" s="20" t="n">
        <v>5703</v>
      </c>
    </row>
    <row r="176">
      <c r="A176" s="18" t="inlineStr">
        <is>
          <t>합계 · 부문 간 내부매출·대체</t>
        </is>
      </c>
      <c r="C176" s="20" t="n">
        <v>4697</v>
      </c>
      <c r="D176" s="20" t="n">
        <v>5382</v>
      </c>
      <c r="E176" s="20" t="n">
        <v>5349</v>
      </c>
      <c r="F176" s="20" t="n">
        <v>5898</v>
      </c>
      <c r="G176" s="20" t="n">
        <v>5213</v>
      </c>
      <c r="H176" s="20" t="n">
        <v>6899</v>
      </c>
      <c r="I176" s="20" t="n">
        <v>4574</v>
      </c>
      <c r="J176" s="20" t="n">
        <v>4898</v>
      </c>
      <c r="K176" s="20" t="n">
        <v>7521</v>
      </c>
      <c r="L176" s="20" t="n">
        <v>7985</v>
      </c>
      <c r="M176" s="20" t="n">
        <v>4956</v>
      </c>
      <c r="N176" s="20" t="n">
        <v>5549</v>
      </c>
      <c r="V176" s="20" t="n">
        <v>5382</v>
      </c>
      <c r="W176" s="20" t="n">
        <v>6899</v>
      </c>
      <c r="X176" s="20" t="n">
        <v>7985</v>
      </c>
    </row>
    <row r="177">
      <c r="A177" s="18" t="inlineStr">
        <is>
          <t>조정액 · 부문 간 내부매출·대체</t>
        </is>
      </c>
      <c r="C177" s="20" t="n">
        <v>-4697</v>
      </c>
      <c r="D177" s="20" t="n">
        <v>-5382</v>
      </c>
      <c r="E177" s="20" t="n">
        <v>-5349</v>
      </c>
      <c r="F177" s="20" t="n">
        <v>-5898</v>
      </c>
      <c r="G177" s="20" t="n">
        <v>-5213</v>
      </c>
      <c r="H177" s="20" t="n">
        <v>-6899</v>
      </c>
      <c r="I177" s="20" t="n">
        <v>-4574</v>
      </c>
      <c r="J177" s="20" t="n">
        <v>-4898</v>
      </c>
      <c r="K177" s="20" t="n">
        <v>-7521</v>
      </c>
      <c r="L177" s="20" t="n">
        <v>-7985</v>
      </c>
      <c r="M177" s="20" t="n">
        <v>-4956</v>
      </c>
      <c r="N177" s="20" t="n">
        <v>-5549</v>
      </c>
      <c r="V177" s="20" t="n">
        <v>-5382</v>
      </c>
      <c r="W177" s="20" t="n">
        <v>-6899</v>
      </c>
      <c r="X177" s="20" t="n">
        <v>-7985</v>
      </c>
    </row>
    <row r="178">
      <c r="A178" s="18" t="inlineStr">
        <is>
          <t>부문 간 내부매출·대체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V178" s="20" t="n">
        <v>0</v>
      </c>
      <c r="W178" s="20" t="n">
        <v>0</v>
      </c>
      <c r="X178" s="20" t="n">
        <v>0</v>
      </c>
    </row>
    <row r="179">
      <c r="A179" s="18" t="inlineStr">
        <is>
          <t>ＳＰＥ · 계</t>
        </is>
      </c>
      <c r="C179" s="20" t="n">
        <v>101927</v>
      </c>
      <c r="D179" s="20" t="n">
        <v>129691</v>
      </c>
      <c r="E179" s="20" t="n">
        <v>112184</v>
      </c>
      <c r="F179" s="20" t="n">
        <v>116886</v>
      </c>
      <c r="G179" s="20" t="n">
        <v>154891</v>
      </c>
      <c r="H179" s="20" t="n">
        <v>135550</v>
      </c>
      <c r="I179" s="20" t="n">
        <v>109515</v>
      </c>
      <c r="J179" s="20" t="n">
        <v>109082</v>
      </c>
      <c r="K179" s="20" t="n">
        <v>120072</v>
      </c>
      <c r="L179" s="20" t="n">
        <v>147313</v>
      </c>
      <c r="M179" s="20" t="n">
        <v>93133</v>
      </c>
      <c r="N179" s="20" t="n">
        <v>158265</v>
      </c>
      <c r="V179" s="20" t="n">
        <v>129691</v>
      </c>
      <c r="W179" s="20" t="n">
        <v>135550</v>
      </c>
      <c r="X179" s="20" t="n">
        <v>147313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ＧＡ · 계</t>
        </is>
      </c>
      <c r="C181" s="20" t="n">
        <v>12023</v>
      </c>
      <c r="D181" s="20" t="n">
        <v>11772</v>
      </c>
      <c r="E181" s="20" t="n">
        <v>12382</v>
      </c>
      <c r="F181" s="20" t="n">
        <v>12838</v>
      </c>
      <c r="G181" s="20" t="n">
        <v>13795</v>
      </c>
      <c r="H181" s="20" t="n">
        <v>13995</v>
      </c>
      <c r="I181" s="20" t="n">
        <v>12919</v>
      </c>
      <c r="J181" s="20" t="n">
        <v>12890</v>
      </c>
      <c r="K181" s="20" t="n">
        <v>13706</v>
      </c>
      <c r="L181" s="20" t="n">
        <v>17979</v>
      </c>
      <c r="M181" s="20" t="n">
        <v>13832</v>
      </c>
      <c r="N181" s="20" t="n">
        <v>15279</v>
      </c>
      <c r="V181" s="20" t="n">
        <v>11772</v>
      </c>
      <c r="W181" s="20" t="n">
        <v>13995</v>
      </c>
      <c r="X181" s="20" t="n">
        <v>17979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ＦＴ · 계</t>
        </is>
      </c>
      <c r="C183" s="20" t="n">
        <v>6734</v>
      </c>
      <c r="D183" s="20" t="n">
        <v>10729</v>
      </c>
      <c r="E183" s="20" t="n">
        <v>5212</v>
      </c>
      <c r="F183" s="20" t="n">
        <v>9378</v>
      </c>
      <c r="G183" s="20" t="n">
        <v>10236</v>
      </c>
      <c r="H183" s="20" t="n">
        <v>11003</v>
      </c>
      <c r="I183" s="20" t="n">
        <v>10054</v>
      </c>
      <c r="J183" s="20" t="n">
        <v>13455</v>
      </c>
      <c r="K183" s="20" t="n">
        <v>12360</v>
      </c>
      <c r="L183" s="20" t="n">
        <v>8886</v>
      </c>
      <c r="M183" s="20" t="n">
        <v>10857</v>
      </c>
      <c r="N183" s="20" t="n">
        <v>8199</v>
      </c>
      <c r="V183" s="20" t="n">
        <v>10729</v>
      </c>
      <c r="W183" s="20" t="n">
        <v>11003</v>
      </c>
      <c r="X183" s="20" t="n">
        <v>8886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ＰＥ · 계</t>
        </is>
      </c>
      <c r="C185" s="20" t="n">
        <v>3229</v>
      </c>
      <c r="D185" s="20" t="n">
        <v>4193</v>
      </c>
      <c r="E185" s="20" t="n">
        <v>3924</v>
      </c>
      <c r="F185" s="20" t="n">
        <v>3047</v>
      </c>
      <c r="G185" s="20" t="n">
        <v>2651</v>
      </c>
      <c r="H185" s="20" t="n">
        <v>4552</v>
      </c>
      <c r="I185" s="20" t="n">
        <v>3072</v>
      </c>
      <c r="J185" s="20" t="n">
        <v>2481</v>
      </c>
      <c r="K185" s="20" t="n">
        <v>3370</v>
      </c>
      <c r="L185" s="20" t="n">
        <v>5622</v>
      </c>
      <c r="M185" s="20" t="n">
        <v>3132</v>
      </c>
      <c r="N185" s="20" t="n">
        <v>3957</v>
      </c>
      <c r="V185" s="20" t="n">
        <v>4193</v>
      </c>
      <c r="W185" s="20" t="n">
        <v>4552</v>
      </c>
      <c r="X185" s="20" t="n">
        <v>5622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보고부문 합계 · 계</t>
        </is>
      </c>
      <c r="C187" s="20" t="n">
        <v>123913</v>
      </c>
      <c r="D187" s="20" t="n">
        <v>156385</v>
      </c>
      <c r="E187" s="20" t="n">
        <v>133703</v>
      </c>
      <c r="F187" s="20" t="n">
        <v>142150</v>
      </c>
      <c r="G187" s="20" t="n">
        <v>181573</v>
      </c>
      <c r="H187" s="20" t="n">
        <v>165099</v>
      </c>
      <c r="I187" s="20" t="n">
        <v>135560</v>
      </c>
      <c r="J187" s="20" t="n">
        <v>137909</v>
      </c>
      <c r="K187" s="20" t="n">
        <v>149510</v>
      </c>
      <c r="L187" s="20" t="n">
        <v>179798</v>
      </c>
      <c r="M187" s="20" t="n">
        <v>120955</v>
      </c>
      <c r="N187" s="20" t="n">
        <v>185700</v>
      </c>
      <c r="V187" s="20" t="n">
        <v>156385</v>
      </c>
      <c r="W187" s="20" t="n">
        <v>165099</v>
      </c>
      <c r="X187" s="20" t="n">
        <v>179798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기타 · 계</t>
        </is>
      </c>
      <c r="C189" s="20" t="n">
        <v>5355</v>
      </c>
      <c r="D189" s="20" t="n">
        <v>6082</v>
      </c>
      <c r="E189" s="20" t="n">
        <v>5863</v>
      </c>
      <c r="F189" s="20" t="n">
        <v>6930</v>
      </c>
      <c r="G189" s="20" t="n">
        <v>6205</v>
      </c>
      <c r="H189" s="20" t="n">
        <v>7105</v>
      </c>
      <c r="I189" s="20" t="n">
        <v>4799</v>
      </c>
      <c r="J189" s="20" t="n">
        <v>5502</v>
      </c>
      <c r="K189" s="20" t="n">
        <v>9065</v>
      </c>
      <c r="L189" s="20" t="n">
        <v>8583</v>
      </c>
      <c r="M189" s="20" t="n">
        <v>5776</v>
      </c>
      <c r="N189" s="20" t="n">
        <v>6527</v>
      </c>
      <c r="V189" s="20" t="n">
        <v>6082</v>
      </c>
      <c r="W189" s="20" t="n">
        <v>7105</v>
      </c>
      <c r="X189" s="20" t="n">
        <v>8583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합계 · 계</t>
        </is>
      </c>
      <c r="C191" s="20" t="n">
        <v>129268</v>
      </c>
      <c r="D191" s="20" t="n">
        <v>162467</v>
      </c>
      <c r="E191" s="20" t="n">
        <v>139566</v>
      </c>
      <c r="F191" s="20" t="n">
        <v>149080</v>
      </c>
      <c r="G191" s="20" t="n">
        <v>187778</v>
      </c>
      <c r="H191" s="20" t="n">
        <v>172204</v>
      </c>
      <c r="I191" s="20" t="n">
        <v>140359</v>
      </c>
      <c r="J191" s="20" t="n">
        <v>143412</v>
      </c>
      <c r="K191" s="20" t="n">
        <v>158574</v>
      </c>
      <c r="L191" s="20" t="n">
        <v>188382</v>
      </c>
      <c r="M191" s="20" t="n">
        <v>126731</v>
      </c>
      <c r="N191" s="20" t="n">
        <v>192227</v>
      </c>
      <c r="V191" s="20" t="n">
        <v>162467</v>
      </c>
      <c r="W191" s="20" t="n">
        <v>172204</v>
      </c>
      <c r="X191" s="20" t="n">
        <v>188382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조정액 · 계</t>
        </is>
      </c>
      <c r="C193" s="20" t="n">
        <v>-4697</v>
      </c>
      <c r="D193" s="20" t="n">
        <v>-5382</v>
      </c>
      <c r="E193" s="20" t="n">
        <v>-5349</v>
      </c>
      <c r="F193" s="20" t="n">
        <v>-5898</v>
      </c>
      <c r="G193" s="20" t="n">
        <v>-5213</v>
      </c>
      <c r="H193" s="20" t="n">
        <v>-6899</v>
      </c>
      <c r="I193" s="20" t="n">
        <v>-4574</v>
      </c>
      <c r="J193" s="20" t="n">
        <v>-4898</v>
      </c>
      <c r="K193" s="20" t="n">
        <v>-7521</v>
      </c>
      <c r="L193" s="20" t="n">
        <v>-7985</v>
      </c>
      <c r="M193" s="20" t="n">
        <v>-4956</v>
      </c>
      <c r="N193" s="20" t="n">
        <v>-5549</v>
      </c>
      <c r="V193" s="20" t="n">
        <v>-5382</v>
      </c>
      <c r="W193" s="20" t="n">
        <v>-6899</v>
      </c>
      <c r="X193" s="20" t="n">
        <v>-7985</v>
      </c>
    </row>
    <row r="194">
      <c r="A194" s="9" t="inlineStr">
        <is>
          <t>계</t>
        </is>
      </c>
      <c r="C194" s="12" t="n">
        <v>124571</v>
      </c>
      <c r="D194" s="12" t="n">
        <v>157085</v>
      </c>
      <c r="E194" s="12" t="n">
        <v>134217</v>
      </c>
      <c r="F194" s="12" t="n">
        <v>143182</v>
      </c>
      <c r="G194" s="12" t="n">
        <v>182565</v>
      </c>
      <c r="H194" s="12" t="n">
        <v>165305</v>
      </c>
      <c r="I194" s="12" t="n">
        <v>135785</v>
      </c>
      <c r="J194" s="12" t="n">
        <v>138514</v>
      </c>
      <c r="K194" s="12" t="n">
        <v>151053</v>
      </c>
      <c r="L194" s="12" t="n">
        <v>180396</v>
      </c>
      <c r="M194" s="12" t="n">
        <v>121775</v>
      </c>
      <c r="N194" s="12" t="n">
        <v>186678</v>
      </c>
      <c r="V194" s="12" t="n">
        <v>157085</v>
      </c>
      <c r="W194" s="12" t="n">
        <v>165305</v>
      </c>
      <c r="X194" s="12" t="n">
        <v>180396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IF(OR(G194="",C194=""),"",IF(C194&lt;=0,"",IFERROR(G194/C194-1,"")))</f>
        <v/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K195" s="15">
        <f>IF(OR(K194="",G194=""),"",IF(G194&lt;=0,"",IFERROR(K194/G194-1,"")))</f>
        <v/>
      </c>
      <c r="L195" s="15">
        <f>IF(OR(L194="",H194=""),"",IF(H194&lt;=0,"",IFERROR(L194/H194-1,"")))</f>
        <v/>
      </c>
      <c r="M195" s="15">
        <f>IF(OR(M194="",I194=""),"",IF(I194&lt;=0,"",IFERROR(M194/I194-1,"")))</f>
        <v/>
      </c>
      <c r="N195" s="15">
        <f>IF(OR(N194="",J194=""),"",IF(J194&lt;=0,"",IFERROR(N194/J194-1,"")))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ＳＰＥ · 부문 이익(손실)</t>
        </is>
      </c>
      <c r="C196" s="20" t="n">
        <v>25563</v>
      </c>
      <c r="D196" s="20" t="n">
        <v>32564</v>
      </c>
      <c r="E196" s="20" t="n">
        <v>29054</v>
      </c>
      <c r="F196" s="20" t="n">
        <v>29960</v>
      </c>
      <c r="G196" s="20" t="n">
        <v>41929</v>
      </c>
      <c r="H196" s="20" t="n">
        <v>36032</v>
      </c>
      <c r="I196" s="20" t="n">
        <v>25693</v>
      </c>
      <c r="J196" s="20" t="n">
        <v>22958</v>
      </c>
      <c r="K196" s="20" t="n">
        <v>29696</v>
      </c>
      <c r="L196" s="20" t="n">
        <v>44360</v>
      </c>
      <c r="M196" s="20" t="n">
        <v>14388</v>
      </c>
      <c r="N196" s="20" t="n">
        <v>43140</v>
      </c>
      <c r="V196" s="20" t="n">
        <v>32564</v>
      </c>
      <c r="W196" s="20" t="n">
        <v>36032</v>
      </c>
      <c r="X196" s="20" t="n">
        <v>44360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IF(OR(C196="",C179=""),"",IF(C179&lt;=0,"",IFERROR(C196/C179,"")))</f>
        <v/>
      </c>
      <c r="D197" s="15">
        <f>IF(OR(D196="",D179=""),"",IF(D179&lt;=0,"",IFERROR(D196/D179,"")))</f>
        <v/>
      </c>
      <c r="E197" s="15">
        <f>IF(OR(E196="",E179=""),"",IF(E179&lt;=0,"",IFERROR(E196/E179,"")))</f>
        <v/>
      </c>
      <c r="F197" s="15">
        <f>IF(OR(F196="",F179=""),"",IF(F179&lt;=0,"",IFERROR(F196/F179,"")))</f>
        <v/>
      </c>
      <c r="G197" s="15">
        <f>IF(OR(G196="",G179=""),"",IF(G179&lt;=0,"",IFERROR(G196/G179,"")))</f>
        <v/>
      </c>
      <c r="H197" s="15">
        <f>IF(OR(H196="",H179=""),"",IF(H179&lt;=0,"",IFERROR(H196/H179,"")))</f>
        <v/>
      </c>
      <c r="I197" s="15">
        <f>IF(OR(I196="",I179=""),"",IF(I179&lt;=0,"",IFERROR(I196/I179,"")))</f>
        <v/>
      </c>
      <c r="J197" s="15">
        <f>IF(OR(J196="",J179=""),"",IF(J179&lt;=0,"",IFERROR(J196/J179,"")))</f>
        <v/>
      </c>
      <c r="K197" s="15">
        <f>IF(OR(K196="",K179=""),"",IF(K179&lt;=0,"",IFERROR(K196/K179,"")))</f>
        <v/>
      </c>
      <c r="L197" s="15">
        <f>IF(OR(L196="",L179=""),"",IF(L179&lt;=0,"",IFERROR(L196/L179,"")))</f>
        <v/>
      </c>
      <c r="M197" s="15">
        <f>IF(OR(M196="",M179=""),"",IF(M179&lt;=0,"",IFERROR(M196/M179,"")))</f>
        <v/>
      </c>
      <c r="N197" s="15">
        <f>IF(OR(N196="",N179=""),"",IF(N179&lt;=0,"",IFERROR(N196/N179,"")))</f>
        <v/>
      </c>
      <c r="V197" s="15">
        <f>IF(OR(V196="",V179=""),"",IF(V179&lt;=0,"",IFERROR(V196/V179,"")))</f>
        <v/>
      </c>
      <c r="W197" s="15">
        <f>IF(OR(W196="",W179=""),"",IF(W179&lt;=0,"",IFERROR(W196/W179,"")))</f>
        <v/>
      </c>
      <c r="X197" s="15">
        <f>IF(OR(X196="",X179=""),"",IF(X179&lt;=0,"",IFERROR(X196/X179,"")))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  <c r="V198" s="15">
        <f>IF(OR(V196="",U196=""),"",IF(U196&lt;=0,"",IFERROR(V196/U196-1,"")))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ＧＡ · 부문 이익(손실)</t>
        </is>
      </c>
      <c r="C199" s="20" t="n">
        <v>1316</v>
      </c>
      <c r="D199" s="20" t="n">
        <v>789</v>
      </c>
      <c r="E199" s="20" t="n">
        <v>819</v>
      </c>
      <c r="F199" s="20" t="n">
        <v>1202</v>
      </c>
      <c r="G199" s="20" t="n">
        <v>1264</v>
      </c>
      <c r="H199" s="20" t="n">
        <v>1007</v>
      </c>
      <c r="I199" s="20" t="n">
        <v>567</v>
      </c>
      <c r="J199" s="20" t="n">
        <v>651</v>
      </c>
      <c r="K199" s="20" t="n">
        <v>719</v>
      </c>
      <c r="L199" s="20" t="n">
        <v>1665</v>
      </c>
      <c r="M199" s="20" t="n">
        <v>1421</v>
      </c>
      <c r="N199" s="20" t="n">
        <v>289</v>
      </c>
      <c r="V199" s="20" t="n">
        <v>789</v>
      </c>
      <c r="W199" s="20" t="n">
        <v>1007</v>
      </c>
      <c r="X199" s="20" t="n">
        <v>1665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IF(OR(C199="",C181=""),"",IF(C181&lt;=0,"",IFERROR(C199/C181,"")))</f>
        <v/>
      </c>
      <c r="D200" s="15">
        <f>IF(OR(D199="",D181=""),"",IF(D181&lt;=0,"",IFERROR(D199/D181,"")))</f>
        <v/>
      </c>
      <c r="E200" s="15">
        <f>IF(OR(E199="",E181=""),"",IF(E181&lt;=0,"",IFERROR(E199/E181,"")))</f>
        <v/>
      </c>
      <c r="F200" s="15">
        <f>IF(OR(F199="",F181=""),"",IF(F181&lt;=0,"",IFERROR(F199/F181,"")))</f>
        <v/>
      </c>
      <c r="G200" s="15">
        <f>IF(OR(G199="",G181=""),"",IF(G181&lt;=0,"",IFERROR(G199/G181,"")))</f>
        <v/>
      </c>
      <c r="H200" s="15">
        <f>IF(OR(H199="",H181=""),"",IF(H181&lt;=0,"",IFERROR(H199/H181,"")))</f>
        <v/>
      </c>
      <c r="I200" s="15">
        <f>IF(OR(I199="",I181=""),"",IF(I181&lt;=0,"",IFERROR(I199/I181,"")))</f>
        <v/>
      </c>
      <c r="J200" s="15">
        <f>IF(OR(J199="",J181=""),"",IF(J181&lt;=0,"",IFERROR(J199/J181,"")))</f>
        <v/>
      </c>
      <c r="K200" s="15">
        <f>IF(OR(K199="",K181=""),"",IF(K181&lt;=0,"",IFERROR(K199/K181,"")))</f>
        <v/>
      </c>
      <c r="L200" s="15">
        <f>IF(OR(L199="",L181=""),"",IF(L181&lt;=0,"",IFERROR(L199/L181,"")))</f>
        <v/>
      </c>
      <c r="M200" s="15">
        <f>IF(OR(M199="",M181=""),"",IF(M181&lt;=0,"",IFERROR(M199/M181,"")))</f>
        <v/>
      </c>
      <c r="N200" s="15">
        <f>IF(OR(N199="",N181=""),"",IF(N181&lt;=0,"",IFERROR(N199/N181,"")))</f>
        <v/>
      </c>
      <c r="V200" s="15">
        <f>IF(OR(V199="",V181=""),"",IF(V181&lt;=0,"",IFERROR(V199/V181,"")))</f>
        <v/>
      </c>
      <c r="W200" s="15">
        <f>IF(OR(W199="",W181=""),"",IF(W181&lt;=0,"",IFERROR(W199/W181,"")))</f>
        <v/>
      </c>
      <c r="X200" s="15">
        <f>IF(OR(X199="",X181=""),"",IF(X181&lt;=0,"",IFERROR(X199/X181,"")))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  <c r="V201" s="15">
        <f>IF(OR(V199="",U199=""),"",IF(U199&lt;=0,"",IFERROR(V199/U199-1,"")))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ＦＴ · 부문 이익(손실)</t>
        </is>
      </c>
      <c r="C202" s="20" t="n">
        <v>-14</v>
      </c>
      <c r="D202" s="20" t="n">
        <v>237</v>
      </c>
      <c r="E202" s="20" t="n">
        <v>-258</v>
      </c>
      <c r="F202" s="20" t="n">
        <v>352</v>
      </c>
      <c r="G202" s="20" t="n">
        <v>1269</v>
      </c>
      <c r="H202" s="20" t="n">
        <v>1690</v>
      </c>
      <c r="I202" s="20" t="n">
        <v>827</v>
      </c>
      <c r="J202" s="20" t="n">
        <v>2500</v>
      </c>
      <c r="K202" s="20" t="n">
        <v>3988</v>
      </c>
      <c r="L202" s="20" t="n">
        <v>1290</v>
      </c>
      <c r="M202" s="20" t="n">
        <v>1276</v>
      </c>
      <c r="N202" s="20" t="n">
        <v>-422</v>
      </c>
      <c r="V202" s="20" t="n">
        <v>237</v>
      </c>
      <c r="W202" s="20" t="n">
        <v>1690</v>
      </c>
      <c r="X202" s="20" t="n">
        <v>1290</v>
      </c>
    </row>
    <row r="203">
      <c r="A203" s="43" t="inlineStr">
        <is>
          <t>OPM</t>
        </is>
      </c>
      <c r="B203" s="3" t="inlineStr">
        <is>
          <t>영업이익 ÷ 매출</t>
        </is>
      </c>
      <c r="C203" s="15">
        <f>IF(OR(C202="",C183=""),"",IF(C183&lt;=0,"",IFERROR(C202/C183,"")))</f>
        <v/>
      </c>
      <c r="D203" s="15">
        <f>IF(OR(D202="",D183=""),"",IF(D183&lt;=0,"",IFERROR(D202/D183,"")))</f>
        <v/>
      </c>
      <c r="E203" s="15">
        <f>IF(OR(E202="",E183=""),"",IF(E183&lt;=0,"",IFERROR(E202/E183,"")))</f>
        <v/>
      </c>
      <c r="F203" s="15">
        <f>IF(OR(F202="",F183=""),"",IF(F183&lt;=0,"",IFERROR(F202/F183,"")))</f>
        <v/>
      </c>
      <c r="G203" s="15">
        <f>IF(OR(G202="",G183=""),"",IF(G183&lt;=0,"",IFERROR(G202/G183,"")))</f>
        <v/>
      </c>
      <c r="H203" s="15">
        <f>IF(OR(H202="",H183=""),"",IF(H183&lt;=0,"",IFERROR(H202/H183,"")))</f>
        <v/>
      </c>
      <c r="I203" s="15">
        <f>IF(OR(I202="",I183=""),"",IF(I183&lt;=0,"",IFERROR(I202/I183,"")))</f>
        <v/>
      </c>
      <c r="J203" s="15">
        <f>IF(OR(J202="",J183=""),"",IF(J183&lt;=0,"",IFERROR(J202/J183,"")))</f>
        <v/>
      </c>
      <c r="K203" s="15">
        <f>IF(OR(K202="",K183=""),"",IF(K183&lt;=0,"",IFERROR(K202/K183,"")))</f>
        <v/>
      </c>
      <c r="L203" s="15">
        <f>IF(OR(L202="",L183=""),"",IF(L183&lt;=0,"",IFERROR(L202/L183,"")))</f>
        <v/>
      </c>
      <c r="M203" s="15">
        <f>IF(OR(M202="",M183=""),"",IF(M183&lt;=0,"",IFERROR(M202/M183,"")))</f>
        <v/>
      </c>
      <c r="N203" s="15">
        <f>IF(OR(N202="",N183=""),"",IF(N183&lt;=0,"",IFERROR(N202/N183,"")))</f>
        <v/>
      </c>
      <c r="V203" s="15">
        <f>IF(OR(V202="",V183=""),"",IF(V183&lt;=0,"",IFERROR(V202/V183,"")))</f>
        <v/>
      </c>
      <c r="W203" s="15">
        <f>IF(OR(W202="",W183=""),"",IF(W183&lt;=0,"",IFERROR(W202/W183,"")))</f>
        <v/>
      </c>
      <c r="X203" s="15">
        <f>IF(OR(X202="",X183=""),"",IF(X183&lt;=0,"",IFERROR(X202/X183,"")))</f>
        <v/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IF(OR(G202="",C202=""),"",IF(C202&lt;=0,"",IFERROR(G202/C202-1,"")))</f>
        <v/>
      </c>
      <c r="H204" s="15">
        <f>IF(OR(H202="",D202=""),"",IF(D202&lt;=0,"",IFERROR(H202/D202-1,"")))</f>
        <v/>
      </c>
      <c r="I204" s="15">
        <f>IF(OR(I202="",E202=""),"",IF(E202&lt;=0,"",IFERROR(I202/E202-1,"")))</f>
        <v/>
      </c>
      <c r="J204" s="15">
        <f>IF(OR(J202="",F202=""),"",IF(F202&lt;=0,"",IFERROR(J202/F202-1,"")))</f>
        <v/>
      </c>
      <c r="K204" s="15">
        <f>IF(OR(K202="",G202=""),"",IF(G202&lt;=0,"",IFERROR(K202/G202-1,"")))</f>
        <v/>
      </c>
      <c r="L204" s="15">
        <f>IF(OR(L202="",H202=""),"",IF(H202&lt;=0,"",IFERROR(L202/H202-1,"")))</f>
        <v/>
      </c>
      <c r="M204" s="15">
        <f>IF(OR(M202="",I202=""),"",IF(I202&lt;=0,"",IFERROR(M202/I202-1,"")))</f>
        <v/>
      </c>
      <c r="N204" s="15">
        <f>IF(OR(N202="",J202=""),"",IF(J202&lt;=0,"",IFERROR(N202/J202-1,"")))</f>
        <v/>
      </c>
      <c r="V204" s="15">
        <f>IF(OR(V202="",U202=""),"",IF(U202&lt;=0,"",IFERROR(V202/U202-1,"")))</f>
        <v/>
      </c>
      <c r="W204" s="15">
        <f>IF(OR(W202="",V202=""),"",IF(V202&lt;=0,"",IFERROR(W202/V202-1,"")))</f>
        <v/>
      </c>
      <c r="X204" s="15">
        <f>IF(OR(X202="",W202=""),"",IF(W202&lt;=0,"",IFERROR(X202/W202-1,"")))</f>
        <v/>
      </c>
    </row>
    <row r="205">
      <c r="A205" s="18" t="inlineStr">
        <is>
          <t>ＰＥ · 부문 이익(손실)</t>
        </is>
      </c>
      <c r="C205" s="20" t="n">
        <v>249</v>
      </c>
      <c r="D205" s="20" t="n">
        <v>565</v>
      </c>
      <c r="E205" s="20" t="n">
        <v>503</v>
      </c>
      <c r="F205" s="20" t="n">
        <v>179</v>
      </c>
      <c r="G205" s="20" t="n">
        <v>-113</v>
      </c>
      <c r="H205" s="20" t="n">
        <v>500</v>
      </c>
      <c r="I205" s="20" t="n">
        <v>-29</v>
      </c>
      <c r="J205" s="20" t="n">
        <v>-198</v>
      </c>
      <c r="K205" s="20" t="n">
        <v>-300</v>
      </c>
      <c r="L205" s="20" t="n">
        <v>910</v>
      </c>
      <c r="M205" s="20" t="n">
        <v>-299</v>
      </c>
      <c r="N205" s="20" t="n">
        <v>137</v>
      </c>
      <c r="V205" s="20" t="n">
        <v>565</v>
      </c>
      <c r="W205" s="20" t="n">
        <v>500</v>
      </c>
      <c r="X205" s="20" t="n">
        <v>910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IF(OR(C205="",C185=""),"",IF(C185&lt;=0,"",IFERROR(C205/C185,"")))</f>
        <v/>
      </c>
      <c r="D206" s="15">
        <f>IF(OR(D205="",D185=""),"",IF(D185&lt;=0,"",IFERROR(D205/D185,"")))</f>
        <v/>
      </c>
      <c r="E206" s="15">
        <f>IF(OR(E205="",E185=""),"",IF(E185&lt;=0,"",IFERROR(E205/E185,"")))</f>
        <v/>
      </c>
      <c r="F206" s="15">
        <f>IF(OR(F205="",F185=""),"",IF(F185&lt;=0,"",IFERROR(F205/F185,"")))</f>
        <v/>
      </c>
      <c r="G206" s="15">
        <f>IF(OR(G205="",G185=""),"",IF(G185&lt;=0,"",IFERROR(G205/G185,"")))</f>
        <v/>
      </c>
      <c r="H206" s="15">
        <f>IF(OR(H205="",H185=""),"",IF(H185&lt;=0,"",IFERROR(H205/H185,"")))</f>
        <v/>
      </c>
      <c r="I206" s="15">
        <f>IF(OR(I205="",I185=""),"",IF(I185&lt;=0,"",IFERROR(I205/I185,"")))</f>
        <v/>
      </c>
      <c r="J206" s="15">
        <f>IF(OR(J205="",J185=""),"",IF(J185&lt;=0,"",IFERROR(J205/J185,"")))</f>
        <v/>
      </c>
      <c r="K206" s="15">
        <f>IF(OR(K205="",K185=""),"",IF(K185&lt;=0,"",IFERROR(K205/K185,"")))</f>
        <v/>
      </c>
      <c r="L206" s="15">
        <f>IF(OR(L205="",L185=""),"",IF(L185&lt;=0,"",IFERROR(L205/L185,"")))</f>
        <v/>
      </c>
      <c r="M206" s="15">
        <f>IF(OR(M205="",M185=""),"",IF(M185&lt;=0,"",IFERROR(M205/M185,"")))</f>
        <v/>
      </c>
      <c r="N206" s="15">
        <f>IF(OR(N205="",N185=""),"",IF(N185&lt;=0,"",IFERROR(N205/N185,"")))</f>
        <v/>
      </c>
      <c r="V206" s="15">
        <f>IF(OR(V205="",V185=""),"",IF(V185&lt;=0,"",IFERROR(V205/V185,"")))</f>
        <v/>
      </c>
      <c r="W206" s="15">
        <f>IF(OR(W205="",W185=""),"",IF(W185&lt;=0,"",IFERROR(W205/W185,"")))</f>
        <v/>
      </c>
      <c r="X206" s="15">
        <f>IF(OR(X205="",X185=""),"",IF(X185&lt;=0,"",IFERROR(X205/X185,"")))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I207" s="15">
        <f>IF(OR(I205="",E205=""),"",IF(E205&lt;=0,"",IFERROR(I205/E205-1,"")))</f>
        <v/>
      </c>
      <c r="J207" s="15">
        <f>IF(OR(J205="",F205=""),"",IF(F205&lt;=0,"",IFERROR(J205/F205-1,"")))</f>
        <v/>
      </c>
      <c r="K207" s="15">
        <f>IF(OR(K205="",G205=""),"",IF(G205&lt;=0,"",IFERROR(K205/G205-1,"")))</f>
        <v/>
      </c>
      <c r="L207" s="15">
        <f>IF(OR(L205="",H205=""),"",IF(H205&lt;=0,"",IFERROR(L205/H205-1,"")))</f>
        <v/>
      </c>
      <c r="M207" s="15">
        <f>IF(OR(M205="",I205=""),"",IF(I205&lt;=0,"",IFERROR(M205/I205-1,"")))</f>
        <v/>
      </c>
      <c r="N207" s="15">
        <f>IF(OR(N205="",J205=""),"",IF(J205&lt;=0,"",IFERROR(N205/J205-1,"")))</f>
        <v/>
      </c>
      <c r="V207" s="15">
        <f>IF(OR(V205="",U205=""),"",IF(U205&lt;=0,"",IFERROR(V205/U205-1,"")))</f>
        <v/>
      </c>
      <c r="W207" s="15">
        <f>IF(OR(W205="",V205=""),"",IF(V205&lt;=0,"",IFERROR(W205/V205-1,"")))</f>
        <v/>
      </c>
      <c r="X207" s="15">
        <f>IF(OR(X205="",W205=""),"",IF(W205&lt;=0,"",IFERROR(X205/W205-1,"")))</f>
        <v/>
      </c>
    </row>
    <row r="208">
      <c r="A208" s="18" t="inlineStr">
        <is>
          <t>보고부문 합계 · 부문 이익(손실)</t>
        </is>
      </c>
      <c r="C208" s="20" t="n">
        <v>27116</v>
      </c>
      <c r="D208" s="20" t="n">
        <v>34154</v>
      </c>
      <c r="E208" s="20" t="n">
        <v>30119</v>
      </c>
      <c r="F208" s="20" t="n">
        <v>31694</v>
      </c>
      <c r="G208" s="20" t="n">
        <v>44348</v>
      </c>
      <c r="H208" s="20" t="n">
        <v>39231</v>
      </c>
      <c r="I208" s="20" t="n">
        <v>27058</v>
      </c>
      <c r="J208" s="20" t="n">
        <v>25912</v>
      </c>
      <c r="K208" s="20" t="n">
        <v>34102</v>
      </c>
      <c r="L208" s="20" t="n">
        <v>48226</v>
      </c>
      <c r="M208" s="20" t="n">
        <v>16788</v>
      </c>
      <c r="N208" s="20" t="n">
        <v>43142</v>
      </c>
      <c r="V208" s="20" t="n">
        <v>34154</v>
      </c>
      <c r="W208" s="20" t="n">
        <v>39231</v>
      </c>
      <c r="X208" s="20" t="n">
        <v>48226</v>
      </c>
    </row>
    <row r="209">
      <c r="A209" s="43" t="inlineStr">
        <is>
          <t>OPM</t>
        </is>
      </c>
      <c r="B209" s="3" t="inlineStr">
        <is>
          <t>영업이익 ÷ 매출</t>
        </is>
      </c>
      <c r="C209" s="15">
        <f>IF(OR(C208="",C187=""),"",IF(C187&lt;=0,"",IFERROR(C208/C187,"")))</f>
        <v/>
      </c>
      <c r="D209" s="15">
        <f>IF(OR(D208="",D187=""),"",IF(D187&lt;=0,"",IFERROR(D208/D187,"")))</f>
        <v/>
      </c>
      <c r="E209" s="15">
        <f>IF(OR(E208="",E187=""),"",IF(E187&lt;=0,"",IFERROR(E208/E187,"")))</f>
        <v/>
      </c>
      <c r="F209" s="15">
        <f>IF(OR(F208="",F187=""),"",IF(F187&lt;=0,"",IFERROR(F208/F187,"")))</f>
        <v/>
      </c>
      <c r="G209" s="15">
        <f>IF(OR(G208="",G187=""),"",IF(G187&lt;=0,"",IFERROR(G208/G187,"")))</f>
        <v/>
      </c>
      <c r="H209" s="15">
        <f>IF(OR(H208="",H187=""),"",IF(H187&lt;=0,"",IFERROR(H208/H187,"")))</f>
        <v/>
      </c>
      <c r="I209" s="15">
        <f>IF(OR(I208="",I187=""),"",IF(I187&lt;=0,"",IFERROR(I208/I187,"")))</f>
        <v/>
      </c>
      <c r="J209" s="15">
        <f>IF(OR(J208="",J187=""),"",IF(J187&lt;=0,"",IFERROR(J208/J187,"")))</f>
        <v/>
      </c>
      <c r="K209" s="15">
        <f>IF(OR(K208="",K187=""),"",IF(K187&lt;=0,"",IFERROR(K208/K187,"")))</f>
        <v/>
      </c>
      <c r="L209" s="15">
        <f>IF(OR(L208="",L187=""),"",IF(L187&lt;=0,"",IFERROR(L208/L187,"")))</f>
        <v/>
      </c>
      <c r="M209" s="15">
        <f>IF(OR(M208="",M187=""),"",IF(M187&lt;=0,"",IFERROR(M208/M187,"")))</f>
        <v/>
      </c>
      <c r="N209" s="15">
        <f>IF(OR(N208="",N187=""),"",IF(N187&lt;=0,"",IFERROR(N208/N187,"")))</f>
        <v/>
      </c>
      <c r="V209" s="15">
        <f>IF(OR(V208="",V187=""),"",IF(V187&lt;=0,"",IFERROR(V208/V187,"")))</f>
        <v/>
      </c>
      <c r="W209" s="15">
        <f>IF(OR(W208="",W187=""),"",IF(W187&lt;=0,"",IFERROR(W208/W187,"")))</f>
        <v/>
      </c>
      <c r="X209" s="15">
        <f>IF(OR(X208="",X187=""),"",IF(X187&lt;=0,"",IFERROR(X208/X187,"")))</f>
        <v/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IF(OR(G208="",C208=""),"",IF(C208&lt;=0,"",IFERROR(G208/C208-1,"")))</f>
        <v/>
      </c>
      <c r="H210" s="15">
        <f>IF(OR(H208="",D208=""),"",IF(D208&lt;=0,"",IFERROR(H208/D208-1,"")))</f>
        <v/>
      </c>
      <c r="I210" s="15">
        <f>IF(OR(I208="",E208=""),"",IF(E208&lt;=0,"",IFERROR(I208/E208-1,"")))</f>
        <v/>
      </c>
      <c r="J210" s="15">
        <f>IF(OR(J208="",F208=""),"",IF(F208&lt;=0,"",IFERROR(J208/F208-1,"")))</f>
        <v/>
      </c>
      <c r="K210" s="15">
        <f>IF(OR(K208="",G208=""),"",IF(G208&lt;=0,"",IFERROR(K208/G208-1,"")))</f>
        <v/>
      </c>
      <c r="L210" s="15">
        <f>IF(OR(L208="",H208=""),"",IF(H208&lt;=0,"",IFERROR(L208/H208-1,"")))</f>
        <v/>
      </c>
      <c r="M210" s="15">
        <f>IF(OR(M208="",I208=""),"",IF(I208&lt;=0,"",IFERROR(M208/I208-1,"")))</f>
        <v/>
      </c>
      <c r="N210" s="15">
        <f>IF(OR(N208="",J208=""),"",IF(J208&lt;=0,"",IFERROR(N208/J208-1,"")))</f>
        <v/>
      </c>
      <c r="V210" s="15">
        <f>IF(OR(V208="",U208=""),"",IF(U208&lt;=0,"",IFERROR(V208/U208-1,"")))</f>
        <v/>
      </c>
      <c r="W210" s="15">
        <f>IF(OR(W208="",V208=""),"",IF(V208&lt;=0,"",IFERROR(W208/V208-1,"")))</f>
        <v/>
      </c>
      <c r="X210" s="15">
        <f>IF(OR(X208="",W208=""),"",IF(W208&lt;=0,"",IFERROR(X208/W208-1,"")))</f>
        <v/>
      </c>
    </row>
    <row r="211">
      <c r="A211" s="18" t="inlineStr">
        <is>
          <t>기타 · 부문 이익(손실)</t>
        </is>
      </c>
      <c r="C211" s="20" t="n">
        <v>-312</v>
      </c>
      <c r="D211" s="20" t="n">
        <v>-66</v>
      </c>
      <c r="E211" s="20" t="n">
        <v>-912</v>
      </c>
      <c r="F211" s="20" t="n">
        <v>-206</v>
      </c>
      <c r="G211" s="20" t="n">
        <v>-169</v>
      </c>
      <c r="H211" s="20" t="n">
        <v>-535</v>
      </c>
      <c r="I211" s="20" t="n">
        <v>-268</v>
      </c>
      <c r="J211" s="20" t="n">
        <v>-635</v>
      </c>
      <c r="K211" s="20" t="n">
        <v>-1087</v>
      </c>
      <c r="L211" s="20" t="n">
        <v>-445</v>
      </c>
      <c r="M211" s="20" t="n">
        <v>-36</v>
      </c>
      <c r="N211" s="20" t="n">
        <v>-104</v>
      </c>
      <c r="V211" s="20" t="n">
        <v>-66</v>
      </c>
      <c r="W211" s="20" t="n">
        <v>-535</v>
      </c>
      <c r="X211" s="20" t="n">
        <v>-445</v>
      </c>
    </row>
    <row r="212">
      <c r="A212" s="43" t="inlineStr">
        <is>
          <t>OPM</t>
        </is>
      </c>
      <c r="B212" s="3" t="inlineStr">
        <is>
          <t>영업이익 ÷ 매출</t>
        </is>
      </c>
      <c r="C212" s="15">
        <f>IF(OR(C211="",C189=""),"",IF(C189&lt;=0,"",IFERROR(C211/C189,"")))</f>
        <v/>
      </c>
      <c r="D212" s="15">
        <f>IF(OR(D211="",D189=""),"",IF(D189&lt;=0,"",IFERROR(D211/D189,"")))</f>
        <v/>
      </c>
      <c r="E212" s="15">
        <f>IF(OR(E211="",E189=""),"",IF(E189&lt;=0,"",IFERROR(E211/E189,"")))</f>
        <v/>
      </c>
      <c r="F212" s="15">
        <f>IF(OR(F211="",F189=""),"",IF(F189&lt;=0,"",IFERROR(F211/F189,"")))</f>
        <v/>
      </c>
      <c r="G212" s="15">
        <f>IF(OR(G211="",G189=""),"",IF(G189&lt;=0,"",IFERROR(G211/G189,"")))</f>
        <v/>
      </c>
      <c r="H212" s="15">
        <f>IF(OR(H211="",H189=""),"",IF(H189&lt;=0,"",IFERROR(H211/H189,"")))</f>
        <v/>
      </c>
      <c r="I212" s="15">
        <f>IF(OR(I211="",I189=""),"",IF(I189&lt;=0,"",IFERROR(I211/I189,"")))</f>
        <v/>
      </c>
      <c r="J212" s="15">
        <f>IF(OR(J211="",J189=""),"",IF(J189&lt;=0,"",IFERROR(J211/J189,"")))</f>
        <v/>
      </c>
      <c r="K212" s="15">
        <f>IF(OR(K211="",K189=""),"",IF(K189&lt;=0,"",IFERROR(K211/K189,"")))</f>
        <v/>
      </c>
      <c r="L212" s="15">
        <f>IF(OR(L211="",L189=""),"",IF(L189&lt;=0,"",IFERROR(L211/L189,"")))</f>
        <v/>
      </c>
      <c r="M212" s="15">
        <f>IF(OR(M211="",M189=""),"",IF(M189&lt;=0,"",IFERROR(M211/M189,"")))</f>
        <v/>
      </c>
      <c r="N212" s="15">
        <f>IF(OR(N211="",N189=""),"",IF(N189&lt;=0,"",IFERROR(N211/N189,"")))</f>
        <v/>
      </c>
      <c r="V212" s="15">
        <f>IF(OR(V211="",V189=""),"",IF(V189&lt;=0,"",IFERROR(V211/V189,"")))</f>
        <v/>
      </c>
      <c r="W212" s="15">
        <f>IF(OR(W211="",W189=""),"",IF(W189&lt;=0,"",IFERROR(W211/W189,"")))</f>
        <v/>
      </c>
      <c r="X212" s="15">
        <f>IF(OR(X211="",X189=""),"",IF(X189&lt;=0,"",IFERROR(X211/X189,"")))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IF(OR(G211="",C211=""),"",IF(C211&lt;=0,"",IFERROR(G211/C211-1,"")))</f>
        <v/>
      </c>
      <c r="H213" s="15">
        <f>IF(OR(H211="",D211=""),"",IF(D211&lt;=0,"",IFERROR(H211/D211-1,"")))</f>
        <v/>
      </c>
      <c r="I213" s="15">
        <f>IF(OR(I211="",E211=""),"",IF(E211&lt;=0,"",IFERROR(I211/E211-1,"")))</f>
        <v/>
      </c>
      <c r="J213" s="15">
        <f>IF(OR(J211="",F211=""),"",IF(F211&lt;=0,"",IFERROR(J211/F211-1,"")))</f>
        <v/>
      </c>
      <c r="K213" s="15">
        <f>IF(OR(K211="",G211=""),"",IF(G211&lt;=0,"",IFERROR(K211/G211-1,"")))</f>
        <v/>
      </c>
      <c r="L213" s="15">
        <f>IF(OR(L211="",H211=""),"",IF(H211&lt;=0,"",IFERROR(L211/H211-1,"")))</f>
        <v/>
      </c>
      <c r="M213" s="15">
        <f>IF(OR(M211="",I211=""),"",IF(I211&lt;=0,"",IFERROR(M211/I211-1,"")))</f>
        <v/>
      </c>
      <c r="N213" s="15">
        <f>IF(OR(N211="",J211=""),"",IF(J211&lt;=0,"",IFERROR(N211/J211-1,"")))</f>
        <v/>
      </c>
      <c r="V213" s="15">
        <f>IF(OR(V211="",U211=""),"",IF(U211&lt;=0,"",IFERROR(V211/U211-1,"")))</f>
        <v/>
      </c>
      <c r="W213" s="15">
        <f>IF(OR(W211="",V211=""),"",IF(V211&lt;=0,"",IFERROR(W211/V211-1,"")))</f>
        <v/>
      </c>
      <c r="X213" s="15">
        <f>IF(OR(X211="",W211=""),"",IF(W211&lt;=0,"",IFERROR(X211/W211-1,"")))</f>
        <v/>
      </c>
    </row>
    <row r="214">
      <c r="A214" s="18" t="inlineStr">
        <is>
          <t>합계 · 부문 이익(손실)</t>
        </is>
      </c>
      <c r="C214" s="20" t="n">
        <v>26804</v>
      </c>
      <c r="D214" s="20" t="n">
        <v>34089</v>
      </c>
      <c r="E214" s="20" t="n">
        <v>29206</v>
      </c>
      <c r="F214" s="20" t="n">
        <v>31488</v>
      </c>
      <c r="G214" s="20" t="n">
        <v>44180</v>
      </c>
      <c r="H214" s="20" t="n">
        <v>38695</v>
      </c>
      <c r="I214" s="20" t="n">
        <v>26789</v>
      </c>
      <c r="J214" s="20" t="n">
        <v>25278</v>
      </c>
      <c r="K214" s="20" t="n">
        <v>33015</v>
      </c>
      <c r="L214" s="20" t="n">
        <v>47781</v>
      </c>
      <c r="M214" s="20" t="n">
        <v>16751</v>
      </c>
      <c r="N214" s="20" t="n">
        <v>43038</v>
      </c>
      <c r="V214" s="20" t="n">
        <v>34089</v>
      </c>
      <c r="W214" s="20" t="n">
        <v>38695</v>
      </c>
      <c r="X214" s="20" t="n">
        <v>47781</v>
      </c>
    </row>
    <row r="215">
      <c r="A215" s="43" t="inlineStr">
        <is>
          <t>OPM</t>
        </is>
      </c>
      <c r="B215" s="3" t="inlineStr">
        <is>
          <t>영업이익 ÷ 매출</t>
        </is>
      </c>
      <c r="C215" s="15">
        <f>IF(OR(C214="",C191=""),"",IF(C191&lt;=0,"",IFERROR(C214/C191,"")))</f>
        <v/>
      </c>
      <c r="D215" s="15">
        <f>IF(OR(D214="",D191=""),"",IF(D191&lt;=0,"",IFERROR(D214/D191,"")))</f>
        <v/>
      </c>
      <c r="E215" s="15">
        <f>IF(OR(E214="",E191=""),"",IF(E191&lt;=0,"",IFERROR(E214/E191,"")))</f>
        <v/>
      </c>
      <c r="F215" s="15">
        <f>IF(OR(F214="",F191=""),"",IF(F191&lt;=0,"",IFERROR(F214/F191,"")))</f>
        <v/>
      </c>
      <c r="G215" s="15">
        <f>IF(OR(G214="",G191=""),"",IF(G191&lt;=0,"",IFERROR(G214/G191,"")))</f>
        <v/>
      </c>
      <c r="H215" s="15">
        <f>IF(OR(H214="",H191=""),"",IF(H191&lt;=0,"",IFERROR(H214/H191,"")))</f>
        <v/>
      </c>
      <c r="I215" s="15">
        <f>IF(OR(I214="",I191=""),"",IF(I191&lt;=0,"",IFERROR(I214/I191,"")))</f>
        <v/>
      </c>
      <c r="J215" s="15">
        <f>IF(OR(J214="",J191=""),"",IF(J191&lt;=0,"",IFERROR(J214/J191,"")))</f>
        <v/>
      </c>
      <c r="K215" s="15">
        <f>IF(OR(K214="",K191=""),"",IF(K191&lt;=0,"",IFERROR(K214/K191,"")))</f>
        <v/>
      </c>
      <c r="L215" s="15">
        <f>IF(OR(L214="",L191=""),"",IF(L191&lt;=0,"",IFERROR(L214/L191,"")))</f>
        <v/>
      </c>
      <c r="M215" s="15">
        <f>IF(OR(M214="",M191=""),"",IF(M191&lt;=0,"",IFERROR(M214/M191,"")))</f>
        <v/>
      </c>
      <c r="N215" s="15">
        <f>IF(OR(N214="",N191=""),"",IF(N191&lt;=0,"",IFERROR(N214/N191,"")))</f>
        <v/>
      </c>
      <c r="V215" s="15">
        <f>IF(OR(V214="",V191=""),"",IF(V191&lt;=0,"",IFERROR(V214/V191,"")))</f>
        <v/>
      </c>
      <c r="W215" s="15">
        <f>IF(OR(W214="",W191=""),"",IF(W191&lt;=0,"",IFERROR(W214/W191,"")))</f>
        <v/>
      </c>
      <c r="X215" s="15">
        <f>IF(OR(X214="",X191=""),"",IF(X191&lt;=0,"",IFERROR(X214/X191,"")))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IF(OR(G214="",C214=""),"",IF(C214&lt;=0,"",IFERROR(G214/C214-1,"")))</f>
        <v/>
      </c>
      <c r="H216" s="15">
        <f>IF(OR(H214="",D214=""),"",IF(D214&lt;=0,"",IFERROR(H214/D214-1,"")))</f>
        <v/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K216" s="15">
        <f>IF(OR(K214="",G214=""),"",IF(G214&lt;=0,"",IFERROR(K214/G214-1,"")))</f>
        <v/>
      </c>
      <c r="L216" s="15">
        <f>IF(OR(L214="",H214=""),"",IF(H214&lt;=0,"",IFERROR(L214/H214-1,"")))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  <c r="V216" s="15">
        <f>IF(OR(V214="",U214=""),"",IF(U214&lt;=0,"",IFERROR(V214/U214-1,"")))</f>
        <v/>
      </c>
      <c r="W216" s="15">
        <f>IF(OR(W214="",V214=""),"",IF(V214&lt;=0,"",IFERROR(W214/V214-1,"")))</f>
        <v/>
      </c>
      <c r="X216" s="15">
        <f>IF(OR(X214="",W214=""),"",IF(W214&lt;=0,"",IFERROR(X214/W214-1,"")))</f>
        <v/>
      </c>
    </row>
    <row r="217">
      <c r="A217" s="18" t="inlineStr">
        <is>
          <t>조정액 · 부문 이익(손실)</t>
        </is>
      </c>
      <c r="C217" s="20" t="n">
        <v>-1663</v>
      </c>
      <c r="D217" s="20" t="n">
        <v>-3615</v>
      </c>
      <c r="E217" s="20" t="n">
        <v>-1437</v>
      </c>
      <c r="F217" s="20" t="n">
        <v>-1026</v>
      </c>
      <c r="G217" s="20" t="n">
        <v>-1791</v>
      </c>
      <c r="H217" s="20" t="n">
        <v>-3632</v>
      </c>
      <c r="I217" s="20" t="n">
        <v>-2402</v>
      </c>
      <c r="J217" s="20" t="n">
        <v>-3210</v>
      </c>
      <c r="K217" s="20" t="n">
        <v>-2031</v>
      </c>
      <c r="L217" s="20" t="n">
        <v>-2697</v>
      </c>
      <c r="M217" s="20" t="n">
        <v>-2382</v>
      </c>
      <c r="N217" s="20" t="n">
        <v>-2884</v>
      </c>
      <c r="V217" s="20" t="n">
        <v>-3615</v>
      </c>
      <c r="W217" s="20" t="n">
        <v>-3632</v>
      </c>
      <c r="X217" s="20" t="n">
        <v>-2697</v>
      </c>
    </row>
    <row r="218">
      <c r="A218" s="9" t="inlineStr">
        <is>
          <t>부문 이익(손실)</t>
        </is>
      </c>
      <c r="C218" s="12" t="n">
        <v>25141</v>
      </c>
      <c r="D218" s="12" t="n">
        <v>30473</v>
      </c>
      <c r="E218" s="12" t="n">
        <v>27768</v>
      </c>
      <c r="F218" s="12" t="n">
        <v>30463</v>
      </c>
      <c r="G218" s="12" t="n">
        <v>42388</v>
      </c>
      <c r="H218" s="12" t="n">
        <v>35064</v>
      </c>
      <c r="I218" s="12" t="n">
        <v>24386</v>
      </c>
      <c r="J218" s="12" t="n">
        <v>22068</v>
      </c>
      <c r="K218" s="12" t="n">
        <v>30985</v>
      </c>
      <c r="L218" s="12" t="n">
        <v>45083</v>
      </c>
      <c r="M218" s="12" t="n">
        <v>14368</v>
      </c>
      <c r="N218" s="12" t="n">
        <v>40155</v>
      </c>
      <c r="V218" s="12" t="n">
        <v>30473</v>
      </c>
      <c r="W218" s="12" t="n">
        <v>35064</v>
      </c>
      <c r="X218" s="12" t="n">
        <v>45083</v>
      </c>
    </row>
    <row r="219">
      <c r="A219" s="43" t="inlineStr">
        <is>
          <t>OPM</t>
        </is>
      </c>
      <c r="B219" s="3" t="inlineStr">
        <is>
          <t>영업이익 ÷ 매출</t>
        </is>
      </c>
      <c r="C219" s="15">
        <f>IF(OR(C218="",C168=""),"",IF(C168&lt;=0,"",IFERROR(C218/C168,"")))</f>
        <v/>
      </c>
      <c r="D219" s="15">
        <f>IF(OR(D218="",D168=""),"",IF(D168&lt;=0,"",IFERROR(D218/D168,"")))</f>
        <v/>
      </c>
      <c r="E219" s="15">
        <f>IF(OR(E218="",E168=""),"",IF(E168&lt;=0,"",IFERROR(E218/E168,"")))</f>
        <v/>
      </c>
      <c r="F219" s="15">
        <f>IF(OR(F218="",F168=""),"",IF(F168&lt;=0,"",IFERROR(F218/F168,"")))</f>
        <v/>
      </c>
      <c r="G219" s="15">
        <f>IF(OR(G218="",G168=""),"",IF(G168&lt;=0,"",IFERROR(G218/G168,"")))</f>
        <v/>
      </c>
      <c r="H219" s="15">
        <f>IF(OR(H218="",H168=""),"",IF(H168&lt;=0,"",IFERROR(H218/H168,"")))</f>
        <v/>
      </c>
      <c r="I219" s="15">
        <f>IF(OR(I218="",I168=""),"",IF(I168&lt;=0,"",IFERROR(I218/I168,"")))</f>
        <v/>
      </c>
      <c r="J219" s="15">
        <f>IF(OR(J218="",J168=""),"",IF(J168&lt;=0,"",IFERROR(J218/J168,"")))</f>
        <v/>
      </c>
      <c r="K219" s="15">
        <f>IF(OR(K218="",K168=""),"",IF(K168&lt;=0,"",IFERROR(K218/K168,"")))</f>
        <v/>
      </c>
      <c r="L219" s="15">
        <f>IF(OR(L218="",L168=""),"",IF(L168&lt;=0,"",IFERROR(L218/L168,"")))</f>
        <v/>
      </c>
      <c r="M219" s="15">
        <f>IF(OR(M218="",M168=""),"",IF(M168&lt;=0,"",IFERROR(M218/M168,"")))</f>
        <v/>
      </c>
      <c r="N219" s="15">
        <f>IF(OR(N218="",N168=""),"",IF(N168&lt;=0,"",IFERROR(N218/N168,"")))</f>
        <v/>
      </c>
      <c r="V219" s="15">
        <f>IF(OR(V218="",V168=""),"",IF(V168&lt;=0,"",IFERROR(V218/V168,"")))</f>
        <v/>
      </c>
      <c r="W219" s="15">
        <f>IF(OR(W218="",W168=""),"",IF(W168&lt;=0,"",IFERROR(W218/W168,"")))</f>
        <v/>
      </c>
      <c r="X219" s="15">
        <f>IF(OR(X218="",X168=""),"",IF(X168&lt;=0,"",IFERROR(X218/X168,"")))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IF(OR(G218="",C218=""),"",IF(C218&lt;=0,"",IFERROR(G218/C218-1,"")))</f>
        <v/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V220" s="15">
        <f>IF(OR(V218="",U218=""),"",IF(U218&lt;=0,"",IFERROR(V218/U218-1,"")))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2">
      <c r="A222" s="16" t="inlineStr">
        <is>
          <t>현금흐름표 · 전 항목</t>
        </is>
      </c>
      <c r="B222" s="42" t="inlineStr">
        <is>
          <t>분기 = 결산기 첫날부터 누계(공시 그대로)</t>
        </is>
      </c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</row>
    <row r="223">
      <c r="A223" s="5" t="inlineStr">
        <is>
          <t>항목</t>
        </is>
      </c>
      <c r="B223" s="5" t="inlineStr">
        <is>
          <t>참고</t>
        </is>
      </c>
      <c r="C223" s="5" t="inlineStr">
        <is>
          <t>2024.3Q</t>
        </is>
      </c>
      <c r="D223" s="5" t="inlineStr">
        <is>
          <t>2024.4Q</t>
        </is>
      </c>
      <c r="E223" s="5" t="inlineStr">
        <is>
          <t>2025.1Q</t>
        </is>
      </c>
      <c r="F223" s="5" t="inlineStr">
        <is>
          <t>2025.2Q</t>
        </is>
      </c>
      <c r="G223" s="5" t="inlineStr">
        <is>
          <t>2025.3Q</t>
        </is>
      </c>
      <c r="H223" s="5" t="inlineStr">
        <is>
          <t>2025.4Q</t>
        </is>
      </c>
      <c r="I223" s="5" t="inlineStr">
        <is>
          <t>2026.1Q</t>
        </is>
      </c>
      <c r="J223" s="5" t="inlineStr">
        <is>
          <t>2026.2Q</t>
        </is>
      </c>
      <c r="K223" s="5" t="inlineStr">
        <is>
          <t>2026.3Q</t>
        </is>
      </c>
      <c r="L223" s="5" t="inlineStr">
        <is>
          <t>2026.4Q</t>
        </is>
      </c>
      <c r="M223" s="5" t="inlineStr">
        <is>
          <t>2027.1Q</t>
        </is>
      </c>
      <c r="N223" s="5" t="inlineStr">
        <is>
          <t>2027.2Q</t>
        </is>
      </c>
      <c r="O223" s="5" t="inlineStr">
        <is>
          <t>2017</t>
        </is>
      </c>
      <c r="P223" s="5" t="inlineStr">
        <is>
          <t>2018</t>
        </is>
      </c>
      <c r="Q223" s="5" t="inlineStr">
        <is>
          <t>2019</t>
        </is>
      </c>
      <c r="R223" s="5" t="inlineStr">
        <is>
          <t>2020</t>
        </is>
      </c>
      <c r="S223" s="5" t="inlineStr">
        <is>
          <t>2021</t>
        </is>
      </c>
      <c r="T223" s="5" t="inlineStr">
        <is>
          <t>2022</t>
        </is>
      </c>
      <c r="U223" s="5" t="inlineStr">
        <is>
          <t>2023</t>
        </is>
      </c>
      <c r="V223" s="5" t="inlineStr">
        <is>
          <t>2024</t>
        </is>
      </c>
      <c r="W223" s="5" t="inlineStr">
        <is>
          <t>2025</t>
        </is>
      </c>
      <c r="X223" s="5" t="inlineStr">
        <is>
          <t>2026</t>
        </is>
      </c>
      <c r="Y223" s="5" t="inlineStr">
        <is>
          <t>2027(MW)</t>
        </is>
      </c>
      <c r="Z223" s="5" t="inlineStr">
        <is>
          <t>2028(MW)</t>
        </is>
      </c>
      <c r="AA223" s="5" t="inlineStr">
        <is>
          <t>2029(MW)</t>
        </is>
      </c>
      <c r="AB223" s="5" t="inlineStr">
        <is>
          <t>2030(MW)</t>
        </is>
      </c>
      <c r="AC223" s="5" t="inlineStr">
        <is>
          <t>2031(MW)</t>
        </is>
      </c>
    </row>
    <row r="224">
      <c r="A224" s="9" t="inlineStr">
        <is>
          <t>법인세차감전 순이익</t>
        </is>
      </c>
      <c r="C224" s="12" t="n">
        <v>64706</v>
      </c>
      <c r="D224" s="12" t="n">
        <v>94158</v>
      </c>
      <c r="E224" s="12" t="n">
        <v>27890</v>
      </c>
      <c r="F224" s="12" t="n">
        <v>58647</v>
      </c>
      <c r="G224" s="12" t="n">
        <v>102339</v>
      </c>
      <c r="H224" s="12" t="n">
        <v>139006</v>
      </c>
      <c r="I224" s="12" t="n">
        <v>24568</v>
      </c>
      <c r="J224" s="12" t="n">
        <v>47864</v>
      </c>
      <c r="K224" s="12" t="n">
        <v>81001</v>
      </c>
      <c r="L224" s="12" t="n">
        <v>126743</v>
      </c>
      <c r="M224" s="12" t="n">
        <v>15382</v>
      </c>
      <c r="N224" s="12" t="n">
        <v>55940</v>
      </c>
      <c r="O224" s="12" t="n">
        <v>31055</v>
      </c>
      <c r="P224" s="12" t="n">
        <v>41952</v>
      </c>
      <c r="Q224" s="12" t="n">
        <v>27730</v>
      </c>
      <c r="R224" s="12" t="n">
        <v>8579</v>
      </c>
      <c r="S224" s="12" t="n">
        <v>20673</v>
      </c>
      <c r="T224" s="12" t="n">
        <v>56771</v>
      </c>
      <c r="U224" s="12" t="n">
        <v>78515</v>
      </c>
      <c r="V224" s="12" t="n">
        <v>94158</v>
      </c>
      <c r="W224" s="12" t="n">
        <v>139006</v>
      </c>
      <c r="X224" s="12" t="n">
        <v>126743</v>
      </c>
    </row>
    <row r="225">
      <c r="A225" s="18" t="inlineStr">
        <is>
          <t>감가상각비</t>
        </is>
      </c>
      <c r="C225" s="20" t="n">
        <v>7826</v>
      </c>
      <c r="D225" s="20" t="n">
        <v>10837</v>
      </c>
      <c r="E225" s="20" t="n">
        <v>3087</v>
      </c>
      <c r="F225" s="20" t="n">
        <v>6245</v>
      </c>
      <c r="G225" s="20" t="n">
        <v>9349</v>
      </c>
      <c r="H225" s="20" t="n">
        <v>12831</v>
      </c>
      <c r="I225" s="20" t="n">
        <v>3448</v>
      </c>
      <c r="J225" s="20" t="n">
        <v>6951</v>
      </c>
      <c r="K225" s="20" t="n">
        <v>10701</v>
      </c>
      <c r="L225" s="20" t="n">
        <v>14575</v>
      </c>
      <c r="M225" s="20" t="n">
        <v>4035</v>
      </c>
      <c r="N225" s="20" t="n">
        <v>8169</v>
      </c>
      <c r="O225" s="20" t="n">
        <v>5397</v>
      </c>
      <c r="P225" s="20" t="n">
        <v>5708</v>
      </c>
      <c r="Q225" s="20" t="n">
        <v>6883</v>
      </c>
      <c r="R225" s="20" t="n">
        <v>8860</v>
      </c>
      <c r="S225" s="20" t="n">
        <v>9628</v>
      </c>
      <c r="T225" s="20" t="n">
        <v>9500</v>
      </c>
      <c r="U225" s="20" t="n">
        <v>8799</v>
      </c>
      <c r="V225" s="20" t="n">
        <v>10837</v>
      </c>
      <c r="W225" s="20" t="n">
        <v>12831</v>
      </c>
      <c r="X225" s="20" t="n">
        <v>14575</v>
      </c>
    </row>
    <row r="226">
      <c r="A226" s="18" t="inlineStr">
        <is>
          <t>손상차손</t>
        </is>
      </c>
      <c r="D226" s="20" t="n">
        <v>131</v>
      </c>
      <c r="H226" s="20" t="n">
        <v>1365</v>
      </c>
      <c r="L226" s="20" t="n">
        <v>586</v>
      </c>
      <c r="O226" s="20" t="n">
        <v>1855</v>
      </c>
      <c r="P226" s="20" t="n">
        <v>76</v>
      </c>
      <c r="Q226" s="20" t="n">
        <v>843</v>
      </c>
      <c r="R226" s="20" t="n">
        <v>1576</v>
      </c>
      <c r="S226" s="20" t="n">
        <v>2043</v>
      </c>
      <c r="T226" s="20" t="n">
        <v>1601</v>
      </c>
      <c r="U226" s="20" t="n">
        <v>1993</v>
      </c>
      <c r="V226" s="20" t="n">
        <v>131</v>
      </c>
      <c r="W226" s="20" t="n">
        <v>1365</v>
      </c>
      <c r="X226" s="20" t="n">
        <v>586</v>
      </c>
    </row>
    <row r="227">
      <c r="A227" s="18" t="inlineStr">
        <is>
          <t>투자유가증권 평가손익</t>
        </is>
      </c>
      <c r="C227" s="20" t="n">
        <v>4</v>
      </c>
      <c r="D227" s="20" t="n">
        <v>10</v>
      </c>
      <c r="E227" s="20" t="n">
        <v>2</v>
      </c>
      <c r="F227" s="20" t="n">
        <v>2</v>
      </c>
      <c r="G227" s="20" t="n">
        <v>2</v>
      </c>
      <c r="H227" s="20" t="n">
        <v>2</v>
      </c>
      <c r="I227" s="20" t="n">
        <v>1</v>
      </c>
      <c r="J227" s="20" t="n">
        <v>1</v>
      </c>
      <c r="K227" s="20" t="n">
        <v>1</v>
      </c>
      <c r="M227" s="20" t="n">
        <v>37</v>
      </c>
      <c r="N227" s="20" t="n">
        <v>37</v>
      </c>
      <c r="O227" s="20" t="n">
        <v>173</v>
      </c>
      <c r="P227" s="20" t="n">
        <v>166</v>
      </c>
      <c r="Q227" s="20" t="n">
        <v>62</v>
      </c>
      <c r="R227" s="20" t="n">
        <v>1813</v>
      </c>
      <c r="S227" s="20" t="n">
        <v>18</v>
      </c>
      <c r="T227" s="20" t="n">
        <v>545</v>
      </c>
      <c r="U227" s="20" t="n">
        <v>48</v>
      </c>
      <c r="V227" s="20" t="n">
        <v>10</v>
      </c>
      <c r="W227" s="20" t="n">
        <v>2</v>
      </c>
    </row>
    <row r="228">
      <c r="A228" s="18" t="inlineStr">
        <is>
          <t>투자유가증권 매각손익</t>
        </is>
      </c>
      <c r="C228" s="20" t="n">
        <v>-20</v>
      </c>
      <c r="D228" s="20" t="n">
        <v>-20</v>
      </c>
      <c r="E228" s="20" t="n">
        <v>0</v>
      </c>
      <c r="F228" s="20" t="n">
        <v>0</v>
      </c>
      <c r="G228" s="20" t="n">
        <v>0</v>
      </c>
      <c r="H228" s="20" t="n">
        <v>-953</v>
      </c>
      <c r="I228" s="20" t="n">
        <v>-0</v>
      </c>
      <c r="J228" s="20" t="n">
        <v>-1021</v>
      </c>
      <c r="K228" s="20" t="n">
        <v>-2156</v>
      </c>
      <c r="L228" s="20" t="n">
        <v>-3118</v>
      </c>
      <c r="M228" s="20" t="n">
        <v>0</v>
      </c>
      <c r="N228" s="20" t="n">
        <v>0</v>
      </c>
      <c r="O228" s="20" t="n">
        <v>-1064</v>
      </c>
      <c r="P228" s="20" t="n">
        <v>-872</v>
      </c>
      <c r="Q228" s="20" t="n">
        <v>-444</v>
      </c>
      <c r="R228" s="20" t="n">
        <v>-332</v>
      </c>
      <c r="S228" s="20" t="n">
        <v>-15</v>
      </c>
      <c r="T228" s="20" t="n">
        <v>-57</v>
      </c>
      <c r="U228" s="20" t="n">
        <v>-9</v>
      </c>
      <c r="V228" s="20" t="n">
        <v>-20</v>
      </c>
      <c r="W228" s="20" t="n">
        <v>-953</v>
      </c>
      <c r="X228" s="20" t="n">
        <v>-3118</v>
      </c>
    </row>
    <row r="229">
      <c r="A229" s="18" t="inlineStr">
        <is>
          <t>고정자산 매각이익</t>
        </is>
      </c>
      <c r="P229" s="20" t="n">
        <v>-16</v>
      </c>
      <c r="Q229" s="20" t="n">
        <v>-717</v>
      </c>
    </row>
    <row r="230">
      <c r="A230" s="18" t="inlineStr">
        <is>
          <t>고정자산 매각이익</t>
        </is>
      </c>
      <c r="D230" s="20" t="n">
        <v>-727</v>
      </c>
      <c r="Q230" s="20" t="n">
        <v>-717</v>
      </c>
      <c r="R230" s="20" t="n">
        <v>-29</v>
      </c>
      <c r="T230" s="20" t="n">
        <v>-29</v>
      </c>
      <c r="U230" s="20" t="n">
        <v>-459</v>
      </c>
      <c r="V230" s="20" t="n">
        <v>-727</v>
      </c>
    </row>
    <row r="231">
      <c r="A231" s="18" t="inlineStr">
        <is>
          <t>고정자산 제각손실</t>
        </is>
      </c>
      <c r="C231" s="20" t="n">
        <v>270</v>
      </c>
      <c r="D231" s="20" t="n">
        <v>328</v>
      </c>
      <c r="E231" s="20" t="n">
        <v>193</v>
      </c>
      <c r="F231" s="20" t="n">
        <v>247</v>
      </c>
      <c r="G231" s="20" t="n">
        <v>320</v>
      </c>
      <c r="H231" s="20" t="n">
        <v>443</v>
      </c>
      <c r="L231" s="20" t="n">
        <v>501</v>
      </c>
      <c r="O231" s="20" t="n">
        <v>1231</v>
      </c>
      <c r="P231" s="20" t="n">
        <v>611</v>
      </c>
      <c r="Q231" s="20" t="n">
        <v>928</v>
      </c>
      <c r="R231" s="20" t="n">
        <v>379</v>
      </c>
      <c r="S231" s="20" t="n">
        <v>745</v>
      </c>
      <c r="T231" s="20" t="n">
        <v>2074</v>
      </c>
      <c r="U231" s="20" t="n">
        <v>355</v>
      </c>
      <c r="V231" s="20" t="n">
        <v>328</v>
      </c>
      <c r="W231" s="20" t="n">
        <v>443</v>
      </c>
      <c r="X231" s="20" t="n">
        <v>501</v>
      </c>
    </row>
    <row r="232">
      <c r="A232" s="18" t="inlineStr">
        <is>
          <t>관계회사 주식 매각손익</t>
        </is>
      </c>
      <c r="D232" s="20" t="n">
        <v>0</v>
      </c>
      <c r="H232" s="20" t="n">
        <v>-1155</v>
      </c>
      <c r="T232" s="20" t="n">
        <v>0</v>
      </c>
      <c r="U232" s="20" t="n">
        <v>-3134</v>
      </c>
      <c r="V232" s="20" t="n">
        <v>0</v>
      </c>
      <c r="W232" s="20" t="n">
        <v>-1155</v>
      </c>
    </row>
    <row r="233">
      <c r="A233" s="18" t="inlineStr">
        <is>
          <t>사업양도 손익</t>
        </is>
      </c>
      <c r="D233" s="20" t="n">
        <v>0</v>
      </c>
      <c r="T233" s="20" t="n">
        <v>0</v>
      </c>
      <c r="U233" s="20" t="n">
        <v>-38</v>
      </c>
      <c r="V233" s="20" t="n">
        <v>0</v>
      </c>
    </row>
    <row r="234">
      <c r="A234" s="18" t="inlineStr">
        <is>
          <t>지분법손익</t>
        </is>
      </c>
      <c r="C234" s="20" t="n">
        <v>243</v>
      </c>
      <c r="D234" s="20" t="n">
        <v>1048</v>
      </c>
      <c r="E234" s="20" t="n">
        <v>-55</v>
      </c>
      <c r="F234" s="20" t="n">
        <v>-198</v>
      </c>
      <c r="G234" s="20" t="n">
        <v>-304</v>
      </c>
      <c r="H234" s="20" t="n">
        <v>-328</v>
      </c>
      <c r="I234" s="20" t="n">
        <v>-58</v>
      </c>
      <c r="J234" s="20" t="n">
        <v>-71</v>
      </c>
      <c r="K234" s="20" t="n">
        <v>-95</v>
      </c>
      <c r="L234" s="20" t="n">
        <v>-316</v>
      </c>
      <c r="M234" s="20" t="n">
        <v>149</v>
      </c>
      <c r="N234" s="20" t="n">
        <v>154</v>
      </c>
      <c r="P234" s="20" t="n">
        <v>0</v>
      </c>
      <c r="Q234" s="20" t="n">
        <v>111</v>
      </c>
      <c r="R234" s="20" t="n">
        <v>491</v>
      </c>
      <c r="S234" s="20" t="n">
        <v>438</v>
      </c>
      <c r="T234" s="20" t="n">
        <v>23</v>
      </c>
      <c r="U234" s="20" t="n">
        <v>252</v>
      </c>
      <c r="V234" s="20" t="n">
        <v>1048</v>
      </c>
      <c r="W234" s="20" t="n">
        <v>-328</v>
      </c>
      <c r="X234" s="20" t="n">
        <v>-316</v>
      </c>
    </row>
    <row r="235">
      <c r="A235" s="18" t="inlineStr">
        <is>
          <t>퇴직급여부채 증감</t>
        </is>
      </c>
      <c r="O235" s="20" t="n">
        <v>-12</v>
      </c>
      <c r="P235" s="20" t="n">
        <v>-159</v>
      </c>
      <c r="Q235" s="20" t="n">
        <v>78</v>
      </c>
    </row>
    <row r="236">
      <c r="A236" s="18" t="inlineStr">
        <is>
          <t>Increase Decrease In Net Defined Benefit Asset And Liability Ope CF</t>
        </is>
      </c>
      <c r="C236" s="20" t="n">
        <v>-541</v>
      </c>
      <c r="D236" s="20" t="n">
        <v>-743</v>
      </c>
      <c r="E236" s="20" t="n">
        <v>-480</v>
      </c>
      <c r="F236" s="20" t="n">
        <v>-527</v>
      </c>
      <c r="G236" s="20" t="n">
        <v>-422</v>
      </c>
      <c r="H236" s="20" t="n">
        <v>-83</v>
      </c>
      <c r="I236" s="20" t="n">
        <v>-161</v>
      </c>
      <c r="J236" s="20" t="n">
        <v>-205</v>
      </c>
      <c r="K236" s="20" t="n">
        <v>-468</v>
      </c>
      <c r="L236" s="20" t="n">
        <v>-1047</v>
      </c>
      <c r="M236" s="20" t="n">
        <v>-573</v>
      </c>
      <c r="N236" s="20" t="n">
        <v>-780</v>
      </c>
      <c r="Q236" s="20" t="n">
        <v>78</v>
      </c>
      <c r="R236" s="20" t="n">
        <v>152</v>
      </c>
      <c r="S236" s="20" t="n">
        <v>-291</v>
      </c>
      <c r="T236" s="20" t="n">
        <v>-463</v>
      </c>
      <c r="U236" s="20" t="n">
        <v>-910</v>
      </c>
      <c r="V236" s="20" t="n">
        <v>-743</v>
      </c>
      <c r="W236" s="20" t="n">
        <v>-83</v>
      </c>
      <c r="X236" s="20" t="n">
        <v>-1047</v>
      </c>
    </row>
    <row r="237">
      <c r="A237" s="18" t="inlineStr">
        <is>
          <t>상여충당금 증감</t>
        </is>
      </c>
      <c r="C237" s="20" t="n">
        <v>-484</v>
      </c>
      <c r="D237" s="20" t="n">
        <v>750</v>
      </c>
      <c r="E237" s="20" t="n">
        <v>-4082</v>
      </c>
      <c r="F237" s="20" t="n">
        <v>-1455</v>
      </c>
      <c r="G237" s="20" t="n">
        <v>645</v>
      </c>
      <c r="H237" s="20" t="n">
        <v>1504</v>
      </c>
      <c r="I237" s="20" t="n">
        <v>-5249</v>
      </c>
      <c r="J237" s="20" t="n">
        <v>-3262</v>
      </c>
      <c r="K237" s="20" t="n">
        <v>-655</v>
      </c>
      <c r="L237" s="20" t="n">
        <v>978</v>
      </c>
      <c r="M237" s="20" t="n">
        <v>-7203</v>
      </c>
      <c r="N237" s="20" t="n">
        <v>-3022</v>
      </c>
      <c r="O237" s="20" t="n">
        <v>2360</v>
      </c>
      <c r="P237" s="20" t="n">
        <v>798</v>
      </c>
      <c r="Q237" s="20" t="n">
        <v>-1585</v>
      </c>
      <c r="R237" s="20" t="n">
        <v>-1416</v>
      </c>
      <c r="S237" s="20" t="n">
        <v>1223</v>
      </c>
      <c r="T237" s="20" t="n">
        <v>3033</v>
      </c>
      <c r="U237" s="20" t="n">
        <v>648</v>
      </c>
      <c r="V237" s="20" t="n">
        <v>750</v>
      </c>
      <c r="W237" s="20" t="n">
        <v>1504</v>
      </c>
      <c r="X237" s="20" t="n">
        <v>978</v>
      </c>
    </row>
    <row r="238">
      <c r="A238" s="18" t="inlineStr">
        <is>
          <t>임원 상여충당금 증감</t>
        </is>
      </c>
      <c r="D238" s="20" t="n">
        <v>9</v>
      </c>
      <c r="O238" s="20" t="n">
        <v>9</v>
      </c>
      <c r="P238" s="20" t="n">
        <v>137</v>
      </c>
      <c r="Q238" s="20" t="n">
        <v>-64</v>
      </c>
      <c r="R238" s="20" t="n">
        <v>-31</v>
      </c>
      <c r="S238" s="20" t="n">
        <v>55</v>
      </c>
      <c r="T238" s="20" t="n">
        <v>94</v>
      </c>
      <c r="U238" s="20" t="n">
        <v>23</v>
      </c>
      <c r="V238" s="20" t="n">
        <v>9</v>
      </c>
    </row>
    <row r="239">
      <c r="A239" s="18" t="inlineStr">
        <is>
          <t>주식급여 충당금 증감</t>
        </is>
      </c>
      <c r="O239" s="20" t="n">
        <v>0</v>
      </c>
      <c r="P239" s="20" t="n">
        <v>28</v>
      </c>
      <c r="Q239" s="20" t="n">
        <v>5</v>
      </c>
    </row>
    <row r="240">
      <c r="A240" s="18" t="inlineStr">
        <is>
          <t>임원 주식급여 충당금 증감</t>
        </is>
      </c>
      <c r="O240" s="20" t="n">
        <v>0</v>
      </c>
      <c r="P240" s="20" t="n">
        <v>45</v>
      </c>
      <c r="Q240" s="20" t="n">
        <v>-6</v>
      </c>
    </row>
    <row r="241">
      <c r="A241" s="18" t="inlineStr">
        <is>
          <t>주식급여 충당금 증감</t>
        </is>
      </c>
      <c r="D241" s="20" t="n">
        <v>27</v>
      </c>
      <c r="Q241" s="20" t="n">
        <v>5</v>
      </c>
      <c r="R241" s="20" t="n">
        <v>9</v>
      </c>
      <c r="S241" s="20" t="n">
        <v>-18</v>
      </c>
      <c r="T241" s="20" t="n">
        <v>23</v>
      </c>
      <c r="U241" s="20" t="n">
        <v>6</v>
      </c>
      <c r="V241" s="20" t="n">
        <v>27</v>
      </c>
    </row>
    <row r="242">
      <c r="A242" s="18" t="inlineStr">
        <is>
          <t>임원 주식급여 충당금 증감</t>
        </is>
      </c>
      <c r="D242" s="20" t="n">
        <v>28</v>
      </c>
      <c r="Q242" s="20" t="n">
        <v>-6</v>
      </c>
      <c r="R242" s="20" t="n">
        <v>3</v>
      </c>
      <c r="S242" s="20" t="n">
        <v>-18</v>
      </c>
      <c r="T242" s="20" t="n">
        <v>17</v>
      </c>
      <c r="U242" s="20" t="n">
        <v>5</v>
      </c>
      <c r="V242" s="20" t="n">
        <v>28</v>
      </c>
    </row>
    <row r="243">
      <c r="A243" s="18" t="inlineStr">
        <is>
          <t>제품보증 충당금 증감</t>
        </is>
      </c>
      <c r="C243" s="20" t="n">
        <v>356</v>
      </c>
      <c r="D243" s="20" t="n">
        <v>1882</v>
      </c>
      <c r="E243" s="20" t="n">
        <v>-420</v>
      </c>
      <c r="F243" s="20" t="n">
        <v>-750</v>
      </c>
      <c r="G243" s="20" t="n">
        <v>-278</v>
      </c>
      <c r="H243" s="20" t="n">
        <v>686</v>
      </c>
      <c r="I243" s="20" t="n">
        <v>-0</v>
      </c>
      <c r="J243" s="20" t="n">
        <v>-741</v>
      </c>
      <c r="K243" s="20" t="n">
        <v>-996</v>
      </c>
      <c r="L243" s="20" t="n">
        <v>-1326</v>
      </c>
      <c r="M243" s="20" t="n">
        <v>-896</v>
      </c>
      <c r="N243" s="20" t="n">
        <v>-1277</v>
      </c>
      <c r="O243" s="20" t="n">
        <v>1189</v>
      </c>
      <c r="P243" s="20" t="n">
        <v>610</v>
      </c>
      <c r="Q243" s="20" t="n">
        <v>509</v>
      </c>
      <c r="R243" s="20" t="n">
        <v>-75</v>
      </c>
      <c r="S243" s="20" t="n">
        <v>237</v>
      </c>
      <c r="T243" s="20" t="n">
        <v>1684</v>
      </c>
      <c r="U243" s="20" t="n">
        <v>1644</v>
      </c>
      <c r="V243" s="20" t="n">
        <v>1882</v>
      </c>
      <c r="W243" s="20" t="n">
        <v>686</v>
      </c>
      <c r="X243" s="20" t="n">
        <v>-1326</v>
      </c>
    </row>
    <row r="244">
      <c r="A244" s="18" t="inlineStr">
        <is>
          <t>수주손실 충당금 증감</t>
        </is>
      </c>
      <c r="C244" s="20" t="n">
        <v>1024</v>
      </c>
      <c r="D244" s="20" t="n">
        <v>1533</v>
      </c>
      <c r="E244" s="20" t="n">
        <v>-974</v>
      </c>
      <c r="F244" s="20" t="n">
        <v>-1719</v>
      </c>
      <c r="G244" s="20" t="n">
        <v>-1245</v>
      </c>
      <c r="H244" s="20" t="n">
        <v>-1123</v>
      </c>
      <c r="I244" s="20" t="n">
        <v>-300</v>
      </c>
      <c r="J244" s="20" t="n">
        <v>959</v>
      </c>
      <c r="K244" s="20" t="n">
        <v>297</v>
      </c>
      <c r="L244" s="20" t="n">
        <v>761</v>
      </c>
      <c r="M244" s="20" t="n">
        <v>-1059</v>
      </c>
      <c r="N244" s="20" t="n">
        <v>660</v>
      </c>
      <c r="O244" s="20" t="n">
        <v>86</v>
      </c>
      <c r="P244" s="20" t="n">
        <v>-30</v>
      </c>
      <c r="Q244" s="20" t="n">
        <v>15</v>
      </c>
      <c r="R244" s="20" t="n">
        <v>237</v>
      </c>
      <c r="S244" s="20" t="n">
        <v>-175</v>
      </c>
      <c r="T244" s="20" t="n">
        <v>615</v>
      </c>
      <c r="U244" s="20" t="n">
        <v>411</v>
      </c>
      <c r="V244" s="20" t="n">
        <v>1533</v>
      </c>
      <c r="W244" s="20" t="n">
        <v>-1123</v>
      </c>
      <c r="X244" s="20" t="n">
        <v>761</v>
      </c>
    </row>
    <row r="245">
      <c r="A245" s="18" t="inlineStr">
        <is>
          <t>이자·배당금 수익</t>
        </is>
      </c>
      <c r="C245" s="20" t="n">
        <v>-1156</v>
      </c>
      <c r="D245" s="20" t="n">
        <v>-1313</v>
      </c>
      <c r="E245" s="20" t="n">
        <v>-618</v>
      </c>
      <c r="F245" s="20" t="n">
        <v>-790</v>
      </c>
      <c r="G245" s="20" t="n">
        <v>-1358</v>
      </c>
      <c r="H245" s="20" t="n">
        <v>-1679</v>
      </c>
      <c r="I245" s="20" t="n">
        <v>-742</v>
      </c>
      <c r="J245" s="20" t="n">
        <v>-1088</v>
      </c>
      <c r="K245" s="20" t="n">
        <v>-1733</v>
      </c>
      <c r="L245" s="20" t="n">
        <v>-2140</v>
      </c>
      <c r="M245" s="20" t="n">
        <v>-1072</v>
      </c>
      <c r="N245" s="20" t="n">
        <v>-1639</v>
      </c>
      <c r="O245" s="20" t="n">
        <v>-563</v>
      </c>
      <c r="P245" s="20" t="n">
        <v>-598</v>
      </c>
      <c r="Q245" s="20" t="n">
        <v>-613</v>
      </c>
      <c r="R245" s="20" t="n">
        <v>-659</v>
      </c>
      <c r="S245" s="20" t="n">
        <v>-602</v>
      </c>
      <c r="T245" s="20" t="n">
        <v>-668</v>
      </c>
      <c r="U245" s="20" t="n">
        <v>-980</v>
      </c>
      <c r="V245" s="20" t="n">
        <v>-1313</v>
      </c>
      <c r="W245" s="20" t="n">
        <v>-1679</v>
      </c>
      <c r="X245" s="20" t="n">
        <v>-2140</v>
      </c>
    </row>
    <row r="246">
      <c r="A246" s="18" t="inlineStr">
        <is>
          <t>이자비용</t>
        </is>
      </c>
      <c r="C246" s="20" t="n">
        <v>174</v>
      </c>
      <c r="D246" s="20" t="n">
        <v>197</v>
      </c>
      <c r="E246" s="20" t="n">
        <v>55</v>
      </c>
      <c r="F246" s="20" t="n">
        <v>83</v>
      </c>
      <c r="G246" s="20" t="n">
        <v>148</v>
      </c>
      <c r="H246" s="20" t="n">
        <v>135</v>
      </c>
      <c r="I246" s="20" t="n">
        <v>48</v>
      </c>
      <c r="J246" s="20" t="n">
        <v>79</v>
      </c>
      <c r="K246" s="20" t="n">
        <v>114</v>
      </c>
      <c r="L246" s="20" t="n">
        <v>80</v>
      </c>
      <c r="M246" s="20" t="n">
        <v>60</v>
      </c>
      <c r="N246" s="20" t="n">
        <v>95</v>
      </c>
      <c r="O246" s="20" t="n">
        <v>818</v>
      </c>
      <c r="P246" s="20" t="n">
        <v>603</v>
      </c>
      <c r="Q246" s="20" t="n">
        <v>543</v>
      </c>
      <c r="R246" s="20" t="n">
        <v>558</v>
      </c>
      <c r="S246" s="20" t="n">
        <v>498</v>
      </c>
      <c r="T246" s="20" t="n">
        <v>307</v>
      </c>
      <c r="U246" s="20" t="n">
        <v>219</v>
      </c>
      <c r="V246" s="20" t="n">
        <v>197</v>
      </c>
      <c r="W246" s="20" t="n">
        <v>135</v>
      </c>
      <c r="X246" s="20" t="n">
        <v>80</v>
      </c>
    </row>
    <row r="247">
      <c r="A247" s="18" t="inlineStr">
        <is>
          <t>매출채권 증감</t>
        </is>
      </c>
      <c r="O247" s="20" t="n">
        <v>8175</v>
      </c>
      <c r="P247" s="20" t="n">
        <v>-25928</v>
      </c>
      <c r="Q247" s="20" t="n">
        <v>-15354</v>
      </c>
      <c r="R247" s="20" t="n">
        <v>17580</v>
      </c>
      <c r="S247" s="20" t="n">
        <v>-2920</v>
      </c>
      <c r="T247" s="20" t="n">
        <v>-4176</v>
      </c>
    </row>
    <row r="248">
      <c r="A248" s="18" t="inlineStr">
        <is>
          <t>매출채권·계약자산 증감</t>
        </is>
      </c>
      <c r="T248" s="20" t="n">
        <v>-4176</v>
      </c>
      <c r="U248" s="20" t="n">
        <v>-17053</v>
      </c>
    </row>
    <row r="249">
      <c r="A249" s="18" t="inlineStr">
        <is>
          <t>매출채권·계약자산 증감</t>
        </is>
      </c>
      <c r="C249" s="20" t="n">
        <v>22190</v>
      </c>
      <c r="D249" s="20" t="n">
        <v>-544</v>
      </c>
      <c r="E249" s="20" t="n">
        <v>21711</v>
      </c>
      <c r="F249" s="20" t="n">
        <v>34052</v>
      </c>
      <c r="G249" s="20" t="n">
        <v>7484</v>
      </c>
      <c r="H249" s="20" t="n">
        <v>12037</v>
      </c>
      <c r="I249" s="20" t="n">
        <v>9881</v>
      </c>
      <c r="J249" s="20" t="n">
        <v>4523</v>
      </c>
      <c r="K249" s="20" t="n">
        <v>-5142</v>
      </c>
      <c r="L249" s="20" t="n">
        <v>-7248</v>
      </c>
      <c r="M249" s="20" t="n">
        <v>10842</v>
      </c>
      <c r="N249" s="20" t="n">
        <v>-6205</v>
      </c>
      <c r="U249" s="20" t="n">
        <v>-17053</v>
      </c>
      <c r="V249" s="20" t="n">
        <v>-544</v>
      </c>
      <c r="W249" s="20" t="n">
        <v>12037</v>
      </c>
      <c r="X249" s="20" t="n">
        <v>-7248</v>
      </c>
    </row>
    <row r="250">
      <c r="A250" s="18" t="inlineStr">
        <is>
          <t>재고자산 증감</t>
        </is>
      </c>
      <c r="C250" s="20" t="n">
        <v>-49921</v>
      </c>
      <c r="D250" s="20" t="n">
        <v>-37083</v>
      </c>
      <c r="E250" s="20" t="n">
        <v>-19454</v>
      </c>
      <c r="F250" s="20" t="n">
        <v>-31077</v>
      </c>
      <c r="G250" s="20" t="n">
        <v>-14157</v>
      </c>
      <c r="H250" s="20" t="n">
        <v>-8793</v>
      </c>
      <c r="I250" s="20" t="n">
        <v>-5488</v>
      </c>
      <c r="J250" s="20" t="n">
        <v>-3597</v>
      </c>
      <c r="K250" s="20" t="n">
        <v>-883</v>
      </c>
      <c r="L250" s="20" t="n">
        <v>12406</v>
      </c>
      <c r="M250" s="20" t="n">
        <v>-33412</v>
      </c>
      <c r="N250" s="20" t="n">
        <v>-51118</v>
      </c>
      <c r="O250" s="20" t="n">
        <v>-16397</v>
      </c>
      <c r="P250" s="20" t="n">
        <v>-17390</v>
      </c>
      <c r="Q250" s="20" t="n">
        <v>-13236</v>
      </c>
      <c r="R250" s="20" t="n">
        <v>9383</v>
      </c>
      <c r="S250" s="20" t="n">
        <v>12066</v>
      </c>
      <c r="T250" s="20" t="n">
        <v>-5519</v>
      </c>
      <c r="U250" s="20" t="n">
        <v>-21169</v>
      </c>
      <c r="V250" s="20" t="n">
        <v>-37083</v>
      </c>
      <c r="W250" s="20" t="n">
        <v>-8793</v>
      </c>
      <c r="X250" s="20" t="n">
        <v>12406</v>
      </c>
    </row>
    <row r="251">
      <c r="A251" s="18" t="inlineStr">
        <is>
          <t>기타 유동자산 증감</t>
        </is>
      </c>
      <c r="C251" s="20" t="n">
        <v>545</v>
      </c>
      <c r="D251" s="20" t="n">
        <v>-557</v>
      </c>
      <c r="E251" s="20" t="n">
        <v>1144</v>
      </c>
      <c r="F251" s="20" t="n">
        <v>-330</v>
      </c>
      <c r="G251" s="20" t="n">
        <v>2511</v>
      </c>
      <c r="H251" s="20" t="n">
        <v>128</v>
      </c>
      <c r="I251" s="20" t="n">
        <v>1195</v>
      </c>
      <c r="J251" s="20" t="n">
        <v>492</v>
      </c>
      <c r="K251" s="20" t="n">
        <v>-954</v>
      </c>
      <c r="L251" s="20" t="n">
        <v>-2156</v>
      </c>
      <c r="M251" s="20" t="n">
        <v>-3121</v>
      </c>
      <c r="N251" s="20" t="n">
        <v>-3598</v>
      </c>
      <c r="O251" s="20" t="n">
        <v>-1534</v>
      </c>
      <c r="P251" s="20" t="n">
        <v>441</v>
      </c>
      <c r="Q251" s="20" t="n">
        <v>-569</v>
      </c>
      <c r="R251" s="20" t="n">
        <v>1234</v>
      </c>
      <c r="S251" s="20" t="n">
        <v>-372</v>
      </c>
      <c r="T251" s="20" t="n">
        <v>-2382</v>
      </c>
      <c r="U251" s="20" t="n">
        <v>-1664</v>
      </c>
      <c r="V251" s="20" t="n">
        <v>-557</v>
      </c>
      <c r="W251" s="20" t="n">
        <v>128</v>
      </c>
      <c r="X251" s="20" t="n">
        <v>-2156</v>
      </c>
    </row>
    <row r="252">
      <c r="A252" s="18" t="inlineStr">
        <is>
          <t>매입채무 증감</t>
        </is>
      </c>
      <c r="C252" s="20" t="n">
        <v>21708</v>
      </c>
      <c r="D252" s="20" t="n">
        <v>-17706</v>
      </c>
      <c r="E252" s="20" t="n">
        <v>-19019</v>
      </c>
      <c r="F252" s="20" t="n">
        <v>-23888</v>
      </c>
      <c r="G252" s="20" t="n">
        <v>-21499</v>
      </c>
      <c r="H252" s="20" t="n">
        <v>-23866</v>
      </c>
      <c r="I252" s="20" t="n">
        <v>-6441</v>
      </c>
      <c r="J252" s="20" t="n">
        <v>-7698</v>
      </c>
      <c r="K252" s="20" t="n">
        <v>-4239</v>
      </c>
      <c r="L252" s="20" t="n">
        <v>-5050</v>
      </c>
      <c r="M252" s="20" t="n">
        <v>8484</v>
      </c>
      <c r="N252" s="20" t="n">
        <v>12553</v>
      </c>
      <c r="O252" s="20" t="n">
        <v>14682</v>
      </c>
      <c r="P252" s="20" t="n">
        <v>30011</v>
      </c>
      <c r="Q252" s="20" t="n">
        <v>-21068</v>
      </c>
      <c r="R252" s="20" t="n">
        <v>-25238</v>
      </c>
      <c r="S252" s="20" t="n">
        <v>7318</v>
      </c>
      <c r="T252" s="20" t="n">
        <v>9010</v>
      </c>
      <c r="U252" s="20" t="n">
        <v>10153</v>
      </c>
      <c r="V252" s="20" t="n">
        <v>-17706</v>
      </c>
      <c r="W252" s="20" t="n">
        <v>-23866</v>
      </c>
      <c r="X252" s="20" t="n">
        <v>-5050</v>
      </c>
    </row>
    <row r="253">
      <c r="A253" s="18" t="inlineStr">
        <is>
          <t>계약부채 증감</t>
        </is>
      </c>
      <c r="C253" s="20" t="n">
        <v>60049</v>
      </c>
      <c r="D253" s="20" t="n">
        <v>61483</v>
      </c>
      <c r="E253" s="20" t="n">
        <v>-28258</v>
      </c>
      <c r="F253" s="20" t="n">
        <v>5235</v>
      </c>
      <c r="G253" s="20" t="n">
        <v>-13133</v>
      </c>
      <c r="H253" s="20" t="n">
        <v>-35578</v>
      </c>
      <c r="I253" s="20" t="n">
        <v>6131</v>
      </c>
      <c r="J253" s="20" t="n">
        <v>13371</v>
      </c>
      <c r="K253" s="20" t="n">
        <v>8200</v>
      </c>
      <c r="L253" s="20" t="n">
        <v>-19095</v>
      </c>
      <c r="M253" s="20" t="n">
        <v>40689</v>
      </c>
      <c r="N253" s="20" t="n">
        <v>23271</v>
      </c>
      <c r="U253" s="20" t="n">
        <v>18108</v>
      </c>
      <c r="V253" s="20" t="n">
        <v>61483</v>
      </c>
      <c r="W253" s="20" t="n">
        <v>-35578</v>
      </c>
      <c r="X253" s="20" t="n">
        <v>-19095</v>
      </c>
    </row>
    <row r="254">
      <c r="A254" s="18" t="inlineStr">
        <is>
          <t>기타 유동부채 증감</t>
        </is>
      </c>
      <c r="C254" s="20" t="n">
        <v>22529</v>
      </c>
      <c r="D254" s="20" t="n">
        <v>4852</v>
      </c>
      <c r="E254" s="20" t="n">
        <v>4812</v>
      </c>
      <c r="F254" s="20" t="n">
        <v>-1959</v>
      </c>
      <c r="G254" s="20" t="n">
        <v>-2653</v>
      </c>
      <c r="H254" s="20" t="n">
        <v>-753</v>
      </c>
      <c r="I254" s="20" t="n">
        <v>3410</v>
      </c>
      <c r="J254" s="20" t="n">
        <v>-2508</v>
      </c>
      <c r="K254" s="20" t="n">
        <v>-307</v>
      </c>
      <c r="L254" s="20" t="n">
        <v>20679</v>
      </c>
      <c r="M254" s="20" t="n">
        <v>-11721</v>
      </c>
      <c r="N254" s="20" t="n">
        <v>-22554</v>
      </c>
      <c r="O254" s="20" t="n">
        <v>8920</v>
      </c>
      <c r="P254" s="20" t="n">
        <v>3485</v>
      </c>
      <c r="Q254" s="20" t="n">
        <v>-2870</v>
      </c>
      <c r="R254" s="20" t="n">
        <v>-6021</v>
      </c>
      <c r="S254" s="20" t="n">
        <v>7234</v>
      </c>
      <c r="T254" s="20" t="n">
        <v>17946</v>
      </c>
      <c r="U254" s="20" t="n">
        <v>23554</v>
      </c>
      <c r="V254" s="20" t="n">
        <v>4852</v>
      </c>
      <c r="W254" s="20" t="n">
        <v>-753</v>
      </c>
      <c r="X254" s="20" t="n">
        <v>20679</v>
      </c>
    </row>
    <row r="255">
      <c r="A255" s="18" t="inlineStr">
        <is>
          <t>기타</t>
        </is>
      </c>
      <c r="C255" s="20" t="n">
        <v>-1092</v>
      </c>
      <c r="D255" s="20" t="n">
        <v>-1174</v>
      </c>
      <c r="E255" s="20" t="n">
        <v>-417</v>
      </c>
      <c r="F255" s="20" t="n">
        <v>1294</v>
      </c>
      <c r="G255" s="20" t="n">
        <v>-320</v>
      </c>
      <c r="H255" s="20" t="n">
        <v>-640</v>
      </c>
      <c r="I255" s="20" t="n">
        <v>443</v>
      </c>
      <c r="J255" s="20" t="n">
        <v>2276</v>
      </c>
      <c r="K255" s="20" t="n">
        <v>1966</v>
      </c>
      <c r="L255" s="20" t="n">
        <v>1674</v>
      </c>
      <c r="M255" s="20" t="n">
        <v>-338</v>
      </c>
      <c r="N255" s="20" t="n">
        <v>511</v>
      </c>
      <c r="O255" s="20" t="n">
        <v>345</v>
      </c>
      <c r="P255" s="20" t="n">
        <v>126</v>
      </c>
      <c r="Q255" s="20" t="n">
        <v>593</v>
      </c>
      <c r="R255" s="20" t="n">
        <v>982</v>
      </c>
      <c r="S255" s="20" t="n">
        <v>54</v>
      </c>
      <c r="T255" s="20" t="n">
        <v>402</v>
      </c>
      <c r="U255" s="20" t="n">
        <v>-703</v>
      </c>
      <c r="V255" s="20" t="n">
        <v>-1174</v>
      </c>
      <c r="W255" s="20" t="n">
        <v>-640</v>
      </c>
      <c r="X255" s="20" t="n">
        <v>1674</v>
      </c>
    </row>
    <row r="256">
      <c r="A256" s="18" t="inlineStr">
        <is>
          <t>소계</t>
        </is>
      </c>
      <c r="C256" s="20" t="n">
        <v>148413</v>
      </c>
      <c r="D256" s="20" t="n">
        <v>118070</v>
      </c>
      <c r="E256" s="20" t="n">
        <v>-15076</v>
      </c>
      <c r="F256" s="20" t="n">
        <v>42862</v>
      </c>
      <c r="G256" s="20" t="n">
        <v>67106</v>
      </c>
      <c r="H256" s="20" t="n">
        <v>94338</v>
      </c>
      <c r="I256" s="20" t="n">
        <v>30687</v>
      </c>
      <c r="J256" s="20" t="n">
        <v>56325</v>
      </c>
      <c r="K256" s="20" t="n">
        <v>84650</v>
      </c>
      <c r="L256" s="20" t="n">
        <v>137485</v>
      </c>
      <c r="M256" s="20" t="n">
        <v>20280</v>
      </c>
      <c r="N256" s="20" t="n">
        <v>11195</v>
      </c>
      <c r="O256" s="20" t="n">
        <v>56730</v>
      </c>
      <c r="P256" s="20" t="n">
        <v>39806</v>
      </c>
      <c r="Q256" s="20" t="n">
        <v>-18226</v>
      </c>
      <c r="R256" s="20" t="n">
        <v>18066</v>
      </c>
      <c r="S256" s="20" t="n">
        <v>57821</v>
      </c>
      <c r="T256" s="20" t="n">
        <v>90357</v>
      </c>
      <c r="U256" s="20" t="n">
        <v>98618</v>
      </c>
      <c r="V256" s="20" t="n">
        <v>118070</v>
      </c>
      <c r="W256" s="20" t="n">
        <v>94338</v>
      </c>
      <c r="X256" s="20" t="n">
        <v>137485</v>
      </c>
    </row>
    <row r="257">
      <c r="A257" s="18" t="inlineStr">
        <is>
          <t>이자·배당금 수취</t>
        </is>
      </c>
      <c r="C257" s="20" t="n">
        <v>1177</v>
      </c>
      <c r="D257" s="20" t="n">
        <v>1309</v>
      </c>
      <c r="E257" s="20" t="n">
        <v>630</v>
      </c>
      <c r="F257" s="20" t="n">
        <v>793</v>
      </c>
      <c r="G257" s="20" t="n">
        <v>1377</v>
      </c>
      <c r="H257" s="20" t="n">
        <v>1678</v>
      </c>
      <c r="I257" s="20" t="n">
        <v>745</v>
      </c>
      <c r="J257" s="20" t="n">
        <v>1097</v>
      </c>
      <c r="K257" s="20" t="n">
        <v>1752</v>
      </c>
      <c r="L257" s="20" t="n">
        <v>2141</v>
      </c>
      <c r="M257" s="20" t="n">
        <v>1085</v>
      </c>
      <c r="N257" s="20" t="n">
        <v>1654</v>
      </c>
      <c r="O257" s="20" t="n">
        <v>564</v>
      </c>
      <c r="P257" s="20" t="n">
        <v>593</v>
      </c>
      <c r="Q257" s="20" t="n">
        <v>583</v>
      </c>
      <c r="R257" s="20" t="n">
        <v>630</v>
      </c>
      <c r="S257" s="20" t="n">
        <v>577</v>
      </c>
      <c r="T257" s="20" t="n">
        <v>637</v>
      </c>
      <c r="U257" s="20" t="n">
        <v>949</v>
      </c>
      <c r="V257" s="20" t="n">
        <v>1309</v>
      </c>
      <c r="W257" s="20" t="n">
        <v>1678</v>
      </c>
      <c r="X257" s="20" t="n">
        <v>2141</v>
      </c>
    </row>
    <row r="258">
      <c r="A258" s="18" t="inlineStr">
        <is>
          <t>이자 지급</t>
        </is>
      </c>
      <c r="C258" s="20" t="n">
        <v>-172</v>
      </c>
      <c r="D258" s="20" t="n">
        <v>-200</v>
      </c>
      <c r="E258" s="20" t="n">
        <v>-42</v>
      </c>
      <c r="F258" s="20" t="n">
        <v>-77</v>
      </c>
      <c r="G258" s="20" t="n">
        <v>-101</v>
      </c>
      <c r="H258" s="20" t="n">
        <v>-112</v>
      </c>
      <c r="I258" s="20" t="n">
        <v>-18</v>
      </c>
      <c r="J258" s="20" t="n">
        <v>-68</v>
      </c>
      <c r="K258" s="20" t="n">
        <v>-115</v>
      </c>
      <c r="L258" s="20" t="n">
        <v>-80</v>
      </c>
      <c r="M258" s="20" t="n">
        <v>-25</v>
      </c>
      <c r="N258" s="20" t="n">
        <v>-84</v>
      </c>
      <c r="O258" s="20" t="n">
        <v>-876</v>
      </c>
      <c r="P258" s="20" t="n">
        <v>-595</v>
      </c>
      <c r="Q258" s="20" t="n">
        <v>-546</v>
      </c>
      <c r="R258" s="20" t="n">
        <v>-554</v>
      </c>
      <c r="S258" s="20" t="n">
        <v>-508</v>
      </c>
      <c r="T258" s="20" t="n">
        <v>-304</v>
      </c>
      <c r="U258" s="20" t="n">
        <v>-221</v>
      </c>
      <c r="V258" s="20" t="n">
        <v>-200</v>
      </c>
      <c r="W258" s="20" t="n">
        <v>-112</v>
      </c>
      <c r="X258" s="20" t="n">
        <v>-80</v>
      </c>
    </row>
    <row r="259">
      <c r="A259" s="18" t="inlineStr">
        <is>
          <t>Contribution In Connection With The Shift To ADefined Contribution Pension Plan Ope CF</t>
        </is>
      </c>
      <c r="O259" s="20" t="n">
        <v>-0</v>
      </c>
      <c r="P259" s="20" t="n">
        <v>-1</v>
      </c>
      <c r="Q259" s="20" t="n">
        <v>-1</v>
      </c>
      <c r="R259" s="20" t="n">
        <v>-1</v>
      </c>
      <c r="S259" s="20" t="n">
        <v>-0</v>
      </c>
    </row>
    <row r="260">
      <c r="A260" s="18" t="inlineStr">
        <is>
          <t>법인세 납부·환급</t>
        </is>
      </c>
      <c r="T260" s="20" t="n">
        <v>-8936</v>
      </c>
      <c r="U260" s="20" t="n">
        <v>-25440</v>
      </c>
    </row>
    <row r="261">
      <c r="A261" s="18" t="inlineStr">
        <is>
          <t>법인세 납부</t>
        </is>
      </c>
      <c r="C261" s="20" t="n">
        <v>-22089</v>
      </c>
      <c r="D261" s="20" t="n">
        <v>-22923</v>
      </c>
      <c r="E261" s="20" t="n">
        <v>-17632</v>
      </c>
      <c r="F261" s="20" t="n">
        <v>-10083</v>
      </c>
      <c r="G261" s="20" t="n">
        <v>-23956</v>
      </c>
      <c r="H261" s="20" t="n">
        <v>-24669</v>
      </c>
      <c r="I261" s="20" t="n">
        <v>-24414</v>
      </c>
      <c r="J261" s="20" t="n">
        <v>-26519</v>
      </c>
      <c r="K261" s="20" t="n">
        <v>-45776</v>
      </c>
      <c r="L261" s="20" t="n">
        <v>-46838</v>
      </c>
      <c r="M261" s="20" t="n">
        <v>-12316</v>
      </c>
      <c r="N261" s="20" t="n">
        <v>-14679</v>
      </c>
      <c r="O261" s="20" t="n">
        <v>-7394</v>
      </c>
      <c r="P261" s="20" t="n">
        <v>-10924</v>
      </c>
      <c r="Q261" s="20" t="n">
        <v>-19344</v>
      </c>
      <c r="R261" s="20" t="n">
        <v>-6328</v>
      </c>
      <c r="S261" s="20" t="n">
        <v>-685</v>
      </c>
      <c r="T261" s="20" t="n">
        <v>-8936</v>
      </c>
      <c r="U261" s="20" t="n">
        <v>-25440</v>
      </c>
      <c r="V261" s="20" t="n">
        <v>-22923</v>
      </c>
      <c r="W261" s="20" t="n">
        <v>-24669</v>
      </c>
      <c r="X261" s="20" t="n">
        <v>-46838</v>
      </c>
    </row>
    <row r="262">
      <c r="A262" s="9" t="inlineStr">
        <is>
          <t>영업활동 현금흐름</t>
        </is>
      </c>
      <c r="C262" s="12" t="n">
        <v>127328</v>
      </c>
      <c r="D262" s="12" t="n">
        <v>96255</v>
      </c>
      <c r="E262" s="12" t="n">
        <v>-32120</v>
      </c>
      <c r="F262" s="12" t="n">
        <v>33494</v>
      </c>
      <c r="G262" s="12" t="n">
        <v>44425</v>
      </c>
      <c r="H262" s="12" t="n">
        <v>71234</v>
      </c>
      <c r="I262" s="12" t="n">
        <v>6999</v>
      </c>
      <c r="J262" s="12" t="n">
        <v>30834</v>
      </c>
      <c r="K262" s="12" t="n">
        <v>40510</v>
      </c>
      <c r="L262" s="12" t="n">
        <v>92707</v>
      </c>
      <c r="M262" s="12" t="n">
        <v>9023</v>
      </c>
      <c r="N262" s="12" t="n">
        <v>-1913</v>
      </c>
      <c r="O262" s="12" t="n">
        <v>49024</v>
      </c>
      <c r="P262" s="12" t="n">
        <v>28878</v>
      </c>
      <c r="Q262" s="12" t="n">
        <v>-37534</v>
      </c>
      <c r="R262" s="12" t="n">
        <v>11811</v>
      </c>
      <c r="S262" s="12" t="n">
        <v>57205</v>
      </c>
      <c r="T262" s="12" t="n">
        <v>81752</v>
      </c>
      <c r="U262" s="12" t="n">
        <v>73906</v>
      </c>
      <c r="V262" s="12" t="n">
        <v>96255</v>
      </c>
      <c r="W262" s="12" t="n">
        <v>71234</v>
      </c>
      <c r="X262" s="12" t="n">
        <v>92707</v>
      </c>
    </row>
    <row r="263">
      <c r="A263" s="18" t="inlineStr">
        <is>
          <t>정기예금 증감</t>
        </is>
      </c>
      <c r="C263" s="20" t="n">
        <v>1043</v>
      </c>
      <c r="D263" s="20" t="n">
        <v>230</v>
      </c>
      <c r="E263" s="20" t="n">
        <v>-380</v>
      </c>
      <c r="F263" s="20" t="n">
        <v>350</v>
      </c>
      <c r="G263" s="20" t="n">
        <v>568</v>
      </c>
      <c r="H263" s="20" t="n">
        <v>-208</v>
      </c>
      <c r="I263" s="20" t="n">
        <v>-310</v>
      </c>
      <c r="J263" s="20" t="n">
        <v>1066</v>
      </c>
      <c r="K263" s="20" t="n">
        <v>863</v>
      </c>
      <c r="L263" s="20" t="n">
        <v>407</v>
      </c>
      <c r="M263" s="20" t="n">
        <v>635</v>
      </c>
      <c r="N263" s="20" t="n">
        <v>748</v>
      </c>
      <c r="O263" s="20" t="n">
        <v>-1707</v>
      </c>
      <c r="P263" s="20" t="n">
        <v>1625</v>
      </c>
      <c r="Q263" s="20" t="n">
        <v>1005</v>
      </c>
      <c r="R263" s="20" t="n">
        <v>-1090</v>
      </c>
      <c r="S263" s="20" t="n">
        <v>408</v>
      </c>
      <c r="T263" s="20" t="n">
        <v>-20</v>
      </c>
      <c r="U263" s="20" t="n">
        <v>195</v>
      </c>
      <c r="V263" s="20" t="n">
        <v>230</v>
      </c>
      <c r="W263" s="20" t="n">
        <v>-208</v>
      </c>
      <c r="X263" s="20" t="n">
        <v>407</v>
      </c>
    </row>
    <row r="264">
      <c r="A264" s="18" t="inlineStr">
        <is>
          <t>유형자산 취득(설비투자)</t>
        </is>
      </c>
      <c r="C264" s="20" t="n">
        <v>-21489</v>
      </c>
      <c r="D264" s="20" t="n">
        <v>-38105</v>
      </c>
      <c r="E264" s="20" t="n">
        <v>-6651</v>
      </c>
      <c r="F264" s="20" t="n">
        <v>-12285</v>
      </c>
      <c r="G264" s="20" t="n">
        <v>-14380</v>
      </c>
      <c r="H264" s="20" t="n">
        <v>-21786</v>
      </c>
      <c r="I264" s="20" t="n">
        <v>-8283</v>
      </c>
      <c r="J264" s="20" t="n">
        <v>-10227</v>
      </c>
      <c r="K264" s="20" t="n">
        <v>-15108</v>
      </c>
      <c r="L264" s="20" t="n">
        <v>-25507</v>
      </c>
      <c r="M264" s="20" t="n">
        <v>-9632</v>
      </c>
      <c r="N264" s="20" t="n">
        <v>-13021</v>
      </c>
      <c r="O264" s="20" t="n">
        <v>-5496</v>
      </c>
      <c r="P264" s="20" t="n">
        <v>-9907</v>
      </c>
      <c r="Q264" s="20" t="n">
        <v>-15679</v>
      </c>
      <c r="R264" s="20" t="n">
        <v>-9114</v>
      </c>
      <c r="S264" s="20" t="n">
        <v>-5390</v>
      </c>
      <c r="T264" s="20" t="n">
        <v>-8813</v>
      </c>
      <c r="U264" s="20" t="n">
        <v>-18821</v>
      </c>
      <c r="V264" s="20" t="n">
        <v>-38105</v>
      </c>
      <c r="W264" s="20" t="n">
        <v>-21786</v>
      </c>
      <c r="X264" s="20" t="n">
        <v>-25507</v>
      </c>
    </row>
    <row r="265">
      <c r="A265" s="18" t="inlineStr">
        <is>
          <t>유형자산 매각</t>
        </is>
      </c>
      <c r="C265" s="20" t="n">
        <v>1216</v>
      </c>
      <c r="D265" s="20" t="n">
        <v>1395</v>
      </c>
      <c r="E265" s="20" t="n">
        <v>20</v>
      </c>
      <c r="F265" s="20" t="n">
        <v>33</v>
      </c>
      <c r="G265" s="20" t="n">
        <v>158</v>
      </c>
      <c r="H265" s="20" t="n">
        <v>49</v>
      </c>
      <c r="I265" s="20" t="n">
        <v>29</v>
      </c>
      <c r="J265" s="20" t="n">
        <v>372</v>
      </c>
      <c r="K265" s="20" t="n">
        <v>375</v>
      </c>
      <c r="L265" s="20" t="n">
        <v>387</v>
      </c>
      <c r="M265" s="20" t="n">
        <v>117</v>
      </c>
      <c r="N265" s="20" t="n">
        <v>127</v>
      </c>
      <c r="O265" s="20" t="n">
        <v>313</v>
      </c>
      <c r="P265" s="20" t="n">
        <v>398</v>
      </c>
      <c r="Q265" s="20" t="n">
        <v>1357</v>
      </c>
      <c r="R265" s="20" t="n">
        <v>92</v>
      </c>
      <c r="S265" s="20" t="n">
        <v>95</v>
      </c>
      <c r="T265" s="20" t="n">
        <v>101</v>
      </c>
      <c r="U265" s="20" t="n">
        <v>2119</v>
      </c>
      <c r="V265" s="20" t="n">
        <v>1395</v>
      </c>
      <c r="W265" s="20" t="n">
        <v>49</v>
      </c>
      <c r="X265" s="20" t="n">
        <v>387</v>
      </c>
    </row>
    <row r="266">
      <c r="A266" s="18" t="inlineStr">
        <is>
          <t>무형자산 취득</t>
        </is>
      </c>
      <c r="C266" s="20" t="n">
        <v>-1337</v>
      </c>
      <c r="D266" s="20" t="n">
        <v>-2232</v>
      </c>
      <c r="E266" s="20" t="n">
        <v>-652</v>
      </c>
      <c r="F266" s="20" t="n">
        <v>-1382</v>
      </c>
      <c r="G266" s="20" t="n">
        <v>-2288</v>
      </c>
      <c r="H266" s="20" t="n">
        <v>-3781</v>
      </c>
      <c r="I266" s="20" t="n">
        <v>-1243</v>
      </c>
      <c r="J266" s="20" t="n">
        <v>-2446</v>
      </c>
      <c r="K266" s="20" t="n">
        <v>-3877</v>
      </c>
      <c r="L266" s="20" t="n">
        <v>-5357</v>
      </c>
      <c r="M266" s="20" t="n">
        <v>-1272</v>
      </c>
      <c r="N266" s="20" t="n">
        <v>-2237</v>
      </c>
      <c r="P266" s="20" t="n">
        <v>-1925</v>
      </c>
      <c r="Q266" s="20" t="n">
        <v>-4184</v>
      </c>
      <c r="R266" s="20" t="n">
        <v>-1277</v>
      </c>
      <c r="S266" s="20" t="n">
        <v>-1326</v>
      </c>
      <c r="T266" s="20" t="n">
        <v>-1338</v>
      </c>
      <c r="U266" s="20" t="n">
        <v>-1974</v>
      </c>
      <c r="V266" s="20" t="n">
        <v>-2232</v>
      </c>
      <c r="W266" s="20" t="n">
        <v>-3781</v>
      </c>
      <c r="X266" s="20" t="n">
        <v>-5357</v>
      </c>
    </row>
    <row r="267">
      <c r="A267" s="18" t="inlineStr">
        <is>
          <t>투자유가증권 취득</t>
        </is>
      </c>
      <c r="C267" s="20" t="n">
        <v>-2235</v>
      </c>
      <c r="D267" s="20" t="n">
        <v>-4044</v>
      </c>
      <c r="E267" s="20" t="n">
        <v>-15</v>
      </c>
      <c r="F267" s="20" t="n">
        <v>-92</v>
      </c>
      <c r="G267" s="20" t="n">
        <v>-102</v>
      </c>
      <c r="H267" s="20" t="n">
        <v>-131</v>
      </c>
      <c r="I267" s="20" t="n">
        <v>-14</v>
      </c>
      <c r="J267" s="20" t="n">
        <v>-21</v>
      </c>
      <c r="K267" s="20" t="n">
        <v>-30</v>
      </c>
      <c r="L267" s="20" t="n">
        <v>-127</v>
      </c>
      <c r="M267" s="20" t="n">
        <v>-25</v>
      </c>
      <c r="N267" s="20" t="n">
        <v>-33</v>
      </c>
      <c r="O267" s="20" t="n">
        <v>-192</v>
      </c>
      <c r="P267" s="20" t="n">
        <v>-825</v>
      </c>
      <c r="Q267" s="20" t="n">
        <v>-2040</v>
      </c>
      <c r="R267" s="20" t="n">
        <v>-475</v>
      </c>
      <c r="S267" s="20" t="n">
        <v>-212</v>
      </c>
      <c r="T267" s="20" t="n">
        <v>-155</v>
      </c>
      <c r="U267" s="20" t="n">
        <v>-316</v>
      </c>
      <c r="V267" s="20" t="n">
        <v>-4044</v>
      </c>
      <c r="W267" s="20" t="n">
        <v>-131</v>
      </c>
      <c r="X267" s="20" t="n">
        <v>-127</v>
      </c>
    </row>
    <row r="268">
      <c r="A268" s="18" t="inlineStr">
        <is>
          <t>투자유가증권 매각</t>
        </is>
      </c>
      <c r="C268" s="20" t="n">
        <v>72</v>
      </c>
      <c r="D268" s="20" t="n">
        <v>72</v>
      </c>
      <c r="E268" s="20" t="n">
        <v>0</v>
      </c>
      <c r="F268" s="20" t="n">
        <v>0</v>
      </c>
      <c r="G268" s="20" t="n">
        <v>0</v>
      </c>
      <c r="H268" s="20" t="n">
        <v>1380</v>
      </c>
      <c r="I268" s="20" t="n">
        <v>0</v>
      </c>
      <c r="J268" s="20" t="n">
        <v>1468</v>
      </c>
      <c r="K268" s="20" t="n">
        <v>3386</v>
      </c>
      <c r="L268" s="20" t="n">
        <v>4671</v>
      </c>
      <c r="M268" s="20" t="n">
        <v>0</v>
      </c>
      <c r="N268" s="20" t="n">
        <v>0</v>
      </c>
      <c r="O268" s="20" t="n">
        <v>2732</v>
      </c>
      <c r="P268" s="20" t="n">
        <v>1549</v>
      </c>
      <c r="Q268" s="20" t="n">
        <v>864</v>
      </c>
      <c r="R268" s="20" t="n">
        <v>591</v>
      </c>
      <c r="S268" s="20" t="n">
        <v>50</v>
      </c>
      <c r="T268" s="20" t="n">
        <v>313</v>
      </c>
      <c r="U268" s="20" t="n">
        <v>41</v>
      </c>
      <c r="V268" s="20" t="n">
        <v>72</v>
      </c>
      <c r="W268" s="20" t="n">
        <v>1380</v>
      </c>
      <c r="X268" s="20" t="n">
        <v>4671</v>
      </c>
    </row>
    <row r="269">
      <c r="A269" s="18" t="inlineStr">
        <is>
          <t>연결범위 변경 자회사 주식 취득</t>
        </is>
      </c>
      <c r="O269" s="20" t="n">
        <v>0</v>
      </c>
      <c r="P269" s="20" t="n">
        <v>-34</v>
      </c>
      <c r="Q269" s="20" t="n">
        <v>0</v>
      </c>
    </row>
    <row r="270">
      <c r="A270" s="18" t="inlineStr">
        <is>
          <t>사업양수 지출</t>
        </is>
      </c>
      <c r="F270" s="20" t="n">
        <v>0</v>
      </c>
      <c r="G270" s="20" t="n">
        <v>0</v>
      </c>
      <c r="H270" s="20" t="n">
        <v>0</v>
      </c>
      <c r="J270" s="20" t="n">
        <v>-3000</v>
      </c>
      <c r="K270" s="20" t="n">
        <v>-3000</v>
      </c>
      <c r="L270" s="20" t="n">
        <v>-3000</v>
      </c>
      <c r="N270" s="20" t="n">
        <v>0</v>
      </c>
      <c r="O270" s="20" t="n">
        <v>0</v>
      </c>
      <c r="P270" s="20" t="n">
        <v>-1341</v>
      </c>
      <c r="Q270" s="20" t="n">
        <v>0</v>
      </c>
      <c r="W270" s="20" t="n">
        <v>0</v>
      </c>
      <c r="X270" s="20" t="n">
        <v>-3000</v>
      </c>
    </row>
    <row r="271">
      <c r="A271" s="18" t="inlineStr">
        <is>
          <t>Proceeds From Sale Of Shares Of Subsidiaries Resulting In Change In Scope Of Consolidation Inv CF</t>
        </is>
      </c>
      <c r="D271" s="20" t="n">
        <v>0</v>
      </c>
      <c r="H271" s="20" t="n">
        <v>3385</v>
      </c>
      <c r="L271" s="20" t="n">
        <v>0</v>
      </c>
      <c r="T271" s="20" t="n">
        <v>0</v>
      </c>
      <c r="U271" s="20" t="n">
        <v>5398</v>
      </c>
      <c r="V271" s="20" t="n">
        <v>0</v>
      </c>
      <c r="W271" s="20" t="n">
        <v>3385</v>
      </c>
      <c r="X271" s="20" t="n">
        <v>0</v>
      </c>
    </row>
    <row r="272">
      <c r="A272" s="18" t="inlineStr">
        <is>
          <t>사업양도 수입</t>
        </is>
      </c>
      <c r="D272" s="20" t="n">
        <v>0</v>
      </c>
      <c r="T272" s="20" t="n">
        <v>0</v>
      </c>
      <c r="U272" s="20" t="n">
        <v>520</v>
      </c>
      <c r="V272" s="20" t="n">
        <v>0</v>
      </c>
    </row>
    <row r="273">
      <c r="A273" s="18" t="inlineStr">
        <is>
          <t>기타</t>
        </is>
      </c>
      <c r="C273" s="20" t="n">
        <v>-527</v>
      </c>
      <c r="D273" s="20" t="n">
        <v>-771</v>
      </c>
      <c r="E273" s="20" t="n">
        <v>-269</v>
      </c>
      <c r="F273" s="20" t="n">
        <v>-1150</v>
      </c>
      <c r="G273" s="20" t="n">
        <v>-1322</v>
      </c>
      <c r="H273" s="20" t="n">
        <v>-680</v>
      </c>
      <c r="I273" s="20" t="n">
        <v>96</v>
      </c>
      <c r="J273" s="20" t="n">
        <v>499</v>
      </c>
      <c r="K273" s="20" t="n">
        <v>-56</v>
      </c>
      <c r="L273" s="20" t="n">
        <v>-1183</v>
      </c>
      <c r="M273" s="20" t="n">
        <v>176</v>
      </c>
      <c r="N273" s="20" t="n">
        <v>-652</v>
      </c>
      <c r="O273" s="20" t="n">
        <v>-1508</v>
      </c>
      <c r="P273" s="20" t="n">
        <v>-768</v>
      </c>
      <c r="Q273" s="20" t="n">
        <v>-343</v>
      </c>
      <c r="R273" s="20" t="n">
        <v>-19</v>
      </c>
      <c r="S273" s="20" t="n">
        <v>133</v>
      </c>
      <c r="T273" s="20" t="n">
        <v>-39</v>
      </c>
      <c r="U273" s="20" t="n">
        <v>324</v>
      </c>
      <c r="V273" s="20" t="n">
        <v>-771</v>
      </c>
      <c r="W273" s="20" t="n">
        <v>-680</v>
      </c>
      <c r="X273" s="20" t="n">
        <v>-1183</v>
      </c>
    </row>
    <row r="274">
      <c r="A274" s="9" t="inlineStr">
        <is>
          <t>투자활동 현금흐름</t>
        </is>
      </c>
      <c r="C274" s="12" t="n">
        <v>-23257</v>
      </c>
      <c r="D274" s="12" t="n">
        <v>-43456</v>
      </c>
      <c r="E274" s="12" t="n">
        <v>-7949</v>
      </c>
      <c r="F274" s="12" t="n">
        <v>-14527</v>
      </c>
      <c r="G274" s="12" t="n">
        <v>-17367</v>
      </c>
      <c r="H274" s="12" t="n">
        <v>-21772</v>
      </c>
      <c r="I274" s="12" t="n">
        <v>-9725</v>
      </c>
      <c r="J274" s="12" t="n">
        <v>-12288</v>
      </c>
      <c r="K274" s="12" t="n">
        <v>-17447</v>
      </c>
      <c r="L274" s="12" t="n">
        <v>-29708</v>
      </c>
      <c r="M274" s="12" t="n">
        <v>-10000</v>
      </c>
      <c r="N274" s="12" t="n">
        <v>-15070</v>
      </c>
      <c r="O274" s="12" t="n">
        <v>-5860</v>
      </c>
      <c r="P274" s="12" t="n">
        <v>-11230</v>
      </c>
      <c r="Q274" s="12" t="n">
        <v>-19020</v>
      </c>
      <c r="R274" s="12" t="n">
        <v>-11293</v>
      </c>
      <c r="S274" s="12" t="n">
        <v>-6242</v>
      </c>
      <c r="T274" s="12" t="n">
        <v>-9952</v>
      </c>
      <c r="U274" s="12" t="n">
        <v>-12514</v>
      </c>
      <c r="V274" s="12" t="n">
        <v>-43456</v>
      </c>
      <c r="W274" s="12" t="n">
        <v>-21772</v>
      </c>
      <c r="X274" s="12" t="n">
        <v>-29708</v>
      </c>
    </row>
    <row r="275">
      <c r="A275" s="18" t="inlineStr">
        <is>
          <t>단기차입금 순증감</t>
        </is>
      </c>
      <c r="C275" s="20" t="n">
        <v>-16</v>
      </c>
      <c r="D275" s="20" t="n">
        <v>-16</v>
      </c>
      <c r="F275" s="20" t="n">
        <v>0</v>
      </c>
      <c r="G275" s="20" t="n">
        <v>0</v>
      </c>
      <c r="H275" s="20" t="n">
        <v>0</v>
      </c>
      <c r="J275" s="20" t="n">
        <v>0</v>
      </c>
      <c r="L275" s="20" t="n">
        <v>2480</v>
      </c>
      <c r="N275" s="20" t="n">
        <v>2505</v>
      </c>
      <c r="P275" s="20" t="n">
        <v>0</v>
      </c>
      <c r="Q275" s="20" t="n">
        <v>18000</v>
      </c>
      <c r="R275" s="20" t="n">
        <v>12000</v>
      </c>
      <c r="S275" s="20" t="n">
        <v>-30000</v>
      </c>
      <c r="T275" s="20" t="n">
        <v>0</v>
      </c>
      <c r="U275" s="20" t="n">
        <v>17</v>
      </c>
      <c r="V275" s="20" t="n">
        <v>-16</v>
      </c>
      <c r="W275" s="20" t="n">
        <v>0</v>
      </c>
      <c r="X275" s="20" t="n">
        <v>2480</v>
      </c>
    </row>
    <row r="276">
      <c r="A276" s="18" t="inlineStr">
        <is>
          <t>장기차입</t>
        </is>
      </c>
      <c r="D276" s="20" t="n">
        <v>2000</v>
      </c>
      <c r="H276" s="20" t="n">
        <v>0</v>
      </c>
      <c r="O276" s="20" t="n">
        <v>1000</v>
      </c>
      <c r="P276" s="20" t="n">
        <v>0</v>
      </c>
      <c r="R276" s="20" t="n">
        <v>0</v>
      </c>
      <c r="S276" s="20" t="n">
        <v>10000</v>
      </c>
      <c r="T276" s="20" t="n">
        <v>1000</v>
      </c>
      <c r="U276" s="20" t="n">
        <v>3</v>
      </c>
      <c r="V276" s="20" t="n">
        <v>2000</v>
      </c>
      <c r="W276" s="20" t="n">
        <v>0</v>
      </c>
    </row>
    <row r="277">
      <c r="A277" s="18" t="inlineStr">
        <is>
          <t>장기차입금 상환</t>
        </is>
      </c>
      <c r="C277" s="20" t="n">
        <v>-200</v>
      </c>
      <c r="D277" s="20" t="n">
        <v>-10404</v>
      </c>
      <c r="E277" s="20" t="n">
        <v>-3</v>
      </c>
      <c r="F277" s="20" t="n">
        <v>-343</v>
      </c>
      <c r="G277" s="20" t="n">
        <v>-362</v>
      </c>
      <c r="H277" s="20" t="n">
        <v>-703</v>
      </c>
      <c r="I277" s="20" t="n">
        <v>-5</v>
      </c>
      <c r="J277" s="20" t="n">
        <v>-346</v>
      </c>
      <c r="K277" s="20" t="n">
        <v>-351</v>
      </c>
      <c r="L277" s="20" t="n">
        <v>-693</v>
      </c>
      <c r="M277" s="20" t="n">
        <v>-5</v>
      </c>
      <c r="N277" s="20" t="n">
        <v>-346</v>
      </c>
      <c r="O277" s="20" t="n">
        <v>-9079</v>
      </c>
      <c r="P277" s="20" t="n">
        <v>-4079</v>
      </c>
      <c r="Q277" s="20" t="n">
        <v>-5679</v>
      </c>
      <c r="R277" s="20" t="n">
        <v>-1504</v>
      </c>
      <c r="S277" s="20" t="n">
        <v>-3614</v>
      </c>
      <c r="T277" s="20" t="n">
        <v>-309</v>
      </c>
      <c r="U277" s="20" t="n">
        <v>-400</v>
      </c>
      <c r="V277" s="20" t="n">
        <v>-10404</v>
      </c>
      <c r="W277" s="20" t="n">
        <v>-703</v>
      </c>
      <c r="X277" s="20" t="n">
        <v>-693</v>
      </c>
    </row>
    <row r="278">
      <c r="A278" s="18" t="inlineStr">
        <is>
          <t>금융리스부채 상환</t>
        </is>
      </c>
      <c r="O278" s="20" t="n">
        <v>-415</v>
      </c>
      <c r="P278" s="20" t="n">
        <v>-413</v>
      </c>
      <c r="Q278" s="20" t="n">
        <v>-403</v>
      </c>
    </row>
    <row r="279">
      <c r="A279" s="18" t="inlineStr">
        <is>
          <t>사채 상환</t>
        </is>
      </c>
      <c r="O279" s="20" t="n">
        <v>-13600</v>
      </c>
      <c r="P279" s="20" t="n">
        <v>0</v>
      </c>
    </row>
    <row r="280">
      <c r="A280" s="18" t="inlineStr">
        <is>
          <t>리스부채 상환</t>
        </is>
      </c>
      <c r="C280" s="20" t="n">
        <v>-936</v>
      </c>
      <c r="D280" s="20" t="n">
        <v>-1431</v>
      </c>
      <c r="E280" s="20" t="n">
        <v>-334</v>
      </c>
      <c r="F280" s="20" t="n">
        <v>-764</v>
      </c>
      <c r="G280" s="20" t="n">
        <v>-1094</v>
      </c>
      <c r="H280" s="20" t="n">
        <v>-1508</v>
      </c>
      <c r="I280" s="20" t="n">
        <v>-226</v>
      </c>
      <c r="J280" s="20" t="n">
        <v>-529</v>
      </c>
      <c r="K280" s="20" t="n">
        <v>-861</v>
      </c>
      <c r="L280" s="20" t="n">
        <v>-1205</v>
      </c>
      <c r="M280" s="20" t="n">
        <v>-331</v>
      </c>
      <c r="N280" s="20" t="n">
        <v>-678</v>
      </c>
      <c r="Q280" s="20" t="n">
        <v>-403</v>
      </c>
      <c r="R280" s="20" t="n">
        <v>-1243</v>
      </c>
      <c r="S280" s="20" t="n">
        <v>-1350</v>
      </c>
      <c r="T280" s="20" t="n">
        <v>-1423</v>
      </c>
      <c r="U280" s="20" t="n">
        <v>-1210</v>
      </c>
      <c r="V280" s="20" t="n">
        <v>-1431</v>
      </c>
      <c r="W280" s="20" t="n">
        <v>-1508</v>
      </c>
      <c r="X280" s="20" t="n">
        <v>-1205</v>
      </c>
    </row>
    <row r="281">
      <c r="A281" s="18" t="inlineStr">
        <is>
          <t>전환사채형 신주예약권부 사채 발행 수입</t>
        </is>
      </c>
      <c r="P281" s="20" t="n">
        <v>0</v>
      </c>
      <c r="Q281" s="20" t="n">
        <v>30059</v>
      </c>
      <c r="R281" s="20" t="n">
        <v>0</v>
      </c>
    </row>
    <row r="282">
      <c r="A282" s="18" t="inlineStr">
        <is>
          <t>연결범위 변경 없는 자회사 주식 취득</t>
        </is>
      </c>
      <c r="O282" s="20" t="n">
        <v>-513</v>
      </c>
      <c r="P282" s="20" t="n">
        <v>-0</v>
      </c>
      <c r="Q282" s="20" t="n">
        <v>-98</v>
      </c>
      <c r="R282" s="20" t="n">
        <v>0</v>
      </c>
    </row>
    <row r="283">
      <c r="A283" s="18" t="inlineStr">
        <is>
          <t>비지배주주 납입</t>
        </is>
      </c>
      <c r="P283" s="20" t="n">
        <v>0</v>
      </c>
      <c r="Q283" s="20" t="n">
        <v>23</v>
      </c>
      <c r="R283" s="20" t="n">
        <v>210</v>
      </c>
      <c r="S283" s="20" t="n">
        <v>0</v>
      </c>
    </row>
    <row r="284">
      <c r="A284" s="18" t="inlineStr">
        <is>
          <t>전환사채형 신주예약권부 사채 상환 지출</t>
        </is>
      </c>
      <c r="D284" s="20" t="n">
        <v>0</v>
      </c>
      <c r="T284" s="20" t="n">
        <v>0</v>
      </c>
      <c r="U284" s="20" t="n">
        <v>-5681</v>
      </c>
      <c r="V284" s="20" t="n">
        <v>0</v>
      </c>
    </row>
    <row r="285">
      <c r="A285" s="18" t="inlineStr">
        <is>
          <t>Net Decrease Increase In Treasury Stock Fin CF</t>
        </is>
      </c>
      <c r="C285" s="20" t="n">
        <v>-11</v>
      </c>
      <c r="D285" s="20" t="n">
        <v>-19</v>
      </c>
      <c r="E285" s="20" t="n">
        <v>-6</v>
      </c>
      <c r="F285" s="20" t="n">
        <v>-7</v>
      </c>
      <c r="G285" s="20" t="n">
        <v>-8</v>
      </c>
      <c r="H285" s="20" t="n">
        <v>-18937</v>
      </c>
      <c r="I285" s="20" t="n">
        <v>-11072</v>
      </c>
      <c r="J285" s="20" t="n">
        <v>-11074</v>
      </c>
      <c r="K285" s="20" t="n">
        <v>-11076</v>
      </c>
      <c r="L285" s="20" t="n">
        <v>-11078</v>
      </c>
      <c r="M285" s="20" t="n">
        <v>-7</v>
      </c>
      <c r="N285" s="20" t="n">
        <v>-9</v>
      </c>
      <c r="O285" s="20" t="n">
        <v>-2027</v>
      </c>
      <c r="P285" s="20" t="n">
        <v>-2785</v>
      </c>
      <c r="Q285" s="20" t="n">
        <v>-5</v>
      </c>
      <c r="R285" s="20" t="n">
        <v>-2</v>
      </c>
      <c r="S285" s="20" t="n">
        <v>-689</v>
      </c>
      <c r="T285" s="20" t="n">
        <v>-10</v>
      </c>
      <c r="U285" s="20" t="n">
        <v>-5</v>
      </c>
      <c r="V285" s="20" t="n">
        <v>-19</v>
      </c>
      <c r="W285" s="20" t="n">
        <v>-18937</v>
      </c>
      <c r="X285" s="20" t="n">
        <v>-11078</v>
      </c>
    </row>
    <row r="286">
      <c r="A286" s="18" t="inlineStr">
        <is>
          <t>배당금 지급</t>
        </is>
      </c>
      <c r="C286" s="20" t="n">
        <v>-25251</v>
      </c>
      <c r="D286" s="20" t="n">
        <v>-25270</v>
      </c>
      <c r="E286" s="20" t="n">
        <v>-13348</v>
      </c>
      <c r="F286" s="20" t="n">
        <v>-13613</v>
      </c>
      <c r="G286" s="20" t="n">
        <v>-25279</v>
      </c>
      <c r="H286" s="20" t="n">
        <v>-25316</v>
      </c>
      <c r="I286" s="20" t="n">
        <v>-17663</v>
      </c>
      <c r="J286" s="20" t="n">
        <v>-18013</v>
      </c>
      <c r="K286" s="20" t="n">
        <v>-29672</v>
      </c>
      <c r="L286" s="20" t="n">
        <v>-29701</v>
      </c>
      <c r="M286" s="20" t="n">
        <v>-15911</v>
      </c>
      <c r="N286" s="20" t="n">
        <v>-16165</v>
      </c>
      <c r="O286" s="20" t="n">
        <v>-2833</v>
      </c>
      <c r="P286" s="20" t="n">
        <v>-4068</v>
      </c>
      <c r="Q286" s="20" t="n">
        <v>-5135</v>
      </c>
      <c r="R286" s="20" t="n">
        <v>-4531</v>
      </c>
      <c r="S286" s="20" t="n">
        <v>-1416</v>
      </c>
      <c r="T286" s="20" t="n">
        <v>-4208</v>
      </c>
      <c r="U286" s="20" t="n">
        <v>-13685</v>
      </c>
      <c r="V286" s="20" t="n">
        <v>-25270</v>
      </c>
      <c r="W286" s="20" t="n">
        <v>-25316</v>
      </c>
      <c r="X286" s="20" t="n">
        <v>-29701</v>
      </c>
    </row>
    <row r="287">
      <c r="A287" s="18" t="inlineStr">
        <is>
          <t>비지배주주 배당금 지급</t>
        </is>
      </c>
      <c r="O287" s="20" t="n">
        <v>-3</v>
      </c>
      <c r="P287" s="20" t="n">
        <v>0</v>
      </c>
    </row>
    <row r="288">
      <c r="A288" s="18" t="inlineStr">
        <is>
          <t>자회사 자기주식 취득 지출</t>
        </is>
      </c>
      <c r="O288" s="20" t="n">
        <v>-6</v>
      </c>
      <c r="P288" s="20" t="n">
        <v>-164</v>
      </c>
      <c r="Q288" s="20" t="n">
        <v>0</v>
      </c>
    </row>
    <row r="289">
      <c r="A289" s="9" t="inlineStr">
        <is>
          <t>재무활동 현금흐름</t>
        </is>
      </c>
      <c r="C289" s="12" t="n">
        <v>-26416</v>
      </c>
      <c r="D289" s="12" t="n">
        <v>-35142</v>
      </c>
      <c r="E289" s="12" t="n">
        <v>-13691</v>
      </c>
      <c r="F289" s="12" t="n">
        <v>-14729</v>
      </c>
      <c r="G289" s="12" t="n">
        <v>-26744</v>
      </c>
      <c r="H289" s="12" t="n">
        <v>-46466</v>
      </c>
      <c r="I289" s="12" t="n">
        <v>-28968</v>
      </c>
      <c r="J289" s="12" t="n">
        <v>-29964</v>
      </c>
      <c r="K289" s="12" t="n">
        <v>-41962</v>
      </c>
      <c r="L289" s="12" t="n">
        <v>-40199</v>
      </c>
      <c r="M289" s="12" t="n">
        <v>-16256</v>
      </c>
      <c r="N289" s="12" t="n">
        <v>-14694</v>
      </c>
      <c r="O289" s="12" t="n">
        <v>-27479</v>
      </c>
      <c r="P289" s="12" t="n">
        <v>-11512</v>
      </c>
      <c r="Q289" s="12" t="n">
        <v>36760</v>
      </c>
      <c r="R289" s="12" t="n">
        <v>4927</v>
      </c>
      <c r="S289" s="12" t="n">
        <v>-27071</v>
      </c>
      <c r="T289" s="12" t="n">
        <v>-4951</v>
      </c>
      <c r="U289" s="12" t="n">
        <v>-20961</v>
      </c>
      <c r="V289" s="12" t="n">
        <v>-35142</v>
      </c>
      <c r="W289" s="12" t="n">
        <v>-46466</v>
      </c>
      <c r="X289" s="12" t="n">
        <v>-40199</v>
      </c>
    </row>
    <row r="290">
      <c r="A290" s="18" t="inlineStr">
        <is>
          <t>현금성자산 환산차이</t>
        </is>
      </c>
      <c r="C290" s="20" t="n">
        <v>2770</v>
      </c>
      <c r="D290" s="20" t="n">
        <v>4105</v>
      </c>
      <c r="E290" s="20" t="n">
        <v>2251</v>
      </c>
      <c r="F290" s="20" t="n">
        <v>-1308</v>
      </c>
      <c r="G290" s="20" t="n">
        <v>1657</v>
      </c>
      <c r="H290" s="20" t="n">
        <v>-29</v>
      </c>
      <c r="I290" s="20" t="n">
        <v>223</v>
      </c>
      <c r="J290" s="20" t="n">
        <v>855</v>
      </c>
      <c r="K290" s="20" t="n">
        <v>3286</v>
      </c>
      <c r="L290" s="20" t="n">
        <v>4297</v>
      </c>
      <c r="M290" s="20" t="n">
        <v>935</v>
      </c>
      <c r="N290" s="20" t="n">
        <v>563</v>
      </c>
      <c r="O290" s="20" t="n">
        <v>-918</v>
      </c>
      <c r="P290" s="20" t="n">
        <v>-241</v>
      </c>
      <c r="Q290" s="20" t="n">
        <v>-101</v>
      </c>
      <c r="R290" s="20" t="n">
        <v>-848</v>
      </c>
      <c r="S290" s="20" t="n">
        <v>1333</v>
      </c>
      <c r="T290" s="20" t="n">
        <v>3417</v>
      </c>
      <c r="U290" s="20" t="n">
        <v>2217</v>
      </c>
      <c r="V290" s="20" t="n">
        <v>4105</v>
      </c>
      <c r="W290" s="20" t="n">
        <v>-29</v>
      </c>
      <c r="X290" s="20" t="n">
        <v>4297</v>
      </c>
    </row>
    <row r="291">
      <c r="A291" s="18" t="inlineStr">
        <is>
          <t>현금성자산 증감</t>
        </is>
      </c>
      <c r="C291" s="20" t="n">
        <v>80424</v>
      </c>
      <c r="D291" s="20" t="n">
        <v>21762</v>
      </c>
      <c r="E291" s="20" t="n">
        <v>-51510</v>
      </c>
      <c r="F291" s="20" t="n">
        <v>2929</v>
      </c>
      <c r="G291" s="20" t="n">
        <v>1971</v>
      </c>
      <c r="H291" s="20" t="n">
        <v>2965</v>
      </c>
      <c r="I291" s="20" t="n">
        <v>-31470</v>
      </c>
      <c r="J291" s="20" t="n">
        <v>-10562</v>
      </c>
      <c r="K291" s="20" t="n">
        <v>-15612</v>
      </c>
      <c r="L291" s="20" t="n">
        <v>27097</v>
      </c>
      <c r="M291" s="20" t="n">
        <v>-16297</v>
      </c>
      <c r="N291" s="20" t="n">
        <v>-31115</v>
      </c>
      <c r="O291" s="20" t="n">
        <v>14766</v>
      </c>
      <c r="P291" s="20" t="n">
        <v>5894</v>
      </c>
      <c r="Q291" s="20" t="n">
        <v>-19895</v>
      </c>
      <c r="R291" s="20" t="n">
        <v>4597</v>
      </c>
      <c r="S291" s="20" t="n">
        <v>25224</v>
      </c>
      <c r="T291" s="20" t="n">
        <v>70266</v>
      </c>
      <c r="U291" s="20" t="n">
        <v>42649</v>
      </c>
      <c r="V291" s="20" t="n">
        <v>21762</v>
      </c>
      <c r="W291" s="20" t="n">
        <v>2965</v>
      </c>
      <c r="X291" s="20" t="n">
        <v>27097</v>
      </c>
    </row>
    <row r="292">
      <c r="A292" s="18" t="inlineStr">
        <is>
          <t>신규 연결 현금성자산 증가</t>
        </is>
      </c>
      <c r="C292" s="20" t="n">
        <v>0</v>
      </c>
      <c r="D292" s="20" t="n">
        <v>0</v>
      </c>
      <c r="E292" s="20" t="n">
        <v>89</v>
      </c>
      <c r="F292" s="20" t="n">
        <v>89</v>
      </c>
      <c r="G292" s="20" t="n">
        <v>89</v>
      </c>
      <c r="H292" s="20" t="n">
        <v>89</v>
      </c>
      <c r="I292" s="20" t="n">
        <v>158</v>
      </c>
      <c r="J292" s="20" t="n">
        <v>158</v>
      </c>
      <c r="K292" s="20" t="n">
        <v>158</v>
      </c>
      <c r="L292" s="20" t="n">
        <v>158</v>
      </c>
      <c r="M292" s="20" t="n">
        <v>1792</v>
      </c>
      <c r="N292" s="20" t="n">
        <v>1792</v>
      </c>
      <c r="V292" s="20" t="n">
        <v>0</v>
      </c>
      <c r="W292" s="20" t="n">
        <v>89</v>
      </c>
      <c r="X292" s="20" t="n">
        <v>158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7735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467369</v>
      </c>
      <c r="D5" s="12" t="n">
        <v>474870</v>
      </c>
      <c r="E5" s="12" t="n">
        <v>508567</v>
      </c>
      <c r="F5" s="12" t="n">
        <v>522073</v>
      </c>
      <c r="G5" s="12" t="n">
        <v>545973</v>
      </c>
      <c r="H5" s="11" t="n">
        <v>338367</v>
      </c>
      <c r="I5" s="12" t="n">
        <v>428267</v>
      </c>
      <c r="J5" s="12" t="n">
        <v>493661</v>
      </c>
      <c r="K5" s="12" t="n">
        <v>480046</v>
      </c>
      <c r="L5" s="12" t="n">
        <v>508567</v>
      </c>
    </row>
    <row r="6">
      <c r="A6" s="18" t="inlineStr">
        <is>
          <t>현금및현금성자산</t>
        </is>
      </c>
      <c r="B6" s="10" t="n"/>
      <c r="C6" s="19" t="n">
        <v>109068</v>
      </c>
      <c r="D6" s="20" t="n">
        <v>134252</v>
      </c>
      <c r="E6" s="20" t="n">
        <v>147370</v>
      </c>
      <c r="F6" s="20" t="n">
        <v>212245</v>
      </c>
      <c r="G6" s="20" t="n">
        <v>197372</v>
      </c>
      <c r="H6" s="19" t="n">
        <v>133088</v>
      </c>
      <c r="I6" s="20" t="n">
        <v>175576</v>
      </c>
      <c r="J6" s="20" t="n">
        <v>167279</v>
      </c>
      <c r="K6" s="20" t="n">
        <v>140397</v>
      </c>
      <c r="L6" s="20" t="n">
        <v>147370</v>
      </c>
    </row>
    <row r="7">
      <c r="A7" s="18" t="inlineStr">
        <is>
          <t>단기금융상품</t>
        </is>
      </c>
      <c r="B7" s="10" t="n"/>
      <c r="C7" s="19" t="n">
        <v>80000</v>
      </c>
      <c r="D7" s="20" t="n">
        <v>50000</v>
      </c>
      <c r="E7" s="20" t="n">
        <v>80000</v>
      </c>
      <c r="F7" s="20" t="n">
        <v>0</v>
      </c>
      <c r="G7" s="20" t="n">
        <v>0</v>
      </c>
      <c r="H7" s="19" t="n"/>
      <c r="I7" s="20" t="n">
        <v>0</v>
      </c>
      <c r="J7" s="20" t="n">
        <v>30000</v>
      </c>
      <c r="K7" s="20" t="n">
        <v>60000</v>
      </c>
      <c r="L7" s="20" t="n">
        <v>80000</v>
      </c>
    </row>
    <row r="8">
      <c r="A8" s="18" t="inlineStr">
        <is>
          <t>매출채권</t>
        </is>
      </c>
      <c r="B8" s="10" t="n"/>
      <c r="C8" s="19" t="n">
        <v>85843</v>
      </c>
      <c r="D8" s="20" t="n">
        <v>97018</v>
      </c>
      <c r="E8" s="20" t="n">
        <v>100702</v>
      </c>
      <c r="F8" s="20" t="n">
        <v>89517</v>
      </c>
      <c r="G8" s="20" t="n">
        <v>108399</v>
      </c>
      <c r="H8" s="19" t="n">
        <v>85425</v>
      </c>
      <c r="I8" s="20" t="n">
        <v>100048</v>
      </c>
      <c r="J8" s="20" t="n">
        <v>98696</v>
      </c>
      <c r="K8" s="20" t="n">
        <v>90791</v>
      </c>
      <c r="L8" s="20" t="n">
        <v>100702</v>
      </c>
    </row>
    <row r="9">
      <c r="A9" s="18" t="inlineStr">
        <is>
          <t>재고자산</t>
        </is>
      </c>
      <c r="B9" s="10" t="n"/>
      <c r="C9" s="19" t="n">
        <v>173406</v>
      </c>
      <c r="D9" s="20" t="n">
        <v>171749</v>
      </c>
      <c r="E9" s="20" t="n">
        <v>158637</v>
      </c>
      <c r="F9" s="20" t="n">
        <v>192590</v>
      </c>
      <c r="G9" s="20" t="n">
        <v>209249</v>
      </c>
      <c r="H9" s="19" t="n">
        <v>103737</v>
      </c>
      <c r="I9" s="20" t="n">
        <v>123875</v>
      </c>
      <c r="J9" s="20" t="n">
        <v>163578</v>
      </c>
      <c r="K9" s="20" t="n">
        <v>168660</v>
      </c>
      <c r="L9" s="20" t="n">
        <v>158637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199873</v>
      </c>
      <c r="D11" s="12" t="n">
        <v>202211</v>
      </c>
      <c r="E11" s="12" t="n">
        <v>213853</v>
      </c>
      <c r="F11" s="12" t="n">
        <v>247130</v>
      </c>
      <c r="G11" s="12" t="n">
        <v>246531</v>
      </c>
      <c r="H11" s="11" t="n">
        <v>120938</v>
      </c>
      <c r="I11" s="12" t="n">
        <v>134548</v>
      </c>
      <c r="J11" s="12" t="n">
        <v>183147</v>
      </c>
      <c r="K11" s="12" t="n">
        <v>191241</v>
      </c>
      <c r="L11" s="12" t="n">
        <v>213853</v>
      </c>
    </row>
    <row r="12">
      <c r="A12" s="18" t="inlineStr">
        <is>
          <t>유형자산</t>
        </is>
      </c>
      <c r="B12" s="10" t="n"/>
      <c r="C12" s="19" t="n">
        <v>113097</v>
      </c>
      <c r="D12" s="20" t="n">
        <v>114767</v>
      </c>
      <c r="E12" s="20" t="n">
        <v>118113</v>
      </c>
      <c r="F12" s="20" t="n">
        <v>125131</v>
      </c>
      <c r="G12" s="20" t="n">
        <v>127397</v>
      </c>
      <c r="H12" s="19" t="n">
        <v>56524</v>
      </c>
      <c r="I12" s="20" t="n">
        <v>72667</v>
      </c>
      <c r="J12" s="20" t="n">
        <v>102051</v>
      </c>
      <c r="K12" s="20" t="n">
        <v>112934</v>
      </c>
      <c r="L12" s="20" t="n">
        <v>118113</v>
      </c>
    </row>
    <row r="13">
      <c r="A13" s="18" t="inlineStr">
        <is>
          <t>무형자산</t>
        </is>
      </c>
      <c r="B13" s="10" t="n"/>
      <c r="C13" s="19" t="n">
        <v>11658</v>
      </c>
      <c r="D13" s="20" t="n">
        <v>12558</v>
      </c>
      <c r="E13" s="20" t="n">
        <v>13474</v>
      </c>
      <c r="F13" s="20" t="n">
        <v>13813</v>
      </c>
      <c r="G13" s="20" t="n">
        <v>14556</v>
      </c>
      <c r="H13" s="19" t="n">
        <v>4804</v>
      </c>
      <c r="I13" s="20" t="n">
        <v>4879</v>
      </c>
      <c r="J13" s="20" t="n">
        <v>5279</v>
      </c>
      <c r="K13" s="20" t="n">
        <v>7103</v>
      </c>
      <c r="L13" s="20" t="n">
        <v>13474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667243</v>
      </c>
      <c r="D16" s="12" t="n">
        <v>677081</v>
      </c>
      <c r="E16" s="12" t="n">
        <v>722421</v>
      </c>
      <c r="F16" s="12" t="n">
        <v>769203</v>
      </c>
      <c r="G16" s="12" t="n">
        <v>792505</v>
      </c>
      <c r="H16" s="11" t="n">
        <v>459305</v>
      </c>
      <c r="I16" s="12" t="n">
        <v>562816</v>
      </c>
      <c r="J16" s="12" t="n">
        <v>676808</v>
      </c>
      <c r="K16" s="12" t="n">
        <v>671287</v>
      </c>
      <c r="L16" s="12" t="n">
        <v>722421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224608</v>
      </c>
      <c r="D18" s="12" t="n">
        <v>220545</v>
      </c>
      <c r="E18" s="12" t="n">
        <v>222877</v>
      </c>
      <c r="F18" s="12" t="n">
        <v>245832</v>
      </c>
      <c r="G18" s="12" t="n">
        <v>246063</v>
      </c>
      <c r="H18" s="11" t="n">
        <v>175620</v>
      </c>
      <c r="I18" s="12" t="n">
        <v>237137</v>
      </c>
      <c r="J18" s="12" t="n">
        <v>286007</v>
      </c>
      <c r="K18" s="12" t="n">
        <v>239723</v>
      </c>
      <c r="L18" s="12" t="n">
        <v>222877</v>
      </c>
    </row>
    <row r="19">
      <c r="A19" s="18" t="inlineStr">
        <is>
          <t>매입채무</t>
        </is>
      </c>
      <c r="B19" s="10" t="n"/>
      <c r="C19" s="19" t="n">
        <v>38863</v>
      </c>
      <c r="D19" s="20" t="n">
        <v>41273</v>
      </c>
      <c r="E19" s="20" t="n">
        <v>44293</v>
      </c>
      <c r="F19" s="20" t="n">
        <v>52311</v>
      </c>
      <c r="G19" s="20" t="n">
        <v>56569</v>
      </c>
      <c r="H19" s="19" t="n">
        <v>33498</v>
      </c>
      <c r="I19" s="20" t="n">
        <v>41300</v>
      </c>
      <c r="J19" s="20" t="n">
        <v>41617</v>
      </c>
      <c r="K19" s="20" t="n">
        <v>46519</v>
      </c>
      <c r="L19" s="20" t="n">
        <v>44293</v>
      </c>
    </row>
    <row r="20">
      <c r="A20" s="18" t="inlineStr">
        <is>
          <t>단기차입금</t>
        </is>
      </c>
      <c r="B20" s="10" t="n"/>
      <c r="C20" s="19" t="n"/>
      <c r="D20" s="20" t="n"/>
      <c r="E20" s="20" t="n">
        <v>2490</v>
      </c>
      <c r="F20" s="20" t="n">
        <v>2540</v>
      </c>
      <c r="G20" s="20" t="n">
        <v>4940</v>
      </c>
      <c r="H20" s="19" t="n">
        <v>0</v>
      </c>
      <c r="I20" s="20" t="n">
        <v>17</v>
      </c>
      <c r="J20" s="20" t="n">
        <v>0</v>
      </c>
      <c r="K20" s="20" t="n">
        <v>0</v>
      </c>
      <c r="L20" s="20" t="n">
        <v>2490</v>
      </c>
    </row>
    <row r="21">
      <c r="A21" s="18" t="inlineStr">
        <is>
          <t>유동성장기부채</t>
        </is>
      </c>
      <c r="B21" s="10" t="n"/>
      <c r="C21" s="19" t="n">
        <v>693</v>
      </c>
      <c r="D21" s="20" t="n">
        <v>693</v>
      </c>
      <c r="E21" s="20" t="n">
        <v>677</v>
      </c>
      <c r="F21" s="20" t="n">
        <v>677</v>
      </c>
      <c r="G21" s="20" t="n">
        <v>341</v>
      </c>
      <c r="H21" s="19" t="n">
        <v>400</v>
      </c>
      <c r="I21" s="20" t="n">
        <v>10400</v>
      </c>
      <c r="J21" s="20" t="n">
        <v>672</v>
      </c>
      <c r="K21" s="20" t="n">
        <v>693</v>
      </c>
      <c r="L21" s="20" t="n">
        <v>677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13050</v>
      </c>
      <c r="D23" s="12" t="n">
        <v>13281</v>
      </c>
      <c r="E23" s="12" t="n">
        <v>12858</v>
      </c>
      <c r="F23" s="12" t="n">
        <v>26032</v>
      </c>
      <c r="G23" s="12" t="n">
        <v>24425</v>
      </c>
      <c r="H23" s="11" t="n">
        <v>35896</v>
      </c>
      <c r="I23" s="12" t="n">
        <v>25751</v>
      </c>
      <c r="J23" s="12" t="n">
        <v>18889</v>
      </c>
      <c r="K23" s="12" t="n">
        <v>10870</v>
      </c>
      <c r="L23" s="12" t="n">
        <v>12858</v>
      </c>
    </row>
    <row r="24">
      <c r="A24" s="18" t="inlineStr">
        <is>
          <t>장기차입금</t>
        </is>
      </c>
      <c r="B24" s="10" t="n"/>
      <c r="C24" s="19" t="n">
        <v>410</v>
      </c>
      <c r="D24" s="20" t="n">
        <v>405</v>
      </c>
      <c r="E24" s="20" t="n">
        <v>79</v>
      </c>
      <c r="F24" s="20" t="n">
        <v>74</v>
      </c>
      <c r="G24" s="20" t="n">
        <v>69</v>
      </c>
      <c r="H24" s="19" t="n">
        <v>10400</v>
      </c>
      <c r="I24" s="20" t="n">
        <v>4</v>
      </c>
      <c r="J24" s="20" t="n">
        <v>1328</v>
      </c>
      <c r="K24" s="20" t="n">
        <v>757</v>
      </c>
      <c r="L24" s="20" t="n">
        <v>79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237659</v>
      </c>
      <c r="D27" s="12" t="n">
        <v>233827</v>
      </c>
      <c r="E27" s="12" t="n">
        <v>235736</v>
      </c>
      <c r="F27" s="12" t="n">
        <v>271864</v>
      </c>
      <c r="G27" s="12" t="n">
        <v>270489</v>
      </c>
      <c r="H27" s="11" t="n">
        <v>211516</v>
      </c>
      <c r="I27" s="12" t="n">
        <v>262889</v>
      </c>
      <c r="J27" s="12" t="n">
        <v>304897</v>
      </c>
      <c r="K27" s="12" t="n">
        <v>250593</v>
      </c>
      <c r="L27" s="12" t="n">
        <v>235736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429472</v>
      </c>
      <c r="D31" s="12" t="n">
        <v>443134</v>
      </c>
      <c r="E31" s="12" t="n">
        <v>486570</v>
      </c>
      <c r="F31" s="12" t="n">
        <v>497228</v>
      </c>
      <c r="G31" s="12" t="n">
        <v>521904</v>
      </c>
      <c r="H31" s="11" t="n">
        <v>247716</v>
      </c>
      <c r="I31" s="12" t="n">
        <v>299888</v>
      </c>
      <c r="J31" s="12" t="n">
        <v>371867</v>
      </c>
      <c r="K31" s="12" t="n">
        <v>420641</v>
      </c>
      <c r="L31" s="12" t="n">
        <v>486570</v>
      </c>
    </row>
    <row r="32">
      <c r="A32" s="18" t="inlineStr">
        <is>
          <t>자본금</t>
        </is>
      </c>
      <c r="B32" s="10" t="n"/>
      <c r="C32" s="19" t="n">
        <v>54044</v>
      </c>
      <c r="D32" s="20" t="n">
        <v>54044</v>
      </c>
      <c r="E32" s="20" t="n">
        <v>54044</v>
      </c>
      <c r="F32" s="20" t="n">
        <v>54044</v>
      </c>
      <c r="G32" s="20" t="n">
        <v>54044</v>
      </c>
      <c r="H32" s="19" t="n">
        <v>54044</v>
      </c>
      <c r="I32" s="20" t="n">
        <v>54044</v>
      </c>
      <c r="J32" s="20" t="n">
        <v>54044</v>
      </c>
      <c r="K32" s="20" t="n">
        <v>54044</v>
      </c>
      <c r="L32" s="20" t="n">
        <v>54044</v>
      </c>
    </row>
    <row r="33">
      <c r="A33" s="18" t="inlineStr">
        <is>
          <t>이익잉여금</t>
        </is>
      </c>
      <c r="B33" s="10" t="n"/>
      <c r="C33" s="19" t="n">
        <v>350955</v>
      </c>
      <c r="D33" s="20" t="n">
        <v>362350</v>
      </c>
      <c r="E33" s="20" t="n">
        <v>399435</v>
      </c>
      <c r="F33" s="20" t="n">
        <v>393765</v>
      </c>
      <c r="G33" s="20" t="n">
        <v>420931</v>
      </c>
      <c r="H33" s="19" t="n">
        <v>185804</v>
      </c>
      <c r="I33" s="20" t="n">
        <v>229596</v>
      </c>
      <c r="J33" s="20" t="n">
        <v>274869</v>
      </c>
      <c r="K33" s="20" t="n">
        <v>348996</v>
      </c>
      <c r="L33" s="20" t="n">
        <v>399435</v>
      </c>
    </row>
    <row r="34">
      <c r="A34" s="18" t="inlineStr">
        <is>
          <t>비지배지분</t>
        </is>
      </c>
      <c r="B34" s="10" t="n"/>
      <c r="C34" s="19" t="n">
        <v>111</v>
      </c>
      <c r="D34" s="20" t="n">
        <v>120</v>
      </c>
      <c r="E34" s="20" t="n">
        <v>114</v>
      </c>
      <c r="F34" s="20" t="n">
        <v>111</v>
      </c>
      <c r="G34" s="20" t="n">
        <v>112</v>
      </c>
      <c r="H34" s="19" t="n">
        <v>72</v>
      </c>
      <c r="I34" s="20" t="n">
        <v>38</v>
      </c>
      <c r="J34" s="20" t="n">
        <v>44</v>
      </c>
      <c r="K34" s="20" t="n">
        <v>53</v>
      </c>
      <c r="L34" s="20" t="n">
        <v>114</v>
      </c>
    </row>
    <row r="35">
      <c r="A35" s="9" t="inlineStr">
        <is>
          <t>자본총계</t>
        </is>
      </c>
      <c r="B35" s="10" t="n"/>
      <c r="C35" s="11" t="n">
        <v>429583</v>
      </c>
      <c r="D35" s="12" t="n">
        <v>443254</v>
      </c>
      <c r="E35" s="12" t="n">
        <v>486684</v>
      </c>
      <c r="F35" s="12" t="n">
        <v>497339</v>
      </c>
      <c r="G35" s="12" t="n">
        <v>522016</v>
      </c>
      <c r="H35" s="11" t="n">
        <v>247788</v>
      </c>
      <c r="I35" s="12" t="n">
        <v>299926</v>
      </c>
      <c r="J35" s="12" t="n">
        <v>371911</v>
      </c>
      <c r="K35" s="12" t="n">
        <v>420694</v>
      </c>
      <c r="L35" s="12" t="n">
        <v>486684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68574</v>
      </c>
      <c r="D37" s="12" t="n">
        <v>67319</v>
      </c>
      <c r="E37" s="12" t="n">
        <v>92707</v>
      </c>
      <c r="F37" s="12" t="n">
        <v>94731</v>
      </c>
      <c r="G37" s="12" t="n">
        <v>59960</v>
      </c>
      <c r="H37" s="11" t="n">
        <v>81752</v>
      </c>
      <c r="I37" s="12" t="n">
        <v>73906</v>
      </c>
      <c r="J37" s="12" t="n">
        <v>96255</v>
      </c>
      <c r="K37" s="12" t="n">
        <v>71234</v>
      </c>
      <c r="L37" s="12" t="n">
        <v>92707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24573</v>
      </c>
      <c r="D38" s="20" t="n">
        <v>27884</v>
      </c>
      <c r="E38" s="20" t="n">
        <v>30864</v>
      </c>
      <c r="F38" s="20" t="n">
        <v>32242</v>
      </c>
      <c r="G38" s="20" t="n">
        <v>33449</v>
      </c>
      <c r="H38" s="19" t="n">
        <v>10151</v>
      </c>
      <c r="I38" s="20" t="n">
        <v>20795</v>
      </c>
      <c r="J38" s="20" t="n">
        <v>40337</v>
      </c>
      <c r="K38" s="20" t="n">
        <v>25567</v>
      </c>
      <c r="L38" s="20" t="n">
        <v>30864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29716</v>
      </c>
      <c r="D40" s="20" t="n">
        <v>29709</v>
      </c>
      <c r="E40" s="20" t="n">
        <v>29701</v>
      </c>
      <c r="F40" s="20" t="n">
        <v>27949</v>
      </c>
      <c r="G40" s="20" t="n">
        <v>27853</v>
      </c>
      <c r="H40" s="19" t="n">
        <v>4208</v>
      </c>
      <c r="I40" s="20" t="n">
        <v>13685</v>
      </c>
      <c r="J40" s="20" t="n">
        <v>25270</v>
      </c>
      <c r="K40" s="20" t="n">
        <v>25316</v>
      </c>
      <c r="L40" s="20" t="n">
        <v>29701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109068</v>
      </c>
      <c r="D71" s="20" t="n">
        <v>134252</v>
      </c>
      <c r="E71" s="20" t="n">
        <v>147370</v>
      </c>
      <c r="F71" s="20" t="n">
        <v>212245</v>
      </c>
      <c r="G71" s="20" t="n">
        <v>197372</v>
      </c>
      <c r="H71" s="20" t="n">
        <v>133088</v>
      </c>
      <c r="I71" s="20" t="n">
        <v>175576</v>
      </c>
      <c r="J71" s="20" t="n">
        <v>167279</v>
      </c>
      <c r="K71" s="20" t="n">
        <v>140397</v>
      </c>
      <c r="L71" s="20" t="n">
        <v>147370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85843</v>
      </c>
      <c r="D73" s="20" t="n">
        <v>97018</v>
      </c>
      <c r="E73" s="20" t="n">
        <v>100702</v>
      </c>
      <c r="F73" s="20" t="n">
        <v>89517</v>
      </c>
      <c r="G73" s="20" t="n">
        <v>108399</v>
      </c>
      <c r="H73" s="20" t="n">
        <v>85425</v>
      </c>
      <c r="I73" s="20" t="n">
        <v>100048</v>
      </c>
      <c r="J73" s="20" t="n">
        <v>98696</v>
      </c>
      <c r="K73" s="20" t="n">
        <v>90791</v>
      </c>
      <c r="L73" s="20" t="n">
        <v>100702</v>
      </c>
    </row>
    <row r="74">
      <c r="A74" s="18" t="inlineStr">
        <is>
          <t>전자기록채권</t>
        </is>
      </c>
      <c r="C74" s="20" t="n">
        <v>6124</v>
      </c>
      <c r="D74" s="20" t="n">
        <v>5243</v>
      </c>
      <c r="E74" s="20" t="n">
        <v>4046</v>
      </c>
      <c r="F74" s="20" t="n">
        <v>5467</v>
      </c>
      <c r="G74" s="20" t="n">
        <v>3846</v>
      </c>
      <c r="H74" s="20" t="n">
        <v>5734</v>
      </c>
      <c r="I74" s="20" t="n">
        <v>7168</v>
      </c>
      <c r="J74" s="20" t="n">
        <v>9521</v>
      </c>
      <c r="K74" s="20" t="n">
        <v>5396</v>
      </c>
      <c r="L74" s="20" t="n">
        <v>4046</v>
      </c>
    </row>
    <row r="75">
      <c r="A75" s="18" t="inlineStr">
        <is>
          <t>유가증권</t>
        </is>
      </c>
      <c r="C75" s="20" t="n">
        <v>80000</v>
      </c>
      <c r="D75" s="20" t="n">
        <v>50000</v>
      </c>
      <c r="E75" s="20" t="n">
        <v>80000</v>
      </c>
      <c r="F75" s="20" t="n">
        <v>0</v>
      </c>
      <c r="G75" s="20" t="n">
        <v>0</v>
      </c>
      <c r="I75" s="20" t="n">
        <v>0</v>
      </c>
      <c r="J75" s="20" t="n">
        <v>30000</v>
      </c>
      <c r="K75" s="20" t="n">
        <v>60000</v>
      </c>
      <c r="L75" s="20" t="n">
        <v>80000</v>
      </c>
    </row>
    <row r="76">
      <c r="A76" s="18" t="inlineStr">
        <is>
          <t>상품·제품</t>
        </is>
      </c>
      <c r="C76" s="20" t="n">
        <v>94005</v>
      </c>
      <c r="D76" s="20" t="n">
        <v>100404</v>
      </c>
      <c r="E76" s="20" t="n">
        <v>86341</v>
      </c>
      <c r="F76" s="20" t="n">
        <v>105591</v>
      </c>
      <c r="G76" s="20" t="n">
        <v>106974</v>
      </c>
      <c r="H76" s="20" t="n">
        <v>45790</v>
      </c>
      <c r="I76" s="20" t="n">
        <v>45865</v>
      </c>
      <c r="J76" s="20" t="n">
        <v>82791</v>
      </c>
      <c r="K76" s="20" t="n">
        <v>90975</v>
      </c>
      <c r="L76" s="20" t="n">
        <v>86341</v>
      </c>
    </row>
    <row r="77">
      <c r="A77" s="18" t="inlineStr">
        <is>
          <t>재공품</t>
        </is>
      </c>
      <c r="C77" s="20" t="n">
        <v>59802</v>
      </c>
      <c r="D77" s="20" t="n">
        <v>52971</v>
      </c>
      <c r="E77" s="20" t="n">
        <v>55082</v>
      </c>
      <c r="F77" s="20" t="n">
        <v>67679</v>
      </c>
      <c r="G77" s="20" t="n">
        <v>81763</v>
      </c>
      <c r="H77" s="20" t="n">
        <v>46741</v>
      </c>
      <c r="I77" s="20" t="n">
        <v>59721</v>
      </c>
      <c r="J77" s="20" t="n">
        <v>58013</v>
      </c>
      <c r="K77" s="20" t="n">
        <v>56424</v>
      </c>
      <c r="L77" s="20" t="n">
        <v>55082</v>
      </c>
    </row>
    <row r="78">
      <c r="A78" s="18" t="inlineStr">
        <is>
          <t>원재료·저장품</t>
        </is>
      </c>
      <c r="C78" s="20" t="n">
        <v>19599</v>
      </c>
      <c r="D78" s="20" t="n">
        <v>18374</v>
      </c>
      <c r="E78" s="20" t="n">
        <v>17214</v>
      </c>
      <c r="F78" s="20" t="n">
        <v>19320</v>
      </c>
      <c r="G78" s="20" t="n">
        <v>20512</v>
      </c>
      <c r="H78" s="20" t="n">
        <v>11206</v>
      </c>
      <c r="I78" s="20" t="n">
        <v>18289</v>
      </c>
      <c r="J78" s="20" t="n">
        <v>22774</v>
      </c>
      <c r="K78" s="20" t="n">
        <v>21261</v>
      </c>
      <c r="L78" s="20" t="n">
        <v>17214</v>
      </c>
    </row>
    <row r="79">
      <c r="A79" s="18" t="inlineStr">
        <is>
          <t>기타</t>
        </is>
      </c>
      <c r="C79" s="20" t="n">
        <v>13526</v>
      </c>
      <c r="D79" s="20" t="n">
        <v>17256</v>
      </c>
      <c r="E79" s="20" t="n">
        <v>18594</v>
      </c>
      <c r="F79" s="20" t="n">
        <v>23129</v>
      </c>
      <c r="G79" s="20" t="n">
        <v>28008</v>
      </c>
      <c r="H79" s="20" t="n">
        <v>11229</v>
      </c>
      <c r="I79" s="20" t="n">
        <v>22467</v>
      </c>
      <c r="J79" s="20" t="n">
        <v>25148</v>
      </c>
      <c r="K79" s="20" t="n">
        <v>15407</v>
      </c>
      <c r="L79" s="20" t="n">
        <v>18594</v>
      </c>
    </row>
    <row r="80">
      <c r="A80" s="18" t="inlineStr">
        <is>
          <t>대손충당금</t>
        </is>
      </c>
      <c r="C80" s="20" t="n">
        <v>-600</v>
      </c>
      <c r="D80" s="20" t="n">
        <v>-652</v>
      </c>
      <c r="E80" s="20" t="n">
        <v>-784</v>
      </c>
      <c r="F80" s="20" t="n">
        <v>-877</v>
      </c>
      <c r="G80" s="20" t="n">
        <v>-904</v>
      </c>
      <c r="H80" s="20" t="n">
        <v>-848</v>
      </c>
      <c r="I80" s="20" t="n">
        <v>-870</v>
      </c>
      <c r="J80" s="20" t="n">
        <v>-564</v>
      </c>
      <c r="K80" s="20" t="n">
        <v>-608</v>
      </c>
      <c r="L80" s="20" t="n">
        <v>-784</v>
      </c>
    </row>
    <row r="81">
      <c r="A81" s="9" t="inlineStr">
        <is>
          <t>유동자산 합계</t>
        </is>
      </c>
      <c r="C81" s="12" t="n">
        <v>467369</v>
      </c>
      <c r="D81" s="12" t="n">
        <v>474870</v>
      </c>
      <c r="E81" s="12" t="n">
        <v>508567</v>
      </c>
      <c r="F81" s="12" t="n">
        <v>522073</v>
      </c>
      <c r="G81" s="12" t="n">
        <v>545973</v>
      </c>
      <c r="H81" s="12" t="n">
        <v>338367</v>
      </c>
      <c r="I81" s="12" t="n">
        <v>428267</v>
      </c>
      <c r="J81" s="12" t="n">
        <v>493661</v>
      </c>
      <c r="K81" s="12" t="n">
        <v>480046</v>
      </c>
      <c r="L81" s="12" t="n">
        <v>508567</v>
      </c>
    </row>
    <row r="82">
      <c r="A82" s="18" t="inlineStr">
        <is>
          <t>건물·구축물</t>
        </is>
      </c>
      <c r="C82" s="20" t="n">
        <v>97713</v>
      </c>
      <c r="D82" s="20" t="n">
        <v>98999</v>
      </c>
      <c r="E82" s="20" t="n">
        <v>99711</v>
      </c>
      <c r="F82" s="20" t="n">
        <v>102215</v>
      </c>
      <c r="G82" s="20" t="n">
        <v>102019</v>
      </c>
      <c r="H82" s="20" t="n">
        <v>64533</v>
      </c>
      <c r="I82" s="20" t="n">
        <v>72649</v>
      </c>
      <c r="J82" s="20" t="n">
        <v>87995</v>
      </c>
      <c r="K82" s="20" t="n">
        <v>96601</v>
      </c>
      <c r="L82" s="20" t="n">
        <v>99711</v>
      </c>
    </row>
    <row r="83">
      <c r="A83" s="18" t="inlineStr">
        <is>
          <t>감가상각누계액</t>
        </is>
      </c>
      <c r="E83" s="20" t="n">
        <v>-49683</v>
      </c>
      <c r="H83" s="20" t="n">
        <v>-42585</v>
      </c>
      <c r="I83" s="20" t="n">
        <v>-43577</v>
      </c>
      <c r="J83" s="20" t="n">
        <v>-44827</v>
      </c>
      <c r="K83" s="20" t="n">
        <v>-46533</v>
      </c>
      <c r="L83" s="20" t="n">
        <v>-49683</v>
      </c>
    </row>
    <row r="84">
      <c r="A84" s="18" t="inlineStr">
        <is>
          <t>건물·구축물(순액)</t>
        </is>
      </c>
      <c r="E84" s="20" t="n">
        <v>50027</v>
      </c>
      <c r="H84" s="20" t="n">
        <v>21948</v>
      </c>
      <c r="I84" s="20" t="n">
        <v>29072</v>
      </c>
      <c r="J84" s="20" t="n">
        <v>43168</v>
      </c>
      <c r="K84" s="20" t="n">
        <v>50067</v>
      </c>
      <c r="L84" s="20" t="n">
        <v>50027</v>
      </c>
    </row>
    <row r="85">
      <c r="A85" s="18" t="inlineStr">
        <is>
          <t>기계장치·운반구</t>
        </is>
      </c>
      <c r="C85" s="20" t="n">
        <v>67303</v>
      </c>
      <c r="D85" s="20" t="n">
        <v>69046</v>
      </c>
      <c r="E85" s="20" t="n">
        <v>71586</v>
      </c>
      <c r="F85" s="20" t="n">
        <v>74348</v>
      </c>
      <c r="G85" s="20" t="n">
        <v>76126</v>
      </c>
      <c r="H85" s="20" t="n">
        <v>49763</v>
      </c>
      <c r="I85" s="20" t="n">
        <v>52022</v>
      </c>
      <c r="J85" s="20" t="n">
        <v>59262</v>
      </c>
      <c r="K85" s="20" t="n">
        <v>67376</v>
      </c>
      <c r="L85" s="20" t="n">
        <v>71586</v>
      </c>
    </row>
    <row r="86">
      <c r="A86" s="18" t="inlineStr">
        <is>
          <t>감가상각누계액</t>
        </is>
      </c>
      <c r="E86" s="20" t="n">
        <v>-42546</v>
      </c>
      <c r="H86" s="20" t="n">
        <v>-34973</v>
      </c>
      <c r="I86" s="20" t="n">
        <v>-33741</v>
      </c>
      <c r="J86" s="20" t="n">
        <v>-35370</v>
      </c>
      <c r="K86" s="20" t="n">
        <v>-38424</v>
      </c>
      <c r="L86" s="20" t="n">
        <v>-42546</v>
      </c>
    </row>
    <row r="87">
      <c r="A87" s="18" t="inlineStr">
        <is>
          <t>기계장치·운반구(순액)</t>
        </is>
      </c>
      <c r="E87" s="20" t="n">
        <v>29040</v>
      </c>
      <c r="H87" s="20" t="n">
        <v>14790</v>
      </c>
      <c r="I87" s="20" t="n">
        <v>18281</v>
      </c>
      <c r="J87" s="20" t="n">
        <v>23892</v>
      </c>
      <c r="K87" s="20" t="n">
        <v>28952</v>
      </c>
      <c r="L87" s="20" t="n">
        <v>29040</v>
      </c>
    </row>
    <row r="88">
      <c r="A88" s="18" t="inlineStr">
        <is>
          <t>토지</t>
        </is>
      </c>
      <c r="C88" s="20" t="n">
        <v>19365</v>
      </c>
      <c r="D88" s="20" t="n">
        <v>19393</v>
      </c>
      <c r="E88" s="20" t="n">
        <v>19400</v>
      </c>
      <c r="F88" s="20" t="n">
        <v>22506</v>
      </c>
      <c r="G88" s="20" t="n">
        <v>22558</v>
      </c>
      <c r="H88" s="20" t="n">
        <v>10053</v>
      </c>
      <c r="I88" s="20" t="n">
        <v>10911</v>
      </c>
      <c r="J88" s="20" t="n">
        <v>19071</v>
      </c>
      <c r="K88" s="20" t="n">
        <v>19394</v>
      </c>
      <c r="L88" s="20" t="n">
        <v>19400</v>
      </c>
    </row>
    <row r="89">
      <c r="A89" s="18" t="inlineStr">
        <is>
          <t>리스자산</t>
        </is>
      </c>
      <c r="E89" s="20" t="n">
        <v>173</v>
      </c>
      <c r="H89" s="20" t="n">
        <v>3966</v>
      </c>
      <c r="I89" s="20" t="n">
        <v>3562</v>
      </c>
      <c r="J89" s="20" t="n">
        <v>3627</v>
      </c>
      <c r="K89" s="20" t="n">
        <v>161</v>
      </c>
      <c r="L89" s="20" t="n">
        <v>173</v>
      </c>
    </row>
    <row r="90">
      <c r="A90" s="18" t="inlineStr">
        <is>
          <t>감가상각누계액</t>
        </is>
      </c>
      <c r="E90" s="20" t="n">
        <v>-82</v>
      </c>
      <c r="H90" s="20" t="n">
        <v>-3357</v>
      </c>
      <c r="I90" s="20" t="n">
        <v>-3512</v>
      </c>
      <c r="J90" s="20" t="n">
        <v>-3516</v>
      </c>
      <c r="K90" s="20" t="n">
        <v>-49</v>
      </c>
      <c r="L90" s="20" t="n">
        <v>-82</v>
      </c>
    </row>
    <row r="91">
      <c r="A91" s="18" t="inlineStr">
        <is>
          <t>리스자산(순액)</t>
        </is>
      </c>
      <c r="E91" s="20" t="n">
        <v>91</v>
      </c>
      <c r="H91" s="20" t="n">
        <v>609</v>
      </c>
      <c r="I91" s="20" t="n">
        <v>50</v>
      </c>
      <c r="J91" s="20" t="n">
        <v>110</v>
      </c>
      <c r="K91" s="20" t="n">
        <v>112</v>
      </c>
      <c r="L91" s="20" t="n">
        <v>91</v>
      </c>
    </row>
    <row r="92">
      <c r="A92" s="18" t="inlineStr">
        <is>
          <t>건설중인자산</t>
        </is>
      </c>
      <c r="C92" s="20" t="n">
        <v>7094</v>
      </c>
      <c r="D92" s="20" t="n">
        <v>7066</v>
      </c>
      <c r="E92" s="20" t="n">
        <v>8537</v>
      </c>
      <c r="F92" s="20" t="n">
        <v>11552</v>
      </c>
      <c r="G92" s="20" t="n">
        <v>13160</v>
      </c>
      <c r="H92" s="20" t="n">
        <v>3601</v>
      </c>
      <c r="I92" s="20" t="n">
        <v>7152</v>
      </c>
      <c r="J92" s="20" t="n">
        <v>6651</v>
      </c>
      <c r="K92" s="20" t="n">
        <v>4623</v>
      </c>
      <c r="L92" s="20" t="n">
        <v>8537</v>
      </c>
    </row>
    <row r="93">
      <c r="A93" s="18" t="inlineStr">
        <is>
          <t>기타</t>
        </is>
      </c>
      <c r="C93" s="20" t="n">
        <v>27512</v>
      </c>
      <c r="D93" s="20" t="n">
        <v>28412</v>
      </c>
      <c r="E93" s="20" t="n">
        <v>29115</v>
      </c>
      <c r="F93" s="20" t="n">
        <v>29770</v>
      </c>
      <c r="G93" s="20" t="n">
        <v>30237</v>
      </c>
      <c r="H93" s="20" t="n">
        <v>19597</v>
      </c>
      <c r="I93" s="20" t="n">
        <v>21921</v>
      </c>
      <c r="J93" s="20" t="n">
        <v>25023</v>
      </c>
      <c r="K93" s="20" t="n">
        <v>25599</v>
      </c>
      <c r="L93" s="20" t="n">
        <v>29115</v>
      </c>
    </row>
    <row r="94">
      <c r="A94" s="18" t="inlineStr">
        <is>
          <t>감가상각누계액</t>
        </is>
      </c>
      <c r="E94" s="20" t="n">
        <v>-17924</v>
      </c>
      <c r="H94" s="20" t="n">
        <v>-14075</v>
      </c>
      <c r="I94" s="20" t="n">
        <v>-14721</v>
      </c>
      <c r="J94" s="20" t="n">
        <v>-15865</v>
      </c>
      <c r="K94" s="20" t="n">
        <v>-15815</v>
      </c>
      <c r="L94" s="20" t="n">
        <v>-17924</v>
      </c>
    </row>
    <row r="95">
      <c r="A95" s="18" t="inlineStr">
        <is>
          <t>기타(순액)</t>
        </is>
      </c>
      <c r="E95" s="20" t="n">
        <v>11016</v>
      </c>
      <c r="H95" s="20" t="n">
        <v>5521</v>
      </c>
      <c r="I95" s="20" t="n">
        <v>7200</v>
      </c>
      <c r="J95" s="20" t="n">
        <v>9157</v>
      </c>
      <c r="K95" s="20" t="n">
        <v>9783</v>
      </c>
      <c r="L95" s="20" t="n">
        <v>11016</v>
      </c>
    </row>
    <row r="96">
      <c r="A96" s="18" t="inlineStr">
        <is>
          <t>감가상각누계액</t>
        </is>
      </c>
      <c r="C96" s="20" t="n">
        <v>-105892</v>
      </c>
      <c r="D96" s="20" t="n">
        <v>-108150</v>
      </c>
      <c r="E96" s="20" t="n">
        <v>-110237</v>
      </c>
      <c r="F96" s="20" t="n">
        <v>-115262</v>
      </c>
      <c r="G96" s="20" t="n">
        <v>-116706</v>
      </c>
      <c r="J96" s="20" t="n">
        <v>-99579</v>
      </c>
      <c r="K96" s="20" t="n">
        <v>-100823</v>
      </c>
      <c r="L96" s="20" t="n">
        <v>-110237</v>
      </c>
    </row>
    <row r="97">
      <c r="A97" s="18" t="inlineStr">
        <is>
          <t>유형자산 합계</t>
        </is>
      </c>
      <c r="C97" s="20" t="n">
        <v>113097</v>
      </c>
      <c r="D97" s="20" t="n">
        <v>114767</v>
      </c>
      <c r="E97" s="20" t="n">
        <v>118113</v>
      </c>
      <c r="F97" s="20" t="n">
        <v>125131</v>
      </c>
      <c r="G97" s="20" t="n">
        <v>127397</v>
      </c>
      <c r="H97" s="20" t="n">
        <v>56524</v>
      </c>
      <c r="I97" s="20" t="n">
        <v>72667</v>
      </c>
      <c r="J97" s="20" t="n">
        <v>102051</v>
      </c>
      <c r="K97" s="20" t="n">
        <v>112934</v>
      </c>
      <c r="L97" s="20" t="n">
        <v>118113</v>
      </c>
    </row>
    <row r="98">
      <c r="A98" s="18" t="inlineStr">
        <is>
          <t>리스자산</t>
        </is>
      </c>
      <c r="H98" s="20" t="n">
        <v>43</v>
      </c>
      <c r="I98" s="20" t="n">
        <v>36</v>
      </c>
      <c r="J98" s="20" t="n">
        <v>20</v>
      </c>
    </row>
    <row r="99">
      <c r="A99" s="18" t="inlineStr">
        <is>
          <t>기타</t>
        </is>
      </c>
      <c r="C99" s="20" t="n">
        <v>11658</v>
      </c>
      <c r="D99" s="20" t="n">
        <v>12558</v>
      </c>
      <c r="E99" s="20" t="n">
        <v>13474</v>
      </c>
      <c r="F99" s="20" t="n">
        <v>13813</v>
      </c>
      <c r="G99" s="20" t="n">
        <v>14556</v>
      </c>
      <c r="H99" s="20" t="n">
        <v>4760</v>
      </c>
      <c r="I99" s="20" t="n">
        <v>4842</v>
      </c>
      <c r="J99" s="20" t="n">
        <v>5279</v>
      </c>
      <c r="K99" s="20" t="n">
        <v>7103</v>
      </c>
      <c r="L99" s="20" t="n">
        <v>13474</v>
      </c>
    </row>
    <row r="100">
      <c r="A100" s="18" t="inlineStr">
        <is>
          <t>무형자산 합계</t>
        </is>
      </c>
      <c r="C100" s="20" t="n">
        <v>11658</v>
      </c>
      <c r="D100" s="20" t="n">
        <v>12558</v>
      </c>
      <c r="E100" s="20" t="n">
        <v>13474</v>
      </c>
      <c r="F100" s="20" t="n">
        <v>13813</v>
      </c>
      <c r="G100" s="20" t="n">
        <v>14556</v>
      </c>
      <c r="H100" s="20" t="n">
        <v>4804</v>
      </c>
      <c r="I100" s="20" t="n">
        <v>4879</v>
      </c>
      <c r="J100" s="20" t="n">
        <v>5279</v>
      </c>
      <c r="K100" s="20" t="n">
        <v>7103</v>
      </c>
      <c r="L100" s="20" t="n">
        <v>13474</v>
      </c>
    </row>
    <row r="101">
      <c r="A101" s="18" t="inlineStr">
        <is>
          <t>투자유가증권</t>
        </is>
      </c>
      <c r="C101" s="20" t="n">
        <v>50706</v>
      </c>
      <c r="D101" s="20" t="n">
        <v>49905</v>
      </c>
      <c r="E101" s="20" t="n">
        <v>52166</v>
      </c>
      <c r="F101" s="20" t="n">
        <v>69615</v>
      </c>
      <c r="G101" s="20" t="n">
        <v>65613</v>
      </c>
      <c r="H101" s="20" t="n">
        <v>44370</v>
      </c>
      <c r="I101" s="20" t="n">
        <v>40697</v>
      </c>
      <c r="J101" s="20" t="n">
        <v>52733</v>
      </c>
      <c r="K101" s="20" t="n">
        <v>45365</v>
      </c>
      <c r="L101" s="20" t="n">
        <v>52166</v>
      </c>
    </row>
    <row r="102">
      <c r="A102" s="18" t="inlineStr">
        <is>
          <t>장기대여금</t>
        </is>
      </c>
      <c r="H102" s="20" t="n">
        <v>2</v>
      </c>
      <c r="I102" s="20" t="n">
        <v>2</v>
      </c>
      <c r="J102" s="20" t="n">
        <v>2</v>
      </c>
    </row>
    <row r="103">
      <c r="A103" s="18" t="inlineStr">
        <is>
          <t>퇴직급여자산</t>
        </is>
      </c>
      <c r="C103" s="20" t="n">
        <v>8730</v>
      </c>
      <c r="D103" s="20" t="n">
        <v>8982</v>
      </c>
      <c r="E103" s="20" t="n">
        <v>15173</v>
      </c>
      <c r="F103" s="20" t="n">
        <v>15663</v>
      </c>
      <c r="G103" s="20" t="n">
        <v>15784</v>
      </c>
      <c r="H103" s="20" t="n">
        <v>7810</v>
      </c>
      <c r="I103" s="20" t="n">
        <v>6395</v>
      </c>
      <c r="J103" s="20" t="n">
        <v>9808</v>
      </c>
      <c r="K103" s="20" t="n">
        <v>8544</v>
      </c>
      <c r="L103" s="20" t="n">
        <v>15173</v>
      </c>
    </row>
    <row r="104">
      <c r="A104" s="18" t="inlineStr">
        <is>
          <t>이연법인세자산</t>
        </is>
      </c>
      <c r="C104" s="20" t="n">
        <v>11195</v>
      </c>
      <c r="D104" s="20" t="n">
        <v>11446</v>
      </c>
      <c r="E104" s="20" t="n">
        <v>10169</v>
      </c>
      <c r="F104" s="20" t="n">
        <v>9582</v>
      </c>
      <c r="G104" s="20" t="n">
        <v>9595</v>
      </c>
      <c r="H104" s="20" t="n">
        <v>4904</v>
      </c>
      <c r="I104" s="20" t="n">
        <v>5948</v>
      </c>
      <c r="J104" s="20" t="n">
        <v>8595</v>
      </c>
      <c r="K104" s="20" t="n">
        <v>12655</v>
      </c>
      <c r="L104" s="20" t="n">
        <v>10169</v>
      </c>
    </row>
    <row r="105">
      <c r="A105" s="18" t="inlineStr">
        <is>
          <t>기타</t>
        </is>
      </c>
      <c r="C105" s="20" t="n">
        <v>4729</v>
      </c>
      <c r="D105" s="20" t="n">
        <v>4726</v>
      </c>
      <c r="E105" s="20" t="n">
        <v>4931</v>
      </c>
      <c r="F105" s="20" t="n">
        <v>13423</v>
      </c>
      <c r="G105" s="20" t="n">
        <v>13685</v>
      </c>
      <c r="H105" s="20" t="n">
        <v>2617</v>
      </c>
      <c r="I105" s="20" t="n">
        <v>4053</v>
      </c>
      <c r="J105" s="20" t="n">
        <v>4937</v>
      </c>
      <c r="K105" s="20" t="n">
        <v>4882</v>
      </c>
      <c r="L105" s="20" t="n">
        <v>4931</v>
      </c>
    </row>
    <row r="106">
      <c r="A106" s="18" t="inlineStr">
        <is>
          <t>대손충당금</t>
        </is>
      </c>
      <c r="C106" s="20" t="n">
        <v>-244</v>
      </c>
      <c r="D106" s="20" t="n">
        <v>-175</v>
      </c>
      <c r="E106" s="20" t="n">
        <v>-175</v>
      </c>
      <c r="F106" s="20" t="n">
        <v>-99</v>
      </c>
      <c r="G106" s="20" t="n">
        <v>-99</v>
      </c>
      <c r="H106" s="20" t="n">
        <v>-96</v>
      </c>
      <c r="I106" s="20" t="n">
        <v>-96</v>
      </c>
      <c r="J106" s="20" t="n">
        <v>-258</v>
      </c>
      <c r="K106" s="20" t="n">
        <v>-245</v>
      </c>
      <c r="L106" s="20" t="n">
        <v>-175</v>
      </c>
    </row>
    <row r="107">
      <c r="A107" s="18" t="inlineStr">
        <is>
          <t>투자 및 기타자산 합계</t>
        </is>
      </c>
      <c r="C107" s="20" t="n">
        <v>75117</v>
      </c>
      <c r="D107" s="20" t="n">
        <v>74884</v>
      </c>
      <c r="E107" s="20" t="n">
        <v>82265</v>
      </c>
      <c r="F107" s="20" t="n">
        <v>108185</v>
      </c>
      <c r="G107" s="20" t="n">
        <v>104578</v>
      </c>
      <c r="H107" s="20" t="n">
        <v>59609</v>
      </c>
      <c r="I107" s="20" t="n">
        <v>57001</v>
      </c>
      <c r="J107" s="20" t="n">
        <v>75816</v>
      </c>
      <c r="K107" s="20" t="n">
        <v>71203</v>
      </c>
      <c r="L107" s="20" t="n">
        <v>82265</v>
      </c>
    </row>
    <row r="108">
      <c r="A108" s="9" t="inlineStr">
        <is>
          <t>비유동자산 합계</t>
        </is>
      </c>
      <c r="C108" s="12" t="n">
        <v>199873</v>
      </c>
      <c r="D108" s="12" t="n">
        <v>202211</v>
      </c>
      <c r="E108" s="12" t="n">
        <v>213853</v>
      </c>
      <c r="F108" s="12" t="n">
        <v>247130</v>
      </c>
      <c r="G108" s="12" t="n">
        <v>246531</v>
      </c>
      <c r="H108" s="12" t="n">
        <v>120938</v>
      </c>
      <c r="I108" s="12" t="n">
        <v>134548</v>
      </c>
      <c r="J108" s="12" t="n">
        <v>183147</v>
      </c>
      <c r="K108" s="12" t="n">
        <v>191241</v>
      </c>
      <c r="L108" s="12" t="n">
        <v>213853</v>
      </c>
    </row>
    <row r="109">
      <c r="A109" s="9" t="inlineStr">
        <is>
          <t>자산 합계</t>
        </is>
      </c>
      <c r="C109" s="12" t="n">
        <v>667243</v>
      </c>
      <c r="D109" s="12" t="n">
        <v>677081</v>
      </c>
      <c r="E109" s="12" t="n">
        <v>722421</v>
      </c>
      <c r="F109" s="12" t="n">
        <v>769203</v>
      </c>
      <c r="G109" s="12" t="n">
        <v>792505</v>
      </c>
      <c r="H109" s="12" t="n">
        <v>459305</v>
      </c>
      <c r="I109" s="12" t="n">
        <v>562816</v>
      </c>
      <c r="J109" s="12" t="n">
        <v>676808</v>
      </c>
      <c r="K109" s="12" t="n">
        <v>671287</v>
      </c>
      <c r="L109" s="12" t="n">
        <v>722421</v>
      </c>
    </row>
    <row r="110">
      <c r="A110" s="18" t="inlineStr">
        <is>
          <t>지급어음·매입채무</t>
        </is>
      </c>
      <c r="C110" s="20" t="n">
        <v>38863</v>
      </c>
      <c r="D110" s="20" t="n">
        <v>41273</v>
      </c>
      <c r="E110" s="20" t="n">
        <v>44293</v>
      </c>
      <c r="F110" s="20" t="n">
        <v>52311</v>
      </c>
      <c r="G110" s="20" t="n">
        <v>56569</v>
      </c>
      <c r="H110" s="20" t="n">
        <v>33498</v>
      </c>
      <c r="I110" s="20" t="n">
        <v>41300</v>
      </c>
      <c r="J110" s="20" t="n">
        <v>41617</v>
      </c>
      <c r="K110" s="20" t="n">
        <v>46519</v>
      </c>
      <c r="L110" s="20" t="n">
        <v>44293</v>
      </c>
    </row>
    <row r="111">
      <c r="A111" s="18" t="inlineStr">
        <is>
          <t>전자기록채무</t>
        </is>
      </c>
      <c r="C111" s="20" t="n">
        <v>5839</v>
      </c>
      <c r="D111" s="20" t="n">
        <v>7289</v>
      </c>
      <c r="E111" s="20" t="n">
        <v>3540</v>
      </c>
      <c r="F111" s="20" t="n">
        <v>4109</v>
      </c>
      <c r="G111" s="20" t="n">
        <v>4694</v>
      </c>
      <c r="H111" s="20" t="n">
        <v>48955</v>
      </c>
      <c r="I111" s="20" t="n">
        <v>51669</v>
      </c>
      <c r="J111" s="20" t="n">
        <v>34112</v>
      </c>
      <c r="K111" s="20" t="n">
        <v>6486</v>
      </c>
      <c r="L111" s="20" t="n">
        <v>3540</v>
      </c>
    </row>
    <row r="112">
      <c r="A112" s="18" t="inlineStr">
        <is>
          <t>단기차입금</t>
        </is>
      </c>
      <c r="E112" s="20" t="n">
        <v>2490</v>
      </c>
      <c r="F112" s="20" t="n">
        <v>2540</v>
      </c>
      <c r="G112" s="20" t="n">
        <v>4940</v>
      </c>
      <c r="H112" s="20" t="n">
        <v>0</v>
      </c>
      <c r="I112" s="20" t="n">
        <v>17</v>
      </c>
      <c r="J112" s="20" t="n">
        <v>0</v>
      </c>
      <c r="K112" s="20" t="n">
        <v>0</v>
      </c>
      <c r="L112" s="20" t="n">
        <v>2490</v>
      </c>
    </row>
    <row r="113">
      <c r="A113" s="18" t="inlineStr">
        <is>
          <t>1년 내 상환 예정 전환사채형 신주예약권부 사채</t>
        </is>
      </c>
      <c r="C113" s="20" t="n">
        <v>0</v>
      </c>
      <c r="D113" s="20" t="n">
        <v>0</v>
      </c>
      <c r="E113" s="20" t="n">
        <v>0</v>
      </c>
      <c r="H113" s="20" t="n">
        <v>15003</v>
      </c>
      <c r="I113" s="20" t="n">
        <v>0</v>
      </c>
      <c r="J113" s="20" t="n">
        <v>0</v>
      </c>
      <c r="K113" s="20" t="n">
        <v>320</v>
      </c>
      <c r="L113" s="20" t="n">
        <v>0</v>
      </c>
    </row>
    <row r="114">
      <c r="A114" s="18" t="inlineStr">
        <is>
          <t>1년 내 상환 장기차입금</t>
        </is>
      </c>
      <c r="C114" s="20" t="n">
        <v>693</v>
      </c>
      <c r="D114" s="20" t="n">
        <v>693</v>
      </c>
      <c r="E114" s="20" t="n">
        <v>677</v>
      </c>
      <c r="F114" s="20" t="n">
        <v>677</v>
      </c>
      <c r="G114" s="20" t="n">
        <v>341</v>
      </c>
      <c r="H114" s="20" t="n">
        <v>400</v>
      </c>
      <c r="I114" s="20" t="n">
        <v>10400</v>
      </c>
      <c r="J114" s="20" t="n">
        <v>672</v>
      </c>
      <c r="K114" s="20" t="n">
        <v>693</v>
      </c>
      <c r="L114" s="20" t="n">
        <v>677</v>
      </c>
    </row>
    <row r="115">
      <c r="A115" s="18" t="inlineStr">
        <is>
          <t>리스부채</t>
        </is>
      </c>
      <c r="C115" s="20" t="n">
        <v>1050</v>
      </c>
      <c r="D115" s="20" t="n">
        <v>1107</v>
      </c>
      <c r="E115" s="20" t="n">
        <v>1106</v>
      </c>
      <c r="F115" s="20" t="n">
        <v>1102</v>
      </c>
      <c r="G115" s="20" t="n">
        <v>1159</v>
      </c>
      <c r="H115" s="20" t="n">
        <v>991</v>
      </c>
      <c r="I115" s="20" t="n">
        <v>1115</v>
      </c>
      <c r="J115" s="20" t="n">
        <v>1350</v>
      </c>
      <c r="K115" s="20" t="n">
        <v>970</v>
      </c>
      <c r="L115" s="20" t="n">
        <v>1106</v>
      </c>
    </row>
    <row r="116">
      <c r="A116" s="18" t="inlineStr">
        <is>
          <t>미지급법인세</t>
        </is>
      </c>
      <c r="C116" s="20" t="n">
        <v>15475</v>
      </c>
      <c r="D116" s="20" t="n">
        <v>6274</v>
      </c>
      <c r="E116" s="20" t="n">
        <v>14974</v>
      </c>
      <c r="F116" s="20" t="n">
        <v>7924</v>
      </c>
      <c r="G116" s="20" t="n">
        <v>19244</v>
      </c>
      <c r="H116" s="20" t="n">
        <v>7088</v>
      </c>
      <c r="I116" s="20" t="n">
        <v>10617</v>
      </c>
      <c r="J116" s="20" t="n">
        <v>19998</v>
      </c>
      <c r="K116" s="20" t="n">
        <v>26831</v>
      </c>
      <c r="L116" s="20" t="n">
        <v>14974</v>
      </c>
    </row>
    <row r="117">
      <c r="A117" s="18" t="inlineStr">
        <is>
          <t>설비관련 지급어음</t>
        </is>
      </c>
      <c r="H117" s="20" t="n">
        <v>1413</v>
      </c>
      <c r="I117" s="20" t="n">
        <v>215</v>
      </c>
      <c r="J117" s="20" t="n">
        <v>4</v>
      </c>
    </row>
    <row r="118">
      <c r="A118" s="18" t="inlineStr">
        <is>
          <t>설비 관련 전자기록채무</t>
        </is>
      </c>
      <c r="H118" s="20" t="n">
        <v>708</v>
      </c>
    </row>
    <row r="119">
      <c r="A119" s="18" t="inlineStr">
        <is>
          <t>선수금</t>
        </is>
      </c>
      <c r="H119" s="20" t="n">
        <v>0</v>
      </c>
    </row>
    <row r="120">
      <c r="A120" s="18" t="inlineStr">
        <is>
          <t>계약부채</t>
        </is>
      </c>
      <c r="H120" s="20" t="n">
        <v>32927</v>
      </c>
    </row>
    <row r="121">
      <c r="A121" s="18" t="inlineStr">
        <is>
          <t>설비 관련 전자기록채무</t>
        </is>
      </c>
      <c r="H121" s="20" t="n">
        <v>708</v>
      </c>
      <c r="I121" s="20" t="n">
        <v>6162</v>
      </c>
      <c r="J121" s="20" t="n">
        <v>889</v>
      </c>
    </row>
    <row r="122">
      <c r="A122" s="18" t="inlineStr">
        <is>
          <t>계약부채</t>
        </is>
      </c>
      <c r="C122" s="20" t="n">
        <v>113446</v>
      </c>
      <c r="D122" s="20" t="n">
        <v>110085</v>
      </c>
      <c r="E122" s="20" t="n">
        <v>83145</v>
      </c>
      <c r="F122" s="20" t="n">
        <v>124927</v>
      </c>
      <c r="G122" s="20" t="n">
        <v>111983</v>
      </c>
      <c r="H122" s="20" t="n">
        <v>32927</v>
      </c>
      <c r="I122" s="20" t="n">
        <v>74674</v>
      </c>
      <c r="J122" s="20" t="n">
        <v>136603</v>
      </c>
      <c r="K122" s="20" t="n">
        <v>100401</v>
      </c>
      <c r="L122" s="20" t="n">
        <v>83145</v>
      </c>
    </row>
    <row r="123">
      <c r="A123" s="18" t="inlineStr">
        <is>
          <t>상여충당금</t>
        </is>
      </c>
      <c r="C123" s="20" t="n">
        <v>5099</v>
      </c>
      <c r="D123" s="20" t="n">
        <v>7705</v>
      </c>
      <c r="E123" s="20" t="n">
        <v>9340</v>
      </c>
      <c r="F123" s="20" t="n">
        <v>2136</v>
      </c>
      <c r="G123" s="20" t="n">
        <v>6317</v>
      </c>
      <c r="H123" s="20" t="n">
        <v>5458</v>
      </c>
      <c r="I123" s="20" t="n">
        <v>6107</v>
      </c>
      <c r="J123" s="20" t="n">
        <v>6857</v>
      </c>
      <c r="K123" s="20" t="n">
        <v>8361</v>
      </c>
      <c r="L123" s="20" t="n">
        <v>9340</v>
      </c>
    </row>
    <row r="124">
      <c r="A124" s="18" t="inlineStr">
        <is>
          <t>임원 상여충당금</t>
        </is>
      </c>
      <c r="H124" s="20" t="n">
        <v>272</v>
      </c>
      <c r="I124" s="20" t="n">
        <v>296</v>
      </c>
      <c r="J124" s="20" t="n">
        <v>305</v>
      </c>
    </row>
    <row r="125">
      <c r="A125" s="18" t="inlineStr">
        <is>
          <t>제품보증 충당금</t>
        </is>
      </c>
      <c r="C125" s="20" t="n">
        <v>12165</v>
      </c>
      <c r="D125" s="20" t="n">
        <v>11929</v>
      </c>
      <c r="E125" s="20" t="n">
        <v>11604</v>
      </c>
      <c r="F125" s="20" t="n">
        <v>10712</v>
      </c>
      <c r="G125" s="20" t="n">
        <v>10323</v>
      </c>
      <c r="H125" s="20" t="n">
        <v>8774</v>
      </c>
      <c r="I125" s="20" t="n">
        <v>10418</v>
      </c>
      <c r="J125" s="20" t="n">
        <v>12345</v>
      </c>
      <c r="K125" s="20" t="n">
        <v>12892</v>
      </c>
      <c r="L125" s="20" t="n">
        <v>11604</v>
      </c>
    </row>
    <row r="126">
      <c r="A126" s="18" t="inlineStr">
        <is>
          <t>수주손실 충당금</t>
        </is>
      </c>
      <c r="C126" s="20" t="n">
        <v>2534</v>
      </c>
      <c r="D126" s="20" t="n">
        <v>1871</v>
      </c>
      <c r="E126" s="20" t="n">
        <v>2335</v>
      </c>
      <c r="F126" s="20" t="n">
        <v>1275</v>
      </c>
      <c r="G126" s="20" t="n">
        <v>2995</v>
      </c>
      <c r="H126" s="20" t="n">
        <v>752</v>
      </c>
      <c r="I126" s="20" t="n">
        <v>1164</v>
      </c>
      <c r="J126" s="20" t="n">
        <v>2697</v>
      </c>
      <c r="K126" s="20" t="n">
        <v>1574</v>
      </c>
      <c r="L126" s="20" t="n">
        <v>2335</v>
      </c>
    </row>
    <row r="127">
      <c r="A127" s="18" t="inlineStr">
        <is>
          <t>기타</t>
        </is>
      </c>
      <c r="C127" s="20" t="n">
        <v>29441</v>
      </c>
      <c r="D127" s="20" t="n">
        <v>32314</v>
      </c>
      <c r="E127" s="20" t="n">
        <v>49371</v>
      </c>
      <c r="F127" s="20" t="n">
        <v>38115</v>
      </c>
      <c r="G127" s="20" t="n">
        <v>27494</v>
      </c>
      <c r="H127" s="20" t="n">
        <v>19376</v>
      </c>
      <c r="I127" s="20" t="n">
        <v>22979</v>
      </c>
      <c r="J127" s="20" t="n">
        <v>29753</v>
      </c>
      <c r="K127" s="20" t="n">
        <v>34671</v>
      </c>
      <c r="L127" s="20" t="n">
        <v>49371</v>
      </c>
    </row>
    <row r="128">
      <c r="A128" s="9" t="inlineStr">
        <is>
          <t>유동부채 합계</t>
        </is>
      </c>
      <c r="C128" s="12" t="n">
        <v>224608</v>
      </c>
      <c r="D128" s="12" t="n">
        <v>220545</v>
      </c>
      <c r="E128" s="12" t="n">
        <v>222877</v>
      </c>
      <c r="F128" s="12" t="n">
        <v>245832</v>
      </c>
      <c r="G128" s="12" t="n">
        <v>246063</v>
      </c>
      <c r="H128" s="12" t="n">
        <v>175620</v>
      </c>
      <c r="I128" s="12" t="n">
        <v>237137</v>
      </c>
      <c r="J128" s="12" t="n">
        <v>286007</v>
      </c>
      <c r="K128" s="12" t="n">
        <v>239723</v>
      </c>
      <c r="L128" s="12" t="n">
        <v>222877</v>
      </c>
    </row>
    <row r="129">
      <c r="A129" s="18" t="inlineStr">
        <is>
          <t>전환사채형 신주예약권부 사채</t>
        </is>
      </c>
      <c r="H129" s="20" t="n">
        <v>15033</v>
      </c>
      <c r="I129" s="20" t="n">
        <v>15023</v>
      </c>
      <c r="J129" s="20" t="n">
        <v>1771</v>
      </c>
      <c r="K129" s="20" t="n">
        <v>0</v>
      </c>
    </row>
    <row r="130">
      <c r="A130" s="18" t="inlineStr">
        <is>
          <t>장기차입금</t>
        </is>
      </c>
      <c r="C130" s="20" t="n">
        <v>410</v>
      </c>
      <c r="D130" s="20" t="n">
        <v>405</v>
      </c>
      <c r="E130" s="20" t="n">
        <v>79</v>
      </c>
      <c r="F130" s="20" t="n">
        <v>74</v>
      </c>
      <c r="G130" s="20" t="n">
        <v>69</v>
      </c>
      <c r="H130" s="20" t="n">
        <v>10400</v>
      </c>
      <c r="I130" s="20" t="n">
        <v>4</v>
      </c>
      <c r="J130" s="20" t="n">
        <v>1328</v>
      </c>
      <c r="K130" s="20" t="n">
        <v>757</v>
      </c>
      <c r="L130" s="20" t="n">
        <v>79</v>
      </c>
    </row>
    <row r="131">
      <c r="A131" s="18" t="inlineStr">
        <is>
          <t>리스부채</t>
        </is>
      </c>
      <c r="C131" s="20" t="n">
        <v>1862</v>
      </c>
      <c r="D131" s="20" t="n">
        <v>1854</v>
      </c>
      <c r="E131" s="20" t="n">
        <v>1739</v>
      </c>
      <c r="F131" s="20" t="n">
        <v>1651</v>
      </c>
      <c r="G131" s="20" t="n">
        <v>1896</v>
      </c>
      <c r="H131" s="20" t="n">
        <v>2408</v>
      </c>
      <c r="I131" s="20" t="n">
        <v>2292</v>
      </c>
      <c r="J131" s="20" t="n">
        <v>2062</v>
      </c>
      <c r="K131" s="20" t="n">
        <v>1822</v>
      </c>
      <c r="L131" s="20" t="n">
        <v>1739</v>
      </c>
    </row>
    <row r="132">
      <c r="A132" s="18" t="inlineStr">
        <is>
          <t>이연법인세부채</t>
        </is>
      </c>
      <c r="C132" s="20" t="n">
        <v>4994</v>
      </c>
      <c r="D132" s="20" t="n">
        <v>4942</v>
      </c>
      <c r="E132" s="20" t="n">
        <v>4913</v>
      </c>
      <c r="F132" s="20" t="n">
        <v>10318</v>
      </c>
      <c r="G132" s="20" t="n">
        <v>9143</v>
      </c>
      <c r="H132" s="20" t="n">
        <v>5714</v>
      </c>
      <c r="I132" s="20" t="n">
        <v>5089</v>
      </c>
      <c r="J132" s="20" t="n">
        <v>4683</v>
      </c>
      <c r="K132" s="20" t="n">
        <v>4205</v>
      </c>
      <c r="L132" s="20" t="n">
        <v>4913</v>
      </c>
    </row>
    <row r="133">
      <c r="A133" s="18" t="inlineStr">
        <is>
          <t>퇴직급여부채</t>
        </is>
      </c>
      <c r="C133" s="20" t="n">
        <v>1465</v>
      </c>
      <c r="D133" s="20" t="n">
        <v>1567</v>
      </c>
      <c r="E133" s="20" t="n">
        <v>1408</v>
      </c>
      <c r="F133" s="20" t="n">
        <v>1444</v>
      </c>
      <c r="G133" s="20" t="n">
        <v>1409</v>
      </c>
      <c r="H133" s="20" t="n">
        <v>1149</v>
      </c>
      <c r="I133" s="20" t="n">
        <v>957</v>
      </c>
      <c r="J133" s="20" t="n">
        <v>1225</v>
      </c>
      <c r="K133" s="20" t="n">
        <v>1334</v>
      </c>
      <c r="L133" s="20" t="n">
        <v>1408</v>
      </c>
    </row>
    <row r="134">
      <c r="A134" s="18" t="inlineStr">
        <is>
          <t>임원 퇴직위로 충당금</t>
        </is>
      </c>
      <c r="H134" s="20" t="n">
        <v>174</v>
      </c>
      <c r="I134" s="20" t="n">
        <v>146</v>
      </c>
      <c r="J134" s="20" t="n">
        <v>150</v>
      </c>
    </row>
    <row r="135">
      <c r="A135" s="18" t="inlineStr">
        <is>
          <t>주식급여 충당금</t>
        </is>
      </c>
      <c r="H135" s="20" t="n">
        <v>49</v>
      </c>
      <c r="I135" s="20" t="n">
        <v>55</v>
      </c>
      <c r="J135" s="20" t="n">
        <v>83</v>
      </c>
    </row>
    <row r="136">
      <c r="A136" s="18" t="inlineStr">
        <is>
          <t>임원 주식급여 충당금</t>
        </is>
      </c>
      <c r="H136" s="20" t="n">
        <v>41</v>
      </c>
      <c r="I136" s="20" t="n">
        <v>47</v>
      </c>
      <c r="J136" s="20" t="n">
        <v>76</v>
      </c>
    </row>
    <row r="137">
      <c r="A137" s="18" t="inlineStr">
        <is>
          <t>자산복구부채</t>
        </is>
      </c>
      <c r="H137" s="20" t="n">
        <v>89</v>
      </c>
      <c r="I137" s="20" t="n">
        <v>100</v>
      </c>
      <c r="J137" s="20" t="n">
        <v>126</v>
      </c>
    </row>
    <row r="138">
      <c r="A138" s="18" t="inlineStr">
        <is>
          <t>기타</t>
        </is>
      </c>
      <c r="C138" s="20" t="n">
        <v>4317</v>
      </c>
      <c r="D138" s="20" t="n">
        <v>4512</v>
      </c>
      <c r="E138" s="20" t="n">
        <v>4716</v>
      </c>
      <c r="F138" s="20" t="n">
        <v>12543</v>
      </c>
      <c r="G138" s="20" t="n">
        <v>11906</v>
      </c>
      <c r="H138" s="20" t="n">
        <v>835</v>
      </c>
      <c r="I138" s="20" t="n">
        <v>2034</v>
      </c>
      <c r="J138" s="20" t="n">
        <v>7817</v>
      </c>
      <c r="K138" s="20" t="n">
        <v>2751</v>
      </c>
      <c r="L138" s="20" t="n">
        <v>4716</v>
      </c>
    </row>
    <row r="139">
      <c r="A139" s="9" t="inlineStr">
        <is>
          <t>비유동부채 합계</t>
        </is>
      </c>
      <c r="C139" s="12" t="n">
        <v>13050</v>
      </c>
      <c r="D139" s="12" t="n">
        <v>13281</v>
      </c>
      <c r="E139" s="12" t="n">
        <v>12858</v>
      </c>
      <c r="F139" s="12" t="n">
        <v>26032</v>
      </c>
      <c r="G139" s="12" t="n">
        <v>24425</v>
      </c>
      <c r="H139" s="12" t="n">
        <v>35896</v>
      </c>
      <c r="I139" s="12" t="n">
        <v>25751</v>
      </c>
      <c r="J139" s="12" t="n">
        <v>18889</v>
      </c>
      <c r="K139" s="12" t="n">
        <v>10870</v>
      </c>
      <c r="L139" s="12" t="n">
        <v>12858</v>
      </c>
    </row>
    <row r="140">
      <c r="A140" s="9" t="inlineStr">
        <is>
          <t>부채 합계</t>
        </is>
      </c>
      <c r="C140" s="12" t="n">
        <v>237659</v>
      </c>
      <c r="D140" s="12" t="n">
        <v>233827</v>
      </c>
      <c r="E140" s="12" t="n">
        <v>235736</v>
      </c>
      <c r="F140" s="12" t="n">
        <v>271864</v>
      </c>
      <c r="G140" s="12" t="n">
        <v>270489</v>
      </c>
      <c r="H140" s="12" t="n">
        <v>211516</v>
      </c>
      <c r="I140" s="12" t="n">
        <v>262889</v>
      </c>
      <c r="J140" s="12" t="n">
        <v>304897</v>
      </c>
      <c r="K140" s="12" t="n">
        <v>250593</v>
      </c>
      <c r="L140" s="12" t="n">
        <v>235736</v>
      </c>
    </row>
    <row r="141">
      <c r="A141" s="18" t="inlineStr">
        <is>
          <t>자본금</t>
        </is>
      </c>
      <c r="C141" s="20" t="n">
        <v>54044</v>
      </c>
      <c r="D141" s="20" t="n">
        <v>54044</v>
      </c>
      <c r="E141" s="20" t="n">
        <v>54044</v>
      </c>
      <c r="F141" s="20" t="n">
        <v>54044</v>
      </c>
      <c r="G141" s="20" t="n">
        <v>54044</v>
      </c>
      <c r="H141" s="20" t="n">
        <v>54044</v>
      </c>
      <c r="I141" s="20" t="n">
        <v>54044</v>
      </c>
      <c r="J141" s="20" t="n">
        <v>54044</v>
      </c>
      <c r="K141" s="20" t="n">
        <v>54044</v>
      </c>
      <c r="L141" s="20" t="n">
        <v>54044</v>
      </c>
    </row>
    <row r="142">
      <c r="A142" s="18" t="inlineStr">
        <is>
          <t>자본잉여금</t>
        </is>
      </c>
      <c r="C142" s="20" t="n">
        <v>0</v>
      </c>
      <c r="D142" s="20" t="n">
        <v>0</v>
      </c>
      <c r="E142" s="20" t="n">
        <v>0</v>
      </c>
      <c r="H142" s="20" t="n">
        <v>4488</v>
      </c>
      <c r="I142" s="20" t="n">
        <v>10308</v>
      </c>
      <c r="J142" s="20" t="n">
        <v>18768</v>
      </c>
      <c r="K142" s="20" t="n">
        <v>19691</v>
      </c>
      <c r="L142" s="20" t="n">
        <v>0</v>
      </c>
    </row>
    <row r="143">
      <c r="A143" s="18" t="inlineStr">
        <is>
          <t>이익잉여금</t>
        </is>
      </c>
      <c r="C143" s="20" t="n">
        <v>350955</v>
      </c>
      <c r="D143" s="20" t="n">
        <v>362350</v>
      </c>
      <c r="E143" s="20" t="n">
        <v>399435</v>
      </c>
      <c r="F143" s="20" t="n">
        <v>393765</v>
      </c>
      <c r="G143" s="20" t="n">
        <v>420931</v>
      </c>
      <c r="H143" s="20" t="n">
        <v>185804</v>
      </c>
      <c r="I143" s="20" t="n">
        <v>229596</v>
      </c>
      <c r="J143" s="20" t="n">
        <v>274869</v>
      </c>
      <c r="K143" s="20" t="n">
        <v>348996</v>
      </c>
      <c r="L143" s="20" t="n">
        <v>399435</v>
      </c>
    </row>
    <row r="144">
      <c r="A144" s="18" t="inlineStr">
        <is>
          <t>자기주식</t>
        </is>
      </c>
      <c r="C144" s="20" t="n">
        <v>-6818</v>
      </c>
      <c r="D144" s="20" t="n">
        <v>-6798</v>
      </c>
      <c r="E144" s="20" t="n">
        <v>-6801</v>
      </c>
      <c r="F144" s="20" t="n">
        <v>-6601</v>
      </c>
      <c r="G144" s="20" t="n">
        <v>-5807</v>
      </c>
      <c r="H144" s="20" t="n">
        <v>-18503</v>
      </c>
      <c r="I144" s="20" t="n">
        <v>-14894</v>
      </c>
      <c r="J144" s="20" t="n">
        <v>-10051</v>
      </c>
      <c r="K144" s="20" t="n">
        <v>-28264</v>
      </c>
      <c r="L144" s="20" t="n">
        <v>-6801</v>
      </c>
    </row>
    <row r="145">
      <c r="A145" s="9" t="inlineStr">
        <is>
          <t>주주자본 합계</t>
        </is>
      </c>
      <c r="C145" s="12" t="n">
        <v>398181</v>
      </c>
      <c r="D145" s="12" t="n">
        <v>409596</v>
      </c>
      <c r="E145" s="12" t="n">
        <v>446679</v>
      </c>
      <c r="F145" s="12" t="n">
        <v>441208</v>
      </c>
      <c r="G145" s="12" t="n">
        <v>469169</v>
      </c>
      <c r="H145" s="12" t="n">
        <v>225834</v>
      </c>
      <c r="I145" s="12" t="n">
        <v>279055</v>
      </c>
      <c r="J145" s="12" t="n">
        <v>337631</v>
      </c>
      <c r="K145" s="12" t="n">
        <v>394468</v>
      </c>
      <c r="L145" s="12" t="n">
        <v>446679</v>
      </c>
    </row>
    <row r="146">
      <c r="A146" s="18" t="inlineStr">
        <is>
          <t>기타유가증권 평가차액</t>
        </is>
      </c>
      <c r="C146" s="20" t="n">
        <v>23198</v>
      </c>
      <c r="D146" s="20" t="n">
        <v>22722</v>
      </c>
      <c r="E146" s="20" t="n">
        <v>24210</v>
      </c>
      <c r="F146" s="20" t="n">
        <v>39131</v>
      </c>
      <c r="G146" s="20" t="n">
        <v>36367</v>
      </c>
      <c r="H146" s="20" t="n">
        <v>21250</v>
      </c>
      <c r="I146" s="20" t="n">
        <v>18616</v>
      </c>
      <c r="J146" s="20" t="n">
        <v>24813</v>
      </c>
      <c r="K146" s="20" t="n">
        <v>19338</v>
      </c>
      <c r="L146" s="20" t="n">
        <v>24210</v>
      </c>
    </row>
    <row r="147">
      <c r="A147" s="18" t="inlineStr">
        <is>
          <t>해외사업환산조정</t>
        </is>
      </c>
      <c r="C147" s="20" t="n">
        <v>8306</v>
      </c>
      <c r="D147" s="20" t="n">
        <v>11054</v>
      </c>
      <c r="E147" s="20" t="n">
        <v>11976</v>
      </c>
      <c r="F147" s="20" t="n">
        <v>13263</v>
      </c>
      <c r="G147" s="20" t="n">
        <v>12822</v>
      </c>
      <c r="H147" s="20" t="n">
        <v>4</v>
      </c>
      <c r="I147" s="20" t="n">
        <v>3036</v>
      </c>
      <c r="J147" s="20" t="n">
        <v>8556</v>
      </c>
      <c r="K147" s="20" t="n">
        <v>6998</v>
      </c>
      <c r="L147" s="20" t="n">
        <v>11976</v>
      </c>
    </row>
    <row r="148">
      <c r="A148" s="18" t="inlineStr">
        <is>
          <t>퇴직급여 조정누계액</t>
        </is>
      </c>
      <c r="C148" s="20" t="n">
        <v>-215</v>
      </c>
      <c r="D148" s="20" t="n">
        <v>-240</v>
      </c>
      <c r="E148" s="20" t="n">
        <v>3703</v>
      </c>
      <c r="F148" s="20" t="n">
        <v>3623</v>
      </c>
      <c r="G148" s="20" t="n">
        <v>3543</v>
      </c>
      <c r="H148" s="20" t="n">
        <v>626</v>
      </c>
      <c r="I148" s="20" t="n">
        <v>-820</v>
      </c>
      <c r="J148" s="20" t="n">
        <v>864</v>
      </c>
      <c r="K148" s="20" t="n">
        <v>-165</v>
      </c>
      <c r="L148" s="20" t="n">
        <v>3703</v>
      </c>
    </row>
    <row r="149">
      <c r="A149" s="18" t="inlineStr">
        <is>
          <t>기타포괄손익누계액 합계</t>
        </is>
      </c>
      <c r="C149" s="20" t="n">
        <v>31289</v>
      </c>
      <c r="D149" s="20" t="n">
        <v>33536</v>
      </c>
      <c r="E149" s="20" t="n">
        <v>39890</v>
      </c>
      <c r="F149" s="20" t="n">
        <v>56019</v>
      </c>
      <c r="G149" s="20" t="n">
        <v>52734</v>
      </c>
      <c r="H149" s="20" t="n">
        <v>21881</v>
      </c>
      <c r="I149" s="20" t="n">
        <v>20832</v>
      </c>
      <c r="J149" s="20" t="n">
        <v>34235</v>
      </c>
      <c r="K149" s="20" t="n">
        <v>26172</v>
      </c>
      <c r="L149" s="20" t="n">
        <v>39890</v>
      </c>
    </row>
    <row r="150">
      <c r="A150" s="18" t="inlineStr">
        <is>
          <t>비지배지분</t>
        </is>
      </c>
      <c r="C150" s="20" t="n">
        <v>111</v>
      </c>
      <c r="D150" s="20" t="n">
        <v>120</v>
      </c>
      <c r="E150" s="20" t="n">
        <v>114</v>
      </c>
      <c r="F150" s="20" t="n">
        <v>111</v>
      </c>
      <c r="G150" s="20" t="n">
        <v>112</v>
      </c>
      <c r="H150" s="20" t="n">
        <v>72</v>
      </c>
      <c r="I150" s="20" t="n">
        <v>38</v>
      </c>
      <c r="J150" s="20" t="n">
        <v>44</v>
      </c>
      <c r="K150" s="20" t="n">
        <v>53</v>
      </c>
      <c r="L150" s="20" t="n">
        <v>114</v>
      </c>
    </row>
    <row r="151">
      <c r="A151" s="9" t="inlineStr">
        <is>
          <t>순자산 합계</t>
        </is>
      </c>
      <c r="C151" s="12" t="n">
        <v>429583</v>
      </c>
      <c r="D151" s="12" t="n">
        <v>443254</v>
      </c>
      <c r="E151" s="12" t="n">
        <v>486684</v>
      </c>
      <c r="F151" s="12" t="n">
        <v>497339</v>
      </c>
      <c r="G151" s="12" t="n">
        <v>522016</v>
      </c>
      <c r="H151" s="12" t="n">
        <v>247788</v>
      </c>
      <c r="I151" s="12" t="n">
        <v>299926</v>
      </c>
      <c r="J151" s="12" t="n">
        <v>371911</v>
      </c>
      <c r="K151" s="12" t="n">
        <v>420694</v>
      </c>
      <c r="L151" s="12" t="n">
        <v>486684</v>
      </c>
    </row>
    <row r="152">
      <c r="A152" s="9" t="inlineStr">
        <is>
          <t>부채·순자산 합계</t>
        </is>
      </c>
      <c r="C152" s="12" t="n">
        <v>667243</v>
      </c>
      <c r="D152" s="12" t="n">
        <v>677081</v>
      </c>
      <c r="E152" s="12" t="n">
        <v>722421</v>
      </c>
      <c r="F152" s="12" t="n">
        <v>769203</v>
      </c>
      <c r="G152" s="12" t="n">
        <v>792505</v>
      </c>
      <c r="H152" s="12" t="n">
        <v>459305</v>
      </c>
      <c r="I152" s="12" t="n">
        <v>562816</v>
      </c>
      <c r="J152" s="12" t="n">
        <v>676808</v>
      </c>
      <c r="K152" s="12" t="n">
        <v>671287</v>
      </c>
      <c r="L152" s="12" t="n">
        <v>722421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7735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EPS adjusted current basis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FY23</t>
        </is>
      </c>
      <c r="B6" s="55" t="n">
        <v>304.1</v>
      </c>
      <c r="G6" s="56" t="inlineStr">
        <is>
          <t>FY23=1216.33/4, FY24=742.1/2, FY25=1023.54/2 (계산)</t>
        </is>
      </c>
    </row>
    <row r="7">
      <c r="A7" s="54" t="inlineStr">
        <is>
          <t>FY24</t>
        </is>
      </c>
      <c r="B7" s="55" t="n">
        <v>371.1</v>
      </c>
    </row>
    <row r="8">
      <c r="A8" s="54" t="inlineStr">
        <is>
          <t>FY25</t>
        </is>
      </c>
      <c r="B8" s="55" t="n">
        <v>511.8</v>
      </c>
    </row>
    <row r="9">
      <c r="A9" s="54" t="inlineStr">
        <is>
          <t>FY26</t>
        </is>
      </c>
      <c r="B9" s="55" t="n">
        <v>486.63</v>
      </c>
    </row>
    <row r="11">
      <c r="A11" s="52" t="inlineStr">
        <is>
          <t>dps adjusted current basis</t>
        </is>
      </c>
      <c r="B11" s="52" t="n"/>
      <c r="C11" s="52" t="n"/>
      <c r="D11" s="52" t="n"/>
      <c r="E11" s="52" t="n"/>
      <c r="F11" s="52" t="n"/>
      <c r="G11" s="52" t="n"/>
    </row>
    <row r="12">
      <c r="A12" s="53" t="inlineStr">
        <is>
          <t>항목</t>
        </is>
      </c>
      <c r="B12" s="53" t="inlineStr">
        <is>
          <t>값</t>
        </is>
      </c>
      <c r="G12" s="53" t="inlineStr">
        <is>
          <t>출처</t>
        </is>
      </c>
    </row>
    <row r="13">
      <c r="A13" s="54" t="inlineStr">
        <is>
          <t>FY23</t>
        </is>
      </c>
      <c r="B13" s="55" t="n">
        <v>91.3</v>
      </c>
      <c r="G13" s="56" t="inlineStr">
        <is>
          <t>2단계 보고서 자료(회사 설명회 자료·공시)</t>
        </is>
      </c>
    </row>
    <row r="14">
      <c r="A14" s="54" t="inlineStr">
        <is>
          <t>FY25</t>
        </is>
      </c>
      <c r="B14" s="55" t="n">
        <v>154</v>
      </c>
    </row>
    <row r="15">
      <c r="A15" s="54" t="inlineStr">
        <is>
          <t>FY26</t>
        </is>
      </c>
      <c r="B15" s="55" t="n">
        <v>146.5</v>
      </c>
    </row>
    <row r="16">
      <c r="A16" s="54" t="inlineStr">
        <is>
          <t>FY27 fc</t>
        </is>
      </c>
      <c r="B16" s="57" t="n">
        <v>183</v>
      </c>
    </row>
    <row r="18">
      <c r="A18" s="52" t="inlineStr">
        <is>
          <t>this quarter 2027 2Q</t>
        </is>
      </c>
      <c r="B18" s="52" t="n"/>
      <c r="C18" s="52" t="n"/>
      <c r="D18" s="52" t="n"/>
      <c r="E18" s="52" t="n"/>
      <c r="F18" s="52" t="n"/>
      <c r="G18" s="52" t="n"/>
    </row>
    <row r="19">
      <c r="A19" s="53" t="inlineStr">
        <is>
          <t>항목</t>
        </is>
      </c>
      <c r="B19" s="53" t="inlineStr">
        <is>
          <t>값</t>
        </is>
      </c>
      <c r="G19" s="53" t="inlineStr">
        <is>
          <t>출처</t>
        </is>
      </c>
    </row>
    <row r="20">
      <c r="A20" s="54" t="inlineStr">
        <is>
          <t>매출</t>
        </is>
      </c>
      <c r="B20" s="55" t="n">
        <v>1866.8</v>
      </c>
      <c r="G20" s="56" t="inlineStr">
        <is>
          <t>2단계 보고서 자료(회사 설명회 자료·공시)</t>
        </is>
      </c>
    </row>
    <row r="21">
      <c r="A21" s="54" t="inlineStr">
        <is>
          <t>gp</t>
        </is>
      </c>
      <c r="B21" s="55" t="n">
        <v>714.5</v>
      </c>
    </row>
    <row r="22">
      <c r="A22" s="54" t="inlineStr">
        <is>
          <t>sga</t>
        </is>
      </c>
      <c r="B22" s="55" t="n">
        <v>313</v>
      </c>
    </row>
    <row r="23">
      <c r="A23" s="54" t="inlineStr">
        <is>
          <t>영업이익</t>
        </is>
      </c>
      <c r="B23" s="55" t="n">
        <v>401.6</v>
      </c>
    </row>
    <row r="24">
      <c r="A24" s="54" t="inlineStr">
        <is>
          <t>ordinary</t>
        </is>
      </c>
      <c r="B24" s="55" t="n">
        <v>405.6</v>
      </c>
    </row>
    <row r="25">
      <c r="A25" s="54" t="inlineStr">
        <is>
          <t>순이익 owner</t>
        </is>
      </c>
      <c r="B25" s="55" t="n">
        <v>271.7</v>
      </c>
    </row>
    <row r="26">
      <c r="A26" s="54" t="inlineStr">
        <is>
          <t>EPS</t>
        </is>
      </c>
      <c r="B26" s="55" t="n">
        <v>143.59</v>
      </c>
    </row>
    <row r="27">
      <c r="A27" s="54" t="inlineStr">
        <is>
          <t>영업이익률 %</t>
        </is>
      </c>
      <c r="B27" s="55" t="n">
        <v>21.5</v>
      </c>
    </row>
    <row r="28">
      <c r="A28" s="54" t="inlineStr">
        <is>
          <t>매출총이익률 %</t>
        </is>
      </c>
      <c r="B28" s="55" t="n">
        <v>38.3</v>
      </c>
    </row>
    <row r="30">
      <c r="A30" s="52" t="inlineStr">
        <is>
          <t>this quarter 2027 2Q · YoY</t>
        </is>
      </c>
      <c r="B30" s="52" t="n"/>
      <c r="C30" s="52" t="n"/>
      <c r="D30" s="52" t="n"/>
      <c r="E30" s="52" t="n"/>
      <c r="F30" s="52" t="n"/>
      <c r="G30" s="52" t="n"/>
    </row>
    <row r="31">
      <c r="A31" s="53" t="inlineStr">
        <is>
          <t>항목</t>
        </is>
      </c>
      <c r="B31" s="53" t="inlineStr">
        <is>
          <t>값</t>
        </is>
      </c>
      <c r="G31" s="53" t="inlineStr">
        <is>
          <t>출처</t>
        </is>
      </c>
    </row>
    <row r="32">
      <c r="A32" s="54" t="inlineStr">
        <is>
          <t>매출 %</t>
        </is>
      </c>
      <c r="B32" s="55" t="n">
        <v>34.8</v>
      </c>
      <c r="G32" s="56" t="inlineStr">
        <is>
          <t>2단계 보고서 자료(회사 설명회 자료·공시)</t>
        </is>
      </c>
    </row>
    <row r="33">
      <c r="A33" s="54" t="inlineStr">
        <is>
          <t>영업이익 %</t>
        </is>
      </c>
      <c r="B33" s="55" t="n">
        <v>82</v>
      </c>
    </row>
    <row r="34">
      <c r="A34" s="54" t="inlineStr">
        <is>
          <t>순이익 %</t>
        </is>
      </c>
      <c r="B34" s="55" t="n">
        <v>79.09999999999999</v>
      </c>
    </row>
    <row r="36">
      <c r="A36" s="52" t="inlineStr">
        <is>
          <t>this quarter 2027 2Q · QoQ</t>
        </is>
      </c>
      <c r="B36" s="52" t="n"/>
      <c r="C36" s="52" t="n"/>
      <c r="D36" s="52" t="n"/>
      <c r="E36" s="52" t="n"/>
      <c r="F36" s="52" t="n"/>
      <c r="G36" s="52" t="n"/>
    </row>
    <row r="37">
      <c r="A37" s="53" t="inlineStr">
        <is>
          <t>항목</t>
        </is>
      </c>
      <c r="B37" s="53" t="inlineStr">
        <is>
          <t>값</t>
        </is>
      </c>
      <c r="G37" s="53" t="inlineStr">
        <is>
          <t>출처</t>
        </is>
      </c>
    </row>
    <row r="38">
      <c r="A38" s="54" t="inlineStr">
        <is>
          <t>매출 %</t>
        </is>
      </c>
      <c r="B38" s="55" t="n">
        <v>53.3</v>
      </c>
      <c r="G38" s="56" t="inlineStr">
        <is>
          <t>2단계 보고서 자료(회사 설명회 자료·공시)</t>
        </is>
      </c>
    </row>
    <row r="39">
      <c r="A39" s="54" t="inlineStr">
        <is>
          <t>영업이익 %</t>
        </is>
      </c>
      <c r="B39" s="55" t="n">
        <v>179.5</v>
      </c>
    </row>
    <row r="41">
      <c r="A41" s="52" t="inlineStr">
        <is>
          <t>this quarter 2027 2Q · 상반기</t>
        </is>
      </c>
      <c r="B41" s="52" t="n"/>
      <c r="C41" s="52" t="n"/>
      <c r="D41" s="52" t="n"/>
      <c r="E41" s="52" t="n"/>
      <c r="F41" s="52" t="n"/>
      <c r="G41" s="52" t="n"/>
    </row>
    <row r="42">
      <c r="A42" s="53" t="inlineStr">
        <is>
          <t>항목</t>
        </is>
      </c>
      <c r="B42" s="53" t="inlineStr">
        <is>
          <t>값</t>
        </is>
      </c>
      <c r="G42" s="53" t="inlineStr">
        <is>
          <t>출처</t>
        </is>
      </c>
    </row>
    <row r="43">
      <c r="A43" s="54" t="inlineStr">
        <is>
          <t>매출</t>
        </is>
      </c>
      <c r="B43" s="55" t="n">
        <v>3084.5</v>
      </c>
      <c r="G43" s="56" t="inlineStr">
        <is>
          <t>2단계 보고서 자료(회사 설명회 자료·공시)</t>
        </is>
      </c>
    </row>
    <row r="44">
      <c r="A44" s="54" t="inlineStr">
        <is>
          <t>YoY %</t>
        </is>
      </c>
      <c r="B44" s="55" t="n">
        <v>12.5</v>
      </c>
    </row>
    <row r="45">
      <c r="A45" s="54" t="inlineStr">
        <is>
          <t>영업이익</t>
        </is>
      </c>
      <c r="B45" s="55" t="n">
        <v>545.2</v>
      </c>
    </row>
    <row r="46">
      <c r="A46" s="54" t="inlineStr">
        <is>
          <t>영업이익 YoY %</t>
        </is>
      </c>
      <c r="B46" s="55" t="n">
        <v>17.4</v>
      </c>
    </row>
    <row r="47">
      <c r="A47" s="54" t="inlineStr">
        <is>
          <t>ordinary</t>
        </is>
      </c>
      <c r="B47" s="55" t="n">
        <v>559.8</v>
      </c>
    </row>
    <row r="48">
      <c r="A48" s="54" t="inlineStr">
        <is>
          <t>순이익 owner</t>
        </is>
      </c>
      <c r="B48" s="55" t="n">
        <v>376.6</v>
      </c>
    </row>
    <row r="49">
      <c r="A49" s="54" t="inlineStr">
        <is>
          <t>EPS</t>
        </is>
      </c>
      <c r="B49" s="55" t="n">
        <v>199.06</v>
      </c>
    </row>
    <row r="50">
      <c r="A50" s="54" t="inlineStr">
        <is>
          <t>영업이익률 %</t>
        </is>
      </c>
      <c r="B50" s="55" t="n">
        <v>17.7</v>
      </c>
    </row>
    <row r="52">
      <c r="A52" s="52" t="inlineStr">
        <is>
          <t>this quarter 2027 2Q · 컨센서스 before</t>
        </is>
      </c>
      <c r="B52" s="52" t="n"/>
      <c r="C52" s="52" t="n"/>
      <c r="D52" s="52" t="n"/>
      <c r="E52" s="52" t="n"/>
      <c r="F52" s="52" t="n"/>
      <c r="G52" s="52" t="n"/>
    </row>
    <row r="53">
      <c r="A53" s="53" t="inlineStr">
        <is>
          <t>항목</t>
        </is>
      </c>
      <c r="B53" s="53" t="inlineStr">
        <is>
          <t>값</t>
        </is>
      </c>
      <c r="G53" s="53" t="inlineStr">
        <is>
          <t>출처</t>
        </is>
      </c>
    </row>
    <row r="54">
      <c r="A54" s="54" t="inlineStr">
        <is>
          <t>매출 avg</t>
        </is>
      </c>
      <c r="B54" s="55" t="n">
        <v>1944.1</v>
      </c>
      <c r="G54" s="56" t="inlineStr">
        <is>
          <t>2단계 보고서 자료(회사 설명회 자료·공시)</t>
        </is>
      </c>
    </row>
    <row r="55">
      <c r="A55" s="54" t="inlineStr">
        <is>
          <t>매출 애널리스트 수</t>
        </is>
      </c>
      <c r="B55" s="57" t="n">
        <v>12</v>
      </c>
    </row>
    <row r="56">
      <c r="A56" s="54" t="inlineStr">
        <is>
          <t>EPS avg</t>
        </is>
      </c>
      <c r="B56" s="55" t="n">
        <v>146.4</v>
      </c>
    </row>
    <row r="57">
      <c r="A57" s="54" t="inlineStr">
        <is>
          <t>EPS 애널리스트 수</t>
        </is>
      </c>
      <c r="B57" s="57" t="n">
        <v>6</v>
      </c>
    </row>
    <row r="59">
      <c r="A59" s="52" t="inlineStr">
        <is>
          <t>this quarter 2027 2Q · bs cf</t>
        </is>
      </c>
      <c r="B59" s="52" t="n"/>
      <c r="C59" s="52" t="n"/>
      <c r="D59" s="52" t="n"/>
      <c r="E59" s="52" t="n"/>
      <c r="F59" s="52" t="n"/>
      <c r="G59" s="52" t="n"/>
    </row>
    <row r="60">
      <c r="A60" s="53" t="inlineStr">
        <is>
          <t>항목</t>
        </is>
      </c>
      <c r="B60" s="53" t="inlineStr">
        <is>
          <t>값</t>
        </is>
      </c>
      <c r="G60" s="53" t="inlineStr">
        <is>
          <t>출처</t>
        </is>
      </c>
    </row>
    <row r="61">
      <c r="A61" s="54" t="inlineStr">
        <is>
          <t>equity ratio %</t>
        </is>
      </c>
      <c r="B61" s="55" t="n">
        <v>65.90000000000001</v>
      </c>
      <c r="G61" s="56" t="inlineStr">
        <is>
          <t>2단계 보고서 자료(회사 설명회 자료·공시)</t>
        </is>
      </c>
    </row>
    <row r="62">
      <c r="A62" s="54" t="inlineStr">
        <is>
          <t>net cash</t>
        </is>
      </c>
      <c r="B62" s="55" t="n">
        <v>1889.7</v>
      </c>
    </row>
    <row r="63">
      <c r="A63" s="54" t="inlineStr">
        <is>
          <t>ocf 상반기</t>
        </is>
      </c>
      <c r="B63" s="55" t="n">
        <v>-19.1</v>
      </c>
    </row>
    <row r="64">
      <c r="A64" s="54" t="inlineStr">
        <is>
          <t>ocf 상반기 직전</t>
        </is>
      </c>
      <c r="B64" s="55" t="n">
        <v>308.3</v>
      </c>
    </row>
    <row r="65">
      <c r="A65" s="54" t="inlineStr">
        <is>
          <t>설비투자 상반기</t>
        </is>
      </c>
      <c r="B65" s="55" t="n">
        <v>255.9</v>
      </c>
    </row>
    <row r="66">
      <c r="A66" s="54" t="inlineStr">
        <is>
          <t>설비투자 fy27 계획</t>
        </is>
      </c>
      <c r="B66" s="57" t="n">
        <v>580</v>
      </c>
    </row>
    <row r="67">
      <c r="A67" s="54" t="inlineStr">
        <is>
          <t>연구개발비 상반기</t>
        </is>
      </c>
      <c r="B67" s="55" t="n">
        <v>215.7</v>
      </c>
    </row>
    <row r="68">
      <c r="A68" s="54" t="inlineStr">
        <is>
          <t>연구개발비 fy27 계획</t>
        </is>
      </c>
      <c r="B68" s="57" t="n">
        <v>430</v>
      </c>
    </row>
    <row r="69">
      <c r="A69" s="54" t="inlineStr">
        <is>
          <t>dep fy27 계획</t>
        </is>
      </c>
      <c r="B69" s="57" t="n">
        <v>180</v>
      </c>
    </row>
    <row r="70">
      <c r="A70" s="54" t="inlineStr">
        <is>
          <t>employees</t>
        </is>
      </c>
      <c r="B70" s="57" t="n">
        <v>7240</v>
      </c>
    </row>
    <row r="72">
      <c r="A72" s="52" t="inlineStr">
        <is>
          <t>가이던스 fy27 · current</t>
        </is>
      </c>
      <c r="B72" s="52" t="n"/>
      <c r="C72" s="52" t="n"/>
      <c r="D72" s="52" t="n"/>
      <c r="E72" s="52" t="n"/>
      <c r="F72" s="52" t="n"/>
      <c r="G72" s="52" t="n"/>
    </row>
    <row r="73">
      <c r="A73" s="53" t="inlineStr">
        <is>
          <t>항목</t>
        </is>
      </c>
      <c r="B73" s="53" t="inlineStr">
        <is>
          <t>값</t>
        </is>
      </c>
      <c r="G73" s="53" t="inlineStr">
        <is>
          <t>출처</t>
        </is>
      </c>
    </row>
    <row r="74">
      <c r="A74" s="54" t="inlineStr">
        <is>
          <t>매출</t>
        </is>
      </c>
      <c r="B74" s="57" t="n">
        <v>7430</v>
      </c>
      <c r="G74" s="56" t="inlineStr">
        <is>
          <t>2Q에 통기 숫자 그대로, 부문 간 배분만 조정</t>
        </is>
      </c>
    </row>
    <row r="75">
      <c r="A75" s="54" t="inlineStr">
        <is>
          <t>영업이익</t>
        </is>
      </c>
      <c r="B75" s="57" t="n">
        <v>1565</v>
      </c>
    </row>
    <row r="76">
      <c r="A76" s="54" t="inlineStr">
        <is>
          <t>ordinary</t>
        </is>
      </c>
      <c r="B76" s="57" t="n">
        <v>1565</v>
      </c>
    </row>
    <row r="77">
      <c r="A77" s="54" t="inlineStr">
        <is>
          <t>순이익</t>
        </is>
      </c>
      <c r="B77" s="57" t="n">
        <v>1150</v>
      </c>
    </row>
    <row r="78">
      <c r="A78" s="54" t="inlineStr">
        <is>
          <t>EPS</t>
        </is>
      </c>
      <c r="B78" s="55" t="n">
        <v>607.72</v>
      </c>
    </row>
    <row r="79">
      <c r="A79" s="54" t="inlineStr">
        <is>
          <t>dps</t>
        </is>
      </c>
      <c r="B79" s="57" t="n">
        <v>183</v>
      </c>
    </row>
    <row r="81">
      <c r="A81" s="52" t="inlineStr">
        <is>
          <t>가이던스 fy27 · initial</t>
        </is>
      </c>
      <c r="B81" s="52" t="n"/>
      <c r="C81" s="52" t="n"/>
      <c r="D81" s="52" t="n"/>
      <c r="E81" s="52" t="n"/>
      <c r="F81" s="52" t="n"/>
      <c r="G81" s="52" t="n"/>
    </row>
    <row r="82">
      <c r="A82" s="53" t="inlineStr">
        <is>
          <t>항목</t>
        </is>
      </c>
      <c r="B82" s="53" t="inlineStr">
        <is>
          <t>값</t>
        </is>
      </c>
      <c r="G82" s="53" t="inlineStr">
        <is>
          <t>출처</t>
        </is>
      </c>
    </row>
    <row r="83">
      <c r="A83" s="54" t="inlineStr">
        <is>
          <t>매출</t>
        </is>
      </c>
      <c r="B83" s="57" t="n">
        <v>7250</v>
      </c>
      <c r="G83" s="56" t="inlineStr">
        <is>
          <t>2Q에 통기 숫자 그대로, 부문 간 배분만 조정</t>
        </is>
      </c>
    </row>
    <row r="84">
      <c r="A84" s="54" t="inlineStr">
        <is>
          <t>영업이익</t>
        </is>
      </c>
      <c r="B84" s="57" t="n">
        <v>1500</v>
      </c>
    </row>
    <row r="85">
      <c r="A85" s="54" t="inlineStr">
        <is>
          <t>ordinary</t>
        </is>
      </c>
      <c r="B85" s="57" t="n">
        <v>1500</v>
      </c>
    </row>
    <row r="86">
      <c r="A86" s="54" t="inlineStr">
        <is>
          <t>순이익</t>
        </is>
      </c>
      <c r="B86" s="57" t="n">
        <v>1100</v>
      </c>
    </row>
    <row r="87">
      <c r="A87" s="54" t="inlineStr">
        <is>
          <t>EPS</t>
        </is>
      </c>
      <c r="B87" s="55" t="n">
        <v>581.74</v>
      </c>
    </row>
    <row r="88">
      <c r="A88" s="54" t="inlineStr">
        <is>
          <t>dps</t>
        </is>
      </c>
      <c r="B88" s="57" t="n">
        <v>175</v>
      </c>
    </row>
    <row r="90">
      <c r="A90" s="52" t="inlineStr">
        <is>
          <t>가이던스 fy27 · 하반기 implied</t>
        </is>
      </c>
      <c r="B90" s="52" t="n"/>
      <c r="C90" s="52" t="n"/>
      <c r="D90" s="52" t="n"/>
      <c r="E90" s="52" t="n"/>
      <c r="F90" s="52" t="n"/>
      <c r="G90" s="52" t="n"/>
    </row>
    <row r="91">
      <c r="A91" s="53" t="inlineStr">
        <is>
          <t>항목</t>
        </is>
      </c>
      <c r="B91" s="53" t="inlineStr">
        <is>
          <t>값</t>
        </is>
      </c>
      <c r="G91" s="53" t="inlineStr">
        <is>
          <t>출처</t>
        </is>
      </c>
    </row>
    <row r="92">
      <c r="A92" s="54" t="inlineStr">
        <is>
          <t>매출</t>
        </is>
      </c>
      <c r="B92" s="55" t="n">
        <v>4345.5</v>
      </c>
      <c r="G92" s="56" t="inlineStr">
        <is>
          <t>2Q에 통기 숫자 그대로, 부문 간 배분만 조정</t>
        </is>
      </c>
    </row>
    <row r="93">
      <c r="A93" s="54" t="inlineStr">
        <is>
          <t>영업이익</t>
        </is>
      </c>
      <c r="B93" s="55" t="n">
        <v>1019.8</v>
      </c>
    </row>
    <row r="94">
      <c r="A94" s="54" t="inlineStr">
        <is>
          <t>영업이익률 %</t>
        </is>
      </c>
      <c r="B94" s="55" t="n">
        <v>23.5</v>
      </c>
    </row>
    <row r="95">
      <c r="A95" s="54" t="inlineStr">
        <is>
          <t>PER quarter 매출</t>
        </is>
      </c>
      <c r="B95" s="55" t="n">
        <v>2172.8</v>
      </c>
    </row>
    <row r="96">
      <c r="A96" s="54" t="inlineStr">
        <is>
          <t>PER quarter 영업이익</t>
        </is>
      </c>
      <c r="B96" s="55" t="n">
        <v>509.9</v>
      </c>
    </row>
    <row r="98">
      <c r="A98" s="52" t="inlineStr">
        <is>
          <t>가이던스 fy27 · progress 상반기 %</t>
        </is>
      </c>
      <c r="B98" s="52" t="n"/>
      <c r="C98" s="52" t="n"/>
      <c r="D98" s="52" t="n"/>
      <c r="E98" s="52" t="n"/>
      <c r="F98" s="52" t="n"/>
      <c r="G98" s="52" t="n"/>
    </row>
    <row r="99">
      <c r="A99" s="53" t="inlineStr">
        <is>
          <t>항목</t>
        </is>
      </c>
      <c r="B99" s="53" t="inlineStr">
        <is>
          <t>값</t>
        </is>
      </c>
      <c r="G99" s="53" t="inlineStr">
        <is>
          <t>출처</t>
        </is>
      </c>
    </row>
    <row r="100">
      <c r="A100" s="54" t="inlineStr">
        <is>
          <t>매출</t>
        </is>
      </c>
      <c r="B100" s="55" t="n">
        <v>41.5</v>
      </c>
      <c r="G100" s="56" t="inlineStr">
        <is>
          <t>2Q에 통기 숫자 그대로, 부문 간 배분만 조정</t>
        </is>
      </c>
    </row>
    <row r="101">
      <c r="A101" s="54" t="inlineStr">
        <is>
          <t>영업이익</t>
        </is>
      </c>
      <c r="B101" s="55" t="n">
        <v>34.8</v>
      </c>
    </row>
    <row r="103">
      <c r="A103" s="52" t="inlineStr">
        <is>
          <t>컨센서스 · FY27</t>
        </is>
      </c>
      <c r="B103" s="52" t="n"/>
      <c r="C103" s="52" t="n"/>
      <c r="D103" s="52" t="n"/>
      <c r="E103" s="52" t="n"/>
      <c r="F103" s="52" t="n"/>
      <c r="G103" s="52" t="n"/>
    </row>
    <row r="104">
      <c r="A104" s="53" t="inlineStr">
        <is>
          <t>항목</t>
        </is>
      </c>
      <c r="B104" s="53" t="inlineStr">
        <is>
          <t>값</t>
        </is>
      </c>
      <c r="G104" s="53" t="inlineStr">
        <is>
          <t>출처</t>
        </is>
      </c>
    </row>
    <row r="105">
      <c r="A105" s="54" t="inlineStr">
        <is>
          <t>매출</t>
        </is>
      </c>
      <c r="B105" s="55" t="n">
        <v>7500.3</v>
      </c>
      <c r="G105" s="56" t="inlineStr">
        <is>
          <t>야후 파이낸스(jp_consensus) 2026-10-30</t>
        </is>
      </c>
    </row>
    <row r="106">
      <c r="A106" s="54" t="inlineStr">
        <is>
          <t>EPS</t>
        </is>
      </c>
      <c r="B106" s="55" t="n">
        <v>626.8</v>
      </c>
    </row>
    <row r="107">
      <c r="A107" s="54" t="inlineStr">
        <is>
          <t>애널리스트 수</t>
        </is>
      </c>
      <c r="B107" s="57" t="n">
        <v>16</v>
      </c>
    </row>
    <row r="109">
      <c r="A109" s="52" t="inlineStr">
        <is>
          <t>컨센서스 · FY28</t>
        </is>
      </c>
      <c r="B109" s="52" t="n"/>
      <c r="C109" s="52" t="n"/>
      <c r="D109" s="52" t="n"/>
      <c r="E109" s="52" t="n"/>
      <c r="F109" s="52" t="n"/>
      <c r="G109" s="52" t="n"/>
    </row>
    <row r="110">
      <c r="A110" s="53" t="inlineStr">
        <is>
          <t>항목</t>
        </is>
      </c>
      <c r="B110" s="53" t="inlineStr">
        <is>
          <t>값</t>
        </is>
      </c>
      <c r="G110" s="53" t="inlineStr">
        <is>
          <t>출처</t>
        </is>
      </c>
    </row>
    <row r="111">
      <c r="A111" s="54" t="inlineStr">
        <is>
          <t>매출</t>
        </is>
      </c>
      <c r="B111" s="55" t="n">
        <v>9040.700000000001</v>
      </c>
      <c r="G111" s="56" t="inlineStr">
        <is>
          <t>야후 파이낸스(jp_consensus) 2026-10-30</t>
        </is>
      </c>
    </row>
    <row r="112">
      <c r="A112" s="54" t="inlineStr">
        <is>
          <t>EPS</t>
        </is>
      </c>
      <c r="B112" s="55" t="n">
        <v>837.5</v>
      </c>
    </row>
    <row r="113">
      <c r="A113" s="54" t="inlineStr">
        <is>
          <t>애널리스트 수</t>
        </is>
      </c>
      <c r="B113" s="57" t="n">
        <v>16</v>
      </c>
    </row>
    <row r="115">
      <c r="A115" s="52" t="inlineStr">
        <is>
          <t>컨센서스 · 3Q27</t>
        </is>
      </c>
      <c r="B115" s="52" t="n"/>
      <c r="C115" s="52" t="n"/>
      <c r="D115" s="52" t="n"/>
      <c r="E115" s="52" t="n"/>
      <c r="F115" s="52" t="n"/>
      <c r="G115" s="52" t="n"/>
    </row>
    <row r="116">
      <c r="A116" s="53" t="inlineStr">
        <is>
          <t>항목</t>
        </is>
      </c>
      <c r="B116" s="53" t="inlineStr">
        <is>
          <t>값</t>
        </is>
      </c>
      <c r="G116" s="53" t="inlineStr">
        <is>
          <t>출처</t>
        </is>
      </c>
    </row>
    <row r="117">
      <c r="A117" s="54" t="inlineStr">
        <is>
          <t>매출</t>
        </is>
      </c>
      <c r="B117" s="55" t="n">
        <v>2023.6</v>
      </c>
      <c r="G117" s="56" t="inlineStr">
        <is>
          <t>야후 파이낸스(jp_consensus) 2026-10-30</t>
        </is>
      </c>
    </row>
    <row r="118">
      <c r="A118" s="54" t="inlineStr">
        <is>
          <t>EPS</t>
        </is>
      </c>
      <c r="B118" s="55" t="n">
        <v>175.8</v>
      </c>
    </row>
    <row r="120">
      <c r="A120" s="52" t="inlineStr">
        <is>
          <t>컨센서스 · 목표주가 가격</t>
        </is>
      </c>
      <c r="B120" s="52" t="n"/>
      <c r="C120" s="52" t="n"/>
      <c r="D120" s="52" t="n"/>
      <c r="E120" s="52" t="n"/>
      <c r="F120" s="52" t="n"/>
      <c r="G120" s="52" t="n"/>
    </row>
    <row r="121">
      <c r="A121" s="53" t="inlineStr">
        <is>
          <t>항목</t>
        </is>
      </c>
      <c r="B121" s="53" t="inlineStr">
        <is>
          <t>값</t>
        </is>
      </c>
      <c r="G121" s="53" t="inlineStr">
        <is>
          <t>출처</t>
        </is>
      </c>
    </row>
    <row r="122">
      <c r="A122" s="54" t="inlineStr">
        <is>
          <t>평균</t>
        </is>
      </c>
      <c r="B122" s="57" t="n">
        <v>17562</v>
      </c>
      <c r="G122" s="56" t="inlineStr">
        <is>
          <t>야후 파이낸스(jp_consensus) 2026-10-30</t>
        </is>
      </c>
    </row>
    <row r="123">
      <c r="A123" s="54" t="inlineStr">
        <is>
          <t>중앙값</t>
        </is>
      </c>
      <c r="B123" s="57" t="n">
        <v>17000</v>
      </c>
    </row>
    <row r="124">
      <c r="A124" s="54" t="inlineStr">
        <is>
          <t>최고</t>
        </is>
      </c>
      <c r="B124" s="57" t="n">
        <v>25000</v>
      </c>
    </row>
    <row r="125">
      <c r="A125" s="54" t="inlineStr">
        <is>
          <t>최저</t>
        </is>
      </c>
      <c r="B125" s="57" t="n">
        <v>13200</v>
      </c>
    </row>
    <row r="126">
      <c r="A126" s="54" t="inlineStr">
        <is>
          <t>애널리스트 수</t>
        </is>
      </c>
      <c r="B126" s="57" t="n">
        <v>16</v>
      </c>
    </row>
    <row r="128">
      <c r="A128" s="52" t="inlineStr">
        <is>
          <t>bs annual</t>
        </is>
      </c>
      <c r="B128" s="52" t="n"/>
      <c r="C128" s="52" t="n"/>
      <c r="D128" s="52" t="n"/>
      <c r="E128" s="52" t="n"/>
      <c r="F128" s="52" t="n"/>
      <c r="G128" s="52" t="n"/>
    </row>
    <row r="129">
      <c r="A129" s="53" t="inlineStr">
        <is>
          <t>항목</t>
        </is>
      </c>
      <c r="B129" s="53" t="inlineStr">
        <is>
          <t>2022</t>
        </is>
      </c>
      <c r="C129" s="53" t="inlineStr">
        <is>
          <t>2023</t>
        </is>
      </c>
      <c r="D129" s="53" t="inlineStr">
        <is>
          <t>2024</t>
        </is>
      </c>
      <c r="E129" s="53" t="inlineStr">
        <is>
          <t>2025</t>
        </is>
      </c>
      <c r="F129" s="53" t="inlineStr">
        <is>
          <t>2026</t>
        </is>
      </c>
      <c r="G129" s="53" t="inlineStr">
        <is>
          <t>출처</t>
        </is>
      </c>
    </row>
    <row r="130">
      <c r="A130" s="54" t="inlineStr">
        <is>
          <t>labels</t>
        </is>
      </c>
      <c r="B130" s="57" t="n">
        <v>2022</v>
      </c>
      <c r="C130" s="57" t="n">
        <v>2023</v>
      </c>
      <c r="D130" s="57" t="n">
        <v>2024</v>
      </c>
      <c r="E130" s="57" t="n">
        <v>2025</v>
      </c>
      <c r="F130" s="57" t="n">
        <v>2026</v>
      </c>
      <c r="G130" s="56" t="inlineStr">
        <is>
          <t>2단계 보고서 자료(회사 설명회 자료·공시)</t>
        </is>
      </c>
    </row>
    <row r="131">
      <c r="A131" s="54" t="inlineStr">
        <is>
          <t>current assets</t>
        </is>
      </c>
      <c r="B131" s="55" t="n">
        <v>3383.7</v>
      </c>
      <c r="C131" s="55" t="n">
        <v>4282.7</v>
      </c>
      <c r="D131" s="55" t="n">
        <v>4936.6</v>
      </c>
      <c r="E131" s="55" t="n">
        <v>4800.5</v>
      </c>
      <c r="F131" s="55" t="n">
        <v>5085.7</v>
      </c>
    </row>
    <row r="132">
      <c r="A132" s="54" t="inlineStr">
        <is>
          <t>cash</t>
        </is>
      </c>
      <c r="B132" s="55" t="n">
        <v>1330.9</v>
      </c>
      <c r="C132" s="55" t="n">
        <v>1755.8</v>
      </c>
      <c r="D132" s="55" t="n">
        <v>1672.8</v>
      </c>
      <c r="E132" s="55" t="n">
        <v>1404</v>
      </c>
      <c r="F132" s="55" t="n">
        <v>1473.7</v>
      </c>
    </row>
    <row r="133">
      <c r="A133" s="54" t="inlineStr">
        <is>
          <t>st fin</t>
        </is>
      </c>
      <c r="B133" s="58" t="n"/>
      <c r="C133" s="55" t="n">
        <v>0</v>
      </c>
      <c r="D133" s="55" t="n">
        <v>300</v>
      </c>
      <c r="E133" s="55" t="n">
        <v>600</v>
      </c>
      <c r="F133" s="55" t="n">
        <v>800</v>
      </c>
    </row>
    <row r="134">
      <c r="A134" s="54" t="inlineStr">
        <is>
          <t>receivables</t>
        </is>
      </c>
      <c r="B134" s="55" t="n">
        <v>854.2</v>
      </c>
      <c r="C134" s="55" t="n">
        <v>1000.5</v>
      </c>
      <c r="D134" s="55" t="n">
        <v>987</v>
      </c>
      <c r="E134" s="55" t="n">
        <v>907.9</v>
      </c>
      <c r="F134" s="55" t="n">
        <v>1007</v>
      </c>
    </row>
    <row r="135">
      <c r="A135" s="54" t="inlineStr">
        <is>
          <t>inventory</t>
        </is>
      </c>
      <c r="B135" s="55" t="n">
        <v>1037.4</v>
      </c>
      <c r="C135" s="55" t="n">
        <v>1238.8</v>
      </c>
      <c r="D135" s="55" t="n">
        <v>1635.8</v>
      </c>
      <c r="E135" s="55" t="n">
        <v>1686.6</v>
      </c>
      <c r="F135" s="55" t="n">
        <v>1586.4</v>
      </c>
    </row>
    <row r="136">
      <c r="A136" s="54" t="inlineStr">
        <is>
          <t>noncurrent assets</t>
        </is>
      </c>
      <c r="B136" s="55" t="n">
        <v>1209.4</v>
      </c>
      <c r="C136" s="55" t="n">
        <v>1345.5</v>
      </c>
      <c r="D136" s="55" t="n">
        <v>1831.5</v>
      </c>
      <c r="E136" s="55" t="n">
        <v>1912.4</v>
      </c>
      <c r="F136" s="55" t="n">
        <v>2138.5</v>
      </c>
    </row>
    <row r="137">
      <c r="A137" s="54" t="inlineStr">
        <is>
          <t>ppe</t>
        </is>
      </c>
      <c r="B137" s="55" t="n">
        <v>565.2</v>
      </c>
      <c r="C137" s="55" t="n">
        <v>726.7</v>
      </c>
      <c r="D137" s="55" t="n">
        <v>1020.5</v>
      </c>
      <c r="E137" s="55" t="n">
        <v>1129.3</v>
      </c>
      <c r="F137" s="55" t="n">
        <v>1181.1</v>
      </c>
    </row>
    <row r="138">
      <c r="A138" s="54" t="inlineStr">
        <is>
          <t>intangibles</t>
        </is>
      </c>
      <c r="B138" s="55" t="n">
        <v>48</v>
      </c>
      <c r="C138" s="55" t="n">
        <v>48.8</v>
      </c>
      <c r="D138" s="55" t="n">
        <v>52.8</v>
      </c>
      <c r="E138" s="55" t="n">
        <v>71</v>
      </c>
      <c r="F138" s="55" t="n">
        <v>134.7</v>
      </c>
    </row>
    <row r="139">
      <c r="A139" s="54" t="inlineStr">
        <is>
          <t>inv property</t>
        </is>
      </c>
      <c r="B139" s="58" t="n"/>
      <c r="C139" s="58" t="n"/>
      <c r="D139" s="58" t="n"/>
      <c r="E139" s="58" t="n"/>
      <c r="F139" s="58" t="n"/>
    </row>
    <row r="140">
      <c r="A140" s="54" t="inlineStr">
        <is>
          <t>합계 assets</t>
        </is>
      </c>
      <c r="B140" s="55" t="n">
        <v>4593.1</v>
      </c>
      <c r="C140" s="55" t="n">
        <v>5628.2</v>
      </c>
      <c r="D140" s="55" t="n">
        <v>6768.1</v>
      </c>
      <c r="E140" s="55" t="n">
        <v>6712.9</v>
      </c>
      <c r="F140" s="55" t="n">
        <v>7224.2</v>
      </c>
    </row>
    <row r="141">
      <c r="A141" s="54" t="inlineStr">
        <is>
          <t>current liab</t>
        </is>
      </c>
      <c r="B141" s="55" t="n">
        <v>1756.2</v>
      </c>
      <c r="C141" s="55" t="n">
        <v>2371.4</v>
      </c>
      <c r="D141" s="55" t="n">
        <v>2860.1</v>
      </c>
      <c r="E141" s="55" t="n">
        <v>2397.2</v>
      </c>
      <c r="F141" s="55" t="n">
        <v>2228.8</v>
      </c>
    </row>
    <row r="142">
      <c r="A142" s="54" t="inlineStr">
        <is>
          <t>payables</t>
        </is>
      </c>
      <c r="B142" s="55" t="n">
        <v>335</v>
      </c>
      <c r="C142" s="55" t="n">
        <v>413</v>
      </c>
      <c r="D142" s="55" t="n">
        <v>416.2</v>
      </c>
      <c r="E142" s="55" t="n">
        <v>465.2</v>
      </c>
      <c r="F142" s="55" t="n">
        <v>442.9</v>
      </c>
    </row>
    <row r="143">
      <c r="A143" s="54" t="inlineStr">
        <is>
          <t>st debt</t>
        </is>
      </c>
      <c r="B143" s="55" t="n">
        <v>0</v>
      </c>
      <c r="C143" s="55" t="n">
        <v>0.2</v>
      </c>
      <c r="D143" s="55" t="n">
        <v>0</v>
      </c>
      <c r="E143" s="55" t="n">
        <v>0</v>
      </c>
      <c r="F143" s="55" t="n">
        <v>24.9</v>
      </c>
    </row>
    <row r="144">
      <c r="A144" s="54" t="inlineStr">
        <is>
          <t>noncurrent liab</t>
        </is>
      </c>
      <c r="B144" s="55" t="n">
        <v>359</v>
      </c>
      <c r="C144" s="55" t="n">
        <v>257.5</v>
      </c>
      <c r="D144" s="55" t="n">
        <v>188.9</v>
      </c>
      <c r="E144" s="55" t="n">
        <v>108.7</v>
      </c>
      <c r="F144" s="55" t="n">
        <v>128.6</v>
      </c>
    </row>
    <row r="145">
      <c r="A145" s="54" t="inlineStr">
        <is>
          <t>lt debt</t>
        </is>
      </c>
      <c r="B145" s="55" t="n">
        <v>104</v>
      </c>
      <c r="C145" s="55" t="n">
        <v>0</v>
      </c>
      <c r="D145" s="55" t="n">
        <v>13.3</v>
      </c>
      <c r="E145" s="55" t="n">
        <v>7.6</v>
      </c>
      <c r="F145" s="55" t="n">
        <v>0.8</v>
      </c>
    </row>
    <row r="146">
      <c r="A146" s="54" t="inlineStr">
        <is>
          <t>bonds</t>
        </is>
      </c>
      <c r="B146" s="58" t="n"/>
      <c r="C146" s="58" t="n"/>
      <c r="D146" s="58" t="n"/>
      <c r="E146" s="58" t="n"/>
      <c r="F146" s="58" t="n"/>
    </row>
    <row r="147">
      <c r="A147" s="54" t="inlineStr">
        <is>
          <t>합계 liab</t>
        </is>
      </c>
      <c r="B147" s="55" t="n">
        <v>2115.2</v>
      </c>
      <c r="C147" s="55" t="n">
        <v>2628.9</v>
      </c>
      <c r="D147" s="55" t="n">
        <v>3049</v>
      </c>
      <c r="E147" s="55" t="n">
        <v>2505.9</v>
      </c>
      <c r="F147" s="55" t="n">
        <v>2357.4</v>
      </c>
    </row>
    <row r="148">
      <c r="A148" s="54" t="inlineStr">
        <is>
          <t>capital stock</t>
        </is>
      </c>
      <c r="B148" s="55" t="n">
        <v>540.4</v>
      </c>
      <c r="C148" s="55" t="n">
        <v>540.4</v>
      </c>
      <c r="D148" s="55" t="n">
        <v>540.4</v>
      </c>
      <c r="E148" s="55" t="n">
        <v>540.4</v>
      </c>
      <c r="F148" s="55" t="n">
        <v>540.4</v>
      </c>
    </row>
    <row r="149">
      <c r="A149" s="54" t="inlineStr">
        <is>
          <t>retained</t>
        </is>
      </c>
      <c r="B149" s="55" t="n">
        <v>1858</v>
      </c>
      <c r="C149" s="55" t="n">
        <v>2296</v>
      </c>
      <c r="D149" s="55" t="n">
        <v>2748.7</v>
      </c>
      <c r="E149" s="55" t="n">
        <v>3490</v>
      </c>
      <c r="F149" s="55" t="n">
        <v>3994.3</v>
      </c>
    </row>
    <row r="150">
      <c r="A150" s="54" t="inlineStr">
        <is>
          <t>nci</t>
        </is>
      </c>
      <c r="B150" s="55" t="n">
        <v>0.7</v>
      </c>
      <c r="C150" s="55" t="n">
        <v>0.4</v>
      </c>
      <c r="D150" s="55" t="n">
        <v>0.4</v>
      </c>
      <c r="E150" s="55" t="n">
        <v>0.5</v>
      </c>
      <c r="F150" s="55" t="n">
        <v>1.1</v>
      </c>
    </row>
    <row r="151">
      <c r="A151" s="54" t="inlineStr">
        <is>
          <t>합계 equity</t>
        </is>
      </c>
      <c r="B151" s="55" t="n">
        <v>2477.9</v>
      </c>
      <c r="C151" s="55" t="n">
        <v>2999.3</v>
      </c>
      <c r="D151" s="55" t="n">
        <v>3719.1</v>
      </c>
      <c r="E151" s="55" t="n">
        <v>4206.9</v>
      </c>
      <c r="F151" s="55" t="n">
        <v>4866.8</v>
      </c>
    </row>
    <row r="152">
      <c r="A152" s="54" t="inlineStr">
        <is>
          <t>current ltd</t>
        </is>
      </c>
      <c r="B152" s="55" t="n">
        <v>4</v>
      </c>
      <c r="C152" s="55" t="n">
        <v>104</v>
      </c>
      <c r="D152" s="55" t="n">
        <v>6.7</v>
      </c>
      <c r="E152" s="55" t="n">
        <v>6.9</v>
      </c>
      <c r="F152" s="55" t="n">
        <v>6.8</v>
      </c>
    </row>
    <row r="153">
      <c r="A153" s="54" t="inlineStr">
        <is>
          <t>equity owner</t>
        </is>
      </c>
      <c r="B153" s="55" t="n">
        <v>2477.2</v>
      </c>
      <c r="C153" s="55" t="n">
        <v>2998.9</v>
      </c>
      <c r="D153" s="55" t="n">
        <v>3718.7</v>
      </c>
      <c r="E153" s="55" t="n">
        <v>4206.4</v>
      </c>
      <c r="F153" s="55" t="n">
        <v>4865.7</v>
      </c>
    </row>
    <row r="155">
      <c r="A155" s="52" t="inlineStr">
        <is>
          <t>cf annual</t>
        </is>
      </c>
      <c r="B155" s="52" t="n"/>
      <c r="C155" s="52" t="n"/>
      <c r="D155" s="52" t="n"/>
      <c r="E155" s="52" t="n"/>
      <c r="F155" s="52" t="n"/>
      <c r="G155" s="52" t="n"/>
    </row>
    <row r="156">
      <c r="A156" s="53" t="inlineStr">
        <is>
          <t>항목</t>
        </is>
      </c>
      <c r="B156" s="53" t="inlineStr">
        <is>
          <t>2022</t>
        </is>
      </c>
      <c r="C156" s="53" t="inlineStr">
        <is>
          <t>2023</t>
        </is>
      </c>
      <c r="D156" s="53" t="inlineStr">
        <is>
          <t>2024</t>
        </is>
      </c>
      <c r="E156" s="53" t="inlineStr">
        <is>
          <t>2025</t>
        </is>
      </c>
      <c r="F156" s="53" t="inlineStr">
        <is>
          <t>2026</t>
        </is>
      </c>
      <c r="G156" s="53" t="inlineStr">
        <is>
          <t>출처</t>
        </is>
      </c>
    </row>
    <row r="157">
      <c r="A157" s="54" t="inlineStr">
        <is>
          <t>labels</t>
        </is>
      </c>
      <c r="B157" s="57" t="n">
        <v>2022</v>
      </c>
      <c r="C157" s="57" t="n">
        <v>2023</v>
      </c>
      <c r="D157" s="57" t="n">
        <v>2024</v>
      </c>
      <c r="E157" s="57" t="n">
        <v>2025</v>
      </c>
      <c r="F157" s="57" t="n">
        <v>2026</v>
      </c>
      <c r="G157" s="56" t="inlineStr">
        <is>
          <t>2단계 보고서 자료(회사 설명회 자료·공시)</t>
        </is>
      </c>
    </row>
    <row r="158">
      <c r="A158" s="54" t="inlineStr">
        <is>
          <t>ocf</t>
        </is>
      </c>
      <c r="B158" s="55" t="n">
        <v>817.5</v>
      </c>
      <c r="C158" s="55" t="n">
        <v>739.1</v>
      </c>
      <c r="D158" s="55" t="n">
        <v>962.5</v>
      </c>
      <c r="E158" s="55" t="n">
        <v>712.3</v>
      </c>
      <c r="F158" s="55" t="n">
        <v>927.1</v>
      </c>
    </row>
    <row r="159">
      <c r="A159" s="54" t="inlineStr">
        <is>
          <t>설비투자</t>
        </is>
      </c>
      <c r="B159" s="55" t="n">
        <v>101.5</v>
      </c>
      <c r="C159" s="55" t="n">
        <v>207.9</v>
      </c>
      <c r="D159" s="55" t="n">
        <v>403.4</v>
      </c>
      <c r="E159" s="55" t="n">
        <v>255.7</v>
      </c>
      <c r="F159" s="55" t="n">
        <v>308.6</v>
      </c>
    </row>
    <row r="160">
      <c r="A160" s="54" t="inlineStr">
        <is>
          <t>dividends</t>
        </is>
      </c>
      <c r="B160" s="55" t="n">
        <v>42.1</v>
      </c>
      <c r="C160" s="55" t="n">
        <v>136.8</v>
      </c>
      <c r="D160" s="55" t="n">
        <v>252.7</v>
      </c>
      <c r="E160" s="55" t="n">
        <v>253.2</v>
      </c>
      <c r="F160" s="55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https://www2.jpx.co.jp/disc/77350/140120261029560240.pdf</t>
        </is>
      </c>
    </row>
    <row r="5">
      <c r="A5" t="inlineStr">
        <is>
          <t>2026-08-13</t>
        </is>
      </c>
      <c r="B5" t="inlineStr">
        <is>
          <t>2027년 3월 결산기 1분기 결산단신</t>
        </is>
      </c>
      <c r="C5" t="inlineStr">
        <is>
          <t>https://www2.jpx.co.jp/disc/77350/140120260812518669.pdf</t>
        </is>
      </c>
    </row>
    <row r="6">
      <c r="A6" t="inlineStr">
        <is>
          <t>2026-07-28</t>
        </is>
      </c>
      <c r="B6" t="inlineStr">
        <is>
          <t>2027년 3월 결산기 1분기 결산단신</t>
        </is>
      </c>
      <c r="C6" t="inlineStr">
        <is>
          <t>https://www2.jpx.co.jp/disc/77350/140120260727500405.pdf</t>
        </is>
      </c>
    </row>
    <row r="7">
      <c r="A7" t="inlineStr">
        <is>
          <t>2026-05-13</t>
        </is>
      </c>
      <c r="B7" t="inlineStr">
        <is>
          <t>2026년 3월 결산기 연간 결산단신</t>
        </is>
      </c>
      <c r="C7" t="inlineStr">
        <is>
          <t>https://www2.jpx.co.jp/disc/77350/140120260512527359.pdf</t>
        </is>
      </c>
    </row>
    <row r="8">
      <c r="A8" t="inlineStr">
        <is>
          <t>2026-02-13</t>
        </is>
      </c>
      <c r="B8" t="inlineStr">
        <is>
          <t>2026년 3월 결산기 3분기 결산단신</t>
        </is>
      </c>
      <c r="C8" t="inlineStr">
        <is>
          <t>https://www2.jpx.co.jp/disc/77350/140120260212558191.pdf</t>
        </is>
      </c>
    </row>
    <row r="9">
      <c r="A9" t="inlineStr">
        <is>
          <t>2026-01-30</t>
        </is>
      </c>
      <c r="B9" t="inlineStr">
        <is>
          <t>2026년 3월 결산기 3분기 결산단신</t>
        </is>
      </c>
      <c r="C9" t="inlineStr">
        <is>
          <t>https://www2.jpx.co.jp/disc/77350/140120260129542330.pdf</t>
        </is>
      </c>
    </row>
    <row r="10">
      <c r="A10" t="inlineStr">
        <is>
          <t>2025-10-31</t>
        </is>
      </c>
      <c r="B10" t="inlineStr">
        <is>
          <t>2026년 3월 결산기 2분기 결산단신</t>
        </is>
      </c>
      <c r="C10" t="inlineStr">
        <is>
          <t>https://www2.jpx.co.jp/disc/77350/140120251030583515.pdf</t>
        </is>
      </c>
    </row>
    <row r="11">
      <c r="A11" t="inlineStr">
        <is>
          <t>2025-08-13</t>
        </is>
      </c>
      <c r="B11" t="inlineStr">
        <is>
          <t>2026년 3월 결산기 1분기 결산단신</t>
        </is>
      </c>
      <c r="C11" t="inlineStr">
        <is>
          <t>https://www2.jpx.co.jp/disc/77350/140120250812540012.pdf</t>
        </is>
      </c>
    </row>
    <row r="12">
      <c r="A12" t="inlineStr">
        <is>
          <t>2025-07-25</t>
        </is>
      </c>
      <c r="B12" t="inlineStr">
        <is>
          <t>2026년 3월 결산기 1분기 결산단신</t>
        </is>
      </c>
      <c r="C12" t="inlineStr">
        <is>
          <t>https://www2.jpx.co.jp/disc/77350/140120250724520061.pdf</t>
        </is>
      </c>
    </row>
    <row r="13">
      <c r="A13" t="inlineStr">
        <is>
          <t>2025-05-09</t>
        </is>
      </c>
      <c r="B13" t="inlineStr">
        <is>
          <t>2025년 3월 결산기 연간 결산단신</t>
        </is>
      </c>
      <c r="C13" t="inlineStr">
        <is>
          <t>https://www2.jpx.co.jp/disc/77350/140120250508535993.pdf</t>
        </is>
      </c>
    </row>
    <row r="14">
      <c r="A14" t="inlineStr">
        <is>
          <t>2025-02-13</t>
        </is>
      </c>
      <c r="B14" t="inlineStr">
        <is>
          <t>2025년 3월 결산기 3분기 결산단신</t>
        </is>
      </c>
      <c r="C14" t="inlineStr">
        <is>
          <t>https://www2.jpx.co.jp/disc/77350/140120250212571686.pdf</t>
        </is>
      </c>
    </row>
    <row r="15">
      <c r="A15" t="inlineStr">
        <is>
          <t>2025-01-31</t>
        </is>
      </c>
      <c r="B15" t="inlineStr">
        <is>
          <t>2025년 3월 결산기 3분기 결산단신</t>
        </is>
      </c>
      <c r="C15" t="inlineStr">
        <is>
          <t>https://www2.jpx.co.jp/disc/77350/140120250130559053.pdf</t>
        </is>
      </c>
    </row>
    <row r="16">
      <c r="A16" t="inlineStr">
        <is>
          <t>2024-10-31</t>
        </is>
      </c>
      <c r="B16" t="inlineStr">
        <is>
          <t>2025년 3월 결산기 2분기 결산단신</t>
        </is>
      </c>
      <c r="C16" t="inlineStr">
        <is>
          <t>https://www2.jpx.co.jp/disc/77350/140120241030506901.pdf</t>
        </is>
      </c>
    </row>
    <row r="17">
      <c r="A17" t="inlineStr">
        <is>
          <t>2024-08-13</t>
        </is>
      </c>
      <c r="B17" t="inlineStr">
        <is>
          <t>2025년 3월 결산기 1분기 결산단신</t>
        </is>
      </c>
      <c r="C17" t="inlineStr">
        <is>
          <t>https://www2.jpx.co.jp/disc/77350/140120240809570405.pdf</t>
        </is>
      </c>
    </row>
    <row r="18">
      <c r="A18" t="inlineStr">
        <is>
          <t>2024-07-26</t>
        </is>
      </c>
      <c r="B18" t="inlineStr">
        <is>
          <t>2025년 3월 결산기 1분기 결산단신</t>
        </is>
      </c>
      <c r="C18" t="inlineStr">
        <is>
          <t>https://www2.jpx.co.jp/disc/77350/140120240725555233.pdf</t>
        </is>
      </c>
    </row>
    <row r="19">
      <c r="A19" t="inlineStr">
        <is>
          <t>2024-05-09</t>
        </is>
      </c>
      <c r="B19" t="inlineStr">
        <is>
          <t>2024년 3월 결산기 연간 결산단신</t>
        </is>
      </c>
      <c r="C19" t="inlineStr">
        <is>
          <t>https://www2.jpx.co.jp/disc/77350/140120240508585290.pdf</t>
        </is>
      </c>
    </row>
    <row r="20">
      <c r="A20" t="inlineStr">
        <is>
          <t>2023-05-10</t>
        </is>
      </c>
      <c r="B20" t="inlineStr">
        <is>
          <t>2023년 3월 결산기 연간 결산단신</t>
        </is>
      </c>
      <c r="C20" t="inlineStr">
        <is>
          <t>https://www2.jpx.co.jp/disc/77350/140120230509562167.pdf</t>
        </is>
      </c>
    </row>
    <row r="21">
      <c r="A21" t="inlineStr">
        <is>
          <t>2022-05-11</t>
        </is>
      </c>
      <c r="B21" t="inlineStr">
        <is>
          <t>2022년 3월 결산기 연간 결산단신</t>
        </is>
      </c>
      <c r="C21" t="inlineStr">
        <is>
          <t>https://www2.jpx.co.jp/disc/77350/140120220510538498.pdf</t>
        </is>
      </c>
    </row>
    <row r="22">
      <c r="A22" t="inlineStr">
        <is>
          <t>2021-05-11</t>
        </is>
      </c>
      <c r="B22" t="inlineStr">
        <is>
          <t>2021년 3월 결산기 연간 결산단신</t>
        </is>
      </c>
      <c r="C22" t="inlineStr">
        <is>
          <t>https://www2.jpx.co.jp/disc/77350/140120210507408226.pdf</t>
        </is>
      </c>
    </row>
    <row r="23">
      <c r="A23" t="inlineStr">
        <is>
          <t>2020-05-12</t>
        </is>
      </c>
      <c r="B23" t="inlineStr">
        <is>
          <t>2020년 3월 결산기 연간 결산단신</t>
        </is>
      </c>
      <c r="C23" t="inlineStr">
        <is>
          <t>https://www2.jpx.co.jp/disc/77350/140120200508407460.pdf</t>
        </is>
      </c>
    </row>
    <row r="24">
      <c r="A24" t="inlineStr">
        <is>
          <t>2019-05-08</t>
        </is>
      </c>
      <c r="B24" t="inlineStr">
        <is>
          <t>2019년 3월 결산기 연간 결산단신</t>
        </is>
      </c>
      <c r="C24" t="inlineStr">
        <is>
          <t>https://www2.jpx.co.jp/disc/77350/140120190507415656.pdf</t>
        </is>
      </c>
    </row>
    <row r="25">
      <c r="A25" t="inlineStr">
        <is>
          <t>2018-05-08</t>
        </is>
      </c>
      <c r="B25" t="inlineStr">
        <is>
          <t>연간 결산단신</t>
        </is>
      </c>
      <c r="C25" t="inlineStr">
        <is>
          <t>https://www2.jpx.co.jp/disc/77350/140120180423417666.pdf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7735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36건(2019-05-08~2026-10-30).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/>
      <c r="D5" s="65" t="n"/>
      <c r="E5" s="65" t="n"/>
      <c r="F5" s="65" t="n"/>
      <c r="G5" s="65" t="n"/>
      <c r="H5" s="65" t="n">
        <v>725.4</v>
      </c>
      <c r="I5" s="65" t="n">
        <v>975.4</v>
      </c>
      <c r="J5" s="65" t="n">
        <v>823.4</v>
      </c>
      <c r="K5" s="65" t="n">
        <v>1118.2</v>
      </c>
      <c r="L5" s="65" t="n">
        <v>582.3</v>
      </c>
      <c r="M5" s="65" t="n">
        <v>899.6</v>
      </c>
      <c r="N5" s="65" t="n">
        <v>778.6</v>
      </c>
      <c r="O5" s="65" t="n">
        <v>972</v>
      </c>
      <c r="P5" s="65" t="n">
        <v>668.8</v>
      </c>
      <c r="Q5" s="65" t="n">
        <v>758.4</v>
      </c>
      <c r="R5" s="65" t="n">
        <v>737.5</v>
      </c>
      <c r="S5" s="65" t="n">
        <v>1038.5</v>
      </c>
      <c r="T5" s="65" t="n">
        <v>828.6</v>
      </c>
      <c r="U5" s="65" t="n">
        <v>1043.5</v>
      </c>
      <c r="V5" s="65" t="n">
        <v>1039</v>
      </c>
      <c r="W5" s="65" t="n">
        <v>1207.6</v>
      </c>
      <c r="X5" s="65" t="n">
        <v>1018.3</v>
      </c>
      <c r="Y5" s="65" t="n">
        <v>1165.8</v>
      </c>
      <c r="Z5" s="65" t="n">
        <v>1168.4</v>
      </c>
      <c r="AA5" s="65" t="n">
        <v>1255.9</v>
      </c>
      <c r="AB5" s="65" t="n">
        <v>996.9</v>
      </c>
      <c r="AC5" s="65" t="n">
        <v>1235.7</v>
      </c>
      <c r="AD5" s="65" t="n">
        <v>1245.7</v>
      </c>
      <c r="AE5" s="65" t="n">
        <v>1570.8</v>
      </c>
      <c r="AF5" s="65" t="n">
        <v>1342.2</v>
      </c>
      <c r="AG5" s="65" t="n">
        <v>1431.8</v>
      </c>
      <c r="AH5" s="65" t="n">
        <v>1825.7</v>
      </c>
      <c r="AI5" s="65" t="n">
        <v>1653</v>
      </c>
      <c r="AJ5" s="65" t="n">
        <v>1357.8</v>
      </c>
      <c r="AK5" s="65" t="n">
        <v>1385.1</v>
      </c>
      <c r="AL5" s="65" t="n">
        <v>1510.5</v>
      </c>
      <c r="AM5" s="65" t="n">
        <v>1804</v>
      </c>
      <c r="AN5" s="65" t="n">
        <v>1217.8</v>
      </c>
      <c r="AO5" s="65" t="n">
        <v>1866.8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>
        <v>-19.7</v>
      </c>
      <c r="M6" s="66" t="n">
        <v>-7.8</v>
      </c>
      <c r="N6" s="66" t="n">
        <v>-5.4</v>
      </c>
      <c r="O6" s="66" t="n">
        <v>-13.1</v>
      </c>
      <c r="P6" s="66" t="n">
        <v>14.9</v>
      </c>
      <c r="Q6" s="66" t="n">
        <v>-15.7</v>
      </c>
      <c r="R6" s="66" t="n">
        <v>-5.3</v>
      </c>
      <c r="S6" s="66" t="n">
        <v>6.8</v>
      </c>
      <c r="T6" s="66" t="n">
        <v>23.9</v>
      </c>
      <c r="U6" s="66" t="n">
        <v>37.6</v>
      </c>
      <c r="V6" s="66" t="n">
        <v>40.9</v>
      </c>
      <c r="W6" s="66" t="n">
        <v>16.3</v>
      </c>
      <c r="X6" s="66" t="n">
        <v>22.9</v>
      </c>
      <c r="Y6" s="66" t="n">
        <v>11.7</v>
      </c>
      <c r="Z6" s="66" t="n">
        <v>12.5</v>
      </c>
      <c r="AA6" s="66" t="n">
        <v>4</v>
      </c>
      <c r="AB6" s="66" t="n">
        <v>-2.1</v>
      </c>
      <c r="AC6" s="66" t="n">
        <v>6</v>
      </c>
      <c r="AD6" s="66" t="n">
        <v>6.6</v>
      </c>
      <c r="AE6" s="66" t="n">
        <v>25.1</v>
      </c>
      <c r="AF6" s="66" t="n">
        <v>34.6</v>
      </c>
      <c r="AG6" s="66" t="n">
        <v>15.9</v>
      </c>
      <c r="AH6" s="66" t="n">
        <v>46.6</v>
      </c>
      <c r="AI6" s="66" t="n">
        <v>5.2</v>
      </c>
      <c r="AJ6" s="66" t="n">
        <v>1.2</v>
      </c>
      <c r="AK6" s="66" t="n">
        <v>-3.3</v>
      </c>
      <c r="AL6" s="66" t="n">
        <v>-17.3</v>
      </c>
      <c r="AM6" s="66" t="n">
        <v>9.1</v>
      </c>
      <c r="AN6" s="66" t="n">
        <v>-10.3</v>
      </c>
      <c r="AO6" s="66" t="n">
        <v>34.8</v>
      </c>
    </row>
    <row r="7">
      <c r="A7" s="64" t="inlineStr">
        <is>
          <t>영업이익</t>
        </is>
      </c>
      <c r="B7" s="65" t="n"/>
      <c r="C7" s="65" t="n"/>
      <c r="D7" s="65" t="n"/>
      <c r="E7" s="65" t="n"/>
      <c r="F7" s="65" t="n"/>
      <c r="G7" s="65" t="n"/>
      <c r="H7" s="65" t="n">
        <v>51</v>
      </c>
      <c r="I7" s="65" t="n">
        <v>100.9</v>
      </c>
      <c r="J7" s="65" t="n">
        <v>37</v>
      </c>
      <c r="K7" s="65" t="n">
        <v>107.6</v>
      </c>
      <c r="L7" s="65" t="n">
        <v>-44.3</v>
      </c>
      <c r="M7" s="65" t="n">
        <v>78.7</v>
      </c>
      <c r="N7" s="65" t="n">
        <v>39.6</v>
      </c>
      <c r="O7" s="65" t="n">
        <v>51.6</v>
      </c>
      <c r="P7" s="65" t="n">
        <v>18.6</v>
      </c>
      <c r="Q7" s="65" t="n">
        <v>46.3</v>
      </c>
      <c r="R7" s="65" t="n">
        <v>63.1</v>
      </c>
      <c r="S7" s="65" t="n">
        <v>117</v>
      </c>
      <c r="T7" s="65" t="n">
        <v>86.90000000000001</v>
      </c>
      <c r="U7" s="65" t="n">
        <v>153.8</v>
      </c>
      <c r="V7" s="65" t="n">
        <v>160.8</v>
      </c>
      <c r="W7" s="65" t="n">
        <v>211.1</v>
      </c>
      <c r="X7" s="65" t="n">
        <v>178.5</v>
      </c>
      <c r="Y7" s="65" t="n">
        <v>203.2</v>
      </c>
      <c r="Z7" s="65" t="n">
        <v>184.8</v>
      </c>
      <c r="AA7" s="65" t="n">
        <v>198</v>
      </c>
      <c r="AB7" s="65" t="n">
        <v>134.2</v>
      </c>
      <c r="AC7" s="65" t="n">
        <v>251.3</v>
      </c>
      <c r="AD7" s="65" t="n">
        <v>251.4</v>
      </c>
      <c r="AE7" s="65" t="n">
        <v>304.7</v>
      </c>
      <c r="AF7" s="65" t="n">
        <v>277.7</v>
      </c>
      <c r="AG7" s="65" t="n">
        <v>304.6</v>
      </c>
      <c r="AH7" s="65" t="n">
        <v>423.9</v>
      </c>
      <c r="AI7" s="65" t="n">
        <v>350.6</v>
      </c>
      <c r="AJ7" s="65" t="n">
        <v>243.9</v>
      </c>
      <c r="AK7" s="65" t="n">
        <v>220.7</v>
      </c>
      <c r="AL7" s="65" t="n">
        <v>309.9</v>
      </c>
      <c r="AM7" s="65" t="n">
        <v>450.8</v>
      </c>
      <c r="AN7" s="65" t="n">
        <v>143.7</v>
      </c>
      <c r="AO7" s="65" t="n">
        <v>401.6</v>
      </c>
    </row>
    <row r="8">
      <c r="A8" s="64" t="inlineStr">
        <is>
          <t>영업이익률</t>
        </is>
      </c>
      <c r="B8" s="66" t="n"/>
      <c r="C8" s="66" t="n"/>
      <c r="D8" s="66" t="n"/>
      <c r="E8" s="66" t="n"/>
      <c r="F8" s="66" t="n"/>
      <c r="G8" s="66" t="n"/>
      <c r="H8" s="66" t="n">
        <v>7</v>
      </c>
      <c r="I8" s="66" t="n">
        <v>10.3</v>
      </c>
      <c r="J8" s="66" t="n">
        <v>4.5</v>
      </c>
      <c r="K8" s="66" t="n">
        <v>9.6</v>
      </c>
      <c r="L8" s="66" t="n">
        <v>-7.6</v>
      </c>
      <c r="M8" s="66" t="n">
        <v>8.699999999999999</v>
      </c>
      <c r="N8" s="66" t="n">
        <v>5.1</v>
      </c>
      <c r="O8" s="66" t="n">
        <v>5.3</v>
      </c>
      <c r="P8" s="66" t="n">
        <v>2.8</v>
      </c>
      <c r="Q8" s="66" t="n">
        <v>6.1</v>
      </c>
      <c r="R8" s="66" t="n">
        <v>8.6</v>
      </c>
      <c r="S8" s="66" t="n">
        <v>11.3</v>
      </c>
      <c r="T8" s="66" t="n">
        <v>10.5</v>
      </c>
      <c r="U8" s="66" t="n">
        <v>14.7</v>
      </c>
      <c r="V8" s="66" t="n">
        <v>15.5</v>
      </c>
      <c r="W8" s="66" t="n">
        <v>17.5</v>
      </c>
      <c r="X8" s="66" t="n">
        <v>17.5</v>
      </c>
      <c r="Y8" s="66" t="n">
        <v>17.4</v>
      </c>
      <c r="Z8" s="66" t="n">
        <v>15.8</v>
      </c>
      <c r="AA8" s="66" t="n">
        <v>15.8</v>
      </c>
      <c r="AB8" s="66" t="n">
        <v>13.5</v>
      </c>
      <c r="AC8" s="66" t="n">
        <v>20.3</v>
      </c>
      <c r="AD8" s="66" t="n">
        <v>20.2</v>
      </c>
      <c r="AE8" s="66" t="n">
        <v>19.4</v>
      </c>
      <c r="AF8" s="66" t="n">
        <v>20.7</v>
      </c>
      <c r="AG8" s="66" t="n">
        <v>21.3</v>
      </c>
      <c r="AH8" s="66" t="n">
        <v>23.2</v>
      </c>
      <c r="AI8" s="66" t="n">
        <v>21.2</v>
      </c>
      <c r="AJ8" s="66" t="n">
        <v>18</v>
      </c>
      <c r="AK8" s="66" t="n">
        <v>15.9</v>
      </c>
      <c r="AL8" s="66" t="n">
        <v>20.5</v>
      </c>
      <c r="AM8" s="66" t="n">
        <v>25</v>
      </c>
      <c r="AN8" s="66" t="n">
        <v>11.8</v>
      </c>
      <c r="AO8" s="66" t="n">
        <v>21.5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>
        <v>-186.9</v>
      </c>
      <c r="M9" s="66" t="n">
        <v>-22</v>
      </c>
      <c r="N9" s="66" t="n">
        <v>7</v>
      </c>
      <c r="O9" s="66" t="n">
        <v>-52</v>
      </c>
      <c r="P9" s="66" t="n"/>
      <c r="Q9" s="66" t="n">
        <v>-41.2</v>
      </c>
      <c r="R9" s="66" t="n">
        <v>59.3</v>
      </c>
      <c r="S9" s="66" t="n">
        <v>126.7</v>
      </c>
      <c r="T9" s="66" t="n">
        <v>367.2</v>
      </c>
      <c r="U9" s="66" t="n">
        <v>232.2</v>
      </c>
      <c r="V9" s="66" t="n">
        <v>154.8</v>
      </c>
      <c r="W9" s="66" t="n">
        <v>80.40000000000001</v>
      </c>
      <c r="X9" s="66" t="n">
        <v>105.4</v>
      </c>
      <c r="Y9" s="66" t="n">
        <v>32.1</v>
      </c>
      <c r="Z9" s="66" t="n">
        <v>14.9</v>
      </c>
      <c r="AA9" s="66" t="n">
        <v>-6.2</v>
      </c>
      <c r="AB9" s="66" t="n">
        <v>-24.8</v>
      </c>
      <c r="AC9" s="66" t="n">
        <v>23.7</v>
      </c>
      <c r="AD9" s="66" t="n">
        <v>36</v>
      </c>
      <c r="AE9" s="66" t="n">
        <v>53.9</v>
      </c>
      <c r="AF9" s="66" t="n">
        <v>106.9</v>
      </c>
      <c r="AG9" s="66" t="n">
        <v>21.2</v>
      </c>
      <c r="AH9" s="66" t="n">
        <v>68.59999999999999</v>
      </c>
      <c r="AI9" s="66" t="n">
        <v>15.1</v>
      </c>
      <c r="AJ9" s="66" t="n">
        <v>-12.2</v>
      </c>
      <c r="AK9" s="66" t="n">
        <v>-27.5</v>
      </c>
      <c r="AL9" s="66" t="n">
        <v>-26.9</v>
      </c>
      <c r="AM9" s="66" t="n">
        <v>28.6</v>
      </c>
      <c r="AN9" s="66" t="n">
        <v>-41.1</v>
      </c>
      <c r="AO9" s="66" t="n">
        <v>82</v>
      </c>
    </row>
    <row r="10">
      <c r="A10" s="64" t="inlineStr">
        <is>
          <t>유동자산</t>
        </is>
      </c>
      <c r="B10" s="65" t="n"/>
      <c r="C10" s="65" t="n"/>
      <c r="D10" s="65" t="n"/>
      <c r="E10" s="65" t="n"/>
      <c r="F10" s="65" t="n"/>
      <c r="G10" s="65" t="n">
        <v>2547.6</v>
      </c>
      <c r="H10" s="65" t="n"/>
      <c r="I10" s="65" t="n"/>
      <c r="J10" s="65" t="n"/>
      <c r="K10" s="65" t="n">
        <v>2632.6</v>
      </c>
      <c r="L10" s="65" t="n">
        <v>2537.2</v>
      </c>
      <c r="M10" s="65" t="n">
        <v>2535.3</v>
      </c>
      <c r="N10" s="65" t="n">
        <v>2626.7</v>
      </c>
      <c r="O10" s="65" t="n">
        <v>2385.4</v>
      </c>
      <c r="P10" s="65" t="n">
        <v>2733.8</v>
      </c>
      <c r="Q10" s="65" t="n">
        <v>2320.1</v>
      </c>
      <c r="R10" s="65" t="n">
        <v>2474</v>
      </c>
      <c r="S10" s="65" t="n">
        <v>2528.9</v>
      </c>
      <c r="T10" s="65" t="n">
        <v>2714.7</v>
      </c>
      <c r="U10" s="65" t="n">
        <v>2857.2</v>
      </c>
      <c r="V10" s="65" t="n">
        <v>3233.8</v>
      </c>
      <c r="W10" s="65" t="n">
        <v>3383.7</v>
      </c>
      <c r="X10" s="65" t="n">
        <v>3522.1</v>
      </c>
      <c r="Y10" s="65" t="n">
        <v>3560.2</v>
      </c>
      <c r="Z10" s="65" t="n">
        <v>4148.5</v>
      </c>
      <c r="AA10" s="65" t="n">
        <v>4282.7</v>
      </c>
      <c r="AB10" s="65" t="n">
        <v>4646.9</v>
      </c>
      <c r="AC10" s="65" t="n">
        <v>4872.4</v>
      </c>
      <c r="AD10" s="65" t="n">
        <v>5389.9</v>
      </c>
      <c r="AE10" s="65" t="n">
        <v>4936.6</v>
      </c>
      <c r="AF10" s="65" t="n">
        <v>4416.3</v>
      </c>
      <c r="AG10" s="65" t="n">
        <v>4834.3</v>
      </c>
      <c r="AH10" s="65" t="n">
        <v>4907.2</v>
      </c>
      <c r="AI10" s="65" t="n">
        <v>4800.5</v>
      </c>
      <c r="AJ10" s="65" t="n">
        <v>4445.2</v>
      </c>
      <c r="AK10" s="65" t="n">
        <v>4673.7</v>
      </c>
      <c r="AL10" s="65" t="n">
        <v>4748.7</v>
      </c>
      <c r="AM10" s="65" t="n">
        <v>5085.7</v>
      </c>
      <c r="AN10" s="65" t="n">
        <v>5220.7</v>
      </c>
      <c r="AO10" s="65" t="n">
        <v>5459.7</v>
      </c>
    </row>
    <row r="11">
      <c r="A11" s="64" t="inlineStr">
        <is>
          <t>유동부채</t>
        </is>
      </c>
      <c r="B11" s="65" t="n"/>
      <c r="C11" s="65" t="n"/>
      <c r="D11" s="65" t="n"/>
      <c r="E11" s="65" t="n"/>
      <c r="F11" s="65" t="n"/>
      <c r="G11" s="65" t="n">
        <v>1755.1</v>
      </c>
      <c r="H11" s="65" t="n"/>
      <c r="I11" s="65" t="n"/>
      <c r="J11" s="65" t="n"/>
      <c r="K11" s="65" t="n">
        <v>1608.5</v>
      </c>
      <c r="L11" s="65" t="n">
        <v>1619.8</v>
      </c>
      <c r="M11" s="65" t="n">
        <v>1557.7</v>
      </c>
      <c r="N11" s="65" t="n">
        <v>1601.1</v>
      </c>
      <c r="O11" s="65" t="n">
        <v>1368.8</v>
      </c>
      <c r="P11" s="65" t="n">
        <v>1704.3</v>
      </c>
      <c r="Q11" s="65" t="n">
        <v>1253.9</v>
      </c>
      <c r="R11" s="65" t="n">
        <v>1363.7</v>
      </c>
      <c r="S11" s="65" t="n">
        <v>1208.7</v>
      </c>
      <c r="T11" s="65" t="n">
        <v>1506.6</v>
      </c>
      <c r="U11" s="65" t="n">
        <v>1531.7</v>
      </c>
      <c r="V11" s="65" t="n">
        <v>1776.6</v>
      </c>
      <c r="W11" s="65" t="n">
        <v>1756.2</v>
      </c>
      <c r="X11" s="65" t="n">
        <v>1762.8</v>
      </c>
      <c r="Y11" s="65" t="n">
        <v>1685.9</v>
      </c>
      <c r="Z11" s="65" t="n">
        <v>2243.4</v>
      </c>
      <c r="AA11" s="65" t="n">
        <v>2371.4</v>
      </c>
      <c r="AB11" s="65" t="n">
        <v>2847</v>
      </c>
      <c r="AC11" s="65" t="n">
        <v>2914.1</v>
      </c>
      <c r="AD11" s="65" t="n">
        <v>3386.8</v>
      </c>
      <c r="AE11" s="65" t="n">
        <v>2860.1</v>
      </c>
      <c r="AF11" s="65" t="n">
        <v>2319.3</v>
      </c>
      <c r="AG11" s="65" t="n">
        <v>2561.6</v>
      </c>
      <c r="AH11" s="65" t="n">
        <v>2444.9</v>
      </c>
      <c r="AI11" s="65" t="n">
        <v>2397.2</v>
      </c>
      <c r="AJ11" s="65" t="n">
        <v>2154.5</v>
      </c>
      <c r="AK11" s="65" t="n">
        <v>2246.1</v>
      </c>
      <c r="AL11" s="65" t="n">
        <v>2205.4</v>
      </c>
      <c r="AM11" s="65" t="n">
        <v>2228.8</v>
      </c>
      <c r="AN11" s="65" t="n">
        <v>2458.3</v>
      </c>
      <c r="AO11" s="65" t="n">
        <v>2460.6</v>
      </c>
    </row>
    <row r="12">
      <c r="A12" s="64" t="inlineStr">
        <is>
          <t>부채총계</t>
        </is>
      </c>
      <c r="B12" s="65" t="n"/>
      <c r="C12" s="65" t="n"/>
      <c r="D12" s="65" t="n"/>
      <c r="E12" s="65" t="n"/>
      <c r="F12" s="65" t="n"/>
      <c r="G12" s="65" t="n">
        <v>1949.9</v>
      </c>
      <c r="H12" s="65" t="n"/>
      <c r="I12" s="65" t="n"/>
      <c r="J12" s="65" t="n"/>
      <c r="K12" s="65" t="n">
        <v>2017.8</v>
      </c>
      <c r="L12" s="65" t="n">
        <v>2032.8</v>
      </c>
      <c r="M12" s="65" t="n">
        <v>1966.6</v>
      </c>
      <c r="N12" s="65" t="n">
        <v>2026.1</v>
      </c>
      <c r="O12" s="65" t="n">
        <v>1738.2</v>
      </c>
      <c r="P12" s="65" t="n">
        <v>2083.3</v>
      </c>
      <c r="Q12" s="65" t="n">
        <v>1642.5</v>
      </c>
      <c r="R12" s="65" t="n">
        <v>1781.2</v>
      </c>
      <c r="S12" s="65" t="n">
        <v>1740.8</v>
      </c>
      <c r="T12" s="65" t="n">
        <v>1883.9</v>
      </c>
      <c r="U12" s="65" t="n">
        <v>1918.8</v>
      </c>
      <c r="V12" s="65" t="n">
        <v>2173.4</v>
      </c>
      <c r="W12" s="65" t="n">
        <v>2115.2</v>
      </c>
      <c r="X12" s="65" t="n">
        <v>2116.2</v>
      </c>
      <c r="Y12" s="65" t="n">
        <v>2028.4</v>
      </c>
      <c r="Z12" s="65" t="n">
        <v>2581.6</v>
      </c>
      <c r="AA12" s="65" t="n">
        <v>2628.9</v>
      </c>
      <c r="AB12" s="65" t="n">
        <v>3126.2</v>
      </c>
      <c r="AC12" s="65" t="n">
        <v>3192.3</v>
      </c>
      <c r="AD12" s="65" t="n">
        <v>3656.8</v>
      </c>
      <c r="AE12" s="65" t="n">
        <v>3049</v>
      </c>
      <c r="AF12" s="65" t="n">
        <v>2496.1</v>
      </c>
      <c r="AG12" s="65" t="n">
        <v>2729.5</v>
      </c>
      <c r="AH12" s="65" t="n">
        <v>2609.3</v>
      </c>
      <c r="AI12" s="65" t="n">
        <v>2505.9</v>
      </c>
      <c r="AJ12" s="65" t="n">
        <v>2269.9</v>
      </c>
      <c r="AK12" s="65" t="n">
        <v>2376.6</v>
      </c>
      <c r="AL12" s="65" t="n">
        <v>2338.3</v>
      </c>
      <c r="AM12" s="65" t="n">
        <v>2357.4</v>
      </c>
      <c r="AN12" s="65" t="n">
        <v>2718.6</v>
      </c>
      <c r="AO12" s="65" t="n">
        <v>2704.9</v>
      </c>
    </row>
    <row r="13">
      <c r="A13" s="64" t="inlineStr">
        <is>
          <t>자기자본</t>
        </is>
      </c>
      <c r="B13" s="66" t="n"/>
      <c r="C13" s="66" t="n"/>
      <c r="D13" s="66" t="n"/>
      <c r="E13" s="66" t="n"/>
      <c r="F13" s="66" t="n"/>
      <c r="G13" s="66" t="n">
        <v>1708.8</v>
      </c>
      <c r="H13" s="66" t="n"/>
      <c r="I13" s="66" t="n"/>
      <c r="J13" s="66" t="n"/>
      <c r="K13" s="66" t="n">
        <v>1791.3</v>
      </c>
      <c r="L13" s="66" t="n">
        <v>1702</v>
      </c>
      <c r="M13" s="66" t="n">
        <v>1747.5</v>
      </c>
      <c r="N13" s="66" t="n">
        <v>1814.5</v>
      </c>
      <c r="O13" s="66" t="n">
        <v>1741.4</v>
      </c>
      <c r="P13" s="66" t="n">
        <v>1787.3</v>
      </c>
      <c r="Q13" s="66" t="n">
        <v>1849.3</v>
      </c>
      <c r="R13" s="66" t="n">
        <v>1958.4</v>
      </c>
      <c r="S13" s="66" t="n">
        <v>2085.5</v>
      </c>
      <c r="T13" s="66" t="n">
        <v>2095</v>
      </c>
      <c r="U13" s="66" t="n">
        <v>2227.7</v>
      </c>
      <c r="V13" s="66" t="n">
        <v>2373.1</v>
      </c>
      <c r="W13" s="66" t="n">
        <v>2477.9</v>
      </c>
      <c r="X13" s="66" t="n">
        <v>2608.9</v>
      </c>
      <c r="Y13" s="66" t="n">
        <v>2745.9</v>
      </c>
      <c r="Z13" s="66" t="n">
        <v>2837.1</v>
      </c>
      <c r="AA13" s="66" t="n">
        <v>2999.3</v>
      </c>
      <c r="AB13" s="66" t="n">
        <v>2991</v>
      </c>
      <c r="AC13" s="66" t="n">
        <v>3163.7</v>
      </c>
      <c r="AD13" s="66" t="n">
        <v>3257.6</v>
      </c>
      <c r="AE13" s="66" t="n">
        <v>3719.1</v>
      </c>
      <c r="AF13" s="66" t="n">
        <v>3824.9</v>
      </c>
      <c r="AG13" s="66" t="n">
        <v>3951.7</v>
      </c>
      <c r="AH13" s="66" t="n">
        <v>4159.4</v>
      </c>
      <c r="AI13" s="66" t="n">
        <v>4206.9</v>
      </c>
      <c r="AJ13" s="66" t="n">
        <v>4120.4</v>
      </c>
      <c r="AK13" s="66" t="n">
        <v>4295.8</v>
      </c>
      <c r="AL13" s="66" t="n">
        <v>4432.5</v>
      </c>
      <c r="AM13" s="66" t="n">
        <v>4866.8</v>
      </c>
      <c r="AN13" s="66" t="n">
        <v>4973.4</v>
      </c>
      <c r="AO13" s="66" t="n">
        <v>5220.2</v>
      </c>
    </row>
    <row r="14">
      <c r="A14" s="64" t="inlineStr">
        <is>
          <t>유동비율</t>
        </is>
      </c>
      <c r="B14" s="66" t="n"/>
      <c r="C14" s="66" t="n"/>
      <c r="D14" s="66" t="n"/>
      <c r="E14" s="66" t="n"/>
      <c r="F14" s="66" t="n"/>
      <c r="G14" s="66" t="n">
        <v>145.2</v>
      </c>
      <c r="H14" s="66" t="n"/>
      <c r="I14" s="66" t="n"/>
      <c r="J14" s="66" t="n"/>
      <c r="K14" s="66" t="n">
        <v>163.7</v>
      </c>
      <c r="L14" s="66" t="n">
        <v>156.6</v>
      </c>
      <c r="M14" s="66" t="n">
        <v>162.8</v>
      </c>
      <c r="N14" s="66" t="n">
        <v>164.1</v>
      </c>
      <c r="O14" s="66" t="n">
        <v>174.3</v>
      </c>
      <c r="P14" s="66" t="n">
        <v>160.4</v>
      </c>
      <c r="Q14" s="66" t="n">
        <v>185</v>
      </c>
      <c r="R14" s="66" t="n">
        <v>181.4</v>
      </c>
      <c r="S14" s="66" t="n">
        <v>209.2</v>
      </c>
      <c r="T14" s="66" t="n">
        <v>180.2</v>
      </c>
      <c r="U14" s="66" t="n">
        <v>186.5</v>
      </c>
      <c r="V14" s="66" t="n">
        <v>182</v>
      </c>
      <c r="W14" s="66" t="n">
        <v>192.7</v>
      </c>
      <c r="X14" s="66" t="n">
        <v>199.8</v>
      </c>
      <c r="Y14" s="66" t="n">
        <v>211.2</v>
      </c>
      <c r="Z14" s="66" t="n">
        <v>184.9</v>
      </c>
      <c r="AA14" s="66" t="n">
        <v>180.6</v>
      </c>
      <c r="AB14" s="66" t="n">
        <v>163.2</v>
      </c>
      <c r="AC14" s="66" t="n">
        <v>167.2</v>
      </c>
      <c r="AD14" s="66" t="n">
        <v>159.1</v>
      </c>
      <c r="AE14" s="66" t="n">
        <v>172.6</v>
      </c>
      <c r="AF14" s="66" t="n">
        <v>190.4</v>
      </c>
      <c r="AG14" s="66" t="n">
        <v>188.7</v>
      </c>
      <c r="AH14" s="66" t="n">
        <v>200.7</v>
      </c>
      <c r="AI14" s="66" t="n">
        <v>200.3</v>
      </c>
      <c r="AJ14" s="66" t="n">
        <v>206.3</v>
      </c>
      <c r="AK14" s="66" t="n">
        <v>208.1</v>
      </c>
      <c r="AL14" s="66" t="n">
        <v>215.3</v>
      </c>
      <c r="AM14" s="66" t="n">
        <v>228.2</v>
      </c>
      <c r="AN14" s="66" t="n">
        <v>212.4</v>
      </c>
      <c r="AO14" s="66" t="n">
        <v>221.9</v>
      </c>
    </row>
    <row r="15">
      <c r="A15" s="64" t="inlineStr">
        <is>
          <t>부채비율</t>
        </is>
      </c>
      <c r="B15" s="66" t="n"/>
      <c r="C15" s="66" t="n"/>
      <c r="D15" s="66" t="n"/>
      <c r="E15" s="66" t="n"/>
      <c r="F15" s="66" t="n"/>
      <c r="G15" s="66" t="n">
        <v>114.1</v>
      </c>
      <c r="H15" s="66" t="n"/>
      <c r="I15" s="66" t="n"/>
      <c r="J15" s="66" t="n"/>
      <c r="K15" s="66" t="n">
        <v>112.6</v>
      </c>
      <c r="L15" s="66" t="n">
        <v>119.4</v>
      </c>
      <c r="M15" s="66" t="n">
        <v>112.5</v>
      </c>
      <c r="N15" s="66" t="n">
        <v>111.7</v>
      </c>
      <c r="O15" s="66" t="n">
        <v>99.8</v>
      </c>
      <c r="P15" s="66" t="n">
        <v>116.6</v>
      </c>
      <c r="Q15" s="66" t="n">
        <v>88.8</v>
      </c>
      <c r="R15" s="66" t="n">
        <v>91</v>
      </c>
      <c r="S15" s="66" t="n">
        <v>83.5</v>
      </c>
      <c r="T15" s="66" t="n">
        <v>89.90000000000001</v>
      </c>
      <c r="U15" s="66" t="n">
        <v>86.09999999999999</v>
      </c>
      <c r="V15" s="66" t="n">
        <v>91.59999999999999</v>
      </c>
      <c r="W15" s="66" t="n">
        <v>85.40000000000001</v>
      </c>
      <c r="X15" s="66" t="n">
        <v>81.09999999999999</v>
      </c>
      <c r="Y15" s="66" t="n">
        <v>73.90000000000001</v>
      </c>
      <c r="Z15" s="66" t="n">
        <v>91</v>
      </c>
      <c r="AA15" s="66" t="n">
        <v>87.7</v>
      </c>
      <c r="AB15" s="66" t="n">
        <v>104.5</v>
      </c>
      <c r="AC15" s="66" t="n">
        <v>100.9</v>
      </c>
      <c r="AD15" s="66" t="n">
        <v>112.3</v>
      </c>
      <c r="AE15" s="66" t="n">
        <v>82</v>
      </c>
      <c r="AF15" s="66" t="n">
        <v>65.3</v>
      </c>
      <c r="AG15" s="66" t="n">
        <v>69.09999999999999</v>
      </c>
      <c r="AH15" s="66" t="n">
        <v>62.7</v>
      </c>
      <c r="AI15" s="66" t="n">
        <v>59.6</v>
      </c>
      <c r="AJ15" s="66" t="n">
        <v>55.1</v>
      </c>
      <c r="AK15" s="66" t="n">
        <v>55.3</v>
      </c>
      <c r="AL15" s="66" t="n">
        <v>52.8</v>
      </c>
      <c r="AM15" s="66" t="n">
        <v>48.4</v>
      </c>
      <c r="AN15" s="66" t="n">
        <v>54.7</v>
      </c>
      <c r="AO15" s="66" t="n">
        <v>51.8</v>
      </c>
    </row>
    <row r="16">
      <c r="A16" s="64" t="inlineStr">
        <is>
          <t>순차입금/자기자본</t>
        </is>
      </c>
      <c r="B16" s="66" t="n"/>
      <c r="C16" s="66" t="n"/>
      <c r="D16" s="66" t="n"/>
      <c r="E16" s="66" t="n"/>
      <c r="F16" s="66" t="n"/>
      <c r="G16" s="66" t="n">
        <v>-23.4</v>
      </c>
      <c r="H16" s="66" t="n"/>
      <c r="I16" s="66" t="n"/>
      <c r="J16" s="66" t="n"/>
      <c r="K16" s="66" t="n">
        <v>12.9</v>
      </c>
      <c r="L16" s="66" t="n">
        <v>18.9</v>
      </c>
      <c r="M16" s="66" t="n">
        <v>31.1</v>
      </c>
      <c r="N16" s="66" t="n">
        <v>22</v>
      </c>
      <c r="O16" s="66" t="n">
        <v>17</v>
      </c>
      <c r="P16" s="66" t="n">
        <v>19.3</v>
      </c>
      <c r="Q16" s="66" t="n">
        <v>8.9</v>
      </c>
      <c r="R16" s="66" t="n">
        <v>2.4</v>
      </c>
      <c r="S16" s="66" t="n">
        <v>-9.1</v>
      </c>
      <c r="T16" s="66" t="n">
        <v>-22.4</v>
      </c>
      <c r="U16" s="66" t="n">
        <v>-30.4</v>
      </c>
      <c r="V16" s="66" t="n">
        <v>-37.2</v>
      </c>
      <c r="W16" s="66" t="n">
        <v>-41.9</v>
      </c>
      <c r="X16" s="66" t="n">
        <v>-45.3</v>
      </c>
      <c r="Y16" s="66" t="n">
        <v>-38.1</v>
      </c>
      <c r="Z16" s="66" t="n">
        <v>-47</v>
      </c>
      <c r="AA16" s="66" t="n">
        <v>-48.9</v>
      </c>
      <c r="AB16" s="66" t="n">
        <v>-52.1</v>
      </c>
      <c r="AC16" s="66" t="n">
        <v>-48.4</v>
      </c>
      <c r="AD16" s="66" t="n">
        <v>-60.4</v>
      </c>
      <c r="AE16" s="66" t="n">
        <v>-43</v>
      </c>
      <c r="AF16" s="66" t="n">
        <v>-29.7</v>
      </c>
      <c r="AG16" s="66" t="n">
        <v>-39.7</v>
      </c>
      <c r="AH16" s="66" t="n">
        <v>-25.5</v>
      </c>
      <c r="AI16" s="66" t="n">
        <v>-32.4</v>
      </c>
      <c r="AJ16" s="66" t="n">
        <v>-27.9</v>
      </c>
      <c r="AK16" s="66" t="n">
        <v>-24.5</v>
      </c>
      <c r="AL16" s="66" t="n">
        <v>-29.4</v>
      </c>
      <c r="AM16" s="66" t="n">
        <v>-29</v>
      </c>
      <c r="AN16" s="66" t="n">
        <v>-41.5</v>
      </c>
      <c r="AO16" s="66" t="n">
        <v>-36.2</v>
      </c>
    </row>
    <row r="17">
      <c r="A17" s="64" t="inlineStr">
        <is>
          <t>재고자산</t>
        </is>
      </c>
      <c r="B17" s="65" t="n"/>
      <c r="C17" s="65" t="n"/>
      <c r="D17" s="65" t="n"/>
      <c r="E17" s="65" t="n"/>
      <c r="F17" s="65" t="n"/>
      <c r="G17" s="65" t="n">
        <v>1063.1</v>
      </c>
      <c r="H17" s="65" t="n"/>
      <c r="I17" s="65" t="n"/>
      <c r="J17" s="65" t="n"/>
      <c r="K17" s="65" t="n">
        <v>1168</v>
      </c>
      <c r="L17" s="65" t="n">
        <v>1270.5</v>
      </c>
      <c r="M17" s="65" t="n">
        <v>1236.8</v>
      </c>
      <c r="N17" s="65" t="n">
        <v>1264</v>
      </c>
      <c r="O17" s="65" t="n">
        <v>1062.6</v>
      </c>
      <c r="P17" s="65" t="n">
        <v>1102.1</v>
      </c>
      <c r="Q17" s="65" t="n">
        <v>1015.7</v>
      </c>
      <c r="R17" s="65" t="n">
        <v>1065.5</v>
      </c>
      <c r="S17" s="65" t="n">
        <v>956.7</v>
      </c>
      <c r="T17" s="65" t="n">
        <v>1066.2</v>
      </c>
      <c r="U17" s="65" t="n">
        <v>1042.8</v>
      </c>
      <c r="V17" s="65" t="n">
        <v>1072.6</v>
      </c>
      <c r="W17" s="65" t="n">
        <v>1037.4</v>
      </c>
      <c r="X17" s="65" t="n">
        <v>1144.6</v>
      </c>
      <c r="Y17" s="65" t="n">
        <v>1185.3</v>
      </c>
      <c r="Z17" s="65" t="n">
        <v>1229</v>
      </c>
      <c r="AA17" s="65" t="n">
        <v>1238.7</v>
      </c>
      <c r="AB17" s="65" t="n">
        <v>1400.8</v>
      </c>
      <c r="AC17" s="65" t="n">
        <v>1562.3</v>
      </c>
      <c r="AD17" s="65" t="n">
        <v>1755.4</v>
      </c>
      <c r="AE17" s="65" t="n">
        <v>1635.7</v>
      </c>
      <c r="AF17" s="65" t="n">
        <v>1842.9</v>
      </c>
      <c r="AG17" s="65" t="n">
        <v>1929.6</v>
      </c>
      <c r="AH17" s="65" t="n">
        <v>1769.7</v>
      </c>
      <c r="AI17" s="65" t="n">
        <v>1686.6</v>
      </c>
      <c r="AJ17" s="65" t="n">
        <v>1753.3</v>
      </c>
      <c r="AK17" s="65" t="n">
        <v>1734</v>
      </c>
      <c r="AL17" s="65" t="n">
        <v>1717.4</v>
      </c>
      <c r="AM17" s="65" t="n">
        <v>1586.3</v>
      </c>
      <c r="AN17" s="65" t="n">
        <v>1925.9</v>
      </c>
      <c r="AO17" s="65" t="n">
        <v>2092.4</v>
      </c>
    </row>
    <row r="18">
      <c r="A18" s="64" t="inlineStr">
        <is>
          <t>재고자산 회전일수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>
        <v>129</v>
      </c>
      <c r="L18" s="65" t="n">
        <v>245</v>
      </c>
      <c r="M18" s="65" t="n">
        <v>171</v>
      </c>
      <c r="N18" s="65" t="n">
        <v>198</v>
      </c>
      <c r="O18" s="65" t="n">
        <v>128</v>
      </c>
      <c r="P18" s="65" t="n">
        <v>200</v>
      </c>
      <c r="Q18" s="65" t="n">
        <v>167</v>
      </c>
      <c r="R18" s="65" t="n">
        <v>187</v>
      </c>
      <c r="S18" s="65" t="n">
        <v>116</v>
      </c>
      <c r="T18" s="65" t="n">
        <v>168</v>
      </c>
      <c r="U18" s="65" t="n">
        <v>133</v>
      </c>
      <c r="V18" s="65" t="n">
        <v>140</v>
      </c>
      <c r="W18" s="65" t="n">
        <v>121</v>
      </c>
      <c r="X18" s="65" t="n">
        <v>159</v>
      </c>
      <c r="Y18" s="65" t="n">
        <v>140</v>
      </c>
      <c r="Z18" s="65" t="n">
        <v>142</v>
      </c>
      <c r="AA18" s="65" t="n">
        <v>133</v>
      </c>
      <c r="AB18" s="65" t="n">
        <v>193</v>
      </c>
      <c r="AC18" s="65" t="n">
        <v>185</v>
      </c>
      <c r="AD18" s="65" t="n">
        <v>207</v>
      </c>
      <c r="AE18" s="65" t="n">
        <v>145</v>
      </c>
      <c r="AF18" s="65" t="n">
        <v>205</v>
      </c>
      <c r="AG18" s="65" t="n">
        <v>198</v>
      </c>
      <c r="AH18" s="65" t="n">
        <v>139</v>
      </c>
      <c r="AI18" s="65" t="n">
        <v>148</v>
      </c>
      <c r="AJ18" s="65" t="n">
        <v>188</v>
      </c>
      <c r="AK18" s="65" t="n">
        <v>180</v>
      </c>
      <c r="AL18" s="65" t="n">
        <v>167</v>
      </c>
      <c r="AM18" s="65" t="n">
        <v>135</v>
      </c>
      <c r="AN18" s="65" t="n">
        <v>223</v>
      </c>
      <c r="AO18" s="65" t="n">
        <v>165</v>
      </c>
    </row>
    <row r="19">
      <c r="A19" s="64" t="inlineStr">
        <is>
          <t>매출채권 회전일수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>
        <v>78</v>
      </c>
      <c r="L19" s="65" t="n">
        <v>108</v>
      </c>
      <c r="M19" s="65" t="n">
        <v>81</v>
      </c>
      <c r="N19" s="65" t="n">
        <v>87</v>
      </c>
      <c r="O19" s="65" t="n">
        <v>68</v>
      </c>
      <c r="P19" s="65" t="n">
        <v>99</v>
      </c>
      <c r="Q19" s="65" t="n">
        <v>80</v>
      </c>
      <c r="R19" s="65" t="n">
        <v>91</v>
      </c>
      <c r="S19" s="65" t="n">
        <v>0</v>
      </c>
      <c r="T19" s="65" t="n">
        <v>78</v>
      </c>
      <c r="U19" s="65" t="n">
        <v>59</v>
      </c>
      <c r="V19" s="65" t="n">
        <v>70</v>
      </c>
      <c r="W19" s="65" t="n">
        <v>64</v>
      </c>
      <c r="X19" s="65" t="n">
        <v>57</v>
      </c>
      <c r="Y19" s="65" t="n">
        <v>62</v>
      </c>
      <c r="Z19" s="65" t="n">
        <v>77</v>
      </c>
      <c r="AA19" s="65" t="n">
        <v>72</v>
      </c>
      <c r="AB19" s="65" t="n">
        <v>92</v>
      </c>
      <c r="AC19" s="65" t="n">
        <v>63</v>
      </c>
      <c r="AD19" s="65" t="n">
        <v>53</v>
      </c>
      <c r="AE19" s="65" t="n">
        <v>57</v>
      </c>
      <c r="AF19" s="65" t="n">
        <v>53</v>
      </c>
      <c r="AG19" s="65" t="n">
        <v>42</v>
      </c>
      <c r="AH19" s="65" t="n">
        <v>47</v>
      </c>
      <c r="AI19" s="65" t="n">
        <v>50</v>
      </c>
      <c r="AJ19" s="65" t="n">
        <v>53</v>
      </c>
      <c r="AK19" s="65" t="n">
        <v>56</v>
      </c>
      <c r="AL19" s="65" t="n">
        <v>58</v>
      </c>
      <c r="AM19" s="65" t="n">
        <v>51</v>
      </c>
      <c r="AN19" s="65" t="n">
        <v>67</v>
      </c>
      <c r="AO19" s="65" t="n">
        <v>53</v>
      </c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>
        <v>31</v>
      </c>
      <c r="L20" s="65" t="n">
        <v>47</v>
      </c>
      <c r="M20" s="65" t="n">
        <v>32</v>
      </c>
      <c r="N20" s="65" t="n">
        <v>36</v>
      </c>
      <c r="O20" s="65" t="n">
        <v>30</v>
      </c>
      <c r="P20" s="65" t="n">
        <v>37</v>
      </c>
      <c r="Q20" s="65" t="n">
        <v>34</v>
      </c>
      <c r="R20" s="65" t="n">
        <v>41</v>
      </c>
      <c r="S20" s="65" t="n">
        <v>34</v>
      </c>
      <c r="T20" s="65" t="n">
        <v>44</v>
      </c>
      <c r="U20" s="65" t="n">
        <v>36</v>
      </c>
      <c r="V20" s="65" t="n">
        <v>37</v>
      </c>
      <c r="W20" s="65" t="n">
        <v>39</v>
      </c>
      <c r="X20" s="65" t="n">
        <v>46</v>
      </c>
      <c r="Y20" s="65" t="n">
        <v>39</v>
      </c>
      <c r="Z20" s="65" t="n">
        <v>42</v>
      </c>
      <c r="AA20" s="65" t="n">
        <v>44</v>
      </c>
      <c r="AB20" s="65" t="n">
        <v>52</v>
      </c>
      <c r="AC20" s="65" t="n">
        <v>47</v>
      </c>
      <c r="AD20" s="65" t="n">
        <v>47</v>
      </c>
      <c r="AE20" s="65" t="n">
        <v>37</v>
      </c>
      <c r="AF20" s="65" t="n">
        <v>51</v>
      </c>
      <c r="AG20" s="65" t="n">
        <v>43</v>
      </c>
      <c r="AH20" s="65" t="n">
        <v>35</v>
      </c>
      <c r="AI20" s="65" t="n">
        <v>41</v>
      </c>
      <c r="AJ20" s="65" t="n">
        <v>43</v>
      </c>
      <c r="AK20" s="65" t="n">
        <v>40</v>
      </c>
      <c r="AL20" s="65" t="n">
        <v>40</v>
      </c>
      <c r="AM20" s="65" t="n">
        <v>38</v>
      </c>
      <c r="AN20" s="65" t="n">
        <v>61</v>
      </c>
      <c r="AO20" s="65" t="n">
        <v>45</v>
      </c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>
        <v>176</v>
      </c>
      <c r="L21" s="65" t="n">
        <v>306</v>
      </c>
      <c r="M21" s="65" t="n">
        <v>220</v>
      </c>
      <c r="N21" s="65" t="n">
        <v>249</v>
      </c>
      <c r="O21" s="65" t="n">
        <v>166</v>
      </c>
      <c r="P21" s="65" t="n">
        <v>262</v>
      </c>
      <c r="Q21" s="65" t="n">
        <v>213</v>
      </c>
      <c r="R21" s="65" t="n">
        <v>237</v>
      </c>
      <c r="S21" s="65" t="n">
        <v>82</v>
      </c>
      <c r="T21" s="65" t="n">
        <v>202</v>
      </c>
      <c r="U21" s="65" t="n">
        <v>156</v>
      </c>
      <c r="V21" s="65" t="n">
        <v>173</v>
      </c>
      <c r="W21" s="65" t="n">
        <v>146</v>
      </c>
      <c r="X21" s="65" t="n">
        <v>170</v>
      </c>
      <c r="Y21" s="65" t="n">
        <v>163</v>
      </c>
      <c r="Z21" s="65" t="n">
        <v>177</v>
      </c>
      <c r="AA21" s="65" t="n">
        <v>161</v>
      </c>
      <c r="AB21" s="65" t="n">
        <v>233</v>
      </c>
      <c r="AC21" s="65" t="n">
        <v>201</v>
      </c>
      <c r="AD21" s="65" t="n">
        <v>213</v>
      </c>
      <c r="AE21" s="65" t="n">
        <v>165</v>
      </c>
      <c r="AF21" s="65" t="n">
        <v>207</v>
      </c>
      <c r="AG21" s="65" t="n">
        <v>197</v>
      </c>
      <c r="AH21" s="65" t="n">
        <v>151</v>
      </c>
      <c r="AI21" s="65" t="n">
        <v>157</v>
      </c>
      <c r="AJ21" s="65" t="n">
        <v>198</v>
      </c>
      <c r="AK21" s="65" t="n">
        <v>196</v>
      </c>
      <c r="AL21" s="65" t="n">
        <v>185</v>
      </c>
      <c r="AM21" s="65" t="n">
        <v>148</v>
      </c>
      <c r="AN21" s="65" t="n">
        <v>229</v>
      </c>
      <c r="AO21" s="65" t="n">
        <v>173</v>
      </c>
    </row>
    <row r="22">
      <c r="A22" s="64" t="inlineStr">
        <is>
          <t>총 차입금</t>
        </is>
      </c>
      <c r="B22" s="65" t="n"/>
      <c r="C22" s="65" t="n"/>
      <c r="D22" s="65" t="n"/>
      <c r="E22" s="65" t="n"/>
      <c r="F22" s="65" t="n"/>
      <c r="G22" s="65" t="n">
        <v>131.6</v>
      </c>
      <c r="H22" s="65" t="n"/>
      <c r="I22" s="65" t="n"/>
      <c r="J22" s="65" t="n"/>
      <c r="K22" s="65" t="n">
        <v>553.1</v>
      </c>
      <c r="L22" s="65" t="n">
        <v>689.9</v>
      </c>
      <c r="M22" s="65" t="n">
        <v>835.2</v>
      </c>
      <c r="N22" s="65" t="n">
        <v>765.1999999999999</v>
      </c>
      <c r="O22" s="65" t="n">
        <v>672.9</v>
      </c>
      <c r="P22" s="65" t="n">
        <v>1005</v>
      </c>
      <c r="Q22" s="65" t="n">
        <v>645.2</v>
      </c>
      <c r="R22" s="65" t="n">
        <v>553.1</v>
      </c>
      <c r="S22" s="65" t="n">
        <v>437.9</v>
      </c>
      <c r="T22" s="65" t="n">
        <v>287.1</v>
      </c>
      <c r="U22" s="65" t="n">
        <v>295.1</v>
      </c>
      <c r="V22" s="65" t="n">
        <v>295.4</v>
      </c>
      <c r="W22" s="65" t="n">
        <v>292.3</v>
      </c>
      <c r="X22" s="65" t="n">
        <v>297</v>
      </c>
      <c r="Y22" s="65" t="n">
        <v>293.2</v>
      </c>
      <c r="Z22" s="65" t="n">
        <v>291.1</v>
      </c>
      <c r="AA22" s="65" t="n">
        <v>288.5</v>
      </c>
      <c r="AB22" s="65" t="n">
        <v>289</v>
      </c>
      <c r="AC22" s="65" t="n">
        <v>285</v>
      </c>
      <c r="AD22" s="65" t="n">
        <v>283.6</v>
      </c>
      <c r="AE22" s="65" t="n">
        <v>71.8</v>
      </c>
      <c r="AF22" s="65" t="n">
        <v>55.4</v>
      </c>
      <c r="AG22" s="65" t="n">
        <v>49.7</v>
      </c>
      <c r="AH22" s="65" t="n">
        <v>47.2</v>
      </c>
      <c r="AI22" s="65" t="n">
        <v>42.4</v>
      </c>
      <c r="AJ22" s="65" t="n">
        <v>45</v>
      </c>
      <c r="AK22" s="65" t="n">
        <v>40.1</v>
      </c>
      <c r="AL22" s="65" t="n">
        <v>40.5</v>
      </c>
      <c r="AM22" s="65" t="n">
        <v>61</v>
      </c>
      <c r="AN22" s="65" t="n">
        <v>60.4</v>
      </c>
      <c r="AO22" s="65" t="n">
        <v>84.09999999999999</v>
      </c>
    </row>
    <row r="23">
      <c r="A23" s="64" t="inlineStr">
        <is>
          <t>현금</t>
        </is>
      </c>
      <c r="B23" s="65" t="n"/>
      <c r="C23" s="65" t="n"/>
      <c r="D23" s="65" t="n"/>
      <c r="E23" s="65" t="n"/>
      <c r="F23" s="65" t="n"/>
      <c r="G23" s="65" t="n">
        <v>531.1</v>
      </c>
      <c r="H23" s="65" t="n"/>
      <c r="I23" s="65" t="n"/>
      <c r="J23" s="65" t="n"/>
      <c r="K23" s="65" t="n">
        <v>321.9</v>
      </c>
      <c r="L23" s="65" t="n">
        <v>367.9</v>
      </c>
      <c r="M23" s="65" t="n">
        <v>292.4</v>
      </c>
      <c r="N23" s="65" t="n">
        <v>365.2</v>
      </c>
      <c r="O23" s="65" t="n">
        <v>377.7</v>
      </c>
      <c r="P23" s="65" t="n">
        <v>660.3</v>
      </c>
      <c r="Q23" s="65" t="n">
        <v>480.6</v>
      </c>
      <c r="R23" s="65" t="n">
        <v>506</v>
      </c>
      <c r="S23" s="65" t="n">
        <v>627.3</v>
      </c>
      <c r="T23" s="65" t="n">
        <v>757.1</v>
      </c>
      <c r="U23" s="65" t="n">
        <v>973.4</v>
      </c>
      <c r="V23" s="65" t="n">
        <v>1179.3</v>
      </c>
      <c r="W23" s="65" t="n">
        <v>1330.9</v>
      </c>
      <c r="X23" s="65" t="n">
        <v>1477.8</v>
      </c>
      <c r="Y23" s="65" t="n">
        <v>1338.7</v>
      </c>
      <c r="Z23" s="65" t="n">
        <v>1625.5</v>
      </c>
      <c r="AA23" s="65" t="n">
        <v>1755.8</v>
      </c>
      <c r="AB23" s="65" t="n">
        <v>1846.8</v>
      </c>
      <c r="AC23" s="65" t="n">
        <v>1815.1</v>
      </c>
      <c r="AD23" s="65" t="n">
        <v>2251</v>
      </c>
      <c r="AE23" s="65" t="n">
        <v>1672.8</v>
      </c>
      <c r="AF23" s="65" t="n">
        <v>1193.2</v>
      </c>
      <c r="AG23" s="65" t="n">
        <v>1618.8</v>
      </c>
      <c r="AH23" s="65" t="n">
        <v>1107.2</v>
      </c>
      <c r="AI23" s="65" t="n">
        <v>1404</v>
      </c>
      <c r="AJ23" s="65" t="n">
        <v>1195.5</v>
      </c>
      <c r="AK23" s="65" t="n">
        <v>1090.7</v>
      </c>
      <c r="AL23" s="65" t="n">
        <v>1342.5</v>
      </c>
      <c r="AM23" s="65" t="n">
        <v>1473.7</v>
      </c>
      <c r="AN23" s="65" t="n">
        <v>2122.4</v>
      </c>
      <c r="AO23" s="65" t="n">
        <v>1973.7</v>
      </c>
    </row>
    <row r="24">
      <c r="A24" s="64" t="inlineStr">
        <is>
          <t>부문별 매출 · ＳＰＥ、報告セグメント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823.4</v>
      </c>
      <c r="AC24" s="65" t="n">
        <v>1037.2</v>
      </c>
      <c r="AD24" s="65" t="n">
        <v>1019.3</v>
      </c>
      <c r="AE24" s="65" t="n">
        <v>1296.9</v>
      </c>
      <c r="AF24" s="65" t="n">
        <v>1121.8</v>
      </c>
      <c r="AG24" s="65" t="n">
        <v>1168.8</v>
      </c>
      <c r="AH24" s="65" t="n">
        <v>1548.9</v>
      </c>
      <c r="AI24" s="65" t="n">
        <v>1355.5</v>
      </c>
      <c r="AJ24" s="65" t="n">
        <v>1095</v>
      </c>
      <c r="AK24" s="65" t="n">
        <v>1090.8</v>
      </c>
      <c r="AL24" s="65" t="n">
        <v>1194.8</v>
      </c>
      <c r="AM24" s="65" t="n">
        <v>1472.8</v>
      </c>
      <c r="AN24" s="65" t="n">
        <v>931.3</v>
      </c>
      <c r="AO24" s="65" t="n">
        <v>1582.5</v>
      </c>
      <c r="AP24" s="61" t="inlineStr">
        <is>
          <t>결산단신 부문 정보(외부 고객 매출)</t>
        </is>
      </c>
    </row>
    <row r="25">
      <c r="A25" s="64" t="inlineStr">
        <is>
          <t>부문별 매출 · ＧＡ、報告セグメント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115.2</v>
      </c>
      <c r="AC25" s="65" t="n">
        <v>123</v>
      </c>
      <c r="AD25" s="65" t="n">
        <v>119.6</v>
      </c>
      <c r="AE25" s="65" t="n">
        <v>117.5</v>
      </c>
      <c r="AF25" s="65" t="n">
        <v>123.1</v>
      </c>
      <c r="AG25" s="65" t="n">
        <v>128.3</v>
      </c>
      <c r="AH25" s="65" t="n">
        <v>137.4</v>
      </c>
      <c r="AI25" s="65" t="n">
        <v>139.7</v>
      </c>
      <c r="AJ25" s="65" t="n">
        <v>128.4</v>
      </c>
      <c r="AK25" s="65" t="n">
        <v>129.1</v>
      </c>
      <c r="AL25" s="65" t="n">
        <v>136.6</v>
      </c>
      <c r="AM25" s="65" t="n">
        <v>179.3</v>
      </c>
      <c r="AN25" s="65" t="n">
        <v>137.8</v>
      </c>
      <c r="AO25" s="65" t="n">
        <v>152.1</v>
      </c>
      <c r="AP25" s="61" t="inlineStr">
        <is>
          <t>결산단신 부문 정보(외부 고객 매출)</t>
        </is>
      </c>
    </row>
    <row r="26">
      <c r="A26" s="64" t="inlineStr">
        <is>
          <t>부문별 매출 · ＦＴ、報告セグメント [メンバー]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19.6</v>
      </c>
      <c r="AC26" s="65" t="n">
        <v>32.6</v>
      </c>
      <c r="AD26" s="65" t="n">
        <v>67.09999999999999</v>
      </c>
      <c r="AE26" s="65" t="n">
        <v>105</v>
      </c>
      <c r="AF26" s="65" t="n">
        <v>44.4</v>
      </c>
      <c r="AG26" s="65" t="n">
        <v>85.90000000000001</v>
      </c>
      <c r="AH26" s="65" t="n">
        <v>98.7</v>
      </c>
      <c r="AI26" s="65" t="n">
        <v>99.09999999999999</v>
      </c>
      <c r="AJ26" s="65" t="n">
        <v>100.1</v>
      </c>
      <c r="AK26" s="65" t="n">
        <v>134.4</v>
      </c>
      <c r="AL26" s="65" t="n">
        <v>103.2</v>
      </c>
      <c r="AM26" s="65" t="n">
        <v>67</v>
      </c>
      <c r="AN26" s="65" t="n">
        <v>108.5</v>
      </c>
      <c r="AO26" s="65" t="n">
        <v>81.90000000000001</v>
      </c>
      <c r="AP26" s="61" t="inlineStr">
        <is>
          <t>결산단신 부문 정보(외부 고객 매출)</t>
        </is>
      </c>
    </row>
    <row r="27">
      <c r="A27" s="64" t="inlineStr">
        <is>
          <t>부문별 매출 · ＰＥ、報告セグメント [メンバー]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>
        <v>33.8</v>
      </c>
      <c r="AC27" s="65" t="n">
        <v>38.1</v>
      </c>
      <c r="AD27" s="65" t="n">
        <v>32</v>
      </c>
      <c r="AE27" s="65" t="n">
        <v>41.2</v>
      </c>
      <c r="AF27" s="65" t="n">
        <v>39</v>
      </c>
      <c r="AG27" s="65" t="n">
        <v>30.3</v>
      </c>
      <c r="AH27" s="65" t="n">
        <v>26.3</v>
      </c>
      <c r="AI27" s="65" t="n">
        <v>45.3</v>
      </c>
      <c r="AJ27" s="65" t="n">
        <v>30.5</v>
      </c>
      <c r="AK27" s="65" t="n">
        <v>24.7</v>
      </c>
      <c r="AL27" s="65" t="n">
        <v>33.5</v>
      </c>
      <c r="AM27" s="65" t="n">
        <v>56</v>
      </c>
      <c r="AN27" s="65" t="n">
        <v>31.1</v>
      </c>
      <c r="AO27" s="65" t="n">
        <v>39.5</v>
      </c>
      <c r="AP27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2026-10-30T11:23:24Z</dcterms:created>
  <dcterms:modified xmlns:dcterms="http://purl.org/dc/terms/" xmlns:xsi="http://www.w3.org/2001/XMLSchema-instance" xsi:type="dcterms:W3CDTF">2026-10-30T11:24:34Z</dcterms:modified>
</cp:coreProperties>
</file>