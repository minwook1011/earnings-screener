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4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8914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12월 결산 · 일본 기준 · 2026.2Q = 2026년 12월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2023.3Q</t>
        </is>
      </c>
      <c r="D3" s="5" t="inlineStr">
        <is>
          <t>2023.4Q</t>
        </is>
      </c>
      <c r="E3" s="5" t="inlineStr">
        <is>
          <t>2024.1Q</t>
        </is>
      </c>
      <c r="F3" s="5" t="inlineStr">
        <is>
          <t>2024.2Q</t>
        </is>
      </c>
      <c r="G3" s="5" t="inlineStr">
        <is>
          <t>2024.3Q</t>
        </is>
      </c>
      <c r="H3" s="5" t="inlineStr">
        <is>
          <t>2024.4Q</t>
        </is>
      </c>
      <c r="I3" s="5" t="inlineStr">
        <is>
          <t>2025.1Q</t>
        </is>
      </c>
      <c r="J3" s="5" t="inlineStr">
        <is>
          <t>2025.2Q</t>
        </is>
      </c>
      <c r="K3" s="5" t="inlineStr">
        <is>
          <t>2025.3Q</t>
        </is>
      </c>
      <c r="L3" s="5" t="inlineStr">
        <is>
          <t>2025.4Q</t>
        </is>
      </c>
      <c r="M3" s="5" t="inlineStr">
        <is>
          <t>2026.1Q</t>
        </is>
      </c>
      <c r="N3" s="5" t="inlineStr">
        <is>
          <t>2026.2Q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5911.981</v>
      </c>
      <c r="D4" s="12" t="n">
        <v>5367.463</v>
      </c>
      <c r="E4" s="12" t="n">
        <v>6883.648</v>
      </c>
      <c r="F4" s="12" t="n">
        <v>6026.927</v>
      </c>
      <c r="G4" s="12" t="n">
        <v>6386.216</v>
      </c>
      <c r="H4" s="12" t="n">
        <v>5399.003</v>
      </c>
      <c r="I4" s="12" t="n">
        <v>7521.879</v>
      </c>
      <c r="J4" s="12" t="n">
        <v>6545.25</v>
      </c>
      <c r="K4" s="12" t="n">
        <v>6667.326</v>
      </c>
      <c r="L4" s="12" t="n">
        <v>5683.752</v>
      </c>
      <c r="M4" s="12" t="n">
        <v>7144.064</v>
      </c>
      <c r="N4" s="12" t="n">
        <v>9193.957</v>
      </c>
      <c r="O4" s="11" t="n">
        <v>16908.115</v>
      </c>
      <c r="P4" s="12" t="n">
        <v>21489.217</v>
      </c>
      <c r="Q4" s="12" t="n">
        <v>28828.272</v>
      </c>
      <c r="R4" s="12" t="n">
        <v>29333.252</v>
      </c>
      <c r="S4" s="12" t="n">
        <v>22477.251</v>
      </c>
      <c r="T4" s="12" t="n">
        <v>20572.156</v>
      </c>
      <c r="U4" s="12" t="n">
        <v>20878.046</v>
      </c>
      <c r="V4" s="12" t="n">
        <v>22463.576</v>
      </c>
      <c r="W4" s="12" t="n">
        <v>24695.794</v>
      </c>
      <c r="X4" s="12" t="n">
        <v>26418.207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SelfStorageBusinessReportableSegmentMember</t>
        </is>
      </c>
      <c r="B7" s="10" t="n"/>
      <c r="C7" s="19" t="n">
        <v>4504.835</v>
      </c>
      <c r="D7" s="20" t="n"/>
      <c r="E7" s="20" t="n">
        <v>5165.32</v>
      </c>
      <c r="F7" s="20" t="n">
        <v>4871.877</v>
      </c>
      <c r="G7" s="20" t="n">
        <v>4631.791</v>
      </c>
      <c r="H7" s="20" t="n"/>
      <c r="I7" s="20" t="n">
        <v>6356.548</v>
      </c>
      <c r="J7" s="20" t="n">
        <v>5620.393</v>
      </c>
      <c r="K7" s="20" t="n">
        <v>5053.545</v>
      </c>
      <c r="L7" s="20" t="n"/>
      <c r="M7" s="20" t="n">
        <v>6079.588</v>
      </c>
      <c r="N7" s="20" t="n">
        <v>7588.655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LandRightsConsolidationBusinessReportableSegmentMember</t>
        </is>
      </c>
      <c r="B10" s="10" t="n"/>
      <c r="C10" s="19" t="n">
        <v>1046.23</v>
      </c>
      <c r="D10" s="20" t="n">
        <v>641.082</v>
      </c>
      <c r="E10" s="20" t="n">
        <v>1346.44</v>
      </c>
      <c r="F10" s="20" t="n">
        <v>775.895</v>
      </c>
      <c r="G10" s="20" t="n">
        <v>1362.608</v>
      </c>
      <c r="H10" s="20" t="n">
        <v>210.812</v>
      </c>
      <c r="I10" s="20" t="n">
        <v>777.232</v>
      </c>
      <c r="J10" s="20" t="n">
        <v>529.444</v>
      </c>
      <c r="K10" s="20" t="n">
        <v>1217.644</v>
      </c>
      <c r="L10" s="20" t="n">
        <v>102.797</v>
      </c>
      <c r="M10" s="20" t="n">
        <v>681.999</v>
      </c>
      <c r="N10" s="20" t="n">
        <v>1218.093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3623.188</v>
      </c>
      <c r="W10" s="20" t="n">
        <v>3695.755</v>
      </c>
      <c r="X10" s="20" t="n">
        <v>2627.117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OtherOperationalServicesBusinessReportableSegmentMember</t>
        </is>
      </c>
      <c r="B13" s="10" t="n"/>
      <c r="C13" s="19" t="n">
        <v>360.917</v>
      </c>
      <c r="D13" s="20" t="n">
        <v>368.524</v>
      </c>
      <c r="E13" s="20" t="n">
        <v>371.888</v>
      </c>
      <c r="F13" s="20" t="n">
        <v>379.155</v>
      </c>
      <c r="G13" s="20" t="n">
        <v>391.815</v>
      </c>
      <c r="H13" s="20" t="n">
        <v>389.135</v>
      </c>
      <c r="I13" s="20" t="n">
        <v>388.098</v>
      </c>
      <c r="J13" s="20" t="n">
        <v>395.413</v>
      </c>
      <c r="K13" s="20" t="n">
        <v>396.137</v>
      </c>
      <c r="L13" s="20" t="n">
        <v>381.491</v>
      </c>
      <c r="M13" s="20" t="n">
        <v>382.476</v>
      </c>
      <c r="N13" s="20" t="n">
        <v>387.21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1416.938</v>
      </c>
      <c r="W13" s="20" t="n">
        <v>1531.993</v>
      </c>
      <c r="X13" s="20" t="n">
        <v>1561.139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EntityTotalMember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>
        <v>7521.879</v>
      </c>
      <c r="J16" s="20" t="n"/>
      <c r="K16" s="20" t="n"/>
      <c r="L16" s="20" t="n"/>
      <c r="M16" s="20" t="n">
        <v>7144.064</v>
      </c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StorageBusinessReportableSegmentMember</t>
        </is>
      </c>
      <c r="B19" s="10" t="n"/>
      <c r="C19" s="19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>
        <v>17423.449</v>
      </c>
      <c r="W19" s="20" t="n">
        <v>19468.045</v>
      </c>
      <c r="X19" s="20" t="n">
        <v>22229.951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3941.614</v>
      </c>
      <c r="D23" s="20" t="n">
        <v>3744.135</v>
      </c>
      <c r="E23" s="20" t="n">
        <v>4514.326</v>
      </c>
      <c r="F23" s="20" t="n">
        <v>3955.42</v>
      </c>
      <c r="G23" s="20" t="n">
        <v>4073.786</v>
      </c>
      <c r="H23" s="20" t="n">
        <v>3382.979</v>
      </c>
      <c r="I23" s="20" t="n">
        <v>5036.503</v>
      </c>
      <c r="J23" s="20" t="n">
        <v>4132.003</v>
      </c>
      <c r="K23" s="20" t="n">
        <v>4120.877</v>
      </c>
      <c r="L23" s="20" t="n">
        <v>3586.471</v>
      </c>
      <c r="M23" s="20" t="n">
        <v>4578.288</v>
      </c>
      <c r="N23" s="20" t="n">
        <v>5881.341</v>
      </c>
      <c r="O23" s="19" t="n">
        <v>12136.686</v>
      </c>
      <c r="P23" s="20" t="n">
        <v>15805.792</v>
      </c>
      <c r="Q23" s="20" t="n">
        <v>22173.049</v>
      </c>
      <c r="R23" s="20" t="n">
        <v>22669.733</v>
      </c>
      <c r="S23" s="20" t="n">
        <v>16977.616</v>
      </c>
      <c r="T23" s="20" t="n">
        <v>14536.911</v>
      </c>
      <c r="U23" s="20" t="n">
        <v>14160.334</v>
      </c>
      <c r="V23" s="20" t="n">
        <v>14910.881</v>
      </c>
      <c r="W23" s="20" t="n">
        <v>15926.511</v>
      </c>
      <c r="X23" s="20" t="n">
        <v>16875.854</v>
      </c>
      <c r="Y23" s="19" t="n"/>
      <c r="Z23" s="20" t="n"/>
      <c r="AA23" s="20" t="n"/>
      <c r="AB23" s="20" t="n"/>
      <c r="AC23" s="20" t="n"/>
    </row>
    <row r="24">
      <c r="A24" s="18" t="inlineStr">
        <is>
          <t>매출총이익</t>
        </is>
      </c>
      <c r="B24" s="10" t="n"/>
      <c r="C24" s="19">
        <f>IF(OR(C4="",C23=""),"",IFERROR(C4-C23,""))</f>
        <v/>
      </c>
      <c r="D24" s="20">
        <f>IF(OR(D4="",D23=""),"",IFERROR(D4-D23,""))</f>
        <v/>
      </c>
      <c r="E24" s="20">
        <f>IF(OR(E4="",E23=""),"",IFERROR(E4-E23,""))</f>
        <v/>
      </c>
      <c r="F24" s="20">
        <f>IF(OR(F4="",F23=""),"",IFERROR(F4-F23,""))</f>
        <v/>
      </c>
      <c r="G24" s="20">
        <f>IF(OR(G4="",G23=""),"",IFERROR(G4-G23,""))</f>
        <v/>
      </c>
      <c r="H24" s="20">
        <f>IF(OR(H4="",H23=""),"",IFERROR(H4-H23,""))</f>
        <v/>
      </c>
      <c r="I24" s="20">
        <f>IF(OR(I4="",I23=""),"",IFERROR(I4-I23,""))</f>
        <v/>
      </c>
      <c r="J24" s="20">
        <f>IF(OR(J4="",J23=""),"",IFERROR(J4-J23,""))</f>
        <v/>
      </c>
      <c r="K24" s="20">
        <f>IF(OR(K4="",K23=""),"",IFERROR(K4-K23,""))</f>
        <v/>
      </c>
      <c r="L24" s="20">
        <f>IF(OR(L4="",L23=""),"",IFERROR(L4-L23,""))</f>
        <v/>
      </c>
      <c r="M24" s="20">
        <f>IF(OR(M4="",M23=""),"",IFERROR(M4-M23,""))</f>
        <v/>
      </c>
      <c r="N24" s="20">
        <f>IF(OR(N4="",N23=""),"",IFERROR(N4-N23,""))</f>
        <v/>
      </c>
      <c r="O24" s="19">
        <f>IF(OR(O4="",O23=""),"",IFERROR(O4-O23,""))</f>
        <v/>
      </c>
      <c r="P24" s="20">
        <f>IF(OR(P4="",P23=""),"",IFERROR(P4-P23,""))</f>
        <v/>
      </c>
      <c r="Q24" s="20">
        <f>IF(OR(Q4="",Q23=""),"",IFERROR(Q4-Q23,""))</f>
        <v/>
      </c>
      <c r="R24" s="20">
        <f>IF(OR(R4="",R23=""),"",IFERROR(R4-R23,""))</f>
        <v/>
      </c>
      <c r="S24" s="20">
        <f>IF(OR(S4="",S23=""),"",IFERROR(S4-S23,""))</f>
        <v/>
      </c>
      <c r="T24" s="20">
        <f>IF(OR(T4="",T23=""),"",IFERROR(T4-T23,""))</f>
        <v/>
      </c>
      <c r="U24" s="20">
        <f>IF(OR(U4="",U23=""),"",IFERROR(U4-U23,""))</f>
        <v/>
      </c>
      <c r="V24" s="20">
        <f>IF(OR(V4="",V23=""),"",IFERROR(V4-V23,""))</f>
        <v/>
      </c>
      <c r="W24" s="20">
        <f>IF(OR(W4="",W23=""),"",IFERROR(W4-W23,""))</f>
        <v/>
      </c>
      <c r="X24" s="20">
        <f>IF(OR(X4="",X23=""),"",IFERROR(X4-X23,""))</f>
        <v/>
      </c>
      <c r="Y24" s="19" t="n"/>
      <c r="Z24" s="20" t="n"/>
      <c r="AA24" s="20" t="n"/>
      <c r="AB24" s="20" t="n"/>
      <c r="AC24" s="20" t="n"/>
    </row>
    <row r="25">
      <c r="A25" s="13" t="inlineStr">
        <is>
          <t>GPM</t>
        </is>
      </c>
      <c r="B25" s="10" t="n"/>
      <c r="C25" s="14">
        <f>IF(OR(C24="",C4=""),"",IFERROR(C24/C4,""))</f>
        <v/>
      </c>
      <c r="D25" s="15">
        <f>IF(OR(D24="",D4=""),"",IFERROR(D24/D4,""))</f>
        <v/>
      </c>
      <c r="E25" s="15">
        <f>IF(OR(E24="",E4=""),"",IFERROR(E24/E4,""))</f>
        <v/>
      </c>
      <c r="F25" s="15">
        <f>IF(OR(F24="",F4=""),"",IFERROR(F24/F4,""))</f>
        <v/>
      </c>
      <c r="G25" s="15">
        <f>IF(OR(G24="",G4=""),"",IFERROR(G24/G4,""))</f>
        <v/>
      </c>
      <c r="H25" s="15">
        <f>IF(OR(H24="",H4=""),"",IFERROR(H24/H4,""))</f>
        <v/>
      </c>
      <c r="I25" s="15">
        <f>IF(OR(I24="",I4=""),"",IFERROR(I24/I4,""))</f>
        <v/>
      </c>
      <c r="J25" s="15">
        <f>IF(OR(J24="",J4=""),"",IFERROR(J24/J4,""))</f>
        <v/>
      </c>
      <c r="K25" s="15">
        <f>IF(OR(K24="",K4=""),"",IFERROR(K24/K4,""))</f>
        <v/>
      </c>
      <c r="L25" s="15">
        <f>IF(OR(L24="",L4=""),"",IFERROR(L24/L4,""))</f>
        <v/>
      </c>
      <c r="M25" s="15">
        <f>IF(OR(M24="",M4=""),"",IFERROR(M24/M4,""))</f>
        <v/>
      </c>
      <c r="N25" s="15">
        <f>IF(OR(N24="",N4=""),"",IFERROR(N24/N4,""))</f>
        <v/>
      </c>
      <c r="O25" s="14">
        <f>IF(OR(O24="",O4=""),"",IFERROR(O24/O4,""))</f>
        <v/>
      </c>
      <c r="P25" s="15">
        <f>IF(OR(P24="",P4=""),"",IFERROR(P24/P4,""))</f>
        <v/>
      </c>
      <c r="Q25" s="15">
        <f>IF(OR(Q24="",Q4=""),"",IFERROR(Q24/Q4,""))</f>
        <v/>
      </c>
      <c r="R25" s="15">
        <f>IF(OR(R24="",R4=""),"",IFERROR(R24/R4,""))</f>
        <v/>
      </c>
      <c r="S25" s="15">
        <f>IF(OR(S24="",S4=""),"",IFERROR(S24/S4,""))</f>
        <v/>
      </c>
      <c r="T25" s="15">
        <f>IF(OR(T24="",T4=""),"",IFERROR(T24/T4,""))</f>
        <v/>
      </c>
      <c r="U25" s="15">
        <f>IF(OR(U24="",U4=""),"",IFERROR(U24/U4,""))</f>
        <v/>
      </c>
      <c r="V25" s="15">
        <f>IF(OR(V24="",V4=""),"",IFERROR(V24/V4,""))</f>
        <v/>
      </c>
      <c r="W25" s="15">
        <f>IF(OR(W24="",W4=""),"",IFERROR(W24/W4,""))</f>
        <v/>
      </c>
      <c r="X25" s="15">
        <f>IF(OR(X24="",X4=""),"",IFERROR(X24/X4,""))</f>
        <v/>
      </c>
      <c r="Y25" s="14">
        <f>IF(OR(Y24="",Y4=""),"",IFERROR(Y24/Y4,""))</f>
        <v/>
      </c>
      <c r="Z25" s="15">
        <f>IF(OR(Z24="",Z4=""),"",IFERROR(Z24/Z4,""))</f>
        <v/>
      </c>
      <c r="AA25" s="15">
        <f>IF(OR(AA24="",AA4=""),"",IFERROR(AA24/AA4,""))</f>
        <v/>
      </c>
      <c r="AB25" s="15">
        <f>IF(OR(AB24="",AB4=""),"",IFERROR(AB24/AB4,""))</f>
        <v/>
      </c>
      <c r="AC25" s="15">
        <f>IF(OR(AC24="",AC4=""),"",IFERROR(AC24/AC4,""))</f>
        <v/>
      </c>
    </row>
    <row r="26">
      <c r="A26" s="23" t="inlineStr">
        <is>
          <t>판매관리비</t>
        </is>
      </c>
      <c r="B26" s="23" t="n"/>
      <c r="C26" s="24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4" t="n"/>
      <c r="Z26" s="23" t="n"/>
      <c r="AA26" s="23" t="n"/>
      <c r="AB26" s="23" t="n"/>
      <c r="AC26" s="23" t="n"/>
    </row>
    <row r="27">
      <c r="A27" s="18" t="inlineStr">
        <is>
          <t>전체 판관비</t>
        </is>
      </c>
      <c r="B27" s="10" t="n"/>
      <c r="C27" s="19" t="n">
        <v>822.909</v>
      </c>
      <c r="D27" s="20" t="n">
        <v>823.751</v>
      </c>
      <c r="E27" s="20" t="n">
        <v>963.9400000000001</v>
      </c>
      <c r="F27" s="20" t="n">
        <v>929.651</v>
      </c>
      <c r="G27" s="20" t="n">
        <v>1077.883</v>
      </c>
      <c r="H27" s="20" t="n">
        <v>891.057</v>
      </c>
      <c r="I27" s="20" t="n">
        <v>921.7</v>
      </c>
      <c r="J27" s="20" t="n">
        <v>954.6660000000001</v>
      </c>
      <c r="K27" s="20" t="n">
        <v>1193.72</v>
      </c>
      <c r="L27" s="20" t="n">
        <v>1002.107</v>
      </c>
      <c r="M27" s="20" t="n">
        <v>994.653</v>
      </c>
      <c r="N27" s="20" t="n">
        <v>1275.789</v>
      </c>
      <c r="O27" s="19" t="n">
        <v>2835.759</v>
      </c>
      <c r="P27" s="20" t="n">
        <v>3303.827</v>
      </c>
      <c r="Q27" s="20" t="n">
        <v>3873.155</v>
      </c>
      <c r="R27" s="20" t="n">
        <v>3633.125</v>
      </c>
      <c r="S27" s="20" t="n">
        <v>3223.776</v>
      </c>
      <c r="T27" s="20" t="n">
        <v>2990.587</v>
      </c>
      <c r="U27" s="20" t="n">
        <v>2975.685</v>
      </c>
      <c r="V27" s="20" t="n">
        <v>3397.092</v>
      </c>
      <c r="W27" s="20" t="n">
        <v>3862.531</v>
      </c>
      <c r="X27" s="20" t="n">
        <v>4072.193</v>
      </c>
      <c r="Y27" s="19" t="n"/>
      <c r="Z27" s="20" t="n"/>
      <c r="AA27" s="20" t="n"/>
      <c r="AB27" s="20" t="n"/>
      <c r="AC27" s="20" t="n"/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1147.458</v>
      </c>
      <c r="D28" s="12" t="n">
        <v>799.578</v>
      </c>
      <c r="E28" s="12" t="n">
        <v>1405.381</v>
      </c>
      <c r="F28" s="12" t="n">
        <v>1141.856</v>
      </c>
      <c r="G28" s="12" t="n">
        <v>1234.546</v>
      </c>
      <c r="H28" s="12" t="n">
        <v>1124.967</v>
      </c>
      <c r="I28" s="12" t="n">
        <v>1563.675</v>
      </c>
      <c r="J28" s="12" t="n">
        <v>1458.581</v>
      </c>
      <c r="K28" s="12" t="n">
        <v>1352.729</v>
      </c>
      <c r="L28" s="12" t="n">
        <v>1095.175</v>
      </c>
      <c r="M28" s="12" t="n">
        <v>1571.122</v>
      </c>
      <c r="N28" s="12" t="n">
        <v>2036.827</v>
      </c>
      <c r="O28" s="11" t="n">
        <v>1935.669</v>
      </c>
      <c r="P28" s="12" t="n">
        <v>2379.597</v>
      </c>
      <c r="Q28" s="12" t="n">
        <v>2782.067</v>
      </c>
      <c r="R28" s="12" t="n">
        <v>3030.393</v>
      </c>
      <c r="S28" s="12" t="n">
        <v>2275.858</v>
      </c>
      <c r="T28" s="12" t="n">
        <v>3044.657</v>
      </c>
      <c r="U28" s="12" t="n">
        <v>3742.026</v>
      </c>
      <c r="V28" s="12" t="n">
        <v>4155.603</v>
      </c>
      <c r="W28" s="12" t="n">
        <v>4906.75</v>
      </c>
      <c r="X28" s="12" t="n">
        <v>5470.16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IF(O27="","",O27)</f>
        <v/>
      </c>
      <c r="P32" s="12">
        <f>IF(P27="","",P27)</f>
        <v/>
      </c>
      <c r="Q32" s="12">
        <f>IF(Q27="","",Q27)</f>
        <v/>
      </c>
      <c r="R32" s="12">
        <f>IF(R27="","",R27)</f>
        <v/>
      </c>
      <c r="S32" s="12">
        <f>IF(S27="","",S27)</f>
        <v/>
      </c>
      <c r="T32" s="12">
        <f>IF(T27="","",T27)</f>
        <v/>
      </c>
      <c r="U32" s="12">
        <f>IF(U27="","",U27)</f>
        <v/>
      </c>
      <c r="V32" s="12">
        <f>IF(V27="","",V27)</f>
        <v/>
      </c>
      <c r="W32" s="12">
        <f>IF(W27="","",W27)</f>
        <v/>
      </c>
      <c r="X32" s="12">
        <f>IF(X27="","",X27)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>
        <v>778.603</v>
      </c>
      <c r="P33" s="20" t="n">
        <v>796.853</v>
      </c>
      <c r="Q33" s="20" t="n">
        <v>868.638</v>
      </c>
      <c r="R33" s="20" t="n">
        <v>835.221</v>
      </c>
      <c r="S33" s="20" t="n">
        <v>787.345</v>
      </c>
      <c r="T33" s="20" t="n">
        <v>779.277</v>
      </c>
      <c r="U33" s="20" t="n">
        <v>818.548</v>
      </c>
      <c r="V33" s="20" t="n">
        <v>943.684</v>
      </c>
      <c r="W33" s="20" t="n">
        <v>1026.934</v>
      </c>
      <c r="X33" s="20" t="n">
        <v>1108.966</v>
      </c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>
        <v>53.436</v>
      </c>
      <c r="P35" s="20" t="n">
        <v>63.818</v>
      </c>
      <c r="Q35" s="20" t="n">
        <v>74.518</v>
      </c>
      <c r="R35" s="20" t="n">
        <v>100.886</v>
      </c>
      <c r="S35" s="20" t="n">
        <v>64.577</v>
      </c>
      <c r="T35" s="20" t="n">
        <v>61.424</v>
      </c>
      <c r="U35" s="20" t="n">
        <v>61.702</v>
      </c>
      <c r="V35" s="20" t="n">
        <v>58.142</v>
      </c>
      <c r="W35" s="20" t="n">
        <v>57.739</v>
      </c>
      <c r="X35" s="20" t="n">
        <v>54.322</v>
      </c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>
        <v>505.382</v>
      </c>
      <c r="P37" s="20" t="n">
        <v>565.84</v>
      </c>
      <c r="Q37" s="20" t="n">
        <v>753.679</v>
      </c>
      <c r="R37" s="20" t="n">
        <v>788.062</v>
      </c>
      <c r="S37" s="20" t="n">
        <v>606.58</v>
      </c>
      <c r="T37" s="20" t="n">
        <v>475.024</v>
      </c>
      <c r="U37" s="20" t="n">
        <v>432.602</v>
      </c>
      <c r="V37" s="20" t="n">
        <v>596.97</v>
      </c>
      <c r="W37" s="20" t="n">
        <v>720.293</v>
      </c>
      <c r="X37" s="20" t="n">
        <v>744.832</v>
      </c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>
        <v>8.699999999999999</v>
      </c>
      <c r="P39" s="20" t="n">
        <v>30.8</v>
      </c>
      <c r="Q39" s="20" t="n">
        <v>0</v>
      </c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>
        <v>24.838</v>
      </c>
      <c r="D44" s="20" t="n">
        <v>0.381</v>
      </c>
      <c r="E44" s="20" t="n">
        <v>0</v>
      </c>
      <c r="F44" s="20" t="n">
        <v>1.72</v>
      </c>
      <c r="G44" s="20" t="n">
        <v>0.08</v>
      </c>
      <c r="H44" s="20" t="n">
        <v>1.5</v>
      </c>
      <c r="I44" s="20" t="n">
        <v>28.827</v>
      </c>
      <c r="J44" s="20" t="n">
        <v>0</v>
      </c>
      <c r="K44" s="20" t="n">
        <v>0</v>
      </c>
      <c r="L44" s="20" t="n">
        <v>155.693</v>
      </c>
      <c r="M44" s="20" t="n">
        <v>7.775</v>
      </c>
      <c r="N44" s="20" t="n">
        <v>0</v>
      </c>
      <c r="O44" s="19" t="n">
        <v>90.101</v>
      </c>
      <c r="P44" s="20" t="n">
        <v>43.097</v>
      </c>
      <c r="Q44" s="20" t="n">
        <v>23.407</v>
      </c>
      <c r="R44" s="20" t="n">
        <v>17.886</v>
      </c>
      <c r="S44" s="20" t="n">
        <v>1495.986</v>
      </c>
      <c r="T44" s="20" t="n">
        <v>1833.983</v>
      </c>
      <c r="U44" s="20" t="n">
        <v>153.956</v>
      </c>
      <c r="V44" s="20" t="n">
        <v>64.34699999999999</v>
      </c>
      <c r="W44" s="20" t="n">
        <v>3.3</v>
      </c>
      <c r="X44" s="20" t="n">
        <v>184.52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>
        <v>1.146</v>
      </c>
      <c r="D46" s="20" t="n">
        <v>42.181</v>
      </c>
      <c r="E46" s="20" t="n">
        <v>0.12</v>
      </c>
      <c r="F46" s="20" t="n">
        <v>5.918</v>
      </c>
      <c r="G46" s="20" t="n">
        <v>1.518</v>
      </c>
      <c r="H46" s="20" t="n">
        <v>138.201</v>
      </c>
      <c r="I46" s="20" t="n">
        <v>0.057</v>
      </c>
      <c r="J46" s="20" t="n">
        <v>0.336</v>
      </c>
      <c r="K46" s="20" t="n">
        <v>7.105</v>
      </c>
      <c r="L46" s="20" t="n">
        <v>128.6</v>
      </c>
      <c r="M46" s="20" t="n">
        <v>0.032</v>
      </c>
      <c r="N46" s="20" t="n">
        <v>0.732</v>
      </c>
      <c r="O46" s="19" t="n">
        <v>156.349</v>
      </c>
      <c r="P46" s="20" t="n">
        <v>162.275</v>
      </c>
      <c r="Q46" s="20" t="n">
        <v>292.734</v>
      </c>
      <c r="R46" s="20" t="n">
        <v>5878.945</v>
      </c>
      <c r="S46" s="20" t="n">
        <v>372.494</v>
      </c>
      <c r="T46" s="20" t="n">
        <v>323.867</v>
      </c>
      <c r="U46" s="20" t="n">
        <v>50.455</v>
      </c>
      <c r="V46" s="20" t="n">
        <v>52.037</v>
      </c>
      <c r="W46" s="20" t="n">
        <v>145.757</v>
      </c>
      <c r="X46" s="20" t="n">
        <v>136.098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16.078</v>
      </c>
      <c r="D48" s="20" t="n">
        <v>-7.371</v>
      </c>
      <c r="E48" s="20" t="n">
        <v>75.035</v>
      </c>
      <c r="F48" s="20" t="n">
        <v>52.036</v>
      </c>
      <c r="G48" s="20" t="n">
        <v>-28.652</v>
      </c>
      <c r="H48" s="20" t="n">
        <v>100.89</v>
      </c>
      <c r="I48" s="20" t="n">
        <v>80.126</v>
      </c>
      <c r="J48" s="20" t="n">
        <v>64.486</v>
      </c>
      <c r="K48" s="20" t="n">
        <v>16.695</v>
      </c>
      <c r="L48" s="20" t="n">
        <v>23.636</v>
      </c>
      <c r="M48" s="20" t="n">
        <v>10.537</v>
      </c>
      <c r="N48" s="20" t="n">
        <v>75.898</v>
      </c>
      <c r="O48" s="19" t="n">
        <v>93.04000000000001</v>
      </c>
      <c r="P48" s="20" t="n">
        <v>149.169</v>
      </c>
      <c r="Q48" s="20" t="n">
        <v>57.354</v>
      </c>
      <c r="R48" s="20" t="n">
        <v>245.923</v>
      </c>
      <c r="S48" s="20" t="n">
        <v>67.825</v>
      </c>
      <c r="T48" s="20" t="n">
        <v>164.261</v>
      </c>
      <c r="U48" s="20" t="n">
        <v>191.767</v>
      </c>
      <c r="V48" s="20" t="n">
        <v>133.893</v>
      </c>
      <c r="W48" s="20" t="n">
        <v>199.309</v>
      </c>
      <c r="X48" s="20" t="n">
        <v>184.943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38.771</v>
      </c>
      <c r="D50" s="20" t="n">
        <v>64.593</v>
      </c>
      <c r="E50" s="20" t="n">
        <v>137.857</v>
      </c>
      <c r="F50" s="20" t="n">
        <v>53.797</v>
      </c>
      <c r="G50" s="20" t="n">
        <v>114.128</v>
      </c>
      <c r="H50" s="20" t="n">
        <v>86.206</v>
      </c>
      <c r="I50" s="20" t="n">
        <v>148.172</v>
      </c>
      <c r="J50" s="20" t="n">
        <v>96.72799999999999</v>
      </c>
      <c r="K50" s="20" t="n">
        <v>103.595</v>
      </c>
      <c r="L50" s="20" t="n">
        <v>114.731</v>
      </c>
      <c r="M50" s="20" t="n">
        <v>165.863</v>
      </c>
      <c r="N50" s="20" t="n">
        <v>153.296</v>
      </c>
      <c r="O50" s="19" t="n">
        <v>60.052</v>
      </c>
      <c r="P50" s="20" t="n">
        <v>87.304</v>
      </c>
      <c r="Q50" s="20" t="n">
        <v>302.481</v>
      </c>
      <c r="R50" s="20" t="n">
        <v>275.951</v>
      </c>
      <c r="S50" s="20" t="n">
        <v>182.22</v>
      </c>
      <c r="T50" s="20" t="n">
        <v>199.55</v>
      </c>
      <c r="U50" s="20" t="n">
        <v>175.185</v>
      </c>
      <c r="V50" s="20" t="n">
        <v>231.025</v>
      </c>
      <c r="W50" s="20" t="n">
        <v>391.988</v>
      </c>
      <c r="X50" s="20" t="n">
        <v>463.226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1148.456</v>
      </c>
      <c r="D52" s="12" t="n">
        <v>685.816</v>
      </c>
      <c r="E52" s="12" t="n">
        <v>1342.439</v>
      </c>
      <c r="F52" s="12" t="n">
        <v>1135.898</v>
      </c>
      <c r="G52" s="12" t="n">
        <v>1090.326</v>
      </c>
      <c r="H52" s="12" t="n">
        <v>1002.951</v>
      </c>
      <c r="I52" s="12" t="n">
        <v>1524.399</v>
      </c>
      <c r="J52" s="12" t="n">
        <v>1426.002</v>
      </c>
      <c r="K52" s="12" t="n">
        <v>1258.725</v>
      </c>
      <c r="L52" s="12" t="n">
        <v>1031.172</v>
      </c>
      <c r="M52" s="12" t="n">
        <v>1423.539</v>
      </c>
      <c r="N52" s="12" t="n">
        <v>1958.697</v>
      </c>
      <c r="O52" s="11" t="n">
        <v>1902.41</v>
      </c>
      <c r="P52" s="12" t="n">
        <v>2322.283</v>
      </c>
      <c r="Q52" s="12" t="n">
        <v>2267.614</v>
      </c>
      <c r="R52" s="12" t="n">
        <v>-2860.693</v>
      </c>
      <c r="S52" s="12" t="n">
        <v>3284.955</v>
      </c>
      <c r="T52" s="12" t="n">
        <v>4519.484</v>
      </c>
      <c r="U52" s="12" t="n">
        <v>3862.108</v>
      </c>
      <c r="V52" s="12" t="n">
        <v>4070.781</v>
      </c>
      <c r="W52" s="12" t="n">
        <v>4571.614</v>
      </c>
      <c r="X52" s="12" t="n">
        <v>5240.298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8" t="inlineStr">
        <is>
          <t>법인세비용(수익)</t>
        </is>
      </c>
      <c r="B53" s="10" t="n"/>
      <c r="C53" s="19" t="n">
        <v>353.938</v>
      </c>
      <c r="D53" s="20" t="n">
        <v>202.942</v>
      </c>
      <c r="E53" s="20" t="n">
        <v>439.618</v>
      </c>
      <c r="F53" s="20" t="n">
        <v>351.821</v>
      </c>
      <c r="G53" s="20" t="n">
        <v>282.421</v>
      </c>
      <c r="H53" s="20" t="n">
        <v>296.813</v>
      </c>
      <c r="I53" s="20" t="n">
        <v>411.982</v>
      </c>
      <c r="J53" s="20" t="n">
        <v>463.127</v>
      </c>
      <c r="K53" s="20" t="n">
        <v>393.359</v>
      </c>
      <c r="L53" s="20" t="n">
        <v>267.097</v>
      </c>
      <c r="M53" s="20" t="n">
        <v>417.392</v>
      </c>
      <c r="N53" s="20" t="n">
        <v>604.8339999999999</v>
      </c>
      <c r="O53" s="19" t="n">
        <v>760.101</v>
      </c>
      <c r="P53" s="20" t="n">
        <v>775.25</v>
      </c>
      <c r="Q53" s="20" t="n">
        <v>457.146</v>
      </c>
      <c r="R53" s="20" t="n">
        <v>-1107.362</v>
      </c>
      <c r="S53" s="20" t="n">
        <v>1059.903</v>
      </c>
      <c r="T53" s="20" t="n">
        <v>1347.806</v>
      </c>
      <c r="U53" s="20" t="n">
        <v>978.746</v>
      </c>
      <c r="V53" s="20" t="n">
        <v>1249.341</v>
      </c>
      <c r="W53" s="20" t="n">
        <v>1370.673</v>
      </c>
      <c r="X53" s="20" t="n">
        <v>1535.565</v>
      </c>
      <c r="Y53" s="19">
        <f>IF(OR(Y52="",Y54=""),"",IFERROR(MAX(Y52,0)*Y54,""))</f>
        <v/>
      </c>
      <c r="Z53" s="20">
        <f>IF(OR(Z52="",Z54=""),"",IFERROR(MAX(Z52,0)*Z54,""))</f>
        <v/>
      </c>
      <c r="AA53" s="20">
        <f>IF(OR(AA52="",AA54=""),"",IFERROR(MAX(AA52,0)*AA54,""))</f>
        <v/>
      </c>
      <c r="AB53" s="20">
        <f>IF(OR(AB52="",AB54=""),"",IFERROR(MAX(AB52,0)*AB54,""))</f>
        <v/>
      </c>
      <c r="AC53" s="20">
        <f>IF(OR(AC52="",AC54=""),"",IFERROR(MAX(AC52,0)*AC54,""))</f>
        <v/>
      </c>
    </row>
    <row r="54">
      <c r="A54" s="13" t="inlineStr">
        <is>
          <t>법인세율</t>
        </is>
      </c>
      <c r="B54" s="10" t="inlineStr">
        <is>
          <t>MW 기본 30%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0.3</v>
      </c>
      <c r="Z54" s="26" t="n">
        <v>0.3</v>
      </c>
      <c r="AA54" s="26" t="n">
        <v>0.3</v>
      </c>
      <c r="AB54" s="26" t="n">
        <v>0.3</v>
      </c>
      <c r="AC54" s="26" t="n">
        <v>0.3</v>
      </c>
    </row>
    <row r="55">
      <c r="A55" s="9" t="inlineStr">
        <is>
          <t>당기순이익(손실)</t>
        </is>
      </c>
      <c r="B55" s="10" t="n"/>
      <c r="C55" s="11" t="n">
        <v>794.518</v>
      </c>
      <c r="D55" s="12" t="n">
        <v>482.873</v>
      </c>
      <c r="E55" s="12" t="n">
        <v>902.821</v>
      </c>
      <c r="F55" s="12" t="n">
        <v>784.076</v>
      </c>
      <c r="G55" s="12" t="n">
        <v>807.905</v>
      </c>
      <c r="H55" s="12" t="n">
        <v>706.139</v>
      </c>
      <c r="I55" s="12" t="n">
        <v>1112.416</v>
      </c>
      <c r="J55" s="12" t="n">
        <v>962.875</v>
      </c>
      <c r="K55" s="12" t="n">
        <v>865.367</v>
      </c>
      <c r="L55" s="12" t="n">
        <v>764.075</v>
      </c>
      <c r="M55" s="12" t="n">
        <v>1006.147</v>
      </c>
      <c r="N55" s="12" t="n">
        <v>1353.862</v>
      </c>
      <c r="O55" s="11" t="n">
        <v>1142.308</v>
      </c>
      <c r="P55" s="12" t="n">
        <v>1547.033</v>
      </c>
      <c r="Q55" s="12" t="n">
        <v>1810.467</v>
      </c>
      <c r="R55" s="12" t="n">
        <v>-1753.331</v>
      </c>
      <c r="S55" s="12" t="n">
        <v>2225.051</v>
      </c>
      <c r="T55" s="12" t="n">
        <v>3171.678</v>
      </c>
      <c r="U55" s="12" t="n">
        <v>2883.362</v>
      </c>
      <c r="V55" s="12" t="n">
        <v>2821.439</v>
      </c>
      <c r="W55" s="12" t="n">
        <v>3200.941</v>
      </c>
      <c r="X55" s="12" t="n">
        <v>3704.733</v>
      </c>
      <c r="Y55" s="11">
        <f>IF(OR(Y52=""),"",IFERROR(Y52-Y53,""))</f>
        <v/>
      </c>
      <c r="Z55" s="12">
        <f>IF(OR(Z52=""),"",IFERROR(Z52-Z53,""))</f>
        <v/>
      </c>
      <c r="AA55" s="12">
        <f>IF(OR(AA52=""),"",IFERROR(AA52-AA53,""))</f>
        <v/>
      </c>
      <c r="AB55" s="12">
        <f>IF(OR(AB52=""),"",IFERROR(AB52-AB53,""))</f>
        <v/>
      </c>
      <c r="AC55" s="12">
        <f>IF(OR(AC52=""),"",IFERROR(AC52-AC53,""))</f>
        <v/>
      </c>
    </row>
    <row r="56">
      <c r="A56" s="9" t="inlineStr">
        <is>
          <t>지배주주 순이익</t>
        </is>
      </c>
      <c r="B56" s="10" t="n"/>
      <c r="C56" s="11" t="n">
        <v>794.518</v>
      </c>
      <c r="D56" s="12" t="n">
        <v>482.873</v>
      </c>
      <c r="E56" s="12" t="n">
        <v>902.821</v>
      </c>
      <c r="F56" s="12" t="n">
        <v>784.076</v>
      </c>
      <c r="G56" s="12" t="n">
        <v>807.905</v>
      </c>
      <c r="H56" s="12" t="n">
        <v>706.139</v>
      </c>
      <c r="I56" s="12" t="n">
        <v>1112.416</v>
      </c>
      <c r="J56" s="12" t="n">
        <v>962.875</v>
      </c>
      <c r="K56" s="12" t="n">
        <v>865.367</v>
      </c>
      <c r="L56" s="12" t="n">
        <v>764.075</v>
      </c>
      <c r="M56" s="12" t="n">
        <v>1006.147</v>
      </c>
      <c r="N56" s="12" t="n">
        <v>1353.862</v>
      </c>
      <c r="O56" s="11" t="n">
        <v>1142.308</v>
      </c>
      <c r="P56" s="12" t="n">
        <v>1547.033</v>
      </c>
      <c r="Q56" s="12" t="n">
        <v>1810.467</v>
      </c>
      <c r="R56" s="12" t="n">
        <v>-1753.331</v>
      </c>
      <c r="S56" s="12" t="n">
        <v>2225.051</v>
      </c>
      <c r="T56" s="12" t="n">
        <v>3171.678</v>
      </c>
      <c r="U56" s="12" t="n">
        <v>2883.362</v>
      </c>
      <c r="V56" s="12" t="n">
        <v>2821.439</v>
      </c>
      <c r="W56" s="12" t="n">
        <v>3200.941</v>
      </c>
      <c r="X56" s="12" t="n">
        <v>3704.733</v>
      </c>
      <c r="Y56" s="11">
        <f>IF(OR(Y55="",Y57=""),"",IFERROR(Y55*Y57,""))</f>
        <v/>
      </c>
      <c r="Z56" s="12">
        <f>IF(OR(Z55="",Z57=""),"",IFERROR(Z55*Z57,""))</f>
        <v/>
      </c>
      <c r="AA56" s="12">
        <f>IF(OR(AA55="",AA57=""),"",IFERROR(AA55*AA57,""))</f>
        <v/>
      </c>
      <c r="AB56" s="12">
        <f>IF(OR(AB55="",AB57=""),"",IFERROR(AB55*AB57,""))</f>
        <v/>
      </c>
      <c r="AC56" s="12">
        <f>IF(OR(AC55="",AC57=""),"",IFERROR(AC55*AC57,""))</f>
        <v/>
      </c>
    </row>
    <row r="57">
      <c r="A57" s="13" t="inlineStr">
        <is>
          <t>지배주주 순이익률</t>
        </is>
      </c>
      <c r="B57" s="10" t="inlineStr">
        <is>
          <t>MW 기본 100%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1</v>
      </c>
      <c r="Z57" s="26" t="n">
        <v>1</v>
      </c>
      <c r="AA57" s="26" t="n">
        <v>1</v>
      </c>
      <c r="AB57" s="26" t="n">
        <v>1</v>
      </c>
      <c r="AC57" s="26" t="n">
        <v>1</v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(2026.10.26)</t>
        </is>
      </c>
      <c r="B59" s="27" t="n">
        <v>850</v>
      </c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>
        <v>51763600</v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IF(O29="","",O29)</f>
        <v/>
      </c>
      <c r="P62" s="15">
        <f>IF(P29="","",P29)</f>
        <v/>
      </c>
      <c r="Q62" s="15">
        <f>IF(Q29="","",Q29)</f>
        <v/>
      </c>
      <c r="R62" s="15">
        <f>IF(R29="","",R29)</f>
        <v/>
      </c>
      <c r="S62" s="15">
        <f>IF(S29="","",S29)</f>
        <v/>
      </c>
      <c r="T62" s="15">
        <f>IF(T29="","",T29)</f>
        <v/>
      </c>
      <c r="U62" s="15">
        <f>IF(U29="","",U29)</f>
        <v/>
      </c>
      <c r="V62" s="15">
        <f>IF(V29="","",V29)</f>
        <v/>
      </c>
      <c r="W62" s="15">
        <f>IF(W29="","",W29)</f>
        <v/>
      </c>
      <c r="X62" s="15">
        <f>IF(X29="","",X29)</f>
        <v/>
      </c>
      <c r="Y62" s="14">
        <f>IF(Y29="","",Y29)</f>
        <v/>
      </c>
      <c r="Z62" s="15">
        <f>IF(Z29="","",Z29)</f>
        <v/>
      </c>
      <c r="AA62" s="15">
        <f>IF(AA29="","",AA29)</f>
        <v/>
      </c>
      <c r="AB62" s="15">
        <f>IF(AB29="","",AB29)</f>
        <v/>
      </c>
      <c r="AC62" s="15">
        <f>IF(AC29="","",AC29)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IF(OR(P56="",O56=""),"",IFERROR(P56/O56-1,""))</f>
        <v/>
      </c>
      <c r="Q63" s="15">
        <f>IF(OR(Q56="",P56=""),"",IFERROR(Q56/P56-1,""))</f>
        <v/>
      </c>
      <c r="R63" s="15">
        <f>IF(OR(R56="",Q56=""),"",IFERROR(R56/Q56-1,""))</f>
        <v/>
      </c>
      <c r="S63" s="15">
        <f>IF(OR(S56="",R56=""),"",IFERROR(S56/R56-1,""))</f>
        <v/>
      </c>
      <c r="T63" s="15">
        <f>IF(OR(T56="",S56=""),"",IFERROR(T56/S56-1,""))</f>
        <v/>
      </c>
      <c r="U63" s="15">
        <f>IF(OR(U56="",T56=""),"",IFERROR(U56/T56-1,""))</f>
        <v/>
      </c>
      <c r="V63" s="15">
        <f>IF(OR(V56="",U56=""),"",IFERROR(V56/U56-1,""))</f>
        <v/>
      </c>
      <c r="W63" s="15">
        <f>IF(OR(W56="",V56=""),"",IFERROR(W56/V56-1,""))</f>
        <v/>
      </c>
      <c r="X63" s="15">
        <f>IF(OR(X56="",W56=""),"",IFERROR(X56/W56-1,""))</f>
        <v/>
      </c>
      <c r="Y63" s="14">
        <f>IF(OR(Y56="",X56=""),"",IFERROR(Y56/X56-1,""))</f>
        <v/>
      </c>
      <c r="Z63" s="15">
        <f>IF(OR(Z56="",Y56=""),"",IFERROR(Z56/Y56-1,""))</f>
        <v/>
      </c>
      <c r="AA63" s="15">
        <f>IF(OR(AA56="",Z56=""),"",IFERROR(AA56/Z56-1,""))</f>
        <v/>
      </c>
      <c r="AB63" s="15">
        <f>IF(OR(AB56="",AA56=""),"",IFERROR(AB56/AA56-1,""))</f>
        <v/>
      </c>
      <c r="AC63" s="15">
        <f>IF(OR(AC56="",AB56=""),"",IFERROR(AC56/AB56-1,""))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IF(OR($B$61="",X56=""),"",IFERROR($B$61/X56,""))</f>
        <v/>
      </c>
      <c r="Y64" s="30">
        <f>IF(OR($B$61="",Y56=""),"",IFERROR($B$61/Y56,""))</f>
        <v/>
      </c>
      <c r="Z64" s="31">
        <f>IF(OR($B$61="",Z56=""),"",IFERROR($B$61/Z56,""))</f>
        <v/>
      </c>
      <c r="AA64" s="31">
        <f>IF(OR($B$61="",AA56=""),"",IFERROR($B$61/AA56,""))</f>
        <v/>
      </c>
      <c r="AB64" s="31">
        <f>IF(OR($B$61="",AB56=""),"",IFERROR($B$61/AB56,""))</f>
        <v/>
      </c>
      <c r="AC64" s="31">
        <f>IF(OR($B$61="",AC56=""),"",IFERROR($B$61/AC56,""))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IF(OR(O56="",$B$60=""),"",IFERROR(O56*1000000.0/$B$60,""))</f>
        <v/>
      </c>
      <c r="P66" s="29">
        <f>IF(OR(P56="",$B$60=""),"",IFERROR(P56*1000000.0/$B$60,""))</f>
        <v/>
      </c>
      <c r="Q66" s="29">
        <f>IF(OR(Q56="",$B$60=""),"",IFERROR(Q56*1000000.0/$B$60,""))</f>
        <v/>
      </c>
      <c r="R66" s="29">
        <f>IF(OR(R56="",$B$60=""),"",IFERROR(R56*1000000.0/$B$60,""))</f>
        <v/>
      </c>
      <c r="S66" s="29">
        <f>IF(OR(S56="",$B$60=""),"",IFERROR(S56*1000000.0/$B$60,""))</f>
        <v/>
      </c>
      <c r="T66" s="29">
        <f>IF(OR(T56="",$B$60=""),"",IFERROR(T56*1000000.0/$B$60,""))</f>
        <v/>
      </c>
      <c r="U66" s="29">
        <f>IF(OR(U56="",$B$60=""),"",IFERROR(U56*1000000.0/$B$60,""))</f>
        <v/>
      </c>
      <c r="V66" s="29">
        <f>IF(OR(V56="",$B$60=""),"",IFERROR(V56*1000000.0/$B$60,""))</f>
        <v/>
      </c>
      <c r="W66" s="29">
        <f>IF(OR(W56="",$B$60=""),"",IFERROR(W56*1000000.0/$B$60,""))</f>
        <v/>
      </c>
      <c r="X66" s="29">
        <f>IF(OR(X56="",$B$60=""),"",IFERROR(X56*1000000.0/$B$60,""))</f>
        <v/>
      </c>
      <c r="Y66" s="28">
        <f>IF(OR(Y56="",$B$60=""),"",IFERROR(Y56*1000000.0/$B$60,""))</f>
        <v/>
      </c>
      <c r="Z66" s="29">
        <f>IF(OR(Z56="",$B$60=""),"",IFERROR(Z56*1000000.0/$B$60,""))</f>
        <v/>
      </c>
      <c r="AA66" s="29">
        <f>IF(OR(AA56="",$B$60=""),"",IFERROR(AA56*1000000.0/$B$60,""))</f>
        <v/>
      </c>
      <c r="AB66" s="29">
        <f>IF(OR(AB56="",$B$60=""),"",IFERROR(AB56*1000000.0/$B$60,""))</f>
        <v/>
      </c>
      <c r="AC66" s="29">
        <f>IF(OR(AC56="",$B$60=""),"",IFERROR(AC56*1000000.0/$B$60,""))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IF(OR(Y56="",Y65=""),"",IFERROR(Y56*Y65,""))</f>
        <v/>
      </c>
      <c r="Z78" s="20">
        <f>IF(OR(Z56="",Z65=""),"",IFERROR(Z56*Z65,""))</f>
        <v/>
      </c>
      <c r="AA78" s="20">
        <f>IF(OR(AA56="",AA65=""),"",IFERROR(AA56*AA65,""))</f>
        <v/>
      </c>
      <c r="AB78" s="20">
        <f>IF(OR(AB56="",AB65=""),"",IFERROR(AB56*AB65,""))</f>
        <v/>
      </c>
      <c r="AC78" s="20">
        <f>IF(OR(AC56="",AC65=""),"",IFERROR(AC56*AC65,""))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 2026.10.26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2023.3Q</t>
        </is>
      </c>
      <c r="D89" s="5" t="inlineStr">
        <is>
          <t>2023.4Q</t>
        </is>
      </c>
      <c r="E89" s="5" t="inlineStr">
        <is>
          <t>2024.1Q</t>
        </is>
      </c>
      <c r="F89" s="5" t="inlineStr">
        <is>
          <t>2024.2Q</t>
        </is>
      </c>
      <c r="G89" s="5" t="inlineStr">
        <is>
          <t>2024.3Q</t>
        </is>
      </c>
      <c r="H89" s="5" t="inlineStr">
        <is>
          <t>2024.4Q</t>
        </is>
      </c>
      <c r="I89" s="5" t="inlineStr">
        <is>
          <t>2025.1Q</t>
        </is>
      </c>
      <c r="J89" s="5" t="inlineStr">
        <is>
          <t>2025.2Q</t>
        </is>
      </c>
      <c r="K89" s="5" t="inlineStr">
        <is>
          <t>2025.3Q</t>
        </is>
      </c>
      <c r="L89" s="5" t="inlineStr">
        <is>
          <t>2025.4Q</t>
        </is>
      </c>
      <c r="M89" s="5" t="inlineStr">
        <is>
          <t>2026.1Q</t>
        </is>
      </c>
      <c r="N89" s="5" t="inlineStr">
        <is>
          <t>2026.2Q</t>
        </is>
      </c>
      <c r="O89" s="5" t="inlineStr">
        <is>
          <t>2016</t>
        </is>
      </c>
      <c r="P89" s="5" t="inlineStr">
        <is>
          <t>2017</t>
        </is>
      </c>
      <c r="Q89" s="5" t="inlineStr">
        <is>
          <t>2018</t>
        </is>
      </c>
      <c r="R89" s="5" t="inlineStr">
        <is>
          <t>2019</t>
        </is>
      </c>
      <c r="S89" s="5" t="inlineStr">
        <is>
          <t>2020</t>
        </is>
      </c>
      <c r="T89" s="5" t="inlineStr">
        <is>
          <t>2021</t>
        </is>
      </c>
      <c r="U89" s="5" t="inlineStr">
        <is>
          <t>2022</t>
        </is>
      </c>
      <c r="V89" s="5" t="inlineStr">
        <is>
          <t>2023</t>
        </is>
      </c>
      <c r="W89" s="5" t="inlineStr">
        <is>
          <t>2024</t>
        </is>
      </c>
      <c r="X89" s="5" t="inlineStr">
        <is>
          <t>2025</t>
        </is>
      </c>
      <c r="Y89" s="5" t="inlineStr">
        <is>
          <t>2026(MW)</t>
        </is>
      </c>
      <c r="Z89" s="5" t="inlineStr">
        <is>
          <t>2027(MW)</t>
        </is>
      </c>
      <c r="AA89" s="5" t="inlineStr">
        <is>
          <t>2028(MW)</t>
        </is>
      </c>
      <c r="AB89" s="5" t="inlineStr">
        <is>
          <t>2029(MW)</t>
        </is>
      </c>
      <c r="AC89" s="5" t="inlineStr">
        <is>
          <t>2030(MW)</t>
        </is>
      </c>
    </row>
    <row r="90">
      <c r="A90" s="9" t="inlineStr">
        <is>
          <t>매출액</t>
        </is>
      </c>
      <c r="C90" s="12" t="n">
        <v>5911.981</v>
      </c>
      <c r="D90" s="12" t="n">
        <v>5367.463</v>
      </c>
      <c r="E90" s="12" t="n">
        <v>6883.648</v>
      </c>
      <c r="F90" s="12" t="n">
        <v>6026.927</v>
      </c>
      <c r="G90" s="12" t="n">
        <v>6386.216</v>
      </c>
      <c r="H90" s="12" t="n">
        <v>5399.003</v>
      </c>
      <c r="I90" s="12" t="n">
        <v>7521.879</v>
      </c>
      <c r="J90" s="12" t="n">
        <v>6545.25</v>
      </c>
      <c r="K90" s="12" t="n">
        <v>6667.326</v>
      </c>
      <c r="L90" s="12" t="n">
        <v>5683.752</v>
      </c>
      <c r="M90" s="12" t="n">
        <v>7144.064</v>
      </c>
      <c r="N90" s="12" t="n">
        <v>9193.957</v>
      </c>
      <c r="T90" s="12" t="n">
        <v>5293.035</v>
      </c>
      <c r="U90" s="12" t="n">
        <v>5046.14</v>
      </c>
      <c r="V90" s="12" t="n">
        <v>5367.463</v>
      </c>
      <c r="W90" s="12" t="n">
        <v>5399.003</v>
      </c>
      <c r="X90" s="12" t="n">
        <v>5683.752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T91" s="15">
        <f>IF(OR(T90="",S90=""),"",IF(S90&lt;=0,"",IFERROR(T90/S90-1,"")))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매출원가</t>
        </is>
      </c>
      <c r="C92" s="20" t="n">
        <v>3941.614</v>
      </c>
      <c r="D92" s="20" t="n">
        <v>3744.135</v>
      </c>
      <c r="E92" s="20" t="n">
        <v>4514.326</v>
      </c>
      <c r="F92" s="20" t="n">
        <v>3955.42</v>
      </c>
      <c r="G92" s="20" t="n">
        <v>4073.786</v>
      </c>
      <c r="H92" s="20" t="n">
        <v>3382.979</v>
      </c>
      <c r="I92" s="20" t="n">
        <v>5036.503</v>
      </c>
      <c r="J92" s="20" t="n">
        <v>4132.003</v>
      </c>
      <c r="K92" s="20" t="n">
        <v>4120.877</v>
      </c>
      <c r="L92" s="20" t="n">
        <v>3586.471</v>
      </c>
      <c r="M92" s="20" t="n">
        <v>4578.288</v>
      </c>
      <c r="N92" s="20" t="n">
        <v>5881.341</v>
      </c>
      <c r="T92" s="20" t="n">
        <v>3795.969</v>
      </c>
      <c r="U92" s="20" t="n">
        <v>3381.781</v>
      </c>
      <c r="V92" s="20" t="n">
        <v>3744.135</v>
      </c>
      <c r="W92" s="20" t="n">
        <v>3382.979</v>
      </c>
      <c r="X92" s="20" t="n">
        <v>3586.471</v>
      </c>
    </row>
    <row r="93">
      <c r="A93" s="9" t="inlineStr">
        <is>
          <t>매출총이익</t>
        </is>
      </c>
      <c r="C93" s="12" t="n">
        <v>1970.367</v>
      </c>
      <c r="D93" s="12" t="n">
        <v>1623.329</v>
      </c>
      <c r="E93" s="12" t="n">
        <v>2369.322</v>
      </c>
      <c r="F93" s="12" t="n">
        <v>2071.507</v>
      </c>
      <c r="G93" s="12" t="n">
        <v>2312.429</v>
      </c>
      <c r="H93" s="12" t="n">
        <v>2016.024</v>
      </c>
      <c r="I93" s="12" t="n">
        <v>2485.375</v>
      </c>
      <c r="J93" s="12" t="n">
        <v>2413.248</v>
      </c>
      <c r="K93" s="12" t="n">
        <v>2546.449</v>
      </c>
      <c r="L93" s="12" t="n">
        <v>2097.281</v>
      </c>
      <c r="M93" s="12" t="n">
        <v>2565.776</v>
      </c>
      <c r="N93" s="12" t="n">
        <v>3312.615</v>
      </c>
      <c r="T93" s="12" t="n">
        <v>1497.066</v>
      </c>
      <c r="U93" s="12" t="n">
        <v>1664.359</v>
      </c>
      <c r="V93" s="12" t="n">
        <v>1623.329</v>
      </c>
      <c r="W93" s="12" t="n">
        <v>2016.024</v>
      </c>
      <c r="X93" s="12" t="n">
        <v>2097.281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판매비와 관리비</t>
        </is>
      </c>
      <c r="C95" s="20" t="n">
        <v>822.909</v>
      </c>
      <c r="D95" s="20" t="n">
        <v>823.751</v>
      </c>
      <c r="E95" s="20" t="n">
        <v>963.9400000000001</v>
      </c>
      <c r="F95" s="20" t="n">
        <v>929.651</v>
      </c>
      <c r="G95" s="20" t="n">
        <v>1077.883</v>
      </c>
      <c r="H95" s="20" t="n">
        <v>891.057</v>
      </c>
      <c r="I95" s="20" t="n">
        <v>921.7</v>
      </c>
      <c r="J95" s="20" t="n">
        <v>954.6660000000001</v>
      </c>
      <c r="K95" s="20" t="n">
        <v>1193.72</v>
      </c>
      <c r="L95" s="20" t="n">
        <v>1002.107</v>
      </c>
      <c r="M95" s="20" t="n">
        <v>994.653</v>
      </c>
      <c r="N95" s="20" t="n">
        <v>1275.789</v>
      </c>
      <c r="T95" s="20" t="n">
        <v>821.794</v>
      </c>
      <c r="U95" s="20" t="n">
        <v>749.784</v>
      </c>
      <c r="V95" s="20" t="n">
        <v>823.751</v>
      </c>
      <c r="W95" s="20" t="n">
        <v>891.057</v>
      </c>
      <c r="X95" s="20" t="n">
        <v>1002.107</v>
      </c>
    </row>
    <row r="96">
      <c r="A96" s="9" t="inlineStr">
        <is>
          <t>영업이익</t>
        </is>
      </c>
      <c r="C96" s="12" t="n">
        <v>1147.458</v>
      </c>
      <c r="D96" s="12" t="n">
        <v>799.578</v>
      </c>
      <c r="E96" s="12" t="n">
        <v>1405.381</v>
      </c>
      <c r="F96" s="12" t="n">
        <v>1141.856</v>
      </c>
      <c r="G96" s="12" t="n">
        <v>1234.546</v>
      </c>
      <c r="H96" s="12" t="n">
        <v>1124.967</v>
      </c>
      <c r="I96" s="12" t="n">
        <v>1563.675</v>
      </c>
      <c r="J96" s="12" t="n">
        <v>1458.581</v>
      </c>
      <c r="K96" s="12" t="n">
        <v>1352.729</v>
      </c>
      <c r="L96" s="12" t="n">
        <v>1095.175</v>
      </c>
      <c r="M96" s="12" t="n">
        <v>1571.122</v>
      </c>
      <c r="N96" s="12" t="n">
        <v>2036.827</v>
      </c>
      <c r="T96" s="12" t="n">
        <v>675.273</v>
      </c>
      <c r="U96" s="12" t="n">
        <v>914.575</v>
      </c>
      <c r="V96" s="12" t="n">
        <v>799.578</v>
      </c>
      <c r="W96" s="12" t="n">
        <v>1124.967</v>
      </c>
      <c r="X96" s="12" t="n">
        <v>1095.175</v>
      </c>
    </row>
    <row r="97">
      <c r="A97" s="43" t="inlineStr">
        <is>
          <t>OPM</t>
        </is>
      </c>
      <c r="B97" s="3" t="inlineStr">
        <is>
          <t>영업이익 ÷ 매출</t>
        </is>
      </c>
      <c r="C97" s="15">
        <f>IF(OR(C96="",C90=""),"",IF(C90&lt;=0,"",IFERROR(C96/C90,"")))</f>
        <v/>
      </c>
      <c r="D97" s="15">
        <f>IF(OR(D96="",D90=""),"",IF(D90&lt;=0,"",IFERROR(D96/D90,"")))</f>
        <v/>
      </c>
      <c r="E97" s="15">
        <f>IF(OR(E96="",E90=""),"",IF(E90&lt;=0,"",IFERROR(E96/E90,"")))</f>
        <v/>
      </c>
      <c r="F97" s="15">
        <f>IF(OR(F96="",F90=""),"",IF(F90&lt;=0,"",IFERROR(F96/F90,"")))</f>
        <v/>
      </c>
      <c r="G97" s="15">
        <f>IF(OR(G96="",G90=""),"",IF(G90&lt;=0,"",IFERROR(G96/G90,"")))</f>
        <v/>
      </c>
      <c r="H97" s="15">
        <f>IF(OR(H96="",H90=""),"",IF(H90&lt;=0,"",IFERROR(H96/H90,"")))</f>
        <v/>
      </c>
      <c r="I97" s="15">
        <f>IF(OR(I96="",I90=""),"",IF(I90&lt;=0,"",IFERROR(I96/I90,"")))</f>
        <v/>
      </c>
      <c r="J97" s="15">
        <f>IF(OR(J96="",J90=""),"",IF(J90&lt;=0,"",IFERROR(J96/J90,"")))</f>
        <v/>
      </c>
      <c r="K97" s="15">
        <f>IF(OR(K96="",K90=""),"",IF(K90&lt;=0,"",IFERROR(K96/K90,"")))</f>
        <v/>
      </c>
      <c r="L97" s="15">
        <f>IF(OR(L96="",L90=""),"",IF(L90&lt;=0,"",IFERROR(L96/L90,"")))</f>
        <v/>
      </c>
      <c r="M97" s="15">
        <f>IF(OR(M96="",M90=""),"",IF(M90&lt;=0,"",IFERROR(M96/M90,"")))</f>
        <v/>
      </c>
      <c r="N97" s="15">
        <f>IF(OR(N96="",N90=""),"",IF(N90&lt;=0,"",IFERROR(N96/N90,"")))</f>
        <v/>
      </c>
      <c r="T97" s="15">
        <f>IF(OR(T96="",T90=""),"",IF(T90&lt;=0,"",IFERROR(T96/T90,"")))</f>
        <v/>
      </c>
      <c r="U97" s="15">
        <f>IF(OR(U96="",U90=""),"",IF(U90&lt;=0,"",IFERROR(U96/U90,"")))</f>
        <v/>
      </c>
      <c r="V97" s="15">
        <f>IF(OR(V96="",V90=""),"",IF(V90&lt;=0,"",IFERROR(V96/V90,"")))</f>
        <v/>
      </c>
      <c r="W97" s="15">
        <f>IF(OR(W96="",W90=""),"",IF(W90&lt;=0,"",IFERROR(W96/W90,"")))</f>
        <v/>
      </c>
      <c r="X97" s="15">
        <f>IF(OR(X96="",X90=""),"",IF(X90&lt;=0,"",IFERROR(X96/X90,"")))</f>
        <v/>
      </c>
    </row>
    <row r="98">
      <c r="A98" s="43" t="inlineStr">
        <is>
          <t>YoY</t>
        </is>
      </c>
      <c r="B98" s="3" t="inlineStr">
        <is>
          <t>전년 같은 분기·전년 대비</t>
        </is>
      </c>
      <c r="G98" s="15">
        <f>IF(OR(G96="",C96=""),"",IF(C96&lt;=0,"",IFERROR(G96/C96-1,"")))</f>
        <v/>
      </c>
      <c r="H98" s="15">
        <f>IF(OR(H96="",D96=""),"",IF(D96&lt;=0,"",IFERROR(H96/D96-1,"")))</f>
        <v/>
      </c>
      <c r="I98" s="15">
        <f>IF(OR(I96="",E96=""),"",IF(E96&lt;=0,"",IFERROR(I96/E96-1,"")))</f>
        <v/>
      </c>
      <c r="J98" s="15">
        <f>IF(OR(J96="",F96=""),"",IF(F96&lt;=0,"",IFERROR(J96/F96-1,"")))</f>
        <v/>
      </c>
      <c r="K98" s="15">
        <f>IF(OR(K96="",G96=""),"",IF(G96&lt;=0,"",IFERROR(K96/G96-1,"")))</f>
        <v/>
      </c>
      <c r="L98" s="15">
        <f>IF(OR(L96="",H96=""),"",IF(H96&lt;=0,"",IFERROR(L96/H96-1,"")))</f>
        <v/>
      </c>
      <c r="M98" s="15">
        <f>IF(OR(M96="",I96=""),"",IF(I96&lt;=0,"",IFERROR(M96/I96-1,"")))</f>
        <v/>
      </c>
      <c r="N98" s="15">
        <f>IF(OR(N96="",J96=""),"",IF(J96&lt;=0,"",IFERROR(N96/J96-1,"")))</f>
        <v/>
      </c>
      <c r="T98" s="15">
        <f>IF(OR(T96="",S96=""),"",IF(S96&lt;=0,"",IFERROR(T96/S96-1,"")))</f>
        <v/>
      </c>
      <c r="U98" s="15">
        <f>IF(OR(U96="",T96=""),"",IF(T96&lt;=0,"",IFERROR(U96/T96-1,"")))</f>
        <v/>
      </c>
      <c r="V98" s="15">
        <f>IF(OR(V96="",U96=""),"",IF(U96&lt;=0,"",IFERROR(V96/U96-1,"")))</f>
        <v/>
      </c>
      <c r="W98" s="15">
        <f>IF(OR(W96="",V96=""),"",IF(V96&lt;=0,"",IFERROR(W96/V96-1,"")))</f>
        <v/>
      </c>
      <c r="X98" s="15">
        <f>IF(OR(X96="",W96=""),"",IF(W96&lt;=0,"",IFERROR(X96/W96-1,"")))</f>
        <v/>
      </c>
    </row>
    <row r="99">
      <c r="A99" s="18" t="inlineStr">
        <is>
          <t>이자수익</t>
        </is>
      </c>
      <c r="C99" s="20" t="n">
        <v>0.016</v>
      </c>
      <c r="D99" s="20" t="n">
        <v>0</v>
      </c>
      <c r="E99" s="20" t="n">
        <v>0.02</v>
      </c>
      <c r="F99" s="20" t="n">
        <v>0.006</v>
      </c>
      <c r="G99" s="20" t="n">
        <v>0.061</v>
      </c>
      <c r="H99" s="20" t="n">
        <v>0.067</v>
      </c>
      <c r="I99" s="20" t="n">
        <v>0.012</v>
      </c>
      <c r="J99" s="20" t="n">
        <v>0.005</v>
      </c>
      <c r="K99" s="20" t="n">
        <v>0.01</v>
      </c>
      <c r="L99" s="20" t="n">
        <v>0.008</v>
      </c>
      <c r="M99" s="20" t="n">
        <v>0.012</v>
      </c>
      <c r="N99" s="20" t="n">
        <v>0.007</v>
      </c>
      <c r="T99" s="20" t="n">
        <v>1.829</v>
      </c>
      <c r="U99" s="20" t="n">
        <v>0</v>
      </c>
      <c r="V99" s="20" t="n">
        <v>0</v>
      </c>
      <c r="W99" s="20" t="n">
        <v>0.067</v>
      </c>
      <c r="X99" s="20" t="n">
        <v>0.008</v>
      </c>
    </row>
    <row r="100">
      <c r="A100" s="18" t="inlineStr">
        <is>
          <t>Late Charges</t>
        </is>
      </c>
      <c r="C100" s="20" t="n">
        <v>0.547</v>
      </c>
      <c r="D100" s="20" t="n">
        <v>0.608</v>
      </c>
      <c r="E100" s="20" t="n">
        <v>0.739</v>
      </c>
      <c r="F100" s="20" t="n">
        <v>0.967</v>
      </c>
      <c r="G100" s="20" t="n">
        <v>1.108</v>
      </c>
      <c r="H100" s="20" t="n">
        <v>1.083</v>
      </c>
      <c r="I100" s="20" t="n">
        <v>1.258</v>
      </c>
      <c r="J100" s="20" t="n">
        <v>1.066</v>
      </c>
      <c r="K100" s="20" t="n">
        <v>0.747</v>
      </c>
      <c r="L100" s="20" t="n">
        <v>0.975</v>
      </c>
      <c r="M100" s="20" t="n">
        <v>0.783</v>
      </c>
      <c r="N100" s="20" t="n">
        <v>1.175</v>
      </c>
      <c r="T100" s="20" t="n">
        <v>0.521</v>
      </c>
      <c r="U100" s="20" t="n">
        <v>0.362</v>
      </c>
      <c r="V100" s="20" t="n">
        <v>0.608</v>
      </c>
      <c r="W100" s="20" t="n">
        <v>1.083</v>
      </c>
      <c r="X100" s="20" t="n">
        <v>0.975</v>
      </c>
    </row>
    <row r="101">
      <c r="A101" s="18" t="inlineStr">
        <is>
          <t>외환차익</t>
        </is>
      </c>
      <c r="C101" s="20" t="n">
        <v>8.813000000000001</v>
      </c>
      <c r="D101" s="20" t="n">
        <v>-19.579</v>
      </c>
      <c r="E101" s="20" t="n">
        <v>23.898</v>
      </c>
      <c r="F101" s="20" t="n">
        <v>27.429</v>
      </c>
      <c r="G101" s="20" t="n">
        <v>-48.291</v>
      </c>
      <c r="H101" s="20" t="n">
        <v>27.185</v>
      </c>
      <c r="I101" s="20" t="n">
        <v>0</v>
      </c>
      <c r="J101" s="20" t="n">
        <v>0</v>
      </c>
      <c r="K101" s="20" t="n">
        <v>0</v>
      </c>
      <c r="L101" s="20" t="n">
        <v>0</v>
      </c>
      <c r="M101" s="20" t="n">
        <v>3.615</v>
      </c>
      <c r="N101" s="20" t="n">
        <v>4.565</v>
      </c>
      <c r="T101" s="20" t="n">
        <v>4.688</v>
      </c>
      <c r="U101" s="20" t="n">
        <v>-24.517</v>
      </c>
      <c r="V101" s="20" t="n">
        <v>-19.579</v>
      </c>
      <c r="W101" s="20" t="n">
        <v>27.185</v>
      </c>
      <c r="X101" s="20" t="n">
        <v>0</v>
      </c>
    </row>
    <row r="102">
      <c r="A102" s="18" t="inlineStr">
        <is>
          <t>익명조합 투자이익</t>
        </is>
      </c>
      <c r="C102" s="20" t="n">
        <v>0</v>
      </c>
      <c r="D102" s="20" t="n">
        <v>0</v>
      </c>
      <c r="T102" s="20" t="n">
        <v>11.309</v>
      </c>
      <c r="U102" s="20" t="n">
        <v>14.806</v>
      </c>
      <c r="V102" s="20" t="n">
        <v>0</v>
      </c>
    </row>
    <row r="103">
      <c r="A103" s="18" t="inlineStr">
        <is>
          <t>보험금 수익</t>
        </is>
      </c>
      <c r="C103" s="20" t="n">
        <v>2.261</v>
      </c>
      <c r="D103" s="20" t="n">
        <v>-0.092</v>
      </c>
      <c r="E103" s="20" t="n">
        <v>5.928</v>
      </c>
      <c r="F103" s="20" t="n">
        <v>3.574</v>
      </c>
      <c r="G103" s="20" t="n">
        <v>0.401</v>
      </c>
      <c r="H103" s="20" t="n">
        <v>7.917</v>
      </c>
      <c r="I103" s="20" t="n">
        <v>1.495</v>
      </c>
      <c r="J103" s="20" t="n">
        <v>1.45</v>
      </c>
      <c r="K103" s="20" t="n">
        <v>10.199</v>
      </c>
      <c r="L103" s="20" t="n">
        <v>2.62</v>
      </c>
      <c r="M103" s="20" t="n">
        <v>2.439</v>
      </c>
      <c r="N103" s="20" t="n">
        <v>1.035</v>
      </c>
      <c r="T103" s="20" t="n">
        <v>0.77</v>
      </c>
      <c r="U103" s="20" t="n">
        <v>0.408</v>
      </c>
      <c r="V103" s="20" t="n">
        <v>-0.092</v>
      </c>
      <c r="W103" s="20" t="n">
        <v>7.917</v>
      </c>
      <c r="X103" s="20" t="n">
        <v>2.62</v>
      </c>
    </row>
    <row r="104">
      <c r="A104" s="18" t="inlineStr">
        <is>
          <t>이전 보상금</t>
        </is>
      </c>
      <c r="C104" s="20" t="n">
        <v>2.248</v>
      </c>
      <c r="D104" s="20" t="n">
        <v>0.1</v>
      </c>
      <c r="E104" s="20" t="n">
        <v>40.993</v>
      </c>
      <c r="F104" s="20" t="n">
        <v>17.426</v>
      </c>
      <c r="G104" s="20" t="n">
        <v>14.235</v>
      </c>
      <c r="H104" s="20" t="n">
        <v>59.82</v>
      </c>
      <c r="I104" s="20" t="n">
        <v>74.902</v>
      </c>
      <c r="J104" s="20" t="n">
        <v>54.824</v>
      </c>
      <c r="K104" s="20" t="n">
        <v>0</v>
      </c>
      <c r="L104" s="20" t="n">
        <v>16.042</v>
      </c>
      <c r="M104" s="20" t="n">
        <v>0</v>
      </c>
      <c r="N104" s="20" t="n">
        <v>62.95</v>
      </c>
      <c r="T104" s="20" t="n">
        <v>45.4</v>
      </c>
      <c r="U104" s="20" t="n">
        <v>0</v>
      </c>
      <c r="V104" s="20" t="n">
        <v>0.1</v>
      </c>
      <c r="W104" s="20" t="n">
        <v>59.82</v>
      </c>
      <c r="X104" s="20" t="n">
        <v>16.042</v>
      </c>
    </row>
    <row r="105">
      <c r="A105" s="18" t="inlineStr">
        <is>
          <t>기타</t>
        </is>
      </c>
      <c r="C105" s="20" t="n">
        <v>2.193</v>
      </c>
      <c r="D105" s="20" t="n">
        <v>10.196</v>
      </c>
      <c r="E105" s="20" t="n">
        <v>3.454</v>
      </c>
      <c r="F105" s="20" t="n">
        <v>2.636</v>
      </c>
      <c r="G105" s="20" t="n">
        <v>3.833</v>
      </c>
      <c r="H105" s="20" t="n">
        <v>3.303</v>
      </c>
      <c r="I105" s="20" t="n">
        <v>2.457</v>
      </c>
      <c r="J105" s="20" t="n">
        <v>7.141</v>
      </c>
      <c r="K105" s="20" t="n">
        <v>5.739</v>
      </c>
      <c r="L105" s="20" t="n">
        <v>2.821</v>
      </c>
      <c r="M105" s="20" t="n">
        <v>3.685</v>
      </c>
      <c r="N105" s="20" t="n">
        <v>6.168</v>
      </c>
      <c r="T105" s="20" t="n">
        <v>9.013</v>
      </c>
      <c r="U105" s="20" t="n">
        <v>3.171</v>
      </c>
      <c r="V105" s="20" t="n">
        <v>10.196</v>
      </c>
      <c r="W105" s="20" t="n">
        <v>3.303</v>
      </c>
      <c r="X105" s="20" t="n">
        <v>2.821</v>
      </c>
    </row>
    <row r="106">
      <c r="A106" s="18" t="inlineStr">
        <is>
          <t>영업외수익 합계</t>
        </is>
      </c>
      <c r="C106" s="20" t="n">
        <v>16.078</v>
      </c>
      <c r="D106" s="20" t="n">
        <v>-7.371</v>
      </c>
      <c r="E106" s="20" t="n">
        <v>75.035</v>
      </c>
      <c r="F106" s="20" t="n">
        <v>52.036</v>
      </c>
      <c r="G106" s="20" t="n">
        <v>-28.652</v>
      </c>
      <c r="H106" s="20" t="n">
        <v>100.89</v>
      </c>
      <c r="I106" s="20" t="n">
        <v>80.126</v>
      </c>
      <c r="J106" s="20" t="n">
        <v>64.486</v>
      </c>
      <c r="K106" s="20" t="n">
        <v>16.695</v>
      </c>
      <c r="L106" s="20" t="n">
        <v>23.636</v>
      </c>
      <c r="M106" s="20" t="n">
        <v>10.537</v>
      </c>
      <c r="N106" s="20" t="n">
        <v>75.898</v>
      </c>
      <c r="T106" s="20" t="n">
        <v>74.732</v>
      </c>
      <c r="U106" s="20" t="n">
        <v>-4.506</v>
      </c>
      <c r="V106" s="20" t="n">
        <v>-7.371</v>
      </c>
      <c r="W106" s="20" t="n">
        <v>100.89</v>
      </c>
      <c r="X106" s="20" t="n">
        <v>23.636</v>
      </c>
    </row>
    <row r="107">
      <c r="A107" s="18" t="inlineStr">
        <is>
          <t>이자비용</t>
        </is>
      </c>
      <c r="C107" s="20" t="n">
        <v>36.203</v>
      </c>
      <c r="D107" s="20" t="n">
        <v>38.985</v>
      </c>
      <c r="E107" s="20" t="n">
        <v>41.703</v>
      </c>
      <c r="F107" s="20" t="n">
        <v>49.364</v>
      </c>
      <c r="G107" s="20" t="n">
        <v>52.942</v>
      </c>
      <c r="H107" s="20" t="n">
        <v>60.225</v>
      </c>
      <c r="I107" s="20" t="n">
        <v>71.982</v>
      </c>
      <c r="J107" s="20" t="n">
        <v>83.708</v>
      </c>
      <c r="K107" s="20" t="n">
        <v>91.039</v>
      </c>
      <c r="L107" s="20" t="n">
        <v>96.72499999999999</v>
      </c>
      <c r="M107" s="20" t="n">
        <v>125.794</v>
      </c>
      <c r="N107" s="20" t="n">
        <v>147.101</v>
      </c>
      <c r="T107" s="20" t="n">
        <v>28.195</v>
      </c>
      <c r="U107" s="20" t="n">
        <v>34.965</v>
      </c>
      <c r="V107" s="20" t="n">
        <v>38.985</v>
      </c>
      <c r="W107" s="20" t="n">
        <v>60.225</v>
      </c>
      <c r="X107" s="20" t="n">
        <v>96.72499999999999</v>
      </c>
    </row>
    <row r="108">
      <c r="A108" s="18" t="inlineStr">
        <is>
          <t>사채이자</t>
        </is>
      </c>
      <c r="C108" s="20" t="n">
        <v>0.08599999999999999</v>
      </c>
      <c r="D108" s="20" t="n">
        <v>0.021</v>
      </c>
      <c r="E108" s="20" t="n">
        <v>0.019</v>
      </c>
      <c r="F108" s="20" t="n">
        <v>0</v>
      </c>
      <c r="G108" s="20" t="n">
        <v>0</v>
      </c>
      <c r="H108" s="20" t="n">
        <v>0</v>
      </c>
      <c r="I108" s="20" t="n">
        <v>0</v>
      </c>
      <c r="J108" s="20" t="n">
        <v>0</v>
      </c>
      <c r="K108" s="20" t="n">
        <v>0</v>
      </c>
      <c r="L108" s="20" t="n">
        <v>0</v>
      </c>
      <c r="T108" s="20" t="n">
        <v>0.29</v>
      </c>
      <c r="U108" s="20" t="n">
        <v>0.153</v>
      </c>
      <c r="V108" s="20" t="n">
        <v>0.021</v>
      </c>
      <c r="W108" s="20" t="n">
        <v>0</v>
      </c>
      <c r="X108" s="20" t="n">
        <v>0</v>
      </c>
    </row>
    <row r="109">
      <c r="A109" s="18" t="inlineStr">
        <is>
          <t>외환차손</t>
        </is>
      </c>
      <c r="E109" s="20" t="n">
        <v>0</v>
      </c>
      <c r="F109" s="20" t="n">
        <v>0</v>
      </c>
      <c r="G109" s="20" t="n">
        <v>0</v>
      </c>
      <c r="H109" s="20" t="n">
        <v>0</v>
      </c>
      <c r="I109" s="20" t="n">
        <v>9.087</v>
      </c>
      <c r="J109" s="20" t="n">
        <v>3.137</v>
      </c>
      <c r="K109" s="20" t="n">
        <v>-0.36</v>
      </c>
      <c r="L109" s="20" t="n">
        <v>-11.224</v>
      </c>
      <c r="M109" s="20" t="n">
        <v>0</v>
      </c>
      <c r="N109" s="20" t="n">
        <v>0</v>
      </c>
      <c r="W109" s="20" t="n">
        <v>0</v>
      </c>
      <c r="X109" s="20" t="n">
        <v>-11.224</v>
      </c>
    </row>
    <row r="110">
      <c r="A110" s="18" t="inlineStr">
        <is>
          <t>지급수수료</t>
        </is>
      </c>
      <c r="C110" s="20" t="n">
        <v>2.305</v>
      </c>
      <c r="D110" s="20" t="n">
        <v>24.649</v>
      </c>
      <c r="E110" s="20" t="n">
        <v>92.539</v>
      </c>
      <c r="F110" s="20" t="n">
        <v>4.431</v>
      </c>
      <c r="G110" s="20" t="n">
        <v>61.124</v>
      </c>
      <c r="H110" s="20" t="n">
        <v>25.733</v>
      </c>
      <c r="I110" s="20" t="n">
        <v>67.09399999999999</v>
      </c>
      <c r="J110" s="20" t="n">
        <v>9.276</v>
      </c>
      <c r="K110" s="20" t="n">
        <v>11.931</v>
      </c>
      <c r="L110" s="20" t="n">
        <v>28.724</v>
      </c>
      <c r="M110" s="20" t="n">
        <v>39.651</v>
      </c>
      <c r="N110" s="20" t="n">
        <v>5.851</v>
      </c>
      <c r="T110" s="20" t="n">
        <v>56.493</v>
      </c>
      <c r="U110" s="20" t="n">
        <v>4.516</v>
      </c>
      <c r="V110" s="20" t="n">
        <v>24.649</v>
      </c>
      <c r="W110" s="20" t="n">
        <v>25.733</v>
      </c>
      <c r="X110" s="20" t="n">
        <v>28.724</v>
      </c>
    </row>
    <row r="111">
      <c r="A111" s="18" t="inlineStr">
        <is>
          <t>기타</t>
        </is>
      </c>
      <c r="C111" s="20" t="n">
        <v>0.176</v>
      </c>
      <c r="D111" s="20" t="n">
        <v>0.9389999999999999</v>
      </c>
      <c r="E111" s="20" t="n">
        <v>3.594</v>
      </c>
      <c r="F111" s="20" t="n">
        <v>0.003</v>
      </c>
      <c r="G111" s="20" t="n">
        <v>0.061</v>
      </c>
      <c r="H111" s="20" t="n">
        <v>0.249</v>
      </c>
      <c r="I111" s="20" t="n">
        <v>0.007</v>
      </c>
      <c r="J111" s="20" t="n">
        <v>0.607</v>
      </c>
      <c r="K111" s="20" t="n">
        <v>0.985</v>
      </c>
      <c r="L111" s="20" t="n">
        <v>0.506</v>
      </c>
      <c r="M111" s="20" t="n">
        <v>0.416</v>
      </c>
      <c r="N111" s="20" t="n">
        <v>0.345</v>
      </c>
      <c r="T111" s="20" t="n">
        <v>4.956</v>
      </c>
      <c r="U111" s="20" t="n">
        <v>9.215</v>
      </c>
      <c r="V111" s="20" t="n">
        <v>0.9389999999999999</v>
      </c>
      <c r="W111" s="20" t="n">
        <v>0.249</v>
      </c>
      <c r="X111" s="20" t="n">
        <v>0.506</v>
      </c>
    </row>
    <row r="112">
      <c r="A112" s="18" t="inlineStr">
        <is>
          <t>영업외비용 합계</t>
        </is>
      </c>
      <c r="C112" s="20" t="n">
        <v>38.771</v>
      </c>
      <c r="D112" s="20" t="n">
        <v>64.593</v>
      </c>
      <c r="E112" s="20" t="n">
        <v>137.857</v>
      </c>
      <c r="F112" s="20" t="n">
        <v>53.797</v>
      </c>
      <c r="G112" s="20" t="n">
        <v>114.128</v>
      </c>
      <c r="H112" s="20" t="n">
        <v>86.206</v>
      </c>
      <c r="I112" s="20" t="n">
        <v>148.172</v>
      </c>
      <c r="J112" s="20" t="n">
        <v>96.72799999999999</v>
      </c>
      <c r="K112" s="20" t="n">
        <v>103.595</v>
      </c>
      <c r="L112" s="20" t="n">
        <v>114.731</v>
      </c>
      <c r="M112" s="20" t="n">
        <v>165.863</v>
      </c>
      <c r="N112" s="20" t="n">
        <v>153.296</v>
      </c>
      <c r="T112" s="20" t="n">
        <v>89.935</v>
      </c>
      <c r="U112" s="20" t="n">
        <v>48.85</v>
      </c>
      <c r="V112" s="20" t="n">
        <v>64.593</v>
      </c>
      <c r="W112" s="20" t="n">
        <v>86.206</v>
      </c>
      <c r="X112" s="20" t="n">
        <v>114.731</v>
      </c>
    </row>
    <row r="113">
      <c r="A113" s="9" t="inlineStr">
        <is>
          <t>경상이익</t>
        </is>
      </c>
      <c r="C113" s="12" t="n">
        <v>1124.765</v>
      </c>
      <c r="D113" s="12" t="n">
        <v>727.614</v>
      </c>
      <c r="E113" s="12" t="n">
        <v>1342.559</v>
      </c>
      <c r="F113" s="12" t="n">
        <v>1140.095</v>
      </c>
      <c r="G113" s="12" t="n">
        <v>1091.766</v>
      </c>
      <c r="H113" s="12" t="n">
        <v>1139.651</v>
      </c>
      <c r="I113" s="12" t="n">
        <v>1495.629</v>
      </c>
      <c r="J113" s="12" t="n">
        <v>1426.338</v>
      </c>
      <c r="K113" s="12" t="n">
        <v>1265.83</v>
      </c>
      <c r="L113" s="12" t="n">
        <v>1004.08</v>
      </c>
      <c r="M113" s="12" t="n">
        <v>1415.796</v>
      </c>
      <c r="N113" s="12" t="n">
        <v>1959.429</v>
      </c>
      <c r="T113" s="12" t="n">
        <v>660.0700000000001</v>
      </c>
      <c r="U113" s="12" t="n">
        <v>861.22</v>
      </c>
      <c r="V113" s="12" t="n">
        <v>727.614</v>
      </c>
      <c r="W113" s="12" t="n">
        <v>1139.651</v>
      </c>
      <c r="X113" s="12" t="n">
        <v>1004.08</v>
      </c>
    </row>
    <row r="114">
      <c r="A114" s="43" t="inlineStr">
        <is>
          <t>YoY</t>
        </is>
      </c>
      <c r="B114" s="3" t="inlineStr">
        <is>
          <t>전년 같은 분기·전년 대비</t>
        </is>
      </c>
      <c r="G114" s="15">
        <f>IF(OR(G113="",C113=""),"",IF(C113&lt;=0,"",IFERROR(G113/C113-1,"")))</f>
        <v/>
      </c>
      <c r="H114" s="15">
        <f>IF(OR(H113="",D113=""),"",IF(D113&lt;=0,"",IFERROR(H113/D113-1,"")))</f>
        <v/>
      </c>
      <c r="I114" s="15">
        <f>IF(OR(I113="",E113=""),"",IF(E113&lt;=0,"",IFERROR(I113/E113-1,"")))</f>
        <v/>
      </c>
      <c r="J114" s="15">
        <f>IF(OR(J113="",F113=""),"",IF(F113&lt;=0,"",IFERROR(J113/F113-1,"")))</f>
        <v/>
      </c>
      <c r="K114" s="15">
        <f>IF(OR(K113="",G113=""),"",IF(G113&lt;=0,"",IFERROR(K113/G113-1,"")))</f>
        <v/>
      </c>
      <c r="L114" s="15">
        <f>IF(OR(L113="",H113=""),"",IF(H113&lt;=0,"",IFERROR(L113/H113-1,"")))</f>
        <v/>
      </c>
      <c r="M114" s="15">
        <f>IF(OR(M113="",I113=""),"",IF(I113&lt;=0,"",IFERROR(M113/I113-1,"")))</f>
        <v/>
      </c>
      <c r="N114" s="15">
        <f>IF(OR(N113="",J113=""),"",IF(J113&lt;=0,"",IFERROR(N113/J113-1,"")))</f>
        <v/>
      </c>
      <c r="T114" s="15">
        <f>IF(OR(T113="",S113=""),"",IF(S113&lt;=0,"",IFERROR(T113/S113-1,"")))</f>
        <v/>
      </c>
      <c r="U114" s="15">
        <f>IF(OR(U113="",T113=""),"",IF(T113&lt;=0,"",IFERROR(U113/T113-1,"")))</f>
        <v/>
      </c>
      <c r="V114" s="15">
        <f>IF(OR(V113="",U113=""),"",IF(U113&lt;=0,"",IFERROR(V113/U113-1,"")))</f>
        <v/>
      </c>
      <c r="W114" s="15">
        <f>IF(OR(W113="",V113=""),"",IF(V113&lt;=0,"",IFERROR(W113/V113-1,"")))</f>
        <v/>
      </c>
      <c r="X114" s="15">
        <f>IF(OR(X113="",W113=""),"",IF(W113&lt;=0,"",IFERROR(X113/W113-1,"")))</f>
        <v/>
      </c>
    </row>
    <row r="115">
      <c r="A115" s="18" t="inlineStr">
        <is>
          <t>고정자산 매각이익</t>
        </is>
      </c>
      <c r="C115" s="20" t="n">
        <v>2.867</v>
      </c>
      <c r="D115" s="20" t="n">
        <v>0.382</v>
      </c>
      <c r="E115" s="20" t="n">
        <v>0</v>
      </c>
      <c r="F115" s="20" t="n">
        <v>0</v>
      </c>
      <c r="G115" s="20" t="n">
        <v>0.079</v>
      </c>
      <c r="H115" s="20" t="n">
        <v>1.5</v>
      </c>
      <c r="I115" s="20" t="n">
        <v>0</v>
      </c>
      <c r="J115" s="20" t="n">
        <v>0</v>
      </c>
      <c r="K115" s="20" t="n">
        <v>0</v>
      </c>
      <c r="L115" s="20" t="n">
        <v>0</v>
      </c>
      <c r="M115" s="20" t="n">
        <v>7.775</v>
      </c>
      <c r="N115" s="20" t="n">
        <v>0</v>
      </c>
      <c r="T115" s="20" t="n">
        <v>4.326</v>
      </c>
      <c r="U115" s="20" t="n">
        <v>4.302</v>
      </c>
      <c r="V115" s="20" t="n">
        <v>0.382</v>
      </c>
      <c r="W115" s="20" t="n">
        <v>1.5</v>
      </c>
      <c r="X115" s="20" t="n">
        <v>0</v>
      </c>
    </row>
    <row r="116">
      <c r="A116" s="18" t="inlineStr">
        <is>
          <t>Reversal Profit Of Provision For Loss On Repurchase EI</t>
        </is>
      </c>
      <c r="T116" s="20" t="n">
        <v>1473.052</v>
      </c>
      <c r="U116" s="20" t="n">
        <v>0</v>
      </c>
    </row>
    <row r="117">
      <c r="A117" s="18" t="inlineStr">
        <is>
          <t>투자유가증권 매각이익</t>
        </is>
      </c>
      <c r="C117" s="20" t="n">
        <v>21.97</v>
      </c>
      <c r="D117" s="20" t="n">
        <v>0</v>
      </c>
      <c r="E117" s="20" t="n">
        <v>0</v>
      </c>
      <c r="F117" s="20" t="n">
        <v>1.72</v>
      </c>
      <c r="G117" s="20" t="n">
        <v>0</v>
      </c>
      <c r="H117" s="20" t="n">
        <v>0</v>
      </c>
      <c r="I117" s="20" t="n">
        <v>28.827</v>
      </c>
      <c r="J117" s="20" t="n">
        <v>0</v>
      </c>
      <c r="K117" s="20" t="n">
        <v>0</v>
      </c>
      <c r="L117" s="20" t="n">
        <v>0</v>
      </c>
      <c r="M117" s="20" t="n">
        <v>0</v>
      </c>
      <c r="N117" s="20" t="n">
        <v>0</v>
      </c>
      <c r="U117" s="20" t="n">
        <v>0</v>
      </c>
      <c r="V117" s="20" t="n">
        <v>0</v>
      </c>
      <c r="W117" s="20" t="n">
        <v>0</v>
      </c>
      <c r="X117" s="20" t="n">
        <v>0</v>
      </c>
    </row>
    <row r="118">
      <c r="A118" s="18" t="inlineStr">
        <is>
          <t>Gain On Liquidation Of Investment Securities EI</t>
        </is>
      </c>
      <c r="C118" s="20" t="n">
        <v>0</v>
      </c>
      <c r="D118" s="20" t="n">
        <v>0</v>
      </c>
      <c r="E118" s="20" t="n">
        <v>0</v>
      </c>
      <c r="F118" s="20" t="n">
        <v>0</v>
      </c>
      <c r="G118" s="20" t="n">
        <v>0</v>
      </c>
      <c r="H118" s="20" t="n">
        <v>0</v>
      </c>
      <c r="U118" s="20" t="n">
        <v>136.793</v>
      </c>
      <c r="V118" s="20" t="n">
        <v>0</v>
      </c>
      <c r="W118" s="20" t="n">
        <v>0</v>
      </c>
    </row>
    <row r="119">
      <c r="A119" s="18" t="inlineStr">
        <is>
          <t>사업 양도 이익</t>
        </is>
      </c>
      <c r="T119" s="20" t="n">
        <v>0</v>
      </c>
      <c r="U119" s="20" t="n">
        <v>0</v>
      </c>
    </row>
    <row r="120">
      <c r="A120" s="18" t="inlineStr">
        <is>
          <t>특별이익 합계</t>
        </is>
      </c>
      <c r="C120" s="20" t="n">
        <v>24.838</v>
      </c>
      <c r="D120" s="20" t="n">
        <v>0.381</v>
      </c>
      <c r="E120" s="20" t="n">
        <v>0</v>
      </c>
      <c r="F120" s="20" t="n">
        <v>1.72</v>
      </c>
      <c r="G120" s="20" t="n">
        <v>0.08</v>
      </c>
      <c r="H120" s="20" t="n">
        <v>1.5</v>
      </c>
      <c r="I120" s="20" t="n">
        <v>28.827</v>
      </c>
      <c r="J120" s="20" t="n">
        <v>0</v>
      </c>
      <c r="K120" s="20" t="n">
        <v>0</v>
      </c>
      <c r="L120" s="20" t="n">
        <v>155.693</v>
      </c>
      <c r="M120" s="20" t="n">
        <v>7.775</v>
      </c>
      <c r="N120" s="20" t="n">
        <v>0</v>
      </c>
      <c r="T120" s="20" t="n">
        <v>1477.377</v>
      </c>
      <c r="U120" s="20" t="n">
        <v>141.095</v>
      </c>
      <c r="V120" s="20" t="n">
        <v>0.381</v>
      </c>
      <c r="W120" s="20" t="n">
        <v>1.5</v>
      </c>
      <c r="X120" s="20" t="n">
        <v>155.693</v>
      </c>
    </row>
    <row r="121">
      <c r="A121" s="18" t="inlineStr">
        <is>
          <t>고정자산 매각손실</t>
        </is>
      </c>
      <c r="C121" s="20" t="n">
        <v>0</v>
      </c>
      <c r="D121" s="20" t="n">
        <v>0</v>
      </c>
      <c r="E121" s="20" t="n">
        <v>0.12</v>
      </c>
      <c r="F121" s="20" t="n">
        <v>0</v>
      </c>
      <c r="G121" s="20" t="n">
        <v>-0.12</v>
      </c>
      <c r="H121" s="20" t="n">
        <v>0</v>
      </c>
      <c r="I121" s="20" t="n">
        <v>0</v>
      </c>
      <c r="J121" s="20" t="n">
        <v>0</v>
      </c>
      <c r="T121" s="20" t="n">
        <v>8.782</v>
      </c>
      <c r="U121" s="20" t="n">
        <v>0</v>
      </c>
      <c r="V121" s="20" t="n">
        <v>0</v>
      </c>
      <c r="W121" s="20" t="n">
        <v>0</v>
      </c>
    </row>
    <row r="122">
      <c r="A122" s="18" t="inlineStr">
        <is>
          <t>고정자산 제각손실</t>
        </is>
      </c>
      <c r="C122" s="20" t="n">
        <v>1.145</v>
      </c>
      <c r="D122" s="20" t="n">
        <v>8.715999999999999</v>
      </c>
      <c r="E122" s="20" t="n">
        <v>0</v>
      </c>
      <c r="F122" s="20" t="n">
        <v>5.918</v>
      </c>
      <c r="G122" s="20" t="n">
        <v>1.638</v>
      </c>
      <c r="H122" s="20" t="n">
        <v>27.507</v>
      </c>
      <c r="I122" s="20" t="n">
        <v>0.057</v>
      </c>
      <c r="J122" s="20" t="n">
        <v>0.336</v>
      </c>
      <c r="K122" s="20" t="n">
        <v>7.105</v>
      </c>
      <c r="L122" s="20" t="n">
        <v>25.039</v>
      </c>
      <c r="M122" s="20" t="n">
        <v>0.032</v>
      </c>
      <c r="N122" s="20" t="n">
        <v>0.732</v>
      </c>
      <c r="T122" s="20" t="n">
        <v>11.631</v>
      </c>
      <c r="U122" s="20" t="n">
        <v>9.57</v>
      </c>
      <c r="V122" s="20" t="n">
        <v>8.715999999999999</v>
      </c>
      <c r="W122" s="20" t="n">
        <v>27.507</v>
      </c>
      <c r="X122" s="20" t="n">
        <v>25.039</v>
      </c>
    </row>
    <row r="123">
      <c r="A123" s="18" t="inlineStr">
        <is>
          <t>손상차손</t>
        </is>
      </c>
      <c r="T123" s="20" t="n">
        <v>223.103</v>
      </c>
      <c r="U123" s="20" t="n">
        <v>14.641</v>
      </c>
    </row>
    <row r="124">
      <c r="A124" s="18" t="inlineStr">
        <is>
          <t>Penalty Loss EL</t>
        </is>
      </c>
      <c r="T124" s="20" t="n">
        <v>0</v>
      </c>
      <c r="U124" s="20" t="n">
        <v>0</v>
      </c>
    </row>
    <row r="125">
      <c r="A125" s="18" t="inlineStr">
        <is>
          <t>특별손실 합계</t>
        </is>
      </c>
      <c r="C125" s="20" t="n">
        <v>1.146</v>
      </c>
      <c r="D125" s="20" t="n">
        <v>42.181</v>
      </c>
      <c r="E125" s="20" t="n">
        <v>0.12</v>
      </c>
      <c r="F125" s="20" t="n">
        <v>5.918</v>
      </c>
      <c r="G125" s="20" t="n">
        <v>1.518</v>
      </c>
      <c r="H125" s="20" t="n">
        <v>138.201</v>
      </c>
      <c r="I125" s="20" t="n">
        <v>0.057</v>
      </c>
      <c r="J125" s="20" t="n">
        <v>0.336</v>
      </c>
      <c r="K125" s="20" t="n">
        <v>7.105</v>
      </c>
      <c r="L125" s="20" t="n">
        <v>128.6</v>
      </c>
      <c r="M125" s="20" t="n">
        <v>0.032</v>
      </c>
      <c r="N125" s="20" t="n">
        <v>0.732</v>
      </c>
      <c r="T125" s="20" t="n">
        <v>243.517</v>
      </c>
      <c r="U125" s="20" t="n">
        <v>24.211</v>
      </c>
      <c r="V125" s="20" t="n">
        <v>42.181</v>
      </c>
      <c r="W125" s="20" t="n">
        <v>138.201</v>
      </c>
      <c r="X125" s="20" t="n">
        <v>128.6</v>
      </c>
    </row>
    <row r="126">
      <c r="A126" s="9" t="inlineStr">
        <is>
          <t>법인세차감전 순이익</t>
        </is>
      </c>
      <c r="C126" s="12" t="n">
        <v>1148.456</v>
      </c>
      <c r="D126" s="12" t="n">
        <v>685.816</v>
      </c>
      <c r="E126" s="12" t="n">
        <v>1342.439</v>
      </c>
      <c r="F126" s="12" t="n">
        <v>1135.898</v>
      </c>
      <c r="G126" s="12" t="n">
        <v>1090.326</v>
      </c>
      <c r="H126" s="12" t="n">
        <v>1002.951</v>
      </c>
      <c r="I126" s="12" t="n">
        <v>1524.399</v>
      </c>
      <c r="J126" s="12" t="n">
        <v>1426.002</v>
      </c>
      <c r="K126" s="12" t="n">
        <v>1258.725</v>
      </c>
      <c r="L126" s="12" t="n">
        <v>1031.172</v>
      </c>
      <c r="M126" s="12" t="n">
        <v>1423.539</v>
      </c>
      <c r="N126" s="12" t="n">
        <v>1958.697</v>
      </c>
      <c r="T126" s="12" t="n">
        <v>1893.93</v>
      </c>
      <c r="U126" s="12" t="n">
        <v>978.103</v>
      </c>
      <c r="V126" s="12" t="n">
        <v>685.816</v>
      </c>
      <c r="W126" s="12" t="n">
        <v>1002.951</v>
      </c>
      <c r="X126" s="12" t="n">
        <v>1031.172</v>
      </c>
    </row>
    <row r="127">
      <c r="A127" s="18" t="inlineStr">
        <is>
          <t>법인세·주민세·사업세</t>
        </is>
      </c>
      <c r="C127" s="20" t="n">
        <v>297.188</v>
      </c>
      <c r="D127" s="20" t="n">
        <v>209.981</v>
      </c>
      <c r="E127" s="20" t="n">
        <v>370.803</v>
      </c>
      <c r="F127" s="20" t="n">
        <v>350.187</v>
      </c>
      <c r="G127" s="20" t="n">
        <v>263.972</v>
      </c>
      <c r="H127" s="20" t="n">
        <v>204.779</v>
      </c>
      <c r="I127" s="20" t="n">
        <v>383.663</v>
      </c>
      <c r="J127" s="20" t="n">
        <v>560.218</v>
      </c>
      <c r="K127" s="20" t="n">
        <v>381.08</v>
      </c>
      <c r="L127" s="20" t="n">
        <v>428.437</v>
      </c>
      <c r="M127" s="20" t="n">
        <v>289.218</v>
      </c>
      <c r="N127" s="20" t="n">
        <v>616.676</v>
      </c>
      <c r="T127" s="20" t="n">
        <v>125.329</v>
      </c>
      <c r="U127" s="20" t="n">
        <v>261.549</v>
      </c>
      <c r="V127" s="20" t="n">
        <v>209.981</v>
      </c>
      <c r="W127" s="20" t="n">
        <v>204.779</v>
      </c>
      <c r="X127" s="20" t="n">
        <v>428.437</v>
      </c>
    </row>
    <row r="128">
      <c r="A128" s="18" t="inlineStr">
        <is>
          <t>Refund Of Income Taxes Income Taxes</t>
        </is>
      </c>
      <c r="C128" s="20" t="n">
        <v>0</v>
      </c>
      <c r="D128" s="20" t="n">
        <v>0</v>
      </c>
      <c r="T128" s="20" t="n">
        <v>0</v>
      </c>
      <c r="U128" s="20" t="n">
        <v>0</v>
      </c>
      <c r="V128" s="20" t="n">
        <v>0</v>
      </c>
    </row>
    <row r="129">
      <c r="A129" s="18" t="inlineStr">
        <is>
          <t>법인세 조정액</t>
        </is>
      </c>
      <c r="C129" s="20" t="n">
        <v>56.749</v>
      </c>
      <c r="D129" s="20" t="n">
        <v>-7.039</v>
      </c>
      <c r="E129" s="20" t="n">
        <v>68.81399999999999</v>
      </c>
      <c r="F129" s="20" t="n">
        <v>1.634</v>
      </c>
      <c r="G129" s="20" t="n">
        <v>18.45</v>
      </c>
      <c r="H129" s="20" t="n">
        <v>92.033</v>
      </c>
      <c r="I129" s="20" t="n">
        <v>28.318</v>
      </c>
      <c r="J129" s="20" t="n">
        <v>-97.09</v>
      </c>
      <c r="K129" s="20" t="n">
        <v>12.28</v>
      </c>
      <c r="L129" s="20" t="n">
        <v>-161.341</v>
      </c>
      <c r="M129" s="20" t="n">
        <v>128.173</v>
      </c>
      <c r="N129" s="20" t="n">
        <v>-11.841</v>
      </c>
      <c r="T129" s="20" t="n">
        <v>453.34</v>
      </c>
      <c r="U129" s="20" t="n">
        <v>45.235</v>
      </c>
      <c r="V129" s="20" t="n">
        <v>-7.039</v>
      </c>
      <c r="W129" s="20" t="n">
        <v>92.033</v>
      </c>
      <c r="X129" s="20" t="n">
        <v>-161.341</v>
      </c>
    </row>
    <row r="130">
      <c r="A130" s="18" t="inlineStr">
        <is>
          <t>법인세 등 합계</t>
        </is>
      </c>
      <c r="C130" s="20" t="n">
        <v>353.938</v>
      </c>
      <c r="D130" s="20" t="n">
        <v>202.942</v>
      </c>
      <c r="E130" s="20" t="n">
        <v>439.618</v>
      </c>
      <c r="F130" s="20" t="n">
        <v>351.821</v>
      </c>
      <c r="G130" s="20" t="n">
        <v>282.421</v>
      </c>
      <c r="H130" s="20" t="n">
        <v>296.813</v>
      </c>
      <c r="I130" s="20" t="n">
        <v>411.982</v>
      </c>
      <c r="J130" s="20" t="n">
        <v>463.127</v>
      </c>
      <c r="K130" s="20" t="n">
        <v>393.359</v>
      </c>
      <c r="L130" s="20" t="n">
        <v>267.097</v>
      </c>
      <c r="M130" s="20" t="n">
        <v>417.392</v>
      </c>
      <c r="N130" s="20" t="n">
        <v>604.8339999999999</v>
      </c>
      <c r="T130" s="20" t="n">
        <v>578.669</v>
      </c>
      <c r="U130" s="20" t="n">
        <v>306.784</v>
      </c>
      <c r="V130" s="20" t="n">
        <v>202.942</v>
      </c>
      <c r="W130" s="20" t="n">
        <v>296.813</v>
      </c>
      <c r="X130" s="20" t="n">
        <v>267.097</v>
      </c>
    </row>
    <row r="131">
      <c r="A131" s="9" t="inlineStr">
        <is>
          <t>순이익</t>
        </is>
      </c>
      <c r="C131" s="12" t="n">
        <v>794.518</v>
      </c>
      <c r="D131" s="12" t="n">
        <v>482.873</v>
      </c>
      <c r="E131" s="12" t="n">
        <v>902.821</v>
      </c>
      <c r="F131" s="12" t="n">
        <v>784.076</v>
      </c>
      <c r="G131" s="12" t="n">
        <v>807.905</v>
      </c>
      <c r="H131" s="12" t="n">
        <v>706.139</v>
      </c>
      <c r="I131" s="12" t="n">
        <v>1112.416</v>
      </c>
      <c r="J131" s="12" t="n">
        <v>962.875</v>
      </c>
      <c r="K131" s="12" t="n">
        <v>865.367</v>
      </c>
      <c r="L131" s="12" t="n">
        <v>764.075</v>
      </c>
      <c r="M131" s="12" t="n">
        <v>1006.147</v>
      </c>
      <c r="N131" s="12" t="n">
        <v>1353.862</v>
      </c>
      <c r="T131" s="12" t="n">
        <v>1315.262</v>
      </c>
      <c r="U131" s="12" t="n">
        <v>671.3200000000001</v>
      </c>
      <c r="V131" s="12" t="n">
        <v>482.873</v>
      </c>
      <c r="W131" s="12" t="n">
        <v>706.139</v>
      </c>
      <c r="X131" s="12" t="n">
        <v>764.075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IF(OR(G131="",C131=""),"",IF(C131&lt;=0,"",IFERROR(G131/C131-1,"")))</f>
        <v/>
      </c>
      <c r="H132" s="15">
        <f>IF(OR(H131="",D131=""),"",IF(D131&lt;=0,"",IFERROR(H131/D131-1,"")))</f>
        <v/>
      </c>
      <c r="I132" s="15">
        <f>IF(OR(I131="",E131=""),"",IF(E131&lt;=0,"",IFERROR(I131/E131-1,"")))</f>
        <v/>
      </c>
      <c r="J132" s="15">
        <f>IF(OR(J131="",F131=""),"",IF(F131&lt;=0,"",IFERROR(J131/F131-1,"")))</f>
        <v/>
      </c>
      <c r="K132" s="15">
        <f>IF(OR(K131="",G131=""),"",IF(G131&lt;=0,"",IFERROR(K131/G131-1,"")))</f>
        <v/>
      </c>
      <c r="L132" s="15">
        <f>IF(OR(L131="",H131=""),"",IF(H131&lt;=0,"",IFERROR(L131/H131-1,"")))</f>
        <v/>
      </c>
      <c r="M132" s="15">
        <f>IF(OR(M131="",I131=""),"",IF(I131&lt;=0,"",IFERROR(M131/I131-1,"")))</f>
        <v/>
      </c>
      <c r="N132" s="15">
        <f>IF(OR(N131="",J131=""),"",IF(J131&lt;=0,"",IFERROR(N131/J131-1,"")))</f>
        <v/>
      </c>
      <c r="T132" s="15">
        <f>IF(OR(T131="",S131=""),"",IF(S131&lt;=0,"",IFERROR(T131/S131-1,"")))</f>
        <v/>
      </c>
      <c r="U132" s="15">
        <f>IF(OR(U131="",T131=""),"",IF(T131&lt;=0,"",IFERROR(U131/T131-1,"")))</f>
        <v/>
      </c>
      <c r="V132" s="15">
        <f>IF(OR(V131="",U131=""),"",IF(U131&lt;=0,"",IFERROR(V131/U131-1,"")))</f>
        <v/>
      </c>
      <c r="W132" s="15">
        <f>IF(OR(W131="",V131=""),"",IF(V131&lt;=0,"",IFERROR(W131/V131-1,"")))</f>
        <v/>
      </c>
      <c r="X132" s="15">
        <f>IF(OR(X131="",W131=""),"",IF(W131&lt;=0,"",IFERROR(X131/W131-1,"")))</f>
        <v/>
      </c>
    </row>
    <row r="134">
      <c r="A134" s="16" t="inlineStr">
        <is>
          <t>부문 · 전 항목</t>
        </is>
      </c>
      <c r="B134" s="42" t="inlineStr">
        <is>
          <t>부문 · 항목</t>
        </is>
      </c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</row>
    <row r="135">
      <c r="A135" s="5" t="inlineStr">
        <is>
          <t>항목</t>
        </is>
      </c>
      <c r="B135" s="5" t="inlineStr">
        <is>
          <t>참고</t>
        </is>
      </c>
      <c r="C135" s="5" t="inlineStr">
        <is>
          <t>2023.3Q</t>
        </is>
      </c>
      <c r="D135" s="5" t="inlineStr">
        <is>
          <t>2023.4Q</t>
        </is>
      </c>
      <c r="E135" s="5" t="inlineStr">
        <is>
          <t>2024.1Q</t>
        </is>
      </c>
      <c r="F135" s="5" t="inlineStr">
        <is>
          <t>2024.2Q</t>
        </is>
      </c>
      <c r="G135" s="5" t="inlineStr">
        <is>
          <t>2024.3Q</t>
        </is>
      </c>
      <c r="H135" s="5" t="inlineStr">
        <is>
          <t>2024.4Q</t>
        </is>
      </c>
      <c r="I135" s="5" t="inlineStr">
        <is>
          <t>2025.1Q</t>
        </is>
      </c>
      <c r="J135" s="5" t="inlineStr">
        <is>
          <t>2025.2Q</t>
        </is>
      </c>
      <c r="K135" s="5" t="inlineStr">
        <is>
          <t>2025.3Q</t>
        </is>
      </c>
      <c r="L135" s="5" t="inlineStr">
        <is>
          <t>2025.4Q</t>
        </is>
      </c>
      <c r="M135" s="5" t="inlineStr">
        <is>
          <t>2026.1Q</t>
        </is>
      </c>
      <c r="N135" s="5" t="inlineStr">
        <is>
          <t>2026.2Q</t>
        </is>
      </c>
      <c r="O135" s="5" t="inlineStr">
        <is>
          <t>2016</t>
        </is>
      </c>
      <c r="P135" s="5" t="inlineStr">
        <is>
          <t>2017</t>
        </is>
      </c>
      <c r="Q135" s="5" t="inlineStr">
        <is>
          <t>2018</t>
        </is>
      </c>
      <c r="R135" s="5" t="inlineStr">
        <is>
          <t>2019</t>
        </is>
      </c>
      <c r="S135" s="5" t="inlineStr">
        <is>
          <t>2020</t>
        </is>
      </c>
      <c r="T135" s="5" t="inlineStr">
        <is>
          <t>2021</t>
        </is>
      </c>
      <c r="U135" s="5" t="inlineStr">
        <is>
          <t>2022</t>
        </is>
      </c>
      <c r="V135" s="5" t="inlineStr">
        <is>
          <t>2023</t>
        </is>
      </c>
      <c r="W135" s="5" t="inlineStr">
        <is>
          <t>2024</t>
        </is>
      </c>
      <c r="X135" s="5" t="inlineStr">
        <is>
          <t>2025</t>
        </is>
      </c>
      <c r="Y135" s="5" t="inlineStr">
        <is>
          <t>2026(MW)</t>
        </is>
      </c>
      <c r="Z135" s="5" t="inlineStr">
        <is>
          <t>2027(MW)</t>
        </is>
      </c>
      <c r="AA135" s="5" t="inlineStr">
        <is>
          <t>2028(MW)</t>
        </is>
      </c>
      <c r="AB135" s="5" t="inlineStr">
        <is>
          <t>2029(MW)</t>
        </is>
      </c>
      <c r="AC135" s="5" t="inlineStr">
        <is>
          <t>2030(MW)</t>
        </is>
      </c>
    </row>
    <row r="136">
      <c r="A136" s="18" t="inlineStr">
        <is>
          <t>SelfStorageBusinessReportableSegmentMember · 외부 고객 매출</t>
        </is>
      </c>
      <c r="C136" s="20" t="n">
        <v>4504.835</v>
      </c>
      <c r="E136" s="20" t="n">
        <v>5165.32</v>
      </c>
      <c r="F136" s="20" t="n">
        <v>4871.877</v>
      </c>
      <c r="G136" s="20" t="n">
        <v>4631.791</v>
      </c>
      <c r="I136" s="20" t="n">
        <v>6356.548</v>
      </c>
      <c r="J136" s="20" t="n">
        <v>5620.393</v>
      </c>
      <c r="K136" s="20" t="n">
        <v>5053.545</v>
      </c>
      <c r="M136" s="20" t="n">
        <v>6079.588</v>
      </c>
      <c r="N136" s="20" t="n">
        <v>7588.655</v>
      </c>
    </row>
    <row r="137">
      <c r="A137" s="43" t="inlineStr">
        <is>
          <t>YoY</t>
        </is>
      </c>
      <c r="B137" s="3" t="inlineStr">
        <is>
          <t>전년 같은 분기·전년 대비</t>
        </is>
      </c>
      <c r="G137" s="15">
        <f>IF(OR(G136="",C136=""),"",IF(C136&lt;=0,"",IFERROR(G136/C136-1,"")))</f>
        <v/>
      </c>
      <c r="I137" s="15">
        <f>IF(OR(I136="",E136=""),"",IF(E136&lt;=0,"",IFERROR(I136/E136-1,"")))</f>
        <v/>
      </c>
      <c r="J137" s="15">
        <f>IF(OR(J136="",F136=""),"",IF(F136&lt;=0,"",IFERROR(J136/F136-1,"")))</f>
        <v/>
      </c>
      <c r="K137" s="15">
        <f>IF(OR(K136="",G136=""),"",IF(G136&lt;=0,"",IFERROR(K136/G136-1,"")))</f>
        <v/>
      </c>
      <c r="M137" s="15">
        <f>IF(OR(M136="",I136=""),"",IF(I136&lt;=0,"",IFERROR(M136/I136-1,"")))</f>
        <v/>
      </c>
      <c r="N137" s="15">
        <f>IF(OR(N136="",J136=""),"",IF(J136&lt;=0,"",IFERROR(N136/J136-1,"")))</f>
        <v/>
      </c>
    </row>
    <row r="138">
      <c r="A138" s="18" t="inlineStr">
        <is>
          <t>LandRightsConsolidationBusinessReportableSegmentMember · 외부 고객 매출</t>
        </is>
      </c>
      <c r="C138" s="20" t="n">
        <v>1046.23</v>
      </c>
      <c r="D138" s="20" t="n">
        <v>641.082</v>
      </c>
      <c r="E138" s="20" t="n">
        <v>1346.44</v>
      </c>
      <c r="F138" s="20" t="n">
        <v>775.895</v>
      </c>
      <c r="G138" s="20" t="n">
        <v>1362.608</v>
      </c>
      <c r="H138" s="20" t="n">
        <v>210.812</v>
      </c>
      <c r="I138" s="20" t="n">
        <v>777.232</v>
      </c>
      <c r="J138" s="20" t="n">
        <v>529.444</v>
      </c>
      <c r="K138" s="20" t="n">
        <v>1217.644</v>
      </c>
      <c r="L138" s="20" t="n">
        <v>102.797</v>
      </c>
      <c r="M138" s="20" t="n">
        <v>681.999</v>
      </c>
      <c r="N138" s="20" t="n">
        <v>1218.093</v>
      </c>
      <c r="V138" s="20" t="n">
        <v>641.082</v>
      </c>
      <c r="W138" s="20" t="n">
        <v>210.812</v>
      </c>
      <c r="X138" s="20" t="n">
        <v>102.797</v>
      </c>
    </row>
    <row r="139">
      <c r="A139" s="43" t="inlineStr">
        <is>
          <t>YoY</t>
        </is>
      </c>
      <c r="B139" s="3" t="inlineStr">
        <is>
          <t>전년 같은 분기·전년 대비</t>
        </is>
      </c>
      <c r="G139" s="15">
        <f>IF(OR(G138="",C138=""),"",IF(C138&lt;=0,"",IFERROR(G138/C138-1,"")))</f>
        <v/>
      </c>
      <c r="H139" s="15">
        <f>IF(OR(H138="",D138=""),"",IF(D138&lt;=0,"",IFERROR(H138/D138-1,"")))</f>
        <v/>
      </c>
      <c r="I139" s="15">
        <f>IF(OR(I138="",E138=""),"",IF(E138&lt;=0,"",IFERROR(I138/E138-1,"")))</f>
        <v/>
      </c>
      <c r="J139" s="15">
        <f>IF(OR(J138="",F138=""),"",IF(F138&lt;=0,"",IFERROR(J138/F138-1,"")))</f>
        <v/>
      </c>
      <c r="K139" s="15">
        <f>IF(OR(K138="",G138=""),"",IF(G138&lt;=0,"",IFERROR(K138/G138-1,"")))</f>
        <v/>
      </c>
      <c r="L139" s="15">
        <f>IF(OR(L138="",H138=""),"",IF(H138&lt;=0,"",IFERROR(L138/H138-1,"")))</f>
        <v/>
      </c>
      <c r="M139" s="15">
        <f>IF(OR(M138="",I138=""),"",IF(I138&lt;=0,"",IFERROR(M138/I138-1,"")))</f>
        <v/>
      </c>
      <c r="N139" s="15">
        <f>IF(OR(N138="",J138=""),"",IF(J138&lt;=0,"",IFERROR(N138/J138-1,"")))</f>
        <v/>
      </c>
      <c r="V139" s="15">
        <f>IF(OR(V138="",U138=""),"",IF(U138&lt;=0,"",IFERROR(V138/U138-1,"")))</f>
        <v/>
      </c>
      <c r="W139" s="15">
        <f>IF(OR(W138="",V138=""),"",IF(V138&lt;=0,"",IFERROR(W138/V138-1,"")))</f>
        <v/>
      </c>
      <c r="X139" s="15">
        <f>IF(OR(X138="",W138=""),"",IF(W138&lt;=0,"",IFERROR(X138/W138-1,"")))</f>
        <v/>
      </c>
    </row>
    <row r="140">
      <c r="A140" s="18" t="inlineStr">
        <is>
          <t>OtherOperationalServicesBusinessReportableSegmentMember · 외부 고객 매출</t>
        </is>
      </c>
      <c r="C140" s="20" t="n">
        <v>360.917</v>
      </c>
      <c r="D140" s="20" t="n">
        <v>368.524</v>
      </c>
      <c r="E140" s="20" t="n">
        <v>371.888</v>
      </c>
      <c r="F140" s="20" t="n">
        <v>379.155</v>
      </c>
      <c r="G140" s="20" t="n">
        <v>391.815</v>
      </c>
      <c r="H140" s="20" t="n">
        <v>389.135</v>
      </c>
      <c r="I140" s="20" t="n">
        <v>388.098</v>
      </c>
      <c r="J140" s="20" t="n">
        <v>395.413</v>
      </c>
      <c r="K140" s="20" t="n">
        <v>396.137</v>
      </c>
      <c r="L140" s="20" t="n">
        <v>381.491</v>
      </c>
      <c r="M140" s="20" t="n">
        <v>382.476</v>
      </c>
      <c r="N140" s="20" t="n">
        <v>387.21</v>
      </c>
      <c r="V140" s="20" t="n">
        <v>368.524</v>
      </c>
      <c r="W140" s="20" t="n">
        <v>389.135</v>
      </c>
      <c r="X140" s="20" t="n">
        <v>381.491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IF(OR(G140="",C140=""),"",IF(C140&lt;=0,"",IFERROR(G140/C140-1,"")))</f>
        <v/>
      </c>
      <c r="H141" s="15">
        <f>IF(OR(H140="",D140=""),"",IF(D140&lt;=0,"",IFERROR(H140/D140-1,"")))</f>
        <v/>
      </c>
      <c r="I141" s="15">
        <f>IF(OR(I140="",E140=""),"",IF(E140&lt;=0,"",IFERROR(I140/E140-1,"")))</f>
        <v/>
      </c>
      <c r="J141" s="15">
        <f>IF(OR(J140="",F140=""),"",IF(F140&lt;=0,"",IFERROR(J140/F140-1,"")))</f>
        <v/>
      </c>
      <c r="K141" s="15">
        <f>IF(OR(K140="",G140=""),"",IF(G140&lt;=0,"",IFERROR(K140/G140-1,"")))</f>
        <v/>
      </c>
      <c r="L141" s="15">
        <f>IF(OR(L140="",H140=""),"",IF(H140&lt;=0,"",IFERROR(L140/H140-1,"")))</f>
        <v/>
      </c>
      <c r="M141" s="15">
        <f>IF(OR(M140="",I140=""),"",IF(I140&lt;=0,"",IFERROR(M140/I140-1,"")))</f>
        <v/>
      </c>
      <c r="N141" s="15">
        <f>IF(OR(N140="",J140=""),"",IF(J140&lt;=0,"",IFERROR(N140/J140-1,"")))</f>
        <v/>
      </c>
      <c r="V141" s="15">
        <f>IF(OR(V140="",U140=""),"",IF(U140&lt;=0,"",IFERROR(V140/U140-1,"")))</f>
        <v/>
      </c>
      <c r="W141" s="15">
        <f>IF(OR(W140="",V140=""),"",IF(V140&lt;=0,"",IFERROR(W140/V140-1,"")))</f>
        <v/>
      </c>
      <c r="X141" s="15">
        <f>IF(OR(X140="",W140=""),"",IF(W140&lt;=0,"",IFERROR(X140/W140-1,"")))</f>
        <v/>
      </c>
    </row>
    <row r="142">
      <c r="A142" s="18" t="inlineStr">
        <is>
          <t>보고부문 합계 · 외부 고객 매출</t>
        </is>
      </c>
      <c r="C142" s="20" t="n">
        <v>5911.981</v>
      </c>
      <c r="D142" s="20" t="n">
        <v>5367.463</v>
      </c>
      <c r="E142" s="20" t="n">
        <v>6883.648</v>
      </c>
      <c r="F142" s="20" t="n">
        <v>6026.927</v>
      </c>
      <c r="G142" s="20" t="n">
        <v>6386.216</v>
      </c>
      <c r="H142" s="20" t="n">
        <v>5399.003</v>
      </c>
      <c r="I142" s="20" t="n">
        <v>7521.879</v>
      </c>
      <c r="J142" s="20" t="n">
        <v>6545.25</v>
      </c>
      <c r="K142" s="20" t="n">
        <v>6667.326</v>
      </c>
      <c r="L142" s="20" t="n">
        <v>5683.752</v>
      </c>
      <c r="M142" s="20" t="n">
        <v>7144.064</v>
      </c>
      <c r="N142" s="20" t="n">
        <v>9193.957</v>
      </c>
      <c r="V142" s="20" t="n">
        <v>5367.463</v>
      </c>
      <c r="W142" s="20" t="n">
        <v>5399.003</v>
      </c>
      <c r="X142" s="20" t="n">
        <v>5683.752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G143" s="15">
        <f>IF(OR(G142="",C142=""),"",IF(C142&lt;=0,"",IFERROR(G142/C142-1,"")))</f>
        <v/>
      </c>
      <c r="H143" s="15">
        <f>IF(OR(H142="",D142=""),"",IF(D142&lt;=0,"",IFERROR(H142/D142-1,"")))</f>
        <v/>
      </c>
      <c r="I143" s="15">
        <f>IF(OR(I142="",E142=""),"",IF(E142&lt;=0,"",IFERROR(I142/E142-1,"")))</f>
        <v/>
      </c>
      <c r="J143" s="15">
        <f>IF(OR(J142="",F142=""),"",IF(F142&lt;=0,"",IFERROR(J142/F142-1,"")))</f>
        <v/>
      </c>
      <c r="K143" s="15">
        <f>IF(OR(K142="",G142=""),"",IF(G142&lt;=0,"",IFERROR(K142/G142-1,"")))</f>
        <v/>
      </c>
      <c r="L143" s="15">
        <f>IF(OR(L142="",H142=""),"",IF(H142&lt;=0,"",IFERROR(L142/H142-1,"")))</f>
        <v/>
      </c>
      <c r="M143" s="15">
        <f>IF(OR(M142="",I142=""),"",IF(I142&lt;=0,"",IFERROR(M142/I142-1,"")))</f>
        <v/>
      </c>
      <c r="N143" s="15">
        <f>IF(OR(N142="",J142=""),"",IF(J142&lt;=0,"",IFERROR(N142/J142-1,"")))</f>
        <v/>
      </c>
      <c r="V143" s="15">
        <f>IF(OR(V142="",U142=""),"",IF(U142&lt;=0,"",IFERROR(V142/U142-1,"")))</f>
        <v/>
      </c>
      <c r="W143" s="15">
        <f>IF(OR(W142="",V142=""),"",IF(V142&lt;=0,"",IFERROR(W142/V142-1,"")))</f>
        <v/>
      </c>
      <c r="X143" s="15">
        <f>IF(OR(X142="",W142=""),"",IF(W142&lt;=0,"",IFERROR(X142/W142-1,"")))</f>
        <v/>
      </c>
    </row>
    <row r="144">
      <c r="A144" s="18" t="inlineStr">
        <is>
          <t>조정액 · 외부 고객 매출</t>
        </is>
      </c>
      <c r="C144" s="20" t="n">
        <v>0</v>
      </c>
      <c r="D144" s="20" t="n">
        <v>0</v>
      </c>
      <c r="E144" s="20" t="n">
        <v>0</v>
      </c>
      <c r="F144" s="20" t="n">
        <v>0</v>
      </c>
      <c r="G144" s="20" t="n">
        <v>0</v>
      </c>
      <c r="H144" s="20" t="n">
        <v>0</v>
      </c>
      <c r="I144" s="20" t="n">
        <v>0</v>
      </c>
      <c r="J144" s="20" t="n">
        <v>0</v>
      </c>
      <c r="K144" s="20" t="n">
        <v>0</v>
      </c>
      <c r="L144" s="20" t="n">
        <v>0</v>
      </c>
      <c r="M144" s="20" t="n">
        <v>0</v>
      </c>
      <c r="N144" s="20" t="n">
        <v>0</v>
      </c>
      <c r="V144" s="20" t="n">
        <v>0</v>
      </c>
      <c r="W144" s="20" t="n">
        <v>0</v>
      </c>
      <c r="X144" s="20" t="n">
        <v>0</v>
      </c>
    </row>
    <row r="145">
      <c r="A145" s="18" t="inlineStr">
        <is>
          <t>EntityTotalMember · 외부 고객 매출</t>
        </is>
      </c>
      <c r="I145" s="20" t="n">
        <v>7521.879</v>
      </c>
      <c r="M145" s="20" t="n">
        <v>7144.064</v>
      </c>
    </row>
    <row r="146">
      <c r="A146" s="9" t="inlineStr">
        <is>
          <t>외부 고객 매출</t>
        </is>
      </c>
      <c r="C146" s="12" t="n">
        <v>5911.981</v>
      </c>
      <c r="D146" s="12" t="n">
        <v>5367.463</v>
      </c>
      <c r="E146" s="12" t="n">
        <v>6883.648</v>
      </c>
      <c r="F146" s="12" t="n">
        <v>6026.927</v>
      </c>
      <c r="G146" s="12" t="n">
        <v>6386.216</v>
      </c>
      <c r="H146" s="12" t="n">
        <v>5399.003</v>
      </c>
      <c r="I146" s="12" t="n">
        <v>7521.879</v>
      </c>
      <c r="J146" s="12" t="n">
        <v>6545.25</v>
      </c>
      <c r="K146" s="12" t="n">
        <v>6667.326</v>
      </c>
      <c r="L146" s="12" t="n">
        <v>5683.752</v>
      </c>
      <c r="V146" s="12" t="n">
        <v>5367.463</v>
      </c>
      <c r="W146" s="12" t="n">
        <v>5399.003</v>
      </c>
      <c r="X146" s="12" t="n">
        <v>5683.752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IF(OR(G146="",C146=""),"",IF(C146&lt;=0,"",IFERROR(G146/C146-1,"")))</f>
        <v/>
      </c>
      <c r="H147" s="15">
        <f>IF(OR(H146="",D146=""),"",IF(D146&lt;=0,"",IFERROR(H146/D146-1,"")))</f>
        <v/>
      </c>
      <c r="I147" s="15">
        <f>IF(OR(I146="",E146=""),"",IF(E146&lt;=0,"",IFERROR(I146/E146-1,"")))</f>
        <v/>
      </c>
      <c r="J147" s="15">
        <f>IF(OR(J146="",F146=""),"",IF(F146&lt;=0,"",IFERROR(J146/F146-1,"")))</f>
        <v/>
      </c>
      <c r="K147" s="15">
        <f>IF(OR(K146="",G146=""),"",IF(G146&lt;=0,"",IFERROR(K146/G146-1,"")))</f>
        <v/>
      </c>
      <c r="L147" s="15">
        <f>IF(OR(L146="",H146=""),"",IF(H146&lt;=0,"",IFERROR(L146/H146-1,"")))</f>
        <v/>
      </c>
      <c r="V147" s="15">
        <f>IF(OR(V146="",U146=""),"",IF(U146&lt;=0,"",IFERROR(V146/U146-1,"")))</f>
        <v/>
      </c>
      <c r="W147" s="15">
        <f>IF(OR(W146="",V146=""),"",IF(V146&lt;=0,"",IFERROR(W146/V146-1,"")))</f>
        <v/>
      </c>
      <c r="X147" s="15">
        <f>IF(OR(X146="",W146=""),"",IF(W146&lt;=0,"",IFERROR(X146/W146-1,"")))</f>
        <v/>
      </c>
    </row>
    <row r="148">
      <c r="A148" s="18" t="inlineStr">
        <is>
          <t>SelfStorageBusinessReportableSegmentMember · 부문 간 내부매출·대체</t>
        </is>
      </c>
      <c r="C148" s="20" t="n">
        <v>0</v>
      </c>
      <c r="E148" s="20" t="n">
        <v>0</v>
      </c>
      <c r="F148" s="20" t="n">
        <v>0</v>
      </c>
      <c r="G148" s="20" t="n">
        <v>0</v>
      </c>
      <c r="I148" s="20" t="n">
        <v>0</v>
      </c>
      <c r="J148" s="20" t="n">
        <v>0</v>
      </c>
      <c r="K148" s="20" t="n">
        <v>0</v>
      </c>
      <c r="M148" s="20" t="n">
        <v>0</v>
      </c>
      <c r="N148" s="20" t="n">
        <v>0</v>
      </c>
    </row>
    <row r="149">
      <c r="A149" s="18" t="inlineStr">
        <is>
          <t>LandRightsConsolidationBusinessReportableSegmentMember · 부문 간 내부매출·대체</t>
        </is>
      </c>
      <c r="C149" s="20" t="n">
        <v>0</v>
      </c>
      <c r="D149" s="20" t="n">
        <v>0</v>
      </c>
      <c r="E149" s="20" t="n">
        <v>0</v>
      </c>
      <c r="F149" s="20" t="n">
        <v>0</v>
      </c>
      <c r="G149" s="20" t="n">
        <v>0</v>
      </c>
      <c r="H149" s="20" t="n">
        <v>0</v>
      </c>
      <c r="I149" s="20" t="n">
        <v>0</v>
      </c>
      <c r="J149" s="20" t="n">
        <v>0</v>
      </c>
      <c r="K149" s="20" t="n">
        <v>0</v>
      </c>
      <c r="L149" s="20" t="n">
        <v>0</v>
      </c>
      <c r="M149" s="20" t="n">
        <v>0</v>
      </c>
      <c r="N149" s="20" t="n">
        <v>0</v>
      </c>
      <c r="V149" s="20" t="n">
        <v>0</v>
      </c>
      <c r="W149" s="20" t="n">
        <v>0</v>
      </c>
      <c r="X149" s="20" t="n">
        <v>0</v>
      </c>
    </row>
    <row r="150">
      <c r="A150" s="18" t="inlineStr">
        <is>
          <t>OtherOperationalServicesBusinessReportableSegmentMember · 부문 간 내부매출·대체</t>
        </is>
      </c>
      <c r="C150" s="20" t="n">
        <v>0</v>
      </c>
      <c r="D150" s="20" t="n">
        <v>0</v>
      </c>
      <c r="E150" s="20" t="n">
        <v>0</v>
      </c>
      <c r="F150" s="20" t="n">
        <v>0</v>
      </c>
      <c r="G150" s="20" t="n">
        <v>0</v>
      </c>
      <c r="H150" s="20" t="n">
        <v>0</v>
      </c>
      <c r="I150" s="20" t="n">
        <v>0</v>
      </c>
      <c r="J150" s="20" t="n">
        <v>0</v>
      </c>
      <c r="K150" s="20" t="n">
        <v>0</v>
      </c>
      <c r="L150" s="20" t="n">
        <v>0</v>
      </c>
      <c r="M150" s="20" t="n">
        <v>0</v>
      </c>
      <c r="N150" s="20" t="n">
        <v>0</v>
      </c>
      <c r="V150" s="20" t="n">
        <v>0</v>
      </c>
      <c r="W150" s="20" t="n">
        <v>0</v>
      </c>
      <c r="X150" s="20" t="n">
        <v>0</v>
      </c>
    </row>
    <row r="151">
      <c r="A151" s="18" t="inlineStr">
        <is>
          <t>보고부문 합계 · 부문 간 내부매출·대체</t>
        </is>
      </c>
      <c r="C151" s="20" t="n">
        <v>0</v>
      </c>
      <c r="D151" s="20" t="n">
        <v>0</v>
      </c>
      <c r="E151" s="20" t="n">
        <v>0</v>
      </c>
      <c r="F151" s="20" t="n">
        <v>0</v>
      </c>
      <c r="G151" s="20" t="n">
        <v>0</v>
      </c>
      <c r="H151" s="20" t="n">
        <v>0</v>
      </c>
      <c r="I151" s="20" t="n">
        <v>0</v>
      </c>
      <c r="J151" s="20" t="n">
        <v>0</v>
      </c>
      <c r="K151" s="20" t="n">
        <v>0</v>
      </c>
      <c r="L151" s="20" t="n">
        <v>0</v>
      </c>
      <c r="M151" s="20" t="n">
        <v>0</v>
      </c>
      <c r="N151" s="20" t="n">
        <v>0</v>
      </c>
      <c r="V151" s="20" t="n">
        <v>0</v>
      </c>
      <c r="W151" s="20" t="n">
        <v>0</v>
      </c>
      <c r="X151" s="20" t="n">
        <v>0</v>
      </c>
    </row>
    <row r="152">
      <c r="A152" s="18" t="inlineStr">
        <is>
          <t>조정액 · 부문 간 내부매출·대체</t>
        </is>
      </c>
      <c r="C152" s="20" t="n">
        <v>0</v>
      </c>
      <c r="D152" s="20" t="n">
        <v>0</v>
      </c>
      <c r="E152" s="20" t="n">
        <v>0</v>
      </c>
      <c r="F152" s="20" t="n">
        <v>0</v>
      </c>
      <c r="G152" s="20" t="n">
        <v>0</v>
      </c>
      <c r="H152" s="20" t="n">
        <v>0</v>
      </c>
      <c r="I152" s="20" t="n">
        <v>0</v>
      </c>
      <c r="J152" s="20" t="n">
        <v>0</v>
      </c>
      <c r="K152" s="20" t="n">
        <v>0</v>
      </c>
      <c r="L152" s="20" t="n">
        <v>0</v>
      </c>
      <c r="M152" s="20" t="n">
        <v>0</v>
      </c>
      <c r="N152" s="20" t="n">
        <v>0</v>
      </c>
      <c r="V152" s="20" t="n">
        <v>0</v>
      </c>
      <c r="W152" s="20" t="n">
        <v>0</v>
      </c>
      <c r="X152" s="20" t="n">
        <v>0</v>
      </c>
    </row>
    <row r="153">
      <c r="A153" s="18" t="inlineStr">
        <is>
          <t>EntityTotalMember · 부문 간 내부매출·대체</t>
        </is>
      </c>
      <c r="I153" s="20" t="n">
        <v>0</v>
      </c>
      <c r="M153" s="20" t="n">
        <v>0</v>
      </c>
    </row>
    <row r="154">
      <c r="A154" s="18" t="inlineStr">
        <is>
          <t>부문 간 내부매출·대체</t>
        </is>
      </c>
      <c r="C154" s="20" t="n">
        <v>0</v>
      </c>
      <c r="D154" s="20" t="n">
        <v>0</v>
      </c>
      <c r="E154" s="20" t="n">
        <v>0</v>
      </c>
      <c r="F154" s="20" t="n">
        <v>0</v>
      </c>
      <c r="G154" s="20" t="n">
        <v>0</v>
      </c>
      <c r="H154" s="20" t="n">
        <v>0</v>
      </c>
      <c r="I154" s="20" t="n">
        <v>0</v>
      </c>
      <c r="J154" s="20" t="n">
        <v>0</v>
      </c>
      <c r="K154" s="20" t="n">
        <v>0</v>
      </c>
      <c r="L154" s="20" t="n">
        <v>0</v>
      </c>
      <c r="V154" s="20" t="n">
        <v>0</v>
      </c>
      <c r="W154" s="20" t="n">
        <v>0</v>
      </c>
      <c r="X154" s="20" t="n">
        <v>0</v>
      </c>
    </row>
    <row r="155">
      <c r="A155" s="18" t="inlineStr">
        <is>
          <t>SelfStorageBusinessReportableSegmentMember · 계</t>
        </is>
      </c>
      <c r="C155" s="20" t="n">
        <v>4504.835</v>
      </c>
      <c r="E155" s="20" t="n">
        <v>5165.32</v>
      </c>
      <c r="F155" s="20" t="n">
        <v>4871.877</v>
      </c>
      <c r="G155" s="20" t="n">
        <v>4631.791</v>
      </c>
      <c r="I155" s="20" t="n">
        <v>6356.548</v>
      </c>
      <c r="J155" s="20" t="n">
        <v>5620.393</v>
      </c>
      <c r="K155" s="20" t="n">
        <v>5053.545</v>
      </c>
      <c r="M155" s="20" t="n">
        <v>6079.588</v>
      </c>
      <c r="N155" s="20" t="n">
        <v>7588.655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K156" s="15">
        <f>IF(OR(K155="",G155=""),"",IF(G155&lt;=0,"",IFERROR(K155/G155-1,"")))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</row>
    <row r="157">
      <c r="A157" s="18" t="inlineStr">
        <is>
          <t>LandRightsConsolidationBusinessReportableSegmentMember · 계</t>
        </is>
      </c>
      <c r="C157" s="20" t="n">
        <v>1046.23</v>
      </c>
      <c r="D157" s="20" t="n">
        <v>641.082</v>
      </c>
      <c r="E157" s="20" t="n">
        <v>1346.44</v>
      </c>
      <c r="F157" s="20" t="n">
        <v>775.895</v>
      </c>
      <c r="G157" s="20" t="n">
        <v>1362.608</v>
      </c>
      <c r="H157" s="20" t="n">
        <v>210.812</v>
      </c>
      <c r="I157" s="20" t="n">
        <v>777.232</v>
      </c>
      <c r="J157" s="20" t="n">
        <v>529.444</v>
      </c>
      <c r="K157" s="20" t="n">
        <v>1217.644</v>
      </c>
      <c r="L157" s="20" t="n">
        <v>102.797</v>
      </c>
      <c r="M157" s="20" t="n">
        <v>681.999</v>
      </c>
      <c r="N157" s="20" t="n">
        <v>1218.093</v>
      </c>
      <c r="V157" s="20" t="n">
        <v>641.082</v>
      </c>
      <c r="W157" s="20" t="n">
        <v>210.812</v>
      </c>
      <c r="X157" s="20" t="n">
        <v>102.797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59">
      <c r="A159" s="18" t="inlineStr">
        <is>
          <t>OtherOperationalServicesBusinessReportableSegmentMember · 계</t>
        </is>
      </c>
      <c r="C159" s="20" t="n">
        <v>360.917</v>
      </c>
      <c r="D159" s="20" t="n">
        <v>368.524</v>
      </c>
      <c r="E159" s="20" t="n">
        <v>371.888</v>
      </c>
      <c r="F159" s="20" t="n">
        <v>379.155</v>
      </c>
      <c r="G159" s="20" t="n">
        <v>391.815</v>
      </c>
      <c r="H159" s="20" t="n">
        <v>389.135</v>
      </c>
      <c r="I159" s="20" t="n">
        <v>388.098</v>
      </c>
      <c r="J159" s="20" t="n">
        <v>395.413</v>
      </c>
      <c r="K159" s="20" t="n">
        <v>396.137</v>
      </c>
      <c r="L159" s="20" t="n">
        <v>381.491</v>
      </c>
      <c r="M159" s="20" t="n">
        <v>382.476</v>
      </c>
      <c r="N159" s="20" t="n">
        <v>387.21</v>
      </c>
      <c r="V159" s="20" t="n">
        <v>368.524</v>
      </c>
      <c r="W159" s="20" t="n">
        <v>389.135</v>
      </c>
      <c r="X159" s="20" t="n">
        <v>381.491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보고부문 합계 · 계</t>
        </is>
      </c>
      <c r="C161" s="20" t="n">
        <v>5911.981</v>
      </c>
      <c r="D161" s="20" t="n">
        <v>5367.463</v>
      </c>
      <c r="E161" s="20" t="n">
        <v>6883.648</v>
      </c>
      <c r="F161" s="20" t="n">
        <v>6026.927</v>
      </c>
      <c r="G161" s="20" t="n">
        <v>6386.216</v>
      </c>
      <c r="H161" s="20" t="n">
        <v>5399.003</v>
      </c>
      <c r="I161" s="20" t="n">
        <v>7521.879</v>
      </c>
      <c r="J161" s="20" t="n">
        <v>6545.25</v>
      </c>
      <c r="K161" s="20" t="n">
        <v>6667.326</v>
      </c>
      <c r="L161" s="20" t="n">
        <v>5683.752</v>
      </c>
      <c r="M161" s="20" t="n">
        <v>7144.064</v>
      </c>
      <c r="N161" s="20" t="n">
        <v>9193.957</v>
      </c>
      <c r="V161" s="20" t="n">
        <v>5367.463</v>
      </c>
      <c r="W161" s="20" t="n">
        <v>5399.003</v>
      </c>
      <c r="X161" s="20" t="n">
        <v>5683.752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K162" s="15">
        <f>IF(OR(K161="",G161=""),"",IF(G161&lt;=0,"",IFERROR(K161/G161-1,"")))</f>
        <v/>
      </c>
      <c r="L162" s="15">
        <f>IF(OR(L161="",H161=""),"",IF(H161&lt;=0,"",IFERROR(L161/H161-1,"")))</f>
        <v/>
      </c>
      <c r="M162" s="15">
        <f>IF(OR(M161="",I161=""),"",IF(I161&lt;=0,"",IFERROR(M161/I161-1,"")))</f>
        <v/>
      </c>
      <c r="N162" s="15">
        <f>IF(OR(N161="",J161=""),"",IF(J161&lt;=0,"",IFERROR(N161/J161-1,"")))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조정액 · 계</t>
        </is>
      </c>
      <c r="C163" s="20" t="n">
        <v>0</v>
      </c>
      <c r="D163" s="20" t="n">
        <v>0</v>
      </c>
      <c r="E163" s="20" t="n">
        <v>0</v>
      </c>
      <c r="F163" s="20" t="n">
        <v>0</v>
      </c>
      <c r="G163" s="20" t="n">
        <v>0</v>
      </c>
      <c r="H163" s="20" t="n">
        <v>0</v>
      </c>
      <c r="I163" s="20" t="n">
        <v>0</v>
      </c>
      <c r="J163" s="20" t="n">
        <v>0</v>
      </c>
      <c r="K163" s="20" t="n">
        <v>0</v>
      </c>
      <c r="L163" s="20" t="n">
        <v>0</v>
      </c>
      <c r="M163" s="20" t="n">
        <v>0</v>
      </c>
      <c r="N163" s="20" t="n">
        <v>0</v>
      </c>
      <c r="V163" s="20" t="n">
        <v>0</v>
      </c>
      <c r="W163" s="20" t="n">
        <v>0</v>
      </c>
      <c r="X163" s="20" t="n">
        <v>0</v>
      </c>
    </row>
    <row r="164">
      <c r="A164" s="18" t="inlineStr">
        <is>
          <t>EntityTotalMember · 계</t>
        </is>
      </c>
      <c r="I164" s="20" t="n">
        <v>7521.879</v>
      </c>
      <c r="M164" s="20" t="n">
        <v>7144.064</v>
      </c>
    </row>
    <row r="165">
      <c r="A165" s="9" t="inlineStr">
        <is>
          <t>계</t>
        </is>
      </c>
      <c r="C165" s="12" t="n">
        <v>5911.981</v>
      </c>
      <c r="D165" s="12" t="n">
        <v>5367.463</v>
      </c>
      <c r="E165" s="12" t="n">
        <v>6883.648</v>
      </c>
      <c r="F165" s="12" t="n">
        <v>6026.927</v>
      </c>
      <c r="G165" s="12" t="n">
        <v>6386.216</v>
      </c>
      <c r="H165" s="12" t="n">
        <v>5399.003</v>
      </c>
      <c r="I165" s="12" t="n">
        <v>7521.879</v>
      </c>
      <c r="J165" s="12" t="n">
        <v>6545.25</v>
      </c>
      <c r="K165" s="12" t="n">
        <v>6667.326</v>
      </c>
      <c r="L165" s="12" t="n">
        <v>5683.752</v>
      </c>
      <c r="V165" s="12" t="n">
        <v>5367.463</v>
      </c>
      <c r="W165" s="12" t="n">
        <v>5399.003</v>
      </c>
      <c r="X165" s="12" t="n">
        <v>5683.752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L166" s="15">
        <f>IF(OR(L165="",H165=""),"",IF(H165&lt;=0,"",IFERROR(L165/H165-1,"")))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  <c r="X166" s="15">
        <f>IF(OR(X165="",W165=""),"",IF(W165&lt;=0,"",IFERROR(X165/W165-1,"")))</f>
        <v/>
      </c>
    </row>
    <row r="167">
      <c r="A167" s="18" t="inlineStr">
        <is>
          <t>SelfStorageBusinessReportableSegmentMember · 부문 이익</t>
        </is>
      </c>
      <c r="C167" s="20" t="n">
        <v>1146</v>
      </c>
      <c r="E167" s="20" t="n">
        <v>1389.508</v>
      </c>
      <c r="F167" s="20" t="n">
        <v>1298.761</v>
      </c>
      <c r="G167" s="20" t="n">
        <v>1288.181</v>
      </c>
      <c r="I167" s="20" t="n">
        <v>1680.664</v>
      </c>
      <c r="J167" s="20" t="n">
        <v>1624.017</v>
      </c>
      <c r="K167" s="20" t="n">
        <v>1347.838</v>
      </c>
      <c r="M167" s="20" t="n">
        <v>1683.11</v>
      </c>
      <c r="N167" s="20" t="n">
        <v>2004.614</v>
      </c>
    </row>
    <row r="168">
      <c r="A168" s="43" t="inlineStr">
        <is>
          <t>OPM</t>
        </is>
      </c>
      <c r="B168" s="3" t="inlineStr">
        <is>
          <t>영업이익 ÷ 매출</t>
        </is>
      </c>
      <c r="C168" s="15">
        <f>IF(OR(C167="",C155=""),"",IF(C155&lt;=0,"",IFERROR(C167/C155,"")))</f>
        <v/>
      </c>
      <c r="E168" s="15">
        <f>IF(OR(E167="",E155=""),"",IF(E155&lt;=0,"",IFERROR(E167/E155,"")))</f>
        <v/>
      </c>
      <c r="F168" s="15">
        <f>IF(OR(F167="",F155=""),"",IF(F155&lt;=0,"",IFERROR(F167/F155,"")))</f>
        <v/>
      </c>
      <c r="G168" s="15">
        <f>IF(OR(G167="",G155=""),"",IF(G155&lt;=0,"",IFERROR(G167/G155,"")))</f>
        <v/>
      </c>
      <c r="I168" s="15">
        <f>IF(OR(I167="",I155=""),"",IF(I155&lt;=0,"",IFERROR(I167/I155,"")))</f>
        <v/>
      </c>
      <c r="J168" s="15">
        <f>IF(OR(J167="",J155=""),"",IF(J155&lt;=0,"",IFERROR(J167/J155,"")))</f>
        <v/>
      </c>
      <c r="K168" s="15">
        <f>IF(OR(K167="",K155=""),"",IF(K155&lt;=0,"",IFERROR(K167/K155,"")))</f>
        <v/>
      </c>
      <c r="M168" s="15">
        <f>IF(OR(M167="",M155=""),"",IF(M155&lt;=0,"",IFERROR(M167/M155,"")))</f>
        <v/>
      </c>
      <c r="N168" s="15">
        <f>IF(OR(N167="",N155=""),"",IF(N155&lt;=0,"",IFERROR(N167/N155,"")))</f>
        <v/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IF(OR(G167="",C167=""),"",IF(C167&lt;=0,"",IFERROR(G167/C167-1,"")))</f>
        <v/>
      </c>
      <c r="I169" s="15">
        <f>IF(OR(I167="",E167=""),"",IF(E167&lt;=0,"",IFERROR(I167/E167-1,"")))</f>
        <v/>
      </c>
      <c r="J169" s="15">
        <f>IF(OR(J167="",F167=""),"",IF(F167&lt;=0,"",IFERROR(J167/F167-1,"")))</f>
        <v/>
      </c>
      <c r="K169" s="15">
        <f>IF(OR(K167="",G167=""),"",IF(G167&lt;=0,"",IFERROR(K167/G167-1,"")))</f>
        <v/>
      </c>
      <c r="M169" s="15">
        <f>IF(OR(M167="",I167=""),"",IF(I167&lt;=0,"",IFERROR(M167/I167-1,"")))</f>
        <v/>
      </c>
      <c r="N169" s="15">
        <f>IF(OR(N167="",J167=""),"",IF(J167&lt;=0,"",IFERROR(N167/J167-1,"")))</f>
        <v/>
      </c>
    </row>
    <row r="170">
      <c r="A170" s="18" t="inlineStr">
        <is>
          <t>LandRightsConsolidationBusinessReportableSegmentMember · 부문 이익</t>
        </is>
      </c>
      <c r="C170" s="20" t="n">
        <v>208.418</v>
      </c>
      <c r="D170" s="20" t="n">
        <v>-136.907</v>
      </c>
      <c r="E170" s="20" t="n">
        <v>243.931</v>
      </c>
      <c r="F170" s="20" t="n">
        <v>95.70099999999999</v>
      </c>
      <c r="G170" s="20" t="n">
        <v>192.263</v>
      </c>
      <c r="H170" s="20" t="n">
        <v>-46.084</v>
      </c>
      <c r="I170" s="20" t="n">
        <v>98.68000000000001</v>
      </c>
      <c r="J170" s="20" t="n">
        <v>81.57899999999999</v>
      </c>
      <c r="K170" s="20" t="n">
        <v>266.322</v>
      </c>
      <c r="L170" s="20" t="n">
        <v>-39.525</v>
      </c>
      <c r="M170" s="20" t="n">
        <v>134.627</v>
      </c>
      <c r="N170" s="20" t="n">
        <v>316.228</v>
      </c>
      <c r="V170" s="20" t="n">
        <v>-136.907</v>
      </c>
      <c r="W170" s="20" t="n">
        <v>-46.084</v>
      </c>
      <c r="X170" s="20" t="n">
        <v>-39.525</v>
      </c>
    </row>
    <row r="171">
      <c r="A171" s="43" t="inlineStr">
        <is>
          <t>OPM</t>
        </is>
      </c>
      <c r="B171" s="3" t="inlineStr">
        <is>
          <t>영업이익 ÷ 매출</t>
        </is>
      </c>
      <c r="C171" s="15">
        <f>IF(OR(C170="",C157=""),"",IF(C157&lt;=0,"",IFERROR(C170/C157,"")))</f>
        <v/>
      </c>
      <c r="D171" s="15">
        <f>IF(OR(D170="",D157=""),"",IF(D157&lt;=0,"",IFERROR(D170/D157,"")))</f>
        <v/>
      </c>
      <c r="E171" s="15">
        <f>IF(OR(E170="",E157=""),"",IF(E157&lt;=0,"",IFERROR(E170/E157,"")))</f>
        <v/>
      </c>
      <c r="F171" s="15">
        <f>IF(OR(F170="",F157=""),"",IF(F157&lt;=0,"",IFERROR(F170/F157,"")))</f>
        <v/>
      </c>
      <c r="G171" s="15">
        <f>IF(OR(G170="",G157=""),"",IF(G157&lt;=0,"",IFERROR(G170/G157,"")))</f>
        <v/>
      </c>
      <c r="H171" s="15">
        <f>IF(OR(H170="",H157=""),"",IF(H157&lt;=0,"",IFERROR(H170/H157,"")))</f>
        <v/>
      </c>
      <c r="I171" s="15">
        <f>IF(OR(I170="",I157=""),"",IF(I157&lt;=0,"",IFERROR(I170/I157,"")))</f>
        <v/>
      </c>
      <c r="J171" s="15">
        <f>IF(OR(J170="",J157=""),"",IF(J157&lt;=0,"",IFERROR(J170/J157,"")))</f>
        <v/>
      </c>
      <c r="K171" s="15">
        <f>IF(OR(K170="",K157=""),"",IF(K157&lt;=0,"",IFERROR(K170/K157,"")))</f>
        <v/>
      </c>
      <c r="L171" s="15">
        <f>IF(OR(L170="",L157=""),"",IF(L157&lt;=0,"",IFERROR(L170/L157,"")))</f>
        <v/>
      </c>
      <c r="M171" s="15">
        <f>IF(OR(M170="",M157=""),"",IF(M157&lt;=0,"",IFERROR(M170/M157,"")))</f>
        <v/>
      </c>
      <c r="N171" s="15">
        <f>IF(OR(N170="",N157=""),"",IF(N157&lt;=0,"",IFERROR(N170/N157,"")))</f>
        <v/>
      </c>
      <c r="V171" s="15">
        <f>IF(OR(V170="",V157=""),"",IF(V157&lt;=0,"",IFERROR(V170/V157,"")))</f>
        <v/>
      </c>
      <c r="W171" s="15">
        <f>IF(OR(W170="",W157=""),"",IF(W157&lt;=0,"",IFERROR(W170/W157,"")))</f>
        <v/>
      </c>
      <c r="X171" s="15">
        <f>IF(OR(X170="",X157=""),"",IF(X157&lt;=0,"",IFERROR(X170/X157,"")))</f>
        <v/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IF(OR(G170="",C170=""),"",IF(C170&lt;=0,"",IFERROR(G170/C170-1,"")))</f>
        <v/>
      </c>
      <c r="H172" s="15">
        <f>IF(OR(H170="",D170=""),"",IF(D170&lt;=0,"",IFERROR(H170/D170-1,"")))</f>
        <v/>
      </c>
      <c r="I172" s="15">
        <f>IF(OR(I170="",E170=""),"",IF(E170&lt;=0,"",IFERROR(I170/E170-1,"")))</f>
        <v/>
      </c>
      <c r="J172" s="15">
        <f>IF(OR(J170="",F170=""),"",IF(F170&lt;=0,"",IFERROR(J170/F170-1,"")))</f>
        <v/>
      </c>
      <c r="K172" s="15">
        <f>IF(OR(K170="",G170=""),"",IF(G170&lt;=0,"",IFERROR(K170/G170-1,"")))</f>
        <v/>
      </c>
      <c r="L172" s="15">
        <f>IF(OR(L170="",H170=""),"",IF(H170&lt;=0,"",IFERROR(L170/H170-1,"")))</f>
        <v/>
      </c>
      <c r="M172" s="15">
        <f>IF(OR(M170="",I170=""),"",IF(I170&lt;=0,"",IFERROR(M170/I170-1,"")))</f>
        <v/>
      </c>
      <c r="N172" s="15">
        <f>IF(OR(N170="",J170=""),"",IF(J170&lt;=0,"",IFERROR(N170/J170-1,"")))</f>
        <v/>
      </c>
      <c r="V172" s="15">
        <f>IF(OR(V170="",U170=""),"",IF(U170&lt;=0,"",IFERROR(V170/U170-1,"")))</f>
        <v/>
      </c>
      <c r="W172" s="15">
        <f>IF(OR(W170="",V170=""),"",IF(V170&lt;=0,"",IFERROR(W170/V170-1,"")))</f>
        <v/>
      </c>
      <c r="X172" s="15">
        <f>IF(OR(X170="",W170=""),"",IF(W170&lt;=0,"",IFERROR(X170/W170-1,"")))</f>
        <v/>
      </c>
    </row>
    <row r="173">
      <c r="A173" s="18" t="inlineStr">
        <is>
          <t>OtherOperationalServicesBusinessReportableSegmentMember · 부문 이익</t>
        </is>
      </c>
      <c r="C173" s="20" t="n">
        <v>91.34699999999999</v>
      </c>
      <c r="D173" s="20" t="n">
        <v>99.00700000000001</v>
      </c>
      <c r="E173" s="20" t="n">
        <v>102.235</v>
      </c>
      <c r="F173" s="20" t="n">
        <v>104.663</v>
      </c>
      <c r="G173" s="20" t="n">
        <v>111.751</v>
      </c>
      <c r="H173" s="20" t="n">
        <v>109.337</v>
      </c>
      <c r="I173" s="20" t="n">
        <v>111.183</v>
      </c>
      <c r="J173" s="20" t="n">
        <v>113.805</v>
      </c>
      <c r="K173" s="20" t="n">
        <v>108.565</v>
      </c>
      <c r="L173" s="20" t="n">
        <v>100.208</v>
      </c>
      <c r="M173" s="20" t="n">
        <v>96.44199999999999</v>
      </c>
      <c r="N173" s="20" t="n">
        <v>103.633</v>
      </c>
      <c r="V173" s="20" t="n">
        <v>99.00700000000001</v>
      </c>
      <c r="W173" s="20" t="n">
        <v>109.337</v>
      </c>
      <c r="X173" s="20" t="n">
        <v>100.208</v>
      </c>
    </row>
    <row r="174">
      <c r="A174" s="43" t="inlineStr">
        <is>
          <t>OPM</t>
        </is>
      </c>
      <c r="B174" s="3" t="inlineStr">
        <is>
          <t>영업이익 ÷ 매출</t>
        </is>
      </c>
      <c r="C174" s="15">
        <f>IF(OR(C173="",C159=""),"",IF(C159&lt;=0,"",IFERROR(C173/C159,"")))</f>
        <v/>
      </c>
      <c r="D174" s="15">
        <f>IF(OR(D173="",D159=""),"",IF(D159&lt;=0,"",IFERROR(D173/D159,"")))</f>
        <v/>
      </c>
      <c r="E174" s="15">
        <f>IF(OR(E173="",E159=""),"",IF(E159&lt;=0,"",IFERROR(E173/E159,"")))</f>
        <v/>
      </c>
      <c r="F174" s="15">
        <f>IF(OR(F173="",F159=""),"",IF(F159&lt;=0,"",IFERROR(F173/F159,"")))</f>
        <v/>
      </c>
      <c r="G174" s="15">
        <f>IF(OR(G173="",G159=""),"",IF(G159&lt;=0,"",IFERROR(G173/G159,"")))</f>
        <v/>
      </c>
      <c r="H174" s="15">
        <f>IF(OR(H173="",H159=""),"",IF(H159&lt;=0,"",IFERROR(H173/H159,"")))</f>
        <v/>
      </c>
      <c r="I174" s="15">
        <f>IF(OR(I173="",I159=""),"",IF(I159&lt;=0,"",IFERROR(I173/I159,"")))</f>
        <v/>
      </c>
      <c r="J174" s="15">
        <f>IF(OR(J173="",J159=""),"",IF(J159&lt;=0,"",IFERROR(J173/J159,"")))</f>
        <v/>
      </c>
      <c r="K174" s="15">
        <f>IF(OR(K173="",K159=""),"",IF(K159&lt;=0,"",IFERROR(K173/K159,"")))</f>
        <v/>
      </c>
      <c r="L174" s="15">
        <f>IF(OR(L173="",L159=""),"",IF(L159&lt;=0,"",IFERROR(L173/L159,"")))</f>
        <v/>
      </c>
      <c r="M174" s="15">
        <f>IF(OR(M173="",M159=""),"",IF(M159&lt;=0,"",IFERROR(M173/M159,"")))</f>
        <v/>
      </c>
      <c r="N174" s="15">
        <f>IF(OR(N173="",N159=""),"",IF(N159&lt;=0,"",IFERROR(N173/N159,"")))</f>
        <v/>
      </c>
      <c r="V174" s="15">
        <f>IF(OR(V173="",V159=""),"",IF(V159&lt;=0,"",IFERROR(V173/V159,"")))</f>
        <v/>
      </c>
      <c r="W174" s="15">
        <f>IF(OR(W173="",W159=""),"",IF(W159&lt;=0,"",IFERROR(W173/W159,"")))</f>
        <v/>
      </c>
      <c r="X174" s="15">
        <f>IF(OR(X173="",X159=""),"",IF(X159&lt;=0,"",IFERROR(X173/X159,"")))</f>
        <v/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IF(OR(G173="",C173=""),"",IF(C173&lt;=0,"",IFERROR(G173/C173-1,"")))</f>
        <v/>
      </c>
      <c r="H175" s="15">
        <f>IF(OR(H173="",D173=""),"",IF(D173&lt;=0,"",IFERROR(H173/D173-1,"")))</f>
        <v/>
      </c>
      <c r="I175" s="15">
        <f>IF(OR(I173="",E173=""),"",IF(E173&lt;=0,"",IFERROR(I173/E173-1,"")))</f>
        <v/>
      </c>
      <c r="J175" s="15">
        <f>IF(OR(J173="",F173=""),"",IF(F173&lt;=0,"",IFERROR(J173/F173-1,"")))</f>
        <v/>
      </c>
      <c r="K175" s="15">
        <f>IF(OR(K173="",G173=""),"",IF(G173&lt;=0,"",IFERROR(K173/G173-1,"")))</f>
        <v/>
      </c>
      <c r="L175" s="15">
        <f>IF(OR(L173="",H173=""),"",IF(H173&lt;=0,"",IFERROR(L173/H173-1,"")))</f>
        <v/>
      </c>
      <c r="M175" s="15">
        <f>IF(OR(M173="",I173=""),"",IF(I173&lt;=0,"",IFERROR(M173/I173-1,"")))</f>
        <v/>
      </c>
      <c r="N175" s="15">
        <f>IF(OR(N173="",J173=""),"",IF(J173&lt;=0,"",IFERROR(N173/J173-1,"")))</f>
        <v/>
      </c>
      <c r="V175" s="15">
        <f>IF(OR(V173="",U173=""),"",IF(U173&lt;=0,"",IFERROR(V173/U173-1,"")))</f>
        <v/>
      </c>
      <c r="W175" s="15">
        <f>IF(OR(W173="",V173=""),"",IF(V173&lt;=0,"",IFERROR(W173/V173-1,"")))</f>
        <v/>
      </c>
      <c r="X175" s="15">
        <f>IF(OR(X173="",W173=""),"",IF(W173&lt;=0,"",IFERROR(X173/W173-1,"")))</f>
        <v/>
      </c>
    </row>
    <row r="176">
      <c r="A176" s="18" t="inlineStr">
        <is>
          <t>보고부문 합계 · 부문 이익</t>
        </is>
      </c>
      <c r="C176" s="20" t="n">
        <v>1445.766</v>
      </c>
      <c r="D176" s="20" t="n">
        <v>1091.035</v>
      </c>
      <c r="E176" s="20" t="n">
        <v>1735.674</v>
      </c>
      <c r="F176" s="20" t="n">
        <v>1499.126</v>
      </c>
      <c r="G176" s="20" t="n">
        <v>1592.194</v>
      </c>
      <c r="H176" s="20" t="n">
        <v>1474.554</v>
      </c>
      <c r="I176" s="20" t="n">
        <v>1890.528</v>
      </c>
      <c r="J176" s="20" t="n">
        <v>1819.401</v>
      </c>
      <c r="K176" s="20" t="n">
        <v>1722.725</v>
      </c>
      <c r="L176" s="20" t="n">
        <v>1453.3</v>
      </c>
      <c r="M176" s="20" t="n">
        <v>1914.181</v>
      </c>
      <c r="N176" s="20" t="n">
        <v>2424.474</v>
      </c>
      <c r="V176" s="20" t="n">
        <v>1091.035</v>
      </c>
      <c r="W176" s="20" t="n">
        <v>1474.554</v>
      </c>
      <c r="X176" s="20" t="n">
        <v>1453.3</v>
      </c>
    </row>
    <row r="177">
      <c r="A177" s="43" t="inlineStr">
        <is>
          <t>OPM</t>
        </is>
      </c>
      <c r="B177" s="3" t="inlineStr">
        <is>
          <t>영업이익 ÷ 매출</t>
        </is>
      </c>
      <c r="C177" s="15">
        <f>IF(OR(C176="",C161=""),"",IF(C161&lt;=0,"",IFERROR(C176/C161,"")))</f>
        <v/>
      </c>
      <c r="D177" s="15">
        <f>IF(OR(D176="",D161=""),"",IF(D161&lt;=0,"",IFERROR(D176/D161,"")))</f>
        <v/>
      </c>
      <c r="E177" s="15">
        <f>IF(OR(E176="",E161=""),"",IF(E161&lt;=0,"",IFERROR(E176/E161,"")))</f>
        <v/>
      </c>
      <c r="F177" s="15">
        <f>IF(OR(F176="",F161=""),"",IF(F161&lt;=0,"",IFERROR(F176/F161,"")))</f>
        <v/>
      </c>
      <c r="G177" s="15">
        <f>IF(OR(G176="",G161=""),"",IF(G161&lt;=0,"",IFERROR(G176/G161,"")))</f>
        <v/>
      </c>
      <c r="H177" s="15">
        <f>IF(OR(H176="",H161=""),"",IF(H161&lt;=0,"",IFERROR(H176/H161,"")))</f>
        <v/>
      </c>
      <c r="I177" s="15">
        <f>IF(OR(I176="",I161=""),"",IF(I161&lt;=0,"",IFERROR(I176/I161,"")))</f>
        <v/>
      </c>
      <c r="J177" s="15">
        <f>IF(OR(J176="",J161=""),"",IF(J161&lt;=0,"",IFERROR(J176/J161,"")))</f>
        <v/>
      </c>
      <c r="K177" s="15">
        <f>IF(OR(K176="",K161=""),"",IF(K161&lt;=0,"",IFERROR(K176/K161,"")))</f>
        <v/>
      </c>
      <c r="L177" s="15">
        <f>IF(OR(L176="",L161=""),"",IF(L161&lt;=0,"",IFERROR(L176/L161,"")))</f>
        <v/>
      </c>
      <c r="M177" s="15">
        <f>IF(OR(M176="",M161=""),"",IF(M161&lt;=0,"",IFERROR(M176/M161,"")))</f>
        <v/>
      </c>
      <c r="N177" s="15">
        <f>IF(OR(N176="",N161=""),"",IF(N161&lt;=0,"",IFERROR(N176/N161,"")))</f>
        <v/>
      </c>
      <c r="V177" s="15">
        <f>IF(OR(V176="",V161=""),"",IF(V161&lt;=0,"",IFERROR(V176/V161,"")))</f>
        <v/>
      </c>
      <c r="W177" s="15">
        <f>IF(OR(W176="",W161=""),"",IF(W161&lt;=0,"",IFERROR(W176/W161,"")))</f>
        <v/>
      </c>
      <c r="X177" s="15">
        <f>IF(OR(X176="",X161=""),"",IF(X161&lt;=0,"",IFERROR(X176/X161,"")))</f>
        <v/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G178" s="15">
        <f>IF(OR(G176="",C176=""),"",IF(C176&lt;=0,"",IFERROR(G176/C176-1,"")))</f>
        <v/>
      </c>
      <c r="H178" s="15">
        <f>IF(OR(H176="",D176=""),"",IF(D176&lt;=0,"",IFERROR(H176/D176-1,"")))</f>
        <v/>
      </c>
      <c r="I178" s="15">
        <f>IF(OR(I176="",E176=""),"",IF(E176&lt;=0,"",IFERROR(I176/E176-1,"")))</f>
        <v/>
      </c>
      <c r="J178" s="15">
        <f>IF(OR(J176="",F176=""),"",IF(F176&lt;=0,"",IFERROR(J176/F176-1,"")))</f>
        <v/>
      </c>
      <c r="K178" s="15">
        <f>IF(OR(K176="",G176=""),"",IF(G176&lt;=0,"",IFERROR(K176/G176-1,"")))</f>
        <v/>
      </c>
      <c r="L178" s="15">
        <f>IF(OR(L176="",H176=""),"",IF(H176&lt;=0,"",IFERROR(L176/H176-1,"")))</f>
        <v/>
      </c>
      <c r="M178" s="15">
        <f>IF(OR(M176="",I176=""),"",IF(I176&lt;=0,"",IFERROR(M176/I176-1,"")))</f>
        <v/>
      </c>
      <c r="N178" s="15">
        <f>IF(OR(N176="",J176=""),"",IF(J176&lt;=0,"",IFERROR(N176/J176-1,"")))</f>
        <v/>
      </c>
      <c r="V178" s="15">
        <f>IF(OR(V176="",U176=""),"",IF(U176&lt;=0,"",IFERROR(V176/U176-1,"")))</f>
        <v/>
      </c>
      <c r="W178" s="15">
        <f>IF(OR(W176="",V176=""),"",IF(V176&lt;=0,"",IFERROR(W176/V176-1,"")))</f>
        <v/>
      </c>
      <c r="X178" s="15">
        <f>IF(OR(X176="",W176=""),"",IF(W176&lt;=0,"",IFERROR(X176/W176-1,"")))</f>
        <v/>
      </c>
    </row>
    <row r="179">
      <c r="A179" s="18" t="inlineStr">
        <is>
          <t>조정액 · 부문 이익</t>
        </is>
      </c>
      <c r="C179" s="20" t="n">
        <v>-298.309</v>
      </c>
      <c r="D179" s="20" t="n">
        <v>-291.457</v>
      </c>
      <c r="E179" s="20" t="n">
        <v>-330.293</v>
      </c>
      <c r="F179" s="20" t="n">
        <v>-357.269</v>
      </c>
      <c r="G179" s="20" t="n">
        <v>-357.649</v>
      </c>
      <c r="H179" s="20" t="n">
        <v>-349.586</v>
      </c>
      <c r="I179" s="20" t="n">
        <v>-326.853</v>
      </c>
      <c r="J179" s="20" t="n">
        <v>-360.819</v>
      </c>
      <c r="K179" s="20" t="n">
        <v>-369.996</v>
      </c>
      <c r="L179" s="20" t="n">
        <v>-358.125</v>
      </c>
      <c r="M179" s="20" t="n">
        <v>-343.058</v>
      </c>
      <c r="N179" s="20" t="n">
        <v>-387.648</v>
      </c>
      <c r="V179" s="20" t="n">
        <v>-291.457</v>
      </c>
      <c r="W179" s="20" t="n">
        <v>-349.586</v>
      </c>
      <c r="X179" s="20" t="n">
        <v>-358.125</v>
      </c>
    </row>
    <row r="180">
      <c r="A180" s="18" t="inlineStr">
        <is>
          <t>EntityTotalMember · 부문 이익</t>
        </is>
      </c>
      <c r="I180" s="20" t="n">
        <v>1563.675</v>
      </c>
      <c r="M180" s="20" t="n">
        <v>1571.122</v>
      </c>
    </row>
    <row r="181">
      <c r="A181" s="9" t="inlineStr">
        <is>
          <t>부문 이익</t>
        </is>
      </c>
      <c r="C181" s="12" t="n">
        <v>1147.458</v>
      </c>
      <c r="D181" s="12" t="n">
        <v>799.578</v>
      </c>
      <c r="E181" s="12" t="n">
        <v>1405.381</v>
      </c>
      <c r="F181" s="12" t="n">
        <v>1141.856</v>
      </c>
      <c r="G181" s="12" t="n">
        <v>1234.546</v>
      </c>
      <c r="H181" s="12" t="n">
        <v>1124.967</v>
      </c>
      <c r="I181" s="12" t="n">
        <v>1563.675</v>
      </c>
      <c r="J181" s="12" t="n">
        <v>1458.581</v>
      </c>
      <c r="K181" s="12" t="n">
        <v>1352.729</v>
      </c>
      <c r="L181" s="12" t="n">
        <v>1095.175</v>
      </c>
      <c r="V181" s="12" t="n">
        <v>799.578</v>
      </c>
      <c r="W181" s="12" t="n">
        <v>1124.967</v>
      </c>
      <c r="X181" s="12" t="n">
        <v>1095.175</v>
      </c>
    </row>
    <row r="182">
      <c r="A182" s="43" t="inlineStr">
        <is>
          <t>OPM</t>
        </is>
      </c>
      <c r="B182" s="3" t="inlineStr">
        <is>
          <t>영업이익 ÷ 매출</t>
        </is>
      </c>
      <c r="C182" s="15">
        <f>IF(OR(C181="",C146=""),"",IF(C146&lt;=0,"",IFERROR(C181/C146,"")))</f>
        <v/>
      </c>
      <c r="D182" s="15">
        <f>IF(OR(D181="",D146=""),"",IF(D146&lt;=0,"",IFERROR(D181/D146,"")))</f>
        <v/>
      </c>
      <c r="E182" s="15">
        <f>IF(OR(E181="",E146=""),"",IF(E146&lt;=0,"",IFERROR(E181/E146,"")))</f>
        <v/>
      </c>
      <c r="F182" s="15">
        <f>IF(OR(F181="",F146=""),"",IF(F146&lt;=0,"",IFERROR(F181/F146,"")))</f>
        <v/>
      </c>
      <c r="G182" s="15">
        <f>IF(OR(G181="",G146=""),"",IF(G146&lt;=0,"",IFERROR(G181/G146,"")))</f>
        <v/>
      </c>
      <c r="H182" s="15">
        <f>IF(OR(H181="",H146=""),"",IF(H146&lt;=0,"",IFERROR(H181/H146,"")))</f>
        <v/>
      </c>
      <c r="I182" s="15">
        <f>IF(OR(I181="",I146=""),"",IF(I146&lt;=0,"",IFERROR(I181/I146,"")))</f>
        <v/>
      </c>
      <c r="J182" s="15">
        <f>IF(OR(J181="",J146=""),"",IF(J146&lt;=0,"",IFERROR(J181/J146,"")))</f>
        <v/>
      </c>
      <c r="K182" s="15">
        <f>IF(OR(K181="",K146=""),"",IF(K146&lt;=0,"",IFERROR(K181/K146,"")))</f>
        <v/>
      </c>
      <c r="L182" s="15">
        <f>IF(OR(L181="",L146=""),"",IF(L146&lt;=0,"",IFERROR(L181/L146,"")))</f>
        <v/>
      </c>
      <c r="V182" s="15">
        <f>IF(OR(V181="",V146=""),"",IF(V146&lt;=0,"",IFERROR(V181/V146,"")))</f>
        <v/>
      </c>
      <c r="W182" s="15">
        <f>IF(OR(W181="",W146=""),"",IF(W146&lt;=0,"",IFERROR(W181/W146,"")))</f>
        <v/>
      </c>
      <c r="X182" s="15">
        <f>IF(OR(X181="",X146=""),"",IF(X146&lt;=0,"",IFERROR(X181/X146,"")))</f>
        <v/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IF(OR(G181="",C181=""),"",IF(C181&lt;=0,"",IFERROR(G181/C181-1,"")))</f>
        <v/>
      </c>
      <c r="H183" s="15">
        <f>IF(OR(H181="",D181=""),"",IF(D181&lt;=0,"",IFERROR(H181/D181-1,"")))</f>
        <v/>
      </c>
      <c r="I183" s="15">
        <f>IF(OR(I181="",E181=""),"",IF(E181&lt;=0,"",IFERROR(I181/E181-1,"")))</f>
        <v/>
      </c>
      <c r="J183" s="15">
        <f>IF(OR(J181="",F181=""),"",IF(F181&lt;=0,"",IFERROR(J181/F181-1,"")))</f>
        <v/>
      </c>
      <c r="K183" s="15">
        <f>IF(OR(K181="",G181=""),"",IF(G181&lt;=0,"",IFERROR(K181/G181-1,"")))</f>
        <v/>
      </c>
      <c r="L183" s="15">
        <f>IF(OR(L181="",H181=""),"",IF(H181&lt;=0,"",IFERROR(L181/H181-1,"")))</f>
        <v/>
      </c>
      <c r="V183" s="15">
        <f>IF(OR(V181="",U181=""),"",IF(U181&lt;=0,"",IFERROR(V181/U181-1,"")))</f>
        <v/>
      </c>
      <c r="W183" s="15">
        <f>IF(OR(W181="",V181=""),"",IF(V181&lt;=0,"",IFERROR(W181/V181-1,"")))</f>
        <v/>
      </c>
      <c r="X183" s="15">
        <f>IF(OR(X181="",W181=""),"",IF(W181&lt;=0,"",IFERROR(X181/W181-1,"")))</f>
        <v/>
      </c>
    </row>
    <row r="185">
      <c r="A185" s="16" t="inlineStr">
        <is>
          <t>현금흐름표 · 전 항목</t>
        </is>
      </c>
      <c r="B185" s="42" t="inlineStr">
        <is>
          <t>분기 = 결산기 첫날부터 누계(공시 그대로)</t>
        </is>
      </c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</row>
    <row r="186">
      <c r="A186" s="5" t="inlineStr">
        <is>
          <t>항목</t>
        </is>
      </c>
      <c r="B186" s="5" t="inlineStr">
        <is>
          <t>참고</t>
        </is>
      </c>
      <c r="C186" s="5" t="inlineStr">
        <is>
          <t>2023.3Q</t>
        </is>
      </c>
      <c r="D186" s="5" t="inlineStr">
        <is>
          <t>2023.4Q</t>
        </is>
      </c>
      <c r="E186" s="5" t="inlineStr">
        <is>
          <t>2024.1Q</t>
        </is>
      </c>
      <c r="F186" s="5" t="inlineStr">
        <is>
          <t>2024.2Q</t>
        </is>
      </c>
      <c r="G186" s="5" t="inlineStr">
        <is>
          <t>2024.3Q</t>
        </is>
      </c>
      <c r="H186" s="5" t="inlineStr">
        <is>
          <t>2024.4Q</t>
        </is>
      </c>
      <c r="I186" s="5" t="inlineStr">
        <is>
          <t>2025.1Q</t>
        </is>
      </c>
      <c r="J186" s="5" t="inlineStr">
        <is>
          <t>2025.2Q</t>
        </is>
      </c>
      <c r="K186" s="5" t="inlineStr">
        <is>
          <t>2025.3Q</t>
        </is>
      </c>
      <c r="L186" s="5" t="inlineStr">
        <is>
          <t>2025.4Q</t>
        </is>
      </c>
      <c r="M186" s="5" t="inlineStr">
        <is>
          <t>2026.1Q</t>
        </is>
      </c>
      <c r="N186" s="5" t="inlineStr">
        <is>
          <t>2026.2Q</t>
        </is>
      </c>
      <c r="O186" s="5" t="inlineStr">
        <is>
          <t>2016</t>
        </is>
      </c>
      <c r="P186" s="5" t="inlineStr">
        <is>
          <t>2017</t>
        </is>
      </c>
      <c r="Q186" s="5" t="inlineStr">
        <is>
          <t>2018</t>
        </is>
      </c>
      <c r="R186" s="5" t="inlineStr">
        <is>
          <t>2019</t>
        </is>
      </c>
      <c r="S186" s="5" t="inlineStr">
        <is>
          <t>2020</t>
        </is>
      </c>
      <c r="T186" s="5" t="inlineStr">
        <is>
          <t>2021</t>
        </is>
      </c>
      <c r="U186" s="5" t="inlineStr">
        <is>
          <t>2022</t>
        </is>
      </c>
      <c r="V186" s="5" t="inlineStr">
        <is>
          <t>2023</t>
        </is>
      </c>
      <c r="W186" s="5" t="inlineStr">
        <is>
          <t>2024</t>
        </is>
      </c>
      <c r="X186" s="5" t="inlineStr">
        <is>
          <t>2025</t>
        </is>
      </c>
      <c r="Y186" s="5" t="inlineStr">
        <is>
          <t>2026(MW)</t>
        </is>
      </c>
      <c r="Z186" s="5" t="inlineStr">
        <is>
          <t>2027(MW)</t>
        </is>
      </c>
      <c r="AA186" s="5" t="inlineStr">
        <is>
          <t>2028(MW)</t>
        </is>
      </c>
      <c r="AB186" s="5" t="inlineStr">
        <is>
          <t>2029(MW)</t>
        </is>
      </c>
      <c r="AC186" s="5" t="inlineStr">
        <is>
          <t>2030(MW)</t>
        </is>
      </c>
    </row>
    <row r="187">
      <c r="A187" s="9" t="inlineStr">
        <is>
          <t>법인세차감전 순이익</t>
        </is>
      </c>
      <c r="D187" s="12" t="n">
        <v>4070.781</v>
      </c>
      <c r="F187" s="12" t="n">
        <v>2478.337</v>
      </c>
      <c r="H187" s="12" t="n">
        <v>4571.614</v>
      </c>
      <c r="J187" s="12" t="n">
        <v>2950.401</v>
      </c>
      <c r="L187" s="12" t="n">
        <v>5240.298</v>
      </c>
      <c r="N187" s="12" t="n">
        <v>3382.236</v>
      </c>
      <c r="O187" s="12" t="n">
        <v>1902.41</v>
      </c>
      <c r="P187" s="12" t="n">
        <v>2322.283</v>
      </c>
      <c r="Q187" s="12" t="n">
        <v>2267.614</v>
      </c>
      <c r="R187" s="12" t="n">
        <v>-2860.693</v>
      </c>
      <c r="S187" s="12" t="n">
        <v>3284.955</v>
      </c>
      <c r="T187" s="12" t="n">
        <v>4519.484</v>
      </c>
      <c r="U187" s="12" t="n">
        <v>3862.108</v>
      </c>
      <c r="V187" s="12" t="n">
        <v>4070.781</v>
      </c>
      <c r="W187" s="12" t="n">
        <v>4571.614</v>
      </c>
      <c r="X187" s="12" t="n">
        <v>5240.298</v>
      </c>
    </row>
    <row r="188">
      <c r="A188" s="18" t="inlineStr">
        <is>
          <t>감가상각비</t>
        </is>
      </c>
      <c r="D188" s="20" t="n">
        <v>1130.341</v>
      </c>
      <c r="F188" s="20" t="n">
        <v>655.114</v>
      </c>
      <c r="H188" s="20" t="n">
        <v>1416.329</v>
      </c>
      <c r="J188" s="20" t="n">
        <v>848.402</v>
      </c>
      <c r="L188" s="20" t="n">
        <v>1807.169</v>
      </c>
      <c r="N188" s="20" t="n">
        <v>1047.582</v>
      </c>
      <c r="O188" s="20" t="n">
        <v>518.9299999999999</v>
      </c>
      <c r="P188" s="20" t="n">
        <v>585.54</v>
      </c>
      <c r="Q188" s="20" t="n">
        <v>645.29</v>
      </c>
      <c r="R188" s="20" t="n">
        <v>663.163</v>
      </c>
      <c r="S188" s="20" t="n">
        <v>783.976</v>
      </c>
      <c r="T188" s="20" t="n">
        <v>879.026</v>
      </c>
      <c r="U188" s="20" t="n">
        <v>987.264</v>
      </c>
      <c r="V188" s="20" t="n">
        <v>1130.341</v>
      </c>
      <c r="W188" s="20" t="n">
        <v>1416.329</v>
      </c>
      <c r="X188" s="20" t="n">
        <v>1807.169</v>
      </c>
    </row>
    <row r="189">
      <c r="A189" s="18" t="inlineStr">
        <is>
          <t>손상차손</t>
        </is>
      </c>
      <c r="D189" s="20" t="n">
        <v>33.464</v>
      </c>
      <c r="H189" s="20" t="n">
        <v>110.693</v>
      </c>
      <c r="L189" s="20" t="n">
        <v>103.56</v>
      </c>
      <c r="O189" s="20" t="n">
        <v>115.354</v>
      </c>
      <c r="P189" s="20" t="n">
        <v>101.009</v>
      </c>
      <c r="Q189" s="20" t="n">
        <v>279.773</v>
      </c>
      <c r="R189" s="20" t="n">
        <v>787.626</v>
      </c>
      <c r="S189" s="20" t="n">
        <v>343.561</v>
      </c>
      <c r="T189" s="20" t="n">
        <v>235.727</v>
      </c>
      <c r="U189" s="20" t="n">
        <v>14.641</v>
      </c>
      <c r="V189" s="20" t="n">
        <v>33.464</v>
      </c>
      <c r="W189" s="20" t="n">
        <v>110.693</v>
      </c>
      <c r="X189" s="20" t="n">
        <v>103.56</v>
      </c>
    </row>
    <row r="190">
      <c r="A190" s="18" t="inlineStr">
        <is>
          <t>이자·배당금 수익</t>
        </is>
      </c>
      <c r="D190" s="20" t="n">
        <v>-1.425</v>
      </c>
      <c r="F190" s="20" t="n">
        <v>-0.572</v>
      </c>
      <c r="H190" s="20" t="n">
        <v>-1.669</v>
      </c>
      <c r="J190" s="20" t="n">
        <v>-0.585</v>
      </c>
      <c r="L190" s="20" t="n">
        <v>-1.204</v>
      </c>
      <c r="N190" s="20" t="n">
        <v>-0.02</v>
      </c>
      <c r="O190" s="20" t="n">
        <v>-10.483</v>
      </c>
      <c r="P190" s="20" t="n">
        <v>-8.837999999999999</v>
      </c>
      <c r="Q190" s="20" t="n">
        <v>-8.41</v>
      </c>
      <c r="R190" s="20" t="n">
        <v>-8.843</v>
      </c>
      <c r="S190" s="20" t="n">
        <v>-8.85</v>
      </c>
      <c r="T190" s="20" t="n">
        <v>-8.659000000000001</v>
      </c>
      <c r="U190" s="20" t="n">
        <v>-1.281</v>
      </c>
      <c r="V190" s="20" t="n">
        <v>-1.425</v>
      </c>
      <c r="W190" s="20" t="n">
        <v>-1.669</v>
      </c>
      <c r="X190" s="20" t="n">
        <v>-1.204</v>
      </c>
    </row>
    <row r="191">
      <c r="A191" s="18" t="inlineStr">
        <is>
          <t>Increase Decrease In Provision For Loss On Subleases Ope CF</t>
        </is>
      </c>
      <c r="D191" s="20" t="n">
        <v>0.696</v>
      </c>
      <c r="F191" s="20" t="n">
        <v>2.618</v>
      </c>
      <c r="H191" s="20" t="n">
        <v>-15.711</v>
      </c>
      <c r="J191" s="20" t="n">
        <v>-4.215</v>
      </c>
      <c r="L191" s="20" t="n">
        <v>0.467</v>
      </c>
      <c r="N191" s="20" t="n">
        <v>2.055</v>
      </c>
      <c r="P191" s="20" t="n">
        <v>0</v>
      </c>
      <c r="Q191" s="20" t="n">
        <v>160.691</v>
      </c>
      <c r="R191" s="20" t="n">
        <v>-11.943</v>
      </c>
      <c r="S191" s="20" t="n">
        <v>-31.204</v>
      </c>
      <c r="T191" s="20" t="n">
        <v>-59.633</v>
      </c>
      <c r="U191" s="20" t="n">
        <v>-36.76</v>
      </c>
      <c r="V191" s="20" t="n">
        <v>0.696</v>
      </c>
      <c r="W191" s="20" t="n">
        <v>-15.711</v>
      </c>
      <c r="X191" s="20" t="n">
        <v>0.467</v>
      </c>
    </row>
    <row r="192">
      <c r="A192" s="18" t="inlineStr">
        <is>
          <t>Increase Decrease In Provision For Loss On Repurchase Ope CF</t>
        </is>
      </c>
      <c r="Q192" s="20" t="n">
        <v>0</v>
      </c>
      <c r="R192" s="20" t="n">
        <v>5195.345</v>
      </c>
      <c r="S192" s="20" t="n">
        <v>-2897.353</v>
      </c>
      <c r="T192" s="20" t="n">
        <v>-2297.992</v>
      </c>
      <c r="U192" s="20" t="n">
        <v>0</v>
      </c>
    </row>
    <row r="193">
      <c r="A193" s="18" t="inlineStr">
        <is>
          <t>이자비용·사채이자</t>
        </is>
      </c>
      <c r="D193" s="20" t="n">
        <v>143.841</v>
      </c>
      <c r="F193" s="20" t="n">
        <v>91.087</v>
      </c>
      <c r="H193" s="20" t="n">
        <v>204.253</v>
      </c>
      <c r="J193" s="20" t="n">
        <v>155.69</v>
      </c>
      <c r="L193" s="20" t="n">
        <v>343.454</v>
      </c>
      <c r="N193" s="20" t="n">
        <v>272.895</v>
      </c>
      <c r="O193" s="20" t="n">
        <v>40.216</v>
      </c>
      <c r="P193" s="20" t="n">
        <v>64.06999999999999</v>
      </c>
      <c r="Q193" s="20" t="n">
        <v>112.462</v>
      </c>
      <c r="R193" s="20" t="n">
        <v>125.698</v>
      </c>
      <c r="S193" s="20" t="n">
        <v>133.753</v>
      </c>
      <c r="T193" s="20" t="n">
        <v>108.868</v>
      </c>
      <c r="U193" s="20" t="n">
        <v>127.621</v>
      </c>
      <c r="V193" s="20" t="n">
        <v>143.841</v>
      </c>
      <c r="W193" s="20" t="n">
        <v>204.253</v>
      </c>
      <c r="X193" s="20" t="n">
        <v>343.454</v>
      </c>
    </row>
    <row r="194">
      <c r="A194" s="18" t="inlineStr">
        <is>
          <t>고정자산 매각손익</t>
        </is>
      </c>
      <c r="D194" s="20" t="n">
        <v>-12.405</v>
      </c>
      <c r="F194" s="20" t="n">
        <v>0.12</v>
      </c>
      <c r="H194" s="20" t="n">
        <v>-1.579</v>
      </c>
      <c r="J194" s="20" t="n">
        <v>0</v>
      </c>
      <c r="L194" s="20" t="n">
        <v>0</v>
      </c>
      <c r="N194" s="20" t="n">
        <v>-7.775</v>
      </c>
      <c r="O194" s="20" t="n">
        <v>-17.208</v>
      </c>
      <c r="P194" s="20" t="n">
        <v>-31.547</v>
      </c>
      <c r="Q194" s="20" t="n">
        <v>-17.498</v>
      </c>
      <c r="R194" s="20" t="n">
        <v>-17.67</v>
      </c>
      <c r="S194" s="20" t="n">
        <v>-17.114</v>
      </c>
      <c r="T194" s="20" t="n">
        <v>-17.821</v>
      </c>
      <c r="U194" s="20" t="n">
        <v>-16.799</v>
      </c>
      <c r="V194" s="20" t="n">
        <v>-12.405</v>
      </c>
      <c r="W194" s="20" t="n">
        <v>-1.579</v>
      </c>
      <c r="X194" s="20" t="n">
        <v>0</v>
      </c>
    </row>
    <row r="195">
      <c r="A195" s="18" t="inlineStr">
        <is>
          <t>고정자산 제각손실</t>
        </is>
      </c>
      <c r="D195" s="20" t="n">
        <v>18.19</v>
      </c>
      <c r="F195" s="20" t="n">
        <v>5.918</v>
      </c>
      <c r="H195" s="20" t="n">
        <v>35.063</v>
      </c>
      <c r="J195" s="20" t="n">
        <v>0.393</v>
      </c>
      <c r="L195" s="20" t="n">
        <v>32.537</v>
      </c>
      <c r="N195" s="20" t="n">
        <v>0.764</v>
      </c>
      <c r="O195" s="20" t="n">
        <v>12.798</v>
      </c>
      <c r="P195" s="20" t="n">
        <v>22.498</v>
      </c>
      <c r="Q195" s="20" t="n">
        <v>9.938000000000001</v>
      </c>
      <c r="R195" s="20" t="n">
        <v>56.509</v>
      </c>
      <c r="S195" s="20" t="n">
        <v>27.619</v>
      </c>
      <c r="T195" s="20" t="n">
        <v>41.131</v>
      </c>
      <c r="U195" s="20" t="n">
        <v>35.45</v>
      </c>
      <c r="V195" s="20" t="n">
        <v>18.19</v>
      </c>
      <c r="W195" s="20" t="n">
        <v>35.063</v>
      </c>
      <c r="X195" s="20" t="n">
        <v>32.537</v>
      </c>
    </row>
    <row r="196">
      <c r="A196" s="18" t="inlineStr">
        <is>
          <t>투자유가증권 상환손익</t>
        </is>
      </c>
      <c r="T196" s="20" t="n">
        <v>0</v>
      </c>
      <c r="U196" s="20" t="n">
        <v>-136.793</v>
      </c>
    </row>
    <row r="197">
      <c r="A197" s="18" t="inlineStr">
        <is>
          <t>사업양도 손익</t>
        </is>
      </c>
      <c r="O197" s="20" t="n">
        <v>-11.55</v>
      </c>
      <c r="P197" s="20" t="n">
        <v>-11.55</v>
      </c>
      <c r="Q197" s="20" t="n">
        <v>-2.887</v>
      </c>
      <c r="R197" s="20" t="n">
        <v>0</v>
      </c>
      <c r="S197" s="20" t="n">
        <v>0</v>
      </c>
      <c r="T197" s="20" t="n">
        <v>-193.92</v>
      </c>
      <c r="U197" s="20" t="n">
        <v>0</v>
      </c>
    </row>
    <row r="198">
      <c r="A198" s="18" t="inlineStr">
        <is>
          <t>투자유가증권 매각손익</t>
        </is>
      </c>
      <c r="O198" s="20" t="n">
        <v>2.406</v>
      </c>
      <c r="P198" s="20" t="n">
        <v>0</v>
      </c>
    </row>
    <row r="199">
      <c r="A199" s="18" t="inlineStr">
        <is>
          <t>Loss Gain On Liquidation Of Investment Securities Ope CF</t>
        </is>
      </c>
      <c r="D199" s="20" t="n">
        <v>-29.591</v>
      </c>
      <c r="F199" s="20" t="n">
        <v>0</v>
      </c>
      <c r="H199" s="20" t="n">
        <v>-1.72</v>
      </c>
      <c r="U199" s="20" t="n">
        <v>-136.793</v>
      </c>
      <c r="V199" s="20" t="n">
        <v>-29.591</v>
      </c>
      <c r="W199" s="20" t="n">
        <v>-1.72</v>
      </c>
    </row>
    <row r="200">
      <c r="A200" s="18" t="inlineStr">
        <is>
          <t>매출채권 증감</t>
        </is>
      </c>
      <c r="D200" s="20" t="n">
        <v>-4.859</v>
      </c>
      <c r="F200" s="20" t="n">
        <v>-18.688</v>
      </c>
      <c r="H200" s="20" t="n">
        <v>-30.096</v>
      </c>
      <c r="J200" s="20" t="n">
        <v>-60.477</v>
      </c>
      <c r="L200" s="20" t="n">
        <v>-38.577</v>
      </c>
      <c r="N200" s="20" t="n">
        <v>-69.916</v>
      </c>
      <c r="O200" s="20" t="n">
        <v>-117.203</v>
      </c>
      <c r="P200" s="20" t="n">
        <v>111.173</v>
      </c>
      <c r="Q200" s="20" t="n">
        <v>-1.816</v>
      </c>
      <c r="R200" s="20" t="n">
        <v>-32.58</v>
      </c>
      <c r="S200" s="20" t="n">
        <v>9.32</v>
      </c>
      <c r="T200" s="20" t="n">
        <v>9.474</v>
      </c>
      <c r="U200" s="20" t="n">
        <v>-6.972</v>
      </c>
      <c r="V200" s="20" t="n">
        <v>-4.859</v>
      </c>
      <c r="W200" s="20" t="n">
        <v>-30.096</v>
      </c>
      <c r="X200" s="20" t="n">
        <v>-38.577</v>
      </c>
    </row>
    <row r="201">
      <c r="A201" s="18" t="inlineStr">
        <is>
          <t>재고자산 증감</t>
        </is>
      </c>
      <c r="D201" s="20" t="n">
        <v>-150.483</v>
      </c>
      <c r="F201" s="20" t="n">
        <v>1300.638</v>
      </c>
      <c r="H201" s="20" t="n">
        <v>637.7</v>
      </c>
      <c r="J201" s="20" t="n">
        <v>848.155</v>
      </c>
      <c r="L201" s="20" t="n">
        <v>-877.1609999999999</v>
      </c>
      <c r="N201" s="20" t="n">
        <v>1132.848</v>
      </c>
      <c r="O201" s="20" t="n">
        <v>-2263.281</v>
      </c>
      <c r="P201" s="20" t="n">
        <v>-5787.899</v>
      </c>
      <c r="Q201" s="20" t="n">
        <v>-4588.392</v>
      </c>
      <c r="R201" s="20" t="n">
        <v>1330.143</v>
      </c>
      <c r="S201" s="20" t="n">
        <v>2537.877</v>
      </c>
      <c r="T201" s="20" t="n">
        <v>1476.154</v>
      </c>
      <c r="U201" s="20" t="n">
        <v>-1797.871</v>
      </c>
      <c r="V201" s="20" t="n">
        <v>-150.483</v>
      </c>
      <c r="W201" s="20" t="n">
        <v>637.7</v>
      </c>
      <c r="X201" s="20" t="n">
        <v>-877.1609999999999</v>
      </c>
    </row>
    <row r="202">
      <c r="A202" s="18" t="inlineStr">
        <is>
          <t>미수 소비세 증감</t>
        </is>
      </c>
      <c r="D202" s="20" t="n">
        <v>0</v>
      </c>
      <c r="F202" s="20" t="n">
        <v>0</v>
      </c>
      <c r="H202" s="20" t="n">
        <v>-67.038</v>
      </c>
      <c r="J202" s="20" t="n">
        <v>67.039</v>
      </c>
      <c r="L202" s="20" t="n">
        <v>67.038</v>
      </c>
      <c r="N202" s="20" t="n">
        <v>0</v>
      </c>
      <c r="O202" s="20" t="n">
        <v>70.194</v>
      </c>
      <c r="P202" s="20" t="n">
        <v>0</v>
      </c>
      <c r="Q202" s="20" t="n">
        <v>-50.183</v>
      </c>
      <c r="R202" s="20" t="n">
        <v>50.183</v>
      </c>
      <c r="S202" s="20" t="n">
        <v>-560.489</v>
      </c>
      <c r="T202" s="20" t="n">
        <v>560.489</v>
      </c>
      <c r="U202" s="20" t="n">
        <v>0</v>
      </c>
      <c r="V202" s="20" t="n">
        <v>0</v>
      </c>
      <c r="W202" s="20" t="n">
        <v>-67.038</v>
      </c>
      <c r="X202" s="20" t="n">
        <v>67.038</v>
      </c>
    </row>
    <row r="203">
      <c r="A203" s="18" t="inlineStr">
        <is>
          <t>매입채무 증감</t>
        </is>
      </c>
      <c r="D203" s="20" t="n">
        <v>18.073</v>
      </c>
      <c r="F203" s="20" t="n">
        <v>-20.77</v>
      </c>
      <c r="H203" s="20" t="n">
        <v>17.94</v>
      </c>
      <c r="J203" s="20" t="n">
        <v>-3.157</v>
      </c>
      <c r="L203" s="20" t="n">
        <v>37.696</v>
      </c>
      <c r="N203" s="20" t="n">
        <v>-18.466</v>
      </c>
      <c r="O203" s="20" t="n">
        <v>196.905</v>
      </c>
      <c r="P203" s="20" t="n">
        <v>296.51</v>
      </c>
      <c r="Q203" s="20" t="n">
        <v>-470.672</v>
      </c>
      <c r="R203" s="20" t="n">
        <v>-371.437</v>
      </c>
      <c r="S203" s="20" t="n">
        <v>-10.579</v>
      </c>
      <c r="T203" s="20" t="n">
        <v>3.629</v>
      </c>
      <c r="U203" s="20" t="n">
        <v>-15.438</v>
      </c>
      <c r="V203" s="20" t="n">
        <v>18.073</v>
      </c>
      <c r="W203" s="20" t="n">
        <v>17.94</v>
      </c>
      <c r="X203" s="20" t="n">
        <v>37.696</v>
      </c>
    </row>
    <row r="204">
      <c r="A204" s="18" t="inlineStr">
        <is>
          <t>미지급금 증감</t>
        </is>
      </c>
      <c r="D204" s="20" t="n">
        <v>-28.923</v>
      </c>
      <c r="F204" s="20" t="n">
        <v>71.267</v>
      </c>
      <c r="H204" s="20" t="n">
        <v>47.63</v>
      </c>
      <c r="J204" s="20" t="n">
        <v>46.143</v>
      </c>
      <c r="L204" s="20" t="n">
        <v>55.612</v>
      </c>
      <c r="N204" s="20" t="n">
        <v>438.613</v>
      </c>
      <c r="R204" s="20" t="n">
        <v>-203.03</v>
      </c>
      <c r="S204" s="20" t="n">
        <v>613.09</v>
      </c>
      <c r="T204" s="20" t="n">
        <v>252.848</v>
      </c>
      <c r="U204" s="20" t="n">
        <v>-14.69</v>
      </c>
      <c r="V204" s="20" t="n">
        <v>-28.923</v>
      </c>
      <c r="W204" s="20" t="n">
        <v>47.63</v>
      </c>
      <c r="X204" s="20" t="n">
        <v>55.612</v>
      </c>
    </row>
    <row r="205">
      <c r="A205" s="18" t="inlineStr">
        <is>
          <t>미지급 소비세 증감</t>
        </is>
      </c>
      <c r="D205" s="20" t="n">
        <v>-129.775</v>
      </c>
      <c r="F205" s="20" t="n">
        <v>55.436</v>
      </c>
      <c r="H205" s="20" t="n">
        <v>-37.595</v>
      </c>
      <c r="J205" s="20" t="n">
        <v>290.158</v>
      </c>
      <c r="L205" s="20" t="n">
        <v>359.54</v>
      </c>
      <c r="N205" s="20" t="n">
        <v>-266.604</v>
      </c>
      <c r="O205" s="20" t="n">
        <v>1.404</v>
      </c>
      <c r="P205" s="20" t="n">
        <v>57.057</v>
      </c>
      <c r="Q205" s="20" t="n">
        <v>-58.461</v>
      </c>
      <c r="R205" s="20" t="n">
        <v>382.145</v>
      </c>
      <c r="S205" s="20" t="n">
        <v>-382.145</v>
      </c>
      <c r="T205" s="20" t="n">
        <v>289.113</v>
      </c>
      <c r="U205" s="20" t="n">
        <v>-121.742</v>
      </c>
      <c r="V205" s="20" t="n">
        <v>-129.775</v>
      </c>
      <c r="W205" s="20" t="n">
        <v>-37.595</v>
      </c>
      <c r="X205" s="20" t="n">
        <v>359.54</v>
      </c>
    </row>
    <row r="206">
      <c r="A206" s="18" t="inlineStr">
        <is>
          <t>예수보증금 증감액</t>
        </is>
      </c>
      <c r="D206" s="20" t="n">
        <v>-9.269</v>
      </c>
      <c r="F206" s="20" t="n">
        <v>-7.141</v>
      </c>
      <c r="H206" s="20" t="n">
        <v>-17.743</v>
      </c>
      <c r="J206" s="20" t="n">
        <v>-5.71</v>
      </c>
      <c r="L206" s="20" t="n">
        <v>-9.185</v>
      </c>
      <c r="N206" s="20" t="n">
        <v>-7.728</v>
      </c>
      <c r="O206" s="20" t="n">
        <v>41.39</v>
      </c>
      <c r="P206" s="20" t="n">
        <v>31.039</v>
      </c>
      <c r="Q206" s="20" t="n">
        <v>-60.5</v>
      </c>
      <c r="R206" s="20" t="n">
        <v>-93.947</v>
      </c>
      <c r="S206" s="20" t="n">
        <v>-47.246</v>
      </c>
      <c r="T206" s="20" t="n">
        <v>-30.022</v>
      </c>
      <c r="U206" s="20" t="n">
        <v>-14.93</v>
      </c>
      <c r="V206" s="20" t="n">
        <v>-9.269</v>
      </c>
      <c r="W206" s="20" t="n">
        <v>-17.743</v>
      </c>
      <c r="X206" s="20" t="n">
        <v>-9.185</v>
      </c>
    </row>
    <row r="207">
      <c r="A207" s="18" t="inlineStr">
        <is>
          <t>장기미지급금 증감</t>
        </is>
      </c>
      <c r="R207" s="20" t="n">
        <v>-113.775</v>
      </c>
      <c r="S207" s="20" t="n">
        <v>1100.223</v>
      </c>
      <c r="T207" s="20" t="n">
        <v>413.613</v>
      </c>
      <c r="U207" s="20" t="n">
        <v>0</v>
      </c>
    </row>
    <row r="208">
      <c r="A208" s="18" t="inlineStr">
        <is>
          <t>기타</t>
        </is>
      </c>
      <c r="D208" s="20" t="n">
        <v>61.685</v>
      </c>
      <c r="F208" s="20" t="n">
        <v>-12.941</v>
      </c>
      <c r="H208" s="20" t="n">
        <v>74.79300000000001</v>
      </c>
      <c r="J208" s="20" t="n">
        <v>-505.34</v>
      </c>
      <c r="L208" s="20" t="n">
        <v>-157.84</v>
      </c>
      <c r="N208" s="20" t="n">
        <v>-167.517</v>
      </c>
      <c r="O208" s="20" t="n">
        <v>-74.657</v>
      </c>
      <c r="P208" s="20" t="n">
        <v>-108.949</v>
      </c>
      <c r="Q208" s="20" t="n">
        <v>400.808</v>
      </c>
      <c r="R208" s="20" t="n">
        <v>134.93</v>
      </c>
      <c r="S208" s="20" t="n">
        <v>192.536</v>
      </c>
      <c r="T208" s="20" t="n">
        <v>11.228</v>
      </c>
      <c r="U208" s="20" t="n">
        <v>-167.58</v>
      </c>
      <c r="V208" s="20" t="n">
        <v>61.685</v>
      </c>
      <c r="W208" s="20" t="n">
        <v>74.79300000000001</v>
      </c>
      <c r="X208" s="20" t="n">
        <v>-157.84</v>
      </c>
    </row>
    <row r="209">
      <c r="A209" s="18" t="inlineStr">
        <is>
          <t>소계</t>
        </is>
      </c>
      <c r="D209" s="20" t="n">
        <v>5110.342</v>
      </c>
      <c r="F209" s="20" t="n">
        <v>4600.424</v>
      </c>
      <c r="H209" s="20" t="n">
        <v>6944.584</v>
      </c>
      <c r="J209" s="20" t="n">
        <v>4626.897</v>
      </c>
      <c r="L209" s="20" t="n">
        <v>6963.407</v>
      </c>
      <c r="N209" s="20" t="n">
        <v>5738.967</v>
      </c>
      <c r="O209" s="20" t="n">
        <v>407.627</v>
      </c>
      <c r="P209" s="20" t="n">
        <v>-2357.6</v>
      </c>
      <c r="Q209" s="20" t="n">
        <v>-1382.244</v>
      </c>
      <c r="R209" s="20" t="n">
        <v>5011.824</v>
      </c>
      <c r="S209" s="20" t="n">
        <v>5071.93</v>
      </c>
      <c r="T209" s="20" t="n">
        <v>6192.742</v>
      </c>
      <c r="U209" s="20" t="n">
        <v>2696.225</v>
      </c>
      <c r="V209" s="20" t="n">
        <v>5110.342</v>
      </c>
      <c r="W209" s="20" t="n">
        <v>6944.584</v>
      </c>
      <c r="X209" s="20" t="n">
        <v>6963.407</v>
      </c>
    </row>
    <row r="210">
      <c r="A210" s="18" t="inlineStr">
        <is>
          <t>이자·배당금 수취</t>
        </is>
      </c>
      <c r="D210" s="20" t="n">
        <v>1.425</v>
      </c>
      <c r="F210" s="20" t="n">
        <v>0.572</v>
      </c>
      <c r="H210" s="20" t="n">
        <v>1.669</v>
      </c>
      <c r="J210" s="20" t="n">
        <v>0.585</v>
      </c>
      <c r="L210" s="20" t="n">
        <v>1.204</v>
      </c>
      <c r="N210" s="20" t="n">
        <v>0.02</v>
      </c>
      <c r="O210" s="20" t="n">
        <v>10.529</v>
      </c>
      <c r="P210" s="20" t="n">
        <v>8.779999999999999</v>
      </c>
      <c r="Q210" s="20" t="n">
        <v>8.41</v>
      </c>
      <c r="R210" s="20" t="n">
        <v>8.85</v>
      </c>
      <c r="S210" s="20" t="n">
        <v>8.843</v>
      </c>
      <c r="T210" s="20" t="n">
        <v>11.145</v>
      </c>
      <c r="U210" s="20" t="n">
        <v>1.281</v>
      </c>
      <c r="V210" s="20" t="n">
        <v>1.425</v>
      </c>
      <c r="W210" s="20" t="n">
        <v>1.669</v>
      </c>
      <c r="X210" s="20" t="n">
        <v>1.204</v>
      </c>
    </row>
    <row r="211">
      <c r="A211" s="18" t="inlineStr">
        <is>
          <t>이자 지급</t>
        </is>
      </c>
      <c r="D211" s="20" t="n">
        <v>-144.289</v>
      </c>
      <c r="F211" s="20" t="n">
        <v>-90.67</v>
      </c>
      <c r="H211" s="20" t="n">
        <v>-204.062</v>
      </c>
      <c r="J211" s="20" t="n">
        <v>-161.721</v>
      </c>
      <c r="L211" s="20" t="n">
        <v>-345.704</v>
      </c>
      <c r="N211" s="20" t="n">
        <v>-271.598</v>
      </c>
      <c r="O211" s="20" t="n">
        <v>-45.728</v>
      </c>
      <c r="P211" s="20" t="n">
        <v>-64.943</v>
      </c>
      <c r="Q211" s="20" t="n">
        <v>-114.511</v>
      </c>
      <c r="R211" s="20" t="n">
        <v>-117.299</v>
      </c>
      <c r="S211" s="20" t="n">
        <v>-130.321</v>
      </c>
      <c r="T211" s="20" t="n">
        <v>-111.303</v>
      </c>
      <c r="U211" s="20" t="n">
        <v>-128.2</v>
      </c>
      <c r="V211" s="20" t="n">
        <v>-144.289</v>
      </c>
      <c r="W211" s="20" t="n">
        <v>-204.062</v>
      </c>
      <c r="X211" s="20" t="n">
        <v>-345.704</v>
      </c>
    </row>
    <row r="212">
      <c r="A212" s="18" t="inlineStr">
        <is>
          <t>Payments For Loss On Repurchase Subtotal</t>
        </is>
      </c>
      <c r="R212" s="20" t="n">
        <v>0</v>
      </c>
      <c r="S212" s="20" t="n">
        <v>-419.587</v>
      </c>
    </row>
    <row r="213">
      <c r="A213" s="18" t="inlineStr">
        <is>
          <t>Payments For Loss On Repurchase Ope CF</t>
        </is>
      </c>
      <c r="D213" s="20" t="n">
        <v>-273.339</v>
      </c>
      <c r="F213" s="20" t="n">
        <v>-136.611</v>
      </c>
      <c r="H213" s="20" t="n">
        <v>-269.036</v>
      </c>
      <c r="J213" s="20" t="n">
        <v>-108.414</v>
      </c>
      <c r="L213" s="20" t="n">
        <v>-192.779</v>
      </c>
      <c r="N213" s="20" t="n">
        <v>-50.801</v>
      </c>
      <c r="S213" s="20" t="n">
        <v>-419.587</v>
      </c>
      <c r="T213" s="20" t="n">
        <v>-398.806</v>
      </c>
      <c r="U213" s="20" t="n">
        <v>-317.587</v>
      </c>
      <c r="V213" s="20" t="n">
        <v>-273.339</v>
      </c>
      <c r="W213" s="20" t="n">
        <v>-269.036</v>
      </c>
      <c r="X213" s="20" t="n">
        <v>-192.779</v>
      </c>
    </row>
    <row r="214">
      <c r="A214" s="18" t="inlineStr">
        <is>
          <t>법인세 납부</t>
        </is>
      </c>
      <c r="D214" s="20" t="n">
        <v>-1169.074</v>
      </c>
      <c r="F214" s="20" t="n">
        <v>-524.566</v>
      </c>
      <c r="H214" s="20" t="n">
        <v>-1150.977</v>
      </c>
      <c r="J214" s="20" t="n">
        <v>-546.133</v>
      </c>
      <c r="L214" s="20" t="n">
        <v>-1208.282</v>
      </c>
      <c r="N214" s="20" t="n">
        <v>-1169.191</v>
      </c>
      <c r="O214" s="20" t="n">
        <v>-1081.385</v>
      </c>
      <c r="P214" s="20" t="n">
        <v>-579.0890000000001</v>
      </c>
      <c r="Q214" s="20" t="n">
        <v>-892.518</v>
      </c>
      <c r="R214" s="20" t="n">
        <v>-848.103</v>
      </c>
      <c r="S214" s="20" t="n">
        <v>-2010.466</v>
      </c>
      <c r="T214" s="20" t="n">
        <v>-236.921</v>
      </c>
      <c r="U214" s="20" t="n">
        <v>-871.925</v>
      </c>
      <c r="V214" s="20" t="n">
        <v>-1169.074</v>
      </c>
      <c r="W214" s="20" t="n">
        <v>-1150.977</v>
      </c>
      <c r="X214" s="20" t="n">
        <v>-1208.282</v>
      </c>
    </row>
    <row r="215">
      <c r="A215" s="18" t="inlineStr">
        <is>
          <t>법인세 환급</t>
        </is>
      </c>
      <c r="D215" s="20" t="n">
        <v>5.432</v>
      </c>
      <c r="F215" s="20" t="n">
        <v>0</v>
      </c>
      <c r="H215" s="20" t="n">
        <v>0</v>
      </c>
      <c r="S215" s="20" t="n">
        <v>0</v>
      </c>
      <c r="T215" s="20" t="n">
        <v>284.475</v>
      </c>
      <c r="U215" s="20" t="n">
        <v>225.4</v>
      </c>
      <c r="V215" s="20" t="n">
        <v>5.432</v>
      </c>
      <c r="W215" s="20" t="n">
        <v>0</v>
      </c>
    </row>
    <row r="216">
      <c r="A216" s="9" t="inlineStr">
        <is>
          <t>영업활동 현금흐름</t>
        </is>
      </c>
      <c r="D216" s="12" t="n">
        <v>3530.496</v>
      </c>
      <c r="F216" s="12" t="n">
        <v>3849.148</v>
      </c>
      <c r="H216" s="12" t="n">
        <v>5322.177</v>
      </c>
      <c r="J216" s="12" t="n">
        <v>3811.214</v>
      </c>
      <c r="L216" s="12" t="n">
        <v>5217.845</v>
      </c>
      <c r="N216" s="12" t="n">
        <v>4247.396</v>
      </c>
      <c r="O216" s="12" t="n">
        <v>-708.957</v>
      </c>
      <c r="P216" s="12" t="n">
        <v>-2992.852</v>
      </c>
      <c r="Q216" s="12" t="n">
        <v>-2380.863</v>
      </c>
      <c r="R216" s="12" t="n">
        <v>4055.271</v>
      </c>
      <c r="S216" s="12" t="n">
        <v>2520.399</v>
      </c>
      <c r="T216" s="12" t="n">
        <v>5741.331</v>
      </c>
      <c r="U216" s="12" t="n">
        <v>1605.193</v>
      </c>
      <c r="V216" s="12" t="n">
        <v>3530.496</v>
      </c>
      <c r="W216" s="12" t="n">
        <v>5322.177</v>
      </c>
      <c r="X216" s="12" t="n">
        <v>5217.845</v>
      </c>
    </row>
    <row r="217">
      <c r="A217" s="18" t="inlineStr">
        <is>
          <t>출자금 납입</t>
        </is>
      </c>
      <c r="Q217" s="20" t="n">
        <v>-21.03</v>
      </c>
      <c r="R217" s="20" t="n">
        <v>0</v>
      </c>
    </row>
    <row r="218">
      <c r="A218" s="18" t="inlineStr">
        <is>
          <t>유형자산 취득(설비투자)</t>
        </is>
      </c>
      <c r="D218" s="20" t="n">
        <v>-4801.743</v>
      </c>
      <c r="F218" s="20" t="n">
        <v>-2686.973</v>
      </c>
      <c r="H218" s="20" t="n">
        <v>-6691.076</v>
      </c>
      <c r="J218" s="20" t="n">
        <v>-3673.786</v>
      </c>
      <c r="L218" s="20" t="n">
        <v>-7915.405</v>
      </c>
      <c r="N218" s="20" t="n">
        <v>-3941.73</v>
      </c>
      <c r="O218" s="20" t="n">
        <v>-1537.966</v>
      </c>
      <c r="P218" s="20" t="n">
        <v>-1446.336</v>
      </c>
      <c r="Q218" s="20" t="n">
        <v>-299.292</v>
      </c>
      <c r="R218" s="20" t="n">
        <v>-663.333</v>
      </c>
      <c r="S218" s="20" t="n">
        <v>-2178.808</v>
      </c>
      <c r="T218" s="20" t="n">
        <v>-1822.454</v>
      </c>
      <c r="U218" s="20" t="n">
        <v>-2189.665</v>
      </c>
      <c r="V218" s="20" t="n">
        <v>-4801.743</v>
      </c>
      <c r="W218" s="20" t="n">
        <v>-6691.076</v>
      </c>
      <c r="X218" s="20" t="n">
        <v>-7915.405</v>
      </c>
    </row>
    <row r="219">
      <c r="A219" s="18" t="inlineStr">
        <is>
          <t>유형자산 매각</t>
        </is>
      </c>
      <c r="D219" s="20" t="n">
        <v>3.066</v>
      </c>
      <c r="F219" s="20" t="n">
        <v>0</v>
      </c>
      <c r="H219" s="20" t="n">
        <v>1.82</v>
      </c>
      <c r="L219" s="20" t="n">
        <v>0</v>
      </c>
      <c r="O219" s="20" t="n">
        <v>0</v>
      </c>
      <c r="P219" s="20" t="n">
        <v>69.788</v>
      </c>
      <c r="Q219" s="20" t="n">
        <v>8.5</v>
      </c>
      <c r="R219" s="20" t="n">
        <v>14.423</v>
      </c>
      <c r="S219" s="20" t="n">
        <v>3.514</v>
      </c>
      <c r="T219" s="20" t="n">
        <v>223.512</v>
      </c>
      <c r="U219" s="20" t="n">
        <v>0.18</v>
      </c>
      <c r="V219" s="20" t="n">
        <v>3.066</v>
      </c>
      <c r="W219" s="20" t="n">
        <v>1.82</v>
      </c>
      <c r="X219" s="20" t="n">
        <v>0</v>
      </c>
    </row>
    <row r="220">
      <c r="A220" s="18" t="inlineStr">
        <is>
          <t>유형자산 제각 지출</t>
        </is>
      </c>
      <c r="D220" s="20" t="n">
        <v>0</v>
      </c>
      <c r="T220" s="20" t="n">
        <v>0</v>
      </c>
      <c r="U220" s="20" t="n">
        <v>-19.14</v>
      </c>
      <c r="V220" s="20" t="n">
        <v>0</v>
      </c>
    </row>
    <row r="221">
      <c r="A221" s="18" t="inlineStr">
        <is>
          <t>무형자산 취득</t>
        </is>
      </c>
      <c r="D221" s="20" t="n">
        <v>-27.481</v>
      </c>
      <c r="F221" s="20" t="n">
        <v>-60.497</v>
      </c>
      <c r="H221" s="20" t="n">
        <v>-130.383</v>
      </c>
      <c r="J221" s="20" t="n">
        <v>-36.706</v>
      </c>
      <c r="L221" s="20" t="n">
        <v>-142.385</v>
      </c>
      <c r="N221" s="20" t="n">
        <v>-86.845</v>
      </c>
      <c r="O221" s="20" t="n">
        <v>-49.017</v>
      </c>
      <c r="P221" s="20" t="n">
        <v>-51.966</v>
      </c>
      <c r="Q221" s="20" t="n">
        <v>-57.722</v>
      </c>
      <c r="R221" s="20" t="n">
        <v>-194.255</v>
      </c>
      <c r="S221" s="20" t="n">
        <v>-42.735</v>
      </c>
      <c r="T221" s="20" t="n">
        <v>-14.759</v>
      </c>
      <c r="U221" s="20" t="n">
        <v>-27.039</v>
      </c>
      <c r="V221" s="20" t="n">
        <v>-27.481</v>
      </c>
      <c r="W221" s="20" t="n">
        <v>-130.383</v>
      </c>
      <c r="X221" s="20" t="n">
        <v>-142.385</v>
      </c>
    </row>
    <row r="222">
      <c r="A222" s="18" t="inlineStr">
        <is>
          <t>투자유가증권 취득</t>
        </is>
      </c>
      <c r="O222" s="20" t="n">
        <v>0</v>
      </c>
      <c r="P222" s="20" t="n">
        <v>-1.98</v>
      </c>
      <c r="Q222" s="20" t="n">
        <v>-120</v>
      </c>
      <c r="R222" s="20" t="n">
        <v>-150</v>
      </c>
      <c r="S222" s="20" t="n">
        <v>0</v>
      </c>
    </row>
    <row r="223">
      <c r="A223" s="18" t="inlineStr">
        <is>
          <t>투자유가증권 매각</t>
        </is>
      </c>
      <c r="R223" s="20" t="n">
        <v>0.6</v>
      </c>
      <c r="S223" s="20" t="n">
        <v>0</v>
      </c>
    </row>
    <row r="224">
      <c r="A224" s="18" t="inlineStr">
        <is>
          <t>대여금 회수</t>
        </is>
      </c>
      <c r="O224" s="20" t="n">
        <v>17.978</v>
      </c>
      <c r="P224" s="20" t="n">
        <v>17.978</v>
      </c>
      <c r="Q224" s="20" t="n">
        <v>9.316000000000001</v>
      </c>
      <c r="R224" s="20" t="n">
        <v>6.428</v>
      </c>
      <c r="S224" s="20" t="n">
        <v>0.535</v>
      </c>
      <c r="T224" s="20" t="n">
        <v>0</v>
      </c>
    </row>
    <row r="225">
      <c r="A225" s="18" t="inlineStr">
        <is>
          <t>투자유가증권 매각·상환 수입</t>
        </is>
      </c>
      <c r="O225" s="20" t="n">
        <v>30.188</v>
      </c>
      <c r="P225" s="20" t="n">
        <v>0</v>
      </c>
    </row>
    <row r="226">
      <c r="A226" s="18" t="inlineStr">
        <is>
          <t>투자유가증권 청산 수입</t>
        </is>
      </c>
      <c r="D226" s="20" t="n">
        <v>134.98</v>
      </c>
      <c r="F226" s="20" t="n">
        <v>0</v>
      </c>
      <c r="H226" s="20" t="n">
        <v>0</v>
      </c>
      <c r="T226" s="20" t="n">
        <v>0</v>
      </c>
      <c r="U226" s="20" t="n">
        <v>191.39</v>
      </c>
      <c r="V226" s="20" t="n">
        <v>134.98</v>
      </c>
      <c r="W226" s="20" t="n">
        <v>0</v>
      </c>
    </row>
    <row r="227">
      <c r="A227" s="18" t="inlineStr">
        <is>
          <t>사업양도 수입</t>
        </is>
      </c>
      <c r="S227" s="20" t="n">
        <v>0</v>
      </c>
      <c r="T227" s="20" t="n">
        <v>205</v>
      </c>
      <c r="U227" s="20" t="n">
        <v>0</v>
      </c>
    </row>
    <row r="228">
      <c r="A228" s="18" t="inlineStr">
        <is>
          <t>투자유가증권 상환</t>
        </is>
      </c>
      <c r="Q228" s="20" t="n">
        <v>0</v>
      </c>
      <c r="R228" s="20" t="n">
        <v>0.6</v>
      </c>
      <c r="S228" s="20" t="n">
        <v>0</v>
      </c>
      <c r="T228" s="20" t="n">
        <v>150</v>
      </c>
      <c r="U228" s="20" t="n">
        <v>0</v>
      </c>
    </row>
    <row r="229">
      <c r="A229" s="18" t="inlineStr">
        <is>
          <t>관계회사 주식 취득</t>
        </is>
      </c>
      <c r="D229" s="20" t="n">
        <v>0</v>
      </c>
      <c r="F229" s="20" t="n">
        <v>-1150</v>
      </c>
      <c r="H229" s="20" t="n">
        <v>-1150</v>
      </c>
      <c r="J229" s="20" t="n">
        <v>0</v>
      </c>
      <c r="L229" s="20" t="n">
        <v>0</v>
      </c>
      <c r="V229" s="20" t="n">
        <v>0</v>
      </c>
      <c r="W229" s="20" t="n">
        <v>-1150</v>
      </c>
      <c r="X229" s="20" t="n">
        <v>0</v>
      </c>
    </row>
    <row r="230">
      <c r="A230" s="18" t="inlineStr">
        <is>
          <t>기타</t>
        </is>
      </c>
      <c r="D230" s="20" t="n">
        <v>24.091</v>
      </c>
      <c r="F230" s="20" t="n">
        <v>-2.673</v>
      </c>
      <c r="H230" s="20" t="n">
        <v>-189.26</v>
      </c>
      <c r="J230" s="20" t="n">
        <v>22.455</v>
      </c>
      <c r="L230" s="20" t="n">
        <v>289.618</v>
      </c>
      <c r="N230" s="20" t="n">
        <v>-364.131</v>
      </c>
      <c r="O230" s="20" t="n">
        <v>-5.51</v>
      </c>
      <c r="P230" s="20" t="n">
        <v>-11.312</v>
      </c>
      <c r="Q230" s="20" t="n">
        <v>-4.078</v>
      </c>
      <c r="R230" s="20" t="n">
        <v>-19.586</v>
      </c>
      <c r="S230" s="20" t="n">
        <v>-11.008</v>
      </c>
      <c r="T230" s="20" t="n">
        <v>-5.38</v>
      </c>
      <c r="U230" s="20" t="n">
        <v>-214.494</v>
      </c>
      <c r="V230" s="20" t="n">
        <v>24.091</v>
      </c>
      <c r="W230" s="20" t="n">
        <v>-189.26</v>
      </c>
      <c r="X230" s="20" t="n">
        <v>289.618</v>
      </c>
    </row>
    <row r="231">
      <c r="A231" s="9" t="inlineStr">
        <is>
          <t>투자활동 현금흐름</t>
        </is>
      </c>
      <c r="D231" s="12" t="n">
        <v>-4667.086</v>
      </c>
      <c r="F231" s="12" t="n">
        <v>-3900.144</v>
      </c>
      <c r="H231" s="12" t="n">
        <v>-8158.9</v>
      </c>
      <c r="J231" s="12" t="n">
        <v>-3688.037</v>
      </c>
      <c r="L231" s="12" t="n">
        <v>-7768.171</v>
      </c>
      <c r="N231" s="12" t="n">
        <v>-4392.708</v>
      </c>
      <c r="O231" s="12" t="n">
        <v>-1544.326</v>
      </c>
      <c r="P231" s="12" t="n">
        <v>-1423.829</v>
      </c>
      <c r="Q231" s="12" t="n">
        <v>-484.308</v>
      </c>
      <c r="R231" s="12" t="n">
        <v>-1005.722</v>
      </c>
      <c r="S231" s="12" t="n">
        <v>-2228.502</v>
      </c>
      <c r="T231" s="12" t="n">
        <v>-1264.081</v>
      </c>
      <c r="U231" s="12" t="n">
        <v>-2258.768</v>
      </c>
      <c r="V231" s="12" t="n">
        <v>-4667.086</v>
      </c>
      <c r="W231" s="12" t="n">
        <v>-8158.9</v>
      </c>
      <c r="X231" s="12" t="n">
        <v>-7768.171</v>
      </c>
    </row>
    <row r="232">
      <c r="A232" s="18" t="inlineStr">
        <is>
          <t>단기차입금 순증감</t>
        </is>
      </c>
      <c r="D232" s="20" t="n">
        <v>372.56</v>
      </c>
      <c r="F232" s="20" t="n">
        <v>485.14</v>
      </c>
      <c r="H232" s="20" t="n">
        <v>89.58</v>
      </c>
      <c r="J232" s="20" t="n">
        <v>216.36</v>
      </c>
      <c r="L232" s="20" t="n">
        <v>347.66</v>
      </c>
      <c r="N232" s="20" t="n">
        <v>97.27</v>
      </c>
      <c r="O232" s="20" t="n">
        <v>1644.16</v>
      </c>
      <c r="P232" s="20" t="n">
        <v>-38.205</v>
      </c>
      <c r="Q232" s="20" t="n">
        <v>-16.194</v>
      </c>
      <c r="R232" s="20" t="n">
        <v>-1360.72</v>
      </c>
      <c r="S232" s="20" t="n">
        <v>-562.38</v>
      </c>
      <c r="T232" s="20" t="n">
        <v>396.72</v>
      </c>
      <c r="U232" s="20" t="n">
        <v>-287.72</v>
      </c>
      <c r="V232" s="20" t="n">
        <v>372.56</v>
      </c>
      <c r="W232" s="20" t="n">
        <v>89.58</v>
      </c>
      <c r="X232" s="20" t="n">
        <v>347.66</v>
      </c>
    </row>
    <row r="233">
      <c r="A233" s="18" t="inlineStr">
        <is>
          <t>장기차입</t>
        </is>
      </c>
      <c r="D233" s="20" t="n">
        <v>5362.057</v>
      </c>
      <c r="F233" s="20" t="n">
        <v>3863.402</v>
      </c>
      <c r="H233" s="20" t="n">
        <v>8055.515</v>
      </c>
      <c r="J233" s="20" t="n">
        <v>3872.296</v>
      </c>
      <c r="L233" s="20" t="n">
        <v>9922.644</v>
      </c>
      <c r="N233" s="20" t="n">
        <v>5904.072</v>
      </c>
      <c r="O233" s="20" t="n">
        <v>2000</v>
      </c>
      <c r="P233" s="20" t="n">
        <v>5156.676</v>
      </c>
      <c r="Q233" s="20" t="n">
        <v>9430.557000000001</v>
      </c>
      <c r="R233" s="20" t="n">
        <v>9259.454</v>
      </c>
      <c r="S233" s="20" t="n">
        <v>2449.178</v>
      </c>
      <c r="T233" s="20" t="n">
        <v>2001.185</v>
      </c>
      <c r="U233" s="20" t="n">
        <v>5180.438</v>
      </c>
      <c r="V233" s="20" t="n">
        <v>5362.057</v>
      </c>
      <c r="W233" s="20" t="n">
        <v>8055.515</v>
      </c>
      <c r="X233" s="20" t="n">
        <v>9922.644</v>
      </c>
    </row>
    <row r="234">
      <c r="A234" s="18" t="inlineStr">
        <is>
          <t>장기차입금 상환</t>
        </is>
      </c>
      <c r="D234" s="20" t="n">
        <v>-2603.957</v>
      </c>
      <c r="F234" s="20" t="n">
        <v>-2335.48</v>
      </c>
      <c r="H234" s="20" t="n">
        <v>-3736.02</v>
      </c>
      <c r="J234" s="20" t="n">
        <v>-3046.191</v>
      </c>
      <c r="L234" s="20" t="n">
        <v>-5074.74</v>
      </c>
      <c r="N234" s="20" t="n">
        <v>-4074.69</v>
      </c>
      <c r="O234" s="20" t="n">
        <v>-360.836</v>
      </c>
      <c r="P234" s="20" t="n">
        <v>-1076.967</v>
      </c>
      <c r="Q234" s="20" t="n">
        <v>-4735.989</v>
      </c>
      <c r="R234" s="20" t="n">
        <v>-10432.931</v>
      </c>
      <c r="S234" s="20" t="n">
        <v>-3119.996</v>
      </c>
      <c r="T234" s="20" t="n">
        <v>-2363.026</v>
      </c>
      <c r="U234" s="20" t="n">
        <v>-2364.431</v>
      </c>
      <c r="V234" s="20" t="n">
        <v>-2603.957</v>
      </c>
      <c r="W234" s="20" t="n">
        <v>-3736.02</v>
      </c>
      <c r="X234" s="20" t="n">
        <v>-5074.74</v>
      </c>
    </row>
    <row r="235">
      <c r="A235" s="18" t="inlineStr">
        <is>
          <t>사채 발행</t>
        </is>
      </c>
      <c r="O235" s="20" t="n">
        <v>250</v>
      </c>
      <c r="P235" s="20" t="n">
        <v>400</v>
      </c>
      <c r="Q235" s="20" t="n">
        <v>500</v>
      </c>
      <c r="R235" s="20" t="n">
        <v>0</v>
      </c>
    </row>
    <row r="236">
      <c r="A236" s="18" t="inlineStr">
        <is>
          <t>사채 상환</t>
        </is>
      </c>
      <c r="D236" s="20" t="n">
        <v>-157</v>
      </c>
      <c r="F236" s="20" t="n">
        <v>-29.5</v>
      </c>
      <c r="H236" s="20" t="n">
        <v>-29.5</v>
      </c>
      <c r="J236" s="20" t="n">
        <v>0</v>
      </c>
      <c r="L236" s="20" t="n">
        <v>0</v>
      </c>
      <c r="O236" s="20" t="n">
        <v>-25</v>
      </c>
      <c r="P236" s="20" t="n">
        <v>-78.5</v>
      </c>
      <c r="Q236" s="20" t="n">
        <v>-107</v>
      </c>
      <c r="R236" s="20" t="n">
        <v>-207</v>
      </c>
      <c r="S236" s="20" t="n">
        <v>-207</v>
      </c>
      <c r="T236" s="20" t="n">
        <v>-182</v>
      </c>
      <c r="U236" s="20" t="n">
        <v>-157</v>
      </c>
      <c r="V236" s="20" t="n">
        <v>-157</v>
      </c>
      <c r="W236" s="20" t="n">
        <v>-29.5</v>
      </c>
      <c r="X236" s="20" t="n">
        <v>0</v>
      </c>
    </row>
    <row r="237">
      <c r="A237" s="18" t="inlineStr">
        <is>
          <t>주식 발행</t>
        </is>
      </c>
      <c r="P237" s="20" t="n">
        <v>0</v>
      </c>
      <c r="Q237" s="20" t="n">
        <v>1083.368</v>
      </c>
      <c r="R237" s="20" t="n">
        <v>0</v>
      </c>
    </row>
    <row r="238">
      <c r="A238" s="18" t="inlineStr">
        <is>
          <t>신주예약권 발행</t>
        </is>
      </c>
      <c r="P238" s="20" t="n">
        <v>0</v>
      </c>
      <c r="Q238" s="20" t="n">
        <v>10.055</v>
      </c>
      <c r="R238" s="20" t="n">
        <v>0</v>
      </c>
    </row>
    <row r="239">
      <c r="A239" s="18" t="inlineStr">
        <is>
          <t>Payments For Purchase Of Treasury Subscription Right To Shares Fin CF</t>
        </is>
      </c>
      <c r="P239" s="20" t="n">
        <v>0</v>
      </c>
      <c r="Q239" s="20" t="n">
        <v>-14.653</v>
      </c>
      <c r="R239" s="20" t="n">
        <v>0</v>
      </c>
    </row>
    <row r="240">
      <c r="A240" s="18" t="inlineStr">
        <is>
          <t>리스부채 상환</t>
        </is>
      </c>
      <c r="D240" s="20" t="n">
        <v>-290.324</v>
      </c>
      <c r="F240" s="20" t="n">
        <v>-146.473</v>
      </c>
      <c r="H240" s="20" t="n">
        <v>-293.146</v>
      </c>
      <c r="J240" s="20" t="n">
        <v>-146.697</v>
      </c>
      <c r="L240" s="20" t="n">
        <v>-294.079</v>
      </c>
      <c r="N240" s="20" t="n">
        <v>-148.069</v>
      </c>
      <c r="O240" s="20" t="n">
        <v>-26.221</v>
      </c>
      <c r="P240" s="20" t="n">
        <v>-20.107</v>
      </c>
      <c r="Q240" s="20" t="n">
        <v>-21.379</v>
      </c>
      <c r="R240" s="20" t="n">
        <v>-259.717</v>
      </c>
      <c r="S240" s="20" t="n">
        <v>-295.45</v>
      </c>
      <c r="T240" s="20" t="n">
        <v>-285.97</v>
      </c>
      <c r="U240" s="20" t="n">
        <v>-283.317</v>
      </c>
      <c r="V240" s="20" t="n">
        <v>-290.324</v>
      </c>
      <c r="W240" s="20" t="n">
        <v>-293.146</v>
      </c>
      <c r="X240" s="20" t="n">
        <v>-294.079</v>
      </c>
    </row>
    <row r="241">
      <c r="A241" s="18" t="inlineStr">
        <is>
          <t>세일앤리스백 수입</t>
        </is>
      </c>
      <c r="D241" s="20" t="n">
        <v>10.112</v>
      </c>
      <c r="H241" s="20" t="n">
        <v>0</v>
      </c>
      <c r="Q241" s="20" t="n">
        <v>310.083</v>
      </c>
      <c r="R241" s="20" t="n">
        <v>2561.903</v>
      </c>
      <c r="S241" s="20" t="n">
        <v>26.349</v>
      </c>
      <c r="T241" s="20" t="n">
        <v>0</v>
      </c>
      <c r="U241" s="20" t="n">
        <v>0</v>
      </c>
      <c r="V241" s="20" t="n">
        <v>10.112</v>
      </c>
      <c r="W241" s="20" t="n">
        <v>0</v>
      </c>
    </row>
    <row r="242">
      <c r="A242" s="18" t="inlineStr">
        <is>
          <t>Proceeds From Sale And Installment Back Transactions Fin CF</t>
        </is>
      </c>
      <c r="F242" s="20" t="n">
        <v>0</v>
      </c>
      <c r="H242" s="20" t="n">
        <v>440.35</v>
      </c>
      <c r="J242" s="20" t="n">
        <v>469.112</v>
      </c>
      <c r="L242" s="20" t="n">
        <v>469.112</v>
      </c>
      <c r="N242" s="20" t="n">
        <v>264.552</v>
      </c>
      <c r="W242" s="20" t="n">
        <v>440.35</v>
      </c>
      <c r="X242" s="20" t="n">
        <v>469.112</v>
      </c>
    </row>
    <row r="243">
      <c r="A243" s="18" t="inlineStr">
        <is>
          <t>배당금 지급</t>
        </is>
      </c>
      <c r="D243" s="20" t="n">
        <v>-873.575</v>
      </c>
      <c r="F243" s="20" t="n">
        <v>-975.187</v>
      </c>
      <c r="H243" s="20" t="n">
        <v>-1469.888</v>
      </c>
      <c r="J243" s="20" t="n">
        <v>-633.943</v>
      </c>
      <c r="L243" s="20" t="n">
        <v>-1269.919</v>
      </c>
      <c r="N243" s="20" t="n">
        <v>-684.466</v>
      </c>
      <c r="O243" s="20" t="n">
        <v>-477.255</v>
      </c>
      <c r="P243" s="20" t="n">
        <v>-479.99</v>
      </c>
      <c r="Q243" s="20" t="n">
        <v>-490.35</v>
      </c>
      <c r="R243" s="20" t="n">
        <v>-580.635</v>
      </c>
      <c r="S243" s="20" t="n">
        <v>-504.344</v>
      </c>
      <c r="T243" s="20" t="n">
        <v>-391.096</v>
      </c>
      <c r="U243" s="20" t="n">
        <v>-595.035</v>
      </c>
      <c r="V243" s="20" t="n">
        <v>-873.575</v>
      </c>
      <c r="W243" s="20" t="n">
        <v>-1469.888</v>
      </c>
      <c r="X243" s="20" t="n">
        <v>-1269.919</v>
      </c>
    </row>
    <row r="244">
      <c r="A244" s="18" t="inlineStr">
        <is>
          <t>자기주식 취득</t>
        </is>
      </c>
      <c r="D244" s="20" t="n">
        <v>-1.386</v>
      </c>
      <c r="F244" s="20" t="n">
        <v>-0.173</v>
      </c>
      <c r="H244" s="20" t="n">
        <v>-0.471</v>
      </c>
      <c r="J244" s="20" t="n">
        <v>-0.18</v>
      </c>
      <c r="L244" s="20" t="n">
        <v>-0.519</v>
      </c>
      <c r="N244" s="20" t="n">
        <v>0</v>
      </c>
      <c r="O244" s="20" t="n">
        <v>-4.941</v>
      </c>
      <c r="P244" s="20" t="n">
        <v>-8.211</v>
      </c>
      <c r="Q244" s="20" t="n">
        <v>-4.169</v>
      </c>
      <c r="R244" s="20" t="n">
        <v>-0.556</v>
      </c>
      <c r="S244" s="20" t="n">
        <v>-0.105</v>
      </c>
      <c r="T244" s="20" t="n">
        <v>-1.135</v>
      </c>
      <c r="U244" s="20" t="n">
        <v>-0.82</v>
      </c>
      <c r="V244" s="20" t="n">
        <v>-1.386</v>
      </c>
      <c r="W244" s="20" t="n">
        <v>-0.471</v>
      </c>
      <c r="X244" s="20" t="n">
        <v>-0.519</v>
      </c>
    </row>
    <row r="245">
      <c r="A245" s="18" t="inlineStr">
        <is>
          <t>기타</t>
        </is>
      </c>
      <c r="F245" s="20" t="n">
        <v>0</v>
      </c>
      <c r="H245" s="20" t="n">
        <v>-38.418</v>
      </c>
      <c r="J245" s="20" t="n">
        <v>-40.421</v>
      </c>
      <c r="L245" s="20" t="n">
        <v>-89.464</v>
      </c>
      <c r="N245" s="20" t="n">
        <v>-57.86</v>
      </c>
      <c r="W245" s="20" t="n">
        <v>-38.418</v>
      </c>
      <c r="X245" s="20" t="n">
        <v>-89.464</v>
      </c>
    </row>
    <row r="246">
      <c r="A246" s="9" t="inlineStr">
        <is>
          <t>재무활동 현금흐름</t>
        </is>
      </c>
      <c r="D246" s="12" t="n">
        <v>1818.486</v>
      </c>
      <c r="F246" s="12" t="n">
        <v>861.726</v>
      </c>
      <c r="H246" s="12" t="n">
        <v>3018.001</v>
      </c>
      <c r="J246" s="12" t="n">
        <v>690.333</v>
      </c>
      <c r="L246" s="12" t="n">
        <v>4010.694</v>
      </c>
      <c r="N246" s="12" t="n">
        <v>1300.807</v>
      </c>
      <c r="O246" s="12" t="n">
        <v>2999.905</v>
      </c>
      <c r="P246" s="12" t="n">
        <v>3854.694</v>
      </c>
      <c r="Q246" s="12" t="n">
        <v>5944.327</v>
      </c>
      <c r="R246" s="12" t="n">
        <v>-1020.202</v>
      </c>
      <c r="S246" s="12" t="n">
        <v>-2213.749</v>
      </c>
      <c r="T246" s="12" t="n">
        <v>-825.324</v>
      </c>
      <c r="U246" s="12" t="n">
        <v>1492.113</v>
      </c>
      <c r="V246" s="12" t="n">
        <v>1818.486</v>
      </c>
      <c r="W246" s="12" t="n">
        <v>3018.001</v>
      </c>
      <c r="X246" s="12" t="n">
        <v>4010.694</v>
      </c>
    </row>
    <row r="247">
      <c r="A247" s="18" t="inlineStr">
        <is>
          <t>현금성자산 환산차이</t>
        </is>
      </c>
      <c r="D247" s="20" t="n">
        <v>14.219</v>
      </c>
      <c r="F247" s="20" t="n">
        <v>46.347</v>
      </c>
      <c r="H247" s="20" t="n">
        <v>33.644</v>
      </c>
      <c r="J247" s="20" t="n">
        <v>-11.505</v>
      </c>
      <c r="L247" s="20" t="n">
        <v>0.771</v>
      </c>
      <c r="N247" s="20" t="n">
        <v>10.751</v>
      </c>
      <c r="O247" s="20" t="n">
        <v>-3.077</v>
      </c>
      <c r="P247" s="20" t="n">
        <v>-2.168</v>
      </c>
      <c r="Q247" s="20" t="n">
        <v>-0.72</v>
      </c>
      <c r="R247" s="20" t="n">
        <v>0.011</v>
      </c>
      <c r="S247" s="20" t="n">
        <v>-3.433</v>
      </c>
      <c r="T247" s="20" t="n">
        <v>11.639</v>
      </c>
      <c r="U247" s="20" t="n">
        <v>20.485</v>
      </c>
      <c r="V247" s="20" t="n">
        <v>14.219</v>
      </c>
      <c r="W247" s="20" t="n">
        <v>33.644</v>
      </c>
      <c r="X247" s="20" t="n">
        <v>0.771</v>
      </c>
    </row>
    <row r="248">
      <c r="A248" s="18" t="inlineStr">
        <is>
          <t>현금성자산 증감</t>
        </is>
      </c>
      <c r="D248" s="20" t="n">
        <v>696.116</v>
      </c>
      <c r="F248" s="20" t="n">
        <v>857.077</v>
      </c>
      <c r="H248" s="20" t="n">
        <v>214.923</v>
      </c>
      <c r="J248" s="20" t="n">
        <v>802.004</v>
      </c>
      <c r="L248" s="20" t="n">
        <v>1461.139</v>
      </c>
      <c r="N248" s="20" t="n">
        <v>1166.247</v>
      </c>
      <c r="O248" s="20" t="n">
        <v>743.542</v>
      </c>
      <c r="P248" s="20" t="n">
        <v>-564.155</v>
      </c>
      <c r="Q248" s="20" t="n">
        <v>3078.435</v>
      </c>
      <c r="R248" s="20" t="n">
        <v>2029.358</v>
      </c>
      <c r="S248" s="20" t="n">
        <v>-1925.286</v>
      </c>
      <c r="T248" s="20" t="n">
        <v>3663.564</v>
      </c>
      <c r="U248" s="20" t="n">
        <v>859.023</v>
      </c>
      <c r="V248" s="20" t="n">
        <v>696.116</v>
      </c>
      <c r="W248" s="20" t="n">
        <v>214.923</v>
      </c>
      <c r="X248" s="20" t="n">
        <v>1461.139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7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8914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2025.2Q</t>
        </is>
      </c>
      <c r="D3" s="5" t="inlineStr">
        <is>
          <t>2025.3Q</t>
        </is>
      </c>
      <c r="E3" s="5" t="inlineStr">
        <is>
          <t>2025.4Q</t>
        </is>
      </c>
      <c r="F3" s="5" t="inlineStr">
        <is>
          <t>2026.1Q</t>
        </is>
      </c>
      <c r="G3" s="5" t="inlineStr">
        <is>
          <t>2026.2Q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22673.569</v>
      </c>
      <c r="D5" s="12" t="n">
        <v>22430.517</v>
      </c>
      <c r="E5" s="12" t="n">
        <v>25714.771</v>
      </c>
      <c r="F5" s="12" t="n">
        <v>25818.518</v>
      </c>
      <c r="G5" s="12" t="n">
        <v>26033.145</v>
      </c>
      <c r="H5" s="11" t="n">
        <v>17319.912</v>
      </c>
      <c r="I5" s="12" t="n">
        <v>20032.362</v>
      </c>
      <c r="J5" s="12" t="n">
        <v>21887.231</v>
      </c>
      <c r="K5" s="12" t="n">
        <v>22558.058</v>
      </c>
      <c r="L5" s="12" t="n">
        <v>25714.771</v>
      </c>
    </row>
    <row r="6">
      <c r="A6" s="18" t="inlineStr">
        <is>
          <t>현금및현금성자산</t>
        </is>
      </c>
      <c r="B6" s="10" t="n"/>
      <c r="C6" s="19" t="n">
        <v>16012.6</v>
      </c>
      <c r="D6" s="20" t="n">
        <v>15079.376</v>
      </c>
      <c r="E6" s="20" t="n">
        <v>16671.735</v>
      </c>
      <c r="F6" s="20" t="n">
        <v>15576.322</v>
      </c>
      <c r="G6" s="20" t="n">
        <v>17837.983</v>
      </c>
      <c r="H6" s="19" t="n">
        <v>13440.532</v>
      </c>
      <c r="I6" s="20" t="n">
        <v>14299.556</v>
      </c>
      <c r="J6" s="20" t="n">
        <v>14995.672</v>
      </c>
      <c r="K6" s="20" t="n">
        <v>15210.595</v>
      </c>
      <c r="L6" s="20" t="n">
        <v>16671.735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191.718</v>
      </c>
      <c r="D8" s="20" t="n">
        <v>197.761</v>
      </c>
      <c r="E8" s="20" t="n">
        <v>194.484</v>
      </c>
      <c r="F8" s="20" t="n">
        <v>324.871</v>
      </c>
      <c r="G8" s="20" t="n">
        <v>229.568</v>
      </c>
      <c r="H8" s="19" t="n">
        <v>123.942</v>
      </c>
      <c r="I8" s="20" t="n">
        <v>130.914</v>
      </c>
      <c r="J8" s="20" t="n">
        <v>135.774</v>
      </c>
      <c r="K8" s="20" t="n">
        <v>165.87</v>
      </c>
      <c r="L8" s="20" t="n">
        <v>194.484</v>
      </c>
    </row>
    <row r="9">
      <c r="A9" s="18" t="inlineStr">
        <is>
          <t>재고자산</t>
        </is>
      </c>
      <c r="B9" s="10" t="n"/>
      <c r="C9" s="19" t="n">
        <v>4807.73</v>
      </c>
      <c r="D9" s="20" t="n">
        <v>4705.045</v>
      </c>
      <c r="E9" s="20" t="n">
        <v>7970.992</v>
      </c>
      <c r="F9" s="20" t="n">
        <v>8888.253000000001</v>
      </c>
      <c r="G9" s="20" t="n">
        <v>7227.431</v>
      </c>
      <c r="H9" s="19" t="n">
        <v>3147.339</v>
      </c>
      <c r="I9" s="20" t="n">
        <v>5013.851</v>
      </c>
      <c r="J9" s="20" t="n">
        <v>5968.97</v>
      </c>
      <c r="K9" s="20" t="n">
        <v>5929.038</v>
      </c>
      <c r="L9" s="20" t="n">
        <v>7970.992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35950.668</v>
      </c>
      <c r="D11" s="12" t="n">
        <v>37315.847</v>
      </c>
      <c r="E11" s="12" t="n">
        <v>38365.792</v>
      </c>
      <c r="F11" s="12" t="n">
        <v>39623.169</v>
      </c>
      <c r="G11" s="12" t="n">
        <v>41237.127</v>
      </c>
      <c r="H11" s="11" t="n">
        <v>24882.485</v>
      </c>
      <c r="I11" s="12" t="n">
        <v>25610.991</v>
      </c>
      <c r="J11" s="12" t="n">
        <v>27788.958</v>
      </c>
      <c r="K11" s="12" t="n">
        <v>33361.559</v>
      </c>
      <c r="L11" s="12" t="n">
        <v>38365.792</v>
      </c>
    </row>
    <row r="12">
      <c r="A12" s="18" t="inlineStr">
        <is>
          <t>유형자산</t>
        </is>
      </c>
      <c r="B12" s="10" t="n"/>
      <c r="C12" s="19" t="n">
        <v>30928.972</v>
      </c>
      <c r="D12" s="20" t="n">
        <v>32286.336</v>
      </c>
      <c r="E12" s="20" t="n">
        <v>33185.212</v>
      </c>
      <c r="F12" s="20" t="n">
        <v>34498.616</v>
      </c>
      <c r="G12" s="20" t="n">
        <v>35694.091</v>
      </c>
      <c r="H12" s="19" t="n">
        <v>21217.39</v>
      </c>
      <c r="I12" s="20" t="n">
        <v>21851.991</v>
      </c>
      <c r="J12" s="20" t="n">
        <v>24236.42</v>
      </c>
      <c r="K12" s="20" t="n">
        <v>28459.957</v>
      </c>
      <c r="L12" s="20" t="n">
        <v>33185.212</v>
      </c>
    </row>
    <row r="13">
      <c r="A13" s="18" t="inlineStr">
        <is>
          <t>무형자산</t>
        </is>
      </c>
      <c r="B13" s="10" t="n"/>
      <c r="C13" s="19" t="n">
        <v>195.9</v>
      </c>
      <c r="D13" s="20" t="n">
        <v>193.63</v>
      </c>
      <c r="E13" s="20" t="n">
        <v>258.229</v>
      </c>
      <c r="F13" s="20" t="n">
        <v>285.879</v>
      </c>
      <c r="G13" s="20" t="n">
        <v>304.071</v>
      </c>
      <c r="H13" s="19" t="n">
        <v>49.347</v>
      </c>
      <c r="I13" s="20" t="n">
        <v>49.576</v>
      </c>
      <c r="J13" s="20" t="n">
        <v>58.036</v>
      </c>
      <c r="K13" s="20" t="n">
        <v>166.888</v>
      </c>
      <c r="L13" s="20" t="n">
        <v>258.229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58624.238</v>
      </c>
      <c r="D16" s="12" t="n">
        <v>59746.365</v>
      </c>
      <c r="E16" s="12" t="n">
        <v>64080.563</v>
      </c>
      <c r="F16" s="12" t="n">
        <v>65441.687</v>
      </c>
      <c r="G16" s="12" t="n">
        <v>67270.273</v>
      </c>
      <c r="H16" s="11" t="n">
        <v>42202.397</v>
      </c>
      <c r="I16" s="12" t="n">
        <v>45643.354</v>
      </c>
      <c r="J16" s="12" t="n">
        <v>49676.189</v>
      </c>
      <c r="K16" s="12" t="n">
        <v>55919.618</v>
      </c>
      <c r="L16" s="12" t="n">
        <v>64080.563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7895.851</v>
      </c>
      <c r="D18" s="12" t="n">
        <v>8036.365</v>
      </c>
      <c r="E18" s="12" t="n">
        <v>9157.398999999999</v>
      </c>
      <c r="F18" s="12" t="n">
        <v>8628.623</v>
      </c>
      <c r="G18" s="12" t="n">
        <v>9287.291999999999</v>
      </c>
      <c r="H18" s="11" t="n">
        <v>5867.88</v>
      </c>
      <c r="I18" s="12" t="n">
        <v>6218.882</v>
      </c>
      <c r="J18" s="12" t="n">
        <v>7062.064</v>
      </c>
      <c r="K18" s="12" t="n">
        <v>7786.116</v>
      </c>
      <c r="L18" s="12" t="n">
        <v>9157.398999999999</v>
      </c>
    </row>
    <row r="19">
      <c r="A19" s="18" t="inlineStr">
        <is>
          <t>매입채무</t>
        </is>
      </c>
      <c r="B19" s="10" t="n"/>
      <c r="C19" s="19" t="n">
        <v>159.333</v>
      </c>
      <c r="D19" s="20" t="n">
        <v>150.747</v>
      </c>
      <c r="E19" s="20" t="n">
        <v>200.61</v>
      </c>
      <c r="F19" s="20" t="n">
        <v>441.132</v>
      </c>
      <c r="G19" s="20" t="n">
        <v>129.416</v>
      </c>
      <c r="H19" s="19" t="n">
        <v>160.003</v>
      </c>
      <c r="I19" s="20" t="n">
        <v>146.815</v>
      </c>
      <c r="J19" s="20" t="n">
        <v>148.835</v>
      </c>
      <c r="K19" s="20" t="n">
        <v>153.291</v>
      </c>
      <c r="L19" s="20" t="n">
        <v>200.61</v>
      </c>
    </row>
    <row r="20">
      <c r="A20" s="18" t="inlineStr">
        <is>
          <t>단기차입금</t>
        </is>
      </c>
      <c r="B20" s="10" t="n"/>
      <c r="C20" s="19" t="n">
        <v>547.5</v>
      </c>
      <c r="D20" s="20" t="n">
        <v>422.9</v>
      </c>
      <c r="E20" s="20" t="n">
        <v>678.8</v>
      </c>
      <c r="F20" s="20" t="n">
        <v>738.78</v>
      </c>
      <c r="G20" s="20" t="n">
        <v>723.97</v>
      </c>
      <c r="H20" s="19" t="n">
        <v>396.72</v>
      </c>
      <c r="I20" s="20" t="n">
        <v>109</v>
      </c>
      <c r="J20" s="20" t="n">
        <v>241.56</v>
      </c>
      <c r="K20" s="20" t="n">
        <v>331.14</v>
      </c>
      <c r="L20" s="20" t="n">
        <v>678.8</v>
      </c>
    </row>
    <row r="21">
      <c r="A21" s="18" t="inlineStr">
        <is>
          <t>유동성장기부채</t>
        </is>
      </c>
      <c r="B21" s="10" t="n"/>
      <c r="C21" s="19" t="n">
        <v>2339.74</v>
      </c>
      <c r="D21" s="20" t="n">
        <v>2761.25</v>
      </c>
      <c r="E21" s="20" t="n">
        <v>2839.155</v>
      </c>
      <c r="F21" s="20" t="n">
        <v>3072.613</v>
      </c>
      <c r="G21" s="20" t="n">
        <v>3258.848</v>
      </c>
      <c r="H21" s="19" t="n">
        <v>1573.086</v>
      </c>
      <c r="I21" s="20" t="n">
        <v>2050.583</v>
      </c>
      <c r="J21" s="20" t="n">
        <v>2607.506</v>
      </c>
      <c r="K21" s="20" t="n">
        <v>2623.903</v>
      </c>
      <c r="L21" s="20" t="n">
        <v>2839.155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22554.633</v>
      </c>
      <c r="D23" s="12" t="n">
        <v>23278.55</v>
      </c>
      <c r="E23" s="12" t="n">
        <v>25694.501</v>
      </c>
      <c r="F23" s="12" t="n">
        <v>27238.43</v>
      </c>
      <c r="G23" s="12" t="n">
        <v>27039.841</v>
      </c>
      <c r="H23" s="11" t="n">
        <v>15371.277</v>
      </c>
      <c r="I23" s="12" t="n">
        <v>16351.865</v>
      </c>
      <c r="J23" s="12" t="n">
        <v>17592.954</v>
      </c>
      <c r="K23" s="12" t="n">
        <v>21363.622</v>
      </c>
      <c r="L23" s="12" t="n">
        <v>25694.501</v>
      </c>
    </row>
    <row r="24">
      <c r="A24" s="18" t="inlineStr">
        <is>
          <t>장기차입금</t>
        </is>
      </c>
      <c r="B24" s="10" t="n"/>
      <c r="C24" s="19" t="n">
        <v>17692.65</v>
      </c>
      <c r="D24" s="20" t="n">
        <v>18621.29</v>
      </c>
      <c r="E24" s="20" t="n">
        <v>21215.034</v>
      </c>
      <c r="F24" s="20" t="n">
        <v>22694.928</v>
      </c>
      <c r="G24" s="20" t="n">
        <v>22676.823</v>
      </c>
      <c r="H24" s="19" t="n">
        <v>7656.597</v>
      </c>
      <c r="I24" s="20" t="n">
        <v>9995.107</v>
      </c>
      <c r="J24" s="20" t="n">
        <v>12308.784</v>
      </c>
      <c r="K24" s="20" t="n">
        <v>16582.382</v>
      </c>
      <c r="L24" s="20" t="n">
        <v>21215.034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>
        <v>186.5</v>
      </c>
      <c r="I25" s="20" t="n">
        <v>29.5</v>
      </c>
      <c r="J25" s="20" t="n">
        <v>0</v>
      </c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30450.484</v>
      </c>
      <c r="D27" s="12" t="n">
        <v>31314.916</v>
      </c>
      <c r="E27" s="12" t="n">
        <v>34851.9</v>
      </c>
      <c r="F27" s="12" t="n">
        <v>35867.054</v>
      </c>
      <c r="G27" s="12" t="n">
        <v>36327.134</v>
      </c>
      <c r="H27" s="11" t="n">
        <v>21239.157</v>
      </c>
      <c r="I27" s="12" t="n">
        <v>22570.747</v>
      </c>
      <c r="J27" s="12" t="n">
        <v>24655.019</v>
      </c>
      <c r="K27" s="12" t="n">
        <v>29149.738</v>
      </c>
      <c r="L27" s="12" t="n">
        <v>34851.9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28173.753</v>
      </c>
      <c r="D31" s="12" t="n">
        <v>28431.449</v>
      </c>
      <c r="E31" s="12" t="n">
        <v>29228.662</v>
      </c>
      <c r="F31" s="12" t="n">
        <v>29574.633</v>
      </c>
      <c r="G31" s="12" t="n">
        <v>30943.138</v>
      </c>
      <c r="H31" s="11" t="n">
        <v>20963.239</v>
      </c>
      <c r="I31" s="12" t="n">
        <v>23072.607</v>
      </c>
      <c r="J31" s="12" t="n">
        <v>25021.17</v>
      </c>
      <c r="K31" s="12" t="n">
        <v>26769.879</v>
      </c>
      <c r="L31" s="12" t="n">
        <v>29228.662</v>
      </c>
    </row>
    <row r="32">
      <c r="A32" s="18" t="inlineStr">
        <is>
          <t>자본금</t>
        </is>
      </c>
      <c r="B32" s="10" t="n"/>
      <c r="C32" s="19" t="n">
        <v>6111.539</v>
      </c>
      <c r="D32" s="20" t="n">
        <v>6111.539</v>
      </c>
      <c r="E32" s="20" t="n">
        <v>6111.539</v>
      </c>
      <c r="F32" s="20" t="n">
        <v>6111.539</v>
      </c>
      <c r="G32" s="20" t="n">
        <v>6111.539</v>
      </c>
      <c r="H32" s="19" t="n">
        <v>6111.539</v>
      </c>
      <c r="I32" s="20" t="n">
        <v>6111.539</v>
      </c>
      <c r="J32" s="20" t="n">
        <v>6111.539</v>
      </c>
      <c r="K32" s="20" t="n">
        <v>6111.539</v>
      </c>
      <c r="L32" s="20" t="n">
        <v>6111.539</v>
      </c>
    </row>
    <row r="33">
      <c r="A33" s="18" t="inlineStr">
        <is>
          <t>이익잉여금</t>
        </is>
      </c>
      <c r="B33" s="10" t="n"/>
      <c r="C33" s="19" t="n">
        <v>16125.724</v>
      </c>
      <c r="D33" s="20" t="n">
        <v>16355.687</v>
      </c>
      <c r="E33" s="20" t="n">
        <v>17119.762</v>
      </c>
      <c r="F33" s="20" t="n">
        <v>17439.678</v>
      </c>
      <c r="G33" s="20" t="n">
        <v>18793.54</v>
      </c>
      <c r="H33" s="19" t="n">
        <v>8917.566000000001</v>
      </c>
      <c r="I33" s="20" t="n">
        <v>11009.32</v>
      </c>
      <c r="J33" s="20" t="n">
        <v>12956.012</v>
      </c>
      <c r="K33" s="20" t="n">
        <v>14685.198</v>
      </c>
      <c r="L33" s="20" t="n">
        <v>17119.762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28173.753</v>
      </c>
      <c r="D35" s="12" t="n">
        <v>28431.449</v>
      </c>
      <c r="E35" s="12" t="n">
        <v>29228.662</v>
      </c>
      <c r="F35" s="12" t="n">
        <v>29574.633</v>
      </c>
      <c r="G35" s="12" t="n">
        <v>30943.138</v>
      </c>
      <c r="H35" s="11" t="n">
        <v>20963.239</v>
      </c>
      <c r="I35" s="12" t="n">
        <v>23072.607</v>
      </c>
      <c r="J35" s="12" t="n">
        <v>25021.17</v>
      </c>
      <c r="K35" s="12" t="n">
        <v>26769.879</v>
      </c>
      <c r="L35" s="12" t="n">
        <v>29228.662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5284.243</v>
      </c>
      <c r="D37" s="12" t="n"/>
      <c r="E37" s="12" t="n">
        <v>5217.845</v>
      </c>
      <c r="F37" s="12" t="n"/>
      <c r="G37" s="12" t="n">
        <v>5654.027</v>
      </c>
      <c r="H37" s="11" t="n">
        <v>5741.331</v>
      </c>
      <c r="I37" s="12" t="n">
        <v>1605.193</v>
      </c>
      <c r="J37" s="12" t="n">
        <v>3530.496</v>
      </c>
      <c r="K37" s="12" t="n">
        <v>5322.177</v>
      </c>
      <c r="L37" s="12" t="n">
        <v>5217.845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7784.481</v>
      </c>
      <c r="D38" s="20" t="n"/>
      <c r="E38" s="20" t="n">
        <v>8057.79</v>
      </c>
      <c r="F38" s="20" t="n"/>
      <c r="G38" s="20" t="n">
        <v>8375.873</v>
      </c>
      <c r="H38" s="19" t="n">
        <v>1837.213</v>
      </c>
      <c r="I38" s="20" t="n">
        <v>2216.704</v>
      </c>
      <c r="J38" s="20" t="n">
        <v>4829.224</v>
      </c>
      <c r="K38" s="20" t="n">
        <v>6821.459</v>
      </c>
      <c r="L38" s="20" t="n">
        <v>8057.79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1128.644</v>
      </c>
      <c r="D40" s="20" t="n"/>
      <c r="E40" s="20" t="n">
        <v>1269.919</v>
      </c>
      <c r="F40" s="20" t="n"/>
      <c r="G40" s="20" t="n">
        <v>1320.442</v>
      </c>
      <c r="H40" s="19" t="n">
        <v>391.096</v>
      </c>
      <c r="I40" s="20" t="n">
        <v>595.035</v>
      </c>
      <c r="J40" s="20" t="n">
        <v>873.575</v>
      </c>
      <c r="K40" s="20" t="n">
        <v>1469.888</v>
      </c>
      <c r="L40" s="20" t="n">
        <v>1269.919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IFERROR(IF((IF(COUNT('연간'!G56:J56)&lt;4,"",SUM('연간'!G56:J56)))&lt;=0,"적자",C28/(IF(COUNT('연간'!G56:J56)&lt;4,"",SUM('연간'!G56:J56)))),"")</f>
        <v/>
      </c>
      <c r="D49" s="47">
        <f>IFERROR(IF((IF(COUNT('연간'!H56:K56)&lt;4,"",SUM('연간'!H56:K56)))&lt;=0,"적자",D28/(IF(COUNT('연간'!H56:K56)&lt;4,"",SUM('연간'!H56:K56)))),"")</f>
        <v/>
      </c>
      <c r="E49" s="47">
        <f>IFERROR(IF((IF(COUNT('연간'!I56:L56)&lt;4,"",SUM('연간'!I56:L56)))&lt;=0,"적자",E28/(IF(COUNT('연간'!I56:L56)&lt;4,"",SUM('연간'!I56:L56)))),"")</f>
        <v/>
      </c>
      <c r="F49" s="47">
        <f>IFERROR(IF((IF(COUNT('연간'!J56:M56)&lt;4,"",SUM('연간'!J56:M56)))&lt;=0,"적자",F28/(IF(COUNT('연간'!J56:M56)&lt;4,"",SUM('연간'!J56:M56)))),"")</f>
        <v/>
      </c>
      <c r="G49" s="47">
        <f>IFERROR(IF((IF(COUNT('연간'!K56:N56)&lt;4,"",SUM('연간'!K56:N56)))&lt;=0,"적자",G28/(IF(COUNT('연간'!K56:N56)&lt;4,"",SUM('연간'!K56:N56)))),"")</f>
        <v/>
      </c>
      <c r="H49" s="46">
        <f>IFERROR(IF(('연간'!T56)&lt;=0,"적자",H28/('연간'!T56)),"")</f>
        <v/>
      </c>
      <c r="I49" s="47">
        <f>IFERROR(IF(('연간'!U56)&lt;=0,"적자",I28/('연간'!U56)),"")</f>
        <v/>
      </c>
      <c r="J49" s="47">
        <f>IFERROR(IF(('연간'!V56)&lt;=0,"적자",J28/('연간'!V56)),"")</f>
        <v/>
      </c>
      <c r="K49" s="47">
        <f>IFERROR(IF(('연간'!W56)&lt;=0,"적자",K28/('연간'!W56)),"")</f>
        <v/>
      </c>
      <c r="L49" s="47">
        <f>IFERROR(IF(('연간'!X56)&lt;=0,"적자",L28/('연간'!X56)),"")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IFERROR((IF(COUNT('연간'!G56:J56)&lt;4,"",SUM('연간'!G56:J56)))/C31,"")</f>
        <v/>
      </c>
      <c r="D51" s="36">
        <f>IFERROR((IF(COUNT('연간'!H56:K56)&lt;4,"",SUM('연간'!H56:K56)))/D31,"")</f>
        <v/>
      </c>
      <c r="E51" s="36">
        <f>IFERROR((IF(COUNT('연간'!I56:L56)&lt;4,"",SUM('연간'!I56:L56)))/E31,"")</f>
        <v/>
      </c>
      <c r="F51" s="36">
        <f>IFERROR((IF(COUNT('연간'!J56:M56)&lt;4,"",SUM('연간'!J56:M56)))/F31,"")</f>
        <v/>
      </c>
      <c r="G51" s="36">
        <f>IFERROR((IF(COUNT('연간'!K56:N56)&lt;4,"",SUM('연간'!K56:N56)))/G31,"")</f>
        <v/>
      </c>
      <c r="H51" s="35">
        <f>IFERROR(('연간'!T56)/H31,"")</f>
        <v/>
      </c>
      <c r="I51" s="36">
        <f>IFERROR(('연간'!U56)/I31,"")</f>
        <v/>
      </c>
      <c r="J51" s="36">
        <f>IFERROR(('연간'!V56)/J31,"")</f>
        <v/>
      </c>
      <c r="K51" s="36">
        <f>IFERROR(('연간'!W56)/K31,"")</f>
        <v/>
      </c>
      <c r="L51" s="36">
        <f>IFERROR(('연간'!X56)/L31,"")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IFERROR((IF(COUNT('연간'!G55:J55)&lt;4,"",SUM('연간'!G55:J55)))/C16,"")</f>
        <v/>
      </c>
      <c r="D52" s="36">
        <f>IFERROR((IF(COUNT('연간'!H55:K55)&lt;4,"",SUM('연간'!H55:K55)))/D16,"")</f>
        <v/>
      </c>
      <c r="E52" s="36">
        <f>IFERROR((IF(COUNT('연간'!I55:L55)&lt;4,"",SUM('연간'!I55:L55)))/E16,"")</f>
        <v/>
      </c>
      <c r="F52" s="36">
        <f>IFERROR((IF(COUNT('연간'!J55:M55)&lt;4,"",SUM('연간'!J55:M55)))/F16,"")</f>
        <v/>
      </c>
      <c r="G52" s="36">
        <f>IFERROR((IF(COUNT('연간'!K55:N55)&lt;4,"",SUM('연간'!K55:N55)))/G16,"")</f>
        <v/>
      </c>
      <c r="H52" s="35">
        <f>IFERROR(('연간'!T55)/H16,"")</f>
        <v/>
      </c>
      <c r="I52" s="36">
        <f>IFERROR(('연간'!U55)/I16,"")</f>
        <v/>
      </c>
      <c r="J52" s="36">
        <f>IFERROR(('연간'!V55)/J16,"")</f>
        <v/>
      </c>
      <c r="K52" s="36">
        <f>IFERROR(('연간'!W55)/K16,"")</f>
        <v/>
      </c>
      <c r="L52" s="36">
        <f>IFERROR(('연간'!X55)/L16,"")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IFERROR((IF(COUNT('연간'!G24:J24)&lt;4,"",SUM('연간'!G24:J24)))/(IF(COUNT('연간'!G4:J4)&lt;4,"",SUM('연간'!G4:J4))),"")</f>
        <v/>
      </c>
      <c r="D54" s="36">
        <f>IFERROR((IF(COUNT('연간'!H24:K24)&lt;4,"",SUM('연간'!H24:K24)))/(IF(COUNT('연간'!H4:K4)&lt;4,"",SUM('연간'!H4:K4))),"")</f>
        <v/>
      </c>
      <c r="E54" s="36">
        <f>IFERROR((IF(COUNT('연간'!I24:L24)&lt;4,"",SUM('연간'!I24:L24)))/(IF(COUNT('연간'!I4:L4)&lt;4,"",SUM('연간'!I4:L4))),"")</f>
        <v/>
      </c>
      <c r="F54" s="36">
        <f>IFERROR((IF(COUNT('연간'!J24:M24)&lt;4,"",SUM('연간'!J24:M24)))/(IF(COUNT('연간'!J4:M4)&lt;4,"",SUM('연간'!J4:M4))),"")</f>
        <v/>
      </c>
      <c r="G54" s="36">
        <f>IFERROR((IF(COUNT('연간'!K24:N24)&lt;4,"",SUM('연간'!K24:N24)))/(IF(COUNT('연간'!K4:N4)&lt;4,"",SUM('연간'!K4:N4))),"")</f>
        <v/>
      </c>
      <c r="H54" s="35">
        <f>IFERROR(('연간'!T24)/('연간'!T4),"")</f>
        <v/>
      </c>
      <c r="I54" s="36">
        <f>IFERROR(('연간'!U24)/('연간'!U4),"")</f>
        <v/>
      </c>
      <c r="J54" s="36">
        <f>IFERROR(('연간'!V24)/('연간'!V4),"")</f>
        <v/>
      </c>
      <c r="K54" s="36">
        <f>IFERROR(('연간'!W24)/('연간'!W4),"")</f>
        <v/>
      </c>
      <c r="L54" s="36">
        <f>IFERROR(('연간'!X24)/('연간'!X4),"")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IFERROR((IF(COUNT('연간'!G55:J55)&lt;4,"",SUM('연간'!G55:J55)))/(IF(COUNT('연간'!G4:J4)&lt;4,"",SUM('연간'!G4:J4))),"")</f>
        <v/>
      </c>
      <c r="D56" s="36">
        <f>IFERROR((IF(COUNT('연간'!H55:K55)&lt;4,"",SUM('연간'!H55:K55)))/(IF(COUNT('연간'!H4:K4)&lt;4,"",SUM('연간'!H4:K4))),"")</f>
        <v/>
      </c>
      <c r="E56" s="36">
        <f>IFERROR((IF(COUNT('연간'!I55:L55)&lt;4,"",SUM('연간'!I55:L55)))/(IF(COUNT('연간'!I4:L4)&lt;4,"",SUM('연간'!I4:L4))),"")</f>
        <v/>
      </c>
      <c r="F56" s="36">
        <f>IFERROR((IF(COUNT('연간'!J55:M55)&lt;4,"",SUM('연간'!J55:M55)))/(IF(COUNT('연간'!J4:M4)&lt;4,"",SUM('연간'!J4:M4))),"")</f>
        <v/>
      </c>
      <c r="G56" s="36">
        <f>IFERROR((IF(COUNT('연간'!K55:N55)&lt;4,"",SUM('연간'!K55:N55)))/(IF(COUNT('연간'!K4:N4)&lt;4,"",SUM('연간'!K4:N4))),"")</f>
        <v/>
      </c>
      <c r="H56" s="35">
        <f>IFERROR(('연간'!T55)/('연간'!T4),"")</f>
        <v/>
      </c>
      <c r="I56" s="36">
        <f>IFERROR(('연간'!U55)/('연간'!U4),"")</f>
        <v/>
      </c>
      <c r="J56" s="36">
        <f>IFERROR(('연간'!V55)/('연간'!V4),"")</f>
        <v/>
      </c>
      <c r="K56" s="36">
        <f>IFERROR(('연간'!W55)/('연간'!W4),"")</f>
        <v/>
      </c>
      <c r="L56" s="36">
        <f>IFERROR(('연간'!X55)/('연간'!X4),"")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IF(C37="","",IFERROR(C37/(IF(COUNT('연간'!G55:J55)&lt;4,"",SUM('연간'!G55:J55))),""))</f>
        <v/>
      </c>
      <c r="D64" s="31">
        <f>IF(D37="","",IFERROR(D37/(IF(COUNT('연간'!H55:K55)&lt;4,"",SUM('연간'!H55:K55))),""))</f>
        <v/>
      </c>
      <c r="E64" s="31">
        <f>IF(E37="","",IFERROR(E37/(IF(COUNT('연간'!I55:L55)&lt;4,"",SUM('연간'!I55:L55))),""))</f>
        <v/>
      </c>
      <c r="F64" s="31">
        <f>IF(F37="","",IFERROR(F37/(IF(COUNT('연간'!J55:M55)&lt;4,"",SUM('연간'!J55:M55))),""))</f>
        <v/>
      </c>
      <c r="G64" s="31">
        <f>IF(G37="","",IFERROR(G37/(IF(COUNT('연간'!K55:N55)&lt;4,"",SUM('연간'!K55:N55))),""))</f>
        <v/>
      </c>
      <c r="H64" s="30">
        <f>IF(H37="","",IFERROR(H37/('연간'!T55),""))</f>
        <v/>
      </c>
      <c r="I64" s="31">
        <f>IF(I37="","",IFERROR(I37/('연간'!U55),""))</f>
        <v/>
      </c>
      <c r="J64" s="31">
        <f>IF(J37="","",IFERROR(J37/('연간'!V55),""))</f>
        <v/>
      </c>
      <c r="K64" s="31">
        <f>IF(K37="","",IFERROR(K37/('연간'!W55),""))</f>
        <v/>
      </c>
      <c r="L64" s="31">
        <f>IF(L37="","",IFERROR(L37/('연간'!X55),""))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IF(C40="","",IFERROR(C40/(IF(COUNT('연간'!G56:J56)&lt;4,"",SUM('연간'!G56:J56))),""))</f>
        <v/>
      </c>
      <c r="D67" s="36">
        <f>IF(D40="","",IFERROR(D40/(IF(COUNT('연간'!H56:K56)&lt;4,"",SUM('연간'!H56:K56))),""))</f>
        <v/>
      </c>
      <c r="E67" s="36">
        <f>IF(E40="","",IFERROR(E40/(IF(COUNT('연간'!I56:L56)&lt;4,"",SUM('연간'!I56:L56))),""))</f>
        <v/>
      </c>
      <c r="F67" s="36">
        <f>IF(F40="","",IFERROR(F40/(IF(COUNT('연간'!J56:M56)&lt;4,"",SUM('연간'!J56:M56))),""))</f>
        <v/>
      </c>
      <c r="G67" s="36">
        <f>IF(G40="","",IFERROR(G40/(IF(COUNT('연간'!K56:N56)&lt;4,"",SUM('연간'!K56:N56))),""))</f>
        <v/>
      </c>
      <c r="H67" s="35">
        <f>IF(H40="","",IFERROR(H40/('연간'!T56),""))</f>
        <v/>
      </c>
      <c r="I67" s="36">
        <f>IF(I40="","",IFERROR(I40/('연간'!U56),""))</f>
        <v/>
      </c>
      <c r="J67" s="36">
        <f>IF(J40="","",IFERROR(J40/('연간'!V56),""))</f>
        <v/>
      </c>
      <c r="K67" s="36">
        <f>IF(K40="","",IFERROR(K40/('연간'!W56),""))</f>
        <v/>
      </c>
      <c r="L67" s="36">
        <f>IF(L40="","",IFERROR(L40/('연간'!X56),""))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2025.2Q</t>
        </is>
      </c>
      <c r="D70" s="5" t="inlineStr">
        <is>
          <t>2025.3Q</t>
        </is>
      </c>
      <c r="E70" s="5" t="inlineStr">
        <is>
          <t>2025.4Q</t>
        </is>
      </c>
      <c r="F70" s="5" t="inlineStr">
        <is>
          <t>2026.1Q</t>
        </is>
      </c>
      <c r="G70" s="5" t="inlineStr">
        <is>
          <t>2026.2Q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18" t="inlineStr">
        <is>
          <t>현금 및 예금</t>
        </is>
      </c>
      <c r="C71" s="20" t="n">
        <v>16012.6</v>
      </c>
      <c r="D71" s="20" t="n">
        <v>15079.376</v>
      </c>
      <c r="E71" s="20" t="n">
        <v>16671.735</v>
      </c>
      <c r="F71" s="20" t="n">
        <v>15576.322</v>
      </c>
      <c r="G71" s="20" t="n">
        <v>17837.983</v>
      </c>
      <c r="H71" s="20" t="n">
        <v>13440.532</v>
      </c>
      <c r="I71" s="20" t="n">
        <v>14299.556</v>
      </c>
      <c r="J71" s="20" t="n">
        <v>14995.672</v>
      </c>
      <c r="K71" s="20" t="n">
        <v>15210.595</v>
      </c>
      <c r="L71" s="20" t="n">
        <v>16671.735</v>
      </c>
    </row>
    <row r="72">
      <c r="A72" s="18" t="inlineStr">
        <is>
          <t>매출채권</t>
        </is>
      </c>
      <c r="C72" s="20" t="n">
        <v>191.718</v>
      </c>
      <c r="D72" s="20" t="n">
        <v>197.761</v>
      </c>
      <c r="E72" s="20" t="n">
        <v>194.484</v>
      </c>
      <c r="F72" s="20" t="n">
        <v>324.871</v>
      </c>
      <c r="G72" s="20" t="n">
        <v>229.568</v>
      </c>
      <c r="H72" s="20" t="n">
        <v>123.942</v>
      </c>
      <c r="I72" s="20" t="n">
        <v>130.914</v>
      </c>
      <c r="J72" s="20" t="n">
        <v>135.774</v>
      </c>
      <c r="K72" s="20" t="n">
        <v>165.87</v>
      </c>
      <c r="L72" s="20" t="n">
        <v>194.484</v>
      </c>
    </row>
    <row r="73">
      <c r="A73" s="18" t="inlineStr">
        <is>
          <t>완성공사 미수금</t>
        </is>
      </c>
      <c r="C73" s="20" t="n">
        <v>34.629</v>
      </c>
      <c r="D73" s="20" t="n">
        <v>21.359</v>
      </c>
      <c r="E73" s="20" t="n">
        <v>9.962999999999999</v>
      </c>
      <c r="F73" s="20" t="n">
        <v>24.675</v>
      </c>
      <c r="G73" s="20" t="n">
        <v>44.795</v>
      </c>
      <c r="K73" s="20" t="n">
        <v>0</v>
      </c>
      <c r="L73" s="20" t="n">
        <v>9.962999999999999</v>
      </c>
    </row>
    <row r="74">
      <c r="A74" s="18" t="inlineStr">
        <is>
          <t>상품</t>
        </is>
      </c>
      <c r="E74" s="20" t="n">
        <v>1037.951</v>
      </c>
      <c r="F74" s="20" t="n">
        <v>1465.133</v>
      </c>
      <c r="G74" s="20" t="n">
        <v>832.386</v>
      </c>
      <c r="K74" s="20" t="n">
        <v>0</v>
      </c>
      <c r="L74" s="20" t="n">
        <v>1037.951</v>
      </c>
    </row>
    <row r="75">
      <c r="A75" s="18" t="inlineStr">
        <is>
          <t>판매용 부동산</t>
        </is>
      </c>
      <c r="C75" s="20" t="n">
        <v>4750.404</v>
      </c>
      <c r="D75" s="20" t="n">
        <v>4663.253</v>
      </c>
      <c r="E75" s="20" t="n">
        <v>6818.6</v>
      </c>
      <c r="F75" s="20" t="n">
        <v>7316.787</v>
      </c>
      <c r="G75" s="20" t="n">
        <v>6200.986</v>
      </c>
      <c r="H75" s="20" t="n">
        <v>3127.348</v>
      </c>
      <c r="I75" s="20" t="n">
        <v>4993.92</v>
      </c>
      <c r="J75" s="20" t="n">
        <v>5949.327</v>
      </c>
      <c r="K75" s="20" t="n">
        <v>5847.211</v>
      </c>
      <c r="L75" s="20" t="n">
        <v>6818.6</v>
      </c>
    </row>
    <row r="76">
      <c r="A76" s="18" t="inlineStr">
        <is>
          <t>개발 중 판매용 부동산</t>
        </is>
      </c>
      <c r="C76" s="20" t="n">
        <v>1008.506</v>
      </c>
      <c r="D76" s="20" t="n">
        <v>1878.131</v>
      </c>
      <c r="E76" s="20" t="n">
        <v>423.236</v>
      </c>
      <c r="F76" s="20" t="n">
        <v>167.71</v>
      </c>
      <c r="G76" s="20" t="n">
        <v>0.375</v>
      </c>
      <c r="H76" s="20" t="n">
        <v>211.543</v>
      </c>
      <c r="I76" s="20" t="n">
        <v>142.903</v>
      </c>
      <c r="J76" s="20" t="n">
        <v>352.103</v>
      </c>
      <c r="K76" s="20" t="n">
        <v>735.353</v>
      </c>
      <c r="L76" s="20" t="n">
        <v>423.236</v>
      </c>
    </row>
    <row r="77">
      <c r="A77" s="18" t="inlineStr">
        <is>
          <t>미성공사 지출금</t>
        </is>
      </c>
      <c r="C77" s="20" t="n">
        <v>5.139</v>
      </c>
      <c r="D77" s="20" t="n">
        <v>1.328</v>
      </c>
      <c r="E77" s="20" t="n">
        <v>11.235</v>
      </c>
      <c r="F77" s="20" t="n">
        <v>46.568</v>
      </c>
      <c r="G77" s="20" t="n">
        <v>140.031</v>
      </c>
      <c r="H77" s="20" t="n">
        <v>2.364</v>
      </c>
      <c r="I77" s="20" t="n">
        <v>0</v>
      </c>
      <c r="J77" s="20" t="n">
        <v>0</v>
      </c>
      <c r="K77" s="20" t="n">
        <v>34.664</v>
      </c>
      <c r="L77" s="20" t="n">
        <v>11.235</v>
      </c>
    </row>
    <row r="78">
      <c r="A78" s="18" t="inlineStr">
        <is>
          <t>재공품</t>
        </is>
      </c>
      <c r="E78" s="20" t="n">
        <v>46.2</v>
      </c>
      <c r="G78" s="20" t="n">
        <v>0.114</v>
      </c>
      <c r="L78" s="20" t="n">
        <v>46.2</v>
      </c>
    </row>
    <row r="79">
      <c r="A79" s="18" t="inlineStr">
        <is>
          <t>저장품</t>
        </is>
      </c>
      <c r="C79" s="20" t="n">
        <v>52.187</v>
      </c>
      <c r="D79" s="20" t="n">
        <v>40.464</v>
      </c>
      <c r="E79" s="20" t="n">
        <v>57.006</v>
      </c>
      <c r="F79" s="20" t="n">
        <v>59.765</v>
      </c>
      <c r="G79" s="20" t="n">
        <v>53.914</v>
      </c>
      <c r="H79" s="20" t="n">
        <v>17.627</v>
      </c>
      <c r="I79" s="20" t="n">
        <v>19.931</v>
      </c>
      <c r="J79" s="20" t="n">
        <v>19.643</v>
      </c>
      <c r="K79" s="20" t="n">
        <v>47.163</v>
      </c>
      <c r="L79" s="20" t="n">
        <v>57.006</v>
      </c>
    </row>
    <row r="80">
      <c r="A80" s="18" t="inlineStr">
        <is>
          <t>선급비용</t>
        </is>
      </c>
      <c r="E80" s="20" t="n">
        <v>324.261</v>
      </c>
      <c r="H80" s="20" t="n">
        <v>247.04</v>
      </c>
      <c r="I80" s="20" t="n">
        <v>254.817</v>
      </c>
      <c r="J80" s="20" t="n">
        <v>273.136</v>
      </c>
      <c r="K80" s="20" t="n">
        <v>306.832</v>
      </c>
      <c r="L80" s="20" t="n">
        <v>324.261</v>
      </c>
    </row>
    <row r="81">
      <c r="A81" s="18" t="inlineStr">
        <is>
          <t>재공품</t>
        </is>
      </c>
      <c r="E81" s="20" t="n">
        <v>46.2</v>
      </c>
      <c r="F81" s="20" t="n">
        <v>0.376</v>
      </c>
      <c r="K81" s="20" t="n">
        <v>0</v>
      </c>
      <c r="L81" s="20" t="n">
        <v>46.2</v>
      </c>
    </row>
    <row r="82">
      <c r="A82" s="18" t="inlineStr">
        <is>
          <t>선급금</t>
        </is>
      </c>
      <c r="E82" s="20" t="n">
        <v>21.7</v>
      </c>
      <c r="H82" s="20" t="n">
        <v>25</v>
      </c>
      <c r="I82" s="20" t="n">
        <v>60.093</v>
      </c>
      <c r="J82" s="20" t="n">
        <v>61.882</v>
      </c>
      <c r="K82" s="20" t="n">
        <v>37.938</v>
      </c>
      <c r="L82" s="20" t="n">
        <v>21.7</v>
      </c>
    </row>
    <row r="83">
      <c r="A83" s="18" t="inlineStr">
        <is>
          <t>미수 환급법인세</t>
        </is>
      </c>
      <c r="E83" s="20" t="n">
        <v>23.525</v>
      </c>
      <c r="F83" s="20" t="n">
        <v>0</v>
      </c>
      <c r="G83" s="20" t="n">
        <v>0</v>
      </c>
      <c r="H83" s="20" t="n">
        <v>0</v>
      </c>
      <c r="K83" s="20" t="n">
        <v>0</v>
      </c>
      <c r="L83" s="20" t="n">
        <v>23.525</v>
      </c>
    </row>
    <row r="84">
      <c r="A84" s="18" t="inlineStr">
        <is>
          <t>미수 소비세</t>
        </is>
      </c>
      <c r="E84" s="20" t="n">
        <v>0</v>
      </c>
      <c r="H84" s="20" t="n">
        <v>0</v>
      </c>
      <c r="J84" s="20" t="n">
        <v>0</v>
      </c>
      <c r="K84" s="20" t="n">
        <v>67.038</v>
      </c>
      <c r="L84" s="20" t="n">
        <v>0</v>
      </c>
    </row>
    <row r="85">
      <c r="A85" s="18" t="inlineStr">
        <is>
          <t>기타</t>
        </is>
      </c>
      <c r="C85" s="20" t="n">
        <v>654.643</v>
      </c>
      <c r="D85" s="20" t="n">
        <v>582.795</v>
      </c>
      <c r="E85" s="20" t="n">
        <v>458.703</v>
      </c>
      <c r="F85" s="20" t="n">
        <v>883.817</v>
      </c>
      <c r="G85" s="20" t="n">
        <v>733.434</v>
      </c>
      <c r="H85" s="20" t="n">
        <v>149.291</v>
      </c>
      <c r="I85" s="20" t="n">
        <v>156.833</v>
      </c>
      <c r="J85" s="20" t="n">
        <v>128.835</v>
      </c>
      <c r="K85" s="20" t="n">
        <v>138.427</v>
      </c>
      <c r="L85" s="20" t="n">
        <v>458.703</v>
      </c>
    </row>
    <row r="86">
      <c r="A86" s="18" t="inlineStr">
        <is>
          <t>대손충당금</t>
        </is>
      </c>
      <c r="C86" s="20" t="n">
        <v>-36.259</v>
      </c>
      <c r="D86" s="20" t="n">
        <v>-33.953</v>
      </c>
      <c r="E86" s="20" t="n">
        <v>-37.87</v>
      </c>
      <c r="F86" s="20" t="n">
        <v>-47.509</v>
      </c>
      <c r="G86" s="20" t="n">
        <v>-40.444</v>
      </c>
      <c r="H86" s="20" t="n">
        <v>-24.778</v>
      </c>
      <c r="I86" s="20" t="n">
        <v>-26.607</v>
      </c>
      <c r="J86" s="20" t="n">
        <v>-29.144</v>
      </c>
      <c r="K86" s="20" t="n">
        <v>-33.037</v>
      </c>
      <c r="L86" s="20" t="n">
        <v>-37.87</v>
      </c>
    </row>
    <row r="87">
      <c r="A87" s="9" t="inlineStr">
        <is>
          <t>유동자산 합계</t>
        </is>
      </c>
      <c r="C87" s="12" t="n">
        <v>22673.569</v>
      </c>
      <c r="D87" s="12" t="n">
        <v>22430.517</v>
      </c>
      <c r="E87" s="12" t="n">
        <v>25714.771</v>
      </c>
      <c r="F87" s="12" t="n">
        <v>25818.518</v>
      </c>
      <c r="G87" s="12" t="n">
        <v>26033.145</v>
      </c>
      <c r="H87" s="12" t="n">
        <v>17319.912</v>
      </c>
      <c r="I87" s="12" t="n">
        <v>20032.362</v>
      </c>
      <c r="J87" s="12" t="n">
        <v>21887.231</v>
      </c>
      <c r="K87" s="12" t="n">
        <v>22558.058</v>
      </c>
      <c r="L87" s="12" t="n">
        <v>25714.771</v>
      </c>
    </row>
    <row r="88">
      <c r="A88" s="18" t="inlineStr">
        <is>
          <t>건물</t>
        </is>
      </c>
      <c r="C88" s="20" t="n">
        <v>10915.602</v>
      </c>
      <c r="D88" s="20" t="n">
        <v>11061.024</v>
      </c>
      <c r="E88" s="20" t="n">
        <v>10978.138</v>
      </c>
      <c r="F88" s="20" t="n">
        <v>10940.715</v>
      </c>
      <c r="G88" s="20" t="n">
        <v>11601.222</v>
      </c>
      <c r="H88" s="20" t="n">
        <v>9043.607</v>
      </c>
      <c r="I88" s="20" t="n">
        <v>9532.734</v>
      </c>
      <c r="J88" s="20" t="n">
        <v>10208.674</v>
      </c>
      <c r="K88" s="20" t="n">
        <v>10573.83</v>
      </c>
      <c r="L88" s="20" t="n">
        <v>10978.138</v>
      </c>
    </row>
    <row r="89">
      <c r="A89" s="18" t="inlineStr">
        <is>
          <t>감가상각누계액</t>
        </is>
      </c>
      <c r="C89" s="20" t="n">
        <v>-3842.654</v>
      </c>
      <c r="D89" s="20" t="n">
        <v>-3948.823</v>
      </c>
      <c r="E89" s="20" t="n">
        <v>-3995.62</v>
      </c>
      <c r="F89" s="20" t="n">
        <v>-4091.548</v>
      </c>
      <c r="G89" s="20" t="n">
        <v>-4201.191</v>
      </c>
      <c r="H89" s="20" t="n">
        <v>-2768.902</v>
      </c>
      <c r="I89" s="20" t="n">
        <v>-3069.336</v>
      </c>
      <c r="J89" s="20" t="n">
        <v>-3330.391</v>
      </c>
      <c r="K89" s="20" t="n">
        <v>-3637.254</v>
      </c>
      <c r="L89" s="20" t="n">
        <v>-3995.62</v>
      </c>
    </row>
    <row r="90">
      <c r="A90" s="18" t="inlineStr">
        <is>
          <t>손상차손누계액</t>
        </is>
      </c>
      <c r="C90" s="20" t="n">
        <v>-643.234</v>
      </c>
      <c r="D90" s="20" t="n">
        <v>-643.234</v>
      </c>
      <c r="E90" s="20" t="n">
        <v>-683.972</v>
      </c>
      <c r="F90" s="20" t="n">
        <v>-675.8200000000001</v>
      </c>
      <c r="G90" s="20" t="n">
        <v>-675.8200000000001</v>
      </c>
      <c r="H90" s="20" t="n">
        <v>-565.3390000000001</v>
      </c>
      <c r="I90" s="20" t="n">
        <v>-565.617</v>
      </c>
      <c r="J90" s="20" t="n">
        <v>-583.136</v>
      </c>
      <c r="K90" s="20" t="n">
        <v>-643.234</v>
      </c>
      <c r="L90" s="20" t="n">
        <v>-683.972</v>
      </c>
    </row>
    <row r="91">
      <c r="A91" s="18" t="inlineStr">
        <is>
          <t>건물(순액)</t>
        </is>
      </c>
      <c r="C91" s="20" t="n">
        <v>6429.712</v>
      </c>
      <c r="D91" s="20" t="n">
        <v>6468.966</v>
      </c>
      <c r="E91" s="20" t="n">
        <v>6298.545</v>
      </c>
      <c r="F91" s="20" t="n">
        <v>6173.346</v>
      </c>
      <c r="G91" s="20" t="n">
        <v>6724.21</v>
      </c>
      <c r="H91" s="20" t="n">
        <v>5709.365</v>
      </c>
      <c r="I91" s="20" t="n">
        <v>5897.78</v>
      </c>
      <c r="J91" s="20" t="n">
        <v>6295.145</v>
      </c>
      <c r="K91" s="20" t="n">
        <v>6293.34</v>
      </c>
      <c r="L91" s="20" t="n">
        <v>6298.545</v>
      </c>
    </row>
    <row r="92">
      <c r="A92" s="18" t="inlineStr">
        <is>
          <t>구축물</t>
        </is>
      </c>
      <c r="E92" s="20" t="n">
        <v>5076.223</v>
      </c>
      <c r="H92" s="20" t="n">
        <v>2343.065</v>
      </c>
      <c r="I92" s="20" t="n">
        <v>2505.857</v>
      </c>
      <c r="J92" s="20" t="n">
        <v>2965.224</v>
      </c>
      <c r="K92" s="20" t="n">
        <v>3958.381</v>
      </c>
      <c r="L92" s="20" t="n">
        <v>5076.223</v>
      </c>
    </row>
    <row r="93">
      <c r="A93" s="18" t="inlineStr">
        <is>
          <t>감가상각누계액</t>
        </is>
      </c>
      <c r="E93" s="20" t="n">
        <v>-1590.045</v>
      </c>
      <c r="H93" s="20" t="n">
        <v>-818.687</v>
      </c>
      <c r="I93" s="20" t="n">
        <v>-938.046</v>
      </c>
      <c r="J93" s="20" t="n">
        <v>-1078.319</v>
      </c>
      <c r="K93" s="20" t="n">
        <v>-1281.838</v>
      </c>
      <c r="L93" s="20" t="n">
        <v>-1590.045</v>
      </c>
    </row>
    <row r="94">
      <c r="A94" s="18" t="inlineStr">
        <is>
          <t>손상차손누계액</t>
        </is>
      </c>
      <c r="E94" s="20" t="n">
        <v>-671.4</v>
      </c>
      <c r="H94" s="20" t="n">
        <v>-695.948</v>
      </c>
      <c r="I94" s="20" t="n">
        <v>-689.7089999999999</v>
      </c>
      <c r="J94" s="20" t="n">
        <v>-679.691</v>
      </c>
      <c r="K94" s="20" t="n">
        <v>-673.466</v>
      </c>
      <c r="L94" s="20" t="n">
        <v>-671.4</v>
      </c>
    </row>
    <row r="95">
      <c r="A95" s="18" t="inlineStr">
        <is>
          <t>구축물(순액)</t>
        </is>
      </c>
      <c r="E95" s="20" t="n">
        <v>2814.776</v>
      </c>
      <c r="H95" s="20" t="n">
        <v>828.4299999999999</v>
      </c>
      <c r="I95" s="20" t="n">
        <v>878.102</v>
      </c>
      <c r="J95" s="20" t="n">
        <v>1207.213</v>
      </c>
      <c r="K95" s="20" t="n">
        <v>2003.076</v>
      </c>
      <c r="L95" s="20" t="n">
        <v>2814.776</v>
      </c>
    </row>
    <row r="96">
      <c r="A96" s="18" t="inlineStr">
        <is>
          <t>기계장치</t>
        </is>
      </c>
      <c r="E96" s="20" t="n">
        <v>22.311</v>
      </c>
      <c r="H96" s="20" t="n">
        <v>21.981</v>
      </c>
      <c r="I96" s="20" t="n">
        <v>25.679</v>
      </c>
      <c r="J96" s="20" t="n">
        <v>22.311</v>
      </c>
      <c r="K96" s="20" t="n">
        <v>22.311</v>
      </c>
      <c r="L96" s="20" t="n">
        <v>22.311</v>
      </c>
    </row>
    <row r="97">
      <c r="A97" s="18" t="inlineStr">
        <is>
          <t>감가상각누계액</t>
        </is>
      </c>
      <c r="E97" s="20" t="n">
        <v>-9.811</v>
      </c>
      <c r="H97" s="20" t="n">
        <v>-7.899</v>
      </c>
      <c r="I97" s="20" t="n">
        <v>-9.231999999999999</v>
      </c>
      <c r="J97" s="20" t="n">
        <v>-7.238</v>
      </c>
      <c r="K97" s="20" t="n">
        <v>-8.613</v>
      </c>
      <c r="L97" s="20" t="n">
        <v>-9.811</v>
      </c>
    </row>
    <row r="98">
      <c r="A98" s="18" t="inlineStr">
        <is>
          <t>손상차손누계액</t>
        </is>
      </c>
      <c r="E98" s="20" t="n">
        <v>-0.198</v>
      </c>
      <c r="H98" s="20" t="n">
        <v>-0.198</v>
      </c>
      <c r="I98" s="20" t="n">
        <v>-0.198</v>
      </c>
      <c r="J98" s="20" t="n">
        <v>-0.198</v>
      </c>
      <c r="K98" s="20" t="n">
        <v>-0.198</v>
      </c>
      <c r="L98" s="20" t="n">
        <v>-0.198</v>
      </c>
    </row>
    <row r="99">
      <c r="A99" s="18" t="inlineStr">
        <is>
          <t>기계장치(순액)</t>
        </is>
      </c>
      <c r="E99" s="20" t="n">
        <v>12.301</v>
      </c>
      <c r="H99" s="20" t="n">
        <v>13.883</v>
      </c>
      <c r="I99" s="20" t="n">
        <v>16.248</v>
      </c>
      <c r="J99" s="20" t="n">
        <v>14.874</v>
      </c>
      <c r="K99" s="20" t="n">
        <v>13.5</v>
      </c>
      <c r="L99" s="20" t="n">
        <v>12.301</v>
      </c>
    </row>
    <row r="100">
      <c r="A100" s="18" t="inlineStr">
        <is>
          <t>차량운반구</t>
        </is>
      </c>
      <c r="E100" s="20" t="n">
        <v>20.502</v>
      </c>
      <c r="H100" s="20" t="n">
        <v>5.656</v>
      </c>
      <c r="I100" s="20" t="n">
        <v>5.656</v>
      </c>
      <c r="J100" s="20" t="n">
        <v>20.502</v>
      </c>
      <c r="K100" s="20" t="n">
        <v>20.502</v>
      </c>
      <c r="L100" s="20" t="n">
        <v>20.502</v>
      </c>
    </row>
    <row r="101">
      <c r="A101" s="18" t="inlineStr">
        <is>
          <t>감가상각누계액</t>
        </is>
      </c>
      <c r="E101" s="20" t="n">
        <v>-9.74</v>
      </c>
      <c r="H101" s="20" t="n">
        <v>-1.354</v>
      </c>
      <c r="I101" s="20" t="n">
        <v>-3.193</v>
      </c>
      <c r="J101" s="20" t="n">
        <v>-2.88</v>
      </c>
      <c r="K101" s="20" t="n">
        <v>-6.354</v>
      </c>
      <c r="L101" s="20" t="n">
        <v>-9.74</v>
      </c>
    </row>
    <row r="102">
      <c r="A102" s="18" t="inlineStr">
        <is>
          <t>차량운반구(순액)</t>
        </is>
      </c>
      <c r="E102" s="20" t="n">
        <v>10.762</v>
      </c>
      <c r="H102" s="20" t="n">
        <v>4.302</v>
      </c>
      <c r="I102" s="20" t="n">
        <v>2.463</v>
      </c>
      <c r="J102" s="20" t="n">
        <v>17.622</v>
      </c>
      <c r="K102" s="20" t="n">
        <v>14.148</v>
      </c>
      <c r="L102" s="20" t="n">
        <v>10.762</v>
      </c>
    </row>
    <row r="103">
      <c r="A103" s="18" t="inlineStr">
        <is>
          <t>공구·기구·비품</t>
        </is>
      </c>
      <c r="C103" s="20" t="n">
        <v>17021.276</v>
      </c>
      <c r="D103" s="20" t="n">
        <v>18339.786</v>
      </c>
      <c r="E103" s="20" t="n">
        <v>18901.038</v>
      </c>
      <c r="F103" s="20" t="n">
        <v>20302.966</v>
      </c>
      <c r="G103" s="20" t="n">
        <v>21423.1</v>
      </c>
      <c r="H103" s="20" t="n">
        <v>6376.726</v>
      </c>
      <c r="I103" s="20" t="n">
        <v>7358.853</v>
      </c>
      <c r="J103" s="20" t="n">
        <v>9556.775</v>
      </c>
      <c r="K103" s="20" t="n">
        <v>14444.917</v>
      </c>
      <c r="L103" s="20" t="n">
        <v>18901.038</v>
      </c>
    </row>
    <row r="104">
      <c r="A104" s="18" t="inlineStr">
        <is>
          <t>감가상각누계액</t>
        </is>
      </c>
      <c r="C104" s="20" t="n">
        <v>-3643.384</v>
      </c>
      <c r="D104" s="20" t="n">
        <v>-3884.773</v>
      </c>
      <c r="E104" s="20" t="n">
        <v>-4079.01</v>
      </c>
      <c r="F104" s="20" t="n">
        <v>-4362.131</v>
      </c>
      <c r="G104" s="20" t="n">
        <v>-4649.968</v>
      </c>
      <c r="H104" s="20" t="n">
        <v>-1594.929</v>
      </c>
      <c r="I104" s="20" t="n">
        <v>-1980.825</v>
      </c>
      <c r="J104" s="20" t="n">
        <v>-2477.931</v>
      </c>
      <c r="K104" s="20" t="n">
        <v>-3183.549</v>
      </c>
      <c r="L104" s="20" t="n">
        <v>-4079.01</v>
      </c>
    </row>
    <row r="105">
      <c r="A105" s="18" t="inlineStr">
        <is>
          <t>손상차손누계액</t>
        </is>
      </c>
      <c r="C105" s="20" t="n">
        <v>-277.925</v>
      </c>
      <c r="D105" s="20" t="n">
        <v>-277.498</v>
      </c>
      <c r="E105" s="20" t="n">
        <v>-329.535</v>
      </c>
      <c r="F105" s="20" t="n">
        <v>-329.535</v>
      </c>
      <c r="G105" s="20" t="n">
        <v>-327.848</v>
      </c>
      <c r="H105" s="20" t="n">
        <v>-231.435</v>
      </c>
      <c r="I105" s="20" t="n">
        <v>-240.995</v>
      </c>
      <c r="J105" s="20" t="n">
        <v>-250.617</v>
      </c>
      <c r="K105" s="20" t="n">
        <v>-277.984</v>
      </c>
      <c r="L105" s="20" t="n">
        <v>-329.535</v>
      </c>
    </row>
    <row r="106">
      <c r="A106" s="18" t="inlineStr">
        <is>
          <t>공구·기구·비품(순액)</t>
        </is>
      </c>
      <c r="C106" s="20" t="n">
        <v>13099.966</v>
      </c>
      <c r="D106" s="20" t="n">
        <v>14177.513</v>
      </c>
      <c r="E106" s="20" t="n">
        <v>14492.493</v>
      </c>
      <c r="F106" s="20" t="n">
        <v>15611.3</v>
      </c>
      <c r="G106" s="20" t="n">
        <v>16445.283</v>
      </c>
      <c r="H106" s="20" t="n">
        <v>4550.36</v>
      </c>
      <c r="I106" s="20" t="n">
        <v>5137.031</v>
      </c>
      <c r="J106" s="20" t="n">
        <v>6828.225</v>
      </c>
      <c r="K106" s="20" t="n">
        <v>10983.383</v>
      </c>
      <c r="L106" s="20" t="n">
        <v>14492.493</v>
      </c>
    </row>
    <row r="107">
      <c r="A107" s="18" t="inlineStr">
        <is>
          <t>토지</t>
        </is>
      </c>
      <c r="C107" s="20" t="n">
        <v>7743.298</v>
      </c>
      <c r="D107" s="20" t="n">
        <v>7743.298</v>
      </c>
      <c r="E107" s="20" t="n">
        <v>8234.993</v>
      </c>
      <c r="F107" s="20" t="n">
        <v>8192.864</v>
      </c>
      <c r="G107" s="20" t="n">
        <v>8192.896000000001</v>
      </c>
      <c r="H107" s="20" t="n">
        <v>8027.045</v>
      </c>
      <c r="I107" s="20" t="n">
        <v>8148.844</v>
      </c>
      <c r="J107" s="20" t="n">
        <v>8132.863</v>
      </c>
      <c r="K107" s="20" t="n">
        <v>7595.818</v>
      </c>
      <c r="L107" s="20" t="n">
        <v>8234.993</v>
      </c>
    </row>
    <row r="108">
      <c r="A108" s="18" t="inlineStr">
        <is>
          <t>리스자산</t>
        </is>
      </c>
      <c r="E108" s="20" t="n">
        <v>3043.146</v>
      </c>
      <c r="H108" s="20" t="n">
        <v>3088.241</v>
      </c>
      <c r="I108" s="20" t="n">
        <v>3062.119</v>
      </c>
      <c r="J108" s="20" t="n">
        <v>3043.146</v>
      </c>
      <c r="K108" s="20" t="n">
        <v>3043.146</v>
      </c>
      <c r="L108" s="20" t="n">
        <v>3043.146</v>
      </c>
    </row>
    <row r="109">
      <c r="A109" s="18" t="inlineStr">
        <is>
          <t>감가상각누계액</t>
        </is>
      </c>
      <c r="E109" s="20" t="n">
        <v>-2025.224</v>
      </c>
      <c r="H109" s="20" t="n">
        <v>-985.751</v>
      </c>
      <c r="I109" s="20" t="n">
        <v>-1244.631</v>
      </c>
      <c r="J109" s="20" t="n">
        <v>-1477.576</v>
      </c>
      <c r="K109" s="20" t="n">
        <v>-1753.39</v>
      </c>
      <c r="L109" s="20" t="n">
        <v>-2025.224</v>
      </c>
    </row>
    <row r="110">
      <c r="A110" s="18" t="inlineStr">
        <is>
          <t>손상차손누계액</t>
        </is>
      </c>
      <c r="E110" s="20" t="n">
        <v>-139.854</v>
      </c>
      <c r="H110" s="20" t="n">
        <v>-124.998</v>
      </c>
      <c r="I110" s="20" t="n">
        <v>-124.998</v>
      </c>
      <c r="J110" s="20" t="n">
        <v>-124.998</v>
      </c>
      <c r="K110" s="20" t="n">
        <v>-139.854</v>
      </c>
      <c r="L110" s="20" t="n">
        <v>-139.854</v>
      </c>
    </row>
    <row r="111">
      <c r="A111" s="18" t="inlineStr">
        <is>
          <t>리스자산(순액)</t>
        </is>
      </c>
      <c r="E111" s="20" t="n">
        <v>878.067</v>
      </c>
      <c r="H111" s="20" t="n">
        <v>1977.491</v>
      </c>
      <c r="I111" s="20" t="n">
        <v>1692.489</v>
      </c>
      <c r="J111" s="20" t="n">
        <v>1440.571</v>
      </c>
      <c r="K111" s="20" t="n">
        <v>1149.902</v>
      </c>
      <c r="L111" s="20" t="n">
        <v>878.067</v>
      </c>
    </row>
    <row r="112">
      <c r="A112" s="18" t="inlineStr">
        <is>
          <t>건설중인자산</t>
        </is>
      </c>
      <c r="E112" s="20" t="n">
        <v>443.271</v>
      </c>
      <c r="H112" s="20" t="n">
        <v>106.51</v>
      </c>
      <c r="I112" s="20" t="n">
        <v>79.03</v>
      </c>
      <c r="J112" s="20" t="n">
        <v>299.903</v>
      </c>
      <c r="K112" s="20" t="n">
        <v>406.787</v>
      </c>
      <c r="L112" s="20" t="n">
        <v>443.271</v>
      </c>
    </row>
    <row r="113">
      <c r="A113" s="18" t="inlineStr">
        <is>
          <t>기타</t>
        </is>
      </c>
      <c r="C113" s="20" t="n">
        <v>7803.955</v>
      </c>
      <c r="D113" s="20" t="n">
        <v>8189.207</v>
      </c>
      <c r="E113" s="20" t="n">
        <v>8605.455</v>
      </c>
      <c r="F113" s="20" t="n">
        <v>9133.675999999999</v>
      </c>
      <c r="G113" s="20" t="n">
        <v>9109.031999999999</v>
      </c>
      <c r="H113" s="20" t="n">
        <v>5565.455</v>
      </c>
      <c r="I113" s="20" t="n">
        <v>5678.344</v>
      </c>
      <c r="J113" s="20" t="n">
        <v>6351.089</v>
      </c>
      <c r="K113" s="20" t="n">
        <v>7451.129</v>
      </c>
      <c r="L113" s="20" t="n">
        <v>8605.455</v>
      </c>
    </row>
    <row r="114">
      <c r="A114" s="18" t="inlineStr">
        <is>
          <t>감가상각누계액</t>
        </is>
      </c>
      <c r="C114" s="20" t="n">
        <v>-3335.643</v>
      </c>
      <c r="D114" s="20" t="n">
        <v>-3485.448</v>
      </c>
      <c r="E114" s="20" t="n">
        <v>-3634.823</v>
      </c>
      <c r="F114" s="20" t="n">
        <v>-3801.374</v>
      </c>
      <c r="G114" s="20" t="n">
        <v>-3971.149</v>
      </c>
      <c r="H114" s="20" t="n">
        <v>-1813.692</v>
      </c>
      <c r="I114" s="20" t="n">
        <v>-2195.103</v>
      </c>
      <c r="J114" s="20" t="n">
        <v>-2566.015</v>
      </c>
      <c r="K114" s="20" t="n">
        <v>-3050.196</v>
      </c>
      <c r="L114" s="20" t="n">
        <v>-3634.823</v>
      </c>
    </row>
    <row r="115">
      <c r="A115" s="18" t="inlineStr">
        <is>
          <t>손상차손누계액</t>
        </is>
      </c>
      <c r="C115" s="20" t="n">
        <v>-812.317</v>
      </c>
      <c r="D115" s="20" t="n">
        <v>-807.2</v>
      </c>
      <c r="E115" s="20" t="n">
        <v>-811.453</v>
      </c>
      <c r="F115" s="20" t="n">
        <v>-811.1950000000001</v>
      </c>
      <c r="G115" s="20" t="n">
        <v>-806.182</v>
      </c>
      <c r="H115" s="20" t="n">
        <v>-821.144</v>
      </c>
      <c r="I115" s="20" t="n">
        <v>-814.905</v>
      </c>
      <c r="J115" s="20" t="n">
        <v>-804.8869999999999</v>
      </c>
      <c r="K115" s="20" t="n">
        <v>-813.518</v>
      </c>
      <c r="L115" s="20" t="n">
        <v>-811.453</v>
      </c>
    </row>
    <row r="116">
      <c r="A116" s="18" t="inlineStr">
        <is>
          <t>기타(순액)</t>
        </is>
      </c>
      <c r="C116" s="20" t="n">
        <v>3655.994</v>
      </c>
      <c r="D116" s="20" t="n">
        <v>3896.558</v>
      </c>
      <c r="E116" s="20" t="n">
        <v>4159.179</v>
      </c>
      <c r="F116" s="20" t="n">
        <v>4521.106</v>
      </c>
      <c r="G116" s="20" t="n">
        <v>4331.7</v>
      </c>
      <c r="H116" s="20" t="n">
        <v>2930.618</v>
      </c>
      <c r="I116" s="20" t="n">
        <v>2668.334</v>
      </c>
      <c r="J116" s="20" t="n">
        <v>2980.185</v>
      </c>
      <c r="K116" s="20" t="n">
        <v>3587.414</v>
      </c>
      <c r="L116" s="20" t="n">
        <v>4159.179</v>
      </c>
    </row>
    <row r="117">
      <c r="A117" s="18" t="inlineStr">
        <is>
          <t>유형자산 합계</t>
        </is>
      </c>
      <c r="C117" s="20" t="n">
        <v>30928.972</v>
      </c>
      <c r="D117" s="20" t="n">
        <v>32286.336</v>
      </c>
      <c r="E117" s="20" t="n">
        <v>33185.212</v>
      </c>
      <c r="F117" s="20" t="n">
        <v>34498.616</v>
      </c>
      <c r="G117" s="20" t="n">
        <v>35694.091</v>
      </c>
      <c r="H117" s="20" t="n">
        <v>21217.39</v>
      </c>
      <c r="I117" s="20" t="n">
        <v>21851.991</v>
      </c>
      <c r="J117" s="20" t="n">
        <v>24236.42</v>
      </c>
      <c r="K117" s="20" t="n">
        <v>28459.957</v>
      </c>
      <c r="L117" s="20" t="n">
        <v>33185.212</v>
      </c>
    </row>
    <row r="118">
      <c r="A118" s="18" t="inlineStr">
        <is>
          <t>상표권</t>
        </is>
      </c>
      <c r="E118" s="20" t="n">
        <v>2.517</v>
      </c>
      <c r="H118" s="20" t="n">
        <v>1.122</v>
      </c>
      <c r="I118" s="20" t="n">
        <v>0.9419999999999999</v>
      </c>
      <c r="J118" s="20" t="n">
        <v>3.47</v>
      </c>
      <c r="K118" s="20" t="n">
        <v>2.986</v>
      </c>
      <c r="L118" s="20" t="n">
        <v>2.517</v>
      </c>
    </row>
    <row r="119">
      <c r="A119" s="18" t="inlineStr">
        <is>
          <t>소프트웨어</t>
        </is>
      </c>
      <c r="E119" s="20" t="n">
        <v>254.24</v>
      </c>
      <c r="H119" s="20" t="n">
        <v>46.312</v>
      </c>
      <c r="I119" s="20" t="n">
        <v>46.831</v>
      </c>
      <c r="J119" s="20" t="n">
        <v>52.874</v>
      </c>
      <c r="K119" s="20" t="n">
        <v>162.32</v>
      </c>
      <c r="L119" s="20" t="n">
        <v>254.24</v>
      </c>
    </row>
    <row r="120">
      <c r="A120" s="18" t="inlineStr">
        <is>
          <t>기타</t>
        </is>
      </c>
      <c r="C120" s="20" t="n">
        <v>195.9</v>
      </c>
      <c r="D120" s="20" t="n">
        <v>193.63</v>
      </c>
      <c r="E120" s="20" t="n">
        <v>258.229</v>
      </c>
      <c r="F120" s="20" t="n">
        <v>285.879</v>
      </c>
      <c r="G120" s="20" t="n">
        <v>304.071</v>
      </c>
      <c r="H120" s="20" t="n">
        <v>1.912</v>
      </c>
      <c r="I120" s="20" t="n">
        <v>1.802</v>
      </c>
      <c r="J120" s="20" t="n">
        <v>1.691</v>
      </c>
      <c r="K120" s="20" t="n">
        <v>1.581</v>
      </c>
      <c r="L120" s="20" t="n">
        <v>258.229</v>
      </c>
    </row>
    <row r="121">
      <c r="A121" s="18" t="inlineStr">
        <is>
          <t>무형자산 합계</t>
        </is>
      </c>
      <c r="C121" s="20" t="n">
        <v>195.9</v>
      </c>
      <c r="D121" s="20" t="n">
        <v>193.63</v>
      </c>
      <c r="E121" s="20" t="n">
        <v>258.229</v>
      </c>
      <c r="F121" s="20" t="n">
        <v>285.879</v>
      </c>
      <c r="G121" s="20" t="n">
        <v>304.071</v>
      </c>
      <c r="H121" s="20" t="n">
        <v>49.347</v>
      </c>
      <c r="I121" s="20" t="n">
        <v>49.576</v>
      </c>
      <c r="J121" s="20" t="n">
        <v>58.036</v>
      </c>
      <c r="K121" s="20" t="n">
        <v>166.888</v>
      </c>
      <c r="L121" s="20" t="n">
        <v>258.229</v>
      </c>
    </row>
    <row r="122">
      <c r="A122" s="18" t="inlineStr">
        <is>
          <t>투자유가증권</t>
        </is>
      </c>
      <c r="E122" s="20" t="n">
        <v>0</v>
      </c>
      <c r="H122" s="20" t="n">
        <v>136.654</v>
      </c>
      <c r="I122" s="20" t="n">
        <v>129.996</v>
      </c>
      <c r="J122" s="20" t="n">
        <v>23.153</v>
      </c>
      <c r="K122" s="20" t="n">
        <v>36.591</v>
      </c>
      <c r="L122" s="20" t="n">
        <v>0</v>
      </c>
    </row>
    <row r="123">
      <c r="A123" s="18" t="inlineStr">
        <is>
          <t>관계회사 주식</t>
        </is>
      </c>
      <c r="C123" s="20" t="n">
        <v>1150</v>
      </c>
      <c r="D123" s="20" t="n">
        <v>1150</v>
      </c>
      <c r="E123" s="20" t="n">
        <v>1150</v>
      </c>
      <c r="F123" s="20" t="n">
        <v>1150</v>
      </c>
      <c r="G123" s="20" t="n">
        <v>1150</v>
      </c>
      <c r="J123" s="20" t="n">
        <v>0</v>
      </c>
      <c r="K123" s="20" t="n">
        <v>1150</v>
      </c>
      <c r="L123" s="20" t="n">
        <v>1150</v>
      </c>
    </row>
    <row r="124">
      <c r="A124" s="18" t="inlineStr">
        <is>
          <t>파산갱생채권 등</t>
        </is>
      </c>
      <c r="E124" s="20" t="n">
        <v>631.872</v>
      </c>
      <c r="H124" s="20" t="n">
        <v>1290.069</v>
      </c>
      <c r="I124" s="20" t="n">
        <v>631.872</v>
      </c>
      <c r="J124" s="20" t="n">
        <v>631.872</v>
      </c>
      <c r="K124" s="20" t="n">
        <v>631.872</v>
      </c>
      <c r="L124" s="20" t="n">
        <v>631.872</v>
      </c>
    </row>
    <row r="125">
      <c r="A125" s="18" t="inlineStr">
        <is>
          <t>장기선급비용</t>
        </is>
      </c>
      <c r="E125" s="20" t="n">
        <v>54.467</v>
      </c>
      <c r="H125" s="20" t="n">
        <v>41.5</v>
      </c>
      <c r="I125" s="20" t="n">
        <v>66.253</v>
      </c>
      <c r="J125" s="20" t="n">
        <v>53.259</v>
      </c>
      <c r="K125" s="20" t="n">
        <v>59.984</v>
      </c>
      <c r="L125" s="20" t="n">
        <v>54.467</v>
      </c>
    </row>
    <row r="126">
      <c r="A126" s="18" t="inlineStr">
        <is>
          <t>보증금</t>
        </is>
      </c>
      <c r="E126" s="20" t="n">
        <v>1596.59</v>
      </c>
      <c r="H126" s="20" t="n">
        <v>1370.668</v>
      </c>
      <c r="I126" s="20" t="n">
        <v>1362.025</v>
      </c>
      <c r="J126" s="20" t="n">
        <v>1421.318</v>
      </c>
      <c r="K126" s="20" t="n">
        <v>1499.378</v>
      </c>
      <c r="L126" s="20" t="n">
        <v>1596.59</v>
      </c>
    </row>
    <row r="127">
      <c r="A127" s="18" t="inlineStr">
        <is>
          <t>이연법인세자산</t>
        </is>
      </c>
      <c r="C127" s="20" t="n">
        <v>1680.624</v>
      </c>
      <c r="D127" s="20" t="n">
        <v>1658.489</v>
      </c>
      <c r="E127" s="20" t="n">
        <v>1806.971</v>
      </c>
      <c r="F127" s="20" t="n">
        <v>1669.306</v>
      </c>
      <c r="G127" s="20" t="n">
        <v>1678.974</v>
      </c>
      <c r="H127" s="20" t="n">
        <v>2025.792</v>
      </c>
      <c r="I127" s="20" t="n">
        <v>1921.978</v>
      </c>
      <c r="J127" s="20" t="n">
        <v>1776.962</v>
      </c>
      <c r="K127" s="20" t="n">
        <v>1591.493</v>
      </c>
      <c r="L127" s="20" t="n">
        <v>1806.971</v>
      </c>
    </row>
    <row r="128">
      <c r="A128" s="18" t="inlineStr">
        <is>
          <t>기타</t>
        </is>
      </c>
      <c r="C128" s="20" t="n">
        <v>2625.202</v>
      </c>
      <c r="D128" s="20" t="n">
        <v>2657.602</v>
      </c>
      <c r="E128" s="20" t="n">
        <v>2595.752</v>
      </c>
      <c r="F128" s="20" t="n">
        <v>2649.819</v>
      </c>
      <c r="G128" s="20" t="n">
        <v>3040.483</v>
      </c>
      <c r="H128" s="20" t="n">
        <v>38.276</v>
      </c>
      <c r="I128" s="20" t="n">
        <v>226.245</v>
      </c>
      <c r="J128" s="20" t="n">
        <v>217.218</v>
      </c>
      <c r="K128" s="20" t="n">
        <v>395.163</v>
      </c>
      <c r="L128" s="20" t="n">
        <v>2595.752</v>
      </c>
    </row>
    <row r="129">
      <c r="A129" s="18" t="inlineStr">
        <is>
          <t>대손충당금</t>
        </is>
      </c>
      <c r="C129" s="20" t="n">
        <v>-630.0309999999999</v>
      </c>
      <c r="D129" s="20" t="n">
        <v>-630.21</v>
      </c>
      <c r="E129" s="20" t="n">
        <v>-630.373</v>
      </c>
      <c r="F129" s="20" t="n">
        <v>-630.453</v>
      </c>
      <c r="G129" s="20" t="n">
        <v>-630.4930000000001</v>
      </c>
      <c r="H129" s="20" t="n">
        <v>-1287.213</v>
      </c>
      <c r="I129" s="20" t="n">
        <v>-628.948</v>
      </c>
      <c r="J129" s="20" t="n">
        <v>-629.283</v>
      </c>
      <c r="K129" s="20" t="n">
        <v>-629.77</v>
      </c>
      <c r="L129" s="20" t="n">
        <v>-630.373</v>
      </c>
    </row>
    <row r="130">
      <c r="A130" s="18" t="inlineStr">
        <is>
          <t>투자 및 기타자산 합계</t>
        </is>
      </c>
      <c r="C130" s="20" t="n">
        <v>4825.795</v>
      </c>
      <c r="D130" s="20" t="n">
        <v>4835.881</v>
      </c>
      <c r="E130" s="20" t="n">
        <v>4922.35</v>
      </c>
      <c r="F130" s="20" t="n">
        <v>4838.672</v>
      </c>
      <c r="G130" s="20" t="n">
        <v>5238.965</v>
      </c>
      <c r="H130" s="20" t="n">
        <v>3615.747</v>
      </c>
      <c r="I130" s="20" t="n">
        <v>3709.423</v>
      </c>
      <c r="J130" s="20" t="n">
        <v>3494.501</v>
      </c>
      <c r="K130" s="20" t="n">
        <v>4734.713</v>
      </c>
      <c r="L130" s="20" t="n">
        <v>4922.35</v>
      </c>
    </row>
    <row r="131">
      <c r="A131" s="9" t="inlineStr">
        <is>
          <t>비유동자산 합계</t>
        </is>
      </c>
      <c r="C131" s="12" t="n">
        <v>35950.668</v>
      </c>
      <c r="D131" s="12" t="n">
        <v>37315.847</v>
      </c>
      <c r="E131" s="12" t="n">
        <v>38365.792</v>
      </c>
      <c r="F131" s="12" t="n">
        <v>39623.169</v>
      </c>
      <c r="G131" s="12" t="n">
        <v>41237.127</v>
      </c>
      <c r="H131" s="12" t="n">
        <v>24882.485</v>
      </c>
      <c r="I131" s="12" t="n">
        <v>25610.991</v>
      </c>
      <c r="J131" s="12" t="n">
        <v>27788.958</v>
      </c>
      <c r="K131" s="12" t="n">
        <v>33361.559</v>
      </c>
      <c r="L131" s="12" t="n">
        <v>38365.792</v>
      </c>
    </row>
    <row r="132">
      <c r="A132" s="9" t="inlineStr">
        <is>
          <t>자산 합계</t>
        </is>
      </c>
      <c r="C132" s="12" t="n">
        <v>58624.238</v>
      </c>
      <c r="D132" s="12" t="n">
        <v>59746.365</v>
      </c>
      <c r="E132" s="12" t="n">
        <v>64080.563</v>
      </c>
      <c r="F132" s="12" t="n">
        <v>65441.687</v>
      </c>
      <c r="G132" s="12" t="n">
        <v>67270.273</v>
      </c>
      <c r="H132" s="12" t="n">
        <v>42202.397</v>
      </c>
      <c r="I132" s="12" t="n">
        <v>45643.354</v>
      </c>
      <c r="J132" s="12" t="n">
        <v>49676.189</v>
      </c>
      <c r="K132" s="12" t="n">
        <v>55919.618</v>
      </c>
      <c r="L132" s="12" t="n">
        <v>64080.563</v>
      </c>
    </row>
    <row r="133">
      <c r="A133" s="18" t="inlineStr">
        <is>
          <t>매입채무</t>
        </is>
      </c>
      <c r="C133" s="20" t="n">
        <v>159.333</v>
      </c>
      <c r="D133" s="20" t="n">
        <v>150.747</v>
      </c>
      <c r="E133" s="20" t="n">
        <v>200.61</v>
      </c>
      <c r="F133" s="20" t="n">
        <v>441.132</v>
      </c>
      <c r="G133" s="20" t="n">
        <v>129.416</v>
      </c>
      <c r="H133" s="20" t="n">
        <v>160.003</v>
      </c>
      <c r="I133" s="20" t="n">
        <v>146.815</v>
      </c>
      <c r="J133" s="20" t="n">
        <v>148.835</v>
      </c>
      <c r="K133" s="20" t="n">
        <v>153.291</v>
      </c>
      <c r="L133" s="20" t="n">
        <v>200.61</v>
      </c>
    </row>
    <row r="134">
      <c r="A134" s="18" t="inlineStr">
        <is>
          <t>공사 미지급금</t>
        </is>
      </c>
      <c r="E134" s="20" t="n">
        <v>19.915</v>
      </c>
      <c r="H134" s="20" t="n">
        <v>2.25</v>
      </c>
      <c r="I134" s="20" t="n">
        <v>0</v>
      </c>
      <c r="J134" s="20" t="n">
        <v>16.054</v>
      </c>
      <c r="K134" s="20" t="n">
        <v>29.538</v>
      </c>
      <c r="L134" s="20" t="n">
        <v>19.915</v>
      </c>
    </row>
    <row r="135">
      <c r="A135" s="18" t="inlineStr">
        <is>
          <t>단기차입금</t>
        </is>
      </c>
      <c r="C135" s="20" t="n">
        <v>547.5</v>
      </c>
      <c r="D135" s="20" t="n">
        <v>422.9</v>
      </c>
      <c r="E135" s="20" t="n">
        <v>678.8</v>
      </c>
      <c r="F135" s="20" t="n">
        <v>738.78</v>
      </c>
      <c r="G135" s="20" t="n">
        <v>723.97</v>
      </c>
      <c r="H135" s="20" t="n">
        <v>396.72</v>
      </c>
      <c r="I135" s="20" t="n">
        <v>109</v>
      </c>
      <c r="J135" s="20" t="n">
        <v>241.56</v>
      </c>
      <c r="K135" s="20" t="n">
        <v>331.14</v>
      </c>
      <c r="L135" s="20" t="n">
        <v>678.8</v>
      </c>
    </row>
    <row r="136">
      <c r="A136" s="18" t="inlineStr">
        <is>
          <t>1년 내 상환 예정 사채</t>
        </is>
      </c>
      <c r="H136" s="20" t="n">
        <v>157</v>
      </c>
      <c r="I136" s="20" t="n">
        <v>157</v>
      </c>
      <c r="J136" s="20" t="n">
        <v>29.5</v>
      </c>
      <c r="K136" s="20" t="n">
        <v>0</v>
      </c>
    </row>
    <row r="137">
      <c r="A137" s="18" t="inlineStr">
        <is>
          <t>1년 내 상환 장기차입금</t>
        </is>
      </c>
      <c r="C137" s="20" t="n">
        <v>2339.74</v>
      </c>
      <c r="D137" s="20" t="n">
        <v>2761.25</v>
      </c>
      <c r="E137" s="20" t="n">
        <v>2839.155</v>
      </c>
      <c r="F137" s="20" t="n">
        <v>3072.613</v>
      </c>
      <c r="G137" s="20" t="n">
        <v>3258.848</v>
      </c>
      <c r="H137" s="20" t="n">
        <v>1416.086</v>
      </c>
      <c r="I137" s="20" t="n">
        <v>1893.583</v>
      </c>
      <c r="J137" s="20" t="n">
        <v>2578.006</v>
      </c>
      <c r="K137" s="20" t="n">
        <v>2623.903</v>
      </c>
      <c r="L137" s="20" t="n">
        <v>2839.155</v>
      </c>
    </row>
    <row r="138">
      <c r="A138" s="18" t="inlineStr">
        <is>
          <t>미지급금</t>
        </is>
      </c>
      <c r="E138" s="20" t="n">
        <v>1551.326</v>
      </c>
      <c r="H138" s="20" t="n">
        <v>1246.089</v>
      </c>
      <c r="I138" s="20" t="n">
        <v>1162.312</v>
      </c>
      <c r="J138" s="20" t="n">
        <v>1396.145</v>
      </c>
      <c r="K138" s="20" t="n">
        <v>1671.25</v>
      </c>
      <c r="L138" s="20" t="n">
        <v>1551.326</v>
      </c>
    </row>
    <row r="139">
      <c r="A139" s="18" t="inlineStr">
        <is>
          <t>미지급비용</t>
        </is>
      </c>
      <c r="E139" s="20" t="n">
        <v>289.987</v>
      </c>
      <c r="H139" s="20" t="n">
        <v>292.115</v>
      </c>
      <c r="I139" s="20" t="n">
        <v>238.747</v>
      </c>
      <c r="J139" s="20" t="n">
        <v>277.704</v>
      </c>
      <c r="K139" s="20" t="n">
        <v>202.522</v>
      </c>
      <c r="L139" s="20" t="n">
        <v>289.987</v>
      </c>
    </row>
    <row r="140">
      <c r="A140" s="18" t="inlineStr">
        <is>
          <t>미지급법인세</t>
        </is>
      </c>
      <c r="C140" s="20" t="n">
        <v>1022.708</v>
      </c>
      <c r="D140" s="20" t="n">
        <v>781.201</v>
      </c>
      <c r="E140" s="20" t="n">
        <v>1270.492</v>
      </c>
      <c r="F140" s="20" t="n">
        <v>322.892</v>
      </c>
      <c r="G140" s="20" t="n">
        <v>985.808</v>
      </c>
      <c r="H140" s="20" t="n">
        <v>557.955</v>
      </c>
      <c r="I140" s="20" t="n">
        <v>715.76</v>
      </c>
      <c r="J140" s="20" t="n">
        <v>648.556</v>
      </c>
      <c r="K140" s="20" t="n">
        <v>689.965</v>
      </c>
      <c r="L140" s="20" t="n">
        <v>1270.492</v>
      </c>
    </row>
    <row r="141">
      <c r="A141" s="18" t="inlineStr">
        <is>
          <t>Sublease Loss Allowance CL</t>
        </is>
      </c>
      <c r="D141" s="20" t="n">
        <v>3.54</v>
      </c>
      <c r="H141" s="20" t="n">
        <v>37.596</v>
      </c>
      <c r="I141" s="20" t="n">
        <v>14.268</v>
      </c>
      <c r="J141" s="20" t="n">
        <v>14.24</v>
      </c>
      <c r="K141" s="20" t="n">
        <v>3.342</v>
      </c>
    </row>
    <row r="142">
      <c r="A142" s="18" t="inlineStr">
        <is>
          <t>선수금</t>
        </is>
      </c>
      <c r="E142" s="20" t="n">
        <v>912.131</v>
      </c>
      <c r="H142" s="20" t="n">
        <v>705.987</v>
      </c>
      <c r="I142" s="20" t="n">
        <v>709.937</v>
      </c>
      <c r="J142" s="20" t="n">
        <v>749.023</v>
      </c>
      <c r="K142" s="20" t="n">
        <v>1129.664</v>
      </c>
      <c r="L142" s="20" t="n">
        <v>912.131</v>
      </c>
    </row>
    <row r="143">
      <c r="A143" s="18" t="inlineStr">
        <is>
          <t>미성공사 선수금</t>
        </is>
      </c>
      <c r="E143" s="20" t="n">
        <v>25.845</v>
      </c>
      <c r="H143" s="20" t="n">
        <v>1</v>
      </c>
      <c r="I143" s="20" t="n">
        <v>0</v>
      </c>
      <c r="J143" s="20" t="n">
        <v>0</v>
      </c>
      <c r="K143" s="20" t="n">
        <v>5</v>
      </c>
      <c r="L143" s="20" t="n">
        <v>25.845</v>
      </c>
    </row>
    <row r="144">
      <c r="A144" s="18" t="inlineStr">
        <is>
          <t>예수금</t>
        </is>
      </c>
      <c r="E144" s="20" t="n">
        <v>7.959</v>
      </c>
      <c r="H144" s="20" t="n">
        <v>3.577</v>
      </c>
      <c r="I144" s="20" t="n">
        <v>3.818</v>
      </c>
      <c r="J144" s="20" t="n">
        <v>4.551</v>
      </c>
      <c r="K144" s="20" t="n">
        <v>6.499</v>
      </c>
      <c r="L144" s="20" t="n">
        <v>7.959</v>
      </c>
    </row>
    <row r="145">
      <c r="A145" s="18" t="inlineStr">
        <is>
          <t>선수수익</t>
        </is>
      </c>
      <c r="E145" s="20" t="n">
        <v>621.849</v>
      </c>
      <c r="H145" s="20" t="n">
        <v>267.139</v>
      </c>
      <c r="I145" s="20" t="n">
        <v>573.779</v>
      </c>
      <c r="J145" s="20" t="n">
        <v>554.044</v>
      </c>
      <c r="K145" s="20" t="n">
        <v>582.841</v>
      </c>
      <c r="L145" s="20" t="n">
        <v>621.849</v>
      </c>
    </row>
    <row r="146">
      <c r="A146" s="18" t="inlineStr">
        <is>
          <t>Provision For Loss On Sublease CL</t>
        </is>
      </c>
      <c r="C146" s="20" t="n">
        <v>1.155</v>
      </c>
      <c r="E146" s="20" t="n">
        <v>4.588</v>
      </c>
      <c r="F146" s="20" t="n">
        <v>0</v>
      </c>
      <c r="G146" s="20" t="n">
        <v>5.009</v>
      </c>
      <c r="I146" s="20" t="n">
        <v>14.268</v>
      </c>
      <c r="J146" s="20" t="n">
        <v>14.24</v>
      </c>
      <c r="K146" s="20" t="n">
        <v>3.342</v>
      </c>
      <c r="L146" s="20" t="n">
        <v>4.588</v>
      </c>
    </row>
    <row r="147">
      <c r="A147" s="18" t="inlineStr">
        <is>
          <t>리스부채</t>
        </is>
      </c>
      <c r="C147" s="20" t="n">
        <v>295.451</v>
      </c>
      <c r="D147" s="20" t="n">
        <v>296.14</v>
      </c>
      <c r="E147" s="20" t="n">
        <v>296.83</v>
      </c>
      <c r="F147" s="20" t="n">
        <v>297.522</v>
      </c>
      <c r="G147" s="20" t="n">
        <v>299.712</v>
      </c>
      <c r="H147" s="20" t="n">
        <v>283.03</v>
      </c>
      <c r="I147" s="20" t="n">
        <v>289.015</v>
      </c>
      <c r="J147" s="20" t="n">
        <v>293.146</v>
      </c>
      <c r="K147" s="20" t="n">
        <v>294.079</v>
      </c>
      <c r="L147" s="20" t="n">
        <v>296.83</v>
      </c>
    </row>
    <row r="148">
      <c r="A148" s="18" t="inlineStr">
        <is>
          <t>상여충당금</t>
        </is>
      </c>
      <c r="D148" s="20" t="n">
        <v>6.196</v>
      </c>
      <c r="E148" s="20" t="n">
        <v>14.258</v>
      </c>
      <c r="F148" s="20" t="n">
        <v>9.311999999999999</v>
      </c>
      <c r="G148" s="20" t="n">
        <v>18.625</v>
      </c>
      <c r="K148" s="20" t="n">
        <v>0</v>
      </c>
      <c r="L148" s="20" t="n">
        <v>14.258</v>
      </c>
    </row>
    <row r="149">
      <c r="A149" s="18" t="inlineStr">
        <is>
          <t>Provision For Loss On Subleasing Business CL</t>
        </is>
      </c>
      <c r="E149" s="20" t="n">
        <v>4.588</v>
      </c>
      <c r="H149" s="20" t="n">
        <v>37.596</v>
      </c>
      <c r="I149" s="20" t="n">
        <v>14.268</v>
      </c>
      <c r="J149" s="20" t="n">
        <v>14.24</v>
      </c>
      <c r="K149" s="20" t="n">
        <v>3.342</v>
      </c>
      <c r="L149" s="20" t="n">
        <v>4.588</v>
      </c>
    </row>
    <row r="150">
      <c r="A150" s="18" t="inlineStr">
        <is>
          <t>Provision For Loss On Repurchase CL</t>
        </is>
      </c>
      <c r="H150" s="20" t="n">
        <v>0</v>
      </c>
    </row>
    <row r="151">
      <c r="A151" s="18" t="inlineStr">
        <is>
          <t>기타</t>
        </is>
      </c>
      <c r="C151" s="20" t="n">
        <v>3529.962</v>
      </c>
      <c r="D151" s="20" t="n">
        <v>3614.389</v>
      </c>
      <c r="E151" s="20" t="n">
        <v>3852.662</v>
      </c>
      <c r="F151" s="20" t="n">
        <v>3746.371</v>
      </c>
      <c r="G151" s="20" t="n">
        <v>3865.901</v>
      </c>
      <c r="H151" s="20" t="n">
        <v>341.328</v>
      </c>
      <c r="I151" s="20" t="n">
        <v>204.843</v>
      </c>
      <c r="J151" s="20" t="n">
        <v>110.697</v>
      </c>
      <c r="K151" s="20" t="n">
        <v>63.077</v>
      </c>
      <c r="L151" s="20" t="n">
        <v>3852.662</v>
      </c>
    </row>
    <row r="152">
      <c r="A152" s="9" t="inlineStr">
        <is>
          <t>유동부채 합계</t>
        </is>
      </c>
      <c r="C152" s="12" t="n">
        <v>7895.851</v>
      </c>
      <c r="D152" s="12" t="n">
        <v>8036.365</v>
      </c>
      <c r="E152" s="12" t="n">
        <v>9157.398999999999</v>
      </c>
      <c r="F152" s="12" t="n">
        <v>8628.623</v>
      </c>
      <c r="G152" s="12" t="n">
        <v>9287.291999999999</v>
      </c>
      <c r="H152" s="12" t="n">
        <v>5867.88</v>
      </c>
      <c r="I152" s="12" t="n">
        <v>6218.882</v>
      </c>
      <c r="J152" s="12" t="n">
        <v>7062.064</v>
      </c>
      <c r="K152" s="12" t="n">
        <v>7786.116</v>
      </c>
      <c r="L152" s="12" t="n">
        <v>9157.398999999999</v>
      </c>
    </row>
    <row r="153">
      <c r="A153" s="18" t="inlineStr">
        <is>
          <t>사채</t>
        </is>
      </c>
      <c r="H153" s="20" t="n">
        <v>186.5</v>
      </c>
      <c r="I153" s="20" t="n">
        <v>29.5</v>
      </c>
      <c r="J153" s="20" t="n">
        <v>0</v>
      </c>
    </row>
    <row r="154">
      <c r="A154" s="18" t="inlineStr">
        <is>
          <t>장기차입금</t>
        </is>
      </c>
      <c r="C154" s="20" t="n">
        <v>17692.65</v>
      </c>
      <c r="D154" s="20" t="n">
        <v>18621.29</v>
      </c>
      <c r="E154" s="20" t="n">
        <v>21215.034</v>
      </c>
      <c r="F154" s="20" t="n">
        <v>22694.928</v>
      </c>
      <c r="G154" s="20" t="n">
        <v>22676.823</v>
      </c>
      <c r="H154" s="20" t="n">
        <v>7656.597</v>
      </c>
      <c r="I154" s="20" t="n">
        <v>9995.107</v>
      </c>
      <c r="J154" s="20" t="n">
        <v>12308.784</v>
      </c>
      <c r="K154" s="20" t="n">
        <v>16582.382</v>
      </c>
      <c r="L154" s="20" t="n">
        <v>21215.034</v>
      </c>
    </row>
    <row r="155">
      <c r="A155" s="18" t="inlineStr">
        <is>
          <t>예수보증금</t>
        </is>
      </c>
      <c r="E155" s="20" t="n">
        <v>313.27</v>
      </c>
      <c r="H155" s="20" t="n">
        <v>364.399</v>
      </c>
      <c r="I155" s="20" t="n">
        <v>349.469</v>
      </c>
      <c r="J155" s="20" t="n">
        <v>340.199</v>
      </c>
      <c r="K155" s="20" t="n">
        <v>322.455</v>
      </c>
      <c r="L155" s="20" t="n">
        <v>313.27</v>
      </c>
    </row>
    <row r="156">
      <c r="A156" s="18" t="inlineStr">
        <is>
          <t>장기선수수익</t>
        </is>
      </c>
      <c r="C156" s="20" t="n">
        <v>631.518</v>
      </c>
      <c r="D156" s="20" t="n">
        <v>570.375</v>
      </c>
      <c r="E156" s="20" t="n">
        <v>509.233</v>
      </c>
      <c r="F156" s="20" t="n">
        <v>448.09</v>
      </c>
      <c r="G156" s="20" t="n">
        <v>386.948</v>
      </c>
      <c r="H156" s="20" t="n">
        <v>1529.531</v>
      </c>
      <c r="I156" s="20" t="n">
        <v>1242.936</v>
      </c>
      <c r="J156" s="20" t="n">
        <v>998.373</v>
      </c>
      <c r="K156" s="20" t="n">
        <v>753.803</v>
      </c>
      <c r="L156" s="20" t="n">
        <v>509.233</v>
      </c>
    </row>
    <row r="157">
      <c r="A157" s="18" t="inlineStr">
        <is>
          <t>리스부채</t>
        </is>
      </c>
      <c r="C157" s="20" t="n">
        <v>861.965</v>
      </c>
      <c r="D157" s="20" t="n">
        <v>787.672</v>
      </c>
      <c r="E157" s="20" t="n">
        <v>713.205</v>
      </c>
      <c r="F157" s="20" t="n">
        <v>638.564</v>
      </c>
      <c r="G157" s="20" t="n">
        <v>562.253</v>
      </c>
      <c r="H157" s="20" t="n">
        <v>1848.538</v>
      </c>
      <c r="I157" s="20" t="n">
        <v>1574.804</v>
      </c>
      <c r="J157" s="20" t="n">
        <v>1304.115</v>
      </c>
      <c r="K157" s="20" t="n">
        <v>1010.035</v>
      </c>
      <c r="L157" s="20" t="n">
        <v>713.205</v>
      </c>
    </row>
    <row r="158">
      <c r="A158" s="18" t="inlineStr">
        <is>
          <t>자산복구부채</t>
        </is>
      </c>
      <c r="C158" s="20" t="n">
        <v>1580.433</v>
      </c>
      <c r="D158" s="20" t="n">
        <v>1665.043</v>
      </c>
      <c r="E158" s="20" t="n">
        <v>1738.715</v>
      </c>
      <c r="F158" s="20" t="n">
        <v>1799.302</v>
      </c>
      <c r="G158" s="20" t="n">
        <v>1859.917</v>
      </c>
      <c r="H158" s="20" t="n">
        <v>925.829</v>
      </c>
      <c r="I158" s="20" t="n">
        <v>1000.523</v>
      </c>
      <c r="J158" s="20" t="n">
        <v>1187.976</v>
      </c>
      <c r="K158" s="20" t="n">
        <v>1433.258</v>
      </c>
      <c r="L158" s="20" t="n">
        <v>1738.715</v>
      </c>
    </row>
    <row r="159">
      <c r="A159" s="18" t="inlineStr">
        <is>
          <t>Provision For Loss On Store Sublease NCL</t>
        </is>
      </c>
      <c r="D159" s="20" t="n">
        <v>1.393</v>
      </c>
      <c r="H159" s="20" t="n">
        <v>20.313</v>
      </c>
      <c r="I159" s="20" t="n">
        <v>6.881</v>
      </c>
      <c r="J159" s="20" t="n">
        <v>7.605</v>
      </c>
      <c r="K159" s="20" t="n">
        <v>2.791</v>
      </c>
    </row>
    <row r="160">
      <c r="A160" s="18" t="inlineStr">
        <is>
          <t>Provision For Loss On Subleasing Business NCL</t>
        </is>
      </c>
      <c r="E160" s="20" t="n">
        <v>2.013</v>
      </c>
      <c r="H160" s="20" t="n">
        <v>20.313</v>
      </c>
      <c r="I160" s="20" t="n">
        <v>6.881</v>
      </c>
      <c r="J160" s="20" t="n">
        <v>7.605</v>
      </c>
      <c r="K160" s="20" t="n">
        <v>2.791</v>
      </c>
      <c r="L160" s="20" t="n">
        <v>2.013</v>
      </c>
    </row>
    <row r="161">
      <c r="A161" s="18" t="inlineStr">
        <is>
          <t>Provision For Loss On Sublease NCL</t>
        </is>
      </c>
      <c r="C161" s="20" t="n">
        <v>0.763</v>
      </c>
      <c r="E161" s="20" t="n">
        <v>2.013</v>
      </c>
      <c r="F161" s="20" t="n">
        <v>5.178</v>
      </c>
      <c r="G161" s="20" t="n">
        <v>3.647</v>
      </c>
      <c r="I161" s="20" t="n">
        <v>6.881</v>
      </c>
      <c r="J161" s="20" t="n">
        <v>7.605</v>
      </c>
      <c r="K161" s="20" t="n">
        <v>2.791</v>
      </c>
      <c r="L161" s="20" t="n">
        <v>2.013</v>
      </c>
    </row>
    <row r="162">
      <c r="A162" s="18" t="inlineStr">
        <is>
          <t>장기미지급금</t>
        </is>
      </c>
      <c r="C162" s="20" t="n">
        <v>1435.857</v>
      </c>
      <c r="D162" s="20" t="n">
        <v>1316.001</v>
      </c>
      <c r="E162" s="20" t="n">
        <v>1203.029</v>
      </c>
      <c r="F162" s="20" t="n">
        <v>1342.218</v>
      </c>
      <c r="G162" s="20" t="n">
        <v>1244.71</v>
      </c>
      <c r="H162" s="20" t="n">
        <v>2839.566</v>
      </c>
      <c r="I162" s="20" t="n">
        <v>2152.643</v>
      </c>
      <c r="J162" s="20" t="n">
        <v>1445.9</v>
      </c>
      <c r="K162" s="20" t="n">
        <v>1258.895</v>
      </c>
      <c r="L162" s="20" t="n">
        <v>1203.029</v>
      </c>
    </row>
    <row r="163">
      <c r="A163" s="18" t="inlineStr">
        <is>
          <t>기타</t>
        </is>
      </c>
      <c r="C163" s="20" t="n">
        <v>351.443</v>
      </c>
      <c r="D163" s="20" t="n">
        <v>316.773</v>
      </c>
      <c r="E163" s="20" t="n">
        <v>313.27</v>
      </c>
      <c r="F163" s="20" t="n">
        <v>310.146</v>
      </c>
      <c r="G163" s="20" t="n">
        <v>305.541</v>
      </c>
      <c r="H163" s="20" t="n">
        <v>364.399</v>
      </c>
      <c r="I163" s="20" t="n">
        <v>349.469</v>
      </c>
      <c r="J163" s="20" t="n">
        <v>340.199</v>
      </c>
      <c r="K163" s="20" t="n">
        <v>322.455</v>
      </c>
      <c r="L163" s="20" t="n">
        <v>313.27</v>
      </c>
    </row>
    <row r="164">
      <c r="A164" s="9" t="inlineStr">
        <is>
          <t>비유동부채 합계</t>
        </is>
      </c>
      <c r="C164" s="12" t="n">
        <v>22554.633</v>
      </c>
      <c r="D164" s="12" t="n">
        <v>23278.55</v>
      </c>
      <c r="E164" s="12" t="n">
        <v>25694.501</v>
      </c>
      <c r="F164" s="12" t="n">
        <v>27238.43</v>
      </c>
      <c r="G164" s="12" t="n">
        <v>27039.841</v>
      </c>
      <c r="H164" s="12" t="n">
        <v>15371.277</v>
      </c>
      <c r="I164" s="12" t="n">
        <v>16351.865</v>
      </c>
      <c r="J164" s="12" t="n">
        <v>17592.954</v>
      </c>
      <c r="K164" s="12" t="n">
        <v>21363.622</v>
      </c>
      <c r="L164" s="12" t="n">
        <v>25694.501</v>
      </c>
    </row>
    <row r="165">
      <c r="A165" s="9" t="inlineStr">
        <is>
          <t>부채 합계</t>
        </is>
      </c>
      <c r="C165" s="12" t="n">
        <v>30450.484</v>
      </c>
      <c r="D165" s="12" t="n">
        <v>31314.916</v>
      </c>
      <c r="E165" s="12" t="n">
        <v>34851.9</v>
      </c>
      <c r="F165" s="12" t="n">
        <v>35867.054</v>
      </c>
      <c r="G165" s="12" t="n">
        <v>36327.134</v>
      </c>
      <c r="H165" s="12" t="n">
        <v>21239.157</v>
      </c>
      <c r="I165" s="12" t="n">
        <v>22570.747</v>
      </c>
      <c r="J165" s="12" t="n">
        <v>24655.019</v>
      </c>
      <c r="K165" s="12" t="n">
        <v>29149.738</v>
      </c>
      <c r="L165" s="12" t="n">
        <v>34851.9</v>
      </c>
    </row>
    <row r="166">
      <c r="A166" s="18" t="inlineStr">
        <is>
          <t>자본금</t>
        </is>
      </c>
      <c r="C166" s="20" t="n">
        <v>6111.539</v>
      </c>
      <c r="D166" s="20" t="n">
        <v>6111.539</v>
      </c>
      <c r="E166" s="20" t="n">
        <v>6111.539</v>
      </c>
      <c r="F166" s="20" t="n">
        <v>6111.539</v>
      </c>
      <c r="G166" s="20" t="n">
        <v>6111.539</v>
      </c>
      <c r="H166" s="20" t="n">
        <v>6111.539</v>
      </c>
      <c r="I166" s="20" t="n">
        <v>6111.539</v>
      </c>
      <c r="J166" s="20" t="n">
        <v>6111.539</v>
      </c>
      <c r="K166" s="20" t="n">
        <v>6111.539</v>
      </c>
      <c r="L166" s="20" t="n">
        <v>6111.539</v>
      </c>
    </row>
    <row r="167">
      <c r="A167" s="18" t="inlineStr">
        <is>
          <t>자본준비금</t>
        </is>
      </c>
      <c r="C167" s="20" t="n">
        <v>6156.037</v>
      </c>
      <c r="D167" s="20" t="n">
        <v>6156.037</v>
      </c>
      <c r="E167" s="20" t="n">
        <v>6156.037</v>
      </c>
      <c r="F167" s="20" t="n">
        <v>6156.037</v>
      </c>
      <c r="G167" s="20" t="n">
        <v>6156.037</v>
      </c>
      <c r="H167" s="20" t="n">
        <v>6156.037</v>
      </c>
      <c r="I167" s="20" t="n">
        <v>6156.037</v>
      </c>
      <c r="J167" s="20" t="n">
        <v>6156.037</v>
      </c>
      <c r="K167" s="20" t="n">
        <v>6156.037</v>
      </c>
      <c r="L167" s="20" t="n">
        <v>6156.037</v>
      </c>
    </row>
    <row r="168">
      <c r="A168" s="18" t="inlineStr">
        <is>
          <t>기타자본잉여금</t>
        </is>
      </c>
      <c r="C168" s="20" t="n">
        <v>9.09</v>
      </c>
      <c r="D168" s="20" t="n">
        <v>14.524</v>
      </c>
      <c r="E168" s="20" t="n">
        <v>19.958</v>
      </c>
      <c r="F168" s="20" t="n">
        <v>25.392</v>
      </c>
      <c r="G168" s="20" t="n">
        <v>23.119</v>
      </c>
      <c r="H168" s="20" t="n">
        <v>7.395</v>
      </c>
      <c r="I168" s="20" t="n">
        <v>17.346</v>
      </c>
      <c r="J168" s="20" t="n">
        <v>11.36</v>
      </c>
      <c r="K168" s="20" t="n">
        <v>10.668</v>
      </c>
      <c r="L168" s="20" t="n">
        <v>19.958</v>
      </c>
    </row>
    <row r="169">
      <c r="A169" s="18" t="inlineStr">
        <is>
          <t>자본잉여금 합계</t>
        </is>
      </c>
      <c r="C169" s="20" t="n">
        <v>6165.127</v>
      </c>
      <c r="D169" s="20" t="n">
        <v>6170.561</v>
      </c>
      <c r="E169" s="20" t="n">
        <v>6175.995</v>
      </c>
      <c r="F169" s="20" t="n">
        <v>6181.43</v>
      </c>
      <c r="G169" s="20" t="n">
        <v>6179.157</v>
      </c>
      <c r="H169" s="20" t="n">
        <v>6163.432</v>
      </c>
      <c r="I169" s="20" t="n">
        <v>6173.384</v>
      </c>
      <c r="J169" s="20" t="n">
        <v>6167.397</v>
      </c>
      <c r="K169" s="20" t="n">
        <v>6166.705</v>
      </c>
      <c r="L169" s="20" t="n">
        <v>6175.995</v>
      </c>
    </row>
    <row r="170">
      <c r="A170" s="18" t="inlineStr">
        <is>
          <t>이월이익잉여금</t>
        </is>
      </c>
      <c r="C170" s="20" t="n">
        <v>16125.724</v>
      </c>
      <c r="D170" s="20" t="n">
        <v>16355.687</v>
      </c>
      <c r="E170" s="20" t="n">
        <v>17119.762</v>
      </c>
      <c r="F170" s="20" t="n">
        <v>17439.678</v>
      </c>
      <c r="G170" s="20" t="n">
        <v>18793.54</v>
      </c>
      <c r="H170" s="20" t="n">
        <v>8917.566000000001</v>
      </c>
      <c r="I170" s="20" t="n">
        <v>11009.32</v>
      </c>
      <c r="J170" s="20" t="n">
        <v>12956.012</v>
      </c>
      <c r="K170" s="20" t="n">
        <v>14685.198</v>
      </c>
      <c r="L170" s="20" t="n">
        <v>17119.762</v>
      </c>
    </row>
    <row r="171">
      <c r="A171" s="18" t="inlineStr">
        <is>
          <t>이익잉여금 합계</t>
        </is>
      </c>
      <c r="C171" s="20" t="n">
        <v>16125.724</v>
      </c>
      <c r="D171" s="20" t="n">
        <v>16355.687</v>
      </c>
      <c r="E171" s="20" t="n">
        <v>17119.762</v>
      </c>
      <c r="F171" s="20" t="n">
        <v>17439.678</v>
      </c>
      <c r="G171" s="20" t="n">
        <v>18793.54</v>
      </c>
      <c r="H171" s="20" t="n">
        <v>8917.566000000001</v>
      </c>
      <c r="I171" s="20" t="n">
        <v>11009.32</v>
      </c>
      <c r="J171" s="20" t="n">
        <v>12956.012</v>
      </c>
      <c r="K171" s="20" t="n">
        <v>14685.198</v>
      </c>
      <c r="L171" s="20" t="n">
        <v>17119.762</v>
      </c>
    </row>
    <row r="172">
      <c r="A172" s="18" t="inlineStr">
        <is>
          <t>자기주식</t>
        </is>
      </c>
      <c r="C172" s="20" t="n">
        <v>-204.564</v>
      </c>
      <c r="D172" s="20" t="n">
        <v>-204.669</v>
      </c>
      <c r="E172" s="20" t="n">
        <v>-204.902</v>
      </c>
      <c r="F172" s="20" t="n">
        <v>-204.902</v>
      </c>
      <c r="G172" s="20" t="n">
        <v>-192.707</v>
      </c>
      <c r="H172" s="20" t="n">
        <v>-246.781</v>
      </c>
      <c r="I172" s="20" t="n">
        <v>-233.694</v>
      </c>
      <c r="J172" s="20" t="n">
        <v>-225.555</v>
      </c>
      <c r="K172" s="20" t="n">
        <v>-215.621</v>
      </c>
      <c r="L172" s="20" t="n">
        <v>-204.902</v>
      </c>
    </row>
    <row r="173">
      <c r="A173" s="9" t="inlineStr">
        <is>
          <t>주주자본 합계</t>
        </is>
      </c>
      <c r="C173" s="12" t="n">
        <v>28197.827</v>
      </c>
      <c r="D173" s="12" t="n">
        <v>28433.119</v>
      </c>
      <c r="E173" s="12" t="n">
        <v>29202.395</v>
      </c>
      <c r="F173" s="12" t="n">
        <v>29527.745</v>
      </c>
      <c r="G173" s="12" t="n">
        <v>30891.53</v>
      </c>
      <c r="H173" s="12" t="n">
        <v>20945.758</v>
      </c>
      <c r="I173" s="12" t="n">
        <v>23060.549</v>
      </c>
      <c r="J173" s="12" t="n">
        <v>25009.394</v>
      </c>
      <c r="K173" s="12" t="n">
        <v>26747.823</v>
      </c>
      <c r="L173" s="12" t="n">
        <v>29202.395</v>
      </c>
    </row>
    <row r="174">
      <c r="A174" s="18" t="inlineStr">
        <is>
          <t>기타유가증권 평가차액</t>
        </is>
      </c>
      <c r="C174" s="20" t="n">
        <v>0</v>
      </c>
      <c r="D174" s="20" t="n">
        <v>0</v>
      </c>
      <c r="E174" s="20" t="n">
        <v>0</v>
      </c>
      <c r="H174" s="20" t="n">
        <v>17.481</v>
      </c>
      <c r="I174" s="20" t="n">
        <v>12.057</v>
      </c>
      <c r="J174" s="20" t="n">
        <v>11.775</v>
      </c>
      <c r="K174" s="20" t="n">
        <v>22.056</v>
      </c>
      <c r="L174" s="20" t="n">
        <v>0</v>
      </c>
    </row>
    <row r="175">
      <c r="A175" s="18" t="inlineStr">
        <is>
          <t>이연헤지손익</t>
        </is>
      </c>
      <c r="C175" s="20" t="n">
        <v>-24.073</v>
      </c>
      <c r="D175" s="20" t="n">
        <v>-1.67</v>
      </c>
      <c r="E175" s="20" t="n">
        <v>26.266</v>
      </c>
      <c r="F175" s="20" t="n">
        <v>46.888</v>
      </c>
      <c r="G175" s="20" t="n">
        <v>51.608</v>
      </c>
      <c r="K175" s="20" t="n">
        <v>0</v>
      </c>
      <c r="L175" s="20" t="n">
        <v>26.266</v>
      </c>
    </row>
    <row r="176">
      <c r="A176" s="18" t="inlineStr">
        <is>
          <t>평가·환산차액 합계</t>
        </is>
      </c>
      <c r="C176" s="20" t="n">
        <v>-24.073</v>
      </c>
      <c r="D176" s="20" t="n">
        <v>-1.67</v>
      </c>
      <c r="E176" s="20" t="n">
        <v>26.266</v>
      </c>
      <c r="F176" s="20" t="n">
        <v>46.888</v>
      </c>
      <c r="G176" s="20" t="n">
        <v>51.608</v>
      </c>
      <c r="H176" s="20" t="n">
        <v>17.481</v>
      </c>
      <c r="I176" s="20" t="n">
        <v>12.057</v>
      </c>
      <c r="J176" s="20" t="n">
        <v>11.775</v>
      </c>
      <c r="K176" s="20" t="n">
        <v>22.056</v>
      </c>
      <c r="L176" s="20" t="n">
        <v>26.266</v>
      </c>
    </row>
    <row r="177">
      <c r="A177" s="9" t="inlineStr">
        <is>
          <t>순자산 합계</t>
        </is>
      </c>
      <c r="C177" s="12" t="n">
        <v>28173.753</v>
      </c>
      <c r="D177" s="12" t="n">
        <v>28431.449</v>
      </c>
      <c r="E177" s="12" t="n">
        <v>29228.662</v>
      </c>
      <c r="F177" s="12" t="n">
        <v>29574.633</v>
      </c>
      <c r="G177" s="12" t="n">
        <v>30943.138</v>
      </c>
      <c r="H177" s="12" t="n">
        <v>20963.239</v>
      </c>
      <c r="I177" s="12" t="n">
        <v>23072.607</v>
      </c>
      <c r="J177" s="12" t="n">
        <v>25021.17</v>
      </c>
      <c r="K177" s="12" t="n">
        <v>26769.879</v>
      </c>
      <c r="L177" s="12" t="n">
        <v>29228.662</v>
      </c>
    </row>
    <row r="178">
      <c r="A178" s="9" t="inlineStr">
        <is>
          <t>부채·순자산 합계</t>
        </is>
      </c>
      <c r="C178" s="12" t="n">
        <v>58624.238</v>
      </c>
      <c r="D178" s="12" t="n">
        <v>59746.365</v>
      </c>
      <c r="E178" s="12" t="n">
        <v>64080.563</v>
      </c>
      <c r="F178" s="12" t="n">
        <v>65441.687</v>
      </c>
      <c r="G178" s="12" t="n">
        <v>67270.273</v>
      </c>
      <c r="H178" s="12" t="n">
        <v>42202.397</v>
      </c>
      <c r="I178" s="12" t="n">
        <v>45643.354</v>
      </c>
      <c r="J178" s="12" t="n">
        <v>49676.189</v>
      </c>
      <c r="K178" s="12" t="n">
        <v>55919.618</v>
      </c>
      <c r="L178" s="12" t="n">
        <v>64080.563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2026-07-29</t>
        </is>
      </c>
      <c r="B4" t="inlineStr">
        <is>
          <t>2026년 12월 결산기 ２분기 결산단신</t>
        </is>
      </c>
      <c r="C4" t="inlineStr">
        <is>
          <t>https://www2.jpx.co.jp/disc/89140/140120260728501098.pdf</t>
        </is>
      </c>
    </row>
    <row r="5">
      <c r="A5" t="inlineStr">
        <is>
          <t>2026-04-28</t>
        </is>
      </c>
      <c r="B5" t="inlineStr">
        <is>
          <t>2026년 12월 결산기 １분기 결산단신</t>
        </is>
      </c>
      <c r="C5" t="inlineStr">
        <is>
          <t>https://www2.jpx.co.jp/disc/89140/140120260427511843.pdf</t>
        </is>
      </c>
    </row>
    <row r="6">
      <c r="A6" t="inlineStr">
        <is>
          <t>2026-02-12</t>
        </is>
      </c>
      <c r="B6" t="inlineStr">
        <is>
          <t>2025년 12월 결산기 연간 결산단신</t>
        </is>
      </c>
      <c r="C6" t="inlineStr">
        <is>
          <t>https://www2.jpx.co.jp/disc/89140/140120260210554603.pdf</t>
        </is>
      </c>
    </row>
    <row r="7">
      <c r="A7" t="inlineStr">
        <is>
          <t>2025-10-29</t>
        </is>
      </c>
      <c r="B7" t="inlineStr">
        <is>
          <t>2025년 12월 결산기 ３분기 결산단신</t>
        </is>
      </c>
      <c r="C7" t="inlineStr">
        <is>
          <t>https://www2.jpx.co.jp/disc/89140/140120251028580292.pdf</t>
        </is>
      </c>
    </row>
    <row r="8">
      <c r="A8" t="inlineStr">
        <is>
          <t>2025-07-30</t>
        </is>
      </c>
      <c r="B8" t="inlineStr">
        <is>
          <t>2025년 12월 결산기 2분기 결산단신</t>
        </is>
      </c>
      <c r="C8" t="inlineStr">
        <is>
          <t>https://www2.jpx.co.jp/disc/89140/140120250729522690.pdf</t>
        </is>
      </c>
    </row>
    <row r="9">
      <c r="A9" t="inlineStr">
        <is>
          <t>2025-04-30</t>
        </is>
      </c>
      <c r="B9" t="inlineStr">
        <is>
          <t>2025년 12월 결산기 1분기 결산단신</t>
        </is>
      </c>
      <c r="C9" t="inlineStr">
        <is>
          <t>https://www2.jpx.co.jp/disc/89140/140120250428525893.pdf</t>
        </is>
      </c>
    </row>
    <row r="10">
      <c r="A10" t="inlineStr">
        <is>
          <t>2025-02-14</t>
        </is>
      </c>
      <c r="B10" t="inlineStr">
        <is>
          <t>2024년 12월 결산기 연간 결산단신</t>
        </is>
      </c>
      <c r="C10" t="inlineStr">
        <is>
          <t>https://www2.jpx.co.jp/disc/89140/140120250213574079.pdf</t>
        </is>
      </c>
    </row>
    <row r="11">
      <c r="A11" t="inlineStr">
        <is>
          <t>2024-10-29</t>
        </is>
      </c>
      <c r="B11" t="inlineStr">
        <is>
          <t>2024년 12월 결산기 3분기 결산단신</t>
        </is>
      </c>
      <c r="C11" t="inlineStr">
        <is>
          <t>https://www2.jpx.co.jp/disc/89140/140120241028503802.pdf</t>
        </is>
      </c>
    </row>
    <row r="12">
      <c r="A12" t="inlineStr">
        <is>
          <t>2024-07-30</t>
        </is>
      </c>
      <c r="B12" t="inlineStr">
        <is>
          <t>2024년 12월 결산기 2분기 결산단신</t>
        </is>
      </c>
      <c r="C12" t="inlineStr">
        <is>
          <t>https://www2.jpx.co.jp/disc/89140/140120240729556859.pdf</t>
        </is>
      </c>
    </row>
    <row r="13">
      <c r="A13" t="inlineStr">
        <is>
          <t>2024-04-25</t>
        </is>
      </c>
      <c r="B13" t="inlineStr">
        <is>
          <t>2024년 12월 결산기 1분기 결산단신</t>
        </is>
      </c>
      <c r="C13" t="inlineStr">
        <is>
          <t>https://www2.jpx.co.jp/disc/89140/140120240424575813.pdf</t>
        </is>
      </c>
    </row>
    <row r="14">
      <c r="A14" t="inlineStr">
        <is>
          <t>2024-02-14</t>
        </is>
      </c>
      <c r="B14" t="inlineStr">
        <is>
          <t>2023년 12월 결산기 연간 결산단신</t>
        </is>
      </c>
      <c r="C14" t="inlineStr">
        <is>
          <t>https://www2.jpx.co.jp/disc/89140/140120240213534809.pdf</t>
        </is>
      </c>
    </row>
    <row r="15">
      <c r="A15" t="inlineStr">
        <is>
          <t>2023-10-26</t>
        </is>
      </c>
      <c r="B15" t="inlineStr">
        <is>
          <t>2023년 12월 결산기 3분기 결산단신</t>
        </is>
      </c>
      <c r="C15" t="inlineStr">
        <is>
          <t>https://www2.jpx.co.jp/disc/89140/140120231025571482.pdf</t>
        </is>
      </c>
    </row>
    <row r="16">
      <c r="A16" t="inlineStr">
        <is>
          <t>2023-07-27</t>
        </is>
      </c>
      <c r="B16" t="inlineStr">
        <is>
          <t>2023년 12월 결산기 2분기 결산단신</t>
        </is>
      </c>
      <c r="C16" t="inlineStr">
        <is>
          <t>https://www2.jpx.co.jp/disc/89140/140120230726527417.pdf</t>
        </is>
      </c>
    </row>
    <row r="17">
      <c r="A17" t="inlineStr">
        <is>
          <t>2023-04-27</t>
        </is>
      </c>
      <c r="B17" t="inlineStr">
        <is>
          <t>2023년 12월 결산기 1분기 결산단신</t>
        </is>
      </c>
      <c r="C17" t="inlineStr">
        <is>
          <t>https://www2.jpx.co.jp/disc/89140/140120230426553568.pdf</t>
        </is>
      </c>
    </row>
    <row r="18">
      <c r="A18" t="inlineStr">
        <is>
          <t>2023-02-14</t>
        </is>
      </c>
      <c r="B18" t="inlineStr">
        <is>
          <t>2022년 12월 결산기 연간 결산단신</t>
        </is>
      </c>
      <c r="C18" t="inlineStr">
        <is>
          <t>https://www2.jpx.co.jp/disc/89140/140120230213509766.pdf</t>
        </is>
      </c>
    </row>
    <row r="19">
      <c r="A19" t="inlineStr">
        <is>
          <t>2022-10-27</t>
        </is>
      </c>
      <c r="B19" t="inlineStr">
        <is>
          <t>2022년 12월 결산기 3분기 결산단신</t>
        </is>
      </c>
      <c r="C19" t="inlineStr">
        <is>
          <t>https://www2.jpx.co.jp/disc/89140/140120221026549677.pdf</t>
        </is>
      </c>
    </row>
    <row r="20">
      <c r="A20" t="inlineStr">
        <is>
          <t>2022-02-14</t>
        </is>
      </c>
      <c r="B20" t="inlineStr">
        <is>
          <t>2021년 12월 결산기 연간 결산단신</t>
        </is>
      </c>
      <c r="C20" t="inlineStr">
        <is>
          <t>https://www2.jpx.co.jp/disc/89140/140120220214588486.pdf</t>
        </is>
      </c>
    </row>
    <row r="21">
      <c r="A21" t="inlineStr">
        <is>
          <t>2021-02-12</t>
        </is>
      </c>
      <c r="B21" t="inlineStr">
        <is>
          <t>2020년 12월 결산기 연간 결산단신</t>
        </is>
      </c>
      <c r="C21" t="inlineStr">
        <is>
          <t>https://www2.jpx.co.jp/disc/89140/140120210212462865.pdf</t>
        </is>
      </c>
    </row>
    <row r="22">
      <c r="A22" t="inlineStr">
        <is>
          <t>2020-02-14</t>
        </is>
      </c>
      <c r="B22" t="inlineStr">
        <is>
          <t>2019년 12월 결산기 연간 결산단신</t>
        </is>
      </c>
      <c r="C22" t="inlineStr">
        <is>
          <t>https://www2.jpx.co.jp/disc/89140/140120200212462681.pdf</t>
        </is>
      </c>
    </row>
    <row r="23">
      <c r="A23" t="inlineStr">
        <is>
          <t>2019-02-14</t>
        </is>
      </c>
      <c r="B23" t="inlineStr">
        <is>
          <t>2018년 12월 결산기 연간 결산단신</t>
        </is>
      </c>
      <c r="C23" t="inlineStr">
        <is>
          <t>https://www2.jpx.co.jp/disc/89140/140120190212475121.pdf</t>
        </is>
      </c>
    </row>
    <row r="24">
      <c r="A24" t="inlineStr">
        <is>
          <t>2018-02-14</t>
        </is>
      </c>
      <c r="B24" t="inlineStr">
        <is>
          <t>2017년 12월 결산기 연간 결산단신</t>
        </is>
      </c>
      <c r="C24" t="inlineStr">
        <is>
          <t>https://www2.jpx.co.jp/disc/89140/140120180213471189.pdf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2026-10-26T10:59:23Z</dcterms:created>
  <dcterms:modified xmlns:dcterms="http://purl.org/dc/terms/" xmlns:xsi="http://www.w3.org/2001/XMLSchema-instance" xsi:type="dcterms:W3CDTF">2026-10-26T10:59:23Z</dcterms:modified>
</cp:coreProperties>
</file>