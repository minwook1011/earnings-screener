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6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JMACS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2027.2Q = 2027년 2월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1518.509</v>
      </c>
      <c r="D4" s="12" t="n">
        <v>1415.183</v>
      </c>
      <c r="E4" s="12" t="n">
        <v>1190.203</v>
      </c>
      <c r="F4" s="12" t="n">
        <v>1230.398</v>
      </c>
      <c r="G4" s="12" t="n">
        <v>1478.194</v>
      </c>
      <c r="H4" s="12" t="n">
        <v>1301.883</v>
      </c>
      <c r="I4" s="12" t="n">
        <v>1302.45</v>
      </c>
      <c r="J4" s="12" t="n">
        <v>1555.66</v>
      </c>
      <c r="K4" s="12" t="n">
        <v>1573.301</v>
      </c>
      <c r="L4" s="12" t="n">
        <v>1596.896</v>
      </c>
      <c r="M4" s="12" t="n">
        <v>1647.55</v>
      </c>
      <c r="N4" s="12" t="n">
        <v>1896.057</v>
      </c>
      <c r="O4" s="11" t="n"/>
      <c r="P4" s="12" t="n">
        <v>4844.173</v>
      </c>
      <c r="Q4" s="12" t="n">
        <v>4919.502</v>
      </c>
      <c r="R4" s="12" t="n">
        <v>5195.239</v>
      </c>
      <c r="S4" s="12" t="n">
        <v>4363.953</v>
      </c>
      <c r="T4" s="12" t="n">
        <v>4784.478</v>
      </c>
      <c r="U4" s="12" t="n">
        <v>5061.242</v>
      </c>
      <c r="V4" s="12" t="n">
        <v>5343.264</v>
      </c>
      <c r="W4" s="12" t="n">
        <v>5200.678</v>
      </c>
      <c r="X4" s="12" t="n">
        <v>6028.307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1303.407</v>
      </c>
      <c r="D11" s="22" t="n">
        <v>1025.912</v>
      </c>
      <c r="E11" s="22" t="n">
        <v>892.705</v>
      </c>
      <c r="F11" s="22" t="n">
        <v>1020.357</v>
      </c>
      <c r="G11" s="22" t="n">
        <v>1184.046</v>
      </c>
      <c r="H11" s="22" t="n">
        <v>1000.936</v>
      </c>
      <c r="I11" s="22" t="n">
        <v>969.519</v>
      </c>
      <c r="J11" s="22" t="n">
        <v>1095.142</v>
      </c>
      <c r="K11" s="22" t="n">
        <v>1179.481</v>
      </c>
      <c r="L11" s="22" t="n">
        <v>1117.583</v>
      </c>
      <c r="M11" s="22" t="n">
        <v>1142.157</v>
      </c>
      <c r="N11" s="22" t="n">
        <v>1310.646</v>
      </c>
      <c r="O11" s="21" t="n"/>
      <c r="P11" s="22" t="n">
        <v>3688.545</v>
      </c>
      <c r="Q11" s="22" t="n">
        <v>3907.779</v>
      </c>
      <c r="R11" s="22" t="n">
        <v>3942.756</v>
      </c>
      <c r="S11" s="22" t="n">
        <v>3318.094</v>
      </c>
      <c r="T11" s="22" t="n">
        <v>3605.704</v>
      </c>
      <c r="U11" s="22" t="n">
        <v>3906.211</v>
      </c>
      <c r="V11" s="22" t="n">
        <v>4166.9</v>
      </c>
      <c r="W11" s="22" t="n">
        <v>4098.044</v>
      </c>
      <c r="X11" s="22" t="n">
        <v>4361.725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264.6</v>
      </c>
      <c r="D17" s="22" t="n">
        <v>307.98</v>
      </c>
      <c r="E17" s="22" t="n">
        <v>254.507</v>
      </c>
      <c r="F17" s="22" t="n">
        <v>241.464</v>
      </c>
      <c r="G17" s="22" t="n">
        <v>271.689</v>
      </c>
      <c r="H17" s="22" t="n">
        <v>267.437</v>
      </c>
      <c r="I17" s="22" t="n">
        <v>265.813</v>
      </c>
      <c r="J17" s="22" t="n">
        <v>283.496</v>
      </c>
      <c r="K17" s="22" t="n">
        <v>293.721</v>
      </c>
      <c r="L17" s="22" t="n">
        <v>321.928</v>
      </c>
      <c r="M17" s="22" t="n">
        <v>278.005</v>
      </c>
      <c r="N17" s="22" t="n">
        <v>311.805</v>
      </c>
      <c r="O17" s="21" t="n"/>
      <c r="P17" s="22" t="n">
        <v>1099.619</v>
      </c>
      <c r="Q17" s="22" t="n">
        <v>1166.35</v>
      </c>
      <c r="R17" s="22" t="n">
        <v>1182.058</v>
      </c>
      <c r="S17" s="22" t="n">
        <v>1027.499</v>
      </c>
      <c r="T17" s="22" t="n">
        <v>1009.755</v>
      </c>
      <c r="U17" s="22" t="n">
        <v>984.356</v>
      </c>
      <c r="V17" s="22" t="n">
        <v>1096.458</v>
      </c>
      <c r="W17" s="22" t="n">
        <v>1035.097</v>
      </c>
      <c r="X17" s="22" t="n">
        <v>1164.958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-49.495</v>
      </c>
      <c r="D19" s="12" t="n">
        <v>81.29000000000001</v>
      </c>
      <c r="E19" s="12" t="n">
        <v>42.99</v>
      </c>
      <c r="F19" s="12" t="n">
        <v>-31.423</v>
      </c>
      <c r="G19" s="12" t="n">
        <v>22.458</v>
      </c>
      <c r="H19" s="12" t="n">
        <v>33.511</v>
      </c>
      <c r="I19" s="12" t="n">
        <v>67.117</v>
      </c>
      <c r="J19" s="12" t="n">
        <v>177.022</v>
      </c>
      <c r="K19" s="12" t="n">
        <v>100.099</v>
      </c>
      <c r="L19" s="12" t="n">
        <v>157.386</v>
      </c>
      <c r="M19" s="12" t="n">
        <v>227.388</v>
      </c>
      <c r="N19" s="12" t="n">
        <v>273.604</v>
      </c>
      <c r="O19" s="11" t="n"/>
      <c r="P19" s="12" t="n">
        <v>56.009</v>
      </c>
      <c r="Q19" s="12" t="n">
        <v>-154.627</v>
      </c>
      <c r="R19" s="12" t="n">
        <v>70.423</v>
      </c>
      <c r="S19" s="12" t="n">
        <v>18.359</v>
      </c>
      <c r="T19" s="12" t="n">
        <v>169.018</v>
      </c>
      <c r="U19" s="12" t="n">
        <v>170.674</v>
      </c>
      <c r="V19" s="12" t="n">
        <v>79.90600000000001</v>
      </c>
      <c r="W19" s="12" t="n">
        <v>67.536</v>
      </c>
      <c r="X19" s="12" t="n">
        <v>501.624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>
        <v>265.846</v>
      </c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>
        <v>24.424</v>
      </c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1" t="n"/>
      <c r="P35" s="22" t="n">
        <v>56.683</v>
      </c>
      <c r="Q35" s="22" t="n">
        <v>0</v>
      </c>
      <c r="R35" s="22" t="n"/>
      <c r="S35" s="22" t="n"/>
      <c r="T35" s="22" t="n"/>
      <c r="U35" s="22" t="n"/>
      <c r="V35" s="22" t="n"/>
      <c r="W35" s="22" t="n"/>
      <c r="X35" s="22" t="n"/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>
        <v>0.423</v>
      </c>
      <c r="E37" s="22" t="n"/>
      <c r="F37" s="22" t="n"/>
      <c r="G37" s="22" t="n"/>
      <c r="H37" s="22" t="n">
        <v>1.485</v>
      </c>
      <c r="I37" s="22" t="n"/>
      <c r="J37" s="22" t="n"/>
      <c r="K37" s="22" t="n"/>
      <c r="L37" s="22" t="n">
        <v>0.734</v>
      </c>
      <c r="M37" s="22" t="n"/>
      <c r="N37" s="22" t="n"/>
      <c r="O37" s="21" t="n"/>
      <c r="P37" s="22" t="n">
        <v>0</v>
      </c>
      <c r="Q37" s="22" t="n">
        <v>3.229</v>
      </c>
      <c r="R37" s="22" t="n">
        <v>0</v>
      </c>
      <c r="S37" s="22" t="n">
        <v>101.586</v>
      </c>
      <c r="T37" s="22" t="n">
        <v>128.312</v>
      </c>
      <c r="U37" s="22" t="n">
        <v>36.12</v>
      </c>
      <c r="V37" s="22" t="n">
        <v>63.569</v>
      </c>
      <c r="W37" s="22" t="n">
        <v>1.486</v>
      </c>
      <c r="X37" s="22" t="n">
        <v>1.728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24.474</v>
      </c>
      <c r="D39" s="22" t="n">
        <v>22.663</v>
      </c>
      <c r="E39" s="22" t="n">
        <v>18.018</v>
      </c>
      <c r="F39" s="22" t="n">
        <v>32.822</v>
      </c>
      <c r="G39" s="22" t="n">
        <v>17.158</v>
      </c>
      <c r="H39" s="22" t="n">
        <v>20.548</v>
      </c>
      <c r="I39" s="22" t="n">
        <v>17.242</v>
      </c>
      <c r="J39" s="22" t="n">
        <v>21.938</v>
      </c>
      <c r="K39" s="22" t="n">
        <v>30.927</v>
      </c>
      <c r="L39" s="22" t="n">
        <v>23.464</v>
      </c>
      <c r="M39" s="22" t="n">
        <v>19.367</v>
      </c>
      <c r="N39" s="22" t="n">
        <v>24.112</v>
      </c>
      <c r="O39" s="21" t="n"/>
      <c r="P39" s="22" t="n">
        <v>72.20999999999999</v>
      </c>
      <c r="Q39" s="22" t="n">
        <v>74.703</v>
      </c>
      <c r="R39" s="22" t="n">
        <v>77.679</v>
      </c>
      <c r="S39" s="22" t="n">
        <v>77.364</v>
      </c>
      <c r="T39" s="22" t="n">
        <v>81.727</v>
      </c>
      <c r="U39" s="22" t="n">
        <v>91.654</v>
      </c>
      <c r="V39" s="22" t="n">
        <v>85.664</v>
      </c>
      <c r="W39" s="22" t="n">
        <v>88.54600000000001</v>
      </c>
      <c r="X39" s="22" t="n">
        <v>93.571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5.974</v>
      </c>
      <c r="D41" s="22" t="n">
        <v>6.873</v>
      </c>
      <c r="E41" s="22" t="n">
        <v>6.195</v>
      </c>
      <c r="F41" s="22" t="n">
        <v>10.433</v>
      </c>
      <c r="G41" s="22" t="n">
        <v>18.078</v>
      </c>
      <c r="H41" s="22" t="n">
        <v>9.068</v>
      </c>
      <c r="I41" s="22" t="n">
        <v>10.76</v>
      </c>
      <c r="J41" s="22" t="n">
        <v>10.641</v>
      </c>
      <c r="K41" s="22" t="n">
        <v>17.519</v>
      </c>
      <c r="L41" s="22" t="n">
        <v>12.608</v>
      </c>
      <c r="M41" s="22" t="n">
        <v>14.47</v>
      </c>
      <c r="N41" s="22" t="n">
        <v>13.014</v>
      </c>
      <c r="O41" s="21" t="n"/>
      <c r="P41" s="22" t="n">
        <v>21.986</v>
      </c>
      <c r="Q41" s="22" t="n">
        <v>21.224</v>
      </c>
      <c r="R41" s="22" t="n">
        <v>65.15000000000001</v>
      </c>
      <c r="S41" s="22" t="n">
        <v>31.824</v>
      </c>
      <c r="T41" s="22" t="n">
        <v>33.598</v>
      </c>
      <c r="U41" s="22" t="n">
        <v>27.618</v>
      </c>
      <c r="V41" s="22" t="n">
        <v>27.982</v>
      </c>
      <c r="W41" s="22" t="n">
        <v>43.774</v>
      </c>
      <c r="X41" s="22" t="n">
        <v>51.528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-94.142</v>
      </c>
      <c r="D43" s="12" t="n">
        <v>96.657</v>
      </c>
      <c r="E43" s="12" t="n">
        <v>54.814</v>
      </c>
      <c r="F43" s="12" t="n">
        <v>-9.035</v>
      </c>
      <c r="G43" s="12" t="n">
        <v>21.537</v>
      </c>
      <c r="H43" s="12" t="n">
        <v>43.506</v>
      </c>
      <c r="I43" s="12" t="n">
        <v>73.598</v>
      </c>
      <c r="J43" s="12" t="n">
        <v>188.321</v>
      </c>
      <c r="K43" s="12" t="n">
        <v>112.512</v>
      </c>
      <c r="L43" s="12" t="n">
        <v>167.507</v>
      </c>
      <c r="M43" s="12" t="n">
        <v>232.285</v>
      </c>
      <c r="N43" s="12" t="n">
        <v>309.742</v>
      </c>
      <c r="O43" s="11" t="n"/>
      <c r="P43" s="12" t="n">
        <v>162.916</v>
      </c>
      <c r="Q43" s="12" t="n">
        <v>-104.378</v>
      </c>
      <c r="R43" s="12" t="n">
        <v>82.953</v>
      </c>
      <c r="S43" s="12" t="n">
        <v>-37.687</v>
      </c>
      <c r="T43" s="12" t="n">
        <v>88.83499999999999</v>
      </c>
      <c r="U43" s="12" t="n">
        <v>198.589</v>
      </c>
      <c r="V43" s="12" t="n">
        <v>74.018</v>
      </c>
      <c r="W43" s="12" t="n">
        <v>110.822</v>
      </c>
      <c r="X43" s="12" t="n">
        <v>541.938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-29.987</v>
      </c>
      <c r="D45" s="22" t="n">
        <v>11.974</v>
      </c>
      <c r="E45" s="22" t="n">
        <v>-26.168</v>
      </c>
      <c r="F45" s="22" t="n">
        <v>-0.995</v>
      </c>
      <c r="G45" s="22" t="n">
        <v>7.575</v>
      </c>
      <c r="H45" s="22" t="n">
        <v>14.084</v>
      </c>
      <c r="I45" s="22" t="n">
        <v>21.531</v>
      </c>
      <c r="J45" s="22" t="n">
        <v>57.532</v>
      </c>
      <c r="K45" s="22" t="n">
        <v>35.298</v>
      </c>
      <c r="L45" s="22" t="n">
        <v>27.087</v>
      </c>
      <c r="M45" s="22" t="n">
        <v>71.178</v>
      </c>
      <c r="N45" s="22" t="n">
        <v>92.556</v>
      </c>
      <c r="O45" s="21" t="n"/>
      <c r="P45" s="22" t="n">
        <v>56.734</v>
      </c>
      <c r="Q45" s="22" t="n">
        <v>-1.344</v>
      </c>
      <c r="R45" s="22" t="n">
        <v>15.973</v>
      </c>
      <c r="S45" s="22" t="n">
        <v>29.335</v>
      </c>
      <c r="T45" s="22" t="n">
        <v>51.398</v>
      </c>
      <c r="U45" s="22" t="n">
        <v>-7.839</v>
      </c>
      <c r="V45" s="22" t="n">
        <v>2.758</v>
      </c>
      <c r="W45" s="22" t="n">
        <v>-5.504</v>
      </c>
      <c r="X45" s="22" t="n">
        <v>141.448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-64.15300000000001</v>
      </c>
      <c r="D47" s="12" t="n">
        <v>84.681</v>
      </c>
      <c r="E47" s="12" t="n">
        <v>80.983</v>
      </c>
      <c r="F47" s="12" t="n">
        <v>-8.039999999999999</v>
      </c>
      <c r="G47" s="12" t="n">
        <v>13.961</v>
      </c>
      <c r="H47" s="12" t="n">
        <v>29.422</v>
      </c>
      <c r="I47" s="12" t="n">
        <v>52.066</v>
      </c>
      <c r="J47" s="12" t="n">
        <v>130.789</v>
      </c>
      <c r="K47" s="12" t="n">
        <v>77.214</v>
      </c>
      <c r="L47" s="12" t="n">
        <v>140.42</v>
      </c>
      <c r="M47" s="12" t="n">
        <v>161.106</v>
      </c>
      <c r="N47" s="12" t="n">
        <v>217.186</v>
      </c>
      <c r="O47" s="11" t="n"/>
      <c r="P47" s="12" t="n">
        <v>106.182</v>
      </c>
      <c r="Q47" s="12" t="n">
        <v>-103.033</v>
      </c>
      <c r="R47" s="12" t="n">
        <v>66.979</v>
      </c>
      <c r="S47" s="12" t="n">
        <v>-67.02200000000001</v>
      </c>
      <c r="T47" s="12" t="n">
        <v>37.437</v>
      </c>
      <c r="U47" s="12" t="n">
        <v>206.429</v>
      </c>
      <c r="V47" s="12" t="n">
        <v>71.259</v>
      </c>
      <c r="W47" s="12" t="n">
        <v>116.326</v>
      </c>
      <c r="X47" s="12" t="n">
        <v>400.489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1" t="n"/>
      <c r="P49" s="12" t="n">
        <v>106.182</v>
      </c>
      <c r="Q49" s="12" t="n">
        <v>-103.033</v>
      </c>
      <c r="R49" s="12" t="n">
        <v>66.979</v>
      </c>
      <c r="S49" s="12" t="n">
        <v>-24.884</v>
      </c>
      <c r="T49" s="12" t="n"/>
      <c r="U49" s="12" t="n"/>
      <c r="V49" s="12" t="n"/>
      <c r="W49" s="12" t="n"/>
      <c r="X49" s="12" t="n"/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2024.3Q</t>
        </is>
      </c>
      <c r="D83" s="5" t="inlineStr">
        <is>
          <t>2024.4Q</t>
        </is>
      </c>
      <c r="E83" s="5" t="inlineStr">
        <is>
          <t>2025.1Q</t>
        </is>
      </c>
      <c r="F83" s="5" t="inlineStr">
        <is>
          <t>2025.2Q</t>
        </is>
      </c>
      <c r="G83" s="5" t="inlineStr">
        <is>
          <t>2025.3Q</t>
        </is>
      </c>
      <c r="H83" s="5" t="inlineStr">
        <is>
          <t>2025.4Q</t>
        </is>
      </c>
      <c r="I83" s="5" t="inlineStr">
        <is>
          <t>2026.1Q</t>
        </is>
      </c>
      <c r="J83" s="5" t="inlineStr">
        <is>
          <t>2026.2Q</t>
        </is>
      </c>
      <c r="K83" s="5" t="inlineStr">
        <is>
          <t>2026.3Q</t>
        </is>
      </c>
      <c r="L83" s="5" t="inlineStr">
        <is>
          <t>2026.4Q</t>
        </is>
      </c>
      <c r="M83" s="5" t="inlineStr">
        <is>
          <t>2027.1Q</t>
        </is>
      </c>
      <c r="N83" s="5" t="inlineStr">
        <is>
          <t>2027.2Q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1518.509</v>
      </c>
      <c r="D84" s="12" t="n">
        <v>1415.183</v>
      </c>
      <c r="E84" s="12" t="n">
        <v>1190.203</v>
      </c>
      <c r="F84" s="12" t="n">
        <v>1230.398</v>
      </c>
      <c r="G84" s="12" t="n">
        <v>1478.194</v>
      </c>
      <c r="H84" s="12" t="n">
        <v>1301.883</v>
      </c>
      <c r="I84" s="12" t="n">
        <v>1302.45</v>
      </c>
      <c r="J84" s="12" t="n">
        <v>1555.66</v>
      </c>
      <c r="K84" s="12" t="n">
        <v>1573.301</v>
      </c>
      <c r="L84" s="12" t="n">
        <v>1596.896</v>
      </c>
      <c r="M84" s="12" t="n">
        <v>1647.55</v>
      </c>
      <c r="N84" s="12" t="n">
        <v>1896.057</v>
      </c>
      <c r="T84" s="12" t="n">
        <v>1256.654</v>
      </c>
      <c r="U84" s="12" t="n">
        <v>1202.005</v>
      </c>
      <c r="V84" s="12" t="n">
        <v>1415.183</v>
      </c>
      <c r="W84" s="12" t="n">
        <v>1301.883</v>
      </c>
      <c r="X84" s="12" t="n">
        <v>1596.896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C86" s="22" t="n">
        <v>1303.407</v>
      </c>
      <c r="D86" s="22" t="n">
        <v>1025.912</v>
      </c>
      <c r="E86" s="22" t="n">
        <v>892.705</v>
      </c>
      <c r="F86" s="22" t="n">
        <v>1020.357</v>
      </c>
      <c r="G86" s="22" t="n">
        <v>1184.046</v>
      </c>
      <c r="H86" s="22" t="n">
        <v>1000.936</v>
      </c>
      <c r="I86" s="22" t="n">
        <v>969.519</v>
      </c>
      <c r="J86" s="22" t="n">
        <v>1095.142</v>
      </c>
      <c r="K86" s="22" t="n">
        <v>1179.481</v>
      </c>
      <c r="L86" s="22" t="n">
        <v>1117.583</v>
      </c>
      <c r="M86" s="22" t="n">
        <v>1142.157</v>
      </c>
      <c r="N86" s="22" t="n">
        <v>1310.646</v>
      </c>
      <c r="T86" s="22" t="n">
        <v>929.79</v>
      </c>
      <c r="U86" s="22" t="n">
        <v>880.191</v>
      </c>
      <c r="V86" s="22" t="n">
        <v>1025.912</v>
      </c>
      <c r="W86" s="22" t="n">
        <v>1000.936</v>
      </c>
      <c r="X86" s="22" t="n">
        <v>1117.583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215.103</v>
      </c>
      <c r="D88" s="12" t="n">
        <v>389.271</v>
      </c>
      <c r="E88" s="12" t="n">
        <v>297.498</v>
      </c>
      <c r="F88" s="12" t="n">
        <v>210.041</v>
      </c>
      <c r="G88" s="12" t="n">
        <v>294.147</v>
      </c>
      <c r="H88" s="12" t="n">
        <v>300.947</v>
      </c>
      <c r="I88" s="12" t="n">
        <v>332.931</v>
      </c>
      <c r="J88" s="12" t="n">
        <v>460.518</v>
      </c>
      <c r="K88" s="12" t="n">
        <v>393.82</v>
      </c>
      <c r="L88" s="12" t="n">
        <v>479.313</v>
      </c>
      <c r="M88" s="12" t="n">
        <v>505.393</v>
      </c>
      <c r="N88" s="12" t="n">
        <v>585.41</v>
      </c>
      <c r="T88" s="12" t="n">
        <v>326.864</v>
      </c>
      <c r="U88" s="12" t="n">
        <v>321.814</v>
      </c>
      <c r="V88" s="12" t="n">
        <v>389.271</v>
      </c>
      <c r="W88" s="12" t="n">
        <v>300.947</v>
      </c>
      <c r="X88" s="12" t="n">
        <v>479.313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C90" s="22" t="n">
        <v>264.6</v>
      </c>
      <c r="D90" s="22" t="n">
        <v>307.98</v>
      </c>
      <c r="E90" s="22" t="n">
        <v>254.507</v>
      </c>
      <c r="F90" s="22" t="n">
        <v>241.464</v>
      </c>
      <c r="G90" s="22" t="n">
        <v>271.689</v>
      </c>
      <c r="H90" s="22" t="n">
        <v>267.437</v>
      </c>
      <c r="I90" s="22" t="n">
        <v>265.813</v>
      </c>
      <c r="J90" s="22" t="n">
        <v>283.496</v>
      </c>
      <c r="K90" s="22" t="n">
        <v>293.721</v>
      </c>
      <c r="L90" s="22" t="n">
        <v>321.928</v>
      </c>
      <c r="M90" s="22" t="n">
        <v>278.005</v>
      </c>
      <c r="N90" s="22" t="n">
        <v>311.805</v>
      </c>
      <c r="T90" s="22" t="n">
        <v>262.707</v>
      </c>
      <c r="U90" s="22" t="n">
        <v>276.207</v>
      </c>
      <c r="V90" s="22" t="n">
        <v>307.98</v>
      </c>
      <c r="W90" s="22" t="n">
        <v>267.437</v>
      </c>
      <c r="X90" s="22" t="n">
        <v>321.928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-49.495</v>
      </c>
      <c r="D92" s="12" t="n">
        <v>81.29000000000001</v>
      </c>
      <c r="E92" s="12" t="n">
        <v>42.99</v>
      </c>
      <c r="F92" s="12" t="n">
        <v>-31.423</v>
      </c>
      <c r="G92" s="12" t="n">
        <v>22.458</v>
      </c>
      <c r="H92" s="12" t="n">
        <v>33.511</v>
      </c>
      <c r="I92" s="12" t="n">
        <v>67.117</v>
      </c>
      <c r="J92" s="12" t="n">
        <v>177.022</v>
      </c>
      <c r="K92" s="12" t="n">
        <v>100.099</v>
      </c>
      <c r="L92" s="12" t="n">
        <v>157.386</v>
      </c>
      <c r="M92" s="12" t="n">
        <v>227.388</v>
      </c>
      <c r="N92" s="12" t="n">
        <v>273.604</v>
      </c>
      <c r="T92" s="12" t="n">
        <v>64.157</v>
      </c>
      <c r="U92" s="12" t="n">
        <v>45.607</v>
      </c>
      <c r="V92" s="12" t="n">
        <v>81.29000000000001</v>
      </c>
      <c r="W92" s="12" t="n">
        <v>33.511</v>
      </c>
      <c r="X92" s="12" t="n">
        <v>157.386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임대료 수익</t>
        </is>
      </c>
      <c r="C95" s="22" t="n">
        <v>16.945</v>
      </c>
      <c r="D95" s="22" t="n">
        <v>16.99</v>
      </c>
      <c r="E95" s="22" t="n">
        <v>16.99</v>
      </c>
      <c r="F95" s="22" t="n">
        <v>16.991</v>
      </c>
      <c r="G95" s="22" t="n">
        <v>16.99</v>
      </c>
      <c r="H95" s="22" t="n">
        <v>16.991</v>
      </c>
      <c r="I95" s="22" t="n">
        <v>16.99</v>
      </c>
      <c r="J95" s="22" t="n">
        <v>16.945</v>
      </c>
      <c r="K95" s="22" t="n">
        <v>17.681</v>
      </c>
      <c r="L95" s="22" t="n">
        <v>17.68</v>
      </c>
      <c r="M95" s="22" t="n">
        <v>17.753</v>
      </c>
      <c r="N95" s="22" t="n">
        <v>17.754</v>
      </c>
      <c r="T95" s="22" t="n">
        <v>16.854</v>
      </c>
      <c r="U95" s="22" t="n">
        <v>16.854</v>
      </c>
      <c r="V95" s="22" t="n">
        <v>16.99</v>
      </c>
      <c r="W95" s="22" t="n">
        <v>16.991</v>
      </c>
      <c r="X95" s="22" t="n">
        <v>17.68</v>
      </c>
    </row>
    <row r="96">
      <c r="A96" s="20" t="inlineStr">
        <is>
          <t>보조금 수입</t>
        </is>
      </c>
      <c r="T96" s="22" t="n">
        <v>0</v>
      </c>
    </row>
    <row r="97">
      <c r="A97" s="20" t="inlineStr">
        <is>
          <t>기타</t>
        </is>
      </c>
      <c r="C97" s="22" t="n">
        <v>7.53</v>
      </c>
      <c r="D97" s="22" t="n">
        <v>0.492</v>
      </c>
      <c r="E97" s="22" t="n">
        <v>1.028</v>
      </c>
      <c r="F97" s="22" t="n">
        <v>15.831</v>
      </c>
      <c r="G97" s="22" t="n">
        <v>0.167</v>
      </c>
      <c r="H97" s="22" t="n">
        <v>-9.907</v>
      </c>
      <c r="I97" s="22" t="n">
        <v>0.251</v>
      </c>
      <c r="J97" s="22" t="n">
        <v>4.994</v>
      </c>
      <c r="K97" s="22" t="n">
        <v>13.246</v>
      </c>
      <c r="L97" s="22" t="n">
        <v>-16.387</v>
      </c>
      <c r="M97" s="22" t="n">
        <v>1.613</v>
      </c>
      <c r="N97" s="22" t="n">
        <v>6.359</v>
      </c>
      <c r="T97" s="22" t="n">
        <v>8.085000000000001</v>
      </c>
      <c r="U97" s="22" t="n">
        <v>8.157</v>
      </c>
      <c r="V97" s="22" t="n">
        <v>0.492</v>
      </c>
      <c r="W97" s="22" t="n">
        <v>-9.907</v>
      </c>
      <c r="X97" s="22" t="n">
        <v>-16.387</v>
      </c>
    </row>
    <row r="98">
      <c r="A98" s="20" t="inlineStr">
        <is>
          <t>영업외수익 합계</t>
        </is>
      </c>
      <c r="C98" s="22" t="n">
        <v>24.474</v>
      </c>
      <c r="D98" s="22" t="n">
        <v>22.663</v>
      </c>
      <c r="E98" s="22" t="n">
        <v>18.018</v>
      </c>
      <c r="F98" s="22" t="n">
        <v>32.822</v>
      </c>
      <c r="G98" s="22" t="n">
        <v>17.158</v>
      </c>
      <c r="H98" s="22" t="n">
        <v>20.548</v>
      </c>
      <c r="I98" s="22" t="n">
        <v>17.242</v>
      </c>
      <c r="J98" s="22" t="n">
        <v>21.938</v>
      </c>
      <c r="K98" s="22" t="n">
        <v>30.927</v>
      </c>
      <c r="L98" s="22" t="n">
        <v>23.464</v>
      </c>
      <c r="M98" s="22" t="n">
        <v>19.367</v>
      </c>
      <c r="N98" s="22" t="n">
        <v>24.112</v>
      </c>
      <c r="T98" s="22" t="n">
        <v>19.59</v>
      </c>
      <c r="U98" s="22" t="n">
        <v>28.969</v>
      </c>
      <c r="V98" s="22" t="n">
        <v>22.663</v>
      </c>
      <c r="W98" s="22" t="n">
        <v>20.548</v>
      </c>
      <c r="X98" s="22" t="n">
        <v>23.464</v>
      </c>
    </row>
    <row r="99">
      <c r="A99" s="45" t="inlineStr">
        <is>
          <t>YoY</t>
        </is>
      </c>
      <c r="B99" s="3" t="inlineStr">
        <is>
          <t>전년 같은 분기·전년 대비</t>
        </is>
      </c>
      <c r="G99" s="17">
        <f>IF(OR(G98="",C98=""),"",IF(G98*C98&lt;=0,"",IFERROR(G98/C98-1,"")))</f>
        <v/>
      </c>
      <c r="H99" s="17">
        <f>IF(OR(H98="",D98=""),"",IF(H98*D98&lt;=0,"",IFERROR(H98/D98-1,"")))</f>
        <v/>
      </c>
      <c r="I99" s="17">
        <f>IF(OR(I98="",E98=""),"",IF(I98*E98&lt;=0,"",IFERROR(I98/E98-1,"")))</f>
        <v/>
      </c>
      <c r="J99" s="17">
        <f>IF(OR(J98="",F98=""),"",IF(J98*F98&lt;=0,"",IFERROR(J98/F98-1,"")))</f>
        <v/>
      </c>
      <c r="K99" s="17">
        <f>IF(OR(K98="",G98=""),"",IF(K98*G98&lt;=0,"",IFERROR(K98/G98-1,"")))</f>
        <v/>
      </c>
      <c r="L99" s="17">
        <f>IF(OR(L98="",H98=""),"",IF(L98*H98&lt;=0,"",IFERROR(L98/H98-1,"")))</f>
        <v/>
      </c>
      <c r="M99" s="17">
        <f>IF(OR(M98="",I98=""),"",IF(M98*I98&lt;=0,"",IFERROR(M98/I98-1,"")))</f>
        <v/>
      </c>
      <c r="N99" s="17">
        <f>IF(OR(N98="",J98=""),"",IF(N98*J98&lt;=0,"",IFERROR(N98/J98-1,"")))</f>
        <v/>
      </c>
      <c r="T99" s="17">
        <f>IF(OR(T98="",S98=""),"",IF(T98*S98&lt;=0,"",IFERROR(T98/S98-1,"")))</f>
        <v/>
      </c>
      <c r="U99" s="17">
        <f>IF(OR(U98="",T98=""),"",IF(U98*T98&lt;=0,"",IFERROR(U98/T98-1,"")))</f>
        <v/>
      </c>
      <c r="V99" s="17">
        <f>IF(OR(V98="",U98=""),"",IF(V98*U98&lt;=0,"",IFERROR(V98/U98-1,"")))</f>
        <v/>
      </c>
      <c r="W99" s="17">
        <f>IF(OR(W98="",V98=""),"",IF(W98*V98&lt;=0,"",IFERROR(W98/V98-1,"")))</f>
        <v/>
      </c>
      <c r="X99" s="17">
        <f>IF(OR(X98="",W98=""),"",IF(X98*W98&lt;=0,"",IFERROR(X98/W98-1,"")))</f>
        <v/>
      </c>
    </row>
    <row r="100">
      <c r="A100" s="20" t="inlineStr">
        <is>
          <t>이자비용</t>
        </is>
      </c>
      <c r="C100" s="22" t="n">
        <v>4.361</v>
      </c>
      <c r="D100" s="22" t="n">
        <v>3.506</v>
      </c>
      <c r="E100" s="22" t="n">
        <v>3.887</v>
      </c>
      <c r="F100" s="22" t="n">
        <v>4.477</v>
      </c>
      <c r="G100" s="22" t="n">
        <v>5.515</v>
      </c>
      <c r="H100" s="22" t="n">
        <v>6.761</v>
      </c>
      <c r="I100" s="22" t="n">
        <v>8.342000000000001</v>
      </c>
      <c r="J100" s="22" t="n">
        <v>8.34</v>
      </c>
      <c r="K100" s="22" t="n">
        <v>8.183</v>
      </c>
      <c r="L100" s="22" t="n">
        <v>7.03</v>
      </c>
      <c r="M100" s="22" t="n">
        <v>8.581</v>
      </c>
      <c r="N100" s="22" t="n">
        <v>9.500999999999999</v>
      </c>
      <c r="T100" s="22" t="n">
        <v>5.828</v>
      </c>
      <c r="U100" s="22" t="n">
        <v>3.658</v>
      </c>
      <c r="V100" s="22" t="n">
        <v>3.506</v>
      </c>
      <c r="W100" s="22" t="n">
        <v>6.761</v>
      </c>
      <c r="X100" s="22" t="n">
        <v>7.03</v>
      </c>
    </row>
    <row r="101">
      <c r="A101" s="20" t="inlineStr">
        <is>
          <t>외환차손</t>
        </is>
      </c>
      <c r="E101" s="22" t="n">
        <v>0</v>
      </c>
    </row>
    <row r="102">
      <c r="A102" s="20" t="inlineStr">
        <is>
          <t>임대수입 원가</t>
        </is>
      </c>
      <c r="C102" s="22" t="n">
        <v>2.315</v>
      </c>
      <c r="D102" s="22" t="n">
        <v>2.316</v>
      </c>
      <c r="E102" s="22" t="n">
        <v>2.307</v>
      </c>
      <c r="F102" s="22" t="n">
        <v>2.308</v>
      </c>
      <c r="G102" s="22" t="n">
        <v>2.308</v>
      </c>
      <c r="H102" s="22" t="n">
        <v>2.308</v>
      </c>
      <c r="I102" s="22" t="n">
        <v>2.299</v>
      </c>
      <c r="J102" s="22" t="n">
        <v>2.3</v>
      </c>
      <c r="K102" s="22" t="n">
        <v>2.3</v>
      </c>
      <c r="L102" s="22" t="n">
        <v>2.299</v>
      </c>
      <c r="M102" s="22" t="n">
        <v>2.286</v>
      </c>
      <c r="N102" s="22" t="n">
        <v>2.256</v>
      </c>
      <c r="T102" s="22" t="n">
        <v>2.378</v>
      </c>
      <c r="U102" s="22" t="n">
        <v>2.367</v>
      </c>
      <c r="V102" s="22" t="n">
        <v>2.316</v>
      </c>
      <c r="W102" s="22" t="n">
        <v>2.308</v>
      </c>
      <c r="X102" s="22" t="n">
        <v>2.299</v>
      </c>
    </row>
    <row r="103">
      <c r="A103" s="20" t="inlineStr">
        <is>
          <t>매출채권 매각손실</t>
        </is>
      </c>
      <c r="I103" s="22" t="n">
        <v>0</v>
      </c>
      <c r="J103" s="22" t="n">
        <v>0</v>
      </c>
      <c r="M103" s="22" t="n">
        <v>3.445</v>
      </c>
      <c r="N103" s="22" t="n">
        <v>1.256</v>
      </c>
    </row>
    <row r="104">
      <c r="A104" s="20" t="inlineStr">
        <is>
          <t>주식교부비</t>
        </is>
      </c>
      <c r="D104" s="22" t="n">
        <v>0</v>
      </c>
      <c r="H104" s="22" t="n">
        <v>0</v>
      </c>
      <c r="L104" s="22" t="n">
        <v>0</v>
      </c>
      <c r="V104" s="22" t="n">
        <v>0</v>
      </c>
      <c r="W104" s="22" t="n">
        <v>0</v>
      </c>
      <c r="X104" s="22" t="n">
        <v>0</v>
      </c>
    </row>
    <row r="105">
      <c r="A105" s="20" t="inlineStr">
        <is>
          <t>기타</t>
        </is>
      </c>
      <c r="C105" s="22" t="n">
        <v>-0.702</v>
      </c>
      <c r="D105" s="22" t="n">
        <v>1.051</v>
      </c>
      <c r="E105" s="22" t="n">
        <v>0</v>
      </c>
      <c r="F105" s="22" t="n">
        <v>3.647</v>
      </c>
      <c r="G105" s="22" t="n">
        <v>0.644</v>
      </c>
      <c r="H105" s="22" t="n">
        <v>0</v>
      </c>
      <c r="I105" s="22" t="n">
        <v>0.118</v>
      </c>
      <c r="J105" s="22" t="n">
        <v>0</v>
      </c>
      <c r="K105" s="22" t="n">
        <v>7.037</v>
      </c>
      <c r="L105" s="22" t="n">
        <v>-2.038</v>
      </c>
      <c r="M105" s="22" t="n">
        <v>0.157</v>
      </c>
      <c r="N105" s="22" t="n">
        <v>0</v>
      </c>
      <c r="T105" s="22" t="n">
        <v>0.76</v>
      </c>
      <c r="U105" s="22" t="n">
        <v>0</v>
      </c>
      <c r="V105" s="22" t="n">
        <v>1.051</v>
      </c>
      <c r="W105" s="22" t="n">
        <v>0</v>
      </c>
      <c r="X105" s="22" t="n">
        <v>-2.038</v>
      </c>
    </row>
    <row r="106">
      <c r="A106" s="20" t="inlineStr">
        <is>
          <t>영업외비용 합계</t>
        </is>
      </c>
      <c r="C106" s="22" t="n">
        <v>5.974</v>
      </c>
      <c r="D106" s="22" t="n">
        <v>6.873</v>
      </c>
      <c r="E106" s="22" t="n">
        <v>6.195</v>
      </c>
      <c r="F106" s="22" t="n">
        <v>10.433</v>
      </c>
      <c r="G106" s="22" t="n">
        <v>18.078</v>
      </c>
      <c r="H106" s="22" t="n">
        <v>9.068</v>
      </c>
      <c r="I106" s="22" t="n">
        <v>10.76</v>
      </c>
      <c r="J106" s="22" t="n">
        <v>10.641</v>
      </c>
      <c r="K106" s="22" t="n">
        <v>17.519</v>
      </c>
      <c r="L106" s="22" t="n">
        <v>12.608</v>
      </c>
      <c r="M106" s="22" t="n">
        <v>14.47</v>
      </c>
      <c r="N106" s="22" t="n">
        <v>13.014</v>
      </c>
      <c r="T106" s="22" t="n">
        <v>8.965</v>
      </c>
      <c r="U106" s="22" t="n">
        <v>6.024</v>
      </c>
      <c r="V106" s="22" t="n">
        <v>6.873</v>
      </c>
      <c r="W106" s="22" t="n">
        <v>9.068</v>
      </c>
      <c r="X106" s="22" t="n">
        <v>12.608</v>
      </c>
    </row>
    <row r="107">
      <c r="A107" s="45" t="inlineStr">
        <is>
          <t>YoY</t>
        </is>
      </c>
      <c r="B107" s="3" t="inlineStr">
        <is>
          <t>전년 같은 분기·전년 대비</t>
        </is>
      </c>
      <c r="G107" s="17">
        <f>IF(OR(G106="",C106=""),"",IF(G106*C106&lt;=0,"",IFERROR(G106/C106-1,"")))</f>
        <v/>
      </c>
      <c r="H107" s="17">
        <f>IF(OR(H106="",D106=""),"",IF(H106*D106&lt;=0,"",IFERROR(H106/D106-1,"")))</f>
        <v/>
      </c>
      <c r="I107" s="17">
        <f>IF(OR(I106="",E106=""),"",IF(I106*E106&lt;=0,"",IFERROR(I106/E106-1,"")))</f>
        <v/>
      </c>
      <c r="J107" s="17">
        <f>IF(OR(J106="",F106=""),"",IF(J106*F106&lt;=0,"",IFERROR(J106/F106-1,"")))</f>
        <v/>
      </c>
      <c r="K107" s="17">
        <f>IF(OR(K106="",G106=""),"",IF(K106*G106&lt;=0,"",IFERROR(K106/G106-1,"")))</f>
        <v/>
      </c>
      <c r="L107" s="17">
        <f>IF(OR(L106="",H106=""),"",IF(L106*H106&lt;=0,"",IFERROR(L106/H106-1,"")))</f>
        <v/>
      </c>
      <c r="M107" s="17">
        <f>IF(OR(M106="",I106=""),"",IF(M106*I106&lt;=0,"",IFERROR(M106/I106-1,"")))</f>
        <v/>
      </c>
      <c r="N107" s="17">
        <f>IF(OR(N106="",J106=""),"",IF(N106*J106&lt;=0,"",IFERROR(N106/J106-1,"")))</f>
        <v/>
      </c>
      <c r="T107" s="17">
        <f>IF(OR(T106="",S106=""),"",IF(T106*S106&lt;=0,"",IFERROR(T106/S106-1,"")))</f>
        <v/>
      </c>
      <c r="U107" s="17">
        <f>IF(OR(U106="",T106=""),"",IF(U106*T106&lt;=0,"",IFERROR(U106/T106-1,"")))</f>
        <v/>
      </c>
      <c r="V107" s="17">
        <f>IF(OR(V106="",U106=""),"",IF(V106*U106&lt;=0,"",IFERROR(V106/U106-1,"")))</f>
        <v/>
      </c>
      <c r="W107" s="17">
        <f>IF(OR(W106="",V106=""),"",IF(W106*V106&lt;=0,"",IFERROR(W106/V106-1,"")))</f>
        <v/>
      </c>
      <c r="X107" s="17">
        <f>IF(OR(X106="",W106=""),"",IF(X106*W106&lt;=0,"",IFERROR(X106/W106-1,"")))</f>
        <v/>
      </c>
    </row>
    <row r="108">
      <c r="A108" s="9" t="inlineStr">
        <is>
          <t>경상이익</t>
        </is>
      </c>
      <c r="C108" s="12" t="n">
        <v>-30.996</v>
      </c>
      <c r="D108" s="12" t="n">
        <v>97.08</v>
      </c>
      <c r="E108" s="12" t="n">
        <v>54.814</v>
      </c>
      <c r="F108" s="12" t="n">
        <v>-9.035</v>
      </c>
      <c r="G108" s="12" t="n">
        <v>21.538</v>
      </c>
      <c r="H108" s="12" t="n">
        <v>44.991</v>
      </c>
      <c r="I108" s="12" t="n">
        <v>73.598</v>
      </c>
      <c r="J108" s="12" t="n">
        <v>188.321</v>
      </c>
      <c r="K108" s="12" t="n">
        <v>113.506</v>
      </c>
      <c r="L108" s="12" t="n">
        <v>168.241</v>
      </c>
      <c r="M108" s="12" t="n">
        <v>232.285</v>
      </c>
      <c r="N108" s="12" t="n">
        <v>284.702</v>
      </c>
      <c r="T108" s="12" t="n">
        <v>74.783</v>
      </c>
      <c r="U108" s="12" t="n">
        <v>68.55200000000001</v>
      </c>
      <c r="V108" s="12" t="n">
        <v>97.08</v>
      </c>
      <c r="W108" s="12" t="n">
        <v>44.991</v>
      </c>
      <c r="X108" s="12" t="n">
        <v>168.241</v>
      </c>
    </row>
    <row r="109">
      <c r="A109" s="45" t="inlineStr">
        <is>
          <t>YoY</t>
        </is>
      </c>
      <c r="B109" s="3" t="inlineStr">
        <is>
          <t>전년 같은 분기·전년 대비</t>
        </is>
      </c>
      <c r="G109" s="17">
        <f>IF(OR(G108="",C108=""),"",IF(C108&lt;=0,"",IFERROR(G108/C108-1,"")))</f>
        <v/>
      </c>
      <c r="H109" s="17">
        <f>IF(OR(H108="",D108=""),"",IF(D108&lt;=0,"",IFERROR(H108/D108-1,"")))</f>
        <v/>
      </c>
      <c r="I109" s="17">
        <f>IF(OR(I108="",E108=""),"",IF(E108&lt;=0,"",IFERROR(I108/E108-1,"")))</f>
        <v/>
      </c>
      <c r="J109" s="17">
        <f>IF(OR(J108="",F108=""),"",IF(F108&lt;=0,"",IFERROR(J108/F108-1,"")))</f>
        <v/>
      </c>
      <c r="K109" s="17">
        <f>IF(OR(K108="",G108=""),"",IF(G108&lt;=0,"",IFERROR(K108/G108-1,"")))</f>
        <v/>
      </c>
      <c r="L109" s="17">
        <f>IF(OR(L108="",H108=""),"",IF(H108&lt;=0,"",IFERROR(L108/H108-1,"")))</f>
        <v/>
      </c>
      <c r="M109" s="17">
        <f>IF(OR(M108="",I108=""),"",IF(I108&lt;=0,"",IFERROR(M108/I108-1,"")))</f>
        <v/>
      </c>
      <c r="N109" s="17">
        <f>IF(OR(N108="",J108=""),"",IF(J108&lt;=0,"",IFERROR(N108/J108-1,"")))</f>
        <v/>
      </c>
      <c r="T109" s="17">
        <f>IF(OR(T108="",S108=""),"",IF(S108&lt;=0,"",IFERROR(T108/S108-1,"")))</f>
        <v/>
      </c>
      <c r="U109" s="17">
        <f>IF(OR(U108="",T108=""),"",IF(T108&lt;=0,"",IFERROR(U108/T108-1,"")))</f>
        <v/>
      </c>
      <c r="V109" s="17">
        <f>IF(OR(V108="",U108=""),"",IF(U108&lt;=0,"",IFERROR(V108/U108-1,"")))</f>
        <v/>
      </c>
      <c r="W109" s="17">
        <f>IF(OR(W108="",V108=""),"",IF(V108&lt;=0,"",IFERROR(W108/V108-1,"")))</f>
        <v/>
      </c>
      <c r="X109" s="17">
        <f>IF(OR(X108="",W108=""),"",IF(W108&lt;=0,"",IFERROR(X108/W108-1,"")))</f>
        <v/>
      </c>
    </row>
    <row r="110">
      <c r="A110" s="20" t="inlineStr">
        <is>
          <t>고정자산 제각손실</t>
        </is>
      </c>
      <c r="D110" s="22" t="n">
        <v>0.423</v>
      </c>
      <c r="H110" s="22" t="n">
        <v>1.485</v>
      </c>
      <c r="L110" s="22" t="n">
        <v>0.734</v>
      </c>
      <c r="T110" s="22" t="n">
        <v>0</v>
      </c>
      <c r="U110" s="22" t="n">
        <v>0.003</v>
      </c>
      <c r="V110" s="22" t="n">
        <v>0.423</v>
      </c>
      <c r="W110" s="22" t="n">
        <v>1.485</v>
      </c>
      <c r="X110" s="22" t="n">
        <v>0.734</v>
      </c>
    </row>
    <row r="111">
      <c r="A111" s="20" t="inlineStr">
        <is>
          <t>특별손실 합계</t>
        </is>
      </c>
      <c r="D111" s="22" t="n">
        <v>0.423</v>
      </c>
      <c r="H111" s="22" t="n">
        <v>1.485</v>
      </c>
      <c r="L111" s="22" t="n">
        <v>0.734</v>
      </c>
      <c r="T111" s="22" t="n">
        <v>128.312</v>
      </c>
      <c r="U111" s="22" t="n">
        <v>0.503</v>
      </c>
      <c r="V111" s="22" t="n">
        <v>0.423</v>
      </c>
      <c r="W111" s="22" t="n">
        <v>1.485</v>
      </c>
      <c r="X111" s="22" t="n">
        <v>0.734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H112" s="17">
        <f>IF(OR(H111="",D111=""),"",IF(H111*D111&lt;=0,"",IFERROR(H111/D111-1,"")))</f>
        <v/>
      </c>
      <c r="L112" s="17">
        <f>IF(OR(L111="",H111=""),"",IF(L111*H111&lt;=0,"",IFERROR(L111/H111-1,"")))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9" t="inlineStr">
        <is>
          <t>법인세차감전 순이익</t>
        </is>
      </c>
      <c r="C113" s="12" t="n">
        <v>-94.142</v>
      </c>
      <c r="D113" s="12" t="n">
        <v>96.657</v>
      </c>
      <c r="E113" s="12" t="n">
        <v>54.814</v>
      </c>
      <c r="F113" s="12" t="n">
        <v>-9.035</v>
      </c>
      <c r="G113" s="12" t="n">
        <v>21.537</v>
      </c>
      <c r="H113" s="12" t="n">
        <v>43.506</v>
      </c>
      <c r="I113" s="12" t="n">
        <v>73.598</v>
      </c>
      <c r="J113" s="12" t="n">
        <v>188.321</v>
      </c>
      <c r="K113" s="12" t="n">
        <v>112.512</v>
      </c>
      <c r="L113" s="12" t="n">
        <v>167.507</v>
      </c>
      <c r="M113" s="12" t="n">
        <v>232.285</v>
      </c>
      <c r="N113" s="12" t="n">
        <v>309.742</v>
      </c>
      <c r="T113" s="12" t="n">
        <v>-53.53</v>
      </c>
      <c r="U113" s="12" t="n">
        <v>68.04900000000001</v>
      </c>
      <c r="V113" s="12" t="n">
        <v>96.657</v>
      </c>
      <c r="W113" s="12" t="n">
        <v>43.506</v>
      </c>
      <c r="X113" s="12" t="n">
        <v>167.507</v>
      </c>
    </row>
    <row r="114">
      <c r="A114" s="45" t="inlineStr">
        <is>
          <t>YoY</t>
        </is>
      </c>
      <c r="B114" s="3" t="inlineStr">
        <is>
          <t>전년 같은 분기·전년 대비</t>
        </is>
      </c>
      <c r="G114" s="17">
        <f>IF(OR(G113="",C113=""),"",IF(C113&lt;=0,"",IFERROR(G113/C113-1,"")))</f>
        <v/>
      </c>
      <c r="H114" s="17">
        <f>IF(OR(H113="",D113=""),"",IF(D113&lt;=0,"",IFERROR(H113/D113-1,"")))</f>
        <v/>
      </c>
      <c r="I114" s="17">
        <f>IF(OR(I113="",E113=""),"",IF(E113&lt;=0,"",IFERROR(I113/E113-1,"")))</f>
        <v/>
      </c>
      <c r="J114" s="17">
        <f>IF(OR(J113="",F113=""),"",IF(F113&lt;=0,"",IFERROR(J113/F113-1,"")))</f>
        <v/>
      </c>
      <c r="K114" s="17">
        <f>IF(OR(K113="",G113=""),"",IF(G113&lt;=0,"",IFERROR(K113/G113-1,"")))</f>
        <v/>
      </c>
      <c r="L114" s="17">
        <f>IF(OR(L113="",H113=""),"",IF(H113&lt;=0,"",IFERROR(L113/H113-1,"")))</f>
        <v/>
      </c>
      <c r="M114" s="17">
        <f>IF(OR(M113="",I113=""),"",IF(I113&lt;=0,"",IFERROR(M113/I113-1,"")))</f>
        <v/>
      </c>
      <c r="N114" s="17">
        <f>IF(OR(N113="",J113=""),"",IF(J113&lt;=0,"",IFERROR(N113/J113-1,"")))</f>
        <v/>
      </c>
      <c r="T114" s="17">
        <f>IF(OR(T113="",S113=""),"",IF(S113&lt;=0,"",IFERROR(T113/S113-1,"")))</f>
        <v/>
      </c>
      <c r="U114" s="17">
        <f>IF(OR(U113="",T113=""),"",IF(T113&lt;=0,"",IFERROR(U113/T113-1,"")))</f>
        <v/>
      </c>
      <c r="V114" s="17">
        <f>IF(OR(V113="",U113=""),"",IF(U113&lt;=0,"",IFERROR(V113/U113-1,"")))</f>
        <v/>
      </c>
      <c r="W114" s="17">
        <f>IF(OR(W113="",V113=""),"",IF(V113&lt;=0,"",IFERROR(W113/V113-1,"")))</f>
        <v/>
      </c>
      <c r="X114" s="17">
        <f>IF(OR(X113="",W113=""),"",IF(W113&lt;=0,"",IFERROR(X113/W113-1,"")))</f>
        <v/>
      </c>
    </row>
    <row r="115">
      <c r="A115" s="20" t="inlineStr">
        <is>
          <t>법인세·주민세·사업세</t>
        </is>
      </c>
      <c r="C115" s="22" t="n">
        <v>-9.673</v>
      </c>
      <c r="D115" s="22" t="n">
        <v>6.667</v>
      </c>
      <c r="E115" s="22" t="n">
        <v>13.083</v>
      </c>
      <c r="F115" s="22" t="n">
        <v>1.324</v>
      </c>
      <c r="G115" s="22" t="n">
        <v>13.649</v>
      </c>
      <c r="H115" s="22" t="n">
        <v>2.101</v>
      </c>
      <c r="I115" s="22" t="n">
        <v>22.475</v>
      </c>
      <c r="J115" s="22" t="n">
        <v>62.959</v>
      </c>
      <c r="K115" s="22" t="n">
        <v>43.663</v>
      </c>
      <c r="L115" s="22" t="n">
        <v>12.605</v>
      </c>
      <c r="M115" s="22" t="n">
        <v>70.895</v>
      </c>
      <c r="N115" s="22" t="n">
        <v>100.435</v>
      </c>
      <c r="T115" s="22" t="n">
        <v>9.48</v>
      </c>
      <c r="U115" s="22" t="n">
        <v>2.238</v>
      </c>
      <c r="V115" s="22" t="n">
        <v>6.667</v>
      </c>
      <c r="W115" s="22" t="n">
        <v>2.101</v>
      </c>
      <c r="X115" s="22" t="n">
        <v>12.605</v>
      </c>
    </row>
    <row r="116">
      <c r="A116" s="20" t="inlineStr">
        <is>
          <t>법인세 조정액</t>
        </is>
      </c>
      <c r="C116" s="22" t="n">
        <v>-20.313</v>
      </c>
      <c r="D116" s="22" t="n">
        <v>5.308</v>
      </c>
      <c r="E116" s="22" t="n">
        <v>-39.252</v>
      </c>
      <c r="F116" s="22" t="n">
        <v>-2.319</v>
      </c>
      <c r="G116" s="22" t="n">
        <v>-6.073</v>
      </c>
      <c r="H116" s="22" t="n">
        <v>11.982</v>
      </c>
      <c r="I116" s="22" t="n">
        <v>-0.9429999999999999</v>
      </c>
      <c r="J116" s="22" t="n">
        <v>-5.427</v>
      </c>
      <c r="K116" s="22" t="n">
        <v>-8.365</v>
      </c>
      <c r="L116" s="22" t="n">
        <v>14.481</v>
      </c>
      <c r="M116" s="22" t="n">
        <v>0.283</v>
      </c>
      <c r="N116" s="22" t="n">
        <v>-7.879</v>
      </c>
      <c r="T116" s="22" t="n">
        <v>9.912000000000001</v>
      </c>
      <c r="U116" s="22" t="n">
        <v>-12.452</v>
      </c>
      <c r="V116" s="22" t="n">
        <v>5.308</v>
      </c>
      <c r="W116" s="22" t="n">
        <v>11.982</v>
      </c>
      <c r="X116" s="22" t="n">
        <v>14.481</v>
      </c>
    </row>
    <row r="117">
      <c r="A117" s="20" t="inlineStr">
        <is>
          <t>법인세 등 합계</t>
        </is>
      </c>
      <c r="C117" s="22" t="n">
        <v>-29.987</v>
      </c>
      <c r="D117" s="22" t="n">
        <v>11.974</v>
      </c>
      <c r="E117" s="22" t="n">
        <v>-26.168</v>
      </c>
      <c r="F117" s="22" t="n">
        <v>-0.995</v>
      </c>
      <c r="G117" s="22" t="n">
        <v>7.575</v>
      </c>
      <c r="H117" s="22" t="n">
        <v>14.084</v>
      </c>
      <c r="I117" s="22" t="n">
        <v>21.531</v>
      </c>
      <c r="J117" s="22" t="n">
        <v>57.532</v>
      </c>
      <c r="K117" s="22" t="n">
        <v>35.298</v>
      </c>
      <c r="L117" s="22" t="n">
        <v>27.087</v>
      </c>
      <c r="M117" s="22" t="n">
        <v>71.178</v>
      </c>
      <c r="N117" s="22" t="n">
        <v>92.556</v>
      </c>
      <c r="T117" s="22" t="n">
        <v>19.392</v>
      </c>
      <c r="U117" s="22" t="n">
        <v>-10.213</v>
      </c>
      <c r="V117" s="22" t="n">
        <v>11.974</v>
      </c>
      <c r="W117" s="22" t="n">
        <v>14.084</v>
      </c>
      <c r="X117" s="22" t="n">
        <v>27.087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IF(OR(G117="",C117=""),"",IF(G117*C117&lt;=0,"",IFERROR(G117/C117-1,"")))</f>
        <v/>
      </c>
      <c r="H118" s="17">
        <f>IF(OR(H117="",D117=""),"",IF(H117*D117&lt;=0,"",IFERROR(H117/D117-1,"")))</f>
        <v/>
      </c>
      <c r="I118" s="17">
        <f>IF(OR(I117="",E117=""),"",IF(I117*E117&lt;=0,"",IFERROR(I117/E117-1,"")))</f>
        <v/>
      </c>
      <c r="J118" s="17">
        <f>IF(OR(J117="",F117=""),"",IF(J117*F117&lt;=0,"",IFERROR(J117/F117-1,"")))</f>
        <v/>
      </c>
      <c r="K118" s="17">
        <f>IF(OR(K117="",G117=""),"",IF(K117*G117&lt;=0,"",IFERROR(K117/G117-1,"")))</f>
        <v/>
      </c>
      <c r="L118" s="17">
        <f>IF(OR(L117="",H117=""),"",IF(L117*H117&lt;=0,"",IFERROR(L117/H117-1,"")))</f>
        <v/>
      </c>
      <c r="M118" s="17">
        <f>IF(OR(M117="",I117=""),"",IF(M117*I117&lt;=0,"",IFERROR(M117/I117-1,"")))</f>
        <v/>
      </c>
      <c r="N118" s="17">
        <f>IF(OR(N117="",J117=""),"",IF(N117*J117&lt;=0,"",IFERROR(N117/J117-1,"")))</f>
        <v/>
      </c>
      <c r="T118" s="17">
        <f>IF(OR(T117="",S117=""),"",IF(T117*S117&lt;=0,"",IFERROR(T117/S117-1,"")))</f>
        <v/>
      </c>
      <c r="U118" s="17">
        <f>IF(OR(U117="",T117=""),"",IF(U117*T117&lt;=0,"",IFERROR(U117/T117-1,"")))</f>
        <v/>
      </c>
      <c r="V118" s="17">
        <f>IF(OR(V117="",U117=""),"",IF(V117*U117&lt;=0,"",IFERROR(V117/U117-1,"")))</f>
        <v/>
      </c>
      <c r="W118" s="17">
        <f>IF(OR(W117="",V117=""),"",IF(W117*V117&lt;=0,"",IFERROR(W117/V117-1,"")))</f>
        <v/>
      </c>
      <c r="X118" s="17">
        <f>IF(OR(X117="",W117=""),"",IF(X117*W117&lt;=0,"",IFERROR(X117/W117-1,"")))</f>
        <v/>
      </c>
    </row>
    <row r="119">
      <c r="A119" s="9" t="inlineStr">
        <is>
          <t>순이익</t>
        </is>
      </c>
      <c r="C119" s="12" t="n">
        <v>-64.15300000000001</v>
      </c>
      <c r="D119" s="12" t="n">
        <v>84.681</v>
      </c>
      <c r="E119" s="12" t="n">
        <v>80.983</v>
      </c>
      <c r="F119" s="12" t="n">
        <v>-8.039999999999999</v>
      </c>
      <c r="G119" s="12" t="n">
        <v>13.961</v>
      </c>
      <c r="H119" s="12" t="n">
        <v>29.422</v>
      </c>
      <c r="I119" s="12" t="n">
        <v>52.066</v>
      </c>
      <c r="J119" s="12" t="n">
        <v>130.789</v>
      </c>
      <c r="K119" s="12" t="n">
        <v>77.214</v>
      </c>
      <c r="L119" s="12" t="n">
        <v>140.42</v>
      </c>
      <c r="M119" s="12" t="n">
        <v>161.106</v>
      </c>
      <c r="N119" s="12" t="n">
        <v>217.186</v>
      </c>
      <c r="T119" s="12" t="n">
        <v>-72.922</v>
      </c>
      <c r="U119" s="12" t="n">
        <v>78.26300000000001</v>
      </c>
      <c r="V119" s="12" t="n">
        <v>84.681</v>
      </c>
      <c r="W119" s="12" t="n">
        <v>29.422</v>
      </c>
      <c r="X119" s="12" t="n">
        <v>140.42</v>
      </c>
    </row>
    <row r="120">
      <c r="A120" s="45" t="inlineStr">
        <is>
          <t>YoY</t>
        </is>
      </c>
      <c r="B120" s="3" t="inlineStr">
        <is>
          <t>전년 같은 분기·전년 대비</t>
        </is>
      </c>
      <c r="G120" s="17">
        <f>IF(OR(G119="",C119=""),"",IF(C119&lt;=0,"",IFERROR(G119/C119-1,"")))</f>
        <v/>
      </c>
      <c r="H120" s="17">
        <f>IF(OR(H119="",D119=""),"",IF(D119&lt;=0,"",IFERROR(H119/D119-1,"")))</f>
        <v/>
      </c>
      <c r="I120" s="17">
        <f>IF(OR(I119="",E119=""),"",IF(E119&lt;=0,"",IFERROR(I119/E119-1,"")))</f>
        <v/>
      </c>
      <c r="J120" s="17">
        <f>IF(OR(J119="",F119=""),"",IF(F119&lt;=0,"",IFERROR(J119/F119-1,"")))</f>
        <v/>
      </c>
      <c r="K120" s="17">
        <f>IF(OR(K119="",G119=""),"",IF(G119&lt;=0,"",IFERROR(K119/G119-1,"")))</f>
        <v/>
      </c>
      <c r="L120" s="17">
        <f>IF(OR(L119="",H119=""),"",IF(H119&lt;=0,"",IFERROR(L119/H119-1,"")))</f>
        <v/>
      </c>
      <c r="M120" s="17">
        <f>IF(OR(M119="",I119=""),"",IF(I119&lt;=0,"",IFERROR(M119/I119-1,"")))</f>
        <v/>
      </c>
      <c r="N120" s="17">
        <f>IF(OR(N119="",J119=""),"",IF(J119&lt;=0,"",IFERROR(N119/J119-1,"")))</f>
        <v/>
      </c>
      <c r="T120" s="17">
        <f>IF(OR(T119="",S119=""),"",IF(S119&lt;=0,"",IFERROR(T119/S119-1,"")))</f>
        <v/>
      </c>
      <c r="U120" s="17">
        <f>IF(OR(U119="",T119=""),"",IF(T119&lt;=0,"",IFERROR(U119/T119-1,"")))</f>
        <v/>
      </c>
      <c r="V120" s="17">
        <f>IF(OR(V119="",U119=""),"",IF(U119&lt;=0,"",IFERROR(V119/U119-1,"")))</f>
        <v/>
      </c>
      <c r="W120" s="17">
        <f>IF(OR(W119="",V119=""),"",IF(V119&lt;=0,"",IFERROR(W119/V119-1,"")))</f>
        <v/>
      </c>
      <c r="X120" s="17">
        <f>IF(OR(X119="",W119=""),"",IF(W119&lt;=0,"",IFERROR(X119/W119-1,"")))</f>
        <v/>
      </c>
    </row>
    <row r="122">
      <c r="A122" s="18" t="inlineStr">
        <is>
          <t>현금흐름표 · 전 항목</t>
        </is>
      </c>
      <c r="B122" s="44" t="inlineStr">
        <is>
          <t>분기 = 결산기 첫날부터 누계(공시 그대로)</t>
        </is>
      </c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</row>
    <row r="123">
      <c r="A123" s="5" t="inlineStr">
        <is>
          <t>항목</t>
        </is>
      </c>
      <c r="B123" s="5" t="inlineStr">
        <is>
          <t>참고</t>
        </is>
      </c>
      <c r="C123" s="5" t="inlineStr">
        <is>
          <t>2024.3Q</t>
        </is>
      </c>
      <c r="D123" s="5" t="inlineStr">
        <is>
          <t>2024.4Q</t>
        </is>
      </c>
      <c r="E123" s="5" t="inlineStr">
        <is>
          <t>2025.1Q</t>
        </is>
      </c>
      <c r="F123" s="5" t="inlineStr">
        <is>
          <t>2025.2Q</t>
        </is>
      </c>
      <c r="G123" s="5" t="inlineStr">
        <is>
          <t>2025.3Q</t>
        </is>
      </c>
      <c r="H123" s="5" t="inlineStr">
        <is>
          <t>2025.4Q</t>
        </is>
      </c>
      <c r="I123" s="5" t="inlineStr">
        <is>
          <t>2026.1Q</t>
        </is>
      </c>
      <c r="J123" s="5" t="inlineStr">
        <is>
          <t>2026.2Q</t>
        </is>
      </c>
      <c r="K123" s="5" t="inlineStr">
        <is>
          <t>2026.3Q</t>
        </is>
      </c>
      <c r="L123" s="5" t="inlineStr">
        <is>
          <t>2026.4Q</t>
        </is>
      </c>
      <c r="M123" s="5" t="inlineStr">
        <is>
          <t>2027.1Q</t>
        </is>
      </c>
      <c r="N123" s="5" t="inlineStr">
        <is>
          <t>2027.2Q</t>
        </is>
      </c>
      <c r="O123" s="5" t="inlineStr">
        <is>
          <t>2017</t>
        </is>
      </c>
      <c r="P123" s="5" t="inlineStr">
        <is>
          <t>2018</t>
        </is>
      </c>
      <c r="Q123" s="5" t="inlineStr">
        <is>
          <t>2019</t>
        </is>
      </c>
      <c r="R123" s="5" t="inlineStr">
        <is>
          <t>2020</t>
        </is>
      </c>
      <c r="S123" s="5" t="inlineStr">
        <is>
          <t>2021</t>
        </is>
      </c>
      <c r="T123" s="5" t="inlineStr">
        <is>
          <t>2022</t>
        </is>
      </c>
      <c r="U123" s="5" t="inlineStr">
        <is>
          <t>2023</t>
        </is>
      </c>
      <c r="V123" s="5" t="inlineStr">
        <is>
          <t>2024</t>
        </is>
      </c>
      <c r="W123" s="5" t="inlineStr">
        <is>
          <t>2025</t>
        </is>
      </c>
      <c r="X123" s="5" t="inlineStr">
        <is>
          <t>2026</t>
        </is>
      </c>
      <c r="Y123" s="5" t="inlineStr">
        <is>
          <t>2027(MW)</t>
        </is>
      </c>
      <c r="Z123" s="5" t="inlineStr">
        <is>
          <t>2028(MW)</t>
        </is>
      </c>
      <c r="AA123" s="5" t="inlineStr">
        <is>
          <t>2029(MW)</t>
        </is>
      </c>
      <c r="AB123" s="5" t="inlineStr">
        <is>
          <t>2030(MW)</t>
        </is>
      </c>
      <c r="AC123" s="5" t="inlineStr">
        <is>
          <t>2031(MW)</t>
        </is>
      </c>
    </row>
    <row r="124">
      <c r="A124" s="9" t="inlineStr">
        <is>
          <t>법인세차감전 순이익</t>
        </is>
      </c>
      <c r="D124" s="12" t="n">
        <v>74.018</v>
      </c>
      <c r="F124" s="12" t="n">
        <v>45.779</v>
      </c>
      <c r="H124" s="12" t="n">
        <v>110.822</v>
      </c>
      <c r="J124" s="12" t="n">
        <v>261.919</v>
      </c>
      <c r="L124" s="12" t="n">
        <v>541.938</v>
      </c>
      <c r="N124" s="12" t="n">
        <v>542.027</v>
      </c>
      <c r="P124" s="12" t="n">
        <v>162.916</v>
      </c>
      <c r="Q124" s="12" t="n">
        <v>-104.378</v>
      </c>
      <c r="R124" s="12" t="n">
        <v>82.953</v>
      </c>
      <c r="S124" s="12" t="n">
        <v>4.45</v>
      </c>
      <c r="T124" s="12" t="n">
        <v>88.83499999999999</v>
      </c>
      <c r="U124" s="12" t="n">
        <v>198.589</v>
      </c>
      <c r="V124" s="12" t="n">
        <v>74.018</v>
      </c>
      <c r="W124" s="12" t="n">
        <v>110.822</v>
      </c>
      <c r="X124" s="12" t="n">
        <v>541.938</v>
      </c>
    </row>
    <row r="125">
      <c r="A125" s="20" t="inlineStr">
        <is>
          <t>감가상각비</t>
        </is>
      </c>
      <c r="D125" s="22" t="n">
        <v>153.852</v>
      </c>
      <c r="F125" s="22" t="n">
        <v>79.39</v>
      </c>
      <c r="H125" s="22" t="n">
        <v>167.673</v>
      </c>
      <c r="J125" s="22" t="n">
        <v>89.304</v>
      </c>
      <c r="L125" s="22" t="n">
        <v>179.977</v>
      </c>
      <c r="N125" s="22" t="n">
        <v>87.121</v>
      </c>
      <c r="P125" s="22" t="n">
        <v>114.206</v>
      </c>
      <c r="Q125" s="22" t="n">
        <v>119.896</v>
      </c>
      <c r="R125" s="22" t="n">
        <v>127.748</v>
      </c>
      <c r="S125" s="22" t="n">
        <v>185.684</v>
      </c>
      <c r="T125" s="22" t="n">
        <v>187.459</v>
      </c>
      <c r="U125" s="22" t="n">
        <v>154.177</v>
      </c>
      <c r="V125" s="22" t="n">
        <v>153.852</v>
      </c>
      <c r="W125" s="22" t="n">
        <v>167.673</v>
      </c>
      <c r="X125" s="22" t="n">
        <v>179.977</v>
      </c>
    </row>
    <row r="126">
      <c r="A126" s="20" t="inlineStr">
        <is>
          <t>관계회사 정리손실</t>
        </is>
      </c>
      <c r="R126" s="22" t="n">
        <v>0</v>
      </c>
      <c r="S126" s="22" t="n">
        <v>27.634</v>
      </c>
    </row>
    <row r="127">
      <c r="A127" s="20" t="inlineStr">
        <is>
          <t>손상차손</t>
        </is>
      </c>
      <c r="P127" s="22" t="n">
        <v>0</v>
      </c>
      <c r="Q127" s="22" t="n">
        <v>3.229</v>
      </c>
      <c r="R127" s="22" t="n">
        <v>0</v>
      </c>
      <c r="T127" s="22" t="n">
        <v>128.312</v>
      </c>
      <c r="U127" s="22" t="n">
        <v>0</v>
      </c>
    </row>
    <row r="128">
      <c r="A128" s="20" t="inlineStr">
        <is>
          <t>투자유가증권 매각손익</t>
        </is>
      </c>
      <c r="P128" s="22" t="n">
        <v>-56.683</v>
      </c>
      <c r="Q128" s="22" t="n">
        <v>0</v>
      </c>
    </row>
    <row r="129">
      <c r="A129" s="20" t="inlineStr">
        <is>
          <t>대손충당금 증감</t>
        </is>
      </c>
      <c r="D129" s="22" t="n">
        <v>-2.126</v>
      </c>
      <c r="F129" s="22" t="n">
        <v>-0.037</v>
      </c>
      <c r="H129" s="22" t="n">
        <v>-0.014</v>
      </c>
      <c r="J129" s="22" t="n">
        <v>0.01</v>
      </c>
      <c r="L129" s="22" t="n">
        <v>5.438</v>
      </c>
      <c r="N129" s="22" t="n">
        <v>-5.528</v>
      </c>
      <c r="P129" s="22" t="n">
        <v>0.905</v>
      </c>
      <c r="Q129" s="22" t="n">
        <v>0.002</v>
      </c>
      <c r="R129" s="22" t="n">
        <v>0.017</v>
      </c>
      <c r="S129" s="22" t="n">
        <v>-0.911</v>
      </c>
      <c r="T129" s="22" t="n">
        <v>1.886</v>
      </c>
      <c r="U129" s="22" t="n">
        <v>0.414</v>
      </c>
      <c r="V129" s="22" t="n">
        <v>-2.126</v>
      </c>
      <c r="W129" s="22" t="n">
        <v>-0.014</v>
      </c>
      <c r="X129" s="22" t="n">
        <v>5.438</v>
      </c>
    </row>
    <row r="130">
      <c r="A130" s="20" t="inlineStr">
        <is>
          <t>상여충당금 증감</t>
        </is>
      </c>
      <c r="D130" s="22" t="n">
        <v>-1.656</v>
      </c>
      <c r="F130" s="22" t="n">
        <v>0.272</v>
      </c>
      <c r="H130" s="22" t="n">
        <v>-4.088</v>
      </c>
      <c r="J130" s="22" t="n">
        <v>7.804</v>
      </c>
      <c r="L130" s="22" t="n">
        <v>-0.117</v>
      </c>
      <c r="N130" s="22" t="n">
        <v>9.170999999999999</v>
      </c>
      <c r="P130" s="22" t="n">
        <v>0.003</v>
      </c>
      <c r="Q130" s="22" t="n">
        <v>4.054</v>
      </c>
      <c r="R130" s="22" t="n">
        <v>-0.508</v>
      </c>
      <c r="S130" s="22" t="n">
        <v>-0.315</v>
      </c>
      <c r="T130" s="22" t="n">
        <v>-0.534</v>
      </c>
      <c r="U130" s="22" t="n">
        <v>1.726</v>
      </c>
      <c r="V130" s="22" t="n">
        <v>-1.656</v>
      </c>
      <c r="W130" s="22" t="n">
        <v>-4.088</v>
      </c>
      <c r="X130" s="22" t="n">
        <v>-0.117</v>
      </c>
    </row>
    <row r="131">
      <c r="A131" s="20" t="inlineStr">
        <is>
          <t>퇴직급여부채 증감</t>
        </is>
      </c>
      <c r="P131" s="22" t="n">
        <v>0.5629999999999999</v>
      </c>
      <c r="Q131" s="22" t="n">
        <v>-9.468999999999999</v>
      </c>
      <c r="R131" s="22" t="n">
        <v>18.718</v>
      </c>
      <c r="S131" s="22" t="n">
        <v>3.192</v>
      </c>
    </row>
    <row r="132">
      <c r="A132" s="20" t="inlineStr">
        <is>
          <t>퇴직급여충당금 증감액</t>
        </is>
      </c>
      <c r="D132" s="22" t="n">
        <v>-14.978</v>
      </c>
      <c r="F132" s="22" t="n">
        <v>17.585</v>
      </c>
      <c r="H132" s="22" t="n">
        <v>19.98</v>
      </c>
      <c r="J132" s="22" t="n">
        <v>-2.186</v>
      </c>
      <c r="L132" s="22" t="n">
        <v>-18.642</v>
      </c>
      <c r="N132" s="22" t="n">
        <v>9.238</v>
      </c>
      <c r="P132" s="22" t="n">
        <v>0.5629999999999999</v>
      </c>
      <c r="T132" s="22" t="n">
        <v>-47.755</v>
      </c>
      <c r="U132" s="22" t="n">
        <v>2.397</v>
      </c>
      <c r="V132" s="22" t="n">
        <v>-14.978</v>
      </c>
      <c r="W132" s="22" t="n">
        <v>19.98</v>
      </c>
      <c r="X132" s="22" t="n">
        <v>-18.642</v>
      </c>
    </row>
    <row r="133">
      <c r="A133" s="20" t="inlineStr">
        <is>
          <t>고정자산 제각손실</t>
        </is>
      </c>
      <c r="D133" s="22" t="n">
        <v>63.569</v>
      </c>
      <c r="H133" s="22" t="n">
        <v>1.486</v>
      </c>
      <c r="L133" s="22" t="n">
        <v>1.728</v>
      </c>
      <c r="T133" s="22" t="n">
        <v>0.93</v>
      </c>
      <c r="U133" s="22" t="n">
        <v>35.62</v>
      </c>
      <c r="V133" s="22" t="n">
        <v>63.569</v>
      </c>
      <c r="W133" s="22" t="n">
        <v>1.486</v>
      </c>
      <c r="X133" s="22" t="n">
        <v>1.728</v>
      </c>
    </row>
    <row r="134">
      <c r="A134" s="20" t="inlineStr">
        <is>
          <t>매출채권 매각손실</t>
        </is>
      </c>
      <c r="H134" s="22" t="n">
        <v>0</v>
      </c>
      <c r="L134" s="22" t="n">
        <v>5.317</v>
      </c>
      <c r="W134" s="22" t="n">
        <v>0</v>
      </c>
      <c r="X134" s="22" t="n">
        <v>5.317</v>
      </c>
    </row>
    <row r="135">
      <c r="A135" s="20" t="inlineStr">
        <is>
          <t>이자·배당금 수익</t>
        </is>
      </c>
      <c r="D135" s="22" t="n">
        <v>-5.18</v>
      </c>
      <c r="F135" s="22" t="n">
        <v>-3.377</v>
      </c>
      <c r="H135" s="22" t="n">
        <v>-6.707</v>
      </c>
      <c r="J135" s="22" t="n">
        <v>-4.755</v>
      </c>
      <c r="L135" s="22" t="n">
        <v>-9.113</v>
      </c>
      <c r="N135" s="22" t="n">
        <v>-5.663</v>
      </c>
      <c r="P135" s="22" t="n">
        <v>-2.734</v>
      </c>
      <c r="Q135" s="22" t="n">
        <v>-2.474</v>
      </c>
      <c r="R135" s="22" t="n">
        <v>-2.909</v>
      </c>
      <c r="S135" s="22" t="n">
        <v>-3.178</v>
      </c>
      <c r="T135" s="22" t="n">
        <v>-3.252</v>
      </c>
      <c r="U135" s="22" t="n">
        <v>-3.957</v>
      </c>
      <c r="V135" s="22" t="n">
        <v>-5.18</v>
      </c>
      <c r="W135" s="22" t="n">
        <v>-6.707</v>
      </c>
      <c r="X135" s="22" t="n">
        <v>-9.113</v>
      </c>
    </row>
    <row r="136">
      <c r="A136" s="20" t="inlineStr">
        <is>
          <t>임대료 수익</t>
        </is>
      </c>
      <c r="D136" s="22" t="n">
        <v>-67.643</v>
      </c>
      <c r="F136" s="22" t="n">
        <v>-33.981</v>
      </c>
      <c r="H136" s="22" t="n">
        <v>-67.962</v>
      </c>
      <c r="J136" s="22" t="n">
        <v>-33.935</v>
      </c>
      <c r="L136" s="22" t="n">
        <v>-69.29600000000001</v>
      </c>
      <c r="N136" s="22" t="n">
        <v>-35.507</v>
      </c>
      <c r="P136" s="22" t="n">
        <v>-67.517</v>
      </c>
      <c r="Q136" s="22" t="n">
        <v>-67.517</v>
      </c>
      <c r="R136" s="22" t="n">
        <v>-67.47499999999999</v>
      </c>
      <c r="S136" s="22" t="n">
        <v>-67.416</v>
      </c>
      <c r="T136" s="22" t="n">
        <v>-67.416</v>
      </c>
      <c r="U136" s="22" t="n">
        <v>-67.416</v>
      </c>
      <c r="V136" s="22" t="n">
        <v>-67.643</v>
      </c>
      <c r="W136" s="22" t="n">
        <v>-67.962</v>
      </c>
      <c r="X136" s="22" t="n">
        <v>-69.29600000000001</v>
      </c>
    </row>
    <row r="137">
      <c r="A137" s="20" t="inlineStr">
        <is>
          <t>수취 장려금</t>
        </is>
      </c>
      <c r="H137" s="22" t="n">
        <v>-6.757</v>
      </c>
      <c r="L137" s="22" t="n">
        <v>-13.056</v>
      </c>
      <c r="W137" s="22" t="n">
        <v>-6.757</v>
      </c>
      <c r="X137" s="22" t="n">
        <v>-13.056</v>
      </c>
    </row>
    <row r="138">
      <c r="A138" s="20" t="inlineStr">
        <is>
          <t>보험금 수익</t>
        </is>
      </c>
      <c r="J138" s="22" t="n">
        <v>0</v>
      </c>
      <c r="N138" s="22" t="n">
        <v>-25.039</v>
      </c>
    </row>
    <row r="139">
      <c r="A139" s="20" t="inlineStr">
        <is>
          <t>이자비용</t>
        </is>
      </c>
      <c r="D139" s="22" t="n">
        <v>16.172</v>
      </c>
      <c r="F139" s="22" t="n">
        <v>8.364000000000001</v>
      </c>
      <c r="H139" s="22" t="n">
        <v>20.64</v>
      </c>
      <c r="J139" s="22" t="n">
        <v>16.682</v>
      </c>
      <c r="L139" s="22" t="n">
        <v>31.895</v>
      </c>
      <c r="N139" s="22" t="n">
        <v>18.082</v>
      </c>
      <c r="P139" s="22" t="n">
        <v>8.035</v>
      </c>
      <c r="Q139" s="22" t="n">
        <v>10.057</v>
      </c>
      <c r="R139" s="22" t="n">
        <v>18.811</v>
      </c>
      <c r="S139" s="22" t="n">
        <v>22.388</v>
      </c>
      <c r="T139" s="22" t="n">
        <v>21.413</v>
      </c>
      <c r="U139" s="22" t="n">
        <v>18.153</v>
      </c>
      <c r="V139" s="22" t="n">
        <v>16.172</v>
      </c>
      <c r="W139" s="22" t="n">
        <v>20.64</v>
      </c>
      <c r="X139" s="22" t="n">
        <v>31.895</v>
      </c>
    </row>
    <row r="140">
      <c r="A140" s="20" t="inlineStr">
        <is>
          <t>외환차손익</t>
        </is>
      </c>
      <c r="P140" s="22" t="n">
        <v>0.173</v>
      </c>
    </row>
    <row r="141">
      <c r="A141" s="20" t="inlineStr">
        <is>
          <t>차입 수수료</t>
        </is>
      </c>
      <c r="Q141" s="22" t="n">
        <v>0</v>
      </c>
      <c r="R141" s="22" t="n">
        <v>28.683</v>
      </c>
      <c r="S141" s="22" t="n">
        <v>0</v>
      </c>
    </row>
    <row r="142">
      <c r="A142" s="20" t="inlineStr">
        <is>
          <t>주식교부비</t>
        </is>
      </c>
      <c r="D142" s="22" t="n">
        <v>0</v>
      </c>
      <c r="H142" s="22" t="n">
        <v>9.612</v>
      </c>
      <c r="L142" s="22" t="n">
        <v>0</v>
      </c>
      <c r="V142" s="22" t="n">
        <v>0</v>
      </c>
      <c r="W142" s="22" t="n">
        <v>9.612</v>
      </c>
      <c r="X142" s="22" t="n">
        <v>0</v>
      </c>
    </row>
    <row r="143">
      <c r="A143" s="20" t="inlineStr">
        <is>
          <t>매출채권 증감</t>
        </is>
      </c>
      <c r="D143" s="22" t="n">
        <v>-308.915</v>
      </c>
      <c r="F143" s="22" t="n">
        <v>227.574</v>
      </c>
      <c r="H143" s="22" t="n">
        <v>103.503</v>
      </c>
      <c r="J143" s="22" t="n">
        <v>-157.503</v>
      </c>
      <c r="L143" s="22" t="n">
        <v>628.143</v>
      </c>
      <c r="N143" s="22" t="n">
        <v>-624.149</v>
      </c>
      <c r="P143" s="22" t="n">
        <v>-264.512</v>
      </c>
      <c r="Q143" s="22" t="n">
        <v>-24.588</v>
      </c>
      <c r="R143" s="22" t="n">
        <v>-212.738</v>
      </c>
      <c r="S143" s="22" t="n">
        <v>360.207</v>
      </c>
      <c r="T143" s="22" t="n">
        <v>-124.748</v>
      </c>
      <c r="U143" s="22" t="n">
        <v>-98.196</v>
      </c>
      <c r="V143" s="22" t="n">
        <v>-308.915</v>
      </c>
      <c r="W143" s="22" t="n">
        <v>103.503</v>
      </c>
      <c r="X143" s="22" t="n">
        <v>628.143</v>
      </c>
    </row>
    <row r="144">
      <c r="A144" s="20" t="inlineStr">
        <is>
          <t>재고자산 증감</t>
        </is>
      </c>
      <c r="D144" s="22" t="n">
        <v>58.178</v>
      </c>
      <c r="F144" s="22" t="n">
        <v>-303.154</v>
      </c>
      <c r="H144" s="22" t="n">
        <v>-219.997</v>
      </c>
      <c r="J144" s="22" t="n">
        <v>-12.312</v>
      </c>
      <c r="L144" s="22" t="n">
        <v>-186.743</v>
      </c>
      <c r="N144" s="22" t="n">
        <v>-350.579</v>
      </c>
      <c r="P144" s="22" t="n">
        <v>-237.736</v>
      </c>
      <c r="Q144" s="22" t="n">
        <v>37.961</v>
      </c>
      <c r="R144" s="22" t="n">
        <v>-88.84099999999999</v>
      </c>
      <c r="S144" s="22" t="n">
        <v>-97.985</v>
      </c>
      <c r="T144" s="22" t="n">
        <v>-216.943</v>
      </c>
      <c r="U144" s="22" t="n">
        <v>-163.065</v>
      </c>
      <c r="V144" s="22" t="n">
        <v>58.178</v>
      </c>
      <c r="W144" s="22" t="n">
        <v>-219.997</v>
      </c>
      <c r="X144" s="22" t="n">
        <v>-186.743</v>
      </c>
    </row>
    <row r="145">
      <c r="A145" s="20" t="inlineStr">
        <is>
          <t>매입채무 증감</t>
        </is>
      </c>
      <c r="D145" s="22" t="n">
        <v>171.658</v>
      </c>
      <c r="F145" s="22" t="n">
        <v>-136.944</v>
      </c>
      <c r="H145" s="22" t="n">
        <v>-148.602</v>
      </c>
      <c r="J145" s="22" t="n">
        <v>-140.935</v>
      </c>
      <c r="L145" s="22" t="n">
        <v>235.28</v>
      </c>
      <c r="N145" s="22" t="n">
        <v>-11.56</v>
      </c>
      <c r="P145" s="22" t="n">
        <v>174.908</v>
      </c>
      <c r="Q145" s="22" t="n">
        <v>-15.412</v>
      </c>
      <c r="R145" s="22" t="n">
        <v>-68.756</v>
      </c>
      <c r="S145" s="22" t="n">
        <v>-199.659</v>
      </c>
      <c r="T145" s="22" t="n">
        <v>361.272</v>
      </c>
      <c r="U145" s="22" t="n">
        <v>-75.446</v>
      </c>
      <c r="V145" s="22" t="n">
        <v>171.658</v>
      </c>
      <c r="W145" s="22" t="n">
        <v>-148.602</v>
      </c>
      <c r="X145" s="22" t="n">
        <v>235.28</v>
      </c>
    </row>
    <row r="146">
      <c r="A146" s="20" t="inlineStr">
        <is>
          <t>미수 소비세 증감</t>
        </is>
      </c>
      <c r="D146" s="22" t="n">
        <v>-128</v>
      </c>
      <c r="F146" s="22" t="n">
        <v>128</v>
      </c>
      <c r="H146" s="22" t="n">
        <v>128</v>
      </c>
      <c r="J146" s="22" t="n">
        <v>0</v>
      </c>
      <c r="L146" s="22" t="n">
        <v>0</v>
      </c>
      <c r="U146" s="22" t="n">
        <v>0</v>
      </c>
      <c r="V146" s="22" t="n">
        <v>-128</v>
      </c>
      <c r="W146" s="22" t="n">
        <v>128</v>
      </c>
      <c r="X146" s="22" t="n">
        <v>0</v>
      </c>
    </row>
    <row r="147">
      <c r="A147" s="20" t="inlineStr">
        <is>
          <t>미지급 소비세 증감</t>
        </is>
      </c>
      <c r="D147" s="22" t="n">
        <v>-78.289</v>
      </c>
      <c r="F147" s="22" t="n">
        <v>19.615</v>
      </c>
      <c r="H147" s="22" t="n">
        <v>78.205</v>
      </c>
      <c r="J147" s="22" t="n">
        <v>-33.372</v>
      </c>
      <c r="L147" s="22" t="n">
        <v>-9.454000000000001</v>
      </c>
      <c r="N147" s="22" t="n">
        <v>-45.518</v>
      </c>
      <c r="P147" s="22" t="n">
        <v>-61.94</v>
      </c>
      <c r="Q147" s="22" t="n">
        <v>10.466</v>
      </c>
      <c r="R147" s="22" t="n">
        <v>-16.668</v>
      </c>
      <c r="S147" s="22" t="n">
        <v>110.422</v>
      </c>
      <c r="T147" s="22" t="n">
        <v>-99.06699999999999</v>
      </c>
      <c r="U147" s="22" t="n">
        <v>66.62</v>
      </c>
      <c r="V147" s="22" t="n">
        <v>-78.289</v>
      </c>
      <c r="W147" s="22" t="n">
        <v>78.205</v>
      </c>
      <c r="X147" s="22" t="n">
        <v>-9.454000000000001</v>
      </c>
    </row>
    <row r="148">
      <c r="A148" s="20" t="inlineStr">
        <is>
          <t>기타 유동자산 증감</t>
        </is>
      </c>
      <c r="D148" s="22" t="n">
        <v>7.578</v>
      </c>
      <c r="F148" s="22" t="n">
        <v>0.72</v>
      </c>
      <c r="H148" s="22" t="n">
        <v>-4.182</v>
      </c>
      <c r="J148" s="22" t="n">
        <v>-11.415</v>
      </c>
      <c r="L148" s="22" t="n">
        <v>-20.023</v>
      </c>
      <c r="N148" s="22" t="n">
        <v>-14.971</v>
      </c>
      <c r="P148" s="22" t="n">
        <v>3.441</v>
      </c>
      <c r="Q148" s="22" t="n">
        <v>-1.913</v>
      </c>
      <c r="R148" s="22" t="n">
        <v>6.343</v>
      </c>
      <c r="S148" s="22" t="n">
        <v>6.042</v>
      </c>
      <c r="T148" s="22" t="n">
        <v>-12.061</v>
      </c>
      <c r="U148" s="22" t="n">
        <v>-9.118</v>
      </c>
      <c r="V148" s="22" t="n">
        <v>7.578</v>
      </c>
      <c r="W148" s="22" t="n">
        <v>-4.182</v>
      </c>
      <c r="X148" s="22" t="n">
        <v>-20.023</v>
      </c>
    </row>
    <row r="149">
      <c r="A149" s="20" t="inlineStr">
        <is>
          <t>기타 유동부채 증감</t>
        </is>
      </c>
      <c r="D149" s="22" t="n">
        <v>24.717</v>
      </c>
      <c r="F149" s="22" t="n">
        <v>2.134</v>
      </c>
      <c r="H149" s="22" t="n">
        <v>-31.765</v>
      </c>
      <c r="J149" s="22" t="n">
        <v>24.856</v>
      </c>
      <c r="L149" s="22" t="n">
        <v>88.613</v>
      </c>
      <c r="N149" s="22" t="n">
        <v>-40.88</v>
      </c>
      <c r="P149" s="22" t="n">
        <v>7.387</v>
      </c>
      <c r="Q149" s="22" t="n">
        <v>11.387</v>
      </c>
      <c r="R149" s="22" t="n">
        <v>35.611</v>
      </c>
      <c r="S149" s="22" t="n">
        <v>-32.932</v>
      </c>
      <c r="T149" s="22" t="n">
        <v>-34.168</v>
      </c>
      <c r="U149" s="22" t="n">
        <v>13.414</v>
      </c>
      <c r="V149" s="22" t="n">
        <v>24.717</v>
      </c>
      <c r="W149" s="22" t="n">
        <v>-31.765</v>
      </c>
      <c r="X149" s="22" t="n">
        <v>88.613</v>
      </c>
    </row>
    <row r="150">
      <c r="A150" s="20" t="inlineStr">
        <is>
          <t>기타</t>
        </is>
      </c>
      <c r="D150" s="22" t="n">
        <v>7.571</v>
      </c>
      <c r="F150" s="22" t="n">
        <v>-0.653</v>
      </c>
      <c r="H150" s="22" t="n">
        <v>2.034</v>
      </c>
      <c r="J150" s="22" t="n">
        <v>6.478</v>
      </c>
      <c r="L150" s="22" t="n">
        <v>-4.927</v>
      </c>
      <c r="N150" s="22" t="n">
        <v>1.545</v>
      </c>
      <c r="P150" s="22" t="n">
        <v>18.641</v>
      </c>
      <c r="Q150" s="22" t="n">
        <v>17.731</v>
      </c>
      <c r="R150" s="22" t="n">
        <v>-85.014</v>
      </c>
      <c r="S150" s="22" t="n">
        <v>83.04000000000001</v>
      </c>
      <c r="T150" s="22" t="n">
        <v>2.982</v>
      </c>
      <c r="U150" s="22" t="n">
        <v>-9.744</v>
      </c>
      <c r="V150" s="22" t="n">
        <v>7.571</v>
      </c>
      <c r="W150" s="22" t="n">
        <v>2.034</v>
      </c>
      <c r="X150" s="22" t="n">
        <v>-4.927</v>
      </c>
    </row>
    <row r="151">
      <c r="A151" s="20" t="inlineStr">
        <is>
          <t>소계</t>
        </is>
      </c>
      <c r="D151" s="22" t="n">
        <v>-29.473</v>
      </c>
      <c r="F151" s="22" t="n">
        <v>51.289</v>
      </c>
      <c r="H151" s="22" t="n">
        <v>151.879</v>
      </c>
      <c r="J151" s="22" t="n">
        <v>10.64</v>
      </c>
      <c r="L151" s="22" t="n">
        <v>1386.956</v>
      </c>
      <c r="N151" s="22" t="n">
        <v>-492.21</v>
      </c>
      <c r="P151" s="22" t="n">
        <v>-200.113</v>
      </c>
      <c r="Q151" s="22" t="n">
        <v>-10.966</v>
      </c>
      <c r="R151" s="22" t="n">
        <v>-224.025</v>
      </c>
      <c r="S151" s="22" t="n">
        <v>400.662</v>
      </c>
      <c r="T151" s="22" t="n">
        <v>187.143</v>
      </c>
      <c r="U151" s="22" t="n">
        <v>64.169</v>
      </c>
      <c r="V151" s="22" t="n">
        <v>-29.473</v>
      </c>
      <c r="W151" s="22" t="n">
        <v>151.879</v>
      </c>
      <c r="X151" s="22" t="n">
        <v>1386.956</v>
      </c>
    </row>
    <row r="152">
      <c r="A152" s="20" t="inlineStr">
        <is>
          <t>이자·배당금 수취</t>
        </is>
      </c>
      <c r="D152" s="22" t="n">
        <v>5.18</v>
      </c>
      <c r="F152" s="22" t="n">
        <v>3.377</v>
      </c>
      <c r="H152" s="22" t="n">
        <v>6.707</v>
      </c>
      <c r="J152" s="22" t="n">
        <v>4.755</v>
      </c>
      <c r="L152" s="22" t="n">
        <v>9.113</v>
      </c>
      <c r="N152" s="22" t="n">
        <v>5.663</v>
      </c>
      <c r="P152" s="22" t="n">
        <v>2.734</v>
      </c>
      <c r="Q152" s="22" t="n">
        <v>2.474</v>
      </c>
      <c r="R152" s="22" t="n">
        <v>2.909</v>
      </c>
      <c r="S152" s="22" t="n">
        <v>3.178</v>
      </c>
      <c r="T152" s="22" t="n">
        <v>3.252</v>
      </c>
      <c r="U152" s="22" t="n">
        <v>3.957</v>
      </c>
      <c r="V152" s="22" t="n">
        <v>5.18</v>
      </c>
      <c r="W152" s="22" t="n">
        <v>6.707</v>
      </c>
      <c r="X152" s="22" t="n">
        <v>9.113</v>
      </c>
    </row>
    <row r="153">
      <c r="A153" s="20" t="inlineStr">
        <is>
          <t>이자 지급</t>
        </is>
      </c>
      <c r="D153" s="22" t="n">
        <v>-16.562</v>
      </c>
      <c r="F153" s="22" t="n">
        <v>-8.608000000000001</v>
      </c>
      <c r="H153" s="22" t="n">
        <v>-21.92</v>
      </c>
      <c r="J153" s="22" t="n">
        <v>-15.316</v>
      </c>
      <c r="L153" s="22" t="n">
        <v>-30.873</v>
      </c>
      <c r="N153" s="22" t="n">
        <v>-20.093</v>
      </c>
      <c r="P153" s="22" t="n">
        <v>-7.971</v>
      </c>
      <c r="Q153" s="22" t="n">
        <v>-10.789</v>
      </c>
      <c r="R153" s="22" t="n">
        <v>-19.785</v>
      </c>
      <c r="S153" s="22" t="n">
        <v>-22.515</v>
      </c>
      <c r="T153" s="22" t="n">
        <v>-21.736</v>
      </c>
      <c r="U153" s="22" t="n">
        <v>-16.761</v>
      </c>
      <c r="V153" s="22" t="n">
        <v>-16.562</v>
      </c>
      <c r="W153" s="22" t="n">
        <v>-21.92</v>
      </c>
      <c r="X153" s="22" t="n">
        <v>-30.873</v>
      </c>
    </row>
    <row r="154">
      <c r="A154" s="20" t="inlineStr">
        <is>
          <t>장려금 수취액</t>
        </is>
      </c>
      <c r="H154" s="22" t="n">
        <v>6.757</v>
      </c>
      <c r="L154" s="22" t="n">
        <v>13.056</v>
      </c>
      <c r="W154" s="22" t="n">
        <v>6.757</v>
      </c>
      <c r="X154" s="22" t="n">
        <v>13.056</v>
      </c>
    </row>
    <row r="155">
      <c r="A155" s="20" t="inlineStr">
        <is>
          <t>보험금 수취</t>
        </is>
      </c>
      <c r="J155" s="22" t="n">
        <v>0</v>
      </c>
      <c r="N155" s="22" t="n">
        <v>25.039</v>
      </c>
    </row>
    <row r="156">
      <c r="A156" s="20" t="inlineStr">
        <is>
          <t>법인세 납부</t>
        </is>
      </c>
      <c r="D156" s="22" t="n">
        <v>-12.652</v>
      </c>
      <c r="F156" s="22" t="n">
        <v>-2.581</v>
      </c>
      <c r="H156" s="22" t="n">
        <v>-8.067</v>
      </c>
      <c r="J156" s="22" t="n">
        <v>-24.883</v>
      </c>
      <c r="L156" s="22" t="n">
        <v>-39.818</v>
      </c>
      <c r="N156" s="22" t="n">
        <v>-126.906</v>
      </c>
      <c r="P156" s="22" t="n">
        <v>-5.632</v>
      </c>
      <c r="Q156" s="22" t="n">
        <v>-48.873</v>
      </c>
      <c r="R156" s="22" t="n">
        <v>-2.802</v>
      </c>
      <c r="S156" s="22" t="n">
        <v>-63.255</v>
      </c>
      <c r="T156" s="22" t="n">
        <v>-5.28</v>
      </c>
      <c r="U156" s="22" t="n">
        <v>-64.086</v>
      </c>
      <c r="V156" s="22" t="n">
        <v>-12.652</v>
      </c>
      <c r="W156" s="22" t="n">
        <v>-8.067</v>
      </c>
      <c r="X156" s="22" t="n">
        <v>-39.818</v>
      </c>
    </row>
    <row r="157">
      <c r="A157" s="20" t="inlineStr">
        <is>
          <t>법인세 환급</t>
        </is>
      </c>
      <c r="D157" s="22" t="n">
        <v>2.737</v>
      </c>
      <c r="F157" s="22" t="n">
        <v>0</v>
      </c>
      <c r="H157" s="22" t="n">
        <v>0</v>
      </c>
      <c r="Q157" s="22" t="n">
        <v>0</v>
      </c>
      <c r="R157" s="22" t="n">
        <v>14.134</v>
      </c>
      <c r="S157" s="22" t="n">
        <v>0</v>
      </c>
      <c r="T157" s="22" t="n">
        <v>13.857</v>
      </c>
      <c r="U157" s="22" t="n">
        <v>0</v>
      </c>
      <c r="V157" s="22" t="n">
        <v>2.737</v>
      </c>
      <c r="W157" s="22" t="n">
        <v>0</v>
      </c>
    </row>
    <row r="158">
      <c r="A158" s="9" t="inlineStr">
        <is>
          <t>영업활동 현금흐름</t>
        </is>
      </c>
      <c r="D158" s="12" t="n">
        <v>-50.771</v>
      </c>
      <c r="F158" s="12" t="n">
        <v>43.475</v>
      </c>
      <c r="H158" s="12" t="n">
        <v>135.356</v>
      </c>
      <c r="J158" s="12" t="n">
        <v>-24.804</v>
      </c>
      <c r="L158" s="12" t="n">
        <v>1338.434</v>
      </c>
      <c r="N158" s="12" t="n">
        <v>-608.5069999999999</v>
      </c>
      <c r="P158" s="12" t="n">
        <v>-210.983</v>
      </c>
      <c r="Q158" s="12" t="n">
        <v>-68.157</v>
      </c>
      <c r="R158" s="12" t="n">
        <v>-229.568</v>
      </c>
      <c r="S158" s="12" t="n">
        <v>318.07</v>
      </c>
      <c r="T158" s="12" t="n">
        <v>177.237</v>
      </c>
      <c r="U158" s="12" t="n">
        <v>-12.721</v>
      </c>
      <c r="V158" s="12" t="n">
        <v>-50.771</v>
      </c>
      <c r="W158" s="12" t="n">
        <v>135.356</v>
      </c>
      <c r="X158" s="12" t="n">
        <v>1338.434</v>
      </c>
    </row>
    <row r="159">
      <c r="A159" s="20" t="inlineStr">
        <is>
          <t>투자유가증권 매각</t>
        </is>
      </c>
      <c r="P159" s="22" t="n">
        <v>71.803</v>
      </c>
      <c r="Q159" s="22" t="n">
        <v>0</v>
      </c>
    </row>
    <row r="160">
      <c r="A160" s="20" t="inlineStr">
        <is>
          <t>정기예금 예입</t>
        </is>
      </c>
      <c r="J160" s="22" t="n">
        <v>0</v>
      </c>
      <c r="N160" s="22" t="n">
        <v>-200</v>
      </c>
    </row>
    <row r="161">
      <c r="A161" s="20" t="inlineStr">
        <is>
          <t>유형자산 취득(설비투자)</t>
        </is>
      </c>
      <c r="D161" s="22" t="n">
        <v>-712.872</v>
      </c>
      <c r="F161" s="22" t="n">
        <v>-44.732</v>
      </c>
      <c r="H161" s="22" t="n">
        <v>-75.39</v>
      </c>
      <c r="J161" s="22" t="n">
        <v>-43.958</v>
      </c>
      <c r="L161" s="22" t="n">
        <v>-96.279</v>
      </c>
      <c r="N161" s="22" t="n">
        <v>-41.374</v>
      </c>
      <c r="P161" s="22" t="n">
        <v>-33.921</v>
      </c>
      <c r="Q161" s="22" t="n">
        <v>-490.534</v>
      </c>
      <c r="R161" s="22" t="n">
        <v>-918.962</v>
      </c>
      <c r="S161" s="22" t="n">
        <v>-42.194</v>
      </c>
      <c r="T161" s="22" t="n">
        <v>-28.664</v>
      </c>
      <c r="U161" s="22" t="n">
        <v>-329.272</v>
      </c>
      <c r="V161" s="22" t="n">
        <v>-712.872</v>
      </c>
      <c r="W161" s="22" t="n">
        <v>-75.39</v>
      </c>
      <c r="X161" s="22" t="n">
        <v>-96.279</v>
      </c>
    </row>
    <row r="162">
      <c r="A162" s="20" t="inlineStr">
        <is>
          <t>유형자산 매각</t>
        </is>
      </c>
      <c r="D162" s="22" t="n">
        <v>12.84</v>
      </c>
      <c r="F162" s="22" t="n">
        <v>20.489</v>
      </c>
      <c r="H162" s="22" t="n">
        <v>20.495</v>
      </c>
      <c r="J162" s="22" t="n">
        <v>7.99</v>
      </c>
      <c r="L162" s="22" t="n">
        <v>15.381</v>
      </c>
      <c r="N162" s="22" t="n">
        <v>4.38</v>
      </c>
      <c r="T162" s="22" t="n">
        <v>9.635</v>
      </c>
      <c r="U162" s="22" t="n">
        <v>905.27</v>
      </c>
      <c r="V162" s="22" t="n">
        <v>12.84</v>
      </c>
      <c r="W162" s="22" t="n">
        <v>20.495</v>
      </c>
      <c r="X162" s="22" t="n">
        <v>15.381</v>
      </c>
    </row>
    <row r="163">
      <c r="A163" s="20" t="inlineStr">
        <is>
          <t>유형자산 제각 지출</t>
        </is>
      </c>
      <c r="D163" s="22" t="n">
        <v>-13.162</v>
      </c>
      <c r="H163" s="22" t="n">
        <v>0</v>
      </c>
      <c r="U163" s="22" t="n">
        <v>0</v>
      </c>
      <c r="V163" s="22" t="n">
        <v>-13.162</v>
      </c>
      <c r="W163" s="22" t="n">
        <v>0</v>
      </c>
    </row>
    <row r="164">
      <c r="A164" s="20" t="inlineStr">
        <is>
          <t>무형자산 취득</t>
        </is>
      </c>
      <c r="D164" s="22" t="n">
        <v>-22.222</v>
      </c>
      <c r="F164" s="22" t="n">
        <v>0</v>
      </c>
      <c r="H164" s="22" t="n">
        <v>-0.799</v>
      </c>
      <c r="J164" s="22" t="n">
        <v>-3.7</v>
      </c>
      <c r="L164" s="22" t="n">
        <v>-10.34</v>
      </c>
      <c r="N164" s="22" t="n">
        <v>-3.327</v>
      </c>
      <c r="P164" s="22" t="n">
        <v>-4.442</v>
      </c>
      <c r="Q164" s="22" t="n">
        <v>-3.623</v>
      </c>
      <c r="R164" s="22" t="n">
        <v>-10.938</v>
      </c>
      <c r="S164" s="22" t="n">
        <v>-3.444</v>
      </c>
      <c r="T164" s="22" t="n">
        <v>0</v>
      </c>
      <c r="U164" s="22" t="n">
        <v>-8.111000000000001</v>
      </c>
      <c r="V164" s="22" t="n">
        <v>-22.222</v>
      </c>
      <c r="W164" s="22" t="n">
        <v>-0.799</v>
      </c>
      <c r="X164" s="22" t="n">
        <v>-10.34</v>
      </c>
    </row>
    <row r="165">
      <c r="A165" s="20" t="inlineStr">
        <is>
          <t>자산복구부채 이행 지출</t>
        </is>
      </c>
      <c r="D165" s="22" t="n">
        <v>-5.392</v>
      </c>
      <c r="H165" s="22" t="n">
        <v>0</v>
      </c>
      <c r="U165" s="22" t="n">
        <v>0</v>
      </c>
      <c r="V165" s="22" t="n">
        <v>-5.392</v>
      </c>
      <c r="W165" s="22" t="n">
        <v>0</v>
      </c>
    </row>
    <row r="166">
      <c r="A166" s="20" t="inlineStr">
        <is>
          <t>투자유가증권 취득</t>
        </is>
      </c>
      <c r="D166" s="22" t="n">
        <v>-24.629</v>
      </c>
      <c r="H166" s="22" t="n">
        <v>0</v>
      </c>
      <c r="U166" s="22" t="n">
        <v>0</v>
      </c>
      <c r="V166" s="22" t="n">
        <v>-24.629</v>
      </c>
      <c r="W166" s="22" t="n">
        <v>0</v>
      </c>
    </row>
    <row r="167">
      <c r="A167" s="20" t="inlineStr">
        <is>
          <t>자회사 청산 수입</t>
        </is>
      </c>
      <c r="D167" s="22" t="n">
        <v>0</v>
      </c>
      <c r="T167" s="22" t="n">
        <v>0</v>
      </c>
      <c r="U167" s="22" t="n">
        <v>47.298</v>
      </c>
      <c r="V167" s="22" t="n">
        <v>0</v>
      </c>
    </row>
    <row r="168">
      <c r="A168" s="20" t="inlineStr">
        <is>
          <t>투자부동산 임대 수입</t>
        </is>
      </c>
      <c r="D168" s="22" t="n">
        <v>67.643</v>
      </c>
      <c r="F168" s="22" t="n">
        <v>33.981</v>
      </c>
      <c r="H168" s="22" t="n">
        <v>67.962</v>
      </c>
      <c r="J168" s="22" t="n">
        <v>33.935</v>
      </c>
      <c r="L168" s="22" t="n">
        <v>69.29600000000001</v>
      </c>
      <c r="N168" s="22" t="n">
        <v>35.507</v>
      </c>
      <c r="P168" s="22" t="n">
        <v>67.517</v>
      </c>
      <c r="Q168" s="22" t="n">
        <v>67.517</v>
      </c>
      <c r="R168" s="22" t="n">
        <v>67.47499999999999</v>
      </c>
      <c r="S168" s="22" t="n">
        <v>67.416</v>
      </c>
      <c r="T168" s="22" t="n">
        <v>67.416</v>
      </c>
      <c r="U168" s="22" t="n">
        <v>67.416</v>
      </c>
      <c r="V168" s="22" t="n">
        <v>67.643</v>
      </c>
      <c r="W168" s="22" t="n">
        <v>67.962</v>
      </c>
      <c r="X168" s="22" t="n">
        <v>69.29600000000001</v>
      </c>
    </row>
    <row r="169">
      <c r="A169" s="20" t="inlineStr">
        <is>
          <t>임차보증금·보증금 납입</t>
        </is>
      </c>
      <c r="D169" s="22" t="n">
        <v>-7.653</v>
      </c>
      <c r="H169" s="22" t="n">
        <v>-58.354</v>
      </c>
      <c r="L169" s="22" t="n">
        <v>-0.107</v>
      </c>
      <c r="T169" s="22" t="n">
        <v>-11.206</v>
      </c>
      <c r="V169" s="22" t="n">
        <v>-7.653</v>
      </c>
      <c r="W169" s="22" t="n">
        <v>-58.354</v>
      </c>
      <c r="X169" s="22" t="n">
        <v>-0.107</v>
      </c>
    </row>
    <row r="170">
      <c r="A170" s="20" t="inlineStr">
        <is>
          <t>임차보증금·보증금 회수</t>
        </is>
      </c>
      <c r="T170" s="22" t="n">
        <v>19.374</v>
      </c>
    </row>
    <row r="171">
      <c r="A171" s="20" t="inlineStr">
        <is>
          <t>기타</t>
        </is>
      </c>
      <c r="D171" s="22" t="n">
        <v>15.986</v>
      </c>
      <c r="F171" s="22" t="n">
        <v>-3.868</v>
      </c>
      <c r="H171" s="22" t="n">
        <v>-6.223</v>
      </c>
      <c r="J171" s="22" t="n">
        <v>-3.869</v>
      </c>
      <c r="L171" s="22" t="n">
        <v>-8.551</v>
      </c>
      <c r="N171" s="22" t="n">
        <v>7.805</v>
      </c>
      <c r="P171" s="22" t="n">
        <v>-10.19</v>
      </c>
      <c r="Q171" s="22" t="n">
        <v>-26.18</v>
      </c>
      <c r="R171" s="22" t="n">
        <v>-1.832</v>
      </c>
      <c r="S171" s="22" t="n">
        <v>-19.955</v>
      </c>
      <c r="T171" s="22" t="n">
        <v>0.912</v>
      </c>
      <c r="U171" s="22" t="n">
        <v>0.573</v>
      </c>
      <c r="V171" s="22" t="n">
        <v>15.986</v>
      </c>
      <c r="W171" s="22" t="n">
        <v>-6.223</v>
      </c>
      <c r="X171" s="22" t="n">
        <v>-8.551</v>
      </c>
    </row>
    <row r="172">
      <c r="A172" s="9" t="inlineStr">
        <is>
          <t>투자활동 현금흐름</t>
        </is>
      </c>
      <c r="D172" s="12" t="n">
        <v>-689.46</v>
      </c>
      <c r="F172" s="12" t="n">
        <v>5.868</v>
      </c>
      <c r="H172" s="12" t="n">
        <v>-52.31</v>
      </c>
      <c r="J172" s="12" t="n">
        <v>-9.602</v>
      </c>
      <c r="L172" s="12" t="n">
        <v>-30.601</v>
      </c>
      <c r="N172" s="12" t="n">
        <v>-197.008</v>
      </c>
      <c r="P172" s="12" t="n">
        <v>90.765</v>
      </c>
      <c r="Q172" s="12" t="n">
        <v>-452.82</v>
      </c>
      <c r="R172" s="12" t="n">
        <v>-864.258</v>
      </c>
      <c r="S172" s="12" t="n">
        <v>1.821</v>
      </c>
      <c r="T172" s="12" t="n">
        <v>49.299</v>
      </c>
      <c r="U172" s="12" t="n">
        <v>683.175</v>
      </c>
      <c r="V172" s="12" t="n">
        <v>-689.46</v>
      </c>
      <c r="W172" s="12" t="n">
        <v>-52.31</v>
      </c>
      <c r="X172" s="12" t="n">
        <v>-30.601</v>
      </c>
    </row>
    <row r="173">
      <c r="A173" s="20" t="inlineStr">
        <is>
          <t>단기차입</t>
        </is>
      </c>
      <c r="P173" s="22" t="n">
        <v>100</v>
      </c>
      <c r="Q173" s="22" t="n">
        <v>900</v>
      </c>
    </row>
    <row r="174">
      <c r="A174" s="20" t="inlineStr">
        <is>
          <t>단기차입금 증감</t>
        </is>
      </c>
      <c r="Q174" s="22" t="n">
        <v>900</v>
      </c>
      <c r="R174" s="22" t="n">
        <v>-450</v>
      </c>
      <c r="S174" s="22" t="n">
        <v>-16</v>
      </c>
    </row>
    <row r="175">
      <c r="A175" s="20" t="inlineStr">
        <is>
          <t>단기차입금 순증감</t>
        </is>
      </c>
      <c r="D175" s="22" t="n">
        <v>200</v>
      </c>
      <c r="F175" s="22" t="n">
        <v>0</v>
      </c>
      <c r="H175" s="22" t="n">
        <v>300</v>
      </c>
      <c r="J175" s="22" t="n">
        <v>0</v>
      </c>
      <c r="L175" s="22" t="n">
        <v>-600</v>
      </c>
      <c r="N175" s="22" t="n">
        <v>200</v>
      </c>
      <c r="T175" s="22" t="n">
        <v>-34</v>
      </c>
      <c r="U175" s="22" t="n">
        <v>0</v>
      </c>
      <c r="V175" s="22" t="n">
        <v>200</v>
      </c>
      <c r="W175" s="22" t="n">
        <v>300</v>
      </c>
      <c r="X175" s="22" t="n">
        <v>-600</v>
      </c>
    </row>
    <row r="176">
      <c r="A176" s="20" t="inlineStr">
        <is>
          <t>장기차입</t>
        </is>
      </c>
      <c r="D176" s="22" t="n">
        <v>900</v>
      </c>
      <c r="F176" s="22" t="n">
        <v>91</v>
      </c>
      <c r="H176" s="22" t="n">
        <v>371</v>
      </c>
      <c r="J176" s="22" t="n">
        <v>0</v>
      </c>
      <c r="L176" s="22" t="n">
        <v>0</v>
      </c>
      <c r="Q176" s="22" t="n">
        <v>0</v>
      </c>
      <c r="R176" s="22" t="n">
        <v>2111.179</v>
      </c>
      <c r="S176" s="22" t="n">
        <v>80.907</v>
      </c>
      <c r="T176" s="22" t="n">
        <v>1000</v>
      </c>
      <c r="U176" s="22" t="n">
        <v>0</v>
      </c>
      <c r="V176" s="22" t="n">
        <v>900</v>
      </c>
      <c r="W176" s="22" t="n">
        <v>371</v>
      </c>
      <c r="X176" s="22" t="n">
        <v>0</v>
      </c>
    </row>
    <row r="177">
      <c r="A177" s="20" t="inlineStr">
        <is>
          <t>장기차입금 상환</t>
        </is>
      </c>
      <c r="D177" s="22" t="n">
        <v>-104.834</v>
      </c>
      <c r="F177" s="22" t="n">
        <v>-78.785</v>
      </c>
      <c r="H177" s="22" t="n">
        <v>-177.545</v>
      </c>
      <c r="J177" s="22" t="n">
        <v>-83.496</v>
      </c>
      <c r="L177" s="22" t="n">
        <v>-174.544</v>
      </c>
      <c r="N177" s="22" t="n">
        <v>-98.59999999999999</v>
      </c>
      <c r="P177" s="22" t="n">
        <v>-42.5</v>
      </c>
      <c r="Q177" s="22" t="n">
        <v>-42.5</v>
      </c>
      <c r="R177" s="22" t="n">
        <v>-690.625</v>
      </c>
      <c r="S177" s="22" t="n">
        <v>-110</v>
      </c>
      <c r="T177" s="22" t="n">
        <v>-1114.583</v>
      </c>
      <c r="U177" s="22" t="n">
        <v>-628.898</v>
      </c>
      <c r="V177" s="22" t="n">
        <v>-104.834</v>
      </c>
      <c r="W177" s="22" t="n">
        <v>-177.545</v>
      </c>
      <c r="X177" s="22" t="n">
        <v>-174.544</v>
      </c>
    </row>
    <row r="178">
      <c r="A178" s="20" t="inlineStr">
        <is>
          <t>주식 발행</t>
        </is>
      </c>
      <c r="D178" s="22" t="n">
        <v>0</v>
      </c>
      <c r="H178" s="22" t="n">
        <v>571.187</v>
      </c>
      <c r="L178" s="22" t="n">
        <v>0</v>
      </c>
      <c r="V178" s="22" t="n">
        <v>0</v>
      </c>
      <c r="W178" s="22" t="n">
        <v>571.187</v>
      </c>
      <c r="X178" s="22" t="n">
        <v>0</v>
      </c>
    </row>
    <row r="179">
      <c r="A179" s="20" t="inlineStr">
        <is>
          <t>자기주식 취득</t>
        </is>
      </c>
      <c r="D179" s="22" t="n">
        <v>-91.76600000000001</v>
      </c>
      <c r="H179" s="22" t="n">
        <v>-0</v>
      </c>
      <c r="L179" s="22" t="n">
        <v>-0.006</v>
      </c>
      <c r="U179" s="22" t="n">
        <v>0</v>
      </c>
      <c r="V179" s="22" t="n">
        <v>-91.76600000000001</v>
      </c>
      <c r="W179" s="22" t="n">
        <v>-0</v>
      </c>
      <c r="X179" s="22" t="n">
        <v>-0.006</v>
      </c>
    </row>
    <row r="180">
      <c r="A180" s="20" t="inlineStr">
        <is>
          <t>배당금 지급</t>
        </is>
      </c>
      <c r="D180" s="22" t="n">
        <v>-41.749</v>
      </c>
      <c r="F180" s="22" t="n">
        <v>-39.154</v>
      </c>
      <c r="H180" s="22" t="n">
        <v>-39.18</v>
      </c>
      <c r="J180" s="22" t="n">
        <v>-55.949</v>
      </c>
      <c r="L180" s="22" t="n">
        <v>-56.122</v>
      </c>
      <c r="N180" s="22" t="n">
        <v>-84.00700000000001</v>
      </c>
      <c r="P180" s="22" t="n">
        <v>-45.781</v>
      </c>
      <c r="Q180" s="22" t="n">
        <v>-69.79600000000001</v>
      </c>
      <c r="R180" s="22" t="n">
        <v>-47.543</v>
      </c>
      <c r="S180" s="22" t="n">
        <v>-46.852</v>
      </c>
      <c r="T180" s="22" t="n">
        <v>-42.074</v>
      </c>
      <c r="U180" s="22" t="n">
        <v>-40.784</v>
      </c>
      <c r="V180" s="22" t="n">
        <v>-41.749</v>
      </c>
      <c r="W180" s="22" t="n">
        <v>-39.18</v>
      </c>
      <c r="X180" s="22" t="n">
        <v>-56.122</v>
      </c>
    </row>
    <row r="181">
      <c r="A181" s="20" t="inlineStr">
        <is>
          <t>차입 수수료 지급액</t>
        </is>
      </c>
      <c r="Q181" s="22" t="n">
        <v>0</v>
      </c>
      <c r="R181" s="22" t="n">
        <v>-28.683</v>
      </c>
      <c r="S181" s="22" t="n">
        <v>0</v>
      </c>
    </row>
    <row r="182">
      <c r="A182" s="20" t="inlineStr">
        <is>
          <t>기타</t>
        </is>
      </c>
      <c r="D182" s="22" t="n">
        <v>-3.783</v>
      </c>
      <c r="F182" s="22" t="n">
        <v>-3.035</v>
      </c>
      <c r="H182" s="22" t="n">
        <v>-6.069</v>
      </c>
      <c r="J182" s="22" t="n">
        <v>-3.034</v>
      </c>
      <c r="L182" s="22" t="n">
        <v>-6.069</v>
      </c>
      <c r="N182" s="22" t="n">
        <v>-3.034</v>
      </c>
      <c r="P182" s="22" t="n">
        <v>-0.228</v>
      </c>
      <c r="Q182" s="22" t="n">
        <v>-0.729</v>
      </c>
      <c r="R182" s="22" t="n">
        <v>-0.994</v>
      </c>
      <c r="S182" s="22" t="n">
        <v>-0.972</v>
      </c>
      <c r="T182" s="22" t="n">
        <v>-0.972</v>
      </c>
      <c r="U182" s="22" t="n">
        <v>-0.972</v>
      </c>
      <c r="V182" s="22" t="n">
        <v>-3.783</v>
      </c>
      <c r="W182" s="22" t="n">
        <v>-6.069</v>
      </c>
      <c r="X182" s="22" t="n">
        <v>-6.069</v>
      </c>
    </row>
    <row r="183">
      <c r="A183" s="9" t="inlineStr">
        <is>
          <t>재무활동 현금흐름</t>
        </is>
      </c>
      <c r="D183" s="12" t="n">
        <v>857.866</v>
      </c>
      <c r="F183" s="12" t="n">
        <v>-29.974</v>
      </c>
      <c r="H183" s="12" t="n">
        <v>1019.392</v>
      </c>
      <c r="J183" s="12" t="n">
        <v>-142.48</v>
      </c>
      <c r="L183" s="12" t="n">
        <v>-836.742</v>
      </c>
      <c r="N183" s="12" t="n">
        <v>14.357</v>
      </c>
      <c r="P183" s="12" t="n">
        <v>11.49</v>
      </c>
      <c r="Q183" s="12" t="n">
        <v>786.973</v>
      </c>
      <c r="R183" s="12" t="n">
        <v>893.333</v>
      </c>
      <c r="S183" s="12" t="n">
        <v>-92.917</v>
      </c>
      <c r="T183" s="12" t="n">
        <v>-191.629</v>
      </c>
      <c r="U183" s="12" t="n">
        <v>-670.654</v>
      </c>
      <c r="V183" s="12" t="n">
        <v>857.866</v>
      </c>
      <c r="W183" s="12" t="n">
        <v>1019.392</v>
      </c>
      <c r="X183" s="12" t="n">
        <v>-836.742</v>
      </c>
    </row>
    <row r="184">
      <c r="A184" s="20" t="inlineStr">
        <is>
          <t>현금성자산 환산차이</t>
        </is>
      </c>
      <c r="P184" s="22" t="n">
        <v>-1.194</v>
      </c>
      <c r="Q184" s="22" t="n">
        <v>-0.175</v>
      </c>
      <c r="R184" s="22" t="n">
        <v>-0.669</v>
      </c>
      <c r="S184" s="22" t="n">
        <v>-0.635</v>
      </c>
    </row>
    <row r="185">
      <c r="A185" s="20" t="inlineStr">
        <is>
          <t>현금성자산 증감</t>
        </is>
      </c>
      <c r="D185" s="22" t="n">
        <v>117.634</v>
      </c>
      <c r="F185" s="22" t="n">
        <v>19.369</v>
      </c>
      <c r="H185" s="22" t="n">
        <v>1102.438</v>
      </c>
      <c r="J185" s="22" t="n">
        <v>-176.888</v>
      </c>
      <c r="L185" s="22" t="n">
        <v>471.091</v>
      </c>
      <c r="N185" s="22" t="n">
        <v>-791.158</v>
      </c>
      <c r="P185" s="22" t="n">
        <v>-109.922</v>
      </c>
      <c r="Q185" s="22" t="n">
        <v>265.82</v>
      </c>
      <c r="R185" s="22" t="n">
        <v>-201.163</v>
      </c>
      <c r="S185" s="22" t="n">
        <v>226.339</v>
      </c>
      <c r="T185" s="22" t="n">
        <v>34.907</v>
      </c>
      <c r="U185" s="22" t="n">
        <v>-0.199</v>
      </c>
      <c r="V185" s="22" t="n">
        <v>117.634</v>
      </c>
      <c r="W185" s="22" t="n">
        <v>1102.438</v>
      </c>
      <c r="X185" s="22" t="n">
        <v>471.091</v>
      </c>
    </row>
    <row r="186">
      <c r="A186" s="20" t="inlineStr">
        <is>
          <t>신규 연결 현금성자산 증가</t>
        </is>
      </c>
      <c r="P186" s="22" t="n">
        <v>25.123</v>
      </c>
      <c r="Q186" s="22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JMACS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5501.862</v>
      </c>
      <c r="D5" s="12" t="n">
        <v>5624.905</v>
      </c>
      <c r="E5" s="12" t="n">
        <v>5544.59</v>
      </c>
      <c r="F5" s="12" t="n">
        <v>5398.376</v>
      </c>
      <c r="G5" s="12" t="n">
        <v>5947.923</v>
      </c>
      <c r="H5" s="11" t="n">
        <v>3641.381</v>
      </c>
      <c r="I5" s="12" t="n">
        <v>3915.603</v>
      </c>
      <c r="J5" s="12" t="n">
        <v>4402.165</v>
      </c>
      <c r="K5" s="12" t="n">
        <v>5498.572</v>
      </c>
      <c r="L5" s="12" t="n">
        <v>5544.59</v>
      </c>
    </row>
    <row r="6">
      <c r="A6" s="20" t="inlineStr">
        <is>
          <t>현금및현금성자산</t>
        </is>
      </c>
      <c r="B6" s="10" t="n"/>
      <c r="C6" s="21" t="n">
        <v>1569.775</v>
      </c>
      <c r="D6" s="22" t="n">
        <v>2019.608</v>
      </c>
      <c r="E6" s="22" t="n">
        <v>2217.755</v>
      </c>
      <c r="F6" s="22" t="n">
        <v>1845.476</v>
      </c>
      <c r="G6" s="22" t="n">
        <v>1626.596</v>
      </c>
      <c r="H6" s="21" t="n">
        <v>526.79</v>
      </c>
      <c r="I6" s="22" t="n">
        <v>526.59</v>
      </c>
      <c r="J6" s="22" t="n">
        <v>644.225</v>
      </c>
      <c r="K6" s="22" t="n">
        <v>1746.664</v>
      </c>
      <c r="L6" s="22" t="n">
        <v>2217.755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  <c r="K7" s="22" t="n"/>
      <c r="L7" s="22" t="n"/>
    </row>
    <row r="8">
      <c r="A8" s="20" t="inlineStr">
        <is>
          <t>매출채권</t>
        </is>
      </c>
      <c r="B8" s="10" t="n"/>
      <c r="C8" s="21" t="n">
        <v>1693.884</v>
      </c>
      <c r="D8" s="22" t="n">
        <v>1125.806</v>
      </c>
      <c r="E8" s="22" t="n">
        <v>916.652</v>
      </c>
      <c r="F8" s="22" t="n">
        <v>879.581</v>
      </c>
      <c r="G8" s="22" t="n">
        <v>1507.436</v>
      </c>
      <c r="H8" s="21" t="n">
        <v>1681.576</v>
      </c>
      <c r="I8" s="22" t="n">
        <v>1432.158</v>
      </c>
      <c r="J8" s="22" t="n">
        <v>1646.881</v>
      </c>
      <c r="K8" s="22" t="n">
        <v>1653.392</v>
      </c>
      <c r="L8" s="22" t="n">
        <v>916.652</v>
      </c>
    </row>
    <row r="9">
      <c r="A9" s="20" t="inlineStr">
        <is>
          <t>재고자산</t>
        </is>
      </c>
      <c r="B9" s="10" t="n"/>
      <c r="C9" s="21" t="n">
        <v>1475.9</v>
      </c>
      <c r="D9" s="22" t="n">
        <v>1485.063</v>
      </c>
      <c r="E9" s="22" t="n">
        <v>1650.331</v>
      </c>
      <c r="F9" s="22" t="n">
        <v>1872.21</v>
      </c>
      <c r="G9" s="22" t="n">
        <v>2000.91</v>
      </c>
      <c r="H9" s="21" t="n">
        <v>1138.701</v>
      </c>
      <c r="I9" s="22" t="n">
        <v>1301.768</v>
      </c>
      <c r="J9" s="22" t="n">
        <v>1243.59</v>
      </c>
      <c r="K9" s="22" t="n">
        <v>1463.587</v>
      </c>
      <c r="L9" s="22" t="n">
        <v>1650.331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4730.345</v>
      </c>
      <c r="D11" s="12" t="n">
        <v>4737.485</v>
      </c>
      <c r="E11" s="12" t="n">
        <v>4740.177</v>
      </c>
      <c r="F11" s="12" t="n">
        <v>4705.146</v>
      </c>
      <c r="G11" s="12" t="n">
        <v>4709.216</v>
      </c>
      <c r="H11" s="11" t="n">
        <v>4901.304</v>
      </c>
      <c r="I11" s="12" t="n">
        <v>4141.191</v>
      </c>
      <c r="J11" s="12" t="n">
        <v>4746.38</v>
      </c>
      <c r="K11" s="12" t="n">
        <v>4776.944</v>
      </c>
      <c r="L11" s="12" t="n">
        <v>4740.177</v>
      </c>
    </row>
    <row r="12">
      <c r="A12" s="20" t="inlineStr">
        <is>
          <t>유형자산</t>
        </is>
      </c>
      <c r="B12" s="10" t="n"/>
      <c r="C12" s="21" t="n">
        <v>2764.824</v>
      </c>
      <c r="D12" s="22" t="n">
        <v>2735.464</v>
      </c>
      <c r="E12" s="22" t="n">
        <v>2711.068</v>
      </c>
      <c r="F12" s="22" t="n">
        <v>2684.612</v>
      </c>
      <c r="G12" s="22" t="n">
        <v>2670.415</v>
      </c>
      <c r="H12" s="21" t="n">
        <v>3091.866</v>
      </c>
      <c r="I12" s="22" t="n">
        <v>2348.711</v>
      </c>
      <c r="J12" s="22" t="n">
        <v>2926.658</v>
      </c>
      <c r="K12" s="22" t="n">
        <v>2814.209</v>
      </c>
      <c r="L12" s="22" t="n">
        <v>2711.068</v>
      </c>
    </row>
    <row r="13">
      <c r="A13" s="20" t="inlineStr">
        <is>
          <t>무형자산</t>
        </is>
      </c>
      <c r="B13" s="10" t="n"/>
      <c r="C13" s="21" t="n">
        <v>15.981</v>
      </c>
      <c r="D13" s="22" t="n">
        <v>21.246</v>
      </c>
      <c r="E13" s="22" t="n">
        <v>23.584</v>
      </c>
      <c r="F13" s="22" t="n">
        <v>22.849</v>
      </c>
      <c r="G13" s="22" t="n">
        <v>22.563</v>
      </c>
      <c r="H13" s="21" t="n">
        <v>12.709</v>
      </c>
      <c r="I13" s="22" t="n">
        <v>13.673</v>
      </c>
      <c r="J13" s="22" t="n">
        <v>17.141</v>
      </c>
      <c r="K13" s="22" t="n">
        <v>19.971</v>
      </c>
      <c r="L13" s="22" t="n">
        <v>23.584</v>
      </c>
    </row>
    <row r="14">
      <c r="A14" s="20" t="inlineStr">
        <is>
          <t>투자부동산</t>
        </is>
      </c>
      <c r="B14" s="10" t="n"/>
      <c r="C14" s="21" t="n">
        <v>1572.306</v>
      </c>
      <c r="D14" s="22" t="n">
        <v>1571.906</v>
      </c>
      <c r="E14" s="22" t="n">
        <v>1571.506</v>
      </c>
      <c r="F14" s="22" t="n">
        <v>1571.118</v>
      </c>
      <c r="G14" s="22" t="n">
        <v>1570.761</v>
      </c>
      <c r="H14" s="21" t="n">
        <v>1578.277</v>
      </c>
      <c r="I14" s="22" t="n">
        <v>1576.408</v>
      </c>
      <c r="J14" s="22" t="n">
        <v>1574.742</v>
      </c>
      <c r="K14" s="22" t="n">
        <v>1573.107</v>
      </c>
      <c r="L14" s="22" t="n">
        <v>1571.506</v>
      </c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10232.208</v>
      </c>
      <c r="D16" s="12" t="n">
        <v>10362.391</v>
      </c>
      <c r="E16" s="12" t="n">
        <v>10284.767</v>
      </c>
      <c r="F16" s="12" t="n">
        <v>10103.523</v>
      </c>
      <c r="G16" s="12" t="n">
        <v>10657.14</v>
      </c>
      <c r="H16" s="11" t="n">
        <v>8542.686</v>
      </c>
      <c r="I16" s="12" t="n">
        <v>8056.795</v>
      </c>
      <c r="J16" s="12" t="n">
        <v>9148.545</v>
      </c>
      <c r="K16" s="12" t="n">
        <v>10275.516</v>
      </c>
      <c r="L16" s="12" t="n">
        <v>10284.767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2508.734</v>
      </c>
      <c r="D18" s="12" t="n">
        <v>2597.652</v>
      </c>
      <c r="E18" s="12" t="n">
        <v>2387.825</v>
      </c>
      <c r="F18" s="12" t="n">
        <v>2191.552</v>
      </c>
      <c r="G18" s="12" t="n">
        <v>2540.341</v>
      </c>
      <c r="H18" s="11" t="n">
        <v>1993.131</v>
      </c>
      <c r="I18" s="12" t="n">
        <v>1942.728</v>
      </c>
      <c r="J18" s="12" t="n">
        <v>2339.221</v>
      </c>
      <c r="K18" s="12" t="n">
        <v>2593.518</v>
      </c>
      <c r="L18" s="12" t="n">
        <v>2387.825</v>
      </c>
    </row>
    <row r="19">
      <c r="A19" s="20" t="inlineStr">
        <is>
          <t>매입채무</t>
        </is>
      </c>
      <c r="B19" s="10" t="n"/>
      <c r="C19" s="21" t="n">
        <v>289.931</v>
      </c>
      <c r="D19" s="22" t="n">
        <v>424.869</v>
      </c>
      <c r="E19" s="22" t="n">
        <v>412.064</v>
      </c>
      <c r="F19" s="22" t="n">
        <v>446.887</v>
      </c>
      <c r="G19" s="22" t="n">
        <v>452.207</v>
      </c>
      <c r="H19" s="21" t="n">
        <v>275.897</v>
      </c>
      <c r="I19" s="22" t="n">
        <v>258.99</v>
      </c>
      <c r="J19" s="22" t="n">
        <v>356.117</v>
      </c>
      <c r="K19" s="22" t="n">
        <v>347.048</v>
      </c>
      <c r="L19" s="22" t="n">
        <v>412.064</v>
      </c>
    </row>
    <row r="20">
      <c r="A20" s="20" t="inlineStr">
        <is>
          <t>단기차입금</t>
        </is>
      </c>
      <c r="B20" s="10" t="n"/>
      <c r="C20" s="21" t="n">
        <v>1200</v>
      </c>
      <c r="D20" s="22" t="n">
        <v>1000</v>
      </c>
      <c r="E20" s="22" t="n">
        <v>600</v>
      </c>
      <c r="F20" s="22" t="n">
        <v>600</v>
      </c>
      <c r="G20" s="22" t="n">
        <v>800</v>
      </c>
      <c r="H20" s="21" t="n">
        <v>700</v>
      </c>
      <c r="I20" s="22" t="n">
        <v>700</v>
      </c>
      <c r="J20" s="22" t="n">
        <v>900</v>
      </c>
      <c r="K20" s="22" t="n">
        <v>1200</v>
      </c>
      <c r="L20" s="22" t="n">
        <v>600</v>
      </c>
    </row>
    <row r="21">
      <c r="A21" s="20" t="inlineStr">
        <is>
          <t>유동성장기부채</t>
        </is>
      </c>
      <c r="B21" s="10" t="n"/>
      <c r="C21" s="21" t="n">
        <v>182.096</v>
      </c>
      <c r="D21" s="22" t="n">
        <v>182.096</v>
      </c>
      <c r="E21" s="22" t="n">
        <v>182.096</v>
      </c>
      <c r="F21" s="22" t="n">
        <v>189.648</v>
      </c>
      <c r="G21" s="22" t="n">
        <v>182.096</v>
      </c>
      <c r="H21" s="21" t="n">
        <v>110.148</v>
      </c>
      <c r="I21" s="22" t="n">
        <v>85.148</v>
      </c>
      <c r="J21" s="22" t="n">
        <v>161.972</v>
      </c>
      <c r="K21" s="22" t="n">
        <v>182.096</v>
      </c>
      <c r="L21" s="22" t="n">
        <v>182.096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2354.088</v>
      </c>
      <c r="D23" s="12" t="n">
        <v>2293.135</v>
      </c>
      <c r="E23" s="12" t="n">
        <v>2243.549</v>
      </c>
      <c r="F23" s="12" t="n">
        <v>2187.447</v>
      </c>
      <c r="G23" s="12" t="n">
        <v>2151.153</v>
      </c>
      <c r="H23" s="11" t="n">
        <v>2112.184</v>
      </c>
      <c r="I23" s="12" t="n">
        <v>1510.471</v>
      </c>
      <c r="J23" s="12" t="n">
        <v>2255.562</v>
      </c>
      <c r="K23" s="12" t="n">
        <v>2442.805</v>
      </c>
      <c r="L23" s="12" t="n">
        <v>2243.549</v>
      </c>
    </row>
    <row r="24">
      <c r="A24" s="20" t="inlineStr">
        <is>
          <t>장기차입금</t>
        </is>
      </c>
      <c r="B24" s="10" t="n"/>
      <c r="C24" s="21" t="n">
        <v>2051.01</v>
      </c>
      <c r="D24" s="22" t="n">
        <v>2005.486</v>
      </c>
      <c r="E24" s="22" t="n">
        <v>1959.962</v>
      </c>
      <c r="F24" s="22" t="n">
        <v>1906.886</v>
      </c>
      <c r="G24" s="22" t="n">
        <v>1861.362</v>
      </c>
      <c r="H24" s="21" t="n">
        <v>1846.731</v>
      </c>
      <c r="I24" s="22" t="n">
        <v>1242.833</v>
      </c>
      <c r="J24" s="22" t="n">
        <v>1961.175</v>
      </c>
      <c r="K24" s="22" t="n">
        <v>2134.506</v>
      </c>
      <c r="L24" s="22" t="n">
        <v>1959.962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4862.823</v>
      </c>
      <c r="D27" s="12" t="n">
        <v>4890.788</v>
      </c>
      <c r="E27" s="12" t="n">
        <v>4631.374</v>
      </c>
      <c r="F27" s="12" t="n">
        <v>4379</v>
      </c>
      <c r="G27" s="12" t="n">
        <v>4691.495</v>
      </c>
      <c r="H27" s="11" t="n">
        <v>4105.316</v>
      </c>
      <c r="I27" s="12" t="n">
        <v>3453.2</v>
      </c>
      <c r="J27" s="12" t="n">
        <v>4594.784</v>
      </c>
      <c r="K27" s="12" t="n">
        <v>5036.323</v>
      </c>
      <c r="L27" s="12" t="n">
        <v>4631.374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5369.385</v>
      </c>
      <c r="D31" s="12" t="n">
        <v>5471.603</v>
      </c>
      <c r="E31" s="12" t="n">
        <v>5653.393</v>
      </c>
      <c r="F31" s="12" t="n">
        <v>5724.522</v>
      </c>
      <c r="G31" s="12" t="n">
        <v>5965.644</v>
      </c>
      <c r="H31" s="11" t="n">
        <v>4437.37</v>
      </c>
      <c r="I31" s="12" t="n">
        <v>4603.594</v>
      </c>
      <c r="J31" s="12" t="n">
        <v>4553.761</v>
      </c>
      <c r="K31" s="12" t="n">
        <v>5239.192</v>
      </c>
      <c r="L31" s="12" t="n">
        <v>5653.393</v>
      </c>
    </row>
    <row r="32">
      <c r="A32" s="20" t="inlineStr">
        <is>
          <t>자본금</t>
        </is>
      </c>
      <c r="B32" s="10" t="n"/>
      <c r="C32" s="21" t="n">
        <v>938.1849999999999</v>
      </c>
      <c r="D32" s="22" t="n">
        <v>938.1849999999999</v>
      </c>
      <c r="E32" s="22" t="n">
        <v>938.1849999999999</v>
      </c>
      <c r="F32" s="22" t="n">
        <v>938.1849999999999</v>
      </c>
      <c r="G32" s="22" t="n">
        <v>938.1849999999999</v>
      </c>
      <c r="H32" s="21" t="n">
        <v>647.785</v>
      </c>
      <c r="I32" s="22" t="n">
        <v>647.785</v>
      </c>
      <c r="J32" s="22" t="n">
        <v>647.785</v>
      </c>
      <c r="K32" s="22" t="n">
        <v>938.1849999999999</v>
      </c>
      <c r="L32" s="22" t="n">
        <v>938.1849999999999</v>
      </c>
    </row>
    <row r="33">
      <c r="A33" s="20" t="inlineStr">
        <is>
          <t>이익잉여금</t>
        </is>
      </c>
      <c r="B33" s="10" t="n"/>
      <c r="C33" s="21" t="n">
        <v>3462.717</v>
      </c>
      <c r="D33" s="22" t="n">
        <v>3539.93</v>
      </c>
      <c r="E33" s="22" t="n">
        <v>3680.351</v>
      </c>
      <c r="F33" s="22" t="n">
        <v>3757.07</v>
      </c>
      <c r="G33" s="22" t="n">
        <v>3974.256</v>
      </c>
      <c r="H33" s="21" t="n">
        <v>3082.601</v>
      </c>
      <c r="I33" s="22" t="n">
        <v>3240.475</v>
      </c>
      <c r="J33" s="22" t="n">
        <v>3264.874</v>
      </c>
      <c r="K33" s="22" t="n">
        <v>3336.119</v>
      </c>
      <c r="L33" s="22" t="n">
        <v>3680.351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5369.385</v>
      </c>
      <c r="D35" s="12" t="n">
        <v>5471.603</v>
      </c>
      <c r="E35" s="12" t="n">
        <v>5653.393</v>
      </c>
      <c r="F35" s="12" t="n">
        <v>5724.522</v>
      </c>
      <c r="G35" s="12" t="n">
        <v>5965.644</v>
      </c>
      <c r="H35" s="11" t="n">
        <v>4437.37</v>
      </c>
      <c r="I35" s="12" t="n">
        <v>4603.594</v>
      </c>
      <c r="J35" s="12" t="n">
        <v>4553.761</v>
      </c>
      <c r="K35" s="12" t="n">
        <v>5239.192</v>
      </c>
      <c r="L35" s="12" t="n">
        <v>5653.393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67.077</v>
      </c>
      <c r="D37" s="12" t="n"/>
      <c r="E37" s="12" t="n">
        <v>1338.434</v>
      </c>
      <c r="F37" s="12" t="n"/>
      <c r="G37" s="12" t="n">
        <v>754.731</v>
      </c>
      <c r="H37" s="11" t="n">
        <v>177.237</v>
      </c>
      <c r="I37" s="12" t="n">
        <v>-12.721</v>
      </c>
      <c r="J37" s="12" t="n">
        <v>-50.771</v>
      </c>
      <c r="K37" s="12" t="n">
        <v>135.356</v>
      </c>
      <c r="L37" s="12" t="n">
        <v>1338.434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79.11499999999999</v>
      </c>
      <c r="D38" s="22" t="n"/>
      <c r="E38" s="22" t="n">
        <v>106.619</v>
      </c>
      <c r="F38" s="22" t="n"/>
      <c r="G38" s="22" t="n">
        <v>103.662</v>
      </c>
      <c r="H38" s="21" t="n">
        <v>28.664</v>
      </c>
      <c r="I38" s="22" t="n">
        <v>337.383</v>
      </c>
      <c r="J38" s="22" t="n">
        <v>735.0940000000001</v>
      </c>
      <c r="K38" s="22" t="n">
        <v>76.18899999999999</v>
      </c>
      <c r="L38" s="22" t="n">
        <v>106.619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55.975</v>
      </c>
      <c r="D40" s="22" t="n"/>
      <c r="E40" s="22" t="n">
        <v>56.122</v>
      </c>
      <c r="F40" s="22" t="n"/>
      <c r="G40" s="22" t="n">
        <v>84.18000000000001</v>
      </c>
      <c r="H40" s="21" t="n">
        <v>42.074</v>
      </c>
      <c r="I40" s="22" t="n">
        <v>40.784</v>
      </c>
      <c r="J40" s="22" t="n">
        <v>41.749</v>
      </c>
      <c r="K40" s="22" t="n">
        <v>39.18</v>
      </c>
      <c r="L40" s="22" t="n">
        <v>56.122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1569.775</v>
      </c>
      <c r="D71" s="22" t="n">
        <v>2019.608</v>
      </c>
      <c r="E71" s="22" t="n">
        <v>2217.755</v>
      </c>
      <c r="F71" s="22" t="n">
        <v>1845.476</v>
      </c>
      <c r="G71" s="22" t="n">
        <v>1626.596</v>
      </c>
      <c r="H71" s="22" t="n">
        <v>526.79</v>
      </c>
      <c r="I71" s="22" t="n">
        <v>526.59</v>
      </c>
      <c r="J71" s="22" t="n">
        <v>644.225</v>
      </c>
      <c r="K71" s="22" t="n">
        <v>1746.664</v>
      </c>
      <c r="L71" s="22" t="n">
        <v>2217.755</v>
      </c>
    </row>
    <row r="72">
      <c r="A72" s="20" t="inlineStr">
        <is>
          <t>받을어음·매출채권·계약자산</t>
        </is>
      </c>
      <c r="C72" s="22" t="n">
        <v>1693.884</v>
      </c>
      <c r="D72" s="22" t="n">
        <v>1125.806</v>
      </c>
      <c r="H72" s="22" t="n">
        <v>0</v>
      </c>
      <c r="I72" s="22" t="n">
        <v>1589.421</v>
      </c>
      <c r="J72" s="22" t="n">
        <v>1777.384</v>
      </c>
      <c r="K72" s="22" t="n">
        <v>1728.851</v>
      </c>
    </row>
    <row r="73">
      <c r="A73" s="20" t="inlineStr">
        <is>
          <t>받을어음</t>
        </is>
      </c>
      <c r="E73" s="22" t="n">
        <v>21.394</v>
      </c>
      <c r="H73" s="22" t="n">
        <v>210.348</v>
      </c>
      <c r="I73" s="22" t="n">
        <v>157.262</v>
      </c>
      <c r="J73" s="22" t="n">
        <v>130.502</v>
      </c>
      <c r="K73" s="22" t="n">
        <v>75.458</v>
      </c>
      <c r="L73" s="22" t="n">
        <v>21.394</v>
      </c>
    </row>
    <row r="74">
      <c r="A74" s="20" t="inlineStr">
        <is>
          <t>받을어음·매출채권</t>
        </is>
      </c>
      <c r="E74" s="22" t="n">
        <v>916.652</v>
      </c>
      <c r="F74" s="22" t="n">
        <v>879.581</v>
      </c>
      <c r="G74" s="22" t="n">
        <v>1507.436</v>
      </c>
      <c r="H74" s="22" t="n">
        <v>1681.576</v>
      </c>
      <c r="L74" s="22" t="n">
        <v>916.652</v>
      </c>
    </row>
    <row r="75">
      <c r="A75" s="20" t="inlineStr">
        <is>
          <t>전자기록채권</t>
        </is>
      </c>
      <c r="C75" s="22" t="n">
        <v>712.549</v>
      </c>
      <c r="D75" s="22" t="n">
        <v>949.4299999999999</v>
      </c>
      <c r="E75" s="22" t="n">
        <v>698.593</v>
      </c>
      <c r="F75" s="22" t="n">
        <v>737.554</v>
      </c>
      <c r="G75" s="22" t="n">
        <v>737.5</v>
      </c>
      <c r="H75" s="22" t="n">
        <v>264.779</v>
      </c>
      <c r="I75" s="22" t="n">
        <v>455.131</v>
      </c>
      <c r="J75" s="22" t="n">
        <v>575.049</v>
      </c>
      <c r="K75" s="22" t="n">
        <v>520.079</v>
      </c>
      <c r="L75" s="22" t="n">
        <v>698.593</v>
      </c>
    </row>
    <row r="76">
      <c r="A76" s="20" t="inlineStr">
        <is>
          <t>매출채권</t>
        </is>
      </c>
      <c r="E76" s="22" t="n">
        <v>895.2569999999999</v>
      </c>
      <c r="H76" s="22" t="n">
        <v>1471.227</v>
      </c>
      <c r="I76" s="22" t="n">
        <v>1432.158</v>
      </c>
      <c r="J76" s="22" t="n">
        <v>1646.881</v>
      </c>
      <c r="K76" s="22" t="n">
        <v>1653.392</v>
      </c>
      <c r="L76" s="22" t="n">
        <v>895.2569999999999</v>
      </c>
    </row>
    <row r="77">
      <c r="A77" s="20" t="inlineStr">
        <is>
          <t>상품·제품</t>
        </is>
      </c>
      <c r="C77" s="22" t="n">
        <v>377.444</v>
      </c>
      <c r="D77" s="22" t="n">
        <v>434.274</v>
      </c>
      <c r="E77" s="22" t="n">
        <v>497.838</v>
      </c>
      <c r="F77" s="22" t="n">
        <v>507.787</v>
      </c>
      <c r="G77" s="22" t="n">
        <v>500.938</v>
      </c>
      <c r="H77" s="22" t="n">
        <v>433.821</v>
      </c>
      <c r="I77" s="22" t="n">
        <v>447.14</v>
      </c>
      <c r="J77" s="22" t="n">
        <v>378.141</v>
      </c>
      <c r="K77" s="22" t="n">
        <v>463.58</v>
      </c>
      <c r="L77" s="22" t="n">
        <v>497.838</v>
      </c>
    </row>
    <row r="78">
      <c r="A78" s="20" t="inlineStr">
        <is>
          <t>재공품</t>
        </is>
      </c>
      <c r="C78" s="22" t="n">
        <v>352.014</v>
      </c>
      <c r="D78" s="22" t="n">
        <v>339.93</v>
      </c>
      <c r="E78" s="22" t="n">
        <v>360.36</v>
      </c>
      <c r="F78" s="22" t="n">
        <v>397.084</v>
      </c>
      <c r="G78" s="22" t="n">
        <v>418.885</v>
      </c>
      <c r="H78" s="22" t="n">
        <v>239.098</v>
      </c>
      <c r="I78" s="22" t="n">
        <v>266.051</v>
      </c>
      <c r="J78" s="22" t="n">
        <v>261.673</v>
      </c>
      <c r="K78" s="22" t="n">
        <v>354.729</v>
      </c>
      <c r="L78" s="22" t="n">
        <v>360.36</v>
      </c>
    </row>
    <row r="79">
      <c r="A79" s="20" t="inlineStr">
        <is>
          <t>원재료·저장품</t>
        </is>
      </c>
      <c r="C79" s="22" t="n">
        <v>746.442</v>
      </c>
      <c r="D79" s="22" t="n">
        <v>710.859</v>
      </c>
      <c r="E79" s="22" t="n">
        <v>792.133</v>
      </c>
      <c r="F79" s="22" t="n">
        <v>967.3390000000001</v>
      </c>
      <c r="G79" s="22" t="n">
        <v>1081.087</v>
      </c>
      <c r="H79" s="22" t="n">
        <v>465.782</v>
      </c>
      <c r="I79" s="22" t="n">
        <v>588.577</v>
      </c>
      <c r="J79" s="22" t="n">
        <v>603.776</v>
      </c>
      <c r="K79" s="22" t="n">
        <v>645.278</v>
      </c>
      <c r="L79" s="22" t="n">
        <v>792.133</v>
      </c>
    </row>
    <row r="80">
      <c r="A80" s="20" t="inlineStr">
        <is>
          <t>선급금</t>
        </is>
      </c>
      <c r="E80" s="22" t="n">
        <v>2.629</v>
      </c>
      <c r="H80" s="22" t="n">
        <v>15.002</v>
      </c>
      <c r="I80" s="22" t="n">
        <v>3.485</v>
      </c>
      <c r="J80" s="22" t="n">
        <v>3.084</v>
      </c>
      <c r="K80" s="22" t="n">
        <v>6.962</v>
      </c>
      <c r="L80" s="22" t="n">
        <v>2.629</v>
      </c>
    </row>
    <row r="81">
      <c r="A81" s="20" t="inlineStr">
        <is>
          <t>선급비용</t>
        </is>
      </c>
      <c r="E81" s="22" t="n">
        <v>33.63</v>
      </c>
      <c r="H81" s="22" t="n">
        <v>7.207</v>
      </c>
      <c r="I81" s="22" t="n">
        <v>16.286</v>
      </c>
      <c r="J81" s="22" t="n">
        <v>14.722</v>
      </c>
      <c r="K81" s="22" t="n">
        <v>19.309</v>
      </c>
      <c r="L81" s="22" t="n">
        <v>33.63</v>
      </c>
    </row>
    <row r="82">
      <c r="A82" s="20" t="inlineStr">
        <is>
          <t>미수금</t>
        </is>
      </c>
      <c r="E82" s="22" t="n">
        <v>24.307</v>
      </c>
      <c r="H82" s="22" t="n">
        <v>9.102</v>
      </c>
      <c r="I82" s="22" t="n">
        <v>16.019</v>
      </c>
      <c r="J82" s="22" t="n">
        <v>16.38</v>
      </c>
      <c r="K82" s="22" t="n">
        <v>11.385</v>
      </c>
      <c r="L82" s="22" t="n">
        <v>24.307</v>
      </c>
    </row>
    <row r="83">
      <c r="A83" s="20" t="inlineStr">
        <is>
          <t>미수 소비세</t>
        </is>
      </c>
      <c r="I83" s="22" t="n">
        <v>0</v>
      </c>
      <c r="J83" s="22" t="n">
        <v>128</v>
      </c>
      <c r="K83" s="22" t="n">
        <v>0</v>
      </c>
    </row>
    <row r="84">
      <c r="A84" s="20" t="inlineStr">
        <is>
          <t>기타</t>
        </is>
      </c>
      <c r="C84" s="22" t="n">
        <v>50.105</v>
      </c>
      <c r="D84" s="22" t="n">
        <v>45.312</v>
      </c>
      <c r="E84" s="22" t="n">
        <v>61.497</v>
      </c>
      <c r="F84" s="22" t="n">
        <v>63.732</v>
      </c>
      <c r="G84" s="22" t="n">
        <v>75.73099999999999</v>
      </c>
      <c r="H84" s="22" t="n">
        <v>0.288</v>
      </c>
      <c r="I84" s="22" t="n">
        <v>9.382999999999999</v>
      </c>
      <c r="J84" s="22" t="n">
        <v>0.08400000000000001</v>
      </c>
      <c r="K84" s="22" t="n">
        <v>2.074</v>
      </c>
      <c r="L84" s="22" t="n">
        <v>61.497</v>
      </c>
    </row>
    <row r="85">
      <c r="A85" s="20" t="inlineStr">
        <is>
          <t>대손충당금</t>
        </is>
      </c>
      <c r="C85" s="22" t="n">
        <v>-0.354</v>
      </c>
      <c r="D85" s="22" t="n">
        <v>-0.317</v>
      </c>
      <c r="E85" s="22" t="n">
        <v>-0.24</v>
      </c>
      <c r="F85" s="22" t="n">
        <v>-0.181</v>
      </c>
      <c r="G85" s="22" t="n">
        <v>-0.252</v>
      </c>
      <c r="H85" s="22" t="n">
        <v>-2.069</v>
      </c>
      <c r="I85" s="22" t="n">
        <v>-2.484</v>
      </c>
      <c r="J85" s="22" t="n">
        <v>-0.358</v>
      </c>
      <c r="K85" s="22" t="n">
        <v>-0.343</v>
      </c>
      <c r="L85" s="22" t="n">
        <v>-0.24</v>
      </c>
    </row>
    <row r="86">
      <c r="A86" s="9" t="inlineStr">
        <is>
          <t>유동자산 합계</t>
        </is>
      </c>
      <c r="C86" s="12" t="n">
        <v>5501.862</v>
      </c>
      <c r="D86" s="12" t="n">
        <v>5624.905</v>
      </c>
      <c r="E86" s="12" t="n">
        <v>5544.59</v>
      </c>
      <c r="F86" s="12" t="n">
        <v>5398.376</v>
      </c>
      <c r="G86" s="12" t="n">
        <v>5947.923</v>
      </c>
      <c r="H86" s="12" t="n">
        <v>3641.381</v>
      </c>
      <c r="I86" s="12" t="n">
        <v>3915.603</v>
      </c>
      <c r="J86" s="12" t="n">
        <v>4402.165</v>
      </c>
      <c r="K86" s="12" t="n">
        <v>5498.572</v>
      </c>
      <c r="L86" s="12" t="n">
        <v>5544.59</v>
      </c>
    </row>
    <row r="87">
      <c r="A87" s="20" t="inlineStr">
        <is>
          <t>건물(순액)</t>
        </is>
      </c>
      <c r="C87" s="22" t="n">
        <v>2098.642</v>
      </c>
      <c r="D87" s="22" t="n">
        <v>2085.943</v>
      </c>
      <c r="E87" s="22" t="n">
        <v>2056.827</v>
      </c>
      <c r="F87" s="22" t="n">
        <v>2028.419</v>
      </c>
      <c r="G87" s="22" t="n">
        <v>2015.692</v>
      </c>
      <c r="H87" s="22" t="n">
        <v>1996.755</v>
      </c>
      <c r="I87" s="22" t="n">
        <v>1505.431</v>
      </c>
      <c r="J87" s="22" t="n">
        <v>2249.062</v>
      </c>
      <c r="K87" s="22" t="n">
        <v>2155.425</v>
      </c>
      <c r="L87" s="22" t="n">
        <v>2056.827</v>
      </c>
    </row>
    <row r="88">
      <c r="A88" s="20" t="inlineStr">
        <is>
          <t>구축물(순액)</t>
        </is>
      </c>
      <c r="E88" s="22" t="n">
        <v>84.46299999999999</v>
      </c>
      <c r="H88" s="22" t="n">
        <v>78.58199999999999</v>
      </c>
      <c r="I88" s="22" t="n">
        <v>54.27</v>
      </c>
      <c r="J88" s="22" t="n">
        <v>101.184</v>
      </c>
      <c r="K88" s="22" t="n">
        <v>88.10299999999999</v>
      </c>
      <c r="L88" s="22" t="n">
        <v>84.46299999999999</v>
      </c>
    </row>
    <row r="89">
      <c r="A89" s="20" t="inlineStr">
        <is>
          <t>기계장치(순액)</t>
        </is>
      </c>
      <c r="E89" s="22" t="n">
        <v>56.129</v>
      </c>
      <c r="H89" s="22" t="n">
        <v>72.04300000000001</v>
      </c>
      <c r="I89" s="22" t="n">
        <v>53.365</v>
      </c>
      <c r="J89" s="22" t="n">
        <v>45.537</v>
      </c>
      <c r="K89" s="22" t="n">
        <v>45.728</v>
      </c>
      <c r="L89" s="22" t="n">
        <v>56.129</v>
      </c>
    </row>
    <row r="90">
      <c r="A90" s="20" t="inlineStr">
        <is>
          <t>차량운반구(순액)</t>
        </is>
      </c>
      <c r="E90" s="22" t="n">
        <v>9.941000000000001</v>
      </c>
      <c r="H90" s="22" t="n">
        <v>10.947</v>
      </c>
      <c r="I90" s="22" t="n">
        <v>13.223</v>
      </c>
      <c r="J90" s="22" t="n">
        <v>20.675</v>
      </c>
      <c r="K90" s="22" t="n">
        <v>15.847</v>
      </c>
      <c r="L90" s="22" t="n">
        <v>9.941000000000001</v>
      </c>
    </row>
    <row r="91">
      <c r="A91" s="20" t="inlineStr">
        <is>
          <t>공구·기구·비품(순액)</t>
        </is>
      </c>
      <c r="E91" s="22" t="n">
        <v>43.792</v>
      </c>
      <c r="H91" s="22" t="n">
        <v>14.37</v>
      </c>
      <c r="I91" s="22" t="n">
        <v>13.44</v>
      </c>
      <c r="J91" s="22" t="n">
        <v>42.496</v>
      </c>
      <c r="K91" s="22" t="n">
        <v>41.578</v>
      </c>
      <c r="L91" s="22" t="n">
        <v>43.792</v>
      </c>
    </row>
    <row r="92">
      <c r="A92" s="20" t="inlineStr">
        <is>
          <t>토지</t>
        </is>
      </c>
      <c r="C92" s="22" t="n">
        <v>414.77</v>
      </c>
      <c r="D92" s="22" t="n">
        <v>414.77</v>
      </c>
      <c r="E92" s="22" t="n">
        <v>414.77</v>
      </c>
      <c r="F92" s="22" t="n">
        <v>414.77</v>
      </c>
      <c r="G92" s="22" t="n">
        <v>414.77</v>
      </c>
      <c r="H92" s="22" t="n">
        <v>917.525</v>
      </c>
      <c r="I92" s="22" t="n">
        <v>414.77</v>
      </c>
      <c r="J92" s="22" t="n">
        <v>414.77</v>
      </c>
      <c r="K92" s="22" t="n">
        <v>414.77</v>
      </c>
      <c r="L92" s="22" t="n">
        <v>414.77</v>
      </c>
    </row>
    <row r="93">
      <c r="A93" s="20" t="inlineStr">
        <is>
          <t>리스자산</t>
        </is>
      </c>
      <c r="I93" s="22" t="n">
        <v>0.511</v>
      </c>
      <c r="J93" s="22" t="n">
        <v>52.933</v>
      </c>
    </row>
    <row r="94">
      <c r="A94" s="20" t="inlineStr">
        <is>
          <t>리스자산(순액)</t>
        </is>
      </c>
      <c r="E94" s="22" t="n">
        <v>41.841</v>
      </c>
      <c r="J94" s="22" t="n">
        <v>52.933</v>
      </c>
      <c r="K94" s="22" t="n">
        <v>47.359</v>
      </c>
      <c r="L94" s="22" t="n">
        <v>41.841</v>
      </c>
    </row>
    <row r="95">
      <c r="A95" s="20" t="inlineStr">
        <is>
          <t>건설중인자산</t>
        </is>
      </c>
      <c r="E95" s="22" t="n">
        <v>3.3</v>
      </c>
      <c r="H95" s="22" t="n">
        <v>0</v>
      </c>
      <c r="I95" s="22" t="n">
        <v>293.7</v>
      </c>
      <c r="J95" s="22" t="n">
        <v>0</v>
      </c>
      <c r="K95" s="22" t="n">
        <v>5.396</v>
      </c>
      <c r="L95" s="22" t="n">
        <v>3.3</v>
      </c>
    </row>
    <row r="96">
      <c r="A96" s="20" t="inlineStr">
        <is>
          <t>기타(순액)</t>
        </is>
      </c>
      <c r="C96" s="22" t="n">
        <v>251.411</v>
      </c>
      <c r="D96" s="22" t="n">
        <v>234.751</v>
      </c>
      <c r="E96" s="22" t="n">
        <v>239.47</v>
      </c>
      <c r="F96" s="22" t="n">
        <v>241.423</v>
      </c>
      <c r="G96" s="22" t="n">
        <v>239.952</v>
      </c>
      <c r="H96" s="22" t="n">
        <v>1.641</v>
      </c>
      <c r="I96" s="22" t="n">
        <v>428.509</v>
      </c>
      <c r="J96" s="22" t="n">
        <v>262.826</v>
      </c>
      <c r="K96" s="22" t="n">
        <v>244.013</v>
      </c>
      <c r="L96" s="22" t="n">
        <v>239.47</v>
      </c>
    </row>
    <row r="97">
      <c r="A97" s="20" t="inlineStr">
        <is>
          <t>유형자산 합계</t>
        </is>
      </c>
      <c r="C97" s="22" t="n">
        <v>2764.824</v>
      </c>
      <c r="D97" s="22" t="n">
        <v>2735.464</v>
      </c>
      <c r="E97" s="22" t="n">
        <v>2711.068</v>
      </c>
      <c r="F97" s="22" t="n">
        <v>2684.612</v>
      </c>
      <c r="G97" s="22" t="n">
        <v>2670.415</v>
      </c>
      <c r="H97" s="22" t="n">
        <v>3091.866</v>
      </c>
      <c r="I97" s="22" t="n">
        <v>2348.711</v>
      </c>
      <c r="J97" s="22" t="n">
        <v>2926.658</v>
      </c>
      <c r="K97" s="22" t="n">
        <v>2814.209</v>
      </c>
      <c r="L97" s="22" t="n">
        <v>2711.068</v>
      </c>
    </row>
    <row r="98">
      <c r="A98" s="20" t="inlineStr">
        <is>
          <t>소프트웨어</t>
        </is>
      </c>
      <c r="E98" s="22" t="n">
        <v>2.879</v>
      </c>
      <c r="H98" s="22" t="n">
        <v>12.709</v>
      </c>
      <c r="I98" s="22" t="n">
        <v>10.439</v>
      </c>
      <c r="J98" s="22" t="n">
        <v>10.903</v>
      </c>
      <c r="K98" s="22" t="n">
        <v>6.883</v>
      </c>
      <c r="L98" s="22" t="n">
        <v>2.879</v>
      </c>
    </row>
    <row r="99">
      <c r="A99" s="20" t="inlineStr">
        <is>
          <t>기타</t>
        </is>
      </c>
      <c r="H99" s="22" t="n">
        <v>0</v>
      </c>
    </row>
    <row r="100">
      <c r="A100" s="20" t="inlineStr">
        <is>
          <t>개발 중 소프트웨어</t>
        </is>
      </c>
      <c r="E100" s="22" t="n">
        <v>20.705</v>
      </c>
      <c r="H100" s="22" t="n">
        <v>0</v>
      </c>
      <c r="I100" s="22" t="n">
        <v>3.234</v>
      </c>
      <c r="J100" s="22" t="n">
        <v>6.238</v>
      </c>
      <c r="K100" s="22" t="n">
        <v>13.087</v>
      </c>
      <c r="L100" s="22" t="n">
        <v>20.705</v>
      </c>
    </row>
    <row r="101">
      <c r="A101" s="20" t="inlineStr">
        <is>
          <t>무형자산</t>
        </is>
      </c>
      <c r="C101" s="22" t="n">
        <v>15.981</v>
      </c>
      <c r="D101" s="22" t="n">
        <v>21.246</v>
      </c>
      <c r="E101" s="22" t="n">
        <v>23.584</v>
      </c>
      <c r="F101" s="22" t="n">
        <v>22.849</v>
      </c>
      <c r="G101" s="22" t="n">
        <v>22.563</v>
      </c>
      <c r="H101" s="22" t="n">
        <v>12.709</v>
      </c>
      <c r="I101" s="22" t="n">
        <v>13.673</v>
      </c>
      <c r="J101" s="22" t="n">
        <v>17.141</v>
      </c>
      <c r="K101" s="22" t="n">
        <v>19.971</v>
      </c>
      <c r="L101" s="22" t="n">
        <v>23.584</v>
      </c>
    </row>
    <row r="102">
      <c r="A102" s="20" t="inlineStr">
        <is>
          <t>투자유가증권</t>
        </is>
      </c>
      <c r="E102" s="22" t="n">
        <v>316.981</v>
      </c>
      <c r="H102" s="22" t="n">
        <v>119.296</v>
      </c>
      <c r="I102" s="22" t="n">
        <v>131.232</v>
      </c>
      <c r="J102" s="22" t="n">
        <v>180.503</v>
      </c>
      <c r="K102" s="22" t="n">
        <v>213.933</v>
      </c>
      <c r="L102" s="22" t="n">
        <v>316.981</v>
      </c>
    </row>
    <row r="103">
      <c r="A103" s="20" t="inlineStr">
        <is>
          <t>관계회사 출자금</t>
        </is>
      </c>
      <c r="H103" s="22" t="n">
        <v>43.179</v>
      </c>
      <c r="I103" s="22" t="n">
        <v>0</v>
      </c>
    </row>
    <row r="104">
      <c r="A104" s="20" t="inlineStr">
        <is>
          <t>이연법인세자산</t>
        </is>
      </c>
      <c r="E104" s="22" t="n">
        <v>17.083</v>
      </c>
      <c r="H104" s="22" t="n">
        <v>4.938</v>
      </c>
      <c r="I104" s="22" t="n">
        <v>24.312</v>
      </c>
      <c r="J104" s="22" t="n">
        <v>24.282</v>
      </c>
      <c r="K104" s="22" t="n">
        <v>49.902</v>
      </c>
      <c r="L104" s="22" t="n">
        <v>17.083</v>
      </c>
    </row>
    <row r="105">
      <c r="A105" s="20" t="inlineStr">
        <is>
          <t>투자부동산(순액)</t>
        </is>
      </c>
      <c r="C105" s="22" t="n">
        <v>1572.306</v>
      </c>
      <c r="D105" s="22" t="n">
        <v>1571.906</v>
      </c>
      <c r="E105" s="22" t="n">
        <v>1571.506</v>
      </c>
      <c r="F105" s="22" t="n">
        <v>1571.118</v>
      </c>
      <c r="G105" s="22" t="n">
        <v>1570.761</v>
      </c>
      <c r="H105" s="22" t="n">
        <v>1578.277</v>
      </c>
      <c r="I105" s="22" t="n">
        <v>1576.408</v>
      </c>
      <c r="J105" s="22" t="n">
        <v>1574.742</v>
      </c>
      <c r="K105" s="22" t="n">
        <v>1573.107</v>
      </c>
      <c r="L105" s="22" t="n">
        <v>1571.506</v>
      </c>
    </row>
    <row r="106">
      <c r="A106" s="20" t="inlineStr">
        <is>
          <t>파산갱생채권 등</t>
        </is>
      </c>
      <c r="E106" s="22" t="n">
        <v>5.541</v>
      </c>
      <c r="K106" s="22" t="n">
        <v>0</v>
      </c>
      <c r="L106" s="22" t="n">
        <v>5.541</v>
      </c>
    </row>
    <row r="107">
      <c r="A107" s="20" t="inlineStr">
        <is>
          <t>기타</t>
        </is>
      </c>
      <c r="C107" s="22" t="n">
        <v>377.232</v>
      </c>
      <c r="D107" s="22" t="n">
        <v>408.868</v>
      </c>
      <c r="E107" s="22" t="n">
        <v>434.018</v>
      </c>
      <c r="F107" s="22" t="n">
        <v>426.566</v>
      </c>
      <c r="G107" s="22" t="n">
        <v>445.475</v>
      </c>
      <c r="H107" s="22" t="n">
        <v>51.036</v>
      </c>
      <c r="I107" s="22" t="n">
        <v>46.853</v>
      </c>
      <c r="J107" s="22" t="n">
        <v>23.051</v>
      </c>
      <c r="K107" s="22" t="n">
        <v>105.819</v>
      </c>
      <c r="L107" s="22" t="n">
        <v>434.018</v>
      </c>
    </row>
    <row r="108">
      <c r="A108" s="20" t="inlineStr">
        <is>
          <t>대손충당금</t>
        </is>
      </c>
      <c r="E108" s="22" t="n">
        <v>-5.541</v>
      </c>
      <c r="I108" s="22" t="n">
        <v>0</v>
      </c>
      <c r="K108" s="22" t="n">
        <v>0</v>
      </c>
      <c r="L108" s="22" t="n">
        <v>-5.541</v>
      </c>
    </row>
    <row r="109">
      <c r="A109" s="20" t="inlineStr">
        <is>
          <t>투자 및 기타자산 합계</t>
        </is>
      </c>
      <c r="C109" s="22" t="n">
        <v>1949.539</v>
      </c>
      <c r="D109" s="22" t="n">
        <v>1980.774</v>
      </c>
      <c r="E109" s="22" t="n">
        <v>2005.524</v>
      </c>
      <c r="F109" s="22" t="n">
        <v>1997.684</v>
      </c>
      <c r="G109" s="22" t="n">
        <v>2016.237</v>
      </c>
      <c r="H109" s="22" t="n">
        <v>1796.728</v>
      </c>
      <c r="I109" s="22" t="n">
        <v>1778.807</v>
      </c>
      <c r="J109" s="22" t="n">
        <v>1802.579</v>
      </c>
      <c r="K109" s="22" t="n">
        <v>1942.763</v>
      </c>
      <c r="L109" s="22" t="n">
        <v>2005.524</v>
      </c>
    </row>
    <row r="110">
      <c r="A110" s="9" t="inlineStr">
        <is>
          <t>비유동자산 합계</t>
        </is>
      </c>
      <c r="C110" s="12" t="n">
        <v>4730.345</v>
      </c>
      <c r="D110" s="12" t="n">
        <v>4737.485</v>
      </c>
      <c r="E110" s="12" t="n">
        <v>4740.177</v>
      </c>
      <c r="F110" s="12" t="n">
        <v>4705.146</v>
      </c>
      <c r="G110" s="12" t="n">
        <v>4709.216</v>
      </c>
      <c r="H110" s="12" t="n">
        <v>4901.304</v>
      </c>
      <c r="I110" s="12" t="n">
        <v>4141.191</v>
      </c>
      <c r="J110" s="12" t="n">
        <v>4746.38</v>
      </c>
      <c r="K110" s="12" t="n">
        <v>4776.944</v>
      </c>
      <c r="L110" s="12" t="n">
        <v>4740.177</v>
      </c>
    </row>
    <row r="111">
      <c r="A111" s="9" t="inlineStr">
        <is>
          <t>자산 합계</t>
        </is>
      </c>
      <c r="C111" s="12" t="n">
        <v>10232.208</v>
      </c>
      <c r="D111" s="12" t="n">
        <v>10362.391</v>
      </c>
      <c r="E111" s="12" t="n">
        <v>10284.767</v>
      </c>
      <c r="F111" s="12" t="n">
        <v>10103.523</v>
      </c>
      <c r="G111" s="12" t="n">
        <v>10657.14</v>
      </c>
      <c r="H111" s="12" t="n">
        <v>8542.686</v>
      </c>
      <c r="I111" s="12" t="n">
        <v>8056.795</v>
      </c>
      <c r="J111" s="12" t="n">
        <v>9148.545</v>
      </c>
      <c r="K111" s="12" t="n">
        <v>10275.516</v>
      </c>
      <c r="L111" s="12" t="n">
        <v>10284.767</v>
      </c>
    </row>
    <row r="112">
      <c r="A112" s="20" t="inlineStr">
        <is>
          <t>지급어음·매입채무</t>
        </is>
      </c>
      <c r="C112" s="22" t="n">
        <v>289.931</v>
      </c>
      <c r="D112" s="22" t="n">
        <v>424.869</v>
      </c>
      <c r="H112" s="22" t="n">
        <v>285.158</v>
      </c>
      <c r="I112" s="22" t="n">
        <v>270.551</v>
      </c>
      <c r="J112" s="22" t="n">
        <v>370.194</v>
      </c>
      <c r="K112" s="22" t="n">
        <v>360.344</v>
      </c>
    </row>
    <row r="113">
      <c r="A113" s="20" t="inlineStr">
        <is>
          <t>지급어음</t>
        </is>
      </c>
      <c r="E113" s="22" t="n">
        <v>0</v>
      </c>
      <c r="H113" s="22" t="n">
        <v>9.260999999999999</v>
      </c>
      <c r="I113" s="22" t="n">
        <v>11.56</v>
      </c>
      <c r="J113" s="22" t="n">
        <v>14.076</v>
      </c>
      <c r="K113" s="22" t="n">
        <v>13.296</v>
      </c>
      <c r="L113" s="22" t="n">
        <v>0</v>
      </c>
    </row>
    <row r="114">
      <c r="A114" s="20" t="inlineStr">
        <is>
          <t>매입채무</t>
        </is>
      </c>
      <c r="E114" s="22" t="n">
        <v>412.064</v>
      </c>
      <c r="F114" s="22" t="n">
        <v>446.887</v>
      </c>
      <c r="G114" s="22" t="n">
        <v>452.207</v>
      </c>
      <c r="H114" s="22" t="n">
        <v>275.897</v>
      </c>
      <c r="I114" s="22" t="n">
        <v>258.99</v>
      </c>
      <c r="J114" s="22" t="n">
        <v>356.117</v>
      </c>
      <c r="K114" s="22" t="n">
        <v>347.048</v>
      </c>
      <c r="L114" s="22" t="n">
        <v>412.064</v>
      </c>
    </row>
    <row r="115">
      <c r="A115" s="20" t="inlineStr">
        <is>
          <t>전자기록채무</t>
        </is>
      </c>
      <c r="C115" s="22" t="n">
        <v>551.726</v>
      </c>
      <c r="D115" s="22" t="n">
        <v>623.779</v>
      </c>
      <c r="E115" s="22" t="n">
        <v>805.809</v>
      </c>
      <c r="F115" s="22" t="n">
        <v>663.062</v>
      </c>
      <c r="G115" s="22" t="n">
        <v>754.106</v>
      </c>
      <c r="H115" s="22" t="n">
        <v>749.825</v>
      </c>
      <c r="I115" s="22" t="n">
        <v>688.986</v>
      </c>
      <c r="J115" s="22" t="n">
        <v>761.001</v>
      </c>
      <c r="K115" s="22" t="n">
        <v>622.248</v>
      </c>
      <c r="L115" s="22" t="n">
        <v>805.809</v>
      </c>
    </row>
    <row r="116">
      <c r="A116" s="20" t="inlineStr">
        <is>
          <t>단기차입금</t>
        </is>
      </c>
      <c r="C116" s="22" t="n">
        <v>1200</v>
      </c>
      <c r="D116" s="22" t="n">
        <v>1000</v>
      </c>
      <c r="E116" s="22" t="n">
        <v>600</v>
      </c>
      <c r="F116" s="22" t="n">
        <v>600</v>
      </c>
      <c r="G116" s="22" t="n">
        <v>800</v>
      </c>
      <c r="H116" s="22" t="n">
        <v>700</v>
      </c>
      <c r="I116" s="22" t="n">
        <v>700</v>
      </c>
      <c r="J116" s="22" t="n">
        <v>900</v>
      </c>
      <c r="K116" s="22" t="n">
        <v>1200</v>
      </c>
      <c r="L116" s="22" t="n">
        <v>600</v>
      </c>
    </row>
    <row r="117">
      <c r="A117" s="20" t="inlineStr">
        <is>
          <t>1년 내 상환 장기차입금</t>
        </is>
      </c>
      <c r="C117" s="22" t="n">
        <v>182.096</v>
      </c>
      <c r="D117" s="22" t="n">
        <v>182.096</v>
      </c>
      <c r="E117" s="22" t="n">
        <v>182.096</v>
      </c>
      <c r="F117" s="22" t="n">
        <v>189.648</v>
      </c>
      <c r="G117" s="22" t="n">
        <v>182.096</v>
      </c>
      <c r="H117" s="22" t="n">
        <v>110.148</v>
      </c>
      <c r="I117" s="22" t="n">
        <v>85.148</v>
      </c>
      <c r="J117" s="22" t="n">
        <v>161.972</v>
      </c>
      <c r="K117" s="22" t="n">
        <v>182.096</v>
      </c>
      <c r="L117" s="22" t="n">
        <v>182.096</v>
      </c>
    </row>
    <row r="118">
      <c r="A118" s="20" t="inlineStr">
        <is>
          <t>리스부채</t>
        </is>
      </c>
      <c r="E118" s="22" t="n">
        <v>6.069</v>
      </c>
      <c r="I118" s="22" t="n">
        <v>0.243</v>
      </c>
      <c r="J118" s="22" t="n">
        <v>6.069</v>
      </c>
      <c r="K118" s="22" t="n">
        <v>6.069</v>
      </c>
      <c r="L118" s="22" t="n">
        <v>6.069</v>
      </c>
    </row>
    <row r="119">
      <c r="A119" s="20" t="inlineStr">
        <is>
          <t>미지급금</t>
        </is>
      </c>
      <c r="E119" s="22" t="n">
        <v>92.123</v>
      </c>
      <c r="H119" s="22" t="n">
        <v>43.243</v>
      </c>
      <c r="I119" s="22" t="n">
        <v>49.431</v>
      </c>
      <c r="J119" s="22" t="n">
        <v>75.59699999999999</v>
      </c>
      <c r="K119" s="22" t="n">
        <v>60.548</v>
      </c>
      <c r="L119" s="22" t="n">
        <v>92.123</v>
      </c>
    </row>
    <row r="120">
      <c r="A120" s="20" t="inlineStr">
        <is>
          <t>미지급비용</t>
        </is>
      </c>
      <c r="E120" s="22" t="n">
        <v>2.701</v>
      </c>
      <c r="H120" s="22" t="n">
        <v>13.275</v>
      </c>
      <c r="I120" s="22" t="n">
        <v>3.336</v>
      </c>
      <c r="J120" s="22" t="n">
        <v>4.735</v>
      </c>
      <c r="K120" s="22" t="n">
        <v>2.737</v>
      </c>
      <c r="L120" s="22" t="n">
        <v>2.701</v>
      </c>
    </row>
    <row r="121">
      <c r="A121" s="20" t="inlineStr">
        <is>
          <t>미지급법인세</t>
        </is>
      </c>
      <c r="E121" s="22" t="n">
        <v>142.497</v>
      </c>
      <c r="G121" s="22" t="n">
        <v>186.786</v>
      </c>
      <c r="H121" s="22" t="n">
        <v>39.947</v>
      </c>
      <c r="I121" s="22" t="n">
        <v>8.441000000000001</v>
      </c>
      <c r="J121" s="22" t="n">
        <v>10.084</v>
      </c>
      <c r="K121" s="22" t="n">
        <v>34.651</v>
      </c>
      <c r="L121" s="22" t="n">
        <v>142.497</v>
      </c>
    </row>
    <row r="122">
      <c r="A122" s="20" t="inlineStr">
        <is>
          <t>미지급 소비세</t>
        </is>
      </c>
      <c r="E122" s="22" t="n">
        <v>68.75</v>
      </c>
      <c r="H122" s="22" t="n">
        <v>11.669</v>
      </c>
      <c r="I122" s="22" t="n">
        <v>78.289</v>
      </c>
      <c r="J122" s="22" t="n">
        <v>0</v>
      </c>
      <c r="K122" s="22" t="n">
        <v>78.205</v>
      </c>
      <c r="L122" s="22" t="n">
        <v>68.75</v>
      </c>
    </row>
    <row r="123">
      <c r="A123" s="20" t="inlineStr">
        <is>
          <t>계약부채</t>
        </is>
      </c>
      <c r="E123" s="22" t="n">
        <v>0.101</v>
      </c>
      <c r="H123" s="22" t="n">
        <v>0</v>
      </c>
      <c r="I123" s="22" t="n">
        <v>9.061999999999999</v>
      </c>
      <c r="J123" s="22" t="n">
        <v>0</v>
      </c>
      <c r="K123" s="22" t="n">
        <v>0.833</v>
      </c>
      <c r="L123" s="22" t="n">
        <v>0.101</v>
      </c>
    </row>
    <row r="124">
      <c r="A124" s="20" t="inlineStr">
        <is>
          <t>예수금</t>
        </is>
      </c>
      <c r="E124" s="22" t="n">
        <v>42.036</v>
      </c>
      <c r="H124" s="22" t="n">
        <v>12.622</v>
      </c>
      <c r="I124" s="22" t="n">
        <v>12.837</v>
      </c>
      <c r="J124" s="22" t="n">
        <v>12.566</v>
      </c>
      <c r="K124" s="22" t="n">
        <v>13.418</v>
      </c>
      <c r="L124" s="22" t="n">
        <v>42.036</v>
      </c>
    </row>
    <row r="125">
      <c r="A125" s="20" t="inlineStr">
        <is>
          <t>선수수익</t>
        </is>
      </c>
      <c r="E125" s="22" t="n">
        <v>5.966</v>
      </c>
      <c r="H125" s="22" t="n">
        <v>5.663</v>
      </c>
      <c r="I125" s="22" t="n">
        <v>5.663</v>
      </c>
      <c r="J125" s="22" t="n">
        <v>5.663</v>
      </c>
      <c r="K125" s="22" t="n">
        <v>5.663</v>
      </c>
      <c r="L125" s="22" t="n">
        <v>5.966</v>
      </c>
    </row>
    <row r="126">
      <c r="A126" s="20" t="inlineStr">
        <is>
          <t>상여충당금</t>
        </is>
      </c>
      <c r="C126" s="22" t="n">
        <v>24.39</v>
      </c>
      <c r="D126" s="22" t="n">
        <v>60.457</v>
      </c>
      <c r="E126" s="22" t="n">
        <v>16.467</v>
      </c>
      <c r="F126" s="22" t="n">
        <v>36.668</v>
      </c>
      <c r="G126" s="22" t="n">
        <v>25.639</v>
      </c>
      <c r="H126" s="22" t="n">
        <v>20.604</v>
      </c>
      <c r="I126" s="22" t="n">
        <v>22.33</v>
      </c>
      <c r="J126" s="22" t="n">
        <v>20.673</v>
      </c>
      <c r="K126" s="22" t="n">
        <v>16.585</v>
      </c>
      <c r="L126" s="22" t="n">
        <v>16.467</v>
      </c>
    </row>
    <row r="127">
      <c r="A127" s="20" t="inlineStr">
        <is>
          <t>자산복구부채</t>
        </is>
      </c>
      <c r="I127" s="22" t="n">
        <v>0</v>
      </c>
    </row>
    <row r="128">
      <c r="A128" s="20" t="inlineStr">
        <is>
          <t>기타</t>
        </is>
      </c>
      <c r="C128" s="22" t="n">
        <v>260.59</v>
      </c>
      <c r="D128" s="22" t="n">
        <v>306.451</v>
      </c>
      <c r="E128" s="22" t="n">
        <v>228.889</v>
      </c>
      <c r="F128" s="22" t="n">
        <v>255.286</v>
      </c>
      <c r="G128" s="22" t="n">
        <v>139.506</v>
      </c>
      <c r="H128" s="22" t="n">
        <v>0.972</v>
      </c>
      <c r="I128" s="22" t="n">
        <v>8.407</v>
      </c>
      <c r="J128" s="22" t="n">
        <v>10.663</v>
      </c>
      <c r="K128" s="22" t="n">
        <v>10.116</v>
      </c>
      <c r="L128" s="22" t="n">
        <v>228.889</v>
      </c>
    </row>
    <row r="129">
      <c r="A129" s="9" t="inlineStr">
        <is>
          <t>유동부채 합계</t>
        </is>
      </c>
      <c r="C129" s="12" t="n">
        <v>2508.734</v>
      </c>
      <c r="D129" s="12" t="n">
        <v>2597.652</v>
      </c>
      <c r="E129" s="12" t="n">
        <v>2387.825</v>
      </c>
      <c r="F129" s="12" t="n">
        <v>2191.552</v>
      </c>
      <c r="G129" s="12" t="n">
        <v>2540.341</v>
      </c>
      <c r="H129" s="12" t="n">
        <v>1993.131</v>
      </c>
      <c r="I129" s="12" t="n">
        <v>1942.728</v>
      </c>
      <c r="J129" s="12" t="n">
        <v>2339.221</v>
      </c>
      <c r="K129" s="12" t="n">
        <v>2593.518</v>
      </c>
      <c r="L129" s="12" t="n">
        <v>2387.825</v>
      </c>
    </row>
    <row r="130">
      <c r="A130" s="20" t="inlineStr">
        <is>
          <t>장기차입금</t>
        </is>
      </c>
      <c r="C130" s="22" t="n">
        <v>2051.01</v>
      </c>
      <c r="D130" s="22" t="n">
        <v>2005.486</v>
      </c>
      <c r="E130" s="22" t="n">
        <v>1959.962</v>
      </c>
      <c r="F130" s="22" t="n">
        <v>1906.886</v>
      </c>
      <c r="G130" s="22" t="n">
        <v>1861.362</v>
      </c>
      <c r="H130" s="22" t="n">
        <v>1846.731</v>
      </c>
      <c r="I130" s="22" t="n">
        <v>1242.833</v>
      </c>
      <c r="J130" s="22" t="n">
        <v>1961.175</v>
      </c>
      <c r="K130" s="22" t="n">
        <v>2134.506</v>
      </c>
      <c r="L130" s="22" t="n">
        <v>1959.962</v>
      </c>
    </row>
    <row r="131">
      <c r="A131" s="20" t="inlineStr">
        <is>
          <t>리스부채</t>
        </is>
      </c>
      <c r="E131" s="22" t="n">
        <v>39.956</v>
      </c>
      <c r="I131" s="22" t="n">
        <v>0</v>
      </c>
      <c r="J131" s="22" t="n">
        <v>52.095</v>
      </c>
      <c r="K131" s="22" t="n">
        <v>46.025</v>
      </c>
      <c r="L131" s="22" t="n">
        <v>39.956</v>
      </c>
    </row>
    <row r="132">
      <c r="A132" s="20" t="inlineStr">
        <is>
          <t>퇴직급여충당금</t>
        </is>
      </c>
      <c r="C132" s="22" t="n">
        <v>82.289</v>
      </c>
      <c r="D132" s="22" t="n">
        <v>68.377</v>
      </c>
      <c r="E132" s="22" t="n">
        <v>65.83199999999999</v>
      </c>
      <c r="F132" s="22" t="n">
        <v>64.324</v>
      </c>
      <c r="G132" s="22" t="n">
        <v>75.071</v>
      </c>
      <c r="H132" s="22" t="n">
        <v>77.074</v>
      </c>
      <c r="I132" s="22" t="n">
        <v>79.47199999999999</v>
      </c>
      <c r="J132" s="22" t="n">
        <v>64.494</v>
      </c>
      <c r="K132" s="22" t="n">
        <v>84.47499999999999</v>
      </c>
      <c r="L132" s="22" t="n">
        <v>65.83199999999999</v>
      </c>
    </row>
    <row r="133">
      <c r="A133" s="20" t="inlineStr">
        <is>
          <t>임원 퇴직위로 충당금</t>
        </is>
      </c>
      <c r="C133" s="22" t="n">
        <v>146.816</v>
      </c>
      <c r="D133" s="22" t="n">
        <v>146.816</v>
      </c>
      <c r="E133" s="22" t="n">
        <v>146.816</v>
      </c>
      <c r="F133" s="22" t="n">
        <v>146.816</v>
      </c>
      <c r="G133" s="22" t="n">
        <v>146.816</v>
      </c>
      <c r="H133" s="22" t="n">
        <v>146.816</v>
      </c>
      <c r="I133" s="22" t="n">
        <v>146.816</v>
      </c>
      <c r="J133" s="22" t="n">
        <v>146.816</v>
      </c>
      <c r="K133" s="22" t="n">
        <v>146.816</v>
      </c>
      <c r="L133" s="22" t="n">
        <v>146.816</v>
      </c>
    </row>
    <row r="134">
      <c r="A134" s="20" t="inlineStr">
        <is>
          <t>장기 예수보증금</t>
        </is>
      </c>
      <c r="E134" s="22" t="n">
        <v>30.981</v>
      </c>
      <c r="H134" s="22" t="n">
        <v>30.981</v>
      </c>
      <c r="I134" s="22" t="n">
        <v>30.981</v>
      </c>
      <c r="J134" s="22" t="n">
        <v>30.981</v>
      </c>
      <c r="K134" s="22" t="n">
        <v>30.981</v>
      </c>
      <c r="L134" s="22" t="n">
        <v>30.981</v>
      </c>
    </row>
    <row r="135">
      <c r="A135" s="20" t="inlineStr">
        <is>
          <t>자산복구부채</t>
        </is>
      </c>
      <c r="H135" s="22" t="n">
        <v>10.337</v>
      </c>
      <c r="I135" s="22" t="n">
        <v>10.368</v>
      </c>
      <c r="J135" s="22" t="n">
        <v>0</v>
      </c>
    </row>
    <row r="136">
      <c r="A136" s="20" t="inlineStr">
        <is>
          <t>기타</t>
        </is>
      </c>
      <c r="C136" s="22" t="n">
        <v>73.97199999999999</v>
      </c>
      <c r="D136" s="22" t="n">
        <v>72.45399999999999</v>
      </c>
      <c r="E136" s="22" t="n">
        <v>70.937</v>
      </c>
      <c r="F136" s="22" t="n">
        <v>69.42</v>
      </c>
      <c r="G136" s="22" t="n">
        <v>67.902</v>
      </c>
      <c r="H136" s="22" t="n">
        <v>0.243</v>
      </c>
      <c r="I136" s="22" t="n">
        <v>30.981</v>
      </c>
      <c r="J136" s="22" t="n">
        <v>83.07599999999999</v>
      </c>
      <c r="K136" s="22" t="n">
        <v>77.006</v>
      </c>
      <c r="L136" s="22" t="n">
        <v>70.937</v>
      </c>
    </row>
    <row r="137">
      <c r="A137" s="9" t="inlineStr">
        <is>
          <t>비유동부채 합계</t>
        </is>
      </c>
      <c r="C137" s="12" t="n">
        <v>2354.088</v>
      </c>
      <c r="D137" s="12" t="n">
        <v>2293.135</v>
      </c>
      <c r="E137" s="12" t="n">
        <v>2243.549</v>
      </c>
      <c r="F137" s="12" t="n">
        <v>2187.447</v>
      </c>
      <c r="G137" s="12" t="n">
        <v>2151.153</v>
      </c>
      <c r="H137" s="12" t="n">
        <v>2112.184</v>
      </c>
      <c r="I137" s="12" t="n">
        <v>1510.471</v>
      </c>
      <c r="J137" s="12" t="n">
        <v>2255.562</v>
      </c>
      <c r="K137" s="12" t="n">
        <v>2442.805</v>
      </c>
      <c r="L137" s="12" t="n">
        <v>2243.549</v>
      </c>
    </row>
    <row r="138">
      <c r="A138" s="9" t="inlineStr">
        <is>
          <t>부채 합계</t>
        </is>
      </c>
      <c r="C138" s="12" t="n">
        <v>4862.823</v>
      </c>
      <c r="D138" s="12" t="n">
        <v>4890.788</v>
      </c>
      <c r="E138" s="12" t="n">
        <v>4631.374</v>
      </c>
      <c r="F138" s="12" t="n">
        <v>4379</v>
      </c>
      <c r="G138" s="12" t="n">
        <v>4691.495</v>
      </c>
      <c r="H138" s="12" t="n">
        <v>4105.316</v>
      </c>
      <c r="I138" s="12" t="n">
        <v>3453.2</v>
      </c>
      <c r="J138" s="12" t="n">
        <v>4594.784</v>
      </c>
      <c r="K138" s="12" t="n">
        <v>5036.323</v>
      </c>
      <c r="L138" s="12" t="n">
        <v>4631.374</v>
      </c>
    </row>
    <row r="139">
      <c r="A139" s="20" t="inlineStr">
        <is>
          <t>자본금</t>
        </is>
      </c>
      <c r="C139" s="22" t="n">
        <v>938.1849999999999</v>
      </c>
      <c r="D139" s="22" t="n">
        <v>938.1849999999999</v>
      </c>
      <c r="E139" s="22" t="n">
        <v>938.1849999999999</v>
      </c>
      <c r="F139" s="22" t="n">
        <v>938.1849999999999</v>
      </c>
      <c r="G139" s="22" t="n">
        <v>938.1849999999999</v>
      </c>
      <c r="H139" s="22" t="n">
        <v>647.785</v>
      </c>
      <c r="I139" s="22" t="n">
        <v>647.785</v>
      </c>
      <c r="J139" s="22" t="n">
        <v>647.785</v>
      </c>
      <c r="K139" s="22" t="n">
        <v>938.1849999999999</v>
      </c>
      <c r="L139" s="22" t="n">
        <v>938.1849999999999</v>
      </c>
    </row>
    <row r="140">
      <c r="A140" s="20" t="inlineStr">
        <is>
          <t>자본준비금</t>
        </is>
      </c>
      <c r="E140" s="22" t="n">
        <v>928.1849999999999</v>
      </c>
      <c r="H140" s="22" t="n">
        <v>637.785</v>
      </c>
      <c r="I140" s="22" t="n">
        <v>637.785</v>
      </c>
      <c r="J140" s="22" t="n">
        <v>637.785</v>
      </c>
      <c r="K140" s="22" t="n">
        <v>928.1849999999999</v>
      </c>
      <c r="L140" s="22" t="n">
        <v>928.1849999999999</v>
      </c>
    </row>
    <row r="141">
      <c r="A141" s="20" t="inlineStr">
        <is>
          <t>기타자본잉여금</t>
        </is>
      </c>
      <c r="E141" s="22" t="n">
        <v>8.029</v>
      </c>
      <c r="H141" s="22" t="n">
        <v>7.053</v>
      </c>
      <c r="I141" s="22" t="n">
        <v>7.053</v>
      </c>
      <c r="J141" s="22" t="n">
        <v>7.053</v>
      </c>
      <c r="K141" s="22" t="n">
        <v>8.029</v>
      </c>
      <c r="L141" s="22" t="n">
        <v>8.029</v>
      </c>
    </row>
    <row r="142">
      <c r="A142" s="20" t="inlineStr">
        <is>
          <t>자본잉여금</t>
        </is>
      </c>
      <c r="C142" s="22" t="n">
        <v>936.2140000000001</v>
      </c>
      <c r="D142" s="22" t="n">
        <v>936.2140000000001</v>
      </c>
      <c r="E142" s="22" t="n">
        <v>936.2140000000001</v>
      </c>
      <c r="F142" s="22" t="n">
        <v>936.2140000000001</v>
      </c>
      <c r="G142" s="22" t="n">
        <v>936.2140000000001</v>
      </c>
      <c r="H142" s="22" t="n">
        <v>644.838</v>
      </c>
      <c r="I142" s="22" t="n">
        <v>644.838</v>
      </c>
      <c r="J142" s="22" t="n">
        <v>644.838</v>
      </c>
      <c r="K142" s="22" t="n">
        <v>936.2140000000001</v>
      </c>
      <c r="L142" s="22" t="n">
        <v>936.2140000000001</v>
      </c>
    </row>
    <row r="143">
      <c r="A143" s="20" t="inlineStr">
        <is>
          <t>이익준비금</t>
        </is>
      </c>
      <c r="E143" s="22" t="n">
        <v>92.15000000000001</v>
      </c>
      <c r="H143" s="22" t="n">
        <v>92.15000000000001</v>
      </c>
      <c r="I143" s="22" t="n">
        <v>92.15000000000001</v>
      </c>
      <c r="J143" s="22" t="n">
        <v>92.15000000000001</v>
      </c>
      <c r="K143" s="22" t="n">
        <v>92.15000000000001</v>
      </c>
      <c r="L143" s="22" t="n">
        <v>92.15000000000001</v>
      </c>
    </row>
    <row r="144">
      <c r="A144" s="20" t="inlineStr">
        <is>
          <t>별도적립금</t>
        </is>
      </c>
      <c r="E144" s="22" t="n">
        <v>2910</v>
      </c>
      <c r="H144" s="22" t="n">
        <v>2910</v>
      </c>
      <c r="I144" s="22" t="n">
        <v>2910</v>
      </c>
      <c r="J144" s="22" t="n">
        <v>2910</v>
      </c>
      <c r="K144" s="22" t="n">
        <v>2910</v>
      </c>
      <c r="L144" s="22" t="n">
        <v>2910</v>
      </c>
    </row>
    <row r="145">
      <c r="A145" s="20" t="inlineStr">
        <is>
          <t>이월이익잉여금</t>
        </is>
      </c>
      <c r="E145" s="22" t="n">
        <v>678.201</v>
      </c>
      <c r="H145" s="22" t="n">
        <v>80.45099999999999</v>
      </c>
      <c r="I145" s="22" t="n">
        <v>238.325</v>
      </c>
      <c r="J145" s="22" t="n">
        <v>262.724</v>
      </c>
      <c r="K145" s="22" t="n">
        <v>333.969</v>
      </c>
      <c r="L145" s="22" t="n">
        <v>678.201</v>
      </c>
    </row>
    <row r="146">
      <c r="A146" s="20" t="inlineStr">
        <is>
          <t>이익잉여금</t>
        </is>
      </c>
      <c r="C146" s="22" t="n">
        <v>3462.717</v>
      </c>
      <c r="D146" s="22" t="n">
        <v>3539.93</v>
      </c>
      <c r="E146" s="22" t="n">
        <v>3680.351</v>
      </c>
      <c r="F146" s="22" t="n">
        <v>3757.07</v>
      </c>
      <c r="G146" s="22" t="n">
        <v>3974.256</v>
      </c>
      <c r="H146" s="22" t="n">
        <v>3082.601</v>
      </c>
      <c r="I146" s="22" t="n">
        <v>3240.475</v>
      </c>
      <c r="J146" s="22" t="n">
        <v>3264.874</v>
      </c>
      <c r="K146" s="22" t="n">
        <v>3336.119</v>
      </c>
      <c r="L146" s="22" t="n">
        <v>3680.351</v>
      </c>
    </row>
    <row r="147">
      <c r="A147" s="20" t="inlineStr">
        <is>
          <t>자기주식</t>
        </is>
      </c>
      <c r="C147" s="22" t="n">
        <v>-85.107</v>
      </c>
      <c r="D147" s="22" t="n">
        <v>-85.107</v>
      </c>
      <c r="E147" s="22" t="n">
        <v>-85.114</v>
      </c>
      <c r="F147" s="22" t="n">
        <v>-85.114</v>
      </c>
      <c r="G147" s="22" t="n">
        <v>-85.114</v>
      </c>
      <c r="H147" s="22" t="n">
        <v>-2.659</v>
      </c>
      <c r="I147" s="22" t="n">
        <v>-2.659</v>
      </c>
      <c r="J147" s="22" t="n">
        <v>-94.13</v>
      </c>
      <c r="K147" s="22" t="n">
        <v>-85.107</v>
      </c>
      <c r="L147" s="22" t="n">
        <v>-85.114</v>
      </c>
    </row>
    <row r="148">
      <c r="A148" s="9" t="inlineStr">
        <is>
          <t>주주자본 합계</t>
        </is>
      </c>
      <c r="C148" s="12" t="n">
        <v>5252.009</v>
      </c>
      <c r="D148" s="12" t="n">
        <v>5329.222</v>
      </c>
      <c r="E148" s="12" t="n">
        <v>5469.636</v>
      </c>
      <c r="F148" s="12" t="n">
        <v>5546.355</v>
      </c>
      <c r="G148" s="12" t="n">
        <v>5763.542</v>
      </c>
      <c r="H148" s="12" t="n">
        <v>4372.566</v>
      </c>
      <c r="I148" s="12" t="n">
        <v>4530.439</v>
      </c>
      <c r="J148" s="12" t="n">
        <v>4463.367</v>
      </c>
      <c r="K148" s="12" t="n">
        <v>5125.411</v>
      </c>
      <c r="L148" s="12" t="n">
        <v>5469.636</v>
      </c>
    </row>
    <row r="149">
      <c r="A149" s="20" t="inlineStr">
        <is>
          <t>기타유가증권 평가차액</t>
        </is>
      </c>
      <c r="C149" s="22" t="n">
        <v>117.376</v>
      </c>
      <c r="D149" s="22" t="n">
        <v>142.38</v>
      </c>
      <c r="E149" s="22" t="n">
        <v>183.756</v>
      </c>
      <c r="F149" s="22" t="n">
        <v>178.167</v>
      </c>
      <c r="G149" s="22" t="n">
        <v>202.102</v>
      </c>
      <c r="H149" s="22" t="n">
        <v>64.804</v>
      </c>
      <c r="I149" s="22" t="n">
        <v>73.155</v>
      </c>
      <c r="J149" s="22" t="n">
        <v>90.393</v>
      </c>
      <c r="K149" s="22" t="n">
        <v>113.781</v>
      </c>
      <c r="L149" s="22" t="n">
        <v>183.756</v>
      </c>
    </row>
    <row r="150">
      <c r="A150" s="20" t="inlineStr">
        <is>
          <t>평가·환산차액 합계</t>
        </is>
      </c>
      <c r="C150" s="22" t="n">
        <v>117.376</v>
      </c>
      <c r="D150" s="22" t="n">
        <v>142.38</v>
      </c>
      <c r="E150" s="22" t="n">
        <v>183.756</v>
      </c>
      <c r="F150" s="22" t="n">
        <v>178.167</v>
      </c>
      <c r="G150" s="22" t="n">
        <v>202.102</v>
      </c>
      <c r="H150" s="22" t="n">
        <v>64.804</v>
      </c>
      <c r="I150" s="22" t="n">
        <v>73.155</v>
      </c>
      <c r="J150" s="22" t="n">
        <v>90.393</v>
      </c>
      <c r="K150" s="22" t="n">
        <v>113.781</v>
      </c>
      <c r="L150" s="22" t="n">
        <v>183.756</v>
      </c>
    </row>
    <row r="151">
      <c r="A151" s="9" t="inlineStr">
        <is>
          <t>순자산 합계</t>
        </is>
      </c>
      <c r="C151" s="12" t="n">
        <v>5369.385</v>
      </c>
      <c r="D151" s="12" t="n">
        <v>5471.603</v>
      </c>
      <c r="E151" s="12" t="n">
        <v>5653.393</v>
      </c>
      <c r="F151" s="12" t="n">
        <v>5724.522</v>
      </c>
      <c r="G151" s="12" t="n">
        <v>5965.644</v>
      </c>
      <c r="H151" s="12" t="n">
        <v>4437.37</v>
      </c>
      <c r="I151" s="12" t="n">
        <v>4603.594</v>
      </c>
      <c r="J151" s="12" t="n">
        <v>4553.761</v>
      </c>
      <c r="K151" s="12" t="n">
        <v>5239.192</v>
      </c>
      <c r="L151" s="12" t="n">
        <v>5653.393</v>
      </c>
    </row>
    <row r="152">
      <c r="A152" s="9" t="inlineStr">
        <is>
          <t>부채·순자산 합계</t>
        </is>
      </c>
      <c r="C152" s="12" t="n">
        <v>10232.208</v>
      </c>
      <c r="D152" s="12" t="n">
        <v>10362.391</v>
      </c>
      <c r="E152" s="12" t="n">
        <v>10284.767</v>
      </c>
      <c r="F152" s="12" t="n">
        <v>10103.523</v>
      </c>
      <c r="G152" s="12" t="n">
        <v>10657.14</v>
      </c>
      <c r="H152" s="12" t="n">
        <v>8542.686</v>
      </c>
      <c r="I152" s="12" t="n">
        <v>8056.795</v>
      </c>
      <c r="J152" s="12" t="n">
        <v>9148.545</v>
      </c>
      <c r="K152" s="12" t="n">
        <v>10275.516</v>
      </c>
      <c r="L152" s="12" t="n">
        <v>10284.767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44" customWidth="1" min="18" max="18"/>
  </cols>
  <sheetData>
    <row r="1">
      <c r="A1" s="52" t="inlineStr">
        <is>
          <t>JMACS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quarter · q single</t>
        </is>
      </c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</row>
    <row r="5">
      <c r="A5" s="55" t="inlineStr">
        <is>
          <t>항목</t>
        </is>
      </c>
      <c r="B5" s="55" t="inlineStr">
        <is>
          <t>값</t>
        </is>
      </c>
      <c r="R5" s="55" t="inlineStr">
        <is>
          <t>출처</t>
        </is>
      </c>
    </row>
    <row r="6">
      <c r="A6" s="56" t="inlineStr">
        <is>
          <t>매출</t>
        </is>
      </c>
      <c r="B6" s="57" t="n">
        <v>19</v>
      </c>
      <c r="R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5.9</v>
      </c>
    </row>
    <row r="8">
      <c r="A8" s="56" t="inlineStr">
        <is>
          <t>sga</t>
        </is>
      </c>
      <c r="B8" s="57" t="n">
        <v>3.1</v>
      </c>
    </row>
    <row r="9">
      <c r="A9" s="56" t="inlineStr">
        <is>
          <t>영업이익</t>
        </is>
      </c>
      <c r="B9" s="57" t="n">
        <v>2.7</v>
      </c>
    </row>
    <row r="10">
      <c r="A10" s="56" t="inlineStr">
        <is>
          <t>pbt</t>
        </is>
      </c>
      <c r="B10" s="57" t="n">
        <v>3.1</v>
      </c>
    </row>
    <row r="11">
      <c r="A11" s="56" t="inlineStr">
        <is>
          <t>순이익</t>
        </is>
      </c>
      <c r="B11" s="57" t="n">
        <v>2.17</v>
      </c>
    </row>
    <row r="13">
      <c r="A13" s="54" t="inlineStr">
        <is>
          <t>this quarter · 상반기 cum</t>
        </is>
      </c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4" t="n"/>
      <c r="M13" s="54" t="n"/>
      <c r="N13" s="54" t="n"/>
      <c r="O13" s="54" t="n"/>
      <c r="P13" s="54" t="n"/>
      <c r="Q13" s="54" t="n"/>
      <c r="R13" s="54" t="n"/>
    </row>
    <row r="14">
      <c r="A14" s="55" t="inlineStr">
        <is>
          <t>항목</t>
        </is>
      </c>
      <c r="B14" s="55" t="inlineStr">
        <is>
          <t>값</t>
        </is>
      </c>
      <c r="R14" s="55" t="inlineStr">
        <is>
          <t>출처</t>
        </is>
      </c>
    </row>
    <row r="15">
      <c r="A15" s="56" t="inlineStr">
        <is>
          <t>매출</t>
        </is>
      </c>
      <c r="B15" s="57" t="n">
        <v>35.44</v>
      </c>
      <c r="R15" s="58" t="inlineStr">
        <is>
          <t>2단계 보고서 자료(회사 설명회 자료·공시)</t>
        </is>
      </c>
    </row>
    <row r="16">
      <c r="A16" s="56" t="inlineStr">
        <is>
          <t>매출 YoY</t>
        </is>
      </c>
      <c r="B16" s="57" t="n">
        <v>24</v>
      </c>
    </row>
    <row r="17">
      <c r="A17" s="56" t="inlineStr">
        <is>
          <t>gp</t>
        </is>
      </c>
      <c r="B17" s="57" t="n">
        <v>10.91</v>
      </c>
    </row>
    <row r="18">
      <c r="A18" s="56" t="inlineStr">
        <is>
          <t>sga</t>
        </is>
      </c>
      <c r="B18" s="57" t="n">
        <v>5.9</v>
      </c>
    </row>
    <row r="19">
      <c r="A19" s="56" t="inlineStr">
        <is>
          <t>영업이익</t>
        </is>
      </c>
      <c r="B19" s="57" t="n">
        <v>5.01</v>
      </c>
    </row>
    <row r="20">
      <c r="A20" s="56" t="inlineStr">
        <is>
          <t>영업이익 YoY</t>
        </is>
      </c>
      <c r="B20" s="57" t="n">
        <v>105.2</v>
      </c>
    </row>
    <row r="21">
      <c r="A21" s="56" t="inlineStr">
        <is>
          <t>ordinary</t>
        </is>
      </c>
      <c r="B21" s="57" t="n">
        <v>5.17</v>
      </c>
    </row>
    <row r="22">
      <c r="A22" s="56" t="inlineStr">
        <is>
          <t>순이익</t>
        </is>
      </c>
      <c r="B22" s="57" t="n">
        <v>3.78</v>
      </c>
    </row>
    <row r="23">
      <c r="A23" s="56" t="inlineStr">
        <is>
          <t>EPS</t>
        </is>
      </c>
      <c r="B23" s="57" t="n">
        <v>67.23999999999999</v>
      </c>
    </row>
    <row r="25">
      <c r="A25" s="54" t="inlineStr">
        <is>
          <t>this quarter · bs 상반기</t>
        </is>
      </c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  <c r="R25" s="54" t="n"/>
    </row>
    <row r="26">
      <c r="A26" s="55" t="inlineStr">
        <is>
          <t>항목</t>
        </is>
      </c>
      <c r="B26" s="55" t="inlineStr">
        <is>
          <t>값</t>
        </is>
      </c>
      <c r="R26" s="55" t="inlineStr">
        <is>
          <t>출처</t>
        </is>
      </c>
    </row>
    <row r="27">
      <c r="A27" s="56" t="inlineStr">
        <is>
          <t>cash</t>
        </is>
      </c>
      <c r="B27" s="57" t="n">
        <v>16.27</v>
      </c>
      <c r="R27" s="58" t="inlineStr">
        <is>
          <t>2단계 보고서 자료(회사 설명회 자료·공시)</t>
        </is>
      </c>
    </row>
    <row r="28">
      <c r="A28" s="56" t="inlineStr">
        <is>
          <t>receivables incl e</t>
        </is>
      </c>
      <c r="B28" s="57" t="n">
        <v>22.45</v>
      </c>
    </row>
    <row r="29">
      <c r="A29" s="56" t="inlineStr">
        <is>
          <t>inventory</t>
        </is>
      </c>
      <c r="B29" s="57" t="n">
        <v>20.01</v>
      </c>
    </row>
    <row r="30">
      <c r="A30" s="56" t="inlineStr">
        <is>
          <t>raw materials</t>
        </is>
      </c>
      <c r="B30" s="57" t="n">
        <v>10.81</v>
      </c>
    </row>
    <row r="31">
      <c r="A31" s="56" t="inlineStr">
        <is>
          <t>합계 assets</t>
        </is>
      </c>
      <c r="B31" s="57" t="n">
        <v>106.6</v>
      </c>
    </row>
    <row r="32">
      <c r="A32" s="56" t="inlineStr">
        <is>
          <t>equity</t>
        </is>
      </c>
      <c r="B32" s="57" t="n">
        <v>59.66</v>
      </c>
    </row>
    <row r="33">
      <c r="A33" s="56" t="inlineStr">
        <is>
          <t>equity ratio</t>
        </is>
      </c>
      <c r="B33" s="57" t="n">
        <v>56</v>
      </c>
    </row>
    <row r="34">
      <c r="A34" s="56" t="inlineStr">
        <is>
          <t>st debt</t>
        </is>
      </c>
      <c r="B34" s="57" t="n">
        <v>8</v>
      </c>
    </row>
    <row r="35">
      <c r="A35" s="56" t="inlineStr">
        <is>
          <t>lt debt</t>
        </is>
      </c>
      <c r="B35" s="57" t="n">
        <v>18.61</v>
      </c>
    </row>
    <row r="36">
      <c r="A36" s="56" t="inlineStr">
        <is>
          <t>cur ltd</t>
        </is>
      </c>
      <c r="B36" s="57" t="n">
        <v>1.82</v>
      </c>
    </row>
    <row r="38">
      <c r="A38" s="54" t="inlineStr">
        <is>
          <t>this quarter · cf 상반기</t>
        </is>
      </c>
      <c r="B38" s="54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4" t="n"/>
      <c r="M38" s="54" t="n"/>
      <c r="N38" s="54" t="n"/>
      <c r="O38" s="54" t="n"/>
      <c r="P38" s="54" t="n"/>
      <c r="Q38" s="54" t="n"/>
      <c r="R38" s="54" t="n"/>
    </row>
    <row r="39">
      <c r="A39" s="55" t="inlineStr">
        <is>
          <t>항목</t>
        </is>
      </c>
      <c r="B39" s="55" t="inlineStr">
        <is>
          <t>값</t>
        </is>
      </c>
      <c r="R39" s="55" t="inlineStr">
        <is>
          <t>출처</t>
        </is>
      </c>
    </row>
    <row r="40">
      <c r="A40" s="56" t="inlineStr">
        <is>
          <t>ocf</t>
        </is>
      </c>
      <c r="B40" s="57" t="n">
        <v>-6.09</v>
      </c>
      <c r="R40" s="58" t="inlineStr">
        <is>
          <t>2단계 보고서 자료(회사 설명회 자료·공시)</t>
        </is>
      </c>
    </row>
    <row r="41">
      <c r="A41" s="56" t="inlineStr">
        <is>
          <t>설비투자</t>
        </is>
      </c>
      <c r="B41" s="57" t="n">
        <v>-0.41</v>
      </c>
    </row>
    <row r="42">
      <c r="A42" s="56" t="inlineStr">
        <is>
          <t>time deposit</t>
        </is>
      </c>
      <c r="B42" s="57" t="n">
        <v>-2</v>
      </c>
    </row>
    <row r="44">
      <c r="A44" s="54" t="inlineStr">
        <is>
          <t>quarterly 순이익 EPS jp 가이던스</t>
        </is>
      </c>
      <c r="B44" s="54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4" t="n"/>
      <c r="M44" s="54" t="n"/>
      <c r="N44" s="54" t="n"/>
      <c r="O44" s="54" t="n"/>
      <c r="P44" s="54" t="n"/>
      <c r="Q44" s="54" t="n"/>
      <c r="R44" s="54" t="n"/>
    </row>
    <row r="45">
      <c r="A45" s="55" t="inlineStr">
        <is>
          <t>항목</t>
        </is>
      </c>
      <c r="B45" s="55" t="inlineStr">
        <is>
          <t>2023.3Q</t>
        </is>
      </c>
      <c r="C45" s="55" t="inlineStr">
        <is>
          <t>2023.4Q</t>
        </is>
      </c>
      <c r="D45" s="55" t="inlineStr">
        <is>
          <t>2024.1Q</t>
        </is>
      </c>
      <c r="E45" s="55" t="inlineStr">
        <is>
          <t>2024.2Q</t>
        </is>
      </c>
      <c r="F45" s="55" t="inlineStr">
        <is>
          <t>2024.3Q</t>
        </is>
      </c>
      <c r="G45" s="55" t="inlineStr">
        <is>
          <t>2024.4Q</t>
        </is>
      </c>
      <c r="H45" s="55" t="inlineStr">
        <is>
          <t>2025.1Q</t>
        </is>
      </c>
      <c r="I45" s="55" t="inlineStr">
        <is>
          <t>2025.2Q</t>
        </is>
      </c>
      <c r="J45" s="55" t="inlineStr">
        <is>
          <t>2025.3Q</t>
        </is>
      </c>
      <c r="K45" s="55" t="inlineStr">
        <is>
          <t>2025.4Q</t>
        </is>
      </c>
      <c r="L45" s="55" t="inlineStr">
        <is>
          <t>2026.1Q</t>
        </is>
      </c>
      <c r="M45" s="55" t="inlineStr">
        <is>
          <t>2026.2Q</t>
        </is>
      </c>
      <c r="N45" s="55" t="inlineStr">
        <is>
          <t>2026.3Q</t>
        </is>
      </c>
      <c r="O45" s="55" t="inlineStr">
        <is>
          <t>2026.4Q</t>
        </is>
      </c>
      <c r="P45" s="55" t="inlineStr">
        <is>
          <t>2027.1Q</t>
        </is>
      </c>
      <c r="Q45" s="55" t="inlineStr">
        <is>
          <t>2027.2Q</t>
        </is>
      </c>
      <c r="R45" s="55" t="inlineStr">
        <is>
          <t>출처</t>
        </is>
      </c>
    </row>
    <row r="46">
      <c r="A46" s="56" t="inlineStr">
        <is>
          <t>매출</t>
        </is>
      </c>
      <c r="B46" s="57" t="n">
        <v>13.3</v>
      </c>
      <c r="C46" s="57" t="n">
        <v>12.02</v>
      </c>
      <c r="D46" s="57" t="n">
        <v>11.89</v>
      </c>
      <c r="E46" s="57" t="n">
        <v>12.2</v>
      </c>
      <c r="F46" s="57" t="n">
        <v>15.19</v>
      </c>
      <c r="G46" s="57" t="n">
        <v>14.15</v>
      </c>
      <c r="H46" s="57" t="n">
        <v>11.9</v>
      </c>
      <c r="I46" s="57" t="n">
        <v>12.3</v>
      </c>
      <c r="J46" s="57" t="n">
        <v>14.78</v>
      </c>
      <c r="K46" s="57" t="n">
        <v>13.02</v>
      </c>
      <c r="L46" s="57" t="n">
        <v>13.02</v>
      </c>
      <c r="M46" s="57" t="n">
        <v>15.56</v>
      </c>
      <c r="N46" s="57" t="n">
        <v>15.73</v>
      </c>
      <c r="O46" s="57" t="n">
        <v>15.97</v>
      </c>
      <c r="P46" s="57" t="n">
        <v>16.47</v>
      </c>
      <c r="Q46" s="57" t="n">
        <v>18.96</v>
      </c>
      <c r="R46" s="58" t="inlineStr">
        <is>
          <t>분기 라벨 = 결산기 기준(2027.2Q = 26.6~8). EPS는 주식수 기준 변화 있음(2025 이후).</t>
        </is>
      </c>
    </row>
    <row r="47">
      <c r="A47" s="56" t="inlineStr">
        <is>
          <t>영업이익</t>
        </is>
      </c>
      <c r="B47" s="57" t="n">
        <v>-0.11</v>
      </c>
      <c r="C47" s="57" t="n">
        <v>0.45</v>
      </c>
      <c r="D47" s="57" t="n">
        <v>0.52</v>
      </c>
      <c r="E47" s="57" t="n">
        <v>-0.04</v>
      </c>
      <c r="F47" s="57" t="n">
        <v>-0.49</v>
      </c>
      <c r="G47" s="57" t="n">
        <v>0.8</v>
      </c>
      <c r="H47" s="57" t="n">
        <v>0.42</v>
      </c>
      <c r="I47" s="57" t="n">
        <v>-0.31</v>
      </c>
      <c r="J47" s="57" t="n">
        <v>0.23</v>
      </c>
      <c r="K47" s="57" t="n">
        <v>0.33</v>
      </c>
      <c r="L47" s="57" t="n">
        <v>0.67</v>
      </c>
      <c r="M47" s="57" t="n">
        <v>1.77</v>
      </c>
      <c r="N47" s="57" t="n">
        <v>1</v>
      </c>
      <c r="O47" s="57" t="n">
        <v>1.57</v>
      </c>
      <c r="P47" s="57" t="n">
        <v>2.27</v>
      </c>
      <c r="Q47" s="57" t="n">
        <v>2.73</v>
      </c>
    </row>
    <row r="48">
      <c r="A48" s="56" t="inlineStr">
        <is>
          <t>순이익</t>
        </is>
      </c>
      <c r="B48" s="57" t="n">
        <v>-0.15</v>
      </c>
      <c r="C48" s="57" t="n">
        <v>0.78</v>
      </c>
      <c r="D48" s="57" t="n">
        <v>0.45</v>
      </c>
      <c r="E48" s="57" t="n">
        <v>0.05</v>
      </c>
      <c r="F48" s="57" t="n">
        <v>-0.63</v>
      </c>
      <c r="G48" s="57" t="n">
        <v>0.84</v>
      </c>
      <c r="H48" s="57" t="n">
        <v>0.8</v>
      </c>
      <c r="I48" s="57" t="n">
        <v>-0.08</v>
      </c>
      <c r="J48" s="57" t="n">
        <v>0.14</v>
      </c>
      <c r="K48" s="57" t="n">
        <v>0.3</v>
      </c>
      <c r="L48" s="57" t="n">
        <v>0.52</v>
      </c>
      <c r="M48" s="57" t="n">
        <v>1.3</v>
      </c>
      <c r="N48" s="57" t="n">
        <v>0.78</v>
      </c>
      <c r="O48" s="57" t="n">
        <v>1.4</v>
      </c>
      <c r="P48" s="57" t="n">
        <v>1.61</v>
      </c>
      <c r="Q48" s="57" t="n">
        <v>2.17</v>
      </c>
    </row>
    <row r="50">
      <c r="A50" s="54" t="inlineStr">
        <is>
          <t>bs annual</t>
        </is>
      </c>
      <c r="B50" s="54" t="n"/>
      <c r="C50" s="54" t="n"/>
      <c r="D50" s="54" t="n"/>
      <c r="E50" s="54" t="n"/>
      <c r="F50" s="54" t="n"/>
      <c r="G50" s="54" t="n"/>
      <c r="H50" s="54" t="n"/>
      <c r="I50" s="54" t="n"/>
      <c r="J50" s="54" t="n"/>
      <c r="K50" s="54" t="n"/>
      <c r="L50" s="54" t="n"/>
      <c r="M50" s="54" t="n"/>
      <c r="N50" s="54" t="n"/>
      <c r="O50" s="54" t="n"/>
      <c r="P50" s="54" t="n"/>
      <c r="Q50" s="54" t="n"/>
      <c r="R50" s="54" t="n"/>
    </row>
    <row r="51">
      <c r="A51" s="55" t="inlineStr">
        <is>
          <t>항목</t>
        </is>
      </c>
      <c r="B51" s="55" t="inlineStr">
        <is>
          <t>2022</t>
        </is>
      </c>
      <c r="C51" s="55" t="inlineStr">
        <is>
          <t>2023</t>
        </is>
      </c>
      <c r="D51" s="55" t="inlineStr">
        <is>
          <t>2024</t>
        </is>
      </c>
      <c r="E51" s="55" t="inlineStr">
        <is>
          <t>2025</t>
        </is>
      </c>
      <c r="F51" s="55" t="inlineStr">
        <is>
          <t>2026</t>
        </is>
      </c>
      <c r="R51" s="55" t="inlineStr">
        <is>
          <t>출처</t>
        </is>
      </c>
    </row>
    <row r="52">
      <c r="A52" s="56" t="inlineStr">
        <is>
          <t>labels</t>
        </is>
      </c>
      <c r="B52" s="59" t="n">
        <v>2022</v>
      </c>
      <c r="C52" s="59" t="n">
        <v>2023</v>
      </c>
      <c r="D52" s="59" t="n">
        <v>2024</v>
      </c>
      <c r="E52" s="59" t="n">
        <v>2025</v>
      </c>
      <c r="F52" s="59" t="n">
        <v>2026</v>
      </c>
      <c r="R52" s="58" t="inlineStr">
        <is>
          <t>2단계 보고서 자료(회사 설명회 자료·공시)</t>
        </is>
      </c>
    </row>
    <row r="53">
      <c r="A53" s="56" t="inlineStr">
        <is>
          <t>current assets</t>
        </is>
      </c>
      <c r="B53" s="57" t="n">
        <v>36.4</v>
      </c>
      <c r="C53" s="57" t="n">
        <v>39.2</v>
      </c>
      <c r="D53" s="57" t="n">
        <v>44</v>
      </c>
      <c r="E53" s="57" t="n">
        <v>55</v>
      </c>
      <c r="F53" s="57" t="n">
        <v>55.4</v>
      </c>
    </row>
    <row r="54">
      <c r="A54" s="56" t="inlineStr">
        <is>
          <t>cash</t>
        </is>
      </c>
      <c r="B54" s="57" t="n">
        <v>5.3</v>
      </c>
      <c r="C54" s="57" t="n">
        <v>5.3</v>
      </c>
      <c r="D54" s="57" t="n">
        <v>6.4</v>
      </c>
      <c r="E54" s="57" t="n">
        <v>17.5</v>
      </c>
      <c r="F54" s="57" t="n">
        <v>22.2</v>
      </c>
    </row>
    <row r="55">
      <c r="A55" s="56" t="inlineStr">
        <is>
          <t>st fin</t>
        </is>
      </c>
      <c r="B55" s="60" t="n"/>
      <c r="C55" s="60" t="n"/>
      <c r="D55" s="60" t="n"/>
      <c r="E55" s="60" t="n"/>
      <c r="F55" s="60" t="n"/>
    </row>
    <row r="56">
      <c r="A56" s="56" t="inlineStr">
        <is>
          <t>receivables</t>
        </is>
      </c>
      <c r="B56" s="57" t="n">
        <v>16.8</v>
      </c>
      <c r="C56" s="57" t="n">
        <v>14.3</v>
      </c>
      <c r="D56" s="57" t="n">
        <v>16.5</v>
      </c>
      <c r="E56" s="57" t="n">
        <v>16.5</v>
      </c>
      <c r="F56" s="57" t="n">
        <v>9.199999999999999</v>
      </c>
    </row>
    <row r="57">
      <c r="A57" s="56" t="inlineStr">
        <is>
          <t>inventory</t>
        </is>
      </c>
      <c r="B57" s="57" t="n">
        <v>11.4</v>
      </c>
      <c r="C57" s="57" t="n">
        <v>13</v>
      </c>
      <c r="D57" s="57" t="n">
        <v>12.4</v>
      </c>
      <c r="E57" s="57" t="n">
        <v>14.6</v>
      </c>
      <c r="F57" s="57" t="n">
        <v>16.5</v>
      </c>
    </row>
    <row r="58">
      <c r="A58" s="56" t="inlineStr">
        <is>
          <t>noncurrent assets</t>
        </is>
      </c>
      <c r="B58" s="57" t="n">
        <v>49</v>
      </c>
      <c r="C58" s="57" t="n">
        <v>41.4</v>
      </c>
      <c r="D58" s="57" t="n">
        <v>47.5</v>
      </c>
      <c r="E58" s="57" t="n">
        <v>47.8</v>
      </c>
      <c r="F58" s="57" t="n">
        <v>47.4</v>
      </c>
    </row>
    <row r="59">
      <c r="A59" s="56" t="inlineStr">
        <is>
          <t>ppe</t>
        </is>
      </c>
      <c r="B59" s="57" t="n">
        <v>30.9</v>
      </c>
      <c r="C59" s="57" t="n">
        <v>23.5</v>
      </c>
      <c r="D59" s="57" t="n">
        <v>29.3</v>
      </c>
      <c r="E59" s="57" t="n">
        <v>28.1</v>
      </c>
      <c r="F59" s="57" t="n">
        <v>27.1</v>
      </c>
    </row>
    <row r="60">
      <c r="A60" s="56" t="inlineStr">
        <is>
          <t>intangibles</t>
        </is>
      </c>
      <c r="B60" s="57" t="n">
        <v>0.1</v>
      </c>
      <c r="C60" s="57" t="n">
        <v>0.1</v>
      </c>
      <c r="D60" s="57" t="n">
        <v>0.2</v>
      </c>
      <c r="E60" s="57" t="n">
        <v>0.2</v>
      </c>
      <c r="F60" s="57" t="n">
        <v>0.2</v>
      </c>
    </row>
    <row r="61">
      <c r="A61" s="56" t="inlineStr">
        <is>
          <t>inv property</t>
        </is>
      </c>
      <c r="B61" s="57" t="n">
        <v>15.8</v>
      </c>
      <c r="C61" s="57" t="n">
        <v>15.8</v>
      </c>
      <c r="D61" s="57" t="n">
        <v>15.7</v>
      </c>
      <c r="E61" s="57" t="n">
        <v>15.7</v>
      </c>
      <c r="F61" s="57" t="n">
        <v>15.7</v>
      </c>
    </row>
    <row r="62">
      <c r="A62" s="56" t="inlineStr">
        <is>
          <t>합계 assets</t>
        </is>
      </c>
      <c r="B62" s="57" t="n">
        <v>85.40000000000001</v>
      </c>
      <c r="C62" s="57" t="n">
        <v>80.59999999999999</v>
      </c>
      <c r="D62" s="57" t="n">
        <v>91.5</v>
      </c>
      <c r="E62" s="57" t="n">
        <v>102.8</v>
      </c>
      <c r="F62" s="57" t="n">
        <v>102.8</v>
      </c>
    </row>
    <row r="63">
      <c r="A63" s="56" t="inlineStr">
        <is>
          <t>current liab</t>
        </is>
      </c>
      <c r="B63" s="57" t="n">
        <v>19.9</v>
      </c>
      <c r="C63" s="57" t="n">
        <v>19.4</v>
      </c>
      <c r="D63" s="57" t="n">
        <v>23.4</v>
      </c>
      <c r="E63" s="57" t="n">
        <v>25.9</v>
      </c>
      <c r="F63" s="57" t="n">
        <v>23.9</v>
      </c>
    </row>
    <row r="64">
      <c r="A64" s="56" t="inlineStr">
        <is>
          <t>payables</t>
        </is>
      </c>
      <c r="B64" s="57" t="n">
        <v>2.8</v>
      </c>
      <c r="C64" s="57" t="n">
        <v>2.6</v>
      </c>
      <c r="D64" s="57" t="n">
        <v>3.6</v>
      </c>
      <c r="E64" s="57" t="n">
        <v>3.5</v>
      </c>
      <c r="F64" s="57" t="n">
        <v>4.1</v>
      </c>
    </row>
    <row r="65">
      <c r="A65" s="56" t="inlineStr">
        <is>
          <t>st debt</t>
        </is>
      </c>
      <c r="B65" s="57" t="n">
        <v>7</v>
      </c>
      <c r="C65" s="57" t="n">
        <v>7</v>
      </c>
      <c r="D65" s="57" t="n">
        <v>9</v>
      </c>
      <c r="E65" s="57" t="n">
        <v>12</v>
      </c>
      <c r="F65" s="57" t="n">
        <v>6</v>
      </c>
    </row>
    <row r="66">
      <c r="A66" s="56" t="inlineStr">
        <is>
          <t>noncurrent liab</t>
        </is>
      </c>
      <c r="B66" s="57" t="n">
        <v>21.1</v>
      </c>
      <c r="C66" s="57" t="n">
        <v>15.1</v>
      </c>
      <c r="D66" s="57" t="n">
        <v>22.6</v>
      </c>
      <c r="E66" s="57" t="n">
        <v>24.4</v>
      </c>
      <c r="F66" s="57" t="n">
        <v>22.4</v>
      </c>
    </row>
    <row r="67">
      <c r="A67" s="56" t="inlineStr">
        <is>
          <t>lt debt</t>
        </is>
      </c>
      <c r="B67" s="57" t="n">
        <v>18.5</v>
      </c>
      <c r="C67" s="57" t="n">
        <v>12.4</v>
      </c>
      <c r="D67" s="57" t="n">
        <v>19.6</v>
      </c>
      <c r="E67" s="57" t="n">
        <v>21.3</v>
      </c>
      <c r="F67" s="57" t="n">
        <v>19.6</v>
      </c>
    </row>
    <row r="68">
      <c r="A68" s="56" t="inlineStr">
        <is>
          <t>bonds</t>
        </is>
      </c>
      <c r="B68" s="60" t="n"/>
      <c r="C68" s="60" t="n"/>
      <c r="D68" s="60" t="n"/>
      <c r="E68" s="60" t="n"/>
      <c r="F68" s="60" t="n"/>
    </row>
    <row r="69">
      <c r="A69" s="56" t="inlineStr">
        <is>
          <t>합계 liab</t>
        </is>
      </c>
      <c r="B69" s="57" t="n">
        <v>41.1</v>
      </c>
      <c r="C69" s="57" t="n">
        <v>34.5</v>
      </c>
      <c r="D69" s="57" t="n">
        <v>45.9</v>
      </c>
      <c r="E69" s="57" t="n">
        <v>50.4</v>
      </c>
      <c r="F69" s="57" t="n">
        <v>46.3</v>
      </c>
    </row>
    <row r="70">
      <c r="A70" s="56" t="inlineStr">
        <is>
          <t>capital stock</t>
        </is>
      </c>
      <c r="B70" s="57" t="n">
        <v>6.5</v>
      </c>
      <c r="C70" s="57" t="n">
        <v>6.5</v>
      </c>
      <c r="D70" s="57" t="n">
        <v>6.5</v>
      </c>
      <c r="E70" s="57" t="n">
        <v>9.4</v>
      </c>
      <c r="F70" s="57" t="n">
        <v>9.4</v>
      </c>
    </row>
    <row r="71">
      <c r="A71" s="56" t="inlineStr">
        <is>
          <t>retained</t>
        </is>
      </c>
      <c r="B71" s="57" t="n">
        <v>30.8</v>
      </c>
      <c r="C71" s="57" t="n">
        <v>32.4</v>
      </c>
      <c r="D71" s="57" t="n">
        <v>32.6</v>
      </c>
      <c r="E71" s="57" t="n">
        <v>33.4</v>
      </c>
      <c r="F71" s="57" t="n">
        <v>36.8</v>
      </c>
    </row>
    <row r="72">
      <c r="A72" s="56" t="inlineStr">
        <is>
          <t>nci</t>
        </is>
      </c>
      <c r="B72" s="60" t="n"/>
      <c r="C72" s="60" t="n"/>
      <c r="D72" s="60" t="n"/>
      <c r="E72" s="60" t="n"/>
      <c r="F72" s="60" t="n"/>
    </row>
    <row r="73">
      <c r="A73" s="56" t="inlineStr">
        <is>
          <t>합계 equity</t>
        </is>
      </c>
      <c r="B73" s="57" t="n">
        <v>44.4</v>
      </c>
      <c r="C73" s="57" t="n">
        <v>46</v>
      </c>
      <c r="D73" s="57" t="n">
        <v>45.5</v>
      </c>
      <c r="E73" s="57" t="n">
        <v>52.4</v>
      </c>
      <c r="F73" s="57" t="n">
        <v>56.5</v>
      </c>
    </row>
    <row r="74">
      <c r="A74" s="56" t="inlineStr">
        <is>
          <t>current ltd</t>
        </is>
      </c>
      <c r="B74" s="57" t="n">
        <v>1.1</v>
      </c>
      <c r="C74" s="57" t="n">
        <v>0.9</v>
      </c>
      <c r="D74" s="57" t="n">
        <v>1.6</v>
      </c>
      <c r="E74" s="57" t="n">
        <v>1.8</v>
      </c>
      <c r="F74" s="57" t="n">
        <v>1.8</v>
      </c>
    </row>
    <row r="75">
      <c r="A75" s="56" t="inlineStr">
        <is>
          <t>equity owner</t>
        </is>
      </c>
      <c r="B75" s="57" t="n">
        <v>44.4</v>
      </c>
      <c r="C75" s="57" t="n">
        <v>46</v>
      </c>
      <c r="D75" s="57" t="n">
        <v>45.5</v>
      </c>
      <c r="E75" s="57" t="n">
        <v>52.4</v>
      </c>
      <c r="F75" s="57" t="n">
        <v>56.5</v>
      </c>
    </row>
    <row r="77">
      <c r="A77" s="54" t="inlineStr">
        <is>
          <t>cf annual</t>
        </is>
      </c>
      <c r="B77" s="54" t="n"/>
      <c r="C77" s="54" t="n"/>
      <c r="D77" s="54" t="n"/>
      <c r="E77" s="54" t="n"/>
      <c r="F77" s="54" t="n"/>
      <c r="G77" s="54" t="n"/>
      <c r="H77" s="54" t="n"/>
      <c r="I77" s="54" t="n"/>
      <c r="J77" s="54" t="n"/>
      <c r="K77" s="54" t="n"/>
      <c r="L77" s="54" t="n"/>
      <c r="M77" s="54" t="n"/>
      <c r="N77" s="54" t="n"/>
      <c r="O77" s="54" t="n"/>
      <c r="P77" s="54" t="n"/>
      <c r="Q77" s="54" t="n"/>
      <c r="R77" s="54" t="n"/>
    </row>
    <row r="78">
      <c r="A78" s="55" t="inlineStr">
        <is>
          <t>항목</t>
        </is>
      </c>
      <c r="B78" s="55" t="inlineStr">
        <is>
          <t>2022</t>
        </is>
      </c>
      <c r="C78" s="55" t="inlineStr">
        <is>
          <t>2023</t>
        </is>
      </c>
      <c r="D78" s="55" t="inlineStr">
        <is>
          <t>2024</t>
        </is>
      </c>
      <c r="E78" s="55" t="inlineStr">
        <is>
          <t>2025</t>
        </is>
      </c>
      <c r="F78" s="55" t="inlineStr">
        <is>
          <t>2026</t>
        </is>
      </c>
      <c r="R78" s="55" t="inlineStr">
        <is>
          <t>출처</t>
        </is>
      </c>
    </row>
    <row r="79">
      <c r="A79" s="56" t="inlineStr">
        <is>
          <t>labels</t>
        </is>
      </c>
      <c r="B79" s="59" t="n">
        <v>2022</v>
      </c>
      <c r="C79" s="59" t="n">
        <v>2023</v>
      </c>
      <c r="D79" s="59" t="n">
        <v>2024</v>
      </c>
      <c r="E79" s="59" t="n">
        <v>2025</v>
      </c>
      <c r="F79" s="59" t="n">
        <v>2026</v>
      </c>
      <c r="R79" s="58" t="inlineStr">
        <is>
          <t>2단계 보고서 자료(회사 설명회 자료·공시)</t>
        </is>
      </c>
    </row>
    <row r="80">
      <c r="A80" s="56" t="inlineStr">
        <is>
          <t>ocf</t>
        </is>
      </c>
      <c r="B80" s="57" t="n">
        <v>1.8</v>
      </c>
      <c r="C80" s="57" t="n">
        <v>-0.1</v>
      </c>
      <c r="D80" s="57" t="n">
        <v>-0.5</v>
      </c>
      <c r="E80" s="57" t="n">
        <v>1.4</v>
      </c>
      <c r="F80" s="57" t="n">
        <v>13.4</v>
      </c>
    </row>
    <row r="81">
      <c r="A81" s="56" t="inlineStr">
        <is>
          <t>설비투자</t>
        </is>
      </c>
      <c r="B81" s="57" t="n">
        <v>0.3</v>
      </c>
      <c r="C81" s="57" t="n">
        <v>3.4</v>
      </c>
      <c r="D81" s="57" t="n">
        <v>7.4</v>
      </c>
      <c r="E81" s="57" t="n">
        <v>0.8</v>
      </c>
      <c r="F81" s="57" t="n">
        <v>1.1</v>
      </c>
    </row>
    <row r="82">
      <c r="A82" s="56" t="inlineStr">
        <is>
          <t>dividends</t>
        </is>
      </c>
      <c r="B82" s="57" t="n">
        <v>0.4</v>
      </c>
      <c r="C82" s="57" t="n">
        <v>0.4</v>
      </c>
      <c r="D82" s="57" t="n">
        <v>0.4</v>
      </c>
      <c r="E82" s="57" t="n">
        <v>0.4</v>
      </c>
      <c r="F82" s="57" t="n">
        <v>0.6</v>
      </c>
    </row>
    <row r="84">
      <c r="A84" s="54" t="inlineStr">
        <is>
          <t>shares</t>
        </is>
      </c>
      <c r="B84" s="54" t="n"/>
      <c r="C84" s="54" t="n"/>
      <c r="D84" s="54" t="n"/>
      <c r="E84" s="54" t="n"/>
      <c r="F84" s="54" t="n"/>
      <c r="G84" s="54" t="n"/>
      <c r="H84" s="54" t="n"/>
      <c r="I84" s="54" t="n"/>
      <c r="J84" s="54" t="n"/>
      <c r="K84" s="54" t="n"/>
      <c r="L84" s="54" t="n"/>
      <c r="M84" s="54" t="n"/>
      <c r="N84" s="54" t="n"/>
      <c r="O84" s="54" t="n"/>
      <c r="P84" s="54" t="n"/>
      <c r="Q84" s="54" t="n"/>
      <c r="R84" s="54" t="n"/>
    </row>
    <row r="85">
      <c r="A85" s="55" t="inlineStr">
        <is>
          <t>항목</t>
        </is>
      </c>
      <c r="B85" s="55" t="inlineStr">
        <is>
          <t>값</t>
        </is>
      </c>
      <c r="R85" s="55" t="inlineStr">
        <is>
          <t>출처</t>
        </is>
      </c>
    </row>
    <row r="86">
      <c r="A86" s="56" t="inlineStr">
        <is>
          <t>issued</t>
        </is>
      </c>
      <c r="B86" s="59" t="n">
        <v>5791555</v>
      </c>
      <c r="R86" s="58" t="inlineStr">
        <is>
          <t>2단계 보고서 자료(회사 설명회 자료·공시)</t>
        </is>
      </c>
    </row>
    <row r="87">
      <c r="A87" s="56" t="inlineStr">
        <is>
          <t>treasury</t>
        </is>
      </c>
      <c r="B87" s="59" t="n">
        <v>165755</v>
      </c>
    </row>
    <row r="88">
      <c r="A88" s="56" t="inlineStr">
        <is>
          <t>outstanding</t>
        </is>
      </c>
      <c r="B88" s="59" t="n">
        <v>5625800</v>
      </c>
    </row>
    <row r="90">
      <c r="A90" s="54" t="inlineStr">
        <is>
          <t>밸류에이션 now</t>
        </is>
      </c>
      <c r="B90" s="54" t="n"/>
      <c r="C90" s="54" t="n"/>
      <c r="D90" s="54" t="n"/>
      <c r="E90" s="54" t="n"/>
      <c r="F90" s="54" t="n"/>
      <c r="G90" s="54" t="n"/>
      <c r="H90" s="54" t="n"/>
      <c r="I90" s="54" t="n"/>
      <c r="J90" s="54" t="n"/>
      <c r="K90" s="54" t="n"/>
      <c r="L90" s="54" t="n"/>
      <c r="M90" s="54" t="n"/>
      <c r="N90" s="54" t="n"/>
      <c r="O90" s="54" t="n"/>
      <c r="P90" s="54" t="n"/>
      <c r="Q90" s="54" t="n"/>
      <c r="R90" s="54" t="n"/>
    </row>
    <row r="91">
      <c r="A91" s="55" t="inlineStr">
        <is>
          <t>항목</t>
        </is>
      </c>
      <c r="B91" s="55" t="inlineStr">
        <is>
          <t>값</t>
        </is>
      </c>
      <c r="R91" s="55" t="inlineStr">
        <is>
          <t>출처</t>
        </is>
      </c>
    </row>
    <row r="92">
      <c r="A92" s="56" t="inlineStr">
        <is>
          <t>PER 가이던스</t>
        </is>
      </c>
      <c r="B92" s="57" t="n">
        <v>10.4</v>
      </c>
      <c r="R92" s="58" t="inlineStr">
        <is>
          <t>2단계 보고서 자료(회사 설명회 자료·공시)</t>
        </is>
      </c>
    </row>
    <row r="93">
      <c r="A93" s="56" t="inlineStr">
        <is>
          <t>PBR</t>
        </is>
      </c>
      <c r="B93" s="57" t="n">
        <v>0.91</v>
      </c>
    </row>
    <row r="94">
      <c r="A94" s="56" t="inlineStr">
        <is>
          <t>div yield</t>
        </is>
      </c>
      <c r="B94" s="57" t="n">
        <v>1.56</v>
      </c>
    </row>
    <row r="96">
      <c r="A96" s="54" t="inlineStr">
        <is>
          <t>reactions</t>
        </is>
      </c>
      <c r="B96" s="54" t="n"/>
      <c r="C96" s="54" t="n"/>
      <c r="D96" s="54" t="n"/>
      <c r="E96" s="54" t="n"/>
      <c r="F96" s="54" t="n"/>
      <c r="G96" s="54" t="n"/>
      <c r="H96" s="54" t="n"/>
      <c r="I96" s="54" t="n"/>
      <c r="J96" s="54" t="n"/>
      <c r="K96" s="54" t="n"/>
      <c r="L96" s="54" t="n"/>
      <c r="M96" s="54" t="n"/>
      <c r="N96" s="54" t="n"/>
      <c r="O96" s="54" t="n"/>
      <c r="P96" s="54" t="n"/>
      <c r="Q96" s="54" t="n"/>
      <c r="R96" s="54" t="n"/>
    </row>
    <row r="97">
      <c r="A97" s="55" t="inlineStr">
        <is>
          <t>항목</t>
        </is>
      </c>
      <c r="B97" s="55" t="inlineStr">
        <is>
          <t>기준일</t>
        </is>
      </c>
      <c r="C97" s="55" t="inlineStr">
        <is>
          <t>다음날</t>
        </is>
      </c>
      <c r="D97" s="55" t="inlineStr">
        <is>
          <t>등락%</t>
        </is>
      </c>
      <c r="R97" s="55" t="inlineStr">
        <is>
          <t>출처</t>
        </is>
      </c>
    </row>
    <row r="98">
      <c r="A98" s="56" t="inlineStr">
        <is>
          <t>2025-01-14</t>
        </is>
      </c>
      <c r="B98" s="60" t="inlineStr">
        <is>
          <t>2025-01-14</t>
        </is>
      </c>
      <c r="C98" s="60" t="inlineStr">
        <is>
          <t>2025-01-15</t>
        </is>
      </c>
      <c r="D98" s="57" t="n">
        <v>0</v>
      </c>
      <c r="R98" s="58" t="inlineStr">
        <is>
          <t>2단계 보고서 자료(회사 설명회 자료·공시)</t>
        </is>
      </c>
    </row>
    <row r="99">
      <c r="A99" s="56" t="inlineStr">
        <is>
          <t>2025-04-14</t>
        </is>
      </c>
      <c r="B99" s="60" t="inlineStr">
        <is>
          <t>2025-04-14</t>
        </is>
      </c>
      <c r="C99" s="60" t="inlineStr">
        <is>
          <t>2025-04-15</t>
        </is>
      </c>
      <c r="D99" s="57" t="n">
        <v>2</v>
      </c>
    </row>
    <row r="100">
      <c r="A100" s="56" t="inlineStr">
        <is>
          <t>2025-07-15</t>
        </is>
      </c>
      <c r="B100" s="60" t="inlineStr">
        <is>
          <t>2025-07-15</t>
        </is>
      </c>
      <c r="C100" s="60" t="inlineStr">
        <is>
          <t>2025-07-16</t>
        </is>
      </c>
      <c r="D100" s="57" t="n">
        <v>-1.1</v>
      </c>
    </row>
    <row r="101">
      <c r="A101" s="56" t="inlineStr">
        <is>
          <t>2025-10-15</t>
        </is>
      </c>
      <c r="B101" s="60" t="inlineStr">
        <is>
          <t>2025-10-15</t>
        </is>
      </c>
      <c r="C101" s="60" t="inlineStr">
        <is>
          <t>2025-10-16</t>
        </is>
      </c>
      <c r="D101" s="57" t="n">
        <v>0.6</v>
      </c>
    </row>
    <row r="102">
      <c r="A102" s="56" t="inlineStr">
        <is>
          <t>2026-01-14</t>
        </is>
      </c>
      <c r="B102" s="60" t="inlineStr">
        <is>
          <t>2026-01-14</t>
        </is>
      </c>
      <c r="C102" s="60" t="inlineStr">
        <is>
          <t>2026-01-15</t>
        </is>
      </c>
      <c r="D102" s="57" t="n">
        <v>-4.7</v>
      </c>
    </row>
    <row r="103">
      <c r="A103" s="56" t="inlineStr">
        <is>
          <t>2026-04-14</t>
        </is>
      </c>
      <c r="B103" s="60" t="inlineStr">
        <is>
          <t>2026-04-14</t>
        </is>
      </c>
      <c r="C103" s="60" t="inlineStr">
        <is>
          <t>2026-04-15</t>
        </is>
      </c>
      <c r="D103" s="57" t="n">
        <v>-1.4</v>
      </c>
    </row>
    <row r="104">
      <c r="A104" s="56" t="inlineStr">
        <is>
          <t>2026-07-15</t>
        </is>
      </c>
      <c r="B104" s="60" t="inlineStr">
        <is>
          <t>2026-07-15</t>
        </is>
      </c>
      <c r="C104" s="60" t="inlineStr">
        <is>
          <t>2026-07-16</t>
        </is>
      </c>
      <c r="D104" s="57" t="n">
        <v>4.6</v>
      </c>
    </row>
    <row r="105">
      <c r="A105" s="56" t="inlineStr">
        <is>
          <t>2026-10-15</t>
        </is>
      </c>
      <c r="B105" s="60" t="inlineStr">
        <is>
          <t>2026-10-15</t>
        </is>
      </c>
      <c r="C105" s="60" t="inlineStr">
        <is>
          <t>2026-10-16</t>
        </is>
      </c>
      <c r="D105" s="57" t="n">
        <v>-5</v>
      </c>
    </row>
    <row r="107">
      <c r="A107" s="54" t="inlineStr">
        <is>
          <t>filings</t>
        </is>
      </c>
      <c r="B107" s="54" t="n"/>
      <c r="C107" s="54" t="n"/>
      <c r="D107" s="54" t="n"/>
      <c r="E107" s="54" t="n"/>
      <c r="F107" s="54" t="n"/>
      <c r="G107" s="54" t="n"/>
      <c r="H107" s="54" t="n"/>
      <c r="I107" s="54" t="n"/>
      <c r="J107" s="54" t="n"/>
      <c r="K107" s="54" t="n"/>
      <c r="L107" s="54" t="n"/>
      <c r="M107" s="54" t="n"/>
      <c r="N107" s="54" t="n"/>
      <c r="O107" s="54" t="n"/>
      <c r="P107" s="54" t="n"/>
      <c r="Q107" s="54" t="n"/>
      <c r="R107" s="54" t="n"/>
    </row>
    <row r="108">
      <c r="A108" s="55" t="inlineStr">
        <is>
          <t>항목</t>
        </is>
      </c>
      <c r="B108" s="55" t="inlineStr">
        <is>
          <t>title</t>
        </is>
      </c>
      <c r="C108" s="55" t="inlineStr">
        <is>
          <t>doc</t>
        </is>
      </c>
      <c r="R108" s="55" t="inlineStr">
        <is>
          <t>출처</t>
        </is>
      </c>
    </row>
    <row r="109">
      <c r="A109" s="56" t="inlineStr">
        <is>
          <t>2026-10-15</t>
        </is>
      </c>
      <c r="B109" s="60" t="inlineStr">
        <is>
          <t>2027年２月期 第２四半期（中間期）決算短信〔日本基準〕（非連結）</t>
        </is>
      </c>
      <c r="C109" s="60" t="inlineStr">
        <is>
          <t>140120261015550973</t>
        </is>
      </c>
      <c r="R109" s="58" t="inlineStr">
        <is>
          <t>2단계 보고서 자료(회사 설명회 자료·공시)</t>
        </is>
      </c>
    </row>
    <row r="110">
      <c r="A110" s="56" t="inlineStr">
        <is>
          <t>2026-07-15</t>
        </is>
      </c>
      <c r="B110" s="60" t="inlineStr">
        <is>
          <t>２０２７年２月期　第１四半期決算短信〔日本基準〕（非連結）</t>
        </is>
      </c>
      <c r="C110" s="60" t="inlineStr">
        <is>
          <t>140120260715593902</t>
        </is>
      </c>
    </row>
    <row r="111">
      <c r="A111" s="56" t="inlineStr">
        <is>
          <t>2026-04-14</t>
        </is>
      </c>
      <c r="B111" s="60" t="inlineStr">
        <is>
          <t>2026年2月期　決算短信〔日本基準〕（非連結）</t>
        </is>
      </c>
      <c r="C111" s="60" t="inlineStr">
        <is>
          <t>140120260414503232</t>
        </is>
      </c>
    </row>
    <row r="112">
      <c r="A112" s="56" t="inlineStr">
        <is>
          <t>2026-01-14</t>
        </is>
      </c>
      <c r="B112" s="60" t="inlineStr">
        <is>
          <t>2026年２月期 第３四半期決算短信〔日本基準〕（非連結）</t>
        </is>
      </c>
      <c r="C112" s="60" t="inlineStr">
        <is>
          <t>140120260113532798</t>
        </is>
      </c>
    </row>
    <row r="113">
      <c r="A113" s="56" t="inlineStr">
        <is>
          <t>2025-10-15</t>
        </is>
      </c>
      <c r="B113" s="60" t="inlineStr">
        <is>
          <t>2026年２月期 第２四半期（中間期）決算短信〔日本基準〕（非連結）</t>
        </is>
      </c>
      <c r="C113" s="60" t="inlineStr">
        <is>
          <t>140120251014573315</t>
        </is>
      </c>
    </row>
    <row r="114">
      <c r="A114" s="56" t="inlineStr">
        <is>
          <t>2025-07-15</t>
        </is>
      </c>
      <c r="B114" s="60" t="inlineStr">
        <is>
          <t>２０２６年２月期　第１四半期決算短信〔日本基準〕（非連結）</t>
        </is>
      </c>
      <c r="C114" s="60" t="inlineStr">
        <is>
          <t>140120250715514779</t>
        </is>
      </c>
    </row>
    <row r="115">
      <c r="A115" s="56" t="inlineStr">
        <is>
          <t>2025-04-14</t>
        </is>
      </c>
      <c r="B115" s="60" t="inlineStr">
        <is>
          <t>2025年２月期　決算短信［日本基準］（非連結）</t>
        </is>
      </c>
      <c r="C115" s="60" t="inlineStr">
        <is>
          <t>140120250414514701</t>
        </is>
      </c>
    </row>
    <row r="116">
      <c r="A116" s="56" t="inlineStr">
        <is>
          <t>2025-01-14</t>
        </is>
      </c>
      <c r="B116" s="60" t="inlineStr">
        <is>
          <t>2025年２月期 第３四半期決算短信〔日本基準〕(非連結)</t>
        </is>
      </c>
      <c r="C116" s="60" t="inlineStr">
        <is>
          <t>140120250114549995</t>
        </is>
      </c>
    </row>
    <row r="117">
      <c r="A117" s="56" t="inlineStr">
        <is>
          <t>2024-10-15</t>
        </is>
      </c>
      <c r="B117" s="60" t="inlineStr">
        <is>
          <t>2025年２月期 第２四半期（中間期）決算短信〔日本基準〕（非連結）</t>
        </is>
      </c>
      <c r="C117" s="60" t="inlineStr">
        <is>
          <t>140120241015598181</t>
        </is>
      </c>
    </row>
    <row r="118">
      <c r="A118" s="56" t="inlineStr">
        <is>
          <t>2024-07-12</t>
        </is>
      </c>
      <c r="B118" s="60" t="inlineStr">
        <is>
          <t>２０２５年２月期　第１四半期決算短信〔日本基準〕（非連結）</t>
        </is>
      </c>
      <c r="C118" s="60" t="inlineStr">
        <is>
          <t>140120240712548813</t>
        </is>
      </c>
    </row>
    <row r="119">
      <c r="A119" s="56" t="inlineStr">
        <is>
          <t>2024-04-15</t>
        </is>
      </c>
      <c r="B119" s="60" t="inlineStr">
        <is>
          <t>2024年２月期 決算短信〔日本基準〕（非連結）</t>
        </is>
      </c>
      <c r="C119" s="60" t="inlineStr">
        <is>
          <t>140120240415571143</t>
        </is>
      </c>
    </row>
    <row r="120">
      <c r="A120" s="56" t="inlineStr">
        <is>
          <t>2024-01-15</t>
        </is>
      </c>
      <c r="B120" s="60" t="inlineStr">
        <is>
          <t>2024年２月期　第３四半期決算短信〔日本基準〕（非連結）</t>
        </is>
      </c>
      <c r="C120" s="60" t="inlineStr">
        <is>
          <t>140120240112514640</t>
        </is>
      </c>
    </row>
    <row r="121">
      <c r="A121" s="56" t="inlineStr">
        <is>
          <t>2023-10-13</t>
        </is>
      </c>
      <c r="B121" s="60" t="inlineStr">
        <is>
          <t>2024年２月期　第２四半期決算短信〔日本基準〕（非連結）</t>
        </is>
      </c>
      <c r="C121" s="60" t="inlineStr">
        <is>
          <t>140120231012566137</t>
        </is>
      </c>
    </row>
    <row r="122">
      <c r="A122" s="56" t="inlineStr">
        <is>
          <t>2023-07-14</t>
        </is>
      </c>
      <c r="B122" s="60" t="inlineStr">
        <is>
          <t>2024年２月期　第１四半期決算短信〔日本基準〕（非連結）</t>
        </is>
      </c>
      <c r="C122" s="60" t="inlineStr">
        <is>
          <t>140120230714522352</t>
        </is>
      </c>
    </row>
    <row r="123">
      <c r="A123" s="56" t="inlineStr">
        <is>
          <t>2023-04-14</t>
        </is>
      </c>
      <c r="B123" s="60" t="inlineStr">
        <is>
          <t>2023年２月期 決算短信〔日本基準〕（非連結）</t>
        </is>
      </c>
      <c r="C123" s="60" t="inlineStr">
        <is>
          <t>140120230413546367</t>
        </is>
      </c>
    </row>
    <row r="124">
      <c r="A124" s="56" t="inlineStr">
        <is>
          <t>2023-01-13</t>
        </is>
      </c>
      <c r="B124" s="60" t="inlineStr">
        <is>
          <t>2023年 ２月期　第３四半期決算短信[日本基準]（非連結）</t>
        </is>
      </c>
      <c r="C124" s="60" t="inlineStr">
        <is>
          <t>140120230113589286</t>
        </is>
      </c>
    </row>
    <row r="125">
      <c r="A125" s="56" t="inlineStr">
        <is>
          <t>2022-04-14</t>
        </is>
      </c>
      <c r="B125" s="60" t="inlineStr">
        <is>
          <t>2022年２月期　決算短信〔日本基準〕(非連結)</t>
        </is>
      </c>
      <c r="C125" s="60" t="inlineStr">
        <is>
          <t>140120220414522147</t>
        </is>
      </c>
    </row>
    <row r="126">
      <c r="A126" s="56" t="inlineStr">
        <is>
          <t>2021-04-14</t>
        </is>
      </c>
      <c r="B126" s="60" t="inlineStr">
        <is>
          <t>2021年２月期　決算短信〔日本基準〕（連結）</t>
        </is>
      </c>
      <c r="C126" s="60" t="inlineStr">
        <is>
          <t>140120210413493690</t>
        </is>
      </c>
    </row>
    <row r="127">
      <c r="A127" s="56" t="inlineStr">
        <is>
          <t>2020-04-14</t>
        </is>
      </c>
      <c r="B127" s="60" t="inlineStr">
        <is>
          <t>2020年 ２月期 決算短信[日本基準]（連結）</t>
        </is>
      </c>
      <c r="C127" s="60" t="inlineStr">
        <is>
          <t>140120200413492784</t>
        </is>
      </c>
    </row>
    <row r="128">
      <c r="A128" s="56" t="inlineStr">
        <is>
          <t>2019-04-12</t>
        </is>
      </c>
      <c r="B128" s="60" t="inlineStr">
        <is>
          <t>2019年２月期　決算短信［日本基準］（連結）</t>
        </is>
      </c>
      <c r="C128" s="60" t="inlineStr">
        <is>
          <t>140120190412403828</t>
        </is>
      </c>
    </row>
    <row r="129">
      <c r="A129" s="56" t="inlineStr">
        <is>
          <t>2018-04-13</t>
        </is>
      </c>
      <c r="B129" s="60" t="inlineStr">
        <is>
          <t>平成30年２月期 決算短信[日本基準](連結)</t>
        </is>
      </c>
      <c r="C129" s="60" t="inlineStr">
        <is>
          <t>140120180315490195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2027년 2월 결산기 ２분기 결산단신</t>
        </is>
      </c>
      <c r="C4" t="inlineStr">
        <is>
          <t>https://www2.jpx.co.jp/disc/58170/140120261015550973.pdf</t>
        </is>
      </c>
    </row>
    <row r="5">
      <c r="A5" t="inlineStr">
        <is>
          <t>2026-07-15</t>
        </is>
      </c>
      <c r="B5" t="inlineStr">
        <is>
          <t>２０２７년 2월 결산기 １분기 결산단신</t>
        </is>
      </c>
      <c r="C5" t="inlineStr">
        <is>
          <t>https://www2.jpx.co.jp/disc/58170/140120260715593902.pdf</t>
        </is>
      </c>
    </row>
    <row r="6">
      <c r="A6" t="inlineStr">
        <is>
          <t>2026-04-14</t>
        </is>
      </c>
      <c r="B6" t="inlineStr">
        <is>
          <t>2026년 2월 결산기 연간 결산단신</t>
        </is>
      </c>
      <c r="C6" t="inlineStr">
        <is>
          <t>https://www2.jpx.co.jp/disc/58170/140120260414503232.pdf</t>
        </is>
      </c>
    </row>
    <row r="7">
      <c r="A7" t="inlineStr">
        <is>
          <t>2026-01-14</t>
        </is>
      </c>
      <c r="B7" t="inlineStr">
        <is>
          <t>2026년 2월 결산기 ３분기 결산단신</t>
        </is>
      </c>
      <c r="C7" t="inlineStr">
        <is>
          <t>https://www2.jpx.co.jp/disc/58170/140120260113532798.pdf</t>
        </is>
      </c>
    </row>
    <row r="8">
      <c r="A8" t="inlineStr">
        <is>
          <t>2025-10-15</t>
        </is>
      </c>
      <c r="B8" t="inlineStr">
        <is>
          <t>2026년 2월 결산기 ２분기 결산단신</t>
        </is>
      </c>
      <c r="C8" t="inlineStr">
        <is>
          <t>https://www2.jpx.co.jp/disc/58170/140120251014573315.pdf</t>
        </is>
      </c>
    </row>
    <row r="9">
      <c r="A9" t="inlineStr">
        <is>
          <t>2025-07-15</t>
        </is>
      </c>
      <c r="B9" t="inlineStr">
        <is>
          <t>２０２６년 2월 결산기 １분기 결산단신</t>
        </is>
      </c>
      <c r="C9" t="inlineStr">
        <is>
          <t>https://www2.jpx.co.jp/disc/58170/140120250715514779.pdf</t>
        </is>
      </c>
    </row>
    <row r="10">
      <c r="A10" t="inlineStr">
        <is>
          <t>2025-04-14</t>
        </is>
      </c>
      <c r="B10" t="inlineStr">
        <is>
          <t>2025년 2월 결산기 연간 결산단신</t>
        </is>
      </c>
      <c r="C10" t="inlineStr">
        <is>
          <t>https://www2.jpx.co.jp/disc/58170/140120250414514701.pdf</t>
        </is>
      </c>
    </row>
    <row r="11">
      <c r="A11" t="inlineStr">
        <is>
          <t>2025-01-14</t>
        </is>
      </c>
      <c r="B11" t="inlineStr">
        <is>
          <t>2025년 2월 결산기 ３분기 결산단신</t>
        </is>
      </c>
      <c r="C11" t="inlineStr">
        <is>
          <t>https://www2.jpx.co.jp/disc/58170/140120250114549995.pdf</t>
        </is>
      </c>
    </row>
    <row r="12">
      <c r="A12" t="inlineStr">
        <is>
          <t>2024-10-15</t>
        </is>
      </c>
      <c r="B12" t="inlineStr">
        <is>
          <t>2025년 2월 결산기 ２분기 결산단신</t>
        </is>
      </c>
      <c r="C12" t="inlineStr">
        <is>
          <t>https://www2.jpx.co.jp/disc/58170/140120241015598181.pdf</t>
        </is>
      </c>
    </row>
    <row r="13">
      <c r="A13" t="inlineStr">
        <is>
          <t>2024-07-12</t>
        </is>
      </c>
      <c r="B13" t="inlineStr">
        <is>
          <t>２０２５년 2월 결산기 １분기 결산단신</t>
        </is>
      </c>
      <c r="C13" t="inlineStr">
        <is>
          <t>https://www2.jpx.co.jp/disc/58170/140120240712548813.pdf</t>
        </is>
      </c>
    </row>
    <row r="14">
      <c r="A14" t="inlineStr">
        <is>
          <t>2024-04-15</t>
        </is>
      </c>
      <c r="B14" t="inlineStr">
        <is>
          <t>2024년 2월 결산기 연간 결산단신</t>
        </is>
      </c>
      <c r="C14" t="inlineStr">
        <is>
          <t>https://www2.jpx.co.jp/disc/58170/140120240415571143.pdf</t>
        </is>
      </c>
    </row>
    <row r="15">
      <c r="A15" t="inlineStr">
        <is>
          <t>2024-01-15</t>
        </is>
      </c>
      <c r="B15" t="inlineStr">
        <is>
          <t>2024년 2월 결산기 ３분기 결산단신</t>
        </is>
      </c>
      <c r="C15" t="inlineStr">
        <is>
          <t>https://www2.jpx.co.jp/disc/58170/140120240112514640.pdf</t>
        </is>
      </c>
    </row>
    <row r="16">
      <c r="A16" t="inlineStr">
        <is>
          <t>2023-10-13</t>
        </is>
      </c>
      <c r="B16" t="inlineStr">
        <is>
          <t>2024년 2월 결산기 ２분기 결산단신</t>
        </is>
      </c>
      <c r="C16" t="inlineStr">
        <is>
          <t>https://www2.jpx.co.jp/disc/58170/140120231012566137.pdf</t>
        </is>
      </c>
    </row>
    <row r="17">
      <c r="A17" t="inlineStr">
        <is>
          <t>2023-07-14</t>
        </is>
      </c>
      <c r="B17" t="inlineStr">
        <is>
          <t>2024년 2월 결산기 １분기 결산단신</t>
        </is>
      </c>
      <c r="C17" t="inlineStr">
        <is>
          <t>https://www2.jpx.co.jp/disc/58170/140120230714522352.pdf</t>
        </is>
      </c>
    </row>
    <row r="18">
      <c r="A18" t="inlineStr">
        <is>
          <t>2023-04-14</t>
        </is>
      </c>
      <c r="B18" t="inlineStr">
        <is>
          <t>2023년 2월 결산기 연간 결산단신</t>
        </is>
      </c>
      <c r="C18" t="inlineStr">
        <is>
          <t>https://www2.jpx.co.jp/disc/58170/140120230413546367.pdf</t>
        </is>
      </c>
    </row>
    <row r="19">
      <c r="A19" t="inlineStr">
        <is>
          <t>2023-01-13</t>
        </is>
      </c>
      <c r="B19" t="inlineStr">
        <is>
          <t>３분기 결산단신</t>
        </is>
      </c>
      <c r="C19" t="inlineStr">
        <is>
          <t>https://www2.jpx.co.jp/disc/58170/140120230113589286.pdf</t>
        </is>
      </c>
    </row>
    <row r="20">
      <c r="A20" t="inlineStr">
        <is>
          <t>2022-04-14</t>
        </is>
      </c>
      <c r="B20" t="inlineStr">
        <is>
          <t>2022년 2월 결산기 연간 결산단신</t>
        </is>
      </c>
      <c r="C20" t="inlineStr">
        <is>
          <t>https://www2.jpx.co.jp/disc/58170/140120220414522147.pdf</t>
        </is>
      </c>
    </row>
    <row r="21">
      <c r="A21" t="inlineStr">
        <is>
          <t>2021-04-14</t>
        </is>
      </c>
      <c r="B21" t="inlineStr">
        <is>
          <t>2021년 2월 결산기 연간 결산단신</t>
        </is>
      </c>
      <c r="C21" t="inlineStr">
        <is>
          <t>https://www2.jpx.co.jp/disc/58170/140120210413493690.pdf</t>
        </is>
      </c>
    </row>
    <row r="22">
      <c r="A22" t="inlineStr">
        <is>
          <t>2020-04-14</t>
        </is>
      </c>
      <c r="B22" t="inlineStr">
        <is>
          <t>연간 결산단신</t>
        </is>
      </c>
      <c r="C22" t="inlineStr">
        <is>
          <t>https://www2.jpx.co.jp/disc/58170/140120200413492784.pdf</t>
        </is>
      </c>
    </row>
    <row r="23">
      <c r="A23" t="inlineStr">
        <is>
          <t>2019-04-12</t>
        </is>
      </c>
      <c r="B23" t="inlineStr">
        <is>
          <t>2019년 2월 결산기 연간 결산단신</t>
        </is>
      </c>
      <c r="C23" t="inlineStr">
        <is>
          <t>https://www2.jpx.co.jp/disc/58170/140120190412403828.pdf</t>
        </is>
      </c>
    </row>
    <row r="24">
      <c r="A24" t="inlineStr">
        <is>
          <t>2018-04-13</t>
        </is>
      </c>
      <c r="B24" t="inlineStr">
        <is>
          <t>연간 결산단신</t>
        </is>
      </c>
      <c r="C24" t="inlineStr">
        <is>
          <t>https://www2.jpx.co.jp/disc/58170/140120180315490195.pdf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2026-10-28T08:36:59Z</dcterms:created>
  <dcterms:modified xmlns:dcterms="http://purl.org/dc/terms/" xmlns:xsi="http://www.w3.org/2001/XMLSchema-instance" xsi:type="dcterms:W3CDTF">2026-10-28T08:36:59Z</dcterms:modified>
</cp:coreProperties>
</file>