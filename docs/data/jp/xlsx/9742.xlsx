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9742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9393</v>
      </c>
      <c r="D4" s="12" t="n">
        <v>11552</v>
      </c>
      <c r="E4" s="12" t="n">
        <v>8436</v>
      </c>
      <c r="F4" s="12" t="n">
        <v>10195</v>
      </c>
      <c r="G4" s="12" t="n">
        <v>9512</v>
      </c>
      <c r="H4" s="12" t="n">
        <v>12420</v>
      </c>
      <c r="I4" s="12" t="n">
        <v>7712</v>
      </c>
      <c r="J4" s="12" t="n">
        <v>8774</v>
      </c>
      <c r="K4" s="12" t="n">
        <v>8726</v>
      </c>
      <c r="L4" s="12" t="n">
        <v>11404</v>
      </c>
      <c r="M4" s="12" t="n">
        <v>8692</v>
      </c>
      <c r="N4" s="12" t="n">
        <v>10291</v>
      </c>
      <c r="O4" s="11" t="n">
        <v>38488</v>
      </c>
      <c r="P4" s="12" t="n">
        <v>36119</v>
      </c>
      <c r="Q4" s="12" t="n">
        <v>38143</v>
      </c>
      <c r="R4" s="12" t="n">
        <v>42278</v>
      </c>
      <c r="S4" s="12" t="n">
        <v>41573</v>
      </c>
      <c r="T4" s="12" t="n">
        <v>40033</v>
      </c>
      <c r="U4" s="12" t="n">
        <v>42404</v>
      </c>
      <c r="V4" s="12" t="n">
        <v>40557</v>
      </c>
      <c r="W4" s="12" t="n">
        <v>40563</v>
      </c>
      <c r="X4" s="12" t="n">
        <v>36616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7411</v>
      </c>
      <c r="D11" s="22" t="n">
        <v>7924</v>
      </c>
      <c r="E11" s="22" t="n">
        <v>7208</v>
      </c>
      <c r="F11" s="22" t="n">
        <v>7418</v>
      </c>
      <c r="G11" s="22" t="n">
        <v>7325</v>
      </c>
      <c r="H11" s="22" t="n">
        <v>8896</v>
      </c>
      <c r="I11" s="22" t="n">
        <v>6946</v>
      </c>
      <c r="J11" s="22" t="n">
        <v>7340</v>
      </c>
      <c r="K11" s="22" t="n">
        <v>7092</v>
      </c>
      <c r="L11" s="22" t="n">
        <v>9875</v>
      </c>
      <c r="M11" s="22" t="n">
        <v>7162</v>
      </c>
      <c r="N11" s="22" t="n">
        <v>8231</v>
      </c>
      <c r="O11" s="21" t="n">
        <v>30307</v>
      </c>
      <c r="P11" s="22" t="n">
        <v>28667</v>
      </c>
      <c r="Q11" s="22" t="n">
        <v>30562</v>
      </c>
      <c r="R11" s="22" t="n">
        <v>33121</v>
      </c>
      <c r="S11" s="22" t="n">
        <v>32995</v>
      </c>
      <c r="T11" s="22" t="n">
        <v>31556</v>
      </c>
      <c r="U11" s="22" t="n">
        <v>32306</v>
      </c>
      <c r="V11" s="22" t="n">
        <v>30827</v>
      </c>
      <c r="W11" s="22" t="n">
        <v>30847</v>
      </c>
      <c r="X11" s="22" t="n">
        <v>31253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1669</v>
      </c>
      <c r="D17" s="22" t="n">
        <v>1918</v>
      </c>
      <c r="E17" s="22" t="n">
        <v>1549</v>
      </c>
      <c r="F17" s="22" t="n">
        <v>1579</v>
      </c>
      <c r="G17" s="22" t="n">
        <v>1523</v>
      </c>
      <c r="H17" s="22" t="n">
        <v>1528</v>
      </c>
      <c r="I17" s="22" t="n">
        <v>1645</v>
      </c>
      <c r="J17" s="22" t="n">
        <v>1474</v>
      </c>
      <c r="K17" s="22" t="n">
        <v>1449</v>
      </c>
      <c r="L17" s="22" t="n">
        <v>1442</v>
      </c>
      <c r="M17" s="22" t="n">
        <v>1608</v>
      </c>
      <c r="N17" s="22" t="n">
        <v>1532</v>
      </c>
      <c r="O17" s="21" t="n">
        <v>5772</v>
      </c>
      <c r="P17" s="22" t="n">
        <v>5844</v>
      </c>
      <c r="Q17" s="22" t="n">
        <v>5410</v>
      </c>
      <c r="R17" s="22" t="n">
        <v>6253</v>
      </c>
      <c r="S17" s="22" t="n">
        <v>5791</v>
      </c>
      <c r="T17" s="22" t="n">
        <v>6514</v>
      </c>
      <c r="U17" s="22" t="n">
        <v>6296</v>
      </c>
      <c r="V17" s="22" t="n">
        <v>6851</v>
      </c>
      <c r="W17" s="22" t="n">
        <v>6179</v>
      </c>
      <c r="X17" s="22" t="n">
        <v>6010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312</v>
      </c>
      <c r="D19" s="12" t="n">
        <v>1709</v>
      </c>
      <c r="E19" s="12" t="n">
        <v>-321</v>
      </c>
      <c r="F19" s="12" t="n">
        <v>1197</v>
      </c>
      <c r="G19" s="12" t="n">
        <v>663</v>
      </c>
      <c r="H19" s="12" t="n">
        <v>1997</v>
      </c>
      <c r="I19" s="12" t="n">
        <v>-878</v>
      </c>
      <c r="J19" s="12" t="n">
        <v>-42</v>
      </c>
      <c r="K19" s="12" t="n">
        <v>186</v>
      </c>
      <c r="L19" s="12" t="n">
        <v>87</v>
      </c>
      <c r="M19" s="12" t="n">
        <v>-78</v>
      </c>
      <c r="N19" s="12" t="n">
        <v>527</v>
      </c>
      <c r="O19" s="11" t="n">
        <v>2407</v>
      </c>
      <c r="P19" s="12" t="n">
        <v>1608</v>
      </c>
      <c r="Q19" s="12" t="n">
        <v>2169</v>
      </c>
      <c r="R19" s="12" t="n">
        <v>2903</v>
      </c>
      <c r="S19" s="12" t="n">
        <v>2786</v>
      </c>
      <c r="T19" s="12" t="n">
        <v>1963</v>
      </c>
      <c r="U19" s="12" t="n">
        <v>3801</v>
      </c>
      <c r="V19" s="12" t="n">
        <v>2877</v>
      </c>
      <c r="W19" s="12" t="n">
        <v>3536</v>
      </c>
      <c r="X19" s="12" t="n">
        <v>-647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6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18</v>
      </c>
      <c r="I35" s="22" t="n">
        <v>2</v>
      </c>
      <c r="J35" s="22" t="n">
        <v>1</v>
      </c>
      <c r="K35" s="22" t="n">
        <v>0</v>
      </c>
      <c r="L35" s="22" t="n">
        <v>3</v>
      </c>
      <c r="M35" s="22" t="n">
        <v>8</v>
      </c>
      <c r="N35" s="22" t="n">
        <v>0</v>
      </c>
      <c r="O35" s="21" t="n">
        <v>167</v>
      </c>
      <c r="P35" s="22" t="n">
        <v>64</v>
      </c>
      <c r="Q35" s="22" t="n">
        <v>0</v>
      </c>
      <c r="R35" s="22" t="n">
        <v>4356</v>
      </c>
      <c r="S35" s="22" t="n">
        <v>0</v>
      </c>
      <c r="T35" s="22" t="n">
        <v>6</v>
      </c>
      <c r="U35" s="22" t="n">
        <v>0</v>
      </c>
      <c r="V35" s="22" t="n">
        <v>24</v>
      </c>
      <c r="W35" s="22" t="n">
        <v>18</v>
      </c>
      <c r="X35" s="22" t="n">
        <v>6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2</v>
      </c>
      <c r="D37" s="22" t="n">
        <v>78</v>
      </c>
      <c r="E37" s="22" t="n">
        <v>68</v>
      </c>
      <c r="F37" s="22" t="n">
        <v>54</v>
      </c>
      <c r="G37" s="22" t="n">
        <v>0</v>
      </c>
      <c r="H37" s="22" t="n">
        <v>-8</v>
      </c>
      <c r="I37" s="22" t="n">
        <v>0</v>
      </c>
      <c r="J37" s="22" t="n">
        <v>6</v>
      </c>
      <c r="K37" s="22" t="n">
        <v>0</v>
      </c>
      <c r="L37" s="22" t="n">
        <v>1184</v>
      </c>
      <c r="M37" s="22" t="n">
        <v>0</v>
      </c>
      <c r="N37" s="22" t="n">
        <v>6</v>
      </c>
      <c r="O37" s="21" t="n">
        <v>138</v>
      </c>
      <c r="P37" s="22" t="n">
        <v>45</v>
      </c>
      <c r="Q37" s="22" t="n">
        <v>36</v>
      </c>
      <c r="R37" s="22" t="n">
        <v>4280</v>
      </c>
      <c r="S37" s="22" t="n">
        <v>774</v>
      </c>
      <c r="T37" s="22" t="n">
        <v>140</v>
      </c>
      <c r="U37" s="22" t="n">
        <v>182</v>
      </c>
      <c r="V37" s="22" t="n">
        <v>84</v>
      </c>
      <c r="W37" s="22" t="n">
        <v>114</v>
      </c>
      <c r="X37" s="22" t="n">
        <v>1190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50</v>
      </c>
      <c r="D39" s="22" t="n">
        <v>20</v>
      </c>
      <c r="E39" s="22" t="n">
        <v>27</v>
      </c>
      <c r="F39" s="22" t="n">
        <v>18</v>
      </c>
      <c r="G39" s="22" t="n">
        <v>48</v>
      </c>
      <c r="H39" s="22" t="n">
        <v>40</v>
      </c>
      <c r="I39" s="22" t="n">
        <v>37</v>
      </c>
      <c r="J39" s="22" t="n">
        <v>118</v>
      </c>
      <c r="K39" s="22" t="n">
        <v>73</v>
      </c>
      <c r="L39" s="22" t="n">
        <v>33</v>
      </c>
      <c r="M39" s="22" t="n">
        <v>35</v>
      </c>
      <c r="N39" s="22" t="n">
        <v>16</v>
      </c>
      <c r="O39" s="21" t="n">
        <v>127</v>
      </c>
      <c r="P39" s="22" t="n">
        <v>108</v>
      </c>
      <c r="Q39" s="22" t="n">
        <v>150</v>
      </c>
      <c r="R39" s="22" t="n">
        <v>113</v>
      </c>
      <c r="S39" s="22" t="n">
        <v>164</v>
      </c>
      <c r="T39" s="22" t="n">
        <v>121</v>
      </c>
      <c r="U39" s="22" t="n">
        <v>85</v>
      </c>
      <c r="V39" s="22" t="n">
        <v>112</v>
      </c>
      <c r="W39" s="22" t="n">
        <v>133</v>
      </c>
      <c r="X39" s="22" t="n">
        <v>261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5</v>
      </c>
      <c r="D41" s="22" t="n">
        <v>244</v>
      </c>
      <c r="E41" s="22" t="n">
        <v>10</v>
      </c>
      <c r="F41" s="22" t="n">
        <v>13</v>
      </c>
      <c r="G41" s="22" t="n">
        <v>14</v>
      </c>
      <c r="H41" s="22" t="n">
        <v>24</v>
      </c>
      <c r="I41" s="22" t="n">
        <v>20</v>
      </c>
      <c r="J41" s="22" t="n">
        <v>16</v>
      </c>
      <c r="K41" s="22" t="n">
        <v>21</v>
      </c>
      <c r="L41" s="22" t="n">
        <v>17</v>
      </c>
      <c r="M41" s="22" t="n">
        <v>17</v>
      </c>
      <c r="N41" s="22" t="n">
        <v>30</v>
      </c>
      <c r="O41" s="21" t="n">
        <v>107</v>
      </c>
      <c r="P41" s="22" t="n">
        <v>59</v>
      </c>
      <c r="Q41" s="22" t="n">
        <v>87</v>
      </c>
      <c r="R41" s="22" t="n">
        <v>59</v>
      </c>
      <c r="S41" s="22" t="n">
        <v>25</v>
      </c>
      <c r="T41" s="22" t="n">
        <v>23</v>
      </c>
      <c r="U41" s="22" t="n">
        <v>5</v>
      </c>
      <c r="V41" s="22" t="n">
        <v>257</v>
      </c>
      <c r="W41" s="22" t="n">
        <v>61</v>
      </c>
      <c r="X41" s="22" t="n">
        <v>74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360</v>
      </c>
      <c r="D43" s="12" t="n">
        <v>1407</v>
      </c>
      <c r="E43" s="12" t="n">
        <v>-372</v>
      </c>
      <c r="F43" s="12" t="n">
        <v>1148</v>
      </c>
      <c r="G43" s="12" t="n">
        <v>697</v>
      </c>
      <c r="H43" s="12" t="n">
        <v>2038</v>
      </c>
      <c r="I43" s="12" t="n">
        <v>-858</v>
      </c>
      <c r="J43" s="12" t="n">
        <v>53</v>
      </c>
      <c r="K43" s="12" t="n">
        <v>238</v>
      </c>
      <c r="L43" s="12" t="n">
        <v>-1078</v>
      </c>
      <c r="M43" s="12" t="n">
        <v>-52</v>
      </c>
      <c r="N43" s="12" t="n">
        <v>507</v>
      </c>
      <c r="O43" s="11" t="n">
        <v>2456</v>
      </c>
      <c r="P43" s="12" t="n">
        <v>1675</v>
      </c>
      <c r="Q43" s="12" t="n">
        <v>2196</v>
      </c>
      <c r="R43" s="12" t="n">
        <v>3034</v>
      </c>
      <c r="S43" s="12" t="n">
        <v>2150</v>
      </c>
      <c r="T43" s="12" t="n">
        <v>1926</v>
      </c>
      <c r="U43" s="12" t="n">
        <v>3699</v>
      </c>
      <c r="V43" s="12" t="n">
        <v>2672</v>
      </c>
      <c r="W43" s="12" t="n">
        <v>3511</v>
      </c>
      <c r="X43" s="12" t="n">
        <v>-1645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125</v>
      </c>
      <c r="D45" s="22" t="n">
        <v>321</v>
      </c>
      <c r="E45" s="22" t="n">
        <v>-96</v>
      </c>
      <c r="F45" s="22" t="n">
        <v>334</v>
      </c>
      <c r="G45" s="22" t="n">
        <v>236</v>
      </c>
      <c r="H45" s="22" t="n">
        <v>601</v>
      </c>
      <c r="I45" s="22" t="n">
        <v>-239</v>
      </c>
      <c r="J45" s="22" t="n">
        <v>36</v>
      </c>
      <c r="K45" s="22" t="n">
        <v>101</v>
      </c>
      <c r="L45" s="22" t="n">
        <v>300</v>
      </c>
      <c r="M45" s="22" t="n">
        <v>27</v>
      </c>
      <c r="N45" s="22" t="n">
        <v>173</v>
      </c>
      <c r="O45" s="21" t="n">
        <v>842</v>
      </c>
      <c r="P45" s="22" t="n">
        <v>618</v>
      </c>
      <c r="Q45" s="22" t="n">
        <v>704</v>
      </c>
      <c r="R45" s="22" t="n">
        <v>970</v>
      </c>
      <c r="S45" s="22" t="n">
        <v>718</v>
      </c>
      <c r="T45" s="22" t="n">
        <v>626</v>
      </c>
      <c r="U45" s="22" t="n">
        <v>1158</v>
      </c>
      <c r="V45" s="22" t="n">
        <v>877</v>
      </c>
      <c r="W45" s="22" t="n">
        <v>1075</v>
      </c>
      <c r="X45" s="22" t="n">
        <v>198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236</v>
      </c>
      <c r="D47" s="12" t="n">
        <v>1086</v>
      </c>
      <c r="E47" s="12" t="n">
        <v>-275</v>
      </c>
      <c r="F47" s="12" t="n">
        <v>812</v>
      </c>
      <c r="G47" s="12" t="n">
        <v>461</v>
      </c>
      <c r="H47" s="12" t="n">
        <v>1438</v>
      </c>
      <c r="I47" s="12" t="n">
        <v>-618</v>
      </c>
      <c r="J47" s="12" t="n">
        <v>17</v>
      </c>
      <c r="K47" s="12" t="n">
        <v>136</v>
      </c>
      <c r="L47" s="12" t="n">
        <v>-1378</v>
      </c>
      <c r="M47" s="12" t="n">
        <v>-80</v>
      </c>
      <c r="N47" s="12" t="n">
        <v>335</v>
      </c>
      <c r="O47" s="11" t="n">
        <v>1613</v>
      </c>
      <c r="P47" s="12" t="n">
        <v>1057</v>
      </c>
      <c r="Q47" s="12" t="n">
        <v>1492</v>
      </c>
      <c r="R47" s="12" t="n">
        <v>2063</v>
      </c>
      <c r="S47" s="12" t="n">
        <v>1432</v>
      </c>
      <c r="T47" s="12" t="n">
        <v>1300</v>
      </c>
      <c r="U47" s="12" t="n">
        <v>2541</v>
      </c>
      <c r="V47" s="12" t="n">
        <v>1795</v>
      </c>
      <c r="W47" s="12" t="n">
        <v>2436</v>
      </c>
      <c r="X47" s="12" t="n">
        <v>-1843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236</v>
      </c>
      <c r="D49" s="12" t="n">
        <v>1086</v>
      </c>
      <c r="E49" s="12" t="n">
        <v>-275</v>
      </c>
      <c r="F49" s="12" t="n">
        <v>812</v>
      </c>
      <c r="G49" s="12" t="n">
        <v>461</v>
      </c>
      <c r="H49" s="12" t="n">
        <v>1438</v>
      </c>
      <c r="I49" s="12" t="n">
        <v>-618</v>
      </c>
      <c r="J49" s="12" t="n">
        <v>17</v>
      </c>
      <c r="K49" s="12" t="n">
        <v>136</v>
      </c>
      <c r="L49" s="12" t="n">
        <v>-1378</v>
      </c>
      <c r="M49" s="12" t="n">
        <v>-80</v>
      </c>
      <c r="N49" s="12" t="n">
        <v>335</v>
      </c>
      <c r="O49" s="11" t="n">
        <v>1613</v>
      </c>
      <c r="P49" s="12" t="n">
        <v>1057</v>
      </c>
      <c r="Q49" s="12" t="n">
        <v>1492</v>
      </c>
      <c r="R49" s="12" t="n">
        <v>2063</v>
      </c>
      <c r="S49" s="12" t="n">
        <v>1432</v>
      </c>
      <c r="T49" s="12" t="n">
        <v>1300</v>
      </c>
      <c r="U49" s="12" t="n">
        <v>2541</v>
      </c>
      <c r="V49" s="12" t="n">
        <v>1795</v>
      </c>
      <c r="W49" s="12" t="n">
        <v>2436</v>
      </c>
      <c r="X49" s="12" t="n">
        <v>-1843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9393</v>
      </c>
      <c r="D84" s="12" t="n">
        <v>11552</v>
      </c>
      <c r="E84" s="12" t="n">
        <v>8436</v>
      </c>
      <c r="F84" s="12" t="n">
        <v>10195</v>
      </c>
      <c r="G84" s="12" t="n">
        <v>9512</v>
      </c>
      <c r="H84" s="12" t="n">
        <v>12420</v>
      </c>
      <c r="I84" s="12" t="n">
        <v>7712</v>
      </c>
      <c r="J84" s="12" t="n">
        <v>8774</v>
      </c>
      <c r="K84" s="12" t="n">
        <v>8726</v>
      </c>
      <c r="L84" s="12" t="n">
        <v>11404</v>
      </c>
      <c r="M84" s="12" t="n">
        <v>8692</v>
      </c>
      <c r="N84" s="12" t="n">
        <v>10291</v>
      </c>
      <c r="T84" s="12" t="n">
        <v>11533</v>
      </c>
      <c r="U84" s="12" t="n">
        <v>12416</v>
      </c>
      <c r="V84" s="12" t="n">
        <v>11552</v>
      </c>
      <c r="W84" s="12" t="n">
        <v>12420</v>
      </c>
      <c r="X84" s="12" t="n">
        <v>11404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7411</v>
      </c>
      <c r="D86" s="22" t="n">
        <v>7924</v>
      </c>
      <c r="E86" s="22" t="n">
        <v>7208</v>
      </c>
      <c r="F86" s="22" t="n">
        <v>7418</v>
      </c>
      <c r="G86" s="22" t="n">
        <v>7325</v>
      </c>
      <c r="H86" s="22" t="n">
        <v>8896</v>
      </c>
      <c r="I86" s="22" t="n">
        <v>6946</v>
      </c>
      <c r="J86" s="22" t="n">
        <v>7340</v>
      </c>
      <c r="K86" s="22" t="n">
        <v>7092</v>
      </c>
      <c r="L86" s="22" t="n">
        <v>9875</v>
      </c>
      <c r="M86" s="22" t="n">
        <v>7162</v>
      </c>
      <c r="N86" s="22" t="n">
        <v>8231</v>
      </c>
      <c r="T86" s="22" t="n">
        <v>9061</v>
      </c>
      <c r="U86" s="22" t="n">
        <v>9033</v>
      </c>
      <c r="V86" s="22" t="n">
        <v>7924</v>
      </c>
      <c r="W86" s="22" t="n">
        <v>8896</v>
      </c>
      <c r="X86" s="22" t="n">
        <v>9875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1982</v>
      </c>
      <c r="D88" s="12" t="n">
        <v>3627</v>
      </c>
      <c r="E88" s="12" t="n">
        <v>1228</v>
      </c>
      <c r="F88" s="12" t="n">
        <v>2776</v>
      </c>
      <c r="G88" s="12" t="n">
        <v>2187</v>
      </c>
      <c r="H88" s="12" t="n">
        <v>3524</v>
      </c>
      <c r="I88" s="12" t="n">
        <v>766</v>
      </c>
      <c r="J88" s="12" t="n">
        <v>1433</v>
      </c>
      <c r="K88" s="12" t="n">
        <v>1634</v>
      </c>
      <c r="L88" s="12" t="n">
        <v>1529</v>
      </c>
      <c r="M88" s="12" t="n">
        <v>1529</v>
      </c>
      <c r="N88" s="12" t="n">
        <v>2060</v>
      </c>
      <c r="T88" s="12" t="n">
        <v>2472</v>
      </c>
      <c r="U88" s="12" t="n">
        <v>3383</v>
      </c>
      <c r="V88" s="12" t="n">
        <v>3627</v>
      </c>
      <c r="W88" s="12" t="n">
        <v>3524</v>
      </c>
      <c r="X88" s="12" t="n">
        <v>1529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1669</v>
      </c>
      <c r="D90" s="22" t="n">
        <v>1918</v>
      </c>
      <c r="E90" s="22" t="n">
        <v>1549</v>
      </c>
      <c r="F90" s="22" t="n">
        <v>1579</v>
      </c>
      <c r="G90" s="22" t="n">
        <v>1523</v>
      </c>
      <c r="H90" s="22" t="n">
        <v>1528</v>
      </c>
      <c r="I90" s="22" t="n">
        <v>1645</v>
      </c>
      <c r="J90" s="22" t="n">
        <v>1474</v>
      </c>
      <c r="K90" s="22" t="n">
        <v>1449</v>
      </c>
      <c r="L90" s="22" t="n">
        <v>1442</v>
      </c>
      <c r="M90" s="22" t="n">
        <v>1608</v>
      </c>
      <c r="N90" s="22" t="n">
        <v>1532</v>
      </c>
      <c r="T90" s="22" t="n">
        <v>1793</v>
      </c>
      <c r="U90" s="22" t="n">
        <v>1682</v>
      </c>
      <c r="V90" s="22" t="n">
        <v>1918</v>
      </c>
      <c r="W90" s="22" t="n">
        <v>1528</v>
      </c>
      <c r="X90" s="22" t="n">
        <v>1442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영업이익(손실)</t>
        </is>
      </c>
      <c r="C92" s="12" t="n">
        <v>312</v>
      </c>
      <c r="D92" s="12" t="n">
        <v>1709</v>
      </c>
      <c r="E92" s="12" t="n">
        <v>-321</v>
      </c>
      <c r="F92" s="12" t="n">
        <v>1197</v>
      </c>
      <c r="G92" s="12" t="n">
        <v>663</v>
      </c>
      <c r="H92" s="12" t="n">
        <v>1997</v>
      </c>
      <c r="I92" s="12" t="n">
        <v>-878</v>
      </c>
      <c r="J92" s="12" t="n">
        <v>-42</v>
      </c>
      <c r="K92" s="12" t="n">
        <v>186</v>
      </c>
      <c r="L92" s="12" t="n">
        <v>87</v>
      </c>
      <c r="M92" s="12" t="n">
        <v>-78</v>
      </c>
      <c r="N92" s="12" t="n">
        <v>527</v>
      </c>
      <c r="T92" s="12" t="n">
        <v>679</v>
      </c>
      <c r="U92" s="12" t="n">
        <v>1701</v>
      </c>
      <c r="V92" s="12" t="n">
        <v>1709</v>
      </c>
      <c r="W92" s="12" t="n">
        <v>1997</v>
      </c>
      <c r="X92" s="12" t="n">
        <v>87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13</v>
      </c>
      <c r="D95" s="22" t="n">
        <v>13</v>
      </c>
      <c r="E95" s="22" t="n">
        <v>13</v>
      </c>
      <c r="F95" s="22" t="n">
        <v>13</v>
      </c>
      <c r="G95" s="22" t="n">
        <v>12</v>
      </c>
      <c r="H95" s="22" t="n">
        <v>13</v>
      </c>
      <c r="I95" s="22" t="n">
        <v>10</v>
      </c>
      <c r="J95" s="22" t="n">
        <v>11</v>
      </c>
      <c r="K95" s="22" t="n">
        <v>8</v>
      </c>
      <c r="L95" s="22" t="n">
        <v>10</v>
      </c>
      <c r="M95" s="22" t="n">
        <v>4</v>
      </c>
      <c r="N95" s="22" t="n">
        <v>7</v>
      </c>
      <c r="T95" s="22" t="n">
        <v>13</v>
      </c>
      <c r="U95" s="22" t="n">
        <v>13</v>
      </c>
      <c r="V95" s="22" t="n">
        <v>13</v>
      </c>
      <c r="W95" s="22" t="n">
        <v>13</v>
      </c>
      <c r="X95" s="22" t="n">
        <v>10</v>
      </c>
    </row>
    <row r="96">
      <c r="A96" s="20" t="inlineStr">
        <is>
          <t>배당금수익</t>
        </is>
      </c>
      <c r="C96" s="22" t="n">
        <v>21</v>
      </c>
      <c r="D96" s="22" t="n">
        <v>0</v>
      </c>
      <c r="E96" s="22" t="n">
        <v>7</v>
      </c>
      <c r="F96" s="22" t="n">
        <v>0</v>
      </c>
      <c r="G96" s="22" t="n">
        <v>16</v>
      </c>
      <c r="H96" s="22" t="n">
        <v>14</v>
      </c>
      <c r="I96" s="22" t="n">
        <v>14</v>
      </c>
      <c r="J96" s="22" t="n">
        <v>0</v>
      </c>
      <c r="K96" s="22" t="n">
        <v>49</v>
      </c>
      <c r="L96" s="22" t="n">
        <v>0</v>
      </c>
      <c r="M96" s="22" t="n">
        <v>18</v>
      </c>
      <c r="N96" s="22" t="n">
        <v>0</v>
      </c>
      <c r="T96" s="22" t="n">
        <v>0</v>
      </c>
      <c r="U96" s="22" t="n">
        <v>0</v>
      </c>
      <c r="V96" s="22" t="n">
        <v>0</v>
      </c>
      <c r="W96" s="22" t="n">
        <v>14</v>
      </c>
      <c r="X96" s="22" t="n">
        <v>0</v>
      </c>
    </row>
    <row r="97">
      <c r="A97" s="20" t="inlineStr">
        <is>
          <t>보상금 수취</t>
        </is>
      </c>
      <c r="G97" s="22" t="n">
        <v>0</v>
      </c>
      <c r="H97" s="22" t="n">
        <v>0</v>
      </c>
      <c r="K97" s="22" t="n">
        <v>0</v>
      </c>
      <c r="L97" s="22" t="n">
        <v>0</v>
      </c>
      <c r="W97" s="22" t="n">
        <v>0</v>
      </c>
      <c r="X97" s="22" t="n">
        <v>0</v>
      </c>
    </row>
    <row r="98">
      <c r="A98" s="20" t="inlineStr">
        <is>
          <t>보험배당금</t>
        </is>
      </c>
      <c r="D98" s="22" t="n">
        <v>4</v>
      </c>
      <c r="H98" s="22" t="n">
        <v>5</v>
      </c>
      <c r="L98" s="22" t="n">
        <v>4</v>
      </c>
      <c r="T98" s="22" t="n">
        <v>3</v>
      </c>
      <c r="U98" s="22" t="n">
        <v>2</v>
      </c>
      <c r="V98" s="22" t="n">
        <v>4</v>
      </c>
      <c r="W98" s="22" t="n">
        <v>5</v>
      </c>
      <c r="X98" s="22" t="n">
        <v>4</v>
      </c>
    </row>
    <row r="99">
      <c r="A99" s="20" t="inlineStr">
        <is>
          <t>기타</t>
        </is>
      </c>
      <c r="C99" s="22" t="n">
        <v>5</v>
      </c>
      <c r="D99" s="22" t="n">
        <v>3</v>
      </c>
      <c r="E99" s="22" t="n">
        <v>6</v>
      </c>
      <c r="F99" s="22" t="n">
        <v>5</v>
      </c>
      <c r="G99" s="22" t="n">
        <v>7</v>
      </c>
      <c r="H99" s="22" t="n">
        <v>0</v>
      </c>
      <c r="I99" s="22" t="n">
        <v>12</v>
      </c>
      <c r="J99" s="22" t="n">
        <v>3</v>
      </c>
      <c r="K99" s="22" t="n">
        <v>25</v>
      </c>
      <c r="L99" s="22" t="n">
        <v>-6</v>
      </c>
      <c r="M99" s="22" t="n">
        <v>12</v>
      </c>
      <c r="N99" s="22" t="n">
        <v>-4</v>
      </c>
      <c r="T99" s="22" t="n">
        <v>0</v>
      </c>
      <c r="U99" s="22" t="n">
        <v>1</v>
      </c>
      <c r="V99" s="22" t="n">
        <v>3</v>
      </c>
      <c r="W99" s="22" t="n">
        <v>0</v>
      </c>
      <c r="X99" s="22" t="n">
        <v>-6</v>
      </c>
    </row>
    <row r="100">
      <c r="A100" s="20" t="inlineStr">
        <is>
          <t>영업외수익 합계</t>
        </is>
      </c>
      <c r="C100" s="22" t="n">
        <v>50</v>
      </c>
      <c r="D100" s="22" t="n">
        <v>20</v>
      </c>
      <c r="E100" s="22" t="n">
        <v>27</v>
      </c>
      <c r="F100" s="22" t="n">
        <v>18</v>
      </c>
      <c r="G100" s="22" t="n">
        <v>48</v>
      </c>
      <c r="H100" s="22" t="n">
        <v>40</v>
      </c>
      <c r="I100" s="22" t="n">
        <v>37</v>
      </c>
      <c r="J100" s="22" t="n">
        <v>118</v>
      </c>
      <c r="K100" s="22" t="n">
        <v>73</v>
      </c>
      <c r="L100" s="22" t="n">
        <v>33</v>
      </c>
      <c r="M100" s="22" t="n">
        <v>35</v>
      </c>
      <c r="N100" s="22" t="n">
        <v>16</v>
      </c>
      <c r="T100" s="22" t="n">
        <v>19</v>
      </c>
      <c r="U100" s="22" t="n">
        <v>16</v>
      </c>
      <c r="V100" s="22" t="n">
        <v>20</v>
      </c>
      <c r="W100" s="22" t="n">
        <v>40</v>
      </c>
      <c r="X100" s="22" t="n">
        <v>33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IF(OR(G100="",C100=""),"",IF(G100*C100&lt;=0,"",IFERROR(G100/C100-1,"")))</f>
        <v/>
      </c>
      <c r="H101" s="17">
        <f>IF(OR(H100="",D100=""),"",IF(H100*D100&lt;=0,"",IFERROR(H100/D100-1,"")))</f>
        <v/>
      </c>
      <c r="I101" s="17">
        <f>IF(OR(I100="",E100=""),"",IF(I100*E100&lt;=0,"",IFERROR(I100/E100-1,"")))</f>
        <v/>
      </c>
      <c r="J101" s="17">
        <f>IF(OR(J100="",F100=""),"",IF(J100*F100&lt;=0,"",IFERROR(J100/F100-1,"")))</f>
        <v/>
      </c>
      <c r="K101" s="17">
        <f>IF(OR(K100="",G100=""),"",IF(K100*G100&lt;=0,"",IFERROR(K100/G100-1,"")))</f>
        <v/>
      </c>
      <c r="L101" s="17">
        <f>IF(OR(L100="",H100=""),"",IF(L100*H100&lt;=0,"",IFERROR(L100/H100-1,"")))</f>
        <v/>
      </c>
      <c r="M101" s="17">
        <f>IF(OR(M100="",I100=""),"",IF(M100*I100&lt;=0,"",IFERROR(M100/I100-1,"")))</f>
        <v/>
      </c>
      <c r="N101" s="17">
        <f>IF(OR(N100="",J100=""),"",IF(N100*J100&lt;=0,"",IFERROR(N100/J100-1,"")))</f>
        <v/>
      </c>
      <c r="T101" s="17">
        <f>IF(OR(T100="",S100=""),"",IF(T100*S100&lt;=0,"",IFERROR(T100/S100-1,"")))</f>
        <v/>
      </c>
      <c r="U101" s="17">
        <f>IF(OR(U100="",T100=""),"",IF(U100*T100&lt;=0,"",IFERROR(U100/T100-1,"")))</f>
        <v/>
      </c>
      <c r="V101" s="17">
        <f>IF(OR(V100="",U100=""),"",IF(V100*U100&lt;=0,"",IFERROR(V100/U100-1,"")))</f>
        <v/>
      </c>
      <c r="W101" s="17">
        <f>IF(OR(W100="",V100=""),"",IF(W100*V100&lt;=0,"",IFERROR(W100/V100-1,"")))</f>
        <v/>
      </c>
      <c r="X101" s="17">
        <f>IF(OR(X100="",W100=""),"",IF(X100*W100&lt;=0,"",IFERROR(X100/W100-1,"")))</f>
        <v/>
      </c>
    </row>
    <row r="102">
      <c r="A102" s="20" t="inlineStr">
        <is>
          <t>이자비용</t>
        </is>
      </c>
      <c r="C102" s="22" t="n">
        <v>5</v>
      </c>
      <c r="D102" s="22" t="n">
        <v>6</v>
      </c>
      <c r="E102" s="22" t="n">
        <v>7</v>
      </c>
      <c r="F102" s="22" t="n">
        <v>8</v>
      </c>
      <c r="G102" s="22" t="n">
        <v>10</v>
      </c>
      <c r="H102" s="22" t="n">
        <v>15</v>
      </c>
      <c r="I102" s="22" t="n">
        <v>16</v>
      </c>
      <c r="J102" s="22" t="n">
        <v>13</v>
      </c>
      <c r="K102" s="22" t="n">
        <v>12</v>
      </c>
      <c r="L102" s="22" t="n">
        <v>14</v>
      </c>
      <c r="M102" s="22" t="n">
        <v>15</v>
      </c>
      <c r="N102" s="22" t="n">
        <v>16</v>
      </c>
      <c r="T102" s="22" t="n">
        <v>0</v>
      </c>
      <c r="U102" s="22" t="n">
        <v>0</v>
      </c>
      <c r="V102" s="22" t="n">
        <v>6</v>
      </c>
      <c r="W102" s="22" t="n">
        <v>15</v>
      </c>
      <c r="X102" s="22" t="n">
        <v>14</v>
      </c>
    </row>
    <row r="103">
      <c r="A103" s="20" t="inlineStr">
        <is>
          <t>자기주식 취득비용</t>
        </is>
      </c>
      <c r="T103" s="22" t="n">
        <v>6</v>
      </c>
      <c r="U103" s="22" t="n">
        <v>0</v>
      </c>
    </row>
    <row r="104">
      <c r="A104" s="20" t="inlineStr">
        <is>
          <t>투자조합 운용손실</t>
        </is>
      </c>
      <c r="C104" s="22" t="n">
        <v>0</v>
      </c>
      <c r="D104" s="22" t="n">
        <v>3</v>
      </c>
      <c r="G104" s="22" t="n">
        <v>0</v>
      </c>
      <c r="H104" s="22" t="n">
        <v>0</v>
      </c>
      <c r="K104" s="22" t="n">
        <v>0</v>
      </c>
      <c r="L104" s="22" t="n">
        <v>0</v>
      </c>
      <c r="U104" s="22" t="n">
        <v>1</v>
      </c>
      <c r="V104" s="22" t="n">
        <v>3</v>
      </c>
      <c r="W104" s="22" t="n">
        <v>0</v>
      </c>
      <c r="X104" s="22" t="n">
        <v>0</v>
      </c>
    </row>
    <row r="105">
      <c r="A105" s="20" t="inlineStr">
        <is>
          <t>기타</t>
        </is>
      </c>
      <c r="C105" s="22" t="n">
        <v>0</v>
      </c>
      <c r="D105" s="22" t="n">
        <v>1</v>
      </c>
      <c r="E105" s="22" t="n">
        <v>2</v>
      </c>
      <c r="F105" s="22" t="n">
        <v>4</v>
      </c>
      <c r="G105" s="22" t="n">
        <v>4</v>
      </c>
      <c r="H105" s="22" t="n">
        <v>-7</v>
      </c>
      <c r="I105" s="22" t="n">
        <v>3</v>
      </c>
      <c r="J105" s="22" t="n">
        <v>4</v>
      </c>
      <c r="K105" s="22" t="n">
        <v>9</v>
      </c>
      <c r="L105" s="22" t="n">
        <v>-12</v>
      </c>
      <c r="M105" s="22" t="n">
        <v>1</v>
      </c>
      <c r="N105" s="22" t="n">
        <v>4</v>
      </c>
      <c r="T105" s="22" t="n">
        <v>2</v>
      </c>
      <c r="U105" s="22" t="n">
        <v>1</v>
      </c>
      <c r="V105" s="22" t="n">
        <v>1</v>
      </c>
      <c r="W105" s="22" t="n">
        <v>-7</v>
      </c>
      <c r="X105" s="22" t="n">
        <v>-12</v>
      </c>
    </row>
    <row r="106">
      <c r="A106" s="20" t="inlineStr">
        <is>
          <t>영업외비용 합계</t>
        </is>
      </c>
      <c r="C106" s="22" t="n">
        <v>5</v>
      </c>
      <c r="D106" s="22" t="n">
        <v>244</v>
      </c>
      <c r="E106" s="22" t="n">
        <v>10</v>
      </c>
      <c r="F106" s="22" t="n">
        <v>13</v>
      </c>
      <c r="G106" s="22" t="n">
        <v>14</v>
      </c>
      <c r="H106" s="22" t="n">
        <v>24</v>
      </c>
      <c r="I106" s="22" t="n">
        <v>20</v>
      </c>
      <c r="J106" s="22" t="n">
        <v>16</v>
      </c>
      <c r="K106" s="22" t="n">
        <v>21</v>
      </c>
      <c r="L106" s="22" t="n">
        <v>17</v>
      </c>
      <c r="M106" s="22" t="n">
        <v>17</v>
      </c>
      <c r="N106" s="22" t="n">
        <v>30</v>
      </c>
      <c r="T106" s="22" t="n">
        <v>8</v>
      </c>
      <c r="U106" s="22" t="n">
        <v>3</v>
      </c>
      <c r="V106" s="22" t="n">
        <v>244</v>
      </c>
      <c r="W106" s="22" t="n">
        <v>24</v>
      </c>
      <c r="X106" s="22" t="n">
        <v>17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T107" s="17">
        <f>IF(OR(T106="",S106=""),"",IF(T106*S106&lt;=0,"",IFERROR(T106/S106-1,"")))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경상이익(손실)</t>
        </is>
      </c>
      <c r="C108" s="12" t="n">
        <v>357</v>
      </c>
      <c r="D108" s="12" t="n">
        <v>1485</v>
      </c>
      <c r="E108" s="12" t="n">
        <v>-304</v>
      </c>
      <c r="F108" s="12" t="n">
        <v>1202</v>
      </c>
      <c r="G108" s="12" t="n">
        <v>697</v>
      </c>
      <c r="H108" s="12" t="n">
        <v>2013</v>
      </c>
      <c r="I108" s="12" t="n">
        <v>-861</v>
      </c>
      <c r="J108" s="12" t="n">
        <v>60</v>
      </c>
      <c r="K108" s="12" t="n">
        <v>237</v>
      </c>
      <c r="L108" s="12" t="n">
        <v>104</v>
      </c>
      <c r="M108" s="12" t="n">
        <v>-60</v>
      </c>
      <c r="N108" s="12" t="n">
        <v>513</v>
      </c>
      <c r="T108" s="12" t="n">
        <v>689</v>
      </c>
      <c r="U108" s="12" t="n">
        <v>1716</v>
      </c>
      <c r="V108" s="12" t="n">
        <v>1485</v>
      </c>
      <c r="W108" s="12" t="n">
        <v>2013</v>
      </c>
      <c r="X108" s="12" t="n">
        <v>104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투자유가증권 매각이익</t>
        </is>
      </c>
      <c r="D110" s="22" t="n">
        <v>0</v>
      </c>
      <c r="H110" s="22" t="n">
        <v>0</v>
      </c>
      <c r="U110" s="22" t="n">
        <v>0</v>
      </c>
      <c r="V110" s="22" t="n">
        <v>0</v>
      </c>
      <c r="W110" s="22" t="n">
        <v>0</v>
      </c>
    </row>
    <row r="111">
      <c r="A111" s="20" t="inlineStr">
        <is>
          <t>Gain On Sales Of Memberships EI</t>
        </is>
      </c>
      <c r="E111" s="22" t="n">
        <v>0</v>
      </c>
      <c r="F111" s="22" t="n">
        <v>0</v>
      </c>
      <c r="G111" s="22" t="n">
        <v>0</v>
      </c>
      <c r="H111" s="22" t="n">
        <v>18</v>
      </c>
      <c r="I111" s="22" t="n">
        <v>2</v>
      </c>
      <c r="J111" s="22" t="n">
        <v>1</v>
      </c>
      <c r="K111" s="22" t="n">
        <v>0</v>
      </c>
      <c r="L111" s="22" t="n">
        <v>3</v>
      </c>
      <c r="M111" s="22" t="n">
        <v>8</v>
      </c>
      <c r="N111" s="22" t="n">
        <v>0</v>
      </c>
      <c r="W111" s="22" t="n">
        <v>18</v>
      </c>
      <c r="X111" s="22" t="n">
        <v>3</v>
      </c>
    </row>
    <row r="112">
      <c r="A112" s="20" t="inlineStr">
        <is>
          <t>관계회사 청산이익</t>
        </is>
      </c>
      <c r="C112" s="22" t="n">
        <v>0</v>
      </c>
      <c r="D112" s="22" t="n">
        <v>0</v>
      </c>
      <c r="G112" s="22" t="n">
        <v>0</v>
      </c>
      <c r="H112" s="22" t="n">
        <v>0</v>
      </c>
      <c r="U112" s="22" t="n">
        <v>0</v>
      </c>
      <c r="V112" s="22" t="n">
        <v>0</v>
      </c>
      <c r="W112" s="22" t="n">
        <v>0</v>
      </c>
    </row>
    <row r="113">
      <c r="A113" s="20" t="inlineStr">
        <is>
          <t>특별이익 합계</t>
        </is>
      </c>
      <c r="C113" s="22" t="n">
        <v>6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18</v>
      </c>
      <c r="I113" s="22" t="n">
        <v>2</v>
      </c>
      <c r="J113" s="22" t="n">
        <v>1</v>
      </c>
      <c r="K113" s="22" t="n">
        <v>0</v>
      </c>
      <c r="L113" s="22" t="n">
        <v>3</v>
      </c>
      <c r="M113" s="22" t="n">
        <v>8</v>
      </c>
      <c r="N113" s="22" t="n">
        <v>0</v>
      </c>
      <c r="T113" s="22" t="n">
        <v>6</v>
      </c>
      <c r="U113" s="22" t="n">
        <v>0</v>
      </c>
      <c r="V113" s="22" t="n">
        <v>0</v>
      </c>
      <c r="W113" s="22" t="n">
        <v>18</v>
      </c>
      <c r="X113" s="22" t="n">
        <v>3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IF(OR(G113="",C113=""),"",IF(G113*C113&lt;=0,"",IFERROR(G113/C113-1,"")))</f>
        <v/>
      </c>
      <c r="H114" s="17">
        <f>IF(OR(H113="",D113=""),"",IF(H113*D113&lt;=0,"",IFERROR(H113/D113-1,"")))</f>
        <v/>
      </c>
      <c r="I114" s="17">
        <f>IF(OR(I113="",E113=""),"",IF(I113*E113&lt;=0,"",IFERROR(I113/E113-1,"")))</f>
        <v/>
      </c>
      <c r="J114" s="17">
        <f>IF(OR(J113="",F113=""),"",IF(J113*F113&lt;=0,"",IFERROR(J113/F113-1,"")))</f>
        <v/>
      </c>
      <c r="K114" s="17">
        <f>IF(OR(K113="",G113=""),"",IF(K113*G113&lt;=0,"",IFERROR(K113/G113-1,"")))</f>
        <v/>
      </c>
      <c r="L114" s="17">
        <f>IF(OR(L113="",H113=""),"",IF(L113*H113&lt;=0,"",IFERROR(L113/H113-1,"")))</f>
        <v/>
      </c>
      <c r="M114" s="17">
        <f>IF(OR(M113="",I113=""),"",IF(M113*I113&lt;=0,"",IFERROR(M113/I113-1,"")))</f>
        <v/>
      </c>
      <c r="N114" s="17">
        <f>IF(OR(N113="",J113=""),"",IF(N113*J113&lt;=0,"",IFERROR(N113/J113-1,"")))</f>
        <v/>
      </c>
      <c r="T114" s="17">
        <f>IF(OR(T113="",S113=""),"",IF(T113*S113&lt;=0,"",IFERROR(T113/S113-1,"")))</f>
        <v/>
      </c>
      <c r="U114" s="17">
        <f>IF(OR(U113="",T113=""),"",IF(U113*T113&lt;=0,"",IFERROR(U113/T113-1,"")))</f>
        <v/>
      </c>
      <c r="V114" s="17">
        <f>IF(OR(V113="",U113=""),"",IF(V113*U113&lt;=0,"",IFERROR(V113/U113-1,"")))</f>
        <v/>
      </c>
      <c r="W114" s="17">
        <f>IF(OR(W113="",V113=""),"",IF(W113*V113&lt;=0,"",IFERROR(W113/V113-1,"")))</f>
        <v/>
      </c>
      <c r="X114" s="17">
        <f>IF(OR(X113="",W113=""),"",IF(X113*W113&lt;=0,"",IFERROR(X113/W113-1,"")))</f>
        <v/>
      </c>
    </row>
    <row r="115">
      <c r="A115" s="20" t="inlineStr">
        <is>
          <t>고정자산 제각손실</t>
        </is>
      </c>
      <c r="C115" s="22" t="n">
        <v>2</v>
      </c>
      <c r="D115" s="22" t="n">
        <v>13</v>
      </c>
      <c r="E115" s="22" t="n">
        <v>7</v>
      </c>
      <c r="F115" s="22" t="n">
        <v>10</v>
      </c>
      <c r="G115" s="22" t="n">
        <v>0</v>
      </c>
      <c r="H115" s="22" t="n">
        <v>4</v>
      </c>
      <c r="I115" s="22" t="n">
        <v>0</v>
      </c>
      <c r="J115" s="22" t="n">
        <v>6</v>
      </c>
      <c r="K115" s="22" t="n">
        <v>0</v>
      </c>
      <c r="L115" s="22" t="n">
        <v>4</v>
      </c>
      <c r="M115" s="22" t="n">
        <v>0</v>
      </c>
      <c r="N115" s="22" t="n">
        <v>1</v>
      </c>
      <c r="T115" s="22" t="n">
        <v>2</v>
      </c>
      <c r="U115" s="22" t="n">
        <v>0</v>
      </c>
      <c r="V115" s="22" t="n">
        <v>13</v>
      </c>
      <c r="W115" s="22" t="n">
        <v>4</v>
      </c>
      <c r="X115" s="22" t="n">
        <v>4</v>
      </c>
    </row>
    <row r="116">
      <c r="A116" s="20" t="inlineStr">
        <is>
          <t>투자유가증권 매각손실</t>
        </is>
      </c>
      <c r="T116" s="22" t="n">
        <v>0</v>
      </c>
      <c r="U116" s="22" t="n">
        <v>0</v>
      </c>
    </row>
    <row r="117">
      <c r="A117" s="20" t="inlineStr">
        <is>
          <t>Extra Retirement Benefits</t>
        </is>
      </c>
      <c r="C117" s="22" t="n">
        <v>0</v>
      </c>
      <c r="D117" s="22" t="n">
        <v>59</v>
      </c>
      <c r="E117" s="22" t="n">
        <v>45</v>
      </c>
      <c r="F117" s="22" t="n">
        <v>37</v>
      </c>
      <c r="G117" s="22" t="n">
        <v>0</v>
      </c>
      <c r="I117" s="22" t="n">
        <v>0</v>
      </c>
      <c r="J117" s="22" t="n">
        <v>0</v>
      </c>
      <c r="K117" s="22" t="n">
        <v>0</v>
      </c>
      <c r="V117" s="22" t="n">
        <v>59</v>
      </c>
    </row>
    <row r="118">
      <c r="A118" s="20" t="inlineStr">
        <is>
          <t>손상차손</t>
        </is>
      </c>
      <c r="D118" s="22" t="n">
        <v>0</v>
      </c>
      <c r="T118" s="22" t="n">
        <v>0</v>
      </c>
      <c r="U118" s="22" t="n">
        <v>82</v>
      </c>
      <c r="V118" s="22" t="n">
        <v>0</v>
      </c>
    </row>
    <row r="119">
      <c r="A119" s="20" t="inlineStr">
        <is>
          <t>해약 위약금</t>
        </is>
      </c>
      <c r="T119" s="22" t="n">
        <v>0</v>
      </c>
      <c r="U119" s="22" t="n">
        <v>0</v>
      </c>
    </row>
    <row r="120">
      <c r="A120" s="20" t="inlineStr">
        <is>
          <t>기타</t>
        </is>
      </c>
      <c r="C120" s="22" t="n">
        <v>0</v>
      </c>
      <c r="D120" s="22" t="n">
        <v>0</v>
      </c>
      <c r="E120" s="22" t="n">
        <v>15</v>
      </c>
      <c r="F120" s="22" t="n">
        <v>7</v>
      </c>
      <c r="G120" s="22" t="n">
        <v>0</v>
      </c>
      <c r="H120" s="22" t="n">
        <v>-20</v>
      </c>
      <c r="I120" s="22" t="n">
        <v>0</v>
      </c>
      <c r="J120" s="22" t="n">
        <v>0</v>
      </c>
      <c r="K120" s="22" t="n">
        <v>0</v>
      </c>
      <c r="L120" s="22" t="n">
        <v>0</v>
      </c>
      <c r="V120" s="22" t="n">
        <v>0</v>
      </c>
      <c r="W120" s="22" t="n">
        <v>-20</v>
      </c>
      <c r="X120" s="22" t="n">
        <v>0</v>
      </c>
    </row>
    <row r="121">
      <c r="A121" s="20" t="inlineStr">
        <is>
          <t>특별손실 합계</t>
        </is>
      </c>
      <c r="C121" s="22" t="n">
        <v>2</v>
      </c>
      <c r="D121" s="22" t="n">
        <v>78</v>
      </c>
      <c r="E121" s="22" t="n">
        <v>68</v>
      </c>
      <c r="F121" s="22" t="n">
        <v>54</v>
      </c>
      <c r="G121" s="22" t="n">
        <v>0</v>
      </c>
      <c r="H121" s="22" t="n">
        <v>-8</v>
      </c>
      <c r="I121" s="22" t="n">
        <v>0</v>
      </c>
      <c r="J121" s="22" t="n">
        <v>6</v>
      </c>
      <c r="K121" s="22" t="n">
        <v>0</v>
      </c>
      <c r="L121" s="22" t="n">
        <v>1184</v>
      </c>
      <c r="M121" s="22" t="n">
        <v>0</v>
      </c>
      <c r="N121" s="22" t="n">
        <v>6</v>
      </c>
      <c r="T121" s="22" t="n">
        <v>74</v>
      </c>
      <c r="U121" s="22" t="n">
        <v>83</v>
      </c>
      <c r="V121" s="22" t="n">
        <v>78</v>
      </c>
      <c r="W121" s="22" t="n">
        <v>-8</v>
      </c>
      <c r="X121" s="22" t="n">
        <v>1184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IF(OR(G121="",C121=""),"",IF(G121*C121&lt;=0,"",IFERROR(G121/C121-1,"")))</f>
        <v/>
      </c>
      <c r="H122" s="17">
        <f>IF(OR(H121="",D121=""),"",IF(H121*D121&lt;=0,"",IFERROR(H121/D121-1,"")))</f>
        <v/>
      </c>
      <c r="I122" s="17">
        <f>IF(OR(I121="",E121=""),"",IF(I121*E121&lt;=0,"",IFERROR(I121/E121-1,"")))</f>
        <v/>
      </c>
      <c r="J122" s="17">
        <f>IF(OR(J121="",F121=""),"",IF(J121*F121&lt;=0,"",IFERROR(J121/F121-1,"")))</f>
        <v/>
      </c>
      <c r="K122" s="17">
        <f>IF(OR(K121="",G121=""),"",IF(K121*G121&lt;=0,"",IFERROR(K121/G121-1,"")))</f>
        <v/>
      </c>
      <c r="L122" s="17">
        <f>IF(OR(L121="",H121=""),"",IF(L121*H121&lt;=0,"",IFERROR(L121/H121-1,"")))</f>
        <v/>
      </c>
      <c r="M122" s="17">
        <f>IF(OR(M121="",I121=""),"",IF(M121*I121&lt;=0,"",IFERROR(M121/I121-1,"")))</f>
        <v/>
      </c>
      <c r="N122" s="17">
        <f>IF(OR(N121="",J121=""),"",IF(N121*J121&lt;=0,"",IFERROR(N121/J121-1,"")))</f>
        <v/>
      </c>
      <c r="T122" s="17">
        <f>IF(OR(T121="",S121=""),"",IF(T121*S121&lt;=0,"",IFERROR(T121/S121-1,"")))</f>
        <v/>
      </c>
      <c r="U122" s="17">
        <f>IF(OR(U121="",T121=""),"",IF(U121*T121&lt;=0,"",IFERROR(U121/T121-1,"")))</f>
        <v/>
      </c>
      <c r="V122" s="17">
        <f>IF(OR(V121="",U121=""),"",IF(V121*U121&lt;=0,"",IFERROR(V121/U121-1,"")))</f>
        <v/>
      </c>
      <c r="W122" s="17">
        <f>IF(OR(W121="",V121=""),"",IF(W121*V121&lt;=0,"",IFERROR(W121/V121-1,"")))</f>
        <v/>
      </c>
      <c r="X122" s="17">
        <f>IF(OR(X121="",W121=""),"",IF(X121*W121&lt;=0,"",IFERROR(X121/W121-1,"")))</f>
        <v/>
      </c>
    </row>
    <row r="123">
      <c r="A123" s="9" t="inlineStr">
        <is>
          <t>법인세차감전 중간순이익(손실)</t>
        </is>
      </c>
      <c r="C123" s="12" t="n">
        <v>360</v>
      </c>
      <c r="D123" s="12" t="n">
        <v>1407</v>
      </c>
      <c r="E123" s="12" t="n">
        <v>-372</v>
      </c>
      <c r="F123" s="12" t="n">
        <v>1148</v>
      </c>
      <c r="G123" s="12" t="n">
        <v>697</v>
      </c>
      <c r="H123" s="12" t="n">
        <v>2038</v>
      </c>
      <c r="I123" s="12" t="n">
        <v>-858</v>
      </c>
      <c r="J123" s="12" t="n">
        <v>53</v>
      </c>
      <c r="K123" s="12" t="n">
        <v>238</v>
      </c>
      <c r="L123" s="12" t="n">
        <v>-1078</v>
      </c>
      <c r="M123" s="12" t="n">
        <v>-52</v>
      </c>
      <c r="N123" s="12" t="n">
        <v>507</v>
      </c>
      <c r="T123" s="12" t="n">
        <v>622</v>
      </c>
      <c r="U123" s="12" t="n">
        <v>1632</v>
      </c>
      <c r="V123" s="12" t="n">
        <v>1407</v>
      </c>
      <c r="W123" s="12" t="n">
        <v>2038</v>
      </c>
      <c r="X123" s="12" t="n">
        <v>-1078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IF(OR(G123="",C123=""),"",IF(C123&lt;=0,"",IFERROR(G123/C123-1,"")))</f>
        <v/>
      </c>
      <c r="H124" s="17">
        <f>IF(OR(H123="",D123=""),"",IF(D123&lt;=0,"",IFERROR(H123/D123-1,"")))</f>
        <v/>
      </c>
      <c r="I124" s="17">
        <f>IF(OR(I123="",E123=""),"",IF(E123&lt;=0,"",IFERROR(I123/E123-1,"")))</f>
        <v/>
      </c>
      <c r="J124" s="17">
        <f>IF(OR(J123="",F123=""),"",IF(F123&lt;=0,"",IFERROR(J123/F123-1,"")))</f>
        <v/>
      </c>
      <c r="K124" s="17">
        <f>IF(OR(K123="",G123=""),"",IF(G123&lt;=0,"",IFERROR(K123/G123-1,"")))</f>
        <v/>
      </c>
      <c r="L124" s="17">
        <f>IF(OR(L123="",H123=""),"",IF(H123&lt;=0,"",IFERROR(L123/H123-1,"")))</f>
        <v/>
      </c>
      <c r="M124" s="17">
        <f>IF(OR(M123="",I123=""),"",IF(I123&lt;=0,"",IFERROR(M123/I123-1,"")))</f>
        <v/>
      </c>
      <c r="N124" s="17">
        <f>IF(OR(N123="",J123=""),"",IF(J123&lt;=0,"",IFERROR(N123/J123-1,"")))</f>
        <v/>
      </c>
      <c r="T124" s="17">
        <f>IF(OR(T123="",S123=""),"",IF(S123&lt;=0,"",IFERROR(T123/S123-1,"")))</f>
        <v/>
      </c>
      <c r="U124" s="17">
        <f>IF(OR(U123="",T123=""),"",IF(T123&lt;=0,"",IFERROR(U123/T123-1,"")))</f>
        <v/>
      </c>
      <c r="V124" s="17">
        <f>IF(OR(V123="",U123=""),"",IF(U123&lt;=0,"",IFERROR(V123/U123-1,"")))</f>
        <v/>
      </c>
      <c r="W124" s="17">
        <f>IF(OR(W123="",V123=""),"",IF(V123&lt;=0,"",IFERROR(W123/V123-1,"")))</f>
        <v/>
      </c>
      <c r="X124" s="17">
        <f>IF(OR(X123="",W123=""),"",IF(W123&lt;=0,"",IFERROR(X123/W123-1,"")))</f>
        <v/>
      </c>
    </row>
    <row r="125">
      <c r="A125" s="20" t="inlineStr">
        <is>
          <t>법인세 등</t>
        </is>
      </c>
      <c r="C125" s="22" t="n">
        <v>125</v>
      </c>
      <c r="D125" s="22" t="n">
        <v>321</v>
      </c>
      <c r="E125" s="22" t="n">
        <v>-96</v>
      </c>
      <c r="F125" s="22" t="n">
        <v>334</v>
      </c>
      <c r="G125" s="22" t="n">
        <v>236</v>
      </c>
      <c r="H125" s="22" t="n">
        <v>601</v>
      </c>
      <c r="I125" s="22" t="n">
        <v>-239</v>
      </c>
      <c r="J125" s="22" t="n">
        <v>36</v>
      </c>
      <c r="K125" s="22" t="n">
        <v>101</v>
      </c>
      <c r="L125" s="22" t="n">
        <v>300</v>
      </c>
      <c r="M125" s="22" t="n">
        <v>27</v>
      </c>
      <c r="N125" s="22" t="n">
        <v>173</v>
      </c>
      <c r="T125" s="22" t="n">
        <v>146</v>
      </c>
      <c r="U125" s="22" t="n">
        <v>426</v>
      </c>
      <c r="V125" s="22" t="n">
        <v>321</v>
      </c>
      <c r="W125" s="22" t="n">
        <v>601</v>
      </c>
      <c r="X125" s="22" t="n">
        <v>300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IF(OR(G125="",C125=""),"",IF(G125*C125&lt;=0,"",IFERROR(G125/C125-1,"")))</f>
        <v/>
      </c>
      <c r="H126" s="17">
        <f>IF(OR(H125="",D125=""),"",IF(H125*D125&lt;=0,"",IFERROR(H125/D125-1,"")))</f>
        <v/>
      </c>
      <c r="I126" s="17">
        <f>IF(OR(I125="",E125=""),"",IF(I125*E125&lt;=0,"",IFERROR(I125/E125-1,"")))</f>
        <v/>
      </c>
      <c r="J126" s="17">
        <f>IF(OR(J125="",F125=""),"",IF(J125*F125&lt;=0,"",IFERROR(J125/F125-1,"")))</f>
        <v/>
      </c>
      <c r="K126" s="17">
        <f>IF(OR(K125="",G125=""),"",IF(K125*G125&lt;=0,"",IFERROR(K125/G125-1,"")))</f>
        <v/>
      </c>
      <c r="L126" s="17">
        <f>IF(OR(L125="",H125=""),"",IF(L125*H125&lt;=0,"",IFERROR(L125/H125-1,"")))</f>
        <v/>
      </c>
      <c r="M126" s="17">
        <f>IF(OR(M125="",I125=""),"",IF(M125*I125&lt;=0,"",IFERROR(M125/I125-1,"")))</f>
        <v/>
      </c>
      <c r="N126" s="17">
        <f>IF(OR(N125="",J125=""),"",IF(N125*J125&lt;=0,"",IFERROR(N125/J125-1,"")))</f>
        <v/>
      </c>
      <c r="T126" s="17">
        <f>IF(OR(T125="",S125=""),"",IF(T125*S125&lt;=0,"",IFERROR(T125/S125-1,"")))</f>
        <v/>
      </c>
      <c r="U126" s="17">
        <f>IF(OR(U125="",T125=""),"",IF(U125*T125&lt;=0,"",IFERROR(U125/T125-1,"")))</f>
        <v/>
      </c>
      <c r="V126" s="17">
        <f>IF(OR(V125="",U125=""),"",IF(V125*U125&lt;=0,"",IFERROR(V125/U125-1,"")))</f>
        <v/>
      </c>
      <c r="W126" s="17">
        <f>IF(OR(W125="",V125=""),"",IF(W125*V125&lt;=0,"",IFERROR(W125/V125-1,"")))</f>
        <v/>
      </c>
      <c r="X126" s="17">
        <f>IF(OR(X125="",W125=""),"",IF(X125*W125&lt;=0,"",IFERROR(X125/W125-1,"")))</f>
        <v/>
      </c>
    </row>
    <row r="127">
      <c r="A127" s="9" t="inlineStr">
        <is>
          <t>중간순이익(손실)</t>
        </is>
      </c>
      <c r="C127" s="12" t="n">
        <v>236</v>
      </c>
      <c r="D127" s="12" t="n">
        <v>1086</v>
      </c>
      <c r="E127" s="12" t="n">
        <v>-275</v>
      </c>
      <c r="F127" s="12" t="n">
        <v>812</v>
      </c>
      <c r="G127" s="12" t="n">
        <v>461</v>
      </c>
      <c r="H127" s="12" t="n">
        <v>1438</v>
      </c>
      <c r="I127" s="12" t="n">
        <v>-618</v>
      </c>
      <c r="J127" s="12" t="n">
        <v>17</v>
      </c>
      <c r="K127" s="12" t="n">
        <v>136</v>
      </c>
      <c r="L127" s="12" t="n">
        <v>-1378</v>
      </c>
      <c r="M127" s="12" t="n">
        <v>-80</v>
      </c>
      <c r="N127" s="12" t="n">
        <v>335</v>
      </c>
      <c r="T127" s="12" t="n">
        <v>476</v>
      </c>
      <c r="U127" s="12" t="n">
        <v>1207</v>
      </c>
      <c r="V127" s="12" t="n">
        <v>1086</v>
      </c>
      <c r="W127" s="12" t="n">
        <v>1438</v>
      </c>
      <c r="X127" s="12" t="n">
        <v>-1378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29">
      <c r="A129" s="9" t="inlineStr">
        <is>
          <t>지배주주 귀속 중간순이익(손실)</t>
        </is>
      </c>
      <c r="C129" s="12" t="n">
        <v>236</v>
      </c>
      <c r="D129" s="12" t="n">
        <v>1086</v>
      </c>
      <c r="E129" s="12" t="n">
        <v>-275</v>
      </c>
      <c r="F129" s="12" t="n">
        <v>812</v>
      </c>
      <c r="G129" s="12" t="n">
        <v>461</v>
      </c>
      <c r="H129" s="12" t="n">
        <v>1438</v>
      </c>
      <c r="I129" s="12" t="n">
        <v>-618</v>
      </c>
      <c r="J129" s="12" t="n">
        <v>17</v>
      </c>
      <c r="K129" s="12" t="n">
        <v>136</v>
      </c>
      <c r="L129" s="12" t="n">
        <v>-1378</v>
      </c>
      <c r="M129" s="12" t="n">
        <v>-80</v>
      </c>
      <c r="N129" s="12" t="n">
        <v>335</v>
      </c>
      <c r="T129" s="12" t="n">
        <v>476</v>
      </c>
      <c r="U129" s="12" t="n">
        <v>1207</v>
      </c>
      <c r="V129" s="12" t="n">
        <v>1086</v>
      </c>
      <c r="W129" s="12" t="n">
        <v>1438</v>
      </c>
      <c r="X129" s="12" t="n">
        <v>-1378</v>
      </c>
    </row>
    <row r="130">
      <c r="A130" s="45" t="inlineStr">
        <is>
          <t>YoY</t>
        </is>
      </c>
      <c r="B130" s="3" t="inlineStr">
        <is>
          <t>전년 같은 분기·전년 대비</t>
        </is>
      </c>
      <c r="G130" s="17">
        <f>IF(OR(G129="",C129=""),"",IF(C129&lt;=0,"",IFERROR(G129/C129-1,"")))</f>
        <v/>
      </c>
      <c r="H130" s="17">
        <f>IF(OR(H129="",D129=""),"",IF(D129&lt;=0,"",IFERROR(H129/D129-1,"")))</f>
        <v/>
      </c>
      <c r="I130" s="17">
        <f>IF(OR(I129="",E129=""),"",IF(E129&lt;=0,"",IFERROR(I129/E129-1,"")))</f>
        <v/>
      </c>
      <c r="J130" s="17">
        <f>IF(OR(J129="",F129=""),"",IF(F129&lt;=0,"",IFERROR(J129/F129-1,"")))</f>
        <v/>
      </c>
      <c r="K130" s="17">
        <f>IF(OR(K129="",G129=""),"",IF(G129&lt;=0,"",IFERROR(K129/G129-1,"")))</f>
        <v/>
      </c>
      <c r="L130" s="17">
        <f>IF(OR(L129="",H129=""),"",IF(H129&lt;=0,"",IFERROR(L129/H129-1,"")))</f>
        <v/>
      </c>
      <c r="M130" s="17">
        <f>IF(OR(M129="",I129=""),"",IF(I129&lt;=0,"",IFERROR(M129/I129-1,"")))</f>
        <v/>
      </c>
      <c r="N130" s="17">
        <f>IF(OR(N129="",J129=""),"",IF(J129&lt;=0,"",IFERROR(N129/J129-1,"")))</f>
        <v/>
      </c>
      <c r="T130" s="17">
        <f>IF(OR(T129="",S129=""),"",IF(S129&lt;=0,"",IFERROR(T129/S129-1,"")))</f>
        <v/>
      </c>
      <c r="U130" s="17">
        <f>IF(OR(U129="",T129=""),"",IF(T129&lt;=0,"",IFERROR(U129/T129-1,"")))</f>
        <v/>
      </c>
      <c r="V130" s="17">
        <f>IF(OR(V129="",U129=""),"",IF(U129&lt;=0,"",IFERROR(V129/U129-1,"")))</f>
        <v/>
      </c>
      <c r="W130" s="17">
        <f>IF(OR(W129="",V129=""),"",IF(V129&lt;=0,"",IFERROR(W129/V129-1,"")))</f>
        <v/>
      </c>
      <c r="X130" s="17">
        <f>IF(OR(X129="",W129=""),"",IF(W129&lt;=0,"",IFERROR(X129/W129-1,"")))</f>
        <v/>
      </c>
    </row>
    <row r="132">
      <c r="A132" s="18" t="inlineStr">
        <is>
          <t>포괄손익 · 전 항목</t>
        </is>
      </c>
      <c r="B132" s="44" t="inlineStr">
        <is>
          <t>분기 = 3개월 단독</t>
        </is>
      </c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</row>
    <row r="133">
      <c r="A133" s="5" t="inlineStr">
        <is>
          <t>항목</t>
        </is>
      </c>
      <c r="B133" s="5" t="inlineStr">
        <is>
          <t>참고</t>
        </is>
      </c>
      <c r="C133" s="5" t="inlineStr">
        <is>
          <t>2024.3Q</t>
        </is>
      </c>
      <c r="D133" s="5" t="inlineStr">
        <is>
          <t>2024.4Q</t>
        </is>
      </c>
      <c r="E133" s="5" t="inlineStr">
        <is>
          <t>2025.1Q</t>
        </is>
      </c>
      <c r="F133" s="5" t="inlineStr">
        <is>
          <t>2025.2Q</t>
        </is>
      </c>
      <c r="G133" s="5" t="inlineStr">
        <is>
          <t>2025.3Q</t>
        </is>
      </c>
      <c r="H133" s="5" t="inlineStr">
        <is>
          <t>2025.4Q</t>
        </is>
      </c>
      <c r="I133" s="5" t="inlineStr">
        <is>
          <t>2026.1Q</t>
        </is>
      </c>
      <c r="J133" s="5" t="inlineStr">
        <is>
          <t>2026.2Q</t>
        </is>
      </c>
      <c r="K133" s="5" t="inlineStr">
        <is>
          <t>2026.3Q</t>
        </is>
      </c>
      <c r="L133" s="5" t="inlineStr">
        <is>
          <t>2026.4Q</t>
        </is>
      </c>
      <c r="M133" s="5" t="inlineStr">
        <is>
          <t>2027.1Q</t>
        </is>
      </c>
      <c r="N133" s="5" t="inlineStr">
        <is>
          <t>2027.2Q</t>
        </is>
      </c>
      <c r="O133" s="5" t="inlineStr">
        <is>
          <t>2017</t>
        </is>
      </c>
      <c r="P133" s="5" t="inlineStr">
        <is>
          <t>2018</t>
        </is>
      </c>
      <c r="Q133" s="5" t="inlineStr">
        <is>
          <t>2019</t>
        </is>
      </c>
      <c r="R133" s="5" t="inlineStr">
        <is>
          <t>2020</t>
        </is>
      </c>
      <c r="S133" s="5" t="inlineStr">
        <is>
          <t>2021</t>
        </is>
      </c>
      <c r="T133" s="5" t="inlineStr">
        <is>
          <t>2022</t>
        </is>
      </c>
      <c r="U133" s="5" t="inlineStr">
        <is>
          <t>2023</t>
        </is>
      </c>
      <c r="V133" s="5" t="inlineStr">
        <is>
          <t>2024</t>
        </is>
      </c>
      <c r="W133" s="5" t="inlineStr">
        <is>
          <t>2025</t>
        </is>
      </c>
      <c r="X133" s="5" t="inlineStr">
        <is>
          <t>2026</t>
        </is>
      </c>
      <c r="Y133" s="5" t="inlineStr">
        <is>
          <t>2027(MW)</t>
        </is>
      </c>
      <c r="Z133" s="5" t="inlineStr">
        <is>
          <t>2028(MW)</t>
        </is>
      </c>
      <c r="AA133" s="5" t="inlineStr">
        <is>
          <t>2029(MW)</t>
        </is>
      </c>
      <c r="AB133" s="5" t="inlineStr">
        <is>
          <t>2030(MW)</t>
        </is>
      </c>
      <c r="AC133" s="5" t="inlineStr">
        <is>
          <t>2031(MW)</t>
        </is>
      </c>
    </row>
    <row r="134">
      <c r="A134" s="9" t="inlineStr">
        <is>
          <t>중간순이익(손실)</t>
        </is>
      </c>
      <c r="C134" s="12" t="n">
        <v>236</v>
      </c>
      <c r="D134" s="12" t="n">
        <v>1086</v>
      </c>
      <c r="E134" s="12" t="n">
        <v>-275</v>
      </c>
      <c r="F134" s="12" t="n">
        <v>812</v>
      </c>
      <c r="G134" s="12" t="n">
        <v>461</v>
      </c>
      <c r="H134" s="12" t="n">
        <v>1438</v>
      </c>
      <c r="I134" s="12" t="n">
        <v>-618</v>
      </c>
      <c r="J134" s="12" t="n">
        <v>17</v>
      </c>
      <c r="K134" s="12" t="n">
        <v>136</v>
      </c>
      <c r="L134" s="12" t="n">
        <v>-1378</v>
      </c>
      <c r="M134" s="12" t="n">
        <v>-80</v>
      </c>
      <c r="N134" s="12" t="n">
        <v>335</v>
      </c>
      <c r="T134" s="12" t="n">
        <v>476</v>
      </c>
      <c r="U134" s="12" t="n">
        <v>1207</v>
      </c>
      <c r="V134" s="12" t="n">
        <v>1086</v>
      </c>
      <c r="W134" s="12" t="n">
        <v>1438</v>
      </c>
      <c r="X134" s="12" t="n">
        <v>-1378</v>
      </c>
    </row>
    <row r="135">
      <c r="A135" s="20" t="inlineStr">
        <is>
          <t>기타유가증권 평가차액</t>
        </is>
      </c>
      <c r="C135" s="22" t="n">
        <v>30</v>
      </c>
      <c r="D135" s="22" t="n">
        <v>100</v>
      </c>
      <c r="E135" s="22" t="n">
        <v>37</v>
      </c>
      <c r="F135" s="22" t="n">
        <v>-32</v>
      </c>
      <c r="G135" s="22" t="n">
        <v>83</v>
      </c>
      <c r="H135" s="22" t="n">
        <v>10</v>
      </c>
      <c r="I135" s="22" t="n">
        <v>27</v>
      </c>
      <c r="J135" s="22" t="n">
        <v>108</v>
      </c>
      <c r="K135" s="22" t="n">
        <v>13</v>
      </c>
      <c r="L135" s="22" t="n">
        <v>42</v>
      </c>
      <c r="M135" s="22" t="n">
        <v>173</v>
      </c>
      <c r="N135" s="22" t="n">
        <v>98</v>
      </c>
      <c r="T135" s="22" t="n">
        <v>-69</v>
      </c>
      <c r="U135" s="22" t="n">
        <v>-7</v>
      </c>
      <c r="V135" s="22" t="n">
        <v>100</v>
      </c>
      <c r="W135" s="22" t="n">
        <v>10</v>
      </c>
      <c r="X135" s="22" t="n">
        <v>42</v>
      </c>
    </row>
    <row r="136">
      <c r="A136" s="20" t="inlineStr">
        <is>
          <t>퇴직급여 조정액</t>
        </is>
      </c>
      <c r="C136" s="22" t="n">
        <v>18</v>
      </c>
      <c r="D136" s="22" t="n">
        <v>447</v>
      </c>
      <c r="E136" s="22" t="n">
        <v>7</v>
      </c>
      <c r="F136" s="22" t="n">
        <v>7</v>
      </c>
      <c r="G136" s="22" t="n">
        <v>8</v>
      </c>
      <c r="H136" s="22" t="n">
        <v>-136</v>
      </c>
      <c r="I136" s="22" t="n">
        <v>5</v>
      </c>
      <c r="J136" s="22" t="n">
        <v>6</v>
      </c>
      <c r="K136" s="22" t="n">
        <v>5</v>
      </c>
      <c r="L136" s="22" t="n">
        <v>534</v>
      </c>
      <c r="M136" s="22" t="n">
        <v>-19</v>
      </c>
      <c r="N136" s="22" t="n">
        <v>-19</v>
      </c>
      <c r="T136" s="22" t="n">
        <v>-40</v>
      </c>
      <c r="U136" s="22" t="n">
        <v>52</v>
      </c>
      <c r="V136" s="22" t="n">
        <v>447</v>
      </c>
      <c r="W136" s="22" t="n">
        <v>-136</v>
      </c>
      <c r="X136" s="22" t="n">
        <v>534</v>
      </c>
    </row>
    <row r="137">
      <c r="A137" s="20" t="inlineStr">
        <is>
          <t>기타포괄손익 합계</t>
        </is>
      </c>
      <c r="C137" s="22" t="n">
        <v>48</v>
      </c>
      <c r="D137" s="22" t="n">
        <v>546</v>
      </c>
      <c r="E137" s="22" t="n">
        <v>45</v>
      </c>
      <c r="F137" s="22" t="n">
        <v>-25</v>
      </c>
      <c r="G137" s="22" t="n">
        <v>90</v>
      </c>
      <c r="H137" s="22" t="n">
        <v>-125</v>
      </c>
      <c r="I137" s="22" t="n">
        <v>33</v>
      </c>
      <c r="J137" s="22" t="n">
        <v>113</v>
      </c>
      <c r="K137" s="22" t="n">
        <v>19</v>
      </c>
      <c r="L137" s="22" t="n">
        <v>575</v>
      </c>
      <c r="M137" s="22" t="n">
        <v>154</v>
      </c>
      <c r="N137" s="22" t="n">
        <v>78</v>
      </c>
      <c r="T137" s="22" t="n">
        <v>-109</v>
      </c>
      <c r="U137" s="22" t="n">
        <v>44</v>
      </c>
      <c r="V137" s="22" t="n">
        <v>546</v>
      </c>
      <c r="W137" s="22" t="n">
        <v>-125</v>
      </c>
      <c r="X137" s="22" t="n">
        <v>575</v>
      </c>
    </row>
    <row r="138">
      <c r="A138" s="9" t="inlineStr">
        <is>
          <t>포괄이익</t>
        </is>
      </c>
      <c r="C138" s="12" t="n">
        <v>284</v>
      </c>
      <c r="D138" s="12" t="n">
        <v>1633</v>
      </c>
      <c r="E138" s="12" t="n">
        <v>-230</v>
      </c>
      <c r="F138" s="12" t="n">
        <v>787</v>
      </c>
      <c r="G138" s="12" t="n">
        <v>552</v>
      </c>
      <c r="H138" s="12" t="n">
        <v>1311</v>
      </c>
      <c r="I138" s="12" t="n">
        <v>-585</v>
      </c>
      <c r="J138" s="12" t="n">
        <v>130</v>
      </c>
      <c r="K138" s="12" t="n">
        <v>156</v>
      </c>
      <c r="L138" s="12" t="n">
        <v>-803</v>
      </c>
      <c r="M138" s="12" t="n">
        <v>74</v>
      </c>
      <c r="N138" s="12" t="n">
        <v>413</v>
      </c>
      <c r="T138" s="12" t="n">
        <v>367</v>
      </c>
      <c r="U138" s="12" t="n">
        <v>1251</v>
      </c>
      <c r="V138" s="12" t="n">
        <v>1633</v>
      </c>
      <c r="W138" s="12" t="n">
        <v>1311</v>
      </c>
      <c r="X138" s="12" t="n">
        <v>-803</v>
      </c>
    </row>
    <row r="139">
      <c r="A139" s="9" t="inlineStr">
        <is>
          <t>지배주주 포괄이익</t>
        </is>
      </c>
      <c r="C139" s="12" t="n">
        <v>284</v>
      </c>
      <c r="D139" s="12" t="n">
        <v>1633</v>
      </c>
      <c r="E139" s="12" t="n">
        <v>-230</v>
      </c>
      <c r="F139" s="12" t="n">
        <v>787</v>
      </c>
      <c r="G139" s="12" t="n">
        <v>552</v>
      </c>
      <c r="H139" s="12" t="n">
        <v>1311</v>
      </c>
      <c r="I139" s="12" t="n">
        <v>-585</v>
      </c>
      <c r="J139" s="12" t="n">
        <v>130</v>
      </c>
      <c r="K139" s="12" t="n">
        <v>156</v>
      </c>
      <c r="L139" s="12" t="n">
        <v>-803</v>
      </c>
      <c r="M139" s="12" t="n">
        <v>74</v>
      </c>
      <c r="N139" s="12" t="n">
        <v>413</v>
      </c>
      <c r="T139" s="12" t="n">
        <v>367</v>
      </c>
      <c r="U139" s="12" t="n">
        <v>1251</v>
      </c>
      <c r="V139" s="12" t="n">
        <v>1633</v>
      </c>
      <c r="W139" s="12" t="n">
        <v>1311</v>
      </c>
      <c r="X139" s="12" t="n">
        <v>-803</v>
      </c>
    </row>
    <row r="141">
      <c r="A141" s="18" t="inlineStr">
        <is>
          <t>현금흐름표 · 전 항목</t>
        </is>
      </c>
      <c r="B141" s="44" t="inlineStr">
        <is>
          <t>분기 = 결산기 첫날부터 누계(공시 그대로)</t>
        </is>
      </c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2024.3Q</t>
        </is>
      </c>
      <c r="D142" s="5" t="inlineStr">
        <is>
          <t>2024.4Q</t>
        </is>
      </c>
      <c r="E142" s="5" t="inlineStr">
        <is>
          <t>2025.1Q</t>
        </is>
      </c>
      <c r="F142" s="5" t="inlineStr">
        <is>
          <t>2025.2Q</t>
        </is>
      </c>
      <c r="G142" s="5" t="inlineStr">
        <is>
          <t>2025.3Q</t>
        </is>
      </c>
      <c r="H142" s="5" t="inlineStr">
        <is>
          <t>2025.4Q</t>
        </is>
      </c>
      <c r="I142" s="5" t="inlineStr">
        <is>
          <t>2026.1Q</t>
        </is>
      </c>
      <c r="J142" s="5" t="inlineStr">
        <is>
          <t>2026.2Q</t>
        </is>
      </c>
      <c r="K142" s="5" t="inlineStr">
        <is>
          <t>2026.3Q</t>
        </is>
      </c>
      <c r="L142" s="5" t="inlineStr">
        <is>
          <t>2026.4Q</t>
        </is>
      </c>
      <c r="M142" s="5" t="inlineStr">
        <is>
          <t>2027.1Q</t>
        </is>
      </c>
      <c r="N142" s="5" t="inlineStr">
        <is>
          <t>2027.2Q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9" t="inlineStr">
        <is>
          <t>법인세차감전 중간순이익(손실)</t>
        </is>
      </c>
      <c r="C143" s="12" t="n">
        <v>1265</v>
      </c>
      <c r="D143" s="12" t="n">
        <v>2672</v>
      </c>
      <c r="E143" s="12" t="n">
        <v>-372</v>
      </c>
      <c r="F143" s="12" t="n">
        <v>776</v>
      </c>
      <c r="G143" s="12" t="n">
        <v>1473</v>
      </c>
      <c r="H143" s="12" t="n">
        <v>3511</v>
      </c>
      <c r="I143" s="12" t="n">
        <v>-858</v>
      </c>
      <c r="J143" s="12" t="n">
        <v>-805</v>
      </c>
      <c r="K143" s="12" t="n">
        <v>-567</v>
      </c>
      <c r="L143" s="12" t="n">
        <v>-1645</v>
      </c>
      <c r="M143" s="12" t="n">
        <v>-52</v>
      </c>
      <c r="N143" s="12" t="n">
        <v>455</v>
      </c>
      <c r="O143" s="12" t="n">
        <v>2456</v>
      </c>
      <c r="P143" s="12" t="n">
        <v>1675</v>
      </c>
      <c r="Q143" s="12" t="n">
        <v>2196</v>
      </c>
      <c r="R143" s="12" t="n">
        <v>3034</v>
      </c>
      <c r="S143" s="12" t="n">
        <v>2150</v>
      </c>
      <c r="T143" s="12" t="n">
        <v>1926</v>
      </c>
      <c r="U143" s="12" t="n">
        <v>3699</v>
      </c>
      <c r="V143" s="12" t="n">
        <v>2672</v>
      </c>
      <c r="W143" s="12" t="n">
        <v>3511</v>
      </c>
      <c r="X143" s="12" t="n">
        <v>-1645</v>
      </c>
    </row>
    <row r="144">
      <c r="A144" s="20" t="inlineStr">
        <is>
          <t>감가상각비</t>
        </is>
      </c>
      <c r="C144" s="22" t="n">
        <v>1336</v>
      </c>
      <c r="D144" s="22" t="n">
        <v>1993</v>
      </c>
      <c r="E144" s="22" t="n">
        <v>438</v>
      </c>
      <c r="F144" s="22" t="n">
        <v>934</v>
      </c>
      <c r="G144" s="22" t="n">
        <v>1379</v>
      </c>
      <c r="H144" s="22" t="n">
        <v>1917</v>
      </c>
      <c r="I144" s="22" t="n">
        <v>421</v>
      </c>
      <c r="J144" s="22" t="n">
        <v>858</v>
      </c>
      <c r="K144" s="22" t="n">
        <v>1264</v>
      </c>
      <c r="L144" s="22" t="n">
        <v>1844</v>
      </c>
      <c r="M144" s="22" t="n">
        <v>722</v>
      </c>
      <c r="N144" s="22" t="n">
        <v>1813</v>
      </c>
      <c r="O144" s="22" t="n">
        <v>2170</v>
      </c>
      <c r="P144" s="22" t="n">
        <v>2227</v>
      </c>
      <c r="Q144" s="22" t="n">
        <v>2575</v>
      </c>
      <c r="R144" s="22" t="n">
        <v>2448</v>
      </c>
      <c r="S144" s="22" t="n">
        <v>2227</v>
      </c>
      <c r="T144" s="22" t="n">
        <v>2949</v>
      </c>
      <c r="U144" s="22" t="n">
        <v>2052</v>
      </c>
      <c r="V144" s="22" t="n">
        <v>1993</v>
      </c>
      <c r="W144" s="22" t="n">
        <v>1917</v>
      </c>
      <c r="X144" s="22" t="n">
        <v>1844</v>
      </c>
    </row>
    <row r="145">
      <c r="A145" s="20" t="inlineStr">
        <is>
          <t>손상차손</t>
        </is>
      </c>
      <c r="C145" s="22" t="n">
        <v>0</v>
      </c>
      <c r="D145" s="22" t="n">
        <v>0</v>
      </c>
      <c r="H145" s="22" t="n">
        <v>0</v>
      </c>
      <c r="L145" s="22" t="n">
        <v>1104</v>
      </c>
      <c r="O145" s="22" t="n">
        <v>92</v>
      </c>
      <c r="P145" s="22" t="n">
        <v>0</v>
      </c>
      <c r="Q145" s="22" t="n">
        <v>17</v>
      </c>
      <c r="R145" s="22" t="n">
        <v>4178</v>
      </c>
      <c r="S145" s="22" t="n">
        <v>765</v>
      </c>
      <c r="T145" s="22" t="n">
        <v>5</v>
      </c>
      <c r="U145" s="22" t="n">
        <v>181</v>
      </c>
      <c r="V145" s="22" t="n">
        <v>0</v>
      </c>
      <c r="W145" s="22" t="n">
        <v>0</v>
      </c>
      <c r="X145" s="22" t="n">
        <v>1104</v>
      </c>
    </row>
    <row r="146">
      <c r="A146" s="20" t="inlineStr">
        <is>
          <t>상여충당금 증감</t>
        </is>
      </c>
      <c r="C146" s="22" t="n">
        <v>-533</v>
      </c>
      <c r="D146" s="22" t="n">
        <v>0</v>
      </c>
      <c r="E146" s="22" t="n">
        <v>471</v>
      </c>
      <c r="F146" s="22" t="n">
        <v>-45</v>
      </c>
      <c r="G146" s="22" t="n">
        <v>-569</v>
      </c>
      <c r="H146" s="22" t="n">
        <v>-34</v>
      </c>
      <c r="I146" s="22" t="n">
        <v>550</v>
      </c>
      <c r="J146" s="22" t="n">
        <v>-36</v>
      </c>
      <c r="K146" s="22" t="n">
        <v>-532</v>
      </c>
      <c r="L146" s="22" t="n">
        <v>21</v>
      </c>
      <c r="M146" s="22" t="n">
        <v>464</v>
      </c>
      <c r="N146" s="22" t="n">
        <v>-78</v>
      </c>
      <c r="O146" s="22" t="n">
        <v>-6</v>
      </c>
      <c r="P146" s="22" t="n">
        <v>-31</v>
      </c>
      <c r="Q146" s="22" t="n">
        <v>1</v>
      </c>
      <c r="R146" s="22" t="n">
        <v>169</v>
      </c>
      <c r="S146" s="22" t="n">
        <v>-190</v>
      </c>
      <c r="T146" s="22" t="n">
        <v>-89</v>
      </c>
      <c r="U146" s="22" t="n">
        <v>-87</v>
      </c>
      <c r="V146" s="22" t="n">
        <v>0</v>
      </c>
      <c r="W146" s="22" t="n">
        <v>-34</v>
      </c>
      <c r="X146" s="22" t="n">
        <v>21</v>
      </c>
    </row>
    <row r="147">
      <c r="A147" s="20" t="inlineStr">
        <is>
          <t>임원 상여충당금 증감</t>
        </is>
      </c>
      <c r="C147" s="22" t="n">
        <v>-12</v>
      </c>
      <c r="D147" s="22" t="n">
        <v>7</v>
      </c>
      <c r="E147" s="22" t="n">
        <v>-53</v>
      </c>
      <c r="F147" s="22" t="n">
        <v>-27</v>
      </c>
      <c r="G147" s="22" t="n">
        <v>-0</v>
      </c>
      <c r="H147" s="22" t="n">
        <v>26</v>
      </c>
      <c r="I147" s="22" t="n">
        <v>-79</v>
      </c>
      <c r="J147" s="22" t="n">
        <v>-50</v>
      </c>
      <c r="K147" s="22" t="n">
        <v>-22</v>
      </c>
      <c r="L147" s="22" t="n">
        <v>6</v>
      </c>
      <c r="M147" s="22" t="n">
        <v>-87</v>
      </c>
      <c r="N147" s="22" t="n">
        <v>-56</v>
      </c>
      <c r="O147" s="22" t="n">
        <v>4</v>
      </c>
      <c r="P147" s="22" t="n">
        <v>-3</v>
      </c>
      <c r="Q147" s="22" t="n">
        <v>-0</v>
      </c>
      <c r="R147" s="22" t="n">
        <v>-0</v>
      </c>
      <c r="S147" s="22" t="n">
        <v>21</v>
      </c>
      <c r="T147" s="22" t="n">
        <v>-2</v>
      </c>
      <c r="U147" s="22" t="n">
        <v>6</v>
      </c>
      <c r="V147" s="22" t="n">
        <v>7</v>
      </c>
      <c r="W147" s="22" t="n">
        <v>26</v>
      </c>
      <c r="X147" s="22" t="n">
        <v>6</v>
      </c>
    </row>
    <row r="148">
      <c r="A148" s="20" t="inlineStr">
        <is>
          <t>수주손실 충당금 증감</t>
        </is>
      </c>
      <c r="C148" s="22" t="n">
        <v>-7</v>
      </c>
      <c r="D148" s="22" t="n">
        <v>1</v>
      </c>
      <c r="E148" s="22" t="n">
        <v>36</v>
      </c>
      <c r="F148" s="22" t="n">
        <v>15</v>
      </c>
      <c r="G148" s="22" t="n">
        <v>4</v>
      </c>
      <c r="H148" s="22" t="n">
        <v>-49</v>
      </c>
      <c r="I148" s="22" t="n">
        <v>0</v>
      </c>
      <c r="J148" s="22" t="n">
        <v>48</v>
      </c>
      <c r="K148" s="22" t="n">
        <v>31</v>
      </c>
      <c r="L148" s="22" t="n">
        <v>488</v>
      </c>
      <c r="M148" s="22" t="n">
        <v>-148</v>
      </c>
      <c r="N148" s="22" t="n">
        <v>-81</v>
      </c>
      <c r="O148" s="22" t="n">
        <v>320</v>
      </c>
      <c r="P148" s="22" t="n">
        <v>-273</v>
      </c>
      <c r="Q148" s="22" t="n">
        <v>89</v>
      </c>
      <c r="R148" s="22" t="n">
        <v>-139</v>
      </c>
      <c r="S148" s="22" t="n">
        <v>-95</v>
      </c>
      <c r="T148" s="22" t="n">
        <v>-212</v>
      </c>
      <c r="U148" s="22" t="n">
        <v>-89</v>
      </c>
      <c r="V148" s="22" t="n">
        <v>1</v>
      </c>
      <c r="W148" s="22" t="n">
        <v>-49</v>
      </c>
      <c r="X148" s="22" t="n">
        <v>488</v>
      </c>
    </row>
    <row r="149">
      <c r="A149" s="20" t="inlineStr">
        <is>
          <t>임원 퇴직위로 충당금 증감</t>
        </is>
      </c>
      <c r="C149" s="22" t="n">
        <v>7</v>
      </c>
      <c r="D149" s="22" t="n">
        <v>-13</v>
      </c>
      <c r="E149" s="22" t="n">
        <v>-55</v>
      </c>
      <c r="F149" s="22" t="n">
        <v>-54</v>
      </c>
      <c r="G149" s="22" t="n">
        <v>-53</v>
      </c>
      <c r="H149" s="22" t="n">
        <v>-53</v>
      </c>
      <c r="I149" s="22" t="n">
        <v>-13</v>
      </c>
      <c r="J149" s="22" t="n">
        <v>-12</v>
      </c>
      <c r="K149" s="22" t="n">
        <v>-12</v>
      </c>
      <c r="L149" s="22" t="n">
        <v>-12</v>
      </c>
      <c r="M149" s="22" t="n">
        <v>-0</v>
      </c>
      <c r="N149" s="22" t="n">
        <v>-0</v>
      </c>
      <c r="O149" s="22" t="n">
        <v>26</v>
      </c>
      <c r="P149" s="22" t="n">
        <v>-79</v>
      </c>
      <c r="Q149" s="22" t="n">
        <v>-21</v>
      </c>
      <c r="R149" s="22" t="n">
        <v>-31</v>
      </c>
      <c r="S149" s="22" t="n">
        <v>10</v>
      </c>
      <c r="T149" s="22" t="n">
        <v>-16</v>
      </c>
      <c r="U149" s="22" t="n">
        <v>-9</v>
      </c>
      <c r="V149" s="22" t="n">
        <v>-13</v>
      </c>
      <c r="W149" s="22" t="n">
        <v>-53</v>
      </c>
      <c r="X149" s="22" t="n">
        <v>-12</v>
      </c>
    </row>
    <row r="150">
      <c r="A150" s="20" t="inlineStr">
        <is>
          <t>퇴직급여부채 증감</t>
        </is>
      </c>
      <c r="C150" s="22" t="n">
        <v>-280</v>
      </c>
      <c r="D150" s="22" t="n">
        <v>-495</v>
      </c>
      <c r="E150" s="22" t="n">
        <v>-101</v>
      </c>
      <c r="F150" s="22" t="n">
        <v>-269</v>
      </c>
      <c r="G150" s="22" t="n">
        <v>-401</v>
      </c>
      <c r="H150" s="22" t="n">
        <v>-735</v>
      </c>
      <c r="I150" s="22" t="n">
        <v>-79</v>
      </c>
      <c r="J150" s="22" t="n">
        <v>-458</v>
      </c>
      <c r="K150" s="22" t="n">
        <v>-451</v>
      </c>
      <c r="L150" s="22" t="n">
        <v>-446</v>
      </c>
      <c r="M150" s="22" t="n">
        <v>5</v>
      </c>
      <c r="N150" s="22" t="n">
        <v>-98</v>
      </c>
      <c r="O150" s="22" t="n">
        <v>362</v>
      </c>
      <c r="P150" s="22" t="n">
        <v>-781</v>
      </c>
      <c r="Q150" s="22" t="n">
        <v>-614</v>
      </c>
      <c r="R150" s="22" t="n">
        <v>-2942</v>
      </c>
      <c r="S150" s="22" t="n">
        <v>358</v>
      </c>
      <c r="T150" s="22" t="n">
        <v>-373</v>
      </c>
      <c r="U150" s="22" t="n">
        <v>-271</v>
      </c>
      <c r="V150" s="22" t="n">
        <v>-495</v>
      </c>
      <c r="W150" s="22" t="n">
        <v>-735</v>
      </c>
      <c r="X150" s="22" t="n">
        <v>-446</v>
      </c>
    </row>
    <row r="151">
      <c r="A151" s="20" t="inlineStr">
        <is>
          <t>유형자산 매각손익</t>
        </is>
      </c>
      <c r="O151" s="22" t="n">
        <v>-108</v>
      </c>
      <c r="P151" s="22" t="n">
        <v>-14</v>
      </c>
      <c r="Q151" s="22" t="n">
        <v>0</v>
      </c>
      <c r="R151" s="22" t="n">
        <v>-4307</v>
      </c>
    </row>
    <row r="152">
      <c r="A152" s="20" t="inlineStr">
        <is>
          <t>고정자산 매각손익</t>
        </is>
      </c>
      <c r="R152" s="22" t="n">
        <v>-4307</v>
      </c>
      <c r="S152" s="22" t="n">
        <v>2</v>
      </c>
      <c r="T152" s="22" t="n">
        <v>0</v>
      </c>
    </row>
    <row r="153">
      <c r="A153" s="20" t="inlineStr">
        <is>
          <t>관계회사 청산손익</t>
        </is>
      </c>
      <c r="C153" s="22" t="n">
        <v>-18</v>
      </c>
      <c r="D153" s="22" t="n">
        <v>-18</v>
      </c>
      <c r="F153" s="22" t="n">
        <v>0</v>
      </c>
      <c r="G153" s="22" t="n">
        <v>0</v>
      </c>
      <c r="H153" s="22" t="n">
        <v>-0</v>
      </c>
      <c r="L153" s="22" t="n">
        <v>0</v>
      </c>
      <c r="U153" s="22" t="n">
        <v>0</v>
      </c>
      <c r="V153" s="22" t="n">
        <v>-18</v>
      </c>
      <c r="W153" s="22" t="n">
        <v>-0</v>
      </c>
      <c r="X153" s="22" t="n">
        <v>0</v>
      </c>
    </row>
    <row r="154">
      <c r="A154" s="20" t="inlineStr">
        <is>
          <t>고정자산 제각손실</t>
        </is>
      </c>
      <c r="C154" s="22" t="n">
        <v>6</v>
      </c>
      <c r="D154" s="22" t="n">
        <v>19</v>
      </c>
      <c r="E154" s="22" t="n">
        <v>7</v>
      </c>
      <c r="F154" s="22" t="n">
        <v>17</v>
      </c>
      <c r="G154" s="22" t="n">
        <v>17</v>
      </c>
      <c r="H154" s="22" t="n">
        <v>21</v>
      </c>
      <c r="I154" s="22" t="n">
        <v>0</v>
      </c>
      <c r="J154" s="22" t="n">
        <v>6</v>
      </c>
      <c r="K154" s="22" t="n">
        <v>6</v>
      </c>
      <c r="L154" s="22" t="n">
        <v>10</v>
      </c>
      <c r="M154" s="22" t="n">
        <v>0</v>
      </c>
      <c r="N154" s="22" t="n">
        <v>1</v>
      </c>
      <c r="O154" s="22" t="n">
        <v>40</v>
      </c>
      <c r="P154" s="22" t="n">
        <v>43</v>
      </c>
      <c r="Q154" s="22" t="n">
        <v>4</v>
      </c>
      <c r="R154" s="22" t="n">
        <v>95</v>
      </c>
      <c r="S154" s="22" t="n">
        <v>6</v>
      </c>
      <c r="T154" s="22" t="n">
        <v>2</v>
      </c>
      <c r="U154" s="22" t="n">
        <v>0</v>
      </c>
      <c r="V154" s="22" t="n">
        <v>19</v>
      </c>
      <c r="W154" s="22" t="n">
        <v>21</v>
      </c>
      <c r="X154" s="22" t="n">
        <v>10</v>
      </c>
    </row>
    <row r="155">
      <c r="A155" s="20" t="inlineStr">
        <is>
          <t>회원권 평가손실</t>
        </is>
      </c>
      <c r="P155" s="22" t="n">
        <v>0</v>
      </c>
      <c r="Q155" s="22" t="n">
        <v>15</v>
      </c>
      <c r="R155" s="22" t="n">
        <v>5</v>
      </c>
      <c r="S155" s="22" t="n">
        <v>0</v>
      </c>
    </row>
    <row r="156">
      <c r="A156" s="20" t="inlineStr">
        <is>
          <t>부의 영업권 발생이익</t>
        </is>
      </c>
      <c r="Q156" s="22" t="n">
        <v>0</v>
      </c>
      <c r="R156" s="22" t="n">
        <v>-49</v>
      </c>
      <c r="S156" s="22" t="n">
        <v>0</v>
      </c>
    </row>
    <row r="157">
      <c r="A157" s="20" t="inlineStr">
        <is>
          <t>투자유가증권 매각손익</t>
        </is>
      </c>
      <c r="C157" s="22" t="n">
        <v>-5</v>
      </c>
      <c r="D157" s="22" t="n">
        <v>-5</v>
      </c>
      <c r="G157" s="22" t="n">
        <v>0</v>
      </c>
      <c r="H157" s="22" t="n">
        <v>0</v>
      </c>
      <c r="O157" s="22" t="n">
        <v>-58</v>
      </c>
      <c r="P157" s="22" t="n">
        <v>-49</v>
      </c>
      <c r="Q157" s="22" t="n">
        <v>0</v>
      </c>
      <c r="S157" s="22" t="n">
        <v>0</v>
      </c>
      <c r="T157" s="22" t="n">
        <v>1</v>
      </c>
      <c r="U157" s="22" t="n">
        <v>0</v>
      </c>
      <c r="V157" s="22" t="n">
        <v>-5</v>
      </c>
      <c r="W157" s="22" t="n">
        <v>0</v>
      </c>
    </row>
    <row r="158">
      <c r="A158" s="20" t="inlineStr">
        <is>
          <t>투자유가증권 평가손익</t>
        </is>
      </c>
      <c r="S158" s="22" t="n">
        <v>0</v>
      </c>
      <c r="T158" s="22" t="n">
        <v>71</v>
      </c>
      <c r="U158" s="22" t="n">
        <v>0</v>
      </c>
    </row>
    <row r="159">
      <c r="A159" s="20" t="inlineStr">
        <is>
          <t>해약 위약금</t>
        </is>
      </c>
      <c r="S159" s="22" t="n">
        <v>0</v>
      </c>
      <c r="T159" s="22" t="n">
        <v>52</v>
      </c>
      <c r="U159" s="22" t="n">
        <v>0</v>
      </c>
    </row>
    <row r="160">
      <c r="A160" s="20" t="inlineStr">
        <is>
          <t>투자유가증권 상환손익</t>
        </is>
      </c>
      <c r="H160" s="22" t="n">
        <v>0</v>
      </c>
      <c r="L160" s="22" t="n">
        <v>76</v>
      </c>
      <c r="W160" s="22" t="n">
        <v>0</v>
      </c>
      <c r="X160" s="22" t="n">
        <v>76</v>
      </c>
    </row>
    <row r="161">
      <c r="A161" s="20" t="inlineStr">
        <is>
          <t>Loss Gain On Sales Of Membership Ope CF</t>
        </is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-18</v>
      </c>
      <c r="I161" s="22" t="n">
        <v>-2</v>
      </c>
      <c r="J161" s="22" t="n">
        <v>-3</v>
      </c>
      <c r="K161" s="22" t="n">
        <v>-3</v>
      </c>
      <c r="L161" s="22" t="n">
        <v>-6</v>
      </c>
      <c r="M161" s="22" t="n">
        <v>-8</v>
      </c>
      <c r="N161" s="22" t="n">
        <v>-3</v>
      </c>
      <c r="V161" s="22" t="n">
        <v>0</v>
      </c>
      <c r="W161" s="22" t="n">
        <v>-18</v>
      </c>
      <c r="X161" s="22" t="n">
        <v>-6</v>
      </c>
    </row>
    <row r="162">
      <c r="A162" s="20" t="inlineStr">
        <is>
          <t>사무소 이전비용</t>
        </is>
      </c>
      <c r="D162" s="22" t="n">
        <v>233</v>
      </c>
      <c r="H162" s="22" t="n">
        <v>10</v>
      </c>
      <c r="L162" s="22" t="n">
        <v>7</v>
      </c>
      <c r="U162" s="22" t="n">
        <v>0</v>
      </c>
      <c r="V162" s="22" t="n">
        <v>233</v>
      </c>
      <c r="W162" s="22" t="n">
        <v>10</v>
      </c>
      <c r="X162" s="22" t="n">
        <v>7</v>
      </c>
    </row>
    <row r="163">
      <c r="A163" s="20" t="inlineStr">
        <is>
          <t>고정자산 철거비용</t>
        </is>
      </c>
      <c r="D163" s="22" t="n">
        <v>4</v>
      </c>
      <c r="H163" s="22" t="n">
        <v>20</v>
      </c>
      <c r="L163" s="22" t="n">
        <v>0</v>
      </c>
      <c r="V163" s="22" t="n">
        <v>4</v>
      </c>
      <c r="W163" s="22" t="n">
        <v>20</v>
      </c>
      <c r="X163" s="22" t="n">
        <v>0</v>
      </c>
    </row>
    <row r="164">
      <c r="A164" s="20" t="inlineStr">
        <is>
          <t>Extra Retirement Benefits Ope CF</t>
        </is>
      </c>
      <c r="C164" s="22" t="n">
        <v>0</v>
      </c>
      <c r="D164" s="22" t="n">
        <v>59</v>
      </c>
      <c r="E164" s="22" t="n">
        <v>45</v>
      </c>
      <c r="F164" s="22" t="n">
        <v>82</v>
      </c>
      <c r="G164" s="22" t="n">
        <v>82</v>
      </c>
      <c r="H164" s="22" t="n">
        <v>71</v>
      </c>
      <c r="I164" s="22" t="n">
        <v>0</v>
      </c>
      <c r="J164" s="22" t="n">
        <v>0</v>
      </c>
      <c r="K164" s="22" t="n">
        <v>0</v>
      </c>
      <c r="L164" s="22" t="n">
        <v>0</v>
      </c>
      <c r="U164" s="22" t="n">
        <v>0</v>
      </c>
      <c r="V164" s="22" t="n">
        <v>59</v>
      </c>
      <c r="W164" s="22" t="n">
        <v>71</v>
      </c>
      <c r="X164" s="22" t="n">
        <v>0</v>
      </c>
    </row>
    <row r="165">
      <c r="A165" s="20" t="inlineStr">
        <is>
          <t>매출채권 증감</t>
        </is>
      </c>
      <c r="C165" s="22" t="n">
        <v>3657</v>
      </c>
      <c r="D165" s="22" t="n">
        <v>42</v>
      </c>
      <c r="E165" s="22" t="n">
        <v>6399</v>
      </c>
      <c r="F165" s="22" t="n">
        <v>3002</v>
      </c>
      <c r="G165" s="22" t="n">
        <v>2255</v>
      </c>
      <c r="H165" s="22" t="n">
        <v>-3610</v>
      </c>
      <c r="I165" s="22" t="n">
        <v>11620</v>
      </c>
      <c r="J165" s="22" t="n">
        <v>8772</v>
      </c>
      <c r="K165" s="22" t="n">
        <v>7949</v>
      </c>
      <c r="L165" s="22" t="n">
        <v>2947</v>
      </c>
      <c r="M165" s="22" t="n">
        <v>8216</v>
      </c>
      <c r="N165" s="22" t="n">
        <v>3978</v>
      </c>
      <c r="O165" s="22" t="n">
        <v>2175</v>
      </c>
      <c r="P165" s="22" t="n">
        <v>793</v>
      </c>
      <c r="Q165" s="22" t="n">
        <v>413</v>
      </c>
      <c r="R165" s="22" t="n">
        <v>60</v>
      </c>
      <c r="S165" s="22" t="n">
        <v>-1098</v>
      </c>
      <c r="T165" s="22" t="n">
        <v>1482</v>
      </c>
      <c r="U165" s="22" t="n">
        <v>-2730</v>
      </c>
      <c r="V165" s="22" t="n">
        <v>42</v>
      </c>
      <c r="W165" s="22" t="n">
        <v>-3610</v>
      </c>
      <c r="X165" s="22" t="n">
        <v>2947</v>
      </c>
    </row>
    <row r="166">
      <c r="A166" s="20" t="inlineStr">
        <is>
          <t>재고자산 증감</t>
        </is>
      </c>
      <c r="C166" s="22" t="n">
        <v>-349</v>
      </c>
      <c r="D166" s="22" t="n">
        <v>-117</v>
      </c>
      <c r="E166" s="22" t="n">
        <v>-219</v>
      </c>
      <c r="F166" s="22" t="n">
        <v>-229</v>
      </c>
      <c r="G166" s="22" t="n">
        <v>-282</v>
      </c>
      <c r="H166" s="22" t="n">
        <v>-2</v>
      </c>
      <c r="I166" s="22" t="n">
        <v>-239</v>
      </c>
      <c r="J166" s="22" t="n">
        <v>-395</v>
      </c>
      <c r="K166" s="22" t="n">
        <v>-561</v>
      </c>
      <c r="L166" s="22" t="n">
        <v>91</v>
      </c>
      <c r="M166" s="22" t="n">
        <v>-276</v>
      </c>
      <c r="N166" s="22" t="n">
        <v>-479</v>
      </c>
      <c r="O166" s="22" t="n">
        <v>1090</v>
      </c>
      <c r="P166" s="22" t="n">
        <v>-505</v>
      </c>
      <c r="Q166" s="22" t="n">
        <v>215</v>
      </c>
      <c r="R166" s="22" t="n">
        <v>237</v>
      </c>
      <c r="S166" s="22" t="n">
        <v>209</v>
      </c>
      <c r="T166" s="22" t="n">
        <v>318</v>
      </c>
      <c r="U166" s="22" t="n">
        <v>-45</v>
      </c>
      <c r="V166" s="22" t="n">
        <v>-117</v>
      </c>
      <c r="W166" s="22" t="n">
        <v>-2</v>
      </c>
      <c r="X166" s="22" t="n">
        <v>91</v>
      </c>
    </row>
    <row r="167">
      <c r="A167" s="20" t="inlineStr">
        <is>
          <t>기타 자산 증감</t>
        </is>
      </c>
      <c r="C167" s="22" t="n">
        <v>-41</v>
      </c>
      <c r="D167" s="22" t="n">
        <v>16</v>
      </c>
      <c r="E167" s="22" t="n">
        <v>23</v>
      </c>
      <c r="F167" s="22" t="n">
        <v>-163</v>
      </c>
      <c r="G167" s="22" t="n">
        <v>-146</v>
      </c>
      <c r="H167" s="22" t="n">
        <v>-67</v>
      </c>
      <c r="I167" s="22" t="n">
        <v>-428</v>
      </c>
      <c r="J167" s="22" t="n">
        <v>-265</v>
      </c>
      <c r="K167" s="22" t="n">
        <v>-95</v>
      </c>
      <c r="L167" s="22" t="n">
        <v>-101</v>
      </c>
      <c r="M167" s="22" t="n">
        <v>-43</v>
      </c>
      <c r="N167" s="22" t="n">
        <v>-189</v>
      </c>
      <c r="O167" s="22" t="n">
        <v>-24</v>
      </c>
      <c r="P167" s="22" t="n">
        <v>-22</v>
      </c>
      <c r="Q167" s="22" t="n">
        <v>-34</v>
      </c>
      <c r="R167" s="22" t="n">
        <v>-150</v>
      </c>
      <c r="S167" s="22" t="n">
        <v>-102</v>
      </c>
      <c r="T167" s="22" t="n">
        <v>37</v>
      </c>
      <c r="U167" s="22" t="n">
        <v>-20</v>
      </c>
      <c r="V167" s="22" t="n">
        <v>16</v>
      </c>
      <c r="W167" s="22" t="n">
        <v>-67</v>
      </c>
      <c r="X167" s="22" t="n">
        <v>-101</v>
      </c>
    </row>
    <row r="168">
      <c r="A168" s="20" t="inlineStr">
        <is>
          <t>매입채무 증감</t>
        </is>
      </c>
      <c r="C168" s="22" t="n">
        <v>-383</v>
      </c>
      <c r="D168" s="22" t="n">
        <v>-297</v>
      </c>
      <c r="E168" s="22" t="n">
        <v>2</v>
      </c>
      <c r="F168" s="22" t="n">
        <v>283</v>
      </c>
      <c r="G168" s="22" t="n">
        <v>-80</v>
      </c>
      <c r="H168" s="22" t="n">
        <v>907</v>
      </c>
      <c r="I168" s="22" t="n">
        <v>-813</v>
      </c>
      <c r="J168" s="22" t="n">
        <v>-861</v>
      </c>
      <c r="K168" s="22" t="n">
        <v>-1004</v>
      </c>
      <c r="L168" s="22" t="n">
        <v>44</v>
      </c>
      <c r="M168" s="22" t="n">
        <v>-1269</v>
      </c>
      <c r="N168" s="22" t="n">
        <v>-1073</v>
      </c>
      <c r="O168" s="22" t="n">
        <v>-309</v>
      </c>
      <c r="P168" s="22" t="n">
        <v>856</v>
      </c>
      <c r="Q168" s="22" t="n">
        <v>-681</v>
      </c>
      <c r="R168" s="22" t="n">
        <v>197</v>
      </c>
      <c r="S168" s="22" t="n">
        <v>180</v>
      </c>
      <c r="T168" s="22" t="n">
        <v>-175</v>
      </c>
      <c r="U168" s="22" t="n">
        <v>-146</v>
      </c>
      <c r="V168" s="22" t="n">
        <v>-297</v>
      </c>
      <c r="W168" s="22" t="n">
        <v>907</v>
      </c>
      <c r="X168" s="22" t="n">
        <v>44</v>
      </c>
    </row>
    <row r="169">
      <c r="A169" s="20" t="inlineStr">
        <is>
          <t>기타 부채 증감</t>
        </is>
      </c>
      <c r="C169" s="22" t="n">
        <v>-828</v>
      </c>
      <c r="D169" s="22" t="n">
        <v>-724</v>
      </c>
      <c r="E169" s="22" t="n">
        <v>-357</v>
      </c>
      <c r="F169" s="22" t="n">
        <v>-86</v>
      </c>
      <c r="G169" s="22" t="n">
        <v>368</v>
      </c>
      <c r="H169" s="22" t="n">
        <v>408</v>
      </c>
      <c r="I169" s="22" t="n">
        <v>-428</v>
      </c>
      <c r="J169" s="22" t="n">
        <v>-705</v>
      </c>
      <c r="K169" s="22" t="n">
        <v>-389</v>
      </c>
      <c r="L169" s="22" t="n">
        <v>-713</v>
      </c>
      <c r="M169" s="22" t="n">
        <v>355</v>
      </c>
      <c r="N169" s="22" t="n">
        <v>362</v>
      </c>
      <c r="O169" s="22" t="n">
        <v>-198</v>
      </c>
      <c r="P169" s="22" t="n">
        <v>216</v>
      </c>
      <c r="Q169" s="22" t="n">
        <v>228</v>
      </c>
      <c r="R169" s="22" t="n">
        <v>254</v>
      </c>
      <c r="S169" s="22" t="n">
        <v>-627</v>
      </c>
      <c r="T169" s="22" t="n">
        <v>209</v>
      </c>
      <c r="U169" s="22" t="n">
        <v>557</v>
      </c>
      <c r="V169" s="22" t="n">
        <v>-724</v>
      </c>
      <c r="W169" s="22" t="n">
        <v>408</v>
      </c>
      <c r="X169" s="22" t="n">
        <v>-713</v>
      </c>
    </row>
    <row r="170">
      <c r="A170" s="20" t="inlineStr">
        <is>
          <t>기타</t>
        </is>
      </c>
      <c r="C170" s="22" t="n">
        <v>-52</v>
      </c>
      <c r="D170" s="22" t="n">
        <v>21</v>
      </c>
      <c r="E170" s="22" t="n">
        <v>-77</v>
      </c>
      <c r="F170" s="22" t="n">
        <v>-19</v>
      </c>
      <c r="G170" s="22" t="n">
        <v>-105</v>
      </c>
      <c r="H170" s="22" t="n">
        <v>-86</v>
      </c>
      <c r="I170" s="22" t="n">
        <v>-61</v>
      </c>
      <c r="J170" s="22" t="n">
        <v>14</v>
      </c>
      <c r="K170" s="22" t="n">
        <v>-42</v>
      </c>
      <c r="L170" s="22" t="n">
        <v>3</v>
      </c>
      <c r="M170" s="22" t="n">
        <v>-28</v>
      </c>
      <c r="N170" s="22" t="n">
        <v>79</v>
      </c>
      <c r="O170" s="22" t="n">
        <v>76</v>
      </c>
      <c r="P170" s="22" t="n">
        <v>-192</v>
      </c>
      <c r="Q170" s="22" t="n">
        <v>-18</v>
      </c>
      <c r="R170" s="22" t="n">
        <v>-178</v>
      </c>
      <c r="S170" s="22" t="n">
        <v>-151</v>
      </c>
      <c r="T170" s="22" t="n">
        <v>56</v>
      </c>
      <c r="U170" s="22" t="n">
        <v>37</v>
      </c>
      <c r="V170" s="22" t="n">
        <v>21</v>
      </c>
      <c r="W170" s="22" t="n">
        <v>-86</v>
      </c>
      <c r="X170" s="22" t="n">
        <v>3</v>
      </c>
    </row>
    <row r="171">
      <c r="A171" s="20" t="inlineStr">
        <is>
          <t>소계</t>
        </is>
      </c>
      <c r="C171" s="22" t="n">
        <v>3759</v>
      </c>
      <c r="D171" s="22" t="n">
        <v>3398</v>
      </c>
      <c r="E171" s="22" t="n">
        <v>6186</v>
      </c>
      <c r="F171" s="22" t="n">
        <v>4216</v>
      </c>
      <c r="G171" s="22" t="n">
        <v>3942</v>
      </c>
      <c r="H171" s="22" t="n">
        <v>2237</v>
      </c>
      <c r="I171" s="22" t="n">
        <v>9587</v>
      </c>
      <c r="J171" s="22" t="n">
        <v>6105</v>
      </c>
      <c r="K171" s="22" t="n">
        <v>5567</v>
      </c>
      <c r="L171" s="22" t="n">
        <v>3722</v>
      </c>
      <c r="M171" s="22" t="n">
        <v>7847</v>
      </c>
      <c r="N171" s="22" t="n">
        <v>4628</v>
      </c>
      <c r="O171" s="22" t="n">
        <v>8109</v>
      </c>
      <c r="P171" s="22" t="n">
        <v>3861</v>
      </c>
      <c r="Q171" s="22" t="n">
        <v>4386</v>
      </c>
      <c r="R171" s="22" t="n">
        <v>2882</v>
      </c>
      <c r="S171" s="22" t="n">
        <v>3668</v>
      </c>
      <c r="T171" s="22" t="n">
        <v>6244</v>
      </c>
      <c r="U171" s="22" t="n">
        <v>3134</v>
      </c>
      <c r="V171" s="22" t="n">
        <v>3398</v>
      </c>
      <c r="W171" s="22" t="n">
        <v>2237</v>
      </c>
      <c r="X171" s="22" t="n">
        <v>3722</v>
      </c>
    </row>
    <row r="172">
      <c r="A172" s="20" t="inlineStr">
        <is>
          <t>Cancellation Penalty Paid Ope CF</t>
        </is>
      </c>
      <c r="S172" s="22" t="n">
        <v>0</v>
      </c>
      <c r="T172" s="22" t="n">
        <v>-52</v>
      </c>
      <c r="U172" s="22" t="n">
        <v>0</v>
      </c>
    </row>
    <row r="173">
      <c r="A173" s="20" t="inlineStr">
        <is>
          <t>법인세 환급</t>
        </is>
      </c>
      <c r="C173" s="22" t="n">
        <v>6</v>
      </c>
      <c r="D173" s="22" t="n">
        <v>6</v>
      </c>
      <c r="E173" s="22" t="n">
        <v>42</v>
      </c>
      <c r="F173" s="22" t="n">
        <v>396</v>
      </c>
      <c r="G173" s="22" t="n">
        <v>397</v>
      </c>
      <c r="H173" s="22" t="n">
        <v>398</v>
      </c>
      <c r="I173" s="22" t="n">
        <v>0</v>
      </c>
      <c r="J173" s="22" t="n">
        <v>101</v>
      </c>
      <c r="K173" s="22" t="n">
        <v>105</v>
      </c>
      <c r="L173" s="22" t="n">
        <v>105</v>
      </c>
      <c r="M173" s="22" t="n">
        <v>2</v>
      </c>
      <c r="N173" s="22" t="n">
        <v>115</v>
      </c>
      <c r="O173" s="22" t="n">
        <v>5</v>
      </c>
      <c r="P173" s="22" t="n">
        <v>18</v>
      </c>
      <c r="Q173" s="22" t="n">
        <v>215</v>
      </c>
      <c r="R173" s="22" t="n">
        <v>13</v>
      </c>
      <c r="S173" s="22" t="n">
        <v>34</v>
      </c>
      <c r="T173" s="22" t="n">
        <v>567</v>
      </c>
      <c r="U173" s="22" t="n">
        <v>14</v>
      </c>
      <c r="V173" s="22" t="n">
        <v>6</v>
      </c>
      <c r="W173" s="22" t="n">
        <v>398</v>
      </c>
      <c r="X173" s="22" t="n">
        <v>105</v>
      </c>
    </row>
    <row r="174">
      <c r="A174" s="20" t="inlineStr">
        <is>
          <t>법인세 납부</t>
        </is>
      </c>
      <c r="C174" s="22" t="n">
        <v>-1258</v>
      </c>
      <c r="D174" s="22" t="n">
        <v>-1262</v>
      </c>
      <c r="E174" s="22" t="n">
        <v>-727</v>
      </c>
      <c r="F174" s="22" t="n">
        <v>-718</v>
      </c>
      <c r="G174" s="22" t="n">
        <v>-1156</v>
      </c>
      <c r="H174" s="22" t="n">
        <v>-1158</v>
      </c>
      <c r="I174" s="22" t="n">
        <v>-128</v>
      </c>
      <c r="J174" s="22" t="n">
        <v>-127</v>
      </c>
      <c r="K174" s="22" t="n">
        <v>-344</v>
      </c>
      <c r="L174" s="22" t="n">
        <v>-346</v>
      </c>
      <c r="M174" s="22" t="n">
        <v>-156</v>
      </c>
      <c r="N174" s="22" t="n">
        <v>-183</v>
      </c>
      <c r="O174" s="22" t="n">
        <v>-856</v>
      </c>
      <c r="P174" s="22" t="n">
        <v>-946</v>
      </c>
      <c r="Q174" s="22" t="n">
        <v>-256</v>
      </c>
      <c r="R174" s="22" t="n">
        <v>-1383</v>
      </c>
      <c r="S174" s="22" t="n">
        <v>-1785</v>
      </c>
      <c r="T174" s="22" t="n">
        <v>-333</v>
      </c>
      <c r="U174" s="22" t="n">
        <v>-823</v>
      </c>
      <c r="V174" s="22" t="n">
        <v>-1262</v>
      </c>
      <c r="W174" s="22" t="n">
        <v>-1158</v>
      </c>
      <c r="X174" s="22" t="n">
        <v>-346</v>
      </c>
    </row>
    <row r="175">
      <c r="A175" s="9" t="inlineStr">
        <is>
          <t>영업활동 현금흐름</t>
        </is>
      </c>
      <c r="C175" s="12" t="n">
        <v>2507</v>
      </c>
      <c r="D175" s="12" t="n">
        <v>2142</v>
      </c>
      <c r="E175" s="12" t="n">
        <v>5500</v>
      </c>
      <c r="F175" s="12" t="n">
        <v>3893</v>
      </c>
      <c r="G175" s="12" t="n">
        <v>3184</v>
      </c>
      <c r="H175" s="12" t="n">
        <v>1478</v>
      </c>
      <c r="I175" s="12" t="n">
        <v>9459</v>
      </c>
      <c r="J175" s="12" t="n">
        <v>6079</v>
      </c>
      <c r="K175" s="12" t="n">
        <v>5327</v>
      </c>
      <c r="L175" s="12" t="n">
        <v>3480</v>
      </c>
      <c r="M175" s="12" t="n">
        <v>7694</v>
      </c>
      <c r="N175" s="12" t="n">
        <v>4560</v>
      </c>
      <c r="O175" s="12" t="n">
        <v>7258</v>
      </c>
      <c r="P175" s="12" t="n">
        <v>2933</v>
      </c>
      <c r="Q175" s="12" t="n">
        <v>4344</v>
      </c>
      <c r="R175" s="12" t="n">
        <v>1512</v>
      </c>
      <c r="S175" s="12" t="n">
        <v>1917</v>
      </c>
      <c r="T175" s="12" t="n">
        <v>6427</v>
      </c>
      <c r="U175" s="12" t="n">
        <v>2325</v>
      </c>
      <c r="V175" s="12" t="n">
        <v>2142</v>
      </c>
      <c r="W175" s="12" t="n">
        <v>1478</v>
      </c>
      <c r="X175" s="12" t="n">
        <v>3480</v>
      </c>
    </row>
    <row r="176">
      <c r="A176" s="20" t="inlineStr">
        <is>
          <t>정기예금 순증감</t>
        </is>
      </c>
      <c r="C176" s="22" t="n">
        <v>-999</v>
      </c>
      <c r="D176" s="22" t="n">
        <v>-1000</v>
      </c>
      <c r="E176" s="22" t="n">
        <v>1000</v>
      </c>
      <c r="F176" s="22" t="n">
        <v>1000</v>
      </c>
      <c r="G176" s="22" t="n">
        <v>1000</v>
      </c>
      <c r="H176" s="22" t="n">
        <v>999</v>
      </c>
      <c r="I176" s="22" t="n">
        <v>0</v>
      </c>
      <c r="J176" s="22" t="n">
        <v>0</v>
      </c>
      <c r="K176" s="22" t="n">
        <v>0</v>
      </c>
      <c r="L176" s="22" t="n">
        <v>-0</v>
      </c>
      <c r="N176" s="22" t="n">
        <v>13</v>
      </c>
      <c r="O176" s="22" t="n">
        <v>-0</v>
      </c>
      <c r="P176" s="22" t="n">
        <v>-0</v>
      </c>
      <c r="Q176" s="22" t="n">
        <v>-0</v>
      </c>
      <c r="R176" s="22" t="n">
        <v>199</v>
      </c>
      <c r="S176" s="22" t="n">
        <v>801</v>
      </c>
      <c r="T176" s="22" t="n">
        <v>19</v>
      </c>
      <c r="U176" s="22" t="n">
        <v>0</v>
      </c>
      <c r="V176" s="22" t="n">
        <v>-1000</v>
      </c>
      <c r="W176" s="22" t="n">
        <v>999</v>
      </c>
      <c r="X176" s="22" t="n">
        <v>-0</v>
      </c>
    </row>
    <row r="177">
      <c r="A177" s="20" t="inlineStr">
        <is>
          <t>장기예금 예입</t>
        </is>
      </c>
      <c r="O177" s="22" t="n">
        <v>0</v>
      </c>
      <c r="P177" s="22" t="n">
        <v>-300</v>
      </c>
      <c r="Q177" s="22" t="n">
        <v>0</v>
      </c>
    </row>
    <row r="178">
      <c r="A178" s="20" t="inlineStr">
        <is>
          <t>유가증권 순증감액</t>
        </is>
      </c>
      <c r="C178" s="22" t="n">
        <v>2300</v>
      </c>
      <c r="D178" s="22" t="n">
        <v>2300</v>
      </c>
      <c r="F178" s="22" t="n">
        <v>0</v>
      </c>
      <c r="G178" s="22" t="n">
        <v>0</v>
      </c>
      <c r="H178" s="22" t="n">
        <v>0</v>
      </c>
      <c r="R178" s="22" t="n">
        <v>0</v>
      </c>
      <c r="S178" s="22" t="n">
        <v>-2300</v>
      </c>
      <c r="T178" s="22" t="n">
        <v>0</v>
      </c>
      <c r="U178" s="22" t="n">
        <v>0</v>
      </c>
      <c r="V178" s="22" t="n">
        <v>2300</v>
      </c>
      <c r="W178" s="22" t="n">
        <v>0</v>
      </c>
    </row>
    <row r="179">
      <c r="A179" s="20" t="inlineStr">
        <is>
          <t>장기예금 인출</t>
        </is>
      </c>
      <c r="Q179" s="22" t="n">
        <v>0</v>
      </c>
      <c r="R179" s="22" t="n">
        <v>300</v>
      </c>
      <c r="S179" s="22" t="n">
        <v>0</v>
      </c>
    </row>
    <row r="180">
      <c r="A180" s="20" t="inlineStr">
        <is>
          <t>유형자산 취득(설비투자)</t>
        </is>
      </c>
      <c r="C180" s="22" t="n">
        <v>-9489</v>
      </c>
      <c r="D180" s="22" t="n">
        <v>-9626</v>
      </c>
      <c r="E180" s="22" t="n">
        <v>-871</v>
      </c>
      <c r="F180" s="22" t="n">
        <v>-860</v>
      </c>
      <c r="G180" s="22" t="n">
        <v>-1117</v>
      </c>
      <c r="H180" s="22" t="n">
        <v>-1432</v>
      </c>
      <c r="I180" s="22" t="n">
        <v>-195</v>
      </c>
      <c r="J180" s="22" t="n">
        <v>-199</v>
      </c>
      <c r="K180" s="22" t="n">
        <v>-301</v>
      </c>
      <c r="L180" s="22" t="n">
        <v>-316</v>
      </c>
      <c r="M180" s="22" t="n">
        <v>-211</v>
      </c>
      <c r="N180" s="22" t="n">
        <v>-228</v>
      </c>
      <c r="O180" s="22" t="n">
        <v>-835</v>
      </c>
      <c r="P180" s="22" t="n">
        <v>-1583</v>
      </c>
      <c r="Q180" s="22" t="n">
        <v>-709</v>
      </c>
      <c r="R180" s="22" t="n">
        <v>-1209</v>
      </c>
      <c r="S180" s="22" t="n">
        <v>-357</v>
      </c>
      <c r="T180" s="22" t="n">
        <v>-740</v>
      </c>
      <c r="U180" s="22" t="n">
        <v>-958</v>
      </c>
      <c r="V180" s="22" t="n">
        <v>-9626</v>
      </c>
      <c r="W180" s="22" t="n">
        <v>-1432</v>
      </c>
      <c r="X180" s="22" t="n">
        <v>-316</v>
      </c>
    </row>
    <row r="181">
      <c r="A181" s="20" t="inlineStr">
        <is>
          <t>유형자산 매각</t>
        </is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24</v>
      </c>
      <c r="J181" s="22" t="n">
        <v>24</v>
      </c>
      <c r="K181" s="22" t="n">
        <v>24</v>
      </c>
      <c r="L181" s="22" t="n">
        <v>24</v>
      </c>
      <c r="M181" s="22" t="n">
        <v>0</v>
      </c>
      <c r="N181" s="22" t="n">
        <v>0</v>
      </c>
      <c r="O181" s="22" t="n">
        <v>823</v>
      </c>
      <c r="P181" s="22" t="n">
        <v>2245</v>
      </c>
      <c r="Q181" s="22" t="n">
        <v>1250</v>
      </c>
      <c r="R181" s="22" t="n">
        <v>17202</v>
      </c>
      <c r="S181" s="22" t="n">
        <v>1159</v>
      </c>
      <c r="T181" s="22" t="n">
        <v>0</v>
      </c>
      <c r="W181" s="22" t="n">
        <v>0</v>
      </c>
      <c r="X181" s="22" t="n">
        <v>24</v>
      </c>
    </row>
    <row r="182">
      <c r="A182" s="20" t="inlineStr">
        <is>
          <t>무형자산 취득</t>
        </is>
      </c>
      <c r="C182" s="22" t="n">
        <v>-765</v>
      </c>
      <c r="D182" s="22" t="n">
        <v>-1048</v>
      </c>
      <c r="E182" s="22" t="n">
        <v>-333</v>
      </c>
      <c r="F182" s="22" t="n">
        <v>-795</v>
      </c>
      <c r="G182" s="22" t="n">
        <v>-1248</v>
      </c>
      <c r="H182" s="22" t="n">
        <v>-1508</v>
      </c>
      <c r="I182" s="22" t="n">
        <v>-611</v>
      </c>
      <c r="J182" s="22" t="n">
        <v>-1178</v>
      </c>
      <c r="K182" s="22" t="n">
        <v>-1653</v>
      </c>
      <c r="L182" s="22" t="n">
        <v>-2066</v>
      </c>
      <c r="M182" s="22" t="n">
        <v>-239</v>
      </c>
      <c r="N182" s="22" t="n">
        <v>-464</v>
      </c>
      <c r="O182" s="22" t="n">
        <v>-1364</v>
      </c>
      <c r="P182" s="22" t="n">
        <v>-1518</v>
      </c>
      <c r="Q182" s="22" t="n">
        <v>-1985</v>
      </c>
      <c r="R182" s="22" t="n">
        <v>-1327</v>
      </c>
      <c r="S182" s="22" t="n">
        <v>-1018</v>
      </c>
      <c r="T182" s="22" t="n">
        <v>-896</v>
      </c>
      <c r="U182" s="22" t="n">
        <v>-667</v>
      </c>
      <c r="V182" s="22" t="n">
        <v>-1048</v>
      </c>
      <c r="W182" s="22" t="n">
        <v>-1508</v>
      </c>
      <c r="X182" s="22" t="n">
        <v>-2066</v>
      </c>
    </row>
    <row r="183">
      <c r="A183" s="20" t="inlineStr">
        <is>
          <t>무형자산 매각 수입</t>
        </is>
      </c>
      <c r="R183" s="22" t="n">
        <v>0</v>
      </c>
      <c r="S183" s="22" t="n">
        <v>1</v>
      </c>
      <c r="T183" s="22" t="n">
        <v>0</v>
      </c>
    </row>
    <row r="184">
      <c r="A184" s="20" t="inlineStr">
        <is>
          <t>장기선급비용 지출</t>
        </is>
      </c>
      <c r="C184" s="22" t="n">
        <v>-240</v>
      </c>
      <c r="D184" s="22" t="n">
        <v>-460</v>
      </c>
      <c r="E184" s="22" t="n">
        <v>-20</v>
      </c>
      <c r="F184" s="22" t="n">
        <v>-38</v>
      </c>
      <c r="G184" s="22" t="n">
        <v>-52</v>
      </c>
      <c r="H184" s="22" t="n">
        <v>-98</v>
      </c>
      <c r="I184" s="22" t="n">
        <v>-16</v>
      </c>
      <c r="J184" s="22" t="n">
        <v>-25</v>
      </c>
      <c r="K184" s="22" t="n">
        <v>-66</v>
      </c>
      <c r="L184" s="22" t="n">
        <v>-76</v>
      </c>
      <c r="M184" s="22" t="n">
        <v>-22</v>
      </c>
      <c r="N184" s="22" t="n">
        <v>-62</v>
      </c>
      <c r="O184" s="22" t="n">
        <v>-57</v>
      </c>
      <c r="P184" s="22" t="n">
        <v>-135</v>
      </c>
      <c r="Q184" s="22" t="n">
        <v>-268</v>
      </c>
      <c r="R184" s="22" t="n">
        <v>-404</v>
      </c>
      <c r="S184" s="22" t="n">
        <v>-402</v>
      </c>
      <c r="T184" s="22" t="n">
        <v>-167</v>
      </c>
      <c r="U184" s="22" t="n">
        <v>-212</v>
      </c>
      <c r="V184" s="22" t="n">
        <v>-460</v>
      </c>
      <c r="W184" s="22" t="n">
        <v>-98</v>
      </c>
      <c r="X184" s="22" t="n">
        <v>-76</v>
      </c>
    </row>
    <row r="185">
      <c r="A185" s="20" t="inlineStr">
        <is>
          <t>투자유가증권 취득</t>
        </is>
      </c>
      <c r="C185" s="22" t="n">
        <v>-10</v>
      </c>
      <c r="D185" s="22" t="n">
        <v>-10</v>
      </c>
      <c r="E185" s="22" t="n">
        <v>-1</v>
      </c>
      <c r="F185" s="22" t="n">
        <v>-1</v>
      </c>
      <c r="G185" s="22" t="n">
        <v>-2</v>
      </c>
      <c r="H185" s="22" t="n">
        <v>-2</v>
      </c>
      <c r="I185" s="22" t="n">
        <v>-0</v>
      </c>
      <c r="J185" s="22" t="n">
        <v>-0</v>
      </c>
      <c r="K185" s="22" t="n">
        <v>-1</v>
      </c>
      <c r="L185" s="22" t="n">
        <v>-1</v>
      </c>
      <c r="M185" s="22" t="n">
        <v>-7</v>
      </c>
      <c r="N185" s="22" t="n">
        <v>-7</v>
      </c>
      <c r="O185" s="22" t="n">
        <v>-424</v>
      </c>
      <c r="P185" s="22" t="n">
        <v>-452</v>
      </c>
      <c r="Q185" s="22" t="n">
        <v>-123</v>
      </c>
      <c r="R185" s="22" t="n">
        <v>-3280</v>
      </c>
      <c r="S185" s="22" t="n">
        <v>-9390</v>
      </c>
      <c r="T185" s="22" t="n">
        <v>-15</v>
      </c>
      <c r="U185" s="22" t="n">
        <v>-2</v>
      </c>
      <c r="V185" s="22" t="n">
        <v>-10</v>
      </c>
      <c r="W185" s="22" t="n">
        <v>-2</v>
      </c>
      <c r="X185" s="22" t="n">
        <v>-1</v>
      </c>
    </row>
    <row r="186">
      <c r="A186" s="20" t="inlineStr">
        <is>
          <t>투자유가증권 매각</t>
        </is>
      </c>
      <c r="C186" s="22" t="n">
        <v>5</v>
      </c>
      <c r="D186" s="22" t="n">
        <v>5</v>
      </c>
      <c r="G186" s="22" t="n">
        <v>0</v>
      </c>
      <c r="H186" s="22" t="n">
        <v>0</v>
      </c>
      <c r="O186" s="22" t="n">
        <v>60</v>
      </c>
      <c r="P186" s="22" t="n">
        <v>53</v>
      </c>
      <c r="Q186" s="22" t="n">
        <v>0</v>
      </c>
      <c r="S186" s="22" t="n">
        <v>0</v>
      </c>
      <c r="T186" s="22" t="n">
        <v>303</v>
      </c>
      <c r="U186" s="22" t="n">
        <v>0</v>
      </c>
      <c r="V186" s="22" t="n">
        <v>5</v>
      </c>
      <c r="W186" s="22" t="n">
        <v>0</v>
      </c>
    </row>
    <row r="187">
      <c r="A187" s="20" t="inlineStr">
        <is>
          <t>투자유가증권 상환</t>
        </is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200</v>
      </c>
      <c r="H187" s="22" t="n">
        <v>1800</v>
      </c>
      <c r="I187" s="22" t="n">
        <v>1000</v>
      </c>
      <c r="J187" s="22" t="n">
        <v>1000</v>
      </c>
      <c r="K187" s="22" t="n">
        <v>2000</v>
      </c>
      <c r="L187" s="22" t="n">
        <v>4123</v>
      </c>
      <c r="M187" s="22" t="n">
        <v>1100</v>
      </c>
      <c r="N187" s="22" t="n">
        <v>1100</v>
      </c>
      <c r="O187" s="22" t="n">
        <v>500</v>
      </c>
      <c r="P187" s="22" t="n">
        <v>0</v>
      </c>
      <c r="V187" s="22" t="n">
        <v>0</v>
      </c>
      <c r="W187" s="22" t="n">
        <v>1800</v>
      </c>
      <c r="X187" s="22" t="n">
        <v>4123</v>
      </c>
    </row>
    <row r="188">
      <c r="A188" s="20" t="inlineStr">
        <is>
          <t>회원권 매각 수입</t>
        </is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38</v>
      </c>
      <c r="I188" s="22" t="n">
        <v>5</v>
      </c>
      <c r="J188" s="22" t="n">
        <v>6</v>
      </c>
      <c r="K188" s="22" t="n">
        <v>6</v>
      </c>
      <c r="L188" s="22" t="n">
        <v>16</v>
      </c>
      <c r="M188" s="22" t="n">
        <v>13</v>
      </c>
      <c r="N188" s="22" t="n">
        <v>28</v>
      </c>
      <c r="V188" s="22" t="n">
        <v>0</v>
      </c>
      <c r="W188" s="22" t="n">
        <v>38</v>
      </c>
      <c r="X188" s="22" t="n">
        <v>16</v>
      </c>
    </row>
    <row r="189">
      <c r="A189" s="20" t="inlineStr">
        <is>
          <t>관계회사 청산 수입</t>
        </is>
      </c>
      <c r="C189" s="22" t="n">
        <v>30</v>
      </c>
      <c r="D189" s="22" t="n">
        <v>30</v>
      </c>
      <c r="F189" s="22" t="n">
        <v>0</v>
      </c>
      <c r="G189" s="22" t="n">
        <v>0</v>
      </c>
      <c r="H189" s="22" t="n">
        <v>0</v>
      </c>
      <c r="L189" s="22" t="n">
        <v>0</v>
      </c>
      <c r="U189" s="22" t="n">
        <v>0</v>
      </c>
      <c r="V189" s="22" t="n">
        <v>30</v>
      </c>
      <c r="W189" s="22" t="n">
        <v>0</v>
      </c>
      <c r="X189" s="22" t="n">
        <v>0</v>
      </c>
    </row>
    <row r="190">
      <c r="A190" s="20" t="inlineStr">
        <is>
          <t>임차보증금·보증금 납입</t>
        </is>
      </c>
      <c r="C190" s="22" t="n">
        <v>-164</v>
      </c>
      <c r="D190" s="22" t="n">
        <v>-168</v>
      </c>
      <c r="E190" s="22" t="n">
        <v>-40</v>
      </c>
      <c r="F190" s="22" t="n">
        <v>-242</v>
      </c>
      <c r="G190" s="22" t="n">
        <v>-257</v>
      </c>
      <c r="H190" s="22" t="n">
        <v>-259</v>
      </c>
      <c r="I190" s="22" t="n">
        <v>-11</v>
      </c>
      <c r="J190" s="22" t="n">
        <v>-12</v>
      </c>
      <c r="K190" s="22" t="n">
        <v>-17</v>
      </c>
      <c r="L190" s="22" t="n">
        <v>-48</v>
      </c>
      <c r="M190" s="22" t="n">
        <v>-0</v>
      </c>
      <c r="N190" s="22" t="n">
        <v>-0</v>
      </c>
      <c r="O190" s="22" t="n">
        <v>-202</v>
      </c>
      <c r="P190" s="22" t="n">
        <v>-186</v>
      </c>
      <c r="Q190" s="22" t="n">
        <v>-298</v>
      </c>
      <c r="R190" s="22" t="n">
        <v>-273</v>
      </c>
      <c r="S190" s="22" t="n">
        <v>-225</v>
      </c>
      <c r="T190" s="22" t="n">
        <v>-60</v>
      </c>
      <c r="U190" s="22" t="n">
        <v>-272</v>
      </c>
      <c r="V190" s="22" t="n">
        <v>-168</v>
      </c>
      <c r="W190" s="22" t="n">
        <v>-259</v>
      </c>
      <c r="X190" s="22" t="n">
        <v>-48</v>
      </c>
    </row>
    <row r="191">
      <c r="A191" s="20" t="inlineStr">
        <is>
          <t>임차보증금·보증금 회수</t>
        </is>
      </c>
      <c r="C191" s="22" t="n">
        <v>66</v>
      </c>
      <c r="D191" s="22" t="n">
        <v>87</v>
      </c>
      <c r="E191" s="22" t="n">
        <v>173</v>
      </c>
      <c r="F191" s="22" t="n">
        <v>200</v>
      </c>
      <c r="G191" s="22" t="n">
        <v>413</v>
      </c>
      <c r="H191" s="22" t="n">
        <v>423</v>
      </c>
      <c r="I191" s="22" t="n">
        <v>84</v>
      </c>
      <c r="J191" s="22" t="n">
        <v>93</v>
      </c>
      <c r="K191" s="22" t="n">
        <v>94</v>
      </c>
      <c r="L191" s="22" t="n">
        <v>126</v>
      </c>
      <c r="M191" s="22" t="n">
        <v>37</v>
      </c>
      <c r="N191" s="22" t="n">
        <v>38</v>
      </c>
      <c r="O191" s="22" t="n">
        <v>52</v>
      </c>
      <c r="P191" s="22" t="n">
        <v>134</v>
      </c>
      <c r="Q191" s="22" t="n">
        <v>51</v>
      </c>
      <c r="R191" s="22" t="n">
        <v>244</v>
      </c>
      <c r="S191" s="22" t="n">
        <v>103</v>
      </c>
      <c r="T191" s="22" t="n">
        <v>108</v>
      </c>
      <c r="U191" s="22" t="n">
        <v>55</v>
      </c>
      <c r="V191" s="22" t="n">
        <v>87</v>
      </c>
      <c r="W191" s="22" t="n">
        <v>423</v>
      </c>
      <c r="X191" s="22" t="n">
        <v>126</v>
      </c>
    </row>
    <row r="192">
      <c r="A192" s="20" t="inlineStr">
        <is>
          <t>자산복구부채 이행 지출</t>
        </is>
      </c>
      <c r="C192" s="22" t="n">
        <v>-5</v>
      </c>
      <c r="D192" s="22" t="n">
        <v>-99</v>
      </c>
      <c r="E192" s="22" t="n">
        <v>-8</v>
      </c>
      <c r="F192" s="22" t="n">
        <v>-228</v>
      </c>
      <c r="G192" s="22" t="n">
        <v>-250</v>
      </c>
      <c r="H192" s="22" t="n">
        <v>-271</v>
      </c>
      <c r="I192" s="22" t="n">
        <v>-10</v>
      </c>
      <c r="J192" s="22" t="n">
        <v>-10</v>
      </c>
      <c r="K192" s="22" t="n">
        <v>-28</v>
      </c>
      <c r="L192" s="22" t="n">
        <v>-28</v>
      </c>
      <c r="M192" s="22" t="n">
        <v>0</v>
      </c>
      <c r="N192" s="22" t="n">
        <v>0</v>
      </c>
      <c r="O192" s="22" t="n">
        <v>-11</v>
      </c>
      <c r="P192" s="22" t="n">
        <v>-310</v>
      </c>
      <c r="Q192" s="22" t="n">
        <v>-4</v>
      </c>
      <c r="R192" s="22" t="n">
        <v>-40</v>
      </c>
      <c r="S192" s="22" t="n">
        <v>-77</v>
      </c>
      <c r="T192" s="22" t="n">
        <v>-5</v>
      </c>
      <c r="U192" s="22" t="n">
        <v>-1</v>
      </c>
      <c r="V192" s="22" t="n">
        <v>-99</v>
      </c>
      <c r="W192" s="22" t="n">
        <v>-271</v>
      </c>
      <c r="X192" s="22" t="n">
        <v>-28</v>
      </c>
    </row>
    <row r="193">
      <c r="A193" s="20" t="inlineStr">
        <is>
          <t>Proceeds From Merger Inv CF</t>
        </is>
      </c>
      <c r="Q193" s="22" t="n">
        <v>0</v>
      </c>
      <c r="R193" s="22" t="n">
        <v>87</v>
      </c>
      <c r="S193" s="22" t="n">
        <v>0</v>
      </c>
    </row>
    <row r="194">
      <c r="A194" s="20" t="inlineStr">
        <is>
          <t>기타</t>
        </is>
      </c>
      <c r="C194" s="22" t="n">
        <v>1</v>
      </c>
      <c r="D194" s="22" t="n">
        <v>1</v>
      </c>
      <c r="E194" s="22" t="n">
        <v>0</v>
      </c>
      <c r="F194" s="22" t="n">
        <v>2</v>
      </c>
      <c r="G194" s="22" t="n">
        <v>22</v>
      </c>
      <c r="H194" s="22" t="n">
        <v>22</v>
      </c>
      <c r="I194" s="22" t="n">
        <v>7</v>
      </c>
      <c r="J194" s="22" t="n">
        <v>20</v>
      </c>
      <c r="K194" s="22" t="n">
        <v>20</v>
      </c>
      <c r="L194" s="22" t="n">
        <v>25</v>
      </c>
      <c r="M194" s="22" t="n">
        <v>0</v>
      </c>
      <c r="N194" s="22" t="n">
        <v>-0</v>
      </c>
      <c r="O194" s="22" t="n">
        <v>2</v>
      </c>
      <c r="P194" s="22" t="n">
        <v>16</v>
      </c>
      <c r="Q194" s="22" t="n">
        <v>33</v>
      </c>
      <c r="R194" s="22" t="n">
        <v>32</v>
      </c>
      <c r="S194" s="22" t="n">
        <v>113</v>
      </c>
      <c r="T194" s="22" t="n">
        <v>30</v>
      </c>
      <c r="U194" s="22" t="n">
        <v>13</v>
      </c>
      <c r="V194" s="22" t="n">
        <v>1</v>
      </c>
      <c r="W194" s="22" t="n">
        <v>22</v>
      </c>
      <c r="X194" s="22" t="n">
        <v>25</v>
      </c>
    </row>
    <row r="195">
      <c r="A195" s="9" t="inlineStr">
        <is>
          <t>투자활동 현금흐름</t>
        </is>
      </c>
      <c r="C195" s="12" t="n">
        <v>-9271</v>
      </c>
      <c r="D195" s="12" t="n">
        <v>-9987</v>
      </c>
      <c r="E195" s="12" t="n">
        <v>-102</v>
      </c>
      <c r="F195" s="12" t="n">
        <v>-963</v>
      </c>
      <c r="G195" s="12" t="n">
        <v>-1293</v>
      </c>
      <c r="H195" s="12" t="n">
        <v>-288</v>
      </c>
      <c r="I195" s="12" t="n">
        <v>276</v>
      </c>
      <c r="J195" s="12" t="n">
        <v>-280</v>
      </c>
      <c r="K195" s="12" t="n">
        <v>75</v>
      </c>
      <c r="L195" s="12" t="n">
        <v>1779</v>
      </c>
      <c r="M195" s="12" t="n">
        <v>670</v>
      </c>
      <c r="N195" s="12" t="n">
        <v>416</v>
      </c>
      <c r="O195" s="12" t="n">
        <v>-1458</v>
      </c>
      <c r="P195" s="12" t="n">
        <v>-2037</v>
      </c>
      <c r="Q195" s="12" t="n">
        <v>-2055</v>
      </c>
      <c r="R195" s="12" t="n">
        <v>11531</v>
      </c>
      <c r="S195" s="12" t="n">
        <v>-11592</v>
      </c>
      <c r="T195" s="12" t="n">
        <v>-1422</v>
      </c>
      <c r="U195" s="12" t="n">
        <v>-2045</v>
      </c>
      <c r="V195" s="12" t="n">
        <v>-9987</v>
      </c>
      <c r="W195" s="12" t="n">
        <v>-288</v>
      </c>
      <c r="X195" s="12" t="n">
        <v>1779</v>
      </c>
    </row>
    <row r="196">
      <c r="A196" s="20" t="inlineStr">
        <is>
          <t>단기차입금 순증감</t>
        </is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3000</v>
      </c>
      <c r="I196" s="22" t="n">
        <v>-3000</v>
      </c>
      <c r="J196" s="22" t="n">
        <v>-3000</v>
      </c>
      <c r="K196" s="22" t="n">
        <v>-3000</v>
      </c>
      <c r="L196" s="22" t="n">
        <v>-3000</v>
      </c>
      <c r="M196" s="22" t="n">
        <v>0</v>
      </c>
      <c r="N196" s="22" t="n">
        <v>0</v>
      </c>
      <c r="V196" s="22" t="n">
        <v>0</v>
      </c>
      <c r="W196" s="22" t="n">
        <v>3000</v>
      </c>
      <c r="X196" s="22" t="n">
        <v>-3000</v>
      </c>
    </row>
    <row r="197">
      <c r="A197" s="20" t="inlineStr">
        <is>
          <t>장기차입</t>
        </is>
      </c>
      <c r="C197" s="22" t="n">
        <v>5000</v>
      </c>
      <c r="D197" s="22" t="n">
        <v>5000</v>
      </c>
      <c r="F197" s="22" t="n">
        <v>0</v>
      </c>
      <c r="G197" s="22" t="n">
        <v>0</v>
      </c>
      <c r="H197" s="22" t="n">
        <v>0</v>
      </c>
      <c r="U197" s="22" t="n">
        <v>0</v>
      </c>
      <c r="V197" s="22" t="n">
        <v>5000</v>
      </c>
      <c r="W197" s="22" t="n">
        <v>0</v>
      </c>
    </row>
    <row r="198">
      <c r="A198" s="20" t="inlineStr">
        <is>
          <t>장기차입금 상환</t>
        </is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-208</v>
      </c>
      <c r="H198" s="22" t="n">
        <v>-416</v>
      </c>
      <c r="I198" s="22" t="n">
        <v>-208</v>
      </c>
      <c r="J198" s="22" t="n">
        <v>-416</v>
      </c>
      <c r="K198" s="22" t="n">
        <v>-625</v>
      </c>
      <c r="L198" s="22" t="n">
        <v>-833</v>
      </c>
      <c r="M198" s="22" t="n">
        <v>-208</v>
      </c>
      <c r="N198" s="22" t="n">
        <v>-416</v>
      </c>
      <c r="V198" s="22" t="n">
        <v>0</v>
      </c>
      <c r="W198" s="22" t="n">
        <v>-416</v>
      </c>
      <c r="X198" s="22" t="n">
        <v>-833</v>
      </c>
    </row>
    <row r="199">
      <c r="A199" s="20" t="inlineStr">
        <is>
          <t>리스부채 상환</t>
        </is>
      </c>
      <c r="C199" s="22" t="n">
        <v>-10</v>
      </c>
      <c r="D199" s="22" t="n">
        <v>-11</v>
      </c>
      <c r="E199" s="22" t="n">
        <v>-0</v>
      </c>
      <c r="F199" s="22" t="n">
        <v>-1</v>
      </c>
      <c r="G199" s="22" t="n">
        <v>-4</v>
      </c>
      <c r="H199" s="22" t="n">
        <v>-5</v>
      </c>
      <c r="I199" s="22" t="n">
        <v>-0</v>
      </c>
      <c r="J199" s="22" t="n">
        <v>-0</v>
      </c>
      <c r="K199" s="22" t="n">
        <v>-1</v>
      </c>
      <c r="L199" s="22" t="n">
        <v>-1</v>
      </c>
      <c r="M199" s="22" t="n">
        <v>-0</v>
      </c>
      <c r="N199" s="22" t="n">
        <v>-0</v>
      </c>
      <c r="O199" s="22" t="n">
        <v>-111</v>
      </c>
      <c r="P199" s="22" t="n">
        <v>-72</v>
      </c>
      <c r="Q199" s="22" t="n">
        <v>-19</v>
      </c>
      <c r="R199" s="22" t="n">
        <v>-21</v>
      </c>
      <c r="S199" s="22" t="n">
        <v>-19</v>
      </c>
      <c r="T199" s="22" t="n">
        <v>-19</v>
      </c>
      <c r="U199" s="22" t="n">
        <v>-16</v>
      </c>
      <c r="V199" s="22" t="n">
        <v>-11</v>
      </c>
      <c r="W199" s="22" t="n">
        <v>-5</v>
      </c>
      <c r="X199" s="22" t="n">
        <v>-1</v>
      </c>
    </row>
    <row r="200">
      <c r="A200" s="20" t="inlineStr">
        <is>
          <t>자기주식 취득 예탁금 증감</t>
        </is>
      </c>
      <c r="O200" s="22" t="n">
        <v>873</v>
      </c>
      <c r="P200" s="22" t="n">
        <v>0</v>
      </c>
      <c r="Q200" s="22" t="n">
        <v>-0</v>
      </c>
      <c r="R200" s="22" t="n">
        <v>0</v>
      </c>
      <c r="S200" s="22" t="n">
        <v>0</v>
      </c>
      <c r="T200" s="22" t="n">
        <v>0</v>
      </c>
    </row>
    <row r="201">
      <c r="A201" s="20" t="inlineStr">
        <is>
          <t>자기주식 취득</t>
        </is>
      </c>
      <c r="C201" s="22" t="n">
        <v>-1</v>
      </c>
      <c r="D201" s="22" t="n">
        <v>-2</v>
      </c>
      <c r="E201" s="22" t="n">
        <v>-0</v>
      </c>
      <c r="F201" s="22" t="n">
        <v>-1</v>
      </c>
      <c r="G201" s="22" t="n">
        <v>-1</v>
      </c>
      <c r="H201" s="22" t="n">
        <v>-2</v>
      </c>
      <c r="I201" s="22" t="n">
        <v>-0</v>
      </c>
      <c r="J201" s="22" t="n">
        <v>-0</v>
      </c>
      <c r="K201" s="22" t="n">
        <v>-1</v>
      </c>
      <c r="L201" s="22" t="n">
        <v>-1</v>
      </c>
      <c r="M201" s="22" t="n">
        <v>-0</v>
      </c>
      <c r="N201" s="22" t="n">
        <v>-0</v>
      </c>
      <c r="O201" s="22" t="n">
        <v>-2433</v>
      </c>
      <c r="P201" s="22" t="n">
        <v>-1</v>
      </c>
      <c r="Q201" s="22" t="n">
        <v>-6002</v>
      </c>
      <c r="R201" s="22" t="n">
        <v>-2</v>
      </c>
      <c r="S201" s="22" t="n">
        <v>-2</v>
      </c>
      <c r="T201" s="22" t="n">
        <v>-4569</v>
      </c>
      <c r="U201" s="22" t="n">
        <v>-1</v>
      </c>
      <c r="V201" s="22" t="n">
        <v>-2</v>
      </c>
      <c r="W201" s="22" t="n">
        <v>-2</v>
      </c>
      <c r="X201" s="22" t="n">
        <v>-1</v>
      </c>
    </row>
    <row r="202">
      <c r="A202" s="20" t="inlineStr">
        <is>
          <t>자기주식 처분</t>
        </is>
      </c>
      <c r="P202" s="22" t="n">
        <v>0</v>
      </c>
      <c r="Q202" s="22" t="n">
        <v>2945</v>
      </c>
      <c r="R202" s="22" t="n">
        <v>0</v>
      </c>
    </row>
    <row r="203">
      <c r="A203" s="20" t="inlineStr">
        <is>
          <t>자기주식 매각</t>
        </is>
      </c>
      <c r="S203" s="22" t="n">
        <v>0</v>
      </c>
      <c r="T203" s="22" t="n">
        <v>0</v>
      </c>
      <c r="U203" s="22" t="n">
        <v>0</v>
      </c>
    </row>
    <row r="204">
      <c r="A204" s="20" t="inlineStr">
        <is>
          <t>배당금 지급</t>
        </is>
      </c>
      <c r="C204" s="22" t="n">
        <v>-1010</v>
      </c>
      <c r="D204" s="22" t="n">
        <v>-1037</v>
      </c>
      <c r="E204" s="22" t="n">
        <v>-493</v>
      </c>
      <c r="F204" s="22" t="n">
        <v>-519</v>
      </c>
      <c r="G204" s="22" t="n">
        <v>-1014</v>
      </c>
      <c r="H204" s="22" t="n">
        <v>-1039</v>
      </c>
      <c r="I204" s="22" t="n">
        <v>-595</v>
      </c>
      <c r="J204" s="22" t="n">
        <v>-622</v>
      </c>
      <c r="K204" s="22" t="n">
        <v>-1121</v>
      </c>
      <c r="L204" s="22" t="n">
        <v>-1142</v>
      </c>
      <c r="M204" s="22" t="n">
        <v>-501</v>
      </c>
      <c r="N204" s="22" t="n">
        <v>-521</v>
      </c>
      <c r="O204" s="22" t="n">
        <v>-438</v>
      </c>
      <c r="P204" s="22" t="n">
        <v>-522</v>
      </c>
      <c r="Q204" s="22" t="n">
        <v>-534</v>
      </c>
      <c r="R204" s="22" t="n">
        <v>-712</v>
      </c>
      <c r="S204" s="22" t="n">
        <v>-949</v>
      </c>
      <c r="T204" s="22" t="n">
        <v>-1053</v>
      </c>
      <c r="U204" s="22" t="n">
        <v>-831</v>
      </c>
      <c r="V204" s="22" t="n">
        <v>-1037</v>
      </c>
      <c r="W204" s="22" t="n">
        <v>-1039</v>
      </c>
      <c r="X204" s="22" t="n">
        <v>-1142</v>
      </c>
    </row>
    <row r="205">
      <c r="A205" s="9" t="inlineStr">
        <is>
          <t>재무활동 현금흐름</t>
        </is>
      </c>
      <c r="C205" s="12" t="n">
        <v>3977</v>
      </c>
      <c r="D205" s="12" t="n">
        <v>3948</v>
      </c>
      <c r="E205" s="12" t="n">
        <v>-494</v>
      </c>
      <c r="F205" s="12" t="n">
        <v>-522</v>
      </c>
      <c r="G205" s="12" t="n">
        <v>-1229</v>
      </c>
      <c r="H205" s="12" t="n">
        <v>1536</v>
      </c>
      <c r="I205" s="12" t="n">
        <v>-3804</v>
      </c>
      <c r="J205" s="12" t="n">
        <v>-4041</v>
      </c>
      <c r="K205" s="12" t="n">
        <v>-4748</v>
      </c>
      <c r="L205" s="12" t="n">
        <v>-4979</v>
      </c>
      <c r="M205" s="12" t="n">
        <v>-710</v>
      </c>
      <c r="N205" s="12" t="n">
        <v>-939</v>
      </c>
      <c r="O205" s="12" t="n">
        <v>-2110</v>
      </c>
      <c r="P205" s="12" t="n">
        <v>-595</v>
      </c>
      <c r="Q205" s="12" t="n">
        <v>-3609</v>
      </c>
      <c r="R205" s="12" t="n">
        <v>-735</v>
      </c>
      <c r="S205" s="12" t="n">
        <v>-971</v>
      </c>
      <c r="T205" s="12" t="n">
        <v>-5641</v>
      </c>
      <c r="U205" s="12" t="n">
        <v>-849</v>
      </c>
      <c r="V205" s="12" t="n">
        <v>3948</v>
      </c>
      <c r="W205" s="12" t="n">
        <v>1536</v>
      </c>
      <c r="X205" s="12" t="n">
        <v>-4979</v>
      </c>
    </row>
    <row r="206">
      <c r="A206" s="20" t="inlineStr">
        <is>
          <t>현금성자산 증감</t>
        </is>
      </c>
      <c r="C206" s="22" t="n">
        <v>-2787</v>
      </c>
      <c r="D206" s="22" t="n">
        <v>-3896</v>
      </c>
      <c r="E206" s="22" t="n">
        <v>4903</v>
      </c>
      <c r="F206" s="22" t="n">
        <v>2408</v>
      </c>
      <c r="G206" s="22" t="n">
        <v>660</v>
      </c>
      <c r="H206" s="22" t="n">
        <v>2726</v>
      </c>
      <c r="I206" s="22" t="n">
        <v>5931</v>
      </c>
      <c r="J206" s="22" t="n">
        <v>1757</v>
      </c>
      <c r="K206" s="22" t="n">
        <v>654</v>
      </c>
      <c r="L206" s="22" t="n">
        <v>281</v>
      </c>
      <c r="M206" s="22" t="n">
        <v>7654</v>
      </c>
      <c r="N206" s="22" t="n">
        <v>4037</v>
      </c>
      <c r="O206" s="22" t="n">
        <v>3690</v>
      </c>
      <c r="P206" s="22" t="n">
        <v>300</v>
      </c>
      <c r="Q206" s="22" t="n">
        <v>-1320</v>
      </c>
      <c r="R206" s="22" t="n">
        <v>12308</v>
      </c>
      <c r="S206" s="22" t="n">
        <v>-10646</v>
      </c>
      <c r="T206" s="22" t="n">
        <v>-636</v>
      </c>
      <c r="U206" s="22" t="n">
        <v>-569</v>
      </c>
      <c r="V206" s="22" t="n">
        <v>-3896</v>
      </c>
      <c r="W206" s="22" t="n">
        <v>2726</v>
      </c>
      <c r="X206" s="22" t="n">
        <v>281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9742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18901</v>
      </c>
      <c r="D5" s="12" t="n">
        <v>19431</v>
      </c>
      <c r="E5" s="12" t="n">
        <v>22217</v>
      </c>
      <c r="F5" s="12" t="n">
        <v>22721</v>
      </c>
      <c r="G5" s="12" t="n">
        <v>24408</v>
      </c>
      <c r="H5" s="11" t="n">
        <v>22323</v>
      </c>
      <c r="I5" s="12" t="n">
        <v>24924</v>
      </c>
      <c r="J5" s="12" t="n">
        <v>20283</v>
      </c>
      <c r="K5" s="12" t="n">
        <v>24764</v>
      </c>
      <c r="L5" s="12" t="n">
        <v>22217</v>
      </c>
    </row>
    <row r="6">
      <c r="A6" s="20" t="inlineStr">
        <is>
          <t>현금및현금성자산</t>
        </is>
      </c>
      <c r="B6" s="10" t="n"/>
      <c r="C6" s="21" t="n">
        <v>9963</v>
      </c>
      <c r="D6" s="22" t="n">
        <v>8860</v>
      </c>
      <c r="E6" s="22" t="n">
        <v>8487</v>
      </c>
      <c r="F6" s="22" t="n">
        <v>16141</v>
      </c>
      <c r="G6" s="22" t="n">
        <v>12511</v>
      </c>
      <c r="H6" s="21" t="n">
        <v>9945</v>
      </c>
      <c r="I6" s="22" t="n">
        <v>9376</v>
      </c>
      <c r="J6" s="22" t="n">
        <v>6479</v>
      </c>
      <c r="K6" s="22" t="n">
        <v>8205</v>
      </c>
      <c r="L6" s="22" t="n">
        <v>8487</v>
      </c>
    </row>
    <row r="7">
      <c r="A7" s="20" t="inlineStr">
        <is>
          <t>단기금융상품</t>
        </is>
      </c>
      <c r="B7" s="10" t="n"/>
      <c r="C7" s="21" t="n">
        <v>201</v>
      </c>
      <c r="D7" s="22" t="n">
        <v>1124</v>
      </c>
      <c r="E7" s="22" t="n">
        <v>100</v>
      </c>
      <c r="F7" s="22" t="n">
        <v>0</v>
      </c>
      <c r="G7" s="22" t="n">
        <v>1581</v>
      </c>
      <c r="H7" s="21" t="n">
        <v>2300</v>
      </c>
      <c r="I7" s="22" t="n">
        <v>2300</v>
      </c>
      <c r="J7" s="22" t="n">
        <v>0</v>
      </c>
      <c r="K7" s="22" t="n">
        <v>0</v>
      </c>
      <c r="L7" s="22" t="n">
        <v>100</v>
      </c>
    </row>
    <row r="8">
      <c r="A8" s="20" t="inlineStr">
        <is>
          <t>매출채권</t>
        </is>
      </c>
      <c r="B8" s="10" t="n"/>
      <c r="C8" s="21" t="n">
        <v>6837</v>
      </c>
      <c r="D8" s="22" t="n">
        <v>7582</v>
      </c>
      <c r="E8" s="22" t="n">
        <v>12574</v>
      </c>
      <c r="F8" s="22" t="n">
        <v>4866</v>
      </c>
      <c r="G8" s="22" t="n">
        <v>8638</v>
      </c>
      <c r="H8" s="21" t="n">
        <v>9323</v>
      </c>
      <c r="I8" s="22" t="n">
        <v>11960</v>
      </c>
      <c r="J8" s="22" t="n">
        <v>11855</v>
      </c>
      <c r="K8" s="22" t="n">
        <v>15473</v>
      </c>
      <c r="L8" s="22" t="n">
        <v>12574</v>
      </c>
    </row>
    <row r="9">
      <c r="A9" s="20" t="inlineStr">
        <is>
          <t>재고자산</t>
        </is>
      </c>
      <c r="B9" s="10" t="n"/>
      <c r="C9" s="21" t="n">
        <v>850</v>
      </c>
      <c r="D9" s="22" t="n">
        <v>1015</v>
      </c>
      <c r="E9" s="22" t="n">
        <v>363</v>
      </c>
      <c r="F9" s="22" t="n">
        <v>639</v>
      </c>
      <c r="G9" s="22" t="n">
        <v>843</v>
      </c>
      <c r="H9" s="21" t="n">
        <v>288</v>
      </c>
      <c r="I9" s="22" t="n">
        <v>334</v>
      </c>
      <c r="J9" s="22" t="n">
        <v>452</v>
      </c>
      <c r="K9" s="22" t="n">
        <v>454</v>
      </c>
      <c r="L9" s="22" t="n">
        <v>363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31768</v>
      </c>
      <c r="D11" s="12" t="n">
        <v>30125</v>
      </c>
      <c r="E11" s="12" t="n">
        <v>27143</v>
      </c>
      <c r="F11" s="12" t="n">
        <v>26021</v>
      </c>
      <c r="G11" s="12" t="n">
        <v>23755</v>
      </c>
      <c r="H11" s="11" t="n">
        <v>24504</v>
      </c>
      <c r="I11" s="12" t="n">
        <v>23599</v>
      </c>
      <c r="J11" s="12" t="n">
        <v>34143</v>
      </c>
      <c r="K11" s="12" t="n">
        <v>31963</v>
      </c>
      <c r="L11" s="12" t="n">
        <v>27143</v>
      </c>
    </row>
    <row r="12">
      <c r="A12" s="20" t="inlineStr">
        <is>
          <t>유형자산</t>
        </is>
      </c>
      <c r="B12" s="10" t="n"/>
      <c r="C12" s="21" t="n">
        <v>11419</v>
      </c>
      <c r="D12" s="22" t="n">
        <v>11339</v>
      </c>
      <c r="E12" s="22" t="n">
        <v>11318</v>
      </c>
      <c r="F12" s="22" t="n">
        <v>11192</v>
      </c>
      <c r="G12" s="22" t="n">
        <v>11097</v>
      </c>
      <c r="H12" s="21" t="n">
        <v>1878</v>
      </c>
      <c r="I12" s="22" t="n">
        <v>1600</v>
      </c>
      <c r="J12" s="22" t="n">
        <v>11764</v>
      </c>
      <c r="K12" s="22" t="n">
        <v>11654</v>
      </c>
      <c r="L12" s="22" t="n">
        <v>11318</v>
      </c>
    </row>
    <row r="13">
      <c r="A13" s="20" t="inlineStr">
        <is>
          <t>무형자산</t>
        </is>
      </c>
      <c r="B13" s="10" t="n"/>
      <c r="C13" s="21" t="n">
        <v>4085</v>
      </c>
      <c r="D13" s="22" t="n">
        <v>4405</v>
      </c>
      <c r="E13" s="22" t="n">
        <v>3369</v>
      </c>
      <c r="F13" s="22" t="n">
        <v>3102</v>
      </c>
      <c r="G13" s="22" t="n">
        <v>2453</v>
      </c>
      <c r="H13" s="21" t="n">
        <v>2680</v>
      </c>
      <c r="I13" s="22" t="n">
        <v>2265</v>
      </c>
      <c r="J13" s="22" t="n">
        <v>2522</v>
      </c>
      <c r="K13" s="22" t="n">
        <v>3238</v>
      </c>
      <c r="L13" s="22" t="n">
        <v>3369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50669</v>
      </c>
      <c r="D16" s="12" t="n">
        <v>49556</v>
      </c>
      <c r="E16" s="12" t="n">
        <v>49361</v>
      </c>
      <c r="F16" s="12" t="n">
        <v>48743</v>
      </c>
      <c r="G16" s="12" t="n">
        <v>48164</v>
      </c>
      <c r="H16" s="11" t="n">
        <v>46827</v>
      </c>
      <c r="I16" s="12" t="n">
        <v>48523</v>
      </c>
      <c r="J16" s="12" t="n">
        <v>54427</v>
      </c>
      <c r="K16" s="12" t="n">
        <v>56727</v>
      </c>
      <c r="L16" s="12" t="n">
        <v>49361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5875</v>
      </c>
      <c r="D18" s="12" t="n">
        <v>5336</v>
      </c>
      <c r="E18" s="12" t="n">
        <v>6930</v>
      </c>
      <c r="F18" s="12" t="n">
        <v>6914</v>
      </c>
      <c r="G18" s="12" t="n">
        <v>8727</v>
      </c>
      <c r="H18" s="11" t="n">
        <v>6117</v>
      </c>
      <c r="I18" s="12" t="n">
        <v>6414</v>
      </c>
      <c r="J18" s="12" t="n">
        <v>7601</v>
      </c>
      <c r="K18" s="12" t="n">
        <v>9965</v>
      </c>
      <c r="L18" s="12" t="n">
        <v>6930</v>
      </c>
    </row>
    <row r="19">
      <c r="A19" s="20" t="inlineStr">
        <is>
          <t>매입채무</t>
        </is>
      </c>
      <c r="B19" s="10" t="n"/>
      <c r="C19" s="21" t="n">
        <v>1733</v>
      </c>
      <c r="D19" s="22" t="n">
        <v>1563</v>
      </c>
      <c r="E19" s="22" t="n">
        <v>2612</v>
      </c>
      <c r="F19" s="22" t="n">
        <v>1599</v>
      </c>
      <c r="G19" s="22" t="n">
        <v>1563</v>
      </c>
      <c r="H19" s="21" t="n">
        <v>2153</v>
      </c>
      <c r="I19" s="22" t="n">
        <v>2006</v>
      </c>
      <c r="J19" s="22" t="n">
        <v>1909</v>
      </c>
      <c r="K19" s="22" t="n">
        <v>2639</v>
      </c>
      <c r="L19" s="22" t="n">
        <v>2612</v>
      </c>
    </row>
    <row r="20">
      <c r="A20" s="20" t="inlineStr">
        <is>
          <t>단기차입금</t>
        </is>
      </c>
      <c r="B20" s="10" t="n"/>
      <c r="C20" s="21" t="n">
        <v>0</v>
      </c>
      <c r="D20" s="22" t="n">
        <v>0</v>
      </c>
      <c r="E20" s="22" t="n">
        <v>0</v>
      </c>
      <c r="F20" s="22" t="n"/>
      <c r="G20" s="22" t="n"/>
      <c r="H20" s="21" t="n"/>
      <c r="I20" s="22" t="n"/>
      <c r="J20" s="22" t="n">
        <v>0</v>
      </c>
      <c r="K20" s="22" t="n">
        <v>3000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>
        <v>833</v>
      </c>
      <c r="D21" s="22" t="n">
        <v>833</v>
      </c>
      <c r="E21" s="22" t="n">
        <v>833</v>
      </c>
      <c r="F21" s="22" t="n">
        <v>833</v>
      </c>
      <c r="G21" s="22" t="n">
        <v>3332</v>
      </c>
      <c r="H21" s="21" t="n"/>
      <c r="I21" s="22" t="n">
        <v>0</v>
      </c>
      <c r="J21" s="22" t="n">
        <v>416</v>
      </c>
      <c r="K21" s="22" t="n">
        <v>833</v>
      </c>
      <c r="L21" s="22" t="n">
        <v>833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6660</v>
      </c>
      <c r="D23" s="12" t="n">
        <v>6450</v>
      </c>
      <c r="E23" s="12" t="n">
        <v>5464</v>
      </c>
      <c r="F23" s="12" t="n">
        <v>5288</v>
      </c>
      <c r="G23" s="12" t="n">
        <v>2481</v>
      </c>
      <c r="H23" s="11" t="n">
        <v>6089</v>
      </c>
      <c r="I23" s="12" t="n">
        <v>5822</v>
      </c>
      <c r="J23" s="12" t="n">
        <v>9035</v>
      </c>
      <c r="K23" s="12" t="n">
        <v>7569</v>
      </c>
      <c r="L23" s="12" t="n">
        <v>5464</v>
      </c>
    </row>
    <row r="24">
      <c r="A24" s="20" t="inlineStr">
        <is>
          <t>장기차입금</t>
        </is>
      </c>
      <c r="B24" s="10" t="n"/>
      <c r="C24" s="21" t="n">
        <v>3332</v>
      </c>
      <c r="D24" s="22" t="n">
        <v>3124</v>
      </c>
      <c r="E24" s="22" t="n">
        <v>2916</v>
      </c>
      <c r="F24" s="22" t="n">
        <v>2707</v>
      </c>
      <c r="G24" s="22" t="n">
        <v>0</v>
      </c>
      <c r="H24" s="21" t="n"/>
      <c r="I24" s="22" t="n">
        <v>0</v>
      </c>
      <c r="J24" s="22" t="n">
        <v>4583</v>
      </c>
      <c r="K24" s="22" t="n">
        <v>3749</v>
      </c>
      <c r="L24" s="22" t="n">
        <v>2916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12535</v>
      </c>
      <c r="D27" s="12" t="n">
        <v>11787</v>
      </c>
      <c r="E27" s="12" t="n">
        <v>12395</v>
      </c>
      <c r="F27" s="12" t="n">
        <v>12203</v>
      </c>
      <c r="G27" s="12" t="n">
        <v>11209</v>
      </c>
      <c r="H27" s="11" t="n">
        <v>12207</v>
      </c>
      <c r="I27" s="12" t="n">
        <v>12237</v>
      </c>
      <c r="J27" s="12" t="n">
        <v>16637</v>
      </c>
      <c r="K27" s="12" t="n">
        <v>17535</v>
      </c>
      <c r="L27" s="12" t="n">
        <v>12395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38134</v>
      </c>
      <c r="D31" s="12" t="n">
        <v>37769</v>
      </c>
      <c r="E31" s="12" t="n">
        <v>36966</v>
      </c>
      <c r="F31" s="12" t="n">
        <v>36540</v>
      </c>
      <c r="G31" s="12" t="n">
        <v>36954</v>
      </c>
      <c r="H31" s="11" t="n">
        <v>34620</v>
      </c>
      <c r="I31" s="12" t="n">
        <v>36286</v>
      </c>
      <c r="J31" s="12" t="n">
        <v>37790</v>
      </c>
      <c r="K31" s="12" t="n">
        <v>39192</v>
      </c>
      <c r="L31" s="12" t="n">
        <v>36966</v>
      </c>
    </row>
    <row r="32">
      <c r="A32" s="20" t="inlineStr">
        <is>
          <t>자본금</t>
        </is>
      </c>
      <c r="B32" s="10" t="n"/>
      <c r="C32" s="21" t="n">
        <v>15000</v>
      </c>
      <c r="D32" s="22" t="n">
        <v>15000</v>
      </c>
      <c r="E32" s="22" t="n">
        <v>15000</v>
      </c>
      <c r="F32" s="22" t="n">
        <v>15000</v>
      </c>
      <c r="G32" s="22" t="n">
        <v>15000</v>
      </c>
      <c r="H32" s="21" t="n">
        <v>15000</v>
      </c>
      <c r="I32" s="22" t="n">
        <v>15000</v>
      </c>
      <c r="J32" s="22" t="n">
        <v>15000</v>
      </c>
      <c r="K32" s="22" t="n">
        <v>15000</v>
      </c>
      <c r="L32" s="22" t="n">
        <v>15000</v>
      </c>
    </row>
    <row r="33">
      <c r="A33" s="20" t="inlineStr">
        <is>
          <t>이익잉여금</t>
        </is>
      </c>
      <c r="B33" s="10" t="n"/>
      <c r="C33" s="21" t="n">
        <v>12609</v>
      </c>
      <c r="D33" s="22" t="n">
        <v>12225</v>
      </c>
      <c r="E33" s="22" t="n">
        <v>10847</v>
      </c>
      <c r="F33" s="22" t="n">
        <v>10247</v>
      </c>
      <c r="G33" s="22" t="n">
        <v>10582</v>
      </c>
      <c r="H33" s="21" t="n">
        <v>9973</v>
      </c>
      <c r="I33" s="22" t="n">
        <v>11682</v>
      </c>
      <c r="J33" s="22" t="n">
        <v>12438</v>
      </c>
      <c r="K33" s="22" t="n">
        <v>13835</v>
      </c>
      <c r="L33" s="22" t="n">
        <v>10847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38134</v>
      </c>
      <c r="D35" s="12" t="n">
        <v>37769</v>
      </c>
      <c r="E35" s="12" t="n">
        <v>36966</v>
      </c>
      <c r="F35" s="12" t="n">
        <v>36540</v>
      </c>
      <c r="G35" s="12" t="n">
        <v>36954</v>
      </c>
      <c r="H35" s="11" t="n">
        <v>34620</v>
      </c>
      <c r="I35" s="12" t="n">
        <v>36286</v>
      </c>
      <c r="J35" s="12" t="n">
        <v>37790</v>
      </c>
      <c r="K35" s="12" t="n">
        <v>39192</v>
      </c>
      <c r="L35" s="12" t="n">
        <v>36966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3664</v>
      </c>
      <c r="D37" s="12" t="n">
        <v>3621</v>
      </c>
      <c r="E37" s="12" t="n">
        <v>3480</v>
      </c>
      <c r="F37" s="12" t="n">
        <v>1715</v>
      </c>
      <c r="G37" s="12" t="n">
        <v>1961</v>
      </c>
      <c r="H37" s="11" t="n">
        <v>6427</v>
      </c>
      <c r="I37" s="12" t="n">
        <v>2325</v>
      </c>
      <c r="J37" s="12" t="n">
        <v>2142</v>
      </c>
      <c r="K37" s="12" t="n">
        <v>1478</v>
      </c>
      <c r="L37" s="12" t="n">
        <v>3480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2662</v>
      </c>
      <c r="D38" s="22" t="n">
        <v>2529</v>
      </c>
      <c r="E38" s="22" t="n">
        <v>2382</v>
      </c>
      <c r="F38" s="22" t="n">
        <v>2026</v>
      </c>
      <c r="G38" s="22" t="n">
        <v>1697</v>
      </c>
      <c r="H38" s="21" t="n">
        <v>1636</v>
      </c>
      <c r="I38" s="22" t="n">
        <v>1625</v>
      </c>
      <c r="J38" s="22" t="n">
        <v>10674</v>
      </c>
      <c r="K38" s="22" t="n">
        <v>2940</v>
      </c>
      <c r="L38" s="22" t="n">
        <v>2382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1142</v>
      </c>
      <c r="D40" s="22" t="n">
        <v>1146</v>
      </c>
      <c r="E40" s="22" t="n">
        <v>1142</v>
      </c>
      <c r="F40" s="22" t="n">
        <v>1048</v>
      </c>
      <c r="G40" s="22" t="n">
        <v>1041</v>
      </c>
      <c r="H40" s="21" t="n">
        <v>1053</v>
      </c>
      <c r="I40" s="22" t="n">
        <v>831</v>
      </c>
      <c r="J40" s="22" t="n">
        <v>1037</v>
      </c>
      <c r="K40" s="22" t="n">
        <v>1039</v>
      </c>
      <c r="L40" s="22" t="n">
        <v>1142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9963</v>
      </c>
      <c r="D71" s="22" t="n">
        <v>8860</v>
      </c>
      <c r="E71" s="22" t="n">
        <v>8487</v>
      </c>
      <c r="F71" s="22" t="n">
        <v>16141</v>
      </c>
      <c r="G71" s="22" t="n">
        <v>12511</v>
      </c>
      <c r="H71" s="22" t="n">
        <v>9945</v>
      </c>
      <c r="I71" s="22" t="n">
        <v>9376</v>
      </c>
      <c r="J71" s="22" t="n">
        <v>6479</v>
      </c>
      <c r="K71" s="22" t="n">
        <v>8205</v>
      </c>
      <c r="L71" s="22" t="n">
        <v>8487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받을어음·매출채권·계약자산</t>
        </is>
      </c>
      <c r="C73" s="22" t="n">
        <v>6837</v>
      </c>
      <c r="D73" s="22" t="n">
        <v>7582</v>
      </c>
      <c r="E73" s="22" t="n">
        <v>12574</v>
      </c>
      <c r="F73" s="22" t="n">
        <v>4866</v>
      </c>
      <c r="G73" s="22" t="n">
        <v>8638</v>
      </c>
      <c r="H73" s="22" t="n">
        <v>9323</v>
      </c>
      <c r="I73" s="22" t="n">
        <v>11960</v>
      </c>
      <c r="J73" s="22" t="n">
        <v>11855</v>
      </c>
      <c r="K73" s="22" t="n">
        <v>15473</v>
      </c>
      <c r="L73" s="22" t="n">
        <v>12574</v>
      </c>
    </row>
    <row r="74">
      <c r="A74" s="20" t="inlineStr">
        <is>
          <t>유가증권</t>
        </is>
      </c>
      <c r="C74" s="22" t="n">
        <v>201</v>
      </c>
      <c r="D74" s="22" t="n">
        <v>1124</v>
      </c>
      <c r="E74" s="22" t="n">
        <v>100</v>
      </c>
      <c r="F74" s="22" t="n">
        <v>0</v>
      </c>
      <c r="G74" s="22" t="n">
        <v>1581</v>
      </c>
      <c r="H74" s="22" t="n">
        <v>2300</v>
      </c>
      <c r="I74" s="22" t="n">
        <v>2300</v>
      </c>
      <c r="J74" s="22" t="n">
        <v>0</v>
      </c>
      <c r="K74" s="22" t="n">
        <v>0</v>
      </c>
      <c r="L74" s="22" t="n">
        <v>100</v>
      </c>
    </row>
    <row r="75">
      <c r="A75" s="20" t="inlineStr">
        <is>
          <t>재공품</t>
        </is>
      </c>
      <c r="C75" s="22" t="n">
        <v>796</v>
      </c>
      <c r="D75" s="22" t="n">
        <v>969</v>
      </c>
      <c r="E75" s="22" t="n">
        <v>282</v>
      </c>
      <c r="F75" s="22" t="n">
        <v>553</v>
      </c>
      <c r="G75" s="22" t="n">
        <v>780</v>
      </c>
      <c r="H75" s="22" t="n">
        <v>210</v>
      </c>
      <c r="I75" s="22" t="n">
        <v>268</v>
      </c>
      <c r="J75" s="22" t="n">
        <v>383</v>
      </c>
      <c r="K75" s="22" t="n">
        <v>399</v>
      </c>
      <c r="L75" s="22" t="n">
        <v>282</v>
      </c>
    </row>
    <row r="76">
      <c r="A76" s="20" t="inlineStr">
        <is>
          <t>원재료·저장품</t>
        </is>
      </c>
      <c r="C76" s="22" t="n">
        <v>54</v>
      </c>
      <c r="D76" s="22" t="n">
        <v>46</v>
      </c>
      <c r="E76" s="22" t="n">
        <v>81</v>
      </c>
      <c r="F76" s="22" t="n">
        <v>86</v>
      </c>
      <c r="G76" s="22" t="n">
        <v>63</v>
      </c>
      <c r="H76" s="22" t="n">
        <v>78</v>
      </c>
      <c r="I76" s="22" t="n">
        <v>66</v>
      </c>
      <c r="J76" s="22" t="n">
        <v>69</v>
      </c>
      <c r="K76" s="22" t="n">
        <v>55</v>
      </c>
      <c r="L76" s="22" t="n">
        <v>81</v>
      </c>
    </row>
    <row r="77">
      <c r="A77" s="20" t="inlineStr">
        <is>
          <t>선급비용</t>
        </is>
      </c>
      <c r="C77" s="22" t="n">
        <v>766</v>
      </c>
      <c r="D77" s="22" t="n">
        <v>563</v>
      </c>
      <c r="E77" s="22" t="n">
        <v>572</v>
      </c>
      <c r="F77" s="22" t="n">
        <v>969</v>
      </c>
      <c r="G77" s="22" t="n">
        <v>786</v>
      </c>
      <c r="H77" s="22" t="n">
        <v>436</v>
      </c>
      <c r="I77" s="22" t="n">
        <v>454</v>
      </c>
      <c r="J77" s="22" t="n">
        <v>431</v>
      </c>
      <c r="K77" s="22" t="n">
        <v>505</v>
      </c>
      <c r="L77" s="22" t="n">
        <v>572</v>
      </c>
    </row>
    <row r="78">
      <c r="A78" s="20" t="inlineStr">
        <is>
          <t>기타</t>
        </is>
      </c>
      <c r="C78" s="22" t="n">
        <v>290</v>
      </c>
      <c r="D78" s="22" t="n">
        <v>292</v>
      </c>
      <c r="E78" s="22" t="n">
        <v>132</v>
      </c>
      <c r="F78" s="22" t="n">
        <v>108</v>
      </c>
      <c r="G78" s="22" t="n">
        <v>54</v>
      </c>
      <c r="H78" s="22" t="n">
        <v>41</v>
      </c>
      <c r="I78" s="22" t="n">
        <v>514</v>
      </c>
      <c r="J78" s="22" t="n">
        <v>1084</v>
      </c>
      <c r="K78" s="22" t="n">
        <v>139</v>
      </c>
      <c r="L78" s="22" t="n">
        <v>132</v>
      </c>
    </row>
    <row r="79">
      <c r="A79" s="20" t="inlineStr">
        <is>
          <t>대손충당금</t>
        </is>
      </c>
      <c r="C79" s="22" t="n">
        <v>-7</v>
      </c>
      <c r="D79" s="22" t="n">
        <v>-8</v>
      </c>
      <c r="E79" s="22" t="n">
        <v>-13</v>
      </c>
      <c r="F79" s="22" t="n">
        <v>-6</v>
      </c>
      <c r="G79" s="22" t="n">
        <v>-9</v>
      </c>
      <c r="H79" s="22" t="n">
        <v>-13</v>
      </c>
      <c r="I79" s="22" t="n">
        <v>-16</v>
      </c>
      <c r="J79" s="22" t="n">
        <v>-19</v>
      </c>
      <c r="K79" s="22" t="n">
        <v>-15</v>
      </c>
      <c r="L79" s="22" t="n">
        <v>-13</v>
      </c>
    </row>
    <row r="80">
      <c r="A80" s="9" t="inlineStr">
        <is>
          <t>유동자산 합계</t>
        </is>
      </c>
      <c r="C80" s="12" t="n">
        <v>18901</v>
      </c>
      <c r="D80" s="12" t="n">
        <v>19431</v>
      </c>
      <c r="E80" s="12" t="n">
        <v>22217</v>
      </c>
      <c r="F80" s="12" t="n">
        <v>22721</v>
      </c>
      <c r="G80" s="12" t="n">
        <v>24408</v>
      </c>
      <c r="H80" s="12" t="n">
        <v>22323</v>
      </c>
      <c r="I80" s="12" t="n">
        <v>24924</v>
      </c>
      <c r="J80" s="12" t="n">
        <v>20283</v>
      </c>
      <c r="K80" s="12" t="n">
        <v>24764</v>
      </c>
      <c r="L80" s="12" t="n">
        <v>22217</v>
      </c>
    </row>
    <row r="81">
      <c r="A81" s="20" t="inlineStr">
        <is>
          <t>건물·구축물</t>
        </is>
      </c>
      <c r="C81" s="22" t="n">
        <v>6033</v>
      </c>
      <c r="D81" s="22" t="n">
        <v>6028</v>
      </c>
      <c r="E81" s="22" t="n">
        <v>6064</v>
      </c>
      <c r="F81" s="22" t="n">
        <v>6067</v>
      </c>
      <c r="G81" s="22" t="n">
        <v>6081</v>
      </c>
      <c r="H81" s="22" t="n">
        <v>3630</v>
      </c>
      <c r="I81" s="22" t="n">
        <v>3710</v>
      </c>
      <c r="J81" s="22" t="n">
        <v>1479</v>
      </c>
      <c r="K81" s="22" t="n">
        <v>5951</v>
      </c>
      <c r="L81" s="22" t="n">
        <v>6064</v>
      </c>
    </row>
    <row r="82">
      <c r="A82" s="20" t="inlineStr">
        <is>
          <t>감가상각누계액</t>
        </is>
      </c>
      <c r="C82" s="22" t="n">
        <v>-816</v>
      </c>
      <c r="D82" s="22" t="n">
        <v>-875</v>
      </c>
      <c r="E82" s="22" t="n">
        <v>-953</v>
      </c>
      <c r="F82" s="22" t="n">
        <v>-1031</v>
      </c>
      <c r="G82" s="22" t="n">
        <v>-1113</v>
      </c>
      <c r="H82" s="22" t="n">
        <v>-3003</v>
      </c>
      <c r="I82" s="22" t="n">
        <v>-3204</v>
      </c>
      <c r="J82" s="22" t="n">
        <v>-628</v>
      </c>
      <c r="K82" s="22" t="n">
        <v>-665</v>
      </c>
      <c r="L82" s="22" t="n">
        <v>-953</v>
      </c>
    </row>
    <row r="83">
      <c r="A83" s="20" t="inlineStr">
        <is>
          <t>건물·구축물(순액)</t>
        </is>
      </c>
      <c r="C83" s="22" t="n">
        <v>5216</v>
      </c>
      <c r="D83" s="22" t="n">
        <v>5152</v>
      </c>
      <c r="E83" s="22" t="n">
        <v>5110</v>
      </c>
      <c r="F83" s="22" t="n">
        <v>5035</v>
      </c>
      <c r="G83" s="22" t="n">
        <v>4967</v>
      </c>
      <c r="H83" s="22" t="n">
        <v>626</v>
      </c>
      <c r="I83" s="22" t="n">
        <v>506</v>
      </c>
      <c r="J83" s="22" t="n">
        <v>851</v>
      </c>
      <c r="K83" s="22" t="n">
        <v>5286</v>
      </c>
      <c r="L83" s="22" t="n">
        <v>5110</v>
      </c>
    </row>
    <row r="84">
      <c r="A84" s="20" t="inlineStr">
        <is>
          <t>공구·기구·비품</t>
        </is>
      </c>
      <c r="C84" s="22" t="n">
        <v>4016</v>
      </c>
      <c r="D84" s="22" t="n">
        <v>4058</v>
      </c>
      <c r="E84" s="22" t="n">
        <v>3995</v>
      </c>
      <c r="F84" s="22" t="n">
        <v>3923</v>
      </c>
      <c r="G84" s="22" t="n">
        <v>3905</v>
      </c>
      <c r="H84" s="22" t="n">
        <v>4676</v>
      </c>
      <c r="I84" s="22" t="n">
        <v>4583</v>
      </c>
      <c r="J84" s="22" t="n">
        <v>3996</v>
      </c>
      <c r="K84" s="22" t="n">
        <v>4020</v>
      </c>
      <c r="L84" s="22" t="n">
        <v>3995</v>
      </c>
    </row>
    <row r="85">
      <c r="A85" s="20" t="inlineStr">
        <is>
          <t>감가상각누계액</t>
        </is>
      </c>
      <c r="C85" s="22" t="n">
        <v>-3113</v>
      </c>
      <c r="D85" s="22" t="n">
        <v>-3171</v>
      </c>
      <c r="E85" s="22" t="n">
        <v>-3087</v>
      </c>
      <c r="F85" s="22" t="n">
        <v>-3066</v>
      </c>
      <c r="G85" s="22" t="n">
        <v>-3075</v>
      </c>
      <c r="H85" s="22" t="n">
        <v>-3427</v>
      </c>
      <c r="I85" s="22" t="n">
        <v>-3494</v>
      </c>
      <c r="J85" s="22" t="n">
        <v>-2971</v>
      </c>
      <c r="K85" s="22" t="n">
        <v>-2951</v>
      </c>
      <c r="L85" s="22" t="n">
        <v>-3087</v>
      </c>
    </row>
    <row r="86">
      <c r="A86" s="20" t="inlineStr">
        <is>
          <t>공구·기구·비품(순액)</t>
        </is>
      </c>
      <c r="C86" s="22" t="n">
        <v>903</v>
      </c>
      <c r="D86" s="22" t="n">
        <v>887</v>
      </c>
      <c r="E86" s="22" t="n">
        <v>907</v>
      </c>
      <c r="F86" s="22" t="n">
        <v>856</v>
      </c>
      <c r="G86" s="22" t="n">
        <v>830</v>
      </c>
      <c r="H86" s="22" t="n">
        <v>1248</v>
      </c>
      <c r="I86" s="22" t="n">
        <v>1089</v>
      </c>
      <c r="J86" s="22" t="n">
        <v>1025</v>
      </c>
      <c r="K86" s="22" t="n">
        <v>1068</v>
      </c>
      <c r="L86" s="22" t="n">
        <v>907</v>
      </c>
    </row>
    <row r="87">
      <c r="A87" s="20" t="inlineStr">
        <is>
          <t>토지</t>
        </is>
      </c>
      <c r="C87" s="22" t="n">
        <v>5299</v>
      </c>
      <c r="D87" s="22" t="n">
        <v>5299</v>
      </c>
      <c r="E87" s="22" t="n">
        <v>5299</v>
      </c>
      <c r="F87" s="22" t="n">
        <v>5299</v>
      </c>
      <c r="G87" s="22" t="n">
        <v>5299</v>
      </c>
      <c r="H87" s="22" t="n">
        <v>3</v>
      </c>
      <c r="I87" s="22" t="n">
        <v>3</v>
      </c>
      <c r="J87" s="22" t="n">
        <v>5299</v>
      </c>
      <c r="K87" s="22" t="n">
        <v>5299</v>
      </c>
      <c r="L87" s="22" t="n">
        <v>5299</v>
      </c>
    </row>
    <row r="88">
      <c r="A88" s="20" t="inlineStr">
        <is>
          <t>건설중인자산</t>
        </is>
      </c>
      <c r="H88" s="22" t="n">
        <v>0</v>
      </c>
      <c r="I88" s="22" t="n">
        <v>1</v>
      </c>
      <c r="J88" s="22" t="n">
        <v>4587</v>
      </c>
      <c r="K88" s="22" t="n">
        <v>0</v>
      </c>
    </row>
    <row r="89">
      <c r="A89" s="20" t="inlineStr">
        <is>
          <t>유형자산 합계</t>
        </is>
      </c>
      <c r="C89" s="22" t="n">
        <v>11419</v>
      </c>
      <c r="D89" s="22" t="n">
        <v>11339</v>
      </c>
      <c r="E89" s="22" t="n">
        <v>11318</v>
      </c>
      <c r="F89" s="22" t="n">
        <v>11192</v>
      </c>
      <c r="G89" s="22" t="n">
        <v>11097</v>
      </c>
      <c r="H89" s="22" t="n">
        <v>1878</v>
      </c>
      <c r="I89" s="22" t="n">
        <v>1600</v>
      </c>
      <c r="J89" s="22" t="n">
        <v>11764</v>
      </c>
      <c r="K89" s="22" t="n">
        <v>11654</v>
      </c>
      <c r="L89" s="22" t="n">
        <v>11318</v>
      </c>
    </row>
    <row r="90">
      <c r="A90" s="20" t="inlineStr">
        <is>
          <t>소프트웨어</t>
        </is>
      </c>
      <c r="C90" s="22" t="n">
        <v>4062</v>
      </c>
      <c r="D90" s="22" t="n">
        <v>4382</v>
      </c>
      <c r="E90" s="22" t="n">
        <v>3346</v>
      </c>
      <c r="F90" s="22" t="n">
        <v>3079</v>
      </c>
      <c r="G90" s="22" t="n">
        <v>2429</v>
      </c>
      <c r="H90" s="22" t="n">
        <v>2656</v>
      </c>
      <c r="I90" s="22" t="n">
        <v>2241</v>
      </c>
      <c r="J90" s="22" t="n">
        <v>2498</v>
      </c>
      <c r="K90" s="22" t="n">
        <v>3216</v>
      </c>
      <c r="L90" s="22" t="n">
        <v>3346</v>
      </c>
    </row>
    <row r="91">
      <c r="A91" s="20" t="inlineStr">
        <is>
          <t>기타</t>
        </is>
      </c>
      <c r="C91" s="22" t="n">
        <v>23</v>
      </c>
      <c r="D91" s="22" t="n">
        <v>22</v>
      </c>
      <c r="E91" s="22" t="n">
        <v>22</v>
      </c>
      <c r="F91" s="22" t="n">
        <v>22</v>
      </c>
      <c r="G91" s="22" t="n">
        <v>23</v>
      </c>
      <c r="H91" s="22" t="n">
        <v>24</v>
      </c>
      <c r="I91" s="22" t="n">
        <v>24</v>
      </c>
      <c r="J91" s="22" t="n">
        <v>23</v>
      </c>
      <c r="K91" s="22" t="n">
        <v>22</v>
      </c>
      <c r="L91" s="22" t="n">
        <v>22</v>
      </c>
    </row>
    <row r="92">
      <c r="A92" s="20" t="inlineStr">
        <is>
          <t>무형자산 합계</t>
        </is>
      </c>
      <c r="C92" s="22" t="n">
        <v>4085</v>
      </c>
      <c r="D92" s="22" t="n">
        <v>4405</v>
      </c>
      <c r="E92" s="22" t="n">
        <v>3369</v>
      </c>
      <c r="F92" s="22" t="n">
        <v>3102</v>
      </c>
      <c r="G92" s="22" t="n">
        <v>2453</v>
      </c>
      <c r="H92" s="22" t="n">
        <v>2680</v>
      </c>
      <c r="I92" s="22" t="n">
        <v>2265</v>
      </c>
      <c r="J92" s="22" t="n">
        <v>2522</v>
      </c>
      <c r="K92" s="22" t="n">
        <v>3238</v>
      </c>
      <c r="L92" s="22" t="n">
        <v>3369</v>
      </c>
    </row>
    <row r="93">
      <c r="A93" s="20" t="inlineStr">
        <is>
          <t>투자유가증권</t>
        </is>
      </c>
      <c r="C93" s="22" t="n">
        <v>10802</v>
      </c>
      <c r="D93" s="22" t="n">
        <v>8894</v>
      </c>
      <c r="E93" s="22" t="n">
        <v>7824</v>
      </c>
      <c r="F93" s="22" t="n">
        <v>7080</v>
      </c>
      <c r="G93" s="22" t="n">
        <v>5625</v>
      </c>
      <c r="H93" s="22" t="n">
        <v>13586</v>
      </c>
      <c r="I93" s="22" t="n">
        <v>13236</v>
      </c>
      <c r="J93" s="22" t="n">
        <v>13535</v>
      </c>
      <c r="K93" s="22" t="n">
        <v>11836</v>
      </c>
      <c r="L93" s="22" t="n">
        <v>7824</v>
      </c>
    </row>
    <row r="94">
      <c r="A94" s="20" t="inlineStr">
        <is>
          <t>장기선급비용</t>
        </is>
      </c>
      <c r="C94" s="22" t="n">
        <v>397</v>
      </c>
      <c r="D94" s="22" t="n">
        <v>371</v>
      </c>
      <c r="E94" s="22" t="n">
        <v>381</v>
      </c>
      <c r="F94" s="22" t="n">
        <v>352</v>
      </c>
      <c r="G94" s="22" t="n">
        <v>370</v>
      </c>
      <c r="H94" s="22" t="n">
        <v>750</v>
      </c>
      <c r="I94" s="22" t="n">
        <v>678</v>
      </c>
      <c r="J94" s="22" t="n">
        <v>767</v>
      </c>
      <c r="K94" s="22" t="n">
        <v>503</v>
      </c>
      <c r="L94" s="22" t="n">
        <v>381</v>
      </c>
    </row>
    <row r="95">
      <c r="A95" s="20" t="inlineStr">
        <is>
          <t>이연법인세자산</t>
        </is>
      </c>
      <c r="C95" s="22" t="n">
        <v>3933</v>
      </c>
      <c r="D95" s="22" t="n">
        <v>3979</v>
      </c>
      <c r="E95" s="22" t="n">
        <v>3126</v>
      </c>
      <c r="F95" s="22" t="n">
        <v>3221</v>
      </c>
      <c r="G95" s="22" t="n">
        <v>3156</v>
      </c>
      <c r="H95" s="22" t="n">
        <v>4493</v>
      </c>
      <c r="I95" s="22" t="n">
        <v>4490</v>
      </c>
      <c r="J95" s="22" t="n">
        <v>4147</v>
      </c>
      <c r="K95" s="22" t="n">
        <v>3514</v>
      </c>
      <c r="L95" s="22" t="n">
        <v>3126</v>
      </c>
    </row>
    <row r="96">
      <c r="A96" s="20" t="inlineStr">
        <is>
          <t>기타</t>
        </is>
      </c>
      <c r="C96" s="22" t="n">
        <v>1130</v>
      </c>
      <c r="D96" s="22" t="n">
        <v>1134</v>
      </c>
      <c r="E96" s="22" t="n">
        <v>1122</v>
      </c>
      <c r="F96" s="22" t="n">
        <v>1073</v>
      </c>
      <c r="G96" s="22" t="n">
        <v>1052</v>
      </c>
      <c r="H96" s="22" t="n">
        <v>1114</v>
      </c>
      <c r="I96" s="22" t="n">
        <v>1328</v>
      </c>
      <c r="J96" s="22" t="n">
        <v>1407</v>
      </c>
      <c r="K96" s="22" t="n">
        <v>1215</v>
      </c>
      <c r="L96" s="22" t="n">
        <v>1122</v>
      </c>
    </row>
    <row r="97">
      <c r="A97" s="20" t="inlineStr">
        <is>
          <t>대손충당금</t>
        </is>
      </c>
      <c r="H97" s="22" t="n">
        <v>0</v>
      </c>
    </row>
    <row r="98">
      <c r="A98" s="20" t="inlineStr">
        <is>
          <t>투자 및 기타자산 합계</t>
        </is>
      </c>
      <c r="C98" s="22" t="n">
        <v>16263</v>
      </c>
      <c r="D98" s="22" t="n">
        <v>14379</v>
      </c>
      <c r="E98" s="22" t="n">
        <v>12455</v>
      </c>
      <c r="F98" s="22" t="n">
        <v>11727</v>
      </c>
      <c r="G98" s="22" t="n">
        <v>10205</v>
      </c>
      <c r="H98" s="22" t="n">
        <v>19945</v>
      </c>
      <c r="I98" s="22" t="n">
        <v>19733</v>
      </c>
      <c r="J98" s="22" t="n">
        <v>19857</v>
      </c>
      <c r="K98" s="22" t="n">
        <v>17069</v>
      </c>
      <c r="L98" s="22" t="n">
        <v>12455</v>
      </c>
    </row>
    <row r="99">
      <c r="A99" s="9" t="inlineStr">
        <is>
          <t>비유동자산 합계</t>
        </is>
      </c>
      <c r="C99" s="12" t="n">
        <v>31768</v>
      </c>
      <c r="D99" s="12" t="n">
        <v>30125</v>
      </c>
      <c r="E99" s="12" t="n">
        <v>27143</v>
      </c>
      <c r="F99" s="12" t="n">
        <v>26021</v>
      </c>
      <c r="G99" s="12" t="n">
        <v>23755</v>
      </c>
      <c r="H99" s="12" t="n">
        <v>24504</v>
      </c>
      <c r="I99" s="12" t="n">
        <v>23599</v>
      </c>
      <c r="J99" s="12" t="n">
        <v>34143</v>
      </c>
      <c r="K99" s="12" t="n">
        <v>31963</v>
      </c>
      <c r="L99" s="12" t="n">
        <v>27143</v>
      </c>
    </row>
    <row r="100">
      <c r="A100" s="9" t="inlineStr">
        <is>
          <t>자산 합계</t>
        </is>
      </c>
      <c r="C100" s="12" t="n">
        <v>50669</v>
      </c>
      <c r="D100" s="12" t="n">
        <v>49556</v>
      </c>
      <c r="E100" s="12" t="n">
        <v>49361</v>
      </c>
      <c r="F100" s="12" t="n">
        <v>48743</v>
      </c>
      <c r="G100" s="12" t="n">
        <v>48164</v>
      </c>
      <c r="H100" s="12" t="n">
        <v>46827</v>
      </c>
      <c r="I100" s="12" t="n">
        <v>48523</v>
      </c>
      <c r="J100" s="12" t="n">
        <v>54427</v>
      </c>
      <c r="K100" s="12" t="n">
        <v>56727</v>
      </c>
      <c r="L100" s="12" t="n">
        <v>49361</v>
      </c>
    </row>
    <row r="101">
      <c r="A101" s="20" t="inlineStr">
        <is>
          <t>매입채무</t>
        </is>
      </c>
      <c r="C101" s="22" t="n">
        <v>1733</v>
      </c>
      <c r="D101" s="22" t="n">
        <v>1563</v>
      </c>
      <c r="E101" s="22" t="n">
        <v>2612</v>
      </c>
      <c r="F101" s="22" t="n">
        <v>1599</v>
      </c>
      <c r="G101" s="22" t="n">
        <v>1563</v>
      </c>
      <c r="H101" s="22" t="n">
        <v>2153</v>
      </c>
      <c r="I101" s="22" t="n">
        <v>2006</v>
      </c>
      <c r="J101" s="22" t="n">
        <v>1909</v>
      </c>
      <c r="K101" s="22" t="n">
        <v>2639</v>
      </c>
      <c r="L101" s="22" t="n">
        <v>2612</v>
      </c>
    </row>
    <row r="102">
      <c r="A102" s="20" t="inlineStr">
        <is>
          <t>단기차입금</t>
        </is>
      </c>
      <c r="C102" s="22" t="n">
        <v>0</v>
      </c>
      <c r="D102" s="22" t="n">
        <v>0</v>
      </c>
      <c r="E102" s="22" t="n">
        <v>0</v>
      </c>
      <c r="J102" s="22" t="n">
        <v>0</v>
      </c>
      <c r="K102" s="22" t="n">
        <v>3000</v>
      </c>
      <c r="L102" s="22" t="n">
        <v>0</v>
      </c>
    </row>
    <row r="103">
      <c r="A103" s="20" t="inlineStr">
        <is>
          <t>1년 내 상환 장기차입금</t>
        </is>
      </c>
      <c r="C103" s="22" t="n">
        <v>833</v>
      </c>
      <c r="D103" s="22" t="n">
        <v>833</v>
      </c>
      <c r="E103" s="22" t="n">
        <v>833</v>
      </c>
      <c r="F103" s="22" t="n">
        <v>833</v>
      </c>
      <c r="G103" s="22" t="n">
        <v>3332</v>
      </c>
      <c r="I103" s="22" t="n">
        <v>0</v>
      </c>
      <c r="J103" s="22" t="n">
        <v>416</v>
      </c>
      <c r="K103" s="22" t="n">
        <v>833</v>
      </c>
      <c r="L103" s="22" t="n">
        <v>833</v>
      </c>
    </row>
    <row r="104">
      <c r="A104" s="20" t="inlineStr">
        <is>
          <t>미지급비용</t>
        </is>
      </c>
      <c r="C104" s="22" t="n">
        <v>839</v>
      </c>
      <c r="D104" s="22" t="n">
        <v>891</v>
      </c>
      <c r="E104" s="22" t="n">
        <v>815</v>
      </c>
      <c r="F104" s="22" t="n">
        <v>774</v>
      </c>
      <c r="G104" s="22" t="n">
        <v>789</v>
      </c>
      <c r="H104" s="22" t="n">
        <v>1170</v>
      </c>
      <c r="I104" s="22" t="n">
        <v>1261</v>
      </c>
      <c r="J104" s="22" t="n">
        <v>1297</v>
      </c>
      <c r="K104" s="22" t="n">
        <v>960</v>
      </c>
      <c r="L104" s="22" t="n">
        <v>815</v>
      </c>
    </row>
    <row r="105">
      <c r="A105" s="20" t="inlineStr">
        <is>
          <t>미지급법인세</t>
        </is>
      </c>
      <c r="C105" s="22" t="n">
        <v>429</v>
      </c>
      <c r="D105" s="22" t="n">
        <v>303</v>
      </c>
      <c r="E105" s="22" t="n">
        <v>91</v>
      </c>
      <c r="F105" s="22" t="n">
        <v>141</v>
      </c>
      <c r="G105" s="22" t="n">
        <v>413</v>
      </c>
      <c r="H105" s="22" t="n">
        <v>593</v>
      </c>
      <c r="I105" s="22" t="n">
        <v>908</v>
      </c>
      <c r="J105" s="22" t="n">
        <v>722</v>
      </c>
      <c r="K105" s="22" t="n">
        <v>253</v>
      </c>
      <c r="L105" s="22" t="n">
        <v>91</v>
      </c>
    </row>
    <row r="106">
      <c r="A106" s="20" t="inlineStr">
        <is>
          <t>미지급 소비세</t>
        </is>
      </c>
      <c r="C106" s="22" t="n">
        <v>104</v>
      </c>
      <c r="D106" s="22" t="n">
        <v>100</v>
      </c>
      <c r="E106" s="22" t="n">
        <v>108</v>
      </c>
      <c r="F106" s="22" t="n">
        <v>154</v>
      </c>
      <c r="G106" s="22" t="n">
        <v>314</v>
      </c>
      <c r="H106" s="22" t="n">
        <v>135</v>
      </c>
      <c r="I106" s="22" t="n">
        <v>363</v>
      </c>
      <c r="J106" s="22" t="n">
        <v>272</v>
      </c>
      <c r="K106" s="22" t="n">
        <v>571</v>
      </c>
      <c r="L106" s="22" t="n">
        <v>108</v>
      </c>
    </row>
    <row r="107">
      <c r="A107" s="20" t="inlineStr">
        <is>
          <t>선수금</t>
        </is>
      </c>
      <c r="C107" s="22" t="n">
        <v>272</v>
      </c>
      <c r="D107" s="22" t="n">
        <v>194</v>
      </c>
      <c r="E107" s="22" t="n">
        <v>184</v>
      </c>
      <c r="F107" s="22" t="n">
        <v>693</v>
      </c>
      <c r="G107" s="22" t="n">
        <v>227</v>
      </c>
      <c r="H107" s="22" t="n">
        <v>284</v>
      </c>
      <c r="I107" s="22" t="n">
        <v>191</v>
      </c>
      <c r="J107" s="22" t="n">
        <v>129</v>
      </c>
      <c r="K107" s="22" t="n">
        <v>136</v>
      </c>
      <c r="L107" s="22" t="n">
        <v>184</v>
      </c>
    </row>
    <row r="108">
      <c r="A108" s="20" t="inlineStr">
        <is>
          <t>상여충당금</t>
        </is>
      </c>
      <c r="C108" s="22" t="n">
        <v>888</v>
      </c>
      <c r="D108" s="22" t="n">
        <v>393</v>
      </c>
      <c r="E108" s="22" t="n">
        <v>947</v>
      </c>
      <c r="F108" s="22" t="n">
        <v>1411</v>
      </c>
      <c r="G108" s="22" t="n">
        <v>868</v>
      </c>
      <c r="H108" s="22" t="n">
        <v>1047</v>
      </c>
      <c r="I108" s="22" t="n">
        <v>959</v>
      </c>
      <c r="J108" s="22" t="n">
        <v>959</v>
      </c>
      <c r="K108" s="22" t="n">
        <v>925</v>
      </c>
      <c r="L108" s="22" t="n">
        <v>947</v>
      </c>
    </row>
    <row r="109">
      <c r="A109" s="20" t="inlineStr">
        <is>
          <t>임원 상여충당금</t>
        </is>
      </c>
      <c r="C109" s="22" t="n">
        <v>57</v>
      </c>
      <c r="D109" s="22" t="n">
        <v>85</v>
      </c>
      <c r="E109" s="22" t="n">
        <v>114</v>
      </c>
      <c r="F109" s="22" t="n">
        <v>26</v>
      </c>
      <c r="G109" s="22" t="n">
        <v>57</v>
      </c>
      <c r="H109" s="22" t="n">
        <v>66</v>
      </c>
      <c r="I109" s="22" t="n">
        <v>73</v>
      </c>
      <c r="J109" s="22" t="n">
        <v>80</v>
      </c>
      <c r="K109" s="22" t="n">
        <v>107</v>
      </c>
      <c r="L109" s="22" t="n">
        <v>114</v>
      </c>
    </row>
    <row r="110">
      <c r="A110" s="20" t="inlineStr">
        <is>
          <t>수주손실 충당금</t>
        </is>
      </c>
      <c r="C110" s="22" t="n">
        <v>48</v>
      </c>
      <c r="D110" s="22" t="n">
        <v>31</v>
      </c>
      <c r="E110" s="22" t="n">
        <v>488</v>
      </c>
      <c r="F110" s="22" t="n">
        <v>340</v>
      </c>
      <c r="G110" s="22" t="n">
        <v>406</v>
      </c>
      <c r="H110" s="22" t="n">
        <v>137</v>
      </c>
      <c r="I110" s="22" t="n">
        <v>48</v>
      </c>
      <c r="J110" s="22" t="n">
        <v>49</v>
      </c>
      <c r="K110" s="22" t="n">
        <v>0</v>
      </c>
      <c r="L110" s="22" t="n">
        <v>488</v>
      </c>
    </row>
    <row r="111">
      <c r="A111" s="20" t="inlineStr">
        <is>
          <t>자산복구부채</t>
        </is>
      </c>
      <c r="C111" s="22" t="n">
        <v>26</v>
      </c>
      <c r="D111" s="22" t="n">
        <v>8</v>
      </c>
      <c r="E111" s="22" t="n">
        <v>8</v>
      </c>
      <c r="F111" s="22" t="n">
        <v>9</v>
      </c>
      <c r="G111" s="22" t="n">
        <v>45</v>
      </c>
      <c r="I111" s="22" t="n">
        <v>0</v>
      </c>
      <c r="J111" s="22" t="n">
        <v>230</v>
      </c>
      <c r="K111" s="22" t="n">
        <v>10</v>
      </c>
      <c r="L111" s="22" t="n">
        <v>8</v>
      </c>
    </row>
    <row r="112">
      <c r="A112" s="20" t="inlineStr">
        <is>
          <t>기타</t>
        </is>
      </c>
      <c r="C112" s="22" t="n">
        <v>641</v>
      </c>
      <c r="D112" s="22" t="n">
        <v>932</v>
      </c>
      <c r="E112" s="22" t="n">
        <v>726</v>
      </c>
      <c r="F112" s="22" t="n">
        <v>930</v>
      </c>
      <c r="G112" s="22" t="n">
        <v>709</v>
      </c>
      <c r="H112" s="22" t="n">
        <v>527</v>
      </c>
      <c r="I112" s="22" t="n">
        <v>601</v>
      </c>
      <c r="J112" s="22" t="n">
        <v>1533</v>
      </c>
      <c r="K112" s="22" t="n">
        <v>526</v>
      </c>
      <c r="L112" s="22" t="n">
        <v>726</v>
      </c>
    </row>
    <row r="113">
      <c r="A113" s="9" t="inlineStr">
        <is>
          <t>유동부채 합계</t>
        </is>
      </c>
      <c r="C113" s="12" t="n">
        <v>5875</v>
      </c>
      <c r="D113" s="12" t="n">
        <v>5336</v>
      </c>
      <c r="E113" s="12" t="n">
        <v>6930</v>
      </c>
      <c r="F113" s="12" t="n">
        <v>6914</v>
      </c>
      <c r="G113" s="12" t="n">
        <v>8727</v>
      </c>
      <c r="H113" s="12" t="n">
        <v>6117</v>
      </c>
      <c r="I113" s="12" t="n">
        <v>6414</v>
      </c>
      <c r="J113" s="12" t="n">
        <v>7601</v>
      </c>
      <c r="K113" s="12" t="n">
        <v>9965</v>
      </c>
      <c r="L113" s="12" t="n">
        <v>6930</v>
      </c>
    </row>
    <row r="114">
      <c r="A114" s="20" t="inlineStr">
        <is>
          <t>장기차입금</t>
        </is>
      </c>
      <c r="C114" s="22" t="n">
        <v>3332</v>
      </c>
      <c r="D114" s="22" t="n">
        <v>3124</v>
      </c>
      <c r="E114" s="22" t="n">
        <v>2916</v>
      </c>
      <c r="F114" s="22" t="n">
        <v>2707</v>
      </c>
      <c r="G114" s="22" t="n">
        <v>0</v>
      </c>
      <c r="I114" s="22" t="n">
        <v>0</v>
      </c>
      <c r="J114" s="22" t="n">
        <v>4583</v>
      </c>
      <c r="K114" s="22" t="n">
        <v>3749</v>
      </c>
      <c r="L114" s="22" t="n">
        <v>2916</v>
      </c>
    </row>
    <row r="115">
      <c r="A115" s="20" t="inlineStr">
        <is>
          <t>임원 퇴직위로 충당금</t>
        </is>
      </c>
      <c r="C115" s="22" t="n">
        <v>22</v>
      </c>
      <c r="D115" s="22" t="n">
        <v>22</v>
      </c>
      <c r="E115" s="22" t="n">
        <v>23</v>
      </c>
      <c r="F115" s="22" t="n">
        <v>22</v>
      </c>
      <c r="G115" s="22" t="n">
        <v>23</v>
      </c>
      <c r="H115" s="22" t="n">
        <v>112</v>
      </c>
      <c r="I115" s="22" t="n">
        <v>102</v>
      </c>
      <c r="J115" s="22" t="n">
        <v>88</v>
      </c>
      <c r="K115" s="22" t="n">
        <v>35</v>
      </c>
      <c r="L115" s="22" t="n">
        <v>23</v>
      </c>
    </row>
    <row r="116">
      <c r="A116" s="20" t="inlineStr">
        <is>
          <t>퇴직급여부채</t>
        </is>
      </c>
      <c r="C116" s="22" t="n">
        <v>2391</v>
      </c>
      <c r="D116" s="22" t="n">
        <v>2390</v>
      </c>
      <c r="E116" s="22" t="n">
        <v>1622</v>
      </c>
      <c r="F116" s="22" t="n">
        <v>1669</v>
      </c>
      <c r="G116" s="22" t="n">
        <v>1615</v>
      </c>
      <c r="H116" s="22" t="n">
        <v>5690</v>
      </c>
      <c r="I116" s="22" t="n">
        <v>4608</v>
      </c>
      <c r="J116" s="22" t="n">
        <v>3411</v>
      </c>
      <c r="K116" s="22" t="n">
        <v>2866</v>
      </c>
      <c r="L116" s="22" t="n">
        <v>1622</v>
      </c>
    </row>
    <row r="117">
      <c r="A117" s="20" t="inlineStr">
        <is>
          <t>자산복구부채</t>
        </is>
      </c>
      <c r="C117" s="22" t="n">
        <v>142</v>
      </c>
      <c r="D117" s="22" t="n">
        <v>143</v>
      </c>
      <c r="E117" s="22" t="n">
        <v>143</v>
      </c>
      <c r="F117" s="22" t="n">
        <v>143</v>
      </c>
      <c r="G117" s="22" t="n">
        <v>119</v>
      </c>
      <c r="H117" s="22" t="n">
        <v>267</v>
      </c>
      <c r="I117" s="22" t="n">
        <v>276</v>
      </c>
      <c r="J117" s="22" t="n">
        <v>154</v>
      </c>
      <c r="K117" s="22" t="n">
        <v>146</v>
      </c>
      <c r="L117" s="22" t="n">
        <v>143</v>
      </c>
    </row>
    <row r="118">
      <c r="A118" s="20" t="inlineStr">
        <is>
          <t>기타</t>
        </is>
      </c>
      <c r="C118" s="22" t="n">
        <v>770</v>
      </c>
      <c r="D118" s="22" t="n">
        <v>770</v>
      </c>
      <c r="E118" s="22" t="n">
        <v>759</v>
      </c>
      <c r="F118" s="22" t="n">
        <v>744</v>
      </c>
      <c r="G118" s="22" t="n">
        <v>723</v>
      </c>
      <c r="H118" s="22" t="n">
        <v>19</v>
      </c>
      <c r="I118" s="22" t="n">
        <v>834</v>
      </c>
      <c r="J118" s="22" t="n">
        <v>798</v>
      </c>
      <c r="K118" s="22" t="n">
        <v>772</v>
      </c>
      <c r="L118" s="22" t="n">
        <v>759</v>
      </c>
    </row>
    <row r="119">
      <c r="A119" s="9" t="inlineStr">
        <is>
          <t>비유동부채 합계</t>
        </is>
      </c>
      <c r="C119" s="12" t="n">
        <v>6660</v>
      </c>
      <c r="D119" s="12" t="n">
        <v>6450</v>
      </c>
      <c r="E119" s="12" t="n">
        <v>5464</v>
      </c>
      <c r="F119" s="12" t="n">
        <v>5288</v>
      </c>
      <c r="G119" s="12" t="n">
        <v>2481</v>
      </c>
      <c r="H119" s="12" t="n">
        <v>6089</v>
      </c>
      <c r="I119" s="12" t="n">
        <v>5822</v>
      </c>
      <c r="J119" s="12" t="n">
        <v>9035</v>
      </c>
      <c r="K119" s="12" t="n">
        <v>7569</v>
      </c>
      <c r="L119" s="12" t="n">
        <v>5464</v>
      </c>
    </row>
    <row r="120">
      <c r="A120" s="9" t="inlineStr">
        <is>
          <t>부채 합계</t>
        </is>
      </c>
      <c r="C120" s="12" t="n">
        <v>12535</v>
      </c>
      <c r="D120" s="12" t="n">
        <v>11787</v>
      </c>
      <c r="E120" s="12" t="n">
        <v>12395</v>
      </c>
      <c r="F120" s="12" t="n">
        <v>12203</v>
      </c>
      <c r="G120" s="12" t="n">
        <v>11209</v>
      </c>
      <c r="H120" s="12" t="n">
        <v>12207</v>
      </c>
      <c r="I120" s="12" t="n">
        <v>12237</v>
      </c>
      <c r="J120" s="12" t="n">
        <v>16637</v>
      </c>
      <c r="K120" s="12" t="n">
        <v>17535</v>
      </c>
      <c r="L120" s="12" t="n">
        <v>12395</v>
      </c>
    </row>
    <row r="121">
      <c r="A121" s="20" t="inlineStr">
        <is>
          <t>자본금</t>
        </is>
      </c>
      <c r="C121" s="22" t="n">
        <v>15000</v>
      </c>
      <c r="D121" s="22" t="n">
        <v>15000</v>
      </c>
      <c r="E121" s="22" t="n">
        <v>15000</v>
      </c>
      <c r="F121" s="22" t="n">
        <v>15000</v>
      </c>
      <c r="G121" s="22" t="n">
        <v>15000</v>
      </c>
      <c r="H121" s="22" t="n">
        <v>15000</v>
      </c>
      <c r="I121" s="22" t="n">
        <v>15000</v>
      </c>
      <c r="J121" s="22" t="n">
        <v>15000</v>
      </c>
      <c r="K121" s="22" t="n">
        <v>15000</v>
      </c>
      <c r="L121" s="22" t="n">
        <v>15000</v>
      </c>
    </row>
    <row r="122">
      <c r="A122" s="20" t="inlineStr">
        <is>
          <t>자본잉여금</t>
        </is>
      </c>
      <c r="C122" s="22" t="n">
        <v>10108</v>
      </c>
      <c r="D122" s="22" t="n">
        <v>10108</v>
      </c>
      <c r="E122" s="22" t="n">
        <v>10108</v>
      </c>
      <c r="F122" s="22" t="n">
        <v>10116</v>
      </c>
      <c r="G122" s="22" t="n">
        <v>10117</v>
      </c>
      <c r="H122" s="22" t="n">
        <v>14592</v>
      </c>
      <c r="I122" s="22" t="n">
        <v>10100</v>
      </c>
      <c r="J122" s="22" t="n">
        <v>10099</v>
      </c>
      <c r="K122" s="22" t="n">
        <v>10102</v>
      </c>
      <c r="L122" s="22" t="n">
        <v>10108</v>
      </c>
    </row>
    <row r="123">
      <c r="A123" s="20" t="inlineStr">
        <is>
          <t>이익잉여금</t>
        </is>
      </c>
      <c r="C123" s="22" t="n">
        <v>12609</v>
      </c>
      <c r="D123" s="22" t="n">
        <v>12225</v>
      </c>
      <c r="E123" s="22" t="n">
        <v>10847</v>
      </c>
      <c r="F123" s="22" t="n">
        <v>10247</v>
      </c>
      <c r="G123" s="22" t="n">
        <v>10582</v>
      </c>
      <c r="H123" s="22" t="n">
        <v>9973</v>
      </c>
      <c r="I123" s="22" t="n">
        <v>11682</v>
      </c>
      <c r="J123" s="22" t="n">
        <v>12438</v>
      </c>
      <c r="K123" s="22" t="n">
        <v>13835</v>
      </c>
      <c r="L123" s="22" t="n">
        <v>10847</v>
      </c>
    </row>
    <row r="124">
      <c r="A124" s="20" t="inlineStr">
        <is>
          <t>자기주식</t>
        </is>
      </c>
      <c r="C124" s="22" t="n">
        <v>-105</v>
      </c>
      <c r="D124" s="22" t="n">
        <v>-106</v>
      </c>
      <c r="E124" s="22" t="n">
        <v>-106</v>
      </c>
      <c r="F124" s="22" t="n">
        <v>-94</v>
      </c>
      <c r="G124" s="22" t="n">
        <v>-94</v>
      </c>
      <c r="H124" s="22" t="n">
        <v>-4651</v>
      </c>
      <c r="I124" s="22" t="n">
        <v>-155</v>
      </c>
      <c r="J124" s="22" t="n">
        <v>-140</v>
      </c>
      <c r="K124" s="22" t="n">
        <v>-120</v>
      </c>
      <c r="L124" s="22" t="n">
        <v>-106</v>
      </c>
    </row>
    <row r="125">
      <c r="A125" s="9" t="inlineStr">
        <is>
          <t>주주자본 합계</t>
        </is>
      </c>
      <c r="C125" s="12" t="n">
        <v>37611</v>
      </c>
      <c r="D125" s="12" t="n">
        <v>37227</v>
      </c>
      <c r="E125" s="12" t="n">
        <v>35849</v>
      </c>
      <c r="F125" s="12" t="n">
        <v>35269</v>
      </c>
      <c r="G125" s="12" t="n">
        <v>35605</v>
      </c>
      <c r="H125" s="12" t="n">
        <v>34913</v>
      </c>
      <c r="I125" s="12" t="n">
        <v>36627</v>
      </c>
      <c r="J125" s="12" t="n">
        <v>37398</v>
      </c>
      <c r="K125" s="12" t="n">
        <v>38816</v>
      </c>
      <c r="L125" s="12" t="n">
        <v>35849</v>
      </c>
    </row>
    <row r="126">
      <c r="A126" s="20" t="inlineStr">
        <is>
          <t>기타유가증권 평가차액</t>
        </is>
      </c>
      <c r="C126" s="22" t="n">
        <v>288</v>
      </c>
      <c r="D126" s="22" t="n">
        <v>301</v>
      </c>
      <c r="E126" s="22" t="n">
        <v>343</v>
      </c>
      <c r="F126" s="22" t="n">
        <v>516</v>
      </c>
      <c r="G126" s="22" t="n">
        <v>614</v>
      </c>
      <c r="H126" s="22" t="n">
        <v>32</v>
      </c>
      <c r="I126" s="22" t="n">
        <v>-179</v>
      </c>
      <c r="J126" s="22" t="n">
        <v>54</v>
      </c>
      <c r="K126" s="22" t="n">
        <v>153</v>
      </c>
      <c r="L126" s="22" t="n">
        <v>343</v>
      </c>
    </row>
    <row r="127">
      <c r="A127" s="20" t="inlineStr">
        <is>
          <t>퇴직급여 조정누계액</t>
        </is>
      </c>
      <c r="C127" s="22" t="n">
        <v>234</v>
      </c>
      <c r="D127" s="22" t="n">
        <v>239</v>
      </c>
      <c r="E127" s="22" t="n">
        <v>773</v>
      </c>
      <c r="F127" s="22" t="n">
        <v>754</v>
      </c>
      <c r="G127" s="22" t="n">
        <v>734</v>
      </c>
      <c r="H127" s="22" t="n">
        <v>-326</v>
      </c>
      <c r="I127" s="22" t="n">
        <v>-162</v>
      </c>
      <c r="J127" s="22" t="n">
        <v>336</v>
      </c>
      <c r="K127" s="22" t="n">
        <v>222</v>
      </c>
      <c r="L127" s="22" t="n">
        <v>773</v>
      </c>
    </row>
    <row r="128">
      <c r="A128" s="20" t="inlineStr">
        <is>
          <t>기타포괄손익누계액 합계</t>
        </is>
      </c>
      <c r="C128" s="22" t="n">
        <v>522</v>
      </c>
      <c r="D128" s="22" t="n">
        <v>541</v>
      </c>
      <c r="E128" s="22" t="n">
        <v>1116</v>
      </c>
      <c r="F128" s="22" t="n">
        <v>1271</v>
      </c>
      <c r="G128" s="22" t="n">
        <v>1349</v>
      </c>
      <c r="H128" s="22" t="n">
        <v>-293</v>
      </c>
      <c r="I128" s="22" t="n">
        <v>-341</v>
      </c>
      <c r="J128" s="22" t="n">
        <v>391</v>
      </c>
      <c r="K128" s="22" t="n">
        <v>375</v>
      </c>
      <c r="L128" s="22" t="n">
        <v>1116</v>
      </c>
    </row>
    <row r="129">
      <c r="A129" s="9" t="inlineStr">
        <is>
          <t>순자산 합계</t>
        </is>
      </c>
      <c r="C129" s="12" t="n">
        <v>38134</v>
      </c>
      <c r="D129" s="12" t="n">
        <v>37769</v>
      </c>
      <c r="E129" s="12" t="n">
        <v>36966</v>
      </c>
      <c r="F129" s="12" t="n">
        <v>36540</v>
      </c>
      <c r="G129" s="12" t="n">
        <v>36954</v>
      </c>
      <c r="H129" s="12" t="n">
        <v>34620</v>
      </c>
      <c r="I129" s="12" t="n">
        <v>36286</v>
      </c>
      <c r="J129" s="12" t="n">
        <v>37790</v>
      </c>
      <c r="K129" s="12" t="n">
        <v>39192</v>
      </c>
      <c r="L129" s="12" t="n">
        <v>36966</v>
      </c>
    </row>
    <row r="130">
      <c r="A130" s="9" t="inlineStr">
        <is>
          <t>부채·순자산 합계</t>
        </is>
      </c>
      <c r="C130" s="12" t="n">
        <v>50669</v>
      </c>
      <c r="D130" s="12" t="n">
        <v>49556</v>
      </c>
      <c r="E130" s="12" t="n">
        <v>49361</v>
      </c>
      <c r="F130" s="12" t="n">
        <v>48743</v>
      </c>
      <c r="G130" s="12" t="n">
        <v>48164</v>
      </c>
      <c r="H130" s="12" t="n">
        <v>46827</v>
      </c>
      <c r="I130" s="12" t="n">
        <v>48523</v>
      </c>
      <c r="J130" s="12" t="n">
        <v>54427</v>
      </c>
      <c r="K130" s="12" t="n">
        <v>56727</v>
      </c>
      <c r="L130" s="12" t="n">
        <v>49361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2" t="inlineStr">
        <is>
          <t>9742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service field q · 2024-Q1</t>
        </is>
      </c>
      <c r="B4" s="54" t="n"/>
      <c r="C4" s="54" t="n"/>
      <c r="D4" s="54" t="n"/>
      <c r="E4" s="54" t="n"/>
    </row>
    <row r="5">
      <c r="A5" s="55" t="inlineStr">
        <is>
          <t>항목</t>
        </is>
      </c>
      <c r="B5" s="55" t="inlineStr">
        <is>
          <t>값</t>
        </is>
      </c>
      <c r="E5" s="55" t="inlineStr">
        <is>
          <t>출처</t>
        </is>
      </c>
    </row>
    <row r="6">
      <c r="A6" s="56" t="inlineStr">
        <is>
          <t>공공</t>
        </is>
      </c>
      <c r="B6" s="57" t="n">
        <v>44.41</v>
      </c>
      <c r="E6" s="58" t="inlineStr">
        <is>
          <t>2단계 보고서 자료(회사 설명회 자료·공시)</t>
        </is>
      </c>
    </row>
    <row r="7">
      <c r="A7" s="56" t="inlineStr">
        <is>
          <t>민간</t>
        </is>
      </c>
      <c r="B7" s="57" t="n">
        <v>55.15</v>
      </c>
    </row>
    <row r="8">
      <c r="A8" s="56" t="inlineStr">
        <is>
          <t>개발</t>
        </is>
      </c>
      <c r="B8" s="57" t="n">
        <v>34.66</v>
      </c>
    </row>
    <row r="9">
      <c r="A9" s="56" t="inlineStr">
        <is>
          <t>운용</t>
        </is>
      </c>
      <c r="B9" s="57" t="n">
        <v>39.86</v>
      </c>
    </row>
    <row r="10">
      <c r="A10" s="56" t="inlineStr">
        <is>
          <t>보수</t>
        </is>
      </c>
      <c r="B10" s="57" t="n">
        <v>12.27</v>
      </c>
    </row>
    <row r="11">
      <c r="A11" s="56" t="inlineStr">
        <is>
          <t>기기</t>
        </is>
      </c>
      <c r="B11" s="57" t="n">
        <v>2.21</v>
      </c>
    </row>
    <row r="12">
      <c r="A12" s="56" t="inlineStr">
        <is>
          <t>기타</t>
        </is>
      </c>
      <c r="B12" s="57" t="n">
        <v>10.56</v>
      </c>
    </row>
    <row r="14">
      <c r="A14" s="54" t="inlineStr">
        <is>
          <t>service field q · 2024-Q2</t>
        </is>
      </c>
      <c r="B14" s="54" t="n"/>
      <c r="C14" s="54" t="n"/>
      <c r="D14" s="54" t="n"/>
      <c r="E14" s="54" t="n"/>
    </row>
    <row r="15">
      <c r="A15" s="55" t="inlineStr">
        <is>
          <t>항목</t>
        </is>
      </c>
      <c r="B15" s="55" t="inlineStr">
        <is>
          <t>값</t>
        </is>
      </c>
      <c r="E15" s="55" t="inlineStr">
        <is>
          <t>출처</t>
        </is>
      </c>
    </row>
    <row r="16">
      <c r="A16" s="56" t="inlineStr">
        <is>
          <t>공공</t>
        </is>
      </c>
      <c r="B16" s="57" t="n">
        <v>40.56</v>
      </c>
      <c r="E16" s="58" t="inlineStr">
        <is>
          <t>2단계 보고서 자료(회사 설명회 자료·공시)</t>
        </is>
      </c>
    </row>
    <row r="17">
      <c r="A17" s="56" t="inlineStr">
        <is>
          <t>민간</t>
        </is>
      </c>
      <c r="B17" s="57" t="n">
        <v>55.99</v>
      </c>
    </row>
    <row r="18">
      <c r="A18" s="56" t="inlineStr">
        <is>
          <t>개발</t>
        </is>
      </c>
      <c r="B18" s="57" t="n">
        <v>37.95</v>
      </c>
    </row>
    <row r="19">
      <c r="A19" s="56" t="inlineStr">
        <is>
          <t>운용</t>
        </is>
      </c>
      <c r="B19" s="57" t="n">
        <v>32.97</v>
      </c>
    </row>
    <row r="20">
      <c r="A20" s="56" t="inlineStr">
        <is>
          <t>보수</t>
        </is>
      </c>
      <c r="B20" s="57" t="n">
        <v>11.83</v>
      </c>
    </row>
    <row r="21">
      <c r="A21" s="56" t="inlineStr">
        <is>
          <t>기기</t>
        </is>
      </c>
      <c r="B21" s="57" t="n">
        <v>2.26</v>
      </c>
    </row>
    <row r="22">
      <c r="A22" s="56" t="inlineStr">
        <is>
          <t>기타</t>
        </is>
      </c>
      <c r="B22" s="57" t="n">
        <v>11.54</v>
      </c>
    </row>
    <row r="24">
      <c r="A24" s="54" t="inlineStr">
        <is>
          <t>service field q · 2024-Q3</t>
        </is>
      </c>
      <c r="B24" s="54" t="n"/>
      <c r="C24" s="54" t="n"/>
      <c r="D24" s="54" t="n"/>
      <c r="E24" s="54" t="n"/>
    </row>
    <row r="25">
      <c r="A25" s="55" t="inlineStr">
        <is>
          <t>항목</t>
        </is>
      </c>
      <c r="B25" s="55" t="inlineStr">
        <is>
          <t>값</t>
        </is>
      </c>
      <c r="E25" s="55" t="inlineStr">
        <is>
          <t>출처</t>
        </is>
      </c>
    </row>
    <row r="26">
      <c r="A26" s="56" t="inlineStr">
        <is>
          <t>공공</t>
        </is>
      </c>
      <c r="B26" s="57" t="n">
        <v>40.33</v>
      </c>
      <c r="E26" s="58" t="inlineStr">
        <is>
          <t>2단계 보고서 자료(회사 설명회 자료·공시)</t>
        </is>
      </c>
    </row>
    <row r="27">
      <c r="A27" s="56" t="inlineStr">
        <is>
          <t>민간</t>
        </is>
      </c>
      <c r="B27" s="57" t="n">
        <v>53.61</v>
      </c>
    </row>
    <row r="28">
      <c r="A28" s="56" t="inlineStr">
        <is>
          <t>개발</t>
        </is>
      </c>
      <c r="B28" s="57" t="n">
        <v>36.41</v>
      </c>
    </row>
    <row r="29">
      <c r="A29" s="56" t="inlineStr">
        <is>
          <t>운용</t>
        </is>
      </c>
      <c r="B29" s="57" t="n">
        <v>33.77</v>
      </c>
    </row>
    <row r="30">
      <c r="A30" s="56" t="inlineStr">
        <is>
          <t>보수</t>
        </is>
      </c>
      <c r="B30" s="57" t="n">
        <v>12.42</v>
      </c>
    </row>
    <row r="31">
      <c r="A31" s="56" t="inlineStr">
        <is>
          <t>기기</t>
        </is>
      </c>
      <c r="B31" s="57" t="n">
        <v>3.17</v>
      </c>
    </row>
    <row r="32">
      <c r="A32" s="56" t="inlineStr">
        <is>
          <t>기타</t>
        </is>
      </c>
      <c r="B32" s="57" t="n">
        <v>8.15</v>
      </c>
    </row>
    <row r="34">
      <c r="A34" s="54" t="inlineStr">
        <is>
          <t>service field q · 2024-Q4</t>
        </is>
      </c>
      <c r="B34" s="54" t="n"/>
      <c r="C34" s="54" t="n"/>
      <c r="D34" s="54" t="n"/>
      <c r="E34" s="54" t="n"/>
    </row>
    <row r="35">
      <c r="A35" s="55" t="inlineStr">
        <is>
          <t>항목</t>
        </is>
      </c>
      <c r="B35" s="55" t="inlineStr">
        <is>
          <t>값</t>
        </is>
      </c>
      <c r="E35" s="55" t="inlineStr">
        <is>
          <t>출처</t>
        </is>
      </c>
    </row>
    <row r="36">
      <c r="A36" s="56" t="inlineStr">
        <is>
          <t>공공</t>
        </is>
      </c>
      <c r="B36" s="57" t="n">
        <v>59.74</v>
      </c>
      <c r="E36" s="58" t="inlineStr">
        <is>
          <t>2단계 보고서 자료(회사 설명회 자료·공시)</t>
        </is>
      </c>
    </row>
    <row r="37">
      <c r="A37" s="56" t="inlineStr">
        <is>
          <t>민간</t>
        </is>
      </c>
      <c r="B37" s="57" t="n">
        <v>55.77</v>
      </c>
    </row>
    <row r="38">
      <c r="A38" s="56" t="inlineStr">
        <is>
          <t>개발</t>
        </is>
      </c>
      <c r="B38" s="57" t="n">
        <v>54.69</v>
      </c>
    </row>
    <row r="39">
      <c r="A39" s="56" t="inlineStr">
        <is>
          <t>운용</t>
        </is>
      </c>
      <c r="B39" s="57" t="n">
        <v>32.43</v>
      </c>
    </row>
    <row r="40">
      <c r="A40" s="56" t="inlineStr">
        <is>
          <t>보수</t>
        </is>
      </c>
      <c r="B40" s="57" t="n">
        <v>13.32</v>
      </c>
    </row>
    <row r="41">
      <c r="A41" s="56" t="inlineStr">
        <is>
          <t>기기</t>
        </is>
      </c>
      <c r="B41" s="57" t="n">
        <v>4.81</v>
      </c>
    </row>
    <row r="42">
      <c r="A42" s="56" t="inlineStr">
        <is>
          <t>기타</t>
        </is>
      </c>
      <c r="B42" s="57" t="n">
        <v>10.26</v>
      </c>
    </row>
    <row r="44">
      <c r="A44" s="54" t="inlineStr">
        <is>
          <t>service field q · 2025-Q1</t>
        </is>
      </c>
      <c r="B44" s="54" t="n"/>
      <c r="C44" s="54" t="n"/>
      <c r="D44" s="54" t="n"/>
      <c r="E44" s="54" t="n"/>
    </row>
    <row r="45">
      <c r="A45" s="55" t="inlineStr">
        <is>
          <t>항목</t>
        </is>
      </c>
      <c r="B45" s="55" t="inlineStr">
        <is>
          <t>값</t>
        </is>
      </c>
      <c r="E45" s="55" t="inlineStr">
        <is>
          <t>출처</t>
        </is>
      </c>
    </row>
    <row r="46">
      <c r="A46" s="56" t="inlineStr">
        <is>
          <t>공공</t>
        </is>
      </c>
      <c r="B46" s="57" t="n">
        <v>34.11</v>
      </c>
      <c r="E46" s="58" t="inlineStr">
        <is>
          <t>2단계 보고서 자료(회사 설명회 자료·공시)</t>
        </is>
      </c>
    </row>
    <row r="47">
      <c r="A47" s="56" t="inlineStr">
        <is>
          <t>민간</t>
        </is>
      </c>
      <c r="B47" s="57" t="n">
        <v>50.24</v>
      </c>
    </row>
    <row r="48">
      <c r="A48" s="56" t="inlineStr">
        <is>
          <t>개발</t>
        </is>
      </c>
      <c r="B48" s="57" t="n">
        <v>32.97</v>
      </c>
    </row>
    <row r="49">
      <c r="A49" s="56" t="inlineStr">
        <is>
          <t>운용</t>
        </is>
      </c>
      <c r="B49" s="57" t="n">
        <v>32.11</v>
      </c>
    </row>
    <row r="50">
      <c r="A50" s="56" t="inlineStr">
        <is>
          <t>보수</t>
        </is>
      </c>
      <c r="B50" s="57" t="n">
        <v>12.16</v>
      </c>
    </row>
    <row r="51">
      <c r="A51" s="56" t="inlineStr">
        <is>
          <t>기기</t>
        </is>
      </c>
      <c r="B51" s="57" t="n">
        <v>1.66</v>
      </c>
    </row>
    <row r="52">
      <c r="A52" s="56" t="inlineStr">
        <is>
          <t>기타</t>
        </is>
      </c>
      <c r="B52" s="57" t="n">
        <v>5.45</v>
      </c>
    </row>
    <row r="54">
      <c r="A54" s="54" t="inlineStr">
        <is>
          <t>service field q · 2025-Q2</t>
        </is>
      </c>
      <c r="B54" s="54" t="n"/>
      <c r="C54" s="54" t="n"/>
      <c r="D54" s="54" t="n"/>
      <c r="E54" s="54" t="n"/>
    </row>
    <row r="55">
      <c r="A55" s="55" t="inlineStr">
        <is>
          <t>항목</t>
        </is>
      </c>
      <c r="B55" s="55" t="inlineStr">
        <is>
          <t>값</t>
        </is>
      </c>
      <c r="E55" s="55" t="inlineStr">
        <is>
          <t>출처</t>
        </is>
      </c>
    </row>
    <row r="56">
      <c r="A56" s="56" t="inlineStr">
        <is>
          <t>공공</t>
        </is>
      </c>
      <c r="B56" s="57" t="n">
        <v>50.26</v>
      </c>
      <c r="E56" s="58" t="inlineStr">
        <is>
          <t>2단계 보고서 자료(회사 설명회 자료·공시)</t>
        </is>
      </c>
    </row>
    <row r="57">
      <c r="A57" s="56" t="inlineStr">
        <is>
          <t>민간</t>
        </is>
      </c>
      <c r="B57" s="57" t="n">
        <v>51.69</v>
      </c>
    </row>
    <row r="58">
      <c r="A58" s="56" t="inlineStr">
        <is>
          <t>개발</t>
        </is>
      </c>
      <c r="B58" s="57" t="n">
        <v>48.82</v>
      </c>
    </row>
    <row r="59">
      <c r="A59" s="56" t="inlineStr">
        <is>
          <t>운용</t>
        </is>
      </c>
      <c r="B59" s="57" t="n">
        <v>33.44</v>
      </c>
    </row>
    <row r="60">
      <c r="A60" s="56" t="inlineStr">
        <is>
          <t>보수</t>
        </is>
      </c>
      <c r="B60" s="57" t="n">
        <v>12.35</v>
      </c>
    </row>
    <row r="61">
      <c r="A61" s="56" t="inlineStr">
        <is>
          <t>기기</t>
        </is>
      </c>
      <c r="B61" s="57" t="n">
        <v>2.58</v>
      </c>
    </row>
    <row r="62">
      <c r="A62" s="56" t="inlineStr">
        <is>
          <t>기타</t>
        </is>
      </c>
      <c r="B62" s="57" t="n">
        <v>4.75</v>
      </c>
    </row>
    <row r="64">
      <c r="A64" s="54" t="inlineStr">
        <is>
          <t>service field q · 2025-Q3</t>
        </is>
      </c>
      <c r="B64" s="54" t="n"/>
      <c r="C64" s="54" t="n"/>
      <c r="D64" s="54" t="n"/>
      <c r="E64" s="54" t="n"/>
    </row>
    <row r="65">
      <c r="A65" s="55" t="inlineStr">
        <is>
          <t>항목</t>
        </is>
      </c>
      <c r="B65" s="55" t="inlineStr">
        <is>
          <t>값</t>
        </is>
      </c>
      <c r="E65" s="55" t="inlineStr">
        <is>
          <t>출처</t>
        </is>
      </c>
    </row>
    <row r="66">
      <c r="A66" s="56" t="inlineStr">
        <is>
          <t>공공</t>
        </is>
      </c>
      <c r="B66" s="57" t="n">
        <v>43.08</v>
      </c>
      <c r="E66" s="58" t="inlineStr">
        <is>
          <t>2단계 보고서 자료(회사 설명회 자료·공시)</t>
        </is>
      </c>
    </row>
    <row r="67">
      <c r="A67" s="56" t="inlineStr">
        <is>
          <t>민간</t>
        </is>
      </c>
      <c r="B67" s="57" t="n">
        <v>52.05</v>
      </c>
    </row>
    <row r="68">
      <c r="A68" s="56" t="inlineStr">
        <is>
          <t>개발</t>
        </is>
      </c>
      <c r="B68" s="57" t="n">
        <v>43.99</v>
      </c>
    </row>
    <row r="69">
      <c r="A69" s="56" t="inlineStr">
        <is>
          <t>운용</t>
        </is>
      </c>
      <c r="B69" s="57" t="n">
        <v>31.3</v>
      </c>
    </row>
    <row r="70">
      <c r="A70" s="56" t="inlineStr">
        <is>
          <t>보수</t>
        </is>
      </c>
      <c r="B70" s="57" t="n">
        <v>12.09</v>
      </c>
    </row>
    <row r="71">
      <c r="A71" s="56" t="inlineStr">
        <is>
          <t>기기</t>
        </is>
      </c>
      <c r="B71" s="57" t="n">
        <v>3.04</v>
      </c>
    </row>
    <row r="72">
      <c r="A72" s="56" t="inlineStr">
        <is>
          <t>기타</t>
        </is>
      </c>
      <c r="B72" s="57" t="n">
        <v>4.7</v>
      </c>
    </row>
    <row r="74">
      <c r="A74" s="54" t="inlineStr">
        <is>
          <t>service field q · 2025-Q4</t>
        </is>
      </c>
      <c r="B74" s="54" t="n"/>
      <c r="C74" s="54" t="n"/>
      <c r="D74" s="54" t="n"/>
      <c r="E74" s="54" t="n"/>
    </row>
    <row r="75">
      <c r="A75" s="55" t="inlineStr">
        <is>
          <t>항목</t>
        </is>
      </c>
      <c r="B75" s="55" t="inlineStr">
        <is>
          <t>값</t>
        </is>
      </c>
      <c r="E75" s="55" t="inlineStr">
        <is>
          <t>출처</t>
        </is>
      </c>
    </row>
    <row r="76">
      <c r="A76" s="56" t="inlineStr">
        <is>
          <t>공공</t>
        </is>
      </c>
      <c r="B76" s="57" t="n">
        <v>71.28</v>
      </c>
      <c r="E76" s="58" t="inlineStr">
        <is>
          <t>2단계 보고서 자료(회사 설명회 자료·공시)</t>
        </is>
      </c>
    </row>
    <row r="77">
      <c r="A77" s="56" t="inlineStr">
        <is>
          <t>민간</t>
        </is>
      </c>
      <c r="B77" s="57" t="n">
        <v>52.91</v>
      </c>
    </row>
    <row r="78">
      <c r="A78" s="56" t="inlineStr">
        <is>
          <t>개발</t>
        </is>
      </c>
      <c r="B78" s="57" t="n">
        <v>72.19</v>
      </c>
    </row>
    <row r="79">
      <c r="A79" s="56" t="inlineStr">
        <is>
          <t>운용</t>
        </is>
      </c>
      <c r="B79" s="57" t="n">
        <v>29.87</v>
      </c>
    </row>
    <row r="80">
      <c r="A80" s="56" t="inlineStr">
        <is>
          <t>보수</t>
        </is>
      </c>
      <c r="B80" s="57" t="n">
        <v>12.69</v>
      </c>
    </row>
    <row r="81">
      <c r="A81" s="56" t="inlineStr">
        <is>
          <t>기기</t>
        </is>
      </c>
      <c r="B81" s="57" t="n">
        <v>4.15</v>
      </c>
    </row>
    <row r="82">
      <c r="A82" s="56" t="inlineStr">
        <is>
          <t>기타</t>
        </is>
      </c>
      <c r="B82" s="57" t="n">
        <v>5.29</v>
      </c>
    </row>
    <row r="84">
      <c r="A84" s="54" t="inlineStr">
        <is>
          <t>service field q · 2026-Q1</t>
        </is>
      </c>
      <c r="B84" s="54" t="n"/>
      <c r="C84" s="54" t="n"/>
      <c r="D84" s="54" t="n"/>
      <c r="E84" s="54" t="n"/>
    </row>
    <row r="85">
      <c r="A85" s="55" t="inlineStr">
        <is>
          <t>항목</t>
        </is>
      </c>
      <c r="B85" s="55" t="inlineStr">
        <is>
          <t>값</t>
        </is>
      </c>
      <c r="E85" s="55" t="inlineStr">
        <is>
          <t>출처</t>
        </is>
      </c>
    </row>
    <row r="86">
      <c r="A86" s="56" t="inlineStr">
        <is>
          <t>공공</t>
        </is>
      </c>
      <c r="B86" s="57" t="n">
        <v>30.93</v>
      </c>
      <c r="E86" s="58" t="inlineStr">
        <is>
          <t>2단계 보고서 자료(회사 설명회 자료·공시)</t>
        </is>
      </c>
    </row>
    <row r="87">
      <c r="A87" s="56" t="inlineStr">
        <is>
          <t>민간</t>
        </is>
      </c>
      <c r="B87" s="57" t="n">
        <v>46.18</v>
      </c>
    </row>
    <row r="88">
      <c r="A88" s="56" t="inlineStr">
        <is>
          <t>개발</t>
        </is>
      </c>
      <c r="B88" s="57" t="n">
        <v>28.25</v>
      </c>
    </row>
    <row r="89">
      <c r="A89" s="56" t="inlineStr">
        <is>
          <t>운용</t>
        </is>
      </c>
      <c r="B89" s="57" t="n">
        <v>32.41</v>
      </c>
    </row>
    <row r="90">
      <c r="A90" s="56" t="inlineStr">
        <is>
          <t>보수</t>
        </is>
      </c>
      <c r="B90" s="57" t="n">
        <v>11.86</v>
      </c>
    </row>
    <row r="91">
      <c r="A91" s="56" t="inlineStr">
        <is>
          <t>기기</t>
        </is>
      </c>
      <c r="B91" s="57" t="n">
        <v>0.87</v>
      </c>
    </row>
    <row r="92">
      <c r="A92" s="56" t="inlineStr">
        <is>
          <t>기타</t>
        </is>
      </c>
      <c r="B92" s="57" t="n">
        <v>3.71</v>
      </c>
    </row>
    <row r="94">
      <c r="A94" s="54" t="inlineStr">
        <is>
          <t>service field q · 2026-Q2</t>
        </is>
      </c>
      <c r="B94" s="54" t="n"/>
      <c r="C94" s="54" t="n"/>
      <c r="D94" s="54" t="n"/>
      <c r="E94" s="54" t="n"/>
    </row>
    <row r="95">
      <c r="A95" s="55" t="inlineStr">
        <is>
          <t>항목</t>
        </is>
      </c>
      <c r="B95" s="55" t="inlineStr">
        <is>
          <t>값</t>
        </is>
      </c>
      <c r="E95" s="55" t="inlineStr">
        <is>
          <t>출처</t>
        </is>
      </c>
    </row>
    <row r="96">
      <c r="A96" s="56" t="inlineStr">
        <is>
          <t>공공</t>
        </is>
      </c>
      <c r="B96" s="57" t="n">
        <v>38.2</v>
      </c>
      <c r="E96" s="58" t="inlineStr">
        <is>
          <t>2단계 보고서 자료(회사 설명회 자료·공시)</t>
        </is>
      </c>
    </row>
    <row r="97">
      <c r="A97" s="56" t="inlineStr">
        <is>
          <t>민간</t>
        </is>
      </c>
      <c r="B97" s="57" t="n">
        <v>49.55</v>
      </c>
    </row>
    <row r="98">
      <c r="A98" s="56" t="inlineStr">
        <is>
          <t>개발</t>
        </is>
      </c>
      <c r="B98" s="57" t="n">
        <v>37.8</v>
      </c>
    </row>
    <row r="99">
      <c r="A99" s="56" t="inlineStr">
        <is>
          <t>운용</t>
        </is>
      </c>
      <c r="B99" s="57" t="n">
        <v>32.09</v>
      </c>
    </row>
    <row r="100">
      <c r="A100" s="56" t="inlineStr">
        <is>
          <t>보수</t>
        </is>
      </c>
      <c r="B100" s="57" t="n">
        <v>12.11</v>
      </c>
    </row>
    <row r="101">
      <c r="A101" s="56" t="inlineStr">
        <is>
          <t>기기</t>
        </is>
      </c>
      <c r="B101" s="57" t="n">
        <v>1.81</v>
      </c>
    </row>
    <row r="102">
      <c r="A102" s="56" t="inlineStr">
        <is>
          <t>기타</t>
        </is>
      </c>
      <c r="B102" s="57" t="n">
        <v>3.94</v>
      </c>
    </row>
    <row r="104">
      <c r="A104" s="54" t="inlineStr">
        <is>
          <t>service field q · 2026-Q3</t>
        </is>
      </c>
      <c r="B104" s="54" t="n"/>
      <c r="C104" s="54" t="n"/>
      <c r="D104" s="54" t="n"/>
      <c r="E104" s="54" t="n"/>
    </row>
    <row r="105">
      <c r="A105" s="55" t="inlineStr">
        <is>
          <t>항목</t>
        </is>
      </c>
      <c r="B105" s="55" t="inlineStr">
        <is>
          <t>값</t>
        </is>
      </c>
      <c r="E105" s="55" t="inlineStr">
        <is>
          <t>출처</t>
        </is>
      </c>
    </row>
    <row r="106">
      <c r="A106" s="56" t="inlineStr">
        <is>
          <t>공공</t>
        </is>
      </c>
      <c r="B106" s="57" t="n">
        <v>40.19</v>
      </c>
      <c r="E106" s="58" t="inlineStr">
        <is>
          <t>2단계 보고서 자료(회사 설명회 자료·공시)</t>
        </is>
      </c>
    </row>
    <row r="107">
      <c r="A107" s="56" t="inlineStr">
        <is>
          <t>민간</t>
        </is>
      </c>
      <c r="B107" s="57" t="n">
        <v>47.06</v>
      </c>
    </row>
    <row r="108">
      <c r="A108" s="56" t="inlineStr">
        <is>
          <t>개발</t>
        </is>
      </c>
      <c r="B108" s="57" t="n">
        <v>40.23</v>
      </c>
    </row>
    <row r="109">
      <c r="A109" s="56" t="inlineStr">
        <is>
          <t>운용</t>
        </is>
      </c>
      <c r="B109" s="57" t="n">
        <v>30.49</v>
      </c>
    </row>
    <row r="110">
      <c r="A110" s="56" t="inlineStr">
        <is>
          <t>보수</t>
        </is>
      </c>
      <c r="B110" s="57" t="n">
        <v>11.89</v>
      </c>
    </row>
    <row r="111">
      <c r="A111" s="56" t="inlineStr">
        <is>
          <t>기기</t>
        </is>
      </c>
      <c r="B111" s="57" t="n">
        <v>0.02</v>
      </c>
    </row>
    <row r="112">
      <c r="A112" s="56" t="inlineStr">
        <is>
          <t>기타</t>
        </is>
      </c>
      <c r="B112" s="57" t="n">
        <v>4.62</v>
      </c>
    </row>
    <row r="114">
      <c r="A114" s="54" t="inlineStr">
        <is>
          <t>service field q · 2026-Q4</t>
        </is>
      </c>
      <c r="B114" s="54" t="n"/>
      <c r="C114" s="54" t="n"/>
      <c r="D114" s="54" t="n"/>
      <c r="E114" s="54" t="n"/>
    </row>
    <row r="115">
      <c r="A115" s="55" t="inlineStr">
        <is>
          <t>항목</t>
        </is>
      </c>
      <c r="B115" s="55" t="inlineStr">
        <is>
          <t>값</t>
        </is>
      </c>
      <c r="E115" s="55" t="inlineStr">
        <is>
          <t>출처</t>
        </is>
      </c>
    </row>
    <row r="116">
      <c r="A116" s="56" t="inlineStr">
        <is>
          <t>공공</t>
        </is>
      </c>
      <c r="B116" s="57" t="n">
        <v>61.45</v>
      </c>
      <c r="E116" s="58" t="inlineStr">
        <is>
          <t>2단계 보고서 자료(회사 설명회 자료·공시)</t>
        </is>
      </c>
    </row>
    <row r="117">
      <c r="A117" s="56" t="inlineStr">
        <is>
          <t>민간</t>
        </is>
      </c>
      <c r="B117" s="57" t="n">
        <v>52.59</v>
      </c>
    </row>
    <row r="118">
      <c r="A118" s="56" t="inlineStr">
        <is>
          <t>개발</t>
        </is>
      </c>
      <c r="B118" s="57" t="n">
        <v>60.44</v>
      </c>
    </row>
    <row r="119">
      <c r="A119" s="56" t="inlineStr">
        <is>
          <t>운용</t>
        </is>
      </c>
      <c r="B119" s="57" t="n">
        <v>31.86</v>
      </c>
    </row>
    <row r="120">
      <c r="A120" s="56" t="inlineStr">
        <is>
          <t>보수</t>
        </is>
      </c>
      <c r="B120" s="57" t="n">
        <v>14.28</v>
      </c>
    </row>
    <row r="121">
      <c r="A121" s="56" t="inlineStr">
        <is>
          <t>기기</t>
        </is>
      </c>
      <c r="B121" s="57" t="n">
        <v>4.02</v>
      </c>
    </row>
    <row r="122">
      <c r="A122" s="56" t="inlineStr">
        <is>
          <t>기타</t>
        </is>
      </c>
      <c r="B122" s="57" t="n">
        <v>3.44</v>
      </c>
    </row>
    <row r="124">
      <c r="A124" s="54" t="inlineStr">
        <is>
          <t>service field q · 2027-Q1</t>
        </is>
      </c>
      <c r="B124" s="54" t="n"/>
      <c r="C124" s="54" t="n"/>
      <c r="D124" s="54" t="n"/>
      <c r="E124" s="54" t="n"/>
    </row>
    <row r="125">
      <c r="A125" s="55" t="inlineStr">
        <is>
          <t>항목</t>
        </is>
      </c>
      <c r="B125" s="55" t="inlineStr">
        <is>
          <t>값</t>
        </is>
      </c>
      <c r="E125" s="55" t="inlineStr">
        <is>
          <t>출처</t>
        </is>
      </c>
    </row>
    <row r="126">
      <c r="A126" s="56" t="inlineStr">
        <is>
          <t>공공</t>
        </is>
      </c>
      <c r="B126" s="57" t="n">
        <v>39.36</v>
      </c>
      <c r="E126" s="58" t="inlineStr">
        <is>
          <t>2단계 보고서 자료(회사 설명회 자료·공시)</t>
        </is>
      </c>
    </row>
    <row r="127">
      <c r="A127" s="56" t="inlineStr">
        <is>
          <t>민간</t>
        </is>
      </c>
      <c r="B127" s="57" t="n">
        <v>47.56</v>
      </c>
    </row>
    <row r="128">
      <c r="A128" s="56" t="inlineStr">
        <is>
          <t>개발</t>
        </is>
      </c>
      <c r="B128" s="57" t="n">
        <v>37.78</v>
      </c>
    </row>
    <row r="129">
      <c r="A129" s="56" t="inlineStr">
        <is>
          <t>운용</t>
        </is>
      </c>
      <c r="B129" s="57" t="n">
        <v>33.54</v>
      </c>
    </row>
    <row r="130">
      <c r="A130" s="56" t="inlineStr">
        <is>
          <t>보수</t>
        </is>
      </c>
      <c r="B130" s="57" t="n">
        <v>11.6</v>
      </c>
    </row>
    <row r="131">
      <c r="A131" s="56" t="inlineStr">
        <is>
          <t>기기</t>
        </is>
      </c>
      <c r="B131" s="57" t="n">
        <v>0.6</v>
      </c>
    </row>
    <row r="132">
      <c r="A132" s="56" t="inlineStr">
        <is>
          <t>기타</t>
        </is>
      </c>
      <c r="B132" s="57" t="n">
        <v>3.38</v>
      </c>
    </row>
    <row r="134">
      <c r="A134" s="54" t="inlineStr">
        <is>
          <t>service field q · 2027-Q2</t>
        </is>
      </c>
      <c r="B134" s="54" t="n"/>
      <c r="C134" s="54" t="n"/>
      <c r="D134" s="54" t="n"/>
      <c r="E134" s="54" t="n"/>
    </row>
    <row r="135">
      <c r="A135" s="55" t="inlineStr">
        <is>
          <t>항목</t>
        </is>
      </c>
      <c r="B135" s="55" t="inlineStr">
        <is>
          <t>값</t>
        </is>
      </c>
      <c r="E135" s="55" t="inlineStr">
        <is>
          <t>출처</t>
        </is>
      </c>
    </row>
    <row r="136">
      <c r="A136" s="56" t="inlineStr">
        <is>
          <t>공공</t>
        </is>
      </c>
      <c r="B136" s="57" t="n">
        <v>53.77</v>
      </c>
      <c r="E136" s="58" t="inlineStr">
        <is>
          <t>2단계 보고서 자료(회사 설명회 자료·공시)</t>
        </is>
      </c>
    </row>
    <row r="137">
      <c r="A137" s="56" t="inlineStr">
        <is>
          <t>민간</t>
        </is>
      </c>
      <c r="B137" s="57" t="n">
        <v>49.13</v>
      </c>
    </row>
    <row r="138">
      <c r="A138" s="56" t="inlineStr">
        <is>
          <t>개발</t>
        </is>
      </c>
      <c r="B138" s="57" t="n">
        <v>52.62</v>
      </c>
    </row>
    <row r="139">
      <c r="A139" s="56" t="inlineStr">
        <is>
          <t>운용</t>
        </is>
      </c>
      <c r="B139" s="57" t="n">
        <v>33.51</v>
      </c>
    </row>
    <row r="140">
      <c r="A140" s="56" t="inlineStr">
        <is>
          <t>보수</t>
        </is>
      </c>
      <c r="B140" s="57" t="n">
        <v>12.33</v>
      </c>
    </row>
    <row r="141">
      <c r="A141" s="56" t="inlineStr">
        <is>
          <t>기기</t>
        </is>
      </c>
      <c r="B141" s="57" t="n">
        <v>0.8</v>
      </c>
    </row>
    <row r="142">
      <c r="A142" s="56" t="inlineStr">
        <is>
          <t>기타</t>
        </is>
      </c>
      <c r="B142" s="57" t="n">
        <v>3.65</v>
      </c>
    </row>
    <row r="144">
      <c r="A144" s="54" t="inlineStr">
        <is>
          <t>bs cf q · 2024-Q1</t>
        </is>
      </c>
      <c r="B144" s="54" t="n"/>
      <c r="C144" s="54" t="n"/>
      <c r="D144" s="54" t="n"/>
      <c r="E144" s="54" t="n"/>
    </row>
    <row r="145">
      <c r="A145" s="55" t="inlineStr">
        <is>
          <t>항목</t>
        </is>
      </c>
      <c r="B145" s="55" t="inlineStr">
        <is>
          <t>값</t>
        </is>
      </c>
      <c r="E145" s="55" t="inlineStr">
        <is>
          <t>출처</t>
        </is>
      </c>
    </row>
    <row r="146">
      <c r="A146" s="56" t="inlineStr">
        <is>
          <t>nonop in</t>
        </is>
      </c>
      <c r="B146" s="57" t="n">
        <v>0.25</v>
      </c>
      <c r="E146" s="58" t="inlineStr">
        <is>
          <t>2단계 보고서 자료(회사 설명회 자료·공시)</t>
        </is>
      </c>
    </row>
    <row r="147">
      <c r="A147" s="56" t="inlineStr">
        <is>
          <t>nonop ex</t>
        </is>
      </c>
      <c r="B147" s="57" t="n">
        <v>0</v>
      </c>
    </row>
    <row r="148">
      <c r="A148" s="56" t="inlineStr">
        <is>
          <t>sp in</t>
        </is>
      </c>
      <c r="B148" s="57" t="n">
        <v>0</v>
      </c>
    </row>
    <row r="149">
      <c r="A149" s="56" t="inlineStr">
        <is>
          <t>sp ex</t>
        </is>
      </c>
      <c r="B149" s="57" t="n">
        <v>0.01</v>
      </c>
    </row>
    <row r="150">
      <c r="A150" s="56" t="inlineStr">
        <is>
          <t>dep</t>
        </is>
      </c>
      <c r="B150" s="57" t="n">
        <v>4.26</v>
      </c>
    </row>
    <row r="151">
      <c r="A151" s="56" t="inlineStr">
        <is>
          <t>rcv</t>
        </is>
      </c>
      <c r="B151" s="57" t="n">
        <v>60.06</v>
      </c>
    </row>
    <row r="152">
      <c r="A152" s="56" t="inlineStr">
        <is>
          <t>wip</t>
        </is>
      </c>
      <c r="B152" s="57" t="n">
        <v>4.51</v>
      </c>
    </row>
    <row r="153">
      <c r="A153" s="56" t="inlineStr">
        <is>
          <t>cash</t>
        </is>
      </c>
      <c r="B153" s="57" t="n">
        <v>145.89</v>
      </c>
    </row>
    <row r="154">
      <c r="A154" s="56" t="inlineStr">
        <is>
          <t>soft</t>
        </is>
      </c>
      <c r="B154" s="57" t="n">
        <v>22.46</v>
      </c>
    </row>
    <row r="155">
      <c r="A155" s="56" t="inlineStr">
        <is>
          <t>adv</t>
        </is>
      </c>
      <c r="B155" s="57" t="n">
        <v>4.73</v>
      </c>
    </row>
    <row r="156">
      <c r="A156" s="56" t="inlineStr">
        <is>
          <t>loss</t>
        </is>
      </c>
      <c r="B156" s="57" t="n">
        <v>0.45</v>
      </c>
    </row>
    <row r="157">
      <c r="A157" s="56" t="inlineStr">
        <is>
          <t>capx</t>
        </is>
      </c>
      <c r="B157" s="57" t="n">
        <v>1.81</v>
      </c>
    </row>
    <row r="158">
      <c r="A158" s="56" t="inlineStr">
        <is>
          <t>int inc</t>
        </is>
      </c>
      <c r="B158" s="57" t="n">
        <v>0.13</v>
      </c>
    </row>
    <row r="159">
      <c r="A159" s="56" t="inlineStr">
        <is>
          <t>div</t>
        </is>
      </c>
      <c r="B159" s="57" t="n">
        <v>0.05</v>
      </c>
    </row>
    <row r="160">
      <c r="A160" s="56" t="inlineStr">
        <is>
          <t>int ex</t>
        </is>
      </c>
      <c r="B160" s="57" t="n">
        <v>0</v>
      </c>
    </row>
    <row r="162">
      <c r="A162" s="54" t="inlineStr">
        <is>
          <t>bs cf q · 2024-Q2</t>
        </is>
      </c>
      <c r="B162" s="54" t="n"/>
      <c r="C162" s="54" t="n"/>
      <c r="D162" s="54" t="n"/>
      <c r="E162" s="54" t="n"/>
    </row>
    <row r="163">
      <c r="A163" s="55" t="inlineStr">
        <is>
          <t>항목</t>
        </is>
      </c>
      <c r="B163" s="55" t="inlineStr">
        <is>
          <t>값</t>
        </is>
      </c>
      <c r="E163" s="55" t="inlineStr">
        <is>
          <t>출처</t>
        </is>
      </c>
    </row>
    <row r="164">
      <c r="A164" s="56" t="inlineStr">
        <is>
          <t>nonop in</t>
        </is>
      </c>
      <c r="B164" s="57" t="n">
        <v>0.17</v>
      </c>
      <c r="E164" s="58" t="inlineStr">
        <is>
          <t>2단계 보고서 자료(회사 설명회 자료·공시)</t>
        </is>
      </c>
    </row>
    <row r="165">
      <c r="A165" s="56" t="inlineStr">
        <is>
          <t>nonop ex</t>
        </is>
      </c>
      <c r="B165" s="57" t="n">
        <v>0.08</v>
      </c>
    </row>
    <row r="166">
      <c r="A166" s="56" t="inlineStr">
        <is>
          <t>sp in</t>
        </is>
      </c>
      <c r="B166" s="57" t="n">
        <v>0.18</v>
      </c>
    </row>
    <row r="167">
      <c r="A167" s="56" t="inlineStr">
        <is>
          <t>sp ex</t>
        </is>
      </c>
      <c r="B167" s="57" t="n">
        <v>0.03</v>
      </c>
    </row>
    <row r="168">
      <c r="A168" s="56" t="inlineStr">
        <is>
          <t>dep</t>
        </is>
      </c>
      <c r="B168" s="57" t="n">
        <v>4.47</v>
      </c>
    </row>
    <row r="169">
      <c r="A169" s="56" t="inlineStr">
        <is>
          <t>rcv</t>
        </is>
      </c>
      <c r="B169" s="57" t="n">
        <v>82.05</v>
      </c>
    </row>
    <row r="170">
      <c r="A170" s="56" t="inlineStr">
        <is>
          <t>wip</t>
        </is>
      </c>
      <c r="B170" s="57" t="n">
        <v>6.75</v>
      </c>
    </row>
    <row r="171">
      <c r="A171" s="56" t="inlineStr">
        <is>
          <t>cash</t>
        </is>
      </c>
      <c r="B171" s="57" t="n">
        <v>96.91</v>
      </c>
    </row>
    <row r="172">
      <c r="A172" s="56" t="inlineStr">
        <is>
          <t>soft</t>
        </is>
      </c>
      <c r="B172" s="57" t="n">
        <v>23.03</v>
      </c>
    </row>
    <row r="173">
      <c r="A173" s="56" t="inlineStr">
        <is>
          <t>adv</t>
        </is>
      </c>
      <c r="B173" s="57" t="n">
        <v>5.97</v>
      </c>
    </row>
    <row r="174">
      <c r="A174" s="56" t="inlineStr">
        <is>
          <t>loss</t>
        </is>
      </c>
      <c r="B174" s="57" t="n">
        <v>0.42</v>
      </c>
    </row>
    <row r="175">
      <c r="A175" s="56" t="inlineStr">
        <is>
          <t>capx</t>
        </is>
      </c>
      <c r="B175" s="57" t="n">
        <v>2.37</v>
      </c>
    </row>
    <row r="176">
      <c r="A176" s="56" t="inlineStr">
        <is>
          <t>int inc</t>
        </is>
      </c>
      <c r="B176" s="57" t="n">
        <v>0.13</v>
      </c>
    </row>
    <row r="177">
      <c r="A177" s="56" t="inlineStr">
        <is>
          <t>div</t>
        </is>
      </c>
      <c r="B177" s="57" t="n">
        <v>0.01</v>
      </c>
    </row>
    <row r="178">
      <c r="A178" s="56" t="inlineStr">
        <is>
          <t>int ex</t>
        </is>
      </c>
      <c r="B178" s="57" t="n">
        <v>0</v>
      </c>
    </row>
    <row r="180">
      <c r="A180" s="54" t="inlineStr">
        <is>
          <t>bs cf q · 2024-Q3</t>
        </is>
      </c>
      <c r="B180" s="54" t="n"/>
      <c r="C180" s="54" t="n"/>
      <c r="D180" s="54" t="n"/>
      <c r="E180" s="54" t="n"/>
    </row>
    <row r="181">
      <c r="A181" s="55" t="inlineStr">
        <is>
          <t>항목</t>
        </is>
      </c>
      <c r="B181" s="55" t="inlineStr">
        <is>
          <t>값</t>
        </is>
      </c>
      <c r="E181" s="55" t="inlineStr">
        <is>
          <t>출처</t>
        </is>
      </c>
    </row>
    <row r="182">
      <c r="A182" s="56" t="inlineStr">
        <is>
          <t>nonop in</t>
        </is>
      </c>
      <c r="B182" s="57" t="n">
        <v>0.5</v>
      </c>
      <c r="E182" s="58" t="inlineStr">
        <is>
          <t>2단계 보고서 자료(회사 설명회 자료·공시)</t>
        </is>
      </c>
    </row>
    <row r="183">
      <c r="A183" s="56" t="inlineStr">
        <is>
          <t>nonop ex</t>
        </is>
      </c>
      <c r="B183" s="57" t="n">
        <v>0.05</v>
      </c>
    </row>
    <row r="184">
      <c r="A184" s="56" t="inlineStr">
        <is>
          <t>sp in</t>
        </is>
      </c>
      <c r="B184" s="57" t="n">
        <v>0.06</v>
      </c>
    </row>
    <row r="185">
      <c r="A185" s="56" t="inlineStr">
        <is>
          <t>sp ex</t>
        </is>
      </c>
      <c r="B185" s="57" t="n">
        <v>0.02</v>
      </c>
    </row>
    <row r="186">
      <c r="A186" s="56" t="inlineStr">
        <is>
          <t>dep</t>
        </is>
      </c>
      <c r="B186" s="57" t="n">
        <v>4.63</v>
      </c>
    </row>
    <row r="187">
      <c r="A187" s="56" t="inlineStr">
        <is>
          <t>rcv</t>
        </is>
      </c>
      <c r="B187" s="57" t="n">
        <v>83.28</v>
      </c>
    </row>
    <row r="188">
      <c r="A188" s="56" t="inlineStr">
        <is>
          <t>wip</t>
        </is>
      </c>
      <c r="B188" s="57" t="n">
        <v>6.37</v>
      </c>
    </row>
    <row r="189">
      <c r="A189" s="56" t="inlineStr">
        <is>
          <t>cash</t>
        </is>
      </c>
      <c r="B189" s="57" t="n">
        <v>75.88</v>
      </c>
    </row>
    <row r="190">
      <c r="A190" s="56" t="inlineStr">
        <is>
          <t>soft</t>
        </is>
      </c>
      <c r="B190" s="57" t="n">
        <v>24.77</v>
      </c>
    </row>
    <row r="191">
      <c r="A191" s="56" t="inlineStr">
        <is>
          <t>adv</t>
        </is>
      </c>
      <c r="B191" s="57" t="n">
        <v>2.17</v>
      </c>
    </row>
    <row r="192">
      <c r="A192" s="56" t="inlineStr">
        <is>
          <t>loss</t>
        </is>
      </c>
      <c r="B192" s="57" t="n">
        <v>0.41</v>
      </c>
    </row>
    <row r="193">
      <c r="A193" s="56" t="inlineStr">
        <is>
          <t>capx</t>
        </is>
      </c>
      <c r="B193" s="57" t="n">
        <v>3.47</v>
      </c>
    </row>
    <row r="194">
      <c r="A194" s="56" t="inlineStr">
        <is>
          <t>int inc</t>
        </is>
      </c>
      <c r="B194" s="57" t="n">
        <v>0.13</v>
      </c>
    </row>
    <row r="195">
      <c r="A195" s="56" t="inlineStr">
        <is>
          <t>div</t>
        </is>
      </c>
      <c r="B195" s="57" t="n">
        <v>0.21</v>
      </c>
    </row>
    <row r="196">
      <c r="A196" s="56" t="inlineStr">
        <is>
          <t>int ex</t>
        </is>
      </c>
      <c r="B196" s="57" t="n">
        <v>0.05</v>
      </c>
    </row>
    <row r="198">
      <c r="A198" s="54" t="inlineStr">
        <is>
          <t>bs cf q · 2024-Q4</t>
        </is>
      </c>
      <c r="B198" s="54" t="n"/>
      <c r="C198" s="54" t="n"/>
      <c r="D198" s="54" t="n"/>
      <c r="E198" s="54" t="n"/>
    </row>
    <row r="199">
      <c r="A199" s="55" t="inlineStr">
        <is>
          <t>항목</t>
        </is>
      </c>
      <c r="B199" s="55" t="inlineStr">
        <is>
          <t>값</t>
        </is>
      </c>
      <c r="E199" s="55" t="inlineStr">
        <is>
          <t>출처</t>
        </is>
      </c>
    </row>
    <row r="200">
      <c r="A200" s="56" t="inlineStr">
        <is>
          <t>nonop in</t>
        </is>
      </c>
      <c r="B200" s="57" t="n">
        <v>0.2</v>
      </c>
      <c r="E200" s="58" t="inlineStr">
        <is>
          <t>2단계 보고서 자료(회사 설명회 자료·공시)</t>
        </is>
      </c>
    </row>
    <row r="201">
      <c r="A201" s="56" t="inlineStr">
        <is>
          <t>nonop ex</t>
        </is>
      </c>
      <c r="B201" s="57" t="n">
        <v>2.44</v>
      </c>
    </row>
    <row r="202">
      <c r="A202" s="56" t="inlineStr">
        <is>
          <t>sp in</t>
        </is>
      </c>
      <c r="B202" s="57" t="n">
        <v>0</v>
      </c>
    </row>
    <row r="203">
      <c r="A203" s="56" t="inlineStr">
        <is>
          <t>sp ex</t>
        </is>
      </c>
      <c r="B203" s="57" t="n">
        <v>0.78</v>
      </c>
    </row>
    <row r="204">
      <c r="A204" s="56" t="inlineStr">
        <is>
          <t>dep</t>
        </is>
      </c>
      <c r="B204" s="57" t="n">
        <v>6.57</v>
      </c>
    </row>
    <row r="205">
      <c r="A205" s="56" t="inlineStr">
        <is>
          <t>rcv</t>
        </is>
      </c>
      <c r="B205" s="57" t="n">
        <v>118.55</v>
      </c>
    </row>
    <row r="206">
      <c r="A206" s="56" t="inlineStr">
        <is>
          <t>wip</t>
        </is>
      </c>
      <c r="B206" s="57" t="n">
        <v>3.83</v>
      </c>
    </row>
    <row r="207">
      <c r="A207" s="56" t="inlineStr">
        <is>
          <t>cash</t>
        </is>
      </c>
      <c r="B207" s="57" t="n">
        <v>64.79000000000001</v>
      </c>
    </row>
    <row r="208">
      <c r="A208" s="56" t="inlineStr">
        <is>
          <t>soft</t>
        </is>
      </c>
      <c r="B208" s="57" t="n">
        <v>24.98</v>
      </c>
    </row>
    <row r="209">
      <c r="A209" s="56" t="inlineStr">
        <is>
          <t>adv</t>
        </is>
      </c>
      <c r="B209" s="57" t="n">
        <v>1.29</v>
      </c>
    </row>
    <row r="210">
      <c r="A210" s="56" t="inlineStr">
        <is>
          <t>loss</t>
        </is>
      </c>
      <c r="B210" s="57" t="n">
        <v>0.49</v>
      </c>
    </row>
    <row r="211">
      <c r="A211" s="56" t="inlineStr">
        <is>
          <t>capx</t>
        </is>
      </c>
      <c r="B211" s="57" t="n">
        <v>2.83</v>
      </c>
    </row>
    <row r="212">
      <c r="A212" s="56" t="inlineStr">
        <is>
          <t>int inc</t>
        </is>
      </c>
      <c r="B212" s="57" t="n">
        <v>0.13</v>
      </c>
    </row>
    <row r="213">
      <c r="A213" s="56" t="inlineStr">
        <is>
          <t>div</t>
        </is>
      </c>
      <c r="B213" s="57" t="n">
        <v>0</v>
      </c>
    </row>
    <row r="214">
      <c r="A214" s="56" t="inlineStr">
        <is>
          <t>int ex</t>
        </is>
      </c>
      <c r="B214" s="57" t="n">
        <v>0.06</v>
      </c>
    </row>
    <row r="216">
      <c r="A216" s="54" t="inlineStr">
        <is>
          <t>bs cf q · 2025-Q1</t>
        </is>
      </c>
      <c r="B216" s="54" t="n"/>
      <c r="C216" s="54" t="n"/>
      <c r="D216" s="54" t="n"/>
      <c r="E216" s="54" t="n"/>
    </row>
    <row r="217">
      <c r="A217" s="55" t="inlineStr">
        <is>
          <t>항목</t>
        </is>
      </c>
      <c r="B217" s="55" t="inlineStr">
        <is>
          <t>값</t>
        </is>
      </c>
      <c r="E217" s="55" t="inlineStr">
        <is>
          <t>출처</t>
        </is>
      </c>
    </row>
    <row r="218">
      <c r="A218" s="56" t="inlineStr">
        <is>
          <t>nonop in</t>
        </is>
      </c>
      <c r="B218" s="57" t="n">
        <v>0.27</v>
      </c>
      <c r="E218" s="58" t="inlineStr">
        <is>
          <t>2단계 보고서 자료(회사 설명회 자료·공시)</t>
        </is>
      </c>
    </row>
    <row r="219">
      <c r="A219" s="56" t="inlineStr">
        <is>
          <t>nonop ex</t>
        </is>
      </c>
      <c r="B219" s="57" t="n">
        <v>0.1</v>
      </c>
    </row>
    <row r="220">
      <c r="A220" s="56" t="inlineStr">
        <is>
          <t>sp in</t>
        </is>
      </c>
      <c r="B220" s="57" t="n">
        <v>0</v>
      </c>
    </row>
    <row r="221">
      <c r="A221" s="56" t="inlineStr">
        <is>
          <t>sp ex</t>
        </is>
      </c>
      <c r="B221" s="57" t="n">
        <v>0.68</v>
      </c>
    </row>
    <row r="222">
      <c r="A222" s="56" t="inlineStr">
        <is>
          <t>dep</t>
        </is>
      </c>
      <c r="B222" s="57" t="n">
        <v>4.38</v>
      </c>
    </row>
    <row r="223">
      <c r="A223" s="56" t="inlineStr">
        <is>
          <t>rcv</t>
        </is>
      </c>
      <c r="B223" s="57" t="n">
        <v>57.69</v>
      </c>
    </row>
    <row r="224">
      <c r="A224" s="56" t="inlineStr">
        <is>
          <t>wip</t>
        </is>
      </c>
      <c r="B224" s="57" t="n">
        <v>5.84</v>
      </c>
    </row>
    <row r="225">
      <c r="A225" s="56" t="inlineStr">
        <is>
          <t>cash</t>
        </is>
      </c>
      <c r="B225" s="57" t="n">
        <v>103.82</v>
      </c>
    </row>
    <row r="226">
      <c r="A226" s="56" t="inlineStr">
        <is>
          <t>soft</t>
        </is>
      </c>
      <c r="B226" s="57" t="n">
        <v>26.73</v>
      </c>
    </row>
    <row r="227">
      <c r="A227" s="56" t="inlineStr">
        <is>
          <t>adv</t>
        </is>
      </c>
      <c r="B227" s="57" t="n">
        <v>4.41</v>
      </c>
    </row>
    <row r="228">
      <c r="A228" s="56" t="inlineStr">
        <is>
          <t>loss</t>
        </is>
      </c>
      <c r="B228" s="57" t="n">
        <v>0.85</v>
      </c>
    </row>
    <row r="229">
      <c r="A229" s="56" t="inlineStr">
        <is>
          <t>capx</t>
        </is>
      </c>
      <c r="B229" s="57" t="n">
        <v>3.33</v>
      </c>
    </row>
    <row r="230">
      <c r="A230" s="56" t="inlineStr">
        <is>
          <t>int inc</t>
        </is>
      </c>
      <c r="B230" s="57" t="n">
        <v>0.13</v>
      </c>
    </row>
    <row r="231">
      <c r="A231" s="56" t="inlineStr">
        <is>
          <t>div</t>
        </is>
      </c>
      <c r="B231" s="57" t="n">
        <v>0.07000000000000001</v>
      </c>
    </row>
    <row r="232">
      <c r="A232" s="56" t="inlineStr">
        <is>
          <t>int ex</t>
        </is>
      </c>
      <c r="B232" s="57" t="n">
        <v>0.07000000000000001</v>
      </c>
    </row>
    <row r="234">
      <c r="A234" s="54" t="inlineStr">
        <is>
          <t>bs cf q · 2025-Q2</t>
        </is>
      </c>
      <c r="B234" s="54" t="n"/>
      <c r="C234" s="54" t="n"/>
      <c r="D234" s="54" t="n"/>
      <c r="E234" s="54" t="n"/>
    </row>
    <row r="235">
      <c r="A235" s="55" t="inlineStr">
        <is>
          <t>항목</t>
        </is>
      </c>
      <c r="B235" s="55" t="inlineStr">
        <is>
          <t>값</t>
        </is>
      </c>
      <c r="E235" s="55" t="inlineStr">
        <is>
          <t>출처</t>
        </is>
      </c>
    </row>
    <row r="236">
      <c r="A236" s="56" t="inlineStr">
        <is>
          <t>nonop in</t>
        </is>
      </c>
      <c r="B236" s="57" t="n">
        <v>0.18</v>
      </c>
      <c r="E236" s="58" t="inlineStr">
        <is>
          <t>2단계 보고서 자료(회사 설명회 자료·공시)</t>
        </is>
      </c>
    </row>
    <row r="237">
      <c r="A237" s="56" t="inlineStr">
        <is>
          <t>nonop ex</t>
        </is>
      </c>
      <c r="B237" s="57" t="n">
        <v>0.13</v>
      </c>
    </row>
    <row r="238">
      <c r="A238" s="56" t="inlineStr">
        <is>
          <t>sp in</t>
        </is>
      </c>
      <c r="B238" s="57" t="n">
        <v>0</v>
      </c>
    </row>
    <row r="239">
      <c r="A239" s="56" t="inlineStr">
        <is>
          <t>sp ex</t>
        </is>
      </c>
      <c r="B239" s="57" t="n">
        <v>0.54</v>
      </c>
    </row>
    <row r="240">
      <c r="A240" s="56" t="inlineStr">
        <is>
          <t>dep</t>
        </is>
      </c>
      <c r="B240" s="57" t="n">
        <v>4.96</v>
      </c>
    </row>
    <row r="241">
      <c r="A241" s="56" t="inlineStr">
        <is>
          <t>rcv</t>
        </is>
      </c>
      <c r="B241" s="57" t="n">
        <v>88.8</v>
      </c>
    </row>
    <row r="242">
      <c r="A242" s="56" t="inlineStr">
        <is>
          <t>wip</t>
        </is>
      </c>
      <c r="B242" s="57" t="n">
        <v>6.16</v>
      </c>
    </row>
    <row r="243">
      <c r="A243" s="56" t="inlineStr">
        <is>
          <t>cash</t>
        </is>
      </c>
      <c r="B243" s="57" t="n">
        <v>78.87</v>
      </c>
    </row>
    <row r="244">
      <c r="A244" s="56" t="inlineStr">
        <is>
          <t>soft</t>
        </is>
      </c>
      <c r="B244" s="57" t="n">
        <v>29.14</v>
      </c>
    </row>
    <row r="245">
      <c r="A245" s="56" t="inlineStr">
        <is>
          <t>adv</t>
        </is>
      </c>
      <c r="B245" s="57" t="n">
        <v>1.55</v>
      </c>
    </row>
    <row r="246">
      <c r="A246" s="56" t="inlineStr">
        <is>
          <t>loss</t>
        </is>
      </c>
      <c r="B246" s="57" t="n">
        <v>0.65</v>
      </c>
    </row>
    <row r="247">
      <c r="A247" s="56" t="inlineStr">
        <is>
          <t>capx</t>
        </is>
      </c>
      <c r="B247" s="57" t="n">
        <v>4.62</v>
      </c>
    </row>
    <row r="248">
      <c r="A248" s="56" t="inlineStr">
        <is>
          <t>int inc</t>
        </is>
      </c>
      <c r="B248" s="57" t="n">
        <v>0.13</v>
      </c>
    </row>
    <row r="249">
      <c r="A249" s="56" t="inlineStr">
        <is>
          <t>div</t>
        </is>
      </c>
      <c r="B249" s="57" t="n">
        <v>0</v>
      </c>
    </row>
    <row r="250">
      <c r="A250" s="56" t="inlineStr">
        <is>
          <t>int ex</t>
        </is>
      </c>
      <c r="B250" s="57" t="n">
        <v>0.08</v>
      </c>
    </row>
    <row r="252">
      <c r="A252" s="54" t="inlineStr">
        <is>
          <t>bs cf q · 2025-Q3</t>
        </is>
      </c>
      <c r="B252" s="54" t="n"/>
      <c r="C252" s="54" t="n"/>
      <c r="D252" s="54" t="n"/>
      <c r="E252" s="54" t="n"/>
    </row>
    <row r="253">
      <c r="A253" s="55" t="inlineStr">
        <is>
          <t>항목</t>
        </is>
      </c>
      <c r="B253" s="55" t="inlineStr">
        <is>
          <t>값</t>
        </is>
      </c>
      <c r="E253" s="55" t="inlineStr">
        <is>
          <t>출처</t>
        </is>
      </c>
    </row>
    <row r="254">
      <c r="A254" s="56" t="inlineStr">
        <is>
          <t>nonop in</t>
        </is>
      </c>
      <c r="B254" s="57" t="n">
        <v>0.48</v>
      </c>
      <c r="E254" s="58" t="inlineStr">
        <is>
          <t>2단계 보고서 자료(회사 설명회 자료·공시)</t>
        </is>
      </c>
    </row>
    <row r="255">
      <c r="A255" s="56" t="inlineStr">
        <is>
          <t>nonop ex</t>
        </is>
      </c>
      <c r="B255" s="57" t="n">
        <v>0.14</v>
      </c>
    </row>
    <row r="256">
      <c r="A256" s="56" t="inlineStr">
        <is>
          <t>sp in</t>
        </is>
      </c>
      <c r="B256" s="57" t="n">
        <v>0</v>
      </c>
    </row>
    <row r="257">
      <c r="A257" s="56" t="inlineStr">
        <is>
          <t>sp ex</t>
        </is>
      </c>
      <c r="B257" s="57" t="n">
        <v>0</v>
      </c>
    </row>
    <row r="258">
      <c r="A258" s="56" t="inlineStr">
        <is>
          <t>dep</t>
        </is>
      </c>
      <c r="B258" s="57" t="n">
        <v>4.45</v>
      </c>
    </row>
    <row r="259">
      <c r="A259" s="56" t="inlineStr">
        <is>
          <t>rcv</t>
        </is>
      </c>
      <c r="B259" s="57" t="n">
        <v>96.78</v>
      </c>
    </row>
    <row r="260">
      <c r="A260" s="56" t="inlineStr">
        <is>
          <t>wip</t>
        </is>
      </c>
      <c r="B260" s="57" t="n">
        <v>6.89</v>
      </c>
    </row>
    <row r="261">
      <c r="A261" s="56" t="inlineStr">
        <is>
          <t>cash</t>
        </is>
      </c>
      <c r="B261" s="57" t="n">
        <v>61.4</v>
      </c>
    </row>
    <row r="262">
      <c r="A262" s="56" t="inlineStr">
        <is>
          <t>soft</t>
        </is>
      </c>
      <c r="B262" s="57" t="n">
        <v>32.27</v>
      </c>
    </row>
    <row r="263">
      <c r="A263" s="56" t="inlineStr">
        <is>
          <t>adv</t>
        </is>
      </c>
      <c r="B263" s="57" t="n">
        <v>2.07</v>
      </c>
    </row>
    <row r="264">
      <c r="A264" s="56" t="inlineStr">
        <is>
          <t>loss</t>
        </is>
      </c>
      <c r="B264" s="57" t="n">
        <v>0.54</v>
      </c>
    </row>
    <row r="265">
      <c r="A265" s="56" t="inlineStr">
        <is>
          <t>capx</t>
        </is>
      </c>
      <c r="B265" s="57" t="n">
        <v>4.53</v>
      </c>
    </row>
    <row r="266">
      <c r="A266" s="56" t="inlineStr">
        <is>
          <t>int inc</t>
        </is>
      </c>
      <c r="B266" s="57" t="n">
        <v>0.12</v>
      </c>
    </row>
    <row r="267">
      <c r="A267" s="56" t="inlineStr">
        <is>
          <t>div</t>
        </is>
      </c>
      <c r="B267" s="57" t="n">
        <v>0.16</v>
      </c>
    </row>
    <row r="268">
      <c r="A268" s="56" t="inlineStr">
        <is>
          <t>int ex</t>
        </is>
      </c>
      <c r="B268" s="57" t="n">
        <v>0.1</v>
      </c>
    </row>
    <row r="270">
      <c r="A270" s="54" t="inlineStr">
        <is>
          <t>bs cf q · 2025-Q4</t>
        </is>
      </c>
      <c r="B270" s="54" t="n"/>
      <c r="C270" s="54" t="n"/>
      <c r="D270" s="54" t="n"/>
      <c r="E270" s="54" t="n"/>
    </row>
    <row r="271">
      <c r="A271" s="55" t="inlineStr">
        <is>
          <t>항목</t>
        </is>
      </c>
      <c r="B271" s="55" t="inlineStr">
        <is>
          <t>값</t>
        </is>
      </c>
      <c r="E271" s="55" t="inlineStr">
        <is>
          <t>출처</t>
        </is>
      </c>
    </row>
    <row r="272">
      <c r="A272" s="56" t="inlineStr">
        <is>
          <t>nonop in</t>
        </is>
      </c>
      <c r="B272" s="57" t="n">
        <v>0.4</v>
      </c>
      <c r="E272" s="58" t="inlineStr">
        <is>
          <t>2단계 보고서 자료(회사 설명회 자료·공시)</t>
        </is>
      </c>
    </row>
    <row r="273">
      <c r="A273" s="56" t="inlineStr">
        <is>
          <t>nonop ex</t>
        </is>
      </c>
      <c r="B273" s="57" t="n">
        <v>0.24</v>
      </c>
    </row>
    <row r="274">
      <c r="A274" s="56" t="inlineStr">
        <is>
          <t>sp in</t>
        </is>
      </c>
      <c r="B274" s="57" t="n">
        <v>0.18</v>
      </c>
    </row>
    <row r="275">
      <c r="A275" s="56" t="inlineStr">
        <is>
          <t>sp ex</t>
        </is>
      </c>
      <c r="B275" s="57" t="n">
        <v>-0.08</v>
      </c>
    </row>
    <row r="276">
      <c r="A276" s="56" t="inlineStr">
        <is>
          <t>dep</t>
        </is>
      </c>
      <c r="B276" s="57" t="n">
        <v>5.38</v>
      </c>
    </row>
    <row r="277">
      <c r="A277" s="56" t="inlineStr">
        <is>
          <t>rcv</t>
        </is>
      </c>
      <c r="B277" s="57" t="n">
        <v>154.73</v>
      </c>
    </row>
    <row r="278">
      <c r="A278" s="56" t="inlineStr">
        <is>
          <t>wip</t>
        </is>
      </c>
      <c r="B278" s="57" t="n">
        <v>3.83</v>
      </c>
    </row>
    <row r="279">
      <c r="A279" s="56" t="inlineStr">
        <is>
          <t>cash</t>
        </is>
      </c>
      <c r="B279" s="57" t="n">
        <v>82.05</v>
      </c>
    </row>
    <row r="280">
      <c r="A280" s="56" t="inlineStr">
        <is>
          <t>soft</t>
        </is>
      </c>
      <c r="B280" s="57" t="n">
        <v>32.16</v>
      </c>
    </row>
    <row r="281">
      <c r="A281" s="56" t="inlineStr">
        <is>
          <t>adv</t>
        </is>
      </c>
      <c r="B281" s="57" t="n">
        <v>1.36</v>
      </c>
    </row>
    <row r="282">
      <c r="A282" s="56" t="inlineStr">
        <is>
          <t>loss</t>
        </is>
      </c>
      <c r="B282" s="57" t="n">
        <v>0</v>
      </c>
    </row>
    <row r="283">
      <c r="A283" s="56" t="inlineStr">
        <is>
          <t>capx</t>
        </is>
      </c>
      <c r="B283" s="57" t="n">
        <v>2.6</v>
      </c>
    </row>
    <row r="284">
      <c r="A284" s="56" t="inlineStr">
        <is>
          <t>int inc</t>
        </is>
      </c>
      <c r="B284" s="57" t="n">
        <v>0.13</v>
      </c>
    </row>
    <row r="285">
      <c r="A285" s="56" t="inlineStr">
        <is>
          <t>div</t>
        </is>
      </c>
      <c r="B285" s="57" t="n">
        <v>0.14</v>
      </c>
    </row>
    <row r="286">
      <c r="A286" s="56" t="inlineStr">
        <is>
          <t>int ex</t>
        </is>
      </c>
      <c r="B286" s="57" t="n">
        <v>0.15</v>
      </c>
    </row>
    <row r="288">
      <c r="A288" s="54" t="inlineStr">
        <is>
          <t>bs cf q · 2026-Q1</t>
        </is>
      </c>
      <c r="B288" s="54" t="n"/>
      <c r="C288" s="54" t="n"/>
      <c r="D288" s="54" t="n"/>
      <c r="E288" s="54" t="n"/>
    </row>
    <row r="289">
      <c r="A289" s="55" t="inlineStr">
        <is>
          <t>항목</t>
        </is>
      </c>
      <c r="B289" s="55" t="inlineStr">
        <is>
          <t>값</t>
        </is>
      </c>
      <c r="E289" s="55" t="inlineStr">
        <is>
          <t>출처</t>
        </is>
      </c>
    </row>
    <row r="290">
      <c r="A290" s="56" t="inlineStr">
        <is>
          <t>nonop in</t>
        </is>
      </c>
      <c r="B290" s="57" t="n">
        <v>0.37</v>
      </c>
      <c r="E290" s="58" t="inlineStr">
        <is>
          <t>2단계 보고서 자료(회사 설명회 자료·공시)</t>
        </is>
      </c>
    </row>
    <row r="291">
      <c r="A291" s="56" t="inlineStr">
        <is>
          <t>nonop ex</t>
        </is>
      </c>
      <c r="B291" s="57" t="n">
        <v>0.2</v>
      </c>
    </row>
    <row r="292">
      <c r="A292" s="56" t="inlineStr">
        <is>
          <t>sp in</t>
        </is>
      </c>
      <c r="B292" s="57" t="n">
        <v>0.02</v>
      </c>
    </row>
    <row r="293">
      <c r="A293" s="56" t="inlineStr">
        <is>
          <t>sp ex</t>
        </is>
      </c>
      <c r="B293" s="57" t="n">
        <v>0</v>
      </c>
    </row>
    <row r="294">
      <c r="A294" s="56" t="inlineStr">
        <is>
          <t>dep</t>
        </is>
      </c>
      <c r="B294" s="57" t="n">
        <v>4.21</v>
      </c>
    </row>
    <row r="295">
      <c r="A295" s="56" t="inlineStr">
        <is>
          <t>rcv</t>
        </is>
      </c>
      <c r="B295" s="57" t="n">
        <v>41.22</v>
      </c>
    </row>
    <row r="296">
      <c r="A296" s="56" t="inlineStr">
        <is>
          <t>wip</t>
        </is>
      </c>
      <c r="B296" s="57" t="n">
        <v>6.12</v>
      </c>
    </row>
    <row r="297">
      <c r="A297" s="56" t="inlineStr">
        <is>
          <t>cash</t>
        </is>
      </c>
      <c r="B297" s="57" t="n">
        <v>141.36</v>
      </c>
    </row>
    <row r="298">
      <c r="A298" s="56" t="inlineStr">
        <is>
          <t>soft</t>
        </is>
      </c>
      <c r="B298" s="57" t="n">
        <v>36.62</v>
      </c>
    </row>
    <row r="299">
      <c r="A299" s="56" t="inlineStr">
        <is>
          <t>adv</t>
        </is>
      </c>
      <c r="B299" s="57" t="n">
        <v>4.05</v>
      </c>
    </row>
    <row r="300">
      <c r="A300" s="56" t="inlineStr">
        <is>
          <t>loss</t>
        </is>
      </c>
      <c r="B300" s="57" t="n">
        <v>0</v>
      </c>
    </row>
    <row r="301">
      <c r="A301" s="56" t="inlineStr">
        <is>
          <t>capx</t>
        </is>
      </c>
      <c r="B301" s="57" t="n">
        <v>6.11</v>
      </c>
    </row>
    <row r="302">
      <c r="A302" s="56" t="inlineStr">
        <is>
          <t>int inc</t>
        </is>
      </c>
      <c r="B302" s="57" t="n">
        <v>0.1</v>
      </c>
    </row>
    <row r="303">
      <c r="A303" s="56" t="inlineStr">
        <is>
          <t>div</t>
        </is>
      </c>
      <c r="B303" s="57" t="n">
        <v>0.14</v>
      </c>
    </row>
    <row r="304">
      <c r="A304" s="56" t="inlineStr">
        <is>
          <t>int ex</t>
        </is>
      </c>
      <c r="B304" s="57" t="n">
        <v>0.16</v>
      </c>
    </row>
    <row r="306">
      <c r="A306" s="54" t="inlineStr">
        <is>
          <t>bs cf q · 2026-Q2</t>
        </is>
      </c>
      <c r="B306" s="54" t="n"/>
      <c r="C306" s="54" t="n"/>
      <c r="D306" s="54" t="n"/>
      <c r="E306" s="54" t="n"/>
    </row>
    <row r="307">
      <c r="A307" s="55" t="inlineStr">
        <is>
          <t>항목</t>
        </is>
      </c>
      <c r="B307" s="55" t="inlineStr">
        <is>
          <t>값</t>
        </is>
      </c>
      <c r="E307" s="55" t="inlineStr">
        <is>
          <t>출처</t>
        </is>
      </c>
    </row>
    <row r="308">
      <c r="A308" s="56" t="inlineStr">
        <is>
          <t>nonop in</t>
        </is>
      </c>
      <c r="B308" s="57" t="n">
        <v>1.18</v>
      </c>
      <c r="E308" s="58" t="inlineStr">
        <is>
          <t>2단계 보고서 자료(회사 설명회 자료·공시)</t>
        </is>
      </c>
    </row>
    <row r="309">
      <c r="A309" s="56" t="inlineStr">
        <is>
          <t>nonop ex</t>
        </is>
      </c>
      <c r="B309" s="57" t="n">
        <v>0.16</v>
      </c>
    </row>
    <row r="310">
      <c r="A310" s="56" t="inlineStr">
        <is>
          <t>sp in</t>
        </is>
      </c>
      <c r="B310" s="57" t="n">
        <v>0.01</v>
      </c>
    </row>
    <row r="311">
      <c r="A311" s="56" t="inlineStr">
        <is>
          <t>sp ex</t>
        </is>
      </c>
      <c r="B311" s="57" t="n">
        <v>0.06</v>
      </c>
    </row>
    <row r="312">
      <c r="A312" s="56" t="inlineStr">
        <is>
          <t>dep</t>
        </is>
      </c>
      <c r="B312" s="57" t="n">
        <v>4.37</v>
      </c>
    </row>
    <row r="313">
      <c r="A313" s="56" t="inlineStr">
        <is>
          <t>rcv</t>
        </is>
      </c>
      <c r="B313" s="57" t="n">
        <v>68.37</v>
      </c>
    </row>
    <row r="314">
      <c r="A314" s="56" t="inlineStr">
        <is>
          <t>wip</t>
        </is>
      </c>
      <c r="B314" s="57" t="n">
        <v>7.96</v>
      </c>
    </row>
    <row r="315">
      <c r="A315" s="56" t="inlineStr">
        <is>
          <t>cash</t>
        </is>
      </c>
      <c r="B315" s="57" t="n">
        <v>99.63</v>
      </c>
    </row>
    <row r="316">
      <c r="A316" s="56" t="inlineStr">
        <is>
          <t>soft</t>
        </is>
      </c>
      <c r="B316" s="57" t="n">
        <v>40.62</v>
      </c>
    </row>
    <row r="317">
      <c r="A317" s="56" t="inlineStr">
        <is>
          <t>adv</t>
        </is>
      </c>
      <c r="B317" s="57" t="n">
        <v>2.72</v>
      </c>
    </row>
    <row r="318">
      <c r="A318" s="56" t="inlineStr">
        <is>
          <t>loss</t>
        </is>
      </c>
      <c r="B318" s="57" t="n">
        <v>0.48</v>
      </c>
    </row>
    <row r="319">
      <c r="A319" s="56" t="inlineStr">
        <is>
          <t>capx</t>
        </is>
      </c>
      <c r="B319" s="57" t="n">
        <v>5.67</v>
      </c>
    </row>
    <row r="320">
      <c r="A320" s="56" t="inlineStr">
        <is>
          <t>int inc</t>
        </is>
      </c>
      <c r="B320" s="57" t="n">
        <v>0.11</v>
      </c>
    </row>
    <row r="321">
      <c r="A321" s="56" t="inlineStr">
        <is>
          <t>div</t>
        </is>
      </c>
      <c r="B321" s="57" t="n">
        <v>0</v>
      </c>
    </row>
    <row r="322">
      <c r="A322" s="56" t="inlineStr">
        <is>
          <t>int ex</t>
        </is>
      </c>
      <c r="B322" s="57" t="n">
        <v>0.13</v>
      </c>
    </row>
    <row r="324">
      <c r="A324" s="54" t="inlineStr">
        <is>
          <t>bs cf q · 2026-Q3</t>
        </is>
      </c>
      <c r="B324" s="54" t="n"/>
      <c r="C324" s="54" t="n"/>
      <c r="D324" s="54" t="n"/>
      <c r="E324" s="54" t="n"/>
    </row>
    <row r="325">
      <c r="A325" s="55" t="inlineStr">
        <is>
          <t>항목</t>
        </is>
      </c>
      <c r="B325" s="55" t="inlineStr">
        <is>
          <t>값</t>
        </is>
      </c>
      <c r="E325" s="55" t="inlineStr">
        <is>
          <t>출처</t>
        </is>
      </c>
    </row>
    <row r="326">
      <c r="A326" s="56" t="inlineStr">
        <is>
          <t>nonop in</t>
        </is>
      </c>
      <c r="B326" s="57" t="n">
        <v>0.73</v>
      </c>
      <c r="E326" s="58" t="inlineStr">
        <is>
          <t>2단계 보고서 자료(회사 설명회 자료·공시)</t>
        </is>
      </c>
    </row>
    <row r="327">
      <c r="A327" s="56" t="inlineStr">
        <is>
          <t>nonop ex</t>
        </is>
      </c>
      <c r="B327" s="57" t="n">
        <v>0.21</v>
      </c>
    </row>
    <row r="328">
      <c r="A328" s="56" t="inlineStr">
        <is>
          <t>sp in</t>
        </is>
      </c>
      <c r="B328" s="57" t="n">
        <v>0</v>
      </c>
    </row>
    <row r="329">
      <c r="A329" s="56" t="inlineStr">
        <is>
          <t>sp ex</t>
        </is>
      </c>
      <c r="B329" s="57" t="n">
        <v>0</v>
      </c>
    </row>
    <row r="330">
      <c r="A330" s="56" t="inlineStr">
        <is>
          <t>dep</t>
        </is>
      </c>
      <c r="B330" s="57" t="n">
        <v>4.06</v>
      </c>
    </row>
    <row r="331">
      <c r="A331" s="56" t="inlineStr">
        <is>
          <t>rcv</t>
        </is>
      </c>
      <c r="B331" s="57" t="n">
        <v>75.81999999999999</v>
      </c>
    </row>
    <row r="332">
      <c r="A332" s="56" t="inlineStr">
        <is>
          <t>wip</t>
        </is>
      </c>
      <c r="B332" s="57" t="n">
        <v>9.69</v>
      </c>
    </row>
    <row r="333">
      <c r="A333" s="56" t="inlineStr">
        <is>
          <t>cash</t>
        </is>
      </c>
      <c r="B333" s="57" t="n">
        <v>88.59999999999999</v>
      </c>
    </row>
    <row r="334">
      <c r="A334" s="56" t="inlineStr">
        <is>
          <t>soft</t>
        </is>
      </c>
      <c r="B334" s="57" t="n">
        <v>43.82</v>
      </c>
    </row>
    <row r="335">
      <c r="A335" s="56" t="inlineStr">
        <is>
          <t>adv</t>
        </is>
      </c>
      <c r="B335" s="57" t="n">
        <v>1.94</v>
      </c>
    </row>
    <row r="336">
      <c r="A336" s="56" t="inlineStr">
        <is>
          <t>loss</t>
        </is>
      </c>
      <c r="B336" s="57" t="n">
        <v>0.31</v>
      </c>
    </row>
    <row r="337">
      <c r="A337" s="56" t="inlineStr">
        <is>
          <t>capx</t>
        </is>
      </c>
      <c r="B337" s="57" t="n">
        <v>4.75</v>
      </c>
    </row>
    <row r="338">
      <c r="A338" s="56" t="inlineStr">
        <is>
          <t>int inc</t>
        </is>
      </c>
      <c r="B338" s="57" t="n">
        <v>0.08</v>
      </c>
    </row>
    <row r="339">
      <c r="A339" s="56" t="inlineStr">
        <is>
          <t>div</t>
        </is>
      </c>
      <c r="B339" s="57" t="n">
        <v>0.49</v>
      </c>
    </row>
    <row r="340">
      <c r="A340" s="56" t="inlineStr">
        <is>
          <t>int ex</t>
        </is>
      </c>
      <c r="B340" s="57" t="n">
        <v>0.12</v>
      </c>
    </row>
    <row r="342">
      <c r="A342" s="54" t="inlineStr">
        <is>
          <t>bs cf q · 2026-Q4</t>
        </is>
      </c>
      <c r="B342" s="54" t="n"/>
      <c r="C342" s="54" t="n"/>
      <c r="D342" s="54" t="n"/>
      <c r="E342" s="54" t="n"/>
    </row>
    <row r="343">
      <c r="A343" s="55" t="inlineStr">
        <is>
          <t>항목</t>
        </is>
      </c>
      <c r="B343" s="55" t="inlineStr">
        <is>
          <t>값</t>
        </is>
      </c>
      <c r="E343" s="55" t="inlineStr">
        <is>
          <t>출처</t>
        </is>
      </c>
    </row>
    <row r="344">
      <c r="A344" s="56" t="inlineStr">
        <is>
          <t>nonop in</t>
        </is>
      </c>
      <c r="B344" s="57" t="n">
        <v>0.33</v>
      </c>
      <c r="E344" s="58" t="inlineStr">
        <is>
          <t>2단계 보고서 자료(회사 설명회 자료·공시)</t>
        </is>
      </c>
    </row>
    <row r="345">
      <c r="A345" s="56" t="inlineStr">
        <is>
          <t>nonop ex</t>
        </is>
      </c>
      <c r="B345" s="57" t="n">
        <v>0.17</v>
      </c>
    </row>
    <row r="346">
      <c r="A346" s="56" t="inlineStr">
        <is>
          <t>sp in</t>
        </is>
      </c>
      <c r="B346" s="57" t="n">
        <v>0.03</v>
      </c>
    </row>
    <row r="347">
      <c r="A347" s="56" t="inlineStr">
        <is>
          <t>sp ex</t>
        </is>
      </c>
      <c r="B347" s="57" t="n">
        <v>11.84</v>
      </c>
    </row>
    <row r="348">
      <c r="A348" s="56" t="inlineStr">
        <is>
          <t>dep</t>
        </is>
      </c>
      <c r="B348" s="57" t="n">
        <v>5.8</v>
      </c>
    </row>
    <row r="349">
      <c r="A349" s="56" t="inlineStr">
        <is>
          <t>rcv</t>
        </is>
      </c>
      <c r="B349" s="57" t="n">
        <v>125.74</v>
      </c>
    </row>
    <row r="350">
      <c r="A350" s="56" t="inlineStr">
        <is>
          <t>wip</t>
        </is>
      </c>
      <c r="B350" s="57" t="n">
        <v>2.82</v>
      </c>
    </row>
    <row r="351">
      <c r="A351" s="56" t="inlineStr">
        <is>
          <t>cash</t>
        </is>
      </c>
      <c r="B351" s="57" t="n">
        <v>84.87</v>
      </c>
    </row>
    <row r="352">
      <c r="A352" s="56" t="inlineStr">
        <is>
          <t>soft</t>
        </is>
      </c>
      <c r="B352" s="57" t="n">
        <v>33.46</v>
      </c>
    </row>
    <row r="353">
      <c r="A353" s="56" t="inlineStr">
        <is>
          <t>adv</t>
        </is>
      </c>
      <c r="B353" s="57" t="n">
        <v>1.84</v>
      </c>
    </row>
    <row r="354">
      <c r="A354" s="56" t="inlineStr">
        <is>
          <t>loss</t>
        </is>
      </c>
      <c r="B354" s="57" t="n">
        <v>4.88</v>
      </c>
    </row>
    <row r="355">
      <c r="A355" s="56" t="inlineStr">
        <is>
          <t>capx</t>
        </is>
      </c>
      <c r="B355" s="57" t="n">
        <v>4.13</v>
      </c>
    </row>
    <row r="356">
      <c r="A356" s="56" t="inlineStr">
        <is>
          <t>int inc</t>
        </is>
      </c>
      <c r="B356" s="57" t="n">
        <v>0.1</v>
      </c>
    </row>
    <row r="357">
      <c r="A357" s="56" t="inlineStr">
        <is>
          <t>div</t>
        </is>
      </c>
      <c r="B357" s="57" t="n">
        <v>0</v>
      </c>
    </row>
    <row r="358">
      <c r="A358" s="56" t="inlineStr">
        <is>
          <t>int ex</t>
        </is>
      </c>
      <c r="B358" s="57" t="n">
        <v>0.14</v>
      </c>
    </row>
    <row r="360">
      <c r="A360" s="54" t="inlineStr">
        <is>
          <t>bs cf q · 2027-Q1</t>
        </is>
      </c>
      <c r="B360" s="54" t="n"/>
      <c r="C360" s="54" t="n"/>
      <c r="D360" s="54" t="n"/>
      <c r="E360" s="54" t="n"/>
    </row>
    <row r="361">
      <c r="A361" s="55" t="inlineStr">
        <is>
          <t>항목</t>
        </is>
      </c>
      <c r="B361" s="55" t="inlineStr">
        <is>
          <t>값</t>
        </is>
      </c>
      <c r="E361" s="55" t="inlineStr">
        <is>
          <t>출처</t>
        </is>
      </c>
    </row>
    <row r="362">
      <c r="A362" s="56" t="inlineStr">
        <is>
          <t>nonop in</t>
        </is>
      </c>
      <c r="B362" s="57" t="n">
        <v>0.35</v>
      </c>
      <c r="E362" s="58" t="inlineStr">
        <is>
          <t>2단계 보고서 자료(회사 설명회 자료·공시)</t>
        </is>
      </c>
    </row>
    <row r="363">
      <c r="A363" s="56" t="inlineStr">
        <is>
          <t>nonop ex</t>
        </is>
      </c>
      <c r="B363" s="57" t="n">
        <v>0.17</v>
      </c>
    </row>
    <row r="364">
      <c r="A364" s="56" t="inlineStr">
        <is>
          <t>sp in</t>
        </is>
      </c>
      <c r="B364" s="57" t="n">
        <v>0.08</v>
      </c>
    </row>
    <row r="365">
      <c r="A365" s="56" t="inlineStr">
        <is>
          <t>sp ex</t>
        </is>
      </c>
      <c r="B365" s="57" t="n">
        <v>0</v>
      </c>
    </row>
    <row r="366">
      <c r="A366" s="56" t="inlineStr">
        <is>
          <t>dep</t>
        </is>
      </c>
      <c r="B366" s="57" t="n">
        <v>7.22</v>
      </c>
    </row>
    <row r="367">
      <c r="A367" s="56" t="inlineStr">
        <is>
          <t>rcv</t>
        </is>
      </c>
      <c r="B367" s="57" t="n">
        <v>48.66</v>
      </c>
    </row>
    <row r="368">
      <c r="A368" s="56" t="inlineStr">
        <is>
          <t>wip</t>
        </is>
      </c>
      <c r="B368" s="57" t="n">
        <v>5.53</v>
      </c>
    </row>
    <row r="369">
      <c r="A369" s="56" t="inlineStr">
        <is>
          <t>cash</t>
        </is>
      </c>
      <c r="B369" s="57" t="n">
        <v>161.41</v>
      </c>
    </row>
    <row r="370">
      <c r="A370" s="56" t="inlineStr">
        <is>
          <t>soft</t>
        </is>
      </c>
      <c r="B370" s="57" t="n">
        <v>30.79</v>
      </c>
    </row>
    <row r="371">
      <c r="A371" s="56" t="inlineStr">
        <is>
          <t>adv</t>
        </is>
      </c>
      <c r="B371" s="57" t="n">
        <v>6.93</v>
      </c>
    </row>
    <row r="372">
      <c r="A372" s="56" t="inlineStr">
        <is>
          <t>loss</t>
        </is>
      </c>
      <c r="B372" s="57" t="n">
        <v>3.4</v>
      </c>
    </row>
    <row r="373">
      <c r="A373" s="56" t="inlineStr">
        <is>
          <t>capx</t>
        </is>
      </c>
      <c r="B373" s="57" t="n">
        <v>2.39</v>
      </c>
    </row>
    <row r="374">
      <c r="A374" s="56" t="inlineStr">
        <is>
          <t>int inc</t>
        </is>
      </c>
      <c r="B374" s="57" t="n">
        <v>0.04</v>
      </c>
    </row>
    <row r="375">
      <c r="A375" s="56" t="inlineStr">
        <is>
          <t>div</t>
        </is>
      </c>
      <c r="B375" s="57" t="n">
        <v>0.18</v>
      </c>
    </row>
    <row r="376">
      <c r="A376" s="56" t="inlineStr">
        <is>
          <t>int ex</t>
        </is>
      </c>
      <c r="B376" s="57" t="n">
        <v>0.15</v>
      </c>
    </row>
    <row r="378">
      <c r="A378" s="54" t="inlineStr">
        <is>
          <t>bs cf q · 2027-Q2</t>
        </is>
      </c>
      <c r="B378" s="54" t="n"/>
      <c r="C378" s="54" t="n"/>
      <c r="D378" s="54" t="n"/>
      <c r="E378" s="54" t="n"/>
    </row>
    <row r="379">
      <c r="A379" s="55" t="inlineStr">
        <is>
          <t>항목</t>
        </is>
      </c>
      <c r="B379" s="55" t="inlineStr">
        <is>
          <t>값</t>
        </is>
      </c>
      <c r="E379" s="55" t="inlineStr">
        <is>
          <t>출처</t>
        </is>
      </c>
    </row>
    <row r="380">
      <c r="A380" s="56" t="inlineStr">
        <is>
          <t>nonop in</t>
        </is>
      </c>
      <c r="B380" s="57" t="n">
        <v>0.16</v>
      </c>
      <c r="E380" s="58" t="inlineStr">
        <is>
          <t>2단계 보고서 자료(회사 설명회 자료·공시)</t>
        </is>
      </c>
    </row>
    <row r="381">
      <c r="A381" s="56" t="inlineStr">
        <is>
          <t>nonop ex</t>
        </is>
      </c>
      <c r="B381" s="57" t="n">
        <v>0.3</v>
      </c>
    </row>
    <row r="382">
      <c r="A382" s="56" t="inlineStr">
        <is>
          <t>sp in</t>
        </is>
      </c>
      <c r="B382" s="57" t="n">
        <v>0</v>
      </c>
    </row>
    <row r="383">
      <c r="A383" s="56" t="inlineStr">
        <is>
          <t>sp ex</t>
        </is>
      </c>
      <c r="B383" s="57" t="n">
        <v>0.06</v>
      </c>
    </row>
    <row r="384">
      <c r="A384" s="56" t="inlineStr">
        <is>
          <t>dep</t>
        </is>
      </c>
      <c r="B384" s="57" t="n">
        <v>10.91</v>
      </c>
    </row>
    <row r="385">
      <c r="A385" s="56" t="inlineStr">
        <is>
          <t>rcv</t>
        </is>
      </c>
      <c r="B385" s="57" t="n">
        <v>86.38</v>
      </c>
    </row>
    <row r="386">
      <c r="A386" s="56" t="inlineStr">
        <is>
          <t>wip</t>
        </is>
      </c>
      <c r="B386" s="57" t="n">
        <v>7.8</v>
      </c>
    </row>
    <row r="387">
      <c r="A387" s="56" t="inlineStr">
        <is>
          <t>cash</t>
        </is>
      </c>
      <c r="B387" s="57" t="n">
        <v>125.11</v>
      </c>
    </row>
    <row r="388">
      <c r="A388" s="56" t="inlineStr">
        <is>
          <t>soft</t>
        </is>
      </c>
      <c r="B388" s="57" t="n">
        <v>24.29</v>
      </c>
    </row>
    <row r="389">
      <c r="A389" s="56" t="inlineStr">
        <is>
          <t>adv</t>
        </is>
      </c>
      <c r="B389" s="57" t="n">
        <v>2.27</v>
      </c>
    </row>
    <row r="390">
      <c r="A390" s="56" t="inlineStr">
        <is>
          <t>loss</t>
        </is>
      </c>
      <c r="B390" s="57" t="n">
        <v>4.06</v>
      </c>
    </row>
    <row r="391">
      <c r="A391" s="56" t="inlineStr">
        <is>
          <t>capx</t>
        </is>
      </c>
      <c r="B391" s="57" t="n">
        <v>2.25</v>
      </c>
    </row>
    <row r="392">
      <c r="A392" s="56" t="inlineStr">
        <is>
          <t>int inc</t>
        </is>
      </c>
      <c r="B392" s="57" t="n">
        <v>0.07000000000000001</v>
      </c>
    </row>
    <row r="393">
      <c r="A393" s="56" t="inlineStr">
        <is>
          <t>div</t>
        </is>
      </c>
      <c r="B393" s="57" t="n">
        <v>0</v>
      </c>
    </row>
    <row r="394">
      <c r="A394" s="56" t="inlineStr">
        <is>
          <t>int ex</t>
        </is>
      </c>
      <c r="B394" s="57" t="n">
        <v>0.16</v>
      </c>
    </row>
    <row r="396">
      <c r="A396" s="54" t="inlineStr">
        <is>
          <t>가이던스</t>
        </is>
      </c>
      <c r="B396" s="54" t="n"/>
      <c r="C396" s="54" t="n"/>
      <c r="D396" s="54" t="n"/>
      <c r="E396" s="54" t="n"/>
    </row>
    <row r="397">
      <c r="A397" s="55" t="inlineStr">
        <is>
          <t>항목</t>
        </is>
      </c>
      <c r="B397" s="55" t="inlineStr">
        <is>
          <t>값</t>
        </is>
      </c>
      <c r="E397" s="55" t="inlineStr">
        <is>
          <t>출처</t>
        </is>
      </c>
    </row>
    <row r="398">
      <c r="A398" s="56" t="inlineStr">
        <is>
          <t>매출</t>
        </is>
      </c>
      <c r="B398" s="59" t="n">
        <v>400</v>
      </c>
      <c r="E398" s="58" t="inlineStr">
        <is>
          <t>2단계 보고서 자료(회사 설명회 자료·공시)</t>
        </is>
      </c>
    </row>
    <row r="399">
      <c r="A399" s="56" t="inlineStr">
        <is>
          <t>영업이익</t>
        </is>
      </c>
      <c r="B399" s="59" t="n">
        <v>25</v>
      </c>
    </row>
    <row r="400">
      <c r="A400" s="56" t="inlineStr">
        <is>
          <t>순이익</t>
        </is>
      </c>
      <c r="B400" s="59" t="n">
        <v>17</v>
      </c>
    </row>
    <row r="401">
      <c r="A401" s="56" t="inlineStr">
        <is>
          <t>EPS</t>
        </is>
      </c>
      <c r="B401" s="57" t="n">
        <v>81.64</v>
      </c>
    </row>
    <row r="403">
      <c r="A403" s="54" t="inlineStr">
        <is>
          <t>PER band</t>
        </is>
      </c>
      <c r="B403" s="54" t="n"/>
      <c r="C403" s="54" t="n"/>
      <c r="D403" s="54" t="n"/>
      <c r="E403" s="54" t="n"/>
    </row>
    <row r="404">
      <c r="A404" s="55" t="inlineStr">
        <is>
          <t>항목</t>
        </is>
      </c>
      <c r="B404" s="55" t="inlineStr">
        <is>
          <t>값</t>
        </is>
      </c>
      <c r="E404" s="55" t="inlineStr">
        <is>
          <t>출처</t>
        </is>
      </c>
    </row>
    <row r="405">
      <c r="A405" s="56" t="inlineStr">
        <is>
          <t>lo</t>
        </is>
      </c>
      <c r="B405" s="57" t="n">
        <v>11</v>
      </c>
      <c r="E405" s="58" t="inlineStr">
        <is>
          <t>2단계 보고서 자료(회사 설명회 자료·공시)</t>
        </is>
      </c>
    </row>
    <row r="406">
      <c r="A406" s="56" t="inlineStr">
        <is>
          <t>avg</t>
        </is>
      </c>
      <c r="B406" s="57" t="n">
        <v>20.2</v>
      </c>
    </row>
    <row r="407">
      <c r="A407" s="56" t="inlineStr">
        <is>
          <t>hi</t>
        </is>
      </c>
      <c r="B407" s="57" t="n">
        <v>46.3</v>
      </c>
    </row>
    <row r="408">
      <c r="A408" s="56" t="inlineStr">
        <is>
          <t>애널리스트 수</t>
        </is>
      </c>
      <c r="B408" s="59" t="n">
        <v>150</v>
      </c>
    </row>
    <row r="410">
      <c r="A410" s="54" t="inlineStr">
        <is>
          <t>deck map</t>
        </is>
      </c>
      <c r="B410" s="54" t="n"/>
      <c r="C410" s="54" t="n"/>
      <c r="D410" s="54" t="n"/>
      <c r="E410" s="54" t="n"/>
    </row>
    <row r="411">
      <c r="A411" s="55" t="inlineStr">
        <is>
          <t>항목</t>
        </is>
      </c>
      <c r="B411" s="55" t="inlineStr">
        <is>
          <t>제목</t>
        </is>
      </c>
      <c r="C411" s="55" t="inlineStr">
        <is>
          <t>핵심 숫자</t>
        </is>
      </c>
      <c r="D411" s="55" t="inlineStr">
        <is>
          <t>넣은 소제목</t>
        </is>
      </c>
      <c r="E411" s="55" t="inlineStr">
        <is>
          <t>출처</t>
        </is>
      </c>
    </row>
    <row r="412">
      <c r="A412" s="56" t="inlineStr">
        <is>
          <t>1</t>
        </is>
      </c>
      <c r="B412" s="60" t="inlineStr">
        <is>
          <t>표지</t>
        </is>
      </c>
      <c r="C412" s="60" t="inlineStr"/>
      <c r="D412" s="60" t="inlineStr">
        <is>
          <t>뺌 — 표지</t>
        </is>
      </c>
      <c r="E412" s="58" t="inlineStr">
        <is>
          <t>2단계 보고서 자료(회사 설명회 자료·공시)</t>
        </is>
      </c>
    </row>
    <row r="413">
      <c r="A413" s="56" t="inlineStr">
        <is>
          <t>2</t>
        </is>
      </c>
      <c r="B413" s="60" t="inlineStr">
        <is>
          <t>포인트</t>
        </is>
      </c>
      <c r="C413" s="60" t="inlineStr">
        <is>
          <t>표준화 대체로 계획대로, 중간배당 25엔</t>
        </is>
      </c>
      <c r="D413" s="60" t="inlineStr">
        <is>
          <t>④, ⑥</t>
        </is>
      </c>
    </row>
    <row r="414">
      <c r="A414" s="56" t="inlineStr">
        <is>
          <t>3</t>
        </is>
      </c>
      <c r="B414" s="60" t="inlineStr">
        <is>
          <t>간지</t>
        </is>
      </c>
      <c r="C414" s="60" t="inlineStr"/>
      <c r="D414" s="60" t="inlineStr">
        <is>
          <t>뺌 — 목차성 간지</t>
        </is>
      </c>
    </row>
    <row r="415">
      <c r="A415" s="56" t="inlineStr">
        <is>
          <t>4</t>
        </is>
      </c>
      <c r="B415" s="60" t="inlineStr">
        <is>
          <t>실적 하이라이트</t>
        </is>
      </c>
      <c r="C415" s="60" t="inlineStr">
        <is>
          <t>EBITDA 22.63억(전년 −0.61), 특별손익 +0.02</t>
        </is>
      </c>
      <c r="D415" s="60" t="inlineStr">
        <is>
          <t>①, ⑨</t>
        </is>
      </c>
    </row>
    <row r="416">
      <c r="A416" s="56" t="inlineStr">
        <is>
          <t>5</t>
        </is>
      </c>
      <c r="B416" s="60" t="inlineStr">
        <is>
          <t>EBITDA 마진 추이</t>
        </is>
      </c>
      <c r="C416" s="60" t="inlineStr">
        <is>
          <t>FY20~27 2Q 누계 13.3~11.9%</t>
        </is>
      </c>
      <c r="D416" s="60" t="inlineStr">
        <is>
          <t>①</t>
        </is>
      </c>
    </row>
    <row r="417">
      <c r="A417" s="56" t="inlineStr">
        <is>
          <t>6</t>
        </is>
      </c>
      <c r="B417" s="60" t="inlineStr">
        <is>
          <t>분야별 실적</t>
        </is>
      </c>
      <c r="C417" s="60" t="inlineStr">
        <is>
          <t>공공 69→93, 공공 비중 42→49%</t>
        </is>
      </c>
      <c r="D417" s="60" t="inlineStr">
        <is>
          <t>②, ③</t>
        </is>
      </c>
    </row>
    <row r="418">
      <c r="A418" s="56" t="inlineStr">
        <is>
          <t>7</t>
        </is>
      </c>
      <c r="B418" s="60" t="inlineStr">
        <is>
          <t>공공 서비스별</t>
        </is>
      </c>
      <c r="C418" s="60" t="inlineStr">
        <is>
          <t>상반기 6단체 가동, 대형 업무위탁 감소</t>
        </is>
      </c>
      <c r="D418" s="60" t="inlineStr">
        <is>
          <t>②</t>
        </is>
      </c>
    </row>
    <row r="419">
      <c r="A419" s="56" t="inlineStr">
        <is>
          <t>8</t>
        </is>
      </c>
      <c r="B419" s="60" t="inlineStr">
        <is>
          <t>민간 서비스별</t>
        </is>
      </c>
      <c r="C419" s="60" t="inlineStr">
        <is>
          <t>금융 개발로 수탁 감소 보완</t>
        </is>
      </c>
      <c r="D419" s="60" t="inlineStr">
        <is>
          <t>③</t>
        </is>
      </c>
    </row>
    <row r="420">
      <c r="A420" s="56" t="inlineStr">
        <is>
          <t>9</t>
        </is>
      </c>
      <c r="B420" s="60" t="inlineStr">
        <is>
          <t>재무상태</t>
        </is>
      </c>
      <c r="C420" s="60" t="inlineStr">
        <is>
          <t>현금 125.1억</t>
        </is>
      </c>
      <c r="D420" s="60" t="inlineStr">
        <is>
          <t>⑤</t>
        </is>
      </c>
    </row>
    <row r="421">
      <c r="A421" s="56" t="inlineStr">
        <is>
          <t>10</t>
        </is>
      </c>
      <c r="B421" s="60" t="inlineStr">
        <is>
          <t>중간배당·통기</t>
        </is>
      </c>
      <c r="C421" s="60" t="inlineStr">
        <is>
          <t>중간 25엔, 배당성향 67.4%, 400/25/17</t>
        </is>
      </c>
      <c r="D421" s="60" t="inlineStr">
        <is>
          <t>⑥</t>
        </is>
      </c>
    </row>
    <row r="422">
      <c r="A422" s="56" t="inlineStr">
        <is>
          <t>11</t>
        </is>
      </c>
      <c r="B422" s="60" t="inlineStr">
        <is>
          <t>간지</t>
        </is>
      </c>
      <c r="C422" s="60" t="inlineStr"/>
      <c r="D422" s="60" t="inlineStr">
        <is>
          <t>뺌 — 목차성 간지</t>
        </is>
      </c>
    </row>
    <row r="423">
      <c r="A423" s="56" t="inlineStr">
        <is>
          <t>12</t>
        </is>
      </c>
      <c r="B423" s="60" t="inlineStr">
        <is>
          <t>표준화 진척</t>
        </is>
      </c>
      <c r="C423" s="60" t="inlineStr">
        <is>
          <t>74단체, 전년 8+올해 8, 잔여 58, 표준화 매출·이익률</t>
        </is>
      </c>
      <c r="D423" s="60" t="inlineStr">
        <is>
          <t>④</t>
        </is>
      </c>
    </row>
    <row r="424">
      <c r="A424" s="56" t="inlineStr">
        <is>
          <t>13</t>
        </is>
      </c>
      <c r="B424" s="60" t="inlineStr">
        <is>
          <t>하반기 계획</t>
        </is>
      </c>
      <c r="C424" s="60" t="inlineStr">
        <is>
          <t>공공 약 185억, 표준화 약 59억</t>
        </is>
      </c>
      <c r="D424" s="60" t="inlineStr">
        <is>
          <t>⑦</t>
        </is>
      </c>
    </row>
    <row r="425">
      <c r="A425" s="56" t="inlineStr">
        <is>
          <t>14</t>
        </is>
      </c>
      <c r="B425" s="60" t="inlineStr">
        <is>
          <t>차년도 준비</t>
        </is>
      </c>
      <c r="C425" s="60" t="inlineStr">
        <is>
          <t>약 50단체+10단체 이상, 수주 목표 40→55→68</t>
        </is>
      </c>
      <c r="D425" s="60" t="inlineStr">
        <is>
          <t>⑧</t>
        </is>
      </c>
    </row>
    <row r="426">
      <c r="A426" s="56" t="inlineStr">
        <is>
          <t>15</t>
        </is>
      </c>
      <c r="B426" s="60" t="inlineStr">
        <is>
          <t>다음 단계 과제</t>
        </is>
      </c>
      <c r="C426" s="60" t="inlineStr">
        <is>
          <t>차세대 개발 완료, 전국 전개</t>
        </is>
      </c>
      <c r="D426" s="60" t="inlineStr">
        <is>
          <t>⑧</t>
        </is>
      </c>
    </row>
    <row r="427">
      <c r="A427" s="56" t="inlineStr">
        <is>
          <t>16</t>
        </is>
      </c>
      <c r="B427" s="60" t="inlineStr">
        <is>
          <t>면책</t>
        </is>
      </c>
      <c r="C427" s="60" t="inlineStr"/>
      <c r="D427" s="60" t="inlineStr">
        <is>
          <t>뺌 — 면책</t>
        </is>
      </c>
    </row>
    <row r="428">
      <c r="A428" s="56" t="inlineStr">
        <is>
          <t>17</t>
        </is>
      </c>
      <c r="B428" s="60" t="inlineStr">
        <is>
          <t>맺음</t>
        </is>
      </c>
      <c r="C428" s="60" t="inlineStr"/>
      <c r="D428" s="60" t="inlineStr">
        <is>
          <t>뺌 — 맺음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https://www2.jpx.co.jp/disc/97420/140120261029559151.pdf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https://www2.jpx.co.jp/disc/97420/140120260706588385.pdf</t>
        </is>
      </c>
    </row>
    <row r="6">
      <c r="A6" t="inlineStr">
        <is>
          <t>2026-05-07</t>
        </is>
      </c>
      <c r="B6" t="inlineStr">
        <is>
          <t>2026년 3월 결산기 연간 결산단신</t>
        </is>
      </c>
      <c r="C6" t="inlineStr">
        <is>
          <t>https://www2.jpx.co.jp/disc/97420/140120260331594058.pdf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https://www2.jpx.co.jp/disc/97420/140120251225526897.pdf</t>
        </is>
      </c>
    </row>
    <row r="8">
      <c r="A8" t="inlineStr">
        <is>
          <t>2025-10-28</t>
        </is>
      </c>
      <c r="B8" t="inlineStr">
        <is>
          <t>2026년 3월 결산기 2분기 결산단신</t>
        </is>
      </c>
      <c r="C8" t="inlineStr">
        <is>
          <t>https://www2.jpx.co.jp/disc/97420/140120250930565698.pdf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https://www2.jpx.co.jp/disc/97420/140120250704508693.pdf</t>
        </is>
      </c>
    </row>
    <row r="10">
      <c r="A10" t="inlineStr">
        <is>
          <t>2025-04-30</t>
        </is>
      </c>
      <c r="B10" t="inlineStr">
        <is>
          <t>2025년 3월 결산기 연간 결산단신</t>
        </is>
      </c>
      <c r="C10" t="inlineStr">
        <is>
          <t>https://www2.jpx.co.jp/disc/97420/140120250424522870.pdf</t>
        </is>
      </c>
    </row>
    <row r="11">
      <c r="A11" t="inlineStr">
        <is>
          <t>2025-01-31</t>
        </is>
      </c>
      <c r="B11" t="inlineStr">
        <is>
          <t>2025년 3월 결산기 3분기 결산단신</t>
        </is>
      </c>
      <c r="C11" t="inlineStr">
        <is>
          <t>https://www2.jpx.co.jp/disc/97420/140120250107547479.pdf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https://www2.jpx.co.jp/disc/97420/140120241011597255.pdf</t>
        </is>
      </c>
    </row>
    <row r="13">
      <c r="A13" t="inlineStr">
        <is>
          <t>2024-07-31</t>
        </is>
      </c>
      <c r="B13" t="inlineStr">
        <is>
          <t>2025년 3월 결산기 1분기 결산단신</t>
        </is>
      </c>
      <c r="C13" t="inlineStr">
        <is>
          <t>https://www2.jpx.co.jp/disc/97420/140120240722552233.pdf</t>
        </is>
      </c>
    </row>
    <row r="14">
      <c r="A14" t="inlineStr">
        <is>
          <t>2024-04-30</t>
        </is>
      </c>
      <c r="B14" t="inlineStr">
        <is>
          <t>2024년 3월 결산기 연간 결산단신</t>
        </is>
      </c>
      <c r="C14" t="inlineStr">
        <is>
          <t>https://www2.jpx.co.jp/disc/97420/140120240402565339.pdf</t>
        </is>
      </c>
    </row>
    <row r="15">
      <c r="A15" t="inlineStr">
        <is>
          <t>2024-01-30</t>
        </is>
      </c>
      <c r="B15" t="inlineStr">
        <is>
          <t>2024년 3월 결산기 3분기 결산단신</t>
        </is>
      </c>
      <c r="C15" t="inlineStr">
        <is>
          <t>https://www2.jpx.co.jp/disc/97420/140120240104511013.pdf</t>
        </is>
      </c>
    </row>
    <row r="16">
      <c r="A16" t="inlineStr">
        <is>
          <t>2023-10-30</t>
        </is>
      </c>
      <c r="B16" t="inlineStr">
        <is>
          <t>2024년 3월 결산기 2분기 결산단신</t>
        </is>
      </c>
      <c r="C16" t="inlineStr">
        <is>
          <t>https://www2.jpx.co.jp/disc/97420/140120231006563786.pdf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https://www2.jpx.co.jp/disc/97420/140120230718523573.pdf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https://www2.jpx.co.jp/disc/97420/140120230418548807.pdf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https://www2.jpx.co.jp/disc/97420/140120230119591111.pdf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https://www2.jpx.co.jp/disc/97420/140120220418523406.pdf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https://www2.jpx.co.jp/disc/97420/140120210325484160.pdf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https://www2.jpx.co.jp/disc/97420/140120200420496575.pdf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https://www2.jpx.co.jp/disc/97420/140120190327496392.pdf</t>
        </is>
      </c>
    </row>
    <row r="24">
      <c r="A24" t="inlineStr">
        <is>
          <t>2018-04-26</t>
        </is>
      </c>
      <c r="B24" t="inlineStr">
        <is>
          <t>2018년 3월 결산기 연간 결산단신</t>
        </is>
      </c>
      <c r="C24" t="inlineStr">
        <is>
          <t>https://www2.jpx.co.jp/disc/97420/140120180326497043.pdf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9742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36건(2018-01-30~2026-10-30).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124.5</v>
      </c>
      <c r="D5" s="67" t="n">
        <v>72.40000000000001</v>
      </c>
      <c r="E5" s="67" t="n">
        <v>89.09999999999999</v>
      </c>
      <c r="F5" s="67" t="n">
        <v>77.59999999999999</v>
      </c>
      <c r="G5" s="67" t="n">
        <v>122.1</v>
      </c>
      <c r="H5" s="67" t="n">
        <v>76.90000000000001</v>
      </c>
      <c r="I5" s="67" t="n">
        <v>99.7</v>
      </c>
      <c r="J5" s="67" t="n">
        <v>87.5</v>
      </c>
      <c r="K5" s="67" t="n">
        <v>117.4</v>
      </c>
      <c r="L5" s="67" t="n">
        <v>89.09999999999999</v>
      </c>
      <c r="M5" s="67" t="n">
        <v>109.1</v>
      </c>
      <c r="N5" s="67" t="n">
        <v>98.90000000000001</v>
      </c>
      <c r="O5" s="67" t="n">
        <v>125.7</v>
      </c>
      <c r="P5" s="67" t="n">
        <v>92.5</v>
      </c>
      <c r="Q5" s="67" t="n">
        <v>104.7</v>
      </c>
      <c r="R5" s="67" t="n">
        <v>89.3</v>
      </c>
      <c r="S5" s="67" t="n">
        <v>129.3</v>
      </c>
      <c r="T5" s="67" t="n">
        <v>84.40000000000001</v>
      </c>
      <c r="U5" s="67" t="n">
        <v>104.8</v>
      </c>
      <c r="V5" s="67" t="n">
        <v>95.8</v>
      </c>
      <c r="W5" s="67" t="n">
        <v>115.3</v>
      </c>
      <c r="X5" s="67" t="n">
        <v>96.40000000000001</v>
      </c>
      <c r="Y5" s="67" t="n">
        <v>103.5</v>
      </c>
      <c r="Z5" s="67" t="n">
        <v>100</v>
      </c>
      <c r="AA5" s="67" t="n">
        <v>124.2</v>
      </c>
      <c r="AB5" s="67" t="n">
        <v>99.59999999999999</v>
      </c>
      <c r="AC5" s="67" t="n">
        <v>96.5</v>
      </c>
      <c r="AD5" s="67" t="n">
        <v>93.90000000000001</v>
      </c>
      <c r="AE5" s="67" t="n">
        <v>115.5</v>
      </c>
      <c r="AF5" s="67" t="n">
        <v>84.40000000000001</v>
      </c>
      <c r="AG5" s="67" t="n">
        <v>102</v>
      </c>
      <c r="AH5" s="67" t="n">
        <v>95.09999999999999</v>
      </c>
      <c r="AI5" s="67" t="n">
        <v>124.2</v>
      </c>
      <c r="AJ5" s="67" t="n">
        <v>77.09999999999999</v>
      </c>
      <c r="AK5" s="67" t="n">
        <v>87.7</v>
      </c>
      <c r="AL5" s="67" t="n">
        <v>87.3</v>
      </c>
      <c r="AM5" s="67" t="n">
        <v>114</v>
      </c>
      <c r="AN5" s="67" t="n">
        <v>86.90000000000001</v>
      </c>
      <c r="AO5" s="67" t="n">
        <v>102.9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-1.9</v>
      </c>
      <c r="H6" s="68" t="n">
        <v>6.2</v>
      </c>
      <c r="I6" s="68" t="n">
        <v>11.9</v>
      </c>
      <c r="J6" s="68" t="n">
        <v>12.8</v>
      </c>
      <c r="K6" s="68" t="n">
        <v>-3.8</v>
      </c>
      <c r="L6" s="68" t="n">
        <v>15.9</v>
      </c>
      <c r="M6" s="68" t="n">
        <v>9.4</v>
      </c>
      <c r="N6" s="68" t="n">
        <v>13</v>
      </c>
      <c r="O6" s="68" t="n">
        <v>7.1</v>
      </c>
      <c r="P6" s="68" t="n">
        <v>3.8</v>
      </c>
      <c r="Q6" s="68" t="n">
        <v>-4</v>
      </c>
      <c r="R6" s="68" t="n">
        <v>-9.699999999999999</v>
      </c>
      <c r="S6" s="68" t="n">
        <v>2.9</v>
      </c>
      <c r="T6" s="68" t="n">
        <v>-8.800000000000001</v>
      </c>
      <c r="U6" s="68" t="n">
        <v>0.1</v>
      </c>
      <c r="V6" s="68" t="n">
        <v>7.3</v>
      </c>
      <c r="W6" s="68" t="n">
        <v>-10.8</v>
      </c>
      <c r="X6" s="68" t="n">
        <v>14.2</v>
      </c>
      <c r="Y6" s="68" t="n">
        <v>-1.2</v>
      </c>
      <c r="Z6" s="68" t="n">
        <v>4.4</v>
      </c>
      <c r="AA6" s="68" t="n">
        <v>7.7</v>
      </c>
      <c r="AB6" s="68" t="n">
        <v>3.3</v>
      </c>
      <c r="AC6" s="68" t="n">
        <v>-6.8</v>
      </c>
      <c r="AD6" s="68" t="n">
        <v>-6.1</v>
      </c>
      <c r="AE6" s="68" t="n">
        <v>-7</v>
      </c>
      <c r="AF6" s="68" t="n">
        <v>-15.3</v>
      </c>
      <c r="AG6" s="68" t="n">
        <v>5.7</v>
      </c>
      <c r="AH6" s="68" t="n">
        <v>1.3</v>
      </c>
      <c r="AI6" s="68" t="n">
        <v>7.5</v>
      </c>
      <c r="AJ6" s="68" t="n">
        <v>-8.6</v>
      </c>
      <c r="AK6" s="68" t="n">
        <v>-14</v>
      </c>
      <c r="AL6" s="68" t="n">
        <v>-8.199999999999999</v>
      </c>
      <c r="AM6" s="68" t="n">
        <v>-8.199999999999999</v>
      </c>
      <c r="AN6" s="68" t="n">
        <v>12.7</v>
      </c>
      <c r="AO6" s="68" t="n">
        <v>17.3</v>
      </c>
    </row>
    <row r="7">
      <c r="A7" s="66" t="inlineStr">
        <is>
          <t>영업이익</t>
        </is>
      </c>
      <c r="B7" s="67" t="n"/>
      <c r="C7" s="67" t="n">
        <v>14.4</v>
      </c>
      <c r="D7" s="67" t="n">
        <v>-2.2</v>
      </c>
      <c r="E7" s="67" t="n">
        <v>4.5</v>
      </c>
      <c r="F7" s="67" t="n">
        <v>0.7</v>
      </c>
      <c r="G7" s="67" t="n">
        <v>13</v>
      </c>
      <c r="H7" s="67" t="n">
        <v>-1.1</v>
      </c>
      <c r="I7" s="67" t="n">
        <v>7.1</v>
      </c>
      <c r="J7" s="67" t="n">
        <v>6.1</v>
      </c>
      <c r="K7" s="67" t="n">
        <v>9.699999999999999</v>
      </c>
      <c r="L7" s="67" t="n">
        <v>6.1</v>
      </c>
      <c r="M7" s="67" t="n">
        <v>8.9</v>
      </c>
      <c r="N7" s="67" t="n">
        <v>7.2</v>
      </c>
      <c r="O7" s="67" t="n">
        <v>6.9</v>
      </c>
      <c r="P7" s="67" t="n">
        <v>3.7</v>
      </c>
      <c r="Q7" s="67" t="n">
        <v>9.9</v>
      </c>
      <c r="R7" s="67" t="n">
        <v>5.1</v>
      </c>
      <c r="S7" s="67" t="n">
        <v>9.1</v>
      </c>
      <c r="T7" s="67" t="n">
        <v>0.4</v>
      </c>
      <c r="U7" s="67" t="n">
        <v>8.1</v>
      </c>
      <c r="V7" s="67" t="n">
        <v>4.4</v>
      </c>
      <c r="W7" s="67" t="n">
        <v>6.8</v>
      </c>
      <c r="X7" s="67" t="n">
        <v>7.4</v>
      </c>
      <c r="Y7" s="67" t="n">
        <v>7.9</v>
      </c>
      <c r="Z7" s="67" t="n">
        <v>5.8</v>
      </c>
      <c r="AA7" s="67" t="n">
        <v>17</v>
      </c>
      <c r="AB7" s="67" t="n">
        <v>6.9</v>
      </c>
      <c r="AC7" s="67" t="n">
        <v>1.6</v>
      </c>
      <c r="AD7" s="67" t="n">
        <v>3.1</v>
      </c>
      <c r="AE7" s="67" t="n">
        <v>17.1</v>
      </c>
      <c r="AF7" s="67" t="n">
        <v>-3.2</v>
      </c>
      <c r="AG7" s="67" t="n">
        <v>12</v>
      </c>
      <c r="AH7" s="67" t="n">
        <v>6.6</v>
      </c>
      <c r="AI7" s="67" t="n">
        <v>20</v>
      </c>
      <c r="AJ7" s="67" t="n">
        <v>-8.800000000000001</v>
      </c>
      <c r="AK7" s="67" t="n">
        <v>-0.4</v>
      </c>
      <c r="AL7" s="67" t="n">
        <v>1.9</v>
      </c>
      <c r="AM7" s="67" t="n">
        <v>0.9</v>
      </c>
      <c r="AN7" s="67" t="n">
        <v>-0.8</v>
      </c>
      <c r="AO7" s="67" t="n">
        <v>5.3</v>
      </c>
    </row>
    <row r="8">
      <c r="A8" s="66" t="inlineStr">
        <is>
          <t>영업이익률</t>
        </is>
      </c>
      <c r="B8" s="68" t="n"/>
      <c r="C8" s="68" t="n">
        <v>11.6</v>
      </c>
      <c r="D8" s="68" t="n">
        <v>-3</v>
      </c>
      <c r="E8" s="68" t="n">
        <v>5.1</v>
      </c>
      <c r="F8" s="68" t="n">
        <v>0.9</v>
      </c>
      <c r="G8" s="68" t="n">
        <v>10.6</v>
      </c>
      <c r="H8" s="68" t="n">
        <v>-1.4</v>
      </c>
      <c r="I8" s="68" t="n">
        <v>7.1</v>
      </c>
      <c r="J8" s="68" t="n">
        <v>7</v>
      </c>
      <c r="K8" s="68" t="n">
        <v>8.300000000000001</v>
      </c>
      <c r="L8" s="68" t="n">
        <v>6.8</v>
      </c>
      <c r="M8" s="68" t="n">
        <v>8.199999999999999</v>
      </c>
      <c r="N8" s="68" t="n">
        <v>7.3</v>
      </c>
      <c r="O8" s="68" t="n">
        <v>5.5</v>
      </c>
      <c r="P8" s="68" t="n">
        <v>4</v>
      </c>
      <c r="Q8" s="68" t="n">
        <v>9.5</v>
      </c>
      <c r="R8" s="68" t="n">
        <v>5.7</v>
      </c>
      <c r="S8" s="68" t="n">
        <v>7</v>
      </c>
      <c r="T8" s="68" t="n">
        <v>0.5</v>
      </c>
      <c r="U8" s="68" t="n">
        <v>7.7</v>
      </c>
      <c r="V8" s="68" t="n">
        <v>4.6</v>
      </c>
      <c r="W8" s="68" t="n">
        <v>5.9</v>
      </c>
      <c r="X8" s="68" t="n">
        <v>7.7</v>
      </c>
      <c r="Y8" s="68" t="n">
        <v>7.6</v>
      </c>
      <c r="Z8" s="68" t="n">
        <v>5.8</v>
      </c>
      <c r="AA8" s="68" t="n">
        <v>13.7</v>
      </c>
      <c r="AB8" s="68" t="n">
        <v>6.9</v>
      </c>
      <c r="AC8" s="68" t="n">
        <v>1.7</v>
      </c>
      <c r="AD8" s="68" t="n">
        <v>3.3</v>
      </c>
      <c r="AE8" s="68" t="n">
        <v>14.8</v>
      </c>
      <c r="AF8" s="68" t="n">
        <v>-3.8</v>
      </c>
      <c r="AG8" s="68" t="n">
        <v>11.8</v>
      </c>
      <c r="AH8" s="68" t="n">
        <v>6.9</v>
      </c>
      <c r="AI8" s="68" t="n">
        <v>16.1</v>
      </c>
      <c r="AJ8" s="68" t="n">
        <v>-11.4</v>
      </c>
      <c r="AK8" s="68" t="n">
        <v>-0.5</v>
      </c>
      <c r="AL8" s="68" t="n">
        <v>2.2</v>
      </c>
      <c r="AM8" s="68" t="n">
        <v>0.8</v>
      </c>
      <c r="AN8" s="68" t="n">
        <v>-0.9</v>
      </c>
      <c r="AO8" s="68" t="n">
        <v>5.2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-9.699999999999999</v>
      </c>
      <c r="H9" s="68" t="n"/>
      <c r="I9" s="68" t="n">
        <v>57.8</v>
      </c>
      <c r="J9" s="68" t="n">
        <v>771.4</v>
      </c>
      <c r="K9" s="68" t="n">
        <v>-25.4</v>
      </c>
      <c r="L9" s="68" t="n"/>
      <c r="M9" s="68" t="n">
        <v>25.4</v>
      </c>
      <c r="N9" s="68" t="n">
        <v>18</v>
      </c>
      <c r="O9" s="68" t="n">
        <v>-28.9</v>
      </c>
      <c r="P9" s="68" t="n">
        <v>-39.3</v>
      </c>
      <c r="Q9" s="68" t="n">
        <v>11.2</v>
      </c>
      <c r="R9" s="68" t="n">
        <v>-29.2</v>
      </c>
      <c r="S9" s="68" t="n">
        <v>31.9</v>
      </c>
      <c r="T9" s="68" t="n">
        <v>-89.2</v>
      </c>
      <c r="U9" s="68" t="n">
        <v>-18.2</v>
      </c>
      <c r="V9" s="68" t="n">
        <v>-13.7</v>
      </c>
      <c r="W9" s="68" t="n">
        <v>-25.3</v>
      </c>
      <c r="X9" s="68" t="n">
        <v>1750</v>
      </c>
      <c r="Y9" s="68" t="n">
        <v>-2.5</v>
      </c>
      <c r="Z9" s="68" t="n">
        <v>31.8</v>
      </c>
      <c r="AA9" s="68" t="n">
        <v>150</v>
      </c>
      <c r="AB9" s="68" t="n">
        <v>-6.8</v>
      </c>
      <c r="AC9" s="68" t="n">
        <v>-79.7</v>
      </c>
      <c r="AD9" s="68" t="n">
        <v>-46.6</v>
      </c>
      <c r="AE9" s="68" t="n">
        <v>0.6</v>
      </c>
      <c r="AF9" s="68" t="n">
        <v>-146.4</v>
      </c>
      <c r="AG9" s="68" t="n">
        <v>650</v>
      </c>
      <c r="AH9" s="68" t="n">
        <v>112.9</v>
      </c>
      <c r="AI9" s="68" t="n">
        <v>17</v>
      </c>
      <c r="AJ9" s="68" t="n"/>
      <c r="AK9" s="68" t="n">
        <v>-103.3</v>
      </c>
      <c r="AL9" s="68" t="n">
        <v>-71.2</v>
      </c>
      <c r="AM9" s="68" t="n">
        <v>-95.5</v>
      </c>
      <c r="AN9" s="68" t="n"/>
      <c r="AO9" s="68" t="n"/>
    </row>
    <row r="10">
      <c r="A10" s="66" t="inlineStr">
        <is>
          <t>유동자산</t>
        </is>
      </c>
      <c r="B10" s="67" t="n"/>
      <c r="C10" s="67" t="n">
        <v>236.2</v>
      </c>
      <c r="D10" s="67" t="n"/>
      <c r="E10" s="67" t="n"/>
      <c r="F10" s="67" t="n">
        <v>212</v>
      </c>
      <c r="G10" s="67" t="n">
        <v>229.8</v>
      </c>
      <c r="H10" s="67" t="n">
        <v>249.9</v>
      </c>
      <c r="I10" s="67" t="n">
        <v>238.2</v>
      </c>
      <c r="J10" s="67" t="n">
        <v>220.4</v>
      </c>
      <c r="K10" s="67" t="n">
        <v>208.4</v>
      </c>
      <c r="L10" s="67" t="n">
        <v>211.1</v>
      </c>
      <c r="M10" s="67" t="n">
        <v>218.3</v>
      </c>
      <c r="N10" s="67" t="n">
        <v>370.7</v>
      </c>
      <c r="O10" s="67" t="n">
        <v>332.9</v>
      </c>
      <c r="P10" s="67" t="n">
        <v>333.5</v>
      </c>
      <c r="Q10" s="67" t="n">
        <v>324.3</v>
      </c>
      <c r="R10" s="67" t="n">
        <v>326.5</v>
      </c>
      <c r="S10" s="67" t="n">
        <v>252.2</v>
      </c>
      <c r="T10" s="67" t="n">
        <v>262</v>
      </c>
      <c r="U10" s="67" t="n">
        <v>242.4</v>
      </c>
      <c r="V10" s="67" t="n">
        <v>217.8</v>
      </c>
      <c r="W10" s="67" t="n">
        <v>223.2</v>
      </c>
      <c r="X10" s="67" t="n">
        <v>231.1</v>
      </c>
      <c r="Y10" s="67" t="n">
        <v>225.8</v>
      </c>
      <c r="Z10" s="67" t="n">
        <v>221.7</v>
      </c>
      <c r="AA10" s="67" t="n">
        <v>249.2</v>
      </c>
      <c r="AB10" s="67" t="n">
        <v>244.8</v>
      </c>
      <c r="AC10" s="67" t="n">
        <v>197.8</v>
      </c>
      <c r="AD10" s="67" t="n">
        <v>179.2</v>
      </c>
      <c r="AE10" s="67" t="n">
        <v>202.8</v>
      </c>
      <c r="AF10" s="67" t="n">
        <v>182.5</v>
      </c>
      <c r="AG10" s="67" t="n">
        <v>181.3</v>
      </c>
      <c r="AH10" s="67" t="n">
        <v>171.5</v>
      </c>
      <c r="AI10" s="67" t="n">
        <v>247.6</v>
      </c>
      <c r="AJ10" s="67" t="n">
        <v>202.9</v>
      </c>
      <c r="AK10" s="67" t="n">
        <v>189</v>
      </c>
      <c r="AL10" s="67" t="n">
        <v>194.3</v>
      </c>
      <c r="AM10" s="67" t="n">
        <v>222.2</v>
      </c>
      <c r="AN10" s="67" t="n">
        <v>227.2</v>
      </c>
      <c r="AO10" s="67" t="n">
        <v>244.1</v>
      </c>
    </row>
    <row r="11">
      <c r="A11" s="66" t="inlineStr">
        <is>
          <t>유동부채</t>
        </is>
      </c>
      <c r="B11" s="67" t="n"/>
      <c r="C11" s="67" t="n">
        <v>69</v>
      </c>
      <c r="D11" s="67" t="n"/>
      <c r="E11" s="67" t="n"/>
      <c r="F11" s="67" t="n">
        <v>58.1</v>
      </c>
      <c r="G11" s="67" t="n">
        <v>64.5</v>
      </c>
      <c r="H11" s="67" t="n">
        <v>65.59999999999999</v>
      </c>
      <c r="I11" s="67" t="n">
        <v>61.6</v>
      </c>
      <c r="J11" s="67" t="n">
        <v>67.5</v>
      </c>
      <c r="K11" s="67" t="n">
        <v>80.5</v>
      </c>
      <c r="L11" s="67" t="n">
        <v>82.8</v>
      </c>
      <c r="M11" s="67" t="n">
        <v>85</v>
      </c>
      <c r="N11" s="67" t="n">
        <v>66.90000000000001</v>
      </c>
      <c r="O11" s="67" t="n">
        <v>79.40000000000001</v>
      </c>
      <c r="P11" s="67" t="n">
        <v>82.5</v>
      </c>
      <c r="Q11" s="67" t="n">
        <v>57</v>
      </c>
      <c r="R11" s="67" t="n">
        <v>54.3</v>
      </c>
      <c r="S11" s="67" t="n">
        <v>58.8</v>
      </c>
      <c r="T11" s="67" t="n">
        <v>74.09999999999999</v>
      </c>
      <c r="U11" s="67" t="n">
        <v>54</v>
      </c>
      <c r="V11" s="67" t="n">
        <v>48.9</v>
      </c>
      <c r="W11" s="67" t="n">
        <v>61.2</v>
      </c>
      <c r="X11" s="67" t="n">
        <v>66.2</v>
      </c>
      <c r="Y11" s="67" t="n">
        <v>56.1</v>
      </c>
      <c r="Z11" s="67" t="n">
        <v>51</v>
      </c>
      <c r="AA11" s="67" t="n">
        <v>64.09999999999999</v>
      </c>
      <c r="AB11" s="67" t="n">
        <v>63.7</v>
      </c>
      <c r="AC11" s="67" t="n">
        <v>60.9</v>
      </c>
      <c r="AD11" s="67" t="n">
        <v>54</v>
      </c>
      <c r="AE11" s="67" t="n">
        <v>76</v>
      </c>
      <c r="AF11" s="67" t="n">
        <v>70.5</v>
      </c>
      <c r="AG11" s="67" t="n">
        <v>62.6</v>
      </c>
      <c r="AH11" s="67" t="n">
        <v>54.9</v>
      </c>
      <c r="AI11" s="67" t="n">
        <v>99.7</v>
      </c>
      <c r="AJ11" s="67" t="n">
        <v>64.2</v>
      </c>
      <c r="AK11" s="67" t="n">
        <v>58.8</v>
      </c>
      <c r="AL11" s="67" t="n">
        <v>53.4</v>
      </c>
      <c r="AM11" s="67" t="n">
        <v>69.3</v>
      </c>
      <c r="AN11" s="67" t="n">
        <v>69.09999999999999</v>
      </c>
      <c r="AO11" s="67" t="n">
        <v>87.3</v>
      </c>
    </row>
    <row r="12">
      <c r="A12" s="66" t="inlineStr">
        <is>
          <t>부채총계</t>
        </is>
      </c>
      <c r="B12" s="67" t="n"/>
      <c r="C12" s="67" t="n">
        <v>186.4</v>
      </c>
      <c r="D12" s="67" t="n"/>
      <c r="E12" s="67" t="n"/>
      <c r="F12" s="67" t="n">
        <v>173.4</v>
      </c>
      <c r="G12" s="67" t="n">
        <v>170.1</v>
      </c>
      <c r="H12" s="67" t="n">
        <v>171.6</v>
      </c>
      <c r="I12" s="67" t="n">
        <v>168.1</v>
      </c>
      <c r="J12" s="67" t="n">
        <v>174.2</v>
      </c>
      <c r="K12" s="67" t="n">
        <v>179</v>
      </c>
      <c r="L12" s="67" t="n">
        <v>181.2</v>
      </c>
      <c r="M12" s="67" t="n">
        <v>182.1</v>
      </c>
      <c r="N12" s="67" t="n">
        <v>165.4</v>
      </c>
      <c r="O12" s="67" t="n">
        <v>148.1</v>
      </c>
      <c r="P12" s="67" t="n">
        <v>151.5</v>
      </c>
      <c r="Q12" s="67" t="n">
        <v>126.1</v>
      </c>
      <c r="R12" s="67" t="n">
        <v>124.2</v>
      </c>
      <c r="S12" s="67" t="n">
        <v>124.7</v>
      </c>
      <c r="T12" s="67" t="n">
        <v>139.3</v>
      </c>
      <c r="U12" s="67" t="n">
        <v>117.7</v>
      </c>
      <c r="V12" s="67" t="n">
        <v>111.8</v>
      </c>
      <c r="W12" s="67" t="n">
        <v>122.1</v>
      </c>
      <c r="X12" s="67" t="n">
        <v>126.4</v>
      </c>
      <c r="Y12" s="67" t="n">
        <v>115.2</v>
      </c>
      <c r="Z12" s="67" t="n">
        <v>109.4</v>
      </c>
      <c r="AA12" s="67" t="n">
        <v>122.4</v>
      </c>
      <c r="AB12" s="67" t="n">
        <v>121.3</v>
      </c>
      <c r="AC12" s="67" t="n">
        <v>168.5</v>
      </c>
      <c r="AD12" s="67" t="n">
        <v>155.2</v>
      </c>
      <c r="AE12" s="67" t="n">
        <v>166.4</v>
      </c>
      <c r="AF12" s="67" t="n">
        <v>157</v>
      </c>
      <c r="AG12" s="67" t="n">
        <v>145.2</v>
      </c>
      <c r="AH12" s="67" t="n">
        <v>134</v>
      </c>
      <c r="AI12" s="67" t="n">
        <v>175.3</v>
      </c>
      <c r="AJ12" s="67" t="n">
        <v>136.7</v>
      </c>
      <c r="AK12" s="67" t="n">
        <v>125.3</v>
      </c>
      <c r="AL12" s="67" t="n">
        <v>117.9</v>
      </c>
      <c r="AM12" s="67" t="n">
        <v>124</v>
      </c>
      <c r="AN12" s="67" t="n">
        <v>122</v>
      </c>
      <c r="AO12" s="67" t="n">
        <v>112.1</v>
      </c>
    </row>
    <row r="13">
      <c r="A13" s="66" t="inlineStr">
        <is>
          <t>자기자본</t>
        </is>
      </c>
      <c r="B13" s="68" t="n"/>
      <c r="C13" s="68" t="n">
        <v>379.9</v>
      </c>
      <c r="D13" s="68" t="n"/>
      <c r="E13" s="68" t="n"/>
      <c r="F13" s="68" t="n">
        <v>378.4</v>
      </c>
      <c r="G13" s="68" t="n">
        <v>385.7</v>
      </c>
      <c r="H13" s="68" t="n">
        <v>411.3</v>
      </c>
      <c r="I13" s="68" t="n">
        <v>401.7</v>
      </c>
      <c r="J13" s="68" t="n">
        <v>377.1</v>
      </c>
      <c r="K13" s="68" t="n">
        <v>365.4</v>
      </c>
      <c r="L13" s="68" t="n">
        <v>365.7</v>
      </c>
      <c r="M13" s="68" t="n">
        <v>354.7</v>
      </c>
      <c r="N13" s="68" t="n">
        <v>386.9</v>
      </c>
      <c r="O13" s="68" t="n">
        <v>378.7</v>
      </c>
      <c r="P13" s="68" t="n">
        <v>375</v>
      </c>
      <c r="Q13" s="68" t="n">
        <v>376.7</v>
      </c>
      <c r="R13" s="68" t="n">
        <v>377.3</v>
      </c>
      <c r="S13" s="68" t="n">
        <v>387.9</v>
      </c>
      <c r="T13" s="68" t="n">
        <v>382.9</v>
      </c>
      <c r="U13" s="68" t="n">
        <v>377.4</v>
      </c>
      <c r="V13" s="68" t="n">
        <v>357.6</v>
      </c>
      <c r="W13" s="68" t="n">
        <v>346.2</v>
      </c>
      <c r="X13" s="68" t="n">
        <v>346.3</v>
      </c>
      <c r="Y13" s="68" t="n">
        <v>351</v>
      </c>
      <c r="Z13" s="68" t="n">
        <v>350.4</v>
      </c>
      <c r="AA13" s="68" t="n">
        <v>362.9</v>
      </c>
      <c r="AB13" s="68" t="n">
        <v>362.7</v>
      </c>
      <c r="AC13" s="68" t="n">
        <v>363.9</v>
      </c>
      <c r="AD13" s="68" t="n">
        <v>361.6</v>
      </c>
      <c r="AE13" s="68" t="n">
        <v>377.9</v>
      </c>
      <c r="AF13" s="68" t="n">
        <v>370.6</v>
      </c>
      <c r="AG13" s="68" t="n">
        <v>378.5</v>
      </c>
      <c r="AH13" s="68" t="n">
        <v>378.8</v>
      </c>
      <c r="AI13" s="68" t="n">
        <v>391.9</v>
      </c>
      <c r="AJ13" s="68" t="n">
        <v>380</v>
      </c>
      <c r="AK13" s="68" t="n">
        <v>381.3</v>
      </c>
      <c r="AL13" s="68" t="n">
        <v>377.7</v>
      </c>
      <c r="AM13" s="68" t="n">
        <v>369.7</v>
      </c>
      <c r="AN13" s="68" t="n">
        <v>365.4</v>
      </c>
      <c r="AO13" s="68" t="n">
        <v>369.5</v>
      </c>
    </row>
    <row r="14">
      <c r="A14" s="66" t="inlineStr">
        <is>
          <t>유동비율</t>
        </is>
      </c>
      <c r="B14" s="68" t="n"/>
      <c r="C14" s="68" t="n">
        <v>342.3</v>
      </c>
      <c r="D14" s="68" t="n"/>
      <c r="E14" s="68" t="n"/>
      <c r="F14" s="68" t="n">
        <v>364.9</v>
      </c>
      <c r="G14" s="68" t="n">
        <v>356.3</v>
      </c>
      <c r="H14" s="68" t="n">
        <v>380.9</v>
      </c>
      <c r="I14" s="68" t="n">
        <v>386.7</v>
      </c>
      <c r="J14" s="68" t="n">
        <v>326.5</v>
      </c>
      <c r="K14" s="68" t="n">
        <v>258.9</v>
      </c>
      <c r="L14" s="68" t="n">
        <v>255</v>
      </c>
      <c r="M14" s="68" t="n">
        <v>256.8</v>
      </c>
      <c r="N14" s="68" t="n">
        <v>554.1</v>
      </c>
      <c r="O14" s="68" t="n">
        <v>419.3</v>
      </c>
      <c r="P14" s="68" t="n">
        <v>404.2</v>
      </c>
      <c r="Q14" s="68" t="n">
        <v>568.9</v>
      </c>
      <c r="R14" s="68" t="n">
        <v>601.3</v>
      </c>
      <c r="S14" s="68" t="n">
        <v>428.9</v>
      </c>
      <c r="T14" s="68" t="n">
        <v>353.6</v>
      </c>
      <c r="U14" s="68" t="n">
        <v>448.9</v>
      </c>
      <c r="V14" s="68" t="n">
        <v>445.4</v>
      </c>
      <c r="W14" s="68" t="n">
        <v>364.7</v>
      </c>
      <c r="X14" s="68" t="n">
        <v>349.1</v>
      </c>
      <c r="Y14" s="68" t="n">
        <v>402.5</v>
      </c>
      <c r="Z14" s="68" t="n">
        <v>434.7</v>
      </c>
      <c r="AA14" s="68" t="n">
        <v>388.8</v>
      </c>
      <c r="AB14" s="68" t="n">
        <v>384.3</v>
      </c>
      <c r="AC14" s="68" t="n">
        <v>324.8</v>
      </c>
      <c r="AD14" s="68" t="n">
        <v>331.9</v>
      </c>
      <c r="AE14" s="68" t="n">
        <v>266.8</v>
      </c>
      <c r="AF14" s="68" t="n">
        <v>258.9</v>
      </c>
      <c r="AG14" s="68" t="n">
        <v>289.6</v>
      </c>
      <c r="AH14" s="68" t="n">
        <v>312.4</v>
      </c>
      <c r="AI14" s="68" t="n">
        <v>248.3</v>
      </c>
      <c r="AJ14" s="68" t="n">
        <v>316</v>
      </c>
      <c r="AK14" s="68" t="n">
        <v>321.4</v>
      </c>
      <c r="AL14" s="68" t="n">
        <v>363.9</v>
      </c>
      <c r="AM14" s="68" t="n">
        <v>320.6</v>
      </c>
      <c r="AN14" s="68" t="n">
        <v>328.8</v>
      </c>
      <c r="AO14" s="68" t="n">
        <v>279.6</v>
      </c>
    </row>
    <row r="15">
      <c r="A15" s="66" t="inlineStr">
        <is>
          <t>부채비율</t>
        </is>
      </c>
      <c r="B15" s="68" t="n"/>
      <c r="C15" s="68" t="n">
        <v>49.1</v>
      </c>
      <c r="D15" s="68" t="n"/>
      <c r="E15" s="68" t="n"/>
      <c r="F15" s="68" t="n">
        <v>45.8</v>
      </c>
      <c r="G15" s="68" t="n">
        <v>44.1</v>
      </c>
      <c r="H15" s="68" t="n">
        <v>41.7</v>
      </c>
      <c r="I15" s="68" t="n">
        <v>41.8</v>
      </c>
      <c r="J15" s="68" t="n">
        <v>46.2</v>
      </c>
      <c r="K15" s="68" t="n">
        <v>49</v>
      </c>
      <c r="L15" s="68" t="n">
        <v>49.5</v>
      </c>
      <c r="M15" s="68" t="n">
        <v>51.3</v>
      </c>
      <c r="N15" s="68" t="n">
        <v>42.8</v>
      </c>
      <c r="O15" s="68" t="n">
        <v>39.1</v>
      </c>
      <c r="P15" s="68" t="n">
        <v>40.4</v>
      </c>
      <c r="Q15" s="68" t="n">
        <v>33.5</v>
      </c>
      <c r="R15" s="68" t="n">
        <v>32.9</v>
      </c>
      <c r="S15" s="68" t="n">
        <v>32.1</v>
      </c>
      <c r="T15" s="68" t="n">
        <v>36.4</v>
      </c>
      <c r="U15" s="68" t="n">
        <v>31.2</v>
      </c>
      <c r="V15" s="68" t="n">
        <v>31.3</v>
      </c>
      <c r="W15" s="68" t="n">
        <v>35.3</v>
      </c>
      <c r="X15" s="68" t="n">
        <v>36.5</v>
      </c>
      <c r="Y15" s="68" t="n">
        <v>32.8</v>
      </c>
      <c r="Z15" s="68" t="n">
        <v>31.2</v>
      </c>
      <c r="AA15" s="68" t="n">
        <v>33.7</v>
      </c>
      <c r="AB15" s="68" t="n">
        <v>33.4</v>
      </c>
      <c r="AC15" s="68" t="n">
        <v>46.3</v>
      </c>
      <c r="AD15" s="68" t="n">
        <v>42.9</v>
      </c>
      <c r="AE15" s="68" t="n">
        <v>44</v>
      </c>
      <c r="AF15" s="68" t="n">
        <v>42.4</v>
      </c>
      <c r="AG15" s="68" t="n">
        <v>38.4</v>
      </c>
      <c r="AH15" s="68" t="n">
        <v>35.4</v>
      </c>
      <c r="AI15" s="68" t="n">
        <v>44.7</v>
      </c>
      <c r="AJ15" s="68" t="n">
        <v>36</v>
      </c>
      <c r="AK15" s="68" t="n">
        <v>32.9</v>
      </c>
      <c r="AL15" s="68" t="n">
        <v>31.2</v>
      </c>
      <c r="AM15" s="68" t="n">
        <v>33.5</v>
      </c>
      <c r="AN15" s="68" t="n">
        <v>33.4</v>
      </c>
      <c r="AO15" s="68" t="n">
        <v>30.3</v>
      </c>
    </row>
    <row r="16">
      <c r="A16" s="66" t="inlineStr">
        <is>
          <t>순차입금/자기자본</t>
        </is>
      </c>
      <c r="B16" s="68" t="n"/>
      <c r="C16" s="68" t="n">
        <v>-28.8</v>
      </c>
      <c r="D16" s="68" t="n"/>
      <c r="E16" s="68" t="n"/>
      <c r="F16" s="68" t="n">
        <v>-29.8</v>
      </c>
      <c r="G16" s="68" t="n">
        <v>-29.2</v>
      </c>
      <c r="H16" s="68" t="n">
        <v>-44.9</v>
      </c>
      <c r="I16" s="68" t="n">
        <v>-35.7</v>
      </c>
      <c r="J16" s="68" t="n">
        <v>-28.9</v>
      </c>
      <c r="K16" s="68" t="n">
        <v>-27.2</v>
      </c>
      <c r="L16" s="68" t="n">
        <v>-38.4</v>
      </c>
      <c r="M16" s="68" t="n">
        <v>-34.5</v>
      </c>
      <c r="N16" s="68" t="n">
        <v>-71.09999999999999</v>
      </c>
      <c r="O16" s="68" t="n">
        <v>-58.2</v>
      </c>
      <c r="P16" s="68" t="n">
        <v>-68.09999999999999</v>
      </c>
      <c r="Q16" s="68" t="n">
        <v>-60.8</v>
      </c>
      <c r="R16" s="68" t="n">
        <v>-60.2</v>
      </c>
      <c r="S16" s="68" t="n">
        <v>-27.3</v>
      </c>
      <c r="T16" s="68" t="n">
        <v>-43.1</v>
      </c>
      <c r="U16" s="68" t="n">
        <v>-32.4</v>
      </c>
      <c r="V16" s="68" t="n">
        <v>-26.5</v>
      </c>
      <c r="W16" s="68" t="n">
        <v>-28.7</v>
      </c>
      <c r="X16" s="68" t="n">
        <v>-41.8</v>
      </c>
      <c r="Y16" s="68" t="n">
        <v>-32.8</v>
      </c>
      <c r="Z16" s="68" t="n">
        <v>-28.3</v>
      </c>
      <c r="AA16" s="68" t="n">
        <v>-25.8</v>
      </c>
      <c r="AB16" s="68" t="n">
        <v>-40.2</v>
      </c>
      <c r="AC16" s="68" t="n">
        <v>-12.9</v>
      </c>
      <c r="AD16" s="68" t="n">
        <v>-7.2</v>
      </c>
      <c r="AE16" s="68" t="n">
        <v>-3.9</v>
      </c>
      <c r="AF16" s="68" t="n">
        <v>-14.5</v>
      </c>
      <c r="AG16" s="68" t="n">
        <v>-7.6</v>
      </c>
      <c r="AH16" s="68" t="n">
        <v>-3.6</v>
      </c>
      <c r="AI16" s="68" t="n">
        <v>-1.6</v>
      </c>
      <c r="AJ16" s="68" t="n">
        <v>-25.7</v>
      </c>
      <c r="AK16" s="68" t="n">
        <v>-15.2</v>
      </c>
      <c r="AL16" s="68" t="n">
        <v>-13</v>
      </c>
      <c r="AM16" s="68" t="n">
        <v>-12.8</v>
      </c>
      <c r="AN16" s="68" t="n">
        <v>-34.5</v>
      </c>
      <c r="AO16" s="68" t="n">
        <v>-24.8</v>
      </c>
    </row>
    <row r="17">
      <c r="A17" s="66" t="inlineStr">
        <is>
          <t>재고자산</t>
        </is>
      </c>
      <c r="B17" s="67" t="n"/>
      <c r="C17" s="67" t="n">
        <v>9.9</v>
      </c>
      <c r="D17" s="67" t="n"/>
      <c r="E17" s="67" t="n"/>
      <c r="F17" s="67" t="n">
        <v>28.8</v>
      </c>
      <c r="G17" s="67" t="n">
        <v>14.9</v>
      </c>
      <c r="H17" s="67" t="n">
        <v>17.1</v>
      </c>
      <c r="I17" s="67" t="n">
        <v>18.9</v>
      </c>
      <c r="J17" s="67" t="n">
        <v>25.4</v>
      </c>
      <c r="K17" s="67" t="n">
        <v>12.8</v>
      </c>
      <c r="L17" s="67" t="n">
        <v>17</v>
      </c>
      <c r="M17" s="67" t="n">
        <v>15.6</v>
      </c>
      <c r="N17" s="67" t="n">
        <v>21.9</v>
      </c>
      <c r="O17" s="67" t="n">
        <v>10.4</v>
      </c>
      <c r="P17" s="67" t="n">
        <v>18.7</v>
      </c>
      <c r="Q17" s="67" t="n">
        <v>19.9</v>
      </c>
      <c r="R17" s="67" t="n">
        <v>24</v>
      </c>
      <c r="S17" s="67" t="n">
        <v>8.300000000000001</v>
      </c>
      <c r="T17" s="67" t="n">
        <v>11.2</v>
      </c>
      <c r="U17" s="67" t="n">
        <v>10.6</v>
      </c>
      <c r="V17" s="67" t="n">
        <v>8.5</v>
      </c>
      <c r="W17" s="67" t="n">
        <v>2.9</v>
      </c>
      <c r="X17" s="67" t="n">
        <v>5.6</v>
      </c>
      <c r="Y17" s="67" t="n">
        <v>5.7</v>
      </c>
      <c r="Z17" s="67" t="n">
        <v>6.6</v>
      </c>
      <c r="AA17" s="67" t="n">
        <v>3.4</v>
      </c>
      <c r="AB17" s="67" t="n">
        <v>5.3</v>
      </c>
      <c r="AC17" s="67" t="n">
        <v>7.4</v>
      </c>
      <c r="AD17" s="67" t="n">
        <v>6.9</v>
      </c>
      <c r="AE17" s="67" t="n">
        <v>4.5</v>
      </c>
      <c r="AF17" s="67" t="n">
        <v>6.7</v>
      </c>
      <c r="AG17" s="67" t="n">
        <v>6.9</v>
      </c>
      <c r="AH17" s="67" t="n">
        <v>7.4</v>
      </c>
      <c r="AI17" s="67" t="n">
        <v>4.6</v>
      </c>
      <c r="AJ17" s="67" t="n">
        <v>6.9</v>
      </c>
      <c r="AK17" s="67" t="n">
        <v>8.5</v>
      </c>
      <c r="AL17" s="67" t="n">
        <v>10.2</v>
      </c>
      <c r="AM17" s="67" t="n">
        <v>3.6</v>
      </c>
      <c r="AN17" s="67" t="n">
        <v>6.4</v>
      </c>
      <c r="AO17" s="67" t="n">
        <v>8.4</v>
      </c>
    </row>
    <row r="18">
      <c r="A18" s="66" t="inlineStr">
        <is>
          <t>재고자산 회전일수</t>
        </is>
      </c>
      <c r="B18" s="67" t="n"/>
      <c r="C18" s="67" t="n">
        <v>10</v>
      </c>
      <c r="D18" s="67" t="n"/>
      <c r="E18" s="67" t="n"/>
      <c r="F18" s="67" t="n">
        <v>42</v>
      </c>
      <c r="G18" s="67" t="n">
        <v>15</v>
      </c>
      <c r="H18" s="67" t="n">
        <v>25</v>
      </c>
      <c r="I18" s="67" t="n">
        <v>22</v>
      </c>
      <c r="J18" s="67" t="n">
        <v>34</v>
      </c>
      <c r="K18" s="67" t="n">
        <v>12</v>
      </c>
      <c r="L18" s="67" t="n">
        <v>23</v>
      </c>
      <c r="M18" s="67" t="n">
        <v>17</v>
      </c>
      <c r="N18" s="67" t="n">
        <v>26</v>
      </c>
      <c r="O18" s="67" t="n">
        <v>9</v>
      </c>
      <c r="P18" s="67" t="n">
        <v>23</v>
      </c>
      <c r="Q18" s="67" t="n">
        <v>23</v>
      </c>
      <c r="R18" s="67" t="n">
        <v>31</v>
      </c>
      <c r="S18" s="67" t="n">
        <v>7</v>
      </c>
      <c r="T18" s="67" t="n">
        <v>15</v>
      </c>
      <c r="U18" s="67" t="n">
        <v>12</v>
      </c>
      <c r="V18" s="67" t="n">
        <v>10</v>
      </c>
      <c r="W18" s="67" t="n">
        <v>3</v>
      </c>
      <c r="X18" s="67" t="n">
        <v>7</v>
      </c>
      <c r="Y18" s="67" t="n">
        <v>6</v>
      </c>
      <c r="Z18" s="67" t="n">
        <v>8</v>
      </c>
      <c r="AA18" s="67" t="n">
        <v>3</v>
      </c>
      <c r="AB18" s="67" t="n">
        <v>6</v>
      </c>
      <c r="AC18" s="67" t="n">
        <v>9</v>
      </c>
      <c r="AD18" s="67" t="n">
        <v>8</v>
      </c>
      <c r="AE18" s="67" t="n">
        <v>5</v>
      </c>
      <c r="AF18" s="67" t="n">
        <v>8</v>
      </c>
      <c r="AG18" s="67" t="n">
        <v>8</v>
      </c>
      <c r="AH18" s="67" t="n">
        <v>9</v>
      </c>
      <c r="AI18" s="67" t="n">
        <v>5</v>
      </c>
      <c r="AJ18" s="67" t="n">
        <v>9</v>
      </c>
      <c r="AK18" s="67" t="n">
        <v>11</v>
      </c>
      <c r="AL18" s="67" t="n">
        <v>13</v>
      </c>
      <c r="AM18" s="67" t="n">
        <v>3</v>
      </c>
      <c r="AN18" s="67" t="n">
        <v>8</v>
      </c>
      <c r="AO18" s="67" t="n">
        <v>9</v>
      </c>
    </row>
    <row r="19">
      <c r="A19" s="66" t="inlineStr">
        <is>
          <t>매출채권 회전일수</t>
        </is>
      </c>
      <c r="B19" s="67" t="n"/>
      <c r="C19" s="67" t="n">
        <v>77</v>
      </c>
      <c r="D19" s="67" t="n"/>
      <c r="E19" s="67" t="n"/>
      <c r="F19" s="67" t="n">
        <v>62</v>
      </c>
      <c r="G19" s="67" t="n">
        <v>73</v>
      </c>
      <c r="H19" s="67" t="n">
        <v>50</v>
      </c>
      <c r="I19" s="67" t="n">
        <v>62</v>
      </c>
      <c r="J19" s="67" t="n">
        <v>65</v>
      </c>
      <c r="K19" s="67" t="n">
        <v>72</v>
      </c>
      <c r="L19" s="67" t="n">
        <v>50</v>
      </c>
      <c r="M19" s="67" t="n">
        <v>62</v>
      </c>
      <c r="N19" s="67" t="n">
        <v>63</v>
      </c>
      <c r="O19" s="67" t="n">
        <v>70</v>
      </c>
      <c r="P19" s="67" t="n">
        <v>51</v>
      </c>
      <c r="Q19" s="67" t="n">
        <v>59</v>
      </c>
      <c r="R19" s="67" t="n">
        <v>67</v>
      </c>
      <c r="S19" s="67" t="n">
        <v>0</v>
      </c>
      <c r="T19" s="67" t="n">
        <v>57</v>
      </c>
      <c r="U19" s="67" t="n">
        <v>64</v>
      </c>
      <c r="V19" s="67" t="n">
        <v>64</v>
      </c>
      <c r="W19" s="67" t="n">
        <v>74</v>
      </c>
      <c r="X19" s="67" t="n">
        <v>50</v>
      </c>
      <c r="Y19" s="67" t="n">
        <v>68</v>
      </c>
      <c r="Z19" s="67" t="n">
        <v>80</v>
      </c>
      <c r="AA19" s="67" t="n">
        <v>88</v>
      </c>
      <c r="AB19" s="67" t="n">
        <v>55</v>
      </c>
      <c r="AC19" s="67" t="n">
        <v>77</v>
      </c>
      <c r="AD19" s="67" t="n">
        <v>81</v>
      </c>
      <c r="AE19" s="67" t="n">
        <v>93</v>
      </c>
      <c r="AF19" s="67" t="n">
        <v>62</v>
      </c>
      <c r="AG19" s="67" t="n">
        <v>79</v>
      </c>
      <c r="AH19" s="67" t="n">
        <v>93</v>
      </c>
      <c r="AI19" s="67" t="n">
        <v>113</v>
      </c>
      <c r="AJ19" s="67" t="n">
        <v>49</v>
      </c>
      <c r="AK19" s="67" t="n">
        <v>71</v>
      </c>
      <c r="AL19" s="67" t="n">
        <v>79</v>
      </c>
      <c r="AM19" s="67" t="n">
        <v>100</v>
      </c>
      <c r="AN19" s="67" t="n">
        <v>51</v>
      </c>
      <c r="AO19" s="67" t="n">
        <v>76</v>
      </c>
    </row>
    <row r="20">
      <c r="A20" s="66" t="inlineStr">
        <is>
          <t>매입채무 회전일수</t>
        </is>
      </c>
      <c r="B20" s="67" t="n"/>
      <c r="C20" s="67" t="n">
        <v>17</v>
      </c>
      <c r="D20" s="67" t="n"/>
      <c r="E20" s="67" t="n"/>
      <c r="F20" s="67" t="n">
        <v>29</v>
      </c>
      <c r="G20" s="67" t="n">
        <v>26</v>
      </c>
      <c r="H20" s="67" t="n">
        <v>23</v>
      </c>
      <c r="I20" s="67" t="n">
        <v>22</v>
      </c>
      <c r="J20" s="67" t="n">
        <v>27</v>
      </c>
      <c r="K20" s="67" t="n">
        <v>19</v>
      </c>
      <c r="L20" s="67" t="n">
        <v>23</v>
      </c>
      <c r="M20" s="67" t="n">
        <v>21</v>
      </c>
      <c r="N20" s="67" t="n">
        <v>22</v>
      </c>
      <c r="O20" s="67" t="n">
        <v>20</v>
      </c>
      <c r="P20" s="67" t="n">
        <v>25</v>
      </c>
      <c r="Q20" s="67" t="n">
        <v>20</v>
      </c>
      <c r="R20" s="67" t="n">
        <v>24</v>
      </c>
      <c r="S20" s="67" t="n">
        <v>20</v>
      </c>
      <c r="T20" s="67" t="n">
        <v>23</v>
      </c>
      <c r="U20" s="67" t="n">
        <v>18</v>
      </c>
      <c r="V20" s="67" t="n">
        <v>18</v>
      </c>
      <c r="W20" s="67" t="n">
        <v>22</v>
      </c>
      <c r="X20" s="67" t="n">
        <v>19</v>
      </c>
      <c r="Y20" s="67" t="n">
        <v>19</v>
      </c>
      <c r="Z20" s="67" t="n">
        <v>19</v>
      </c>
      <c r="AA20" s="67" t="n">
        <v>20</v>
      </c>
      <c r="AB20" s="67" t="n">
        <v>20</v>
      </c>
      <c r="AC20" s="67" t="n">
        <v>21</v>
      </c>
      <c r="AD20" s="67" t="n">
        <v>21</v>
      </c>
      <c r="AE20" s="67" t="n">
        <v>22</v>
      </c>
      <c r="AF20" s="67" t="n">
        <v>23</v>
      </c>
      <c r="AG20" s="67" t="n">
        <v>22</v>
      </c>
      <c r="AH20" s="67" t="n">
        <v>20</v>
      </c>
      <c r="AI20" s="67" t="n">
        <v>27</v>
      </c>
      <c r="AJ20" s="67" t="n">
        <v>23</v>
      </c>
      <c r="AK20" s="67" t="n">
        <v>21</v>
      </c>
      <c r="AL20" s="67" t="n">
        <v>20</v>
      </c>
      <c r="AM20" s="67" t="n">
        <v>24</v>
      </c>
      <c r="AN20" s="67" t="n">
        <v>20</v>
      </c>
      <c r="AO20" s="67" t="n">
        <v>17</v>
      </c>
    </row>
    <row r="21">
      <c r="A21" s="66" t="inlineStr">
        <is>
          <t>현금전환주기(CCC)</t>
        </is>
      </c>
      <c r="B21" s="67" t="n"/>
      <c r="C21" s="67" t="n">
        <v>70</v>
      </c>
      <c r="D21" s="67" t="n"/>
      <c r="E21" s="67" t="n"/>
      <c r="F21" s="67" t="n">
        <v>75</v>
      </c>
      <c r="G21" s="67" t="n">
        <v>62</v>
      </c>
      <c r="H21" s="67" t="n">
        <v>52</v>
      </c>
      <c r="I21" s="67" t="n">
        <v>62</v>
      </c>
      <c r="J21" s="67" t="n">
        <v>72</v>
      </c>
      <c r="K21" s="67" t="n">
        <v>65</v>
      </c>
      <c r="L21" s="67" t="n">
        <v>50</v>
      </c>
      <c r="M21" s="67" t="n">
        <v>58</v>
      </c>
      <c r="N21" s="67" t="n">
        <v>67</v>
      </c>
      <c r="O21" s="67" t="n">
        <v>59</v>
      </c>
      <c r="P21" s="67" t="n">
        <v>49</v>
      </c>
      <c r="Q21" s="67" t="n">
        <v>62</v>
      </c>
      <c r="R21" s="67" t="n">
        <v>74</v>
      </c>
      <c r="S21" s="67" t="n">
        <v>-13</v>
      </c>
      <c r="T21" s="67" t="n">
        <v>49</v>
      </c>
      <c r="U21" s="67" t="n">
        <v>58</v>
      </c>
      <c r="V21" s="67" t="n">
        <v>56</v>
      </c>
      <c r="W21" s="67" t="n">
        <v>55</v>
      </c>
      <c r="X21" s="67" t="n">
        <v>38</v>
      </c>
      <c r="Y21" s="67" t="n">
        <v>55</v>
      </c>
      <c r="Z21" s="67" t="n">
        <v>69</v>
      </c>
      <c r="AA21" s="67" t="n">
        <v>71</v>
      </c>
      <c r="AB21" s="67" t="n">
        <v>41</v>
      </c>
      <c r="AC21" s="67" t="n">
        <v>65</v>
      </c>
      <c r="AD21" s="67" t="n">
        <v>68</v>
      </c>
      <c r="AE21" s="67" t="n">
        <v>76</v>
      </c>
      <c r="AF21" s="67" t="n">
        <v>47</v>
      </c>
      <c r="AG21" s="67" t="n">
        <v>65</v>
      </c>
      <c r="AH21" s="67" t="n">
        <v>82</v>
      </c>
      <c r="AI21" s="67" t="n">
        <v>91</v>
      </c>
      <c r="AJ21" s="67" t="n">
        <v>35</v>
      </c>
      <c r="AK21" s="67" t="n">
        <v>61</v>
      </c>
      <c r="AL21" s="67" t="n">
        <v>72</v>
      </c>
      <c r="AM21" s="67" t="n">
        <v>79</v>
      </c>
      <c r="AN21" s="67" t="n">
        <v>39</v>
      </c>
      <c r="AO21" s="67" t="n">
        <v>68</v>
      </c>
    </row>
    <row r="22">
      <c r="A22" s="66" t="inlineStr">
        <is>
          <t>총 차입금</t>
        </is>
      </c>
      <c r="B22" s="67" t="n"/>
      <c r="C22" s="67" t="n">
        <v>0</v>
      </c>
      <c r="D22" s="67" t="n"/>
      <c r="E22" s="67" t="n"/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0</v>
      </c>
      <c r="AC22" s="67" t="n">
        <v>50</v>
      </c>
      <c r="AD22" s="67" t="n">
        <v>50</v>
      </c>
      <c r="AE22" s="67" t="n">
        <v>50</v>
      </c>
      <c r="AF22" s="67" t="n">
        <v>49.90000000000001</v>
      </c>
      <c r="AG22" s="67" t="n">
        <v>50</v>
      </c>
      <c r="AH22" s="67" t="n">
        <v>47.90000000000001</v>
      </c>
      <c r="AI22" s="67" t="n">
        <v>75.8</v>
      </c>
      <c r="AJ22" s="67" t="n">
        <v>43.7</v>
      </c>
      <c r="AK22" s="67" t="n">
        <v>41.59999999999999</v>
      </c>
      <c r="AL22" s="67" t="n">
        <v>39.5</v>
      </c>
      <c r="AM22" s="67" t="n">
        <v>37.5</v>
      </c>
      <c r="AN22" s="67" t="n">
        <v>35.40000000000001</v>
      </c>
      <c r="AO22" s="67" t="n">
        <v>33.3</v>
      </c>
    </row>
    <row r="23">
      <c r="A23" s="66" t="inlineStr">
        <is>
          <t>현금</t>
        </is>
      </c>
      <c r="B23" s="67" t="n"/>
      <c r="C23" s="67" t="n">
        <v>109.6</v>
      </c>
      <c r="D23" s="67" t="n"/>
      <c r="E23" s="67" t="n"/>
      <c r="F23" s="67" t="n">
        <v>112.7</v>
      </c>
      <c r="G23" s="67" t="n">
        <v>112.6</v>
      </c>
      <c r="H23" s="67" t="n">
        <v>184.5</v>
      </c>
      <c r="I23" s="67" t="n">
        <v>143.4</v>
      </c>
      <c r="J23" s="67" t="n">
        <v>108.8</v>
      </c>
      <c r="K23" s="67" t="n">
        <v>99.40000000000001</v>
      </c>
      <c r="L23" s="67" t="n">
        <v>140.5</v>
      </c>
      <c r="M23" s="67" t="n">
        <v>122.2</v>
      </c>
      <c r="N23" s="67" t="n">
        <v>275.2</v>
      </c>
      <c r="O23" s="67" t="n">
        <v>220.5</v>
      </c>
      <c r="P23" s="67" t="n">
        <v>255.3</v>
      </c>
      <c r="Q23" s="67" t="n">
        <v>228.9</v>
      </c>
      <c r="R23" s="67" t="n">
        <v>227.3</v>
      </c>
      <c r="S23" s="67" t="n">
        <v>106</v>
      </c>
      <c r="T23" s="67" t="n">
        <v>165.1</v>
      </c>
      <c r="U23" s="67" t="n">
        <v>122.2</v>
      </c>
      <c r="V23" s="67" t="n">
        <v>94.90000000000001</v>
      </c>
      <c r="W23" s="67" t="n">
        <v>99.5</v>
      </c>
      <c r="X23" s="67" t="n">
        <v>144.9</v>
      </c>
      <c r="Y23" s="67" t="n">
        <v>115.1</v>
      </c>
      <c r="Z23" s="67" t="n">
        <v>99.09999999999999</v>
      </c>
      <c r="AA23" s="67" t="n">
        <v>93.8</v>
      </c>
      <c r="AB23" s="67" t="n">
        <v>145.9</v>
      </c>
      <c r="AC23" s="67" t="n">
        <v>96.90000000000001</v>
      </c>
      <c r="AD23" s="67" t="n">
        <v>75.90000000000001</v>
      </c>
      <c r="AE23" s="67" t="n">
        <v>64.8</v>
      </c>
      <c r="AF23" s="67" t="n">
        <v>103.8</v>
      </c>
      <c r="AG23" s="67" t="n">
        <v>78.90000000000001</v>
      </c>
      <c r="AH23" s="67" t="n">
        <v>61.4</v>
      </c>
      <c r="AI23" s="67" t="n">
        <v>82</v>
      </c>
      <c r="AJ23" s="67" t="n">
        <v>141.4</v>
      </c>
      <c r="AK23" s="67" t="n">
        <v>99.59999999999999</v>
      </c>
      <c r="AL23" s="67" t="n">
        <v>88.59999999999999</v>
      </c>
      <c r="AM23" s="67" t="n">
        <v>84.90000000000001</v>
      </c>
      <c r="AN23" s="67" t="n">
        <v>161.4</v>
      </c>
      <c r="AO23" s="67" t="n">
        <v>125.1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2026-10-30T09:40:21Z</dcterms:created>
  <dcterms:modified xmlns:dcterms="http://purl.org/dc/terms/" xmlns:xsi="http://www.w3.org/2001/XMLSchema-instance" xsi:type="dcterms:W3CDTF">2026-10-30T09:41:30Z</dcterms:modified>
</cp:coreProperties>
</file>