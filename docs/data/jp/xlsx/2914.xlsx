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7">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326"/>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2914 Model</t>
        </is>
      </c>
    </row>
    <row r="2">
      <c r="A2" s="2" t="inlineStr">
        <is>
          <t>모를 땐 보수적으로</t>
        </is>
      </c>
      <c r="B2" s="3" t="inlineStr">
        <is>
          <t>(단위: 백만엔)</t>
        </is>
      </c>
      <c r="C2" s="3" t="inlineStr">
        <is>
          <t>12월 결산 · IFRS · 2026.2Q = 2026년 12월 결산기 2분기</t>
        </is>
      </c>
      <c r="Y2" s="4" t="inlineStr">
        <is>
          <t>(추정: 파란 글씨 = 직접 입력)</t>
        </is>
      </c>
    </row>
    <row r="3">
      <c r="A3" s="5" t="inlineStr">
        <is>
          <t>항목</t>
        </is>
      </c>
      <c r="B3" s="5" t="inlineStr">
        <is>
          <t>참고</t>
        </is>
      </c>
      <c r="C3" s="6" t="inlineStr">
        <is>
          <t>2023.3Q</t>
        </is>
      </c>
      <c r="D3" s="5" t="inlineStr">
        <is>
          <t>2023.4Q</t>
        </is>
      </c>
      <c r="E3" s="5" t="inlineStr">
        <is>
          <t>2024.1Q</t>
        </is>
      </c>
      <c r="F3" s="5" t="inlineStr">
        <is>
          <t>2024.2Q</t>
        </is>
      </c>
      <c r="G3" s="5" t="inlineStr">
        <is>
          <t>2024.3Q</t>
        </is>
      </c>
      <c r="H3" s="5" t="inlineStr">
        <is>
          <t>2024.4Q</t>
        </is>
      </c>
      <c r="I3" s="5" t="inlineStr">
        <is>
          <t>2025.1Q</t>
        </is>
      </c>
      <c r="J3" s="5" t="inlineStr">
        <is>
          <t>2025.2Q</t>
        </is>
      </c>
      <c r="K3" s="5" t="inlineStr">
        <is>
          <t>2025.3Q</t>
        </is>
      </c>
      <c r="L3" s="5" t="inlineStr">
        <is>
          <t>2025.4Q</t>
        </is>
      </c>
      <c r="M3" s="5" t="inlineStr">
        <is>
          <t>2026.1Q</t>
        </is>
      </c>
      <c r="N3" s="5" t="inlineStr">
        <is>
          <t>2026.2Q</t>
        </is>
      </c>
      <c r="O3" s="6" t="inlineStr">
        <is>
          <t>2016</t>
        </is>
      </c>
      <c r="P3" s="5" t="inlineStr">
        <is>
          <t>2017</t>
        </is>
      </c>
      <c r="Q3" s="5" t="inlineStr">
        <is>
          <t>2018</t>
        </is>
      </c>
      <c r="R3" s="5" t="inlineStr">
        <is>
          <t>2019</t>
        </is>
      </c>
      <c r="S3" s="5" t="inlineStr">
        <is>
          <t>2020</t>
        </is>
      </c>
      <c r="T3" s="5" t="inlineStr">
        <is>
          <t>2021</t>
        </is>
      </c>
      <c r="U3" s="5" t="inlineStr">
        <is>
          <t>2022</t>
        </is>
      </c>
      <c r="V3" s="5" t="inlineStr">
        <is>
          <t>2023</t>
        </is>
      </c>
      <c r="W3" s="5" t="inlineStr">
        <is>
          <t>2024</t>
        </is>
      </c>
      <c r="X3" s="5" t="inlineStr">
        <is>
          <t>2025</t>
        </is>
      </c>
      <c r="Y3" s="7" t="inlineStr">
        <is>
          <t>2026(MW)</t>
        </is>
      </c>
      <c r="Z3" s="8" t="inlineStr">
        <is>
          <t>2027(MW)</t>
        </is>
      </c>
      <c r="AA3" s="8" t="inlineStr">
        <is>
          <t>2028(MW)</t>
        </is>
      </c>
      <c r="AB3" s="8" t="inlineStr">
        <is>
          <t>2029(MW)</t>
        </is>
      </c>
      <c r="AC3" s="8" t="inlineStr">
        <is>
          <t>2030(MW)</t>
        </is>
      </c>
    </row>
    <row r="4">
      <c r="A4" s="9" t="inlineStr">
        <is>
          <t>매출액</t>
        </is>
      </c>
      <c r="B4" s="10" t="inlineStr">
        <is>
          <t>MW = 제품 합계</t>
        </is>
      </c>
      <c r="C4" s="11" t="n">
        <v>764206</v>
      </c>
      <c r="D4" s="12" t="n">
        <v>684059</v>
      </c>
      <c r="E4" s="12" t="n">
        <v>740333</v>
      </c>
      <c r="F4" s="12" t="n">
        <v>829559</v>
      </c>
      <c r="G4" s="12" t="n">
        <v>757352</v>
      </c>
      <c r="H4" s="12" t="n">
        <v>729465</v>
      </c>
      <c r="I4" s="12" t="n">
        <v>801872</v>
      </c>
      <c r="J4" s="12" t="n">
        <v>884917</v>
      </c>
      <c r="K4" s="12" t="n">
        <v>947239</v>
      </c>
      <c r="L4" s="12" t="n">
        <v>833647</v>
      </c>
      <c r="M4" s="12" t="n">
        <v>923963</v>
      </c>
      <c r="N4" s="12" t="n">
        <v>1062107</v>
      </c>
      <c r="O4" s="11" t="n">
        <v>729286</v>
      </c>
      <c r="P4" s="12" t="n">
        <v>681840</v>
      </c>
      <c r="Q4" s="12" t="n">
        <v>2215962</v>
      </c>
      <c r="R4" s="12" t="n">
        <v>2175626</v>
      </c>
      <c r="S4" s="12" t="n">
        <v>2092561</v>
      </c>
      <c r="T4" s="12" t="n">
        <v>2324838</v>
      </c>
      <c r="U4" s="12" t="n">
        <v>2657832</v>
      </c>
      <c r="V4" s="12" t="n">
        <v>2841077</v>
      </c>
      <c r="W4" s="12" t="n">
        <v>3056709</v>
      </c>
      <c r="X4" s="12" t="n">
        <v>3467675</v>
      </c>
      <c r="Y4" s="11">
        <f>IF(COUNT(Y7,Y10,Y13,Y16)=0,"",SUM(Y7,Y10,Y13,Y16))</f>
        <v/>
      </c>
      <c r="Z4" s="12">
        <f>IF(COUNT(Z7,Z10,Z13,Z16)=0,"",SUM(Z7,Z10,Z13,Z16))</f>
        <v/>
      </c>
      <c r="AA4" s="12">
        <f>IF(COUNT(AA7,AA10,AA13,AA16)=0,"",SUM(AA7,AA10,AA13,AA16))</f>
        <v/>
      </c>
      <c r="AB4" s="12">
        <f>IF(COUNT(AB7,AB10,AB13,AB16)=0,"",SUM(AB7,AB10,AB13,AB16))</f>
        <v/>
      </c>
      <c r="AC4" s="12">
        <f>IF(COUNT(AC7,AC10,AC13,AC16)=0,"",SUM(AC7,AC10,AC13,AC16))</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Tobacco</t>
        </is>
      </c>
      <c r="B7" s="10" t="n"/>
      <c r="C7" s="19" t="n">
        <v>703487</v>
      </c>
      <c r="D7" s="20" t="n">
        <v>616375</v>
      </c>
      <c r="E7" s="20" t="n">
        <v>680981</v>
      </c>
      <c r="F7" s="20" t="n">
        <v>770379</v>
      </c>
      <c r="G7" s="20" t="n">
        <v>760667</v>
      </c>
      <c r="H7" s="20" t="n">
        <v>684957</v>
      </c>
      <c r="I7" s="20" t="n">
        <v>764807</v>
      </c>
      <c r="J7" s="20" t="n">
        <v>843972</v>
      </c>
      <c r="K7" s="20" t="n">
        <v>908080</v>
      </c>
      <c r="L7" s="20" t="n">
        <v>788548</v>
      </c>
      <c r="M7" s="20" t="n">
        <v>885554</v>
      </c>
      <c r="N7" s="20" t="n">
        <v>1020039</v>
      </c>
      <c r="O7" s="19" t="n"/>
      <c r="P7" s="20" t="n"/>
      <c r="Q7" s="20" t="n"/>
      <c r="R7" s="20" t="n"/>
      <c r="S7" s="20" t="n"/>
      <c r="T7" s="20" t="n"/>
      <c r="U7" s="20" t="n"/>
      <c r="V7" s="20" t="n">
        <v>2590910</v>
      </c>
      <c r="W7" s="20" t="n">
        <v>2896984</v>
      </c>
      <c r="X7" s="20" t="n">
        <v>3305407</v>
      </c>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Pharmaceuticals</t>
        </is>
      </c>
      <c r="B10" s="10" t="n"/>
      <c r="C10" s="19" t="n">
        <v>22147</v>
      </c>
      <c r="D10" s="20" t="n">
        <v>25076</v>
      </c>
      <c r="E10" s="20" t="n">
        <v>23341</v>
      </c>
      <c r="F10" s="20" t="n">
        <v>20718</v>
      </c>
      <c r="G10" s="20" t="n">
        <v>22990</v>
      </c>
      <c r="H10" s="20" t="n">
        <v>27415</v>
      </c>
      <c r="I10" s="20" t="n">
        <v>25388</v>
      </c>
      <c r="J10" s="20" t="n">
        <v>22943</v>
      </c>
      <c r="K10" s="20" t="n"/>
      <c r="L10" s="20" t="n"/>
      <c r="M10" s="20" t="n"/>
      <c r="N10" s="20" t="n"/>
      <c r="O10" s="19" t="n"/>
      <c r="P10" s="20" t="n"/>
      <c r="Q10" s="20" t="n"/>
      <c r="R10" s="20" t="n"/>
      <c r="S10" s="20" t="n"/>
      <c r="T10" s="20" t="n"/>
      <c r="U10" s="20" t="n"/>
      <c r="V10" s="20" t="n">
        <v>94875</v>
      </c>
      <c r="W10" s="20" t="n">
        <v>94464</v>
      </c>
      <c r="X10" s="20" t="n"/>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Processed Food</t>
        </is>
      </c>
      <c r="B13" s="10" t="n"/>
      <c r="C13" s="19" t="n">
        <v>38084</v>
      </c>
      <c r="D13" s="20" t="n">
        <v>42368</v>
      </c>
      <c r="E13" s="20" t="n">
        <v>35689</v>
      </c>
      <c r="F13" s="20" t="n">
        <v>38126</v>
      </c>
      <c r="G13" s="20" t="n">
        <v>39672</v>
      </c>
      <c r="H13" s="20" t="n">
        <v>43696</v>
      </c>
      <c r="I13" s="20" t="n">
        <v>36468</v>
      </c>
      <c r="J13" s="20" t="n">
        <v>40279</v>
      </c>
      <c r="K13" s="20" t="n">
        <v>38500</v>
      </c>
      <c r="L13" s="20" t="n">
        <v>44266</v>
      </c>
      <c r="M13" s="20" t="n">
        <v>37826</v>
      </c>
      <c r="N13" s="20" t="n">
        <v>41411</v>
      </c>
      <c r="O13" s="19" t="n"/>
      <c r="P13" s="20" t="n"/>
      <c r="Q13" s="20" t="n"/>
      <c r="R13" s="20" t="n"/>
      <c r="S13" s="20" t="n"/>
      <c r="T13" s="20" t="n"/>
      <c r="U13" s="20" t="n"/>
      <c r="V13" s="20" t="n">
        <v>153854</v>
      </c>
      <c r="W13" s="20" t="n">
        <v>157183</v>
      </c>
      <c r="X13" s="20" t="n">
        <v>159513</v>
      </c>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8" t="inlineStr">
        <is>
          <t>기타</t>
        </is>
      </c>
      <c r="B16" s="10" t="n"/>
      <c r="C16" s="19" t="n">
        <v>488</v>
      </c>
      <c r="D16" s="20" t="n">
        <v>240</v>
      </c>
      <c r="E16" s="20" t="n">
        <v>322</v>
      </c>
      <c r="F16" s="20" t="n">
        <v>336</v>
      </c>
      <c r="G16" s="20" t="n">
        <v>1071</v>
      </c>
      <c r="H16" s="20" t="n">
        <v>812</v>
      </c>
      <c r="I16" s="20" t="n">
        <v>597</v>
      </c>
      <c r="J16" s="20" t="n">
        <v>665</v>
      </c>
      <c r="K16" s="20" t="n">
        <v>660</v>
      </c>
      <c r="L16" s="20" t="n">
        <v>834</v>
      </c>
      <c r="M16" s="20" t="n">
        <v>582</v>
      </c>
      <c r="N16" s="20" t="n">
        <v>658</v>
      </c>
      <c r="O16" s="19" t="n"/>
      <c r="P16" s="20" t="n"/>
      <c r="Q16" s="20" t="n"/>
      <c r="R16" s="20" t="n"/>
      <c r="S16" s="20" t="n"/>
      <c r="T16" s="20" t="n"/>
      <c r="U16" s="20" t="n"/>
      <c r="V16" s="20" t="n">
        <v>1439</v>
      </c>
      <c r="W16" s="20" t="n">
        <v>2541</v>
      </c>
      <c r="X16" s="20" t="n">
        <v>2756</v>
      </c>
      <c r="Y16" s="21" t="n"/>
      <c r="Z16" s="22" t="n"/>
      <c r="AA16" s="22" t="n"/>
      <c r="AB16" s="22" t="n"/>
      <c r="AC16" s="22" t="n"/>
    </row>
    <row r="17">
      <c r="A17" s="13" t="inlineStr">
        <is>
          <t>비중</t>
        </is>
      </c>
      <c r="B17" s="10" t="n"/>
      <c r="C17" s="14">
        <f>IF(OR(C16="",C4=""),"",IFERROR(C16/C4,""))</f>
        <v/>
      </c>
      <c r="D17" s="15">
        <f>IF(OR(D16="",D4=""),"",IFERROR(D16/D4,""))</f>
        <v/>
      </c>
      <c r="E17" s="15">
        <f>IF(OR(E16="",E4=""),"",IFERROR(E16/E4,""))</f>
        <v/>
      </c>
      <c r="F17" s="15">
        <f>IF(OR(F16="",F4=""),"",IFERROR(F16/F4,""))</f>
        <v/>
      </c>
      <c r="G17" s="15">
        <f>IF(OR(G16="",G4=""),"",IFERROR(G16/G4,""))</f>
        <v/>
      </c>
      <c r="H17" s="15">
        <f>IF(OR(H16="",H4=""),"",IFERROR(H16/H4,""))</f>
        <v/>
      </c>
      <c r="I17" s="15">
        <f>IF(OR(I16="",I4=""),"",IFERROR(I16/I4,""))</f>
        <v/>
      </c>
      <c r="J17" s="15">
        <f>IF(OR(J16="",J4=""),"",IFERROR(J16/J4,""))</f>
        <v/>
      </c>
      <c r="K17" s="15">
        <f>IF(OR(K16="",K4=""),"",IFERROR(K16/K4,""))</f>
        <v/>
      </c>
      <c r="L17" s="15">
        <f>IF(OR(L16="",L4=""),"",IFERROR(L16/L4,""))</f>
        <v/>
      </c>
      <c r="M17" s="15">
        <f>IF(OR(M16="",M4=""),"",IFERROR(M16/M4,""))</f>
        <v/>
      </c>
      <c r="N17" s="15">
        <f>IF(OR(N16="",N4=""),"",IFERROR(N16/N4,""))</f>
        <v/>
      </c>
      <c r="O17" s="14">
        <f>IF(OR(O16="",O4=""),"",IFERROR(O16/O4,""))</f>
        <v/>
      </c>
      <c r="P17" s="15">
        <f>IF(OR(P16="",P4=""),"",IFERROR(P16/P4,""))</f>
        <v/>
      </c>
      <c r="Q17" s="15">
        <f>IF(OR(Q16="",Q4=""),"",IFERROR(Q16/Q4,""))</f>
        <v/>
      </c>
      <c r="R17" s="15">
        <f>IF(OR(R16="",R4=""),"",IFERROR(R16/R4,""))</f>
        <v/>
      </c>
      <c r="S17" s="15">
        <f>IF(OR(S16="",S4=""),"",IFERROR(S16/S4,""))</f>
        <v/>
      </c>
      <c r="T17" s="15">
        <f>IF(OR(T16="",T4=""),"",IFERROR(T16/T4,""))</f>
        <v/>
      </c>
      <c r="U17" s="15">
        <f>IF(OR(U16="",U4=""),"",IFERROR(U16/U4,""))</f>
        <v/>
      </c>
      <c r="V17" s="15">
        <f>IF(OR(V16="",V4=""),"",IFERROR(V16/V4,""))</f>
        <v/>
      </c>
      <c r="W17" s="15">
        <f>IF(OR(W16="",W4=""),"",IFERROR(W16/W4,""))</f>
        <v/>
      </c>
      <c r="X17" s="15">
        <f>IF(OR(X16="",X4=""),"",IFERROR(X16/X4,""))</f>
        <v/>
      </c>
      <c r="Y17" s="14">
        <f>IF(OR(Y16="",Y4=""),"",IFERROR(Y16/Y4,""))</f>
        <v/>
      </c>
      <c r="Z17" s="15">
        <f>IF(OR(Z16="",Z4=""),"",IFERROR(Z16/Z4,""))</f>
        <v/>
      </c>
      <c r="AA17" s="15">
        <f>IF(OR(AA16="",AA4=""),"",IFERROR(AA16/AA4,""))</f>
        <v/>
      </c>
      <c r="AB17" s="15">
        <f>IF(OR(AB16="",AB4=""),"",IFERROR(AB16/AB4,""))</f>
        <v/>
      </c>
      <c r="AC17" s="15">
        <f>IF(OR(AC16="",AC4=""),"",IFERROR(AC16/AC4,""))</f>
        <v/>
      </c>
    </row>
    <row r="18">
      <c r="A18" s="13" t="inlineStr">
        <is>
          <t>YoY</t>
        </is>
      </c>
      <c r="B18" s="10" t="n"/>
      <c r="C18" s="14" t="n"/>
      <c r="D18" s="15" t="n"/>
      <c r="E18" s="15" t="n"/>
      <c r="F18" s="15" t="n"/>
      <c r="G18" s="15">
        <f>IF(OR(G16="",C16=""),"",IFERROR(G16/C16-1,""))</f>
        <v/>
      </c>
      <c r="H18" s="15">
        <f>IF(OR(H16="",D16=""),"",IFERROR(H16/D16-1,""))</f>
        <v/>
      </c>
      <c r="I18" s="15">
        <f>IF(OR(I16="",E16=""),"",IFERROR(I16/E16-1,""))</f>
        <v/>
      </c>
      <c r="J18" s="15">
        <f>IF(OR(J16="",F16=""),"",IFERROR(J16/F16-1,""))</f>
        <v/>
      </c>
      <c r="K18" s="15">
        <f>IF(OR(K16="",G16=""),"",IFERROR(K16/G16-1,""))</f>
        <v/>
      </c>
      <c r="L18" s="15">
        <f>IF(OR(L16="",H16=""),"",IFERROR(L16/H16-1,""))</f>
        <v/>
      </c>
      <c r="M18" s="15">
        <f>IF(OR(M16="",I16=""),"",IFERROR(M16/I16-1,""))</f>
        <v/>
      </c>
      <c r="N18" s="15">
        <f>IF(OR(N16="",J16=""),"",IFERROR(N16/J16-1,""))</f>
        <v/>
      </c>
      <c r="O18" s="14" t="n"/>
      <c r="P18" s="15">
        <f>IF(OR(P16="",O16=""),"",IFERROR(P16/O16-1,""))</f>
        <v/>
      </c>
      <c r="Q18" s="15">
        <f>IF(OR(Q16="",P16=""),"",IFERROR(Q16/P16-1,""))</f>
        <v/>
      </c>
      <c r="R18" s="15">
        <f>IF(OR(R16="",Q16=""),"",IFERROR(R16/Q16-1,""))</f>
        <v/>
      </c>
      <c r="S18" s="15">
        <f>IF(OR(S16="",R16=""),"",IFERROR(S16/R16-1,""))</f>
        <v/>
      </c>
      <c r="T18" s="15">
        <f>IF(OR(T16="",S16=""),"",IFERROR(T16/S16-1,""))</f>
        <v/>
      </c>
      <c r="U18" s="15">
        <f>IF(OR(U16="",T16=""),"",IFERROR(U16/T16-1,""))</f>
        <v/>
      </c>
      <c r="V18" s="15">
        <f>IF(OR(V16="",U16=""),"",IFERROR(V16/U16-1,""))</f>
        <v/>
      </c>
      <c r="W18" s="15">
        <f>IF(OR(W16="",V16=""),"",IFERROR(W16/V16-1,""))</f>
        <v/>
      </c>
      <c r="X18" s="15">
        <f>IF(OR(X16="",W16=""),"",IFERROR(X16/W16-1,""))</f>
        <v/>
      </c>
      <c r="Y18" s="14">
        <f>IF(OR(Y16="",X16=""),"",IFERROR(Y16/X16-1,""))</f>
        <v/>
      </c>
      <c r="Z18" s="15">
        <f>IF(OR(Z16="",Y16=""),"",IFERROR(Z16/Y16-1,""))</f>
        <v/>
      </c>
      <c r="AA18" s="15">
        <f>IF(OR(AA16="",Z16=""),"",IFERROR(AA16/Z16-1,""))</f>
        <v/>
      </c>
      <c r="AB18" s="15">
        <f>IF(OR(AB16="",AA16=""),"",IFERROR(AB16/AA16-1,""))</f>
        <v/>
      </c>
      <c r="AC18" s="15">
        <f>IF(OR(AC16="",AB16=""),"",IFERROR(AC16/AB16-1,""))</f>
        <v/>
      </c>
    </row>
    <row r="19">
      <c r="A19" s="16" t="inlineStr">
        <is>
          <t>매출원가</t>
        </is>
      </c>
      <c r="B19" s="16" t="n"/>
      <c r="C19" s="17" t="n"/>
      <c r="D19" s="16" t="n"/>
      <c r="E19" s="16" t="n"/>
      <c r="F19" s="16" t="n"/>
      <c r="G19" s="16" t="n"/>
      <c r="H19" s="16" t="n"/>
      <c r="I19" s="16" t="n"/>
      <c r="J19" s="16" t="n"/>
      <c r="K19" s="16" t="n"/>
      <c r="L19" s="16" t="n"/>
      <c r="M19" s="16" t="n"/>
      <c r="N19" s="16" t="n"/>
      <c r="O19" s="17" t="n"/>
      <c r="P19" s="16" t="n"/>
      <c r="Q19" s="16" t="n"/>
      <c r="R19" s="16" t="n"/>
      <c r="S19" s="16" t="n"/>
      <c r="T19" s="16" t="n"/>
      <c r="U19" s="16" t="n"/>
      <c r="V19" s="16" t="n"/>
      <c r="W19" s="16" t="n"/>
      <c r="X19" s="16" t="n"/>
      <c r="Y19" s="17" t="n"/>
      <c r="Z19" s="16" t="n"/>
      <c r="AA19" s="16" t="n"/>
      <c r="AB19" s="16" t="n"/>
      <c r="AC19" s="16" t="n"/>
    </row>
    <row r="20">
      <c r="A20" s="18" t="inlineStr">
        <is>
          <t>전체 매출원가</t>
        </is>
      </c>
      <c r="B20" s="10" t="n"/>
      <c r="C20" s="19" t="n">
        <v>315564</v>
      </c>
      <c r="D20" s="20" t="n">
        <v>346599</v>
      </c>
      <c r="E20" s="20" t="n">
        <v>320101</v>
      </c>
      <c r="F20" s="20" t="n">
        <v>362177</v>
      </c>
      <c r="G20" s="20" t="n">
        <v>338038</v>
      </c>
      <c r="H20" s="20" t="n">
        <v>358968</v>
      </c>
      <c r="I20" s="20" t="n">
        <v>339477</v>
      </c>
      <c r="J20" s="20" t="n">
        <v>375962</v>
      </c>
      <c r="K20" s="20" t="n">
        <v>410593</v>
      </c>
      <c r="L20" s="20" t="n">
        <v>393059</v>
      </c>
      <c r="M20" s="20" t="n">
        <v>379003</v>
      </c>
      <c r="N20" s="20" t="n">
        <v>437078</v>
      </c>
      <c r="O20" s="19" t="n">
        <v>208648</v>
      </c>
      <c r="P20" s="20" t="n">
        <v>182446</v>
      </c>
      <c r="Q20" s="20" t="n">
        <v>933034</v>
      </c>
      <c r="R20" s="20" t="n">
        <v>942299</v>
      </c>
      <c r="S20" s="20" t="n">
        <v>898001</v>
      </c>
      <c r="T20" s="20" t="n">
        <v>956861</v>
      </c>
      <c r="U20" s="20" t="n">
        <v>1090989</v>
      </c>
      <c r="V20" s="20" t="n">
        <v>1225974</v>
      </c>
      <c r="W20" s="20" t="n">
        <v>1379284</v>
      </c>
      <c r="X20" s="20" t="n">
        <v>1519091</v>
      </c>
      <c r="Y20" s="19" t="n"/>
      <c r="Z20" s="20" t="n"/>
      <c r="AA20" s="20" t="n"/>
      <c r="AB20" s="20" t="n"/>
      <c r="AC20" s="20" t="n"/>
    </row>
    <row r="21">
      <c r="A21" s="13" t="inlineStr">
        <is>
          <t>YoY</t>
        </is>
      </c>
      <c r="B21" s="10" t="n"/>
      <c r="C21" s="14" t="n"/>
      <c r="D21" s="15" t="n"/>
      <c r="E21" s="15" t="n"/>
      <c r="F21" s="15" t="n"/>
      <c r="G21" s="15">
        <f>IF(OR(G20="",C20=""),"",IF(C20&lt;=0,"",IFERROR(G20/C20-1,"")))</f>
        <v/>
      </c>
      <c r="H21" s="15">
        <f>IF(OR(H20="",D20=""),"",IF(D20&lt;=0,"",IFERROR(H20/D20-1,"")))</f>
        <v/>
      </c>
      <c r="I21" s="15">
        <f>IF(OR(I20="",E20=""),"",IF(E20&lt;=0,"",IFERROR(I20/E20-1,"")))</f>
        <v/>
      </c>
      <c r="J21" s="15">
        <f>IF(OR(J20="",F20=""),"",IF(F20&lt;=0,"",IFERROR(J20/F20-1,"")))</f>
        <v/>
      </c>
      <c r="K21" s="15">
        <f>IF(OR(K20="",G20=""),"",IF(G20&lt;=0,"",IFERROR(K20/G20-1,"")))</f>
        <v/>
      </c>
      <c r="L21" s="15">
        <f>IF(OR(L20="",H20=""),"",IF(H20&lt;=0,"",IFERROR(L20/H20-1,"")))</f>
        <v/>
      </c>
      <c r="M21" s="15">
        <f>IF(OR(M20="",I20=""),"",IF(I20&lt;=0,"",IFERROR(M20/I20-1,"")))</f>
        <v/>
      </c>
      <c r="N21" s="15">
        <f>IF(OR(N20="",J20=""),"",IF(J20&lt;=0,"",IFERROR(N20/J20-1,"")))</f>
        <v/>
      </c>
      <c r="O21" s="14" t="n"/>
      <c r="P21" s="15">
        <f>IF(OR(P20="",O20=""),"",IF(O20&lt;=0,"",IFERROR(P20/O20-1,"")))</f>
        <v/>
      </c>
      <c r="Q21" s="15">
        <f>IF(OR(Q20="",P20=""),"",IF(P20&lt;=0,"",IFERROR(Q20/P20-1,"")))</f>
        <v/>
      </c>
      <c r="R21" s="15">
        <f>IF(OR(R20="",Q20=""),"",IF(Q20&lt;=0,"",IFERROR(R20/Q20-1,"")))</f>
        <v/>
      </c>
      <c r="S21" s="15">
        <f>IF(OR(S20="",R20=""),"",IF(R20&lt;=0,"",IFERROR(S20/R20-1,"")))</f>
        <v/>
      </c>
      <c r="T21" s="15">
        <f>IF(OR(T20="",S20=""),"",IF(S20&lt;=0,"",IFERROR(T20/S20-1,"")))</f>
        <v/>
      </c>
      <c r="U21" s="15">
        <f>IF(OR(U20="",T20=""),"",IF(T20&lt;=0,"",IFERROR(U20/T20-1,"")))</f>
        <v/>
      </c>
      <c r="V21" s="15">
        <f>IF(OR(V20="",U20=""),"",IF(U20&lt;=0,"",IFERROR(V20/U20-1,"")))</f>
        <v/>
      </c>
      <c r="W21" s="15">
        <f>IF(OR(W20="",V20=""),"",IF(V20&lt;=0,"",IFERROR(W20/V20-1,"")))</f>
        <v/>
      </c>
      <c r="X21" s="15">
        <f>IF(OR(X20="",W20=""),"",IF(W20&lt;=0,"",IFERROR(X20/W20-1,"")))</f>
        <v/>
      </c>
      <c r="Y21" s="14">
        <f>IF(OR(Y20="",X20=""),"",IF(X20&lt;=0,"",IFERROR(Y20/X20-1,"")))</f>
        <v/>
      </c>
      <c r="Z21" s="15">
        <f>IF(OR(Z20="",Y20=""),"",IF(Y20&lt;=0,"",IFERROR(Z20/Y20-1,"")))</f>
        <v/>
      </c>
      <c r="AA21" s="15">
        <f>IF(OR(AA20="",Z20=""),"",IF(Z20&lt;=0,"",IFERROR(AA20/Z20-1,"")))</f>
        <v/>
      </c>
      <c r="AB21" s="15">
        <f>IF(OR(AB20="",AA20=""),"",IF(AA20&lt;=0,"",IFERROR(AB20/AA20-1,"")))</f>
        <v/>
      </c>
      <c r="AC21" s="15">
        <f>IF(OR(AC20="",AB20=""),"",IF(AB20&lt;=0,"",IFERROR(AC20/AB20-1,"")))</f>
        <v/>
      </c>
    </row>
    <row r="22">
      <c r="A22" s="18" t="inlineStr">
        <is>
          <t>매출총이익</t>
        </is>
      </c>
      <c r="B22" s="10" t="n"/>
      <c r="C22" s="19">
        <f>IF(OR(C4="",C20=""),"",IFERROR(C4-C20,""))</f>
        <v/>
      </c>
      <c r="D22" s="20">
        <f>IF(OR(D4="",D20=""),"",IFERROR(D4-D20,""))</f>
        <v/>
      </c>
      <c r="E22" s="20">
        <f>IF(OR(E4="",E20=""),"",IFERROR(E4-E20,""))</f>
        <v/>
      </c>
      <c r="F22" s="20">
        <f>IF(OR(F4="",F20=""),"",IFERROR(F4-F20,""))</f>
        <v/>
      </c>
      <c r="G22" s="20">
        <f>IF(OR(G4="",G20=""),"",IFERROR(G4-G20,""))</f>
        <v/>
      </c>
      <c r="H22" s="20">
        <f>IF(OR(H4="",H20=""),"",IFERROR(H4-H20,""))</f>
        <v/>
      </c>
      <c r="I22" s="20">
        <f>IF(OR(I4="",I20=""),"",IFERROR(I4-I20,""))</f>
        <v/>
      </c>
      <c r="J22" s="20">
        <f>IF(OR(J4="",J20=""),"",IFERROR(J4-J20,""))</f>
        <v/>
      </c>
      <c r="K22" s="20">
        <f>IF(OR(K4="",K20=""),"",IFERROR(K4-K20,""))</f>
        <v/>
      </c>
      <c r="L22" s="20">
        <f>IF(OR(L4="",L20=""),"",IFERROR(L4-L20,""))</f>
        <v/>
      </c>
      <c r="M22" s="20">
        <f>IF(OR(M4="",M20=""),"",IFERROR(M4-M20,""))</f>
        <v/>
      </c>
      <c r="N22" s="20">
        <f>IF(OR(N4="",N20=""),"",IFERROR(N4-N20,""))</f>
        <v/>
      </c>
      <c r="O22" s="19">
        <f>IF(OR(O4="",O20=""),"",IFERROR(O4-O20,""))</f>
        <v/>
      </c>
      <c r="P22" s="20">
        <f>IF(OR(P4="",P20=""),"",IFERROR(P4-P20,""))</f>
        <v/>
      </c>
      <c r="Q22" s="20">
        <f>IF(OR(Q4="",Q20=""),"",IFERROR(Q4-Q20,""))</f>
        <v/>
      </c>
      <c r="R22" s="20">
        <f>IF(OR(R4="",R20=""),"",IFERROR(R4-R20,""))</f>
        <v/>
      </c>
      <c r="S22" s="20">
        <f>IF(OR(S4="",S20=""),"",IFERROR(S4-S20,""))</f>
        <v/>
      </c>
      <c r="T22" s="20">
        <f>IF(OR(T4="",T20=""),"",IFERROR(T4-T20,""))</f>
        <v/>
      </c>
      <c r="U22" s="20">
        <f>IF(OR(U4="",U20=""),"",IFERROR(U4-U20,""))</f>
        <v/>
      </c>
      <c r="V22" s="20">
        <f>IF(OR(V4="",V20=""),"",IFERROR(V4-V20,""))</f>
        <v/>
      </c>
      <c r="W22" s="20">
        <f>IF(OR(W4="",W20=""),"",IFERROR(W4-W20,""))</f>
        <v/>
      </c>
      <c r="X22" s="20">
        <f>IF(OR(X4="",X20=""),"",IFERROR(X4-X20,""))</f>
        <v/>
      </c>
      <c r="Y22" s="19" t="n"/>
      <c r="Z22" s="20" t="n"/>
      <c r="AA22" s="20" t="n"/>
      <c r="AB22" s="20" t="n"/>
      <c r="AC22" s="20" t="n"/>
    </row>
    <row r="23">
      <c r="A23" s="13" t="inlineStr">
        <is>
          <t>GPM</t>
        </is>
      </c>
      <c r="B23" s="10" t="n"/>
      <c r="C23" s="14">
        <f>IF(OR(C22="",C4=""),"",IFERROR(C22/C4,""))</f>
        <v/>
      </c>
      <c r="D23" s="15">
        <f>IF(OR(D22="",D4=""),"",IFERROR(D22/D4,""))</f>
        <v/>
      </c>
      <c r="E23" s="15">
        <f>IF(OR(E22="",E4=""),"",IFERROR(E22/E4,""))</f>
        <v/>
      </c>
      <c r="F23" s="15">
        <f>IF(OR(F22="",F4=""),"",IFERROR(F22/F4,""))</f>
        <v/>
      </c>
      <c r="G23" s="15">
        <f>IF(OR(G22="",G4=""),"",IFERROR(G22/G4,""))</f>
        <v/>
      </c>
      <c r="H23" s="15">
        <f>IF(OR(H22="",H4=""),"",IFERROR(H22/H4,""))</f>
        <v/>
      </c>
      <c r="I23" s="15">
        <f>IF(OR(I22="",I4=""),"",IFERROR(I22/I4,""))</f>
        <v/>
      </c>
      <c r="J23" s="15">
        <f>IF(OR(J22="",J4=""),"",IFERROR(J22/J4,""))</f>
        <v/>
      </c>
      <c r="K23" s="15">
        <f>IF(OR(K22="",K4=""),"",IFERROR(K22/K4,""))</f>
        <v/>
      </c>
      <c r="L23" s="15">
        <f>IF(OR(L22="",L4=""),"",IFERROR(L22/L4,""))</f>
        <v/>
      </c>
      <c r="M23" s="15">
        <f>IF(OR(M22="",M4=""),"",IFERROR(M22/M4,""))</f>
        <v/>
      </c>
      <c r="N23" s="15">
        <f>IF(OR(N22="",N4=""),"",IFERROR(N22/N4,""))</f>
        <v/>
      </c>
      <c r="O23" s="14">
        <f>IF(OR(O22="",O4=""),"",IFERROR(O22/O4,""))</f>
        <v/>
      </c>
      <c r="P23" s="15">
        <f>IF(OR(P22="",P4=""),"",IFERROR(P22/P4,""))</f>
        <v/>
      </c>
      <c r="Q23" s="15">
        <f>IF(OR(Q22="",Q4=""),"",IFERROR(Q22/Q4,""))</f>
        <v/>
      </c>
      <c r="R23" s="15">
        <f>IF(OR(R22="",R4=""),"",IFERROR(R22/R4,""))</f>
        <v/>
      </c>
      <c r="S23" s="15">
        <f>IF(OR(S22="",S4=""),"",IFERROR(S22/S4,""))</f>
        <v/>
      </c>
      <c r="T23" s="15">
        <f>IF(OR(T22="",T4=""),"",IFERROR(T22/T4,""))</f>
        <v/>
      </c>
      <c r="U23" s="15">
        <f>IF(OR(U22="",U4=""),"",IFERROR(U22/U4,""))</f>
        <v/>
      </c>
      <c r="V23" s="15">
        <f>IF(OR(V22="",V4=""),"",IFERROR(V22/V4,""))</f>
        <v/>
      </c>
      <c r="W23" s="15">
        <f>IF(OR(W22="",W4=""),"",IFERROR(W22/W4,""))</f>
        <v/>
      </c>
      <c r="X23" s="15">
        <f>IF(OR(X22="",X4=""),"",IFERROR(X22/X4,""))</f>
        <v/>
      </c>
      <c r="Y23" s="14">
        <f>IF(OR(Y22="",Y4=""),"",IFERROR(Y22/Y4,""))</f>
        <v/>
      </c>
      <c r="Z23" s="15">
        <f>IF(OR(Z22="",Z4=""),"",IFERROR(Z22/Z4,""))</f>
        <v/>
      </c>
      <c r="AA23" s="15">
        <f>IF(OR(AA22="",AA4=""),"",IFERROR(AA22/AA4,""))</f>
        <v/>
      </c>
      <c r="AB23" s="15">
        <f>IF(OR(AB22="",AB4=""),"",IFERROR(AB22/AB4,""))</f>
        <v/>
      </c>
      <c r="AC23" s="15">
        <f>IF(OR(AC22="",AC4=""),"",IFERROR(AC22/AC4,""))</f>
        <v/>
      </c>
    </row>
    <row r="24">
      <c r="A24" s="13" t="inlineStr">
        <is>
          <t>YoY</t>
        </is>
      </c>
      <c r="B24" s="10" t="n"/>
      <c r="C24" s="14" t="n"/>
      <c r="D24" s="15" t="n"/>
      <c r="E24" s="15" t="n"/>
      <c r="F24" s="15" t="n"/>
      <c r="G24" s="15">
        <f>IF(OR(G22="",C22=""),"",IF(C22&lt;=0,"",IFERROR(G22/C22-1,"")))</f>
        <v/>
      </c>
      <c r="H24" s="15">
        <f>IF(OR(H22="",D22=""),"",IF(D22&lt;=0,"",IFERROR(H22/D22-1,"")))</f>
        <v/>
      </c>
      <c r="I24" s="15">
        <f>IF(OR(I22="",E22=""),"",IF(E22&lt;=0,"",IFERROR(I22/E22-1,"")))</f>
        <v/>
      </c>
      <c r="J24" s="15">
        <f>IF(OR(J22="",F22=""),"",IF(F22&lt;=0,"",IFERROR(J22/F22-1,"")))</f>
        <v/>
      </c>
      <c r="K24" s="15">
        <f>IF(OR(K22="",G22=""),"",IF(G22&lt;=0,"",IFERROR(K22/G22-1,"")))</f>
        <v/>
      </c>
      <c r="L24" s="15">
        <f>IF(OR(L22="",H22=""),"",IF(H22&lt;=0,"",IFERROR(L22/H22-1,"")))</f>
        <v/>
      </c>
      <c r="M24" s="15">
        <f>IF(OR(M22="",I22=""),"",IF(I22&lt;=0,"",IFERROR(M22/I22-1,"")))</f>
        <v/>
      </c>
      <c r="N24" s="15">
        <f>IF(OR(N22="",J22=""),"",IF(J22&lt;=0,"",IFERROR(N22/J22-1,"")))</f>
        <v/>
      </c>
      <c r="O24" s="14" t="n"/>
      <c r="P24" s="15">
        <f>IF(OR(P22="",O22=""),"",IF(O22&lt;=0,"",IFERROR(P22/O22-1,"")))</f>
        <v/>
      </c>
      <c r="Q24" s="15">
        <f>IF(OR(Q22="",P22=""),"",IF(P22&lt;=0,"",IFERROR(Q22/P22-1,"")))</f>
        <v/>
      </c>
      <c r="R24" s="15">
        <f>IF(OR(R22="",Q22=""),"",IF(Q22&lt;=0,"",IFERROR(R22/Q22-1,"")))</f>
        <v/>
      </c>
      <c r="S24" s="15">
        <f>IF(OR(S22="",R22=""),"",IF(R22&lt;=0,"",IFERROR(S22/R22-1,"")))</f>
        <v/>
      </c>
      <c r="T24" s="15">
        <f>IF(OR(T22="",S22=""),"",IF(S22&lt;=0,"",IFERROR(T22/S22-1,"")))</f>
        <v/>
      </c>
      <c r="U24" s="15">
        <f>IF(OR(U22="",T22=""),"",IF(T22&lt;=0,"",IFERROR(U22/T22-1,"")))</f>
        <v/>
      </c>
      <c r="V24" s="15">
        <f>IF(OR(V22="",U22=""),"",IF(U22&lt;=0,"",IFERROR(V22/U22-1,"")))</f>
        <v/>
      </c>
      <c r="W24" s="15">
        <f>IF(OR(W22="",V22=""),"",IF(V22&lt;=0,"",IFERROR(W22/V22-1,"")))</f>
        <v/>
      </c>
      <c r="X24" s="15">
        <f>IF(OR(X22="",W22=""),"",IF(W22&lt;=0,"",IFERROR(X22/W22-1,"")))</f>
        <v/>
      </c>
      <c r="Y24" s="14">
        <f>IF(OR(Y22="",X22=""),"",IF(X22&lt;=0,"",IFERROR(Y22/X22-1,"")))</f>
        <v/>
      </c>
      <c r="Z24" s="15">
        <f>IF(OR(Z22="",Y22=""),"",IF(Y22&lt;=0,"",IFERROR(Z22/Y22-1,"")))</f>
        <v/>
      </c>
      <c r="AA24" s="15">
        <f>IF(OR(AA22="",Z22=""),"",IF(Z22&lt;=0,"",IFERROR(AA22/Z22-1,"")))</f>
        <v/>
      </c>
      <c r="AB24" s="15">
        <f>IF(OR(AB22="",AA22=""),"",IF(AA22&lt;=0,"",IFERROR(AB22/AA22-1,"")))</f>
        <v/>
      </c>
      <c r="AC24" s="15">
        <f>IF(OR(AC22="",AB22=""),"",IF(AB22&lt;=0,"",IFERROR(AC22/AB22-1,"")))</f>
        <v/>
      </c>
    </row>
    <row r="25">
      <c r="A25" s="23" t="inlineStr">
        <is>
          <t>판매관리비</t>
        </is>
      </c>
      <c r="B25" s="23" t="n"/>
      <c r="C25" s="24" t="n"/>
      <c r="D25" s="23" t="n"/>
      <c r="E25" s="23" t="n"/>
      <c r="F25" s="23" t="n"/>
      <c r="G25" s="23" t="n"/>
      <c r="H25" s="23" t="n"/>
      <c r="I25" s="23" t="n"/>
      <c r="J25" s="23" t="n"/>
      <c r="K25" s="23" t="n"/>
      <c r="L25" s="23" t="n"/>
      <c r="M25" s="23" t="n"/>
      <c r="N25" s="23" t="n"/>
      <c r="O25" s="24" t="n"/>
      <c r="P25" s="23" t="n"/>
      <c r="Q25" s="23" t="n"/>
      <c r="R25" s="23" t="n"/>
      <c r="S25" s="23" t="n"/>
      <c r="T25" s="23" t="n"/>
      <c r="U25" s="23" t="n"/>
      <c r="V25" s="23" t="n"/>
      <c r="W25" s="23" t="n"/>
      <c r="X25" s="23" t="n"/>
      <c r="Y25" s="24" t="n"/>
      <c r="Z25" s="23" t="n"/>
      <c r="AA25" s="23" t="n"/>
      <c r="AB25" s="23" t="n"/>
      <c r="AC25" s="23" t="n"/>
    </row>
    <row r="26">
      <c r="A26" s="18" t="inlineStr">
        <is>
          <t>전체 판관비</t>
        </is>
      </c>
      <c r="B26" s="10" t="n"/>
      <c r="C26" s="19" t="n">
        <v>247351</v>
      </c>
      <c r="D26" s="20" t="n">
        <v>305655</v>
      </c>
      <c r="E26" s="20" t="n">
        <v>212863</v>
      </c>
      <c r="F26" s="20" t="n">
        <v>261862</v>
      </c>
      <c r="G26" s="20" t="n">
        <v>229580</v>
      </c>
      <c r="H26" s="20" t="n">
        <v>702919</v>
      </c>
      <c r="I26" s="20" t="n">
        <v>224338</v>
      </c>
      <c r="J26" s="20" t="n">
        <v>260669</v>
      </c>
      <c r="K26" s="20" t="n">
        <v>284192</v>
      </c>
      <c r="L26" s="20" t="n">
        <v>408963</v>
      </c>
      <c r="M26" s="20" t="n">
        <v>246983</v>
      </c>
      <c r="N26" s="20" t="n">
        <v>292194</v>
      </c>
      <c r="O26" s="19" t="n">
        <v>323938</v>
      </c>
      <c r="P26" s="20" t="n">
        <v>330951</v>
      </c>
      <c r="Q26" s="20" t="n">
        <v>770407</v>
      </c>
      <c r="R26" s="20" t="n">
        <v>831707</v>
      </c>
      <c r="S26" s="20" t="n">
        <v>784472</v>
      </c>
      <c r="T26" s="20" t="n">
        <v>888574</v>
      </c>
      <c r="U26" s="20" t="n">
        <v>941538</v>
      </c>
      <c r="V26" s="20" t="n">
        <v>981052</v>
      </c>
      <c r="W26" s="20" t="n">
        <v>1407224</v>
      </c>
      <c r="X26" s="20" t="n">
        <v>1178162</v>
      </c>
      <c r="Y26" s="19" t="n"/>
      <c r="Z26" s="20" t="n"/>
      <c r="AA26" s="20" t="n"/>
      <c r="AB26" s="20" t="n"/>
      <c r="AC26" s="20" t="n"/>
    </row>
    <row r="27">
      <c r="A27" s="13" t="inlineStr">
        <is>
          <t>YoY</t>
        </is>
      </c>
      <c r="B27" s="10" t="n"/>
      <c r="C27" s="14" t="n"/>
      <c r="D27" s="15" t="n"/>
      <c r="E27" s="15" t="n"/>
      <c r="F27" s="15" t="n"/>
      <c r="G27" s="15">
        <f>IF(OR(G26="",C26=""),"",IF(C26&lt;=0,"",IFERROR(G26/C26-1,"")))</f>
        <v/>
      </c>
      <c r="H27" s="15">
        <f>IF(OR(H26="",D26=""),"",IF(D26&lt;=0,"",IFERROR(H26/D26-1,"")))</f>
        <v/>
      </c>
      <c r="I27" s="15">
        <f>IF(OR(I26="",E26=""),"",IF(E26&lt;=0,"",IFERROR(I26/E26-1,"")))</f>
        <v/>
      </c>
      <c r="J27" s="15">
        <f>IF(OR(J26="",F26=""),"",IF(F26&lt;=0,"",IFERROR(J26/F26-1,"")))</f>
        <v/>
      </c>
      <c r="K27" s="15">
        <f>IF(OR(K26="",G26=""),"",IF(G26&lt;=0,"",IFERROR(K26/G26-1,"")))</f>
        <v/>
      </c>
      <c r="L27" s="15">
        <f>IF(OR(L26="",H26=""),"",IF(H26&lt;=0,"",IFERROR(L26/H26-1,"")))</f>
        <v/>
      </c>
      <c r="M27" s="15">
        <f>IF(OR(M26="",I26=""),"",IF(I26&lt;=0,"",IFERROR(M26/I26-1,"")))</f>
        <v/>
      </c>
      <c r="N27" s="15">
        <f>IF(OR(N26="",J26=""),"",IF(J26&lt;=0,"",IFERROR(N26/J26-1,"")))</f>
        <v/>
      </c>
      <c r="O27" s="14" t="n"/>
      <c r="P27" s="15">
        <f>IF(OR(P26="",O26=""),"",IF(O26&lt;=0,"",IFERROR(P26/O26-1,"")))</f>
        <v/>
      </c>
      <c r="Q27" s="15">
        <f>IF(OR(Q26="",P26=""),"",IF(P26&lt;=0,"",IFERROR(Q26/P26-1,"")))</f>
        <v/>
      </c>
      <c r="R27" s="15">
        <f>IF(OR(R26="",Q26=""),"",IF(Q26&lt;=0,"",IFERROR(R26/Q26-1,"")))</f>
        <v/>
      </c>
      <c r="S27" s="15">
        <f>IF(OR(S26="",R26=""),"",IF(R26&lt;=0,"",IFERROR(S26/R26-1,"")))</f>
        <v/>
      </c>
      <c r="T27" s="15">
        <f>IF(OR(T26="",S26=""),"",IF(S26&lt;=0,"",IFERROR(T26/S26-1,"")))</f>
        <v/>
      </c>
      <c r="U27" s="15">
        <f>IF(OR(U26="",T26=""),"",IF(T26&lt;=0,"",IFERROR(U26/T26-1,"")))</f>
        <v/>
      </c>
      <c r="V27" s="15">
        <f>IF(OR(V26="",U26=""),"",IF(U26&lt;=0,"",IFERROR(V26/U26-1,"")))</f>
        <v/>
      </c>
      <c r="W27" s="15">
        <f>IF(OR(W26="",V26=""),"",IF(V26&lt;=0,"",IFERROR(W26/V26-1,"")))</f>
        <v/>
      </c>
      <c r="X27" s="15">
        <f>IF(OR(X26="",W26=""),"",IF(W26&lt;=0,"",IFERROR(X26/W26-1,"")))</f>
        <v/>
      </c>
      <c r="Y27" s="14">
        <f>IF(OR(Y26="",X26=""),"",IF(X26&lt;=0,"",IFERROR(Y26/X26-1,"")))</f>
        <v/>
      </c>
      <c r="Z27" s="15">
        <f>IF(OR(Z26="",Y26=""),"",IF(Y26&lt;=0,"",IFERROR(Z26/Y26-1,"")))</f>
        <v/>
      </c>
      <c r="AA27" s="15">
        <f>IF(OR(AA26="",Z26=""),"",IF(Z26&lt;=0,"",IFERROR(AA26/Z26-1,"")))</f>
        <v/>
      </c>
      <c r="AB27" s="15">
        <f>IF(OR(AB26="",AA26=""),"",IF(AA26&lt;=0,"",IFERROR(AB26/AA26-1,"")))</f>
        <v/>
      </c>
      <c r="AC27" s="15">
        <f>IF(OR(AC26="",AB26=""),"",IF(AB26&lt;=0,"",IFERROR(AC26/AB26-1,"")))</f>
        <v/>
      </c>
    </row>
    <row r="28">
      <c r="A28" s="9" t="inlineStr">
        <is>
          <t>영업이익</t>
        </is>
      </c>
      <c r="B28" s="10" t="inlineStr">
        <is>
          <t>MW = 매출 × OPM</t>
        </is>
      </c>
      <c r="C28" s="11" t="n">
        <v>218292</v>
      </c>
      <c r="D28" s="12" t="n">
        <v>40563</v>
      </c>
      <c r="E28" s="12" t="n">
        <v>215818</v>
      </c>
      <c r="F28" s="12" t="n">
        <v>216844</v>
      </c>
      <c r="G28" s="12" t="n">
        <v>198806</v>
      </c>
      <c r="H28" s="12" t="n">
        <v>-317245</v>
      </c>
      <c r="I28" s="12" t="n">
        <v>244318</v>
      </c>
      <c r="J28" s="12" t="n">
        <v>255811</v>
      </c>
      <c r="K28" s="12" t="n">
        <v>262806</v>
      </c>
      <c r="L28" s="12" t="n">
        <v>104103</v>
      </c>
      <c r="M28" s="12" t="n">
        <v>304554</v>
      </c>
      <c r="N28" s="12" t="n">
        <v>340386</v>
      </c>
      <c r="O28" s="11" t="n">
        <v>196700</v>
      </c>
      <c r="P28" s="12" t="n">
        <v>168443</v>
      </c>
      <c r="Q28" s="12" t="n">
        <v>564984</v>
      </c>
      <c r="R28" s="12" t="n">
        <v>502355</v>
      </c>
      <c r="S28" s="12" t="n">
        <v>469054</v>
      </c>
      <c r="T28" s="12" t="n">
        <v>499021</v>
      </c>
      <c r="U28" s="12" t="n">
        <v>653575</v>
      </c>
      <c r="V28" s="12" t="n">
        <v>672410</v>
      </c>
      <c r="W28" s="12" t="n">
        <v>314223</v>
      </c>
      <c r="X28" s="12" t="n">
        <v>867038</v>
      </c>
      <c r="Y28" s="11">
        <f>IF(OR(Y4="",Y29=""),"",IFERROR(Y4*Y29,""))</f>
        <v/>
      </c>
      <c r="Z28" s="12">
        <f>IF(OR(Z4="",Z29=""),"",IFERROR(Z4*Z29,""))</f>
        <v/>
      </c>
      <c r="AA28" s="12">
        <f>IF(OR(AA4="",AA29=""),"",IFERROR(AA4*AA29,""))</f>
        <v/>
      </c>
      <c r="AB28" s="12">
        <f>IF(OR(AB4="",AB29=""),"",IFERROR(AB4*AB29,""))</f>
        <v/>
      </c>
      <c r="AC28" s="12">
        <f>IF(OR(AC4="",AC29=""),"",IFERROR(AC4*AC29,""))</f>
        <v/>
      </c>
    </row>
    <row r="29">
      <c r="A29" s="13" t="inlineStr">
        <is>
          <t>OPM</t>
        </is>
      </c>
      <c r="B29" s="10" t="inlineStr">
        <is>
          <t>MW 입력</t>
        </is>
      </c>
      <c r="C29" s="14">
        <f>IF(OR(C28="",C4=""),"",IFERROR(C28/C4,""))</f>
        <v/>
      </c>
      <c r="D29" s="15">
        <f>IF(OR(D28="",D4=""),"",IFERROR(D28/D4,""))</f>
        <v/>
      </c>
      <c r="E29" s="15">
        <f>IF(OR(E28="",E4=""),"",IFERROR(E28/E4,""))</f>
        <v/>
      </c>
      <c r="F29" s="15">
        <f>IF(OR(F28="",F4=""),"",IFERROR(F28/F4,""))</f>
        <v/>
      </c>
      <c r="G29" s="15">
        <f>IF(OR(G28="",G4=""),"",IFERROR(G28/G4,""))</f>
        <v/>
      </c>
      <c r="H29" s="15">
        <f>IF(OR(H28="",H4=""),"",IFERROR(H28/H4,""))</f>
        <v/>
      </c>
      <c r="I29" s="15">
        <f>IF(OR(I28="",I4=""),"",IFERROR(I28/I4,""))</f>
        <v/>
      </c>
      <c r="J29" s="15">
        <f>IF(OR(J28="",J4=""),"",IFERROR(J28/J4,""))</f>
        <v/>
      </c>
      <c r="K29" s="15">
        <f>IF(OR(K28="",K4=""),"",IFERROR(K28/K4,""))</f>
        <v/>
      </c>
      <c r="L29" s="15">
        <f>IF(OR(L28="",L4=""),"",IFERROR(L28/L4,""))</f>
        <v/>
      </c>
      <c r="M29" s="15">
        <f>IF(OR(M28="",M4=""),"",IFERROR(M28/M4,""))</f>
        <v/>
      </c>
      <c r="N29" s="15">
        <f>IF(OR(N28="",N4=""),"",IFERROR(N28/N4,""))</f>
        <v/>
      </c>
      <c r="O29" s="14">
        <f>IF(OR(O28="",O4=""),"",IFERROR(O28/O4,""))</f>
        <v/>
      </c>
      <c r="P29" s="15">
        <f>IF(OR(P28="",P4=""),"",IFERROR(P28/P4,""))</f>
        <v/>
      </c>
      <c r="Q29" s="15">
        <f>IF(OR(Q28="",Q4=""),"",IFERROR(Q28/Q4,""))</f>
        <v/>
      </c>
      <c r="R29" s="15">
        <f>IF(OR(R28="",R4=""),"",IFERROR(R28/R4,""))</f>
        <v/>
      </c>
      <c r="S29" s="15">
        <f>IF(OR(S28="",S4=""),"",IFERROR(S28/S4,""))</f>
        <v/>
      </c>
      <c r="T29" s="15">
        <f>IF(OR(T28="",T4=""),"",IFERROR(T28/T4,""))</f>
        <v/>
      </c>
      <c r="U29" s="15">
        <f>IF(OR(U28="",U4=""),"",IFERROR(U28/U4,""))</f>
        <v/>
      </c>
      <c r="V29" s="15">
        <f>IF(OR(V28="",V4=""),"",IFERROR(V28/V4,""))</f>
        <v/>
      </c>
      <c r="W29" s="15">
        <f>IF(OR(W28="",W4=""),"",IFERROR(W28/W4,""))</f>
        <v/>
      </c>
      <c r="X29" s="15">
        <f>IF(OR(X28="",X4=""),"",IFERROR(X28/X4,""))</f>
        <v/>
      </c>
      <c r="Y29" s="25" t="n"/>
      <c r="Z29" s="26" t="n"/>
      <c r="AA29" s="26" t="n"/>
      <c r="AB29" s="26" t="n"/>
      <c r="AC29" s="26" t="n"/>
    </row>
    <row r="30">
      <c r="A30" s="13" t="inlineStr">
        <is>
          <t>증가율</t>
        </is>
      </c>
      <c r="B30" s="10" t="n"/>
      <c r="C30" s="14" t="n"/>
      <c r="D30" s="15" t="n"/>
      <c r="E30" s="15" t="n"/>
      <c r="F30" s="15" t="n"/>
      <c r="G30" s="15">
        <f>IF(OR(G28="",C28=""),"",IFERROR(G28/C28-1,""))</f>
        <v/>
      </c>
      <c r="H30" s="15">
        <f>IF(OR(H28="",D28=""),"",IFERROR(H28/D28-1,""))</f>
        <v/>
      </c>
      <c r="I30" s="15">
        <f>IF(OR(I28="",E28=""),"",IFERROR(I28/E28-1,""))</f>
        <v/>
      </c>
      <c r="J30" s="15">
        <f>IF(OR(J28="",F28=""),"",IFERROR(J28/F28-1,""))</f>
        <v/>
      </c>
      <c r="K30" s="15">
        <f>IF(OR(K28="",G28=""),"",IFERROR(K28/G28-1,""))</f>
        <v/>
      </c>
      <c r="L30" s="15">
        <f>IF(OR(L28="",H28=""),"",IFERROR(L28/H28-1,""))</f>
        <v/>
      </c>
      <c r="M30" s="15">
        <f>IF(OR(M28="",I28=""),"",IFERROR(M28/I28-1,""))</f>
        <v/>
      </c>
      <c r="N30" s="15">
        <f>IF(OR(N28="",J28=""),"",IFERROR(N28/J28-1,""))</f>
        <v/>
      </c>
      <c r="O30" s="14" t="n"/>
      <c r="P30" s="15">
        <f>IF(OR(P28="",O28=""),"",IFERROR(P28/O28-1,""))</f>
        <v/>
      </c>
      <c r="Q30" s="15">
        <f>IF(OR(Q28="",P28=""),"",IFERROR(Q28/P28-1,""))</f>
        <v/>
      </c>
      <c r="R30" s="15">
        <f>IF(OR(R28="",Q28=""),"",IFERROR(R28/Q28-1,""))</f>
        <v/>
      </c>
      <c r="S30" s="15">
        <f>IF(OR(S28="",R28=""),"",IFERROR(S28/R28-1,""))</f>
        <v/>
      </c>
      <c r="T30" s="15">
        <f>IF(OR(T28="",S28=""),"",IFERROR(T28/S28-1,""))</f>
        <v/>
      </c>
      <c r="U30" s="15">
        <f>IF(OR(U28="",T28=""),"",IFERROR(U28/T28-1,""))</f>
        <v/>
      </c>
      <c r="V30" s="15">
        <f>IF(OR(V28="",U28=""),"",IFERROR(V28/U28-1,""))</f>
        <v/>
      </c>
      <c r="W30" s="15">
        <f>IF(OR(W28="",V28=""),"",IFERROR(W28/V28-1,""))</f>
        <v/>
      </c>
      <c r="X30" s="15">
        <f>IF(OR(X28="",W28=""),"",IFERROR(X28/W28-1,""))</f>
        <v/>
      </c>
      <c r="Y30" s="14">
        <f>IF(OR(Y28="",X28=""),"",IFERROR(Y28/X28-1,""))</f>
        <v/>
      </c>
      <c r="Z30" s="15">
        <f>IF(OR(Z28="",Y28=""),"",IFERROR(Z28/Y28-1,""))</f>
        <v/>
      </c>
      <c r="AA30" s="15">
        <f>IF(OR(AA28="",Z28=""),"",IFERROR(AA28/Z28-1,""))</f>
        <v/>
      </c>
      <c r="AB30" s="15">
        <f>IF(OR(AB28="",AA28=""),"",IFERROR(AB28/AA28-1,""))</f>
        <v/>
      </c>
      <c r="AC30" s="15">
        <f>IF(OR(AC28="",AB28=""),"",IFERROR(AC28/AB28-1,""))</f>
        <v/>
      </c>
    </row>
    <row r="31">
      <c r="A31" s="16" t="inlineStr">
        <is>
          <t>비용의 성격별 분류</t>
        </is>
      </c>
      <c r="B31" s="16" t="inlineStr">
        <is>
          <t>참고 데이터</t>
        </is>
      </c>
      <c r="C31" s="17" t="n"/>
      <c r="D31" s="16" t="n"/>
      <c r="E31" s="16" t="n"/>
      <c r="F31" s="16" t="n"/>
      <c r="G31" s="16" t="n"/>
      <c r="H31" s="16" t="n"/>
      <c r="I31" s="16" t="n"/>
      <c r="J31" s="16" t="n"/>
      <c r="K31" s="16" t="n"/>
      <c r="L31" s="16" t="n"/>
      <c r="M31" s="16" t="n"/>
      <c r="N31" s="16" t="n"/>
      <c r="O31" s="17" t="n"/>
      <c r="P31" s="16" t="n"/>
      <c r="Q31" s="16" t="n"/>
      <c r="R31" s="16" t="n"/>
      <c r="S31" s="16" t="n"/>
      <c r="T31" s="16" t="n"/>
      <c r="U31" s="16" t="n"/>
      <c r="V31" s="16" t="n"/>
      <c r="W31" s="16" t="n"/>
      <c r="X31" s="16" t="n"/>
      <c r="Y31" s="17" t="n"/>
      <c r="Z31" s="16" t="n"/>
      <c r="AA31" s="16" t="n"/>
      <c r="AB31" s="16" t="n"/>
      <c r="AC31" s="16" t="n"/>
    </row>
    <row r="32">
      <c r="A32" s="9" t="inlineStr">
        <is>
          <t>총 판관비</t>
        </is>
      </c>
      <c r="B32" s="10" t="n"/>
      <c r="C32" s="11" t="n"/>
      <c r="D32" s="12" t="n"/>
      <c r="E32" s="12" t="n"/>
      <c r="F32" s="12" t="n"/>
      <c r="G32" s="12" t="n"/>
      <c r="H32" s="12" t="n"/>
      <c r="I32" s="12" t="n"/>
      <c r="J32" s="12" t="n"/>
      <c r="K32" s="12" t="n"/>
      <c r="L32" s="12" t="n"/>
      <c r="M32" s="12" t="n"/>
      <c r="N32" s="12" t="n"/>
      <c r="O32" s="11">
        <f>IF(O26="","",O26)</f>
        <v/>
      </c>
      <c r="P32" s="12">
        <f>IF(P26="","",P26)</f>
        <v/>
      </c>
      <c r="Q32" s="12">
        <f>IF(Q26="","",Q26)</f>
        <v/>
      </c>
      <c r="R32" s="12">
        <f>IF(R26="","",R26)</f>
        <v/>
      </c>
      <c r="S32" s="12">
        <f>IF(S26="","",S26)</f>
        <v/>
      </c>
      <c r="T32" s="12">
        <f>IF(T26="","",T26)</f>
        <v/>
      </c>
      <c r="U32" s="12">
        <f>IF(U26="","",U26)</f>
        <v/>
      </c>
      <c r="V32" s="12">
        <f>IF(V26="","",V26)</f>
        <v/>
      </c>
      <c r="W32" s="12">
        <f>IF(W26="","",W26)</f>
        <v/>
      </c>
      <c r="X32" s="12">
        <f>IF(X26="","",X26)</f>
        <v/>
      </c>
      <c r="Y32" s="11" t="n"/>
      <c r="Z32" s="12" t="n"/>
      <c r="AA32" s="12" t="n"/>
      <c r="AB32" s="12" t="n"/>
      <c r="AC32" s="12" t="n"/>
    </row>
    <row r="33">
      <c r="A33" s="18" t="inlineStr">
        <is>
          <t>급여</t>
        </is>
      </c>
      <c r="B33" s="10" t="inlineStr">
        <is>
          <t>고정비</t>
        </is>
      </c>
      <c r="C33" s="19" t="n"/>
      <c r="D33" s="20" t="n"/>
      <c r="E33" s="20" t="n"/>
      <c r="F33" s="20" t="n"/>
      <c r="G33" s="20" t="n"/>
      <c r="H33" s="20" t="n"/>
      <c r="I33" s="20" t="n"/>
      <c r="J33" s="20" t="n"/>
      <c r="K33" s="20" t="n"/>
      <c r="L33" s="20" t="n"/>
      <c r="M33" s="20" t="n"/>
      <c r="N33" s="20" t="n"/>
      <c r="O33" s="19" t="n"/>
      <c r="P33" s="20" t="n"/>
      <c r="Q33" s="20" t="n"/>
      <c r="R33" s="20" t="n"/>
      <c r="S33" s="20" t="n"/>
      <c r="T33" s="20" t="n"/>
      <c r="U33" s="20" t="n"/>
      <c r="V33" s="20" t="n"/>
      <c r="W33" s="20" t="n"/>
      <c r="X33" s="20" t="n"/>
      <c r="Y33" s="19" t="n"/>
      <c r="Z33" s="20" t="n"/>
      <c r="AA33" s="20" t="n"/>
      <c r="AB33" s="20" t="n"/>
      <c r="AC33" s="20" t="n"/>
    </row>
    <row r="34">
      <c r="A34" s="13" t="inlineStr">
        <is>
          <t>% of Sales</t>
        </is>
      </c>
      <c r="B34" s="10" t="n"/>
      <c r="C34" s="14" t="n"/>
      <c r="D34" s="15" t="n"/>
      <c r="E34" s="15" t="n"/>
      <c r="F34" s="15" t="n"/>
      <c r="G34" s="15" t="n"/>
      <c r="H34" s="15" t="n"/>
      <c r="I34" s="15" t="n"/>
      <c r="J34" s="15" t="n"/>
      <c r="K34" s="15" t="n"/>
      <c r="L34" s="15" t="n"/>
      <c r="M34" s="15" t="n"/>
      <c r="N34" s="15" t="n"/>
      <c r="O34" s="14">
        <f>IF(OR(O33="",O4=""),"",IFERROR(O33/O4,""))</f>
        <v/>
      </c>
      <c r="P34" s="15">
        <f>IF(OR(P33="",P4=""),"",IFERROR(P33/P4,""))</f>
        <v/>
      </c>
      <c r="Q34" s="15">
        <f>IF(OR(Q33="",Q4=""),"",IFERROR(Q33/Q4,""))</f>
        <v/>
      </c>
      <c r="R34" s="15">
        <f>IF(OR(R33="",R4=""),"",IFERROR(R33/R4,""))</f>
        <v/>
      </c>
      <c r="S34" s="15">
        <f>IF(OR(S33="",S4=""),"",IFERROR(S33/S4,""))</f>
        <v/>
      </c>
      <c r="T34" s="15">
        <f>IF(OR(T33="",T4=""),"",IFERROR(T33/T4,""))</f>
        <v/>
      </c>
      <c r="U34" s="15">
        <f>IF(OR(U33="",U4=""),"",IFERROR(U33/U4,""))</f>
        <v/>
      </c>
      <c r="V34" s="15">
        <f>IF(OR(V33="",V4=""),"",IFERROR(V33/V4,""))</f>
        <v/>
      </c>
      <c r="W34" s="15">
        <f>IF(OR(W33="",W4=""),"",IFERROR(W33/W4,""))</f>
        <v/>
      </c>
      <c r="X34" s="15">
        <f>IF(OR(X33="",X4=""),"",IFERROR(X33/X4,""))</f>
        <v/>
      </c>
      <c r="Y34" s="14" t="n"/>
      <c r="Z34" s="15" t="n"/>
      <c r="AA34" s="15" t="n"/>
      <c r="AB34" s="15" t="n"/>
      <c r="AC34" s="15" t="n"/>
    </row>
    <row r="35">
      <c r="A35" s="18" t="inlineStr">
        <is>
          <t>감가상각비</t>
        </is>
      </c>
      <c r="B35" s="10" t="inlineStr">
        <is>
          <t>고정비</t>
        </is>
      </c>
      <c r="C35" s="19" t="n"/>
      <c r="D35" s="20" t="n"/>
      <c r="E35" s="20" t="n"/>
      <c r="F35" s="20" t="n"/>
      <c r="G35" s="20" t="n"/>
      <c r="H35" s="20" t="n"/>
      <c r="I35" s="20" t="n"/>
      <c r="J35" s="20" t="n"/>
      <c r="K35" s="20" t="n"/>
      <c r="L35" s="20" t="n"/>
      <c r="M35" s="20" t="n"/>
      <c r="N35" s="20" t="n"/>
      <c r="O35" s="19" t="n"/>
      <c r="P35" s="20" t="n"/>
      <c r="Q35" s="20" t="n"/>
      <c r="R35" s="20" t="n"/>
      <c r="S35" s="20" t="n"/>
      <c r="T35" s="20" t="n"/>
      <c r="U35" s="20" t="n"/>
      <c r="V35" s="20" t="n"/>
      <c r="W35" s="20" t="n"/>
      <c r="X35" s="20" t="n"/>
      <c r="Y35" s="19" t="n"/>
      <c r="Z35" s="20" t="n"/>
      <c r="AA35" s="20" t="n"/>
      <c r="AB35" s="20" t="n"/>
      <c r="AC35" s="20" t="n"/>
    </row>
    <row r="36">
      <c r="A36" s="13" t="inlineStr">
        <is>
          <t>% of Sales</t>
        </is>
      </c>
      <c r="B36" s="10" t="n"/>
      <c r="C36" s="14" t="n"/>
      <c r="D36" s="15" t="n"/>
      <c r="E36" s="15" t="n"/>
      <c r="F36" s="15" t="n"/>
      <c r="G36" s="15" t="n"/>
      <c r="H36" s="15" t="n"/>
      <c r="I36" s="15" t="n"/>
      <c r="J36" s="15" t="n"/>
      <c r="K36" s="15" t="n"/>
      <c r="L36" s="15" t="n"/>
      <c r="M36" s="15" t="n"/>
      <c r="N36" s="15" t="n"/>
      <c r="O36" s="14">
        <f>IF(OR(O35="",O4=""),"",IFERROR(O35/O4,""))</f>
        <v/>
      </c>
      <c r="P36" s="15">
        <f>IF(OR(P35="",P4=""),"",IFERROR(P35/P4,""))</f>
        <v/>
      </c>
      <c r="Q36" s="15">
        <f>IF(OR(Q35="",Q4=""),"",IFERROR(Q35/Q4,""))</f>
        <v/>
      </c>
      <c r="R36" s="15">
        <f>IF(OR(R35="",R4=""),"",IFERROR(R35/R4,""))</f>
        <v/>
      </c>
      <c r="S36" s="15">
        <f>IF(OR(S35="",S4=""),"",IFERROR(S35/S4,""))</f>
        <v/>
      </c>
      <c r="T36" s="15">
        <f>IF(OR(T35="",T4=""),"",IFERROR(T35/T4,""))</f>
        <v/>
      </c>
      <c r="U36" s="15">
        <f>IF(OR(U35="",U4=""),"",IFERROR(U35/U4,""))</f>
        <v/>
      </c>
      <c r="V36" s="15">
        <f>IF(OR(V35="",V4=""),"",IFERROR(V35/V4,""))</f>
        <v/>
      </c>
      <c r="W36" s="15">
        <f>IF(OR(W35="",W4=""),"",IFERROR(W35/W4,""))</f>
        <v/>
      </c>
      <c r="X36" s="15">
        <f>IF(OR(X35="",X4=""),"",IFERROR(X35/X4,""))</f>
        <v/>
      </c>
      <c r="Y36" s="14" t="n"/>
      <c r="Z36" s="15" t="n"/>
      <c r="AA36" s="15" t="n"/>
      <c r="AB36" s="15" t="n"/>
      <c r="AC36" s="15" t="n"/>
    </row>
    <row r="37">
      <c r="A37" s="18" t="inlineStr">
        <is>
          <t>지급수수료</t>
        </is>
      </c>
      <c r="B37" s="10" t="inlineStr">
        <is>
          <t>고정비</t>
        </is>
      </c>
      <c r="C37" s="19" t="n"/>
      <c r="D37" s="20" t="n"/>
      <c r="E37" s="20" t="n"/>
      <c r="F37" s="20" t="n"/>
      <c r="G37" s="20" t="n"/>
      <c r="H37" s="20" t="n"/>
      <c r="I37" s="20" t="n"/>
      <c r="J37" s="20" t="n"/>
      <c r="K37" s="20" t="n"/>
      <c r="L37" s="20" t="n"/>
      <c r="M37" s="20" t="n"/>
      <c r="N37" s="20" t="n"/>
      <c r="O37" s="19" t="n"/>
      <c r="P37" s="20" t="n"/>
      <c r="Q37" s="20" t="n"/>
      <c r="R37" s="20" t="n"/>
      <c r="S37" s="20" t="n"/>
      <c r="T37" s="20" t="n"/>
      <c r="U37" s="20" t="n"/>
      <c r="V37" s="20" t="n"/>
      <c r="W37" s="20" t="n"/>
      <c r="X37" s="20" t="n"/>
      <c r="Y37" s="19" t="n"/>
      <c r="Z37" s="20" t="n"/>
      <c r="AA37" s="20" t="n"/>
      <c r="AB37" s="20" t="n"/>
      <c r="AC37" s="20" t="n"/>
    </row>
    <row r="38">
      <c r="A38" s="13" t="inlineStr">
        <is>
          <t>% of Sales</t>
        </is>
      </c>
      <c r="B38" s="10" t="n"/>
      <c r="C38" s="14" t="n"/>
      <c r="D38" s="15" t="n"/>
      <c r="E38" s="15" t="n"/>
      <c r="F38" s="15" t="n"/>
      <c r="G38" s="15" t="n"/>
      <c r="H38" s="15" t="n"/>
      <c r="I38" s="15" t="n"/>
      <c r="J38" s="15" t="n"/>
      <c r="K38" s="15" t="n"/>
      <c r="L38" s="15" t="n"/>
      <c r="M38" s="15" t="n"/>
      <c r="N38" s="15" t="n"/>
      <c r="O38" s="14">
        <f>IF(OR(O37="",O4=""),"",IFERROR(O37/O4,""))</f>
        <v/>
      </c>
      <c r="P38" s="15">
        <f>IF(OR(P37="",P4=""),"",IFERROR(P37/P4,""))</f>
        <v/>
      </c>
      <c r="Q38" s="15">
        <f>IF(OR(Q37="",Q4=""),"",IFERROR(Q37/Q4,""))</f>
        <v/>
      </c>
      <c r="R38" s="15">
        <f>IF(OR(R37="",R4=""),"",IFERROR(R37/R4,""))</f>
        <v/>
      </c>
      <c r="S38" s="15">
        <f>IF(OR(S37="",S4=""),"",IFERROR(S37/S4,""))</f>
        <v/>
      </c>
      <c r="T38" s="15">
        <f>IF(OR(T37="",T4=""),"",IFERROR(T37/T4,""))</f>
        <v/>
      </c>
      <c r="U38" s="15">
        <f>IF(OR(U37="",U4=""),"",IFERROR(U37/U4,""))</f>
        <v/>
      </c>
      <c r="V38" s="15">
        <f>IF(OR(V37="",V4=""),"",IFERROR(V37/V4,""))</f>
        <v/>
      </c>
      <c r="W38" s="15">
        <f>IF(OR(W37="",W4=""),"",IFERROR(W37/W4,""))</f>
        <v/>
      </c>
      <c r="X38" s="15">
        <f>IF(OR(X37="",X4=""),"",IFERROR(X37/X4,""))</f>
        <v/>
      </c>
      <c r="Y38" s="14" t="n"/>
      <c r="Z38" s="15" t="n"/>
      <c r="AA38" s="15" t="n"/>
      <c r="AB38" s="15" t="n"/>
      <c r="AC38" s="15" t="n"/>
    </row>
    <row r="39">
      <c r="A39" s="18" t="inlineStr">
        <is>
          <t>연구개발비</t>
        </is>
      </c>
      <c r="B39" s="10" t="inlineStr">
        <is>
          <t>변동비</t>
        </is>
      </c>
      <c r="C39" s="19" t="n"/>
      <c r="D39" s="20" t="n"/>
      <c r="E39" s="20" t="n"/>
      <c r="F39" s="20" t="n"/>
      <c r="G39" s="20" t="n"/>
      <c r="H39" s="20" t="n"/>
      <c r="I39" s="20" t="n"/>
      <c r="J39" s="20" t="n"/>
      <c r="K39" s="20" t="n"/>
      <c r="L39" s="20" t="n"/>
      <c r="M39" s="20" t="n"/>
      <c r="N39" s="20" t="n"/>
      <c r="O39" s="19" t="n"/>
      <c r="P39" s="20" t="n"/>
      <c r="Q39" s="20" t="n"/>
      <c r="R39" s="20" t="n"/>
      <c r="S39" s="20" t="n"/>
      <c r="T39" s="20" t="n"/>
      <c r="U39" s="20" t="n"/>
      <c r="V39" s="20" t="n"/>
      <c r="W39" s="20" t="n"/>
      <c r="X39" s="20" t="n"/>
      <c r="Y39" s="19" t="n"/>
      <c r="Z39" s="20" t="n"/>
      <c r="AA39" s="20" t="n"/>
      <c r="AB39" s="20" t="n"/>
      <c r="AC39" s="20" t="n"/>
    </row>
    <row r="40">
      <c r="A40" s="13" t="inlineStr">
        <is>
          <t>% of Sales</t>
        </is>
      </c>
      <c r="B40" s="10" t="n"/>
      <c r="C40" s="14" t="n"/>
      <c r="D40" s="15" t="n"/>
      <c r="E40" s="15" t="n"/>
      <c r="F40" s="15" t="n"/>
      <c r="G40" s="15" t="n"/>
      <c r="H40" s="15" t="n"/>
      <c r="I40" s="15" t="n"/>
      <c r="J40" s="15" t="n"/>
      <c r="K40" s="15" t="n"/>
      <c r="L40" s="15" t="n"/>
      <c r="M40" s="15" t="n"/>
      <c r="N40" s="15" t="n"/>
      <c r="O40" s="14">
        <f>IF(OR(O39="",O4=""),"",IFERROR(O39/O4,""))</f>
        <v/>
      </c>
      <c r="P40" s="15">
        <f>IF(OR(P39="",P4=""),"",IFERROR(P39/P4,""))</f>
        <v/>
      </c>
      <c r="Q40" s="15">
        <f>IF(OR(Q39="",Q4=""),"",IFERROR(Q39/Q4,""))</f>
        <v/>
      </c>
      <c r="R40" s="15">
        <f>IF(OR(R39="",R4=""),"",IFERROR(R39/R4,""))</f>
        <v/>
      </c>
      <c r="S40" s="15">
        <f>IF(OR(S39="",S4=""),"",IFERROR(S39/S4,""))</f>
        <v/>
      </c>
      <c r="T40" s="15">
        <f>IF(OR(T39="",T4=""),"",IFERROR(T39/T4,""))</f>
        <v/>
      </c>
      <c r="U40" s="15">
        <f>IF(OR(U39="",U4=""),"",IFERROR(U39/U4,""))</f>
        <v/>
      </c>
      <c r="V40" s="15">
        <f>IF(OR(V39="",V4=""),"",IFERROR(V39/V4,""))</f>
        <v/>
      </c>
      <c r="W40" s="15">
        <f>IF(OR(W39="",W4=""),"",IFERROR(W39/W4,""))</f>
        <v/>
      </c>
      <c r="X40" s="15">
        <f>IF(OR(X39="",X4=""),"",IFERROR(X39/X4,""))</f>
        <v/>
      </c>
      <c r="Y40" s="14" t="n"/>
      <c r="Z40" s="15" t="n"/>
      <c r="AA40" s="15" t="n"/>
      <c r="AB40" s="15" t="n"/>
      <c r="AC40" s="15" t="n"/>
    </row>
    <row r="41">
      <c r="A41" s="18" t="inlineStr">
        <is>
          <t>기타비용</t>
        </is>
      </c>
      <c r="B41" s="10" t="inlineStr">
        <is>
          <t>변동비</t>
        </is>
      </c>
      <c r="C41" s="19" t="n"/>
      <c r="D41" s="20" t="n"/>
      <c r="E41" s="20" t="n"/>
      <c r="F41" s="20" t="n"/>
      <c r="G41" s="20" t="n"/>
      <c r="H41" s="20" t="n"/>
      <c r="I41" s="20" t="n"/>
      <c r="J41" s="20" t="n"/>
      <c r="K41" s="20" t="n"/>
      <c r="L41" s="20" t="n"/>
      <c r="M41" s="20" t="n"/>
      <c r="N41" s="20" t="n"/>
      <c r="O41" s="19">
        <f>IF(OR(O32="",O33="",O35="",O37="",O39=""),"",IFERROR(O32-O33-O35-O37-O39,""))</f>
        <v/>
      </c>
      <c r="P41" s="20">
        <f>IF(OR(P32="",P33="",P35="",P37="",P39=""),"",IFERROR(P32-P33-P35-P37-P39,""))</f>
        <v/>
      </c>
      <c r="Q41" s="20">
        <f>IF(OR(Q32="",Q33="",Q35="",Q37="",Q39=""),"",IFERROR(Q32-Q33-Q35-Q37-Q39,""))</f>
        <v/>
      </c>
      <c r="R41" s="20">
        <f>IF(OR(R32="",R33="",R35="",R37="",R39=""),"",IFERROR(R32-R33-R35-R37-R39,""))</f>
        <v/>
      </c>
      <c r="S41" s="20">
        <f>IF(OR(S32="",S33="",S35="",S37="",S39=""),"",IFERROR(S32-S33-S35-S37-S39,""))</f>
        <v/>
      </c>
      <c r="T41" s="20">
        <f>IF(OR(T32="",T33="",T35="",T37="",T39=""),"",IFERROR(T32-T33-T35-T37-T39,""))</f>
        <v/>
      </c>
      <c r="U41" s="20">
        <f>IF(OR(U32="",U33="",U35="",U37="",U39=""),"",IFERROR(U32-U33-U35-U37-U39,""))</f>
        <v/>
      </c>
      <c r="V41" s="20">
        <f>IF(OR(V32="",V33="",V35="",V37="",V39=""),"",IFERROR(V32-V33-V35-V37-V39,""))</f>
        <v/>
      </c>
      <c r="W41" s="20">
        <f>IF(OR(W32="",W33="",W35="",W37="",W39=""),"",IFERROR(W32-W33-W35-W37-W39,""))</f>
        <v/>
      </c>
      <c r="X41" s="20">
        <f>IF(OR(X32="",X33="",X35="",X37="",X39=""),"",IFERROR(X32-X33-X35-X37-X39,""))</f>
        <v/>
      </c>
      <c r="Y41" s="19" t="n"/>
      <c r="Z41" s="20" t="n"/>
      <c r="AA41" s="20" t="n"/>
      <c r="AB41" s="20" t="n"/>
      <c r="AC41" s="20" t="n"/>
    </row>
    <row r="42">
      <c r="A42" s="13" t="inlineStr">
        <is>
          <t>% of Sales</t>
        </is>
      </c>
      <c r="B42" s="10" t="n"/>
      <c r="C42" s="14" t="n"/>
      <c r="D42" s="15" t="n"/>
      <c r="E42" s="15" t="n"/>
      <c r="F42" s="15" t="n"/>
      <c r="G42" s="15" t="n"/>
      <c r="H42" s="15" t="n"/>
      <c r="I42" s="15" t="n"/>
      <c r="J42" s="15" t="n"/>
      <c r="K42" s="15" t="n"/>
      <c r="L42" s="15" t="n"/>
      <c r="M42" s="15" t="n"/>
      <c r="N42" s="15" t="n"/>
      <c r="O42" s="14">
        <f>IF(OR(O41="",O4=""),"",IFERROR(O41/O4,""))</f>
        <v/>
      </c>
      <c r="P42" s="15">
        <f>IF(OR(P41="",P4=""),"",IFERROR(P41/P4,""))</f>
        <v/>
      </c>
      <c r="Q42" s="15">
        <f>IF(OR(Q41="",Q4=""),"",IFERROR(Q41/Q4,""))</f>
        <v/>
      </c>
      <c r="R42" s="15">
        <f>IF(OR(R41="",R4=""),"",IFERROR(R41/R4,""))</f>
        <v/>
      </c>
      <c r="S42" s="15">
        <f>IF(OR(S41="",S4=""),"",IFERROR(S41/S4,""))</f>
        <v/>
      </c>
      <c r="T42" s="15">
        <f>IF(OR(T41="",T4=""),"",IFERROR(T41/T4,""))</f>
        <v/>
      </c>
      <c r="U42" s="15">
        <f>IF(OR(U41="",U4=""),"",IFERROR(U41/U4,""))</f>
        <v/>
      </c>
      <c r="V42" s="15">
        <f>IF(OR(V41="",V4=""),"",IFERROR(V41/V4,""))</f>
        <v/>
      </c>
      <c r="W42" s="15">
        <f>IF(OR(W41="",W4=""),"",IFERROR(W41/W4,""))</f>
        <v/>
      </c>
      <c r="X42" s="15">
        <f>IF(OR(X41="",X4=""),"",IFERROR(X41/X4,""))</f>
        <v/>
      </c>
      <c r="Y42" s="14" t="n"/>
      <c r="Z42" s="15" t="n"/>
      <c r="AA42" s="15" t="n"/>
      <c r="AB42" s="15" t="n"/>
      <c r="AC42" s="15" t="n"/>
    </row>
    <row r="43">
      <c r="A43" s="16" t="inlineStr">
        <is>
          <t>당기순이익 추정</t>
        </is>
      </c>
      <c r="B43" s="16" t="n"/>
      <c r="C43" s="17" t="n"/>
      <c r="D43" s="16" t="n"/>
      <c r="E43" s="16" t="n"/>
      <c r="F43" s="16" t="n"/>
      <c r="G43" s="16" t="n"/>
      <c r="H43" s="16" t="n"/>
      <c r="I43" s="16" t="n"/>
      <c r="J43" s="16" t="n"/>
      <c r="K43" s="16" t="n"/>
      <c r="L43" s="16" t="n"/>
      <c r="M43" s="16" t="n"/>
      <c r="N43" s="16" t="n"/>
      <c r="O43" s="17" t="n"/>
      <c r="P43" s="16" t="n"/>
      <c r="Q43" s="16" t="n"/>
      <c r="R43" s="16" t="n"/>
      <c r="S43" s="16" t="n"/>
      <c r="T43" s="16" t="n"/>
      <c r="U43" s="16" t="n"/>
      <c r="V43" s="16" t="n"/>
      <c r="W43" s="16" t="n"/>
      <c r="X43" s="16" t="n"/>
      <c r="Y43" s="17" t="n"/>
      <c r="Z43" s="16" t="n"/>
      <c r="AA43" s="16" t="n"/>
      <c r="AB43" s="16" t="n"/>
      <c r="AC43" s="16" t="n"/>
    </row>
    <row r="44">
      <c r="A44" s="18" t="inlineStr">
        <is>
          <t>기타이익</t>
        </is>
      </c>
      <c r="B44" s="10" t="n"/>
      <c r="C44" s="19" t="n"/>
      <c r="D44" s="20" t="n"/>
      <c r="E44" s="20" t="n"/>
      <c r="F44" s="20" t="n"/>
      <c r="G44" s="20" t="n"/>
      <c r="H44" s="20" t="n"/>
      <c r="I44" s="20" t="n"/>
      <c r="J44" s="20" t="n"/>
      <c r="K44" s="20" t="n"/>
      <c r="L44" s="20" t="n"/>
      <c r="M44" s="20" t="n"/>
      <c r="N44" s="20" t="n"/>
      <c r="O44" s="19" t="n">
        <v>66214</v>
      </c>
      <c r="P44" s="20" t="n">
        <v>21499</v>
      </c>
      <c r="Q44" s="20" t="n">
        <v>39714</v>
      </c>
      <c r="R44" s="20" t="n">
        <v>56495</v>
      </c>
      <c r="S44" s="20" t="n">
        <v>53094</v>
      </c>
      <c r="T44" s="20" t="n">
        <v>6789</v>
      </c>
      <c r="U44" s="20" t="n">
        <v>50968</v>
      </c>
      <c r="V44" s="20" t="n">
        <v>18699</v>
      </c>
      <c r="W44" s="20" t="n">
        <v>9223</v>
      </c>
      <c r="X44" s="20" t="n">
        <v>44035</v>
      </c>
      <c r="Y44" s="19">
        <f>IF(OR(Y4="",Y45=""),"",IFERROR(Y4*Y45,""))</f>
        <v/>
      </c>
      <c r="Z44" s="20">
        <f>IF(OR(Z4="",Z45=""),"",IFERROR(Z4*Z45,""))</f>
        <v/>
      </c>
      <c r="AA44" s="20">
        <f>IF(OR(AA4="",AA45=""),"",IFERROR(AA4*AA45,""))</f>
        <v/>
      </c>
      <c r="AB44" s="20">
        <f>IF(OR(AB4="",AB45=""),"",IFERROR(AB4*AB45,""))</f>
        <v/>
      </c>
      <c r="AC44" s="20">
        <f>IF(OR(AC4="",AC45=""),"",IFERROR(AC4*AC45,""))</f>
        <v/>
      </c>
    </row>
    <row r="45">
      <c r="A45" s="13" t="inlineStr">
        <is>
          <t>% of Sales</t>
        </is>
      </c>
      <c r="B45" s="10" t="inlineStr">
        <is>
          <t>MW = 최근 3년 평균</t>
        </is>
      </c>
      <c r="C45" s="14">
        <f>IF(OR(C44="",C4=""),"",IFERROR(C44/C4,""))</f>
        <v/>
      </c>
      <c r="D45" s="15">
        <f>IF(OR(D44="",D4=""),"",IFERROR(D44/D4,""))</f>
        <v/>
      </c>
      <c r="E45" s="15">
        <f>IF(OR(E44="",E4=""),"",IFERROR(E44/E4,""))</f>
        <v/>
      </c>
      <c r="F45" s="15">
        <f>IF(OR(F44="",F4=""),"",IFERROR(F44/F4,""))</f>
        <v/>
      </c>
      <c r="G45" s="15">
        <f>IF(OR(G44="",G4=""),"",IFERROR(G44/G4,""))</f>
        <v/>
      </c>
      <c r="H45" s="15">
        <f>IF(OR(H44="",H4=""),"",IFERROR(H44/H4,""))</f>
        <v/>
      </c>
      <c r="I45" s="15">
        <f>IF(OR(I44="",I4=""),"",IFERROR(I44/I4,""))</f>
        <v/>
      </c>
      <c r="J45" s="15">
        <f>IF(OR(J44="",J4=""),"",IFERROR(J44/J4,""))</f>
        <v/>
      </c>
      <c r="K45" s="15">
        <f>IF(OR(K44="",K4=""),"",IFERROR(K44/K4,""))</f>
        <v/>
      </c>
      <c r="L45" s="15">
        <f>IF(OR(L44="",L4=""),"",IFERROR(L44/L4,""))</f>
        <v/>
      </c>
      <c r="M45" s="15">
        <f>IF(OR(M44="",M4=""),"",IFERROR(M44/M4,""))</f>
        <v/>
      </c>
      <c r="N45" s="15">
        <f>IF(OR(N44="",N4=""),"",IFERROR(N44/N4,""))</f>
        <v/>
      </c>
      <c r="O45" s="14">
        <f>IF(OR(O44="",O4=""),"",IFERROR(O44/O4,""))</f>
        <v/>
      </c>
      <c r="P45" s="15">
        <f>IF(OR(P44="",P4=""),"",IFERROR(P44/P4,""))</f>
        <v/>
      </c>
      <c r="Q45" s="15">
        <f>IF(OR(Q44="",Q4=""),"",IFERROR(Q44/Q4,""))</f>
        <v/>
      </c>
      <c r="R45" s="15">
        <f>IF(OR(R44="",R4=""),"",IFERROR(R44/R4,""))</f>
        <v/>
      </c>
      <c r="S45" s="15">
        <f>IF(OR(S44="",S4=""),"",IFERROR(S44/S4,""))</f>
        <v/>
      </c>
      <c r="T45" s="15">
        <f>IF(OR(T44="",T4=""),"",IFERROR(T44/T4,""))</f>
        <v/>
      </c>
      <c r="U45" s="15">
        <f>IF(OR(U44="",U4=""),"",IFERROR(U44/U4,""))</f>
        <v/>
      </c>
      <c r="V45" s="15">
        <f>IF(OR(V44="",V4=""),"",IFERROR(V44/V4,""))</f>
        <v/>
      </c>
      <c r="W45" s="15">
        <f>IF(OR(W44="",W4=""),"",IFERROR(W44/W4,""))</f>
        <v/>
      </c>
      <c r="X45" s="15">
        <f>IF(OR(X44="",X4=""),"",IFERROR(X44/X4,""))</f>
        <v/>
      </c>
      <c r="Y45" s="25">
        <f>IFERROR(AVERAGE(V45,W45,X45),"")</f>
        <v/>
      </c>
      <c r="Z45" s="26">
        <f>Y45</f>
        <v/>
      </c>
      <c r="AA45" s="26">
        <f>Z45</f>
        <v/>
      </c>
      <c r="AB45" s="26">
        <f>AA45</f>
        <v/>
      </c>
      <c r="AC45" s="26">
        <f>AB45</f>
        <v/>
      </c>
    </row>
    <row r="46">
      <c r="A46" s="18" t="inlineStr">
        <is>
          <t>기타손실</t>
        </is>
      </c>
      <c r="B46" s="10" t="n"/>
      <c r="C46" s="19" t="n"/>
      <c r="D46" s="20" t="n"/>
      <c r="E46" s="20" t="n"/>
      <c r="F46" s="20" t="n"/>
      <c r="G46" s="20" t="n"/>
      <c r="H46" s="20" t="n"/>
      <c r="I46" s="20" t="n"/>
      <c r="J46" s="20" t="n"/>
      <c r="K46" s="20" t="n"/>
      <c r="L46" s="20" t="n"/>
      <c r="M46" s="20" t="n"/>
      <c r="N46" s="20" t="n"/>
      <c r="O46" s="19" t="n">
        <v>13240</v>
      </c>
      <c r="P46" s="20" t="n">
        <v>5839</v>
      </c>
      <c r="Q46" s="20" t="n">
        <v>8958</v>
      </c>
      <c r="R46" s="20" t="n">
        <v>39584</v>
      </c>
      <c r="S46" s="20" t="n">
        <v>8889</v>
      </c>
      <c r="T46" s="20" t="n">
        <v>49397</v>
      </c>
      <c r="U46" s="20" t="n">
        <v>14647</v>
      </c>
      <c r="V46" s="20" t="n">
        <v>9289</v>
      </c>
      <c r="W46" s="20" t="n">
        <v>8048</v>
      </c>
      <c r="X46" s="20" t="n">
        <v>21093</v>
      </c>
      <c r="Y46" s="19">
        <f>IF(OR(Y4="",Y47=""),"",IFERROR(Y4*Y47,""))</f>
        <v/>
      </c>
      <c r="Z46" s="20">
        <f>IF(OR(Z4="",Z47=""),"",IFERROR(Z4*Z47,""))</f>
        <v/>
      </c>
      <c r="AA46" s="20">
        <f>IF(OR(AA4="",AA47=""),"",IFERROR(AA4*AA47,""))</f>
        <v/>
      </c>
      <c r="AB46" s="20">
        <f>IF(OR(AB4="",AB47=""),"",IFERROR(AB4*AB47,""))</f>
        <v/>
      </c>
      <c r="AC46" s="20">
        <f>IF(OR(AC4="",AC47=""),"",IFERROR(AC4*AC47,""))</f>
        <v/>
      </c>
    </row>
    <row r="47">
      <c r="A47" s="13" t="inlineStr">
        <is>
          <t>% of Sales</t>
        </is>
      </c>
      <c r="B47" s="10" t="n"/>
      <c r="C47" s="14">
        <f>IF(OR(C46="",C4=""),"",IFERROR(C46/C4,""))</f>
        <v/>
      </c>
      <c r="D47" s="15">
        <f>IF(OR(D46="",D4=""),"",IFERROR(D46/D4,""))</f>
        <v/>
      </c>
      <c r="E47" s="15">
        <f>IF(OR(E46="",E4=""),"",IFERROR(E46/E4,""))</f>
        <v/>
      </c>
      <c r="F47" s="15">
        <f>IF(OR(F46="",F4=""),"",IFERROR(F46/F4,""))</f>
        <v/>
      </c>
      <c r="G47" s="15">
        <f>IF(OR(G46="",G4=""),"",IFERROR(G46/G4,""))</f>
        <v/>
      </c>
      <c r="H47" s="15">
        <f>IF(OR(H46="",H4=""),"",IFERROR(H46/H4,""))</f>
        <v/>
      </c>
      <c r="I47" s="15">
        <f>IF(OR(I46="",I4=""),"",IFERROR(I46/I4,""))</f>
        <v/>
      </c>
      <c r="J47" s="15">
        <f>IF(OR(J46="",J4=""),"",IFERROR(J46/J4,""))</f>
        <v/>
      </c>
      <c r="K47" s="15">
        <f>IF(OR(K46="",K4=""),"",IFERROR(K46/K4,""))</f>
        <v/>
      </c>
      <c r="L47" s="15">
        <f>IF(OR(L46="",L4=""),"",IFERROR(L46/L4,""))</f>
        <v/>
      </c>
      <c r="M47" s="15">
        <f>IF(OR(M46="",M4=""),"",IFERROR(M46/M4,""))</f>
        <v/>
      </c>
      <c r="N47" s="15">
        <f>IF(OR(N46="",N4=""),"",IFERROR(N46/N4,""))</f>
        <v/>
      </c>
      <c r="O47" s="14">
        <f>IF(OR(O46="",O4=""),"",IFERROR(O46/O4,""))</f>
        <v/>
      </c>
      <c r="P47" s="15">
        <f>IF(OR(P46="",P4=""),"",IFERROR(P46/P4,""))</f>
        <v/>
      </c>
      <c r="Q47" s="15">
        <f>IF(OR(Q46="",Q4=""),"",IFERROR(Q46/Q4,""))</f>
        <v/>
      </c>
      <c r="R47" s="15">
        <f>IF(OR(R46="",R4=""),"",IFERROR(R46/R4,""))</f>
        <v/>
      </c>
      <c r="S47" s="15">
        <f>IF(OR(S46="",S4=""),"",IFERROR(S46/S4,""))</f>
        <v/>
      </c>
      <c r="T47" s="15">
        <f>IF(OR(T46="",T4=""),"",IFERROR(T46/T4,""))</f>
        <v/>
      </c>
      <c r="U47" s="15">
        <f>IF(OR(U46="",U4=""),"",IFERROR(U46/U4,""))</f>
        <v/>
      </c>
      <c r="V47" s="15">
        <f>IF(OR(V46="",V4=""),"",IFERROR(V46/V4,""))</f>
        <v/>
      </c>
      <c r="W47" s="15">
        <f>IF(OR(W46="",W4=""),"",IFERROR(W46/W4,""))</f>
        <v/>
      </c>
      <c r="X47" s="15">
        <f>IF(OR(X46="",X4=""),"",IFERROR(X46/X4,""))</f>
        <v/>
      </c>
      <c r="Y47" s="25">
        <f>IFERROR(AVERAGE(V47,W47,X47),"")</f>
        <v/>
      </c>
      <c r="Z47" s="26">
        <f>Y47</f>
        <v/>
      </c>
      <c r="AA47" s="26">
        <f>Z47</f>
        <v/>
      </c>
      <c r="AB47" s="26">
        <f>AA47</f>
        <v/>
      </c>
      <c r="AC47" s="26">
        <f>AB47</f>
        <v/>
      </c>
    </row>
    <row r="48">
      <c r="A48" s="18" t="inlineStr">
        <is>
          <t>금융수익</t>
        </is>
      </c>
      <c r="B48" s="10" t="n"/>
      <c r="C48" s="19" t="n">
        <v>12660</v>
      </c>
      <c r="D48" s="20" t="n">
        <v>14760</v>
      </c>
      <c r="E48" s="20" t="n">
        <v>14877</v>
      </c>
      <c r="F48" s="20" t="n">
        <v>16608</v>
      </c>
      <c r="G48" s="20" t="n">
        <v>19162</v>
      </c>
      <c r="H48" s="20" t="n">
        <v>18357</v>
      </c>
      <c r="I48" s="20" t="n">
        <v>17308</v>
      </c>
      <c r="J48" s="20" t="n">
        <v>19455</v>
      </c>
      <c r="K48" s="20" t="n">
        <v>21037</v>
      </c>
      <c r="L48" s="20" t="n">
        <v>10142</v>
      </c>
      <c r="M48" s="20" t="n">
        <v>17348</v>
      </c>
      <c r="N48" s="20" t="n">
        <v>21291</v>
      </c>
      <c r="O48" s="19" t="n">
        <v>14109</v>
      </c>
      <c r="P48" s="20" t="n">
        <v>37479</v>
      </c>
      <c r="Q48" s="20" t="n">
        <v>5754</v>
      </c>
      <c r="R48" s="20" t="n">
        <v>8402</v>
      </c>
      <c r="S48" s="20" t="n">
        <v>12353</v>
      </c>
      <c r="T48" s="20" t="n">
        <v>19013</v>
      </c>
      <c r="U48" s="20" t="n">
        <v>31147</v>
      </c>
      <c r="V48" s="20" t="n">
        <v>44414</v>
      </c>
      <c r="W48" s="20" t="n">
        <v>69004</v>
      </c>
      <c r="X48" s="20" t="n">
        <v>67942</v>
      </c>
      <c r="Y48" s="19">
        <f>IF(OR(Y4="",Y49=""),"",IFERROR(Y4*Y49,""))</f>
        <v/>
      </c>
      <c r="Z48" s="20">
        <f>IF(OR(Z4="",Z49=""),"",IFERROR(Z4*Z49,""))</f>
        <v/>
      </c>
      <c r="AA48" s="20">
        <f>IF(OR(AA4="",AA49=""),"",IFERROR(AA4*AA49,""))</f>
        <v/>
      </c>
      <c r="AB48" s="20">
        <f>IF(OR(AB4="",AB49=""),"",IFERROR(AB4*AB49,""))</f>
        <v/>
      </c>
      <c r="AC48" s="20">
        <f>IF(OR(AC4="",AC49=""),"",IFERROR(AC4*AC49,""))</f>
        <v/>
      </c>
    </row>
    <row r="49">
      <c r="A49" s="13" t="inlineStr">
        <is>
          <t>% of Sales</t>
        </is>
      </c>
      <c r="B49" s="10" t="n"/>
      <c r="C49" s="14">
        <f>IF(OR(C48="",C4=""),"",IFERROR(C48/C4,""))</f>
        <v/>
      </c>
      <c r="D49" s="15">
        <f>IF(OR(D48="",D4=""),"",IFERROR(D48/D4,""))</f>
        <v/>
      </c>
      <c r="E49" s="15">
        <f>IF(OR(E48="",E4=""),"",IFERROR(E48/E4,""))</f>
        <v/>
      </c>
      <c r="F49" s="15">
        <f>IF(OR(F48="",F4=""),"",IFERROR(F48/F4,""))</f>
        <v/>
      </c>
      <c r="G49" s="15">
        <f>IF(OR(G48="",G4=""),"",IFERROR(G48/G4,""))</f>
        <v/>
      </c>
      <c r="H49" s="15">
        <f>IF(OR(H48="",H4=""),"",IFERROR(H48/H4,""))</f>
        <v/>
      </c>
      <c r="I49" s="15">
        <f>IF(OR(I48="",I4=""),"",IFERROR(I48/I4,""))</f>
        <v/>
      </c>
      <c r="J49" s="15">
        <f>IF(OR(J48="",J4=""),"",IFERROR(J48/J4,""))</f>
        <v/>
      </c>
      <c r="K49" s="15">
        <f>IF(OR(K48="",K4=""),"",IFERROR(K48/K4,""))</f>
        <v/>
      </c>
      <c r="L49" s="15">
        <f>IF(OR(L48="",L4=""),"",IFERROR(L48/L4,""))</f>
        <v/>
      </c>
      <c r="M49" s="15">
        <f>IF(OR(M48="",M4=""),"",IFERROR(M48/M4,""))</f>
        <v/>
      </c>
      <c r="N49" s="15">
        <f>IF(OR(N48="",N4=""),"",IFERROR(N48/N4,""))</f>
        <v/>
      </c>
      <c r="O49" s="14">
        <f>IF(OR(O48="",O4=""),"",IFERROR(O48/O4,""))</f>
        <v/>
      </c>
      <c r="P49" s="15">
        <f>IF(OR(P48="",P4=""),"",IFERROR(P48/P4,""))</f>
        <v/>
      </c>
      <c r="Q49" s="15">
        <f>IF(OR(Q48="",Q4=""),"",IFERROR(Q48/Q4,""))</f>
        <v/>
      </c>
      <c r="R49" s="15">
        <f>IF(OR(R48="",R4=""),"",IFERROR(R48/R4,""))</f>
        <v/>
      </c>
      <c r="S49" s="15">
        <f>IF(OR(S48="",S4=""),"",IFERROR(S48/S4,""))</f>
        <v/>
      </c>
      <c r="T49" s="15">
        <f>IF(OR(T48="",T4=""),"",IFERROR(T48/T4,""))</f>
        <v/>
      </c>
      <c r="U49" s="15">
        <f>IF(OR(U48="",U4=""),"",IFERROR(U48/U4,""))</f>
        <v/>
      </c>
      <c r="V49" s="15">
        <f>IF(OR(V48="",V4=""),"",IFERROR(V48/V4,""))</f>
        <v/>
      </c>
      <c r="W49" s="15">
        <f>IF(OR(W48="",W4=""),"",IFERROR(W48/W4,""))</f>
        <v/>
      </c>
      <c r="X49" s="15">
        <f>IF(OR(X48="",X4=""),"",IFERROR(X48/X4,""))</f>
        <v/>
      </c>
      <c r="Y49" s="25">
        <f>IFERROR(AVERAGE(V49,W49,X49),"")</f>
        <v/>
      </c>
      <c r="Z49" s="26">
        <f>Y49</f>
        <v/>
      </c>
      <c r="AA49" s="26">
        <f>Z49</f>
        <v/>
      </c>
      <c r="AB49" s="26">
        <f>AA49</f>
        <v/>
      </c>
      <c r="AC49" s="26">
        <f>AB49</f>
        <v/>
      </c>
    </row>
    <row r="50">
      <c r="A50" s="18" t="inlineStr">
        <is>
          <t>금융원가</t>
        </is>
      </c>
      <c r="B50" s="10" t="n"/>
      <c r="C50" s="19" t="n">
        <v>18173</v>
      </c>
      <c r="D50" s="20" t="n">
        <v>19930</v>
      </c>
      <c r="E50" s="20" t="n">
        <v>29429</v>
      </c>
      <c r="F50" s="20" t="n">
        <v>35645</v>
      </c>
      <c r="G50" s="20" t="n">
        <v>42086</v>
      </c>
      <c r="H50" s="20" t="n">
        <v>51735</v>
      </c>
      <c r="I50" s="20" t="n">
        <v>40175</v>
      </c>
      <c r="J50" s="20" t="n">
        <v>38961</v>
      </c>
      <c r="K50" s="20" t="n">
        <v>34438</v>
      </c>
      <c r="L50" s="20" t="n">
        <v>81620</v>
      </c>
      <c r="M50" s="20" t="n">
        <v>34241</v>
      </c>
      <c r="N50" s="20" t="n">
        <v>43339</v>
      </c>
      <c r="O50" s="19" t="n">
        <v>7567</v>
      </c>
      <c r="P50" s="20" t="n">
        <v>6586</v>
      </c>
      <c r="Q50" s="20" t="n">
        <v>39252</v>
      </c>
      <c r="R50" s="20" t="n">
        <v>45526</v>
      </c>
      <c r="S50" s="20" t="n">
        <v>61344</v>
      </c>
      <c r="T50" s="20" t="n">
        <v>45645</v>
      </c>
      <c r="U50" s="20" t="n">
        <v>91272</v>
      </c>
      <c r="V50" s="20" t="n">
        <v>95222</v>
      </c>
      <c r="W50" s="20" t="n">
        <v>158895</v>
      </c>
      <c r="X50" s="20" t="n">
        <v>195194</v>
      </c>
      <c r="Y50" s="19">
        <f>IF(OR(Y4="",Y51=""),"",IFERROR(Y4*Y51,""))</f>
        <v/>
      </c>
      <c r="Z50" s="20">
        <f>IF(OR(Z4="",Z51=""),"",IFERROR(Z4*Z51,""))</f>
        <v/>
      </c>
      <c r="AA50" s="20">
        <f>IF(OR(AA4="",AA51=""),"",IFERROR(AA4*AA51,""))</f>
        <v/>
      </c>
      <c r="AB50" s="20">
        <f>IF(OR(AB4="",AB51=""),"",IFERROR(AB4*AB51,""))</f>
        <v/>
      </c>
      <c r="AC50" s="20">
        <f>IF(OR(AC4="",AC51=""),"",IFERROR(AC4*AC51,""))</f>
        <v/>
      </c>
    </row>
    <row r="51">
      <c r="A51" s="13" t="inlineStr">
        <is>
          <t>% of Sales</t>
        </is>
      </c>
      <c r="B51" s="10" t="n"/>
      <c r="C51" s="14">
        <f>IF(OR(C50="",C4=""),"",IFERROR(C50/C4,""))</f>
        <v/>
      </c>
      <c r="D51" s="15">
        <f>IF(OR(D50="",D4=""),"",IFERROR(D50/D4,""))</f>
        <v/>
      </c>
      <c r="E51" s="15">
        <f>IF(OR(E50="",E4=""),"",IFERROR(E50/E4,""))</f>
        <v/>
      </c>
      <c r="F51" s="15">
        <f>IF(OR(F50="",F4=""),"",IFERROR(F50/F4,""))</f>
        <v/>
      </c>
      <c r="G51" s="15">
        <f>IF(OR(G50="",G4=""),"",IFERROR(G50/G4,""))</f>
        <v/>
      </c>
      <c r="H51" s="15">
        <f>IF(OR(H50="",H4=""),"",IFERROR(H50/H4,""))</f>
        <v/>
      </c>
      <c r="I51" s="15">
        <f>IF(OR(I50="",I4=""),"",IFERROR(I50/I4,""))</f>
        <v/>
      </c>
      <c r="J51" s="15">
        <f>IF(OR(J50="",J4=""),"",IFERROR(J50/J4,""))</f>
        <v/>
      </c>
      <c r="K51" s="15">
        <f>IF(OR(K50="",K4=""),"",IFERROR(K50/K4,""))</f>
        <v/>
      </c>
      <c r="L51" s="15">
        <f>IF(OR(L50="",L4=""),"",IFERROR(L50/L4,""))</f>
        <v/>
      </c>
      <c r="M51" s="15">
        <f>IF(OR(M50="",M4=""),"",IFERROR(M50/M4,""))</f>
        <v/>
      </c>
      <c r="N51" s="15">
        <f>IF(OR(N50="",N4=""),"",IFERROR(N50/N4,""))</f>
        <v/>
      </c>
      <c r="O51" s="14">
        <f>IF(OR(O50="",O4=""),"",IFERROR(O50/O4,""))</f>
        <v/>
      </c>
      <c r="P51" s="15">
        <f>IF(OR(P50="",P4=""),"",IFERROR(P50/P4,""))</f>
        <v/>
      </c>
      <c r="Q51" s="15">
        <f>IF(OR(Q50="",Q4=""),"",IFERROR(Q50/Q4,""))</f>
        <v/>
      </c>
      <c r="R51" s="15">
        <f>IF(OR(R50="",R4=""),"",IFERROR(R50/R4,""))</f>
        <v/>
      </c>
      <c r="S51" s="15">
        <f>IF(OR(S50="",S4=""),"",IFERROR(S50/S4,""))</f>
        <v/>
      </c>
      <c r="T51" s="15">
        <f>IF(OR(T50="",T4=""),"",IFERROR(T50/T4,""))</f>
        <v/>
      </c>
      <c r="U51" s="15">
        <f>IF(OR(U50="",U4=""),"",IFERROR(U50/U4,""))</f>
        <v/>
      </c>
      <c r="V51" s="15">
        <f>IF(OR(V50="",V4=""),"",IFERROR(V50/V4,""))</f>
        <v/>
      </c>
      <c r="W51" s="15">
        <f>IF(OR(W50="",W4=""),"",IFERROR(W50/W4,""))</f>
        <v/>
      </c>
      <c r="X51" s="15">
        <f>IF(OR(X50="",X4=""),"",IFERROR(X50/X4,""))</f>
        <v/>
      </c>
      <c r="Y51" s="25">
        <f>IFERROR(AVERAGE(V51,W51,X51),"")</f>
        <v/>
      </c>
      <c r="Z51" s="26">
        <f>Y51</f>
        <v/>
      </c>
      <c r="AA51" s="26">
        <f>Z51</f>
        <v/>
      </c>
      <c r="AB51" s="26">
        <f>AA51</f>
        <v/>
      </c>
      <c r="AC51" s="26">
        <f>AB51</f>
        <v/>
      </c>
    </row>
    <row r="52">
      <c r="A52" s="9" t="inlineStr">
        <is>
          <t>법인세비용차감전순이익(손실)</t>
        </is>
      </c>
      <c r="B52" s="10" t="n"/>
      <c r="C52" s="11" t="n">
        <v>212779</v>
      </c>
      <c r="D52" s="12" t="n">
        <v>35392</v>
      </c>
      <c r="E52" s="12" t="n">
        <v>201266</v>
      </c>
      <c r="F52" s="12" t="n">
        <v>197807</v>
      </c>
      <c r="G52" s="12" t="n">
        <v>175882</v>
      </c>
      <c r="H52" s="12" t="n">
        <v>-350622</v>
      </c>
      <c r="I52" s="12" t="n">
        <v>221451</v>
      </c>
      <c r="J52" s="12" t="n">
        <v>236304</v>
      </c>
      <c r="K52" s="12" t="n">
        <v>249407</v>
      </c>
      <c r="L52" s="12" t="n">
        <v>32624</v>
      </c>
      <c r="M52" s="12" t="n">
        <v>287660</v>
      </c>
      <c r="N52" s="12" t="n">
        <v>318339</v>
      </c>
      <c r="O52" s="11" t="n">
        <v>256217</v>
      </c>
      <c r="P52" s="12" t="n">
        <v>214996</v>
      </c>
      <c r="Q52" s="12" t="n">
        <v>531486</v>
      </c>
      <c r="R52" s="12" t="n">
        <v>465232</v>
      </c>
      <c r="S52" s="12" t="n">
        <v>420063</v>
      </c>
      <c r="T52" s="12" t="n">
        <v>472390</v>
      </c>
      <c r="U52" s="12" t="n">
        <v>593450</v>
      </c>
      <c r="V52" s="12" t="n">
        <v>621601</v>
      </c>
      <c r="W52" s="12" t="n">
        <v>224333</v>
      </c>
      <c r="X52" s="12" t="n">
        <v>739786</v>
      </c>
      <c r="Y52" s="11">
        <f>IF(OR(Y28=""),"",IFERROR(Y28+N(Y44)-N(Y46)+N(Y48)-N(Y50),""))</f>
        <v/>
      </c>
      <c r="Z52" s="12">
        <f>IF(OR(Z28=""),"",IFERROR(Z28+N(Z44)-N(Z46)+N(Z48)-N(Z50),""))</f>
        <v/>
      </c>
      <c r="AA52" s="12">
        <f>IF(OR(AA28=""),"",IFERROR(AA28+N(AA44)-N(AA46)+N(AA48)-N(AA50),""))</f>
        <v/>
      </c>
      <c r="AB52" s="12">
        <f>IF(OR(AB28=""),"",IFERROR(AB28+N(AB44)-N(AB46)+N(AB48)-N(AB50),""))</f>
        <v/>
      </c>
      <c r="AC52" s="12">
        <f>IF(OR(AC28=""),"",IFERROR(AC28+N(AC44)-N(AC46)+N(AC48)-N(AC50),""))</f>
        <v/>
      </c>
    </row>
    <row r="53">
      <c r="A53" s="13" t="inlineStr">
        <is>
          <t>YoY</t>
        </is>
      </c>
      <c r="B53" s="10" t="n"/>
      <c r="C53" s="14" t="n"/>
      <c r="D53" s="15" t="n"/>
      <c r="E53" s="15" t="n"/>
      <c r="F53" s="15" t="n"/>
      <c r="G53" s="15">
        <f>IF(OR(G52="",C52=""),"",IF(C52&lt;=0,"",IFERROR(G52/C52-1,"")))</f>
        <v/>
      </c>
      <c r="H53" s="15">
        <f>IF(OR(H52="",D52=""),"",IF(D52&lt;=0,"",IFERROR(H52/D52-1,"")))</f>
        <v/>
      </c>
      <c r="I53" s="15">
        <f>IF(OR(I52="",E52=""),"",IF(E52&lt;=0,"",IFERROR(I52/E52-1,"")))</f>
        <v/>
      </c>
      <c r="J53" s="15">
        <f>IF(OR(J52="",F52=""),"",IF(F52&lt;=0,"",IFERROR(J52/F52-1,"")))</f>
        <v/>
      </c>
      <c r="K53" s="15">
        <f>IF(OR(K52="",G52=""),"",IF(G52&lt;=0,"",IFERROR(K52/G52-1,"")))</f>
        <v/>
      </c>
      <c r="L53" s="15">
        <f>IF(OR(L52="",H52=""),"",IF(H52&lt;=0,"",IFERROR(L52/H52-1,"")))</f>
        <v/>
      </c>
      <c r="M53" s="15">
        <f>IF(OR(M52="",I52=""),"",IF(I52&lt;=0,"",IFERROR(M52/I52-1,"")))</f>
        <v/>
      </c>
      <c r="N53" s="15">
        <f>IF(OR(N52="",J52=""),"",IF(J52&lt;=0,"",IFERROR(N52/J52-1,"")))</f>
        <v/>
      </c>
      <c r="O53" s="14" t="n"/>
      <c r="P53" s="15">
        <f>IF(OR(P52="",O52=""),"",IF(O52&lt;=0,"",IFERROR(P52/O52-1,"")))</f>
        <v/>
      </c>
      <c r="Q53" s="15">
        <f>IF(OR(Q52="",P52=""),"",IF(P52&lt;=0,"",IFERROR(Q52/P52-1,"")))</f>
        <v/>
      </c>
      <c r="R53" s="15">
        <f>IF(OR(R52="",Q52=""),"",IF(Q52&lt;=0,"",IFERROR(R52/Q52-1,"")))</f>
        <v/>
      </c>
      <c r="S53" s="15">
        <f>IF(OR(S52="",R52=""),"",IF(R52&lt;=0,"",IFERROR(S52/R52-1,"")))</f>
        <v/>
      </c>
      <c r="T53" s="15">
        <f>IF(OR(T52="",S52=""),"",IF(S52&lt;=0,"",IFERROR(T52/S52-1,"")))</f>
        <v/>
      </c>
      <c r="U53" s="15">
        <f>IF(OR(U52="",T52=""),"",IF(T52&lt;=0,"",IFERROR(U52/T52-1,"")))</f>
        <v/>
      </c>
      <c r="V53" s="15">
        <f>IF(OR(V52="",U52=""),"",IF(U52&lt;=0,"",IFERROR(V52/U52-1,"")))</f>
        <v/>
      </c>
      <c r="W53" s="15">
        <f>IF(OR(W52="",V52=""),"",IF(V52&lt;=0,"",IFERROR(W52/V52-1,"")))</f>
        <v/>
      </c>
      <c r="X53" s="15">
        <f>IF(OR(X52="",W52=""),"",IF(W52&lt;=0,"",IFERROR(X52/W52-1,"")))</f>
        <v/>
      </c>
      <c r="Y53" s="14">
        <f>IF(OR(Y52="",X52=""),"",IF(X52&lt;=0,"",IFERROR(Y52/X52-1,"")))</f>
        <v/>
      </c>
      <c r="Z53" s="15">
        <f>IF(OR(Z52="",Y52=""),"",IF(Y52&lt;=0,"",IFERROR(Z52/Y52-1,"")))</f>
        <v/>
      </c>
      <c r="AA53" s="15">
        <f>IF(OR(AA52="",Z52=""),"",IF(Z52&lt;=0,"",IFERROR(AA52/Z52-1,"")))</f>
        <v/>
      </c>
      <c r="AB53" s="15">
        <f>IF(OR(AB52="",AA52=""),"",IF(AA52&lt;=0,"",IFERROR(AB52/AA52-1,"")))</f>
        <v/>
      </c>
      <c r="AC53" s="15">
        <f>IF(OR(AC52="",AB52=""),"",IF(AB52&lt;=0,"",IFERROR(AC52/AB52-1,"")))</f>
        <v/>
      </c>
    </row>
    <row r="54">
      <c r="A54" s="18" t="inlineStr">
        <is>
          <t>법인세비용(수익)</t>
        </is>
      </c>
      <c r="B54" s="10" t="n"/>
      <c r="C54" s="19" t="n">
        <v>56710</v>
      </c>
      <c r="D54" s="20" t="n">
        <v>-5385</v>
      </c>
      <c r="E54" s="20" t="n">
        <v>43499</v>
      </c>
      <c r="F54" s="20" t="n">
        <v>48447</v>
      </c>
      <c r="G54" s="20" t="n">
        <v>43735</v>
      </c>
      <c r="H54" s="20" t="n">
        <v>-85275</v>
      </c>
      <c r="I54" s="20" t="n">
        <v>66518</v>
      </c>
      <c r="J54" s="20" t="n">
        <v>55263</v>
      </c>
      <c r="K54" s="20" t="n">
        <v>72508</v>
      </c>
      <c r="L54" s="20" t="n">
        <v>44422</v>
      </c>
      <c r="M54" s="20" t="n">
        <v>90417</v>
      </c>
      <c r="N54" s="20" t="n">
        <v>82401</v>
      </c>
      <c r="O54" s="19" t="n">
        <v>82609</v>
      </c>
      <c r="P54" s="20" t="n">
        <v>54875</v>
      </c>
      <c r="Q54" s="20" t="n">
        <v>144055</v>
      </c>
      <c r="R54" s="20" t="n">
        <v>103609</v>
      </c>
      <c r="S54" s="20" t="n">
        <v>108034</v>
      </c>
      <c r="T54" s="20" t="n">
        <v>132208</v>
      </c>
      <c r="U54" s="20" t="n">
        <v>149277</v>
      </c>
      <c r="V54" s="20" t="n">
        <v>136292</v>
      </c>
      <c r="W54" s="20" t="n">
        <v>50406</v>
      </c>
      <c r="X54" s="20" t="n">
        <v>238711</v>
      </c>
      <c r="Y54" s="19">
        <f>IF(OR(Y52="",Y55=""),"",IFERROR(MAX(Y52,0)*Y55,""))</f>
        <v/>
      </c>
      <c r="Z54" s="20">
        <f>IF(OR(Z52="",Z55=""),"",IFERROR(MAX(Z52,0)*Z55,""))</f>
        <v/>
      </c>
      <c r="AA54" s="20">
        <f>IF(OR(AA52="",AA55=""),"",IFERROR(MAX(AA52,0)*AA55,""))</f>
        <v/>
      </c>
      <c r="AB54" s="20">
        <f>IF(OR(AB52="",AB55=""),"",IFERROR(MAX(AB52,0)*AB55,""))</f>
        <v/>
      </c>
      <c r="AC54" s="20">
        <f>IF(OR(AC52="",AC55=""),"",IFERROR(MAX(AC52,0)*AC55,""))</f>
        <v/>
      </c>
    </row>
    <row r="55">
      <c r="A55" s="13" t="inlineStr">
        <is>
          <t>법인세율</t>
        </is>
      </c>
      <c r="B55" s="10" t="inlineStr">
        <is>
          <t>MW 기본 30%</t>
        </is>
      </c>
      <c r="C55" s="14">
        <f>IF(OR(C54="",C52=""),"",IFERROR(C54/C52,""))</f>
        <v/>
      </c>
      <c r="D55" s="15">
        <f>IF(OR(D54="",D52=""),"",IFERROR(D54/D52,""))</f>
        <v/>
      </c>
      <c r="E55" s="15">
        <f>IF(OR(E54="",E52=""),"",IFERROR(E54/E52,""))</f>
        <v/>
      </c>
      <c r="F55" s="15">
        <f>IF(OR(F54="",F52=""),"",IFERROR(F54/F52,""))</f>
        <v/>
      </c>
      <c r="G55" s="15">
        <f>IF(OR(G54="",G52=""),"",IFERROR(G54/G52,""))</f>
        <v/>
      </c>
      <c r="H55" s="15">
        <f>IF(OR(H54="",H52=""),"",IFERROR(H54/H52,""))</f>
        <v/>
      </c>
      <c r="I55" s="15">
        <f>IF(OR(I54="",I52=""),"",IFERROR(I54/I52,""))</f>
        <v/>
      </c>
      <c r="J55" s="15">
        <f>IF(OR(J54="",J52=""),"",IFERROR(J54/J52,""))</f>
        <v/>
      </c>
      <c r="K55" s="15">
        <f>IF(OR(K54="",K52=""),"",IFERROR(K54/K52,""))</f>
        <v/>
      </c>
      <c r="L55" s="15">
        <f>IF(OR(L54="",L52=""),"",IFERROR(L54/L52,""))</f>
        <v/>
      </c>
      <c r="M55" s="15">
        <f>IF(OR(M54="",M52=""),"",IFERROR(M54/M52,""))</f>
        <v/>
      </c>
      <c r="N55" s="15">
        <f>IF(OR(N54="",N52=""),"",IFERROR(N54/N52,""))</f>
        <v/>
      </c>
      <c r="O55" s="14">
        <f>IF(OR(O54="",O52=""),"",IFERROR(O54/O52,""))</f>
        <v/>
      </c>
      <c r="P55" s="15">
        <f>IF(OR(P54="",P52=""),"",IFERROR(P54/P52,""))</f>
        <v/>
      </c>
      <c r="Q55" s="15">
        <f>IF(OR(Q54="",Q52=""),"",IFERROR(Q54/Q52,""))</f>
        <v/>
      </c>
      <c r="R55" s="15">
        <f>IF(OR(R54="",R52=""),"",IFERROR(R54/R52,""))</f>
        <v/>
      </c>
      <c r="S55" s="15">
        <f>IF(OR(S54="",S52=""),"",IFERROR(S54/S52,""))</f>
        <v/>
      </c>
      <c r="T55" s="15">
        <f>IF(OR(T54="",T52=""),"",IFERROR(T54/T52,""))</f>
        <v/>
      </c>
      <c r="U55" s="15">
        <f>IF(OR(U54="",U52=""),"",IFERROR(U54/U52,""))</f>
        <v/>
      </c>
      <c r="V55" s="15">
        <f>IF(OR(V54="",V52=""),"",IFERROR(V54/V52,""))</f>
        <v/>
      </c>
      <c r="W55" s="15">
        <f>IF(OR(W54="",W52=""),"",IFERROR(W54/W52,""))</f>
        <v/>
      </c>
      <c r="X55" s="15">
        <f>IF(OR(X54="",X52=""),"",IFERROR(X54/X52,""))</f>
        <v/>
      </c>
      <c r="Y55" s="25" t="n">
        <v>0.3</v>
      </c>
      <c r="Z55" s="26" t="n">
        <v>0.3</v>
      </c>
      <c r="AA55" s="26" t="n">
        <v>0.3</v>
      </c>
      <c r="AB55" s="26" t="n">
        <v>0.3</v>
      </c>
      <c r="AC55" s="26" t="n">
        <v>0.3</v>
      </c>
    </row>
    <row r="56">
      <c r="A56" s="9" t="inlineStr">
        <is>
          <t>당기순이익(손실)</t>
        </is>
      </c>
      <c r="B56" s="10" t="n"/>
      <c r="C56" s="11" t="n">
        <v>156070</v>
      </c>
      <c r="D56" s="12" t="n">
        <v>40778</v>
      </c>
      <c r="E56" s="12" t="n">
        <v>157766</v>
      </c>
      <c r="F56" s="12" t="n">
        <v>149360</v>
      </c>
      <c r="G56" s="12" t="n">
        <v>137417</v>
      </c>
      <c r="H56" s="12" t="n">
        <v>-261947</v>
      </c>
      <c r="I56" s="12" t="n">
        <v>158226</v>
      </c>
      <c r="J56" s="12" t="n">
        <v>163739</v>
      </c>
      <c r="K56" s="12" t="n">
        <v>192274</v>
      </c>
      <c r="L56" s="12" t="n">
        <v>-1025</v>
      </c>
      <c r="M56" s="12" t="n">
        <v>197243</v>
      </c>
      <c r="N56" s="12" t="n">
        <v>235938</v>
      </c>
      <c r="O56" s="11" t="n">
        <v>173607</v>
      </c>
      <c r="P56" s="12" t="n">
        <v>160120</v>
      </c>
      <c r="Q56" s="12" t="n">
        <v>387431</v>
      </c>
      <c r="R56" s="12" t="n">
        <v>361622</v>
      </c>
      <c r="S56" s="12" t="n">
        <v>312029</v>
      </c>
      <c r="T56" s="12" t="n">
        <v>340181</v>
      </c>
      <c r="U56" s="12" t="n">
        <v>444174</v>
      </c>
      <c r="V56" s="12" t="n">
        <v>485310</v>
      </c>
      <c r="W56" s="12" t="n">
        <v>182596</v>
      </c>
      <c r="X56" s="12" t="n">
        <v>513214</v>
      </c>
      <c r="Y56" s="11">
        <f>IF(OR(Y52=""),"",IFERROR(Y52-Y54,""))</f>
        <v/>
      </c>
      <c r="Z56" s="12">
        <f>IF(OR(Z52=""),"",IFERROR(Z52-Z54,""))</f>
        <v/>
      </c>
      <c r="AA56" s="12">
        <f>IF(OR(AA52=""),"",IFERROR(AA52-AA54,""))</f>
        <v/>
      </c>
      <c r="AB56" s="12">
        <f>IF(OR(AB52=""),"",IFERROR(AB52-AB54,""))</f>
        <v/>
      </c>
      <c r="AC56" s="12">
        <f>IF(OR(AC52=""),"",IFERROR(AC52-AC54,""))</f>
        <v/>
      </c>
    </row>
    <row r="57">
      <c r="A57" s="13" t="inlineStr">
        <is>
          <t>YoY</t>
        </is>
      </c>
      <c r="B57" s="10" t="n"/>
      <c r="C57" s="14" t="n"/>
      <c r="D57" s="15" t="n"/>
      <c r="E57" s="15" t="n"/>
      <c r="F57" s="15" t="n"/>
      <c r="G57" s="15">
        <f>IF(OR(G56="",C56=""),"",IF(C56&lt;=0,"",IFERROR(G56/C56-1,"")))</f>
        <v/>
      </c>
      <c r="H57" s="15">
        <f>IF(OR(H56="",D56=""),"",IF(D56&lt;=0,"",IFERROR(H56/D56-1,"")))</f>
        <v/>
      </c>
      <c r="I57" s="15">
        <f>IF(OR(I56="",E56=""),"",IF(E56&lt;=0,"",IFERROR(I56/E56-1,"")))</f>
        <v/>
      </c>
      <c r="J57" s="15">
        <f>IF(OR(J56="",F56=""),"",IF(F56&lt;=0,"",IFERROR(J56/F56-1,"")))</f>
        <v/>
      </c>
      <c r="K57" s="15">
        <f>IF(OR(K56="",G56=""),"",IF(G56&lt;=0,"",IFERROR(K56/G56-1,"")))</f>
        <v/>
      </c>
      <c r="L57" s="15">
        <f>IF(OR(L56="",H56=""),"",IF(H56&lt;=0,"",IFERROR(L56/H56-1,"")))</f>
        <v/>
      </c>
      <c r="M57" s="15">
        <f>IF(OR(M56="",I56=""),"",IF(I56&lt;=0,"",IFERROR(M56/I56-1,"")))</f>
        <v/>
      </c>
      <c r="N57" s="15">
        <f>IF(OR(N56="",J56=""),"",IF(J56&lt;=0,"",IFERROR(N56/J56-1,"")))</f>
        <v/>
      </c>
      <c r="O57" s="14" t="n"/>
      <c r="P57" s="15">
        <f>IF(OR(P56="",O56=""),"",IF(O56&lt;=0,"",IFERROR(P56/O56-1,"")))</f>
        <v/>
      </c>
      <c r="Q57" s="15">
        <f>IF(OR(Q56="",P56=""),"",IF(P56&lt;=0,"",IFERROR(Q56/P56-1,"")))</f>
        <v/>
      </c>
      <c r="R57" s="15">
        <f>IF(OR(R56="",Q56=""),"",IF(Q56&lt;=0,"",IFERROR(R56/Q56-1,"")))</f>
        <v/>
      </c>
      <c r="S57" s="15">
        <f>IF(OR(S56="",R56=""),"",IF(R56&lt;=0,"",IFERROR(S56/R56-1,"")))</f>
        <v/>
      </c>
      <c r="T57" s="15">
        <f>IF(OR(T56="",S56=""),"",IF(S56&lt;=0,"",IFERROR(T56/S56-1,"")))</f>
        <v/>
      </c>
      <c r="U57" s="15">
        <f>IF(OR(U56="",T56=""),"",IF(T56&lt;=0,"",IFERROR(U56/T56-1,"")))</f>
        <v/>
      </c>
      <c r="V57" s="15">
        <f>IF(OR(V56="",U56=""),"",IF(U56&lt;=0,"",IFERROR(V56/U56-1,"")))</f>
        <v/>
      </c>
      <c r="W57" s="15">
        <f>IF(OR(W56="",V56=""),"",IF(V56&lt;=0,"",IFERROR(W56/V56-1,"")))</f>
        <v/>
      </c>
      <c r="X57" s="15">
        <f>IF(OR(X56="",W56=""),"",IF(W56&lt;=0,"",IFERROR(X56/W56-1,"")))</f>
        <v/>
      </c>
      <c r="Y57" s="14">
        <f>IF(OR(Y56="",X56=""),"",IF(X56&lt;=0,"",IFERROR(Y56/X56-1,"")))</f>
        <v/>
      </c>
      <c r="Z57" s="15">
        <f>IF(OR(Z56="",Y56=""),"",IF(Y56&lt;=0,"",IFERROR(Z56/Y56-1,"")))</f>
        <v/>
      </c>
      <c r="AA57" s="15">
        <f>IF(OR(AA56="",Z56=""),"",IF(Z56&lt;=0,"",IFERROR(AA56/Z56-1,"")))</f>
        <v/>
      </c>
      <c r="AB57" s="15">
        <f>IF(OR(AB56="",AA56=""),"",IF(AA56&lt;=0,"",IFERROR(AB56/AA56-1,"")))</f>
        <v/>
      </c>
      <c r="AC57" s="15">
        <f>IF(OR(AC56="",AB56=""),"",IF(AB56&lt;=0,"",IFERROR(AC56/AB56-1,"")))</f>
        <v/>
      </c>
    </row>
    <row r="58">
      <c r="A58" s="9" t="inlineStr">
        <is>
          <t>지배주주 순이익</t>
        </is>
      </c>
      <c r="B58" s="10" t="n"/>
      <c r="C58" s="11" t="n">
        <v>155001</v>
      </c>
      <c r="D58" s="12" t="n">
        <v>40278</v>
      </c>
      <c r="E58" s="12" t="n">
        <v>157266</v>
      </c>
      <c r="F58" s="12" t="n">
        <v>147906</v>
      </c>
      <c r="G58" s="12" t="n">
        <v>137242</v>
      </c>
      <c r="H58" s="12" t="n">
        <v>-263174</v>
      </c>
      <c r="I58" s="12" t="n">
        <v>157480</v>
      </c>
      <c r="J58" s="12" t="n">
        <v>162425</v>
      </c>
      <c r="K58" s="12" t="n">
        <v>191844</v>
      </c>
      <c r="L58" s="12" t="n">
        <v>-1574</v>
      </c>
      <c r="M58" s="12" t="n">
        <v>197041</v>
      </c>
      <c r="N58" s="12" t="n">
        <v>234788</v>
      </c>
      <c r="O58" s="11" t="n"/>
      <c r="P58" s="12" t="n"/>
      <c r="Q58" s="12" t="n">
        <v>385677</v>
      </c>
      <c r="R58" s="12" t="n">
        <v>348190</v>
      </c>
      <c r="S58" s="12" t="n">
        <v>310253</v>
      </c>
      <c r="T58" s="12" t="n">
        <v>338490</v>
      </c>
      <c r="U58" s="12" t="n">
        <v>442716</v>
      </c>
      <c r="V58" s="12" t="n">
        <v>482288</v>
      </c>
      <c r="W58" s="12" t="n">
        <v>179240</v>
      </c>
      <c r="X58" s="12" t="n">
        <v>510175</v>
      </c>
      <c r="Y58" s="11">
        <f>IF(OR(Y56="",Y59=""),"",IFERROR(Y56*Y59,""))</f>
        <v/>
      </c>
      <c r="Z58" s="12">
        <f>IF(OR(Z56="",Z59=""),"",IFERROR(Z56*Z59,""))</f>
        <v/>
      </c>
      <c r="AA58" s="12">
        <f>IF(OR(AA56="",AA59=""),"",IFERROR(AA56*AA59,""))</f>
        <v/>
      </c>
      <c r="AB58" s="12">
        <f>IF(OR(AB56="",AB59=""),"",IFERROR(AB56*AB59,""))</f>
        <v/>
      </c>
      <c r="AC58" s="12">
        <f>IF(OR(AC56="",AC59=""),"",IFERROR(AC56*AC59,""))</f>
        <v/>
      </c>
    </row>
    <row r="59">
      <c r="A59" s="13" t="inlineStr">
        <is>
          <t>지배주주 순이익률</t>
        </is>
      </c>
      <c r="B59" s="10" t="inlineStr">
        <is>
          <t>MW 기본 100%</t>
        </is>
      </c>
      <c r="C59" s="14">
        <f>IF(OR(C58="",C56=""),"",IFERROR(C58/C56,""))</f>
        <v/>
      </c>
      <c r="D59" s="15">
        <f>IF(OR(D58="",D56=""),"",IFERROR(D58/D56,""))</f>
        <v/>
      </c>
      <c r="E59" s="15">
        <f>IF(OR(E58="",E56=""),"",IFERROR(E58/E56,""))</f>
        <v/>
      </c>
      <c r="F59" s="15">
        <f>IF(OR(F58="",F56=""),"",IFERROR(F58/F56,""))</f>
        <v/>
      </c>
      <c r="G59" s="15">
        <f>IF(OR(G58="",G56=""),"",IFERROR(G58/G56,""))</f>
        <v/>
      </c>
      <c r="H59" s="15">
        <f>IF(OR(H58="",H56=""),"",IFERROR(H58/H56,""))</f>
        <v/>
      </c>
      <c r="I59" s="15">
        <f>IF(OR(I58="",I56=""),"",IFERROR(I58/I56,""))</f>
        <v/>
      </c>
      <c r="J59" s="15">
        <f>IF(OR(J58="",J56=""),"",IFERROR(J58/J56,""))</f>
        <v/>
      </c>
      <c r="K59" s="15">
        <f>IF(OR(K58="",K56=""),"",IFERROR(K58/K56,""))</f>
        <v/>
      </c>
      <c r="L59" s="15">
        <f>IF(OR(L58="",L56=""),"",IFERROR(L58/L56,""))</f>
        <v/>
      </c>
      <c r="M59" s="15">
        <f>IF(OR(M58="",M56=""),"",IFERROR(M58/M56,""))</f>
        <v/>
      </c>
      <c r="N59" s="15">
        <f>IF(OR(N58="",N56=""),"",IFERROR(N58/N56,""))</f>
        <v/>
      </c>
      <c r="O59" s="14">
        <f>IF(OR(O58="",O56=""),"",IFERROR(O58/O56,""))</f>
        <v/>
      </c>
      <c r="P59" s="15">
        <f>IF(OR(P58="",P56=""),"",IFERROR(P58/P56,""))</f>
        <v/>
      </c>
      <c r="Q59" s="15">
        <f>IF(OR(Q58="",Q56=""),"",IFERROR(Q58/Q56,""))</f>
        <v/>
      </c>
      <c r="R59" s="15">
        <f>IF(OR(R58="",R56=""),"",IFERROR(R58/R56,""))</f>
        <v/>
      </c>
      <c r="S59" s="15">
        <f>IF(OR(S58="",S56=""),"",IFERROR(S58/S56,""))</f>
        <v/>
      </c>
      <c r="T59" s="15">
        <f>IF(OR(T58="",T56=""),"",IFERROR(T58/T56,""))</f>
        <v/>
      </c>
      <c r="U59" s="15">
        <f>IF(OR(U58="",U56=""),"",IFERROR(U58/U56,""))</f>
        <v/>
      </c>
      <c r="V59" s="15">
        <f>IF(OR(V58="",V56=""),"",IFERROR(V58/V56,""))</f>
        <v/>
      </c>
      <c r="W59" s="15">
        <f>IF(OR(W58="",W56=""),"",IFERROR(W58/W56,""))</f>
        <v/>
      </c>
      <c r="X59" s="15">
        <f>IF(OR(X58="",X56=""),"",IFERROR(X58/X56,""))</f>
        <v/>
      </c>
      <c r="Y59" s="25" t="n">
        <v>1</v>
      </c>
      <c r="Z59" s="26" t="n">
        <v>1</v>
      </c>
      <c r="AA59" s="26" t="n">
        <v>1</v>
      </c>
      <c r="AB59" s="26" t="n">
        <v>1</v>
      </c>
      <c r="AC59" s="26" t="n">
        <v>1</v>
      </c>
    </row>
    <row r="60">
      <c r="A60" s="13" t="inlineStr">
        <is>
          <t>지배주주 순이익 YoY</t>
        </is>
      </c>
      <c r="B60" s="10" t="n"/>
      <c r="C60" s="14" t="n"/>
      <c r="D60" s="15" t="n"/>
      <c r="E60" s="15" t="n"/>
      <c r="F60" s="15" t="n"/>
      <c r="G60" s="15">
        <f>IF(OR(G58="",C58=""),"",IF(C58&lt;=0,"",IFERROR(G58/C58-1,"")))</f>
        <v/>
      </c>
      <c r="H60" s="15">
        <f>IF(OR(H58="",D58=""),"",IF(D58&lt;=0,"",IFERROR(H58/D58-1,"")))</f>
        <v/>
      </c>
      <c r="I60" s="15">
        <f>IF(OR(I58="",E58=""),"",IF(E58&lt;=0,"",IFERROR(I58/E58-1,"")))</f>
        <v/>
      </c>
      <c r="J60" s="15">
        <f>IF(OR(J58="",F58=""),"",IF(F58&lt;=0,"",IFERROR(J58/F58-1,"")))</f>
        <v/>
      </c>
      <c r="K60" s="15">
        <f>IF(OR(K58="",G58=""),"",IF(G58&lt;=0,"",IFERROR(K58/G58-1,"")))</f>
        <v/>
      </c>
      <c r="L60" s="15">
        <f>IF(OR(L58="",H58=""),"",IF(H58&lt;=0,"",IFERROR(L58/H58-1,"")))</f>
        <v/>
      </c>
      <c r="M60" s="15">
        <f>IF(OR(M58="",I58=""),"",IF(I58&lt;=0,"",IFERROR(M58/I58-1,"")))</f>
        <v/>
      </c>
      <c r="N60" s="15">
        <f>IF(OR(N58="",J58=""),"",IF(J58&lt;=0,"",IFERROR(N58/J58-1,"")))</f>
        <v/>
      </c>
      <c r="O60" s="14" t="n"/>
      <c r="P60" s="15">
        <f>IF(OR(P58="",O58=""),"",IF(O58&lt;=0,"",IFERROR(P58/O58-1,"")))</f>
        <v/>
      </c>
      <c r="Q60" s="15">
        <f>IF(OR(Q58="",P58=""),"",IF(P58&lt;=0,"",IFERROR(Q58/P58-1,"")))</f>
        <v/>
      </c>
      <c r="R60" s="15">
        <f>IF(OR(R58="",Q58=""),"",IF(Q58&lt;=0,"",IFERROR(R58/Q58-1,"")))</f>
        <v/>
      </c>
      <c r="S60" s="15">
        <f>IF(OR(S58="",R58=""),"",IF(R58&lt;=0,"",IFERROR(S58/R58-1,"")))</f>
        <v/>
      </c>
      <c r="T60" s="15">
        <f>IF(OR(T58="",S58=""),"",IF(S58&lt;=0,"",IFERROR(T58/S58-1,"")))</f>
        <v/>
      </c>
      <c r="U60" s="15">
        <f>IF(OR(U58="",T58=""),"",IF(T58&lt;=0,"",IFERROR(U58/T58-1,"")))</f>
        <v/>
      </c>
      <c r="V60" s="15">
        <f>IF(OR(V58="",U58=""),"",IF(U58&lt;=0,"",IFERROR(V58/U58-1,"")))</f>
        <v/>
      </c>
      <c r="W60" s="15">
        <f>IF(OR(W58="",V58=""),"",IF(V58&lt;=0,"",IFERROR(W58/V58-1,"")))</f>
        <v/>
      </c>
      <c r="X60" s="15">
        <f>IF(OR(X58="",W58=""),"",IF(W58&lt;=0,"",IFERROR(X58/W58-1,"")))</f>
        <v/>
      </c>
      <c r="Y60" s="14">
        <f>IF(OR(Y58="",X58=""),"",IF(X58&lt;=0,"",IFERROR(Y58/X58-1,"")))</f>
        <v/>
      </c>
      <c r="Z60" s="15">
        <f>IF(OR(Z58="",Y58=""),"",IF(Y58&lt;=0,"",IFERROR(Z58/Y58-1,"")))</f>
        <v/>
      </c>
      <c r="AA60" s="15">
        <f>IF(OR(AA58="",Z58=""),"",IF(Z58&lt;=0,"",IFERROR(AA58/Z58-1,"")))</f>
        <v/>
      </c>
      <c r="AB60" s="15">
        <f>IF(OR(AB58="",AA58=""),"",IF(AA58&lt;=0,"",IFERROR(AB58/AA58-1,"")))</f>
        <v/>
      </c>
      <c r="AC60" s="15">
        <f>IF(OR(AC58="",AB58=""),"",IF(AB58&lt;=0,"",IFERROR(AC58/AB58-1,"")))</f>
        <v/>
      </c>
    </row>
    <row r="61">
      <c r="A61" s="16" t="inlineStr">
        <is>
          <t>목표주가 산출</t>
        </is>
      </c>
      <c r="B61" s="16" t="n"/>
      <c r="C61" s="17" t="n"/>
      <c r="D61" s="16" t="n"/>
      <c r="E61" s="16" t="n"/>
      <c r="F61" s="16" t="n"/>
      <c r="G61" s="16" t="n"/>
      <c r="H61" s="16" t="n"/>
      <c r="I61" s="16" t="n"/>
      <c r="J61" s="16" t="n"/>
      <c r="K61" s="16" t="n"/>
      <c r="L61" s="16" t="n"/>
      <c r="M61" s="16" t="n"/>
      <c r="N61" s="16" t="n"/>
      <c r="O61" s="17" t="n"/>
      <c r="P61" s="16" t="n"/>
      <c r="Q61" s="16" t="n"/>
      <c r="R61" s="16" t="n"/>
      <c r="S61" s="16" t="n"/>
      <c r="T61" s="16" t="n"/>
      <c r="U61" s="16" t="n"/>
      <c r="V61" s="16" t="n"/>
      <c r="W61" s="16" t="n"/>
      <c r="X61" s="16" t="n"/>
      <c r="Y61" s="17" t="n"/>
      <c r="Z61" s="16" t="n"/>
      <c r="AA61" s="16" t="n"/>
      <c r="AB61" s="16" t="n"/>
      <c r="AC61" s="16" t="n"/>
    </row>
    <row r="62">
      <c r="A62" s="18" t="inlineStr">
        <is>
          <t>현재 주가 (2026.10.28)</t>
        </is>
      </c>
      <c r="B62" s="27" t="n">
        <v>7335</v>
      </c>
      <c r="C62" s="28" t="n"/>
      <c r="D62" s="29" t="n"/>
      <c r="E62" s="29" t="n"/>
      <c r="F62" s="29" t="n"/>
      <c r="G62" s="29" t="n"/>
      <c r="H62" s="29" t="n"/>
      <c r="I62" s="29" t="n"/>
      <c r="J62" s="29" t="n"/>
      <c r="K62" s="29" t="n"/>
      <c r="L62" s="29" t="n"/>
      <c r="M62" s="29" t="n"/>
      <c r="N62" s="29" t="n"/>
      <c r="O62" s="28" t="n"/>
      <c r="P62" s="29" t="n"/>
      <c r="Q62" s="29" t="n"/>
      <c r="R62" s="29" t="n"/>
      <c r="S62" s="29" t="n"/>
      <c r="T62" s="29" t="n"/>
      <c r="U62" s="29" t="n"/>
      <c r="V62" s="29" t="n"/>
      <c r="W62" s="29" t="n"/>
      <c r="X62" s="29" t="n"/>
      <c r="Y62" s="28" t="n"/>
      <c r="Z62" s="29" t="n"/>
      <c r="AA62" s="29" t="n"/>
      <c r="AB62" s="29" t="n"/>
      <c r="AC62" s="29" t="n"/>
    </row>
    <row r="63">
      <c r="A63" s="18" t="inlineStr">
        <is>
          <t>발행주식수 (보통주)</t>
        </is>
      </c>
      <c r="B63" s="27" t="n">
        <v>2000000000</v>
      </c>
      <c r="C63" s="28" t="n"/>
      <c r="D63" s="29" t="n"/>
      <c r="E63" s="29" t="n"/>
      <c r="F63" s="29" t="n"/>
      <c r="G63" s="29" t="n"/>
      <c r="H63" s="29" t="n"/>
      <c r="I63" s="29" t="n"/>
      <c r="J63" s="29" t="n"/>
      <c r="K63" s="29" t="n"/>
      <c r="L63" s="29" t="n"/>
      <c r="M63" s="29" t="n"/>
      <c r="N63" s="29" t="n"/>
      <c r="O63" s="28" t="n"/>
      <c r="P63" s="29" t="n"/>
      <c r="Q63" s="29" t="n"/>
      <c r="R63" s="29" t="n"/>
      <c r="S63" s="29" t="n"/>
      <c r="T63" s="29" t="n"/>
      <c r="U63" s="29" t="n"/>
      <c r="V63" s="29" t="n"/>
      <c r="W63" s="29" t="n"/>
      <c r="X63" s="29" t="n"/>
      <c r="Y63" s="28" t="n"/>
      <c r="Z63" s="29" t="n"/>
      <c r="AA63" s="29" t="n"/>
      <c r="AB63" s="29" t="n"/>
      <c r="AC63" s="29" t="n"/>
    </row>
    <row r="64">
      <c r="A64" s="18" t="inlineStr">
        <is>
          <t>시가총액 (백만엔)</t>
        </is>
      </c>
      <c r="B64" s="12">
        <f>IF(OR(B62="",B63=""),"",B62*B63/1000000.0)</f>
        <v/>
      </c>
      <c r="C64" s="19" t="n"/>
      <c r="D64" s="20" t="n"/>
      <c r="E64" s="20" t="n"/>
      <c r="F64" s="20" t="n"/>
      <c r="G64" s="20" t="n"/>
      <c r="H64" s="20" t="n"/>
      <c r="I64" s="20" t="n"/>
      <c r="J64" s="20" t="n"/>
      <c r="K64" s="20" t="n"/>
      <c r="L64" s="20" t="n"/>
      <c r="M64" s="20" t="n"/>
      <c r="N64" s="20" t="n"/>
      <c r="O64" s="19" t="n"/>
      <c r="P64" s="20" t="n"/>
      <c r="Q64" s="20" t="n"/>
      <c r="R64" s="20" t="n"/>
      <c r="S64" s="20" t="n"/>
      <c r="T64" s="20" t="n"/>
      <c r="U64" s="20" t="n"/>
      <c r="V64" s="20" t="n"/>
      <c r="W64" s="20" t="n"/>
      <c r="X64" s="20" t="n"/>
      <c r="Y64" s="19" t="n"/>
      <c r="Z64" s="20" t="n"/>
      <c r="AA64" s="20" t="n"/>
      <c r="AB64" s="20" t="n"/>
      <c r="AC64" s="20" t="n"/>
    </row>
    <row r="65">
      <c r="A65" s="13" t="inlineStr">
        <is>
          <t>OPM</t>
        </is>
      </c>
      <c r="B65" s="10" t="n"/>
      <c r="C65" s="14" t="n"/>
      <c r="D65" s="15" t="n"/>
      <c r="E65" s="15" t="n"/>
      <c r="F65" s="15" t="n"/>
      <c r="G65" s="15" t="n"/>
      <c r="H65" s="15" t="n"/>
      <c r="I65" s="15" t="n"/>
      <c r="J65" s="15" t="n"/>
      <c r="K65" s="15" t="n"/>
      <c r="L65" s="15" t="n"/>
      <c r="M65" s="15" t="n"/>
      <c r="N65" s="15" t="n"/>
      <c r="O65" s="14">
        <f>IF(O29="","",O29)</f>
        <v/>
      </c>
      <c r="P65" s="15">
        <f>IF(P29="","",P29)</f>
        <v/>
      </c>
      <c r="Q65" s="15">
        <f>IF(Q29="","",Q29)</f>
        <v/>
      </c>
      <c r="R65" s="15">
        <f>IF(R29="","",R29)</f>
        <v/>
      </c>
      <c r="S65" s="15">
        <f>IF(S29="","",S29)</f>
        <v/>
      </c>
      <c r="T65" s="15">
        <f>IF(T29="","",T29)</f>
        <v/>
      </c>
      <c r="U65" s="15">
        <f>IF(U29="","",U29)</f>
        <v/>
      </c>
      <c r="V65" s="15">
        <f>IF(V29="","",V29)</f>
        <v/>
      </c>
      <c r="W65" s="15">
        <f>IF(W29="","",W29)</f>
        <v/>
      </c>
      <c r="X65" s="15">
        <f>IF(X29="","",X29)</f>
        <v/>
      </c>
      <c r="Y65" s="14">
        <f>IF(Y29="","",Y29)</f>
        <v/>
      </c>
      <c r="Z65" s="15">
        <f>IF(Z29="","",Z29)</f>
        <v/>
      </c>
      <c r="AA65" s="15">
        <f>IF(AA29="","",AA29)</f>
        <v/>
      </c>
      <c r="AB65" s="15">
        <f>IF(AB29="","",AB29)</f>
        <v/>
      </c>
      <c r="AC65" s="15">
        <f>IF(AC29="","",AC29)</f>
        <v/>
      </c>
    </row>
    <row r="66">
      <c r="A66" s="13" t="inlineStr">
        <is>
          <t>지배주주 순이익 증가율</t>
        </is>
      </c>
      <c r="B66" s="10" t="n"/>
      <c r="C66" s="14" t="n"/>
      <c r="D66" s="15" t="n"/>
      <c r="E66" s="15" t="n"/>
      <c r="F66" s="15" t="n"/>
      <c r="G66" s="15" t="n"/>
      <c r="H66" s="15" t="n"/>
      <c r="I66" s="15" t="n"/>
      <c r="J66" s="15" t="n"/>
      <c r="K66" s="15" t="n"/>
      <c r="L66" s="15" t="n"/>
      <c r="M66" s="15" t="n"/>
      <c r="N66" s="15" t="n"/>
      <c r="O66" s="14" t="n"/>
      <c r="P66" s="15">
        <f>IF(OR(P58="",O58=""),"",IFERROR(P58/O58-1,""))</f>
        <v/>
      </c>
      <c r="Q66" s="15">
        <f>IF(OR(Q58="",P58=""),"",IFERROR(Q58/P58-1,""))</f>
        <v/>
      </c>
      <c r="R66" s="15">
        <f>IF(OR(R58="",Q58=""),"",IFERROR(R58/Q58-1,""))</f>
        <v/>
      </c>
      <c r="S66" s="15">
        <f>IF(OR(S58="",R58=""),"",IFERROR(S58/R58-1,""))</f>
        <v/>
      </c>
      <c r="T66" s="15">
        <f>IF(OR(T58="",S58=""),"",IFERROR(T58/S58-1,""))</f>
        <v/>
      </c>
      <c r="U66" s="15">
        <f>IF(OR(U58="",T58=""),"",IFERROR(U58/T58-1,""))</f>
        <v/>
      </c>
      <c r="V66" s="15">
        <f>IF(OR(V58="",U58=""),"",IFERROR(V58/U58-1,""))</f>
        <v/>
      </c>
      <c r="W66" s="15">
        <f>IF(OR(W58="",V58=""),"",IFERROR(W58/V58-1,""))</f>
        <v/>
      </c>
      <c r="X66" s="15">
        <f>IF(OR(X58="",W58=""),"",IFERROR(X58/W58-1,""))</f>
        <v/>
      </c>
      <c r="Y66" s="14">
        <f>IF(OR(Y58="",X58=""),"",IFERROR(Y58/X58-1,""))</f>
        <v/>
      </c>
      <c r="Z66" s="15">
        <f>IF(OR(Z58="",Y58=""),"",IFERROR(Z58/Y58-1,""))</f>
        <v/>
      </c>
      <c r="AA66" s="15">
        <f>IF(OR(AA58="",Z58=""),"",IFERROR(AA58/Z58-1,""))</f>
        <v/>
      </c>
      <c r="AB66" s="15">
        <f>IF(OR(AB58="",AA58=""),"",IFERROR(AB58/AA58-1,""))</f>
        <v/>
      </c>
      <c r="AC66" s="15">
        <f>IF(OR(AC58="",AB58=""),"",IFERROR(AC58/AB58-1,""))</f>
        <v/>
      </c>
    </row>
    <row r="67">
      <c r="A67" s="18" t="inlineStr">
        <is>
          <t>P/E (현재 주가)</t>
        </is>
      </c>
      <c r="B67" s="10" t="inlineStr">
        <is>
          <t>시총 ÷ 지배순이익</t>
        </is>
      </c>
      <c r="C67" s="30" t="n"/>
      <c r="D67" s="31" t="n"/>
      <c r="E67" s="31" t="n"/>
      <c r="F67" s="31" t="n"/>
      <c r="G67" s="31" t="n"/>
      <c r="H67" s="31" t="n"/>
      <c r="I67" s="31" t="n"/>
      <c r="J67" s="31" t="n"/>
      <c r="K67" s="31" t="n"/>
      <c r="L67" s="31" t="n"/>
      <c r="M67" s="31" t="n"/>
      <c r="N67" s="31" t="n"/>
      <c r="O67" s="30" t="n"/>
      <c r="P67" s="31" t="n"/>
      <c r="Q67" s="31" t="n"/>
      <c r="R67" s="31" t="n"/>
      <c r="S67" s="31" t="n"/>
      <c r="T67" s="31" t="n"/>
      <c r="U67" s="31" t="n"/>
      <c r="V67" s="31" t="n"/>
      <c r="W67" s="31" t="n"/>
      <c r="X67" s="31">
        <f>IF(OR($B$64="",X58=""),"",IFERROR($B$64/X58,""))</f>
        <v/>
      </c>
      <c r="Y67" s="30">
        <f>IF(OR($B$64="",Y58=""),"",IFERROR($B$64/Y58,""))</f>
        <v/>
      </c>
      <c r="Z67" s="31">
        <f>IF(OR($B$64="",Z58=""),"",IFERROR($B$64/Z58,""))</f>
        <v/>
      </c>
      <c r="AA67" s="31">
        <f>IF(OR($B$64="",AA58=""),"",IFERROR($B$64/AA58,""))</f>
        <v/>
      </c>
      <c r="AB67" s="31">
        <f>IF(OR($B$64="",AB58=""),"",IFERROR($B$64/AB58,""))</f>
        <v/>
      </c>
      <c r="AC67" s="31">
        <f>IF(OR($B$64="",AC58=""),"",IFERROR($B$64/AC58,""))</f>
        <v/>
      </c>
    </row>
    <row r="68">
      <c r="A68" s="18" t="inlineStr">
        <is>
          <t>Target P/E</t>
        </is>
      </c>
      <c r="B68" s="10" t="inlineStr">
        <is>
          <t>직접 입력</t>
        </is>
      </c>
      <c r="C68" s="30" t="n"/>
      <c r="D68" s="31" t="n"/>
      <c r="E68" s="31" t="n"/>
      <c r="F68" s="31" t="n"/>
      <c r="G68" s="31" t="n"/>
      <c r="H68" s="31" t="n"/>
      <c r="I68" s="31" t="n"/>
      <c r="J68" s="31" t="n"/>
      <c r="K68" s="31" t="n"/>
      <c r="L68" s="31" t="n"/>
      <c r="M68" s="31" t="n"/>
      <c r="N68" s="31" t="n"/>
      <c r="O68" s="30" t="n"/>
      <c r="P68" s="31" t="n"/>
      <c r="Q68" s="31" t="n"/>
      <c r="R68" s="31" t="n"/>
      <c r="S68" s="31" t="n"/>
      <c r="T68" s="31" t="n"/>
      <c r="U68" s="31" t="n"/>
      <c r="V68" s="31" t="n"/>
      <c r="W68" s="31" t="n"/>
      <c r="X68" s="31" t="n"/>
      <c r="Y68" s="32" t="n"/>
      <c r="Z68" s="33" t="n"/>
      <c r="AA68" s="33" t="n"/>
      <c r="AB68" s="33" t="n"/>
      <c r="AC68" s="33" t="n"/>
    </row>
    <row r="69">
      <c r="A69" s="18" t="inlineStr">
        <is>
          <t>EPS</t>
        </is>
      </c>
      <c r="B69" s="10" t="inlineStr">
        <is>
          <t>지배순이익 ÷ 주식수</t>
        </is>
      </c>
      <c r="C69" s="28" t="n"/>
      <c r="D69" s="29" t="n"/>
      <c r="E69" s="29" t="n"/>
      <c r="F69" s="29" t="n"/>
      <c r="G69" s="29" t="n"/>
      <c r="H69" s="29" t="n"/>
      <c r="I69" s="29" t="n"/>
      <c r="J69" s="29" t="n"/>
      <c r="K69" s="29" t="n"/>
      <c r="L69" s="29" t="n"/>
      <c r="M69" s="29" t="n"/>
      <c r="N69" s="29" t="n"/>
      <c r="O69" s="28">
        <f>IF(OR(O58="",$B$63=""),"",IFERROR(O58*1000000.0/$B$63,""))</f>
        <v/>
      </c>
      <c r="P69" s="29">
        <f>IF(OR(P58="",$B$63=""),"",IFERROR(P58*1000000.0/$B$63,""))</f>
        <v/>
      </c>
      <c r="Q69" s="29">
        <f>IF(OR(Q58="",$B$63=""),"",IFERROR(Q58*1000000.0/$B$63,""))</f>
        <v/>
      </c>
      <c r="R69" s="29">
        <f>IF(OR(R58="",$B$63=""),"",IFERROR(R58*1000000.0/$B$63,""))</f>
        <v/>
      </c>
      <c r="S69" s="29">
        <f>IF(OR(S58="",$B$63=""),"",IFERROR(S58*1000000.0/$B$63,""))</f>
        <v/>
      </c>
      <c r="T69" s="29">
        <f>IF(OR(T58="",$B$63=""),"",IFERROR(T58*1000000.0/$B$63,""))</f>
        <v/>
      </c>
      <c r="U69" s="29">
        <f>IF(OR(U58="",$B$63=""),"",IFERROR(U58*1000000.0/$B$63,""))</f>
        <v/>
      </c>
      <c r="V69" s="29">
        <f>IF(OR(V58="",$B$63=""),"",IFERROR(V58*1000000.0/$B$63,""))</f>
        <v/>
      </c>
      <c r="W69" s="29">
        <f>IF(OR(W58="",$B$63=""),"",IFERROR(W58*1000000.0/$B$63,""))</f>
        <v/>
      </c>
      <c r="X69" s="29">
        <f>IF(OR(X58="",$B$63=""),"",IFERROR(X58*1000000.0/$B$63,""))</f>
        <v/>
      </c>
      <c r="Y69" s="28">
        <f>IF(OR(Y58="",$B$63=""),"",IFERROR(Y58*1000000.0/$B$63,""))</f>
        <v/>
      </c>
      <c r="Z69" s="29">
        <f>IF(OR(Z58="",$B$63=""),"",IFERROR(Z58*1000000.0/$B$63,""))</f>
        <v/>
      </c>
      <c r="AA69" s="29">
        <f>IF(OR(AA58="",$B$63=""),"",IFERROR(AA58*1000000.0/$B$63,""))</f>
        <v/>
      </c>
      <c r="AB69" s="29">
        <f>IF(OR(AB58="",$B$63=""),"",IFERROR(AB58*1000000.0/$B$63,""))</f>
        <v/>
      </c>
      <c r="AC69" s="29">
        <f>IF(OR(AC58="",$B$63=""),"",IFERROR(AC58*1000000.0/$B$63,""))</f>
        <v/>
      </c>
    </row>
    <row r="70">
      <c r="A70" s="9" t="inlineStr">
        <is>
          <t>목표주가</t>
        </is>
      </c>
      <c r="B70" s="10" t="n"/>
      <c r="C70" s="34" t="n"/>
      <c r="D70" s="27" t="n"/>
      <c r="E70" s="27" t="n"/>
      <c r="F70" s="27" t="n"/>
      <c r="G70" s="27" t="n"/>
      <c r="H70" s="27" t="n"/>
      <c r="I70" s="27" t="n"/>
      <c r="J70" s="27" t="n"/>
      <c r="K70" s="27" t="n"/>
      <c r="L70" s="27" t="n"/>
      <c r="M70" s="27" t="n"/>
      <c r="N70" s="27" t="n"/>
      <c r="O70" s="34" t="n"/>
      <c r="P70" s="27" t="n"/>
      <c r="Q70" s="27" t="n"/>
      <c r="R70" s="27" t="n"/>
      <c r="S70" s="27" t="n"/>
      <c r="T70" s="27" t="n"/>
      <c r="U70" s="27" t="n"/>
      <c r="V70" s="27" t="n"/>
      <c r="W70" s="27" t="n"/>
      <c r="X70" s="27" t="n"/>
      <c r="Y70" s="34">
        <f>IF(OR(Y69="",Y68=""),"",IFERROR(Y69*Y68,""))</f>
        <v/>
      </c>
      <c r="Z70" s="27">
        <f>IF(OR(Z69="",Z68=""),"",IFERROR(Z69*Z68,""))</f>
        <v/>
      </c>
      <c r="AA70" s="27">
        <f>IF(OR(AA69="",AA68=""),"",IFERROR(AA69*AA68,""))</f>
        <v/>
      </c>
      <c r="AB70" s="27">
        <f>IF(OR(AB69="",AB68=""),"",IFERROR(AB69*AB68,""))</f>
        <v/>
      </c>
      <c r="AC70" s="27">
        <f>IF(OR(AC69="",AC68=""),"",IFERROR(AC69*AC68,""))</f>
        <v/>
      </c>
    </row>
    <row r="71">
      <c r="A71" s="18" t="inlineStr">
        <is>
          <t>상승여력</t>
        </is>
      </c>
      <c r="B71" s="10" t="n"/>
      <c r="C71" s="35" t="n"/>
      <c r="D71" s="36" t="n"/>
      <c r="E71" s="36" t="n"/>
      <c r="F71" s="36" t="n"/>
      <c r="G71" s="36" t="n"/>
      <c r="H71" s="36" t="n"/>
      <c r="I71" s="36" t="n"/>
      <c r="J71" s="36" t="n"/>
      <c r="K71" s="36" t="n"/>
      <c r="L71" s="36" t="n"/>
      <c r="M71" s="36" t="n"/>
      <c r="N71" s="36" t="n"/>
      <c r="O71" s="35" t="n"/>
      <c r="P71" s="36" t="n"/>
      <c r="Q71" s="36" t="n"/>
      <c r="R71" s="36" t="n"/>
      <c r="S71" s="36" t="n"/>
      <c r="T71" s="36" t="n"/>
      <c r="U71" s="36" t="n"/>
      <c r="V71" s="36" t="n"/>
      <c r="W71" s="36" t="n"/>
      <c r="X71" s="36" t="n"/>
      <c r="Y71" s="37">
        <f>IF(OR(Y70="",$B$62=""),"",IFERROR(Y70/$B$62-1,""))</f>
        <v/>
      </c>
      <c r="Z71" s="38">
        <f>IF(OR(Z70="",$B$62=""),"",IFERROR(Z70/$B$62-1,""))</f>
        <v/>
      </c>
      <c r="AA71" s="38">
        <f>IF(OR(AA70="",$B$62=""),"",IFERROR(AA70/$B$62-1,""))</f>
        <v/>
      </c>
      <c r="AB71" s="38">
        <f>IF(OR(AB70="",$B$62=""),"",IFERROR(AB70/$B$62-1,""))</f>
        <v/>
      </c>
      <c r="AC71" s="38">
        <f>IF(OR(AC70="",$B$62=""),"",IFERROR(AC70/$B$62-1,""))</f>
        <v/>
      </c>
    </row>
    <row r="72">
      <c r="A72" s="16" t="inlineStr">
        <is>
          <t>자산가치 산출</t>
        </is>
      </c>
      <c r="B72" s="16" t="inlineStr">
        <is>
          <t>최신 분기 BS</t>
        </is>
      </c>
      <c r="C72" s="17" t="n"/>
      <c r="D72" s="16" t="n"/>
      <c r="E72" s="16" t="n"/>
      <c r="F72" s="16" t="n"/>
      <c r="G72" s="16" t="n"/>
      <c r="H72" s="16" t="n"/>
      <c r="I72" s="16" t="n"/>
      <c r="J72" s="16" t="n"/>
      <c r="K72" s="16" t="n"/>
      <c r="L72" s="16" t="n"/>
      <c r="M72" s="16" t="n"/>
      <c r="N72" s="16" t="n"/>
      <c r="O72" s="17" t="n"/>
      <c r="P72" s="16" t="n"/>
      <c r="Q72" s="16" t="n"/>
      <c r="R72" s="16" t="n"/>
      <c r="S72" s="16" t="n"/>
      <c r="T72" s="16" t="n"/>
      <c r="U72" s="16" t="n"/>
      <c r="V72" s="16" t="n"/>
      <c r="W72" s="16" t="n"/>
      <c r="X72" s="16" t="n"/>
      <c r="Y72" s="17" t="n"/>
      <c r="Z72" s="16" t="n"/>
      <c r="AA72" s="16" t="n"/>
      <c r="AB72" s="16" t="n"/>
      <c r="AC72" s="16" t="n"/>
    </row>
    <row r="73">
      <c r="A73" s="18" t="inlineStr">
        <is>
          <t>현금및현금성자산</t>
        </is>
      </c>
      <c r="B73" s="10" t="n"/>
      <c r="C73" s="19" t="n"/>
      <c r="D73" s="20" t="n"/>
      <c r="E73" s="20" t="n"/>
      <c r="F73" s="20" t="n"/>
      <c r="G73" s="20" t="n"/>
      <c r="H73" s="20" t="n"/>
      <c r="I73" s="20" t="n"/>
      <c r="J73" s="20" t="n"/>
      <c r="K73" s="20" t="n"/>
      <c r="L73" s="20" t="n"/>
      <c r="M73" s="20" t="n"/>
      <c r="N73" s="20" t="n"/>
      <c r="O73" s="19" t="n"/>
      <c r="P73" s="20" t="n"/>
      <c r="Q73" s="20" t="n"/>
      <c r="R73" s="20" t="n"/>
      <c r="S73" s="20" t="n"/>
      <c r="T73" s="20" t="n"/>
      <c r="U73" s="20" t="n"/>
      <c r="V73" s="20" t="n"/>
      <c r="W73" s="20" t="n"/>
      <c r="X73" s="20">
        <f>'재무상태표'!G6</f>
        <v/>
      </c>
      <c r="Y73" s="19">
        <f>'재무상태표'!G6</f>
        <v/>
      </c>
      <c r="Z73" s="20">
        <f>'재무상태표'!G6</f>
        <v/>
      </c>
      <c r="AA73" s="20">
        <f>'재무상태표'!G6</f>
        <v/>
      </c>
      <c r="AB73" s="20">
        <f>'재무상태표'!G6</f>
        <v/>
      </c>
      <c r="AC73" s="20">
        <f>'재무상태표'!G6</f>
        <v/>
      </c>
    </row>
    <row r="74">
      <c r="A74" s="18" t="inlineStr">
        <is>
          <t>단기금융상품</t>
        </is>
      </c>
      <c r="B74" s="10" t="n"/>
      <c r="C74" s="19" t="n"/>
      <c r="D74" s="20" t="n"/>
      <c r="E74" s="20" t="n"/>
      <c r="F74" s="20" t="n"/>
      <c r="G74" s="20" t="n"/>
      <c r="H74" s="20" t="n"/>
      <c r="I74" s="20" t="n"/>
      <c r="J74" s="20" t="n"/>
      <c r="K74" s="20" t="n"/>
      <c r="L74" s="20" t="n"/>
      <c r="M74" s="20" t="n"/>
      <c r="N74" s="20" t="n"/>
      <c r="O74" s="19" t="n"/>
      <c r="P74" s="20" t="n"/>
      <c r="Q74" s="20" t="n"/>
      <c r="R74" s="20" t="n"/>
      <c r="S74" s="20" t="n"/>
      <c r="T74" s="20" t="n"/>
      <c r="U74" s="20" t="n"/>
      <c r="V74" s="20" t="n"/>
      <c r="W74" s="20" t="n"/>
      <c r="X74" s="20">
        <f>'재무상태표'!G7</f>
        <v/>
      </c>
      <c r="Y74" s="19">
        <f>'재무상태표'!G7</f>
        <v/>
      </c>
      <c r="Z74" s="20">
        <f>'재무상태표'!G7</f>
        <v/>
      </c>
      <c r="AA74" s="20">
        <f>'재무상태표'!G7</f>
        <v/>
      </c>
      <c r="AB74" s="20">
        <f>'재무상태표'!G7</f>
        <v/>
      </c>
      <c r="AC74" s="20">
        <f>'재무상태표'!G7</f>
        <v/>
      </c>
    </row>
    <row r="75">
      <c r="A75" s="18" t="inlineStr">
        <is>
          <t>투자부동산</t>
        </is>
      </c>
      <c r="B75" s="10" t="n"/>
      <c r="C75" s="19" t="n"/>
      <c r="D75" s="20" t="n"/>
      <c r="E75" s="20" t="n"/>
      <c r="F75" s="20" t="n"/>
      <c r="G75" s="20" t="n"/>
      <c r="H75" s="20" t="n"/>
      <c r="I75" s="20" t="n"/>
      <c r="J75" s="20" t="n"/>
      <c r="K75" s="20" t="n"/>
      <c r="L75" s="20" t="n"/>
      <c r="M75" s="20" t="n"/>
      <c r="N75" s="20" t="n"/>
      <c r="O75" s="19" t="n"/>
      <c r="P75" s="20" t="n"/>
      <c r="Q75" s="20" t="n"/>
      <c r="R75" s="20" t="n"/>
      <c r="S75" s="20" t="n"/>
      <c r="T75" s="20" t="n"/>
      <c r="U75" s="20" t="n"/>
      <c r="V75" s="20" t="n"/>
      <c r="W75" s="20" t="n"/>
      <c r="X75" s="20">
        <f>'재무상태표'!G14</f>
        <v/>
      </c>
      <c r="Y75" s="19">
        <f>'재무상태표'!G14</f>
        <v/>
      </c>
      <c r="Z75" s="20">
        <f>'재무상태표'!G14</f>
        <v/>
      </c>
      <c r="AA75" s="20">
        <f>'재무상태표'!G14</f>
        <v/>
      </c>
      <c r="AB75" s="20">
        <f>'재무상태표'!G14</f>
        <v/>
      </c>
      <c r="AC75" s="20">
        <f>'재무상태표'!G14</f>
        <v/>
      </c>
    </row>
    <row r="76">
      <c r="A76" s="18" t="inlineStr">
        <is>
          <t>지배자본</t>
        </is>
      </c>
      <c r="B76" s="10" t="n"/>
      <c r="C76" s="19" t="n"/>
      <c r="D76" s="20" t="n"/>
      <c r="E76" s="20" t="n"/>
      <c r="F76" s="20" t="n"/>
      <c r="G76" s="20" t="n"/>
      <c r="H76" s="20" t="n"/>
      <c r="I76" s="20" t="n"/>
      <c r="J76" s="20" t="n"/>
      <c r="K76" s="20" t="n"/>
      <c r="L76" s="20" t="n"/>
      <c r="M76" s="20" t="n"/>
      <c r="N76" s="20" t="n"/>
      <c r="O76" s="19" t="n"/>
      <c r="P76" s="20" t="n"/>
      <c r="Q76" s="20" t="n"/>
      <c r="R76" s="20" t="n"/>
      <c r="S76" s="20" t="n"/>
      <c r="T76" s="20" t="n"/>
      <c r="U76" s="20" t="n"/>
      <c r="V76" s="20" t="n"/>
      <c r="W76" s="20" t="n"/>
      <c r="X76" s="20">
        <f>'재무상태표'!G31</f>
        <v/>
      </c>
      <c r="Y76" s="19">
        <f>'재무상태표'!G31</f>
        <v/>
      </c>
      <c r="Z76" s="20">
        <f>'재무상태표'!G31</f>
        <v/>
      </c>
      <c r="AA76" s="20">
        <f>'재무상태표'!G31</f>
        <v/>
      </c>
      <c r="AB76" s="20">
        <f>'재무상태표'!G31</f>
        <v/>
      </c>
      <c r="AC76" s="20">
        <f>'재무상태표'!G31</f>
        <v/>
      </c>
    </row>
    <row r="77">
      <c r="A77" s="18" t="inlineStr">
        <is>
          <t>부채</t>
        </is>
      </c>
      <c r="B77" s="10" t="n"/>
      <c r="C77" s="19" t="n"/>
      <c r="D77" s="20" t="n"/>
      <c r="E77" s="20" t="n"/>
      <c r="F77" s="20" t="n"/>
      <c r="G77" s="20" t="n"/>
      <c r="H77" s="20" t="n"/>
      <c r="I77" s="20" t="n"/>
      <c r="J77" s="20" t="n"/>
      <c r="K77" s="20" t="n"/>
      <c r="L77" s="20" t="n"/>
      <c r="M77" s="20" t="n"/>
      <c r="N77" s="20" t="n"/>
      <c r="O77" s="19" t="n"/>
      <c r="P77" s="20" t="n"/>
      <c r="Q77" s="20" t="n"/>
      <c r="R77" s="20" t="n"/>
      <c r="S77" s="20" t="n"/>
      <c r="T77" s="20" t="n"/>
      <c r="U77" s="20" t="n"/>
      <c r="V77" s="20" t="n"/>
      <c r="W77" s="20" t="n"/>
      <c r="X77" s="20">
        <f>'재무상태표'!G27</f>
        <v/>
      </c>
      <c r="Y77" s="19">
        <f>'재무상태표'!G27</f>
        <v/>
      </c>
      <c r="Z77" s="20">
        <f>'재무상태표'!G27</f>
        <v/>
      </c>
      <c r="AA77" s="20">
        <f>'재무상태표'!G27</f>
        <v/>
      </c>
      <c r="AB77" s="20">
        <f>'재무상태표'!G27</f>
        <v/>
      </c>
      <c r="AC77" s="20">
        <f>'재무상태표'!G27</f>
        <v/>
      </c>
    </row>
    <row r="78">
      <c r="A78" s="13" t="inlineStr">
        <is>
          <t>부채비율</t>
        </is>
      </c>
      <c r="B78" s="10" t="n"/>
      <c r="C78" s="14" t="n"/>
      <c r="D78" s="15" t="n"/>
      <c r="E78" s="15" t="n"/>
      <c r="F78" s="15" t="n"/>
      <c r="G78" s="15" t="n"/>
      <c r="H78" s="15" t="n"/>
      <c r="I78" s="15" t="n"/>
      <c r="J78" s="15" t="n"/>
      <c r="K78" s="15" t="n"/>
      <c r="L78" s="15" t="n"/>
      <c r="M78" s="15" t="n"/>
      <c r="N78" s="15" t="n"/>
      <c r="O78" s="14" t="n"/>
      <c r="P78" s="15" t="n"/>
      <c r="Q78" s="15" t="n"/>
      <c r="R78" s="15" t="n"/>
      <c r="S78" s="15" t="n"/>
      <c r="T78" s="15" t="n"/>
      <c r="U78" s="15" t="n"/>
      <c r="V78" s="15" t="n"/>
      <c r="W78" s="15" t="n"/>
      <c r="X78" s="15">
        <f>IF(OR(X77="",X76=""),"",IFERROR(X77/X76,""))</f>
        <v/>
      </c>
      <c r="Y78" s="14">
        <f>IF(OR(Y77="",Y76=""),"",IFERROR(Y77/Y76,""))</f>
        <v/>
      </c>
      <c r="Z78" s="15">
        <f>IF(OR(Z77="",Z76=""),"",IFERROR(Z77/Z76,""))</f>
        <v/>
      </c>
      <c r="AA78" s="15">
        <f>IF(OR(AA77="",AA76=""),"",IFERROR(AA77/AA76,""))</f>
        <v/>
      </c>
      <c r="AB78" s="15">
        <f>IF(OR(AB77="",AB76=""),"",IFERROR(AB77/AB76,""))</f>
        <v/>
      </c>
      <c r="AC78" s="15">
        <f>IF(OR(AC77="",AC76=""),"",IFERROR(AC77/AC76,""))</f>
        <v/>
      </c>
    </row>
    <row r="79">
      <c r="A79" s="9" t="inlineStr">
        <is>
          <t>자산가치</t>
        </is>
      </c>
      <c r="B79" s="10" t="inlineStr">
        <is>
          <t>현금+단기금융+투자부동산</t>
        </is>
      </c>
      <c r="C79" s="11" t="n"/>
      <c r="D79" s="12" t="n"/>
      <c r="E79" s="12" t="n"/>
      <c r="F79" s="12" t="n"/>
      <c r="G79" s="12" t="n"/>
      <c r="H79" s="12" t="n"/>
      <c r="I79" s="12" t="n"/>
      <c r="J79" s="12" t="n"/>
      <c r="K79" s="12" t="n"/>
      <c r="L79" s="12" t="n"/>
      <c r="M79" s="12" t="n"/>
      <c r="N79" s="12" t="n"/>
      <c r="O79" s="11" t="n"/>
      <c r="P79" s="12" t="n"/>
      <c r="Q79" s="12" t="n"/>
      <c r="R79" s="12" t="n"/>
      <c r="S79" s="12" t="n"/>
      <c r="T79" s="12" t="n"/>
      <c r="U79" s="12" t="n"/>
      <c r="V79" s="12" t="n"/>
      <c r="W79" s="12" t="n"/>
      <c r="X79" s="12">
        <f>SUM(X73,X74,X75)</f>
        <v/>
      </c>
      <c r="Y79" s="11">
        <f>SUM(Y73,Y74,Y75)</f>
        <v/>
      </c>
      <c r="Z79" s="12">
        <f>SUM(Z73,Z74,Z75)</f>
        <v/>
      </c>
      <c r="AA79" s="12">
        <f>SUM(AA73,AA74,AA75)</f>
        <v/>
      </c>
      <c r="AB79" s="12">
        <f>SUM(AB73,AB74,AB75)</f>
        <v/>
      </c>
      <c r="AC79" s="12">
        <f>SUM(AC73,AC74,AC75)</f>
        <v/>
      </c>
    </row>
    <row r="80">
      <c r="A80" s="16" t="inlineStr">
        <is>
          <t>기업가치 산출</t>
        </is>
      </c>
      <c r="B80" s="16" t="n"/>
      <c r="C80" s="17" t="n"/>
      <c r="D80" s="16" t="n"/>
      <c r="E80" s="16" t="n"/>
      <c r="F80" s="16" t="n"/>
      <c r="G80" s="16" t="n"/>
      <c r="H80" s="16" t="n"/>
      <c r="I80" s="16" t="n"/>
      <c r="J80" s="16" t="n"/>
      <c r="K80" s="16" t="n"/>
      <c r="L80" s="16" t="n"/>
      <c r="M80" s="16" t="n"/>
      <c r="N80" s="16" t="n"/>
      <c r="O80" s="17" t="n"/>
      <c r="P80" s="16" t="n"/>
      <c r="Q80" s="16" t="n"/>
      <c r="R80" s="16" t="n"/>
      <c r="S80" s="16" t="n"/>
      <c r="T80" s="16" t="n"/>
      <c r="U80" s="16" t="n"/>
      <c r="V80" s="16" t="n"/>
      <c r="W80" s="16" t="n"/>
      <c r="X80" s="16" t="n"/>
      <c r="Y80" s="17" t="n"/>
      <c r="Z80" s="16" t="n"/>
      <c r="AA80" s="16" t="n"/>
      <c r="AB80" s="16" t="n"/>
      <c r="AC80" s="16" t="n"/>
    </row>
    <row r="81">
      <c r="A81" s="18" t="inlineStr">
        <is>
          <t>목표 시가총액 (P/E)</t>
        </is>
      </c>
      <c r="B81" s="10" t="inlineStr">
        <is>
          <t>지배순이익 × Target P/E</t>
        </is>
      </c>
      <c r="C81" s="19" t="n"/>
      <c r="D81" s="20" t="n"/>
      <c r="E81" s="20" t="n"/>
      <c r="F81" s="20" t="n"/>
      <c r="G81" s="20" t="n"/>
      <c r="H81" s="20" t="n"/>
      <c r="I81" s="20" t="n"/>
      <c r="J81" s="20" t="n"/>
      <c r="K81" s="20" t="n"/>
      <c r="L81" s="20" t="n"/>
      <c r="M81" s="20" t="n"/>
      <c r="N81" s="20" t="n"/>
      <c r="O81" s="19" t="n"/>
      <c r="P81" s="20" t="n"/>
      <c r="Q81" s="20" t="n"/>
      <c r="R81" s="20" t="n"/>
      <c r="S81" s="20" t="n"/>
      <c r="T81" s="20" t="n"/>
      <c r="U81" s="20" t="n"/>
      <c r="V81" s="20" t="n"/>
      <c r="W81" s="20" t="n"/>
      <c r="X81" s="20" t="n"/>
      <c r="Y81" s="19">
        <f>IF(OR(Y58="",Y68=""),"",IFERROR(Y58*Y68,""))</f>
        <v/>
      </c>
      <c r="Z81" s="20">
        <f>IF(OR(Z58="",Z68=""),"",IFERROR(Z58*Z68,""))</f>
        <v/>
      </c>
      <c r="AA81" s="20">
        <f>IF(OR(AA58="",AA68=""),"",IFERROR(AA58*AA68,""))</f>
        <v/>
      </c>
      <c r="AB81" s="20">
        <f>IF(OR(AB58="",AB68=""),"",IFERROR(AB58*AB68,""))</f>
        <v/>
      </c>
      <c r="AC81" s="20">
        <f>IF(OR(AC58="",AC68=""),"",IFERROR(AC58*AC68,""))</f>
        <v/>
      </c>
    </row>
    <row r="82">
      <c r="A82" s="9" t="inlineStr">
        <is>
          <t>기업가치</t>
        </is>
      </c>
      <c r="B82" s="10" t="inlineStr">
        <is>
          <t>목표시총 + 자산가치</t>
        </is>
      </c>
      <c r="C82" s="11" t="n"/>
      <c r="D82" s="12" t="n"/>
      <c r="E82" s="12" t="n"/>
      <c r="F82" s="12" t="n"/>
      <c r="G82" s="12" t="n"/>
      <c r="H82" s="12" t="n"/>
      <c r="I82" s="12" t="n"/>
      <c r="J82" s="12" t="n"/>
      <c r="K82" s="12" t="n"/>
      <c r="L82" s="12" t="n"/>
      <c r="M82" s="12" t="n"/>
      <c r="N82" s="12" t="n"/>
      <c r="O82" s="11" t="n"/>
      <c r="P82" s="12" t="n"/>
      <c r="Q82" s="12" t="n"/>
      <c r="R82" s="12" t="n"/>
      <c r="S82" s="12" t="n"/>
      <c r="T82" s="12" t="n"/>
      <c r="U82" s="12" t="n"/>
      <c r="V82" s="12" t="n"/>
      <c r="W82" s="12" t="n"/>
      <c r="X82" s="12" t="n"/>
      <c r="Y82" s="11">
        <f>IF(OR(Y81=""),"",IFERROR(Y81+Y79,""))</f>
        <v/>
      </c>
      <c r="Z82" s="12">
        <f>IF(OR(Z81=""),"",IFERROR(Z81+Z79,""))</f>
        <v/>
      </c>
      <c r="AA82" s="12">
        <f>IF(OR(AA81=""),"",IFERROR(AA81+AA79,""))</f>
        <v/>
      </c>
      <c r="AB82" s="12">
        <f>IF(OR(AB81=""),"",IFERROR(AB81+AB79,""))</f>
        <v/>
      </c>
      <c r="AC82" s="12">
        <f>IF(OR(AC81=""),"",IFERROR(AC81+AC79,""))</f>
        <v/>
      </c>
    </row>
    <row r="83">
      <c r="A83" s="18" t="inlineStr">
        <is>
          <t>현재 시가총액</t>
        </is>
      </c>
      <c r="B83" s="10" t="n"/>
      <c r="C83" s="19" t="n"/>
      <c r="D83" s="20" t="n"/>
      <c r="E83" s="20" t="n"/>
      <c r="F83" s="20" t="n"/>
      <c r="G83" s="20" t="n"/>
      <c r="H83" s="20" t="n"/>
      <c r="I83" s="20" t="n"/>
      <c r="J83" s="20" t="n"/>
      <c r="K83" s="20" t="n"/>
      <c r="L83" s="20" t="n"/>
      <c r="M83" s="20" t="n"/>
      <c r="N83" s="20" t="n"/>
      <c r="O83" s="19" t="n"/>
      <c r="P83" s="20" t="n"/>
      <c r="Q83" s="20" t="n"/>
      <c r="R83" s="20" t="n"/>
      <c r="S83" s="20" t="n"/>
      <c r="T83" s="20" t="n"/>
      <c r="U83" s="20" t="n"/>
      <c r="V83" s="20" t="n"/>
      <c r="W83" s="20" t="n"/>
      <c r="X83" s="20" t="n"/>
      <c r="Y83" s="19">
        <f>$B$64</f>
        <v/>
      </c>
      <c r="Z83" s="20">
        <f>$B$64</f>
        <v/>
      </c>
      <c r="AA83" s="20">
        <f>$B$64</f>
        <v/>
      </c>
      <c r="AB83" s="20">
        <f>$B$64</f>
        <v/>
      </c>
      <c r="AC83" s="20">
        <f>$B$64</f>
        <v/>
      </c>
    </row>
    <row r="84">
      <c r="A84" s="18" t="inlineStr">
        <is>
          <t>상승여력</t>
        </is>
      </c>
      <c r="B84" s="10" t="n"/>
      <c r="C84" s="35" t="n"/>
      <c r="D84" s="36" t="n"/>
      <c r="E84" s="36" t="n"/>
      <c r="F84" s="36" t="n"/>
      <c r="G84" s="36" t="n"/>
      <c r="H84" s="36" t="n"/>
      <c r="I84" s="36" t="n"/>
      <c r="J84" s="36" t="n"/>
      <c r="K84" s="36" t="n"/>
      <c r="L84" s="36" t="n"/>
      <c r="M84" s="36" t="n"/>
      <c r="N84" s="36" t="n"/>
      <c r="O84" s="35" t="n"/>
      <c r="P84" s="36" t="n"/>
      <c r="Q84" s="36" t="n"/>
      <c r="R84" s="36" t="n"/>
      <c r="S84" s="36" t="n"/>
      <c r="T84" s="36" t="n"/>
      <c r="U84" s="36" t="n"/>
      <c r="V84" s="36" t="n"/>
      <c r="W84" s="36" t="n"/>
      <c r="X84" s="36" t="n"/>
      <c r="Y84" s="37">
        <f>IF(OR(Y82="",Y83=""),"",IFERROR(Y82/Y83-1,""))</f>
        <v/>
      </c>
      <c r="Z84" s="38">
        <f>IF(OR(Z82="",Z83=""),"",IFERROR(Z82/Z83-1,""))</f>
        <v/>
      </c>
      <c r="AA84" s="38">
        <f>IF(OR(AA82="",AA83=""),"",IFERROR(AA82/AA83-1,""))</f>
        <v/>
      </c>
      <c r="AB84" s="38">
        <f>IF(OR(AB82="",AB83=""),"",IFERROR(AB82/AB83-1,""))</f>
        <v/>
      </c>
      <c r="AC84" s="38">
        <f>IF(OR(AC82="",AC83=""),"",IFERROR(AC82/AC83-1,""))</f>
        <v/>
      </c>
    </row>
    <row r="85">
      <c r="C85" s="39" t="n"/>
      <c r="O85" s="39" t="n"/>
      <c r="Y85" s="39" t="n"/>
    </row>
    <row r="86">
      <c r="A86" s="40" t="inlineStr">
        <is>
          <t>출처</t>
        </is>
      </c>
      <c r="C86" s="39" t="n"/>
      <c r="O86" s="39" t="n"/>
      <c r="Y86" s="39" t="n"/>
    </row>
    <row r="87">
      <c r="A87" s="41" t="inlineStr">
        <is>
          <t>결산단신 XBRL(TDnet·JPX 보관소) — 쓴 문서는 '출처' 시트</t>
        </is>
      </c>
      <c r="C87" s="39" t="n"/>
      <c r="O87" s="39" t="n"/>
      <c r="Y87" s="39" t="n"/>
    </row>
    <row r="88">
      <c r="A88" s="41" t="inlineStr">
        <is>
          <t>분기 = 누계에서 앞 분기를 뺀 3개월 값</t>
        </is>
      </c>
      <c r="C88" s="39" t="n"/>
      <c r="O88" s="39" t="n"/>
      <c r="Y88" s="39" t="n"/>
    </row>
    <row r="89">
      <c r="A89" s="41" t="inlineStr">
        <is>
          <t>주가: 야후 파이낸스 일봉 2026.10.28</t>
        </is>
      </c>
      <c r="C89" s="39" t="n"/>
      <c r="O89" s="39" t="n"/>
      <c r="Y89" s="39" t="n"/>
    </row>
    <row r="91">
      <c r="A91" s="16" t="inlineStr">
        <is>
          <t>손익계산서 · 전 항목</t>
        </is>
      </c>
      <c r="B91" s="42" t="inlineStr">
        <is>
          <t>분기 = 3개월 단독</t>
        </is>
      </c>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row>
    <row r="92">
      <c r="A92" s="5" t="inlineStr">
        <is>
          <t>항목</t>
        </is>
      </c>
      <c r="B92" s="5" t="inlineStr">
        <is>
          <t>참고</t>
        </is>
      </c>
      <c r="C92" s="5" t="inlineStr">
        <is>
          <t>2023.3Q</t>
        </is>
      </c>
      <c r="D92" s="5" t="inlineStr">
        <is>
          <t>2023.4Q</t>
        </is>
      </c>
      <c r="E92" s="5" t="inlineStr">
        <is>
          <t>2024.1Q</t>
        </is>
      </c>
      <c r="F92" s="5" t="inlineStr">
        <is>
          <t>2024.2Q</t>
        </is>
      </c>
      <c r="G92" s="5" t="inlineStr">
        <is>
          <t>2024.3Q</t>
        </is>
      </c>
      <c r="H92" s="5" t="inlineStr">
        <is>
          <t>2024.4Q</t>
        </is>
      </c>
      <c r="I92" s="5" t="inlineStr">
        <is>
          <t>2025.1Q</t>
        </is>
      </c>
      <c r="J92" s="5" t="inlineStr">
        <is>
          <t>2025.2Q</t>
        </is>
      </c>
      <c r="K92" s="5" t="inlineStr">
        <is>
          <t>2025.3Q</t>
        </is>
      </c>
      <c r="L92" s="5" t="inlineStr">
        <is>
          <t>2025.4Q</t>
        </is>
      </c>
      <c r="M92" s="5" t="inlineStr">
        <is>
          <t>2026.1Q</t>
        </is>
      </c>
      <c r="N92" s="5" t="inlineStr">
        <is>
          <t>2026.2Q</t>
        </is>
      </c>
      <c r="O92" s="5" t="inlineStr">
        <is>
          <t>2016</t>
        </is>
      </c>
      <c r="P92" s="5" t="inlineStr">
        <is>
          <t>2017</t>
        </is>
      </c>
      <c r="Q92" s="5" t="inlineStr">
        <is>
          <t>2018</t>
        </is>
      </c>
      <c r="R92" s="5" t="inlineStr">
        <is>
          <t>2019</t>
        </is>
      </c>
      <c r="S92" s="5" t="inlineStr">
        <is>
          <t>2020</t>
        </is>
      </c>
      <c r="T92" s="5" t="inlineStr">
        <is>
          <t>2021</t>
        </is>
      </c>
      <c r="U92" s="5" t="inlineStr">
        <is>
          <t>2022</t>
        </is>
      </c>
      <c r="V92" s="5" t="inlineStr">
        <is>
          <t>2023</t>
        </is>
      </c>
      <c r="W92" s="5" t="inlineStr">
        <is>
          <t>2024</t>
        </is>
      </c>
      <c r="X92" s="5" t="inlineStr">
        <is>
          <t>2025</t>
        </is>
      </c>
      <c r="Y92" s="5" t="inlineStr">
        <is>
          <t>2026(MW)</t>
        </is>
      </c>
      <c r="Z92" s="5" t="inlineStr">
        <is>
          <t>2027(MW)</t>
        </is>
      </c>
      <c r="AA92" s="5" t="inlineStr">
        <is>
          <t>2028(MW)</t>
        </is>
      </c>
      <c r="AB92" s="5" t="inlineStr">
        <is>
          <t>2029(MW)</t>
        </is>
      </c>
      <c r="AC92" s="5" t="inlineStr">
        <is>
          <t>2030(MW)</t>
        </is>
      </c>
    </row>
    <row r="93">
      <c r="A93" s="9" t="inlineStr">
        <is>
          <t>매출수익</t>
        </is>
      </c>
      <c r="C93" s="12" t="n">
        <v>764206</v>
      </c>
      <c r="D93" s="12" t="n">
        <v>684059</v>
      </c>
      <c r="E93" s="12" t="n">
        <v>740333</v>
      </c>
      <c r="F93" s="12" t="n">
        <v>829559</v>
      </c>
      <c r="G93" s="12" t="n">
        <v>757352</v>
      </c>
      <c r="H93" s="12" t="n">
        <v>729465</v>
      </c>
      <c r="I93" s="12" t="n">
        <v>801872</v>
      </c>
      <c r="J93" s="12" t="n">
        <v>884917</v>
      </c>
      <c r="K93" s="12" t="n">
        <v>947239</v>
      </c>
      <c r="L93" s="12" t="n">
        <v>833647</v>
      </c>
      <c r="M93" s="12" t="n">
        <v>923963</v>
      </c>
      <c r="N93" s="12" t="n">
        <v>1062107</v>
      </c>
      <c r="T93" s="12" t="n">
        <v>558763</v>
      </c>
      <c r="U93" s="12" t="n">
        <v>649284</v>
      </c>
      <c r="V93" s="12" t="n">
        <v>684059</v>
      </c>
      <c r="W93" s="12" t="n">
        <v>729465</v>
      </c>
      <c r="X93" s="12" t="n">
        <v>833647</v>
      </c>
    </row>
    <row r="94">
      <c r="A94" s="43" t="inlineStr">
        <is>
          <t>YoY</t>
        </is>
      </c>
      <c r="B94" s="3" t="inlineStr">
        <is>
          <t>전년 같은 분기·전년 대비</t>
        </is>
      </c>
      <c r="G94" s="15">
        <f>IF(OR(G93="",C93=""),"",IF(C93&lt;=0,"",IFERROR(G93/C93-1,"")))</f>
        <v/>
      </c>
      <c r="H94" s="15">
        <f>IF(OR(H93="",D93=""),"",IF(D93&lt;=0,"",IFERROR(H93/D93-1,"")))</f>
        <v/>
      </c>
      <c r="I94" s="15">
        <f>IF(OR(I93="",E93=""),"",IF(E93&lt;=0,"",IFERROR(I93/E93-1,"")))</f>
        <v/>
      </c>
      <c r="J94" s="15">
        <f>IF(OR(J93="",F93=""),"",IF(F93&lt;=0,"",IFERROR(J93/F93-1,"")))</f>
        <v/>
      </c>
      <c r="K94" s="15">
        <f>IF(OR(K93="",G93=""),"",IF(G93&lt;=0,"",IFERROR(K93/G93-1,"")))</f>
        <v/>
      </c>
      <c r="L94" s="15">
        <f>IF(OR(L93="",H93=""),"",IF(H93&lt;=0,"",IFERROR(L93/H93-1,"")))</f>
        <v/>
      </c>
      <c r="M94" s="15">
        <f>IF(OR(M93="",I93=""),"",IF(I93&lt;=0,"",IFERROR(M93/I93-1,"")))</f>
        <v/>
      </c>
      <c r="N94" s="15">
        <f>IF(OR(N93="",J93=""),"",IF(J93&lt;=0,"",IFERROR(N93/J93-1,"")))</f>
        <v/>
      </c>
      <c r="T94" s="15">
        <f>IF(OR(T93="",S93=""),"",IF(S93&lt;=0,"",IFERROR(T93/S93-1,"")))</f>
        <v/>
      </c>
      <c r="U94" s="15">
        <f>IF(OR(U93="",T93=""),"",IF(T93&lt;=0,"",IFERROR(U93/T93-1,"")))</f>
        <v/>
      </c>
      <c r="V94" s="15">
        <f>IF(OR(V93="",U93=""),"",IF(U93&lt;=0,"",IFERROR(V93/U93-1,"")))</f>
        <v/>
      </c>
      <c r="W94" s="15">
        <f>IF(OR(W93="",V93=""),"",IF(V93&lt;=0,"",IFERROR(W93/V93-1,"")))</f>
        <v/>
      </c>
      <c r="X94" s="15">
        <f>IF(OR(X93="",W93=""),"",IF(W93&lt;=0,"",IFERROR(X93/W93-1,"")))</f>
        <v/>
      </c>
    </row>
    <row r="95">
      <c r="A95" s="18" t="inlineStr">
        <is>
          <t>매출원가</t>
        </is>
      </c>
      <c r="C95" s="20" t="n">
        <v>315564</v>
      </c>
      <c r="D95" s="20" t="n">
        <v>346599</v>
      </c>
      <c r="E95" s="20" t="n">
        <v>320101</v>
      </c>
      <c r="F95" s="20" t="n">
        <v>362177</v>
      </c>
      <c r="G95" s="20" t="n">
        <v>338038</v>
      </c>
      <c r="H95" s="20" t="n">
        <v>358968</v>
      </c>
      <c r="I95" s="20" t="n">
        <v>339477</v>
      </c>
      <c r="J95" s="20" t="n">
        <v>375962</v>
      </c>
      <c r="K95" s="20" t="n">
        <v>410593</v>
      </c>
      <c r="L95" s="20" t="n">
        <v>393059</v>
      </c>
      <c r="M95" s="20" t="n">
        <v>379003</v>
      </c>
      <c r="N95" s="20" t="n">
        <v>437078</v>
      </c>
      <c r="T95" s="20" t="n">
        <v>248213</v>
      </c>
      <c r="U95" s="20" t="n">
        <v>284507</v>
      </c>
      <c r="V95" s="20" t="n">
        <v>346599</v>
      </c>
      <c r="W95" s="20" t="n">
        <v>358968</v>
      </c>
      <c r="X95" s="20" t="n">
        <v>393059</v>
      </c>
    </row>
    <row r="96">
      <c r="A96" s="43" t="inlineStr">
        <is>
          <t>YoY</t>
        </is>
      </c>
      <c r="B96" s="3" t="inlineStr">
        <is>
          <t>전년 같은 분기·전년 대비</t>
        </is>
      </c>
      <c r="G96" s="15">
        <f>IF(OR(G95="",C95=""),"",IF(G95*C95&lt;=0,"",IFERROR(G95/C95-1,"")))</f>
        <v/>
      </c>
      <c r="H96" s="15">
        <f>IF(OR(H95="",D95=""),"",IF(H95*D95&lt;=0,"",IFERROR(H95/D95-1,"")))</f>
        <v/>
      </c>
      <c r="I96" s="15">
        <f>IF(OR(I95="",E95=""),"",IF(I95*E95&lt;=0,"",IFERROR(I95/E95-1,"")))</f>
        <v/>
      </c>
      <c r="J96" s="15">
        <f>IF(OR(J95="",F95=""),"",IF(J95*F95&lt;=0,"",IFERROR(J95/F95-1,"")))</f>
        <v/>
      </c>
      <c r="K96" s="15">
        <f>IF(OR(K95="",G95=""),"",IF(K95*G95&lt;=0,"",IFERROR(K95/G95-1,"")))</f>
        <v/>
      </c>
      <c r="L96" s="15">
        <f>IF(OR(L95="",H95=""),"",IF(L95*H95&lt;=0,"",IFERROR(L95/H95-1,"")))</f>
        <v/>
      </c>
      <c r="M96" s="15">
        <f>IF(OR(M95="",I95=""),"",IF(M95*I95&lt;=0,"",IFERROR(M95/I95-1,"")))</f>
        <v/>
      </c>
      <c r="N96" s="15">
        <f>IF(OR(N95="",J95=""),"",IF(N95*J95&lt;=0,"",IFERROR(N95/J95-1,"")))</f>
        <v/>
      </c>
      <c r="T96" s="15">
        <f>IF(OR(T95="",S95=""),"",IF(T95*S95&lt;=0,"",IFERROR(T95/S95-1,"")))</f>
        <v/>
      </c>
      <c r="U96" s="15">
        <f>IF(OR(U95="",T95=""),"",IF(U95*T95&lt;=0,"",IFERROR(U95/T95-1,"")))</f>
        <v/>
      </c>
      <c r="V96" s="15">
        <f>IF(OR(V95="",U95=""),"",IF(V95*U95&lt;=0,"",IFERROR(V95/U95-1,"")))</f>
        <v/>
      </c>
      <c r="W96" s="15">
        <f>IF(OR(W95="",V95=""),"",IF(W95*V95&lt;=0,"",IFERROR(W95/V95-1,"")))</f>
        <v/>
      </c>
      <c r="X96" s="15">
        <f>IF(OR(X95="",W95=""),"",IF(X95*W95&lt;=0,"",IFERROR(X95/W95-1,"")))</f>
        <v/>
      </c>
    </row>
    <row r="97">
      <c r="A97" s="9" t="inlineStr">
        <is>
          <t>매출총이익</t>
        </is>
      </c>
      <c r="C97" s="12" t="n">
        <v>448642</v>
      </c>
      <c r="D97" s="12" t="n">
        <v>337460</v>
      </c>
      <c r="E97" s="12" t="n">
        <v>420232</v>
      </c>
      <c r="F97" s="12" t="n">
        <v>467382</v>
      </c>
      <c r="G97" s="12" t="n">
        <v>419313</v>
      </c>
      <c r="H97" s="12" t="n">
        <v>370498</v>
      </c>
      <c r="I97" s="12" t="n">
        <v>462395</v>
      </c>
      <c r="J97" s="12" t="n">
        <v>508954</v>
      </c>
      <c r="K97" s="12" t="n">
        <v>536647</v>
      </c>
      <c r="L97" s="12" t="n">
        <v>440589</v>
      </c>
      <c r="M97" s="12" t="n">
        <v>544959</v>
      </c>
      <c r="N97" s="12" t="n">
        <v>625029</v>
      </c>
      <c r="T97" s="12" t="n">
        <v>310549</v>
      </c>
      <c r="U97" s="12" t="n">
        <v>364777</v>
      </c>
      <c r="V97" s="12" t="n">
        <v>337460</v>
      </c>
      <c r="W97" s="12" t="n">
        <v>370498</v>
      </c>
      <c r="X97" s="12" t="n">
        <v>440589</v>
      </c>
    </row>
    <row r="98">
      <c r="A98" s="43" t="inlineStr">
        <is>
          <t>YoY</t>
        </is>
      </c>
      <c r="B98" s="3" t="inlineStr">
        <is>
          <t>전년 같은 분기·전년 대비</t>
        </is>
      </c>
      <c r="G98" s="15">
        <f>IF(OR(G97="",C97=""),"",IF(C97&lt;=0,"",IFERROR(G97/C97-1,"")))</f>
        <v/>
      </c>
      <c r="H98" s="15">
        <f>IF(OR(H97="",D97=""),"",IF(D97&lt;=0,"",IFERROR(H97/D97-1,"")))</f>
        <v/>
      </c>
      <c r="I98" s="15">
        <f>IF(OR(I97="",E97=""),"",IF(E97&lt;=0,"",IFERROR(I97/E97-1,"")))</f>
        <v/>
      </c>
      <c r="J98" s="15">
        <f>IF(OR(J97="",F97=""),"",IF(F97&lt;=0,"",IFERROR(J97/F97-1,"")))</f>
        <v/>
      </c>
      <c r="K98" s="15">
        <f>IF(OR(K97="",G97=""),"",IF(G97&lt;=0,"",IFERROR(K97/G97-1,"")))</f>
        <v/>
      </c>
      <c r="L98" s="15">
        <f>IF(OR(L97="",H97=""),"",IF(H97&lt;=0,"",IFERROR(L97/H97-1,"")))</f>
        <v/>
      </c>
      <c r="M98" s="15">
        <f>IF(OR(M97="",I97=""),"",IF(I97&lt;=0,"",IFERROR(M97/I97-1,"")))</f>
        <v/>
      </c>
      <c r="N98" s="15">
        <f>IF(OR(N97="",J97=""),"",IF(J97&lt;=0,"",IFERROR(N97/J97-1,"")))</f>
        <v/>
      </c>
      <c r="T98" s="15">
        <f>IF(OR(T97="",S97=""),"",IF(S97&lt;=0,"",IFERROR(T97/S97-1,"")))</f>
        <v/>
      </c>
      <c r="U98" s="15">
        <f>IF(OR(U97="",T97=""),"",IF(T97&lt;=0,"",IFERROR(U97/T97-1,"")))</f>
        <v/>
      </c>
      <c r="V98" s="15">
        <f>IF(OR(V97="",U97=""),"",IF(U97&lt;=0,"",IFERROR(V97/U97-1,"")))</f>
        <v/>
      </c>
      <c r="W98" s="15">
        <f>IF(OR(W97="",V97=""),"",IF(V97&lt;=0,"",IFERROR(W97/V97-1,"")))</f>
        <v/>
      </c>
      <c r="X98" s="15">
        <f>IF(OR(X97="",W97=""),"",IF(W97&lt;=0,"",IFERROR(X97/W97-1,"")))</f>
        <v/>
      </c>
    </row>
    <row r="99">
      <c r="A99" s="18" t="inlineStr">
        <is>
          <t>기타 영업수익</t>
        </is>
      </c>
      <c r="C99" s="20" t="n">
        <v>13740</v>
      </c>
      <c r="D99" s="20" t="n">
        <v>7241</v>
      </c>
      <c r="E99" s="20" t="n">
        <v>6377</v>
      </c>
      <c r="F99" s="20" t="n">
        <v>9400</v>
      </c>
      <c r="G99" s="20" t="n">
        <v>4704</v>
      </c>
      <c r="H99" s="20" t="n">
        <v>10655</v>
      </c>
      <c r="I99" s="20" t="n">
        <v>3926</v>
      </c>
      <c r="J99" s="20" t="n">
        <v>3157</v>
      </c>
      <c r="K99" s="20" t="n">
        <v>6831</v>
      </c>
      <c r="L99" s="20" t="n">
        <v>69370</v>
      </c>
      <c r="M99" s="20" t="n">
        <v>4394</v>
      </c>
      <c r="N99" s="20" t="n">
        <v>4251</v>
      </c>
      <c r="T99" s="20" t="n">
        <v>5357</v>
      </c>
      <c r="U99" s="20" t="n">
        <v>9389</v>
      </c>
      <c r="V99" s="20" t="n">
        <v>7241</v>
      </c>
      <c r="W99" s="20" t="n">
        <v>10655</v>
      </c>
      <c r="X99" s="20" t="n">
        <v>69370</v>
      </c>
    </row>
    <row r="100">
      <c r="A100" s="18" t="inlineStr">
        <is>
          <t>지분법이익</t>
        </is>
      </c>
      <c r="C100" s="20" t="n">
        <v>3260</v>
      </c>
      <c r="D100" s="20" t="n">
        <v>1518</v>
      </c>
      <c r="E100" s="20" t="n">
        <v>2073</v>
      </c>
      <c r="F100" s="20" t="n">
        <v>1923</v>
      </c>
      <c r="G100" s="20" t="n">
        <v>4369</v>
      </c>
      <c r="H100" s="20" t="n">
        <v>4520</v>
      </c>
      <c r="I100" s="20" t="n">
        <v>2335</v>
      </c>
      <c r="J100" s="20" t="n">
        <v>4368</v>
      </c>
      <c r="K100" s="20" t="n">
        <v>3521</v>
      </c>
      <c r="L100" s="20" t="n">
        <v>3108</v>
      </c>
      <c r="M100" s="20" t="n">
        <v>2183</v>
      </c>
      <c r="N100" s="20" t="n">
        <v>3300</v>
      </c>
      <c r="T100" s="20" t="n">
        <v>455</v>
      </c>
      <c r="U100" s="20" t="n">
        <v>1743</v>
      </c>
      <c r="V100" s="20" t="n">
        <v>1518</v>
      </c>
      <c r="W100" s="20" t="n">
        <v>4520</v>
      </c>
      <c r="X100" s="20" t="n">
        <v>3108</v>
      </c>
    </row>
    <row r="101">
      <c r="A101" s="18" t="inlineStr">
        <is>
          <t>Selling General And Administrative Expenses</t>
        </is>
      </c>
      <c r="C101" s="20" t="n">
        <v>247351</v>
      </c>
      <c r="D101" s="20" t="n">
        <v>305655</v>
      </c>
      <c r="E101" s="20" t="n">
        <v>212863</v>
      </c>
      <c r="F101" s="20" t="n">
        <v>261862</v>
      </c>
      <c r="G101" s="20" t="n">
        <v>229580</v>
      </c>
      <c r="H101" s="20" t="n">
        <v>702919</v>
      </c>
      <c r="I101" s="20" t="n">
        <v>224338</v>
      </c>
      <c r="J101" s="20" t="n">
        <v>260669</v>
      </c>
      <c r="K101" s="20" t="n">
        <v>284192</v>
      </c>
      <c r="L101" s="20" t="n">
        <v>408963</v>
      </c>
      <c r="M101" s="20" t="n">
        <v>246983</v>
      </c>
      <c r="N101" s="20" t="n">
        <v>292194</v>
      </c>
      <c r="T101" s="20" t="n">
        <v>298036</v>
      </c>
      <c r="U101" s="20" t="n">
        <v>301675</v>
      </c>
      <c r="V101" s="20" t="n">
        <v>305655</v>
      </c>
      <c r="W101" s="20" t="n">
        <v>702919</v>
      </c>
      <c r="X101" s="20" t="n">
        <v>408963</v>
      </c>
    </row>
    <row r="102">
      <c r="A102" s="43" t="inlineStr">
        <is>
          <t>YoY</t>
        </is>
      </c>
      <c r="B102" s="3" t="inlineStr">
        <is>
          <t>전년 같은 분기·전년 대비</t>
        </is>
      </c>
      <c r="G102" s="15">
        <f>IF(OR(G101="",C101=""),"",IF(G101*C101&lt;=0,"",IFERROR(G101/C101-1,"")))</f>
        <v/>
      </c>
      <c r="H102" s="15">
        <f>IF(OR(H101="",D101=""),"",IF(H101*D101&lt;=0,"",IFERROR(H101/D101-1,"")))</f>
        <v/>
      </c>
      <c r="I102" s="15">
        <f>IF(OR(I101="",E101=""),"",IF(I101*E101&lt;=0,"",IFERROR(I101/E101-1,"")))</f>
        <v/>
      </c>
      <c r="J102" s="15">
        <f>IF(OR(J101="",F101=""),"",IF(J101*F101&lt;=0,"",IFERROR(J101/F101-1,"")))</f>
        <v/>
      </c>
      <c r="K102" s="15">
        <f>IF(OR(K101="",G101=""),"",IF(K101*G101&lt;=0,"",IFERROR(K101/G101-1,"")))</f>
        <v/>
      </c>
      <c r="L102" s="15">
        <f>IF(OR(L101="",H101=""),"",IF(L101*H101&lt;=0,"",IFERROR(L101/H101-1,"")))</f>
        <v/>
      </c>
      <c r="M102" s="15">
        <f>IF(OR(M101="",I101=""),"",IF(M101*I101&lt;=0,"",IFERROR(M101/I101-1,"")))</f>
        <v/>
      </c>
      <c r="N102" s="15">
        <f>IF(OR(N101="",J101=""),"",IF(N101*J101&lt;=0,"",IFERROR(N101/J101-1,"")))</f>
        <v/>
      </c>
      <c r="T102" s="15">
        <f>IF(OR(T101="",S101=""),"",IF(T101*S101&lt;=0,"",IFERROR(T101/S101-1,"")))</f>
        <v/>
      </c>
      <c r="U102" s="15">
        <f>IF(OR(U101="",T101=""),"",IF(U101*T101&lt;=0,"",IFERROR(U101/T101-1,"")))</f>
        <v/>
      </c>
      <c r="V102" s="15">
        <f>IF(OR(V101="",U101=""),"",IF(V101*U101&lt;=0,"",IFERROR(V101/U101-1,"")))</f>
        <v/>
      </c>
      <c r="W102" s="15">
        <f>IF(OR(W101="",V101=""),"",IF(W101*V101&lt;=0,"",IFERROR(W101/V101-1,"")))</f>
        <v/>
      </c>
      <c r="X102" s="15">
        <f>IF(OR(X101="",W101=""),"",IF(X101*W101&lt;=0,"",IFERROR(X101/W101-1,"")))</f>
        <v/>
      </c>
    </row>
    <row r="103">
      <c r="A103" s="18" t="inlineStr">
        <is>
          <t>영업이익</t>
        </is>
      </c>
      <c r="C103" s="20" t="n">
        <v>218292</v>
      </c>
      <c r="D103" s="20" t="n">
        <v>40563</v>
      </c>
      <c r="E103" s="20" t="n">
        <v>215818</v>
      </c>
      <c r="F103" s="20" t="n">
        <v>216844</v>
      </c>
      <c r="G103" s="20" t="n">
        <v>198806</v>
      </c>
      <c r="H103" s="20" t="n">
        <v>-317245</v>
      </c>
      <c r="I103" s="20" t="n">
        <v>244318</v>
      </c>
      <c r="J103" s="20" t="n">
        <v>255811</v>
      </c>
      <c r="K103" s="20" t="n">
        <v>262806</v>
      </c>
      <c r="L103" s="20" t="n">
        <v>104103</v>
      </c>
      <c r="M103" s="20" t="n">
        <v>304554</v>
      </c>
      <c r="N103" s="20" t="n">
        <v>340386</v>
      </c>
      <c r="T103" s="20" t="n">
        <v>18325</v>
      </c>
      <c r="U103" s="20" t="n">
        <v>74234</v>
      </c>
      <c r="V103" s="20" t="n">
        <v>40563</v>
      </c>
      <c r="W103" s="20" t="n">
        <v>-317245</v>
      </c>
      <c r="X103" s="20" t="n">
        <v>104103</v>
      </c>
    </row>
    <row r="104">
      <c r="A104" s="43" t="inlineStr">
        <is>
          <t>OPM</t>
        </is>
      </c>
      <c r="B104" s="3" t="inlineStr">
        <is>
          <t>영업이익 ÷ 매출</t>
        </is>
      </c>
      <c r="C104" s="15">
        <f>IF(OR(C103="",C93=""),"",IF(C93&lt;=0,"",IFERROR(C103/C93,"")))</f>
        <v/>
      </c>
      <c r="D104" s="15">
        <f>IF(OR(D103="",D93=""),"",IF(D93&lt;=0,"",IFERROR(D103/D93,"")))</f>
        <v/>
      </c>
      <c r="E104" s="15">
        <f>IF(OR(E103="",E93=""),"",IF(E93&lt;=0,"",IFERROR(E103/E93,"")))</f>
        <v/>
      </c>
      <c r="F104" s="15">
        <f>IF(OR(F103="",F93=""),"",IF(F93&lt;=0,"",IFERROR(F103/F93,"")))</f>
        <v/>
      </c>
      <c r="G104" s="15">
        <f>IF(OR(G103="",G93=""),"",IF(G93&lt;=0,"",IFERROR(G103/G93,"")))</f>
        <v/>
      </c>
      <c r="H104" s="15">
        <f>IF(OR(H103="",H93=""),"",IF(H93&lt;=0,"",IFERROR(H103/H93,"")))</f>
        <v/>
      </c>
      <c r="I104" s="15">
        <f>IF(OR(I103="",I93=""),"",IF(I93&lt;=0,"",IFERROR(I103/I93,"")))</f>
        <v/>
      </c>
      <c r="J104" s="15">
        <f>IF(OR(J103="",J93=""),"",IF(J93&lt;=0,"",IFERROR(J103/J93,"")))</f>
        <v/>
      </c>
      <c r="K104" s="15">
        <f>IF(OR(K103="",K93=""),"",IF(K93&lt;=0,"",IFERROR(K103/K93,"")))</f>
        <v/>
      </c>
      <c r="L104" s="15">
        <f>IF(OR(L103="",L93=""),"",IF(L93&lt;=0,"",IFERROR(L103/L93,"")))</f>
        <v/>
      </c>
      <c r="M104" s="15">
        <f>IF(OR(M103="",M93=""),"",IF(M93&lt;=0,"",IFERROR(M103/M93,"")))</f>
        <v/>
      </c>
      <c r="N104" s="15">
        <f>IF(OR(N103="",N93=""),"",IF(N93&lt;=0,"",IFERROR(N103/N93,"")))</f>
        <v/>
      </c>
      <c r="T104" s="15">
        <f>IF(OR(T103="",T93=""),"",IF(T93&lt;=0,"",IFERROR(T103/T93,"")))</f>
        <v/>
      </c>
      <c r="U104" s="15">
        <f>IF(OR(U103="",U93=""),"",IF(U93&lt;=0,"",IFERROR(U103/U93,"")))</f>
        <v/>
      </c>
      <c r="V104" s="15">
        <f>IF(OR(V103="",V93=""),"",IF(V93&lt;=0,"",IFERROR(V103/V93,"")))</f>
        <v/>
      </c>
      <c r="W104" s="15">
        <f>IF(OR(W103="",W93=""),"",IF(W93&lt;=0,"",IFERROR(W103/W93,"")))</f>
        <v/>
      </c>
      <c r="X104" s="15">
        <f>IF(OR(X103="",X93=""),"",IF(X93&lt;=0,"",IFERROR(X103/X93,"")))</f>
        <v/>
      </c>
    </row>
    <row r="105">
      <c r="A105" s="43" t="inlineStr">
        <is>
          <t>YoY</t>
        </is>
      </c>
      <c r="B105" s="3" t="inlineStr">
        <is>
          <t>전년 같은 분기·전년 대비</t>
        </is>
      </c>
      <c r="G105" s="15">
        <f>IF(OR(G103="",C103=""),"",IF(C103&lt;=0,"",IFERROR(G103/C103-1,"")))</f>
        <v/>
      </c>
      <c r="H105" s="15">
        <f>IF(OR(H103="",D103=""),"",IF(D103&lt;=0,"",IFERROR(H103/D103-1,"")))</f>
        <v/>
      </c>
      <c r="I105" s="15">
        <f>IF(OR(I103="",E103=""),"",IF(E103&lt;=0,"",IFERROR(I103/E103-1,"")))</f>
        <v/>
      </c>
      <c r="J105" s="15">
        <f>IF(OR(J103="",F103=""),"",IF(F103&lt;=0,"",IFERROR(J103/F103-1,"")))</f>
        <v/>
      </c>
      <c r="K105" s="15">
        <f>IF(OR(K103="",G103=""),"",IF(G103&lt;=0,"",IFERROR(K103/G103-1,"")))</f>
        <v/>
      </c>
      <c r="L105" s="15">
        <f>IF(OR(L103="",H103=""),"",IF(H103&lt;=0,"",IFERROR(L103/H103-1,"")))</f>
        <v/>
      </c>
      <c r="M105" s="15">
        <f>IF(OR(M103="",I103=""),"",IF(I103&lt;=0,"",IFERROR(M103/I103-1,"")))</f>
        <v/>
      </c>
      <c r="N105" s="15">
        <f>IF(OR(N103="",J103=""),"",IF(J103&lt;=0,"",IFERROR(N103/J103-1,"")))</f>
        <v/>
      </c>
      <c r="T105" s="15">
        <f>IF(OR(T103="",S103=""),"",IF(S103&lt;=0,"",IFERROR(T103/S103-1,"")))</f>
        <v/>
      </c>
      <c r="U105" s="15">
        <f>IF(OR(U103="",T103=""),"",IF(T103&lt;=0,"",IFERROR(U103/T103-1,"")))</f>
        <v/>
      </c>
      <c r="V105" s="15">
        <f>IF(OR(V103="",U103=""),"",IF(U103&lt;=0,"",IFERROR(V103/U103-1,"")))</f>
        <v/>
      </c>
      <c r="W105" s="15">
        <f>IF(OR(W103="",V103=""),"",IF(V103&lt;=0,"",IFERROR(W103/V103-1,"")))</f>
        <v/>
      </c>
      <c r="X105" s="15">
        <f>IF(OR(X103="",W103=""),"",IF(W103&lt;=0,"",IFERROR(X103/W103-1,"")))</f>
        <v/>
      </c>
    </row>
    <row r="106">
      <c r="A106" s="18" t="inlineStr">
        <is>
          <t>금융수익</t>
        </is>
      </c>
      <c r="C106" s="20" t="n">
        <v>12660</v>
      </c>
      <c r="D106" s="20" t="n">
        <v>14760</v>
      </c>
      <c r="E106" s="20" t="n">
        <v>14877</v>
      </c>
      <c r="F106" s="20" t="n">
        <v>16608</v>
      </c>
      <c r="G106" s="20" t="n">
        <v>19162</v>
      </c>
      <c r="H106" s="20" t="n">
        <v>18357</v>
      </c>
      <c r="I106" s="20" t="n">
        <v>17308</v>
      </c>
      <c r="J106" s="20" t="n">
        <v>19455</v>
      </c>
      <c r="K106" s="20" t="n">
        <v>21037</v>
      </c>
      <c r="L106" s="20" t="n">
        <v>10142</v>
      </c>
      <c r="M106" s="20" t="n">
        <v>17348</v>
      </c>
      <c r="N106" s="20" t="n">
        <v>21291</v>
      </c>
      <c r="T106" s="20" t="n">
        <v>3201</v>
      </c>
      <c r="U106" s="20" t="n">
        <v>13389</v>
      </c>
      <c r="V106" s="20" t="n">
        <v>14760</v>
      </c>
      <c r="W106" s="20" t="n">
        <v>18357</v>
      </c>
      <c r="X106" s="20" t="n">
        <v>10142</v>
      </c>
    </row>
    <row r="107">
      <c r="A107" s="43" t="inlineStr">
        <is>
          <t>YoY</t>
        </is>
      </c>
      <c r="B107" s="3" t="inlineStr">
        <is>
          <t>전년 같은 분기·전년 대비</t>
        </is>
      </c>
      <c r="G107" s="15">
        <f>IF(OR(G106="",C106=""),"",IF(G106*C106&lt;=0,"",IFERROR(G106/C106-1,"")))</f>
        <v/>
      </c>
      <c r="H107" s="15">
        <f>IF(OR(H106="",D106=""),"",IF(H106*D106&lt;=0,"",IFERROR(H106/D106-1,"")))</f>
        <v/>
      </c>
      <c r="I107" s="15">
        <f>IF(OR(I106="",E106=""),"",IF(I106*E106&lt;=0,"",IFERROR(I106/E106-1,"")))</f>
        <v/>
      </c>
      <c r="J107" s="15">
        <f>IF(OR(J106="",F106=""),"",IF(J106*F106&lt;=0,"",IFERROR(J106/F106-1,"")))</f>
        <v/>
      </c>
      <c r="K107" s="15">
        <f>IF(OR(K106="",G106=""),"",IF(K106*G106&lt;=0,"",IFERROR(K106/G106-1,"")))</f>
        <v/>
      </c>
      <c r="L107" s="15">
        <f>IF(OR(L106="",H106=""),"",IF(L106*H106&lt;=0,"",IFERROR(L106/H106-1,"")))</f>
        <v/>
      </c>
      <c r="M107" s="15">
        <f>IF(OR(M106="",I106=""),"",IF(M106*I106&lt;=0,"",IFERROR(M106/I106-1,"")))</f>
        <v/>
      </c>
      <c r="N107" s="15">
        <f>IF(OR(N106="",J106=""),"",IF(N106*J106&lt;=0,"",IFERROR(N106/J106-1,"")))</f>
        <v/>
      </c>
      <c r="T107" s="15">
        <f>IF(OR(T106="",S106=""),"",IF(T106*S106&lt;=0,"",IFERROR(T106/S106-1,"")))</f>
        <v/>
      </c>
      <c r="U107" s="15">
        <f>IF(OR(U106="",T106=""),"",IF(U106*T106&lt;=0,"",IFERROR(U106/T106-1,"")))</f>
        <v/>
      </c>
      <c r="V107" s="15">
        <f>IF(OR(V106="",U106=""),"",IF(V106*U106&lt;=0,"",IFERROR(V106/U106-1,"")))</f>
        <v/>
      </c>
      <c r="W107" s="15">
        <f>IF(OR(W106="",V106=""),"",IF(W106*V106&lt;=0,"",IFERROR(W106/V106-1,"")))</f>
        <v/>
      </c>
      <c r="X107" s="15">
        <f>IF(OR(X106="",W106=""),"",IF(X106*W106&lt;=0,"",IFERROR(X106/W106-1,"")))</f>
        <v/>
      </c>
    </row>
    <row r="108">
      <c r="A108" s="18" t="inlineStr">
        <is>
          <t>금융비용</t>
        </is>
      </c>
      <c r="C108" s="20" t="n">
        <v>18173</v>
      </c>
      <c r="D108" s="20" t="n">
        <v>19930</v>
      </c>
      <c r="E108" s="20" t="n">
        <v>29429</v>
      </c>
      <c r="F108" s="20" t="n">
        <v>35645</v>
      </c>
      <c r="G108" s="20" t="n">
        <v>42086</v>
      </c>
      <c r="H108" s="20" t="n">
        <v>51735</v>
      </c>
      <c r="I108" s="20" t="n">
        <v>40175</v>
      </c>
      <c r="J108" s="20" t="n">
        <v>38961</v>
      </c>
      <c r="K108" s="20" t="n">
        <v>34438</v>
      </c>
      <c r="L108" s="20" t="n">
        <v>81620</v>
      </c>
      <c r="M108" s="20" t="n">
        <v>34241</v>
      </c>
      <c r="N108" s="20" t="n">
        <v>43339</v>
      </c>
      <c r="T108" s="20" t="n">
        <v>12958</v>
      </c>
      <c r="U108" s="20" t="n">
        <v>29769</v>
      </c>
      <c r="V108" s="20" t="n">
        <v>19930</v>
      </c>
      <c r="W108" s="20" t="n">
        <v>51735</v>
      </c>
      <c r="X108" s="20" t="n">
        <v>81620</v>
      </c>
    </row>
    <row r="109">
      <c r="A109" s="43" t="inlineStr">
        <is>
          <t>YoY</t>
        </is>
      </c>
      <c r="B109" s="3" t="inlineStr">
        <is>
          <t>전년 같은 분기·전년 대비</t>
        </is>
      </c>
      <c r="G109" s="15">
        <f>IF(OR(G108="",C108=""),"",IF(G108*C108&lt;=0,"",IFERROR(G108/C108-1,"")))</f>
        <v/>
      </c>
      <c r="H109" s="15">
        <f>IF(OR(H108="",D108=""),"",IF(H108*D108&lt;=0,"",IFERROR(H108/D108-1,"")))</f>
        <v/>
      </c>
      <c r="I109" s="15">
        <f>IF(OR(I108="",E108=""),"",IF(I108*E108&lt;=0,"",IFERROR(I108/E108-1,"")))</f>
        <v/>
      </c>
      <c r="J109" s="15">
        <f>IF(OR(J108="",F108=""),"",IF(J108*F108&lt;=0,"",IFERROR(J108/F108-1,"")))</f>
        <v/>
      </c>
      <c r="K109" s="15">
        <f>IF(OR(K108="",G108=""),"",IF(K108*G108&lt;=0,"",IFERROR(K108/G108-1,"")))</f>
        <v/>
      </c>
      <c r="L109" s="15">
        <f>IF(OR(L108="",H108=""),"",IF(L108*H108&lt;=0,"",IFERROR(L108/H108-1,"")))</f>
        <v/>
      </c>
      <c r="M109" s="15">
        <f>IF(OR(M108="",I108=""),"",IF(M108*I108&lt;=0,"",IFERROR(M108/I108-1,"")))</f>
        <v/>
      </c>
      <c r="N109" s="15">
        <f>IF(OR(N108="",J108=""),"",IF(N108*J108&lt;=0,"",IFERROR(N108/J108-1,"")))</f>
        <v/>
      </c>
      <c r="T109" s="15">
        <f>IF(OR(T108="",S108=""),"",IF(T108*S108&lt;=0,"",IFERROR(T108/S108-1,"")))</f>
        <v/>
      </c>
      <c r="U109" s="15">
        <f>IF(OR(U108="",T108=""),"",IF(U108*T108&lt;=0,"",IFERROR(U108/T108-1,"")))</f>
        <v/>
      </c>
      <c r="V109" s="15">
        <f>IF(OR(V108="",U108=""),"",IF(V108*U108&lt;=0,"",IFERROR(V108/U108-1,"")))</f>
        <v/>
      </c>
      <c r="W109" s="15">
        <f>IF(OR(W108="",V108=""),"",IF(W108*V108&lt;=0,"",IFERROR(W108/V108-1,"")))</f>
        <v/>
      </c>
      <c r="X109" s="15">
        <f>IF(OR(X108="",W108=""),"",IF(X108*W108&lt;=0,"",IFERROR(X108/W108-1,"")))</f>
        <v/>
      </c>
    </row>
    <row r="110">
      <c r="A110" s="9" t="inlineStr">
        <is>
          <t>법인세비용차감전 중간이익</t>
        </is>
      </c>
      <c r="C110" s="12" t="n">
        <v>212779</v>
      </c>
      <c r="D110" s="12" t="n">
        <v>35392</v>
      </c>
      <c r="E110" s="12" t="n">
        <v>201266</v>
      </c>
      <c r="F110" s="12" t="n">
        <v>197807</v>
      </c>
      <c r="G110" s="12" t="n">
        <v>175882</v>
      </c>
      <c r="H110" s="12" t="n">
        <v>-350622</v>
      </c>
      <c r="I110" s="12" t="n">
        <v>221451</v>
      </c>
      <c r="J110" s="12" t="n">
        <v>236304</v>
      </c>
      <c r="K110" s="12" t="n">
        <v>249407</v>
      </c>
      <c r="L110" s="12" t="n">
        <v>32624</v>
      </c>
      <c r="M110" s="12" t="n">
        <v>287660</v>
      </c>
      <c r="N110" s="12" t="n">
        <v>318339</v>
      </c>
      <c r="T110" s="12" t="n">
        <v>8569</v>
      </c>
      <c r="U110" s="12" t="n">
        <v>57854</v>
      </c>
      <c r="V110" s="12" t="n">
        <v>35392</v>
      </c>
      <c r="W110" s="12" t="n">
        <v>-350622</v>
      </c>
      <c r="X110" s="12" t="n">
        <v>32624</v>
      </c>
    </row>
    <row r="111">
      <c r="A111" s="18" t="inlineStr">
        <is>
          <t>법인소득세 비용</t>
        </is>
      </c>
      <c r="C111" s="20" t="n">
        <v>56710</v>
      </c>
      <c r="D111" s="20" t="n">
        <v>-5385</v>
      </c>
      <c r="E111" s="20" t="n">
        <v>43499</v>
      </c>
      <c r="F111" s="20" t="n">
        <v>48447</v>
      </c>
      <c r="G111" s="20" t="n">
        <v>43735</v>
      </c>
      <c r="H111" s="20" t="n">
        <v>-85275</v>
      </c>
      <c r="I111" s="20" t="n">
        <v>66518</v>
      </c>
      <c r="J111" s="20" t="n">
        <v>55263</v>
      </c>
      <c r="K111" s="20" t="n">
        <v>72508</v>
      </c>
      <c r="L111" s="20" t="n">
        <v>44422</v>
      </c>
      <c r="M111" s="20" t="n">
        <v>90417</v>
      </c>
      <c r="N111" s="20" t="n">
        <v>82401</v>
      </c>
      <c r="T111" s="20" t="n">
        <v>8672</v>
      </c>
      <c r="U111" s="20" t="n">
        <v>17611</v>
      </c>
      <c r="V111" s="20" t="n">
        <v>-5385</v>
      </c>
      <c r="W111" s="20" t="n">
        <v>-85275</v>
      </c>
      <c r="X111" s="20" t="n">
        <v>44422</v>
      </c>
    </row>
    <row r="112">
      <c r="A112" s="43" t="inlineStr">
        <is>
          <t>YoY</t>
        </is>
      </c>
      <c r="B112" s="3" t="inlineStr">
        <is>
          <t>전년 같은 분기·전년 대비</t>
        </is>
      </c>
      <c r="G112" s="15">
        <f>IF(OR(G111="",C111=""),"",IF(G111*C111&lt;=0,"",IFERROR(G111/C111-1,"")))</f>
        <v/>
      </c>
      <c r="H112" s="15">
        <f>IF(OR(H111="",D111=""),"",IF(H111*D111&lt;=0,"",IFERROR(H111/D111-1,"")))</f>
        <v/>
      </c>
      <c r="I112" s="15">
        <f>IF(OR(I111="",E111=""),"",IF(I111*E111&lt;=0,"",IFERROR(I111/E111-1,"")))</f>
        <v/>
      </c>
      <c r="J112" s="15">
        <f>IF(OR(J111="",F111=""),"",IF(J111*F111&lt;=0,"",IFERROR(J111/F111-1,"")))</f>
        <v/>
      </c>
      <c r="K112" s="15">
        <f>IF(OR(K111="",G111=""),"",IF(K111*G111&lt;=0,"",IFERROR(K111/G111-1,"")))</f>
        <v/>
      </c>
      <c r="L112" s="15">
        <f>IF(OR(L111="",H111=""),"",IF(L111*H111&lt;=0,"",IFERROR(L111/H111-1,"")))</f>
        <v/>
      </c>
      <c r="M112" s="15">
        <f>IF(OR(M111="",I111=""),"",IF(M111*I111&lt;=0,"",IFERROR(M111/I111-1,"")))</f>
        <v/>
      </c>
      <c r="N112" s="15">
        <f>IF(OR(N111="",J111=""),"",IF(N111*J111&lt;=0,"",IFERROR(N111/J111-1,"")))</f>
        <v/>
      </c>
      <c r="T112" s="15">
        <f>IF(OR(T111="",S111=""),"",IF(T111*S111&lt;=0,"",IFERROR(T111/S111-1,"")))</f>
        <v/>
      </c>
      <c r="U112" s="15">
        <f>IF(OR(U111="",T111=""),"",IF(U111*T111&lt;=0,"",IFERROR(U111/T111-1,"")))</f>
        <v/>
      </c>
      <c r="V112" s="15">
        <f>IF(OR(V111="",U111=""),"",IF(V111*U111&lt;=0,"",IFERROR(V111/U111-1,"")))</f>
        <v/>
      </c>
      <c r="W112" s="15">
        <f>IF(OR(W111="",V111=""),"",IF(W111*V111&lt;=0,"",IFERROR(W111/V111-1,"")))</f>
        <v/>
      </c>
      <c r="X112" s="15">
        <f>IF(OR(X111="",W111=""),"",IF(X111*W111&lt;=0,"",IFERROR(X111/W111-1,"")))</f>
        <v/>
      </c>
    </row>
    <row r="113">
      <c r="A113" s="9" t="inlineStr">
        <is>
          <t>Profit Loss From Continuing Operations</t>
        </is>
      </c>
      <c r="H113" s="12" t="n">
        <v>-265347</v>
      </c>
      <c r="I113" s="12" t="n">
        <v>154933</v>
      </c>
      <c r="J113" s="12" t="n">
        <v>181042</v>
      </c>
      <c r="K113" s="12" t="n">
        <v>176897</v>
      </c>
      <c r="L113" s="12" t="n">
        <v>-11797</v>
      </c>
      <c r="M113" s="12" t="n">
        <v>197243</v>
      </c>
      <c r="N113" s="12" t="n">
        <v>235938</v>
      </c>
      <c r="W113" s="12" t="n">
        <v>-265347</v>
      </c>
      <c r="X113" s="12" t="n">
        <v>-11797</v>
      </c>
    </row>
    <row r="114">
      <c r="A114" s="9" t="inlineStr">
        <is>
          <t>Profit Loss From Discontinued Operations</t>
        </is>
      </c>
      <c r="H114" s="12" t="n">
        <v>3400</v>
      </c>
      <c r="I114" s="12" t="n">
        <v>3293</v>
      </c>
      <c r="J114" s="12" t="n">
        <v>-17303</v>
      </c>
      <c r="K114" s="12" t="n">
        <v>15377</v>
      </c>
      <c r="L114" s="12" t="n">
        <v>10772</v>
      </c>
      <c r="M114" s="12" t="n">
        <v>0</v>
      </c>
      <c r="N114" s="12" t="n">
        <v>0</v>
      </c>
      <c r="W114" s="12" t="n">
        <v>3400</v>
      </c>
      <c r="X114" s="12" t="n">
        <v>10772</v>
      </c>
    </row>
    <row r="115">
      <c r="A115" s="9" t="inlineStr">
        <is>
          <t>중간이익</t>
        </is>
      </c>
      <c r="C115" s="12" t="n">
        <v>156070</v>
      </c>
      <c r="D115" s="12" t="n">
        <v>40778</v>
      </c>
      <c r="E115" s="12" t="n">
        <v>157766</v>
      </c>
      <c r="F115" s="12" t="n">
        <v>149360</v>
      </c>
      <c r="G115" s="12" t="n">
        <v>137417</v>
      </c>
      <c r="H115" s="12" t="n">
        <v>-261947</v>
      </c>
      <c r="I115" s="12" t="n">
        <v>158226</v>
      </c>
      <c r="J115" s="12" t="n">
        <v>163739</v>
      </c>
      <c r="K115" s="12" t="n">
        <v>192274</v>
      </c>
      <c r="L115" s="12" t="n">
        <v>-1025</v>
      </c>
      <c r="M115" s="12" t="n">
        <v>197243</v>
      </c>
      <c r="N115" s="12" t="n">
        <v>235938</v>
      </c>
      <c r="T115" s="12" t="n">
        <v>-104</v>
      </c>
      <c r="U115" s="12" t="n">
        <v>40244</v>
      </c>
      <c r="V115" s="12" t="n">
        <v>40778</v>
      </c>
      <c r="W115" s="12" t="n">
        <v>-261947</v>
      </c>
      <c r="X115" s="12" t="n">
        <v>-1025</v>
      </c>
    </row>
    <row r="116">
      <c r="A116" s="43" t="inlineStr">
        <is>
          <t>YoY</t>
        </is>
      </c>
      <c r="B116" s="3" t="inlineStr">
        <is>
          <t>전년 같은 분기·전년 대비</t>
        </is>
      </c>
      <c r="G116" s="15">
        <f>IF(OR(G115="",C115=""),"",IF(C115&lt;=0,"",IFERROR(G115/C115-1,"")))</f>
        <v/>
      </c>
      <c r="H116" s="15">
        <f>IF(OR(H115="",D115=""),"",IF(D115&lt;=0,"",IFERROR(H115/D115-1,"")))</f>
        <v/>
      </c>
      <c r="I116" s="15">
        <f>IF(OR(I115="",E115=""),"",IF(E115&lt;=0,"",IFERROR(I115/E115-1,"")))</f>
        <v/>
      </c>
      <c r="J116" s="15">
        <f>IF(OR(J115="",F115=""),"",IF(F115&lt;=0,"",IFERROR(J115/F115-1,"")))</f>
        <v/>
      </c>
      <c r="K116" s="15">
        <f>IF(OR(K115="",G115=""),"",IF(G115&lt;=0,"",IFERROR(K115/G115-1,"")))</f>
        <v/>
      </c>
      <c r="L116" s="15">
        <f>IF(OR(L115="",H115=""),"",IF(H115&lt;=0,"",IFERROR(L115/H115-1,"")))</f>
        <v/>
      </c>
      <c r="M116" s="15">
        <f>IF(OR(M115="",I115=""),"",IF(I115&lt;=0,"",IFERROR(M115/I115-1,"")))</f>
        <v/>
      </c>
      <c r="N116" s="15">
        <f>IF(OR(N115="",J115=""),"",IF(J115&lt;=0,"",IFERROR(N115/J115-1,"")))</f>
        <v/>
      </c>
      <c r="T116" s="15">
        <f>IF(OR(T115="",S115=""),"",IF(S115&lt;=0,"",IFERROR(T115/S115-1,"")))</f>
        <v/>
      </c>
      <c r="U116" s="15">
        <f>IF(OR(U115="",T115=""),"",IF(T115&lt;=0,"",IFERROR(U115/T115-1,"")))</f>
        <v/>
      </c>
      <c r="V116" s="15">
        <f>IF(OR(V115="",U115=""),"",IF(U115&lt;=0,"",IFERROR(V115/U115-1,"")))</f>
        <v/>
      </c>
      <c r="W116" s="15">
        <f>IF(OR(W115="",V115=""),"",IF(V115&lt;=0,"",IFERROR(W115/V115-1,"")))</f>
        <v/>
      </c>
      <c r="X116" s="15">
        <f>IF(OR(X115="",W115=""),"",IF(W115&lt;=0,"",IFERROR(X115/W115-1,"")))</f>
        <v/>
      </c>
    </row>
    <row r="117">
      <c r="A117" s="18" t="inlineStr">
        <is>
          <t>Continuing Operations Basic Earnings Loss Per Share</t>
        </is>
      </c>
      <c r="H117" s="20" t="n">
        <v>-0.00014975</v>
      </c>
      <c r="I117" s="20" t="n">
        <v>8.719e-05</v>
      </c>
      <c r="J117" s="20" t="n">
        <v>0.00010148</v>
      </c>
      <c r="K117" s="20" t="n">
        <v>9.939000000000001e-05</v>
      </c>
      <c r="L117" s="20" t="n">
        <v>-6.949999999999989e-06</v>
      </c>
      <c r="M117" s="20" t="n">
        <v>0.00011099</v>
      </c>
      <c r="N117" s="20" t="n">
        <v>0.00013225</v>
      </c>
      <c r="W117" s="20" t="n">
        <v>-0.00014975</v>
      </c>
      <c r="X117" s="20" t="n">
        <v>-6.949999999999989e-06</v>
      </c>
    </row>
    <row r="118">
      <c r="A118" s="18" t="inlineStr">
        <is>
          <t>Discontinued Operations Basic Earnings Loss Per Share</t>
        </is>
      </c>
      <c r="H118" s="20" t="n">
        <v>1.52e-06</v>
      </c>
      <c r="I118" s="20" t="n">
        <v>1.5e-06</v>
      </c>
      <c r="J118" s="20" t="n">
        <v>-9.980000000000001e-06</v>
      </c>
      <c r="K118" s="20" t="n">
        <v>8.66e-06</v>
      </c>
      <c r="L118" s="20" t="n">
        <v>6.07e-06</v>
      </c>
      <c r="M118" s="20" t="n">
        <v>0</v>
      </c>
      <c r="N118" s="20" t="n">
        <v>0</v>
      </c>
      <c r="W118" s="20" t="n">
        <v>1.52e-06</v>
      </c>
      <c r="X118" s="20" t="n">
        <v>6.07e-06</v>
      </c>
    </row>
    <row r="119">
      <c r="A119" s="18" t="inlineStr">
        <is>
          <t>Basic Earnings Loss Per Share</t>
        </is>
      </c>
      <c r="C119" s="20" t="n">
        <v>8.731e-05</v>
      </c>
      <c r="D119" s="20" t="n">
        <v>2.268000000000001e-05</v>
      </c>
      <c r="E119" s="20" t="n">
        <v>8.858e-05</v>
      </c>
      <c r="F119" s="20" t="n">
        <v>8.330999999999999e-05</v>
      </c>
      <c r="G119" s="20" t="n">
        <v>7.729000000000001e-05</v>
      </c>
      <c r="H119" s="20" t="n">
        <v>-0.00014823</v>
      </c>
      <c r="I119" s="20" t="n">
        <v>8.868999999999999e-05</v>
      </c>
      <c r="J119" s="20" t="n">
        <v>9.15e-05</v>
      </c>
      <c r="K119" s="20" t="n">
        <v>0.00010805</v>
      </c>
      <c r="L119" s="20" t="n">
        <v>-8.799999999999955e-07</v>
      </c>
      <c r="M119" s="20" t="n">
        <v>0.00011099</v>
      </c>
      <c r="N119" s="20" t="n">
        <v>0.00013225</v>
      </c>
      <c r="T119" s="20" t="n">
        <v>-1.899999999999977e-07</v>
      </c>
      <c r="U119" s="20" t="n">
        <v>2.191999999999999e-05</v>
      </c>
      <c r="V119" s="20" t="n">
        <v>2.268000000000001e-05</v>
      </c>
      <c r="W119" s="20" t="n">
        <v>-0.00014823</v>
      </c>
      <c r="X119" s="20" t="n">
        <v>-8.799999999999955e-07</v>
      </c>
    </row>
    <row r="120">
      <c r="A120" s="18" t="inlineStr">
        <is>
          <t>Continuing Operations Diluted Earnings Loss Per Share</t>
        </is>
      </c>
      <c r="H120" s="20" t="n">
        <v>-0.00014972</v>
      </c>
      <c r="I120" s="20" t="n">
        <v>8.718e-05</v>
      </c>
      <c r="J120" s="20" t="n">
        <v>0.00010146</v>
      </c>
      <c r="K120" s="20" t="n">
        <v>9.938999999999998e-05</v>
      </c>
      <c r="L120" s="20" t="n">
        <v>-6.949999999999989e-06</v>
      </c>
      <c r="M120" s="20" t="n">
        <v>0.00011097</v>
      </c>
      <c r="N120" s="20" t="n">
        <v>0.00013225</v>
      </c>
      <c r="W120" s="20" t="n">
        <v>-0.00014972</v>
      </c>
      <c r="X120" s="20" t="n">
        <v>-6.949999999999989e-06</v>
      </c>
    </row>
    <row r="121">
      <c r="A121" s="18" t="inlineStr">
        <is>
          <t>Discontinued Operations Diluted Earnings Loss Per Share</t>
        </is>
      </c>
      <c r="H121" s="20" t="n">
        <v>1.52e-06</v>
      </c>
      <c r="I121" s="20" t="n">
        <v>1.5e-06</v>
      </c>
      <c r="J121" s="20" t="n">
        <v>-9.980000000000001e-06</v>
      </c>
      <c r="K121" s="20" t="n">
        <v>8.66e-06</v>
      </c>
      <c r="L121" s="20" t="n">
        <v>6.07e-06</v>
      </c>
      <c r="M121" s="20" t="n">
        <v>0</v>
      </c>
      <c r="N121" s="20" t="n">
        <v>0</v>
      </c>
      <c r="W121" s="20" t="n">
        <v>1.52e-06</v>
      </c>
      <c r="X121" s="20" t="n">
        <v>6.07e-06</v>
      </c>
    </row>
    <row r="122">
      <c r="A122" s="18" t="inlineStr">
        <is>
          <t>Diluted Earnings Loss Per Share</t>
        </is>
      </c>
      <c r="C122" s="20" t="n">
        <v>8.729999999999998e-05</v>
      </c>
      <c r="D122" s="20" t="n">
        <v>2.268000000000001e-05</v>
      </c>
      <c r="E122" s="20" t="n">
        <v>8.856999999999999e-05</v>
      </c>
      <c r="F122" s="20" t="n">
        <v>8.329000000000002e-05</v>
      </c>
      <c r="G122" s="20" t="n">
        <v>7.727999999999998e-05</v>
      </c>
      <c r="H122" s="20" t="n">
        <v>-0.0001482</v>
      </c>
      <c r="I122" s="20" t="n">
        <v>8.868000000000001e-05</v>
      </c>
      <c r="J122" s="20" t="n">
        <v>9.148999999999998e-05</v>
      </c>
      <c r="K122" s="20" t="n">
        <v>0.00010804</v>
      </c>
      <c r="L122" s="20" t="n">
        <v>-8.799999999999955e-07</v>
      </c>
      <c r="M122" s="20" t="n">
        <v>0.00011097</v>
      </c>
      <c r="N122" s="20" t="n">
        <v>0.00013225</v>
      </c>
      <c r="T122" s="20" t="n">
        <v>-1.899999999999977e-07</v>
      </c>
      <c r="U122" s="20" t="n">
        <v>2.191000000000003e-05</v>
      </c>
      <c r="V122" s="20" t="n">
        <v>2.268000000000001e-05</v>
      </c>
      <c r="W122" s="20" t="n">
        <v>-0.0001482</v>
      </c>
      <c r="X122" s="20" t="n">
        <v>-8.799999999999955e-07</v>
      </c>
    </row>
    <row r="123">
      <c r="A123" s="9" t="inlineStr">
        <is>
          <t>지배기업 소유주</t>
        </is>
      </c>
      <c r="C123" s="12" t="n">
        <v>155001</v>
      </c>
      <c r="D123" s="12" t="n">
        <v>40278</v>
      </c>
      <c r="E123" s="12" t="n">
        <v>157266</v>
      </c>
      <c r="F123" s="12" t="n">
        <v>147906</v>
      </c>
      <c r="G123" s="12" t="n">
        <v>137242</v>
      </c>
      <c r="H123" s="12" t="n">
        <v>-263174</v>
      </c>
      <c r="I123" s="12" t="n">
        <v>157480</v>
      </c>
      <c r="J123" s="12" t="n">
        <v>162425</v>
      </c>
      <c r="K123" s="12" t="n">
        <v>191844</v>
      </c>
      <c r="L123" s="12" t="n">
        <v>-1574</v>
      </c>
      <c r="M123" s="12" t="n">
        <v>197041</v>
      </c>
      <c r="N123" s="12" t="n">
        <v>234788</v>
      </c>
      <c r="T123" s="12" t="n">
        <v>-323</v>
      </c>
      <c r="U123" s="12" t="n">
        <v>38909</v>
      </c>
      <c r="V123" s="12" t="n">
        <v>40278</v>
      </c>
      <c r="W123" s="12" t="n">
        <v>-263174</v>
      </c>
      <c r="X123" s="12" t="n">
        <v>-1574</v>
      </c>
    </row>
    <row r="124">
      <c r="A124" s="43" t="inlineStr">
        <is>
          <t>YoY</t>
        </is>
      </c>
      <c r="B124" s="3" t="inlineStr">
        <is>
          <t>전년 같은 분기·전년 대비</t>
        </is>
      </c>
      <c r="G124" s="15">
        <f>IF(OR(G123="",C123=""),"",IF(C123&lt;=0,"",IFERROR(G123/C123-1,"")))</f>
        <v/>
      </c>
      <c r="H124" s="15">
        <f>IF(OR(H123="",D123=""),"",IF(D123&lt;=0,"",IFERROR(H123/D123-1,"")))</f>
        <v/>
      </c>
      <c r="I124" s="15">
        <f>IF(OR(I123="",E123=""),"",IF(E123&lt;=0,"",IFERROR(I123/E123-1,"")))</f>
        <v/>
      </c>
      <c r="J124" s="15">
        <f>IF(OR(J123="",F123=""),"",IF(F123&lt;=0,"",IFERROR(J123/F123-1,"")))</f>
        <v/>
      </c>
      <c r="K124" s="15">
        <f>IF(OR(K123="",G123=""),"",IF(G123&lt;=0,"",IFERROR(K123/G123-1,"")))</f>
        <v/>
      </c>
      <c r="L124" s="15">
        <f>IF(OR(L123="",H123=""),"",IF(H123&lt;=0,"",IFERROR(L123/H123-1,"")))</f>
        <v/>
      </c>
      <c r="M124" s="15">
        <f>IF(OR(M123="",I123=""),"",IF(I123&lt;=0,"",IFERROR(M123/I123-1,"")))</f>
        <v/>
      </c>
      <c r="N124" s="15">
        <f>IF(OR(N123="",J123=""),"",IF(J123&lt;=0,"",IFERROR(N123/J123-1,"")))</f>
        <v/>
      </c>
      <c r="T124" s="15">
        <f>IF(OR(T123="",S123=""),"",IF(S123&lt;=0,"",IFERROR(T123/S123-1,"")))</f>
        <v/>
      </c>
      <c r="U124" s="15">
        <f>IF(OR(U123="",T123=""),"",IF(T123&lt;=0,"",IFERROR(U123/T123-1,"")))</f>
        <v/>
      </c>
      <c r="V124" s="15">
        <f>IF(OR(V123="",U123=""),"",IF(U123&lt;=0,"",IFERROR(V123/U123-1,"")))</f>
        <v/>
      </c>
      <c r="W124" s="15">
        <f>IF(OR(W123="",V123=""),"",IF(V123&lt;=0,"",IFERROR(W123/V123-1,"")))</f>
        <v/>
      </c>
      <c r="X124" s="15">
        <f>IF(OR(X123="",W123=""),"",IF(W123&lt;=0,"",IFERROR(X123/W123-1,"")))</f>
        <v/>
      </c>
    </row>
    <row r="125">
      <c r="A125" s="9" t="inlineStr">
        <is>
          <t>비지배지분</t>
        </is>
      </c>
      <c r="C125" s="12" t="n">
        <v>1068</v>
      </c>
      <c r="D125" s="12" t="n">
        <v>500</v>
      </c>
      <c r="E125" s="12" t="n">
        <v>501</v>
      </c>
      <c r="F125" s="12" t="n">
        <v>1453</v>
      </c>
      <c r="G125" s="12" t="n">
        <v>175</v>
      </c>
      <c r="H125" s="12" t="n">
        <v>1227</v>
      </c>
      <c r="I125" s="12" t="n">
        <v>746</v>
      </c>
      <c r="J125" s="12" t="n">
        <v>1314</v>
      </c>
      <c r="K125" s="12" t="n">
        <v>430</v>
      </c>
      <c r="L125" s="12" t="n">
        <v>549</v>
      </c>
      <c r="M125" s="12" t="n">
        <v>202</v>
      </c>
      <c r="N125" s="12" t="n">
        <v>1150</v>
      </c>
      <c r="T125" s="12" t="n">
        <v>219</v>
      </c>
      <c r="U125" s="12" t="n">
        <v>1335</v>
      </c>
      <c r="V125" s="12" t="n">
        <v>500</v>
      </c>
      <c r="W125" s="12" t="n">
        <v>1227</v>
      </c>
      <c r="X125" s="12" t="n">
        <v>549</v>
      </c>
    </row>
    <row r="127">
      <c r="A127" s="16" t="inlineStr">
        <is>
          <t>포괄손익 · 전 항목</t>
        </is>
      </c>
      <c r="B127" s="42" t="inlineStr">
        <is>
          <t>분기 = 3개월 단독</t>
        </is>
      </c>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row>
    <row r="128">
      <c r="A128" s="5" t="inlineStr">
        <is>
          <t>항목</t>
        </is>
      </c>
      <c r="B128" s="5" t="inlineStr">
        <is>
          <t>참고</t>
        </is>
      </c>
      <c r="C128" s="5" t="inlineStr">
        <is>
          <t>2023.3Q</t>
        </is>
      </c>
      <c r="D128" s="5" t="inlineStr">
        <is>
          <t>2023.4Q</t>
        </is>
      </c>
      <c r="E128" s="5" t="inlineStr">
        <is>
          <t>2024.1Q</t>
        </is>
      </c>
      <c r="F128" s="5" t="inlineStr">
        <is>
          <t>2024.2Q</t>
        </is>
      </c>
      <c r="G128" s="5" t="inlineStr">
        <is>
          <t>2024.3Q</t>
        </is>
      </c>
      <c r="H128" s="5" t="inlineStr">
        <is>
          <t>2024.4Q</t>
        </is>
      </c>
      <c r="I128" s="5" t="inlineStr">
        <is>
          <t>2025.1Q</t>
        </is>
      </c>
      <c r="J128" s="5" t="inlineStr">
        <is>
          <t>2025.2Q</t>
        </is>
      </c>
      <c r="K128" s="5" t="inlineStr">
        <is>
          <t>2025.3Q</t>
        </is>
      </c>
      <c r="L128" s="5" t="inlineStr">
        <is>
          <t>2025.4Q</t>
        </is>
      </c>
      <c r="M128" s="5" t="inlineStr">
        <is>
          <t>2026.1Q</t>
        </is>
      </c>
      <c r="N128" s="5" t="inlineStr">
        <is>
          <t>2026.2Q</t>
        </is>
      </c>
      <c r="O128" s="5" t="inlineStr">
        <is>
          <t>2016</t>
        </is>
      </c>
      <c r="P128" s="5" t="inlineStr">
        <is>
          <t>2017</t>
        </is>
      </c>
      <c r="Q128" s="5" t="inlineStr">
        <is>
          <t>2018</t>
        </is>
      </c>
      <c r="R128" s="5" t="inlineStr">
        <is>
          <t>2019</t>
        </is>
      </c>
      <c r="S128" s="5" t="inlineStr">
        <is>
          <t>2020</t>
        </is>
      </c>
      <c r="T128" s="5" t="inlineStr">
        <is>
          <t>2021</t>
        </is>
      </c>
      <c r="U128" s="5" t="inlineStr">
        <is>
          <t>2022</t>
        </is>
      </c>
      <c r="V128" s="5" t="inlineStr">
        <is>
          <t>2023</t>
        </is>
      </c>
      <c r="W128" s="5" t="inlineStr">
        <is>
          <t>2024</t>
        </is>
      </c>
      <c r="X128" s="5" t="inlineStr">
        <is>
          <t>2025</t>
        </is>
      </c>
      <c r="Y128" s="5" t="inlineStr">
        <is>
          <t>2026(MW)</t>
        </is>
      </c>
      <c r="Z128" s="5" t="inlineStr">
        <is>
          <t>2027(MW)</t>
        </is>
      </c>
      <c r="AA128" s="5" t="inlineStr">
        <is>
          <t>2028(MW)</t>
        </is>
      </c>
      <c r="AB128" s="5" t="inlineStr">
        <is>
          <t>2029(MW)</t>
        </is>
      </c>
      <c r="AC128" s="5" t="inlineStr">
        <is>
          <t>2030(MW)</t>
        </is>
      </c>
    </row>
    <row r="129">
      <c r="A129" s="9" t="inlineStr">
        <is>
          <t>중간이익</t>
        </is>
      </c>
      <c r="C129" s="12" t="n">
        <v>156070</v>
      </c>
      <c r="D129" s="12" t="n">
        <v>40778</v>
      </c>
      <c r="E129" s="12" t="n">
        <v>157766</v>
      </c>
      <c r="F129" s="12" t="n">
        <v>149360</v>
      </c>
      <c r="G129" s="12" t="n">
        <v>137417</v>
      </c>
      <c r="H129" s="12" t="n">
        <v>-261947</v>
      </c>
      <c r="I129" s="12" t="n">
        <v>158226</v>
      </c>
      <c r="J129" s="12" t="n">
        <v>163739</v>
      </c>
      <c r="K129" s="12" t="n">
        <v>192274</v>
      </c>
      <c r="L129" s="12" t="n">
        <v>-1025</v>
      </c>
      <c r="M129" s="12" t="n">
        <v>197243</v>
      </c>
      <c r="N129" s="12" t="n">
        <v>235938</v>
      </c>
      <c r="T129" s="12" t="n">
        <v>-104</v>
      </c>
      <c r="U129" s="12" t="n">
        <v>40244</v>
      </c>
      <c r="V129" s="12" t="n">
        <v>40778</v>
      </c>
      <c r="W129" s="12" t="n">
        <v>-261947</v>
      </c>
      <c r="X129" s="12" t="n">
        <v>-1025</v>
      </c>
    </row>
    <row r="130">
      <c r="A130" s="18" t="inlineStr">
        <is>
          <t>Net Change In Fair Value Of Equity Instruments Designated As Measured At Fair Value Through Other Comprehensive Income Net Of Tax Items That Will Not Be Reclassified To Profit Or Loss OCI</t>
        </is>
      </c>
      <c r="C130" s="20" t="n">
        <v>441</v>
      </c>
      <c r="D130" s="20" t="n">
        <v>-223</v>
      </c>
      <c r="E130" s="20" t="n">
        <v>1220</v>
      </c>
      <c r="F130" s="20" t="n">
        <v>816</v>
      </c>
      <c r="G130" s="20" t="n">
        <v>-395</v>
      </c>
      <c r="H130" s="20" t="n">
        <v>698</v>
      </c>
      <c r="I130" s="20" t="n">
        <v>-1259</v>
      </c>
      <c r="J130" s="20" t="n">
        <v>1174</v>
      </c>
      <c r="K130" s="20" t="n">
        <v>491</v>
      </c>
      <c r="L130" s="20" t="n">
        <v>531</v>
      </c>
      <c r="M130" s="20" t="n">
        <v>358</v>
      </c>
      <c r="N130" s="20" t="n">
        <v>-620</v>
      </c>
      <c r="T130" s="20" t="n">
        <v>-1773</v>
      </c>
      <c r="U130" s="20" t="n">
        <v>168</v>
      </c>
      <c r="V130" s="20" t="n">
        <v>-223</v>
      </c>
      <c r="W130" s="20" t="n">
        <v>698</v>
      </c>
      <c r="X130" s="20" t="n">
        <v>531</v>
      </c>
    </row>
    <row r="131">
      <c r="A131" s="18" t="inlineStr">
        <is>
          <t>Remeasurements Of Defined Benefit Plans Net Of Tax Items That Will Not Be Reclassified To Profit Or Loss OCI</t>
        </is>
      </c>
      <c r="C131" s="20" t="n">
        <v>0</v>
      </c>
      <c r="D131" s="20" t="n">
        <v>-13538</v>
      </c>
      <c r="E131" s="20" t="n">
        <v>0</v>
      </c>
      <c r="F131" s="20" t="n">
        <v>16360</v>
      </c>
      <c r="G131" s="20" t="n">
        <v>0</v>
      </c>
      <c r="H131" s="20" t="n">
        <v>-2362</v>
      </c>
      <c r="I131" s="20" t="n">
        <v>180</v>
      </c>
      <c r="J131" s="20" t="n">
        <v>5</v>
      </c>
      <c r="K131" s="20" t="n">
        <v>0</v>
      </c>
      <c r="L131" s="20" t="n">
        <v>21986</v>
      </c>
      <c r="M131" s="20" t="n">
        <v>0</v>
      </c>
      <c r="N131" s="20" t="n">
        <v>0</v>
      </c>
      <c r="T131" s="20" t="n">
        <v>-18020</v>
      </c>
      <c r="U131" s="20" t="n">
        <v>8079</v>
      </c>
      <c r="V131" s="20" t="n">
        <v>-13538</v>
      </c>
      <c r="W131" s="20" t="n">
        <v>-2362</v>
      </c>
      <c r="X131" s="20" t="n">
        <v>21986</v>
      </c>
    </row>
    <row r="132">
      <c r="A132" s="18" t="inlineStr">
        <is>
          <t>Total Of Items That Will Not Be Reclassified To Profit Or Loss OCI</t>
        </is>
      </c>
      <c r="C132" s="20" t="n">
        <v>441</v>
      </c>
      <c r="D132" s="20" t="n">
        <v>-13760</v>
      </c>
      <c r="E132" s="20" t="n">
        <v>1220</v>
      </c>
      <c r="F132" s="20" t="n">
        <v>17176</v>
      </c>
      <c r="G132" s="20" t="n">
        <v>-395</v>
      </c>
      <c r="H132" s="20" t="n">
        <v>-1664</v>
      </c>
      <c r="I132" s="20" t="n">
        <v>-1079</v>
      </c>
      <c r="J132" s="20" t="n">
        <v>1179</v>
      </c>
      <c r="K132" s="20" t="n">
        <v>490</v>
      </c>
      <c r="L132" s="20" t="n">
        <v>22519</v>
      </c>
      <c r="M132" s="20" t="n">
        <v>358</v>
      </c>
      <c r="N132" s="20" t="n">
        <v>-620</v>
      </c>
      <c r="T132" s="20" t="n">
        <v>-19795</v>
      </c>
      <c r="U132" s="20" t="n">
        <v>8247</v>
      </c>
      <c r="V132" s="20" t="n">
        <v>-13760</v>
      </c>
      <c r="W132" s="20" t="n">
        <v>-1664</v>
      </c>
      <c r="X132" s="20" t="n">
        <v>22519</v>
      </c>
    </row>
    <row r="133">
      <c r="A133" s="18" t="inlineStr">
        <is>
          <t>해외사업 환산차액</t>
        </is>
      </c>
      <c r="C133" s="20" t="n">
        <v>61260</v>
      </c>
      <c r="D133" s="20" t="n">
        <v>-117721</v>
      </c>
      <c r="E133" s="20" t="n">
        <v>183361</v>
      </c>
      <c r="F133" s="20" t="n">
        <v>287994</v>
      </c>
      <c r="G133" s="20" t="n">
        <v>-516818</v>
      </c>
      <c r="H133" s="20" t="n">
        <v>139315</v>
      </c>
      <c r="I133" s="20" t="n">
        <v>35339</v>
      </c>
      <c r="J133" s="20" t="n">
        <v>115076</v>
      </c>
      <c r="K133" s="20" t="n">
        <v>72776</v>
      </c>
      <c r="L133" s="20" t="n">
        <v>-73023</v>
      </c>
      <c r="M133" s="20" t="n">
        <v>29259</v>
      </c>
      <c r="N133" s="20" t="n">
        <v>72830</v>
      </c>
      <c r="T133" s="20" t="n">
        <v>39365</v>
      </c>
      <c r="U133" s="20" t="n">
        <v>-289788</v>
      </c>
      <c r="V133" s="20" t="n">
        <v>-117721</v>
      </c>
      <c r="W133" s="20" t="n">
        <v>139315</v>
      </c>
      <c r="X133" s="20" t="n">
        <v>-73023</v>
      </c>
    </row>
    <row r="134">
      <c r="A134" s="18" t="inlineStr">
        <is>
          <t>Effective Portion Of Cash Flow Hedges Net Of Tax Items That May Be Reclassified To Profit Or Loss OCI</t>
        </is>
      </c>
      <c r="C134" s="20" t="n">
        <v>4075</v>
      </c>
      <c r="D134" s="20" t="n">
        <v>1880</v>
      </c>
      <c r="E134" s="20" t="n">
        <v>-3104</v>
      </c>
      <c r="F134" s="20" t="n">
        <v>-1735</v>
      </c>
      <c r="G134" s="20" t="n">
        <v>794</v>
      </c>
      <c r="H134" s="20" t="n">
        <v>-156</v>
      </c>
      <c r="I134" s="20" t="n">
        <v>-2970</v>
      </c>
      <c r="J134" s="20" t="n">
        <v>-1706</v>
      </c>
      <c r="K134" s="20" t="n">
        <v>4181</v>
      </c>
      <c r="L134" s="20" t="n">
        <v>417</v>
      </c>
      <c r="M134" s="20" t="n">
        <v>6297</v>
      </c>
      <c r="N134" s="20" t="n">
        <v>2628</v>
      </c>
      <c r="T134" s="20" t="n">
        <v>11</v>
      </c>
      <c r="U134" s="20" t="n">
        <v>-8221</v>
      </c>
      <c r="V134" s="20" t="n">
        <v>1880</v>
      </c>
      <c r="W134" s="20" t="n">
        <v>-156</v>
      </c>
      <c r="X134" s="20" t="n">
        <v>417</v>
      </c>
    </row>
    <row r="135">
      <c r="A135" s="18" t="inlineStr">
        <is>
          <t>Hedge Costs Net Of Tax Items That May Be Reclassified To Profit Or Loss OCI</t>
        </is>
      </c>
      <c r="C135" s="20" t="n">
        <v>0</v>
      </c>
      <c r="D135" s="20" t="n">
        <v>-17</v>
      </c>
      <c r="E135" s="20" t="n">
        <v>-229</v>
      </c>
      <c r="F135" s="20" t="n">
        <v>107</v>
      </c>
      <c r="G135" s="20" t="n">
        <v>87</v>
      </c>
      <c r="H135" s="20" t="n">
        <v>64</v>
      </c>
      <c r="I135" s="20" t="n">
        <v>0</v>
      </c>
      <c r="J135" s="20" t="n">
        <v>-14</v>
      </c>
      <c r="K135" s="20" t="n">
        <v>0</v>
      </c>
      <c r="L135" s="20" t="n">
        <v>19</v>
      </c>
      <c r="M135" s="20" t="n">
        <v>-283</v>
      </c>
      <c r="N135" s="20" t="n">
        <v>-359</v>
      </c>
      <c r="V135" s="20" t="n">
        <v>-17</v>
      </c>
      <c r="W135" s="20" t="n">
        <v>64</v>
      </c>
      <c r="X135" s="20" t="n">
        <v>19</v>
      </c>
    </row>
    <row r="136">
      <c r="A136" s="18" t="inlineStr">
        <is>
          <t>Total Of Items That May Be Reclassified To Profit Or Loss OCI</t>
        </is>
      </c>
      <c r="C136" s="20" t="n">
        <v>65335</v>
      </c>
      <c r="D136" s="20" t="n">
        <v>-115858</v>
      </c>
      <c r="E136" s="20" t="n">
        <v>180028</v>
      </c>
      <c r="F136" s="20" t="n">
        <v>286367</v>
      </c>
      <c r="G136" s="20" t="n">
        <v>-515938</v>
      </c>
      <c r="H136" s="20" t="n">
        <v>139223</v>
      </c>
      <c r="I136" s="20" t="n">
        <v>32369</v>
      </c>
      <c r="J136" s="20" t="n">
        <v>113357</v>
      </c>
      <c r="K136" s="20" t="n">
        <v>76956</v>
      </c>
      <c r="L136" s="20" t="n">
        <v>-72587</v>
      </c>
      <c r="M136" s="20" t="n">
        <v>35273</v>
      </c>
      <c r="N136" s="20" t="n">
        <v>75100</v>
      </c>
      <c r="T136" s="20" t="n">
        <v>39376</v>
      </c>
      <c r="U136" s="20" t="n">
        <v>-298009</v>
      </c>
      <c r="V136" s="20" t="n">
        <v>-115858</v>
      </c>
      <c r="W136" s="20" t="n">
        <v>139223</v>
      </c>
      <c r="X136" s="20" t="n">
        <v>-72587</v>
      </c>
    </row>
    <row r="137">
      <c r="A137" s="18" t="inlineStr">
        <is>
          <t>세후 기타포괄이익</t>
        </is>
      </c>
      <c r="C137" s="20" t="n">
        <v>65776</v>
      </c>
      <c r="D137" s="20" t="n">
        <v>-129618</v>
      </c>
      <c r="E137" s="20" t="n">
        <v>181248</v>
      </c>
      <c r="F137" s="20" t="n">
        <v>303543</v>
      </c>
      <c r="G137" s="20" t="n">
        <v>-516333</v>
      </c>
      <c r="H137" s="20" t="n">
        <v>137559</v>
      </c>
      <c r="I137" s="20" t="n">
        <v>31290</v>
      </c>
      <c r="J137" s="20" t="n">
        <v>114536</v>
      </c>
      <c r="K137" s="20" t="n">
        <v>77447</v>
      </c>
      <c r="L137" s="20" t="n">
        <v>-50069</v>
      </c>
      <c r="M137" s="20" t="n">
        <v>35631</v>
      </c>
      <c r="N137" s="20" t="n">
        <v>74480</v>
      </c>
      <c r="T137" s="20" t="n">
        <v>19581</v>
      </c>
      <c r="U137" s="20" t="n">
        <v>-289762</v>
      </c>
      <c r="V137" s="20" t="n">
        <v>-129618</v>
      </c>
      <c r="W137" s="20" t="n">
        <v>137559</v>
      </c>
      <c r="X137" s="20" t="n">
        <v>-50069</v>
      </c>
    </row>
    <row r="138">
      <c r="A138" s="9" t="inlineStr">
        <is>
          <t>포괄이익</t>
        </is>
      </c>
      <c r="C138" s="12" t="n">
        <v>221846</v>
      </c>
      <c r="D138" s="12" t="n">
        <v>-88841</v>
      </c>
      <c r="E138" s="12" t="n">
        <v>339015</v>
      </c>
      <c r="F138" s="12" t="n">
        <v>452902</v>
      </c>
      <c r="G138" s="12" t="n">
        <v>-378917</v>
      </c>
      <c r="H138" s="12" t="n">
        <v>-124388</v>
      </c>
      <c r="I138" s="12" t="n">
        <v>189516</v>
      </c>
      <c r="J138" s="12" t="n">
        <v>278275</v>
      </c>
      <c r="K138" s="12" t="n">
        <v>269721</v>
      </c>
      <c r="L138" s="12" t="n">
        <v>-51094</v>
      </c>
      <c r="M138" s="12" t="n">
        <v>232875</v>
      </c>
      <c r="N138" s="12" t="n">
        <v>310417</v>
      </c>
      <c r="T138" s="12" t="n">
        <v>19477</v>
      </c>
      <c r="U138" s="12" t="n">
        <v>-249518</v>
      </c>
      <c r="V138" s="12" t="n">
        <v>-88841</v>
      </c>
      <c r="W138" s="12" t="n">
        <v>-124388</v>
      </c>
      <c r="X138" s="12" t="n">
        <v>-51094</v>
      </c>
    </row>
    <row r="139">
      <c r="A139" s="9" t="inlineStr">
        <is>
          <t>지배기업 소유주</t>
        </is>
      </c>
      <c r="C139" s="12" t="n">
        <v>220279</v>
      </c>
      <c r="D139" s="12" t="n">
        <v>-88959</v>
      </c>
      <c r="E139" s="12" t="n">
        <v>337642</v>
      </c>
      <c r="F139" s="12" t="n">
        <v>450757</v>
      </c>
      <c r="G139" s="12" t="n">
        <v>-376602</v>
      </c>
      <c r="H139" s="12" t="n">
        <v>-126343</v>
      </c>
      <c r="I139" s="12" t="n">
        <v>189150</v>
      </c>
      <c r="J139" s="12" t="n">
        <v>276891</v>
      </c>
      <c r="K139" s="12" t="n">
        <v>268926</v>
      </c>
      <c r="L139" s="12" t="n">
        <v>-52494</v>
      </c>
      <c r="M139" s="12" t="n">
        <v>232767</v>
      </c>
      <c r="N139" s="12" t="n">
        <v>309321</v>
      </c>
      <c r="T139" s="12" t="n">
        <v>19152</v>
      </c>
      <c r="U139" s="12" t="n">
        <v>-249373</v>
      </c>
      <c r="V139" s="12" t="n">
        <v>-88959</v>
      </c>
      <c r="W139" s="12" t="n">
        <v>-126343</v>
      </c>
      <c r="X139" s="12" t="n">
        <v>-52494</v>
      </c>
    </row>
    <row r="140">
      <c r="A140" s="9" t="inlineStr">
        <is>
          <t>비지배지분</t>
        </is>
      </c>
      <c r="C140" s="12" t="n">
        <v>1567</v>
      </c>
      <c r="D140" s="12" t="n">
        <v>118</v>
      </c>
      <c r="E140" s="12" t="n">
        <v>1373</v>
      </c>
      <c r="F140" s="12" t="n">
        <v>2146</v>
      </c>
      <c r="G140" s="12" t="n">
        <v>-2316</v>
      </c>
      <c r="H140" s="12" t="n">
        <v>1956</v>
      </c>
      <c r="I140" s="12" t="n">
        <v>366</v>
      </c>
      <c r="J140" s="12" t="n">
        <v>1384</v>
      </c>
      <c r="K140" s="12" t="n">
        <v>794</v>
      </c>
      <c r="L140" s="12" t="n">
        <v>1401</v>
      </c>
      <c r="M140" s="12" t="n">
        <v>107</v>
      </c>
      <c r="N140" s="12" t="n">
        <v>1097</v>
      </c>
      <c r="T140" s="12" t="n">
        <v>325</v>
      </c>
      <c r="U140" s="12" t="n">
        <v>-145</v>
      </c>
      <c r="V140" s="12" t="n">
        <v>118</v>
      </c>
      <c r="W140" s="12" t="n">
        <v>1956</v>
      </c>
      <c r="X140" s="12" t="n">
        <v>1401</v>
      </c>
    </row>
    <row r="142">
      <c r="A142" s="16" t="inlineStr">
        <is>
          <t>부문 · 전 항목</t>
        </is>
      </c>
      <c r="B142" s="42" t="inlineStr">
        <is>
          <t>부문 · 항목</t>
        </is>
      </c>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row>
    <row r="143">
      <c r="A143" s="5" t="inlineStr">
        <is>
          <t>항목</t>
        </is>
      </c>
      <c r="B143" s="5" t="inlineStr">
        <is>
          <t>참고</t>
        </is>
      </c>
      <c r="C143" s="5" t="inlineStr">
        <is>
          <t>2023.3Q</t>
        </is>
      </c>
      <c r="D143" s="5" t="inlineStr">
        <is>
          <t>2023.4Q</t>
        </is>
      </c>
      <c r="E143" s="5" t="inlineStr">
        <is>
          <t>2024.1Q</t>
        </is>
      </c>
      <c r="F143" s="5" t="inlineStr">
        <is>
          <t>2024.2Q</t>
        </is>
      </c>
      <c r="G143" s="5" t="inlineStr">
        <is>
          <t>2024.3Q</t>
        </is>
      </c>
      <c r="H143" s="5" t="inlineStr">
        <is>
          <t>2024.4Q</t>
        </is>
      </c>
      <c r="I143" s="5" t="inlineStr">
        <is>
          <t>2025.1Q</t>
        </is>
      </c>
      <c r="J143" s="5" t="inlineStr">
        <is>
          <t>2025.2Q</t>
        </is>
      </c>
      <c r="K143" s="5" t="inlineStr">
        <is>
          <t>2025.3Q</t>
        </is>
      </c>
      <c r="L143" s="5" t="inlineStr">
        <is>
          <t>2025.4Q</t>
        </is>
      </c>
      <c r="M143" s="5" t="inlineStr">
        <is>
          <t>2026.1Q</t>
        </is>
      </c>
      <c r="N143" s="5" t="inlineStr">
        <is>
          <t>2026.2Q</t>
        </is>
      </c>
      <c r="O143" s="5" t="inlineStr">
        <is>
          <t>2016</t>
        </is>
      </c>
      <c r="P143" s="5" t="inlineStr">
        <is>
          <t>2017</t>
        </is>
      </c>
      <c r="Q143" s="5" t="inlineStr">
        <is>
          <t>2018</t>
        </is>
      </c>
      <c r="R143" s="5" t="inlineStr">
        <is>
          <t>2019</t>
        </is>
      </c>
      <c r="S143" s="5" t="inlineStr">
        <is>
          <t>2020</t>
        </is>
      </c>
      <c r="T143" s="5" t="inlineStr">
        <is>
          <t>2021</t>
        </is>
      </c>
      <c r="U143" s="5" t="inlineStr">
        <is>
          <t>2022</t>
        </is>
      </c>
      <c r="V143" s="5" t="inlineStr">
        <is>
          <t>2023</t>
        </is>
      </c>
      <c r="W143" s="5" t="inlineStr">
        <is>
          <t>2024</t>
        </is>
      </c>
      <c r="X143" s="5" t="inlineStr">
        <is>
          <t>2025</t>
        </is>
      </c>
      <c r="Y143" s="5" t="inlineStr">
        <is>
          <t>2026(MW)</t>
        </is>
      </c>
      <c r="Z143" s="5" t="inlineStr">
        <is>
          <t>2027(MW)</t>
        </is>
      </c>
      <c r="AA143" s="5" t="inlineStr">
        <is>
          <t>2028(MW)</t>
        </is>
      </c>
      <c r="AB143" s="5" t="inlineStr">
        <is>
          <t>2029(MW)</t>
        </is>
      </c>
      <c r="AC143" s="5" t="inlineStr">
        <is>
          <t>2030(MW)</t>
        </is>
      </c>
    </row>
    <row r="144">
      <c r="A144" s="18" t="inlineStr">
        <is>
          <t>부문 · Revenue From External Customers</t>
        </is>
      </c>
      <c r="C144" s="20" t="n">
        <v>703487</v>
      </c>
      <c r="D144" s="20" t="n">
        <v>616375</v>
      </c>
      <c r="E144" s="20" t="n">
        <v>680981</v>
      </c>
      <c r="F144" s="20" t="n">
        <v>770379</v>
      </c>
      <c r="G144" s="20" t="n">
        <v>760667</v>
      </c>
      <c r="H144" s="20" t="n">
        <v>684957</v>
      </c>
      <c r="I144" s="20" t="n">
        <v>764807</v>
      </c>
      <c r="J144" s="20" t="n">
        <v>843972</v>
      </c>
      <c r="K144" s="20" t="n">
        <v>908080</v>
      </c>
      <c r="L144" s="20" t="n">
        <v>788548</v>
      </c>
      <c r="M144" s="20" t="n">
        <v>885554</v>
      </c>
      <c r="N144" s="20" t="n">
        <v>1020039</v>
      </c>
      <c r="V144" s="20" t="n">
        <v>616375</v>
      </c>
      <c r="W144" s="20" t="n">
        <v>684957</v>
      </c>
      <c r="X144" s="20" t="n">
        <v>788548</v>
      </c>
    </row>
    <row r="145">
      <c r="A145" s="43" t="inlineStr">
        <is>
          <t>YoY</t>
        </is>
      </c>
      <c r="B145" s="3" t="inlineStr">
        <is>
          <t>전년 같은 분기·전년 대비</t>
        </is>
      </c>
      <c r="G145" s="15">
        <f>IF(OR(G144="",C144=""),"",IF(C144&lt;=0,"",IFERROR(G144/C144-1,"")))</f>
        <v/>
      </c>
      <c r="H145" s="15">
        <f>IF(OR(H144="",D144=""),"",IF(D144&lt;=0,"",IFERROR(H144/D144-1,"")))</f>
        <v/>
      </c>
      <c r="I145" s="15">
        <f>IF(OR(I144="",E144=""),"",IF(E144&lt;=0,"",IFERROR(I144/E144-1,"")))</f>
        <v/>
      </c>
      <c r="J145" s="15">
        <f>IF(OR(J144="",F144=""),"",IF(F144&lt;=0,"",IFERROR(J144/F144-1,"")))</f>
        <v/>
      </c>
      <c r="K145" s="15">
        <f>IF(OR(K144="",G144=""),"",IF(G144&lt;=0,"",IFERROR(K144/G144-1,"")))</f>
        <v/>
      </c>
      <c r="L145" s="15">
        <f>IF(OR(L144="",H144=""),"",IF(H144&lt;=0,"",IFERROR(L144/H144-1,"")))</f>
        <v/>
      </c>
      <c r="M145" s="15">
        <f>IF(OR(M144="",I144=""),"",IF(I144&lt;=0,"",IFERROR(M144/I144-1,"")))</f>
        <v/>
      </c>
      <c r="N145" s="15">
        <f>IF(OR(N144="",J144=""),"",IF(J144&lt;=0,"",IFERROR(N144/J144-1,"")))</f>
        <v/>
      </c>
      <c r="V145" s="15">
        <f>IF(OR(V144="",U144=""),"",IF(U144&lt;=0,"",IFERROR(V144/U144-1,"")))</f>
        <v/>
      </c>
      <c r="W145" s="15">
        <f>IF(OR(W144="",V144=""),"",IF(V144&lt;=0,"",IFERROR(W144/V144-1,"")))</f>
        <v/>
      </c>
      <c r="X145" s="15">
        <f>IF(OR(X144="",W144=""),"",IF(W144&lt;=0,"",IFERROR(X144/W144-1,"")))</f>
        <v/>
      </c>
    </row>
    <row r="146">
      <c r="A146" s="18" t="inlineStr">
        <is>
          <t>부문 · Revenue From External Customers</t>
        </is>
      </c>
      <c r="C146" s="20" t="n">
        <v>22147</v>
      </c>
      <c r="D146" s="20" t="n">
        <v>25076</v>
      </c>
      <c r="E146" s="20" t="n">
        <v>23341</v>
      </c>
      <c r="F146" s="20" t="n">
        <v>20718</v>
      </c>
      <c r="G146" s="20" t="n">
        <v>22990</v>
      </c>
      <c r="H146" s="20" t="n">
        <v>27415</v>
      </c>
      <c r="I146" s="20" t="n">
        <v>25388</v>
      </c>
      <c r="J146" s="20" t="n">
        <v>22943</v>
      </c>
      <c r="V146" s="20" t="n">
        <v>25076</v>
      </c>
      <c r="W146" s="20" t="n">
        <v>27415</v>
      </c>
    </row>
    <row r="147">
      <c r="A147" s="43" t="inlineStr">
        <is>
          <t>YoY</t>
        </is>
      </c>
      <c r="B147" s="3" t="inlineStr">
        <is>
          <t>전년 같은 분기·전년 대비</t>
        </is>
      </c>
      <c r="G147" s="15">
        <f>IF(OR(G146="",C146=""),"",IF(C146&lt;=0,"",IFERROR(G146/C146-1,"")))</f>
        <v/>
      </c>
      <c r="H147" s="15">
        <f>IF(OR(H146="",D146=""),"",IF(D146&lt;=0,"",IFERROR(H146/D146-1,"")))</f>
        <v/>
      </c>
      <c r="I147" s="15">
        <f>IF(OR(I146="",E146=""),"",IF(E146&lt;=0,"",IFERROR(I146/E146-1,"")))</f>
        <v/>
      </c>
      <c r="J147" s="15">
        <f>IF(OR(J146="",F146=""),"",IF(F146&lt;=0,"",IFERROR(J146/F146-1,"")))</f>
        <v/>
      </c>
      <c r="V147" s="15">
        <f>IF(OR(V146="",U146=""),"",IF(U146&lt;=0,"",IFERROR(V146/U146-1,"")))</f>
        <v/>
      </c>
      <c r="W147" s="15">
        <f>IF(OR(W146="",V146=""),"",IF(V146&lt;=0,"",IFERROR(W146/V146-1,"")))</f>
        <v/>
      </c>
    </row>
    <row r="148">
      <c r="A148" s="18" t="inlineStr">
        <is>
          <t>부문 · Revenue From External Customers</t>
        </is>
      </c>
      <c r="C148" s="20" t="n">
        <v>38084</v>
      </c>
      <c r="D148" s="20" t="n">
        <v>42368</v>
      </c>
      <c r="E148" s="20" t="n">
        <v>35689</v>
      </c>
      <c r="F148" s="20" t="n">
        <v>38126</v>
      </c>
      <c r="G148" s="20" t="n">
        <v>39672</v>
      </c>
      <c r="H148" s="20" t="n">
        <v>43696</v>
      </c>
      <c r="I148" s="20" t="n">
        <v>36468</v>
      </c>
      <c r="J148" s="20" t="n">
        <v>40279</v>
      </c>
      <c r="K148" s="20" t="n">
        <v>38500</v>
      </c>
      <c r="L148" s="20" t="n">
        <v>44266</v>
      </c>
      <c r="M148" s="20" t="n">
        <v>37826</v>
      </c>
      <c r="N148" s="20" t="n">
        <v>41411</v>
      </c>
      <c r="V148" s="20" t="n">
        <v>42368</v>
      </c>
      <c r="W148" s="20" t="n">
        <v>43696</v>
      </c>
      <c r="X148" s="20" t="n">
        <v>44266</v>
      </c>
    </row>
    <row r="149">
      <c r="A149" s="43" t="inlineStr">
        <is>
          <t>YoY</t>
        </is>
      </c>
      <c r="B149" s="3" t="inlineStr">
        <is>
          <t>전년 같은 분기·전년 대비</t>
        </is>
      </c>
      <c r="G149" s="15">
        <f>IF(OR(G148="",C148=""),"",IF(C148&lt;=0,"",IFERROR(G148/C148-1,"")))</f>
        <v/>
      </c>
      <c r="H149" s="15">
        <f>IF(OR(H148="",D148=""),"",IF(D148&lt;=0,"",IFERROR(H148/D148-1,"")))</f>
        <v/>
      </c>
      <c r="I149" s="15">
        <f>IF(OR(I148="",E148=""),"",IF(E148&lt;=0,"",IFERROR(I148/E148-1,"")))</f>
        <v/>
      </c>
      <c r="J149" s="15">
        <f>IF(OR(J148="",F148=""),"",IF(F148&lt;=0,"",IFERROR(J148/F148-1,"")))</f>
        <v/>
      </c>
      <c r="K149" s="15">
        <f>IF(OR(K148="",G148=""),"",IF(G148&lt;=0,"",IFERROR(K148/G148-1,"")))</f>
        <v/>
      </c>
      <c r="L149" s="15">
        <f>IF(OR(L148="",H148=""),"",IF(H148&lt;=0,"",IFERROR(L148/H148-1,"")))</f>
        <v/>
      </c>
      <c r="M149" s="15">
        <f>IF(OR(M148="",I148=""),"",IF(I148&lt;=0,"",IFERROR(M148/I148-1,"")))</f>
        <v/>
      </c>
      <c r="N149" s="15">
        <f>IF(OR(N148="",J148=""),"",IF(J148&lt;=0,"",IFERROR(N148/J148-1,"")))</f>
        <v/>
      </c>
      <c r="V149" s="15">
        <f>IF(OR(V148="",U148=""),"",IF(U148&lt;=0,"",IFERROR(V148/U148-1,"")))</f>
        <v/>
      </c>
      <c r="W149" s="15">
        <f>IF(OR(W148="",V148=""),"",IF(V148&lt;=0,"",IFERROR(W148/V148-1,"")))</f>
        <v/>
      </c>
      <c r="X149" s="15">
        <f>IF(OR(X148="",W148=""),"",IF(W148&lt;=0,"",IFERROR(X148/W148-1,"")))</f>
        <v/>
      </c>
    </row>
    <row r="150">
      <c r="A150" s="18" t="inlineStr">
        <is>
          <t>보고부문 합계 · Revenue From External Customers</t>
        </is>
      </c>
      <c r="C150" s="20" t="n">
        <v>763718</v>
      </c>
      <c r="D150" s="20" t="n">
        <v>683818</v>
      </c>
      <c r="E150" s="20" t="n">
        <v>740011</v>
      </c>
      <c r="F150" s="20" t="n">
        <v>829224</v>
      </c>
      <c r="G150" s="20" t="n">
        <v>756280</v>
      </c>
      <c r="H150" s="20" t="n">
        <v>728653</v>
      </c>
      <c r="I150" s="20" t="n">
        <v>801275</v>
      </c>
      <c r="J150" s="20" t="n">
        <v>884252</v>
      </c>
      <c r="K150" s="20" t="n">
        <v>946579</v>
      </c>
      <c r="L150" s="20" t="n">
        <v>832814</v>
      </c>
      <c r="M150" s="20" t="n">
        <v>923380</v>
      </c>
      <c r="N150" s="20" t="n">
        <v>1061450</v>
      </c>
      <c r="V150" s="20" t="n">
        <v>683818</v>
      </c>
      <c r="W150" s="20" t="n">
        <v>728653</v>
      </c>
      <c r="X150" s="20" t="n">
        <v>832814</v>
      </c>
    </row>
    <row r="151">
      <c r="A151" s="43" t="inlineStr">
        <is>
          <t>YoY</t>
        </is>
      </c>
      <c r="B151" s="3" t="inlineStr">
        <is>
          <t>전년 같은 분기·전년 대비</t>
        </is>
      </c>
      <c r="G151" s="15">
        <f>IF(OR(G150="",C150=""),"",IF(C150&lt;=0,"",IFERROR(G150/C150-1,"")))</f>
        <v/>
      </c>
      <c r="H151" s="15">
        <f>IF(OR(H150="",D150=""),"",IF(D150&lt;=0,"",IFERROR(H150/D150-1,"")))</f>
        <v/>
      </c>
      <c r="I151" s="15">
        <f>IF(OR(I150="",E150=""),"",IF(E150&lt;=0,"",IFERROR(I150/E150-1,"")))</f>
        <v/>
      </c>
      <c r="J151" s="15">
        <f>IF(OR(J150="",F150=""),"",IF(F150&lt;=0,"",IFERROR(J150/F150-1,"")))</f>
        <v/>
      </c>
      <c r="K151" s="15">
        <f>IF(OR(K150="",G150=""),"",IF(G150&lt;=0,"",IFERROR(K150/G150-1,"")))</f>
        <v/>
      </c>
      <c r="L151" s="15">
        <f>IF(OR(L150="",H150=""),"",IF(H150&lt;=0,"",IFERROR(L150/H150-1,"")))</f>
        <v/>
      </c>
      <c r="M151" s="15">
        <f>IF(OR(M150="",I150=""),"",IF(I150&lt;=0,"",IFERROR(M150/I150-1,"")))</f>
        <v/>
      </c>
      <c r="N151" s="15">
        <f>IF(OR(N150="",J150=""),"",IF(J150&lt;=0,"",IFERROR(N150/J150-1,"")))</f>
        <v/>
      </c>
      <c r="V151" s="15">
        <f>IF(OR(V150="",U150=""),"",IF(U150&lt;=0,"",IFERROR(V150/U150-1,"")))</f>
        <v/>
      </c>
      <c r="W151" s="15">
        <f>IF(OR(W150="",V150=""),"",IF(V150&lt;=0,"",IFERROR(W150/V150-1,"")))</f>
        <v/>
      </c>
      <c r="X151" s="15">
        <f>IF(OR(X150="",W150=""),"",IF(W150&lt;=0,"",IFERROR(X150/W150-1,"")))</f>
        <v/>
      </c>
    </row>
    <row r="152">
      <c r="A152" s="18" t="inlineStr">
        <is>
          <t>기타 · Revenue From External Customers</t>
        </is>
      </c>
      <c r="C152" s="20" t="n">
        <v>488</v>
      </c>
      <c r="D152" s="20" t="n">
        <v>240</v>
      </c>
      <c r="E152" s="20" t="n">
        <v>322</v>
      </c>
      <c r="F152" s="20" t="n">
        <v>336</v>
      </c>
      <c r="G152" s="20" t="n">
        <v>1071</v>
      </c>
      <c r="H152" s="20" t="n">
        <v>812</v>
      </c>
      <c r="I152" s="20" t="n">
        <v>597</v>
      </c>
      <c r="J152" s="20" t="n">
        <v>665</v>
      </c>
      <c r="K152" s="20" t="n">
        <v>660</v>
      </c>
      <c r="L152" s="20" t="n">
        <v>834</v>
      </c>
      <c r="M152" s="20" t="n">
        <v>582</v>
      </c>
      <c r="N152" s="20" t="n">
        <v>658</v>
      </c>
      <c r="V152" s="20" t="n">
        <v>240</v>
      </c>
      <c r="W152" s="20" t="n">
        <v>812</v>
      </c>
      <c r="X152" s="20" t="n">
        <v>834</v>
      </c>
    </row>
    <row r="153">
      <c r="A153" s="43" t="inlineStr">
        <is>
          <t>YoY</t>
        </is>
      </c>
      <c r="B153" s="3" t="inlineStr">
        <is>
          <t>전년 같은 분기·전년 대비</t>
        </is>
      </c>
      <c r="G153" s="15">
        <f>IF(OR(G152="",C152=""),"",IF(C152&lt;=0,"",IFERROR(G152/C152-1,"")))</f>
        <v/>
      </c>
      <c r="H153" s="15">
        <f>IF(OR(H152="",D152=""),"",IF(D152&lt;=0,"",IFERROR(H152/D152-1,"")))</f>
        <v/>
      </c>
      <c r="I153" s="15">
        <f>IF(OR(I152="",E152=""),"",IF(E152&lt;=0,"",IFERROR(I152/E152-1,"")))</f>
        <v/>
      </c>
      <c r="J153" s="15">
        <f>IF(OR(J152="",F152=""),"",IF(F152&lt;=0,"",IFERROR(J152/F152-1,"")))</f>
        <v/>
      </c>
      <c r="K153" s="15">
        <f>IF(OR(K152="",G152=""),"",IF(G152&lt;=0,"",IFERROR(K152/G152-1,"")))</f>
        <v/>
      </c>
      <c r="L153" s="15">
        <f>IF(OR(L152="",H152=""),"",IF(H152&lt;=0,"",IFERROR(L152/H152-1,"")))</f>
        <v/>
      </c>
      <c r="M153" s="15">
        <f>IF(OR(M152="",I152=""),"",IF(I152&lt;=0,"",IFERROR(M152/I152-1,"")))</f>
        <v/>
      </c>
      <c r="N153" s="15">
        <f>IF(OR(N152="",J152=""),"",IF(J152&lt;=0,"",IFERROR(N152/J152-1,"")))</f>
        <v/>
      </c>
      <c r="V153" s="15">
        <f>IF(OR(V152="",U152=""),"",IF(U152&lt;=0,"",IFERROR(V152/U152-1,"")))</f>
        <v/>
      </c>
      <c r="W153" s="15">
        <f>IF(OR(W152="",V152=""),"",IF(V152&lt;=0,"",IFERROR(W152/V152-1,"")))</f>
        <v/>
      </c>
      <c r="X153" s="15">
        <f>IF(OR(X152="",W152=""),"",IF(W152&lt;=0,"",IFERROR(X152/W152-1,"")))</f>
        <v/>
      </c>
    </row>
    <row r="154">
      <c r="A154" s="18" t="inlineStr">
        <is>
          <t>조정액 · Revenue From External Customers</t>
        </is>
      </c>
      <c r="C154" s="20" t="n">
        <v>0</v>
      </c>
      <c r="D154" s="20" t="n">
        <v>0</v>
      </c>
      <c r="E154" s="20" t="n">
        <v>0</v>
      </c>
      <c r="F154" s="20" t="n">
        <v>0</v>
      </c>
      <c r="G154" s="20" t="n">
        <v>0</v>
      </c>
      <c r="H154" s="20" t="n">
        <v>0</v>
      </c>
      <c r="I154" s="20" t="n">
        <v>0</v>
      </c>
      <c r="J154" s="20" t="n">
        <v>0</v>
      </c>
      <c r="K154" s="20" t="n">
        <v>0</v>
      </c>
      <c r="L154" s="20" t="n">
        <v>0</v>
      </c>
      <c r="M154" s="20" t="n">
        <v>0</v>
      </c>
      <c r="N154" s="20" t="n">
        <v>0</v>
      </c>
      <c r="V154" s="20" t="n">
        <v>0</v>
      </c>
      <c r="W154" s="20" t="n">
        <v>0</v>
      </c>
      <c r="X154" s="20" t="n">
        <v>0</v>
      </c>
    </row>
    <row r="155">
      <c r="A155" s="9" t="inlineStr">
        <is>
          <t>Revenue From External Customers</t>
        </is>
      </c>
      <c r="C155" s="12" t="n">
        <v>764206</v>
      </c>
      <c r="D155" s="12" t="n">
        <v>684059</v>
      </c>
      <c r="E155" s="12" t="n">
        <v>740333</v>
      </c>
      <c r="F155" s="12" t="n">
        <v>829559</v>
      </c>
      <c r="G155" s="12" t="n">
        <v>757352</v>
      </c>
      <c r="H155" s="12" t="n">
        <v>729465</v>
      </c>
      <c r="I155" s="12" t="n">
        <v>801872</v>
      </c>
      <c r="J155" s="12" t="n">
        <v>884917</v>
      </c>
      <c r="K155" s="12" t="n">
        <v>947239</v>
      </c>
      <c r="L155" s="12" t="n">
        <v>833647</v>
      </c>
      <c r="M155" s="12" t="n">
        <v>923963</v>
      </c>
      <c r="N155" s="12" t="n">
        <v>1062107</v>
      </c>
      <c r="V155" s="12" t="n">
        <v>684059</v>
      </c>
      <c r="W155" s="12" t="n">
        <v>729465</v>
      </c>
      <c r="X155" s="12" t="n">
        <v>833647</v>
      </c>
    </row>
    <row r="156">
      <c r="A156" s="43" t="inlineStr">
        <is>
          <t>YoY</t>
        </is>
      </c>
      <c r="B156" s="3" t="inlineStr">
        <is>
          <t>전년 같은 분기·전년 대비</t>
        </is>
      </c>
      <c r="G156" s="15">
        <f>IF(OR(G155="",C155=""),"",IF(C155&lt;=0,"",IFERROR(G155/C155-1,"")))</f>
        <v/>
      </c>
      <c r="H156" s="15">
        <f>IF(OR(H155="",D155=""),"",IF(D155&lt;=0,"",IFERROR(H155/D155-1,"")))</f>
        <v/>
      </c>
      <c r="I156" s="15">
        <f>IF(OR(I155="",E155=""),"",IF(E155&lt;=0,"",IFERROR(I155/E155-1,"")))</f>
        <v/>
      </c>
      <c r="J156" s="15">
        <f>IF(OR(J155="",F155=""),"",IF(F155&lt;=0,"",IFERROR(J155/F155-1,"")))</f>
        <v/>
      </c>
      <c r="K156" s="15">
        <f>IF(OR(K155="",G155=""),"",IF(G155&lt;=0,"",IFERROR(K155/G155-1,"")))</f>
        <v/>
      </c>
      <c r="L156" s="15">
        <f>IF(OR(L155="",H155=""),"",IF(H155&lt;=0,"",IFERROR(L155/H155-1,"")))</f>
        <v/>
      </c>
      <c r="M156" s="15">
        <f>IF(OR(M155="",I155=""),"",IF(I155&lt;=0,"",IFERROR(M155/I155-1,"")))</f>
        <v/>
      </c>
      <c r="N156" s="15">
        <f>IF(OR(N155="",J155=""),"",IF(J155&lt;=0,"",IFERROR(N155/J155-1,"")))</f>
        <v/>
      </c>
      <c r="V156" s="15">
        <f>IF(OR(V155="",U155=""),"",IF(U155&lt;=0,"",IFERROR(V155/U155-1,"")))</f>
        <v/>
      </c>
      <c r="W156" s="15">
        <f>IF(OR(W155="",V155=""),"",IF(V155&lt;=0,"",IFERROR(W155/V155-1,"")))</f>
        <v/>
      </c>
      <c r="X156" s="15">
        <f>IF(OR(X155="",W155=""),"",IF(W155&lt;=0,"",IFERROR(X155/W155-1,"")))</f>
        <v/>
      </c>
    </row>
    <row r="157">
      <c r="A157" s="18" t="inlineStr">
        <is>
          <t>부문 · Intersegment Revenue</t>
        </is>
      </c>
      <c r="C157" s="20" t="n">
        <v>92</v>
      </c>
      <c r="D157" s="20" t="n">
        <v>150</v>
      </c>
      <c r="E157" s="20" t="n">
        <v>64</v>
      </c>
      <c r="F157" s="20" t="n">
        <v>118</v>
      </c>
      <c r="G157" s="20" t="n">
        <v>-181</v>
      </c>
      <c r="H157" s="20" t="n">
        <v>0</v>
      </c>
      <c r="I157" s="20" t="n">
        <v>0</v>
      </c>
      <c r="J157" s="20" t="n">
        <v>0</v>
      </c>
      <c r="K157" s="20" t="n">
        <v>1</v>
      </c>
      <c r="L157" s="20" t="n">
        <v>0</v>
      </c>
      <c r="M157" s="20" t="n">
        <v>0</v>
      </c>
      <c r="N157" s="20" t="n">
        <v>0</v>
      </c>
      <c r="V157" s="20" t="n">
        <v>150</v>
      </c>
      <c r="W157" s="20" t="n">
        <v>0</v>
      </c>
      <c r="X157" s="20" t="n">
        <v>0</v>
      </c>
    </row>
    <row r="158">
      <c r="A158" s="18" t="inlineStr">
        <is>
          <t>부문 · Intersegment Revenue</t>
        </is>
      </c>
      <c r="C158" s="20" t="n">
        <v>0</v>
      </c>
      <c r="D158" s="20" t="n">
        <v>0</v>
      </c>
      <c r="E158" s="20" t="n">
        <v>0</v>
      </c>
      <c r="F158" s="20" t="n">
        <v>0</v>
      </c>
      <c r="G158" s="20" t="n">
        <v>0</v>
      </c>
      <c r="H158" s="20" t="n">
        <v>0</v>
      </c>
      <c r="I158" s="20" t="n">
        <v>0</v>
      </c>
      <c r="J158" s="20" t="n">
        <v>0</v>
      </c>
      <c r="V158" s="20" t="n">
        <v>0</v>
      </c>
      <c r="W158" s="20" t="n">
        <v>0</v>
      </c>
    </row>
    <row r="159">
      <c r="A159" s="18" t="inlineStr">
        <is>
          <t>부문 · Intersegment Revenue</t>
        </is>
      </c>
      <c r="C159" s="20" t="n">
        <v>8</v>
      </c>
      <c r="D159" s="20" t="n">
        <v>7</v>
      </c>
      <c r="E159" s="20" t="n">
        <v>6</v>
      </c>
      <c r="F159" s="20" t="n">
        <v>7</v>
      </c>
      <c r="G159" s="20" t="n">
        <v>8</v>
      </c>
      <c r="H159" s="20" t="n">
        <v>7</v>
      </c>
      <c r="I159" s="20" t="n">
        <v>7</v>
      </c>
      <c r="J159" s="20" t="n">
        <v>7</v>
      </c>
      <c r="K159" s="20" t="n">
        <v>9</v>
      </c>
      <c r="L159" s="20" t="n">
        <v>12</v>
      </c>
      <c r="M159" s="20" t="n">
        <v>9</v>
      </c>
      <c r="N159" s="20" t="n">
        <v>9</v>
      </c>
      <c r="V159" s="20" t="n">
        <v>7</v>
      </c>
      <c r="W159" s="20" t="n">
        <v>7</v>
      </c>
      <c r="X159" s="20" t="n">
        <v>12</v>
      </c>
    </row>
    <row r="160">
      <c r="A160" s="18" t="inlineStr">
        <is>
          <t>보고부문 합계 · Intersegment Revenue</t>
        </is>
      </c>
      <c r="C160" s="20" t="n">
        <v>100</v>
      </c>
      <c r="D160" s="20" t="n">
        <v>158</v>
      </c>
      <c r="E160" s="20" t="n">
        <v>69</v>
      </c>
      <c r="F160" s="20" t="n">
        <v>127</v>
      </c>
      <c r="G160" s="20" t="n">
        <v>-174</v>
      </c>
      <c r="H160" s="20" t="n">
        <v>7</v>
      </c>
      <c r="I160" s="20" t="n">
        <v>8</v>
      </c>
      <c r="J160" s="20" t="n">
        <v>6</v>
      </c>
      <c r="K160" s="20" t="n">
        <v>9</v>
      </c>
      <c r="L160" s="20" t="n">
        <v>12</v>
      </c>
      <c r="M160" s="20" t="n">
        <v>9</v>
      </c>
      <c r="N160" s="20" t="n">
        <v>9</v>
      </c>
      <c r="V160" s="20" t="n">
        <v>158</v>
      </c>
      <c r="W160" s="20" t="n">
        <v>7</v>
      </c>
      <c r="X160" s="20" t="n">
        <v>12</v>
      </c>
    </row>
    <row r="161">
      <c r="A161" s="18" t="inlineStr">
        <is>
          <t>기타 · Intersegment Revenue</t>
        </is>
      </c>
      <c r="C161" s="20" t="n">
        <v>652</v>
      </c>
      <c r="D161" s="20" t="n">
        <v>694</v>
      </c>
      <c r="E161" s="20" t="n">
        <v>705</v>
      </c>
      <c r="F161" s="20" t="n">
        <v>803</v>
      </c>
      <c r="G161" s="20" t="n">
        <v>5</v>
      </c>
      <c r="H161" s="20" t="n">
        <v>539</v>
      </c>
      <c r="I161" s="20" t="n">
        <v>560</v>
      </c>
      <c r="J161" s="20" t="n">
        <v>746</v>
      </c>
      <c r="K161" s="20" t="n">
        <v>652</v>
      </c>
      <c r="L161" s="20" t="n">
        <v>694</v>
      </c>
      <c r="M161" s="20" t="n">
        <v>620</v>
      </c>
      <c r="N161" s="20" t="n">
        <v>867</v>
      </c>
      <c r="V161" s="20" t="n">
        <v>694</v>
      </c>
      <c r="W161" s="20" t="n">
        <v>539</v>
      </c>
      <c r="X161" s="20" t="n">
        <v>694</v>
      </c>
    </row>
    <row r="162">
      <c r="A162" s="18" t="inlineStr">
        <is>
          <t>조정액 · Intersegment Revenue</t>
        </is>
      </c>
      <c r="C162" s="20" t="n">
        <v>-752</v>
      </c>
      <c r="D162" s="20" t="n">
        <v>-852</v>
      </c>
      <c r="E162" s="20" t="n">
        <v>-774</v>
      </c>
      <c r="F162" s="20" t="n">
        <v>-929</v>
      </c>
      <c r="G162" s="20" t="n">
        <v>168</v>
      </c>
      <c r="H162" s="20" t="n">
        <v>-546</v>
      </c>
      <c r="I162" s="20" t="n">
        <v>-567</v>
      </c>
      <c r="J162" s="20" t="n">
        <v>-753</v>
      </c>
      <c r="K162" s="20" t="n">
        <v>-661</v>
      </c>
      <c r="L162" s="20" t="n">
        <v>-706</v>
      </c>
      <c r="M162" s="20" t="n">
        <v>-629</v>
      </c>
      <c r="N162" s="20" t="n">
        <v>-876</v>
      </c>
      <c r="V162" s="20" t="n">
        <v>-852</v>
      </c>
      <c r="W162" s="20" t="n">
        <v>-546</v>
      </c>
      <c r="X162" s="20" t="n">
        <v>-706</v>
      </c>
    </row>
    <row r="163">
      <c r="A163" s="18" t="inlineStr">
        <is>
          <t>Intersegment Revenue</t>
        </is>
      </c>
      <c r="C163" s="20" t="n">
        <v>0</v>
      </c>
      <c r="D163" s="20" t="n">
        <v>0</v>
      </c>
      <c r="E163" s="20" t="n">
        <v>0</v>
      </c>
      <c r="F163" s="20" t="n">
        <v>0</v>
      </c>
      <c r="G163" s="20" t="n">
        <v>0</v>
      </c>
      <c r="H163" s="20" t="n">
        <v>0</v>
      </c>
      <c r="I163" s="20" t="n">
        <v>0</v>
      </c>
      <c r="J163" s="20" t="n">
        <v>0</v>
      </c>
      <c r="K163" s="20" t="n">
        <v>0</v>
      </c>
      <c r="L163" s="20" t="n">
        <v>0</v>
      </c>
      <c r="M163" s="20" t="n">
        <v>0</v>
      </c>
      <c r="N163" s="20" t="n">
        <v>0</v>
      </c>
      <c r="V163" s="20" t="n">
        <v>0</v>
      </c>
      <c r="W163" s="20" t="n">
        <v>0</v>
      </c>
      <c r="X163" s="20" t="n">
        <v>0</v>
      </c>
    </row>
    <row r="164">
      <c r="A164" s="18" t="inlineStr">
        <is>
          <t>부문 · Revenue</t>
        </is>
      </c>
      <c r="C164" s="20" t="n">
        <v>703579</v>
      </c>
      <c r="D164" s="20" t="n">
        <v>616525</v>
      </c>
      <c r="E164" s="20" t="n">
        <v>681045</v>
      </c>
      <c r="F164" s="20" t="n">
        <v>770497</v>
      </c>
      <c r="G164" s="20" t="n">
        <v>760486</v>
      </c>
      <c r="H164" s="20" t="n">
        <v>684958</v>
      </c>
      <c r="I164" s="20" t="n">
        <v>764807</v>
      </c>
      <c r="J164" s="20" t="n">
        <v>843973</v>
      </c>
      <c r="K164" s="20" t="n">
        <v>908079</v>
      </c>
      <c r="L164" s="20" t="n">
        <v>788549</v>
      </c>
      <c r="M164" s="20" t="n">
        <v>885554</v>
      </c>
      <c r="N164" s="20" t="n">
        <v>1020039</v>
      </c>
      <c r="V164" s="20" t="n">
        <v>616525</v>
      </c>
      <c r="W164" s="20" t="n">
        <v>684958</v>
      </c>
      <c r="X164" s="20" t="n">
        <v>788549</v>
      </c>
    </row>
    <row r="165">
      <c r="A165" s="43" t="inlineStr">
        <is>
          <t>YoY</t>
        </is>
      </c>
      <c r="B165" s="3" t="inlineStr">
        <is>
          <t>전년 같은 분기·전년 대비</t>
        </is>
      </c>
      <c r="G165" s="15">
        <f>IF(OR(G164="",C164=""),"",IF(C164&lt;=0,"",IFERROR(G164/C164-1,"")))</f>
        <v/>
      </c>
      <c r="H165" s="15">
        <f>IF(OR(H164="",D164=""),"",IF(D164&lt;=0,"",IFERROR(H164/D164-1,"")))</f>
        <v/>
      </c>
      <c r="I165" s="15">
        <f>IF(OR(I164="",E164=""),"",IF(E164&lt;=0,"",IFERROR(I164/E164-1,"")))</f>
        <v/>
      </c>
      <c r="J165" s="15">
        <f>IF(OR(J164="",F164=""),"",IF(F164&lt;=0,"",IFERROR(J164/F164-1,"")))</f>
        <v/>
      </c>
      <c r="K165" s="15">
        <f>IF(OR(K164="",G164=""),"",IF(G164&lt;=0,"",IFERROR(K164/G164-1,"")))</f>
        <v/>
      </c>
      <c r="L165" s="15">
        <f>IF(OR(L164="",H164=""),"",IF(H164&lt;=0,"",IFERROR(L164/H164-1,"")))</f>
        <v/>
      </c>
      <c r="M165" s="15">
        <f>IF(OR(M164="",I164=""),"",IF(I164&lt;=0,"",IFERROR(M164/I164-1,"")))</f>
        <v/>
      </c>
      <c r="N165" s="15">
        <f>IF(OR(N164="",J164=""),"",IF(J164&lt;=0,"",IFERROR(N164/J164-1,"")))</f>
        <v/>
      </c>
      <c r="V165" s="15">
        <f>IF(OR(V164="",U164=""),"",IF(U164&lt;=0,"",IFERROR(V164/U164-1,"")))</f>
        <v/>
      </c>
      <c r="W165" s="15">
        <f>IF(OR(W164="",V164=""),"",IF(V164&lt;=0,"",IFERROR(W164/V164-1,"")))</f>
        <v/>
      </c>
      <c r="X165" s="15">
        <f>IF(OR(X164="",W164=""),"",IF(W164&lt;=0,"",IFERROR(X164/W164-1,"")))</f>
        <v/>
      </c>
    </row>
    <row r="166">
      <c r="A166" s="18" t="inlineStr">
        <is>
          <t>부문 · Revenue</t>
        </is>
      </c>
      <c r="C166" s="20" t="n">
        <v>22147</v>
      </c>
      <c r="D166" s="20" t="n">
        <v>25076</v>
      </c>
      <c r="E166" s="20" t="n">
        <v>23341</v>
      </c>
      <c r="F166" s="20" t="n">
        <v>20718</v>
      </c>
      <c r="G166" s="20" t="n">
        <v>22990</v>
      </c>
      <c r="H166" s="20" t="n">
        <v>27415</v>
      </c>
      <c r="I166" s="20" t="n">
        <v>25388</v>
      </c>
      <c r="J166" s="20" t="n">
        <v>22943</v>
      </c>
      <c r="V166" s="20" t="n">
        <v>25076</v>
      </c>
      <c r="W166" s="20" t="n">
        <v>27415</v>
      </c>
    </row>
    <row r="167">
      <c r="A167" s="43" t="inlineStr">
        <is>
          <t>YoY</t>
        </is>
      </c>
      <c r="B167" s="3" t="inlineStr">
        <is>
          <t>전년 같은 분기·전년 대비</t>
        </is>
      </c>
      <c r="G167" s="15">
        <f>IF(OR(G166="",C166=""),"",IF(C166&lt;=0,"",IFERROR(G166/C166-1,"")))</f>
        <v/>
      </c>
      <c r="H167" s="15">
        <f>IF(OR(H166="",D166=""),"",IF(D166&lt;=0,"",IFERROR(H166/D166-1,"")))</f>
        <v/>
      </c>
      <c r="I167" s="15">
        <f>IF(OR(I166="",E166=""),"",IF(E166&lt;=0,"",IFERROR(I166/E166-1,"")))</f>
        <v/>
      </c>
      <c r="J167" s="15">
        <f>IF(OR(J166="",F166=""),"",IF(F166&lt;=0,"",IFERROR(J166/F166-1,"")))</f>
        <v/>
      </c>
      <c r="V167" s="15">
        <f>IF(OR(V166="",U166=""),"",IF(U166&lt;=0,"",IFERROR(V166/U166-1,"")))</f>
        <v/>
      </c>
      <c r="W167" s="15">
        <f>IF(OR(W166="",V166=""),"",IF(V166&lt;=0,"",IFERROR(W166/V166-1,"")))</f>
        <v/>
      </c>
    </row>
    <row r="168">
      <c r="A168" s="18" t="inlineStr">
        <is>
          <t>부문 · Revenue</t>
        </is>
      </c>
      <c r="C168" s="20" t="n">
        <v>38091</v>
      </c>
      <c r="D168" s="20" t="n">
        <v>42376</v>
      </c>
      <c r="E168" s="20" t="n">
        <v>35695</v>
      </c>
      <c r="F168" s="20" t="n">
        <v>38134</v>
      </c>
      <c r="G168" s="20" t="n">
        <v>39679</v>
      </c>
      <c r="H168" s="20" t="n">
        <v>43703</v>
      </c>
      <c r="I168" s="20" t="n">
        <v>36476</v>
      </c>
      <c r="J168" s="20" t="n">
        <v>40285</v>
      </c>
      <c r="K168" s="20" t="n">
        <v>38509</v>
      </c>
      <c r="L168" s="20" t="n">
        <v>44277</v>
      </c>
      <c r="M168" s="20" t="n">
        <v>37835</v>
      </c>
      <c r="N168" s="20" t="n">
        <v>41420</v>
      </c>
      <c r="V168" s="20" t="n">
        <v>42376</v>
      </c>
      <c r="W168" s="20" t="n">
        <v>43703</v>
      </c>
      <c r="X168" s="20" t="n">
        <v>44277</v>
      </c>
    </row>
    <row r="169">
      <c r="A169" s="43" t="inlineStr">
        <is>
          <t>YoY</t>
        </is>
      </c>
      <c r="B169" s="3" t="inlineStr">
        <is>
          <t>전년 같은 분기·전년 대비</t>
        </is>
      </c>
      <c r="G169" s="15">
        <f>IF(OR(G168="",C168=""),"",IF(C168&lt;=0,"",IFERROR(G168/C168-1,"")))</f>
        <v/>
      </c>
      <c r="H169" s="15">
        <f>IF(OR(H168="",D168=""),"",IF(D168&lt;=0,"",IFERROR(H168/D168-1,"")))</f>
        <v/>
      </c>
      <c r="I169" s="15">
        <f>IF(OR(I168="",E168=""),"",IF(E168&lt;=0,"",IFERROR(I168/E168-1,"")))</f>
        <v/>
      </c>
      <c r="J169" s="15">
        <f>IF(OR(J168="",F168=""),"",IF(F168&lt;=0,"",IFERROR(J168/F168-1,"")))</f>
        <v/>
      </c>
      <c r="K169" s="15">
        <f>IF(OR(K168="",G168=""),"",IF(G168&lt;=0,"",IFERROR(K168/G168-1,"")))</f>
        <v/>
      </c>
      <c r="L169" s="15">
        <f>IF(OR(L168="",H168=""),"",IF(H168&lt;=0,"",IFERROR(L168/H168-1,"")))</f>
        <v/>
      </c>
      <c r="M169" s="15">
        <f>IF(OR(M168="",I168=""),"",IF(I168&lt;=0,"",IFERROR(M168/I168-1,"")))</f>
        <v/>
      </c>
      <c r="N169" s="15">
        <f>IF(OR(N168="",J168=""),"",IF(J168&lt;=0,"",IFERROR(N168/J168-1,"")))</f>
        <v/>
      </c>
      <c r="V169" s="15">
        <f>IF(OR(V168="",U168=""),"",IF(U168&lt;=0,"",IFERROR(V168/U168-1,"")))</f>
        <v/>
      </c>
      <c r="W169" s="15">
        <f>IF(OR(W168="",V168=""),"",IF(V168&lt;=0,"",IFERROR(W168/V168-1,"")))</f>
        <v/>
      </c>
      <c r="X169" s="15">
        <f>IF(OR(X168="",W168=""),"",IF(W168&lt;=0,"",IFERROR(X168/W168-1,"")))</f>
        <v/>
      </c>
    </row>
    <row r="170">
      <c r="A170" s="18" t="inlineStr">
        <is>
          <t>보고부문 합계 · Revenue</t>
        </is>
      </c>
      <c r="C170" s="20" t="n">
        <v>763817</v>
      </c>
      <c r="D170" s="20" t="n">
        <v>683977</v>
      </c>
      <c r="E170" s="20" t="n">
        <v>740080</v>
      </c>
      <c r="F170" s="20" t="n">
        <v>829350</v>
      </c>
      <c r="G170" s="20" t="n">
        <v>756106</v>
      </c>
      <c r="H170" s="20" t="n">
        <v>728661</v>
      </c>
      <c r="I170" s="20" t="n">
        <v>801283</v>
      </c>
      <c r="J170" s="20" t="n">
        <v>884258</v>
      </c>
      <c r="K170" s="20" t="n">
        <v>946588</v>
      </c>
      <c r="L170" s="20" t="n">
        <v>832826</v>
      </c>
      <c r="M170" s="20" t="n">
        <v>923389</v>
      </c>
      <c r="N170" s="20" t="n">
        <v>1061459</v>
      </c>
      <c r="V170" s="20" t="n">
        <v>683977</v>
      </c>
      <c r="W170" s="20" t="n">
        <v>728661</v>
      </c>
      <c r="X170" s="20" t="n">
        <v>832826</v>
      </c>
    </row>
    <row r="171">
      <c r="A171" s="43" t="inlineStr">
        <is>
          <t>YoY</t>
        </is>
      </c>
      <c r="B171" s="3" t="inlineStr">
        <is>
          <t>전년 같은 분기·전년 대비</t>
        </is>
      </c>
      <c r="G171" s="15">
        <f>IF(OR(G170="",C170=""),"",IF(C170&lt;=0,"",IFERROR(G170/C170-1,"")))</f>
        <v/>
      </c>
      <c r="H171" s="15">
        <f>IF(OR(H170="",D170=""),"",IF(D170&lt;=0,"",IFERROR(H170/D170-1,"")))</f>
        <v/>
      </c>
      <c r="I171" s="15">
        <f>IF(OR(I170="",E170=""),"",IF(E170&lt;=0,"",IFERROR(I170/E170-1,"")))</f>
        <v/>
      </c>
      <c r="J171" s="15">
        <f>IF(OR(J170="",F170=""),"",IF(F170&lt;=0,"",IFERROR(J170/F170-1,"")))</f>
        <v/>
      </c>
      <c r="K171" s="15">
        <f>IF(OR(K170="",G170=""),"",IF(G170&lt;=0,"",IFERROR(K170/G170-1,"")))</f>
        <v/>
      </c>
      <c r="L171" s="15">
        <f>IF(OR(L170="",H170=""),"",IF(H170&lt;=0,"",IFERROR(L170/H170-1,"")))</f>
        <v/>
      </c>
      <c r="M171" s="15">
        <f>IF(OR(M170="",I170=""),"",IF(I170&lt;=0,"",IFERROR(M170/I170-1,"")))</f>
        <v/>
      </c>
      <c r="N171" s="15">
        <f>IF(OR(N170="",J170=""),"",IF(J170&lt;=0,"",IFERROR(N170/J170-1,"")))</f>
        <v/>
      </c>
      <c r="V171" s="15">
        <f>IF(OR(V170="",U170=""),"",IF(U170&lt;=0,"",IFERROR(V170/U170-1,"")))</f>
        <v/>
      </c>
      <c r="W171" s="15">
        <f>IF(OR(W170="",V170=""),"",IF(V170&lt;=0,"",IFERROR(W170/V170-1,"")))</f>
        <v/>
      </c>
      <c r="X171" s="15">
        <f>IF(OR(X170="",W170=""),"",IF(W170&lt;=0,"",IFERROR(X170/W170-1,"")))</f>
        <v/>
      </c>
    </row>
    <row r="172">
      <c r="A172" s="18" t="inlineStr">
        <is>
          <t>기타 · Revenue</t>
        </is>
      </c>
      <c r="C172" s="20" t="n">
        <v>1140</v>
      </c>
      <c r="D172" s="20" t="n">
        <v>934</v>
      </c>
      <c r="E172" s="20" t="n">
        <v>1027</v>
      </c>
      <c r="F172" s="20" t="n">
        <v>1138</v>
      </c>
      <c r="G172" s="20" t="n">
        <v>1077</v>
      </c>
      <c r="H172" s="20" t="n">
        <v>1351</v>
      </c>
      <c r="I172" s="20" t="n">
        <v>1156</v>
      </c>
      <c r="J172" s="20" t="n">
        <v>1412</v>
      </c>
      <c r="K172" s="20" t="n">
        <v>1312</v>
      </c>
      <c r="L172" s="20" t="n">
        <v>1528</v>
      </c>
      <c r="M172" s="20" t="n">
        <v>1202</v>
      </c>
      <c r="N172" s="20" t="n">
        <v>1525</v>
      </c>
      <c r="V172" s="20" t="n">
        <v>934</v>
      </c>
      <c r="W172" s="20" t="n">
        <v>1351</v>
      </c>
      <c r="X172" s="20" t="n">
        <v>1528</v>
      </c>
    </row>
    <row r="173">
      <c r="A173" s="43" t="inlineStr">
        <is>
          <t>YoY</t>
        </is>
      </c>
      <c r="B173" s="3" t="inlineStr">
        <is>
          <t>전년 같은 분기·전년 대비</t>
        </is>
      </c>
      <c r="G173" s="15">
        <f>IF(OR(G172="",C172=""),"",IF(C172&lt;=0,"",IFERROR(G172/C172-1,"")))</f>
        <v/>
      </c>
      <c r="H173" s="15">
        <f>IF(OR(H172="",D172=""),"",IF(D172&lt;=0,"",IFERROR(H172/D172-1,"")))</f>
        <v/>
      </c>
      <c r="I173" s="15">
        <f>IF(OR(I172="",E172=""),"",IF(E172&lt;=0,"",IFERROR(I172/E172-1,"")))</f>
        <v/>
      </c>
      <c r="J173" s="15">
        <f>IF(OR(J172="",F172=""),"",IF(F172&lt;=0,"",IFERROR(J172/F172-1,"")))</f>
        <v/>
      </c>
      <c r="K173" s="15">
        <f>IF(OR(K172="",G172=""),"",IF(G172&lt;=0,"",IFERROR(K172/G172-1,"")))</f>
        <v/>
      </c>
      <c r="L173" s="15">
        <f>IF(OR(L172="",H172=""),"",IF(H172&lt;=0,"",IFERROR(L172/H172-1,"")))</f>
        <v/>
      </c>
      <c r="M173" s="15">
        <f>IF(OR(M172="",I172=""),"",IF(I172&lt;=0,"",IFERROR(M172/I172-1,"")))</f>
        <v/>
      </c>
      <c r="N173" s="15">
        <f>IF(OR(N172="",J172=""),"",IF(J172&lt;=0,"",IFERROR(N172/J172-1,"")))</f>
        <v/>
      </c>
      <c r="V173" s="15">
        <f>IF(OR(V172="",U172=""),"",IF(U172&lt;=0,"",IFERROR(V172/U172-1,"")))</f>
        <v/>
      </c>
      <c r="W173" s="15">
        <f>IF(OR(W172="",V172=""),"",IF(V172&lt;=0,"",IFERROR(W172/V172-1,"")))</f>
        <v/>
      </c>
      <c r="X173" s="15">
        <f>IF(OR(X172="",W172=""),"",IF(W172&lt;=0,"",IFERROR(X172/W172-1,"")))</f>
        <v/>
      </c>
    </row>
    <row r="174">
      <c r="A174" s="18" t="inlineStr">
        <is>
          <t>조정액 · Revenue</t>
        </is>
      </c>
      <c r="C174" s="20" t="n">
        <v>-752</v>
      </c>
      <c r="D174" s="20" t="n">
        <v>-852</v>
      </c>
      <c r="E174" s="20" t="n">
        <v>-774</v>
      </c>
      <c r="F174" s="20" t="n">
        <v>-929</v>
      </c>
      <c r="G174" s="20" t="n">
        <v>168</v>
      </c>
      <c r="H174" s="20" t="n">
        <v>-546</v>
      </c>
      <c r="I174" s="20" t="n">
        <v>-567</v>
      </c>
      <c r="J174" s="20" t="n">
        <v>-753</v>
      </c>
      <c r="K174" s="20" t="n">
        <v>-661</v>
      </c>
      <c r="L174" s="20" t="n">
        <v>-706</v>
      </c>
      <c r="M174" s="20" t="n">
        <v>-629</v>
      </c>
      <c r="N174" s="20" t="n">
        <v>-876</v>
      </c>
      <c r="V174" s="20" t="n">
        <v>-852</v>
      </c>
      <c r="W174" s="20" t="n">
        <v>-546</v>
      </c>
      <c r="X174" s="20" t="n">
        <v>-706</v>
      </c>
    </row>
    <row r="175">
      <c r="A175" s="9" t="inlineStr">
        <is>
          <t>Revenue</t>
        </is>
      </c>
      <c r="C175" s="12" t="n">
        <v>764206</v>
      </c>
      <c r="D175" s="12" t="n">
        <v>684059</v>
      </c>
      <c r="E175" s="12" t="n">
        <v>740333</v>
      </c>
      <c r="F175" s="12" t="n">
        <v>829559</v>
      </c>
      <c r="G175" s="12" t="n">
        <v>757352</v>
      </c>
      <c r="H175" s="12" t="n">
        <v>729465</v>
      </c>
      <c r="I175" s="12" t="n">
        <v>801872</v>
      </c>
      <c r="J175" s="12" t="n">
        <v>884917</v>
      </c>
      <c r="K175" s="12" t="n">
        <v>947239</v>
      </c>
      <c r="L175" s="12" t="n">
        <v>833647</v>
      </c>
      <c r="M175" s="12" t="n">
        <v>923963</v>
      </c>
      <c r="N175" s="12" t="n">
        <v>1062107</v>
      </c>
      <c r="V175" s="12" t="n">
        <v>684059</v>
      </c>
      <c r="W175" s="12" t="n">
        <v>729465</v>
      </c>
      <c r="X175" s="12" t="n">
        <v>833647</v>
      </c>
    </row>
    <row r="176">
      <c r="A176" s="43" t="inlineStr">
        <is>
          <t>YoY</t>
        </is>
      </c>
      <c r="B176" s="3" t="inlineStr">
        <is>
          <t>전년 같은 분기·전년 대비</t>
        </is>
      </c>
      <c r="G176" s="15">
        <f>IF(OR(G175="",C175=""),"",IF(C175&lt;=0,"",IFERROR(G175/C175-1,"")))</f>
        <v/>
      </c>
      <c r="H176" s="15">
        <f>IF(OR(H175="",D175=""),"",IF(D175&lt;=0,"",IFERROR(H175/D175-1,"")))</f>
        <v/>
      </c>
      <c r="I176" s="15">
        <f>IF(OR(I175="",E175=""),"",IF(E175&lt;=0,"",IFERROR(I175/E175-1,"")))</f>
        <v/>
      </c>
      <c r="J176" s="15">
        <f>IF(OR(J175="",F175=""),"",IF(F175&lt;=0,"",IFERROR(J175/F175-1,"")))</f>
        <v/>
      </c>
      <c r="K176" s="15">
        <f>IF(OR(K175="",G175=""),"",IF(G175&lt;=0,"",IFERROR(K175/G175-1,"")))</f>
        <v/>
      </c>
      <c r="L176" s="15">
        <f>IF(OR(L175="",H175=""),"",IF(H175&lt;=0,"",IFERROR(L175/H175-1,"")))</f>
        <v/>
      </c>
      <c r="M176" s="15">
        <f>IF(OR(M175="",I175=""),"",IF(I175&lt;=0,"",IFERROR(M175/I175-1,"")))</f>
        <v/>
      </c>
      <c r="N176" s="15">
        <f>IF(OR(N175="",J175=""),"",IF(J175&lt;=0,"",IFERROR(N175/J175-1,"")))</f>
        <v/>
      </c>
      <c r="V176" s="15">
        <f>IF(OR(V175="",U175=""),"",IF(U175&lt;=0,"",IFERROR(V175/U175-1,"")))</f>
        <v/>
      </c>
      <c r="W176" s="15">
        <f>IF(OR(W175="",V175=""),"",IF(V175&lt;=0,"",IFERROR(W175/V175-1,"")))</f>
        <v/>
      </c>
      <c r="X176" s="15">
        <f>IF(OR(X175="",W175=""),"",IF(W175&lt;=0,"",IFERROR(X175/W175-1,"")))</f>
        <v/>
      </c>
    </row>
    <row r="177">
      <c r="A177" s="18" t="inlineStr">
        <is>
          <t>부문 · Segment Profit Loss</t>
        </is>
      </c>
      <c r="C177" s="20" t="n">
        <v>226652</v>
      </c>
      <c r="D177" s="20" t="n">
        <v>72926</v>
      </c>
      <c r="E177" s="20" t="n">
        <v>231883</v>
      </c>
      <c r="F177" s="20" t="n">
        <v>240221</v>
      </c>
      <c r="G177" s="20" t="n">
        <v>227498</v>
      </c>
      <c r="H177" s="20" t="n">
        <v>92171</v>
      </c>
      <c r="I177" s="20" t="n">
        <v>267987</v>
      </c>
      <c r="J177" s="20" t="n">
        <v>276933</v>
      </c>
      <c r="K177" s="20" t="n">
        <v>300466</v>
      </c>
      <c r="L177" s="20" t="n">
        <v>106775</v>
      </c>
      <c r="M177" s="20" t="n">
        <v>325414</v>
      </c>
      <c r="N177" s="20" t="n">
        <v>357488</v>
      </c>
      <c r="V177" s="20" t="n">
        <v>72926</v>
      </c>
      <c r="W177" s="20" t="n">
        <v>92171</v>
      </c>
      <c r="X177" s="20" t="n">
        <v>106775</v>
      </c>
    </row>
    <row r="178">
      <c r="A178" s="43" t="inlineStr">
        <is>
          <t>OPM</t>
        </is>
      </c>
      <c r="B178" s="3" t="inlineStr">
        <is>
          <t>영업이익 ÷ 매출</t>
        </is>
      </c>
      <c r="C178" s="15">
        <f>IF(OR(C177="",C164=""),"",IF(C164&lt;=0,"",IFERROR(C177/C164,"")))</f>
        <v/>
      </c>
      <c r="D178" s="15">
        <f>IF(OR(D177="",D164=""),"",IF(D164&lt;=0,"",IFERROR(D177/D164,"")))</f>
        <v/>
      </c>
      <c r="E178" s="15">
        <f>IF(OR(E177="",E164=""),"",IF(E164&lt;=0,"",IFERROR(E177/E164,"")))</f>
        <v/>
      </c>
      <c r="F178" s="15">
        <f>IF(OR(F177="",F164=""),"",IF(F164&lt;=0,"",IFERROR(F177/F164,"")))</f>
        <v/>
      </c>
      <c r="G178" s="15">
        <f>IF(OR(G177="",G164=""),"",IF(G164&lt;=0,"",IFERROR(G177/G164,"")))</f>
        <v/>
      </c>
      <c r="H178" s="15">
        <f>IF(OR(H177="",H164=""),"",IF(H164&lt;=0,"",IFERROR(H177/H164,"")))</f>
        <v/>
      </c>
      <c r="I178" s="15">
        <f>IF(OR(I177="",I164=""),"",IF(I164&lt;=0,"",IFERROR(I177/I164,"")))</f>
        <v/>
      </c>
      <c r="J178" s="15">
        <f>IF(OR(J177="",J164=""),"",IF(J164&lt;=0,"",IFERROR(J177/J164,"")))</f>
        <v/>
      </c>
      <c r="K178" s="15">
        <f>IF(OR(K177="",K164=""),"",IF(K164&lt;=0,"",IFERROR(K177/K164,"")))</f>
        <v/>
      </c>
      <c r="L178" s="15">
        <f>IF(OR(L177="",L164=""),"",IF(L164&lt;=0,"",IFERROR(L177/L164,"")))</f>
        <v/>
      </c>
      <c r="M178" s="15">
        <f>IF(OR(M177="",M164=""),"",IF(M164&lt;=0,"",IFERROR(M177/M164,"")))</f>
        <v/>
      </c>
      <c r="N178" s="15">
        <f>IF(OR(N177="",N164=""),"",IF(N164&lt;=0,"",IFERROR(N177/N164,"")))</f>
        <v/>
      </c>
      <c r="V178" s="15">
        <f>IF(OR(V177="",V164=""),"",IF(V164&lt;=0,"",IFERROR(V177/V164,"")))</f>
        <v/>
      </c>
      <c r="W178" s="15">
        <f>IF(OR(W177="",W164=""),"",IF(W164&lt;=0,"",IFERROR(W177/W164,"")))</f>
        <v/>
      </c>
      <c r="X178" s="15">
        <f>IF(OR(X177="",X164=""),"",IF(X164&lt;=0,"",IFERROR(X177/X164,"")))</f>
        <v/>
      </c>
    </row>
    <row r="179">
      <c r="A179" s="43" t="inlineStr">
        <is>
          <t>YoY</t>
        </is>
      </c>
      <c r="B179" s="3" t="inlineStr">
        <is>
          <t>전년 같은 분기·전년 대비</t>
        </is>
      </c>
      <c r="G179" s="15">
        <f>IF(OR(G177="",C177=""),"",IF(C177&lt;=0,"",IFERROR(G177/C177-1,"")))</f>
        <v/>
      </c>
      <c r="H179" s="15">
        <f>IF(OR(H177="",D177=""),"",IF(D177&lt;=0,"",IFERROR(H177/D177-1,"")))</f>
        <v/>
      </c>
      <c r="I179" s="15">
        <f>IF(OR(I177="",E177=""),"",IF(E177&lt;=0,"",IFERROR(I177/E177-1,"")))</f>
        <v/>
      </c>
      <c r="J179" s="15">
        <f>IF(OR(J177="",F177=""),"",IF(F177&lt;=0,"",IFERROR(J177/F177-1,"")))</f>
        <v/>
      </c>
      <c r="K179" s="15">
        <f>IF(OR(K177="",G177=""),"",IF(G177&lt;=0,"",IFERROR(K177/G177-1,"")))</f>
        <v/>
      </c>
      <c r="L179" s="15">
        <f>IF(OR(L177="",H177=""),"",IF(H177&lt;=0,"",IFERROR(L177/H177-1,"")))</f>
        <v/>
      </c>
      <c r="M179" s="15">
        <f>IF(OR(M177="",I177=""),"",IF(I177&lt;=0,"",IFERROR(M177/I177-1,"")))</f>
        <v/>
      </c>
      <c r="N179" s="15">
        <f>IF(OR(N177="",J177=""),"",IF(J177&lt;=0,"",IFERROR(N177/J177-1,"")))</f>
        <v/>
      </c>
      <c r="V179" s="15">
        <f>IF(OR(V177="",U177=""),"",IF(U177&lt;=0,"",IFERROR(V177/U177-1,"")))</f>
        <v/>
      </c>
      <c r="W179" s="15">
        <f>IF(OR(W177="",V177=""),"",IF(V177&lt;=0,"",IFERROR(W177/V177-1,"")))</f>
        <v/>
      </c>
      <c r="X179" s="15">
        <f>IF(OR(X177="",W177=""),"",IF(W177&lt;=0,"",IFERROR(X177/W177-1,"")))</f>
        <v/>
      </c>
    </row>
    <row r="180">
      <c r="A180" s="18" t="inlineStr">
        <is>
          <t>부문 · Segment Profit Loss</t>
        </is>
      </c>
      <c r="C180" s="20" t="n">
        <v>3072</v>
      </c>
      <c r="D180" s="20" t="n">
        <v>4291</v>
      </c>
      <c r="E180" s="20" t="n">
        <v>3842</v>
      </c>
      <c r="F180" s="20" t="n">
        <v>153</v>
      </c>
      <c r="G180" s="20" t="n">
        <v>1163</v>
      </c>
      <c r="H180" s="20" t="n">
        <v>4075</v>
      </c>
      <c r="I180" s="20" t="n">
        <v>4493</v>
      </c>
      <c r="J180" s="20" t="n">
        <v>-330</v>
      </c>
      <c r="V180" s="20" t="n">
        <v>4291</v>
      </c>
      <c r="W180" s="20" t="n">
        <v>4075</v>
      </c>
    </row>
    <row r="181">
      <c r="A181" s="43" t="inlineStr">
        <is>
          <t>OPM</t>
        </is>
      </c>
      <c r="B181" s="3" t="inlineStr">
        <is>
          <t>영업이익 ÷ 매출</t>
        </is>
      </c>
      <c r="C181" s="15">
        <f>IF(OR(C180="",C166=""),"",IF(C166&lt;=0,"",IFERROR(C180/C166,"")))</f>
        <v/>
      </c>
      <c r="D181" s="15">
        <f>IF(OR(D180="",D166=""),"",IF(D166&lt;=0,"",IFERROR(D180/D166,"")))</f>
        <v/>
      </c>
      <c r="E181" s="15">
        <f>IF(OR(E180="",E166=""),"",IF(E166&lt;=0,"",IFERROR(E180/E166,"")))</f>
        <v/>
      </c>
      <c r="F181" s="15">
        <f>IF(OR(F180="",F166=""),"",IF(F166&lt;=0,"",IFERROR(F180/F166,"")))</f>
        <v/>
      </c>
      <c r="G181" s="15">
        <f>IF(OR(G180="",G166=""),"",IF(G166&lt;=0,"",IFERROR(G180/G166,"")))</f>
        <v/>
      </c>
      <c r="H181" s="15">
        <f>IF(OR(H180="",H166=""),"",IF(H166&lt;=0,"",IFERROR(H180/H166,"")))</f>
        <v/>
      </c>
      <c r="I181" s="15">
        <f>IF(OR(I180="",I166=""),"",IF(I166&lt;=0,"",IFERROR(I180/I166,"")))</f>
        <v/>
      </c>
      <c r="J181" s="15">
        <f>IF(OR(J180="",J166=""),"",IF(J166&lt;=0,"",IFERROR(J180/J166,"")))</f>
        <v/>
      </c>
      <c r="V181" s="15">
        <f>IF(OR(V180="",V166=""),"",IF(V166&lt;=0,"",IFERROR(V180/V166,"")))</f>
        <v/>
      </c>
      <c r="W181" s="15">
        <f>IF(OR(W180="",W166=""),"",IF(W166&lt;=0,"",IFERROR(W180/W166,"")))</f>
        <v/>
      </c>
    </row>
    <row r="182">
      <c r="A182" s="43" t="inlineStr">
        <is>
          <t>YoY</t>
        </is>
      </c>
      <c r="B182" s="3" t="inlineStr">
        <is>
          <t>전년 같은 분기·전년 대비</t>
        </is>
      </c>
      <c r="G182" s="15">
        <f>IF(OR(G180="",C180=""),"",IF(C180&lt;=0,"",IFERROR(G180/C180-1,"")))</f>
        <v/>
      </c>
      <c r="H182" s="15">
        <f>IF(OR(H180="",D180=""),"",IF(D180&lt;=0,"",IFERROR(H180/D180-1,"")))</f>
        <v/>
      </c>
      <c r="I182" s="15">
        <f>IF(OR(I180="",E180=""),"",IF(E180&lt;=0,"",IFERROR(I180/E180-1,"")))</f>
        <v/>
      </c>
      <c r="J182" s="15">
        <f>IF(OR(J180="",F180=""),"",IF(F180&lt;=0,"",IFERROR(J180/F180-1,"")))</f>
        <v/>
      </c>
      <c r="V182" s="15">
        <f>IF(OR(V180="",U180=""),"",IF(U180&lt;=0,"",IFERROR(V180/U180-1,"")))</f>
        <v/>
      </c>
      <c r="W182" s="15">
        <f>IF(OR(W180="",V180=""),"",IF(V180&lt;=0,"",IFERROR(W180/V180-1,"")))</f>
        <v/>
      </c>
    </row>
    <row r="183">
      <c r="A183" s="18" t="inlineStr">
        <is>
          <t>부문 · Segment Profit Loss</t>
        </is>
      </c>
      <c r="C183" s="20" t="n">
        <v>1698</v>
      </c>
      <c r="D183" s="20" t="n">
        <v>2200</v>
      </c>
      <c r="E183" s="20" t="n">
        <v>2021</v>
      </c>
      <c r="F183" s="20" t="n">
        <v>2345</v>
      </c>
      <c r="G183" s="20" t="n">
        <v>1989</v>
      </c>
      <c r="H183" s="20" t="n">
        <v>1716</v>
      </c>
      <c r="I183" s="20" t="n">
        <v>794</v>
      </c>
      <c r="J183" s="20" t="n">
        <v>1774</v>
      </c>
      <c r="K183" s="20" t="n">
        <v>2980</v>
      </c>
      <c r="L183" s="20" t="n">
        <v>3041</v>
      </c>
      <c r="M183" s="20" t="n">
        <v>1739</v>
      </c>
      <c r="N183" s="20" t="n">
        <v>2331</v>
      </c>
      <c r="V183" s="20" t="n">
        <v>2200</v>
      </c>
      <c r="W183" s="20" t="n">
        <v>1716</v>
      </c>
      <c r="X183" s="20" t="n">
        <v>3041</v>
      </c>
    </row>
    <row r="184">
      <c r="A184" s="43" t="inlineStr">
        <is>
          <t>OPM</t>
        </is>
      </c>
      <c r="B184" s="3" t="inlineStr">
        <is>
          <t>영업이익 ÷ 매출</t>
        </is>
      </c>
      <c r="C184" s="15">
        <f>IF(OR(C183="",C168=""),"",IF(C168&lt;=0,"",IFERROR(C183/C168,"")))</f>
        <v/>
      </c>
      <c r="D184" s="15">
        <f>IF(OR(D183="",D168=""),"",IF(D168&lt;=0,"",IFERROR(D183/D168,"")))</f>
        <v/>
      </c>
      <c r="E184" s="15">
        <f>IF(OR(E183="",E168=""),"",IF(E168&lt;=0,"",IFERROR(E183/E168,"")))</f>
        <v/>
      </c>
      <c r="F184" s="15">
        <f>IF(OR(F183="",F168=""),"",IF(F168&lt;=0,"",IFERROR(F183/F168,"")))</f>
        <v/>
      </c>
      <c r="G184" s="15">
        <f>IF(OR(G183="",G168=""),"",IF(G168&lt;=0,"",IFERROR(G183/G168,"")))</f>
        <v/>
      </c>
      <c r="H184" s="15">
        <f>IF(OR(H183="",H168=""),"",IF(H168&lt;=0,"",IFERROR(H183/H168,"")))</f>
        <v/>
      </c>
      <c r="I184" s="15">
        <f>IF(OR(I183="",I168=""),"",IF(I168&lt;=0,"",IFERROR(I183/I168,"")))</f>
        <v/>
      </c>
      <c r="J184" s="15">
        <f>IF(OR(J183="",J168=""),"",IF(J168&lt;=0,"",IFERROR(J183/J168,"")))</f>
        <v/>
      </c>
      <c r="K184" s="15">
        <f>IF(OR(K183="",K168=""),"",IF(K168&lt;=0,"",IFERROR(K183/K168,"")))</f>
        <v/>
      </c>
      <c r="L184" s="15">
        <f>IF(OR(L183="",L168=""),"",IF(L168&lt;=0,"",IFERROR(L183/L168,"")))</f>
        <v/>
      </c>
      <c r="M184" s="15">
        <f>IF(OR(M183="",M168=""),"",IF(M168&lt;=0,"",IFERROR(M183/M168,"")))</f>
        <v/>
      </c>
      <c r="N184" s="15">
        <f>IF(OR(N183="",N168=""),"",IF(N168&lt;=0,"",IFERROR(N183/N168,"")))</f>
        <v/>
      </c>
      <c r="V184" s="15">
        <f>IF(OR(V183="",V168=""),"",IF(V168&lt;=0,"",IFERROR(V183/V168,"")))</f>
        <v/>
      </c>
      <c r="W184" s="15">
        <f>IF(OR(W183="",W168=""),"",IF(W168&lt;=0,"",IFERROR(W183/W168,"")))</f>
        <v/>
      </c>
      <c r="X184" s="15">
        <f>IF(OR(X183="",X168=""),"",IF(X168&lt;=0,"",IFERROR(X183/X168,"")))</f>
        <v/>
      </c>
    </row>
    <row r="185">
      <c r="A185" s="43" t="inlineStr">
        <is>
          <t>YoY</t>
        </is>
      </c>
      <c r="B185" s="3" t="inlineStr">
        <is>
          <t>전년 같은 분기·전년 대비</t>
        </is>
      </c>
      <c r="G185" s="15">
        <f>IF(OR(G183="",C183=""),"",IF(C183&lt;=0,"",IFERROR(G183/C183-1,"")))</f>
        <v/>
      </c>
      <c r="H185" s="15">
        <f>IF(OR(H183="",D183=""),"",IF(D183&lt;=0,"",IFERROR(H183/D183-1,"")))</f>
        <v/>
      </c>
      <c r="I185" s="15">
        <f>IF(OR(I183="",E183=""),"",IF(E183&lt;=0,"",IFERROR(I183/E183-1,"")))</f>
        <v/>
      </c>
      <c r="J185" s="15">
        <f>IF(OR(J183="",F183=""),"",IF(F183&lt;=0,"",IFERROR(J183/F183-1,"")))</f>
        <v/>
      </c>
      <c r="K185" s="15">
        <f>IF(OR(K183="",G183=""),"",IF(G183&lt;=0,"",IFERROR(K183/G183-1,"")))</f>
        <v/>
      </c>
      <c r="L185" s="15">
        <f>IF(OR(L183="",H183=""),"",IF(H183&lt;=0,"",IFERROR(L183/H183-1,"")))</f>
        <v/>
      </c>
      <c r="M185" s="15">
        <f>IF(OR(M183="",I183=""),"",IF(I183&lt;=0,"",IFERROR(M183/I183-1,"")))</f>
        <v/>
      </c>
      <c r="N185" s="15">
        <f>IF(OR(N183="",J183=""),"",IF(J183&lt;=0,"",IFERROR(N183/J183-1,"")))</f>
        <v/>
      </c>
      <c r="V185" s="15">
        <f>IF(OR(V183="",U183=""),"",IF(U183&lt;=0,"",IFERROR(V183/U183-1,"")))</f>
        <v/>
      </c>
      <c r="W185" s="15">
        <f>IF(OR(W183="",V183=""),"",IF(V183&lt;=0,"",IFERROR(W183/V183-1,"")))</f>
        <v/>
      </c>
      <c r="X185" s="15">
        <f>IF(OR(X183="",W183=""),"",IF(W183&lt;=0,"",IFERROR(X183/W183-1,"")))</f>
        <v/>
      </c>
    </row>
    <row r="186">
      <c r="A186" s="18" t="inlineStr">
        <is>
          <t>보고부문 합계 · Segment Profit Loss</t>
        </is>
      </c>
      <c r="C186" s="20" t="n">
        <v>231421</v>
      </c>
      <c r="D186" s="20" t="n">
        <v>79418</v>
      </c>
      <c r="E186" s="20" t="n">
        <v>237746</v>
      </c>
      <c r="F186" s="20" t="n">
        <v>242719</v>
      </c>
      <c r="G186" s="20" t="n">
        <v>225492</v>
      </c>
      <c r="H186" s="20" t="n">
        <v>93887</v>
      </c>
      <c r="I186" s="20" t="n">
        <v>268781</v>
      </c>
      <c r="J186" s="20" t="n">
        <v>278707</v>
      </c>
      <c r="K186" s="20" t="n">
        <v>303445</v>
      </c>
      <c r="L186" s="20" t="n">
        <v>109817</v>
      </c>
      <c r="M186" s="20" t="n">
        <v>327154</v>
      </c>
      <c r="N186" s="20" t="n">
        <v>359817</v>
      </c>
      <c r="V186" s="20" t="n">
        <v>79418</v>
      </c>
      <c r="W186" s="20" t="n">
        <v>93887</v>
      </c>
      <c r="X186" s="20" t="n">
        <v>109817</v>
      </c>
    </row>
    <row r="187">
      <c r="A187" s="43" t="inlineStr">
        <is>
          <t>OPM</t>
        </is>
      </c>
      <c r="B187" s="3" t="inlineStr">
        <is>
          <t>영업이익 ÷ 매출</t>
        </is>
      </c>
      <c r="C187" s="15">
        <f>IF(OR(C186="",C170=""),"",IF(C170&lt;=0,"",IFERROR(C186/C170,"")))</f>
        <v/>
      </c>
      <c r="D187" s="15">
        <f>IF(OR(D186="",D170=""),"",IF(D170&lt;=0,"",IFERROR(D186/D170,"")))</f>
        <v/>
      </c>
      <c r="E187" s="15">
        <f>IF(OR(E186="",E170=""),"",IF(E170&lt;=0,"",IFERROR(E186/E170,"")))</f>
        <v/>
      </c>
      <c r="F187" s="15">
        <f>IF(OR(F186="",F170=""),"",IF(F170&lt;=0,"",IFERROR(F186/F170,"")))</f>
        <v/>
      </c>
      <c r="G187" s="15">
        <f>IF(OR(G186="",G170=""),"",IF(G170&lt;=0,"",IFERROR(G186/G170,"")))</f>
        <v/>
      </c>
      <c r="H187" s="15">
        <f>IF(OR(H186="",H170=""),"",IF(H170&lt;=0,"",IFERROR(H186/H170,"")))</f>
        <v/>
      </c>
      <c r="I187" s="15">
        <f>IF(OR(I186="",I170=""),"",IF(I170&lt;=0,"",IFERROR(I186/I170,"")))</f>
        <v/>
      </c>
      <c r="J187" s="15">
        <f>IF(OR(J186="",J170=""),"",IF(J170&lt;=0,"",IFERROR(J186/J170,"")))</f>
        <v/>
      </c>
      <c r="K187" s="15">
        <f>IF(OR(K186="",K170=""),"",IF(K170&lt;=0,"",IFERROR(K186/K170,"")))</f>
        <v/>
      </c>
      <c r="L187" s="15">
        <f>IF(OR(L186="",L170=""),"",IF(L170&lt;=0,"",IFERROR(L186/L170,"")))</f>
        <v/>
      </c>
      <c r="M187" s="15">
        <f>IF(OR(M186="",M170=""),"",IF(M170&lt;=0,"",IFERROR(M186/M170,"")))</f>
        <v/>
      </c>
      <c r="N187" s="15">
        <f>IF(OR(N186="",N170=""),"",IF(N170&lt;=0,"",IFERROR(N186/N170,"")))</f>
        <v/>
      </c>
      <c r="V187" s="15">
        <f>IF(OR(V186="",V170=""),"",IF(V170&lt;=0,"",IFERROR(V186/V170,"")))</f>
        <v/>
      </c>
      <c r="W187" s="15">
        <f>IF(OR(W186="",W170=""),"",IF(W170&lt;=0,"",IFERROR(W186/W170,"")))</f>
        <v/>
      </c>
      <c r="X187" s="15">
        <f>IF(OR(X186="",X170=""),"",IF(X170&lt;=0,"",IFERROR(X186/X170,"")))</f>
        <v/>
      </c>
    </row>
    <row r="188">
      <c r="A188" s="43" t="inlineStr">
        <is>
          <t>YoY</t>
        </is>
      </c>
      <c r="B188" s="3" t="inlineStr">
        <is>
          <t>전년 같은 분기·전년 대비</t>
        </is>
      </c>
      <c r="G188" s="15">
        <f>IF(OR(G186="",C186=""),"",IF(C186&lt;=0,"",IFERROR(G186/C186-1,"")))</f>
        <v/>
      </c>
      <c r="H188" s="15">
        <f>IF(OR(H186="",D186=""),"",IF(D186&lt;=0,"",IFERROR(H186/D186-1,"")))</f>
        <v/>
      </c>
      <c r="I188" s="15">
        <f>IF(OR(I186="",E186=""),"",IF(E186&lt;=0,"",IFERROR(I186/E186-1,"")))</f>
        <v/>
      </c>
      <c r="J188" s="15">
        <f>IF(OR(J186="",F186=""),"",IF(F186&lt;=0,"",IFERROR(J186/F186-1,"")))</f>
        <v/>
      </c>
      <c r="K188" s="15">
        <f>IF(OR(K186="",G186=""),"",IF(G186&lt;=0,"",IFERROR(K186/G186-1,"")))</f>
        <v/>
      </c>
      <c r="L188" s="15">
        <f>IF(OR(L186="",H186=""),"",IF(H186&lt;=0,"",IFERROR(L186/H186-1,"")))</f>
        <v/>
      </c>
      <c r="M188" s="15">
        <f>IF(OR(M186="",I186=""),"",IF(I186&lt;=0,"",IFERROR(M186/I186-1,"")))</f>
        <v/>
      </c>
      <c r="N188" s="15">
        <f>IF(OR(N186="",J186=""),"",IF(J186&lt;=0,"",IFERROR(N186/J186-1,"")))</f>
        <v/>
      </c>
      <c r="V188" s="15">
        <f>IF(OR(V186="",U186=""),"",IF(U186&lt;=0,"",IFERROR(V186/U186-1,"")))</f>
        <v/>
      </c>
      <c r="W188" s="15">
        <f>IF(OR(W186="",V186=""),"",IF(V186&lt;=0,"",IFERROR(W186/V186-1,"")))</f>
        <v/>
      </c>
      <c r="X188" s="15">
        <f>IF(OR(X186="",W186=""),"",IF(W186&lt;=0,"",IFERROR(X186/W186-1,"")))</f>
        <v/>
      </c>
    </row>
    <row r="189">
      <c r="A189" s="18" t="inlineStr">
        <is>
          <t>기타 · Segment Profit Loss</t>
        </is>
      </c>
      <c r="C189" s="20" t="n">
        <v>-9900</v>
      </c>
      <c r="D189" s="20" t="n">
        <v>-15875</v>
      </c>
      <c r="E189" s="20" t="n">
        <v>-11074</v>
      </c>
      <c r="F189" s="20" t="n">
        <v>-16350</v>
      </c>
      <c r="G189" s="20" t="n">
        <v>-11227</v>
      </c>
      <c r="H189" s="20" t="n">
        <v>-18563</v>
      </c>
      <c r="I189" s="20" t="n">
        <v>-11900</v>
      </c>
      <c r="J189" s="20" t="n">
        <v>-11093</v>
      </c>
      <c r="K189" s="20" t="n">
        <v>-13243</v>
      </c>
      <c r="L189" s="20" t="n">
        <v>-22333</v>
      </c>
      <c r="M189" s="20" t="n">
        <v>-11637</v>
      </c>
      <c r="N189" s="20" t="n">
        <v>-13632</v>
      </c>
      <c r="V189" s="20" t="n">
        <v>-15875</v>
      </c>
      <c r="W189" s="20" t="n">
        <v>-18563</v>
      </c>
      <c r="X189" s="20" t="n">
        <v>-22333</v>
      </c>
    </row>
    <row r="190">
      <c r="A190" s="43" t="inlineStr">
        <is>
          <t>OPM</t>
        </is>
      </c>
      <c r="B190" s="3" t="inlineStr">
        <is>
          <t>영업이익 ÷ 매출</t>
        </is>
      </c>
      <c r="C190" s="15">
        <f>IF(OR(C189="",C172=""),"",IF(C172&lt;=0,"",IFERROR(C189/C172,"")))</f>
        <v/>
      </c>
      <c r="D190" s="15">
        <f>IF(OR(D189="",D172=""),"",IF(D172&lt;=0,"",IFERROR(D189/D172,"")))</f>
        <v/>
      </c>
      <c r="E190" s="15">
        <f>IF(OR(E189="",E172=""),"",IF(E172&lt;=0,"",IFERROR(E189/E172,"")))</f>
        <v/>
      </c>
      <c r="F190" s="15">
        <f>IF(OR(F189="",F172=""),"",IF(F172&lt;=0,"",IFERROR(F189/F172,"")))</f>
        <v/>
      </c>
      <c r="G190" s="15">
        <f>IF(OR(G189="",G172=""),"",IF(G172&lt;=0,"",IFERROR(G189/G172,"")))</f>
        <v/>
      </c>
      <c r="H190" s="15">
        <f>IF(OR(H189="",H172=""),"",IF(H172&lt;=0,"",IFERROR(H189/H172,"")))</f>
        <v/>
      </c>
      <c r="I190" s="15">
        <f>IF(OR(I189="",I172=""),"",IF(I172&lt;=0,"",IFERROR(I189/I172,"")))</f>
        <v/>
      </c>
      <c r="J190" s="15">
        <f>IF(OR(J189="",J172=""),"",IF(J172&lt;=0,"",IFERROR(J189/J172,"")))</f>
        <v/>
      </c>
      <c r="K190" s="15">
        <f>IF(OR(K189="",K172=""),"",IF(K172&lt;=0,"",IFERROR(K189/K172,"")))</f>
        <v/>
      </c>
      <c r="L190" s="15">
        <f>IF(OR(L189="",L172=""),"",IF(L172&lt;=0,"",IFERROR(L189/L172,"")))</f>
        <v/>
      </c>
      <c r="M190" s="15">
        <f>IF(OR(M189="",M172=""),"",IF(M172&lt;=0,"",IFERROR(M189/M172,"")))</f>
        <v/>
      </c>
      <c r="N190" s="15">
        <f>IF(OR(N189="",N172=""),"",IF(N172&lt;=0,"",IFERROR(N189/N172,"")))</f>
        <v/>
      </c>
      <c r="V190" s="15">
        <f>IF(OR(V189="",V172=""),"",IF(V172&lt;=0,"",IFERROR(V189/V172,"")))</f>
        <v/>
      </c>
      <c r="W190" s="15">
        <f>IF(OR(W189="",W172=""),"",IF(W172&lt;=0,"",IFERROR(W189/W172,"")))</f>
        <v/>
      </c>
      <c r="X190" s="15">
        <f>IF(OR(X189="",X172=""),"",IF(X172&lt;=0,"",IFERROR(X189/X172,"")))</f>
        <v/>
      </c>
    </row>
    <row r="191">
      <c r="A191" s="43" t="inlineStr">
        <is>
          <t>YoY</t>
        </is>
      </c>
      <c r="B191" s="3" t="inlineStr">
        <is>
          <t>전년 같은 분기·전년 대비</t>
        </is>
      </c>
      <c r="G191" s="15">
        <f>IF(OR(G189="",C189=""),"",IF(C189&lt;=0,"",IFERROR(G189/C189-1,"")))</f>
        <v/>
      </c>
      <c r="H191" s="15">
        <f>IF(OR(H189="",D189=""),"",IF(D189&lt;=0,"",IFERROR(H189/D189-1,"")))</f>
        <v/>
      </c>
      <c r="I191" s="15">
        <f>IF(OR(I189="",E189=""),"",IF(E189&lt;=0,"",IFERROR(I189/E189-1,"")))</f>
        <v/>
      </c>
      <c r="J191" s="15">
        <f>IF(OR(J189="",F189=""),"",IF(F189&lt;=0,"",IFERROR(J189/F189-1,"")))</f>
        <v/>
      </c>
      <c r="K191" s="15">
        <f>IF(OR(K189="",G189=""),"",IF(G189&lt;=0,"",IFERROR(K189/G189-1,"")))</f>
        <v/>
      </c>
      <c r="L191" s="15">
        <f>IF(OR(L189="",H189=""),"",IF(H189&lt;=0,"",IFERROR(L189/H189-1,"")))</f>
        <v/>
      </c>
      <c r="M191" s="15">
        <f>IF(OR(M189="",I189=""),"",IF(I189&lt;=0,"",IFERROR(M189/I189-1,"")))</f>
        <v/>
      </c>
      <c r="N191" s="15">
        <f>IF(OR(N189="",J189=""),"",IF(J189&lt;=0,"",IFERROR(N189/J189-1,"")))</f>
        <v/>
      </c>
      <c r="V191" s="15">
        <f>IF(OR(V189="",U189=""),"",IF(U189&lt;=0,"",IFERROR(V189/U189-1,"")))</f>
        <v/>
      </c>
      <c r="W191" s="15">
        <f>IF(OR(W189="",V189=""),"",IF(V189&lt;=0,"",IFERROR(W189/V189-1,"")))</f>
        <v/>
      </c>
      <c r="X191" s="15">
        <f>IF(OR(X189="",W189=""),"",IF(W189&lt;=0,"",IFERROR(X189/W189-1,"")))</f>
        <v/>
      </c>
    </row>
    <row r="192">
      <c r="A192" s="18" t="inlineStr">
        <is>
          <t>조정액 · Segment Profit Loss</t>
        </is>
      </c>
      <c r="C192" s="20" t="n">
        <v>4</v>
      </c>
      <c r="D192" s="20" t="n">
        <v>103</v>
      </c>
      <c r="E192" s="20" t="n">
        <v>24</v>
      </c>
      <c r="F192" s="20" t="n">
        <v>0</v>
      </c>
      <c r="G192" s="20" t="n">
        <v>-4</v>
      </c>
      <c r="H192" s="20" t="n">
        <v>-20</v>
      </c>
      <c r="I192" s="20" t="n">
        <v>15</v>
      </c>
      <c r="J192" s="20" t="n">
        <v>-18</v>
      </c>
      <c r="K192" s="20" t="n">
        <v>10</v>
      </c>
      <c r="L192" s="20" t="n">
        <v>20</v>
      </c>
      <c r="M192" s="20" t="n">
        <v>3</v>
      </c>
      <c r="N192" s="20" t="n">
        <v>15</v>
      </c>
      <c r="V192" s="20" t="n">
        <v>103</v>
      </c>
      <c r="W192" s="20" t="n">
        <v>-20</v>
      </c>
      <c r="X192" s="20" t="n">
        <v>20</v>
      </c>
    </row>
    <row r="193">
      <c r="A193" s="18" t="inlineStr">
        <is>
          <t>Segment Profit Loss</t>
        </is>
      </c>
      <c r="C193" s="20" t="n">
        <v>221524</v>
      </c>
      <c r="D193" s="20" t="n">
        <v>63646</v>
      </c>
      <c r="E193" s="20" t="n">
        <v>226695</v>
      </c>
      <c r="F193" s="20" t="n">
        <v>226370</v>
      </c>
      <c r="G193" s="20" t="n">
        <v>214261</v>
      </c>
      <c r="H193" s="20" t="n">
        <v>75303</v>
      </c>
      <c r="I193" s="20" t="n">
        <v>256896</v>
      </c>
      <c r="J193" s="20" t="n">
        <v>267597</v>
      </c>
      <c r="K193" s="20" t="n">
        <v>290211</v>
      </c>
      <c r="L193" s="20" t="n">
        <v>87503</v>
      </c>
      <c r="M193" s="20" t="n">
        <v>315520</v>
      </c>
      <c r="N193" s="20" t="n">
        <v>346201</v>
      </c>
      <c r="V193" s="20" t="n">
        <v>63646</v>
      </c>
      <c r="W193" s="20" t="n">
        <v>75303</v>
      </c>
      <c r="X193" s="20" t="n">
        <v>87503</v>
      </c>
    </row>
    <row r="194">
      <c r="A194" s="18" t="inlineStr">
        <is>
          <t>부문 · Amortization Cost Of Acquired Intangibles Arising From Business Acquisitions</t>
        </is>
      </c>
      <c r="C194" s="20" t="n">
        <v>14499</v>
      </c>
      <c r="D194" s="20" t="n">
        <v>13798</v>
      </c>
      <c r="E194" s="20" t="n">
        <v>12952</v>
      </c>
      <c r="F194" s="20" t="n">
        <v>13302</v>
      </c>
      <c r="G194" s="20" t="n">
        <v>12112</v>
      </c>
      <c r="H194" s="20" t="n">
        <v>17317</v>
      </c>
      <c r="I194" s="20" t="n">
        <v>17488</v>
      </c>
      <c r="J194" s="20" t="n">
        <v>17557</v>
      </c>
      <c r="K194" s="20" t="n">
        <v>17752</v>
      </c>
      <c r="L194" s="20" t="n">
        <v>17728</v>
      </c>
      <c r="M194" s="20" t="n">
        <v>12094</v>
      </c>
      <c r="N194" s="20" t="n">
        <v>12241</v>
      </c>
      <c r="V194" s="20" t="n">
        <v>13798</v>
      </c>
      <c r="W194" s="20" t="n">
        <v>17317</v>
      </c>
      <c r="X194" s="20" t="n">
        <v>17728</v>
      </c>
    </row>
    <row r="195">
      <c r="A195" s="18" t="inlineStr">
        <is>
          <t>부문 · Amortization Cost Of Acquired Intangibles Arising From Business Acquisitions</t>
        </is>
      </c>
      <c r="C195" s="20" t="n">
        <v>0</v>
      </c>
      <c r="D195" s="20" t="n">
        <v>0</v>
      </c>
      <c r="E195" s="20" t="n">
        <v>0</v>
      </c>
      <c r="F195" s="20" t="n">
        <v>0</v>
      </c>
      <c r="G195" s="20" t="n">
        <v>0</v>
      </c>
      <c r="H195" s="20" t="n">
        <v>0</v>
      </c>
      <c r="I195" s="20" t="n">
        <v>0</v>
      </c>
      <c r="J195" s="20" t="n">
        <v>0</v>
      </c>
      <c r="V195" s="20" t="n">
        <v>0</v>
      </c>
      <c r="W195" s="20" t="n">
        <v>0</v>
      </c>
    </row>
    <row r="196">
      <c r="A196" s="18" t="inlineStr">
        <is>
          <t>부문 · Amortization Cost Of Acquired Intangibles Arising From Business Acquisitions</t>
        </is>
      </c>
      <c r="C196" s="20" t="n">
        <v>0</v>
      </c>
      <c r="D196" s="20" t="n">
        <v>0</v>
      </c>
      <c r="E196" s="20" t="n">
        <v>0</v>
      </c>
      <c r="F196" s="20" t="n">
        <v>0</v>
      </c>
      <c r="G196" s="20" t="n">
        <v>0</v>
      </c>
      <c r="H196" s="20" t="n">
        <v>0</v>
      </c>
      <c r="I196" s="20" t="n">
        <v>0</v>
      </c>
      <c r="J196" s="20" t="n">
        <v>0</v>
      </c>
      <c r="K196" s="20" t="n">
        <v>0</v>
      </c>
      <c r="L196" s="20" t="n">
        <v>0</v>
      </c>
      <c r="M196" s="20" t="n">
        <v>0</v>
      </c>
      <c r="N196" s="20" t="n">
        <v>0</v>
      </c>
      <c r="V196" s="20" t="n">
        <v>0</v>
      </c>
      <c r="W196" s="20" t="n">
        <v>0</v>
      </c>
      <c r="X196" s="20" t="n">
        <v>0</v>
      </c>
    </row>
    <row r="197">
      <c r="A197" s="18" t="inlineStr">
        <is>
          <t>보고부문 합계 · Amortization Cost Of Acquired Intangibles Arising From Business Acquisitions</t>
        </is>
      </c>
      <c r="C197" s="20" t="n">
        <v>14499</v>
      </c>
      <c r="D197" s="20" t="n">
        <v>13798</v>
      </c>
      <c r="E197" s="20" t="n">
        <v>12952</v>
      </c>
      <c r="F197" s="20" t="n">
        <v>13302</v>
      </c>
      <c r="G197" s="20" t="n">
        <v>12112</v>
      </c>
      <c r="H197" s="20" t="n">
        <v>17317</v>
      </c>
      <c r="I197" s="20" t="n">
        <v>17488</v>
      </c>
      <c r="J197" s="20" t="n">
        <v>17557</v>
      </c>
      <c r="K197" s="20" t="n">
        <v>17752</v>
      </c>
      <c r="L197" s="20" t="n">
        <v>17728</v>
      </c>
      <c r="M197" s="20" t="n">
        <v>12094</v>
      </c>
      <c r="N197" s="20" t="n">
        <v>12241</v>
      </c>
      <c r="V197" s="20" t="n">
        <v>13798</v>
      </c>
      <c r="W197" s="20" t="n">
        <v>17317</v>
      </c>
      <c r="X197" s="20" t="n">
        <v>17728</v>
      </c>
    </row>
    <row r="198">
      <c r="A198" s="18" t="inlineStr">
        <is>
          <t>기타 · Amortization Cost Of Acquired Intangibles Arising From Business Acquisitions</t>
        </is>
      </c>
      <c r="C198" s="20" t="n">
        <v>0</v>
      </c>
      <c r="D198" s="20" t="n">
        <v>0</v>
      </c>
      <c r="E198" s="20" t="n">
        <v>0</v>
      </c>
      <c r="F198" s="20" t="n">
        <v>0</v>
      </c>
      <c r="G198" s="20" t="n">
        <v>0</v>
      </c>
      <c r="H198" s="20" t="n">
        <v>0</v>
      </c>
      <c r="I198" s="20" t="n">
        <v>0</v>
      </c>
      <c r="J198" s="20" t="n">
        <v>0</v>
      </c>
      <c r="K198" s="20" t="n">
        <v>0</v>
      </c>
      <c r="L198" s="20" t="n">
        <v>0</v>
      </c>
      <c r="M198" s="20" t="n">
        <v>0</v>
      </c>
      <c r="N198" s="20" t="n">
        <v>0</v>
      </c>
      <c r="V198" s="20" t="n">
        <v>0</v>
      </c>
      <c r="W198" s="20" t="n">
        <v>0</v>
      </c>
      <c r="X198" s="20" t="n">
        <v>0</v>
      </c>
    </row>
    <row r="199">
      <c r="A199" s="18" t="inlineStr">
        <is>
          <t>조정액 · Amortization Cost Of Acquired Intangibles Arising From Business Acquisitions</t>
        </is>
      </c>
      <c r="C199" s="20" t="n">
        <v>0</v>
      </c>
      <c r="D199" s="20" t="n">
        <v>0</v>
      </c>
      <c r="E199" s="20" t="n">
        <v>0</v>
      </c>
      <c r="F199" s="20" t="n">
        <v>0</v>
      </c>
      <c r="G199" s="20" t="n">
        <v>0</v>
      </c>
      <c r="H199" s="20" t="n">
        <v>0</v>
      </c>
      <c r="I199" s="20" t="n">
        <v>0</v>
      </c>
      <c r="J199" s="20" t="n">
        <v>0</v>
      </c>
      <c r="K199" s="20" t="n">
        <v>0</v>
      </c>
      <c r="L199" s="20" t="n">
        <v>0</v>
      </c>
      <c r="M199" s="20" t="n">
        <v>0</v>
      </c>
      <c r="N199" s="20" t="n">
        <v>0</v>
      </c>
      <c r="V199" s="20" t="n">
        <v>0</v>
      </c>
      <c r="W199" s="20" t="n">
        <v>0</v>
      </c>
      <c r="X199" s="20" t="n">
        <v>0</v>
      </c>
    </row>
    <row r="200">
      <c r="A200" s="18" t="inlineStr">
        <is>
          <t>Amortization Cost Of Acquired Intangibles Arising From Business Acquisitions</t>
        </is>
      </c>
      <c r="C200" s="20" t="n">
        <v>14499</v>
      </c>
      <c r="D200" s="20" t="n">
        <v>13798</v>
      </c>
      <c r="E200" s="20" t="n">
        <v>12952</v>
      </c>
      <c r="F200" s="20" t="n">
        <v>13302</v>
      </c>
      <c r="G200" s="20" t="n">
        <v>12112</v>
      </c>
      <c r="H200" s="20" t="n">
        <v>17317</v>
      </c>
      <c r="I200" s="20" t="n">
        <v>17488</v>
      </c>
      <c r="J200" s="20" t="n">
        <v>17557</v>
      </c>
      <c r="K200" s="20" t="n">
        <v>17752</v>
      </c>
      <c r="L200" s="20" t="n">
        <v>17728</v>
      </c>
      <c r="M200" s="20" t="n">
        <v>12094</v>
      </c>
      <c r="N200" s="20" t="n">
        <v>12241</v>
      </c>
      <c r="V200" s="20" t="n">
        <v>13798</v>
      </c>
      <c r="W200" s="20" t="n">
        <v>17317</v>
      </c>
      <c r="X200" s="20" t="n">
        <v>17728</v>
      </c>
    </row>
    <row r="201">
      <c r="A201" s="18" t="inlineStr">
        <is>
          <t>부문 · Canada Adjustment</t>
        </is>
      </c>
      <c r="I201" s="20" t="n">
        <v>5261</v>
      </c>
      <c r="J201" s="20" t="n">
        <v>5961</v>
      </c>
      <c r="M201" s="20" t="n">
        <v>3994</v>
      </c>
      <c r="N201" s="20" t="n">
        <v>4195</v>
      </c>
    </row>
    <row r="202">
      <c r="A202" s="18" t="inlineStr">
        <is>
          <t>부문 · Canada Adjustment</t>
        </is>
      </c>
      <c r="I202" s="20" t="n">
        <v>0</v>
      </c>
      <c r="J202" s="20" t="n">
        <v>0</v>
      </c>
      <c r="M202" s="20" t="n">
        <v>0</v>
      </c>
      <c r="N202" s="20" t="n">
        <v>0</v>
      </c>
    </row>
    <row r="203">
      <c r="A203" s="18" t="inlineStr">
        <is>
          <t>보고부문 합계 · Canada Adjustment</t>
        </is>
      </c>
      <c r="I203" s="20" t="n">
        <v>5261</v>
      </c>
      <c r="J203" s="20" t="n">
        <v>5961</v>
      </c>
      <c r="M203" s="20" t="n">
        <v>3994</v>
      </c>
      <c r="N203" s="20" t="n">
        <v>4195</v>
      </c>
    </row>
    <row r="204">
      <c r="A204" s="18" t="inlineStr">
        <is>
          <t>기타 · Canada Adjustment</t>
        </is>
      </c>
      <c r="I204" s="20" t="n">
        <v>0</v>
      </c>
      <c r="J204" s="20" t="n">
        <v>0</v>
      </c>
      <c r="M204" s="20" t="n">
        <v>0</v>
      </c>
      <c r="N204" s="20" t="n">
        <v>0</v>
      </c>
    </row>
    <row r="205">
      <c r="A205" s="18" t="inlineStr">
        <is>
          <t>조정액 · Canada Adjustment</t>
        </is>
      </c>
      <c r="I205" s="20" t="n">
        <v>0</v>
      </c>
      <c r="J205" s="20" t="n">
        <v>0</v>
      </c>
      <c r="M205" s="20" t="n">
        <v>0</v>
      </c>
      <c r="N205" s="20" t="n">
        <v>0</v>
      </c>
    </row>
    <row r="206">
      <c r="A206" s="18" t="inlineStr">
        <is>
          <t>Canada Adjustment</t>
        </is>
      </c>
      <c r="I206" s="20" t="n">
        <v>5261</v>
      </c>
      <c r="J206" s="20" t="n">
        <v>5961</v>
      </c>
      <c r="M206" s="20" t="n">
        <v>3994</v>
      </c>
      <c r="N206" s="20" t="n">
        <v>4195</v>
      </c>
    </row>
    <row r="207">
      <c r="A207" s="18" t="inlineStr">
        <is>
          <t>부문 · Adjustment Items Income</t>
        </is>
      </c>
      <c r="C207" s="20" t="n">
        <v>395</v>
      </c>
      <c r="D207" s="20" t="n">
        <v>-77</v>
      </c>
      <c r="E207" s="20" t="n">
        <v>7</v>
      </c>
      <c r="F207" s="20" t="n">
        <v>3132</v>
      </c>
      <c r="G207" s="20" t="n">
        <v>2</v>
      </c>
      <c r="H207" s="20" t="n">
        <v>2427</v>
      </c>
      <c r="I207" s="20" t="n">
        <v>4</v>
      </c>
      <c r="J207" s="20" t="n">
        <v>0</v>
      </c>
      <c r="K207" s="20" t="n">
        <v>345</v>
      </c>
      <c r="L207" s="20" t="n">
        <v>52883</v>
      </c>
      <c r="M207" s="20" t="n">
        <v>11</v>
      </c>
      <c r="N207" s="20" t="n">
        <v>0</v>
      </c>
      <c r="V207" s="20" t="n">
        <v>-77</v>
      </c>
      <c r="W207" s="20" t="n">
        <v>2427</v>
      </c>
      <c r="X207" s="20" t="n">
        <v>52883</v>
      </c>
    </row>
    <row r="208">
      <c r="A208" s="18" t="inlineStr">
        <is>
          <t>부문 · Adjustment Items Income</t>
        </is>
      </c>
      <c r="C208" s="20" t="n">
        <v>0</v>
      </c>
      <c r="D208" s="20" t="n">
        <v>0</v>
      </c>
      <c r="E208" s="20" t="n">
        <v>0</v>
      </c>
      <c r="F208" s="20" t="n">
        <v>0</v>
      </c>
      <c r="G208" s="20" t="n">
        <v>0</v>
      </c>
      <c r="H208" s="20" t="n">
        <v>0</v>
      </c>
      <c r="I208" s="20" t="n">
        <v>0</v>
      </c>
      <c r="J208" s="20" t="n">
        <v>0</v>
      </c>
      <c r="V208" s="20" t="n">
        <v>0</v>
      </c>
      <c r="W208" s="20" t="n">
        <v>0</v>
      </c>
    </row>
    <row r="209">
      <c r="A209" s="18" t="inlineStr">
        <is>
          <t>부문 · Adjustment Items Income</t>
        </is>
      </c>
      <c r="C209" s="20" t="n">
        <v>11</v>
      </c>
      <c r="D209" s="20" t="n">
        <v>11</v>
      </c>
      <c r="E209" s="20" t="n">
        <v>0</v>
      </c>
      <c r="F209" s="20" t="n">
        <v>0</v>
      </c>
      <c r="G209" s="20" t="n">
        <v>0</v>
      </c>
      <c r="H209" s="20" t="n">
        <v>446</v>
      </c>
      <c r="I209" s="20" t="n">
        <v>435</v>
      </c>
      <c r="J209" s="20" t="n">
        <v>-11</v>
      </c>
      <c r="K209" s="20" t="n">
        <v>477</v>
      </c>
      <c r="L209" s="20" t="n">
        <v>233</v>
      </c>
      <c r="M209" s="20" t="n">
        <v>0</v>
      </c>
      <c r="N209" s="20" t="n">
        <v>2279</v>
      </c>
      <c r="V209" s="20" t="n">
        <v>11</v>
      </c>
      <c r="W209" s="20" t="n">
        <v>446</v>
      </c>
      <c r="X209" s="20" t="n">
        <v>233</v>
      </c>
    </row>
    <row r="210">
      <c r="A210" s="18" t="inlineStr">
        <is>
          <t>보고부문 합계 · Adjustment Items Income</t>
        </is>
      </c>
      <c r="C210" s="20" t="n">
        <v>406</v>
      </c>
      <c r="D210" s="20" t="n">
        <v>-67</v>
      </c>
      <c r="E210" s="20" t="n">
        <v>7</v>
      </c>
      <c r="F210" s="20" t="n">
        <v>3132</v>
      </c>
      <c r="G210" s="20" t="n">
        <v>2</v>
      </c>
      <c r="H210" s="20" t="n">
        <v>2872</v>
      </c>
      <c r="I210" s="20" t="n">
        <v>438</v>
      </c>
      <c r="J210" s="20" t="n">
        <v>-10</v>
      </c>
      <c r="K210" s="20" t="n">
        <v>822</v>
      </c>
      <c r="L210" s="20" t="n">
        <v>53115</v>
      </c>
      <c r="M210" s="20" t="n">
        <v>11</v>
      </c>
      <c r="N210" s="20" t="n">
        <v>2279</v>
      </c>
      <c r="V210" s="20" t="n">
        <v>-67</v>
      </c>
      <c r="W210" s="20" t="n">
        <v>2872</v>
      </c>
      <c r="X210" s="20" t="n">
        <v>53115</v>
      </c>
    </row>
    <row r="211">
      <c r="A211" s="18" t="inlineStr">
        <is>
          <t>기타 · Adjustment Items Income</t>
        </is>
      </c>
      <c r="C211" s="20" t="n">
        <v>10687</v>
      </c>
      <c r="D211" s="20" t="n">
        <v>4173</v>
      </c>
      <c r="E211" s="20" t="n">
        <v>1956</v>
      </c>
      <c r="F211" s="20" t="n">
        <v>849</v>
      </c>
      <c r="G211" s="20" t="n">
        <v>3325</v>
      </c>
      <c r="H211" s="20" t="n">
        <v>3477</v>
      </c>
      <c r="I211" s="20" t="n">
        <v>3</v>
      </c>
      <c r="J211" s="20" t="n">
        <v>4</v>
      </c>
      <c r="K211" s="20" t="n">
        <v>1871</v>
      </c>
      <c r="L211" s="20" t="n">
        <v>11872</v>
      </c>
      <c r="M211" s="20" t="n">
        <v>0</v>
      </c>
      <c r="N211" s="20" t="n">
        <v>0</v>
      </c>
      <c r="V211" s="20" t="n">
        <v>4173</v>
      </c>
      <c r="W211" s="20" t="n">
        <v>3477</v>
      </c>
      <c r="X211" s="20" t="n">
        <v>11872</v>
      </c>
    </row>
    <row r="212">
      <c r="A212" s="18" t="inlineStr">
        <is>
          <t>조정액 · Adjustment Items Income</t>
        </is>
      </c>
      <c r="C212" s="20" t="n">
        <v>0</v>
      </c>
      <c r="D212" s="20" t="n">
        <v>0</v>
      </c>
      <c r="E212" s="20" t="n">
        <v>0</v>
      </c>
      <c r="F212" s="20" t="n">
        <v>0</v>
      </c>
      <c r="G212" s="20" t="n">
        <v>0</v>
      </c>
      <c r="H212" s="20" t="n">
        <v>0</v>
      </c>
      <c r="I212" s="20" t="n">
        <v>0</v>
      </c>
      <c r="J212" s="20" t="n">
        <v>0</v>
      </c>
      <c r="K212" s="20" t="n">
        <v>0</v>
      </c>
      <c r="L212" s="20" t="n">
        <v>0</v>
      </c>
      <c r="M212" s="20" t="n">
        <v>0</v>
      </c>
      <c r="N212" s="20" t="n">
        <v>0</v>
      </c>
      <c r="V212" s="20" t="n">
        <v>0</v>
      </c>
      <c r="W212" s="20" t="n">
        <v>0</v>
      </c>
      <c r="X212" s="20" t="n">
        <v>0</v>
      </c>
    </row>
    <row r="213">
      <c r="A213" s="18" t="inlineStr">
        <is>
          <t>Adjustment Items Income</t>
        </is>
      </c>
      <c r="C213" s="20" t="n">
        <v>11093</v>
      </c>
      <c r="D213" s="20" t="n">
        <v>4107</v>
      </c>
      <c r="E213" s="20" t="n">
        <v>1963</v>
      </c>
      <c r="F213" s="20" t="n">
        <v>3981</v>
      </c>
      <c r="G213" s="20" t="n">
        <v>3326</v>
      </c>
      <c r="H213" s="20" t="n">
        <v>6351</v>
      </c>
      <c r="I213" s="20" t="n">
        <v>442</v>
      </c>
      <c r="J213" s="20" t="n">
        <v>-7</v>
      </c>
      <c r="K213" s="20" t="n">
        <v>2693</v>
      </c>
      <c r="L213" s="20" t="n">
        <v>64987</v>
      </c>
      <c r="M213" s="20" t="n">
        <v>11</v>
      </c>
      <c r="N213" s="20" t="n">
        <v>2279</v>
      </c>
      <c r="V213" s="20" t="n">
        <v>4107</v>
      </c>
      <c r="W213" s="20" t="n">
        <v>6351</v>
      </c>
      <c r="X213" s="20" t="n">
        <v>64987</v>
      </c>
    </row>
    <row r="214">
      <c r="A214" s="18" t="inlineStr">
        <is>
          <t>부문 · Adjustment Items Costs</t>
        </is>
      </c>
      <c r="C214" s="20" t="n">
        <v>-336</v>
      </c>
      <c r="D214" s="20" t="n">
        <v>13227</v>
      </c>
      <c r="E214" s="20" t="n">
        <v>-291</v>
      </c>
      <c r="F214" s="20" t="n">
        <v>-336</v>
      </c>
      <c r="G214" s="20" t="n">
        <v>6601</v>
      </c>
      <c r="H214" s="20" t="n">
        <v>381100</v>
      </c>
      <c r="I214" s="20" t="n">
        <v>134</v>
      </c>
      <c r="J214" s="20" t="n">
        <v>18</v>
      </c>
      <c r="K214" s="20" t="n">
        <v>507</v>
      </c>
      <c r="L214" s="20" t="n">
        <v>28856</v>
      </c>
      <c r="M214" s="20" t="n">
        <v>751</v>
      </c>
      <c r="N214" s="20" t="n">
        <v>101</v>
      </c>
      <c r="V214" s="20" t="n">
        <v>13227</v>
      </c>
      <c r="W214" s="20" t="n">
        <v>381100</v>
      </c>
      <c r="X214" s="20" t="n">
        <v>28856</v>
      </c>
    </row>
    <row r="215">
      <c r="A215" s="18" t="inlineStr">
        <is>
          <t>부문 · Adjustment Items Costs</t>
        </is>
      </c>
      <c r="C215" s="20" t="n">
        <v>0</v>
      </c>
      <c r="D215" s="20" t="n">
        <v>0</v>
      </c>
      <c r="E215" s="20" t="n">
        <v>0</v>
      </c>
      <c r="F215" s="20" t="n">
        <v>0</v>
      </c>
      <c r="G215" s="20" t="n">
        <v>0</v>
      </c>
      <c r="H215" s="20" t="n">
        <v>0</v>
      </c>
      <c r="I215" s="20" t="n">
        <v>0</v>
      </c>
      <c r="J215" s="20" t="n">
        <v>24346</v>
      </c>
      <c r="V215" s="20" t="n">
        <v>0</v>
      </c>
      <c r="W215" s="20" t="n">
        <v>0</v>
      </c>
    </row>
    <row r="216">
      <c r="A216" s="18" t="inlineStr">
        <is>
          <t>부문 · Adjustment Items Costs</t>
        </is>
      </c>
      <c r="C216" s="20" t="n">
        <v>-6</v>
      </c>
      <c r="D216" s="20" t="n">
        <v>19</v>
      </c>
      <c r="E216" s="20" t="n">
        <v>20</v>
      </c>
      <c r="F216" s="20" t="n">
        <v>4</v>
      </c>
      <c r="G216" s="20" t="n">
        <v>6</v>
      </c>
      <c r="H216" s="20" t="n">
        <v>481</v>
      </c>
      <c r="I216" s="20" t="n">
        <v>7</v>
      </c>
      <c r="J216" s="20" t="n">
        <v>3</v>
      </c>
      <c r="K216" s="20" t="n">
        <v>13</v>
      </c>
      <c r="L216" s="20" t="n">
        <v>1803</v>
      </c>
      <c r="M216" s="20" t="n">
        <v>2094</v>
      </c>
      <c r="N216" s="20" t="n">
        <v>-111</v>
      </c>
      <c r="V216" s="20" t="n">
        <v>19</v>
      </c>
      <c r="W216" s="20" t="n">
        <v>481</v>
      </c>
      <c r="X216" s="20" t="n">
        <v>1803</v>
      </c>
    </row>
    <row r="217">
      <c r="A217" s="18" t="inlineStr">
        <is>
          <t>보고부문 합계 · Adjustment Items Costs</t>
        </is>
      </c>
      <c r="C217" s="20" t="n">
        <v>-342</v>
      </c>
      <c r="D217" s="20" t="n">
        <v>13246</v>
      </c>
      <c r="E217" s="20" t="n">
        <v>-271</v>
      </c>
      <c r="F217" s="20" t="n">
        <v>-332</v>
      </c>
      <c r="G217" s="20" t="n">
        <v>6607</v>
      </c>
      <c r="H217" s="20" t="n">
        <v>381581</v>
      </c>
      <c r="I217" s="20" t="n">
        <v>141</v>
      </c>
      <c r="J217" s="20" t="n">
        <v>21</v>
      </c>
      <c r="K217" s="20" t="n">
        <v>520</v>
      </c>
      <c r="L217" s="20" t="n">
        <v>30659</v>
      </c>
      <c r="M217" s="20" t="n">
        <v>2845</v>
      </c>
      <c r="N217" s="20" t="n">
        <v>-10</v>
      </c>
      <c r="V217" s="20" t="n">
        <v>13246</v>
      </c>
      <c r="W217" s="20" t="n">
        <v>381581</v>
      </c>
      <c r="X217" s="20" t="n">
        <v>30659</v>
      </c>
    </row>
    <row r="218">
      <c r="A218" s="18" t="inlineStr">
        <is>
          <t>기타 · Adjustment Items Costs</t>
        </is>
      </c>
      <c r="C218" s="20" t="n">
        <v>169</v>
      </c>
      <c r="D218" s="20" t="n">
        <v>145</v>
      </c>
      <c r="E218" s="20" t="n">
        <v>159</v>
      </c>
      <c r="F218" s="20" t="n">
        <v>537</v>
      </c>
      <c r="G218" s="20" t="n">
        <v>62</v>
      </c>
      <c r="H218" s="20" t="n">
        <v>2</v>
      </c>
      <c r="I218" s="20" t="n">
        <v>651</v>
      </c>
      <c r="J218" s="20" t="n">
        <v>163</v>
      </c>
      <c r="K218" s="20" t="n">
        <v>604</v>
      </c>
      <c r="L218" s="20" t="n">
        <v>0</v>
      </c>
      <c r="M218" s="20" t="n">
        <v>32</v>
      </c>
      <c r="N218" s="20" t="n">
        <v>59</v>
      </c>
      <c r="V218" s="20" t="n">
        <v>145</v>
      </c>
      <c r="W218" s="20" t="n">
        <v>2</v>
      </c>
      <c r="X218" s="20" t="n">
        <v>0</v>
      </c>
    </row>
    <row r="219">
      <c r="A219" s="18" t="inlineStr">
        <is>
          <t>조정액 · Adjustment Items Costs</t>
        </is>
      </c>
      <c r="C219" s="20" t="n">
        <v>0</v>
      </c>
      <c r="D219" s="20" t="n">
        <v>0</v>
      </c>
      <c r="E219" s="20" t="n">
        <v>0</v>
      </c>
      <c r="F219" s="20" t="n">
        <v>0</v>
      </c>
      <c r="G219" s="20" t="n">
        <v>0</v>
      </c>
      <c r="H219" s="20" t="n">
        <v>0</v>
      </c>
      <c r="I219" s="20" t="n">
        <v>0</v>
      </c>
      <c r="J219" s="20" t="n">
        <v>0</v>
      </c>
      <c r="K219" s="20" t="n">
        <v>0</v>
      </c>
      <c r="L219" s="20" t="n">
        <v>0</v>
      </c>
      <c r="M219" s="20" t="n">
        <v>0</v>
      </c>
      <c r="N219" s="20" t="n">
        <v>0</v>
      </c>
      <c r="V219" s="20" t="n">
        <v>0</v>
      </c>
      <c r="W219" s="20" t="n">
        <v>0</v>
      </c>
      <c r="X219" s="20" t="n">
        <v>0</v>
      </c>
    </row>
    <row r="220">
      <c r="A220" s="18" t="inlineStr">
        <is>
          <t>Adjustment Items Costs</t>
        </is>
      </c>
      <c r="C220" s="20" t="n">
        <v>-173</v>
      </c>
      <c r="D220" s="20" t="n">
        <v>13392</v>
      </c>
      <c r="E220" s="20" t="n">
        <v>-112</v>
      </c>
      <c r="F220" s="20" t="n">
        <v>205</v>
      </c>
      <c r="G220" s="20" t="n">
        <v>6669</v>
      </c>
      <c r="H220" s="20" t="n">
        <v>381583</v>
      </c>
      <c r="I220" s="20" t="n">
        <v>792</v>
      </c>
      <c r="J220" s="20" t="n">
        <v>183</v>
      </c>
      <c r="K220" s="20" t="n">
        <v>1125</v>
      </c>
      <c r="L220" s="20" t="n">
        <v>30659</v>
      </c>
      <c r="M220" s="20" t="n">
        <v>2877</v>
      </c>
      <c r="N220" s="20" t="n">
        <v>49</v>
      </c>
      <c r="V220" s="20" t="n">
        <v>13392</v>
      </c>
      <c r="W220" s="20" t="n">
        <v>381583</v>
      </c>
      <c r="X220" s="20" t="n">
        <v>30659</v>
      </c>
    </row>
    <row r="221">
      <c r="A221" s="18" t="inlineStr">
        <is>
          <t>부문 · Operating Profit Loss</t>
        </is>
      </c>
      <c r="C221" s="20" t="n">
        <v>212884</v>
      </c>
      <c r="D221" s="20" t="n">
        <v>45825</v>
      </c>
      <c r="E221" s="20" t="n">
        <v>219229</v>
      </c>
      <c r="F221" s="20" t="n">
        <v>230388</v>
      </c>
      <c r="G221" s="20" t="n">
        <v>208786</v>
      </c>
      <c r="H221" s="20" t="n">
        <v>-303819</v>
      </c>
      <c r="I221" s="20" t="n">
        <v>255630</v>
      </c>
      <c r="J221" s="20" t="n">
        <v>265319</v>
      </c>
      <c r="K221" s="20" t="n">
        <v>271330</v>
      </c>
      <c r="L221" s="20" t="n">
        <v>113074</v>
      </c>
      <c r="M221" s="20" t="n">
        <v>316574</v>
      </c>
      <c r="N221" s="20" t="n">
        <v>349341</v>
      </c>
      <c r="V221" s="20" t="n">
        <v>45825</v>
      </c>
      <c r="W221" s="20" t="n">
        <v>-303819</v>
      </c>
      <c r="X221" s="20" t="n">
        <v>113074</v>
      </c>
    </row>
    <row r="222">
      <c r="A222" s="43" t="inlineStr">
        <is>
          <t>OPM</t>
        </is>
      </c>
      <c r="B222" s="3" t="inlineStr">
        <is>
          <t>영업이익 ÷ 매출</t>
        </is>
      </c>
      <c r="C222" s="15">
        <f>IF(OR(C221="",C164=""),"",IF(C164&lt;=0,"",IFERROR(C221/C164,"")))</f>
        <v/>
      </c>
      <c r="D222" s="15">
        <f>IF(OR(D221="",D164=""),"",IF(D164&lt;=0,"",IFERROR(D221/D164,"")))</f>
        <v/>
      </c>
      <c r="E222" s="15">
        <f>IF(OR(E221="",E164=""),"",IF(E164&lt;=0,"",IFERROR(E221/E164,"")))</f>
        <v/>
      </c>
      <c r="F222" s="15">
        <f>IF(OR(F221="",F164=""),"",IF(F164&lt;=0,"",IFERROR(F221/F164,"")))</f>
        <v/>
      </c>
      <c r="G222" s="15">
        <f>IF(OR(G221="",G164=""),"",IF(G164&lt;=0,"",IFERROR(G221/G164,"")))</f>
        <v/>
      </c>
      <c r="H222" s="15">
        <f>IF(OR(H221="",H164=""),"",IF(H164&lt;=0,"",IFERROR(H221/H164,"")))</f>
        <v/>
      </c>
      <c r="I222" s="15">
        <f>IF(OR(I221="",I164=""),"",IF(I164&lt;=0,"",IFERROR(I221/I164,"")))</f>
        <v/>
      </c>
      <c r="J222" s="15">
        <f>IF(OR(J221="",J164=""),"",IF(J164&lt;=0,"",IFERROR(J221/J164,"")))</f>
        <v/>
      </c>
      <c r="K222" s="15">
        <f>IF(OR(K221="",K164=""),"",IF(K164&lt;=0,"",IFERROR(K221/K164,"")))</f>
        <v/>
      </c>
      <c r="L222" s="15">
        <f>IF(OR(L221="",L164=""),"",IF(L164&lt;=0,"",IFERROR(L221/L164,"")))</f>
        <v/>
      </c>
      <c r="M222" s="15">
        <f>IF(OR(M221="",M164=""),"",IF(M164&lt;=0,"",IFERROR(M221/M164,"")))</f>
        <v/>
      </c>
      <c r="N222" s="15">
        <f>IF(OR(N221="",N164=""),"",IF(N164&lt;=0,"",IFERROR(N221/N164,"")))</f>
        <v/>
      </c>
      <c r="V222" s="15">
        <f>IF(OR(V221="",V164=""),"",IF(V164&lt;=0,"",IFERROR(V221/V164,"")))</f>
        <v/>
      </c>
      <c r="W222" s="15">
        <f>IF(OR(W221="",W164=""),"",IF(W164&lt;=0,"",IFERROR(W221/W164,"")))</f>
        <v/>
      </c>
      <c r="X222" s="15">
        <f>IF(OR(X221="",X164=""),"",IF(X164&lt;=0,"",IFERROR(X221/X164,"")))</f>
        <v/>
      </c>
    </row>
    <row r="223">
      <c r="A223" s="43" t="inlineStr">
        <is>
          <t>YoY</t>
        </is>
      </c>
      <c r="B223" s="3" t="inlineStr">
        <is>
          <t>전년 같은 분기·전년 대비</t>
        </is>
      </c>
      <c r="G223" s="15">
        <f>IF(OR(G221="",C221=""),"",IF(C221&lt;=0,"",IFERROR(G221/C221-1,"")))</f>
        <v/>
      </c>
      <c r="H223" s="15">
        <f>IF(OR(H221="",D221=""),"",IF(D221&lt;=0,"",IFERROR(H221/D221-1,"")))</f>
        <v/>
      </c>
      <c r="I223" s="15">
        <f>IF(OR(I221="",E221=""),"",IF(E221&lt;=0,"",IFERROR(I221/E221-1,"")))</f>
        <v/>
      </c>
      <c r="J223" s="15">
        <f>IF(OR(J221="",F221=""),"",IF(F221&lt;=0,"",IFERROR(J221/F221-1,"")))</f>
        <v/>
      </c>
      <c r="K223" s="15">
        <f>IF(OR(K221="",G221=""),"",IF(G221&lt;=0,"",IFERROR(K221/G221-1,"")))</f>
        <v/>
      </c>
      <c r="L223" s="15">
        <f>IF(OR(L221="",H221=""),"",IF(H221&lt;=0,"",IFERROR(L221/H221-1,"")))</f>
        <v/>
      </c>
      <c r="M223" s="15">
        <f>IF(OR(M221="",I221=""),"",IF(I221&lt;=0,"",IFERROR(M221/I221-1,"")))</f>
        <v/>
      </c>
      <c r="N223" s="15">
        <f>IF(OR(N221="",J221=""),"",IF(J221&lt;=0,"",IFERROR(N221/J221-1,"")))</f>
        <v/>
      </c>
      <c r="V223" s="15">
        <f>IF(OR(V221="",U221=""),"",IF(U221&lt;=0,"",IFERROR(V221/U221-1,"")))</f>
        <v/>
      </c>
      <c r="W223" s="15">
        <f>IF(OR(W221="",V221=""),"",IF(V221&lt;=0,"",IFERROR(W221/V221-1,"")))</f>
        <v/>
      </c>
      <c r="X223" s="15">
        <f>IF(OR(X221="",W221=""),"",IF(W221&lt;=0,"",IFERROR(X221/W221-1,"")))</f>
        <v/>
      </c>
    </row>
    <row r="224">
      <c r="A224" s="18" t="inlineStr">
        <is>
          <t>부문 · Operating Profit Loss</t>
        </is>
      </c>
      <c r="C224" s="20" t="n">
        <v>3072</v>
      </c>
      <c r="D224" s="20" t="n">
        <v>4291</v>
      </c>
      <c r="E224" s="20" t="n">
        <v>3842</v>
      </c>
      <c r="F224" s="20" t="n">
        <v>153</v>
      </c>
      <c r="G224" s="20" t="n">
        <v>1163</v>
      </c>
      <c r="H224" s="20" t="n">
        <v>4075</v>
      </c>
      <c r="I224" s="20" t="n">
        <v>4493</v>
      </c>
      <c r="J224" s="20" t="n">
        <v>-24676</v>
      </c>
      <c r="V224" s="20" t="n">
        <v>4291</v>
      </c>
      <c r="W224" s="20" t="n">
        <v>4075</v>
      </c>
    </row>
    <row r="225">
      <c r="A225" s="43" t="inlineStr">
        <is>
          <t>OPM</t>
        </is>
      </c>
      <c r="B225" s="3" t="inlineStr">
        <is>
          <t>영업이익 ÷ 매출</t>
        </is>
      </c>
      <c r="C225" s="15">
        <f>IF(OR(C224="",C166=""),"",IF(C166&lt;=0,"",IFERROR(C224/C166,"")))</f>
        <v/>
      </c>
      <c r="D225" s="15">
        <f>IF(OR(D224="",D166=""),"",IF(D166&lt;=0,"",IFERROR(D224/D166,"")))</f>
        <v/>
      </c>
      <c r="E225" s="15">
        <f>IF(OR(E224="",E166=""),"",IF(E166&lt;=0,"",IFERROR(E224/E166,"")))</f>
        <v/>
      </c>
      <c r="F225" s="15">
        <f>IF(OR(F224="",F166=""),"",IF(F166&lt;=0,"",IFERROR(F224/F166,"")))</f>
        <v/>
      </c>
      <c r="G225" s="15">
        <f>IF(OR(G224="",G166=""),"",IF(G166&lt;=0,"",IFERROR(G224/G166,"")))</f>
        <v/>
      </c>
      <c r="H225" s="15">
        <f>IF(OR(H224="",H166=""),"",IF(H166&lt;=0,"",IFERROR(H224/H166,"")))</f>
        <v/>
      </c>
      <c r="I225" s="15">
        <f>IF(OR(I224="",I166=""),"",IF(I166&lt;=0,"",IFERROR(I224/I166,"")))</f>
        <v/>
      </c>
      <c r="J225" s="15">
        <f>IF(OR(J224="",J166=""),"",IF(J166&lt;=0,"",IFERROR(J224/J166,"")))</f>
        <v/>
      </c>
      <c r="V225" s="15">
        <f>IF(OR(V224="",V166=""),"",IF(V166&lt;=0,"",IFERROR(V224/V166,"")))</f>
        <v/>
      </c>
      <c r="W225" s="15">
        <f>IF(OR(W224="",W166=""),"",IF(W166&lt;=0,"",IFERROR(W224/W166,"")))</f>
        <v/>
      </c>
    </row>
    <row r="226">
      <c r="A226" s="43" t="inlineStr">
        <is>
          <t>YoY</t>
        </is>
      </c>
      <c r="B226" s="3" t="inlineStr">
        <is>
          <t>전년 같은 분기·전년 대비</t>
        </is>
      </c>
      <c r="G226" s="15">
        <f>IF(OR(G224="",C224=""),"",IF(C224&lt;=0,"",IFERROR(G224/C224-1,"")))</f>
        <v/>
      </c>
      <c r="H226" s="15">
        <f>IF(OR(H224="",D224=""),"",IF(D224&lt;=0,"",IFERROR(H224/D224-1,"")))</f>
        <v/>
      </c>
      <c r="I226" s="15">
        <f>IF(OR(I224="",E224=""),"",IF(E224&lt;=0,"",IFERROR(I224/E224-1,"")))</f>
        <v/>
      </c>
      <c r="J226" s="15">
        <f>IF(OR(J224="",F224=""),"",IF(F224&lt;=0,"",IFERROR(J224/F224-1,"")))</f>
        <v/>
      </c>
      <c r="V226" s="15">
        <f>IF(OR(V224="",U224=""),"",IF(U224&lt;=0,"",IFERROR(V224/U224-1,"")))</f>
        <v/>
      </c>
      <c r="W226" s="15">
        <f>IF(OR(W224="",V224=""),"",IF(V224&lt;=0,"",IFERROR(W224/V224-1,"")))</f>
        <v/>
      </c>
    </row>
    <row r="227">
      <c r="A227" s="18" t="inlineStr">
        <is>
          <t>부문 · Operating Profit Loss</t>
        </is>
      </c>
      <c r="C227" s="20" t="n">
        <v>1715</v>
      </c>
      <c r="D227" s="20" t="n">
        <v>2192</v>
      </c>
      <c r="E227" s="20" t="n">
        <v>2001</v>
      </c>
      <c r="F227" s="20" t="n">
        <v>2341</v>
      </c>
      <c r="G227" s="20" t="n">
        <v>1983</v>
      </c>
      <c r="H227" s="20" t="n">
        <v>1680</v>
      </c>
      <c r="I227" s="20" t="n">
        <v>1221</v>
      </c>
      <c r="J227" s="20" t="n">
        <v>1762</v>
      </c>
      <c r="K227" s="20" t="n">
        <v>3442</v>
      </c>
      <c r="L227" s="20" t="n">
        <v>1471</v>
      </c>
      <c r="M227" s="20" t="n">
        <v>-354</v>
      </c>
      <c r="N227" s="20" t="n">
        <v>4720</v>
      </c>
      <c r="V227" s="20" t="n">
        <v>2192</v>
      </c>
      <c r="W227" s="20" t="n">
        <v>1680</v>
      </c>
      <c r="X227" s="20" t="n">
        <v>1471</v>
      </c>
    </row>
    <row r="228">
      <c r="A228" s="43" t="inlineStr">
        <is>
          <t>OPM</t>
        </is>
      </c>
      <c r="B228" s="3" t="inlineStr">
        <is>
          <t>영업이익 ÷ 매출</t>
        </is>
      </c>
      <c r="C228" s="15">
        <f>IF(OR(C227="",C168=""),"",IF(C168&lt;=0,"",IFERROR(C227/C168,"")))</f>
        <v/>
      </c>
      <c r="D228" s="15">
        <f>IF(OR(D227="",D168=""),"",IF(D168&lt;=0,"",IFERROR(D227/D168,"")))</f>
        <v/>
      </c>
      <c r="E228" s="15">
        <f>IF(OR(E227="",E168=""),"",IF(E168&lt;=0,"",IFERROR(E227/E168,"")))</f>
        <v/>
      </c>
      <c r="F228" s="15">
        <f>IF(OR(F227="",F168=""),"",IF(F168&lt;=0,"",IFERROR(F227/F168,"")))</f>
        <v/>
      </c>
      <c r="G228" s="15">
        <f>IF(OR(G227="",G168=""),"",IF(G168&lt;=0,"",IFERROR(G227/G168,"")))</f>
        <v/>
      </c>
      <c r="H228" s="15">
        <f>IF(OR(H227="",H168=""),"",IF(H168&lt;=0,"",IFERROR(H227/H168,"")))</f>
        <v/>
      </c>
      <c r="I228" s="15">
        <f>IF(OR(I227="",I168=""),"",IF(I168&lt;=0,"",IFERROR(I227/I168,"")))</f>
        <v/>
      </c>
      <c r="J228" s="15">
        <f>IF(OR(J227="",J168=""),"",IF(J168&lt;=0,"",IFERROR(J227/J168,"")))</f>
        <v/>
      </c>
      <c r="K228" s="15">
        <f>IF(OR(K227="",K168=""),"",IF(K168&lt;=0,"",IFERROR(K227/K168,"")))</f>
        <v/>
      </c>
      <c r="L228" s="15">
        <f>IF(OR(L227="",L168=""),"",IF(L168&lt;=0,"",IFERROR(L227/L168,"")))</f>
        <v/>
      </c>
      <c r="M228" s="15">
        <f>IF(OR(M227="",M168=""),"",IF(M168&lt;=0,"",IFERROR(M227/M168,"")))</f>
        <v/>
      </c>
      <c r="N228" s="15">
        <f>IF(OR(N227="",N168=""),"",IF(N168&lt;=0,"",IFERROR(N227/N168,"")))</f>
        <v/>
      </c>
      <c r="V228" s="15">
        <f>IF(OR(V227="",V168=""),"",IF(V168&lt;=0,"",IFERROR(V227/V168,"")))</f>
        <v/>
      </c>
      <c r="W228" s="15">
        <f>IF(OR(W227="",W168=""),"",IF(W168&lt;=0,"",IFERROR(W227/W168,"")))</f>
        <v/>
      </c>
      <c r="X228" s="15">
        <f>IF(OR(X227="",X168=""),"",IF(X168&lt;=0,"",IFERROR(X227/X168,"")))</f>
        <v/>
      </c>
    </row>
    <row r="229">
      <c r="A229" s="43" t="inlineStr">
        <is>
          <t>YoY</t>
        </is>
      </c>
      <c r="B229" s="3" t="inlineStr">
        <is>
          <t>전년 같은 분기·전년 대비</t>
        </is>
      </c>
      <c r="G229" s="15">
        <f>IF(OR(G227="",C227=""),"",IF(C227&lt;=0,"",IFERROR(G227/C227-1,"")))</f>
        <v/>
      </c>
      <c r="H229" s="15">
        <f>IF(OR(H227="",D227=""),"",IF(D227&lt;=0,"",IFERROR(H227/D227-1,"")))</f>
        <v/>
      </c>
      <c r="I229" s="15">
        <f>IF(OR(I227="",E227=""),"",IF(E227&lt;=0,"",IFERROR(I227/E227-1,"")))</f>
        <v/>
      </c>
      <c r="J229" s="15">
        <f>IF(OR(J227="",F227=""),"",IF(F227&lt;=0,"",IFERROR(J227/F227-1,"")))</f>
        <v/>
      </c>
      <c r="K229" s="15">
        <f>IF(OR(K227="",G227=""),"",IF(G227&lt;=0,"",IFERROR(K227/G227-1,"")))</f>
        <v/>
      </c>
      <c r="L229" s="15">
        <f>IF(OR(L227="",H227=""),"",IF(H227&lt;=0,"",IFERROR(L227/H227-1,"")))</f>
        <v/>
      </c>
      <c r="M229" s="15">
        <f>IF(OR(M227="",I227=""),"",IF(I227&lt;=0,"",IFERROR(M227/I227-1,"")))</f>
        <v/>
      </c>
      <c r="N229" s="15">
        <f>IF(OR(N227="",J227=""),"",IF(J227&lt;=0,"",IFERROR(N227/J227-1,"")))</f>
        <v/>
      </c>
      <c r="V229" s="15">
        <f>IF(OR(V227="",U227=""),"",IF(U227&lt;=0,"",IFERROR(V227/U227-1,"")))</f>
        <v/>
      </c>
      <c r="W229" s="15">
        <f>IF(OR(W227="",V227=""),"",IF(V227&lt;=0,"",IFERROR(W227/V227-1,"")))</f>
        <v/>
      </c>
      <c r="X229" s="15">
        <f>IF(OR(X227="",W227=""),"",IF(W227&lt;=0,"",IFERROR(X227/W227-1,"")))</f>
        <v/>
      </c>
    </row>
    <row r="230">
      <c r="A230" s="18" t="inlineStr">
        <is>
          <t>보고부문 합계 · Operating Profit Loss</t>
        </is>
      </c>
      <c r="C230" s="20" t="n">
        <v>217669</v>
      </c>
      <c r="D230" s="20" t="n">
        <v>52309</v>
      </c>
      <c r="E230" s="20" t="n">
        <v>225072</v>
      </c>
      <c r="F230" s="20" t="n">
        <v>232882</v>
      </c>
      <c r="G230" s="20" t="n">
        <v>206773</v>
      </c>
      <c r="H230" s="20" t="n">
        <v>-302138</v>
      </c>
      <c r="I230" s="20" t="n">
        <v>256851</v>
      </c>
      <c r="J230" s="20" t="n">
        <v>267080</v>
      </c>
      <c r="K230" s="20" t="n">
        <v>274773</v>
      </c>
      <c r="L230" s="20" t="n">
        <v>114545</v>
      </c>
      <c r="M230" s="20" t="n">
        <v>316219</v>
      </c>
      <c r="N230" s="20" t="n">
        <v>354062</v>
      </c>
      <c r="V230" s="20" t="n">
        <v>52309</v>
      </c>
      <c r="W230" s="20" t="n">
        <v>-302138</v>
      </c>
      <c r="X230" s="20" t="n">
        <v>114545</v>
      </c>
    </row>
    <row r="231">
      <c r="A231" s="43" t="inlineStr">
        <is>
          <t>OPM</t>
        </is>
      </c>
      <c r="B231" s="3" t="inlineStr">
        <is>
          <t>영업이익 ÷ 매출</t>
        </is>
      </c>
      <c r="C231" s="15">
        <f>IF(OR(C230="",C170=""),"",IF(C170&lt;=0,"",IFERROR(C230/C170,"")))</f>
        <v/>
      </c>
      <c r="D231" s="15">
        <f>IF(OR(D230="",D170=""),"",IF(D170&lt;=0,"",IFERROR(D230/D170,"")))</f>
        <v/>
      </c>
      <c r="E231" s="15">
        <f>IF(OR(E230="",E170=""),"",IF(E170&lt;=0,"",IFERROR(E230/E170,"")))</f>
        <v/>
      </c>
      <c r="F231" s="15">
        <f>IF(OR(F230="",F170=""),"",IF(F170&lt;=0,"",IFERROR(F230/F170,"")))</f>
        <v/>
      </c>
      <c r="G231" s="15">
        <f>IF(OR(G230="",G170=""),"",IF(G170&lt;=0,"",IFERROR(G230/G170,"")))</f>
        <v/>
      </c>
      <c r="H231" s="15">
        <f>IF(OR(H230="",H170=""),"",IF(H170&lt;=0,"",IFERROR(H230/H170,"")))</f>
        <v/>
      </c>
      <c r="I231" s="15">
        <f>IF(OR(I230="",I170=""),"",IF(I170&lt;=0,"",IFERROR(I230/I170,"")))</f>
        <v/>
      </c>
      <c r="J231" s="15">
        <f>IF(OR(J230="",J170=""),"",IF(J170&lt;=0,"",IFERROR(J230/J170,"")))</f>
        <v/>
      </c>
      <c r="K231" s="15">
        <f>IF(OR(K230="",K170=""),"",IF(K170&lt;=0,"",IFERROR(K230/K170,"")))</f>
        <v/>
      </c>
      <c r="L231" s="15">
        <f>IF(OR(L230="",L170=""),"",IF(L170&lt;=0,"",IFERROR(L230/L170,"")))</f>
        <v/>
      </c>
      <c r="M231" s="15">
        <f>IF(OR(M230="",M170=""),"",IF(M170&lt;=0,"",IFERROR(M230/M170,"")))</f>
        <v/>
      </c>
      <c r="N231" s="15">
        <f>IF(OR(N230="",N170=""),"",IF(N170&lt;=0,"",IFERROR(N230/N170,"")))</f>
        <v/>
      </c>
      <c r="V231" s="15">
        <f>IF(OR(V230="",V170=""),"",IF(V170&lt;=0,"",IFERROR(V230/V170,"")))</f>
        <v/>
      </c>
      <c r="W231" s="15">
        <f>IF(OR(W230="",W170=""),"",IF(W170&lt;=0,"",IFERROR(W230/W170,"")))</f>
        <v/>
      </c>
      <c r="X231" s="15">
        <f>IF(OR(X230="",X170=""),"",IF(X170&lt;=0,"",IFERROR(X230/X170,"")))</f>
        <v/>
      </c>
    </row>
    <row r="232">
      <c r="A232" s="43" t="inlineStr">
        <is>
          <t>YoY</t>
        </is>
      </c>
      <c r="B232" s="3" t="inlineStr">
        <is>
          <t>전년 같은 분기·전년 대비</t>
        </is>
      </c>
      <c r="G232" s="15">
        <f>IF(OR(G230="",C230=""),"",IF(C230&lt;=0,"",IFERROR(G230/C230-1,"")))</f>
        <v/>
      </c>
      <c r="H232" s="15">
        <f>IF(OR(H230="",D230=""),"",IF(D230&lt;=0,"",IFERROR(H230/D230-1,"")))</f>
        <v/>
      </c>
      <c r="I232" s="15">
        <f>IF(OR(I230="",E230=""),"",IF(E230&lt;=0,"",IFERROR(I230/E230-1,"")))</f>
        <v/>
      </c>
      <c r="J232" s="15">
        <f>IF(OR(J230="",F230=""),"",IF(F230&lt;=0,"",IFERROR(J230/F230-1,"")))</f>
        <v/>
      </c>
      <c r="K232" s="15">
        <f>IF(OR(K230="",G230=""),"",IF(G230&lt;=0,"",IFERROR(K230/G230-1,"")))</f>
        <v/>
      </c>
      <c r="L232" s="15">
        <f>IF(OR(L230="",H230=""),"",IF(H230&lt;=0,"",IFERROR(L230/H230-1,"")))</f>
        <v/>
      </c>
      <c r="M232" s="15">
        <f>IF(OR(M230="",I230=""),"",IF(I230&lt;=0,"",IFERROR(M230/I230-1,"")))</f>
        <v/>
      </c>
      <c r="N232" s="15">
        <f>IF(OR(N230="",J230=""),"",IF(J230&lt;=0,"",IFERROR(N230/J230-1,"")))</f>
        <v/>
      </c>
      <c r="V232" s="15">
        <f>IF(OR(V230="",U230=""),"",IF(U230&lt;=0,"",IFERROR(V230/U230-1,"")))</f>
        <v/>
      </c>
      <c r="W232" s="15">
        <f>IF(OR(W230="",V230=""),"",IF(V230&lt;=0,"",IFERROR(W230/V230-1,"")))</f>
        <v/>
      </c>
      <c r="X232" s="15">
        <f>IF(OR(X230="",W230=""),"",IF(W230&lt;=0,"",IFERROR(X230/W230-1,"")))</f>
        <v/>
      </c>
    </row>
    <row r="233">
      <c r="A233" s="18" t="inlineStr">
        <is>
          <t>기타 · Operating Profit Loss</t>
        </is>
      </c>
      <c r="C233" s="20" t="n">
        <v>617</v>
      </c>
      <c r="D233" s="20" t="n">
        <v>-11847</v>
      </c>
      <c r="E233" s="20" t="n">
        <v>-9278</v>
      </c>
      <c r="F233" s="20" t="n">
        <v>-16038</v>
      </c>
      <c r="G233" s="20" t="n">
        <v>-7963</v>
      </c>
      <c r="H233" s="20" t="n">
        <v>-15088</v>
      </c>
      <c r="I233" s="20" t="n">
        <v>-12548</v>
      </c>
      <c r="J233" s="20" t="n">
        <v>-11252</v>
      </c>
      <c r="K233" s="20" t="n">
        <v>-11976</v>
      </c>
      <c r="L233" s="20" t="n">
        <v>-10461</v>
      </c>
      <c r="M233" s="20" t="n">
        <v>-11669</v>
      </c>
      <c r="N233" s="20" t="n">
        <v>-13691</v>
      </c>
      <c r="V233" s="20" t="n">
        <v>-11847</v>
      </c>
      <c r="W233" s="20" t="n">
        <v>-15088</v>
      </c>
      <c r="X233" s="20" t="n">
        <v>-10461</v>
      </c>
    </row>
    <row r="234">
      <c r="A234" s="43" t="inlineStr">
        <is>
          <t>OPM</t>
        </is>
      </c>
      <c r="B234" s="3" t="inlineStr">
        <is>
          <t>영업이익 ÷ 매출</t>
        </is>
      </c>
      <c r="C234" s="15">
        <f>IF(OR(C233="",C172=""),"",IF(C172&lt;=0,"",IFERROR(C233/C172,"")))</f>
        <v/>
      </c>
      <c r="D234" s="15">
        <f>IF(OR(D233="",D172=""),"",IF(D172&lt;=0,"",IFERROR(D233/D172,"")))</f>
        <v/>
      </c>
      <c r="E234" s="15">
        <f>IF(OR(E233="",E172=""),"",IF(E172&lt;=0,"",IFERROR(E233/E172,"")))</f>
        <v/>
      </c>
      <c r="F234" s="15">
        <f>IF(OR(F233="",F172=""),"",IF(F172&lt;=0,"",IFERROR(F233/F172,"")))</f>
        <v/>
      </c>
      <c r="G234" s="15">
        <f>IF(OR(G233="",G172=""),"",IF(G172&lt;=0,"",IFERROR(G233/G172,"")))</f>
        <v/>
      </c>
      <c r="H234" s="15">
        <f>IF(OR(H233="",H172=""),"",IF(H172&lt;=0,"",IFERROR(H233/H172,"")))</f>
        <v/>
      </c>
      <c r="I234" s="15">
        <f>IF(OR(I233="",I172=""),"",IF(I172&lt;=0,"",IFERROR(I233/I172,"")))</f>
        <v/>
      </c>
      <c r="J234" s="15">
        <f>IF(OR(J233="",J172=""),"",IF(J172&lt;=0,"",IFERROR(J233/J172,"")))</f>
        <v/>
      </c>
      <c r="K234" s="15">
        <f>IF(OR(K233="",K172=""),"",IF(K172&lt;=0,"",IFERROR(K233/K172,"")))</f>
        <v/>
      </c>
      <c r="L234" s="15">
        <f>IF(OR(L233="",L172=""),"",IF(L172&lt;=0,"",IFERROR(L233/L172,"")))</f>
        <v/>
      </c>
      <c r="M234" s="15">
        <f>IF(OR(M233="",M172=""),"",IF(M172&lt;=0,"",IFERROR(M233/M172,"")))</f>
        <v/>
      </c>
      <c r="N234" s="15">
        <f>IF(OR(N233="",N172=""),"",IF(N172&lt;=0,"",IFERROR(N233/N172,"")))</f>
        <v/>
      </c>
      <c r="V234" s="15">
        <f>IF(OR(V233="",V172=""),"",IF(V172&lt;=0,"",IFERROR(V233/V172,"")))</f>
        <v/>
      </c>
      <c r="W234" s="15">
        <f>IF(OR(W233="",W172=""),"",IF(W172&lt;=0,"",IFERROR(W233/W172,"")))</f>
        <v/>
      </c>
      <c r="X234" s="15">
        <f>IF(OR(X233="",X172=""),"",IF(X172&lt;=0,"",IFERROR(X233/X172,"")))</f>
        <v/>
      </c>
    </row>
    <row r="235">
      <c r="A235" s="43" t="inlineStr">
        <is>
          <t>YoY</t>
        </is>
      </c>
      <c r="B235" s="3" t="inlineStr">
        <is>
          <t>전년 같은 분기·전년 대비</t>
        </is>
      </c>
      <c r="G235" s="15">
        <f>IF(OR(G233="",C233=""),"",IF(C233&lt;=0,"",IFERROR(G233/C233-1,"")))</f>
        <v/>
      </c>
      <c r="H235" s="15">
        <f>IF(OR(H233="",D233=""),"",IF(D233&lt;=0,"",IFERROR(H233/D233-1,"")))</f>
        <v/>
      </c>
      <c r="I235" s="15">
        <f>IF(OR(I233="",E233=""),"",IF(E233&lt;=0,"",IFERROR(I233/E233-1,"")))</f>
        <v/>
      </c>
      <c r="J235" s="15">
        <f>IF(OR(J233="",F233=""),"",IF(F233&lt;=0,"",IFERROR(J233/F233-1,"")))</f>
        <v/>
      </c>
      <c r="K235" s="15">
        <f>IF(OR(K233="",G233=""),"",IF(G233&lt;=0,"",IFERROR(K233/G233-1,"")))</f>
        <v/>
      </c>
      <c r="L235" s="15">
        <f>IF(OR(L233="",H233=""),"",IF(H233&lt;=0,"",IFERROR(L233/H233-1,"")))</f>
        <v/>
      </c>
      <c r="M235" s="15">
        <f>IF(OR(M233="",I233=""),"",IF(I233&lt;=0,"",IFERROR(M233/I233-1,"")))</f>
        <v/>
      </c>
      <c r="N235" s="15">
        <f>IF(OR(N233="",J233=""),"",IF(J233&lt;=0,"",IFERROR(N233/J233-1,"")))</f>
        <v/>
      </c>
      <c r="V235" s="15">
        <f>IF(OR(V233="",U233=""),"",IF(U233&lt;=0,"",IFERROR(V233/U233-1,"")))</f>
        <v/>
      </c>
      <c r="W235" s="15">
        <f>IF(OR(W233="",V233=""),"",IF(V233&lt;=0,"",IFERROR(W233/V233-1,"")))</f>
        <v/>
      </c>
      <c r="X235" s="15">
        <f>IF(OR(X233="",W233=""),"",IF(W233&lt;=0,"",IFERROR(X233/W233-1,"")))</f>
        <v/>
      </c>
    </row>
    <row r="236">
      <c r="A236" s="18" t="inlineStr">
        <is>
          <t>조정액 · Operating Profit Loss</t>
        </is>
      </c>
      <c r="C236" s="20" t="n">
        <v>4</v>
      </c>
      <c r="D236" s="20" t="n">
        <v>103</v>
      </c>
      <c r="E236" s="20" t="n">
        <v>24</v>
      </c>
      <c r="F236" s="20" t="n">
        <v>0</v>
      </c>
      <c r="G236" s="20" t="n">
        <v>-4</v>
      </c>
      <c r="H236" s="20" t="n">
        <v>-20</v>
      </c>
      <c r="I236" s="20" t="n">
        <v>15</v>
      </c>
      <c r="J236" s="20" t="n">
        <v>-18</v>
      </c>
      <c r="K236" s="20" t="n">
        <v>10</v>
      </c>
      <c r="L236" s="20" t="n">
        <v>20</v>
      </c>
      <c r="M236" s="20" t="n">
        <v>3</v>
      </c>
      <c r="N236" s="20" t="n">
        <v>15</v>
      </c>
      <c r="V236" s="20" t="n">
        <v>103</v>
      </c>
      <c r="W236" s="20" t="n">
        <v>-20</v>
      </c>
      <c r="X236" s="20" t="n">
        <v>20</v>
      </c>
    </row>
    <row r="237">
      <c r="A237" s="18" t="inlineStr">
        <is>
          <t>Operating Profit Loss</t>
        </is>
      </c>
      <c r="C237" s="20" t="n">
        <v>218292</v>
      </c>
      <c r="D237" s="20" t="n">
        <v>40563</v>
      </c>
      <c r="E237" s="20" t="n">
        <v>215818</v>
      </c>
      <c r="F237" s="20" t="n">
        <v>216844</v>
      </c>
      <c r="G237" s="20" t="n">
        <v>198806</v>
      </c>
      <c r="H237" s="20" t="n">
        <v>-317245</v>
      </c>
      <c r="I237" s="20" t="n">
        <v>244318</v>
      </c>
      <c r="J237" s="20" t="n">
        <v>255811</v>
      </c>
      <c r="K237" s="20" t="n">
        <v>262806</v>
      </c>
      <c r="L237" s="20" t="n">
        <v>104103</v>
      </c>
      <c r="M237" s="20" t="n">
        <v>304554</v>
      </c>
      <c r="N237" s="20" t="n">
        <v>340386</v>
      </c>
      <c r="V237" s="20" t="n">
        <v>40563</v>
      </c>
      <c r="W237" s="20" t="n">
        <v>-317245</v>
      </c>
      <c r="X237" s="20" t="n">
        <v>104103</v>
      </c>
    </row>
    <row r="238">
      <c r="A238" s="43" t="inlineStr">
        <is>
          <t>OPM</t>
        </is>
      </c>
      <c r="B238" s="3" t="inlineStr">
        <is>
          <t>영업이익 ÷ 매출</t>
        </is>
      </c>
      <c r="C238" s="15">
        <f>IF(OR(C237="",C155=""),"",IF(C155&lt;=0,"",IFERROR(C237/C155,"")))</f>
        <v/>
      </c>
      <c r="D238" s="15">
        <f>IF(OR(D237="",D155=""),"",IF(D155&lt;=0,"",IFERROR(D237/D155,"")))</f>
        <v/>
      </c>
      <c r="E238" s="15">
        <f>IF(OR(E237="",E155=""),"",IF(E155&lt;=0,"",IFERROR(E237/E155,"")))</f>
        <v/>
      </c>
      <c r="F238" s="15">
        <f>IF(OR(F237="",F155=""),"",IF(F155&lt;=0,"",IFERROR(F237/F155,"")))</f>
        <v/>
      </c>
      <c r="G238" s="15">
        <f>IF(OR(G237="",G155=""),"",IF(G155&lt;=0,"",IFERROR(G237/G155,"")))</f>
        <v/>
      </c>
      <c r="H238" s="15">
        <f>IF(OR(H237="",H155=""),"",IF(H155&lt;=0,"",IFERROR(H237/H155,"")))</f>
        <v/>
      </c>
      <c r="I238" s="15">
        <f>IF(OR(I237="",I155=""),"",IF(I155&lt;=0,"",IFERROR(I237/I155,"")))</f>
        <v/>
      </c>
      <c r="J238" s="15">
        <f>IF(OR(J237="",J155=""),"",IF(J155&lt;=0,"",IFERROR(J237/J155,"")))</f>
        <v/>
      </c>
      <c r="K238" s="15">
        <f>IF(OR(K237="",K155=""),"",IF(K155&lt;=0,"",IFERROR(K237/K155,"")))</f>
        <v/>
      </c>
      <c r="L238" s="15">
        <f>IF(OR(L237="",L155=""),"",IF(L155&lt;=0,"",IFERROR(L237/L155,"")))</f>
        <v/>
      </c>
      <c r="M238" s="15">
        <f>IF(OR(M237="",M155=""),"",IF(M155&lt;=0,"",IFERROR(M237/M155,"")))</f>
        <v/>
      </c>
      <c r="N238" s="15">
        <f>IF(OR(N237="",N155=""),"",IF(N155&lt;=0,"",IFERROR(N237/N155,"")))</f>
        <v/>
      </c>
      <c r="V238" s="15">
        <f>IF(OR(V237="",V155=""),"",IF(V155&lt;=0,"",IFERROR(V237/V155,"")))</f>
        <v/>
      </c>
      <c r="W238" s="15">
        <f>IF(OR(W237="",W155=""),"",IF(W155&lt;=0,"",IFERROR(W237/W155,"")))</f>
        <v/>
      </c>
      <c r="X238" s="15">
        <f>IF(OR(X237="",X155=""),"",IF(X155&lt;=0,"",IFERROR(X237/X155,"")))</f>
        <v/>
      </c>
    </row>
    <row r="239">
      <c r="A239" s="43" t="inlineStr">
        <is>
          <t>YoY</t>
        </is>
      </c>
      <c r="B239" s="3" t="inlineStr">
        <is>
          <t>전년 같은 분기·전년 대비</t>
        </is>
      </c>
      <c r="G239" s="15">
        <f>IF(OR(G237="",C237=""),"",IF(C237&lt;=0,"",IFERROR(G237/C237-1,"")))</f>
        <v/>
      </c>
      <c r="H239" s="15">
        <f>IF(OR(H237="",D237=""),"",IF(D237&lt;=0,"",IFERROR(H237/D237-1,"")))</f>
        <v/>
      </c>
      <c r="I239" s="15">
        <f>IF(OR(I237="",E237=""),"",IF(E237&lt;=0,"",IFERROR(I237/E237-1,"")))</f>
        <v/>
      </c>
      <c r="J239" s="15">
        <f>IF(OR(J237="",F237=""),"",IF(F237&lt;=0,"",IFERROR(J237/F237-1,"")))</f>
        <v/>
      </c>
      <c r="K239" s="15">
        <f>IF(OR(K237="",G237=""),"",IF(G237&lt;=0,"",IFERROR(K237/G237-1,"")))</f>
        <v/>
      </c>
      <c r="L239" s="15">
        <f>IF(OR(L237="",H237=""),"",IF(H237&lt;=0,"",IFERROR(L237/H237-1,"")))</f>
        <v/>
      </c>
      <c r="M239" s="15">
        <f>IF(OR(M237="",I237=""),"",IF(I237&lt;=0,"",IFERROR(M237/I237-1,"")))</f>
        <v/>
      </c>
      <c r="N239" s="15">
        <f>IF(OR(N237="",J237=""),"",IF(J237&lt;=0,"",IFERROR(N237/J237-1,"")))</f>
        <v/>
      </c>
      <c r="V239" s="15">
        <f>IF(OR(V237="",U237=""),"",IF(U237&lt;=0,"",IFERROR(V237/U237-1,"")))</f>
        <v/>
      </c>
      <c r="W239" s="15">
        <f>IF(OR(W237="",V237=""),"",IF(V237&lt;=0,"",IFERROR(W237/V237-1,"")))</f>
        <v/>
      </c>
      <c r="X239" s="15">
        <f>IF(OR(X237="",W237=""),"",IF(W237&lt;=0,"",IFERROR(X237/W237-1,"")))</f>
        <v/>
      </c>
    </row>
    <row r="240">
      <c r="A240" s="18" t="inlineStr">
        <is>
          <t>금융수익</t>
        </is>
      </c>
      <c r="C240" s="20" t="n">
        <v>12660</v>
      </c>
      <c r="D240" s="20" t="n">
        <v>14760</v>
      </c>
      <c r="E240" s="20" t="n">
        <v>14877</v>
      </c>
      <c r="F240" s="20" t="n">
        <v>16608</v>
      </c>
      <c r="G240" s="20" t="n">
        <v>19162</v>
      </c>
      <c r="H240" s="20" t="n">
        <v>18357</v>
      </c>
      <c r="I240" s="20" t="n">
        <v>17308</v>
      </c>
      <c r="J240" s="20" t="n">
        <v>19455</v>
      </c>
      <c r="K240" s="20" t="n">
        <v>21037</v>
      </c>
      <c r="L240" s="20" t="n">
        <v>10142</v>
      </c>
      <c r="M240" s="20" t="n">
        <v>17348</v>
      </c>
      <c r="N240" s="20" t="n">
        <v>21291</v>
      </c>
      <c r="V240" s="20" t="n">
        <v>14760</v>
      </c>
      <c r="W240" s="20" t="n">
        <v>18357</v>
      </c>
      <c r="X240" s="20" t="n">
        <v>10142</v>
      </c>
    </row>
    <row r="241">
      <c r="A241" s="43" t="inlineStr">
        <is>
          <t>YoY</t>
        </is>
      </c>
      <c r="B241" s="3" t="inlineStr">
        <is>
          <t>전년 같은 분기·전년 대비</t>
        </is>
      </c>
      <c r="G241" s="15">
        <f>IF(OR(G240="",C240=""),"",IF(G240*C240&lt;=0,"",IFERROR(G240/C240-1,"")))</f>
        <v/>
      </c>
      <c r="H241" s="15">
        <f>IF(OR(H240="",D240=""),"",IF(H240*D240&lt;=0,"",IFERROR(H240/D240-1,"")))</f>
        <v/>
      </c>
      <c r="I241" s="15">
        <f>IF(OR(I240="",E240=""),"",IF(I240*E240&lt;=0,"",IFERROR(I240/E240-1,"")))</f>
        <v/>
      </c>
      <c r="J241" s="15">
        <f>IF(OR(J240="",F240=""),"",IF(J240*F240&lt;=0,"",IFERROR(J240/F240-1,"")))</f>
        <v/>
      </c>
      <c r="K241" s="15">
        <f>IF(OR(K240="",G240=""),"",IF(K240*G240&lt;=0,"",IFERROR(K240/G240-1,"")))</f>
        <v/>
      </c>
      <c r="L241" s="15">
        <f>IF(OR(L240="",H240=""),"",IF(L240*H240&lt;=0,"",IFERROR(L240/H240-1,"")))</f>
        <v/>
      </c>
      <c r="M241" s="15">
        <f>IF(OR(M240="",I240=""),"",IF(M240*I240&lt;=0,"",IFERROR(M240/I240-1,"")))</f>
        <v/>
      </c>
      <c r="N241" s="15">
        <f>IF(OR(N240="",J240=""),"",IF(N240*J240&lt;=0,"",IFERROR(N240/J240-1,"")))</f>
        <v/>
      </c>
      <c r="V241" s="15">
        <f>IF(OR(V240="",U240=""),"",IF(V240*U240&lt;=0,"",IFERROR(V240/U240-1,"")))</f>
        <v/>
      </c>
      <c r="W241" s="15">
        <f>IF(OR(W240="",V240=""),"",IF(W240*V240&lt;=0,"",IFERROR(W240/V240-1,"")))</f>
        <v/>
      </c>
      <c r="X241" s="15">
        <f>IF(OR(X240="",W240=""),"",IF(X240*W240&lt;=0,"",IFERROR(X240/W240-1,"")))</f>
        <v/>
      </c>
    </row>
    <row r="242">
      <c r="A242" s="18" t="inlineStr">
        <is>
          <t>금융비용</t>
        </is>
      </c>
      <c r="C242" s="20" t="n">
        <v>18173</v>
      </c>
      <c r="D242" s="20" t="n">
        <v>19930</v>
      </c>
      <c r="E242" s="20" t="n">
        <v>29429</v>
      </c>
      <c r="F242" s="20" t="n">
        <v>35645</v>
      </c>
      <c r="G242" s="20" t="n">
        <v>42086</v>
      </c>
      <c r="H242" s="20" t="n">
        <v>51735</v>
      </c>
      <c r="I242" s="20" t="n">
        <v>40175</v>
      </c>
      <c r="J242" s="20" t="n">
        <v>38961</v>
      </c>
      <c r="K242" s="20" t="n">
        <v>34438</v>
      </c>
      <c r="L242" s="20" t="n">
        <v>81620</v>
      </c>
      <c r="M242" s="20" t="n">
        <v>34241</v>
      </c>
      <c r="N242" s="20" t="n">
        <v>43339</v>
      </c>
      <c r="V242" s="20" t="n">
        <v>19930</v>
      </c>
      <c r="W242" s="20" t="n">
        <v>51735</v>
      </c>
      <c r="X242" s="20" t="n">
        <v>81620</v>
      </c>
    </row>
    <row r="243">
      <c r="A243" s="43" t="inlineStr">
        <is>
          <t>YoY</t>
        </is>
      </c>
      <c r="B243" s="3" t="inlineStr">
        <is>
          <t>전년 같은 분기·전년 대비</t>
        </is>
      </c>
      <c r="G243" s="15">
        <f>IF(OR(G242="",C242=""),"",IF(G242*C242&lt;=0,"",IFERROR(G242/C242-1,"")))</f>
        <v/>
      </c>
      <c r="H243" s="15">
        <f>IF(OR(H242="",D242=""),"",IF(H242*D242&lt;=0,"",IFERROR(H242/D242-1,"")))</f>
        <v/>
      </c>
      <c r="I243" s="15">
        <f>IF(OR(I242="",E242=""),"",IF(I242*E242&lt;=0,"",IFERROR(I242/E242-1,"")))</f>
        <v/>
      </c>
      <c r="J243" s="15">
        <f>IF(OR(J242="",F242=""),"",IF(J242*F242&lt;=0,"",IFERROR(J242/F242-1,"")))</f>
        <v/>
      </c>
      <c r="K243" s="15">
        <f>IF(OR(K242="",G242=""),"",IF(K242*G242&lt;=0,"",IFERROR(K242/G242-1,"")))</f>
        <v/>
      </c>
      <c r="L243" s="15">
        <f>IF(OR(L242="",H242=""),"",IF(L242*H242&lt;=0,"",IFERROR(L242/H242-1,"")))</f>
        <v/>
      </c>
      <c r="M243" s="15">
        <f>IF(OR(M242="",I242=""),"",IF(M242*I242&lt;=0,"",IFERROR(M242/I242-1,"")))</f>
        <v/>
      </c>
      <c r="N243" s="15">
        <f>IF(OR(N242="",J242=""),"",IF(N242*J242&lt;=0,"",IFERROR(N242/J242-1,"")))</f>
        <v/>
      </c>
      <c r="V243" s="15">
        <f>IF(OR(V242="",U242=""),"",IF(V242*U242&lt;=0,"",IFERROR(V242/U242-1,"")))</f>
        <v/>
      </c>
      <c r="W243" s="15">
        <f>IF(OR(W242="",V242=""),"",IF(W242*V242&lt;=0,"",IFERROR(W242/V242-1,"")))</f>
        <v/>
      </c>
      <c r="X243" s="15">
        <f>IF(OR(X242="",W242=""),"",IF(X242*W242&lt;=0,"",IFERROR(X242/W242-1,"")))</f>
        <v/>
      </c>
    </row>
    <row r="244">
      <c r="A244" s="9" t="inlineStr">
        <is>
          <t>법인세비용차감전 중간이익</t>
        </is>
      </c>
      <c r="C244" s="12" t="n">
        <v>212779</v>
      </c>
      <c r="D244" s="12" t="n">
        <v>35392</v>
      </c>
      <c r="E244" s="12" t="n">
        <v>201266</v>
      </c>
      <c r="F244" s="12" t="n">
        <v>197807</v>
      </c>
      <c r="G244" s="12" t="n">
        <v>175882</v>
      </c>
      <c r="H244" s="12" t="n">
        <v>-350622</v>
      </c>
      <c r="I244" s="12" t="n">
        <v>221451</v>
      </c>
      <c r="J244" s="12" t="n">
        <v>236304</v>
      </c>
      <c r="K244" s="12" t="n">
        <v>249407</v>
      </c>
      <c r="L244" s="12" t="n">
        <v>32624</v>
      </c>
      <c r="M244" s="12" t="n">
        <v>287660</v>
      </c>
      <c r="N244" s="12" t="n">
        <v>318339</v>
      </c>
      <c r="V244" s="12" t="n">
        <v>35392</v>
      </c>
      <c r="W244" s="12" t="n">
        <v>-350622</v>
      </c>
      <c r="X244" s="12" t="n">
        <v>32624</v>
      </c>
    </row>
    <row r="246">
      <c r="A246" s="16" t="inlineStr">
        <is>
          <t>현금흐름표 · 전 항목</t>
        </is>
      </c>
      <c r="B246" s="42" t="inlineStr">
        <is>
          <t>분기 = 결산기 첫날부터 누계(공시 그대로)</t>
        </is>
      </c>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row>
    <row r="247">
      <c r="A247" s="5" t="inlineStr">
        <is>
          <t>항목</t>
        </is>
      </c>
      <c r="B247" s="5" t="inlineStr">
        <is>
          <t>참고</t>
        </is>
      </c>
      <c r="C247" s="5" t="inlineStr">
        <is>
          <t>2023.3Q</t>
        </is>
      </c>
      <c r="D247" s="5" t="inlineStr">
        <is>
          <t>2023.4Q</t>
        </is>
      </c>
      <c r="E247" s="5" t="inlineStr">
        <is>
          <t>2024.1Q</t>
        </is>
      </c>
      <c r="F247" s="5" t="inlineStr">
        <is>
          <t>2024.2Q</t>
        </is>
      </c>
      <c r="G247" s="5" t="inlineStr">
        <is>
          <t>2024.3Q</t>
        </is>
      </c>
      <c r="H247" s="5" t="inlineStr">
        <is>
          <t>2024.4Q</t>
        </is>
      </c>
      <c r="I247" s="5" t="inlineStr">
        <is>
          <t>2025.1Q</t>
        </is>
      </c>
      <c r="J247" s="5" t="inlineStr">
        <is>
          <t>2025.2Q</t>
        </is>
      </c>
      <c r="K247" s="5" t="inlineStr">
        <is>
          <t>2025.3Q</t>
        </is>
      </c>
      <c r="L247" s="5" t="inlineStr">
        <is>
          <t>2025.4Q</t>
        </is>
      </c>
      <c r="M247" s="5" t="inlineStr">
        <is>
          <t>2026.1Q</t>
        </is>
      </c>
      <c r="N247" s="5" t="inlineStr">
        <is>
          <t>2026.2Q</t>
        </is>
      </c>
      <c r="O247" s="5" t="inlineStr">
        <is>
          <t>2016</t>
        </is>
      </c>
      <c r="P247" s="5" t="inlineStr">
        <is>
          <t>2017</t>
        </is>
      </c>
      <c r="Q247" s="5" t="inlineStr">
        <is>
          <t>2018</t>
        </is>
      </c>
      <c r="R247" s="5" t="inlineStr">
        <is>
          <t>2019</t>
        </is>
      </c>
      <c r="S247" s="5" t="inlineStr">
        <is>
          <t>2020</t>
        </is>
      </c>
      <c r="T247" s="5" t="inlineStr">
        <is>
          <t>2021</t>
        </is>
      </c>
      <c r="U247" s="5" t="inlineStr">
        <is>
          <t>2022</t>
        </is>
      </c>
      <c r="V247" s="5" t="inlineStr">
        <is>
          <t>2023</t>
        </is>
      </c>
      <c r="W247" s="5" t="inlineStr">
        <is>
          <t>2024</t>
        </is>
      </c>
      <c r="X247" s="5" t="inlineStr">
        <is>
          <t>2025</t>
        </is>
      </c>
      <c r="Y247" s="5" t="inlineStr">
        <is>
          <t>2026(MW)</t>
        </is>
      </c>
      <c r="Z247" s="5" t="inlineStr">
        <is>
          <t>2027(MW)</t>
        </is>
      </c>
      <c r="AA247" s="5" t="inlineStr">
        <is>
          <t>2028(MW)</t>
        </is>
      </c>
      <c r="AB247" s="5" t="inlineStr">
        <is>
          <t>2029(MW)</t>
        </is>
      </c>
      <c r="AC247" s="5" t="inlineStr">
        <is>
          <t>2030(MW)</t>
        </is>
      </c>
    </row>
    <row r="248">
      <c r="A248" s="9" t="inlineStr">
        <is>
          <t>법인세비용차감전 중간이익</t>
        </is>
      </c>
      <c r="C248" s="12" t="n">
        <v>586209</v>
      </c>
      <c r="D248" s="12" t="n">
        <v>621601</v>
      </c>
      <c r="E248" s="12" t="n">
        <v>201266</v>
      </c>
      <c r="F248" s="12" t="n">
        <v>399073</v>
      </c>
      <c r="G248" s="12" t="n">
        <v>574955</v>
      </c>
      <c r="H248" s="12" t="n">
        <v>224333</v>
      </c>
      <c r="I248" s="12" t="n">
        <v>221451</v>
      </c>
      <c r="J248" s="12" t="n">
        <v>457755</v>
      </c>
      <c r="K248" s="12" t="n">
        <v>707162</v>
      </c>
      <c r="L248" s="12" t="n">
        <v>739786</v>
      </c>
      <c r="M248" s="12" t="n">
        <v>287660</v>
      </c>
      <c r="N248" s="12" t="n">
        <v>605999</v>
      </c>
      <c r="Q248" s="12" t="n">
        <v>531486</v>
      </c>
      <c r="R248" s="12" t="n">
        <v>465232</v>
      </c>
      <c r="S248" s="12" t="n">
        <v>420063</v>
      </c>
      <c r="T248" s="12" t="n">
        <v>472390</v>
      </c>
      <c r="U248" s="12" t="n">
        <v>593450</v>
      </c>
      <c r="V248" s="12" t="n">
        <v>621601</v>
      </c>
      <c r="W248" s="12" t="n">
        <v>224333</v>
      </c>
      <c r="X248" s="12" t="n">
        <v>739786</v>
      </c>
    </row>
    <row r="249">
      <c r="A249" s="9" t="inlineStr">
        <is>
          <t>Profit Loss Before Tax From Discontinued Operations</t>
        </is>
      </c>
      <c r="G249" s="12" t="n">
        <v>5317</v>
      </c>
      <c r="H249" s="12" t="n">
        <v>9434</v>
      </c>
      <c r="I249" s="12" t="n">
        <v>4618</v>
      </c>
      <c r="J249" s="12" t="n">
        <v>-19934</v>
      </c>
      <c r="K249" s="12" t="n">
        <v>-14668</v>
      </c>
      <c r="L249" s="12" t="n">
        <v>-4962</v>
      </c>
      <c r="M249" s="12" t="n">
        <v>0</v>
      </c>
      <c r="N249" s="12" t="n">
        <v>0</v>
      </c>
      <c r="W249" s="12" t="n">
        <v>9434</v>
      </c>
      <c r="X249" s="12" t="n">
        <v>-4962</v>
      </c>
    </row>
    <row r="250">
      <c r="A250" s="18" t="inlineStr">
        <is>
          <t>감가상각비 및 상각비</t>
        </is>
      </c>
      <c r="C250" s="20" t="n">
        <v>130241</v>
      </c>
      <c r="D250" s="20" t="n">
        <v>177409</v>
      </c>
      <c r="E250" s="20" t="n">
        <v>43965</v>
      </c>
      <c r="F250" s="20" t="n">
        <v>88121</v>
      </c>
      <c r="G250" s="20" t="n">
        <v>130252</v>
      </c>
      <c r="H250" s="20" t="n">
        <v>179837</v>
      </c>
      <c r="I250" s="20" t="n">
        <v>48858</v>
      </c>
      <c r="J250" s="20" t="n">
        <v>97452</v>
      </c>
      <c r="K250" s="20" t="n">
        <v>146280</v>
      </c>
      <c r="L250" s="20" t="n">
        <v>195899</v>
      </c>
      <c r="M250" s="20" t="n">
        <v>44445</v>
      </c>
      <c r="N250" s="20" t="n">
        <v>90391</v>
      </c>
      <c r="Q250" s="20" t="n">
        <v>158671</v>
      </c>
      <c r="R250" s="20" t="n">
        <v>183852</v>
      </c>
      <c r="S250" s="20" t="n">
        <v>179654</v>
      </c>
      <c r="T250" s="20" t="n">
        <v>187057</v>
      </c>
      <c r="U250" s="20" t="n">
        <v>199651</v>
      </c>
      <c r="V250" s="20" t="n">
        <v>177409</v>
      </c>
      <c r="W250" s="20" t="n">
        <v>179837</v>
      </c>
      <c r="X250" s="20" t="n">
        <v>195899</v>
      </c>
    </row>
    <row r="251">
      <c r="A251" s="18" t="inlineStr">
        <is>
          <t>Losses On Liquidation Of Subsidiary Ope CF</t>
        </is>
      </c>
      <c r="H251" s="20" t="n">
        <v>0</v>
      </c>
      <c r="L251" s="20" t="n">
        <v>27128</v>
      </c>
      <c r="W251" s="20" t="n">
        <v>0</v>
      </c>
      <c r="X251" s="20" t="n">
        <v>27128</v>
      </c>
    </row>
    <row r="252">
      <c r="A252" s="18" t="inlineStr">
        <is>
          <t>손상차손</t>
        </is>
      </c>
      <c r="C252" s="20" t="n">
        <v>6441</v>
      </c>
      <c r="D252" s="20" t="n">
        <v>13710</v>
      </c>
      <c r="E252" s="20" t="n">
        <v>190</v>
      </c>
      <c r="F252" s="20" t="n">
        <v>1585</v>
      </c>
      <c r="G252" s="20" t="n">
        <v>11468</v>
      </c>
      <c r="H252" s="20" t="n">
        <v>17370</v>
      </c>
      <c r="I252" s="20" t="n">
        <v>764</v>
      </c>
      <c r="J252" s="20" t="n">
        <v>25183</v>
      </c>
      <c r="K252" s="20" t="n">
        <v>27069</v>
      </c>
      <c r="L252" s="20" t="n">
        <v>34892</v>
      </c>
      <c r="M252" s="20" t="n">
        <v>52</v>
      </c>
      <c r="N252" s="20" t="n">
        <v>1038</v>
      </c>
      <c r="Q252" s="20" t="n">
        <v>8454</v>
      </c>
      <c r="R252" s="20" t="n">
        <v>16124</v>
      </c>
      <c r="S252" s="20" t="n">
        <v>12571</v>
      </c>
      <c r="T252" s="20" t="n">
        <v>22768</v>
      </c>
      <c r="U252" s="20" t="n">
        <v>27539</v>
      </c>
      <c r="V252" s="20" t="n">
        <v>13710</v>
      </c>
      <c r="W252" s="20" t="n">
        <v>17370</v>
      </c>
      <c r="X252" s="20" t="n">
        <v>34892</v>
      </c>
    </row>
    <row r="253">
      <c r="A253" s="18" t="inlineStr">
        <is>
          <t>이자·배당금 수익</t>
        </is>
      </c>
      <c r="C253" s="20" t="n">
        <v>-29093</v>
      </c>
      <c r="D253" s="20" t="n">
        <v>-42816</v>
      </c>
      <c r="E253" s="20" t="n">
        <v>-14231</v>
      </c>
      <c r="F253" s="20" t="n">
        <v>-30338</v>
      </c>
      <c r="G253" s="20" t="n">
        <v>-49973</v>
      </c>
      <c r="H253" s="20" t="n">
        <v>-67562</v>
      </c>
      <c r="I253" s="20" t="n">
        <v>-16729</v>
      </c>
      <c r="J253" s="20" t="n">
        <v>-36307</v>
      </c>
      <c r="K253" s="20" t="n">
        <v>-57208</v>
      </c>
      <c r="L253" s="20" t="n">
        <v>-67271</v>
      </c>
      <c r="M253" s="20" t="n">
        <v>-17304</v>
      </c>
      <c r="N253" s="20" t="n">
        <v>-38599</v>
      </c>
      <c r="Q253" s="20" t="n">
        <v>-5751</v>
      </c>
      <c r="R253" s="20" t="n">
        <v>-7944</v>
      </c>
      <c r="S253" s="20" t="n">
        <v>-7318</v>
      </c>
      <c r="T253" s="20" t="n">
        <v>-13372</v>
      </c>
      <c r="U253" s="20" t="n">
        <v>-26535</v>
      </c>
      <c r="V253" s="20" t="n">
        <v>-42816</v>
      </c>
      <c r="W253" s="20" t="n">
        <v>-67562</v>
      </c>
      <c r="X253" s="20" t="n">
        <v>-67271</v>
      </c>
    </row>
    <row r="254">
      <c r="A254" s="18" t="inlineStr">
        <is>
          <t>이자비용</t>
        </is>
      </c>
      <c r="C254" s="20" t="n">
        <v>21428</v>
      </c>
      <c r="D254" s="20" t="n">
        <v>28493</v>
      </c>
      <c r="E254" s="20" t="n">
        <v>7477</v>
      </c>
      <c r="F254" s="20" t="n">
        <v>16607</v>
      </c>
      <c r="G254" s="20" t="n">
        <v>24652</v>
      </c>
      <c r="H254" s="20" t="n">
        <v>42485</v>
      </c>
      <c r="I254" s="20" t="n">
        <v>19818</v>
      </c>
      <c r="J254" s="20" t="n">
        <v>37899</v>
      </c>
      <c r="K254" s="20" t="n">
        <v>55798</v>
      </c>
      <c r="L254" s="20" t="n">
        <v>76157</v>
      </c>
      <c r="M254" s="20" t="n">
        <v>19963</v>
      </c>
      <c r="N254" s="20" t="n">
        <v>39659</v>
      </c>
      <c r="Q254" s="20" t="n">
        <v>16343</v>
      </c>
      <c r="R254" s="20" t="n">
        <v>27557</v>
      </c>
      <c r="S254" s="20" t="n">
        <v>22535</v>
      </c>
      <c r="T254" s="20" t="n">
        <v>23050</v>
      </c>
      <c r="U254" s="20" t="n">
        <v>27019</v>
      </c>
      <c r="V254" s="20" t="n">
        <v>28493</v>
      </c>
      <c r="W254" s="20" t="n">
        <v>42485</v>
      </c>
      <c r="X254" s="20" t="n">
        <v>76157</v>
      </c>
    </row>
    <row r="255">
      <c r="A255" s="18" t="inlineStr">
        <is>
          <t>Share Of Loss Profit Of Investments Accounted For Using Equity Method Ope CF</t>
        </is>
      </c>
      <c r="C255" s="20" t="n">
        <v>-6814</v>
      </c>
      <c r="D255" s="20" t="n">
        <v>-8332</v>
      </c>
      <c r="E255" s="20" t="n">
        <v>-2073</v>
      </c>
      <c r="F255" s="20" t="n">
        <v>-3996</v>
      </c>
      <c r="G255" s="20" t="n">
        <v>-8365</v>
      </c>
      <c r="H255" s="20" t="n">
        <v>-12885</v>
      </c>
      <c r="I255" s="20" t="n">
        <v>-2335</v>
      </c>
      <c r="J255" s="20" t="n">
        <v>-6703</v>
      </c>
      <c r="K255" s="20" t="n">
        <v>-10224</v>
      </c>
      <c r="L255" s="20" t="n">
        <v>-13332</v>
      </c>
      <c r="M255" s="20" t="n">
        <v>-2183</v>
      </c>
      <c r="N255" s="20" t="n">
        <v>-5483</v>
      </c>
      <c r="Q255" s="20" t="n">
        <v>-3931</v>
      </c>
      <c r="R255" s="20" t="n">
        <v>-5011</v>
      </c>
      <c r="S255" s="20" t="n">
        <v>-4042</v>
      </c>
      <c r="T255" s="20" t="n">
        <v>-3997</v>
      </c>
      <c r="U255" s="20" t="n">
        <v>-8009</v>
      </c>
      <c r="V255" s="20" t="n">
        <v>-8332</v>
      </c>
      <c r="W255" s="20" t="n">
        <v>-12885</v>
      </c>
      <c r="X255" s="20" t="n">
        <v>-13332</v>
      </c>
    </row>
    <row r="256">
      <c r="A256" s="18" t="inlineStr">
        <is>
          <t>Gains Losses On Sale And Disposal Of Property Plant And Equipment Intangible Assets And Investment Property</t>
        </is>
      </c>
      <c r="Q256" s="20" t="n">
        <v>-34905</v>
      </c>
      <c r="R256" s="20" t="n">
        <v>-8299</v>
      </c>
    </row>
    <row r="257">
      <c r="A257" s="18" t="inlineStr">
        <is>
          <t>Gains Losses On Sale And Disposal Of Property Plant And Equipment Intangible Assets And Investment Property IFRSOpe CF</t>
        </is>
      </c>
      <c r="D257" s="20" t="n">
        <v>-16810</v>
      </c>
      <c r="H257" s="20" t="n">
        <v>-7374</v>
      </c>
      <c r="L257" s="20" t="n">
        <v>-13570</v>
      </c>
      <c r="R257" s="20" t="n">
        <v>-8299</v>
      </c>
      <c r="S257" s="20" t="n">
        <v>-40821</v>
      </c>
      <c r="T257" s="20" t="n">
        <v>-3974</v>
      </c>
      <c r="U257" s="20" t="n">
        <v>-4891</v>
      </c>
      <c r="V257" s="20" t="n">
        <v>-16810</v>
      </c>
      <c r="W257" s="20" t="n">
        <v>-7374</v>
      </c>
      <c r="X257" s="20" t="n">
        <v>-13570</v>
      </c>
    </row>
    <row r="258">
      <c r="A258" s="18" t="inlineStr">
        <is>
          <t>Gain Losses On Sale Of Investments In Subsidiaries</t>
        </is>
      </c>
      <c r="T258" s="20" t="n">
        <v>0</v>
      </c>
      <c r="U258" s="20" t="n">
        <v>-849</v>
      </c>
    </row>
    <row r="259">
      <c r="A259" s="18" t="inlineStr">
        <is>
          <t>Gains Losses On Sale And Disposal Of Property Plant And Equipment Intangible Assets And Investment Property Ope CF</t>
        </is>
      </c>
      <c r="C259" s="20" t="n">
        <v>-13697</v>
      </c>
      <c r="E259" s="20" t="n">
        <v>-1829</v>
      </c>
      <c r="F259" s="20" t="n">
        <v>-3015</v>
      </c>
      <c r="G259" s="20" t="n">
        <v>-6234</v>
      </c>
      <c r="I259" s="20" t="n">
        <v>-155</v>
      </c>
      <c r="J259" s="20" t="n">
        <v>450</v>
      </c>
      <c r="K259" s="20" t="n">
        <v>-2468</v>
      </c>
      <c r="M259" s="20" t="n">
        <v>173</v>
      </c>
      <c r="N259" s="20" t="n">
        <v>215</v>
      </c>
    </row>
    <row r="260">
      <c r="A260" s="18" t="inlineStr">
        <is>
          <t>Gain Losses On Sale Of Investments In Subsidiaries Ope CF</t>
        </is>
      </c>
      <c r="D260" s="20" t="n">
        <v>104</v>
      </c>
      <c r="H260" s="20" t="n">
        <v>-1722</v>
      </c>
      <c r="J260" s="20" t="n">
        <v>0</v>
      </c>
      <c r="L260" s="20" t="n">
        <v>0</v>
      </c>
      <c r="N260" s="20" t="n">
        <v>-2279</v>
      </c>
      <c r="U260" s="20" t="n">
        <v>-849</v>
      </c>
      <c r="V260" s="20" t="n">
        <v>104</v>
      </c>
      <c r="W260" s="20" t="n">
        <v>-1722</v>
      </c>
      <c r="X260" s="20" t="n">
        <v>0</v>
      </c>
    </row>
    <row r="261">
      <c r="A261" s="18" t="inlineStr">
        <is>
          <t>Gains Losses On Transfer Of Business Ope CF</t>
        </is>
      </c>
      <c r="H261" s="20" t="n">
        <v>0</v>
      </c>
      <c r="L261" s="20" t="n">
        <v>-4725</v>
      </c>
      <c r="W261" s="20" t="n">
        <v>0</v>
      </c>
      <c r="X261" s="20" t="n">
        <v>-4725</v>
      </c>
    </row>
    <row r="262">
      <c r="A262" s="18" t="inlineStr">
        <is>
          <t>Decrease Increase In Trade And Other Receivables Ope CF</t>
        </is>
      </c>
      <c r="C262" s="20" t="n">
        <v>-65614</v>
      </c>
      <c r="D262" s="20" t="n">
        <v>-30169</v>
      </c>
      <c r="E262" s="20" t="n">
        <v>-19610</v>
      </c>
      <c r="F262" s="20" t="n">
        <v>-70331</v>
      </c>
      <c r="G262" s="20" t="n">
        <v>-32726</v>
      </c>
      <c r="H262" s="20" t="n">
        <v>45770</v>
      </c>
      <c r="I262" s="20" t="n">
        <v>-3244</v>
      </c>
      <c r="J262" s="20" t="n">
        <v>-60647</v>
      </c>
      <c r="K262" s="20" t="n">
        <v>-85511</v>
      </c>
      <c r="L262" s="20" t="n">
        <v>-33364</v>
      </c>
      <c r="M262" s="20" t="n">
        <v>-68186</v>
      </c>
      <c r="N262" s="20" t="n">
        <v>-100562</v>
      </c>
      <c r="Q262" s="20" t="n">
        <v>-30818</v>
      </c>
      <c r="R262" s="20" t="n">
        <v>10673</v>
      </c>
      <c r="S262" s="20" t="n">
        <v>21554</v>
      </c>
      <c r="T262" s="20" t="n">
        <v>-29891</v>
      </c>
      <c r="U262" s="20" t="n">
        <v>26574</v>
      </c>
      <c r="V262" s="20" t="n">
        <v>-30169</v>
      </c>
      <c r="W262" s="20" t="n">
        <v>45770</v>
      </c>
      <c r="X262" s="20" t="n">
        <v>-33364</v>
      </c>
    </row>
    <row r="263">
      <c r="A263" s="18" t="inlineStr">
        <is>
          <t>Decrease Increase In Inventories Ope CF</t>
        </is>
      </c>
      <c r="C263" s="20" t="n">
        <v>-97471</v>
      </c>
      <c r="D263" s="20" t="n">
        <v>-136232</v>
      </c>
      <c r="E263" s="20" t="n">
        <v>-10873</v>
      </c>
      <c r="F263" s="20" t="n">
        <v>-40250</v>
      </c>
      <c r="G263" s="20" t="n">
        <v>-66455</v>
      </c>
      <c r="H263" s="20" t="n">
        <v>-96566</v>
      </c>
      <c r="I263" s="20" t="n">
        <v>-18615</v>
      </c>
      <c r="J263" s="20" t="n">
        <v>-52885</v>
      </c>
      <c r="K263" s="20" t="n">
        <v>-79717</v>
      </c>
      <c r="L263" s="20" t="n">
        <v>-121938</v>
      </c>
      <c r="M263" s="20" t="n">
        <v>-11729</v>
      </c>
      <c r="N263" s="20" t="n">
        <v>-25307</v>
      </c>
      <c r="Q263" s="20" t="n">
        <v>-53058</v>
      </c>
      <c r="R263" s="20" t="n">
        <v>-9046</v>
      </c>
      <c r="S263" s="20" t="n">
        <v>748</v>
      </c>
      <c r="T263" s="20" t="n">
        <v>9770</v>
      </c>
      <c r="U263" s="20" t="n">
        <v>-93910</v>
      </c>
      <c r="V263" s="20" t="n">
        <v>-136232</v>
      </c>
      <c r="W263" s="20" t="n">
        <v>-96566</v>
      </c>
      <c r="X263" s="20" t="n">
        <v>-121938</v>
      </c>
    </row>
    <row r="264">
      <c r="A264" s="18" t="inlineStr">
        <is>
          <t>Increase Decrease In Trade And Other Payables Ope CF</t>
        </is>
      </c>
      <c r="C264" s="20" t="n">
        <v>-63768</v>
      </c>
      <c r="D264" s="20" t="n">
        <v>40998</v>
      </c>
      <c r="E264" s="20" t="n">
        <v>-80986</v>
      </c>
      <c r="F264" s="20" t="n">
        <v>-105381</v>
      </c>
      <c r="G264" s="20" t="n">
        <v>-92010</v>
      </c>
      <c r="H264" s="20" t="n">
        <v>-46221</v>
      </c>
      <c r="I264" s="20" t="n">
        <v>-61512</v>
      </c>
      <c r="J264" s="20" t="n">
        <v>-57777</v>
      </c>
      <c r="K264" s="20" t="n">
        <v>-34515</v>
      </c>
      <c r="L264" s="20" t="n">
        <v>42139</v>
      </c>
      <c r="M264" s="20" t="n">
        <v>-43962</v>
      </c>
      <c r="N264" s="20" t="n">
        <v>-82972</v>
      </c>
      <c r="Q264" s="20" t="n">
        <v>-4618</v>
      </c>
      <c r="R264" s="20" t="n">
        <v>28294</v>
      </c>
      <c r="S264" s="20" t="n">
        <v>39288</v>
      </c>
      <c r="T264" s="20" t="n">
        <v>111912</v>
      </c>
      <c r="U264" s="20" t="n">
        <v>-38251</v>
      </c>
      <c r="V264" s="20" t="n">
        <v>40998</v>
      </c>
      <c r="W264" s="20" t="n">
        <v>-46221</v>
      </c>
      <c r="X264" s="20" t="n">
        <v>42139</v>
      </c>
    </row>
    <row r="265">
      <c r="A265" s="18" t="inlineStr">
        <is>
          <t>Increase Decrease In Retirement Benefit Liability Ope CF</t>
        </is>
      </c>
      <c r="C265" s="20" t="n">
        <v>-1867</v>
      </c>
      <c r="D265" s="20" t="n">
        <v>455</v>
      </c>
      <c r="E265" s="20" t="n">
        <v>-12259</v>
      </c>
      <c r="F265" s="20" t="n">
        <v>-8688</v>
      </c>
      <c r="G265" s="20" t="n">
        <v>-6922</v>
      </c>
      <c r="H265" s="20" t="n">
        <v>-7175</v>
      </c>
      <c r="I265" s="20" t="n">
        <v>-8712</v>
      </c>
      <c r="J265" s="20" t="n">
        <v>-9475</v>
      </c>
      <c r="K265" s="20" t="n">
        <v>-7991</v>
      </c>
      <c r="L265" s="20" t="n">
        <v>-12335</v>
      </c>
      <c r="M265" s="20" t="n">
        <v>-6079</v>
      </c>
      <c r="N265" s="20" t="n">
        <v>-2525</v>
      </c>
      <c r="Q265" s="20" t="n">
        <v>-8864</v>
      </c>
      <c r="R265" s="20" t="n">
        <v>-9526</v>
      </c>
      <c r="S265" s="20" t="n">
        <v>-5788</v>
      </c>
      <c r="T265" s="20" t="n">
        <v>-23651</v>
      </c>
      <c r="U265" s="20" t="n">
        <v>-4156</v>
      </c>
      <c r="V265" s="20" t="n">
        <v>455</v>
      </c>
      <c r="W265" s="20" t="n">
        <v>-7175</v>
      </c>
      <c r="X265" s="20" t="n">
        <v>-12335</v>
      </c>
    </row>
    <row r="266">
      <c r="A266" s="18" t="inlineStr">
        <is>
          <t>Increase Decrease In Prepaid Tobacco Excise Taxes</t>
        </is>
      </c>
      <c r="Q266" s="20" t="n">
        <v>-36662</v>
      </c>
      <c r="R266" s="20" t="n">
        <v>-21864</v>
      </c>
    </row>
    <row r="267">
      <c r="A267" s="18" t="inlineStr">
        <is>
          <t>Increase Decrease In Tobacco Excise Tax Payables</t>
        </is>
      </c>
      <c r="Q267" s="20" t="n">
        <v>53408</v>
      </c>
      <c r="R267" s="20" t="n">
        <v>3891</v>
      </c>
    </row>
    <row r="268">
      <c r="A268" s="18" t="inlineStr">
        <is>
          <t>Increase Decrease In Consumption Tax Payables</t>
        </is>
      </c>
      <c r="Q268" s="20" t="n">
        <v>-11026</v>
      </c>
      <c r="R268" s="20" t="n">
        <v>29592</v>
      </c>
    </row>
    <row r="269">
      <c r="A269" s="18" t="inlineStr">
        <is>
          <t>Decrease Increase In Retirement Benefit Asset Ope CF</t>
        </is>
      </c>
      <c r="H269" s="20" t="n">
        <v>39</v>
      </c>
      <c r="L269" s="20" t="n">
        <v>69804</v>
      </c>
      <c r="W269" s="20" t="n">
        <v>39</v>
      </c>
      <c r="X269" s="20" t="n">
        <v>69804</v>
      </c>
    </row>
    <row r="270">
      <c r="A270" s="18" t="inlineStr">
        <is>
          <t>Increase Decrease In Prepaid Tobacco Excise Taxes IFRSOpe CF</t>
        </is>
      </c>
      <c r="D270" s="20" t="n">
        <v>-106987</v>
      </c>
      <c r="H270" s="20" t="n">
        <v>13802</v>
      </c>
      <c r="L270" s="20" t="n">
        <v>-78877</v>
      </c>
      <c r="R270" s="20" t="n">
        <v>-21864</v>
      </c>
      <c r="S270" s="20" t="n">
        <v>-29996</v>
      </c>
      <c r="T270" s="20" t="n">
        <v>-43617</v>
      </c>
      <c r="U270" s="20" t="n">
        <v>-6825</v>
      </c>
      <c r="V270" s="20" t="n">
        <v>-106987</v>
      </c>
      <c r="W270" s="20" t="n">
        <v>13802</v>
      </c>
      <c r="X270" s="20" t="n">
        <v>-78877</v>
      </c>
    </row>
    <row r="271">
      <c r="A271" s="18" t="inlineStr">
        <is>
          <t>Increase Decrease In Tobacco Excise Tax Payables IFRSOpe CF</t>
        </is>
      </c>
      <c r="D271" s="20" t="n">
        <v>102787</v>
      </c>
      <c r="H271" s="20" t="n">
        <v>4973</v>
      </c>
      <c r="L271" s="20" t="n">
        <v>-21495</v>
      </c>
      <c r="R271" s="20" t="n">
        <v>3891</v>
      </c>
      <c r="S271" s="20" t="n">
        <v>-18038</v>
      </c>
      <c r="T271" s="20" t="n">
        <v>33167</v>
      </c>
      <c r="U271" s="20" t="n">
        <v>24989</v>
      </c>
      <c r="V271" s="20" t="n">
        <v>102787</v>
      </c>
      <c r="W271" s="20" t="n">
        <v>4973</v>
      </c>
      <c r="X271" s="20" t="n">
        <v>-21495</v>
      </c>
    </row>
    <row r="272">
      <c r="A272" s="18" t="inlineStr">
        <is>
          <t>Increase Decrease In Consumption Tax Payables IFRSOpe CF</t>
        </is>
      </c>
      <c r="D272" s="20" t="n">
        <v>23249</v>
      </c>
      <c r="H272" s="20" t="n">
        <v>4126</v>
      </c>
      <c r="L272" s="20" t="n">
        <v>21208</v>
      </c>
      <c r="R272" s="20" t="n">
        <v>29592</v>
      </c>
      <c r="S272" s="20" t="n">
        <v>9762</v>
      </c>
      <c r="T272" s="20" t="n">
        <v>-3856</v>
      </c>
      <c r="U272" s="20" t="n">
        <v>-11461</v>
      </c>
      <c r="V272" s="20" t="n">
        <v>23249</v>
      </c>
      <c r="W272" s="20" t="n">
        <v>4126</v>
      </c>
      <c r="X272" s="20" t="n">
        <v>21208</v>
      </c>
    </row>
    <row r="273">
      <c r="A273" s="18" t="inlineStr">
        <is>
          <t>Increase Decrease In Provisions Ope CF</t>
        </is>
      </c>
      <c r="G273" s="20" t="n">
        <v>1847</v>
      </c>
      <c r="H273" s="20" t="n">
        <v>381670</v>
      </c>
      <c r="K273" s="20" t="n">
        <v>-184762</v>
      </c>
      <c r="L273" s="20" t="n">
        <v>-177164</v>
      </c>
      <c r="W273" s="20" t="n">
        <v>381670</v>
      </c>
      <c r="X273" s="20" t="n">
        <v>-177164</v>
      </c>
    </row>
    <row r="274">
      <c r="A274" s="18" t="inlineStr">
        <is>
          <t>Increase Decrease In Settlement Liabilities On Litigation In Canada Ope CF</t>
        </is>
      </c>
      <c r="H274" s="20" t="n">
        <v>0</v>
      </c>
      <c r="L274" s="20" t="n">
        <v>-49645</v>
      </c>
      <c r="W274" s="20" t="n">
        <v>0</v>
      </c>
      <c r="X274" s="20" t="n">
        <v>-49645</v>
      </c>
    </row>
    <row r="275">
      <c r="A275" s="18" t="inlineStr">
        <is>
          <t>Increase Decrease In Prepaid Tobacco Excise Taxes Ope CF</t>
        </is>
      </c>
      <c r="C275" s="20" t="n">
        <v>6943</v>
      </c>
      <c r="E275" s="20" t="n">
        <v>59795</v>
      </c>
      <c r="F275" s="20" t="n">
        <v>104663</v>
      </c>
      <c r="G275" s="20" t="n">
        <v>115780</v>
      </c>
      <c r="I275" s="20" t="n">
        <v>26965</v>
      </c>
      <c r="J275" s="20" t="n">
        <v>15942</v>
      </c>
      <c r="K275" s="20" t="n">
        <v>22559</v>
      </c>
      <c r="M275" s="20" t="n">
        <v>27256</v>
      </c>
      <c r="N275" s="20" t="n">
        <v>13921</v>
      </c>
    </row>
    <row r="276">
      <c r="A276" s="18" t="inlineStr">
        <is>
          <t>Increase Decrease In Tobacco Excise Tax Payables Ope CF</t>
        </is>
      </c>
      <c r="C276" s="20" t="n">
        <v>46987</v>
      </c>
      <c r="E276" s="20" t="n">
        <v>-49852</v>
      </c>
      <c r="F276" s="20" t="n">
        <v>-27126</v>
      </c>
      <c r="G276" s="20" t="n">
        <v>-176406</v>
      </c>
      <c r="I276" s="20" t="n">
        <v>-144895</v>
      </c>
      <c r="J276" s="20" t="n">
        <v>-122440</v>
      </c>
      <c r="K276" s="20" t="n">
        <v>-129194</v>
      </c>
      <c r="M276" s="20" t="n">
        <v>-101433</v>
      </c>
      <c r="N276" s="20" t="n">
        <v>-38793</v>
      </c>
    </row>
    <row r="277">
      <c r="A277" s="18" t="inlineStr">
        <is>
          <t>Increase Decrease In Consumption Tax Payables Ope CF</t>
        </is>
      </c>
      <c r="C277" s="20" t="n">
        <v>21280</v>
      </c>
      <c r="E277" s="20" t="n">
        <v>10511</v>
      </c>
      <c r="F277" s="20" t="n">
        <v>38273</v>
      </c>
      <c r="G277" s="20" t="n">
        <v>12334</v>
      </c>
      <c r="I277" s="20" t="n">
        <v>-5401</v>
      </c>
      <c r="J277" s="20" t="n">
        <v>10810</v>
      </c>
      <c r="K277" s="20" t="n">
        <v>20928</v>
      </c>
      <c r="M277" s="20" t="n">
        <v>5424</v>
      </c>
      <c r="N277" s="20" t="n">
        <v>44905</v>
      </c>
    </row>
    <row r="278">
      <c r="A278" s="18" t="inlineStr">
        <is>
          <t>기타</t>
        </is>
      </c>
      <c r="C278" s="20" t="n">
        <v>43604</v>
      </c>
      <c r="D278" s="20" t="n">
        <v>43079</v>
      </c>
      <c r="E278" s="20" t="n">
        <v>-36634</v>
      </c>
      <c r="F278" s="20" t="n">
        <v>-30709</v>
      </c>
      <c r="G278" s="20" t="n">
        <v>46558</v>
      </c>
      <c r="H278" s="20" t="n">
        <v>75259</v>
      </c>
      <c r="I278" s="20" t="n">
        <v>-55746</v>
      </c>
      <c r="J278" s="20" t="n">
        <v>-47798</v>
      </c>
      <c r="K278" s="20" t="n">
        <v>12624</v>
      </c>
      <c r="L278" s="20" t="n">
        <v>66554</v>
      </c>
      <c r="M278" s="20" t="n">
        <v>-42091</v>
      </c>
      <c r="N278" s="20" t="n">
        <v>-35725</v>
      </c>
      <c r="Q278" s="20" t="n">
        <v>8969</v>
      </c>
      <c r="R278" s="20" t="n">
        <v>-7005</v>
      </c>
      <c r="S278" s="20" t="n">
        <v>49132</v>
      </c>
      <c r="T278" s="20" t="n">
        <v>2849</v>
      </c>
      <c r="U278" s="20" t="n">
        <v>-28608</v>
      </c>
      <c r="V278" s="20" t="n">
        <v>43079</v>
      </c>
      <c r="W278" s="20" t="n">
        <v>75259</v>
      </c>
      <c r="X278" s="20" t="n">
        <v>66554</v>
      </c>
    </row>
    <row r="279">
      <c r="A279" s="18" t="inlineStr">
        <is>
          <t>소계</t>
        </is>
      </c>
      <c r="C279" s="20" t="n">
        <v>584807</v>
      </c>
      <c r="D279" s="20" t="n">
        <v>710540</v>
      </c>
      <c r="E279" s="20" t="n">
        <v>94857</v>
      </c>
      <c r="F279" s="20" t="n">
        <v>328489</v>
      </c>
      <c r="G279" s="20" t="n">
        <v>484072</v>
      </c>
      <c r="H279" s="20" t="n">
        <v>759591</v>
      </c>
      <c r="I279" s="20" t="n">
        <v>5131</v>
      </c>
      <c r="J279" s="20" t="n">
        <v>231525</v>
      </c>
      <c r="K279" s="20" t="n">
        <v>386160</v>
      </c>
      <c r="L279" s="20" t="n">
        <v>674889</v>
      </c>
      <c r="M279" s="20" t="n">
        <v>92007</v>
      </c>
      <c r="N279" s="20" t="n">
        <v>463883</v>
      </c>
      <c r="Q279" s="20" t="n">
        <v>587697</v>
      </c>
      <c r="R279" s="20" t="n">
        <v>696521</v>
      </c>
      <c r="S279" s="20" t="n">
        <v>649305</v>
      </c>
      <c r="T279" s="20" t="n">
        <v>740605</v>
      </c>
      <c r="U279" s="20" t="n">
        <v>675728</v>
      </c>
      <c r="V279" s="20" t="n">
        <v>710540</v>
      </c>
      <c r="W279" s="20" t="n">
        <v>759591</v>
      </c>
      <c r="X279" s="20" t="n">
        <v>674889</v>
      </c>
    </row>
    <row r="280">
      <c r="A280" s="18" t="inlineStr">
        <is>
          <t>이자·배당금 수취</t>
        </is>
      </c>
      <c r="C280" s="20" t="n">
        <v>28666</v>
      </c>
      <c r="D280" s="20" t="n">
        <v>41189</v>
      </c>
      <c r="E280" s="20" t="n">
        <v>14537</v>
      </c>
      <c r="F280" s="20" t="n">
        <v>29728</v>
      </c>
      <c r="G280" s="20" t="n">
        <v>48525</v>
      </c>
      <c r="H280" s="20" t="n">
        <v>65353</v>
      </c>
      <c r="I280" s="20" t="n">
        <v>44369</v>
      </c>
      <c r="J280" s="20" t="n">
        <v>75867</v>
      </c>
      <c r="K280" s="20" t="n">
        <v>99874</v>
      </c>
      <c r="L280" s="20" t="n">
        <v>111202</v>
      </c>
      <c r="M280" s="20" t="n">
        <v>22110</v>
      </c>
      <c r="N280" s="20" t="n">
        <v>42407</v>
      </c>
      <c r="Q280" s="20" t="n">
        <v>11743</v>
      </c>
      <c r="R280" s="20" t="n">
        <v>15340</v>
      </c>
      <c r="S280" s="20" t="n">
        <v>14589</v>
      </c>
      <c r="T280" s="20" t="n">
        <v>19245</v>
      </c>
      <c r="U280" s="20" t="n">
        <v>25530</v>
      </c>
      <c r="V280" s="20" t="n">
        <v>41189</v>
      </c>
      <c r="W280" s="20" t="n">
        <v>65353</v>
      </c>
      <c r="X280" s="20" t="n">
        <v>111202</v>
      </c>
    </row>
    <row r="281">
      <c r="A281" s="18" t="inlineStr">
        <is>
          <t>이자 지급</t>
        </is>
      </c>
      <c r="C281" s="20" t="n">
        <v>-21580</v>
      </c>
      <c r="D281" s="20" t="n">
        <v>-26324</v>
      </c>
      <c r="E281" s="20" t="n">
        <v>-7569</v>
      </c>
      <c r="F281" s="20" t="n">
        <v>-16175</v>
      </c>
      <c r="G281" s="20" t="n">
        <v>-23751</v>
      </c>
      <c r="H281" s="20" t="n">
        <v>-33980</v>
      </c>
      <c r="I281" s="20" t="n">
        <v>-8091</v>
      </c>
      <c r="J281" s="20" t="n">
        <v>-34188</v>
      </c>
      <c r="K281" s="20" t="n">
        <v>-43535</v>
      </c>
      <c r="L281" s="20" t="n">
        <v>-64041</v>
      </c>
      <c r="M281" s="20" t="n">
        <v>-13119</v>
      </c>
      <c r="N281" s="20" t="n">
        <v>-39291</v>
      </c>
      <c r="Q281" s="20" t="n">
        <v>-13685</v>
      </c>
      <c r="R281" s="20" t="n">
        <v>-24346</v>
      </c>
      <c r="S281" s="20" t="n">
        <v>-19549</v>
      </c>
      <c r="T281" s="20" t="n">
        <v>-19113</v>
      </c>
      <c r="U281" s="20" t="n">
        <v>-23728</v>
      </c>
      <c r="V281" s="20" t="n">
        <v>-26324</v>
      </c>
      <c r="W281" s="20" t="n">
        <v>-33980</v>
      </c>
      <c r="X281" s="20" t="n">
        <v>-64041</v>
      </c>
    </row>
    <row r="282">
      <c r="A282" s="18" t="inlineStr">
        <is>
          <t>Income Taxes Refund Paid Ope CF</t>
        </is>
      </c>
      <c r="C282" s="20" t="n">
        <v>-101459</v>
      </c>
      <c r="D282" s="20" t="n">
        <v>-159088</v>
      </c>
      <c r="E282" s="20" t="n">
        <v>-39991</v>
      </c>
      <c r="F282" s="20" t="n">
        <v>-81837</v>
      </c>
      <c r="G282" s="20" t="n">
        <v>-116831</v>
      </c>
      <c r="H282" s="20" t="n">
        <v>-160953</v>
      </c>
      <c r="I282" s="20" t="n">
        <v>-47982</v>
      </c>
      <c r="J282" s="20" t="n">
        <v>-105752</v>
      </c>
      <c r="K282" s="20" t="n">
        <v>-155502</v>
      </c>
      <c r="L282" s="20" t="n">
        <v>-207993</v>
      </c>
      <c r="M282" s="20" t="n">
        <v>-61401</v>
      </c>
      <c r="N282" s="20" t="n">
        <v>-135670</v>
      </c>
      <c r="Q282" s="20" t="n">
        <v>-124366</v>
      </c>
      <c r="R282" s="20" t="n">
        <v>-147105</v>
      </c>
      <c r="S282" s="20" t="n">
        <v>-124511</v>
      </c>
      <c r="T282" s="20" t="n">
        <v>-141829</v>
      </c>
      <c r="U282" s="20" t="n">
        <v>-193731</v>
      </c>
      <c r="V282" s="20" t="n">
        <v>-159088</v>
      </c>
      <c r="W282" s="20" t="n">
        <v>-160953</v>
      </c>
      <c r="X282" s="20" t="n">
        <v>-207993</v>
      </c>
    </row>
    <row r="283">
      <c r="A283" s="9" t="inlineStr">
        <is>
          <t>영업활동 현금흐름</t>
        </is>
      </c>
      <c r="C283" s="12" t="n">
        <v>490434</v>
      </c>
      <c r="D283" s="12" t="n">
        <v>566317</v>
      </c>
      <c r="E283" s="12" t="n">
        <v>61833</v>
      </c>
      <c r="F283" s="12" t="n">
        <v>260206</v>
      </c>
      <c r="G283" s="12" t="n">
        <v>392015</v>
      </c>
      <c r="H283" s="12" t="n">
        <v>630011</v>
      </c>
      <c r="I283" s="12" t="n">
        <v>-6572</v>
      </c>
      <c r="J283" s="12" t="n">
        <v>167451</v>
      </c>
      <c r="K283" s="12" t="n">
        <v>286997</v>
      </c>
      <c r="L283" s="12" t="n">
        <v>514056</v>
      </c>
      <c r="M283" s="12" t="n">
        <v>39597</v>
      </c>
      <c r="N283" s="12" t="n">
        <v>331329</v>
      </c>
      <c r="Q283" s="12" t="n">
        <v>461389</v>
      </c>
      <c r="R283" s="12" t="n">
        <v>540410</v>
      </c>
      <c r="S283" s="12" t="n">
        <v>519833</v>
      </c>
      <c r="T283" s="12" t="n">
        <v>598909</v>
      </c>
      <c r="U283" s="12" t="n">
        <v>483799</v>
      </c>
      <c r="V283" s="12" t="n">
        <v>566317</v>
      </c>
      <c r="W283" s="12" t="n">
        <v>630011</v>
      </c>
      <c r="X283" s="12" t="n">
        <v>514056</v>
      </c>
    </row>
    <row r="284">
      <c r="A284" s="18" t="inlineStr">
        <is>
          <t>Purchase Of Investments Inv CF</t>
        </is>
      </c>
      <c r="C284" s="20" t="n">
        <v>-76638</v>
      </c>
      <c r="D284" s="20" t="n">
        <v>-113010</v>
      </c>
      <c r="E284" s="20" t="n">
        <v>-10171</v>
      </c>
      <c r="F284" s="20" t="n">
        <v>-18911</v>
      </c>
      <c r="G284" s="20" t="n">
        <v>-54101</v>
      </c>
      <c r="H284" s="20" t="n">
        <v>-65514</v>
      </c>
      <c r="I284" s="20" t="n">
        <v>-5149</v>
      </c>
      <c r="J284" s="20" t="n">
        <v>-8874</v>
      </c>
      <c r="K284" s="20" t="n">
        <v>-10104</v>
      </c>
      <c r="L284" s="20" t="n">
        <v>-12585</v>
      </c>
      <c r="M284" s="20" t="n">
        <v>-550</v>
      </c>
      <c r="N284" s="20" t="n">
        <v>-2051</v>
      </c>
      <c r="Q284" s="20" t="n">
        <v>-36705</v>
      </c>
      <c r="R284" s="20" t="n">
        <v>-45401</v>
      </c>
      <c r="S284" s="20" t="n">
        <v>-39991</v>
      </c>
      <c r="T284" s="20" t="n">
        <v>-27810</v>
      </c>
      <c r="U284" s="20" t="n">
        <v>-37414</v>
      </c>
      <c r="V284" s="20" t="n">
        <v>-113010</v>
      </c>
      <c r="W284" s="20" t="n">
        <v>-65514</v>
      </c>
      <c r="X284" s="20" t="n">
        <v>-12585</v>
      </c>
    </row>
    <row r="285">
      <c r="A285" s="18" t="inlineStr">
        <is>
          <t>투자 매각·상환 수입</t>
        </is>
      </c>
      <c r="C285" s="20" t="n">
        <v>31946</v>
      </c>
      <c r="D285" s="20" t="n">
        <v>84363</v>
      </c>
      <c r="E285" s="20" t="n">
        <v>9646</v>
      </c>
      <c r="F285" s="20" t="n">
        <v>49279</v>
      </c>
      <c r="G285" s="20" t="n">
        <v>54410</v>
      </c>
      <c r="H285" s="20" t="n">
        <v>81318</v>
      </c>
      <c r="I285" s="20" t="n">
        <v>40809</v>
      </c>
      <c r="J285" s="20" t="n">
        <v>46272</v>
      </c>
      <c r="K285" s="20" t="n">
        <v>51780</v>
      </c>
      <c r="L285" s="20" t="n">
        <v>52073</v>
      </c>
      <c r="M285" s="20" t="n">
        <v>75</v>
      </c>
      <c r="N285" s="20" t="n">
        <v>281</v>
      </c>
      <c r="Q285" s="20" t="n">
        <v>10159</v>
      </c>
      <c r="R285" s="20" t="n">
        <v>77200</v>
      </c>
      <c r="S285" s="20" t="n">
        <v>49802</v>
      </c>
      <c r="T285" s="20" t="n">
        <v>24137</v>
      </c>
      <c r="U285" s="20" t="n">
        <v>18208</v>
      </c>
      <c r="V285" s="20" t="n">
        <v>84363</v>
      </c>
      <c r="W285" s="20" t="n">
        <v>81318</v>
      </c>
      <c r="X285" s="20" t="n">
        <v>52073</v>
      </c>
    </row>
    <row r="286">
      <c r="A286" s="18" t="inlineStr">
        <is>
          <t>유형자산 취득(설비투자)</t>
        </is>
      </c>
      <c r="C286" s="20" t="n">
        <v>-61412</v>
      </c>
      <c r="D286" s="20" t="n">
        <v>-94861</v>
      </c>
      <c r="E286" s="20" t="n">
        <v>-26491</v>
      </c>
      <c r="F286" s="20" t="n">
        <v>-56375</v>
      </c>
      <c r="G286" s="20" t="n">
        <v>-86208</v>
      </c>
      <c r="H286" s="20" t="n">
        <v>-127769</v>
      </c>
      <c r="I286" s="20" t="n">
        <v>-27566</v>
      </c>
      <c r="J286" s="20" t="n">
        <v>-52982</v>
      </c>
      <c r="K286" s="20" t="n">
        <v>-94438</v>
      </c>
      <c r="L286" s="20" t="n">
        <v>-143204</v>
      </c>
      <c r="M286" s="20" t="n">
        <v>-24039</v>
      </c>
      <c r="N286" s="20" t="n">
        <v>-53227</v>
      </c>
      <c r="Q286" s="20" t="n">
        <v>-138605</v>
      </c>
      <c r="R286" s="20" t="n">
        <v>-111366</v>
      </c>
      <c r="S286" s="20" t="n">
        <v>-85319</v>
      </c>
      <c r="T286" s="20" t="n">
        <v>-86350</v>
      </c>
      <c r="U286" s="20" t="n">
        <v>-81411</v>
      </c>
      <c r="V286" s="20" t="n">
        <v>-94861</v>
      </c>
      <c r="W286" s="20" t="n">
        <v>-127769</v>
      </c>
      <c r="X286" s="20" t="n">
        <v>-143204</v>
      </c>
    </row>
    <row r="287">
      <c r="A287" s="18" t="inlineStr">
        <is>
          <t>투자부동산 매각</t>
        </is>
      </c>
      <c r="C287" s="20" t="n">
        <v>15767</v>
      </c>
      <c r="D287" s="20" t="n">
        <v>19653</v>
      </c>
      <c r="E287" s="20" t="n">
        <v>2079</v>
      </c>
      <c r="F287" s="20" t="n">
        <v>3105</v>
      </c>
      <c r="G287" s="20" t="n">
        <v>6437</v>
      </c>
      <c r="H287" s="20" t="n">
        <v>9753</v>
      </c>
      <c r="I287" s="20" t="n">
        <v>0</v>
      </c>
      <c r="J287" s="20" t="n">
        <v>0</v>
      </c>
      <c r="K287" s="20" t="n">
        <v>3650</v>
      </c>
      <c r="L287" s="20" t="n">
        <v>18604</v>
      </c>
      <c r="N287" s="20" t="n">
        <v>1386</v>
      </c>
      <c r="Q287" s="20" t="n">
        <v>46868</v>
      </c>
      <c r="R287" s="20" t="n">
        <v>15863</v>
      </c>
      <c r="S287" s="20" t="n">
        <v>86263</v>
      </c>
      <c r="T287" s="20" t="n">
        <v>8002</v>
      </c>
      <c r="U287" s="20" t="n">
        <v>7583</v>
      </c>
      <c r="V287" s="20" t="n">
        <v>19653</v>
      </c>
      <c r="W287" s="20" t="n">
        <v>9753</v>
      </c>
      <c r="X287" s="20" t="n">
        <v>18604</v>
      </c>
    </row>
    <row r="288">
      <c r="A288" s="18" t="inlineStr">
        <is>
          <t>무형자산 취득 지출</t>
        </is>
      </c>
      <c r="C288" s="20" t="n">
        <v>-17389</v>
      </c>
      <c r="D288" s="20" t="n">
        <v>-21707</v>
      </c>
      <c r="E288" s="20" t="n">
        <v>-2362</v>
      </c>
      <c r="F288" s="20" t="n">
        <v>-6494</v>
      </c>
      <c r="G288" s="20" t="n">
        <v>-16919</v>
      </c>
      <c r="H288" s="20" t="n">
        <v>-22598</v>
      </c>
      <c r="I288" s="20" t="n">
        <v>-3180</v>
      </c>
      <c r="J288" s="20" t="n">
        <v>-8383</v>
      </c>
      <c r="K288" s="20" t="n">
        <v>-12214</v>
      </c>
      <c r="L288" s="20" t="n">
        <v>-19182</v>
      </c>
      <c r="M288" s="20" t="n">
        <v>-3070</v>
      </c>
      <c r="N288" s="20" t="n">
        <v>-7173</v>
      </c>
      <c r="Q288" s="20" t="n">
        <v>-20205</v>
      </c>
      <c r="R288" s="20" t="n">
        <v>-22004</v>
      </c>
      <c r="S288" s="20" t="n">
        <v>-23301</v>
      </c>
      <c r="T288" s="20" t="n">
        <v>-16568</v>
      </c>
      <c r="U288" s="20" t="n">
        <v>-17997</v>
      </c>
      <c r="V288" s="20" t="n">
        <v>-21707</v>
      </c>
      <c r="W288" s="20" t="n">
        <v>-22598</v>
      </c>
      <c r="X288" s="20" t="n">
        <v>-19182</v>
      </c>
    </row>
    <row r="289">
      <c r="A289" s="18" t="inlineStr">
        <is>
          <t>정기예금 예입</t>
        </is>
      </c>
      <c r="C289" s="20" t="n">
        <v>0</v>
      </c>
      <c r="D289" s="20" t="n">
        <v>0</v>
      </c>
      <c r="E289" s="20" t="n">
        <v>0</v>
      </c>
      <c r="F289" s="20" t="n">
        <v>0</v>
      </c>
      <c r="G289" s="20" t="n">
        <v>-47657</v>
      </c>
      <c r="H289" s="20" t="n">
        <v>-48262</v>
      </c>
      <c r="I289" s="20" t="n">
        <v>-66186</v>
      </c>
      <c r="J289" s="20" t="n">
        <v>-138520</v>
      </c>
      <c r="K289" s="20" t="n">
        <v>-234400</v>
      </c>
      <c r="L289" s="20" t="n">
        <v>-321591</v>
      </c>
      <c r="M289" s="20" t="n">
        <v>-130683</v>
      </c>
      <c r="N289" s="20" t="n">
        <v>-241958</v>
      </c>
      <c r="Q289" s="20" t="n">
        <v>-878</v>
      </c>
      <c r="R289" s="20" t="n">
        <v>-218</v>
      </c>
      <c r="S289" s="20" t="n">
        <v>-491</v>
      </c>
      <c r="T289" s="20" t="n">
        <v>-1427</v>
      </c>
      <c r="U289" s="20" t="n">
        <v>-350</v>
      </c>
      <c r="V289" s="20" t="n">
        <v>0</v>
      </c>
      <c r="W289" s="20" t="n">
        <v>-48262</v>
      </c>
      <c r="X289" s="20" t="n">
        <v>-321591</v>
      </c>
    </row>
    <row r="290">
      <c r="A290" s="18" t="inlineStr">
        <is>
          <t>Proceeds From Sale Of Investments In Associates Inv CFIFRS</t>
        </is>
      </c>
      <c r="C290" s="20" t="n">
        <v>1369</v>
      </c>
      <c r="E290" s="20" t="n">
        <v>0</v>
      </c>
      <c r="F290" s="20" t="n">
        <v>0</v>
      </c>
      <c r="G290" s="20" t="n">
        <v>0</v>
      </c>
    </row>
    <row r="291">
      <c r="A291" s="18" t="inlineStr">
        <is>
          <t>Proceeds From Withdrawal Of Time Deposits Inv CF</t>
        </is>
      </c>
      <c r="C291" s="20" t="n">
        <v>0</v>
      </c>
      <c r="D291" s="20" t="n">
        <v>0</v>
      </c>
      <c r="E291" s="20" t="n">
        <v>0</v>
      </c>
      <c r="F291" s="20" t="n">
        <v>0</v>
      </c>
      <c r="G291" s="20" t="n">
        <v>0</v>
      </c>
      <c r="H291" s="20" t="n">
        <v>0</v>
      </c>
      <c r="I291" s="20" t="n">
        <v>47211</v>
      </c>
      <c r="J291" s="20" t="n">
        <v>120115</v>
      </c>
      <c r="K291" s="20" t="n">
        <v>174332</v>
      </c>
      <c r="L291" s="20" t="n">
        <v>207252</v>
      </c>
      <c r="M291" s="20" t="n">
        <v>147286</v>
      </c>
      <c r="N291" s="20" t="n">
        <v>246301</v>
      </c>
      <c r="Q291" s="20" t="n">
        <v>812</v>
      </c>
      <c r="R291" s="20" t="n">
        <v>409</v>
      </c>
      <c r="S291" s="20" t="n">
        <v>334</v>
      </c>
      <c r="T291" s="20" t="n">
        <v>1222</v>
      </c>
      <c r="U291" s="20" t="n">
        <v>1602</v>
      </c>
      <c r="V291" s="20" t="n">
        <v>0</v>
      </c>
      <c r="W291" s="20" t="n">
        <v>0</v>
      </c>
      <c r="X291" s="20" t="n">
        <v>207252</v>
      </c>
    </row>
    <row r="292">
      <c r="A292" s="18" t="inlineStr">
        <is>
          <t>Payments For Business Combinations</t>
        </is>
      </c>
      <c r="Q292" s="20" t="n">
        <v>-247632</v>
      </c>
      <c r="R292" s="20" t="n">
        <v>0</v>
      </c>
    </row>
    <row r="293">
      <c r="A293" s="18" t="inlineStr">
        <is>
          <t>Subsequent Payments For Past Fiscal Years Business Combinations</t>
        </is>
      </c>
      <c r="Q293" s="20" t="n">
        <v>-4589</v>
      </c>
      <c r="R293" s="20" t="n">
        <v>-40127</v>
      </c>
    </row>
    <row r="294">
      <c r="A294" s="18" t="inlineStr">
        <is>
          <t>Subsequent Payments For Past Fiscal Years Business Combinations IFRSInv CF</t>
        </is>
      </c>
      <c r="R294" s="20" t="n">
        <v>-40127</v>
      </c>
      <c r="S294" s="20" t="n">
        <v>-1140</v>
      </c>
    </row>
    <row r="295">
      <c r="A295" s="18" t="inlineStr">
        <is>
          <t>Proceeds From Sale Of Investments In Subsidiaries</t>
        </is>
      </c>
      <c r="T295" s="20" t="n">
        <v>0</v>
      </c>
      <c r="U295" s="20" t="n">
        <v>2963</v>
      </c>
    </row>
    <row r="296">
      <c r="A296" s="18" t="inlineStr">
        <is>
          <t>Proceeds From Sale Of Subsidiaries Inv CF</t>
        </is>
      </c>
      <c r="D296" s="20" t="n">
        <v>0</v>
      </c>
      <c r="U296" s="20" t="n">
        <v>2963</v>
      </c>
      <c r="V296" s="20" t="n">
        <v>0</v>
      </c>
    </row>
    <row r="297">
      <c r="A297" s="18" t="inlineStr">
        <is>
          <t>Payments For Business Combinations Inv CF</t>
        </is>
      </c>
      <c r="D297" s="20" t="n">
        <v>0</v>
      </c>
      <c r="H297" s="20" t="n">
        <v>-265667</v>
      </c>
      <c r="L297" s="20" t="n">
        <v>0</v>
      </c>
      <c r="V297" s="20" t="n">
        <v>0</v>
      </c>
      <c r="W297" s="20" t="n">
        <v>-265667</v>
      </c>
      <c r="X297" s="20" t="n">
        <v>0</v>
      </c>
    </row>
    <row r="298">
      <c r="A298" s="18" t="inlineStr">
        <is>
          <t>Subsequent Payments For Past Fiscal Years Business Combinations Inv CF</t>
        </is>
      </c>
      <c r="E298" s="20" t="n">
        <v>0</v>
      </c>
      <c r="F298" s="20" t="n">
        <v>0</v>
      </c>
      <c r="G298" s="20" t="n">
        <v>0</v>
      </c>
      <c r="H298" s="20" t="n">
        <v>0</v>
      </c>
      <c r="I298" s="20" t="n">
        <v>-68271</v>
      </c>
      <c r="J298" s="20" t="n">
        <v>-68271</v>
      </c>
      <c r="K298" s="20" t="n">
        <v>-68271</v>
      </c>
      <c r="L298" s="20" t="n">
        <v>-68271</v>
      </c>
      <c r="M298" s="20" t="n">
        <v>0</v>
      </c>
      <c r="N298" s="20" t="n">
        <v>0</v>
      </c>
      <c r="W298" s="20" t="n">
        <v>0</v>
      </c>
      <c r="X298" s="20" t="n">
        <v>-68271</v>
      </c>
    </row>
    <row r="299">
      <c r="A299" s="18" t="inlineStr">
        <is>
          <t>사업양도 수입</t>
        </is>
      </c>
      <c r="G299" s="20" t="n">
        <v>0</v>
      </c>
      <c r="H299" s="20" t="n">
        <v>0</v>
      </c>
      <c r="K299" s="20" t="n">
        <v>36064</v>
      </c>
      <c r="L299" s="20" t="n">
        <v>42811</v>
      </c>
      <c r="W299" s="20" t="n">
        <v>0</v>
      </c>
      <c r="X299" s="20" t="n">
        <v>42811</v>
      </c>
    </row>
    <row r="300">
      <c r="A300" s="18" t="inlineStr">
        <is>
          <t>Purchase Of Investments In Associates</t>
        </is>
      </c>
      <c r="F300" s="20" t="n">
        <v>0</v>
      </c>
      <c r="G300" s="20" t="n">
        <v>0</v>
      </c>
      <c r="H300" s="20" t="n">
        <v>0</v>
      </c>
      <c r="J300" s="20" t="n">
        <v>-22873</v>
      </c>
      <c r="K300" s="20" t="n">
        <v>-23091</v>
      </c>
      <c r="L300" s="20" t="n">
        <v>-24752</v>
      </c>
      <c r="N300" s="20" t="n">
        <v>-1065</v>
      </c>
      <c r="W300" s="20" t="n">
        <v>0</v>
      </c>
      <c r="X300" s="20" t="n">
        <v>-24752</v>
      </c>
    </row>
    <row r="301">
      <c r="A301" s="18" t="inlineStr">
        <is>
          <t>Proceeds From Sale Of Investments In Associates Inv CF</t>
        </is>
      </c>
      <c r="D301" s="20" t="n">
        <v>1369</v>
      </c>
      <c r="H301" s="20" t="n">
        <v>414</v>
      </c>
      <c r="L301" s="20" t="n">
        <v>2272</v>
      </c>
      <c r="R301" s="20" t="n">
        <v>0</v>
      </c>
      <c r="S301" s="20" t="n">
        <v>17413</v>
      </c>
      <c r="T301" s="20" t="n">
        <v>2562</v>
      </c>
      <c r="U301" s="20" t="n">
        <v>63</v>
      </c>
      <c r="V301" s="20" t="n">
        <v>1369</v>
      </c>
      <c r="W301" s="20" t="n">
        <v>414</v>
      </c>
      <c r="X301" s="20" t="n">
        <v>2272</v>
      </c>
    </row>
    <row r="302">
      <c r="A302" s="18" t="inlineStr">
        <is>
          <t>기타</t>
        </is>
      </c>
      <c r="C302" s="20" t="n">
        <v>2315</v>
      </c>
      <c r="D302" s="20" t="n">
        <v>-1239</v>
      </c>
      <c r="E302" s="20" t="n">
        <v>-376</v>
      </c>
      <c r="F302" s="20" t="n">
        <v>695</v>
      </c>
      <c r="G302" s="20" t="n">
        <v>1399</v>
      </c>
      <c r="H302" s="20" t="n">
        <v>-1441</v>
      </c>
      <c r="I302" s="20" t="n">
        <v>1241</v>
      </c>
      <c r="J302" s="20" t="n">
        <v>1550</v>
      </c>
      <c r="K302" s="20" t="n">
        <v>5416</v>
      </c>
      <c r="L302" s="20" t="n">
        <v>1586</v>
      </c>
      <c r="M302" s="20" t="n">
        <v>-1514</v>
      </c>
      <c r="N302" s="20" t="n">
        <v>-916</v>
      </c>
      <c r="Q302" s="20" t="n">
        <v>7467</v>
      </c>
      <c r="R302" s="20" t="n">
        <v>2073</v>
      </c>
      <c r="S302" s="20" t="n">
        <v>645</v>
      </c>
      <c r="T302" s="20" t="n">
        <v>-1268</v>
      </c>
      <c r="U302" s="20" t="n">
        <v>4930</v>
      </c>
      <c r="V302" s="20" t="n">
        <v>-1239</v>
      </c>
      <c r="W302" s="20" t="n">
        <v>-1441</v>
      </c>
      <c r="X302" s="20" t="n">
        <v>1586</v>
      </c>
    </row>
    <row r="303">
      <c r="A303" s="9" t="inlineStr">
        <is>
          <t>투자활동 현금흐름</t>
        </is>
      </c>
      <c r="C303" s="12" t="n">
        <v>-104040</v>
      </c>
      <c r="D303" s="12" t="n">
        <v>-125432</v>
      </c>
      <c r="E303" s="12" t="n">
        <v>-27674</v>
      </c>
      <c r="F303" s="12" t="n">
        <v>-28700</v>
      </c>
      <c r="G303" s="12" t="n">
        <v>-142640</v>
      </c>
      <c r="H303" s="12" t="n">
        <v>-439766</v>
      </c>
      <c r="I303" s="12" t="n">
        <v>-81091</v>
      </c>
      <c r="J303" s="12" t="n">
        <v>-131965</v>
      </c>
      <c r="K303" s="12" t="n">
        <v>-171277</v>
      </c>
      <c r="L303" s="12" t="n">
        <v>-264986</v>
      </c>
      <c r="M303" s="12" t="n">
        <v>-12493</v>
      </c>
      <c r="N303" s="12" t="n">
        <v>-58422</v>
      </c>
      <c r="Q303" s="12" t="n">
        <v>-383307</v>
      </c>
      <c r="R303" s="12" t="n">
        <v>-123571</v>
      </c>
      <c r="S303" s="12" t="n">
        <v>5354</v>
      </c>
      <c r="T303" s="12" t="n">
        <v>-97499</v>
      </c>
      <c r="U303" s="12" t="n">
        <v>-101822</v>
      </c>
      <c r="V303" s="12" t="n">
        <v>-125432</v>
      </c>
      <c r="W303" s="12" t="n">
        <v>-439766</v>
      </c>
      <c r="X303" s="12" t="n">
        <v>-264986</v>
      </c>
    </row>
    <row r="304">
      <c r="A304" s="18" t="inlineStr">
        <is>
          <t>Dividends Paid Fin CF</t>
        </is>
      </c>
      <c r="C304" s="20" t="n">
        <v>-366964</v>
      </c>
      <c r="D304" s="20" t="n">
        <v>-367331</v>
      </c>
      <c r="E304" s="20" t="n">
        <v>-172715</v>
      </c>
      <c r="F304" s="20" t="n">
        <v>-177463</v>
      </c>
      <c r="G304" s="20" t="n">
        <v>-349057</v>
      </c>
      <c r="H304" s="20" t="n">
        <v>-349645</v>
      </c>
      <c r="I304" s="20" t="n">
        <v>-167293</v>
      </c>
      <c r="J304" s="20" t="n">
        <v>-172192</v>
      </c>
      <c r="K304" s="20" t="n">
        <v>-356455</v>
      </c>
      <c r="L304" s="20" t="n">
        <v>-356853</v>
      </c>
      <c r="M304" s="20" t="n">
        <v>-225877</v>
      </c>
      <c r="N304" s="20" t="n">
        <v>-230725</v>
      </c>
      <c r="Q304" s="20" t="n">
        <v>-259671</v>
      </c>
      <c r="R304" s="20" t="n">
        <v>-270871</v>
      </c>
      <c r="S304" s="20" t="n">
        <v>-273134</v>
      </c>
      <c r="T304" s="20" t="n">
        <v>-251935</v>
      </c>
      <c r="U304" s="20" t="n">
        <v>-266175</v>
      </c>
      <c r="V304" s="20" t="n">
        <v>-367331</v>
      </c>
      <c r="W304" s="20" t="n">
        <v>-349645</v>
      </c>
      <c r="X304" s="20" t="n">
        <v>-356853</v>
      </c>
    </row>
    <row r="305">
      <c r="A305" s="18" t="inlineStr">
        <is>
          <t>Dividends Paid To Non Controlling Interests Fin CF</t>
        </is>
      </c>
      <c r="C305" s="20" t="n">
        <v>-2183</v>
      </c>
      <c r="D305" s="20" t="n">
        <v>-2594</v>
      </c>
      <c r="E305" s="20" t="n">
        <v>-897</v>
      </c>
      <c r="F305" s="20" t="n">
        <v>-1555</v>
      </c>
      <c r="G305" s="20" t="n">
        <v>-2321</v>
      </c>
      <c r="H305" s="20" t="n">
        <v>-2701</v>
      </c>
      <c r="I305" s="20" t="n">
        <v>-1266</v>
      </c>
      <c r="J305" s="20" t="n">
        <v>-2002</v>
      </c>
      <c r="K305" s="20" t="n">
        <v>-2064</v>
      </c>
      <c r="L305" s="20" t="n">
        <v>-2691</v>
      </c>
      <c r="M305" s="20" t="n">
        <v>-406</v>
      </c>
      <c r="N305" s="20" t="n">
        <v>-1366</v>
      </c>
      <c r="Q305" s="20" t="n">
        <v>-1747</v>
      </c>
      <c r="R305" s="20" t="n">
        <v>-1913</v>
      </c>
      <c r="S305" s="20" t="n">
        <v>-1404</v>
      </c>
      <c r="T305" s="20" t="n">
        <v>-1958</v>
      </c>
      <c r="U305" s="20" t="n">
        <v>-1536</v>
      </c>
      <c r="V305" s="20" t="n">
        <v>-2594</v>
      </c>
      <c r="W305" s="20" t="n">
        <v>-2701</v>
      </c>
      <c r="X305" s="20" t="n">
        <v>-2691</v>
      </c>
    </row>
    <row r="306">
      <c r="A306" s="18" t="inlineStr">
        <is>
          <t>Capital Contribution From Non Controlling Interests Fin CF</t>
        </is>
      </c>
      <c r="C306" s="20" t="n">
        <v>438</v>
      </c>
      <c r="D306" s="20" t="n">
        <v>431</v>
      </c>
      <c r="E306" s="20" t="n">
        <v>92</v>
      </c>
      <c r="F306" s="20" t="n">
        <v>108</v>
      </c>
      <c r="G306" s="20" t="n">
        <v>115</v>
      </c>
      <c r="H306" s="20" t="n">
        <v>130</v>
      </c>
      <c r="I306" s="20" t="n">
        <v>0</v>
      </c>
      <c r="J306" s="20" t="n">
        <v>0</v>
      </c>
      <c r="K306" s="20" t="n">
        <v>0</v>
      </c>
      <c r="L306" s="20" t="n">
        <v>0</v>
      </c>
      <c r="Q306" s="20" t="n">
        <v>109</v>
      </c>
      <c r="R306" s="20" t="n">
        <v>358</v>
      </c>
      <c r="S306" s="20" t="n">
        <v>117</v>
      </c>
      <c r="T306" s="20" t="n">
        <v>42</v>
      </c>
      <c r="U306" s="20" t="n">
        <v>27</v>
      </c>
      <c r="V306" s="20" t="n">
        <v>431</v>
      </c>
      <c r="W306" s="20" t="n">
        <v>130</v>
      </c>
      <c r="X306" s="20" t="n">
        <v>0</v>
      </c>
    </row>
    <row r="307">
      <c r="A307" s="18" t="inlineStr">
        <is>
          <t>Increase Decrease In Short Term Borrowings And Commercial Paper</t>
        </is>
      </c>
      <c r="Q307" s="20" t="n">
        <v>-133849</v>
      </c>
      <c r="R307" s="20" t="n">
        <v>-44976</v>
      </c>
    </row>
    <row r="308">
      <c r="A308" s="18" t="inlineStr">
        <is>
          <t>Increase Decrease In Short Term Borrowings And Commercial Paper IFRSFin CF</t>
        </is>
      </c>
      <c r="R308" s="20" t="n">
        <v>-44976</v>
      </c>
      <c r="S308" s="20" t="n">
        <v>-132462</v>
      </c>
    </row>
    <row r="309">
      <c r="A309" s="18" t="inlineStr">
        <is>
          <t>Increase Decrease In Short Term Borrowings And Commercial Paper Fin CF</t>
        </is>
      </c>
      <c r="C309" s="20" t="n">
        <v>-13120</v>
      </c>
      <c r="D309" s="20" t="n">
        <v>143042</v>
      </c>
      <c r="E309" s="20" t="n">
        <v>-156465</v>
      </c>
      <c r="F309" s="20" t="n">
        <v>-159982</v>
      </c>
      <c r="G309" s="20" t="n">
        <v>-152814</v>
      </c>
      <c r="H309" s="20" t="n">
        <v>-150105</v>
      </c>
      <c r="I309" s="20" t="n">
        <v>-2776</v>
      </c>
      <c r="J309" s="20" t="n">
        <v>9973</v>
      </c>
      <c r="K309" s="20" t="n">
        <v>14832</v>
      </c>
      <c r="L309" s="20" t="n">
        <v>20365</v>
      </c>
      <c r="M309" s="20" t="n">
        <v>141912</v>
      </c>
      <c r="N309" s="20" t="n">
        <v>36209</v>
      </c>
      <c r="S309" s="20" t="n">
        <v>-132462</v>
      </c>
      <c r="T309" s="20" t="n">
        <v>22887</v>
      </c>
      <c r="U309" s="20" t="n">
        <v>-27610</v>
      </c>
      <c r="V309" s="20" t="n">
        <v>143042</v>
      </c>
      <c r="W309" s="20" t="n">
        <v>-150105</v>
      </c>
      <c r="X309" s="20" t="n">
        <v>20365</v>
      </c>
    </row>
    <row r="310">
      <c r="A310" s="18" t="inlineStr">
        <is>
          <t>Proceeds From Long Term Borrowings Fin CF</t>
        </is>
      </c>
      <c r="C310" s="20" t="n">
        <v>2911</v>
      </c>
      <c r="D310" s="20" t="n">
        <v>2890</v>
      </c>
      <c r="E310" s="20" t="n">
        <v>197</v>
      </c>
      <c r="F310" s="20" t="n">
        <v>202</v>
      </c>
      <c r="G310" s="20" t="n">
        <v>100</v>
      </c>
      <c r="H310" s="20" t="n">
        <v>581380</v>
      </c>
      <c r="I310" s="20" t="n">
        <v>99437</v>
      </c>
      <c r="J310" s="20" t="n">
        <v>99437</v>
      </c>
      <c r="K310" s="20" t="n">
        <v>99437</v>
      </c>
      <c r="L310" s="20" t="n">
        <v>99437</v>
      </c>
      <c r="M310" s="20" t="n">
        <v>0</v>
      </c>
      <c r="N310" s="20" t="n">
        <v>0</v>
      </c>
      <c r="Q310" s="20" t="n">
        <v>59135</v>
      </c>
      <c r="R310" s="20" t="n">
        <v>0</v>
      </c>
      <c r="S310" s="20" t="n">
        <v>100101</v>
      </c>
      <c r="T310" s="20" t="n">
        <v>3295</v>
      </c>
      <c r="U310" s="20" t="n">
        <v>1522</v>
      </c>
      <c r="V310" s="20" t="n">
        <v>2890</v>
      </c>
      <c r="W310" s="20" t="n">
        <v>581380</v>
      </c>
      <c r="X310" s="20" t="n">
        <v>99437</v>
      </c>
    </row>
    <row r="311">
      <c r="A311" s="18" t="inlineStr">
        <is>
          <t>장기차입금 상환</t>
        </is>
      </c>
      <c r="C311" s="20" t="n">
        <v>-14436</v>
      </c>
      <c r="D311" s="20" t="n">
        <v>-14909</v>
      </c>
      <c r="E311" s="20" t="n">
        <v>-36</v>
      </c>
      <c r="F311" s="20" t="n">
        <v>-4492</v>
      </c>
      <c r="G311" s="20" t="n">
        <v>-4481</v>
      </c>
      <c r="H311" s="20" t="n">
        <v>-236538</v>
      </c>
      <c r="I311" s="20" t="n">
        <v>-101223</v>
      </c>
      <c r="J311" s="20" t="n">
        <v>-666593</v>
      </c>
      <c r="K311" s="20" t="n">
        <v>-666609</v>
      </c>
      <c r="L311" s="20" t="n">
        <v>-666626</v>
      </c>
      <c r="M311" s="20" t="n">
        <v>-107</v>
      </c>
      <c r="N311" s="20" t="n">
        <v>-290</v>
      </c>
      <c r="Q311" s="20" t="n">
        <v>-2710</v>
      </c>
      <c r="R311" s="20" t="n">
        <v>-11568</v>
      </c>
      <c r="S311" s="20" t="n">
        <v>-11948</v>
      </c>
      <c r="T311" s="20" t="n">
        <v>-12442</v>
      </c>
      <c r="U311" s="20" t="n">
        <v>-42849</v>
      </c>
      <c r="V311" s="20" t="n">
        <v>-14909</v>
      </c>
      <c r="W311" s="20" t="n">
        <v>-236538</v>
      </c>
      <c r="X311" s="20" t="n">
        <v>-666626</v>
      </c>
    </row>
    <row r="312">
      <c r="A312" s="18" t="inlineStr">
        <is>
          <t>사채 발행</t>
        </is>
      </c>
      <c r="C312" s="20" t="n">
        <v>59795</v>
      </c>
      <c r="D312" s="20" t="n">
        <v>59795</v>
      </c>
      <c r="F312" s="20" t="n">
        <v>97616</v>
      </c>
      <c r="G312" s="20" t="n">
        <v>97616</v>
      </c>
      <c r="H312" s="20" t="n">
        <v>97616</v>
      </c>
      <c r="J312" s="20" t="n">
        <v>515001</v>
      </c>
      <c r="K312" s="20" t="n">
        <v>577483</v>
      </c>
      <c r="L312" s="20" t="n">
        <v>577483</v>
      </c>
      <c r="N312" s="20" t="n">
        <v>0</v>
      </c>
      <c r="Q312" s="20" t="n">
        <v>341516</v>
      </c>
      <c r="R312" s="20" t="n">
        <v>59435</v>
      </c>
      <c r="S312" s="20" t="n">
        <v>122201</v>
      </c>
      <c r="T312" s="20" t="n">
        <v>55334</v>
      </c>
      <c r="U312" s="20" t="n">
        <v>69175</v>
      </c>
      <c r="V312" s="20" t="n">
        <v>59795</v>
      </c>
      <c r="W312" s="20" t="n">
        <v>97616</v>
      </c>
      <c r="X312" s="20" t="n">
        <v>577483</v>
      </c>
    </row>
    <row r="313">
      <c r="A313" s="18" t="inlineStr">
        <is>
          <t>사채 상환</t>
        </is>
      </c>
      <c r="C313" s="20" t="n">
        <v>-62445</v>
      </c>
      <c r="D313" s="20" t="n">
        <v>-68194</v>
      </c>
      <c r="E313" s="20" t="n">
        <v>-4819</v>
      </c>
      <c r="F313" s="20" t="n">
        <v>-8397</v>
      </c>
      <c r="G313" s="20" t="n">
        <v>-8719</v>
      </c>
      <c r="H313" s="20" t="n">
        <v>-8722</v>
      </c>
      <c r="I313" s="20" t="n">
        <v>0</v>
      </c>
      <c r="J313" s="20" t="n">
        <v>0</v>
      </c>
      <c r="K313" s="20" t="n">
        <v>-120165</v>
      </c>
      <c r="L313" s="20" t="n">
        <v>-120165</v>
      </c>
      <c r="M313" s="20" t="n">
        <v>-67532</v>
      </c>
      <c r="N313" s="20" t="n">
        <v>-67532</v>
      </c>
      <c r="Q313" s="20" t="n">
        <v>-54086</v>
      </c>
      <c r="R313" s="20" t="n">
        <v>0</v>
      </c>
      <c r="S313" s="20" t="n">
        <v>-80000</v>
      </c>
      <c r="T313" s="20" t="n">
        <v>-147911</v>
      </c>
      <c r="U313" s="20" t="n">
        <v>-30000</v>
      </c>
      <c r="V313" s="20" t="n">
        <v>-68194</v>
      </c>
      <c r="W313" s="20" t="n">
        <v>-8722</v>
      </c>
      <c r="X313" s="20" t="n">
        <v>-120165</v>
      </c>
    </row>
    <row r="314">
      <c r="A314" s="18" t="inlineStr">
        <is>
          <t>리스부채 상환 지출</t>
        </is>
      </c>
      <c r="Q314" s="20" t="n">
        <v>-1637</v>
      </c>
      <c r="R314" s="20" t="n">
        <v>-14294</v>
      </c>
    </row>
    <row r="315">
      <c r="A315" s="18" t="inlineStr">
        <is>
          <t>리스부채 상환 지출</t>
        </is>
      </c>
      <c r="R315" s="20" t="n">
        <v>-14294</v>
      </c>
      <c r="S315" s="20" t="n">
        <v>-17741</v>
      </c>
    </row>
    <row r="316">
      <c r="A316" s="18" t="inlineStr">
        <is>
          <t>리스부채 상환 지출</t>
        </is>
      </c>
      <c r="C316" s="20" t="n">
        <v>-17724</v>
      </c>
      <c r="D316" s="20" t="n">
        <v>-23613</v>
      </c>
      <c r="E316" s="20" t="n">
        <v>-6504</v>
      </c>
      <c r="F316" s="20" t="n">
        <v>-13427</v>
      </c>
      <c r="G316" s="20" t="n">
        <v>-19758</v>
      </c>
      <c r="H316" s="20" t="n">
        <v>-26218</v>
      </c>
      <c r="I316" s="20" t="n">
        <v>-6378</v>
      </c>
      <c r="J316" s="20" t="n">
        <v>-12916</v>
      </c>
      <c r="K316" s="20" t="n">
        <v>-18767</v>
      </c>
      <c r="L316" s="20" t="n">
        <v>-24787</v>
      </c>
      <c r="M316" s="20" t="n">
        <v>-6962</v>
      </c>
      <c r="N316" s="20" t="n">
        <v>-13679</v>
      </c>
      <c r="S316" s="20" t="n">
        <v>-17741</v>
      </c>
      <c r="T316" s="20" t="n">
        <v>-20449</v>
      </c>
      <c r="U316" s="20" t="n">
        <v>-21009</v>
      </c>
      <c r="V316" s="20" t="n">
        <v>-23613</v>
      </c>
      <c r="W316" s="20" t="n">
        <v>-26218</v>
      </c>
      <c r="X316" s="20" t="n">
        <v>-24787</v>
      </c>
    </row>
    <row r="317">
      <c r="A317" s="18" t="inlineStr">
        <is>
          <t>자기주식 취득</t>
        </is>
      </c>
      <c r="C317" s="20" t="n">
        <v>-1</v>
      </c>
      <c r="D317" s="20" t="n">
        <v>-1</v>
      </c>
      <c r="E317" s="20" t="n">
        <v>-1</v>
      </c>
      <c r="F317" s="20" t="n">
        <v>-1</v>
      </c>
      <c r="G317" s="20" t="n">
        <v>-2</v>
      </c>
      <c r="H317" s="20" t="n">
        <v>-2</v>
      </c>
      <c r="I317" s="20" t="n">
        <v>-620</v>
      </c>
      <c r="J317" s="20" t="n">
        <v>-1579</v>
      </c>
      <c r="K317" s="20" t="n">
        <v>-1622</v>
      </c>
      <c r="L317" s="20" t="n">
        <v>-1622</v>
      </c>
      <c r="M317" s="20" t="n">
        <v>-842</v>
      </c>
      <c r="N317" s="20" t="n">
        <v>-858</v>
      </c>
      <c r="Q317" s="20" t="n">
        <v>-0</v>
      </c>
      <c r="R317" s="20" t="n">
        <v>-50001</v>
      </c>
      <c r="S317" s="20" t="n">
        <v>-1</v>
      </c>
      <c r="T317" s="20" t="n">
        <v>-1</v>
      </c>
      <c r="U317" s="20" t="n">
        <v>-1</v>
      </c>
      <c r="V317" s="20" t="n">
        <v>-1</v>
      </c>
      <c r="W317" s="20" t="n">
        <v>-2</v>
      </c>
      <c r="X317" s="20" t="n">
        <v>-1622</v>
      </c>
    </row>
    <row r="318">
      <c r="A318" s="18" t="inlineStr">
        <is>
          <t>비지배지분으로부터 자회사 지분 취득 지출</t>
        </is>
      </c>
      <c r="C318" s="20" t="n">
        <v>-16</v>
      </c>
      <c r="D318" s="20" t="n">
        <v>-17</v>
      </c>
      <c r="E318" s="20" t="n">
        <v>-99</v>
      </c>
      <c r="F318" s="20" t="n">
        <v>-99</v>
      </c>
      <c r="G318" s="20" t="n">
        <v>-100</v>
      </c>
      <c r="H318" s="20" t="n">
        <v>-100</v>
      </c>
      <c r="I318" s="20" t="n">
        <v>-0</v>
      </c>
      <c r="J318" s="20" t="n">
        <v>-5</v>
      </c>
      <c r="K318" s="20" t="n">
        <v>-12</v>
      </c>
      <c r="L318" s="20" t="n">
        <v>-12</v>
      </c>
      <c r="M318" s="20" t="n">
        <v>0</v>
      </c>
      <c r="N318" s="20" t="n">
        <v>0</v>
      </c>
      <c r="Q318" s="20" t="n">
        <v>-9421</v>
      </c>
      <c r="R318" s="20" t="n">
        <v>-1</v>
      </c>
      <c r="S318" s="20" t="n">
        <v>-3132</v>
      </c>
      <c r="T318" s="20" t="n">
        <v>-1</v>
      </c>
      <c r="U318" s="20" t="n">
        <v>-1</v>
      </c>
      <c r="V318" s="20" t="n">
        <v>-17</v>
      </c>
      <c r="W318" s="20" t="n">
        <v>-100</v>
      </c>
      <c r="X318" s="20" t="n">
        <v>-12</v>
      </c>
    </row>
    <row r="319">
      <c r="A319" s="18" t="inlineStr">
        <is>
          <t>Proceeds From Settlement Of Derivatives</t>
        </is>
      </c>
      <c r="T319" s="20" t="n">
        <v>0</v>
      </c>
      <c r="U319" s="20" t="n">
        <v>12281</v>
      </c>
    </row>
    <row r="320">
      <c r="A320" s="18" t="inlineStr">
        <is>
          <t>Proceeds From Settlement Of Derivatives Fin CF</t>
        </is>
      </c>
      <c r="D320" s="20" t="n">
        <v>0</v>
      </c>
      <c r="U320" s="20" t="n">
        <v>12281</v>
      </c>
      <c r="V320" s="20" t="n">
        <v>0</v>
      </c>
    </row>
    <row r="321">
      <c r="A321" s="18" t="inlineStr">
        <is>
          <t>기타</t>
        </is>
      </c>
      <c r="C321" s="20" t="n">
        <v>0</v>
      </c>
      <c r="D321" s="20" t="n">
        <v>0</v>
      </c>
      <c r="E321" s="20" t="n">
        <v>0</v>
      </c>
      <c r="F321" s="20" t="n">
        <v>0</v>
      </c>
      <c r="G321" s="20" t="n">
        <v>0</v>
      </c>
      <c r="H321" s="20" t="n">
        <v>0</v>
      </c>
      <c r="I321" s="20" t="n">
        <v>0</v>
      </c>
      <c r="J321" s="20" t="n">
        <v>0</v>
      </c>
      <c r="K321" s="20" t="n">
        <v>0</v>
      </c>
      <c r="L321" s="20" t="n">
        <v>0</v>
      </c>
      <c r="M321" s="20" t="n">
        <v>0</v>
      </c>
      <c r="N321" s="20" t="n">
        <v>0</v>
      </c>
      <c r="Q321" s="20" t="n">
        <v>0</v>
      </c>
      <c r="R321" s="20" t="n">
        <v>0</v>
      </c>
      <c r="S321" s="20" t="n">
        <v>0</v>
      </c>
      <c r="T321" s="20" t="n">
        <v>0</v>
      </c>
      <c r="U321" s="20" t="n">
        <v>0</v>
      </c>
      <c r="V321" s="20" t="n">
        <v>0</v>
      </c>
      <c r="W321" s="20" t="n">
        <v>0</v>
      </c>
      <c r="X321" s="20" t="n">
        <v>0</v>
      </c>
    </row>
    <row r="322">
      <c r="A322" s="9" t="inlineStr">
        <is>
          <t>재무활동 현금흐름</t>
        </is>
      </c>
      <c r="C322" s="12" t="n">
        <v>-413746</v>
      </c>
      <c r="D322" s="12" t="n">
        <v>-270500</v>
      </c>
      <c r="E322" s="12" t="n">
        <v>-341248</v>
      </c>
      <c r="F322" s="12" t="n">
        <v>-267492</v>
      </c>
      <c r="G322" s="12" t="n">
        <v>-439420</v>
      </c>
      <c r="H322" s="12" t="n">
        <v>-94906</v>
      </c>
      <c r="I322" s="12" t="n">
        <v>-180119</v>
      </c>
      <c r="J322" s="12" t="n">
        <v>-230877</v>
      </c>
      <c r="K322" s="12" t="n">
        <v>-473942</v>
      </c>
      <c r="L322" s="12" t="n">
        <v>-475471</v>
      </c>
      <c r="M322" s="12" t="n">
        <v>-159815</v>
      </c>
      <c r="N322" s="12" t="n">
        <v>-278240</v>
      </c>
      <c r="Q322" s="12" t="n">
        <v>-62360</v>
      </c>
      <c r="R322" s="12" t="n">
        <v>-333832</v>
      </c>
      <c r="S322" s="12" t="n">
        <v>-297404</v>
      </c>
      <c r="T322" s="12" t="n">
        <v>-353138</v>
      </c>
      <c r="U322" s="12" t="n">
        <v>-306176</v>
      </c>
      <c r="V322" s="12" t="n">
        <v>-270500</v>
      </c>
      <c r="W322" s="12" t="n">
        <v>-94906</v>
      </c>
      <c r="X322" s="12" t="n">
        <v>-475471</v>
      </c>
    </row>
    <row r="323">
      <c r="A323" s="18" t="inlineStr">
        <is>
          <t>Net Increase Decrease In Cash And Cash Equivalents Before Effect Of Exchange Rate Changes</t>
        </is>
      </c>
      <c r="C323" s="20" t="n">
        <v>-27352</v>
      </c>
      <c r="D323" s="20" t="n">
        <v>170385</v>
      </c>
      <c r="E323" s="20" t="n">
        <v>-307089</v>
      </c>
      <c r="F323" s="20" t="n">
        <v>-35986</v>
      </c>
      <c r="G323" s="20" t="n">
        <v>-190046</v>
      </c>
      <c r="H323" s="20" t="n">
        <v>95339</v>
      </c>
      <c r="I323" s="20" t="n">
        <v>-267782</v>
      </c>
      <c r="J323" s="20" t="n">
        <v>-195391</v>
      </c>
      <c r="K323" s="20" t="n">
        <v>-358221</v>
      </c>
      <c r="L323" s="20" t="n">
        <v>-226400</v>
      </c>
      <c r="M323" s="20" t="n">
        <v>-132711</v>
      </c>
      <c r="N323" s="20" t="n">
        <v>-5334</v>
      </c>
      <c r="Q323" s="20" t="n">
        <v>15721</v>
      </c>
      <c r="R323" s="20" t="n">
        <v>83008</v>
      </c>
      <c r="S323" s="20" t="n">
        <v>227784</v>
      </c>
      <c r="T323" s="20" t="n">
        <v>148271</v>
      </c>
      <c r="U323" s="20" t="n">
        <v>75801</v>
      </c>
      <c r="V323" s="20" t="n">
        <v>170385</v>
      </c>
      <c r="W323" s="20" t="n">
        <v>95339</v>
      </c>
      <c r="X323" s="20" t="n">
        <v>-226400</v>
      </c>
    </row>
    <row r="324">
      <c r="A324" s="18" t="inlineStr">
        <is>
          <t>현금성자산 환율변동 효과</t>
        </is>
      </c>
      <c r="C324" s="20" t="n">
        <v>29509</v>
      </c>
      <c r="D324" s="20" t="n">
        <v>2935</v>
      </c>
      <c r="E324" s="20" t="n">
        <v>33831</v>
      </c>
      <c r="F324" s="20" t="n">
        <v>83620</v>
      </c>
      <c r="G324" s="20" t="n">
        <v>-55312</v>
      </c>
      <c r="H324" s="20" t="n">
        <v>-50978</v>
      </c>
      <c r="I324" s="20" t="n">
        <v>-7421</v>
      </c>
      <c r="J324" s="20" t="n">
        <v>-3153</v>
      </c>
      <c r="K324" s="20" t="n">
        <v>5330</v>
      </c>
      <c r="L324" s="20" t="n">
        <v>-27015</v>
      </c>
      <c r="M324" s="20" t="n">
        <v>-1096</v>
      </c>
      <c r="N324" s="20" t="n">
        <v>2091</v>
      </c>
      <c r="Q324" s="20" t="n">
        <v>-19145</v>
      </c>
      <c r="R324" s="20" t="n">
        <v>-7913</v>
      </c>
      <c r="S324" s="20" t="n">
        <v>-46098</v>
      </c>
      <c r="T324" s="20" t="n">
        <v>34616</v>
      </c>
      <c r="U324" s="20" t="n">
        <v>69353</v>
      </c>
      <c r="V324" s="20" t="n">
        <v>2935</v>
      </c>
      <c r="W324" s="20" t="n">
        <v>-50978</v>
      </c>
      <c r="X324" s="20" t="n">
        <v>-27015</v>
      </c>
    </row>
    <row r="325">
      <c r="A325" s="18" t="inlineStr">
        <is>
          <t>Changes In Cash And Cash Equivalents Resulting From Transfer To Assets Held For Sale</t>
        </is>
      </c>
      <c r="F325" s="20" t="n">
        <v>0</v>
      </c>
      <c r="G325" s="20" t="n">
        <v>0</v>
      </c>
      <c r="H325" s="20" t="n">
        <v>0</v>
      </c>
      <c r="I325" s="20" t="n">
        <v>0</v>
      </c>
      <c r="J325" s="20" t="n">
        <v>-20837</v>
      </c>
      <c r="K325" s="20" t="n">
        <v>-2212</v>
      </c>
      <c r="L325" s="20" t="n">
        <v>-17</v>
      </c>
      <c r="M325" s="20" t="n">
        <v>-2706</v>
      </c>
      <c r="W325" s="20" t="n">
        <v>0</v>
      </c>
      <c r="X325" s="20" t="n">
        <v>-17</v>
      </c>
    </row>
    <row r="326">
      <c r="A326" s="18" t="inlineStr">
        <is>
          <t>Changes In Cash And Cash Equivalents Resulting From Transfer To Assets Held For Sale CF</t>
        </is>
      </c>
      <c r="J326" s="20" t="n">
        <v>-20837</v>
      </c>
      <c r="N326" s="20" t="n">
        <v>17</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94"/>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2914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2025.2Q</t>
        </is>
      </c>
      <c r="D3" s="5" t="inlineStr">
        <is>
          <t>2025.3Q</t>
        </is>
      </c>
      <c r="E3" s="5" t="inlineStr">
        <is>
          <t>2025.4Q</t>
        </is>
      </c>
      <c r="F3" s="5" t="inlineStr">
        <is>
          <t>2026.1Q</t>
        </is>
      </c>
      <c r="G3" s="5" t="inlineStr">
        <is>
          <t>2026.2Q</t>
        </is>
      </c>
      <c r="H3" s="6" t="inlineStr">
        <is>
          <t>2021</t>
        </is>
      </c>
      <c r="I3" s="5" t="inlineStr">
        <is>
          <t>2022</t>
        </is>
      </c>
      <c r="J3" s="5" t="inlineStr">
        <is>
          <t>2023</t>
        </is>
      </c>
      <c r="K3" s="5" t="inlineStr">
        <is>
          <t>2024</t>
        </is>
      </c>
      <c r="L3" s="5" t="inlineStr">
        <is>
          <t>2025</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3443426</v>
      </c>
      <c r="D5" s="12" t="n">
        <v>3303093</v>
      </c>
      <c r="E5" s="12" t="n">
        <v>3711097</v>
      </c>
      <c r="F5" s="12" t="n">
        <v>3587373</v>
      </c>
      <c r="G5" s="12" t="n">
        <v>3853117</v>
      </c>
      <c r="H5" s="11" t="n">
        <v>2321289</v>
      </c>
      <c r="I5" s="12" t="n">
        <v>2723591</v>
      </c>
      <c r="J5" s="12" t="n">
        <v>3259561</v>
      </c>
      <c r="K5" s="12" t="n">
        <v>3577572</v>
      </c>
      <c r="L5" s="12" t="n">
        <v>3711097</v>
      </c>
    </row>
    <row r="6">
      <c r="A6" s="18" t="inlineStr">
        <is>
          <t>현금및현금성자산</t>
        </is>
      </c>
      <c r="B6" s="10" t="n"/>
      <c r="C6" s="19" t="n">
        <v>865185</v>
      </c>
      <c r="D6" s="20" t="n">
        <v>729463</v>
      </c>
      <c r="E6" s="20" t="n">
        <v>831135</v>
      </c>
      <c r="F6" s="20" t="n">
        <v>694622</v>
      </c>
      <c r="G6" s="20" t="n">
        <v>827909</v>
      </c>
      <c r="H6" s="19" t="n">
        <v>721731</v>
      </c>
      <c r="I6" s="20" t="n">
        <v>866885</v>
      </c>
      <c r="J6" s="20" t="n">
        <v>1040206</v>
      </c>
      <c r="K6" s="20" t="n">
        <v>1084567</v>
      </c>
      <c r="L6" s="20" t="n">
        <v>831135</v>
      </c>
    </row>
    <row r="7">
      <c r="A7" s="18" t="inlineStr">
        <is>
          <t>단기금융상품</t>
        </is>
      </c>
      <c r="B7" s="10" t="n"/>
      <c r="C7" s="19" t="n">
        <v>100177</v>
      </c>
      <c r="D7" s="20" t="n">
        <v>131871</v>
      </c>
      <c r="E7" s="20" t="n">
        <v>195816</v>
      </c>
      <c r="F7" s="20" t="n">
        <v>187695</v>
      </c>
      <c r="G7" s="20" t="n">
        <v>205435</v>
      </c>
      <c r="H7" s="19" t="n">
        <v>17254</v>
      </c>
      <c r="I7" s="20" t="n">
        <v>37677</v>
      </c>
      <c r="J7" s="20" t="n">
        <v>58633</v>
      </c>
      <c r="K7" s="20" t="n">
        <v>120211</v>
      </c>
      <c r="L7" s="20" t="n">
        <v>195816</v>
      </c>
    </row>
    <row r="8">
      <c r="A8" s="18" t="inlineStr">
        <is>
          <t>매출채권</t>
        </is>
      </c>
      <c r="B8" s="10" t="n"/>
      <c r="C8" s="19" t="n">
        <v>581171</v>
      </c>
      <c r="D8" s="20" t="n">
        <v>614024</v>
      </c>
      <c r="E8" s="20" t="n">
        <v>640681</v>
      </c>
      <c r="F8" s="20" t="n">
        <v>706827</v>
      </c>
      <c r="G8" s="20" t="n">
        <v>753747</v>
      </c>
      <c r="H8" s="19" t="n">
        <v>456587</v>
      </c>
      <c r="I8" s="20" t="n">
        <v>477239</v>
      </c>
      <c r="J8" s="20" t="n">
        <v>535302</v>
      </c>
      <c r="K8" s="20" t="n">
        <v>568982</v>
      </c>
      <c r="L8" s="20" t="n">
        <v>640681</v>
      </c>
    </row>
    <row r="9">
      <c r="A9" s="18" t="inlineStr">
        <is>
          <t>재고자산</t>
        </is>
      </c>
      <c r="B9" s="10" t="n"/>
      <c r="C9" s="19" t="n">
        <v>962632</v>
      </c>
      <c r="D9" s="20" t="n">
        <v>1003588</v>
      </c>
      <c r="E9" s="20" t="n">
        <v>1060136</v>
      </c>
      <c r="F9" s="20" t="n">
        <v>1089424</v>
      </c>
      <c r="G9" s="20" t="n">
        <v>1118751</v>
      </c>
      <c r="H9" s="19" t="n">
        <v>563182</v>
      </c>
      <c r="I9" s="20" t="n">
        <v>691906</v>
      </c>
      <c r="J9" s="20" t="n">
        <v>832611</v>
      </c>
      <c r="K9" s="20" t="n">
        <v>957281</v>
      </c>
      <c r="L9" s="20" t="n">
        <v>1060136</v>
      </c>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4819360</v>
      </c>
      <c r="D11" s="12" t="n">
        <v>4891952</v>
      </c>
      <c r="E11" s="12" t="n">
        <v>4708143</v>
      </c>
      <c r="F11" s="12" t="n">
        <v>4763837</v>
      </c>
      <c r="G11" s="12" t="n">
        <v>4816836</v>
      </c>
      <c r="H11" s="11" t="n">
        <v>3452920</v>
      </c>
      <c r="I11" s="12" t="n">
        <v>3824487</v>
      </c>
      <c r="J11" s="12" t="n">
        <v>4022536</v>
      </c>
      <c r="K11" s="12" t="n">
        <v>4793160</v>
      </c>
      <c r="L11" s="12" t="n">
        <v>4708143</v>
      </c>
    </row>
    <row r="12">
      <c r="A12" s="18" t="inlineStr">
        <is>
          <t>유형자산</t>
        </is>
      </c>
      <c r="B12" s="10" t="n"/>
      <c r="C12" s="19" t="n">
        <v>902212</v>
      </c>
      <c r="D12" s="20" t="n">
        <v>925446</v>
      </c>
      <c r="E12" s="20" t="n">
        <v>979800</v>
      </c>
      <c r="F12" s="20" t="n">
        <v>981948</v>
      </c>
      <c r="G12" s="20" t="n">
        <v>994977</v>
      </c>
      <c r="H12" s="19" t="n">
        <v>755843</v>
      </c>
      <c r="I12" s="20" t="n">
        <v>775957</v>
      </c>
      <c r="J12" s="20" t="n">
        <v>821499</v>
      </c>
      <c r="K12" s="20" t="n">
        <v>907700</v>
      </c>
      <c r="L12" s="20" t="n">
        <v>979800</v>
      </c>
    </row>
    <row r="13">
      <c r="A13" s="18" t="inlineStr">
        <is>
          <t>무형자산</t>
        </is>
      </c>
      <c r="B13" s="10" t="n"/>
      <c r="C13" s="19" t="n">
        <v>403680</v>
      </c>
      <c r="D13" s="20" t="n">
        <v>393856</v>
      </c>
      <c r="E13" s="20" t="n">
        <v>395658</v>
      </c>
      <c r="F13" s="20" t="n">
        <v>393430</v>
      </c>
      <c r="G13" s="20" t="n">
        <v>385184</v>
      </c>
      <c r="H13" s="19" t="n">
        <v>307152</v>
      </c>
      <c r="I13" s="20" t="n">
        <v>246442</v>
      </c>
      <c r="J13" s="20" t="n">
        <v>200819</v>
      </c>
      <c r="K13" s="20" t="n">
        <v>486463</v>
      </c>
      <c r="L13" s="20" t="n">
        <v>395658</v>
      </c>
    </row>
    <row r="14">
      <c r="A14" s="18" t="inlineStr">
        <is>
          <t>투자부동산</t>
        </is>
      </c>
      <c r="B14" s="10" t="n"/>
      <c r="C14" s="19" t="n">
        <v>3436</v>
      </c>
      <c r="D14" s="20" t="n">
        <v>2940</v>
      </c>
      <c r="E14" s="20" t="n">
        <v>3068</v>
      </c>
      <c r="F14" s="20" t="n">
        <v>3036</v>
      </c>
      <c r="G14" s="20" t="n">
        <v>3139</v>
      </c>
      <c r="H14" s="19" t="n">
        <v>4985</v>
      </c>
      <c r="I14" s="20" t="n">
        <v>9495</v>
      </c>
      <c r="J14" s="20" t="n">
        <v>9338</v>
      </c>
      <c r="K14" s="20" t="n">
        <v>3716</v>
      </c>
      <c r="L14" s="20" t="n">
        <v>3068</v>
      </c>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8262786</v>
      </c>
      <c r="D16" s="12" t="n">
        <v>8195045</v>
      </c>
      <c r="E16" s="12" t="n">
        <v>8419240</v>
      </c>
      <c r="F16" s="12" t="n">
        <v>8351210</v>
      </c>
      <c r="G16" s="12" t="n">
        <v>8669953</v>
      </c>
      <c r="H16" s="11" t="n">
        <v>5774209</v>
      </c>
      <c r="I16" s="12" t="n">
        <v>6548078</v>
      </c>
      <c r="J16" s="12" t="n">
        <v>7282097</v>
      </c>
      <c r="K16" s="12" t="n">
        <v>8370732</v>
      </c>
      <c r="L16" s="12" t="n">
        <v>8419240</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1874309</v>
      </c>
      <c r="D18" s="12" t="n">
        <v>1691886</v>
      </c>
      <c r="E18" s="12" t="n">
        <v>1927252</v>
      </c>
      <c r="F18" s="12" t="n">
        <v>1906663</v>
      </c>
      <c r="G18" s="12" t="n">
        <v>1884837</v>
      </c>
      <c r="H18" s="11" t="n">
        <v>1500326</v>
      </c>
      <c r="I18" s="12" t="n">
        <v>1562664</v>
      </c>
      <c r="J18" s="12" t="n">
        <v>1927276</v>
      </c>
      <c r="K18" s="12" t="n">
        <v>2148607</v>
      </c>
      <c r="L18" s="12" t="n">
        <v>1927252</v>
      </c>
    </row>
    <row r="19">
      <c r="A19" s="18" t="inlineStr">
        <is>
          <t>매입채무</t>
        </is>
      </c>
      <c r="B19" s="10" t="n"/>
      <c r="C19" s="19" t="n">
        <v>567713</v>
      </c>
      <c r="D19" s="20" t="n">
        <v>597373</v>
      </c>
      <c r="E19" s="20" t="n">
        <v>711721</v>
      </c>
      <c r="F19" s="20" t="n">
        <v>671320</v>
      </c>
      <c r="G19" s="20" t="n">
        <v>623516</v>
      </c>
      <c r="H19" s="19" t="n">
        <v>555777</v>
      </c>
      <c r="I19" s="20" t="n">
        <v>540089</v>
      </c>
      <c r="J19" s="20" t="n">
        <v>592802</v>
      </c>
      <c r="K19" s="20" t="n">
        <v>659510</v>
      </c>
      <c r="L19" s="20" t="n">
        <v>711721</v>
      </c>
    </row>
    <row r="20">
      <c r="A20" s="18" t="inlineStr">
        <is>
          <t>단기차입금</t>
        </is>
      </c>
      <c r="B20" s="10" t="n"/>
      <c r="C20" s="19" t="n"/>
      <c r="D20" s="20" t="n"/>
      <c r="E20" s="20" t="n">
        <v>0</v>
      </c>
      <c r="F20" s="20" t="n"/>
      <c r="G20" s="20" t="n"/>
      <c r="H20" s="19" t="n"/>
      <c r="I20" s="20" t="n">
        <v>0</v>
      </c>
      <c r="J20" s="20" t="n">
        <v>158000</v>
      </c>
      <c r="K20" s="20" t="n">
        <v>100000</v>
      </c>
      <c r="L20" s="20" t="n">
        <v>0</v>
      </c>
    </row>
    <row r="21">
      <c r="A21" s="18" t="inlineStr">
        <is>
          <t>유동성장기부채</t>
        </is>
      </c>
      <c r="B21" s="10" t="n"/>
      <c r="C21" s="19" t="n"/>
      <c r="D21" s="20" t="n"/>
      <c r="E21" s="20" t="n">
        <v>0</v>
      </c>
      <c r="F21" s="20" t="n"/>
      <c r="G21" s="20" t="n"/>
      <c r="H21" s="19" t="n">
        <v>60000</v>
      </c>
      <c r="I21" s="20" t="n">
        <v>60000</v>
      </c>
      <c r="J21" s="20" t="n">
        <v>20000</v>
      </c>
      <c r="K21" s="20" t="n">
        <v>25000</v>
      </c>
      <c r="L21" s="20" t="n">
        <v>0</v>
      </c>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2246639</v>
      </c>
      <c r="D23" s="12" t="n">
        <v>2334395</v>
      </c>
      <c r="E23" s="12" t="n">
        <v>2376599</v>
      </c>
      <c r="F23" s="12" t="n">
        <v>2329658</v>
      </c>
      <c r="G23" s="12" t="n">
        <v>2362066</v>
      </c>
      <c r="H23" s="11" t="n">
        <v>1387803</v>
      </c>
      <c r="I23" s="12" t="n">
        <v>1368653</v>
      </c>
      <c r="J23" s="12" t="n">
        <v>1442329</v>
      </c>
      <c r="K23" s="12" t="n">
        <v>2373398</v>
      </c>
      <c r="L23" s="12" t="n">
        <v>2376599</v>
      </c>
    </row>
    <row r="24">
      <c r="A24" s="18" t="inlineStr">
        <is>
          <t>장기차입금</t>
        </is>
      </c>
      <c r="B24" s="10" t="n"/>
      <c r="C24" s="19" t="n"/>
      <c r="D24" s="20" t="n"/>
      <c r="E24" s="20" t="n">
        <v>120000</v>
      </c>
      <c r="F24" s="20" t="n"/>
      <c r="G24" s="20" t="n"/>
      <c r="H24" s="19" t="n">
        <v>140000</v>
      </c>
      <c r="I24" s="20" t="n">
        <v>140000</v>
      </c>
      <c r="J24" s="20" t="n">
        <v>120000</v>
      </c>
      <c r="K24" s="20" t="n">
        <v>120000</v>
      </c>
      <c r="L24" s="20" t="n">
        <v>120000</v>
      </c>
    </row>
    <row r="25">
      <c r="A25" s="18" t="inlineStr">
        <is>
          <t>사채</t>
        </is>
      </c>
      <c r="B25" s="10" t="n"/>
      <c r="C25" s="19" t="n">
        <v>1439954</v>
      </c>
      <c r="D25" s="20" t="n">
        <v>1539781</v>
      </c>
      <c r="E25" s="20" t="n">
        <v>1599061</v>
      </c>
      <c r="F25" s="20" t="n">
        <v>1553454</v>
      </c>
      <c r="G25" s="20" t="n">
        <v>1559685</v>
      </c>
      <c r="H25" s="19" t="n">
        <v>775721</v>
      </c>
      <c r="I25" s="20" t="n">
        <v>821003</v>
      </c>
      <c r="J25" s="20" t="n">
        <v>908926</v>
      </c>
      <c r="K25" s="20" t="n">
        <v>1548120</v>
      </c>
      <c r="L25" s="20" t="n">
        <v>1599061</v>
      </c>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4120948</v>
      </c>
      <c r="D27" s="12" t="n">
        <v>4026281</v>
      </c>
      <c r="E27" s="12" t="n">
        <v>4303851</v>
      </c>
      <c r="F27" s="12" t="n">
        <v>4236321</v>
      </c>
      <c r="G27" s="12" t="n">
        <v>4246903</v>
      </c>
      <c r="H27" s="11" t="n">
        <v>2888128</v>
      </c>
      <c r="I27" s="12" t="n">
        <v>2931317</v>
      </c>
      <c r="J27" s="12" t="n">
        <v>3369605</v>
      </c>
      <c r="K27" s="12" t="n">
        <v>4522005</v>
      </c>
      <c r="L27" s="12" t="n">
        <v>4303851</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4059580</v>
      </c>
      <c r="D31" s="12" t="n">
        <v>4142487</v>
      </c>
      <c r="E31" s="12" t="n">
        <v>4086933</v>
      </c>
      <c r="F31" s="12" t="n">
        <v>4085402</v>
      </c>
      <c r="G31" s="12" t="n">
        <v>4393958</v>
      </c>
      <c r="H31" s="11" t="n">
        <v>2809258</v>
      </c>
      <c r="I31" s="12" t="n">
        <v>3540435</v>
      </c>
      <c r="J31" s="12" t="n">
        <v>3830156</v>
      </c>
      <c r="K31" s="12" t="n">
        <v>3766623</v>
      </c>
      <c r="L31" s="12" t="n">
        <v>4086933</v>
      </c>
    </row>
    <row r="32">
      <c r="A32" s="18" t="inlineStr">
        <is>
          <t>자본금</t>
        </is>
      </c>
      <c r="B32" s="10" t="n"/>
      <c r="C32" s="19" t="n">
        <v>100000</v>
      </c>
      <c r="D32" s="20" t="n">
        <v>100000</v>
      </c>
      <c r="E32" s="20" t="n">
        <v>100000</v>
      </c>
      <c r="F32" s="20" t="n">
        <v>100000</v>
      </c>
      <c r="G32" s="20" t="n">
        <v>100000</v>
      </c>
      <c r="H32" s="19" t="n">
        <v>100000</v>
      </c>
      <c r="I32" s="20" t="n">
        <v>100000</v>
      </c>
      <c r="J32" s="20" t="n">
        <v>100000</v>
      </c>
      <c r="K32" s="20" t="n">
        <v>100000</v>
      </c>
      <c r="L32" s="20" t="n">
        <v>100000</v>
      </c>
    </row>
    <row r="33">
      <c r="A33" s="18" t="inlineStr">
        <is>
          <t>이익잉여금</t>
        </is>
      </c>
      <c r="B33" s="10" t="n"/>
      <c r="C33" s="19" t="n">
        <v>3184646</v>
      </c>
      <c r="D33" s="20" t="n">
        <v>3194640</v>
      </c>
      <c r="E33" s="20" t="n">
        <v>3213555</v>
      </c>
      <c r="F33" s="20" t="n">
        <v>3178880</v>
      </c>
      <c r="G33" s="20" t="n">
        <v>3413605</v>
      </c>
      <c r="H33" s="19" t="n">
        <v>2863843</v>
      </c>
      <c r="I33" s="20" t="n">
        <v>3089909</v>
      </c>
      <c r="J33" s="20" t="n">
        <v>3192323</v>
      </c>
      <c r="K33" s="20" t="n">
        <v>3036905</v>
      </c>
      <c r="L33" s="20" t="n">
        <v>3213555</v>
      </c>
    </row>
    <row r="34">
      <c r="A34" s="18" t="inlineStr">
        <is>
          <t>비지배지분</t>
        </is>
      </c>
      <c r="B34" s="10" t="n"/>
      <c r="C34" s="19" t="n">
        <v>82258</v>
      </c>
      <c r="D34" s="20" t="n">
        <v>26277</v>
      </c>
      <c r="E34" s="20" t="n">
        <v>28456</v>
      </c>
      <c r="F34" s="20" t="n">
        <v>29487</v>
      </c>
      <c r="G34" s="20" t="n">
        <v>29092</v>
      </c>
      <c r="H34" s="19" t="n">
        <v>76823</v>
      </c>
      <c r="I34" s="20" t="n">
        <v>76326</v>
      </c>
      <c r="J34" s="20" t="n">
        <v>82336</v>
      </c>
      <c r="K34" s="20" t="n">
        <v>82104</v>
      </c>
      <c r="L34" s="20" t="n">
        <v>28456</v>
      </c>
    </row>
    <row r="35">
      <c r="A35" s="9" t="inlineStr">
        <is>
          <t>자본총계</t>
        </is>
      </c>
      <c r="B35" s="10" t="n"/>
      <c r="C35" s="11" t="n">
        <v>4141838</v>
      </c>
      <c r="D35" s="12" t="n">
        <v>4168764</v>
      </c>
      <c r="E35" s="12" t="n">
        <v>4115389</v>
      </c>
      <c r="F35" s="12" t="n">
        <v>4114889</v>
      </c>
      <c r="G35" s="12" t="n">
        <v>4423050</v>
      </c>
      <c r="H35" s="11" t="n">
        <v>2886081</v>
      </c>
      <c r="I35" s="12" t="n">
        <v>3616761</v>
      </c>
      <c r="J35" s="12" t="n">
        <v>3912491</v>
      </c>
      <c r="K35" s="12" t="n">
        <v>3848727</v>
      </c>
      <c r="L35" s="12" t="n">
        <v>4115389</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537256</v>
      </c>
      <c r="D37" s="12" t="n">
        <v>524993</v>
      </c>
      <c r="E37" s="12" t="n">
        <v>514056</v>
      </c>
      <c r="F37" s="12" t="n">
        <v>560225</v>
      </c>
      <c r="G37" s="12" t="n">
        <v>677934</v>
      </c>
      <c r="H37" s="11" t="n">
        <v>598909</v>
      </c>
      <c r="I37" s="12" t="n">
        <v>483799</v>
      </c>
      <c r="J37" s="12" t="n">
        <v>566317</v>
      </c>
      <c r="K37" s="12" t="n">
        <v>630011</v>
      </c>
      <c r="L37" s="12" t="n">
        <v>514056</v>
      </c>
    </row>
    <row r="38">
      <c r="A38" s="18" t="inlineStr">
        <is>
          <t>CAPEX (유·무형 취득)</t>
        </is>
      </c>
      <c r="B38" s="10" t="inlineStr">
        <is>
          <t>양수로 입력</t>
        </is>
      </c>
      <c r="C38" s="19" t="n">
        <v>148863</v>
      </c>
      <c r="D38" s="20" t="n">
        <v>153892</v>
      </c>
      <c r="E38" s="20" t="n">
        <v>162386</v>
      </c>
      <c r="F38" s="20" t="n">
        <v>158749</v>
      </c>
      <c r="G38" s="20" t="n">
        <v>161421</v>
      </c>
      <c r="H38" s="19" t="n">
        <v>102918</v>
      </c>
      <c r="I38" s="20" t="n">
        <v>99408</v>
      </c>
      <c r="J38" s="20" t="n">
        <v>116568</v>
      </c>
      <c r="K38" s="20" t="n">
        <v>150367</v>
      </c>
      <c r="L38" s="20" t="n">
        <v>162386</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344374</v>
      </c>
      <c r="D40" s="20" t="n">
        <v>357043</v>
      </c>
      <c r="E40" s="20" t="n">
        <v>356853</v>
      </c>
      <c r="F40" s="20" t="n">
        <v>415437</v>
      </c>
      <c r="G40" s="20" t="n">
        <v>415386</v>
      </c>
      <c r="H40" s="19" t="n">
        <v>251935</v>
      </c>
      <c r="I40" s="20" t="n">
        <v>266175</v>
      </c>
      <c r="J40" s="20" t="n">
        <v>367331</v>
      </c>
      <c r="K40" s="20" t="n">
        <v>349645</v>
      </c>
      <c r="L40" s="20" t="n">
        <v>356853</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IFERROR((IF(COUNT('연간'!G28:J28)&lt;4,"",SUM('연간'!G28:J28)))/(IF(COUNT('연간'!G50:J50)&lt;4,"",SUM('연간'!G50:J50))),"")</f>
        <v/>
      </c>
      <c r="D48" s="31">
        <f>IFERROR((IF(COUNT('연간'!H28:K28)&lt;4,"",SUM('연간'!H28:K28)))/(IF(COUNT('연간'!H50:K50)&lt;4,"",SUM('연간'!H50:K50))),"")</f>
        <v/>
      </c>
      <c r="E48" s="31">
        <f>IFERROR((IF(COUNT('연간'!I28:L28)&lt;4,"",SUM('연간'!I28:L28)))/(IF(COUNT('연간'!I50:L50)&lt;4,"",SUM('연간'!I50:L50))),"")</f>
        <v/>
      </c>
      <c r="F48" s="31">
        <f>IFERROR((IF(COUNT('연간'!J28:M28)&lt;4,"",SUM('연간'!J28:M28)))/(IF(COUNT('연간'!J50:M50)&lt;4,"",SUM('연간'!J50:M50))),"")</f>
        <v/>
      </c>
      <c r="G48" s="31">
        <f>IFERROR((IF(COUNT('연간'!K28:N28)&lt;4,"",SUM('연간'!K28:N28)))/(IF(COUNT('연간'!K50:N50)&lt;4,"",SUM('연간'!K50:N50))),"")</f>
        <v/>
      </c>
      <c r="H48" s="30">
        <f>IFERROR(('연간'!T28)/('연간'!T50),"")</f>
        <v/>
      </c>
      <c r="I48" s="31">
        <f>IFERROR(('연간'!U28)/('연간'!U50),"")</f>
        <v/>
      </c>
      <c r="J48" s="31">
        <f>IFERROR(('연간'!V28)/('연간'!V50),"")</f>
        <v/>
      </c>
      <c r="K48" s="31">
        <f>IFERROR(('연간'!W28)/('연간'!W50),"")</f>
        <v/>
      </c>
      <c r="L48" s="31">
        <f>IFERROR(('연간'!X28)/('연간'!X50),"")</f>
        <v/>
      </c>
    </row>
    <row r="49">
      <c r="A49" s="45" t="inlineStr">
        <is>
          <t>차입금 상환연수</t>
        </is>
      </c>
      <c r="B49" s="10" t="inlineStr">
        <is>
          <t>4년↓ (버핏)</t>
        </is>
      </c>
      <c r="C49" s="46">
        <f>IFERROR(IF((IF(COUNT('연간'!G58:J58)&lt;4,"",SUM('연간'!G58:J58)))&lt;=0,"적자",C28/(IF(COUNT('연간'!G58:J58)&lt;4,"",SUM('연간'!G58:J58)))),"")</f>
        <v/>
      </c>
      <c r="D49" s="47">
        <f>IFERROR(IF((IF(COUNT('연간'!H58:K58)&lt;4,"",SUM('연간'!H58:K58)))&lt;=0,"적자",D28/(IF(COUNT('연간'!H58:K58)&lt;4,"",SUM('연간'!H58:K58)))),"")</f>
        <v/>
      </c>
      <c r="E49" s="47">
        <f>IFERROR(IF((IF(COUNT('연간'!I58:L58)&lt;4,"",SUM('연간'!I58:L58)))&lt;=0,"적자",E28/(IF(COUNT('연간'!I58:L58)&lt;4,"",SUM('연간'!I58:L58)))),"")</f>
        <v/>
      </c>
      <c r="F49" s="47">
        <f>IFERROR(IF((IF(COUNT('연간'!J58:M58)&lt;4,"",SUM('연간'!J58:M58)))&lt;=0,"적자",F28/(IF(COUNT('연간'!J58:M58)&lt;4,"",SUM('연간'!J58:M58)))),"")</f>
        <v/>
      </c>
      <c r="G49" s="47">
        <f>IFERROR(IF((IF(COUNT('연간'!K58:N58)&lt;4,"",SUM('연간'!K58:N58)))&lt;=0,"적자",G28/(IF(COUNT('연간'!K58:N58)&lt;4,"",SUM('연간'!K58:N58)))),"")</f>
        <v/>
      </c>
      <c r="H49" s="46">
        <f>IFERROR(IF(('연간'!T58)&lt;=0,"적자",H28/('연간'!T58)),"")</f>
        <v/>
      </c>
      <c r="I49" s="47">
        <f>IFERROR(IF(('연간'!U58)&lt;=0,"적자",I28/('연간'!U58)),"")</f>
        <v/>
      </c>
      <c r="J49" s="47">
        <f>IFERROR(IF(('연간'!V58)&lt;=0,"적자",J28/('연간'!V58)),"")</f>
        <v/>
      </c>
      <c r="K49" s="47">
        <f>IFERROR(IF(('연간'!W58)&lt;=0,"적자",K28/('연간'!W58)),"")</f>
        <v/>
      </c>
      <c r="L49" s="47">
        <f>IFERROR(IF(('연간'!X58)&lt;=0,"적자",L28/('연간'!X58)),"")</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IFERROR((IF(COUNT('연간'!G58:J58)&lt;4,"",SUM('연간'!G58:J58)))/C31,"")</f>
        <v/>
      </c>
      <c r="D51" s="36">
        <f>IFERROR((IF(COUNT('연간'!H58:K58)&lt;4,"",SUM('연간'!H58:K58)))/D31,"")</f>
        <v/>
      </c>
      <c r="E51" s="36">
        <f>IFERROR((IF(COUNT('연간'!I58:L58)&lt;4,"",SUM('연간'!I58:L58)))/E31,"")</f>
        <v/>
      </c>
      <c r="F51" s="36">
        <f>IFERROR((IF(COUNT('연간'!J58:M58)&lt;4,"",SUM('연간'!J58:M58)))/F31,"")</f>
        <v/>
      </c>
      <c r="G51" s="36">
        <f>IFERROR((IF(COUNT('연간'!K58:N58)&lt;4,"",SUM('연간'!K58:N58)))/G31,"")</f>
        <v/>
      </c>
      <c r="H51" s="35">
        <f>IFERROR(('연간'!T58)/H31,"")</f>
        <v/>
      </c>
      <c r="I51" s="36">
        <f>IFERROR(('연간'!U58)/I31,"")</f>
        <v/>
      </c>
      <c r="J51" s="36">
        <f>IFERROR(('연간'!V58)/J31,"")</f>
        <v/>
      </c>
      <c r="K51" s="36">
        <f>IFERROR(('연간'!W58)/K31,"")</f>
        <v/>
      </c>
      <c r="L51" s="36">
        <f>IFERROR(('연간'!X58)/L31,"")</f>
        <v/>
      </c>
    </row>
    <row r="52">
      <c r="A52" s="45" t="inlineStr">
        <is>
          <t>ROA</t>
        </is>
      </c>
      <c r="B52" s="10" t="inlineStr">
        <is>
          <t>5%↑</t>
        </is>
      </c>
      <c r="C52" s="35">
        <f>IFERROR((IF(COUNT('연간'!G56:J56)&lt;4,"",SUM('연간'!G56:J56)))/C16,"")</f>
        <v/>
      </c>
      <c r="D52" s="36">
        <f>IFERROR((IF(COUNT('연간'!H56:K56)&lt;4,"",SUM('연간'!H56:K56)))/D16,"")</f>
        <v/>
      </c>
      <c r="E52" s="36">
        <f>IFERROR((IF(COUNT('연간'!I56:L56)&lt;4,"",SUM('연간'!I56:L56)))/E16,"")</f>
        <v/>
      </c>
      <c r="F52" s="36">
        <f>IFERROR((IF(COUNT('연간'!J56:M56)&lt;4,"",SUM('연간'!J56:M56)))/F16,"")</f>
        <v/>
      </c>
      <c r="G52" s="36">
        <f>IFERROR((IF(COUNT('연간'!K56:N56)&lt;4,"",SUM('연간'!K56:N56)))/G16,"")</f>
        <v/>
      </c>
      <c r="H52" s="35">
        <f>IFERROR(('연간'!T56)/H16,"")</f>
        <v/>
      </c>
      <c r="I52" s="36">
        <f>IFERROR(('연간'!U56)/I16,"")</f>
        <v/>
      </c>
      <c r="J52" s="36">
        <f>IFERROR(('연간'!V56)/J16,"")</f>
        <v/>
      </c>
      <c r="K52" s="36">
        <f>IFERROR(('연간'!W56)/K16,"")</f>
        <v/>
      </c>
      <c r="L52" s="36">
        <f>IFERROR(('연간'!X56)/L16,"")</f>
        <v/>
      </c>
    </row>
    <row r="53">
      <c r="A53" s="45" t="inlineStr">
        <is>
          <t>ROIC</t>
        </is>
      </c>
      <c r="B53" s="10" t="inlineStr">
        <is>
          <t>10%↑ (세후영업이익 기준)</t>
        </is>
      </c>
      <c r="C53" s="35">
        <f>IFERROR((IF(COUNT('연간'!G28:J28)&lt;4,"",SUM('연간'!G28:J28)))*(1-0.3)/(C35+C29),"")</f>
        <v/>
      </c>
      <c r="D53" s="36">
        <f>IFERROR((IF(COUNT('연간'!H28:K28)&lt;4,"",SUM('연간'!H28:K28)))*(1-0.3)/(D35+D29),"")</f>
        <v/>
      </c>
      <c r="E53" s="36">
        <f>IFERROR((IF(COUNT('연간'!I28:L28)&lt;4,"",SUM('연간'!I28:L28)))*(1-0.3)/(E35+E29),"")</f>
        <v/>
      </c>
      <c r="F53" s="36">
        <f>IFERROR((IF(COUNT('연간'!J28:M28)&lt;4,"",SUM('연간'!J28:M28)))*(1-0.3)/(F35+F29),"")</f>
        <v/>
      </c>
      <c r="G53" s="36">
        <f>IFERROR((IF(COUNT('연간'!K28:N28)&lt;4,"",SUM('연간'!K28:N28)))*(1-0.3)/(G35+G29),"")</f>
        <v/>
      </c>
      <c r="H53" s="35">
        <f>IFERROR(('연간'!T28)*(1-0.3)/(H35+H29),"")</f>
        <v/>
      </c>
      <c r="I53" s="36">
        <f>IFERROR(('연간'!U28)*(1-0.3)/(I35+I29),"")</f>
        <v/>
      </c>
      <c r="J53" s="36">
        <f>IFERROR(('연간'!V28)*(1-0.3)/(J35+J29),"")</f>
        <v/>
      </c>
      <c r="K53" s="36">
        <f>IFERROR(('연간'!W28)*(1-0.3)/(K35+K29),"")</f>
        <v/>
      </c>
      <c r="L53" s="36">
        <f>IFERROR(('연간'!X28)*(1-0.3)/(L35+L29),"")</f>
        <v/>
      </c>
    </row>
    <row r="54">
      <c r="A54" s="45" t="inlineStr">
        <is>
          <t>매출총이익률 (GPM)</t>
        </is>
      </c>
      <c r="B54" s="10" t="inlineStr">
        <is>
          <t>40%↑ (해자 신호)</t>
        </is>
      </c>
      <c r="C54" s="35">
        <f>IFERROR((IF(COUNT('연간'!G22:J22)&lt;4,"",SUM('연간'!G22:J22)))/(IF(COUNT('연간'!G4:J4)&lt;4,"",SUM('연간'!G4:J4))),"")</f>
        <v/>
      </c>
      <c r="D54" s="36">
        <f>IFERROR((IF(COUNT('연간'!H22:K22)&lt;4,"",SUM('연간'!H22:K22)))/(IF(COUNT('연간'!H4:K4)&lt;4,"",SUM('연간'!H4:K4))),"")</f>
        <v/>
      </c>
      <c r="E54" s="36">
        <f>IFERROR((IF(COUNT('연간'!I22:L22)&lt;4,"",SUM('연간'!I22:L22)))/(IF(COUNT('연간'!I4:L4)&lt;4,"",SUM('연간'!I4:L4))),"")</f>
        <v/>
      </c>
      <c r="F54" s="36">
        <f>IFERROR((IF(COUNT('연간'!J22:M22)&lt;4,"",SUM('연간'!J22:M22)))/(IF(COUNT('연간'!J4:M4)&lt;4,"",SUM('연간'!J4:M4))),"")</f>
        <v/>
      </c>
      <c r="G54" s="36">
        <f>IFERROR((IF(COUNT('연간'!K22:N22)&lt;4,"",SUM('연간'!K22:N22)))/(IF(COUNT('연간'!K4:N4)&lt;4,"",SUM('연간'!K4:N4))),"")</f>
        <v/>
      </c>
      <c r="H54" s="35">
        <f>IFERROR(('연간'!T22)/('연간'!T4),"")</f>
        <v/>
      </c>
      <c r="I54" s="36">
        <f>IFERROR(('연간'!U22)/('연간'!U4),"")</f>
        <v/>
      </c>
      <c r="J54" s="36">
        <f>IFERROR(('연간'!V22)/('연간'!V4),"")</f>
        <v/>
      </c>
      <c r="K54" s="36">
        <f>IFERROR(('연간'!W22)/('연간'!W4),"")</f>
        <v/>
      </c>
      <c r="L54" s="36">
        <f>IFERROR(('연간'!X22)/('연간'!X4),"")</f>
        <v/>
      </c>
    </row>
    <row r="55">
      <c r="A55" s="45" t="inlineStr">
        <is>
          <t>영업이익률 (OPM)</t>
        </is>
      </c>
      <c r="B55" s="10" t="inlineStr">
        <is>
          <t>15%↑</t>
        </is>
      </c>
      <c r="C55" s="35">
        <f>IFERROR((IF(COUNT('연간'!G28:J28)&lt;4,"",SUM('연간'!G28:J28)))/(IF(COUNT('연간'!G4:J4)&lt;4,"",SUM('연간'!G4:J4))),"")</f>
        <v/>
      </c>
      <c r="D55" s="36">
        <f>IFERROR((IF(COUNT('연간'!H28:K28)&lt;4,"",SUM('연간'!H28:K28)))/(IF(COUNT('연간'!H4:K4)&lt;4,"",SUM('연간'!H4:K4))),"")</f>
        <v/>
      </c>
      <c r="E55" s="36">
        <f>IFERROR((IF(COUNT('연간'!I28:L28)&lt;4,"",SUM('연간'!I28:L28)))/(IF(COUNT('연간'!I4:L4)&lt;4,"",SUM('연간'!I4:L4))),"")</f>
        <v/>
      </c>
      <c r="F55" s="36">
        <f>IFERROR((IF(COUNT('연간'!J28:M28)&lt;4,"",SUM('연간'!J28:M28)))/(IF(COUNT('연간'!J4:M4)&lt;4,"",SUM('연간'!J4:M4))),"")</f>
        <v/>
      </c>
      <c r="G55" s="36">
        <f>IFERROR((IF(COUNT('연간'!K28:N28)&lt;4,"",SUM('연간'!K28:N28)))/(IF(COUNT('연간'!K4:N4)&lt;4,"",SUM('연간'!K4:N4))),"")</f>
        <v/>
      </c>
      <c r="H55" s="35">
        <f>IFERROR(('연간'!T28)/('연간'!T4),"")</f>
        <v/>
      </c>
      <c r="I55" s="36">
        <f>IFERROR(('연간'!U28)/('연간'!U4),"")</f>
        <v/>
      </c>
      <c r="J55" s="36">
        <f>IFERROR(('연간'!V28)/('연간'!V4),"")</f>
        <v/>
      </c>
      <c r="K55" s="36">
        <f>IFERROR(('연간'!W28)/('연간'!W4),"")</f>
        <v/>
      </c>
      <c r="L55" s="36">
        <f>IFERROR(('연간'!X28)/('연간'!X4),"")</f>
        <v/>
      </c>
    </row>
    <row r="56">
      <c r="A56" s="45" t="inlineStr">
        <is>
          <t>순이익률</t>
        </is>
      </c>
      <c r="B56" s="10" t="inlineStr">
        <is>
          <t>10%↑</t>
        </is>
      </c>
      <c r="C56" s="35">
        <f>IFERROR((IF(COUNT('연간'!G56:J56)&lt;4,"",SUM('연간'!G56:J56)))/(IF(COUNT('연간'!G4:J4)&lt;4,"",SUM('연간'!G4:J4))),"")</f>
        <v/>
      </c>
      <c r="D56" s="36">
        <f>IFERROR((IF(COUNT('연간'!H56:K56)&lt;4,"",SUM('연간'!H56:K56)))/(IF(COUNT('연간'!H4:K4)&lt;4,"",SUM('연간'!H4:K4))),"")</f>
        <v/>
      </c>
      <c r="E56" s="36">
        <f>IFERROR((IF(COUNT('연간'!I56:L56)&lt;4,"",SUM('연간'!I56:L56)))/(IF(COUNT('연간'!I4:L4)&lt;4,"",SUM('연간'!I4:L4))),"")</f>
        <v/>
      </c>
      <c r="F56" s="36">
        <f>IFERROR((IF(COUNT('연간'!J56:M56)&lt;4,"",SUM('연간'!J56:M56)))/(IF(COUNT('연간'!J4:M4)&lt;4,"",SUM('연간'!J4:M4))),"")</f>
        <v/>
      </c>
      <c r="G56" s="36">
        <f>IFERROR((IF(COUNT('연간'!K56:N56)&lt;4,"",SUM('연간'!K56:N56)))/(IF(COUNT('연간'!K4:N4)&lt;4,"",SUM('연간'!K4:N4))),"")</f>
        <v/>
      </c>
      <c r="H56" s="35">
        <f>IFERROR(('연간'!T56)/('연간'!T4),"")</f>
        <v/>
      </c>
      <c r="I56" s="36">
        <f>IFERROR(('연간'!U56)/('연간'!U4),"")</f>
        <v/>
      </c>
      <c r="J56" s="36">
        <f>IFERROR(('연간'!V56)/('연간'!V4),"")</f>
        <v/>
      </c>
      <c r="K56" s="36">
        <f>IFERROR(('연간'!W56)/('연간'!W4),"")</f>
        <v/>
      </c>
      <c r="L56" s="36">
        <f>IFERROR(('연간'!X56)/('연간'!X4),"")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IFERROR((IF(COUNT('연간'!G4:J4)&lt;4,"",SUM('연간'!G4:J4)))/C16,"")</f>
        <v/>
      </c>
      <c r="D58" s="31">
        <f>IFERROR((IF(COUNT('연간'!H4:K4)&lt;4,"",SUM('연간'!H4:K4)))/D16,"")</f>
        <v/>
      </c>
      <c r="E58" s="31">
        <f>IFERROR((IF(COUNT('연간'!I4:L4)&lt;4,"",SUM('연간'!I4:L4)))/E16,"")</f>
        <v/>
      </c>
      <c r="F58" s="31">
        <f>IFERROR((IF(COUNT('연간'!J4:M4)&lt;4,"",SUM('연간'!J4:M4)))/F16,"")</f>
        <v/>
      </c>
      <c r="G58" s="31">
        <f>IFERROR((IF(COUNT('연간'!K4:N4)&lt;4,"",SUM('연간'!K4:N4)))/G16,"")</f>
        <v/>
      </c>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IFERROR(C8/(IF(COUNT('연간'!G4:J4)&lt;4,"",SUM('연간'!G4:J4)))*365,"")</f>
        <v/>
      </c>
      <c r="D59" s="49">
        <f>IFERROR(D8/(IF(COUNT('연간'!H4:K4)&lt;4,"",SUM('연간'!H4:K4)))*365,"")</f>
        <v/>
      </c>
      <c r="E59" s="49">
        <f>IFERROR(E8/(IF(COUNT('연간'!I4:L4)&lt;4,"",SUM('연간'!I4:L4)))*365,"")</f>
        <v/>
      </c>
      <c r="F59" s="49">
        <f>IFERROR(F8/(IF(COUNT('연간'!J4:M4)&lt;4,"",SUM('연간'!J4:M4)))*365,"")</f>
        <v/>
      </c>
      <c r="G59" s="49">
        <f>IFERROR(G8/(IF(COUNT('연간'!K4:N4)&lt;4,"",SUM('연간'!K4:N4)))*365,"")</f>
        <v/>
      </c>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IFERROR(C9/(IF(COUNT('연간'!G20:J20)&lt;4,"",SUM('연간'!G20:J20)))*365,"")</f>
        <v/>
      </c>
      <c r="D60" s="49">
        <f>IFERROR(D9/(IF(COUNT('연간'!H20:K20)&lt;4,"",SUM('연간'!H20:K20)))*365,"")</f>
        <v/>
      </c>
      <c r="E60" s="49">
        <f>IFERROR(E9/(IF(COUNT('연간'!I20:L20)&lt;4,"",SUM('연간'!I20:L20)))*365,"")</f>
        <v/>
      </c>
      <c r="F60" s="49">
        <f>IFERROR(F9/(IF(COUNT('연간'!J20:M20)&lt;4,"",SUM('연간'!J20:M20)))*365,"")</f>
        <v/>
      </c>
      <c r="G60" s="49">
        <f>IFERROR(G9/(IF(COUNT('연간'!K20:N20)&lt;4,"",SUM('연간'!K20:N20)))*365,"")</f>
        <v/>
      </c>
      <c r="H60" s="48">
        <f>IFERROR(H9/('연간'!T20)*365,"")</f>
        <v/>
      </c>
      <c r="I60" s="49">
        <f>IFERROR(I9/('연간'!U20)*365,"")</f>
        <v/>
      </c>
      <c r="J60" s="49">
        <f>IFERROR(J9/('연간'!V20)*365,"")</f>
        <v/>
      </c>
      <c r="K60" s="49">
        <f>IFERROR(K9/('연간'!W20)*365,"")</f>
        <v/>
      </c>
      <c r="L60" s="49">
        <f>IFERROR(L9/('연간'!X20)*365,"")</f>
        <v/>
      </c>
    </row>
    <row r="61">
      <c r="A61" s="45" t="inlineStr">
        <is>
          <t>매입채무회전일수</t>
        </is>
      </c>
      <c r="B61" s="10" t="inlineStr">
        <is>
          <t>길수록 유리</t>
        </is>
      </c>
      <c r="C61" s="48">
        <f>IFERROR(C19/(IF(COUNT('연간'!G20:J20)&lt;4,"",SUM('연간'!G20:J20)))*365,"")</f>
        <v/>
      </c>
      <c r="D61" s="49">
        <f>IFERROR(D19/(IF(COUNT('연간'!H20:K20)&lt;4,"",SUM('연간'!H20:K20)))*365,"")</f>
        <v/>
      </c>
      <c r="E61" s="49">
        <f>IFERROR(E19/(IF(COUNT('연간'!I20:L20)&lt;4,"",SUM('연간'!I20:L20)))*365,"")</f>
        <v/>
      </c>
      <c r="F61" s="49">
        <f>IFERROR(F19/(IF(COUNT('연간'!J20:M20)&lt;4,"",SUM('연간'!J20:M20)))*365,"")</f>
        <v/>
      </c>
      <c r="G61" s="49">
        <f>IFERROR(G19/(IF(COUNT('연간'!K20:N20)&lt;4,"",SUM('연간'!K20:N20)))*365,"")</f>
        <v/>
      </c>
      <c r="H61" s="48">
        <f>IFERROR(H19/('연간'!T20)*365,"")</f>
        <v/>
      </c>
      <c r="I61" s="49">
        <f>IFERROR(I19/('연간'!U20)*365,"")</f>
        <v/>
      </c>
      <c r="J61" s="49">
        <f>IFERROR(J19/('연간'!V20)*365,"")</f>
        <v/>
      </c>
      <c r="K61" s="49">
        <f>IFERROR(K19/('연간'!W20)*365,"")</f>
        <v/>
      </c>
      <c r="L61" s="49">
        <f>IFERROR(L19/('연간'!X20)*365,"")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IF(C37="","",IFERROR(C37/(IF(COUNT('연간'!G56:J56)&lt;4,"",SUM('연간'!G56:J56))),""))</f>
        <v/>
      </c>
      <c r="D64" s="31">
        <f>IF(D37="","",IFERROR(D37/(IF(COUNT('연간'!H56:K56)&lt;4,"",SUM('연간'!H56:K56))),""))</f>
        <v/>
      </c>
      <c r="E64" s="31">
        <f>IF(E37="","",IFERROR(E37/(IF(COUNT('연간'!I56:L56)&lt;4,"",SUM('연간'!I56:L56))),""))</f>
        <v/>
      </c>
      <c r="F64" s="31">
        <f>IF(F37="","",IFERROR(F37/(IF(COUNT('연간'!J56:M56)&lt;4,"",SUM('연간'!J56:M56))),""))</f>
        <v/>
      </c>
      <c r="G64" s="31">
        <f>IF(G37="","",IFERROR(G37/(IF(COUNT('연간'!K56:N56)&lt;4,"",SUM('연간'!K56:N56))),""))</f>
        <v/>
      </c>
      <c r="H64" s="30">
        <f>IF(H37="","",IFERROR(H37/('연간'!T56),""))</f>
        <v/>
      </c>
      <c r="I64" s="31">
        <f>IF(I37="","",IFERROR(I37/('연간'!U56),""))</f>
        <v/>
      </c>
      <c r="J64" s="31">
        <f>IF(J37="","",IFERROR(J37/('연간'!V56),""))</f>
        <v/>
      </c>
      <c r="K64" s="31">
        <f>IF(K37="","",IFERROR(K37/('연간'!W56),""))</f>
        <v/>
      </c>
      <c r="L64" s="31">
        <f>IF(L37="","",IFERROR(L37/('연간'!X56),""))</f>
        <v/>
      </c>
    </row>
    <row r="65">
      <c r="A65" s="45" t="inlineStr">
        <is>
          <t>FCF 마진</t>
        </is>
      </c>
      <c r="B65" s="10" t="inlineStr">
        <is>
          <t>5%↑</t>
        </is>
      </c>
      <c r="C65" s="35">
        <f>IF(C39="","",IFERROR(C39/(IF(COUNT('연간'!G4:J4)&lt;4,"",SUM('연간'!G4:J4))),""))</f>
        <v/>
      </c>
      <c r="D65" s="36">
        <f>IF(D39="","",IFERROR(D39/(IF(COUNT('연간'!H4:K4)&lt;4,"",SUM('연간'!H4:K4))),""))</f>
        <v/>
      </c>
      <c r="E65" s="36">
        <f>IF(E39="","",IFERROR(E39/(IF(COUNT('연간'!I4:L4)&lt;4,"",SUM('연간'!I4:L4))),""))</f>
        <v/>
      </c>
      <c r="F65" s="36">
        <f>IF(F39="","",IFERROR(F39/(IF(COUNT('연간'!J4:M4)&lt;4,"",SUM('연간'!J4:M4))),""))</f>
        <v/>
      </c>
      <c r="G65" s="36">
        <f>IF(G39="","",IFERROR(G39/(IF(COUNT('연간'!K4:N4)&lt;4,"",SUM('연간'!K4:N4))),""))</f>
        <v/>
      </c>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IF(C38="","",IFERROR(C38/(IF(COUNT('연간'!G4:J4)&lt;4,"",SUM('연간'!G4:J4))),""))</f>
        <v/>
      </c>
      <c r="D66" s="36">
        <f>IF(D38="","",IFERROR(D38/(IF(COUNT('연간'!H4:K4)&lt;4,"",SUM('연간'!H4:K4))),""))</f>
        <v/>
      </c>
      <c r="E66" s="36">
        <f>IF(E38="","",IFERROR(E38/(IF(COUNT('연간'!I4:L4)&lt;4,"",SUM('연간'!I4:L4))),""))</f>
        <v/>
      </c>
      <c r="F66" s="36">
        <f>IF(F38="","",IFERROR(F38/(IF(COUNT('연간'!J4:M4)&lt;4,"",SUM('연간'!J4:M4))),""))</f>
        <v/>
      </c>
      <c r="G66" s="36">
        <f>IF(G38="","",IFERROR(G38/(IF(COUNT('연간'!K4:N4)&lt;4,"",SUM('연간'!K4:N4))),""))</f>
        <v/>
      </c>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IF(C40="","",IFERROR(C40/(IF(COUNT('연간'!G58:J58)&lt;4,"",SUM('연간'!G58:J58))),""))</f>
        <v/>
      </c>
      <c r="D67" s="36">
        <f>IF(D40="","",IFERROR(D40/(IF(COUNT('연간'!H58:K58)&lt;4,"",SUM('연간'!H58:K58))),""))</f>
        <v/>
      </c>
      <c r="E67" s="36">
        <f>IF(E40="","",IFERROR(E40/(IF(COUNT('연간'!I58:L58)&lt;4,"",SUM('연간'!I58:L58))),""))</f>
        <v/>
      </c>
      <c r="F67" s="36">
        <f>IF(F40="","",IFERROR(F40/(IF(COUNT('연간'!J58:M58)&lt;4,"",SUM('연간'!J58:M58))),""))</f>
        <v/>
      </c>
      <c r="G67" s="36">
        <f>IF(G40="","",IFERROR(G40/(IF(COUNT('연간'!K58:N58)&lt;4,"",SUM('연간'!K58:N58))),""))</f>
        <v/>
      </c>
      <c r="H67" s="35">
        <f>IF(H40="","",IFERROR(H40/('연간'!T58),""))</f>
        <v/>
      </c>
      <c r="I67" s="36">
        <f>IF(I40="","",IFERROR(I40/('연간'!U58),""))</f>
        <v/>
      </c>
      <c r="J67" s="36">
        <f>IF(J40="","",IFERROR(J40/('연간'!V58),""))</f>
        <v/>
      </c>
      <c r="K67" s="36">
        <f>IF(K40="","",IFERROR(K40/('연간'!W58),""))</f>
        <v/>
      </c>
      <c r="L67" s="36">
        <f>IF(L40="","",IFERROR(L40/('연간'!X58),""))</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2025.2Q</t>
        </is>
      </c>
      <c r="D70" s="5" t="inlineStr">
        <is>
          <t>2025.3Q</t>
        </is>
      </c>
      <c r="E70" s="5" t="inlineStr">
        <is>
          <t>2025.4Q</t>
        </is>
      </c>
      <c r="F70" s="5" t="inlineStr">
        <is>
          <t>2026.1Q</t>
        </is>
      </c>
      <c r="G70" s="5" t="inlineStr">
        <is>
          <t>2026.2Q</t>
        </is>
      </c>
      <c r="H70" s="5" t="inlineStr">
        <is>
          <t>2021</t>
        </is>
      </c>
      <c r="I70" s="5" t="inlineStr">
        <is>
          <t>2022</t>
        </is>
      </c>
      <c r="J70" s="5" t="inlineStr">
        <is>
          <t>2023</t>
        </is>
      </c>
      <c r="K70" s="5" t="inlineStr">
        <is>
          <t>2024</t>
        </is>
      </c>
      <c r="L70" s="5" t="inlineStr">
        <is>
          <t>2025</t>
        </is>
      </c>
    </row>
    <row r="71">
      <c r="A71" s="18" t="inlineStr">
        <is>
          <t>현금및현금성자산</t>
        </is>
      </c>
      <c r="C71" s="20" t="n">
        <v>865185</v>
      </c>
      <c r="D71" s="20" t="n">
        <v>729463</v>
      </c>
      <c r="E71" s="20" t="n">
        <v>831135</v>
      </c>
      <c r="F71" s="20" t="n">
        <v>694622</v>
      </c>
      <c r="G71" s="20" t="n">
        <v>827909</v>
      </c>
      <c r="H71" s="20" t="n">
        <v>721731</v>
      </c>
      <c r="I71" s="20" t="n">
        <v>866885</v>
      </c>
      <c r="J71" s="20" t="n">
        <v>1040206</v>
      </c>
      <c r="K71" s="20" t="n">
        <v>1084567</v>
      </c>
      <c r="L71" s="20" t="n">
        <v>831135</v>
      </c>
    </row>
    <row r="72">
      <c r="A72" s="18" t="inlineStr">
        <is>
          <t>영업채권 및 기타채권</t>
        </is>
      </c>
      <c r="C72" s="20" t="n">
        <v>581171</v>
      </c>
      <c r="D72" s="20" t="n">
        <v>614024</v>
      </c>
      <c r="E72" s="20" t="n">
        <v>640681</v>
      </c>
      <c r="F72" s="20" t="n">
        <v>706827</v>
      </c>
      <c r="G72" s="20" t="n">
        <v>753747</v>
      </c>
      <c r="H72" s="20" t="n">
        <v>456587</v>
      </c>
      <c r="I72" s="20" t="n">
        <v>477239</v>
      </c>
      <c r="J72" s="20" t="n">
        <v>535302</v>
      </c>
      <c r="K72" s="20" t="n">
        <v>568982</v>
      </c>
      <c r="L72" s="20" t="n">
        <v>640681</v>
      </c>
    </row>
    <row r="73">
      <c r="A73" s="18" t="inlineStr">
        <is>
          <t>재고자산</t>
        </is>
      </c>
      <c r="C73" s="20" t="n">
        <v>962632</v>
      </c>
      <c r="D73" s="20" t="n">
        <v>1003588</v>
      </c>
      <c r="E73" s="20" t="n">
        <v>1060136</v>
      </c>
      <c r="F73" s="20" t="n">
        <v>1089424</v>
      </c>
      <c r="G73" s="20" t="n">
        <v>1118751</v>
      </c>
      <c r="H73" s="20" t="n">
        <v>563182</v>
      </c>
      <c r="I73" s="20" t="n">
        <v>691906</v>
      </c>
      <c r="J73" s="20" t="n">
        <v>832611</v>
      </c>
      <c r="K73" s="20" t="n">
        <v>957281</v>
      </c>
      <c r="L73" s="20" t="n">
        <v>1060136</v>
      </c>
    </row>
    <row r="74">
      <c r="A74" s="18" t="inlineStr">
        <is>
          <t>기타금융자산</t>
        </is>
      </c>
      <c r="C74" s="20" t="n">
        <v>100177</v>
      </c>
      <c r="D74" s="20" t="n">
        <v>131871</v>
      </c>
      <c r="E74" s="20" t="n">
        <v>195816</v>
      </c>
      <c r="F74" s="20" t="n">
        <v>187695</v>
      </c>
      <c r="G74" s="20" t="n">
        <v>205435</v>
      </c>
      <c r="H74" s="20" t="n">
        <v>17254</v>
      </c>
      <c r="I74" s="20" t="n">
        <v>37677</v>
      </c>
      <c r="J74" s="20" t="n">
        <v>58633</v>
      </c>
      <c r="K74" s="20" t="n">
        <v>120211</v>
      </c>
      <c r="L74" s="20" t="n">
        <v>195816</v>
      </c>
    </row>
    <row r="75">
      <c r="A75" s="18" t="inlineStr">
        <is>
          <t>기타유동자산</t>
        </is>
      </c>
      <c r="C75" s="20" t="n">
        <v>796844</v>
      </c>
      <c r="D75" s="20" t="n">
        <v>792232</v>
      </c>
      <c r="E75" s="20" t="n">
        <v>977640</v>
      </c>
      <c r="F75" s="20" t="n">
        <v>898775</v>
      </c>
      <c r="G75" s="20" t="n">
        <v>942389</v>
      </c>
      <c r="H75" s="20" t="n">
        <v>562034</v>
      </c>
      <c r="I75" s="20" t="n">
        <v>649181</v>
      </c>
      <c r="J75" s="20" t="n">
        <v>789888</v>
      </c>
      <c r="K75" s="20" t="n">
        <v>826766</v>
      </c>
      <c r="L75" s="20" t="n">
        <v>977640</v>
      </c>
    </row>
    <row r="76">
      <c r="A76" s="9" t="inlineStr">
        <is>
          <t>소계</t>
        </is>
      </c>
      <c r="C76" s="12" t="n">
        <v>3306010</v>
      </c>
      <c r="D76" s="12" t="n">
        <v>3271179</v>
      </c>
      <c r="E76" s="12" t="n">
        <v>3705408</v>
      </c>
      <c r="F76" s="12" t="n">
        <v>3577343</v>
      </c>
      <c r="G76" s="12" t="n">
        <v>3848232</v>
      </c>
      <c r="H76" s="12" t="n">
        <v>2320789</v>
      </c>
      <c r="I76" s="12" t="n">
        <v>2722889</v>
      </c>
      <c r="J76" s="12" t="n">
        <v>3256639</v>
      </c>
      <c r="K76" s="12" t="n">
        <v>3557807</v>
      </c>
      <c r="L76" s="12" t="n">
        <v>3705408</v>
      </c>
    </row>
    <row r="77">
      <c r="A77" s="18" t="inlineStr">
        <is>
          <t>매각예정 자산</t>
        </is>
      </c>
      <c r="C77" s="20" t="n">
        <v>137416</v>
      </c>
      <c r="D77" s="20" t="n">
        <v>31914</v>
      </c>
      <c r="E77" s="20" t="n">
        <v>5689</v>
      </c>
      <c r="F77" s="20" t="n">
        <v>10030</v>
      </c>
      <c r="G77" s="20" t="n">
        <v>4885</v>
      </c>
      <c r="H77" s="20" t="n">
        <v>500</v>
      </c>
      <c r="I77" s="20" t="n">
        <v>702</v>
      </c>
      <c r="J77" s="20" t="n">
        <v>2921</v>
      </c>
      <c r="K77" s="20" t="n">
        <v>19765</v>
      </c>
      <c r="L77" s="20" t="n">
        <v>5689</v>
      </c>
    </row>
    <row r="78">
      <c r="A78" s="9" t="inlineStr">
        <is>
          <t>유동자산 합계</t>
        </is>
      </c>
      <c r="C78" s="12" t="n">
        <v>3443426</v>
      </c>
      <c r="D78" s="12" t="n">
        <v>3303093</v>
      </c>
      <c r="E78" s="12" t="n">
        <v>3711097</v>
      </c>
      <c r="F78" s="12" t="n">
        <v>3587373</v>
      </c>
      <c r="G78" s="12" t="n">
        <v>3853117</v>
      </c>
      <c r="H78" s="12" t="n">
        <v>2321289</v>
      </c>
      <c r="I78" s="12" t="n">
        <v>2723591</v>
      </c>
      <c r="J78" s="12" t="n">
        <v>3259561</v>
      </c>
      <c r="K78" s="12" t="n">
        <v>3577572</v>
      </c>
      <c r="L78" s="12" t="n">
        <v>3711097</v>
      </c>
    </row>
    <row r="79">
      <c r="A79" s="18" t="inlineStr">
        <is>
          <t>유형자산</t>
        </is>
      </c>
      <c r="C79" s="20" t="n">
        <v>902212</v>
      </c>
      <c r="D79" s="20" t="n">
        <v>925446</v>
      </c>
      <c r="E79" s="20" t="n">
        <v>979800</v>
      </c>
      <c r="F79" s="20" t="n">
        <v>981948</v>
      </c>
      <c r="G79" s="20" t="n">
        <v>994977</v>
      </c>
      <c r="H79" s="20" t="n">
        <v>755843</v>
      </c>
      <c r="I79" s="20" t="n">
        <v>775957</v>
      </c>
      <c r="J79" s="20" t="n">
        <v>821499</v>
      </c>
      <c r="K79" s="20" t="n">
        <v>907700</v>
      </c>
      <c r="L79" s="20" t="n">
        <v>979800</v>
      </c>
    </row>
    <row r="80">
      <c r="A80" s="18" t="inlineStr">
        <is>
          <t>영업권</t>
        </is>
      </c>
      <c r="C80" s="20" t="n">
        <v>3037581</v>
      </c>
      <c r="D80" s="20" t="n">
        <v>3102544</v>
      </c>
      <c r="E80" s="20" t="n">
        <v>2923096</v>
      </c>
      <c r="F80" s="20" t="n">
        <v>2954536</v>
      </c>
      <c r="G80" s="20" t="n">
        <v>2986714</v>
      </c>
      <c r="H80" s="20" t="n">
        <v>2060965</v>
      </c>
      <c r="I80" s="20" t="n">
        <v>2446063</v>
      </c>
      <c r="J80" s="20" t="n">
        <v>2616440</v>
      </c>
      <c r="K80" s="20" t="n">
        <v>2914254</v>
      </c>
      <c r="L80" s="20" t="n">
        <v>2923096</v>
      </c>
    </row>
    <row r="81">
      <c r="A81" s="18" t="inlineStr">
        <is>
          <t>무형자산</t>
        </is>
      </c>
      <c r="C81" s="20" t="n">
        <v>403680</v>
      </c>
      <c r="D81" s="20" t="n">
        <v>393856</v>
      </c>
      <c r="E81" s="20" t="n">
        <v>395658</v>
      </c>
      <c r="F81" s="20" t="n">
        <v>393430</v>
      </c>
      <c r="G81" s="20" t="n">
        <v>385184</v>
      </c>
      <c r="H81" s="20" t="n">
        <v>307152</v>
      </c>
      <c r="I81" s="20" t="n">
        <v>246442</v>
      </c>
      <c r="J81" s="20" t="n">
        <v>200819</v>
      </c>
      <c r="K81" s="20" t="n">
        <v>486463</v>
      </c>
      <c r="L81" s="20" t="n">
        <v>395658</v>
      </c>
    </row>
    <row r="82">
      <c r="A82" s="18" t="inlineStr">
        <is>
          <t>Investment Property</t>
        </is>
      </c>
      <c r="C82" s="20" t="n">
        <v>3436</v>
      </c>
      <c r="D82" s="20" t="n">
        <v>2940</v>
      </c>
      <c r="E82" s="20" t="n">
        <v>3068</v>
      </c>
      <c r="F82" s="20" t="n">
        <v>3036</v>
      </c>
      <c r="G82" s="20" t="n">
        <v>3139</v>
      </c>
      <c r="H82" s="20" t="n">
        <v>4985</v>
      </c>
      <c r="I82" s="20" t="n">
        <v>9495</v>
      </c>
      <c r="J82" s="20" t="n">
        <v>9338</v>
      </c>
      <c r="K82" s="20" t="n">
        <v>3716</v>
      </c>
      <c r="L82" s="20" t="n">
        <v>3068</v>
      </c>
    </row>
    <row r="83">
      <c r="A83" s="18" t="inlineStr">
        <is>
          <t>퇴직급여자산</t>
        </is>
      </c>
      <c r="C83" s="20" t="n">
        <v>91493</v>
      </c>
      <c r="D83" s="20" t="n">
        <v>93438</v>
      </c>
      <c r="E83" s="20" t="n">
        <v>29946</v>
      </c>
      <c r="F83" s="20" t="n">
        <v>30739</v>
      </c>
      <c r="G83" s="20" t="n">
        <v>31083</v>
      </c>
      <c r="H83" s="20" t="n">
        <v>53177</v>
      </c>
      <c r="I83" s="20" t="n">
        <v>57792</v>
      </c>
      <c r="J83" s="20" t="n">
        <v>65856</v>
      </c>
      <c r="K83" s="20" t="n">
        <v>89573</v>
      </c>
      <c r="L83" s="20" t="n">
        <v>29946</v>
      </c>
    </row>
    <row r="84">
      <c r="A84" s="18" t="inlineStr">
        <is>
          <t>지분법 투자</t>
        </is>
      </c>
      <c r="C84" s="20" t="n">
        <v>75952</v>
      </c>
      <c r="D84" s="20" t="n">
        <v>75621</v>
      </c>
      <c r="E84" s="20" t="n">
        <v>82205</v>
      </c>
      <c r="F84" s="20" t="n">
        <v>83051</v>
      </c>
      <c r="G84" s="20" t="n">
        <v>87467</v>
      </c>
      <c r="H84" s="20" t="n">
        <v>41721</v>
      </c>
      <c r="I84" s="20" t="n">
        <v>56943</v>
      </c>
      <c r="J84" s="20" t="n">
        <v>56726</v>
      </c>
      <c r="K84" s="20" t="n">
        <v>50423</v>
      </c>
      <c r="L84" s="20" t="n">
        <v>82205</v>
      </c>
    </row>
    <row r="85">
      <c r="A85" s="18" t="inlineStr">
        <is>
          <t>기타금융자산</t>
        </is>
      </c>
      <c r="C85" s="20" t="n">
        <v>123868</v>
      </c>
      <c r="D85" s="20" t="n">
        <v>127319</v>
      </c>
      <c r="E85" s="20" t="n">
        <v>131600</v>
      </c>
      <c r="F85" s="20" t="n">
        <v>147373</v>
      </c>
      <c r="G85" s="20" t="n">
        <v>159234</v>
      </c>
      <c r="H85" s="20" t="n">
        <v>108658</v>
      </c>
      <c r="I85" s="20" t="n">
        <v>140366</v>
      </c>
      <c r="J85" s="20" t="n">
        <v>155267</v>
      </c>
      <c r="K85" s="20" t="n">
        <v>151940</v>
      </c>
      <c r="L85" s="20" t="n">
        <v>131600</v>
      </c>
    </row>
    <row r="86">
      <c r="A86" s="18" t="inlineStr">
        <is>
          <t>기타비유동자산</t>
        </is>
      </c>
      <c r="C86" s="20" t="n">
        <v>4311</v>
      </c>
      <c r="D86" s="20" t="n">
        <v>3280</v>
      </c>
      <c r="E86" s="20" t="n">
        <v>4240</v>
      </c>
      <c r="F86" s="20" t="n">
        <v>4262</v>
      </c>
      <c r="G86" s="20" t="n">
        <v>3964</v>
      </c>
      <c r="J86" s="20" t="n">
        <v>7212</v>
      </c>
      <c r="K86" s="20" t="n">
        <v>5500</v>
      </c>
      <c r="L86" s="20" t="n">
        <v>4240</v>
      </c>
    </row>
    <row r="87">
      <c r="A87" s="18" t="inlineStr">
        <is>
          <t>이연법인세자산</t>
        </is>
      </c>
      <c r="C87" s="20" t="n">
        <v>176828</v>
      </c>
      <c r="D87" s="20" t="n">
        <v>167509</v>
      </c>
      <c r="E87" s="20" t="n">
        <v>158528</v>
      </c>
      <c r="F87" s="20" t="n">
        <v>165462</v>
      </c>
      <c r="G87" s="20" t="n">
        <v>165073</v>
      </c>
      <c r="H87" s="20" t="n">
        <v>120419</v>
      </c>
      <c r="I87" s="20" t="n">
        <v>91430</v>
      </c>
      <c r="J87" s="20" t="n">
        <v>89379</v>
      </c>
      <c r="K87" s="20" t="n">
        <v>183591</v>
      </c>
      <c r="L87" s="20" t="n">
        <v>158528</v>
      </c>
    </row>
    <row r="88">
      <c r="A88" s="18" t="inlineStr">
        <is>
          <t>비유동자산 합계</t>
        </is>
      </c>
      <c r="C88" s="20" t="n">
        <v>4819360</v>
      </c>
      <c r="D88" s="20" t="n">
        <v>4891952</v>
      </c>
      <c r="E88" s="20" t="n">
        <v>4708143</v>
      </c>
      <c r="F88" s="20" t="n">
        <v>4763837</v>
      </c>
      <c r="G88" s="20" t="n">
        <v>4816836</v>
      </c>
      <c r="H88" s="20" t="n">
        <v>3452920</v>
      </c>
      <c r="I88" s="20" t="n">
        <v>3824487</v>
      </c>
      <c r="J88" s="20" t="n">
        <v>4022536</v>
      </c>
      <c r="K88" s="20" t="n">
        <v>4793160</v>
      </c>
      <c r="L88" s="20" t="n">
        <v>4708143</v>
      </c>
    </row>
    <row r="89">
      <c r="A89" s="18" t="inlineStr">
        <is>
          <t>자산 합계</t>
        </is>
      </c>
      <c r="C89" s="20" t="n">
        <v>8262786</v>
      </c>
      <c r="D89" s="20" t="n">
        <v>8195045</v>
      </c>
      <c r="E89" s="20" t="n">
        <v>8419240</v>
      </c>
      <c r="F89" s="20" t="n">
        <v>8351210</v>
      </c>
      <c r="G89" s="20" t="n">
        <v>8669953</v>
      </c>
      <c r="H89" s="20" t="n">
        <v>5774209</v>
      </c>
      <c r="I89" s="20" t="n">
        <v>6548078</v>
      </c>
      <c r="J89" s="20" t="n">
        <v>7282097</v>
      </c>
      <c r="K89" s="20" t="n">
        <v>8370732</v>
      </c>
      <c r="L89" s="20" t="n">
        <v>8419240</v>
      </c>
    </row>
    <row r="90">
      <c r="A90" s="18" t="inlineStr">
        <is>
          <t>영업채무 및 기타채무</t>
        </is>
      </c>
      <c r="C90" s="20" t="n">
        <v>567713</v>
      </c>
      <c r="D90" s="20" t="n">
        <v>597373</v>
      </c>
      <c r="E90" s="20" t="n">
        <v>711721</v>
      </c>
      <c r="F90" s="20" t="n">
        <v>671320</v>
      </c>
      <c r="G90" s="20" t="n">
        <v>623516</v>
      </c>
      <c r="H90" s="20" t="n">
        <v>555777</v>
      </c>
      <c r="I90" s="20" t="n">
        <v>540089</v>
      </c>
      <c r="J90" s="20" t="n">
        <v>592802</v>
      </c>
      <c r="K90" s="20" t="n">
        <v>659510</v>
      </c>
      <c r="L90" s="20" t="n">
        <v>711721</v>
      </c>
    </row>
    <row r="91">
      <c r="A91" s="18" t="inlineStr">
        <is>
          <t>사채 및 차입금</t>
        </is>
      </c>
      <c r="C91" s="20" t="n">
        <v>186479</v>
      </c>
      <c r="D91" s="20" t="n">
        <v>74287</v>
      </c>
      <c r="E91" s="20" t="n">
        <v>79627</v>
      </c>
      <c r="F91" s="20" t="n">
        <v>224176</v>
      </c>
      <c r="G91" s="20" t="n">
        <v>117087</v>
      </c>
      <c r="H91" s="20" t="n">
        <v>142901</v>
      </c>
      <c r="I91" s="20" t="n">
        <v>137308</v>
      </c>
      <c r="J91" s="20" t="n">
        <v>233333</v>
      </c>
      <c r="K91" s="20" t="n">
        <v>178668</v>
      </c>
      <c r="L91" s="20" t="n">
        <v>79627</v>
      </c>
    </row>
    <row r="92">
      <c r="A92" s="18" t="inlineStr">
        <is>
          <t>미지급법인세 등</t>
        </is>
      </c>
      <c r="C92" s="20" t="n">
        <v>40971</v>
      </c>
      <c r="D92" s="20" t="n">
        <v>72889</v>
      </c>
      <c r="E92" s="20" t="n">
        <v>36546</v>
      </c>
      <c r="F92" s="20" t="n">
        <v>63875</v>
      </c>
      <c r="G92" s="20" t="n">
        <v>77316</v>
      </c>
      <c r="H92" s="20" t="n">
        <v>30794</v>
      </c>
      <c r="I92" s="20" t="n">
        <v>37470</v>
      </c>
      <c r="J92" s="20" t="n">
        <v>29647</v>
      </c>
      <c r="K92" s="20" t="n">
        <v>24621</v>
      </c>
      <c r="L92" s="20" t="n">
        <v>36546</v>
      </c>
    </row>
    <row r="93">
      <c r="A93" s="18" t="inlineStr">
        <is>
          <t>기타금융부채</t>
        </is>
      </c>
      <c r="C93" s="20" t="n">
        <v>54626</v>
      </c>
      <c r="D93" s="20" t="n">
        <v>51142</v>
      </c>
      <c r="E93" s="20" t="n">
        <v>62068</v>
      </c>
      <c r="F93" s="20" t="n">
        <v>63579</v>
      </c>
      <c r="G93" s="20" t="n">
        <v>68065</v>
      </c>
      <c r="H93" s="20" t="n">
        <v>28342</v>
      </c>
      <c r="I93" s="20" t="n">
        <v>40065</v>
      </c>
      <c r="J93" s="20" t="n">
        <v>44470</v>
      </c>
      <c r="K93" s="20" t="n">
        <v>59965</v>
      </c>
      <c r="L93" s="20" t="n">
        <v>62068</v>
      </c>
    </row>
    <row r="94">
      <c r="A94" s="18" t="inlineStr">
        <is>
          <t>충당금</t>
        </is>
      </c>
      <c r="C94" s="20" t="n">
        <v>191886</v>
      </c>
      <c r="D94" s="20" t="n">
        <v>25520</v>
      </c>
      <c r="E94" s="20" t="n">
        <v>32783</v>
      </c>
      <c r="F94" s="20" t="n">
        <v>22731</v>
      </c>
      <c r="G94" s="20" t="n">
        <v>19776</v>
      </c>
      <c r="H94" s="20" t="n">
        <v>24858</v>
      </c>
      <c r="I94" s="20" t="n">
        <v>26610</v>
      </c>
      <c r="J94" s="20" t="n">
        <v>18634</v>
      </c>
      <c r="K94" s="20" t="n">
        <v>195918</v>
      </c>
      <c r="L94" s="20" t="n">
        <v>32783</v>
      </c>
    </row>
    <row r="95">
      <c r="A95" s="18" t="inlineStr">
        <is>
          <t>기타유동부채</t>
        </is>
      </c>
      <c r="C95" s="20" t="n">
        <v>815676</v>
      </c>
      <c r="D95" s="20" t="n">
        <v>854151</v>
      </c>
      <c r="E95" s="20" t="n">
        <v>1004331</v>
      </c>
      <c r="F95" s="20" t="n">
        <v>858783</v>
      </c>
      <c r="G95" s="20" t="n">
        <v>979079</v>
      </c>
      <c r="H95" s="20" t="n">
        <v>717653</v>
      </c>
      <c r="I95" s="20" t="n">
        <v>781093</v>
      </c>
      <c r="J95" s="20" t="n">
        <v>1008390</v>
      </c>
      <c r="K95" s="20" t="n">
        <v>1029925</v>
      </c>
      <c r="L95" s="20" t="n">
        <v>1004331</v>
      </c>
    </row>
    <row r="96">
      <c r="A96" s="18" t="inlineStr">
        <is>
          <t>소계</t>
        </is>
      </c>
      <c r="C96" s="20" t="n">
        <v>1857350</v>
      </c>
      <c r="D96" s="20" t="n">
        <v>1675361</v>
      </c>
      <c r="E96" s="20" t="n">
        <v>1927076</v>
      </c>
      <c r="F96" s="20" t="n">
        <v>1904465</v>
      </c>
      <c r="G96" s="20" t="n">
        <v>1884837</v>
      </c>
      <c r="H96" s="20" t="n">
        <v>1500326</v>
      </c>
      <c r="I96" s="20" t="n">
        <v>1562635</v>
      </c>
      <c r="J96" s="20" t="n">
        <v>1927276</v>
      </c>
      <c r="K96" s="20" t="n">
        <v>2148607</v>
      </c>
      <c r="L96" s="20" t="n">
        <v>1927076</v>
      </c>
    </row>
    <row r="97">
      <c r="A97" s="18" t="inlineStr">
        <is>
          <t>매각예정 자산 직접 관련 부채</t>
        </is>
      </c>
      <c r="C97" s="20" t="n">
        <v>16959</v>
      </c>
      <c r="D97" s="20" t="n">
        <v>16525</v>
      </c>
      <c r="E97" s="20" t="n">
        <v>177</v>
      </c>
      <c r="F97" s="20" t="n">
        <v>2198</v>
      </c>
      <c r="G97" s="20" t="n">
        <v>0</v>
      </c>
      <c r="H97" s="20" t="n">
        <v>0</v>
      </c>
      <c r="I97" s="20" t="n">
        <v>29</v>
      </c>
      <c r="J97" s="20" t="n">
        <v>0</v>
      </c>
      <c r="K97" s="20" t="n">
        <v>0</v>
      </c>
      <c r="L97" s="20" t="n">
        <v>177</v>
      </c>
    </row>
    <row r="98">
      <c r="A98" s="18" t="inlineStr">
        <is>
          <t>유동부채 합계</t>
        </is>
      </c>
      <c r="C98" s="20" t="n">
        <v>1874309</v>
      </c>
      <c r="D98" s="20" t="n">
        <v>1691886</v>
      </c>
      <c r="E98" s="20" t="n">
        <v>1927252</v>
      </c>
      <c r="F98" s="20" t="n">
        <v>1906663</v>
      </c>
      <c r="G98" s="20" t="n">
        <v>1884837</v>
      </c>
      <c r="H98" s="20" t="n">
        <v>1500326</v>
      </c>
      <c r="I98" s="20" t="n">
        <v>1562664</v>
      </c>
      <c r="J98" s="20" t="n">
        <v>1927276</v>
      </c>
      <c r="K98" s="20" t="n">
        <v>2148607</v>
      </c>
      <c r="L98" s="20" t="n">
        <v>1927252</v>
      </c>
    </row>
    <row r="99">
      <c r="A99" s="18" t="inlineStr">
        <is>
          <t>사채 및 차입금</t>
        </is>
      </c>
      <c r="C99" s="20" t="n">
        <v>1439954</v>
      </c>
      <c r="D99" s="20" t="n">
        <v>1539781</v>
      </c>
      <c r="E99" s="20" t="n">
        <v>1599061</v>
      </c>
      <c r="F99" s="20" t="n">
        <v>1553454</v>
      </c>
      <c r="G99" s="20" t="n">
        <v>1559685</v>
      </c>
      <c r="H99" s="20" t="n">
        <v>775721</v>
      </c>
      <c r="I99" s="20" t="n">
        <v>821003</v>
      </c>
      <c r="J99" s="20" t="n">
        <v>908926</v>
      </c>
      <c r="K99" s="20" t="n">
        <v>1548120</v>
      </c>
      <c r="L99" s="20" t="n">
        <v>1599061</v>
      </c>
    </row>
    <row r="100">
      <c r="A100" s="18" t="inlineStr">
        <is>
          <t>기타금융부채</t>
        </is>
      </c>
      <c r="C100" s="20" t="n">
        <v>49716</v>
      </c>
      <c r="D100" s="20" t="n">
        <v>240029</v>
      </c>
      <c r="E100" s="20" t="n">
        <v>205628</v>
      </c>
      <c r="F100" s="20" t="n">
        <v>209564</v>
      </c>
      <c r="G100" s="20" t="n">
        <v>210106</v>
      </c>
      <c r="H100" s="20" t="n">
        <v>43885</v>
      </c>
      <c r="I100" s="20" t="n">
        <v>41735</v>
      </c>
      <c r="J100" s="20" t="n">
        <v>40678</v>
      </c>
      <c r="K100" s="20" t="n">
        <v>49210</v>
      </c>
      <c r="L100" s="20" t="n">
        <v>205628</v>
      </c>
    </row>
    <row r="101">
      <c r="A101" s="18" t="inlineStr">
        <is>
          <t>퇴직급여부채</t>
        </is>
      </c>
      <c r="C101" s="20" t="n">
        <v>273357</v>
      </c>
      <c r="D101" s="20" t="n">
        <v>273847</v>
      </c>
      <c r="E101" s="20" t="n">
        <v>253225</v>
      </c>
      <c r="F101" s="20" t="n">
        <v>246972</v>
      </c>
      <c r="G101" s="20" t="n">
        <v>249967</v>
      </c>
      <c r="H101" s="20" t="n">
        <v>296176</v>
      </c>
      <c r="I101" s="20" t="n">
        <v>244116</v>
      </c>
      <c r="J101" s="20" t="n">
        <v>279443</v>
      </c>
      <c r="K101" s="20" t="n">
        <v>277236</v>
      </c>
      <c r="L101" s="20" t="n">
        <v>253225</v>
      </c>
    </row>
    <row r="102">
      <c r="A102" s="18" t="inlineStr">
        <is>
          <t>충당금</t>
        </is>
      </c>
      <c r="C102" s="20" t="n">
        <v>244755</v>
      </c>
      <c r="D102" s="20" t="n">
        <v>41433</v>
      </c>
      <c r="E102" s="20" t="n">
        <v>54355</v>
      </c>
      <c r="F102" s="20" t="n">
        <v>57174</v>
      </c>
      <c r="G102" s="20" t="n">
        <v>60970</v>
      </c>
      <c r="H102" s="20" t="n">
        <v>22867</v>
      </c>
      <c r="I102" s="20" t="n">
        <v>26490</v>
      </c>
      <c r="J102" s="20" t="n">
        <v>45527</v>
      </c>
      <c r="K102" s="20" t="n">
        <v>253949</v>
      </c>
      <c r="L102" s="20" t="n">
        <v>54355</v>
      </c>
    </row>
    <row r="103">
      <c r="A103" s="18" t="inlineStr">
        <is>
          <t>기타비유동부채</t>
        </is>
      </c>
      <c r="C103" s="20" t="n">
        <v>111528</v>
      </c>
      <c r="D103" s="20" t="n">
        <v>124221</v>
      </c>
      <c r="E103" s="20" t="n">
        <v>134724</v>
      </c>
      <c r="F103" s="20" t="n">
        <v>119257</v>
      </c>
      <c r="G103" s="20" t="n">
        <v>135057</v>
      </c>
      <c r="H103" s="20" t="n">
        <v>179195</v>
      </c>
      <c r="I103" s="20" t="n">
        <v>195248</v>
      </c>
      <c r="J103" s="20" t="n">
        <v>127170</v>
      </c>
      <c r="K103" s="20" t="n">
        <v>120427</v>
      </c>
      <c r="L103" s="20" t="n">
        <v>134724</v>
      </c>
    </row>
    <row r="104">
      <c r="A104" s="18" t="inlineStr">
        <is>
          <t>이연법인세부채</t>
        </is>
      </c>
      <c r="C104" s="20" t="n">
        <v>127329</v>
      </c>
      <c r="D104" s="20" t="n">
        <v>115083</v>
      </c>
      <c r="E104" s="20" t="n">
        <v>129606</v>
      </c>
      <c r="F104" s="20" t="n">
        <v>143238</v>
      </c>
      <c r="G104" s="20" t="n">
        <v>146281</v>
      </c>
      <c r="H104" s="20" t="n">
        <v>69959</v>
      </c>
      <c r="I104" s="20" t="n">
        <v>40061</v>
      </c>
      <c r="J104" s="20" t="n">
        <v>40586</v>
      </c>
      <c r="K104" s="20" t="n">
        <v>124455</v>
      </c>
      <c r="L104" s="20" t="n">
        <v>129606</v>
      </c>
    </row>
    <row r="105">
      <c r="A105" s="18" t="inlineStr">
        <is>
          <t>비유동부채 합계</t>
        </is>
      </c>
      <c r="C105" s="20" t="n">
        <v>2246639</v>
      </c>
      <c r="D105" s="20" t="n">
        <v>2334395</v>
      </c>
      <c r="E105" s="20" t="n">
        <v>2376599</v>
      </c>
      <c r="F105" s="20" t="n">
        <v>2329658</v>
      </c>
      <c r="G105" s="20" t="n">
        <v>2362066</v>
      </c>
      <c r="H105" s="20" t="n">
        <v>1387803</v>
      </c>
      <c r="I105" s="20" t="n">
        <v>1368653</v>
      </c>
      <c r="J105" s="20" t="n">
        <v>1442329</v>
      </c>
      <c r="K105" s="20" t="n">
        <v>2373398</v>
      </c>
      <c r="L105" s="20" t="n">
        <v>2376599</v>
      </c>
    </row>
    <row r="106">
      <c r="A106" s="18" t="inlineStr">
        <is>
          <t>부채 합계</t>
        </is>
      </c>
      <c r="C106" s="20" t="n">
        <v>4120948</v>
      </c>
      <c r="D106" s="20" t="n">
        <v>4026281</v>
      </c>
      <c r="E106" s="20" t="n">
        <v>4303851</v>
      </c>
      <c r="F106" s="20" t="n">
        <v>4236321</v>
      </c>
      <c r="G106" s="20" t="n">
        <v>4246903</v>
      </c>
      <c r="H106" s="20" t="n">
        <v>2888128</v>
      </c>
      <c r="I106" s="20" t="n">
        <v>2931317</v>
      </c>
      <c r="J106" s="20" t="n">
        <v>3369605</v>
      </c>
      <c r="K106" s="20" t="n">
        <v>4522005</v>
      </c>
      <c r="L106" s="20" t="n">
        <v>4303851</v>
      </c>
    </row>
    <row r="107">
      <c r="A107" s="18" t="inlineStr">
        <is>
          <t>자본금</t>
        </is>
      </c>
      <c r="C107" s="20" t="n">
        <v>100000</v>
      </c>
      <c r="D107" s="20" t="n">
        <v>100000</v>
      </c>
      <c r="E107" s="20" t="n">
        <v>100000</v>
      </c>
      <c r="F107" s="20" t="n">
        <v>100000</v>
      </c>
      <c r="G107" s="20" t="n">
        <v>100000</v>
      </c>
      <c r="H107" s="20" t="n">
        <v>100000</v>
      </c>
      <c r="I107" s="20" t="n">
        <v>100000</v>
      </c>
      <c r="J107" s="20" t="n">
        <v>100000</v>
      </c>
      <c r="K107" s="20" t="n">
        <v>100000</v>
      </c>
      <c r="L107" s="20" t="n">
        <v>100000</v>
      </c>
    </row>
    <row r="108">
      <c r="A108" s="18" t="inlineStr">
        <is>
          <t>자본잉여금</t>
        </is>
      </c>
      <c r="C108" s="20" t="n">
        <v>737065</v>
      </c>
      <c r="D108" s="20" t="n">
        <v>737064</v>
      </c>
      <c r="E108" s="20" t="n">
        <v>737064</v>
      </c>
      <c r="F108" s="20" t="n">
        <v>737064</v>
      </c>
      <c r="G108" s="20" t="n">
        <v>737472</v>
      </c>
      <c r="H108" s="20" t="n">
        <v>736400</v>
      </c>
      <c r="I108" s="20" t="n">
        <v>736400</v>
      </c>
      <c r="J108" s="20" t="n">
        <v>736478</v>
      </c>
      <c r="K108" s="20" t="n">
        <v>736697</v>
      </c>
      <c r="L108" s="20" t="n">
        <v>737064</v>
      </c>
    </row>
    <row r="109">
      <c r="A109" s="18" t="inlineStr">
        <is>
          <t>자기주식</t>
        </is>
      </c>
      <c r="C109" s="20" t="n">
        <v>-489705</v>
      </c>
      <c r="D109" s="20" t="n">
        <v>-489745</v>
      </c>
      <c r="E109" s="20" t="n">
        <v>-489744</v>
      </c>
      <c r="F109" s="20" t="n">
        <v>-490584</v>
      </c>
      <c r="G109" s="20" t="n">
        <v>-490165</v>
      </c>
      <c r="H109" s="20" t="n">
        <v>-490899</v>
      </c>
      <c r="I109" s="20" t="n">
        <v>-490183</v>
      </c>
      <c r="J109" s="20" t="n">
        <v>-489194</v>
      </c>
      <c r="K109" s="20" t="n">
        <v>-488579</v>
      </c>
      <c r="L109" s="20" t="n">
        <v>-489744</v>
      </c>
    </row>
    <row r="110">
      <c r="A110" s="18" t="inlineStr">
        <is>
          <t>기타자본구성요소</t>
        </is>
      </c>
      <c r="C110" s="20" t="n">
        <v>527574</v>
      </c>
      <c r="D110" s="20" t="n">
        <v>600528</v>
      </c>
      <c r="E110" s="20" t="n">
        <v>526058</v>
      </c>
      <c r="F110" s="20" t="n">
        <v>560042</v>
      </c>
      <c r="G110" s="20" t="n">
        <v>633046</v>
      </c>
      <c r="H110" s="20" t="n">
        <v>-400086</v>
      </c>
      <c r="I110" s="20" t="n">
        <v>104309</v>
      </c>
      <c r="J110" s="20" t="n">
        <v>290550</v>
      </c>
      <c r="K110" s="20" t="n">
        <v>381599</v>
      </c>
      <c r="L110" s="20" t="n">
        <v>526058</v>
      </c>
    </row>
    <row r="111">
      <c r="A111" s="18" t="inlineStr">
        <is>
          <t>이익잉여금</t>
        </is>
      </c>
      <c r="C111" s="20" t="n">
        <v>3184646</v>
      </c>
      <c r="D111" s="20" t="n">
        <v>3194640</v>
      </c>
      <c r="E111" s="20" t="n">
        <v>3213555</v>
      </c>
      <c r="F111" s="20" t="n">
        <v>3178880</v>
      </c>
      <c r="G111" s="20" t="n">
        <v>3413605</v>
      </c>
      <c r="H111" s="20" t="n">
        <v>2863843</v>
      </c>
      <c r="I111" s="20" t="n">
        <v>3089909</v>
      </c>
      <c r="J111" s="20" t="n">
        <v>3192323</v>
      </c>
      <c r="K111" s="20" t="n">
        <v>3036905</v>
      </c>
      <c r="L111" s="20" t="n">
        <v>3213555</v>
      </c>
    </row>
    <row r="112">
      <c r="A112" s="18" t="inlineStr">
        <is>
          <t>Equity Attributable To Owners Of Parent</t>
        </is>
      </c>
      <c r="C112" s="20" t="n">
        <v>4059580</v>
      </c>
      <c r="D112" s="20" t="n">
        <v>4142487</v>
      </c>
      <c r="E112" s="20" t="n">
        <v>4086933</v>
      </c>
      <c r="F112" s="20" t="n">
        <v>4085402</v>
      </c>
      <c r="G112" s="20" t="n">
        <v>4393958</v>
      </c>
      <c r="H112" s="20" t="n">
        <v>2809258</v>
      </c>
      <c r="I112" s="20" t="n">
        <v>3540435</v>
      </c>
      <c r="J112" s="20" t="n">
        <v>3830156</v>
      </c>
      <c r="K112" s="20" t="n">
        <v>3766623</v>
      </c>
      <c r="L112" s="20" t="n">
        <v>4086933</v>
      </c>
    </row>
    <row r="113">
      <c r="A113" s="18" t="inlineStr">
        <is>
          <t>비지배지분</t>
        </is>
      </c>
      <c r="C113" s="20" t="n">
        <v>82258</v>
      </c>
      <c r="D113" s="20" t="n">
        <v>26277</v>
      </c>
      <c r="E113" s="20" t="n">
        <v>28456</v>
      </c>
      <c r="F113" s="20" t="n">
        <v>29487</v>
      </c>
      <c r="G113" s="20" t="n">
        <v>29092</v>
      </c>
      <c r="H113" s="20" t="n">
        <v>76823</v>
      </c>
      <c r="I113" s="20" t="n">
        <v>76326</v>
      </c>
      <c r="J113" s="20" t="n">
        <v>82336</v>
      </c>
      <c r="K113" s="20" t="n">
        <v>82104</v>
      </c>
      <c r="L113" s="20" t="n">
        <v>28456</v>
      </c>
    </row>
    <row r="114">
      <c r="A114" s="18" t="inlineStr">
        <is>
          <t>자본 합계</t>
        </is>
      </c>
      <c r="C114" s="20" t="n">
        <v>4141838</v>
      </c>
      <c r="D114" s="20" t="n">
        <v>4168764</v>
      </c>
      <c r="E114" s="20" t="n">
        <v>4115389</v>
      </c>
      <c r="F114" s="20" t="n">
        <v>4114889</v>
      </c>
      <c r="G114" s="20" t="n">
        <v>4423050</v>
      </c>
      <c r="H114" s="20" t="n">
        <v>2886081</v>
      </c>
      <c r="I114" s="20" t="n">
        <v>3616761</v>
      </c>
      <c r="J114" s="20" t="n">
        <v>3912491</v>
      </c>
      <c r="K114" s="20" t="n">
        <v>3848727</v>
      </c>
      <c r="L114" s="20" t="n">
        <v>4115389</v>
      </c>
    </row>
    <row r="115">
      <c r="A115" s="18" t="inlineStr">
        <is>
          <t>부채및자본 합계</t>
        </is>
      </c>
      <c r="C115" s="20" t="n">
        <v>8262786</v>
      </c>
      <c r="D115" s="20" t="n">
        <v>8195045</v>
      </c>
      <c r="E115" s="20" t="n">
        <v>8419240</v>
      </c>
      <c r="F115" s="20" t="n">
        <v>8351210</v>
      </c>
      <c r="G115" s="20" t="n">
        <v>8669953</v>
      </c>
      <c r="H115" s="20" t="n">
        <v>5774209</v>
      </c>
      <c r="I115" s="20" t="n">
        <v>6548078</v>
      </c>
      <c r="J115" s="20" t="n">
        <v>7282097</v>
      </c>
      <c r="K115" s="20" t="n">
        <v>8370732</v>
      </c>
      <c r="L115" s="20" t="n">
        <v>8419240</v>
      </c>
    </row>
    <row r="116">
      <c r="A116" s="18" t="inlineStr">
        <is>
          <t>현금 및 예금</t>
        </is>
      </c>
      <c r="E116" s="20" t="n">
        <v>252923</v>
      </c>
      <c r="H116" s="20" t="n">
        <v>238127</v>
      </c>
      <c r="I116" s="20" t="n">
        <v>193376</v>
      </c>
      <c r="J116" s="20" t="n">
        <v>177685</v>
      </c>
      <c r="K116" s="20" t="n">
        <v>205764</v>
      </c>
      <c r="L116" s="20" t="n">
        <v>252923</v>
      </c>
    </row>
    <row r="117">
      <c r="A117" s="18" t="inlineStr">
        <is>
          <t>유가증권</t>
        </is>
      </c>
      <c r="E117" s="20" t="n">
        <v>21000</v>
      </c>
      <c r="H117" s="20" t="n">
        <v>20000</v>
      </c>
      <c r="I117" s="20" t="n">
        <v>18000</v>
      </c>
      <c r="J117" s="20" t="n">
        <v>0</v>
      </c>
      <c r="K117" s="20" t="n">
        <v>0</v>
      </c>
      <c r="L117" s="20" t="n">
        <v>21000</v>
      </c>
    </row>
    <row r="118">
      <c r="A118" s="18" t="inlineStr">
        <is>
          <t>매출채권</t>
        </is>
      </c>
      <c r="E118" s="20" t="n">
        <v>39953</v>
      </c>
      <c r="H118" s="20" t="n">
        <v>37614</v>
      </c>
      <c r="I118" s="20" t="n">
        <v>31739</v>
      </c>
      <c r="J118" s="20" t="n">
        <v>33949</v>
      </c>
      <c r="K118" s="20" t="n">
        <v>35420</v>
      </c>
      <c r="L118" s="20" t="n">
        <v>39953</v>
      </c>
    </row>
    <row r="119">
      <c r="A119" s="18" t="inlineStr">
        <is>
          <t>상품·제품</t>
        </is>
      </c>
      <c r="E119" s="20" t="n">
        <v>39084</v>
      </c>
      <c r="H119" s="20" t="n">
        <v>26768</v>
      </c>
      <c r="I119" s="20" t="n">
        <v>25424</v>
      </c>
      <c r="J119" s="20" t="n">
        <v>38008</v>
      </c>
      <c r="K119" s="20" t="n">
        <v>38813</v>
      </c>
      <c r="L119" s="20" t="n">
        <v>39084</v>
      </c>
    </row>
    <row r="120">
      <c r="A120" s="18" t="inlineStr">
        <is>
          <t>Semi Finished Goods</t>
        </is>
      </c>
      <c r="E120" s="20" t="n">
        <v>44220</v>
      </c>
      <c r="H120" s="20" t="n">
        <v>83612</v>
      </c>
      <c r="I120" s="20" t="n">
        <v>84534</v>
      </c>
      <c r="J120" s="20" t="n">
        <v>80783</v>
      </c>
      <c r="K120" s="20" t="n">
        <v>76050</v>
      </c>
      <c r="L120" s="20" t="n">
        <v>44220</v>
      </c>
    </row>
    <row r="121">
      <c r="A121" s="18" t="inlineStr">
        <is>
          <t>재공품</t>
        </is>
      </c>
      <c r="E121" s="20" t="n">
        <v>1644</v>
      </c>
      <c r="H121" s="20" t="n">
        <v>1725</v>
      </c>
      <c r="I121" s="20" t="n">
        <v>1815</v>
      </c>
      <c r="J121" s="20" t="n">
        <v>988</v>
      </c>
      <c r="K121" s="20" t="n">
        <v>1726</v>
      </c>
      <c r="L121" s="20" t="n">
        <v>1644</v>
      </c>
    </row>
    <row r="122">
      <c r="A122" s="18" t="inlineStr">
        <is>
          <t>원재료·저장품</t>
        </is>
      </c>
      <c r="E122" s="20" t="n">
        <v>38622</v>
      </c>
      <c r="H122" s="20" t="n">
        <v>29364</v>
      </c>
      <c r="I122" s="20" t="n">
        <v>32017</v>
      </c>
      <c r="J122" s="20" t="n">
        <v>38491</v>
      </c>
      <c r="K122" s="20" t="n">
        <v>42204</v>
      </c>
      <c r="L122" s="20" t="n">
        <v>38622</v>
      </c>
    </row>
    <row r="123">
      <c r="A123" s="18" t="inlineStr">
        <is>
          <t>선급금</t>
        </is>
      </c>
      <c r="E123" s="20" t="n">
        <v>2626</v>
      </c>
      <c r="H123" s="20" t="n">
        <v>1714</v>
      </c>
      <c r="I123" s="20" t="n">
        <v>2440</v>
      </c>
      <c r="J123" s="20" t="n">
        <v>400</v>
      </c>
      <c r="K123" s="20" t="n">
        <v>1641</v>
      </c>
      <c r="L123" s="20" t="n">
        <v>2626</v>
      </c>
    </row>
    <row r="124">
      <c r="A124" s="18" t="inlineStr">
        <is>
          <t>선급비용</t>
        </is>
      </c>
      <c r="E124" s="20" t="n">
        <v>3418</v>
      </c>
      <c r="H124" s="20" t="n">
        <v>5669</v>
      </c>
      <c r="I124" s="20" t="n">
        <v>5040</v>
      </c>
      <c r="J124" s="20" t="n">
        <v>6165</v>
      </c>
      <c r="K124" s="20" t="n">
        <v>5364</v>
      </c>
      <c r="L124" s="20" t="n">
        <v>3418</v>
      </c>
    </row>
    <row r="125">
      <c r="A125" s="18" t="inlineStr">
        <is>
          <t>관계회사 단기대여금</t>
        </is>
      </c>
      <c r="E125" s="20" t="n">
        <v>119092</v>
      </c>
      <c r="H125" s="20" t="n">
        <v>4967</v>
      </c>
      <c r="I125" s="20" t="n">
        <v>38649</v>
      </c>
      <c r="J125" s="20" t="n">
        <v>33831</v>
      </c>
      <c r="K125" s="20" t="n">
        <v>39264</v>
      </c>
      <c r="L125" s="20" t="n">
        <v>119092</v>
      </c>
    </row>
    <row r="126">
      <c r="A126" s="18" t="inlineStr">
        <is>
          <t>기타</t>
        </is>
      </c>
      <c r="E126" s="20" t="n">
        <v>31224</v>
      </c>
      <c r="H126" s="20" t="n">
        <v>18579</v>
      </c>
      <c r="I126" s="20" t="n">
        <v>26255</v>
      </c>
      <c r="J126" s="20" t="n">
        <v>15967</v>
      </c>
      <c r="K126" s="20" t="n">
        <v>33922</v>
      </c>
      <c r="L126" s="20" t="n">
        <v>31224</v>
      </c>
    </row>
    <row r="127">
      <c r="A127" s="18" t="inlineStr">
        <is>
          <t>대손충당금</t>
        </is>
      </c>
      <c r="E127" s="20" t="n">
        <v>-31</v>
      </c>
      <c r="H127" s="20" t="n">
        <v>-24</v>
      </c>
      <c r="I127" s="20" t="n">
        <v>-29</v>
      </c>
      <c r="J127" s="20" t="n">
        <v>-31</v>
      </c>
      <c r="K127" s="20" t="n">
        <v>-31</v>
      </c>
      <c r="L127" s="20" t="n">
        <v>-31</v>
      </c>
    </row>
    <row r="128">
      <c r="A128" s="9" t="inlineStr">
        <is>
          <t>유동자산 합계</t>
        </is>
      </c>
      <c r="E128" s="12" t="n">
        <v>593774</v>
      </c>
      <c r="H128" s="12" t="n">
        <v>468113</v>
      </c>
      <c r="I128" s="12" t="n">
        <v>459260</v>
      </c>
      <c r="J128" s="12" t="n">
        <v>426237</v>
      </c>
      <c r="K128" s="12" t="n">
        <v>480137</v>
      </c>
      <c r="L128" s="12" t="n">
        <v>593774</v>
      </c>
    </row>
    <row r="129">
      <c r="A129" s="18" t="inlineStr">
        <is>
          <t>건물</t>
        </is>
      </c>
      <c r="E129" s="20" t="n">
        <v>49966</v>
      </c>
      <c r="H129" s="20" t="n">
        <v>77170</v>
      </c>
      <c r="I129" s="20" t="n">
        <v>69893</v>
      </c>
      <c r="J129" s="20" t="n">
        <v>67108</v>
      </c>
      <c r="K129" s="20" t="n">
        <v>65106</v>
      </c>
      <c r="L129" s="20" t="n">
        <v>49966</v>
      </c>
    </row>
    <row r="130">
      <c r="A130" s="18" t="inlineStr">
        <is>
          <t>구축물</t>
        </is>
      </c>
      <c r="E130" s="20" t="n">
        <v>1641</v>
      </c>
      <c r="H130" s="20" t="n">
        <v>2404</v>
      </c>
      <c r="I130" s="20" t="n">
        <v>2066</v>
      </c>
      <c r="J130" s="20" t="n">
        <v>1891</v>
      </c>
      <c r="K130" s="20" t="n">
        <v>1849</v>
      </c>
      <c r="L130" s="20" t="n">
        <v>1641</v>
      </c>
    </row>
    <row r="131">
      <c r="A131" s="18" t="inlineStr">
        <is>
          <t>기계장치</t>
        </is>
      </c>
      <c r="E131" s="20" t="n">
        <v>37322</v>
      </c>
      <c r="H131" s="20" t="n">
        <v>41889</v>
      </c>
      <c r="I131" s="20" t="n">
        <v>34722</v>
      </c>
      <c r="J131" s="20" t="n">
        <v>27462</v>
      </c>
      <c r="K131" s="20" t="n">
        <v>28822</v>
      </c>
      <c r="L131" s="20" t="n">
        <v>37322</v>
      </c>
    </row>
    <row r="132">
      <c r="A132" s="18" t="inlineStr">
        <is>
          <t>차량운반구</t>
        </is>
      </c>
      <c r="E132" s="20" t="n">
        <v>1277</v>
      </c>
      <c r="H132" s="20" t="n">
        <v>832</v>
      </c>
      <c r="I132" s="20" t="n">
        <v>536</v>
      </c>
      <c r="J132" s="20" t="n">
        <v>305</v>
      </c>
      <c r="K132" s="20" t="n">
        <v>961</v>
      </c>
      <c r="L132" s="20" t="n">
        <v>1277</v>
      </c>
    </row>
    <row r="133">
      <c r="A133" s="18" t="inlineStr">
        <is>
          <t>공구·기구·비품</t>
        </is>
      </c>
      <c r="E133" s="20" t="n">
        <v>11008</v>
      </c>
      <c r="H133" s="20" t="n">
        <v>11898</v>
      </c>
      <c r="I133" s="20" t="n">
        <v>9996</v>
      </c>
      <c r="J133" s="20" t="n">
        <v>9652</v>
      </c>
      <c r="K133" s="20" t="n">
        <v>12401</v>
      </c>
      <c r="L133" s="20" t="n">
        <v>11008</v>
      </c>
    </row>
    <row r="134">
      <c r="A134" s="18" t="inlineStr">
        <is>
          <t>토지</t>
        </is>
      </c>
      <c r="E134" s="20" t="n">
        <v>37449</v>
      </c>
      <c r="H134" s="20" t="n">
        <v>48113</v>
      </c>
      <c r="I134" s="20" t="n">
        <v>47298</v>
      </c>
      <c r="J134" s="20" t="n">
        <v>46171</v>
      </c>
      <c r="K134" s="20" t="n">
        <v>43669</v>
      </c>
      <c r="L134" s="20" t="n">
        <v>37449</v>
      </c>
    </row>
    <row r="135">
      <c r="A135" s="18" t="inlineStr">
        <is>
          <t>건설중인자산</t>
        </is>
      </c>
      <c r="E135" s="20" t="n">
        <v>5392</v>
      </c>
      <c r="H135" s="20" t="n">
        <v>384</v>
      </c>
      <c r="I135" s="20" t="n">
        <v>533</v>
      </c>
      <c r="J135" s="20" t="n">
        <v>5994</v>
      </c>
      <c r="K135" s="20" t="n">
        <v>6605</v>
      </c>
      <c r="L135" s="20" t="n">
        <v>5392</v>
      </c>
    </row>
    <row r="136">
      <c r="A136" s="18" t="inlineStr">
        <is>
          <t>유형자산 합계</t>
        </is>
      </c>
      <c r="E136" s="20" t="n">
        <v>144054</v>
      </c>
      <c r="H136" s="20" t="n">
        <v>182690</v>
      </c>
      <c r="I136" s="20" t="n">
        <v>165044</v>
      </c>
      <c r="J136" s="20" t="n">
        <v>158583</v>
      </c>
      <c r="K136" s="20" t="n">
        <v>159412</v>
      </c>
      <c r="L136" s="20" t="n">
        <v>144054</v>
      </c>
    </row>
    <row r="137">
      <c r="A137" s="18" t="inlineStr">
        <is>
          <t>특허권</t>
        </is>
      </c>
      <c r="H137" s="20" t="n">
        <v>91</v>
      </c>
      <c r="I137" s="20" t="n">
        <v>194</v>
      </c>
      <c r="J137" s="20" t="n">
        <v>163</v>
      </c>
    </row>
    <row r="138">
      <c r="A138" s="18" t="inlineStr">
        <is>
          <t>상표권</t>
        </is>
      </c>
      <c r="E138" s="20" t="n">
        <v>96</v>
      </c>
      <c r="H138" s="20" t="n">
        <v>65629</v>
      </c>
      <c r="I138" s="20" t="n">
        <v>49196</v>
      </c>
      <c r="J138" s="20" t="n">
        <v>32783</v>
      </c>
      <c r="K138" s="20" t="n">
        <v>16422</v>
      </c>
      <c r="L138" s="20" t="n">
        <v>96</v>
      </c>
    </row>
    <row r="139">
      <c r="A139" s="18" t="inlineStr">
        <is>
          <t>Software</t>
        </is>
      </c>
      <c r="E139" s="20" t="n">
        <v>14699</v>
      </c>
      <c r="H139" s="20" t="n">
        <v>14818</v>
      </c>
      <c r="I139" s="20" t="n">
        <v>11652</v>
      </c>
      <c r="J139" s="20" t="n">
        <v>8331</v>
      </c>
      <c r="K139" s="20" t="n">
        <v>16481</v>
      </c>
      <c r="L139" s="20" t="n">
        <v>14699</v>
      </c>
    </row>
    <row r="140">
      <c r="A140" s="18" t="inlineStr">
        <is>
          <t>영업권</t>
        </is>
      </c>
      <c r="E140" s="20" t="n">
        <v>0</v>
      </c>
      <c r="H140" s="20" t="n">
        <v>143084</v>
      </c>
      <c r="I140" s="20" t="n">
        <v>107313</v>
      </c>
      <c r="J140" s="20" t="n">
        <v>71542</v>
      </c>
      <c r="K140" s="20" t="n">
        <v>35771</v>
      </c>
      <c r="L140" s="20" t="n">
        <v>0</v>
      </c>
    </row>
    <row r="141">
      <c r="A141" s="18" t="inlineStr">
        <is>
          <t>기타</t>
        </is>
      </c>
      <c r="E141" s="20" t="n">
        <v>4670</v>
      </c>
      <c r="H141" s="20" t="n">
        <v>2834</v>
      </c>
      <c r="I141" s="20" t="n">
        <v>7337</v>
      </c>
      <c r="J141" s="20" t="n">
        <v>13830</v>
      </c>
      <c r="K141" s="20" t="n">
        <v>6831</v>
      </c>
      <c r="L141" s="20" t="n">
        <v>4670</v>
      </c>
    </row>
    <row r="142">
      <c r="A142" s="18" t="inlineStr">
        <is>
          <t>무형자산 합계</t>
        </is>
      </c>
      <c r="E142" s="20" t="n">
        <v>19464</v>
      </c>
      <c r="H142" s="20" t="n">
        <v>226457</v>
      </c>
      <c r="I142" s="20" t="n">
        <v>175692</v>
      </c>
      <c r="J142" s="20" t="n">
        <v>126487</v>
      </c>
      <c r="K142" s="20" t="n">
        <v>75505</v>
      </c>
      <c r="L142" s="20" t="n">
        <v>19464</v>
      </c>
    </row>
    <row r="143">
      <c r="A143" s="18" t="inlineStr">
        <is>
          <t>투자유가증권</t>
        </is>
      </c>
      <c r="E143" s="20" t="n">
        <v>22521</v>
      </c>
      <c r="H143" s="20" t="n">
        <v>19136</v>
      </c>
      <c r="I143" s="20" t="n">
        <v>22358</v>
      </c>
      <c r="J143" s="20" t="n">
        <v>21753</v>
      </c>
      <c r="K143" s="20" t="n">
        <v>21707</v>
      </c>
      <c r="L143" s="20" t="n">
        <v>22521</v>
      </c>
    </row>
    <row r="144">
      <c r="A144" s="18" t="inlineStr">
        <is>
          <t>관계회사 주식</t>
        </is>
      </c>
      <c r="E144" s="20" t="n">
        <v>1652493</v>
      </c>
      <c r="H144" s="20" t="n">
        <v>1492833</v>
      </c>
      <c r="I144" s="20" t="n">
        <v>1495647</v>
      </c>
      <c r="J144" s="20" t="n">
        <v>1502043</v>
      </c>
      <c r="K144" s="20" t="n">
        <v>1508834</v>
      </c>
      <c r="L144" s="20" t="n">
        <v>1652493</v>
      </c>
    </row>
    <row r="145">
      <c r="A145" s="18" t="inlineStr">
        <is>
          <t>관계회사 장기대여금</t>
        </is>
      </c>
      <c r="E145" s="20" t="n">
        <v>269132</v>
      </c>
      <c r="H145" s="20" t="n">
        <v>51299</v>
      </c>
      <c r="I145" s="20" t="n">
        <v>6069</v>
      </c>
      <c r="J145" s="20" t="n">
        <v>5558</v>
      </c>
      <c r="K145" s="20" t="n">
        <v>5488</v>
      </c>
      <c r="L145" s="20" t="n">
        <v>269132</v>
      </c>
    </row>
    <row r="146">
      <c r="A146" s="18" t="inlineStr">
        <is>
          <t>장기선급비용</t>
        </is>
      </c>
      <c r="E146" s="20" t="n">
        <v>6794</v>
      </c>
      <c r="H146" s="20" t="n">
        <v>7881</v>
      </c>
      <c r="I146" s="20" t="n">
        <v>7335</v>
      </c>
      <c r="J146" s="20" t="n">
        <v>10593</v>
      </c>
      <c r="K146" s="20" t="n">
        <v>9714</v>
      </c>
      <c r="L146" s="20" t="n">
        <v>6794</v>
      </c>
    </row>
    <row r="147">
      <c r="A147" s="18" t="inlineStr">
        <is>
          <t>이연법인세자산</t>
        </is>
      </c>
      <c r="E147" s="20" t="n">
        <v>17266</v>
      </c>
      <c r="H147" s="20" t="n">
        <v>28751</v>
      </c>
      <c r="I147" s="20" t="n">
        <v>16987</v>
      </c>
      <c r="J147" s="20" t="n">
        <v>24694</v>
      </c>
      <c r="K147" s="20" t="n">
        <v>25981</v>
      </c>
      <c r="L147" s="20" t="n">
        <v>17266</v>
      </c>
    </row>
    <row r="148">
      <c r="A148" s="18" t="inlineStr">
        <is>
          <t>기타</t>
        </is>
      </c>
      <c r="E148" s="20" t="n">
        <v>16933</v>
      </c>
      <c r="H148" s="20" t="n">
        <v>14998</v>
      </c>
      <c r="I148" s="20" t="n">
        <v>15030</v>
      </c>
      <c r="J148" s="20" t="n">
        <v>18110</v>
      </c>
      <c r="K148" s="20" t="n">
        <v>17102</v>
      </c>
      <c r="L148" s="20" t="n">
        <v>16933</v>
      </c>
    </row>
    <row r="149">
      <c r="A149" s="18" t="inlineStr">
        <is>
          <t>대손충당금</t>
        </is>
      </c>
      <c r="E149" s="20" t="n">
        <v>-64</v>
      </c>
      <c r="H149" s="20" t="n">
        <v>-4179</v>
      </c>
      <c r="I149" s="20" t="n">
        <v>-154</v>
      </c>
      <c r="J149" s="20" t="n">
        <v>-108</v>
      </c>
      <c r="K149" s="20" t="n">
        <v>-90</v>
      </c>
      <c r="L149" s="20" t="n">
        <v>-64</v>
      </c>
    </row>
    <row r="150">
      <c r="A150" s="18" t="inlineStr">
        <is>
          <t>투자 및 기타자산 합계</t>
        </is>
      </c>
      <c r="E150" s="20" t="n">
        <v>1985074</v>
      </c>
      <c r="H150" s="20" t="n">
        <v>1610719</v>
      </c>
      <c r="I150" s="20" t="n">
        <v>1563271</v>
      </c>
      <c r="J150" s="20" t="n">
        <v>1582644</v>
      </c>
      <c r="K150" s="20" t="n">
        <v>1588735</v>
      </c>
      <c r="L150" s="20" t="n">
        <v>1985074</v>
      </c>
    </row>
    <row r="151">
      <c r="A151" s="9" t="inlineStr">
        <is>
          <t>비유동자산 합계</t>
        </is>
      </c>
      <c r="E151" s="12" t="n">
        <v>2148593</v>
      </c>
      <c r="H151" s="12" t="n">
        <v>2019866</v>
      </c>
      <c r="I151" s="12" t="n">
        <v>1904007</v>
      </c>
      <c r="J151" s="12" t="n">
        <v>1867714</v>
      </c>
      <c r="K151" s="12" t="n">
        <v>1823652</v>
      </c>
      <c r="L151" s="12" t="n">
        <v>2148593</v>
      </c>
    </row>
    <row r="152">
      <c r="A152" s="9" t="inlineStr">
        <is>
          <t>자산 합계</t>
        </is>
      </c>
      <c r="E152" s="12" t="n">
        <v>2742366</v>
      </c>
      <c r="H152" s="12" t="n">
        <v>2487979</v>
      </c>
      <c r="I152" s="12" t="n">
        <v>2363267</v>
      </c>
      <c r="J152" s="12" t="n">
        <v>2293951</v>
      </c>
      <c r="K152" s="12" t="n">
        <v>2303789</v>
      </c>
      <c r="L152" s="12" t="n">
        <v>2742366</v>
      </c>
    </row>
    <row r="153">
      <c r="A153" s="18" t="inlineStr">
        <is>
          <t>매입채무</t>
        </is>
      </c>
      <c r="E153" s="20" t="n">
        <v>17001</v>
      </c>
      <c r="H153" s="20" t="n">
        <v>5675</v>
      </c>
      <c r="I153" s="20" t="n">
        <v>10445</v>
      </c>
      <c r="J153" s="20" t="n">
        <v>7279</v>
      </c>
      <c r="K153" s="20" t="n">
        <v>15261</v>
      </c>
      <c r="L153" s="20" t="n">
        <v>17001</v>
      </c>
    </row>
    <row r="154">
      <c r="A154" s="18" t="inlineStr">
        <is>
          <t>단기차입금</t>
        </is>
      </c>
      <c r="E154" s="20" t="n">
        <v>0</v>
      </c>
      <c r="I154" s="20" t="n">
        <v>0</v>
      </c>
      <c r="J154" s="20" t="n">
        <v>158000</v>
      </c>
      <c r="K154" s="20" t="n">
        <v>100000</v>
      </c>
      <c r="L154" s="20" t="n">
        <v>0</v>
      </c>
    </row>
    <row r="155">
      <c r="A155" s="18" t="inlineStr">
        <is>
          <t>1년 내 상환 사채</t>
        </is>
      </c>
      <c r="E155" s="20" t="n">
        <v>0</v>
      </c>
      <c r="H155" s="20" t="n">
        <v>30000</v>
      </c>
      <c r="I155" s="20" t="n">
        <v>60000</v>
      </c>
      <c r="J155" s="20" t="n">
        <v>0</v>
      </c>
      <c r="K155" s="20" t="n">
        <v>25000</v>
      </c>
      <c r="L155" s="20" t="n">
        <v>0</v>
      </c>
    </row>
    <row r="156">
      <c r="A156" s="18" t="inlineStr">
        <is>
          <t>1년 내 상환 장기차입금</t>
        </is>
      </c>
      <c r="H156" s="20" t="n">
        <v>30000</v>
      </c>
      <c r="I156" s="20" t="n">
        <v>0</v>
      </c>
      <c r="J156" s="20" t="n">
        <v>20000</v>
      </c>
      <c r="K156" s="20" t="n">
        <v>0</v>
      </c>
    </row>
    <row r="157">
      <c r="A157" s="18" t="inlineStr">
        <is>
          <t>리스부채</t>
        </is>
      </c>
      <c r="E157" s="20" t="n">
        <v>90</v>
      </c>
      <c r="H157" s="20" t="n">
        <v>2050</v>
      </c>
      <c r="I157" s="20" t="n">
        <v>230</v>
      </c>
      <c r="J157" s="20" t="n">
        <v>138</v>
      </c>
      <c r="K157" s="20" t="n">
        <v>182</v>
      </c>
      <c r="L157" s="20" t="n">
        <v>90</v>
      </c>
    </row>
    <row r="158">
      <c r="A158" s="18" t="inlineStr">
        <is>
          <t>미지급금</t>
        </is>
      </c>
      <c r="E158" s="20" t="n">
        <v>82268</v>
      </c>
      <c r="H158" s="20" t="n">
        <v>124329</v>
      </c>
      <c r="I158" s="20" t="n">
        <v>72620</v>
      </c>
      <c r="J158" s="20" t="n">
        <v>42765</v>
      </c>
      <c r="K158" s="20" t="n">
        <v>71164</v>
      </c>
      <c r="L158" s="20" t="n">
        <v>82268</v>
      </c>
    </row>
    <row r="159">
      <c r="A159" s="18" t="inlineStr">
        <is>
          <t>National Tobacco Excise Taxes Payable</t>
        </is>
      </c>
      <c r="E159" s="20" t="n">
        <v>66788</v>
      </c>
      <c r="H159" s="20" t="n">
        <v>69066</v>
      </c>
      <c r="I159" s="20" t="n">
        <v>72925</v>
      </c>
      <c r="J159" s="20" t="n">
        <v>70378</v>
      </c>
      <c r="K159" s="20" t="n">
        <v>66209</v>
      </c>
      <c r="L159" s="20" t="n">
        <v>66788</v>
      </c>
    </row>
    <row r="160">
      <c r="A160" s="18" t="inlineStr">
        <is>
          <t>National Tobacco Special Excise Taxes Payable</t>
        </is>
      </c>
      <c r="E160" s="20" t="n">
        <v>8052</v>
      </c>
      <c r="H160" s="20" t="n">
        <v>8298</v>
      </c>
      <c r="I160" s="20" t="n">
        <v>8791</v>
      </c>
      <c r="J160" s="20" t="n">
        <v>8484</v>
      </c>
      <c r="K160" s="20" t="n">
        <v>7982</v>
      </c>
      <c r="L160" s="20" t="n">
        <v>8052</v>
      </c>
    </row>
    <row r="161">
      <c r="A161" s="18" t="inlineStr">
        <is>
          <t>Local Tobacco Excise Taxes Payable</t>
        </is>
      </c>
      <c r="E161" s="20" t="n">
        <v>74945</v>
      </c>
      <c r="H161" s="20" t="n">
        <v>78114</v>
      </c>
      <c r="I161" s="20" t="n">
        <v>82013</v>
      </c>
      <c r="J161" s="20" t="n">
        <v>79077</v>
      </c>
      <c r="K161" s="20" t="n">
        <v>76693</v>
      </c>
      <c r="L161" s="20" t="n">
        <v>74945</v>
      </c>
    </row>
    <row r="162">
      <c r="A162" s="18" t="inlineStr">
        <is>
          <t>미지급법인세</t>
        </is>
      </c>
      <c r="E162" s="20" t="n">
        <v>1446</v>
      </c>
      <c r="H162" s="20" t="n">
        <v>10910</v>
      </c>
      <c r="I162" s="20" t="n">
        <v>1863</v>
      </c>
      <c r="J162" s="20" t="n">
        <v>5624</v>
      </c>
      <c r="K162" s="20" t="n">
        <v>1330</v>
      </c>
      <c r="L162" s="20" t="n">
        <v>1446</v>
      </c>
    </row>
    <row r="163">
      <c r="A163" s="18" t="inlineStr">
        <is>
          <t>미지급 소비세</t>
        </is>
      </c>
      <c r="E163" s="20" t="n">
        <v>25705</v>
      </c>
      <c r="H163" s="20" t="n">
        <v>30596</v>
      </c>
      <c r="I163" s="20" t="n">
        <v>28711</v>
      </c>
      <c r="J163" s="20" t="n">
        <v>27323</v>
      </c>
      <c r="K163" s="20" t="n">
        <v>26994</v>
      </c>
      <c r="L163" s="20" t="n">
        <v>25705</v>
      </c>
    </row>
    <row r="164">
      <c r="A164" s="18" t="inlineStr">
        <is>
          <t>Cash Management System Deposits Received CL</t>
        </is>
      </c>
      <c r="E164" s="20" t="n">
        <v>275181</v>
      </c>
      <c r="H164" s="20" t="n">
        <v>360786</v>
      </c>
      <c r="I164" s="20" t="n">
        <v>318412</v>
      </c>
      <c r="J164" s="20" t="n">
        <v>300833</v>
      </c>
      <c r="K164" s="20" t="n">
        <v>292571</v>
      </c>
      <c r="L164" s="20" t="n">
        <v>275181</v>
      </c>
    </row>
    <row r="165">
      <c r="A165" s="18" t="inlineStr">
        <is>
          <t>상여충당금</t>
        </is>
      </c>
      <c r="E165" s="20" t="n">
        <v>13843</v>
      </c>
      <c r="H165" s="20" t="n">
        <v>5898</v>
      </c>
      <c r="I165" s="20" t="n">
        <v>5675</v>
      </c>
      <c r="J165" s="20" t="n">
        <v>5498</v>
      </c>
      <c r="K165" s="20" t="n">
        <v>13396</v>
      </c>
      <c r="L165" s="20" t="n">
        <v>13843</v>
      </c>
    </row>
    <row r="166">
      <c r="A166" s="18" t="inlineStr">
        <is>
          <t>Other Provision CL</t>
        </is>
      </c>
      <c r="E166" s="20" t="n">
        <v>1379</v>
      </c>
      <c r="I166" s="20" t="n">
        <v>0</v>
      </c>
      <c r="J166" s="20" t="n">
        <v>1331</v>
      </c>
      <c r="K166" s="20" t="n">
        <v>3471</v>
      </c>
      <c r="L166" s="20" t="n">
        <v>1379</v>
      </c>
    </row>
    <row r="167">
      <c r="A167" s="18" t="inlineStr">
        <is>
          <t>기타</t>
        </is>
      </c>
      <c r="E167" s="20" t="n">
        <v>58338</v>
      </c>
      <c r="H167" s="20" t="n">
        <v>11584</v>
      </c>
      <c r="I167" s="20" t="n">
        <v>20565</v>
      </c>
      <c r="J167" s="20" t="n">
        <v>28933</v>
      </c>
      <c r="K167" s="20" t="n">
        <v>53561</v>
      </c>
      <c r="L167" s="20" t="n">
        <v>58338</v>
      </c>
    </row>
    <row r="168">
      <c r="A168" s="9" t="inlineStr">
        <is>
          <t>유동부채 합계</t>
        </is>
      </c>
      <c r="E168" s="12" t="n">
        <v>625035</v>
      </c>
      <c r="H168" s="12" t="n">
        <v>767305</v>
      </c>
      <c r="I168" s="12" t="n">
        <v>682250</v>
      </c>
      <c r="J168" s="12" t="n">
        <v>755663</v>
      </c>
      <c r="K168" s="12" t="n">
        <v>753816</v>
      </c>
      <c r="L168" s="12" t="n">
        <v>625035</v>
      </c>
    </row>
    <row r="169">
      <c r="A169" s="18" t="inlineStr">
        <is>
          <t>사채</t>
        </is>
      </c>
      <c r="E169" s="20" t="n">
        <v>559543</v>
      </c>
      <c r="H169" s="20" t="n">
        <v>125000</v>
      </c>
      <c r="I169" s="20" t="n">
        <v>65000</v>
      </c>
      <c r="J169" s="20" t="n">
        <v>125000</v>
      </c>
      <c r="K169" s="20" t="n">
        <v>100000</v>
      </c>
      <c r="L169" s="20" t="n">
        <v>559543</v>
      </c>
    </row>
    <row r="170">
      <c r="A170" s="18" t="inlineStr">
        <is>
          <t>장기차입금</t>
        </is>
      </c>
      <c r="E170" s="20" t="n">
        <v>120000</v>
      </c>
      <c r="H170" s="20" t="n">
        <v>140000</v>
      </c>
      <c r="I170" s="20" t="n">
        <v>140000</v>
      </c>
      <c r="J170" s="20" t="n">
        <v>120000</v>
      </c>
      <c r="K170" s="20" t="n">
        <v>120000</v>
      </c>
      <c r="L170" s="20" t="n">
        <v>120000</v>
      </c>
    </row>
    <row r="171">
      <c r="A171" s="18" t="inlineStr">
        <is>
          <t>리스부채</t>
        </is>
      </c>
      <c r="E171" s="20" t="n">
        <v>955</v>
      </c>
      <c r="H171" s="20" t="n">
        <v>3061</v>
      </c>
      <c r="I171" s="20" t="n">
        <v>152</v>
      </c>
      <c r="J171" s="20" t="n">
        <v>45</v>
      </c>
      <c r="K171" s="20" t="n">
        <v>616</v>
      </c>
      <c r="L171" s="20" t="n">
        <v>955</v>
      </c>
    </row>
    <row r="172">
      <c r="A172" s="18" t="inlineStr">
        <is>
          <t>퇴직급여충당금</t>
        </is>
      </c>
      <c r="E172" s="20" t="n">
        <v>86089</v>
      </c>
      <c r="H172" s="20" t="n">
        <v>102960</v>
      </c>
      <c r="I172" s="20" t="n">
        <v>101421</v>
      </c>
      <c r="J172" s="20" t="n">
        <v>101387</v>
      </c>
      <c r="K172" s="20" t="n">
        <v>98521</v>
      </c>
      <c r="L172" s="20" t="n">
        <v>86089</v>
      </c>
    </row>
    <row r="173">
      <c r="A173" s="18" t="inlineStr">
        <is>
          <t>장기 미지급 법인세</t>
        </is>
      </c>
      <c r="E173" s="20" t="n">
        <v>936</v>
      </c>
      <c r="K173" s="20" t="n">
        <v>0</v>
      </c>
      <c r="L173" s="20" t="n">
        <v>936</v>
      </c>
    </row>
    <row r="174">
      <c r="A174" s="18" t="inlineStr">
        <is>
          <t>기타</t>
        </is>
      </c>
      <c r="E174" s="20" t="n">
        <v>11424</v>
      </c>
      <c r="H174" s="20" t="n">
        <v>4957</v>
      </c>
      <c r="I174" s="20" t="n">
        <v>5800</v>
      </c>
      <c r="J174" s="20" t="n">
        <v>12278</v>
      </c>
      <c r="K174" s="20" t="n">
        <v>15943</v>
      </c>
      <c r="L174" s="20" t="n">
        <v>11424</v>
      </c>
    </row>
    <row r="175">
      <c r="A175" s="9" t="inlineStr">
        <is>
          <t>비유동부채 합계</t>
        </is>
      </c>
      <c r="E175" s="12" t="n">
        <v>778948</v>
      </c>
      <c r="H175" s="12" t="n">
        <v>375978</v>
      </c>
      <c r="I175" s="12" t="n">
        <v>312374</v>
      </c>
      <c r="J175" s="12" t="n">
        <v>358711</v>
      </c>
      <c r="K175" s="12" t="n">
        <v>335079</v>
      </c>
      <c r="L175" s="12" t="n">
        <v>778948</v>
      </c>
    </row>
    <row r="176">
      <c r="A176" s="9" t="inlineStr">
        <is>
          <t>부채 합계</t>
        </is>
      </c>
      <c r="E176" s="12" t="n">
        <v>1403983</v>
      </c>
      <c r="H176" s="12" t="n">
        <v>1143283</v>
      </c>
      <c r="I176" s="12" t="n">
        <v>994623</v>
      </c>
      <c r="J176" s="12" t="n">
        <v>1114374</v>
      </c>
      <c r="K176" s="12" t="n">
        <v>1088895</v>
      </c>
      <c r="L176" s="12" t="n">
        <v>1403983</v>
      </c>
    </row>
    <row r="177">
      <c r="A177" s="18" t="inlineStr">
        <is>
          <t>자본금</t>
        </is>
      </c>
      <c r="E177" s="20" t="n">
        <v>100000</v>
      </c>
      <c r="H177" s="20" t="n">
        <v>100000</v>
      </c>
      <c r="I177" s="20" t="n">
        <v>100000</v>
      </c>
      <c r="J177" s="20" t="n">
        <v>100000</v>
      </c>
      <c r="K177" s="20" t="n">
        <v>100000</v>
      </c>
      <c r="L177" s="20" t="n">
        <v>100000</v>
      </c>
    </row>
    <row r="178">
      <c r="A178" s="18" t="inlineStr">
        <is>
          <t>자본준비금</t>
        </is>
      </c>
      <c r="E178" s="20" t="n">
        <v>636400</v>
      </c>
      <c r="H178" s="20" t="n">
        <v>736400</v>
      </c>
      <c r="I178" s="20" t="n">
        <v>736400</v>
      </c>
      <c r="J178" s="20" t="n">
        <v>736400</v>
      </c>
      <c r="K178" s="20" t="n">
        <v>636400</v>
      </c>
      <c r="L178" s="20" t="n">
        <v>636400</v>
      </c>
    </row>
    <row r="179">
      <c r="A179" s="18" t="inlineStr">
        <is>
          <t>기타자본잉여금</t>
        </is>
      </c>
      <c r="E179" s="20" t="n">
        <v>100664</v>
      </c>
      <c r="I179" s="20" t="n">
        <v>0</v>
      </c>
      <c r="J179" s="20" t="n">
        <v>78</v>
      </c>
      <c r="K179" s="20" t="n">
        <v>100297</v>
      </c>
      <c r="L179" s="20" t="n">
        <v>100664</v>
      </c>
    </row>
    <row r="180">
      <c r="A180" s="18" t="inlineStr">
        <is>
          <t>자본잉여금 합계</t>
        </is>
      </c>
      <c r="E180" s="20" t="n">
        <v>737064</v>
      </c>
      <c r="H180" s="20" t="n">
        <v>736400</v>
      </c>
      <c r="I180" s="20" t="n">
        <v>736400</v>
      </c>
      <c r="J180" s="20" t="n">
        <v>736478</v>
      </c>
      <c r="K180" s="20" t="n">
        <v>736697</v>
      </c>
      <c r="L180" s="20" t="n">
        <v>737064</v>
      </c>
    </row>
    <row r="181">
      <c r="A181" s="18" t="inlineStr">
        <is>
          <t>이익준비금</t>
        </is>
      </c>
      <c r="E181" s="20" t="n">
        <v>18776</v>
      </c>
      <c r="H181" s="20" t="n">
        <v>18776</v>
      </c>
      <c r="I181" s="20" t="n">
        <v>18776</v>
      </c>
      <c r="J181" s="20" t="n">
        <v>18776</v>
      </c>
      <c r="K181" s="20" t="n">
        <v>18776</v>
      </c>
      <c r="L181" s="20" t="n">
        <v>18776</v>
      </c>
    </row>
    <row r="182">
      <c r="A182" s="18" t="inlineStr">
        <is>
          <t>Reserve For Investment Loss On Developing New Business</t>
        </is>
      </c>
      <c r="E182" s="20" t="n">
        <v>223</v>
      </c>
      <c r="H182" s="20" t="n">
        <v>356</v>
      </c>
      <c r="I182" s="20" t="n">
        <v>331</v>
      </c>
      <c r="J182" s="20" t="n">
        <v>326</v>
      </c>
      <c r="K182" s="20" t="n">
        <v>243</v>
      </c>
      <c r="L182" s="20" t="n">
        <v>223</v>
      </c>
    </row>
    <row r="183">
      <c r="A183" s="18" t="inlineStr">
        <is>
          <t>Reserve For Reduction Entry1</t>
        </is>
      </c>
      <c r="E183" s="20" t="n">
        <v>22486</v>
      </c>
      <c r="H183" s="20" t="n">
        <v>37715</v>
      </c>
      <c r="I183" s="20" t="n">
        <v>34780</v>
      </c>
      <c r="J183" s="20" t="n">
        <v>32922</v>
      </c>
      <c r="K183" s="20" t="n">
        <v>31382</v>
      </c>
      <c r="L183" s="20" t="n">
        <v>22486</v>
      </c>
    </row>
    <row r="184">
      <c r="A184" s="18" t="inlineStr">
        <is>
          <t>Special Account For Reduction Entry</t>
        </is>
      </c>
      <c r="E184" s="20" t="n">
        <v>822</v>
      </c>
      <c r="H184" s="20" t="n">
        <v>425</v>
      </c>
      <c r="I184" s="20" t="n">
        <v>574</v>
      </c>
      <c r="J184" s="20" t="n">
        <v>914</v>
      </c>
      <c r="K184" s="20" t="n">
        <v>877</v>
      </c>
      <c r="L184" s="20" t="n">
        <v>822</v>
      </c>
    </row>
    <row r="185">
      <c r="A185" s="18" t="inlineStr">
        <is>
          <t>이월이익잉여금</t>
        </is>
      </c>
      <c r="E185" s="20" t="n">
        <v>975733</v>
      </c>
      <c r="H185" s="20" t="n">
        <v>935204</v>
      </c>
      <c r="I185" s="20" t="n">
        <v>956333</v>
      </c>
      <c r="J185" s="20" t="n">
        <v>775229</v>
      </c>
      <c r="K185" s="20" t="n">
        <v>831979</v>
      </c>
      <c r="L185" s="20" t="n">
        <v>975733</v>
      </c>
    </row>
    <row r="186">
      <c r="A186" s="18" t="inlineStr">
        <is>
          <t>이익잉여금 합계</t>
        </is>
      </c>
      <c r="E186" s="20" t="n">
        <v>1018039</v>
      </c>
      <c r="H186" s="20" t="n">
        <v>992476</v>
      </c>
      <c r="I186" s="20" t="n">
        <v>1010794</v>
      </c>
      <c r="J186" s="20" t="n">
        <v>828167</v>
      </c>
      <c r="K186" s="20" t="n">
        <v>883256</v>
      </c>
      <c r="L186" s="20" t="n">
        <v>1018039</v>
      </c>
    </row>
    <row r="187">
      <c r="A187" s="18" t="inlineStr">
        <is>
          <t>자기주식</t>
        </is>
      </c>
      <c r="E187" s="20" t="n">
        <v>-488124</v>
      </c>
      <c r="H187" s="20" t="n">
        <v>-490899</v>
      </c>
      <c r="I187" s="20" t="n">
        <v>-490183</v>
      </c>
      <c r="J187" s="20" t="n">
        <v>-489194</v>
      </c>
      <c r="K187" s="20" t="n">
        <v>-488579</v>
      </c>
      <c r="L187" s="20" t="n">
        <v>-488124</v>
      </c>
    </row>
    <row r="188">
      <c r="A188" s="9" t="inlineStr">
        <is>
          <t>주주자본 합계</t>
        </is>
      </c>
      <c r="E188" s="12" t="n">
        <v>1366980</v>
      </c>
      <c r="H188" s="12" t="n">
        <v>1337977</v>
      </c>
      <c r="I188" s="12" t="n">
        <v>1357011</v>
      </c>
      <c r="J188" s="12" t="n">
        <v>1175451</v>
      </c>
      <c r="K188" s="12" t="n">
        <v>1231375</v>
      </c>
      <c r="L188" s="12" t="n">
        <v>1366980</v>
      </c>
    </row>
    <row r="189">
      <c r="A189" s="18" t="inlineStr">
        <is>
          <t>기타유가증권 평가차액</t>
        </is>
      </c>
      <c r="E189" s="20" t="n">
        <v>6503</v>
      </c>
      <c r="H189" s="20" t="n">
        <v>5833</v>
      </c>
      <c r="I189" s="20" t="n">
        <v>6903</v>
      </c>
      <c r="J189" s="20" t="n">
        <v>6545</v>
      </c>
      <c r="K189" s="20" t="n">
        <v>7052</v>
      </c>
      <c r="L189" s="20" t="n">
        <v>6503</v>
      </c>
    </row>
    <row r="190">
      <c r="A190" s="18" t="inlineStr">
        <is>
          <t>이연헤지손익</t>
        </is>
      </c>
      <c r="E190" s="20" t="n">
        <v>-35389</v>
      </c>
      <c r="H190" s="20" t="n">
        <v>-316</v>
      </c>
      <c r="I190" s="20" t="n">
        <v>3728</v>
      </c>
      <c r="J190" s="20" t="n">
        <v>-2975</v>
      </c>
      <c r="K190" s="20" t="n">
        <v>-23896</v>
      </c>
      <c r="L190" s="20" t="n">
        <v>-35389</v>
      </c>
    </row>
    <row r="191">
      <c r="A191" s="18" t="inlineStr">
        <is>
          <t>평가·환산차액 합계</t>
        </is>
      </c>
      <c r="E191" s="20" t="n">
        <v>-28887</v>
      </c>
      <c r="H191" s="20" t="n">
        <v>5517</v>
      </c>
      <c r="I191" s="20" t="n">
        <v>10631</v>
      </c>
      <c r="J191" s="20" t="n">
        <v>3569</v>
      </c>
      <c r="K191" s="20" t="n">
        <v>-16844</v>
      </c>
      <c r="L191" s="20" t="n">
        <v>-28887</v>
      </c>
    </row>
    <row r="192">
      <c r="A192" s="18" t="inlineStr">
        <is>
          <t>신주예약권</t>
        </is>
      </c>
      <c r="E192" s="20" t="n">
        <v>291</v>
      </c>
      <c r="H192" s="20" t="n">
        <v>1202</v>
      </c>
      <c r="I192" s="20" t="n">
        <v>1001</v>
      </c>
      <c r="J192" s="20" t="n">
        <v>557</v>
      </c>
      <c r="K192" s="20" t="n">
        <v>364</v>
      </c>
      <c r="L192" s="20" t="n">
        <v>291</v>
      </c>
    </row>
    <row r="193">
      <c r="A193" s="9" t="inlineStr">
        <is>
          <t>순자산 합계</t>
        </is>
      </c>
      <c r="E193" s="12" t="n">
        <v>1338384</v>
      </c>
      <c r="H193" s="12" t="n">
        <v>1344696</v>
      </c>
      <c r="I193" s="12" t="n">
        <v>1368643</v>
      </c>
      <c r="J193" s="12" t="n">
        <v>1179577</v>
      </c>
      <c r="K193" s="12" t="n">
        <v>1214895</v>
      </c>
      <c r="L193" s="12" t="n">
        <v>1338384</v>
      </c>
    </row>
    <row r="194">
      <c r="A194" s="9" t="inlineStr">
        <is>
          <t>부채·순자산 합계</t>
        </is>
      </c>
      <c r="E194" s="12" t="n">
        <v>2742366</v>
      </c>
      <c r="H194" s="12" t="n">
        <v>2487979</v>
      </c>
      <c r="I194" s="12" t="n">
        <v>2363267</v>
      </c>
      <c r="J194" s="12" t="n">
        <v>2293951</v>
      </c>
      <c r="K194" s="12" t="n">
        <v>2303789</v>
      </c>
      <c r="L194" s="12" t="n">
        <v>2742366</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1" t="inlineStr">
        <is>
          <t>공시일</t>
        </is>
      </c>
      <c r="B3" s="51" t="inlineStr">
        <is>
          <t>문서</t>
        </is>
      </c>
      <c r="C3" s="51" t="inlineStr">
        <is>
          <t>PDF</t>
        </is>
      </c>
    </row>
    <row r="4">
      <c r="A4" t="inlineStr">
        <is>
          <t>2026-07-30</t>
        </is>
      </c>
      <c r="B4" t="inlineStr">
        <is>
          <t>2026년 12월 결산기 2분기 결산단신</t>
        </is>
      </c>
      <c r="C4" t="inlineStr">
        <is>
          <t>https://www2.jpx.co.jp/disc/29140/140120260730502851.pdf</t>
        </is>
      </c>
    </row>
    <row r="5">
      <c r="A5" t="inlineStr">
        <is>
          <t>2026-05-08</t>
        </is>
      </c>
      <c r="B5" t="inlineStr">
        <is>
          <t>2026년 12월 결산기 1분기 결산단신</t>
        </is>
      </c>
      <c r="C5" t="inlineStr">
        <is>
          <t>https://www2.jpx.co.jp/disc/29140/140120260508519418.pdf</t>
        </is>
      </c>
    </row>
    <row r="6">
      <c r="A6" t="inlineStr">
        <is>
          <t>2026-02-12</t>
        </is>
      </c>
      <c r="B6" t="inlineStr">
        <is>
          <t>2025년 12월 결산기 연간 결산단신</t>
        </is>
      </c>
      <c r="C6" t="inlineStr">
        <is>
          <t>https://www2.jpx.co.jp/disc/29140/140120260212555840.pdf</t>
        </is>
      </c>
    </row>
    <row r="7">
      <c r="A7" t="inlineStr">
        <is>
          <t>2025-10-30</t>
        </is>
      </c>
      <c r="B7" t="inlineStr">
        <is>
          <t>2025년 12월 결산기 3분기 결산단신</t>
        </is>
      </c>
      <c r="C7" t="inlineStr">
        <is>
          <t>https://www2.jpx.co.jp/disc/29140/140120251030582082.pdf</t>
        </is>
      </c>
    </row>
    <row r="8">
      <c r="A8" t="inlineStr">
        <is>
          <t>2025-07-31</t>
        </is>
      </c>
      <c r="B8" t="inlineStr">
        <is>
          <t>2025년 12월 결산기 2분기 결산단신</t>
        </is>
      </c>
      <c r="C8" t="inlineStr">
        <is>
          <t>https://www2.jpx.co.jp/disc/29140/140120250731525325.pdf</t>
        </is>
      </c>
    </row>
    <row r="9">
      <c r="A9" t="inlineStr">
        <is>
          <t>2025-05-07</t>
        </is>
      </c>
      <c r="B9" t="inlineStr">
        <is>
          <t>2025년 12월 결산기 1분기 결산단신</t>
        </is>
      </c>
      <c r="C9" t="inlineStr">
        <is>
          <t>https://www2.jpx.co.jp/disc/29140/140120250507531824.pdf</t>
        </is>
      </c>
    </row>
    <row r="10">
      <c r="A10" t="inlineStr">
        <is>
          <t>2025-02-13</t>
        </is>
      </c>
      <c r="B10" t="inlineStr">
        <is>
          <t>2024년 12월 결산기 연간 결산단신</t>
        </is>
      </c>
      <c r="C10" t="inlineStr">
        <is>
          <t>https://www2.jpx.co.jp/disc/29140/140120250212569311.pdf</t>
        </is>
      </c>
    </row>
    <row r="11">
      <c r="A11" t="inlineStr">
        <is>
          <t>2024-10-31</t>
        </is>
      </c>
      <c r="B11" t="inlineStr">
        <is>
          <t>2024년 12월 결산기 3분기 결산단신</t>
        </is>
      </c>
      <c r="C11" t="inlineStr">
        <is>
          <t>https://www2.jpx.co.jp/disc/29140/140120241030505788.pdf</t>
        </is>
      </c>
    </row>
    <row r="12">
      <c r="A12" t="inlineStr">
        <is>
          <t>2024-08-02</t>
        </is>
      </c>
      <c r="B12" t="inlineStr">
        <is>
          <t>2024년 12월 결산기 2분기 결산단신</t>
        </is>
      </c>
      <c r="C12" t="inlineStr">
        <is>
          <t>https://www2.jpx.co.jp/disc/29140/140120240801560266.pdf</t>
        </is>
      </c>
    </row>
    <row r="13">
      <c r="A13" t="inlineStr">
        <is>
          <t>2024-05-09</t>
        </is>
      </c>
      <c r="B13" t="inlineStr">
        <is>
          <t>2024년 12월 결산기 1분기 결산단신</t>
        </is>
      </c>
      <c r="C13" t="inlineStr">
        <is>
          <t>https://www2.jpx.co.jp/disc/29140/140120240508583485.pdf</t>
        </is>
      </c>
    </row>
    <row r="14">
      <c r="A14" t="inlineStr">
        <is>
          <t>2024-02-13</t>
        </is>
      </c>
      <c r="B14" t="inlineStr">
        <is>
          <t>2023년 12월 결산기 연간 결산단신</t>
        </is>
      </c>
      <c r="C14" t="inlineStr">
        <is>
          <t>https://www2.jpx.co.jp/disc/29140/140120240212533028.pdf</t>
        </is>
      </c>
    </row>
    <row r="15">
      <c r="A15" t="inlineStr">
        <is>
          <t>2023-10-31</t>
        </is>
      </c>
      <c r="B15" t="inlineStr">
        <is>
          <t>2023년 12월 결산기 3분기 결산단신</t>
        </is>
      </c>
      <c r="C15" t="inlineStr">
        <is>
          <t>https://www2.jpx.co.jp/disc/29140/140120231030574088.pdf</t>
        </is>
      </c>
    </row>
    <row r="16">
      <c r="A16" t="inlineStr">
        <is>
          <t>2023-07-31</t>
        </is>
      </c>
      <c r="B16" t="inlineStr">
        <is>
          <t>2023년 12월 결산기 2분기 결산단신</t>
        </is>
      </c>
      <c r="C16" t="inlineStr">
        <is>
          <t>https://www2.jpx.co.jp/disc/29140/140120230728528784.pdf</t>
        </is>
      </c>
    </row>
    <row r="17">
      <c r="A17" t="inlineStr">
        <is>
          <t>2023-05-02</t>
        </is>
      </c>
      <c r="B17" t="inlineStr">
        <is>
          <t>2023년 12월 결산기 1분기 결산단신</t>
        </is>
      </c>
      <c r="C17" t="inlineStr">
        <is>
          <t>https://www2.jpx.co.jp/disc/29140/140120230501557681.pdf</t>
        </is>
      </c>
    </row>
    <row r="18">
      <c r="A18" t="inlineStr">
        <is>
          <t>2023-02-14</t>
        </is>
      </c>
      <c r="B18" t="inlineStr">
        <is>
          <t>2022년 12월 결산기 연간 결산단신</t>
        </is>
      </c>
      <c r="C18" t="inlineStr">
        <is>
          <t>https://www2.jpx.co.jp/disc/29140/140120230214510677.pdf</t>
        </is>
      </c>
    </row>
    <row r="19">
      <c r="A19" t="inlineStr">
        <is>
          <t>2022-10-31</t>
        </is>
      </c>
      <c r="B19" t="inlineStr">
        <is>
          <t>2022년 12월 결산기 3분기 결산단신</t>
        </is>
      </c>
      <c r="C19" t="inlineStr">
        <is>
          <t>https://www2.jpx.co.jp/disc/29140/140120221028552731.pdf</t>
        </is>
      </c>
    </row>
    <row r="20">
      <c r="A20" t="inlineStr">
        <is>
          <t>2022-02-14</t>
        </is>
      </c>
      <c r="B20" t="inlineStr">
        <is>
          <t>2021년 12월 결산기 연간 결산단신</t>
        </is>
      </c>
      <c r="C20" t="inlineStr">
        <is>
          <t>https://www2.jpx.co.jp/disc/29140/140120220127573828.pdf</t>
        </is>
      </c>
    </row>
    <row r="21">
      <c r="A21" t="inlineStr">
        <is>
          <t>2021-02-09</t>
        </is>
      </c>
      <c r="B21" t="inlineStr">
        <is>
          <t>2020년 12월 결산기 연간 결산단신</t>
        </is>
      </c>
      <c r="C21" t="inlineStr">
        <is>
          <t>https://www2.jpx.co.jp/disc/29140/140120210208458789.pdf</t>
        </is>
      </c>
    </row>
    <row r="22">
      <c r="A22" t="inlineStr">
        <is>
          <t>2020-02-06</t>
        </is>
      </c>
      <c r="B22" t="inlineStr">
        <is>
          <t>2019년 12월 결산기 연간 결산단신</t>
        </is>
      </c>
      <c r="C22" t="inlineStr">
        <is>
          <t>https://www2.jpx.co.jp/disc/29140/140120200205458256.pdf</t>
        </is>
      </c>
    </row>
    <row r="23">
      <c r="A23" t="inlineStr">
        <is>
          <t>2019-02-07</t>
        </is>
      </c>
      <c r="B23" t="inlineStr">
        <is>
          <t>연간 결산단신</t>
        </is>
      </c>
      <c r="C23" t="inlineStr">
        <is>
          <t>https://www2.jpx.co.jp/disc/29140/140120190207471729.pdf</t>
        </is>
      </c>
    </row>
    <row r="24">
      <c r="A24" t="inlineStr">
        <is>
          <t>2018-02-06</t>
        </is>
      </c>
      <c r="B24" t="inlineStr">
        <is>
          <t>연간 결산단신</t>
        </is>
      </c>
      <c r="C24" t="inlineStr">
        <is>
          <t>https://www2.jpx.co.jp/disc/29140/140120171120421896.pdf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2026-10-28T07:01:58Z</dcterms:created>
  <dcterms:modified xmlns:dcterms="http://purl.org/dc/terms/" xmlns:xsi="http://www.w3.org/2001/XMLSchema-instance" xsi:type="dcterms:W3CDTF">2026-10-28T07:01:58Z</dcterms:modified>
</cp:coreProperties>
</file>